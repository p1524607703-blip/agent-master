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0694e5d0f3b4906" /></Relationships>
</file>

<file path=xl/workbook.xml><?xml version="1.0" encoding="utf-8"?>
<x:workbook xmlns:x="http://schemas.openxmlformats.org/spreadsheetml/2006/main">
  <x:sheets>
    <x:sheet xmlns:r="http://schemas.openxmlformats.org/officeDocument/2006/relationships" name="运行摘要" sheetId="1" r:id="R9299a2dcef1d4481"/>
    <x:sheet xmlns:r="http://schemas.openxmlformats.org/officeDocument/2006/relationships" name="唯一词标签" sheetId="2" r:id="R3973e02bc03d4f65"/>
    <x:sheet xmlns:r="http://schemas.openxmlformats.org/officeDocument/2006/relationships" name="意图簇汇总" sheetId="3" r:id="R0cd7c0583ad74fa3"/>
    <x:sheet xmlns:r="http://schemas.openxmlformats.org/officeDocument/2006/relationships" name="ASIN与空值分流" sheetId="4" r:id="R8972d9a4593f4626"/>
    <x:sheet xmlns:r="http://schemas.openxmlformats.org/officeDocument/2006/relationships" name="商品基准" sheetId="5" r:id="Rb47a216a41ff45c2"/>
    <x:sheet xmlns:r="http://schemas.openxmlformats.org/officeDocument/2006/relationships" name="质量说明" sheetId="6" r:id="R79ebf28606874f2f"/>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15">
    <x:font>
      <x:sz val="11"/>
      <x:name val="Carlito"/>
    </x:font>
    <x:font>
      <x:b/>
      <x:sz val="9"/>
      <x:color rgb="FFFFFFFF"/>
      <x:name val="Arial"/>
    </x:font>
    <x:font>
      <x:sz val="8"/>
      <x:name val="Arial"/>
    </x:font>
    <x:font>
      <x:b/>
      <x:sz val="9"/>
      <x:color rgb="FFFFFFFF"/>
      <x:name val="Carlito"/>
    </x:font>
    <x:font>
      <x:b/>
      <x:sz val="20"/>
      <x:color rgb="FFFFFFFF"/>
      <x:name val="Aptos Display"/>
    </x:font>
    <x:font>
      <x:i/>
      <x:sz val="10"/>
      <x:color rgb="FF244B57"/>
      <x:name val="Carlito"/>
    </x:font>
    <x:font>
      <x:sz val="10"/>
      <x:name val="Arial"/>
    </x:font>
    <x:font>
      <x:b/>
      <x:sz val="10"/>
      <x:color rgb="FF1C2833"/>
      <x:name val="Arial"/>
    </x:font>
    <x:font>
      <x:sz val="9"/>
      <x:name val="Arial"/>
    </x:font>
    <x:font>
      <x:sz val="10"/>
      <x:color rgb="FF6A4B00"/>
      <x:name val="Carlito"/>
    </x:font>
    <x:font>
      <x:b/>
      <x:sz val="18"/>
      <x:color rgb="FFFFFFFF"/>
      <x:name val="Aptos Display"/>
    </x:font>
    <x:font>
      <x:b/>
      <x:sz val="11"/>
      <x:color rgb="FF1C2833"/>
      <x:name val="Carlito"/>
    </x:font>
    <x:font>
      <x:b/>
      <x:sz val="11"/>
      <x:color rgb="FFFFFFFF"/>
      <x:name val="Carlito"/>
    </x:font>
    <x:font>
      <x:b/>
      <x:sz val="9"/>
      <x:color rgb="FF1C2833"/>
      <x:name val="Arial"/>
    </x:font>
    <x:font>
      <x:b/>
      <x:sz val="19"/>
      <x:color rgb="FFFFFFFF"/>
      <x:name val="Aptos Display"/>
    </x:font>
  </x:fonts>
  <x:fills count="9">
    <x:fill>
      <x:patternFill patternType="none"/>
    </x:fill>
    <x:fill>
      <x:patternFill patternType="gray125"/>
    </x:fill>
    <x:fill>
      <x:patternFill patternType="solid">
        <x:fgColor rgb="FF0F4C5C"/>
      </x:patternFill>
    </x:fill>
    <x:fill>
      <x:patternFill patternType="solid">
        <x:fgColor rgb="FFF7FAFB"/>
      </x:patternFill>
    </x:fill>
    <x:fill>
      <x:patternFill patternType="solid">
        <x:fgColor rgb="FFDCEFF3"/>
      </x:patternFill>
    </x:fill>
    <x:fill>
      <x:patternFill patternType="solid">
        <x:fgColor rgb="FFF2B134"/>
      </x:patternFill>
    </x:fill>
    <x:fill>
      <x:patternFill patternType="solid">
        <x:fgColor rgb="FFEEF6F8"/>
      </x:patternFill>
    </x:fill>
    <x:fill>
      <x:patternFill patternType="solid">
        <x:fgColor rgb="FF326273"/>
      </x:patternFill>
    </x:fill>
    <x:fill>
      <x:patternFill patternType="solid">
        <x:fgColor rgb="FFFFF4D6"/>
      </x:patternFill>
    </x:fill>
  </x:fills>
  <x:borders count="5">
    <x:border/>
    <x:border>
      <x:bottom style="thin">
        <x:color rgb="FFE1E8EA"/>
      </x:bottom>
    </x:border>
    <x:border>
      <x:top style="thin">
        <x:color rgb="FFE1E8EA"/>
      </x:top>
      <x:bottom style="thin">
        <x:color rgb="FFE1E8EA"/>
      </x:bottom>
    </x:border>
    <x:border>
      <x:top style="thin">
        <x:color rgb="FFE1E8EA"/>
      </x:top>
    </x:border>
    <x:border>
      <x:left style="thin">
        <x:color rgb="FFB9C9CE"/>
      </x:left>
      <x:right style="thin">
        <x:color rgb="FFB9C9CE"/>
      </x:right>
      <x:top style="thin">
        <x:color rgb="FFB9C9CE"/>
      </x:top>
      <x:bottom style="thin">
        <x:color rgb="FFB9C9CE"/>
      </x:bottom>
    </x:border>
  </x:borders>
  <x:cellStyleXfs count="1">
    <x:xf numFmtId="0" fontId="0" fillId="0" borderId="0"/>
  </x:cellStyleXfs>
  <x:cellXfs count="7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2" fillId="0" borderId="0" xfId="0" applyNumberFormat="1" applyFont="1" applyFill="1" applyBorder="1"/>
    <x:xf numFmtId="0" fontId="2" fillId="0" borderId="1" xfId="0" applyNumberFormat="1" applyFont="1" applyFill="1" applyBorder="1"/>
    <x:xf numFmtId="0" fontId="2" fillId="0" borderId="2" xfId="0" applyNumberFormat="1" applyFont="1" applyFill="1" applyBorder="1"/>
    <x:xf numFmtId="0" fontId="2" fillId="0" borderId="3" xfId="0" applyNumberFormat="1" applyFont="1" applyFill="1" applyBorder="1"/>
    <x:xf numFmtId="0" fontId="2" fillId="0" borderId="1" xfId="0" applyNumberFormat="1" applyFont="1" applyFill="1" applyBorder="1" applyAlignment="1">
      <x:alignment vertical="top"/>
    </x:xf>
    <x:xf numFmtId="0" fontId="2" fillId="0" borderId="2" xfId="0" applyNumberFormat="1" applyFont="1" applyFill="1" applyBorder="1" applyAlignment="1">
      <x:alignment vertical="top"/>
    </x:xf>
    <x:xf numFmtId="0" fontId="2" fillId="0" borderId="3" xfId="0" applyNumberFormat="1" applyFont="1" applyFill="1" applyBorder="1" applyAlignment="1">
      <x:alignment vertical="top"/>
    </x:xf>
    <x:xf numFmtId="0" fontId="2" fillId="3" borderId="1" xfId="0" applyNumberFormat="1" applyFont="1" applyFill="1" applyBorder="1" applyAlignment="1">
      <x:alignment vertical="top"/>
    </x:xf>
    <x:xf numFmtId="0" fontId="2" fillId="3" borderId="2" xfId="0" applyNumberFormat="1" applyFont="1" applyFill="1" applyBorder="1" applyAlignment="1">
      <x:alignment vertical="top"/>
    </x:xf>
    <x:xf numFmtId="0" fontId="2" fillId="3" borderId="1" xfId="0" applyNumberFormat="1" applyFont="1" applyFill="1" applyBorder="1" applyAlignment="1">
      <x:alignment vertical="top" wrapText="1"/>
    </x:xf>
    <x:xf numFmtId="0" fontId="2" fillId="0" borderId="2" xfId="0" applyNumberFormat="1" applyFont="1" applyFill="1" applyBorder="1" applyAlignment="1">
      <x:alignment vertical="top" wrapText="1"/>
    </x:xf>
    <x:xf numFmtId="0" fontId="2" fillId="3" borderId="2" xfId="0" applyNumberFormat="1" applyFont="1" applyFill="1" applyBorder="1" applyAlignment="1">
      <x:alignment vertical="top" wrapText="1"/>
    </x:xf>
    <x:xf numFmtId="0" fontId="2" fillId="0" borderId="3"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2" fillId="0" borderId="0" xfId="0" applyNumberFormat="1" applyFont="1" applyFill="1" applyBorder="1" applyAlignment="1">
      <x:alignment vertical="top"/>
    </x:xf>
    <x:xf numFmtId="0" fontId="4" fillId="2" borderId="0" xfId="0" applyNumberFormat="1" applyFont="1" applyFill="1" applyBorder="1"/>
    <x:xf numFmtId="0" fontId="4" fillId="2" borderId="0" xfId="0" applyNumberFormat="1" applyFont="1" applyFill="1" applyBorder="1" applyAlignment="1">
      <x:alignment vertical="center"/>
    </x:xf>
    <x:xf numFmtId="0" fontId="0" fillId="4" borderId="0" xfId="0" applyNumberFormat="1" applyFont="1" applyFill="1" applyBorder="1"/>
    <x:xf numFmtId="0" fontId="5" fillId="4" borderId="0" xfId="0" applyNumberFormat="1" applyFont="1" applyFill="1" applyBorder="1"/>
    <x:xf numFmtId="200" fontId="0" fillId="0" borderId="0" xfId="0" applyNumberFormat="1" applyFont="1" applyFill="1" applyBorder="1"/>
    <x:xf numFmtId="201" fontId="0" fillId="0" borderId="0" xfId="0" applyNumberFormat="1" applyFont="1" applyFill="1" applyBorder="1"/>
    <x:xf numFmtId="0" fontId="6" fillId="0" borderId="0" xfId="0" applyNumberFormat="1" applyFont="1" applyFill="1" applyBorder="1"/>
    <x:xf numFmtId="200" fontId="6" fillId="0" borderId="0" xfId="0" applyNumberFormat="1" applyFont="1" applyFill="1" applyBorder="1"/>
    <x:xf numFmtId="201" fontId="6" fillId="0" borderId="0" xfId="0" applyNumberFormat="1" applyFont="1" applyFill="1" applyBorder="1"/>
    <x:xf numFmtId="0" fontId="6" fillId="0" borderId="4" xfId="0" applyNumberFormat="1" applyFont="1" applyFill="1" applyBorder="1"/>
    <x:xf numFmtId="200" fontId="6" fillId="0" borderId="4" xfId="0" applyNumberFormat="1" applyFont="1" applyFill="1" applyBorder="1"/>
    <x:xf numFmtId="201" fontId="6" fillId="0" borderId="4" xfId="0" applyNumberFormat="1" applyFont="1" applyFill="1" applyBorder="1"/>
    <x:xf numFmtId="0" fontId="6" fillId="0" borderId="4" xfId="0" applyNumberFormat="1" applyFont="1" applyFill="1" applyBorder="1" applyAlignment="1">
      <x:alignment wrapText="1"/>
    </x:xf>
    <x:xf numFmtId="200" fontId="6" fillId="0" borderId="4" xfId="0" applyNumberFormat="1" applyFont="1" applyFill="1" applyBorder="1" applyAlignment="1">
      <x:alignment wrapText="1"/>
    </x:xf>
    <x:xf numFmtId="201" fontId="6" fillId="0" borderId="4" xfId="0" applyNumberFormat="1" applyFont="1" applyFill="1" applyBorder="1" applyAlignment="1">
      <x:alignment wrapText="1"/>
    </x:xf>
    <x:xf numFmtId="0" fontId="6" fillId="0" borderId="4" xfId="0" applyNumberFormat="1" applyFont="1" applyFill="1" applyBorder="1" applyAlignment="1">
      <x:alignment vertical="center" wrapText="1"/>
    </x:xf>
    <x:xf numFmtId="200" fontId="6" fillId="0" borderId="4" xfId="0" applyNumberFormat="1" applyFont="1" applyFill="1" applyBorder="1" applyAlignment="1">
      <x:alignment vertical="center" wrapText="1"/>
    </x:xf>
    <x:xf numFmtId="201" fontId="6" fillId="0" borderId="4" xfId="0" applyNumberFormat="1" applyFont="1" applyFill="1" applyBorder="1" applyAlignment="1">
      <x:alignment vertical="center" wrapText="1"/>
    </x:xf>
    <x:xf numFmtId="0" fontId="6" fillId="5" borderId="4" xfId="0" applyNumberFormat="1" applyFont="1" applyFill="1" applyBorder="1" applyAlignment="1">
      <x:alignment vertical="center" wrapText="1"/>
    </x:xf>
    <x:xf numFmtId="0" fontId="7" fillId="5" borderId="4" xfId="0" applyNumberFormat="1" applyFont="1" applyFill="1" applyBorder="1" applyAlignment="1">
      <x:alignment vertical="center" wrapText="1"/>
    </x:xf>
    <x:xf numFmtId="0" fontId="6" fillId="6" borderId="4" xfId="0" applyNumberFormat="1" applyFont="1" applyFill="1" applyBorder="1" applyAlignment="1">
      <x:alignment vertical="center" wrapText="1"/>
    </x:xf>
    <x:xf numFmtId="0" fontId="8" fillId="0" borderId="0" xfId="0" applyNumberFormat="1" applyFont="1" applyFill="1" applyBorder="1"/>
    <x:xf numFmtId="0" fontId="8" fillId="0" borderId="4" xfId="0" applyNumberFormat="1" applyFont="1" applyFill="1" applyBorder="1"/>
    <x:xf numFmtId="0" fontId="8" fillId="0" borderId="4" xfId="0" applyNumberFormat="1" applyFont="1" applyFill="1" applyBorder="1" applyAlignment="1">
      <x:alignment wrapText="1"/>
    </x:xf>
    <x:xf numFmtId="0" fontId="8" fillId="7" borderId="4" xfId="0" applyNumberFormat="1" applyFont="1" applyFill="1" applyBorder="1" applyAlignment="1">
      <x:alignment wrapText="1"/>
    </x:xf>
    <x:xf numFmtId="0" fontId="1" fillId="7" borderId="4" xfId="0" applyNumberFormat="1" applyFont="1" applyFill="1" applyBorder="1" applyAlignment="1">
      <x:alignment wrapText="1"/>
    </x:xf>
    <x:xf numFmtId="0" fontId="0" fillId="8" borderId="0" xfId="0" applyNumberFormat="1" applyFont="1" applyFill="1" applyBorder="1"/>
    <x:xf numFmtId="0" fontId="9" fillId="8" borderId="0" xfId="0" applyNumberFormat="1" applyFont="1" applyFill="1" applyBorder="1"/>
    <x:xf numFmtId="0" fontId="9" fillId="8" borderId="0" xfId="0" applyNumberFormat="1" applyFont="1" applyFill="1" applyBorder="1" applyAlignment="1">
      <x:alignment wrapText="1"/>
    </x:xf>
    <x:xf numFmtId="0" fontId="9" fillId="8" borderId="0" xfId="0" applyNumberFormat="1" applyFont="1" applyFill="1" applyBorder="1" applyAlignment="1">
      <x:alignment vertical="center" wrapText="1"/>
    </x:xf>
    <x:xf numFmtId="0" fontId="4" fillId="2" borderId="0" xfId="0" applyNumberFormat="1" applyFont="1" applyFill="1" applyBorder="1" applyAlignment="1">
      <x:alignment vertical="center" wrapText="1"/>
    </x:xf>
    <x:xf numFmtId="0" fontId="5" fillId="4" borderId="0" xfId="0" applyNumberFormat="1" applyFont="1" applyFill="1" applyBorder="1" applyAlignment="1">
      <x:alignment wrapText="1"/>
    </x:xf>
    <x:xf numFmtId="0" fontId="0" fillId="0" borderId="0" xfId="0" applyNumberFormat="1" applyFont="1" applyFill="1" applyBorder="1" applyAlignment="1">
      <x:alignment wrapText="1"/>
    </x:xf>
    <x:xf numFmtId="201" fontId="2" fillId="0" borderId="1" xfId="0" applyNumberFormat="1" applyFont="1" applyFill="1" applyBorder="1"/>
    <x:xf numFmtId="201" fontId="2" fillId="0" borderId="2" xfId="0" applyNumberFormat="1" applyFont="1" applyFill="1" applyBorder="1"/>
    <x:xf numFmtId="201" fontId="2" fillId="0" borderId="3" xfId="0" applyNumberFormat="1" applyFont="1" applyFill="1" applyBorder="1"/>
    <x:xf numFmtId="0" fontId="10" fillId="2" borderId="0" xfId="0" applyNumberFormat="1" applyFont="1" applyFill="1" applyBorder="1"/>
    <x:xf numFmtId="0" fontId="10" fillId="2" borderId="0" xfId="0" applyNumberFormat="1" applyFont="1" applyFill="1" applyBorder="1" applyAlignment="1">
      <x:alignment vertical="center"/>
    </x:xf>
    <x:xf numFmtId="0" fontId="0" fillId="5" borderId="0" xfId="0" applyNumberFormat="1" applyFont="1" applyFill="1" applyBorder="1"/>
    <x:xf numFmtId="0" fontId="11" fillId="5" borderId="0" xfId="0" applyNumberFormat="1" applyFont="1" applyFill="1" applyBorder="1"/>
    <x:xf numFmtId="0" fontId="0" fillId="7" borderId="0" xfId="0" applyNumberFormat="1" applyFont="1" applyFill="1" applyBorder="1"/>
    <x:xf numFmtId="0" fontId="12" fillId="7" borderId="0" xfId="0" applyNumberFormat="1" applyFont="1" applyFill="1" applyBorder="1"/>
    <x:xf numFmtId="0" fontId="13" fillId="5" borderId="0" xfId="0" applyNumberFormat="1" applyFont="1" applyFill="1" applyBorder="1"/>
    <x:xf numFmtId="0" fontId="1" fillId="7" borderId="0" xfId="0" applyNumberFormat="1" applyFont="1" applyFill="1" applyBorder="1"/>
    <x:xf numFmtId="0" fontId="13" fillId="5" borderId="4" xfId="0" applyNumberFormat="1" applyFont="1" applyFill="1" applyBorder="1"/>
    <x:xf numFmtId="0" fontId="1" fillId="7" borderId="4" xfId="0" applyNumberFormat="1" applyFont="1" applyFill="1" applyBorder="1"/>
    <x:xf numFmtId="0" fontId="13" fillId="5" borderId="4" xfId="0" applyNumberFormat="1" applyFont="1" applyFill="1" applyBorder="1" applyAlignment="1">
      <x:alignment wrapText="1"/>
    </x:xf>
    <x:xf numFmtId="0" fontId="13" fillId="5" borderId="4" xfId="0" applyNumberFormat="1" applyFont="1" applyFill="1" applyBorder="1" applyAlignment="1">
      <x:alignment vertical="top" wrapText="1"/>
    </x:xf>
    <x:xf numFmtId="0" fontId="8" fillId="0" borderId="4" xfId="0" applyNumberFormat="1" applyFont="1" applyFill="1" applyBorder="1" applyAlignment="1">
      <x:alignment vertical="top" wrapText="1"/>
    </x:xf>
    <x:xf numFmtId="0" fontId="1" fillId="7" borderId="4" xfId="0" applyNumberFormat="1" applyFont="1" applyFill="1" applyBorder="1" applyAlignment="1">
      <x:alignment vertical="top" wrapText="1"/>
    </x:xf>
    <x:xf numFmtId="0" fontId="14" fillId="2" borderId="0" xfId="0" applyNumberFormat="1" applyFont="1" applyFill="1" applyBorder="1"/>
    <x:xf numFmtId="0" fontId="14" fillId="2" borderId="0" xfId="0" applyNumberFormat="1" applyFont="1" applyFill="1" applyBorder="1" applyAlignment="1">
      <x:alignment vertical="center"/>
    </x:xf>
    <x:xf numFmtId="0" fontId="7" fillId="5" borderId="0" xfId="0" applyNumberFormat="1" applyFont="1" applyFill="1" applyBorder="1"/>
    <x:xf numFmtId="0" fontId="7" fillId="5" borderId="4" xfId="0" applyNumberFormat="1" applyFont="1" applyFill="1" applyBorder="1"/>
    <x:xf numFmtId="0" fontId="7" fillId="5" borderId="4" xfId="0" applyNumberFormat="1" applyFont="1" applyFill="1" applyBorder="1" applyAlignment="1">
      <x:alignment wrapText="1"/>
    </x:xf>
    <x:xf numFmtId="0" fontId="7" fillId="5" borderId="4" xfId="0" applyNumberFormat="1" applyFont="1" applyFill="1" applyBorder="1" applyAlignment="1">
      <x:alignment vertical="top" wrapText="1"/>
    </x:xf>
    <x:xf numFmtId="0" fontId="6" fillId="0" borderId="4"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479d075fac24ace" /><Relationship Type="http://schemas.openxmlformats.org/officeDocument/2006/relationships/theme" Target="/xl/theme/theme1.xml" Id="R62dc8a0fb50c458d" /><Relationship Type="http://schemas.openxmlformats.org/officeDocument/2006/relationships/sharedStrings" Target="/xl/sharedStrings.xml" Id="R57f3381545784822" /><Relationship Type="http://schemas.openxmlformats.org/officeDocument/2006/relationships/worksheet" Target="/xl/worksheets/sheet1.xml" Id="R9299a2dcef1d4481" /><Relationship Type="http://schemas.openxmlformats.org/officeDocument/2006/relationships/worksheet" Target="/xl/worksheets/sheet2.xml" Id="R3973e02bc03d4f65" /><Relationship Type="http://schemas.openxmlformats.org/officeDocument/2006/relationships/worksheet" Target="/xl/worksheets/sheet3.xml" Id="R0cd7c0583ad74fa3" /><Relationship Type="http://schemas.openxmlformats.org/officeDocument/2006/relationships/worksheet" Target="/xl/worksheets/sheet4.xml" Id="R8972d9a4593f4626" /><Relationship Type="http://schemas.openxmlformats.org/officeDocument/2006/relationships/worksheet" Target="/xl/worksheets/sheet5.xml" Id="Rb47a216a41ff45c2" /><Relationship Type="http://schemas.openxmlformats.org/officeDocument/2006/relationships/worksheet" Target="/xl/worksheets/sheet6.xml" Id="R79ebf28606874f2f" /></Relationships>
</file>

<file path=xl/tables/table1.xml><?xml version="1.0" encoding="utf-8"?>
<x:table xmlns:x="http://schemas.openxmlformats.org/spreadsheetml/2006/main" id="1" name="AJ2Y90UniqueTerms" displayName="AJ2Y90UniqueTerms" ref="A1:AI1441" headerRowCount="1" totalsRowCount="0" totalsRowShown="0">
  <x:autoFilter ref="A1:AI1441"/>
  <x:tableColumns count="35">
    <x:tableColumn id="1" name="source_term"/>
    <x:tableColumn id="2" name="normalized_term"/>
    <x:tableColumn id="3" name="term_id"/>
    <x:tableColumn id="4" name="query_kind"/>
    <x:tableColumn id="5" name="language"/>
    <x:tableColumn id="6" name="primary_domain"/>
    <x:tableColumn id="7" name="secondary_domain"/>
    <x:tableColumn id="8" name="product_type"/>
    <x:tableColumn id="9" name="audience_intent"/>
    <x:tableColumn id="10" name="function_intent"/>
    <x:tableColumn id="11" name="capability_intent"/>
    <x:tableColumn id="12" name="event_intent"/>
    <x:tableColumn id="13" name="location_intent"/>
    <x:tableColumn id="14" name="body_need_intent"/>
    <x:tableColumn id="15" name="time_intent"/>
    <x:tableColumn id="16" name="substitute_intent"/>
    <x:tableColumn id="17" name="complement_intent"/>
    <x:tableColumn id="18" name="latent_task"/>
    <x:tableColumn id="19" name="intent_stage"/>
    <x:tableColumn id="20" name="evidence_type"/>
    <x:tableColumn id="21" name="confidence_level"/>
    <x:tableColumn id="22" name="intent_cluster"/>
    <x:tableColumn id="23" name="routing_action"/>
    <x:tableColumn id="24" name="field_evidence"/>
    <x:tableColumn id="25" name="ambiguity_flags"/>
    <x:tableColumn id="26" name="asin_fit"/>
    <x:tableColumn id="27" name="asin_fit_evidence"/>
    <x:tableColumn id="28" name="review_status"/>
    <x:tableColumn id="29" name="schema_version"/>
    <x:tableColumn id="30" name="prompt_version"/>
    <x:tableColumn id="31" name="model_name"/>
    <x:tableColumn id="32" name="run_id"/>
    <x:tableColumn id="33" name="batch_id"/>
    <x:tableColumn id="34" name="phase"/>
    <x:tableColumn id="35" name="batch_index"/>
  </x:tableColumns>
  <x:tableStyleInfo name="TableStyleMedium2" showFirstColumn="0" showLastColumn="0" showRowStripes="1" showColumnStripes="0"/>
</x:table>
</file>

<file path=xl/tables/table2.xml><?xml version="1.0" encoding="utf-8"?>
<x:table xmlns:x="http://schemas.openxmlformats.org/spreadsheetml/2006/main" id="3" name="AJ2Y90ClusterSummary" displayName="AJ2Y90ClusterSummary" ref="A1:I1069" headerRowCount="1" totalsRowCount="0" totalsRowShown="0">
  <x:autoFilter ref="A1:I1069"/>
  <x:tableColumns count="9">
    <x:tableColumn id="1" name="intent_cluster"/>
    <x:tableColumn id="2" name="词数"/>
    <x:tableColumn id="3" name="占比"/>
    <x:tableColumn id="4" name="match"/>
    <x:tableColumn id="5" name="partial_match"/>
    <x:tableColumn id="6" name="mismatch"/>
    <x:tableColumn id="7" name="unknown"/>
    <x:tableColumn id="8" name="low_confidence"/>
    <x:tableColumn id="9" name="needs_review"/>
  </x:tableColumns>
  <x:tableStyleInfo name="TableStyleMedium2" showFirstColumn="0" showLastColumn="0" showRowStripes="1" showColumnStripes="0"/>
</x:table>
</file>

<file path=xl/tables/table3.xml><?xml version="1.0" encoding="utf-8"?>
<x:table xmlns:x="http://schemas.openxmlformats.org/spreadsheetml/2006/main" id="2" name="AJ2Y90NonModelRouting" displayName="AJ2Y90NonModelRouting" ref="A1:R713" headerRowCount="1" totalsRowCount="0" totalsRowShown="0">
  <x:autoFilter ref="A1:R713"/>
  <x:tableColumns count="18">
    <x:tableColumn id="1" name="source_term"/>
    <x:tableColumn id="2" name="normalized_term"/>
    <x:tableColumn id="3" name="term_id"/>
    <x:tableColumn id="4" name="query_kind"/>
    <x:tableColumn id="5" name="language"/>
    <x:tableColumn id="6" name="latent_task"/>
    <x:tableColumn id="7" name="intent_stage"/>
    <x:tableColumn id="8" name="confidence_level"/>
    <x:tableColumn id="9" name="intent_cluster"/>
    <x:tableColumn id="10" name="routing_action"/>
    <x:tableColumn id="11" name="ambiguity_flags"/>
    <x:tableColumn id="12" name="asin_fit"/>
    <x:tableColumn id="13" name="review_status"/>
    <x:tableColumn id="14" name="source_occurrences"/>
    <x:tableColumn id="15" name="schema_version"/>
    <x:tableColumn id="16" name="prompt_version"/>
    <x:tableColumn id="17" name="model_name"/>
    <x:tableColumn id="18" name="run_i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44dacf2ccf8419b" /></Relationships>
</file>

<file path=xl/worksheets/_rels/sheet3.xml.rels>&#65279;<?xml version="1.0" encoding="utf-8"?><Relationships xmlns="http://schemas.openxmlformats.org/package/2006/relationships"><Relationship Type="http://schemas.openxmlformats.org/officeDocument/2006/relationships/table" Target="/xl/tables/table2.xml" Id="Rabb13ff781fb4de4" /></Relationships>
</file>

<file path=xl/worksheets/_rels/sheet4.xml.rels>&#65279;<?xml version="1.0" encoding="utf-8"?><Relationships xmlns="http://schemas.openxmlformats.org/package/2006/relationships"><Relationship Type="http://schemas.openxmlformats.org/officeDocument/2006/relationships/table" Target="/xl/tables/table3.xml" Id="R88bc108acfce4bdf" /></Relationships>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16" hidden="0" customWidth="1"/>
    <x:col min="3" max="3" width="3" hidden="0" customWidth="1"/>
    <x:col min="4" max="4" width="24" hidden="0" customWidth="1"/>
    <x:col min="5" max="5" width="22" hidden="0" customWidth="1"/>
    <x:col min="6" max="6" width="3" hidden="0" customWidth="1"/>
    <x:col min="7" max="7" width="25" hidden="0" customWidth="1"/>
    <x:col min="8" max="8" width="28" hidden="0" customWidth="1"/>
  </x:cols>
  <x:sheetData>
    <x:row r="1">
      <x:c r="A1" s="51" t="str">
        <x:v>AJ2-Y90 搜索词意图簇 · 阶段数据快照</x:v>
      </x:c>
      <x:c r="B1" s="51"/>
      <x:c r="C1" s="51"/>
      <x:c r="D1" s="51"/>
      <x:c r="E1" s="51"/>
      <x:c r="F1" s="51"/>
      <x:c r="G1" s="51"/>
      <x:c r="H1" s="51"/>
    </x:row>
    <x:row r="2">
      <x:c r="A2" s="51"/>
      <x:c r="B2" s="51"/>
      <x:c r="C2" s="51"/>
      <x:c r="D2" s="51"/>
      <x:c r="E2" s="51"/>
      <x:c r="F2" s="51"/>
      <x:c r="G2" s="51"/>
      <x:c r="H2" s="51"/>
    </x:row>
    <x:row r="3">
      <x:c r="A3" s="52" t="str">
        <x:v>快照时间：2026-07-15 10:10:24 UTC ｜ 仅含已通过批次，非最终交付</x:v>
      </x:c>
      <x:c r="B3" s="52"/>
      <x:c r="C3" s="52"/>
      <x:c r="D3" s="52"/>
      <x:c r="E3" s="52"/>
      <x:c r="F3" s="52"/>
      <x:c r="G3" s="52"/>
      <x:c r="H3" s="52"/>
    </x:row>
    <x:row r="4">
      <x:c r="A4" s="53"/>
      <x:c r="B4" s="53"/>
      <x:c r="C4" s="53"/>
      <x:c r="D4" s="53"/>
      <x:c r="E4" s="53"/>
      <x:c r="F4" s="53"/>
      <x:c r="G4" s="53"/>
      <x:c r="H4" s="53"/>
    </x:row>
    <x:row r="5">
      <x:c r="A5" s="40" t="str">
        <x:v>进度指标</x:v>
      </x:c>
      <x:c r="B5" s="40" t="str">
        <x:v>当前值</x:v>
      </x:c>
      <x:c r="C5" s="53"/>
      <x:c r="D5" s="40" t="str">
        <x:v>分流与版本</x:v>
      </x:c>
      <x:c r="E5" s="40" t="str">
        <x:v>当前值</x:v>
      </x:c>
      <x:c r="F5" s="53"/>
      <x:c r="G5" s="40" t="str">
        <x:v>阶段质检</x:v>
      </x:c>
      <x:c r="H5" s="40" t="str">
        <x:v>当前结论</x:v>
      </x:c>
    </x:row>
    <x:row r="6">
      <x:c r="A6" s="41" t="str">
        <x:v>已导出自然语言唯一词</x:v>
      </x:c>
      <x:c r="B6" s="37" t="n">
        <x:f>COUNTA('唯一词标签'!$C$2:$C$1441)</x:f>
        <x:v>1440</x:v>
      </x:c>
      <x:c r="C6" s="53"/>
      <x:c r="D6" s="41" t="str">
        <x:v>ASIN 唯一目标</x:v>
      </x:c>
      <x:c r="E6" s="36" t="n">
        <x:f>COUNTIF('ASIN与空值分流'!$D$2:$D$713,"asin_target")</x:f>
        <x:v>711</x:v>
      </x:c>
      <x:c r="F6" s="53"/>
      <x:c r="G6" s="41" t="str">
        <x:v>批次条数</x:v>
      </x:c>
      <x:c r="H6" s="36" t="str">
        <x:v>20/批，全部通过当前校验</x:v>
      </x:c>
    </x:row>
    <x:row r="7">
      <x:c r="A7" s="41" t="str">
        <x:v>计划自然语言唯一词</x:v>
      </x:c>
      <x:c r="B7" s="37" t="n">
        <x:v>2394</x:v>
      </x:c>
      <x:c r="C7" s="53"/>
      <x:c r="D7" s="41" t="str">
        <x:v>空值唯一记录</x:v>
      </x:c>
      <x:c r="E7" s="36" t="n">
        <x:f>COUNTIF('ASIN与空值分流'!$D$2:$D$713,"blank")</x:f>
        <x:v>1</x:v>
      </x:c>
      <x:c r="F7" s="53"/>
      <x:c r="G7" s="41" t="str">
        <x:v>ACOS/CVR/订单进入模型</x:v>
      </x:c>
      <x:c r="H7" s="36" t="str">
        <x:v>否</x:v>
      </x:c>
    </x:row>
    <x:row r="8">
      <x:c r="A8" s="41" t="str">
        <x:v>自然语言完成率</x:v>
      </x:c>
      <x:c r="B8" s="38" t="n">
        <x:f>B6/B7</x:f>
        <x:v>0.6015037593984962</x:v>
      </x:c>
      <x:c r="C8" s="53"/>
      <x:c r="D8" s="41" t="str">
        <x:v>空值源记录</x:v>
      </x:c>
      <x:c r="E8" s="36" t="n">
        <x:v>2</x:v>
      </x:c>
      <x:c r="F8" s="53"/>
      <x:c r="G8" s="41" t="str">
        <x:v>Schema 与 Prompt 常量</x:v>
      </x:c>
      <x:c r="H8" s="36" t="str">
        <x:v>版本存在漂移，待统一</x:v>
      </x:c>
    </x:row>
    <x:row r="9">
      <x:c r="A9" s="41" t="str">
        <x:v>剩余自然语言词</x:v>
      </x:c>
      <x:c r="B9" s="37" t="n">
        <x:f>B7-B6</x:f>
        <x:v>954</x:v>
      </x:c>
      <x:c r="C9" s="53"/>
      <x:c r="D9" s="41" t="str">
        <x:v>模型</x:v>
      </x:c>
      <x:c r="E9" s="36" t="str">
        <x:v>deepseek/deepseek-v4-pro</x:v>
      </x:c>
      <x:c r="F9" s="53"/>
      <x:c r="G9" s="41" t="str">
        <x:v>证据来源清理</x:v>
      </x:c>
      <x:c r="H9" s="36" t="str">
        <x:v>待最终后处理</x:v>
      </x:c>
    </x:row>
    <x:row r="10">
      <x:c r="A10" s="41" t="str">
        <x:v>Pilot 有效批次</x:v>
      </x:c>
      <x:c r="B10" s="37" t="n">
        <x:v>5</x:v>
      </x:c>
      <x:c r="C10" s="53"/>
      <x:c r="D10" s="41" t="str">
        <x:v>Schema 版本</x:v>
      </x:c>
      <x:c r="E10" s="36" t="str">
        <x:v>1.0.0</x:v>
      </x:c>
      <x:c r="F10" s="53"/>
      <x:c r="G10" s="41" t="str">
        <x:v>医疗承诺保护</x:v>
      </x:c>
      <x:c r="H10" s="36" t="str">
        <x:v>待最终确定性校验</x:v>
      </x:c>
    </x:row>
    <x:row r="11">
      <x:c r="A11" s="41" t="str">
        <x:v>Full 有效批次</x:v>
      </x:c>
      <x:c r="B11" s="37" t="n">
        <x:v>67</x:v>
      </x:c>
      <x:c r="C11" s="53"/>
      <x:c r="D11" s="41" t="str">
        <x:v>Prompt 版本</x:v>
      </x:c>
      <x:c r="E11" s="36" t="str">
        <x:v>1.1.0</x:v>
      </x:c>
      <x:c r="F11" s="53"/>
      <x:c r="G11" s="41" t="str">
        <x:v>意图簇规范化</x:v>
      </x:c>
      <x:c r="H11" s="36" t="str">
        <x:v>待最终归并</x:v>
      </x:c>
    </x:row>
    <x:row r="12">
      <x:c r="A12" s="41" t="str">
        <x:v>源报告命中行数</x:v>
      </x:c>
      <x:c r="B12" s="37" t="n">
        <x:v>4037</x:v>
      </x:c>
      <x:c r="C12" s="53"/>
      <x:c r="D12" s="41" t="str">
        <x:v>商品 ASIN</x:v>
      </x:c>
      <x:c r="E12" s="36" t="str">
        <x:v>B0GKDNPHJM</x:v>
      </x:c>
      <x:c r="F12" s="53"/>
      <x:c r="G12" s="41" t="str">
        <x:v>当前工作簿定位</x:v>
      </x:c>
      <x:c r="H12" s="36" t="str">
        <x:v>阶段快照，不替代最终交付</x:v>
      </x:c>
    </x:row>
    <x:row r="13">
      <x:c r="A13" s="53"/>
      <x:c r="B13" s="53"/>
      <x:c r="C13" s="53"/>
      <x:c r="D13" s="53"/>
      <x:c r="E13" s="53"/>
      <x:c r="F13" s="53"/>
      <x:c r="G13" s="53"/>
      <x:c r="H13" s="53"/>
    </x:row>
    <x:row r="14">
      <x:c r="A14" s="46" t="str">
        <x:v>Top 意图簇（原始标签）</x:v>
      </x:c>
      <x:c r="B14" s="46" t="str">
        <x:v>数量</x:v>
      </x:c>
      <x:c r="C14" s="53"/>
      <x:c r="D14" s="46" t="str">
        <x:v>ASIN 匹配</x:v>
      </x:c>
      <x:c r="E14" s="46" t="str">
        <x:v>数量</x:v>
      </x:c>
      <x:c r="F14" s="53"/>
      <x:c r="G14" s="46" t="str">
        <x:v>置信等级</x:v>
      </x:c>
      <x:c r="H14" s="46" t="str">
        <x:v>数量</x:v>
      </x:c>
    </x:row>
    <x:row r="15">
      <x:c r="A15" s="44" t="str">
        <x:v>womens_flip_flops</x:v>
      </x:c>
      <x:c r="B15" s="44" t="n">
        <x:f>COUNTIF('唯一词标签'!$V$2:$V$1441,A15)</x:f>
        <x:v>23</x:v>
      </x:c>
      <x:c r="C15" s="53"/>
      <x:c r="D15" s="44" t="str">
        <x:v>match</x:v>
      </x:c>
      <x:c r="E15" s="44" t="n">
        <x:f>COUNTIF('唯一词标签'!$Z$2:$Z$1441,D15)</x:f>
        <x:v>653</x:v>
      </x:c>
      <x:c r="F15" s="53"/>
      <x:c r="G15" s="44" t="str">
        <x:v>high</x:v>
      </x:c>
      <x:c r="H15" s="44" t="n">
        <x:f>COUNTIF('唯一词标签'!$U$2:$U$1441,G15)</x:f>
        <x:v>877</x:v>
      </x:c>
    </x:row>
    <x:row r="16">
      <x:c r="A16" s="44" t="str">
        <x:v>arch_support_flip_flops</x:v>
      </x:c>
      <x:c r="B16" s="44" t="n">
        <x:f>COUNTIF('唯一词标签'!$V$2:$V$1441,A16)</x:f>
        <x:v>21</x:v>
      </x:c>
      <x:c r="C16" s="53"/>
      <x:c r="D16" s="44" t="str">
        <x:v>partial_match</x:v>
      </x:c>
      <x:c r="E16" s="44" t="n">
        <x:f>COUNTIF('唯一词标签'!$Z$2:$Z$1441,D16)</x:f>
        <x:v>544</x:v>
      </x:c>
      <x:c r="F16" s="53"/>
      <x:c r="G16" s="44" t="str">
        <x:v>medium</x:v>
      </x:c>
      <x:c r="H16" s="44" t="n">
        <x:f>COUNTIF('唯一词标签'!$U$2:$U$1441,G16)</x:f>
        <x:v>514</x:v>
      </x:c>
    </x:row>
    <x:row r="17">
      <x:c r="A17" s="44" t="str">
        <x:v>womens_arch_support_flip_flops</x:v>
      </x:c>
      <x:c r="B17" s="44" t="n">
        <x:f>COUNTIF('唯一词标签'!$V$2:$V$1441,A17)</x:f>
        <x:v>20</x:v>
      </x:c>
      <x:c r="C17" s="53"/>
      <x:c r="D17" s="44" t="str">
        <x:v>mismatch</x:v>
      </x:c>
      <x:c r="E17" s="44" t="n">
        <x:f>COUNTIF('唯一词标签'!$Z$2:$Z$1441,D17)</x:f>
        <x:v>214</x:v>
      </x:c>
      <x:c r="F17" s="53"/>
      <x:c r="G17" s="44" t="str">
        <x:v>low</x:v>
      </x:c>
      <x:c r="H17" s="44" t="n">
        <x:f>COUNTIF('唯一词标签'!$U$2:$U$1441,G17)</x:f>
        <x:v>49</x:v>
      </x:c>
    </x:row>
    <x:row r="18">
      <x:c r="A18" s="44" t="str">
        <x:v>unclassified</x:v>
      </x:c>
      <x:c r="B18" s="44" t="n">
        <x:f>COUNTIF('唯一词标签'!$V$2:$V$1441,A18)</x:f>
        <x:v>14</x:v>
      </x:c>
      <x:c r="C18" s="53"/>
      <x:c r="D18" s="44" t="str">
        <x:v>unknown</x:v>
      </x:c>
      <x:c r="E18" s="44" t="n">
        <x:f>COUNTIF('唯一词标签'!$Z$2:$Z$1441,D18)</x:f>
        <x:v>29</x:v>
      </x:c>
      <x:c r="F18" s="53"/>
      <x:c r="G18" s="53"/>
      <x:c r="H18" s="53"/>
    </x:row>
    <x:row r="19">
      <x:c r="A19" s="44" t="str">
        <x:v>womens_beach_flip_flops</x:v>
      </x:c>
      <x:c r="B19" s="44" t="n">
        <x:f>COUNTIF('唯一词标签'!$V$2:$V$1441,A19)</x:f>
        <x:v>12</x:v>
      </x:c>
      <x:c r="C19" s="53"/>
      <x:c r="D19" s="44" t="str">
        <x:v>not_applicable</x:v>
      </x:c>
      <x:c r="E19" s="44" t="n">
        <x:f>COUNTIF('唯一词标签'!$Z$2:$Z$1441,D19)</x:f>
        <x:v>0</x:v>
      </x:c>
      <x:c r="F19" s="53"/>
      <x:c r="G19" s="53"/>
      <x:c r="H19" s="53"/>
    </x:row>
    <x:row r="20">
      <x:c r="A20" s="44" t="str">
        <x:v>womens_black_flip_flops</x:v>
      </x:c>
      <x:c r="B20" s="44" t="n">
        <x:f>COUNTIF('唯一词标签'!$V$2:$V$1441,A20)</x:f>
        <x:v>11</x:v>
      </x:c>
      <x:c r="C20" s="53"/>
      <x:c r="D20" s="53"/>
      <x:c r="E20" s="53"/>
      <x:c r="F20" s="53"/>
      <x:c r="G20" s="53"/>
      <x:c r="H20" s="53"/>
    </x:row>
    <x:row r="21">
      <x:c r="A21" s="44" t="str">
        <x:v>womens_flip_flops_color</x:v>
      </x:c>
      <x:c r="B21" s="44" t="n">
        <x:f>COUNTIF('唯一词标签'!$V$2:$V$1441,A21)</x:f>
        <x:v>9</x:v>
      </x:c>
      <x:c r="C21" s="53"/>
      <x:c r="D21" s="53"/>
      <x:c r="E21" s="53"/>
      <x:c r="F21" s="53"/>
      <x:c r="G21" s="53"/>
      <x:c r="H21" s="53"/>
    </x:row>
    <x:row r="22">
      <x:c r="A22" s="44" t="str">
        <x:v>womens_flip_flops_sized</x:v>
      </x:c>
      <x:c r="B22" s="44" t="n">
        <x:f>COUNTIF('唯一词标签'!$V$2:$V$1441,A22)</x:f>
        <x:v>7</x:v>
      </x:c>
      <x:c r="C22" s="53"/>
      <x:c r="D22" s="53"/>
      <x:c r="E22" s="53"/>
      <x:c r="F22" s="53"/>
      <x:c r="G22" s="53"/>
      <x:c r="H22" s="53"/>
    </x:row>
    <x:row r="23">
      <x:c r="A23" s="53"/>
      <x:c r="B23" s="53"/>
      <x:c r="C23" s="53"/>
      <x:c r="D23" s="53"/>
      <x:c r="E23" s="53"/>
      <x:c r="F23" s="53"/>
      <x:c r="G23" s="53"/>
      <x:c r="H23" s="53"/>
    </x:row>
    <x:row r="24">
      <x:c r="A24" s="50" t="str">
        <x:v>阶段边界：本文件保留 DeepSeek 已通过批次校验的原始标签；尚未应用最终的证据来源清理、医疗主张保护、字段归位及意图簇规范化。最终 JSONL/XLSX 可能调整这些标签。</x:v>
      </x:c>
      <x:c r="B24" s="50"/>
      <x:c r="C24" s="50"/>
      <x:c r="D24" s="50"/>
      <x:c r="E24" s="50"/>
      <x:c r="F24" s="50"/>
      <x:c r="G24" s="50"/>
      <x:c r="H24" s="50"/>
    </x:row>
    <x:row r="25">
      <x:c r="A25" s="50"/>
      <x:c r="B25" s="50"/>
      <x:c r="C25" s="50"/>
      <x:c r="D25" s="50"/>
      <x:c r="E25" s="50"/>
      <x:c r="F25" s="50"/>
      <x:c r="G25" s="50"/>
      <x:c r="H25" s="50"/>
    </x:row>
    <x:row r="26">
      <x:c r="A26" s="50"/>
      <x:c r="B26" s="50"/>
      <x:c r="C26" s="50"/>
      <x:c r="D26" s="50"/>
      <x:c r="E26" s="50"/>
      <x:c r="F26" s="50"/>
      <x:c r="G26" s="50"/>
      <x:c r="H26" s="50"/>
    </x:row>
  </x:sheetData>
  <x:mergeCells>
    <x:mergeCell ref="A1:H2"/>
    <x:mergeCell ref="A3:H3"/>
    <x:mergeCell ref="A24:H26"/>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34" hidden="0" customWidth="1"/>
    <x:col min="3" max="3" width="18" hidden="0" customWidth="1"/>
    <x:col min="4" max="4" width="12" hidden="0" customWidth="1"/>
    <x:col min="5" max="5" width="10" hidden="0" customWidth="1"/>
    <x:col min="6" max="6" width="24" hidden="0" customWidth="1"/>
    <x:col min="7" max="7" width="26" hidden="0" customWidth="1"/>
    <x:col min="8" max="8" width="24" hidden="0" customWidth="1"/>
    <x:col min="9" max="9" width="20" hidden="0" customWidth="1"/>
    <x:col min="10" max="10" width="24" hidden="0" customWidth="1"/>
    <x:col min="11" max="11" width="24" hidden="0" customWidth="1"/>
    <x:col min="12" max="12" width="22" hidden="0" customWidth="1"/>
    <x:col min="13" max="13" width="22" hidden="0" customWidth="1"/>
    <x:col min="14" max="14" width="24" hidden="0" customWidth="1"/>
    <x:col min="15" max="15" width="18" hidden="0" customWidth="1"/>
    <x:col min="16" max="16" width="24" hidden="0" customWidth="1"/>
    <x:col min="17" max="17" width="24" hidden="0" customWidth="1"/>
    <x:col min="18" max="18" width="48" hidden="0" customWidth="1"/>
    <x:col min="19" max="19" width="16" hidden="0" customWidth="1"/>
    <x:col min="20" max="20" width="20" hidden="0" customWidth="1"/>
    <x:col min="21" max="21" width="14" hidden="0" customWidth="1"/>
    <x:col min="22" max="22" width="32" hidden="0" customWidth="1"/>
    <x:col min="23" max="23" width="28" hidden="0" customWidth="1"/>
    <x:col min="24" max="24" width="80" hidden="0" customWidth="1"/>
    <x:col min="25" max="25" width="32" hidden="0" customWidth="1"/>
    <x:col min="26" max="26" width="16" hidden="0" customWidth="1"/>
    <x:col min="27" max="27" width="26" hidden="0" customWidth="1"/>
    <x:col min="28" max="28" width="16" hidden="0" customWidth="1"/>
    <x:col min="29" max="29" width="14" hidden="0" customWidth="1"/>
    <x:col min="30" max="30" width="14" hidden="0" customWidth="1"/>
    <x:col min="31" max="31" width="30" hidden="0" customWidth="1"/>
    <x:col min="32" max="32" width="34" hidden="0" customWidth="1"/>
    <x:col min="33" max="33" width="16" hidden="0" customWidth="1"/>
    <x:col min="34" max="34" width="10" hidden="0" customWidth="1"/>
    <x:col min="35" max="35" width="12" hidden="0" customWidth="1"/>
  </x:cols>
  <x:sheetData>
    <x:row r="1">
      <x:c r="A1" s="4" t="str">
        <x:v>source_term</x:v>
      </x:c>
      <x:c r="B1" s="4" t="str">
        <x:v>normalized_term</x:v>
      </x:c>
      <x:c r="C1" s="4" t="str">
        <x:v>term_id</x:v>
      </x:c>
      <x:c r="D1" s="4" t="str">
        <x:v>query_kind</x:v>
      </x:c>
      <x:c r="E1" s="4" t="str">
        <x:v>language</x:v>
      </x:c>
      <x:c r="F1" s="4" t="str">
        <x:v>primary_domain</x:v>
      </x:c>
      <x:c r="G1" s="4" t="str">
        <x:v>secondary_domain</x:v>
      </x:c>
      <x:c r="H1" s="4" t="str">
        <x:v>product_type</x:v>
      </x:c>
      <x:c r="I1" s="4" t="str">
        <x:v>audience_intent</x:v>
      </x:c>
      <x:c r="J1" s="4" t="str">
        <x:v>function_intent</x:v>
      </x:c>
      <x:c r="K1" s="4" t="str">
        <x:v>capability_intent</x:v>
      </x:c>
      <x:c r="L1" s="4" t="str">
        <x:v>event_intent</x:v>
      </x:c>
      <x:c r="M1" s="4" t="str">
        <x:v>location_intent</x:v>
      </x:c>
      <x:c r="N1" s="4" t="str">
        <x:v>body_need_intent</x:v>
      </x:c>
      <x:c r="O1" s="4" t="str">
        <x:v>time_intent</x:v>
      </x:c>
      <x:c r="P1" s="4" t="str">
        <x:v>substitute_intent</x:v>
      </x:c>
      <x:c r="Q1" s="4" t="str">
        <x:v>complement_intent</x:v>
      </x:c>
      <x:c r="R1" s="4" t="str">
        <x:v>latent_task</x:v>
      </x:c>
      <x:c r="S1" s="4" t="str">
        <x:v>intent_stage</x:v>
      </x:c>
      <x:c r="T1" s="4" t="str">
        <x:v>evidence_type</x:v>
      </x:c>
      <x:c r="U1" s="4" t="str">
        <x:v>confidence_level</x:v>
      </x:c>
      <x:c r="V1" s="4" t="str">
        <x:v>intent_cluster</x:v>
      </x:c>
      <x:c r="W1" s="4" t="str">
        <x:v>routing_action</x:v>
      </x:c>
      <x:c r="X1" s="4" t="str">
        <x:v>field_evidence</x:v>
      </x:c>
      <x:c r="Y1" s="4" t="str">
        <x:v>ambiguity_flags</x:v>
      </x:c>
      <x:c r="Z1" s="4" t="str">
        <x:v>asin_fit</x:v>
      </x:c>
      <x:c r="AA1" s="4" t="str">
        <x:v>asin_fit_evidence</x:v>
      </x:c>
      <x:c r="AB1" s="4" t="str">
        <x:v>review_status</x:v>
      </x:c>
      <x:c r="AC1" s="4" t="str">
        <x:v>schema_version</x:v>
      </x:c>
      <x:c r="AD1" s="4" t="str">
        <x:v>prompt_version</x:v>
      </x:c>
      <x:c r="AE1" s="4" t="str">
        <x:v>model_name</x:v>
      </x:c>
      <x:c r="AF1" s="4" t="str">
        <x:v>run_id</x:v>
      </x:c>
      <x:c r="AG1" s="4" t="str">
        <x:v>batch_id</x:v>
      </x:c>
      <x:c r="AH1" s="4" t="str">
        <x:v>phase</x:v>
      </x:c>
      <x:c r="AI1" s="4" t="str">
        <x:v>batch_index</x:v>
      </x:c>
    </x:row>
    <x:row r="2" ht="34" customHeight="1">
      <x:c r="A2" s="14" t="str">
        <x:v>joomra sandals for women</x:v>
      </x:c>
      <x:c r="B2" s="14" t="str">
        <x:v>joomra sandals for women</x:v>
      </x:c>
      <x:c r="C2" s="12" t="str">
        <x:v>04a78647a8104cf8</x:v>
      </x:c>
      <x:c r="D2" s="12" t="str">
        <x:v>keyword</x:v>
      </x:c>
      <x:c r="E2" s="12" t="str">
        <x:v>en</x:v>
      </x:c>
      <x:c r="F2" s="12" t="str">
        <x:v>clothing_shoes_jewelry</x:v>
      </x:c>
      <x:c r="G2" s="14" t="str"/>
      <x:c r="H2" s="14" t="str">
        <x:v>sandal</x:v>
      </x:c>
      <x:c r="I2" s="14" t="str">
        <x:v>women</x:v>
      </x:c>
      <x:c r="J2" s="14" t="str"/>
      <x:c r="K2" s="14" t="str"/>
      <x:c r="L2" s="14" t="str"/>
      <x:c r="M2" s="14" t="str"/>
      <x:c r="N2" s="14" t="str"/>
      <x:c r="O2" s="14" t="str"/>
      <x:c r="P2" s="14" t="str"/>
      <x:c r="Q2" s="14" t="str"/>
      <x:c r="R2" s="14" t="str">
        <x:v>用户正在搜索Joomra品牌的女士凉鞋，具备明确的品牌认知和购买意向。</x:v>
      </x:c>
      <x:c r="S2" s="12" t="str">
        <x:v>brand_harvest</x:v>
      </x:c>
      <x:c r="T2" s="14" t="str">
        <x:v>explicit | page_validated</x:v>
      </x:c>
      <x:c r="U2" s="12" t="str">
        <x:v>high</x:v>
      </x:c>
      <x:c r="V2" s="14" t="str">
        <x:v>joomra_womens_sandals</x:v>
      </x:c>
      <x:c r="W2" s="14" t="str">
        <x:v>cluster_route</x:v>
      </x:c>
      <x:c r="X2" s="14" t="str">
        <x:v>{"primary_domain":[{"value":"clothing_shoes_jewelry","evidence_type":"explicit","source_span":"sandals","fact_ids":[],"rationale":"Sandals are footwear."}],"product_type":[{"value":"sandal","evidence_type":"explicit","source_span":"sandals","fact_ids":[],"rationale":"Term explicitly requests sandals."},{"value":"flip_flop","evidence_type":"page_validated","source_span":"","fact_ids":["style_flip_flop"],"rationale":"Product is a flip flop/thong sandal, which falls under sandal category."}],"audience_intent":[{"value":"women","evidence_type":"explicit","source_span":"for women","fact_ids":[],"rationale":"Term explicitly targets women."},{"value":"women","evidence_type":"page_validated","source_span":"","fact_ids":["title_womens_flip_flop"],"rationale":"Product is a women's flip flop."}],"brand":[{"value":"joomra","evidence_type":"explicit","source_span":"joomra","fact_ids":[],"rationale":"搜索词明确包含品牌名称。"}]}</x:v>
      </x:c>
      <x:c r="Y2" s="14" t="str"/>
      <x:c r="Z2" s="12" t="str">
        <x:v>match</x:v>
      </x:c>
      <x:c r="AA2" s="14" t="str">
        <x:v>title_womens_flip_flop | style_flip_flop</x:v>
      </x:c>
      <x:c r="AB2" s="12" t="str">
        <x:v>accepted</x:v>
      </x:c>
      <x:c r="AC2" s="12" t="str">
        <x:v>1.0.0</x:v>
      </x:c>
      <x:c r="AD2" s="12" t="str">
        <x:v>1.0.0</x:v>
      </x:c>
      <x:c r="AE2" s="12" t="str">
        <x:v>deepseek/deepseek-v4-pro</x:v>
      </x:c>
      <x:c r="AF2" s="12" t="str">
        <x:v>aj2-y90-20260714T234810-0bea2f52</x:v>
      </x:c>
      <x:c r="AG2" s="12" t="str">
        <x:v>full-0001</x:v>
      </x:c>
      <x:c r="AH2" s="12" t="str">
        <x:v>full</x:v>
      </x:c>
      <x:c r="AI2" s="12" t="n">
        <x:v>1</x:v>
      </x:c>
    </x:row>
    <x:row r="3" ht="34" customHeight="1">
      <x:c r="A3" s="15" t="str">
        <x:v>flip flops rubber women</x:v>
      </x:c>
      <x:c r="B3" s="15" t="str">
        <x:v>flip flops rubber women</x:v>
      </x:c>
      <x:c r="C3" s="10" t="str">
        <x:v>0659fd4120774053</x:v>
      </x:c>
      <x:c r="D3" s="10" t="str">
        <x:v>keyword</x:v>
      </x:c>
      <x:c r="E3" s="10" t="str">
        <x:v>en</x:v>
      </x:c>
      <x:c r="F3" s="10" t="str">
        <x:v>clothing_shoes_jewelry</x:v>
      </x:c>
      <x:c r="G3" s="15" t="str"/>
      <x:c r="H3" s="15" t="str">
        <x:v>flip_flop</x:v>
      </x:c>
      <x:c r="I3" s="15" t="str">
        <x:v>women</x:v>
      </x:c>
      <x:c r="J3" s="15" t="str"/>
      <x:c r="K3" s="15" t="str">
        <x:v>rubber_material</x:v>
      </x:c>
      <x:c r="L3" s="15" t="str"/>
      <x:c r="M3" s="15" t="str"/>
      <x:c r="N3" s="15" t="str"/>
      <x:c r="O3" s="15" t="str"/>
      <x:c r="P3" s="15" t="str"/>
      <x:c r="Q3" s="15" t="str"/>
      <x:c r="R3" s="15" t="str">
        <x:v>女性用户想找一双橡胶材质的夹脚拖鞋。</x:v>
      </x:c>
      <x:c r="S3" s="10" t="str">
        <x:v>high_intent</x:v>
      </x:c>
      <x:c r="T3" s="15" t="str">
        <x:v>explicit | page_validated</x:v>
      </x:c>
      <x:c r="U3" s="10" t="str">
        <x:v>high</x:v>
      </x:c>
      <x:c r="V3" s="15" t="str">
        <x:v>womens_rubber_flip_flops</x:v>
      </x:c>
      <x:c r="W3" s="15" t="str">
        <x:v>listing_gap_review</x:v>
      </x:c>
      <x:c r="X3" s="15" t="str">
        <x:v>{"primary_domain":[{"value":"clothing_shoes_jewelry","evidence_type":"explicit","source_span":"flip flops","fact_ids":[],"rationale":"Flip flops are footwear."}],"product_type":[{"value":"flip_flop","evidence_type":"explicit","source_span":"flip flops","fact_ids":[],"rationale":"Term explicitly requests flip flops."},{"value":"flip_flop","evidence_type":"page_validated","source_span":"","fact_ids":["style_flip_flop"],"rationale":"Product page confirms Flip Flop type."}],"audience_intent":[{"value":"women","evidence_type":"explicit","source_span":"women","fact_ids":[],"rationale":"Term explicitly targets women."},{"value":"women","evidence_type":"page_validated","source_span":"","fact_ids":["title_womens_flip_flop"],"rationale":"Product is a women's flip flop."}],"capability_intent":[{"value":"rubber_material","evidence_type":"explicit","source_span":"rubber","fact_ids":[],"rationale":"Term explicitly requests rubber material."}],"material":[{"value":"eva","evidence_type":"page_validated","source_span":"","fact_ids":["material_eva"],"rationale":"Product outer material is EVA foam, not rubber; the explicit rubber request is not met."}]}</x:v>
      </x:c>
      <x:c r="Y3" s="15" t="str">
        <x:v>material_mismatch</x:v>
      </x:c>
      <x:c r="Z3" s="10" t="str">
        <x:v>partial_match</x:v>
      </x:c>
      <x:c r="AA3" s="15" t="str">
        <x:v>title_womens_flip_flop | style_flip_flop | material_eva</x:v>
      </x:c>
      <x:c r="AB3" s="10" t="str">
        <x:v>accepted</x:v>
      </x:c>
      <x:c r="AC3" s="10" t="str">
        <x:v>1.0.0</x:v>
      </x:c>
      <x:c r="AD3" s="10" t="str">
        <x:v>1.0.0</x:v>
      </x:c>
      <x:c r="AE3" s="10" t="str">
        <x:v>deepseek/deepseek-v4-pro</x:v>
      </x:c>
      <x:c r="AF3" s="10" t="str">
        <x:v>aj2-y90-20260714T234810-0bea2f52</x:v>
      </x:c>
      <x:c r="AG3" s="10" t="str">
        <x:v>full-0001</x:v>
      </x:c>
      <x:c r="AH3" s="10" t="str">
        <x:v>full</x:v>
      </x:c>
      <x:c r="AI3" s="10" t="n">
        <x:v>1</x:v>
      </x:c>
    </x:row>
    <x:row r="4" ht="34" customHeight="1">
      <x:c r="A4" s="16" t="str">
        <x:v>orthaheel sandals for women</x:v>
      </x:c>
      <x:c r="B4" s="16" t="str">
        <x:v>orthaheel sandals for women</x:v>
      </x:c>
      <x:c r="C4" s="13" t="str">
        <x:v>1aa99ac2f9deed76</x:v>
      </x:c>
      <x:c r="D4" s="13" t="str">
        <x:v>keyword</x:v>
      </x:c>
      <x:c r="E4" s="13" t="str">
        <x:v>en</x:v>
      </x:c>
      <x:c r="F4" s="13" t="str">
        <x:v>clothing_shoes_jewelry</x:v>
      </x:c>
      <x:c r="G4" s="16" t="str"/>
      <x:c r="H4" s="16" t="str">
        <x:v>sandal</x:v>
      </x:c>
      <x:c r="I4" s="16" t="str">
        <x:v>women</x:v>
      </x:c>
      <x:c r="J4" s="16" t="str">
        <x:v>orthotic_support</x:v>
      </x:c>
      <x:c r="K4" s="16" t="str">
        <x:v>arch_support | heel_support</x:v>
      </x:c>
      <x:c r="L4" s="16" t="str"/>
      <x:c r="M4" s="16" t="str"/>
      <x:c r="N4" s="16" t="str">
        <x:v>foot_pain_relief</x:v>
      </x:c>
      <x:c r="O4" s="16" t="str"/>
      <x:c r="P4" s="16" t="str">
        <x:v>orthaheel_brand</x:v>
      </x:c>
      <x:c r="Q4" s="16" t="str"/>
      <x:c r="R4" s="16" t="str">
        <x:v>女性用户想找具有矫形支撑功能的凉鞋，可能是搜索Orthaheel品牌或需要缓解足部疼痛的产品。</x:v>
      </x:c>
      <x:c r="S4" s="13" t="str">
        <x:v>consideration</x:v>
      </x:c>
      <x:c r="T4" s="16" t="str">
        <x:v>explicit | inferred</x:v>
      </x:c>
      <x:c r="U4" s="13" t="str">
        <x:v>medium</x:v>
      </x:c>
      <x:c r="V4" s="16" t="str">
        <x:v>orthaheel_womens_sandals</x:v>
      </x:c>
      <x:c r="W4" s="16" t="str">
        <x:v>performance_observation</x:v>
      </x:c>
      <x:c r="X4" s="16" t="str">
        <x:v>{"primary_domain":[{"value":"clothing_shoes_jewelry","evidence_type":"explicit","source_span":"sandals","fact_ids":[],"rationale":"Sandals are footwear."}],"product_type":[{"value":"sandal","evidence_type":"explicit","source_span":"sandals","fact_ids":[],"rationale":"Term explicitly requests sandals."},{"value":"flip_flop","evidence_type":"page_validated","source_span":"","fact_ids":["style_flip_flop"],"rationale":"Product is a flip flop/thong sandal, falling under sandal category."}],"audience_intent":[{"value":"women","evidence_type":"explicit","source_span":"for women","fact_ids":[],"rationale":"Term explicitly targets women."},{"value":"women","evidence_type":"page_validated","source_span":"","fact_ids":["title_womens_flip_flop"],"rationale":"Product is a women's flip flop."}],"function_intent":[{"value":"orthotic_support","evidence_type":"inferred","source_span":"orthaheel","fact_ids":[],"rationale":"Orthaheel implies orthotic/heel support, likely for medical or therapeutic foot care."}],"capability_intent":[{"value":"arch_support","evidence_type":"page_validated","source_span":"","fact_ids":["arch_support"],"rationale":"Product provides ergonomic arch support, partially meeting the orthotic need."},{"value":"heel_support","evidence_type":"inferred","source_span":"orthaheel","fact_ids":[],"rationale":"Orthaheel specifically references heel-area orthotic support."},{"value":"arch_support","evidence_type":"inferred","source_span":"","fact_ids":[],"rationale":"该能力由搜索词表达的任务或问题推断；页面事实仅用于验证商品承接。"}],"body_need_intent":[{"value":"foot_pain_relief","evidence_type":"inferred","source_span":"orthaheel","fact_ids":[],"rationale":"Orthotic/orthaheel products are typically sought for foot pain relief, though the product does not make medical claims."}],"substitute_intent":[{"value":"orthaheel_brand","evidence_type":"explicit","source_span":"orthaheel","fact_ids":[],"rationale":"Orthaheel is a known orthotic footwear brand (Vionic/Orthaheel); user may be searching for that specific brand."}]}</x:v>
      </x:c>
      <x:c r="Y4" s="16" t="str">
        <x:v>brand_or_descriptor_ambiguity | medical_claim_not_supported</x:v>
      </x:c>
      <x:c r="Z4" s="13" t="str">
        <x:v>partial_match</x:v>
      </x:c>
      <x:c r="AA4" s="16" t="str">
        <x:v>title_womens_flip_flop | arch_support | padded_cushioning</x:v>
      </x:c>
      <x:c r="AB4" s="13" t="str">
        <x:v>accepted</x:v>
      </x:c>
      <x:c r="AC4" s="13" t="str">
        <x:v>1.0.0</x:v>
      </x:c>
      <x:c r="AD4" s="13" t="str">
        <x:v>1.0.0</x:v>
      </x:c>
      <x:c r="AE4" s="13" t="str">
        <x:v>deepseek/deepseek-v4-pro</x:v>
      </x:c>
      <x:c r="AF4" s="13" t="str">
        <x:v>aj2-y90-20260714T234810-0bea2f52</x:v>
      </x:c>
      <x:c r="AG4" s="13" t="str">
        <x:v>full-0001</x:v>
      </x:c>
      <x:c r="AH4" s="13" t="str">
        <x:v>full</x:v>
      </x:c>
      <x:c r="AI4" s="13" t="n">
        <x:v>1</x:v>
      </x:c>
    </x:row>
    <x:row r="5" ht="34" customHeight="1">
      <x:c r="A5" s="15" t="str">
        <x:v>womens size 8 flip flops water proof</x:v>
      </x:c>
      <x:c r="B5" s="15" t="str">
        <x:v>womens size 8 flip flops water proof</x:v>
      </x:c>
      <x:c r="C5" s="10" t="str">
        <x:v>1d4eb39a05db5fb2</x:v>
      </x:c>
      <x:c r="D5" s="10" t="str">
        <x:v>keyword</x:v>
      </x:c>
      <x:c r="E5" s="10" t="str">
        <x:v>en</x:v>
      </x:c>
      <x:c r="F5" s="10" t="str">
        <x:v>clothing_shoes_jewelry</x:v>
      </x:c>
      <x:c r="G5" s="15" t="str"/>
      <x:c r="H5" s="15" t="str">
        <x:v>flip_flop</x:v>
      </x:c>
      <x:c r="I5" s="15" t="str">
        <x:v>women</x:v>
      </x:c>
      <x:c r="J5" s="15" t="str"/>
      <x:c r="K5" s="15" t="str">
        <x:v>waterproof</x:v>
      </x:c>
      <x:c r="L5" s="15" t="str"/>
      <x:c r="M5" s="15" t="str"/>
      <x:c r="N5" s="15" t="str"/>
      <x:c r="O5" s="15" t="str"/>
      <x:c r="P5" s="15" t="str"/>
      <x:c r="Q5" s="15" t="str"/>
      <x:c r="R5" s="15" t="str">
        <x:v>女性用户想找一双美国8码的防水夹脚拖鞋。</x:v>
      </x:c>
      <x:c r="S5" s="10" t="str">
        <x:v>high_intent</x:v>
      </x:c>
      <x:c r="T5" s="15" t="str">
        <x:v>explicit | page_validated</x:v>
      </x:c>
      <x:c r="U5" s="10" t="str">
        <x:v>high</x:v>
      </x:c>
      <x:c r="V5" s="15" t="str">
        <x:v>womens_size_8_waterproof_flip_flops</x:v>
      </x:c>
      <x:c r="W5" s="15" t="str">
        <x:v>listing_gap_review</x:v>
      </x:c>
      <x:c r="X5" s="15" t="str">
        <x:v>{"primary_domain":[{"value":"clothing_shoes_jewelry","evidence_type":"explicit","source_span":"flip flops","fact_ids":[],"rationale":"Flip flops are footwear."}],"product_type":[{"value":"flip_flop","evidence_type":"explicit","source_span":"flip flops","fact_ids":[],"rationale":"Term explicitly requests flip flops."},{"value":"flip_flop","evidence_type":"page_validated","source_span":"","fact_ids":["style_flip_flop"],"rationale":"Product page confirms Flip Flop type."}],"audience_intent":[{"value":"women","evidence_type":"explicit","source_span":"womens","fact_ids":[],"rationale":"Term explicitly targets women."},{"value":"women","evidence_type":"page_validated","source_span":"","fact_ids":["title_womens_flip_flop"],"rationale":"Product is a women's flip flop."}],"capability_intent":[{"value":"waterproof","evidence_type":"explicit","source_span":"water proof","fact_ids":[],"rationale":"Term explicitly requests waterproof capability."}],"size":[{"value":"us_8","evidence_type":"explicit","source_span":"size 8","fact_ids":[],"rationale":"Term explicitly requests size 8."},{"value":"us_8","evidence_type":"page_validated","source_span":"","fact_ids":["sizes_6_11"],"rationale":"Size 8 is within the available range of 6-11."}]}</x:v>
      </x:c>
      <x:c r="Y5" s="15" t="str">
        <x:v>waterproof_not_evidenced</x:v>
      </x:c>
      <x:c r="Z5" s="10" t="str">
        <x:v>partial_match</x:v>
      </x:c>
      <x:c r="AA5" s="15" t="str">
        <x:v>title_womens_flip_flop | style_flip_flop | sizes_6_11</x:v>
      </x:c>
      <x:c r="AB5" s="10" t="str">
        <x:v>accepted</x:v>
      </x:c>
      <x:c r="AC5" s="10" t="str">
        <x:v>1.0.0</x:v>
      </x:c>
      <x:c r="AD5" s="10" t="str">
        <x:v>1.0.0</x:v>
      </x:c>
      <x:c r="AE5" s="10" t="str">
        <x:v>deepseek/deepseek-v4-pro</x:v>
      </x:c>
      <x:c r="AF5" s="10" t="str">
        <x:v>aj2-y90-20260714T234810-0bea2f52</x:v>
      </x:c>
      <x:c r="AG5" s="10" t="str">
        <x:v>full-0001</x:v>
      </x:c>
      <x:c r="AH5" s="10" t="str">
        <x:v>full</x:v>
      </x:c>
      <x:c r="AI5" s="10" t="n">
        <x:v>1</x:v>
      </x:c>
    </x:row>
    <x:row r="6" ht="34" customHeight="1">
      <x:c r="A6" s="16" t="str">
        <x:v>black thong sandals</x:v>
      </x:c>
      <x:c r="B6" s="16" t="str">
        <x:v>black thong sandals</x:v>
      </x:c>
      <x:c r="C6" s="13" t="str">
        <x:v>2d77e44fb454ca1b</x:v>
      </x:c>
      <x:c r="D6" s="13" t="str">
        <x:v>keyword</x:v>
      </x:c>
      <x:c r="E6" s="13" t="str">
        <x:v>en</x:v>
      </x:c>
      <x:c r="F6" s="13" t="str">
        <x:v>clothing_shoes_jewelry</x:v>
      </x:c>
      <x:c r="G6" s="16" t="str"/>
      <x:c r="H6" s="16" t="str">
        <x:v>thong_sandal | flip_flop</x:v>
      </x:c>
      <x:c r="I6" s="16" t="str">
        <x:v>unknown</x:v>
      </x:c>
      <x:c r="J6" s="16" t="str"/>
      <x:c r="K6" s="16" t="str"/>
      <x:c r="L6" s="16" t="str"/>
      <x:c r="M6" s="16" t="str"/>
      <x:c r="N6" s="16" t="str"/>
      <x:c r="O6" s="16" t="str"/>
      <x:c r="P6" s="16" t="str"/>
      <x:c r="Q6" s="16" t="str"/>
      <x:c r="R6" s="16" t="str">
        <x:v>用户想找一双黑色的人字拖或夹脚凉鞋。</x:v>
      </x:c>
      <x:c r="S6" s="13" t="str">
        <x:v>high_intent</x:v>
      </x:c>
      <x:c r="T6" s="16" t="str">
        <x:v>explicit | page_validated</x:v>
      </x:c>
      <x:c r="U6" s="13" t="str">
        <x:v>high</x:v>
      </x:c>
      <x:c r="V6" s="16" t="str">
        <x:v>black_thong_sandals</x:v>
      </x:c>
      <x:c r="W6" s="16" t="str">
        <x:v>cluster_route</x:v>
      </x:c>
      <x:c r="X6" s="16" t="str">
        <x:v>{"primary_domain":[{"value":"clothing_shoes_jewelry","evidence_type":"explicit","source_span":"sandals","fact_ids":[],"rationale":"Sandals are footwear."}],"product_type":[{"value":"thong_sandal","evidence_type":"explicit","source_span":"thong sandals","fact_ids":[],"rationale":"Term explicitly requests thong sandals."},{"value":"flip_flop","evidence_type":"page_validated","source_span":"","fact_ids":["style_thong","style_flip_flop"],"rationale":"Product is a thong-strap flip flop, which matches the thong sandal category."},{"value":"thong_sandal","evidence_type":"page_validated","source_span":"","fact_ids":["style_thong","style_flip_flop"],"rationale":"该槽位与商品基准中的明示页面事实一致。"},{"value":"flip_flop","evidence_type":"inferred","source_span":"","fact_ids":[],"rationale":"该能力由搜索词表达的任务或问题推断；页面事实仅用于验证商品承接。"}],"color":[{"value":"black","evidence_type":"explicit","source_span":"black","fact_ids":[],"rationale":"该颜色在商品页面可见颜色选择中得到明确支持。"},{"value":"black","evidence_type":"page_validated","source_span":"","fact_ids":["colors_visible"],"rationale":"该颜色在商品页面可见颜色选择中得到明确支持。"}],"audience_intent":[{"value":"unknown","evidence_type":"inferred","source_span":"","fact_ids":[],"rationale":"该值由搜索词整体语义推断，未作为页面明示属性。"}]}</x:v>
      </x:c>
      <x:c r="Y6" s="16" t="str"/>
      <x:c r="Z6" s="13" t="str">
        <x:v>match</x:v>
      </x:c>
      <x:c r="AA6" s="16" t="str">
        <x:v>style_thong | style_flip_flop | colors_visible</x:v>
      </x:c>
      <x:c r="AB6" s="13" t="str">
        <x:v>accepted</x:v>
      </x:c>
      <x:c r="AC6" s="13" t="str">
        <x:v>1.0.0</x:v>
      </x:c>
      <x:c r="AD6" s="13" t="str">
        <x:v>1.0.0</x:v>
      </x:c>
      <x:c r="AE6" s="13" t="str">
        <x:v>deepseek/deepseek-v4-pro</x:v>
      </x:c>
      <x:c r="AF6" s="13" t="str">
        <x:v>aj2-y90-20260714T234810-0bea2f52</x:v>
      </x:c>
      <x:c r="AG6" s="13" t="str">
        <x:v>full-0001</x:v>
      </x:c>
      <x:c r="AH6" s="13" t="str">
        <x:v>full</x:v>
      </x:c>
      <x:c r="AI6" s="13" t="n">
        <x:v>1</x:v>
      </x:c>
    </x:row>
    <x:row r="7" ht="34" customHeight="1">
      <x:c r="A7" s="15" t="str">
        <x:v>comfortable beach flip flops for women</x:v>
      </x:c>
      <x:c r="B7" s="15" t="str">
        <x:v>comfortable beach flip flops for women</x:v>
      </x:c>
      <x:c r="C7" s="10" t="str">
        <x:v>31f96c202026e0ef</x:v>
      </x:c>
      <x:c r="D7" s="10" t="str">
        <x:v>keyword</x:v>
      </x:c>
      <x:c r="E7" s="10" t="str">
        <x:v>en</x:v>
      </x:c>
      <x:c r="F7" s="10" t="str">
        <x:v>clothing_shoes_jewelry</x:v>
      </x:c>
      <x:c r="G7" s="15" t="str">
        <x:v>sports_outdoors</x:v>
      </x:c>
      <x:c r="H7" s="15" t="str">
        <x:v>flip_flop</x:v>
      </x:c>
      <x:c r="I7" s="15" t="str">
        <x:v>women</x:v>
      </x:c>
      <x:c r="J7" s="15" t="str">
        <x:v>comfort</x:v>
      </x:c>
      <x:c r="K7" s="15" t="str"/>
      <x:c r="L7" s="15" t="str">
        <x:v>beach</x:v>
      </x:c>
      <x:c r="M7" s="15" t="str">
        <x:v>beach | outdoor</x:v>
      </x:c>
      <x:c r="N7" s="15" t="str"/>
      <x:c r="O7" s="15" t="str"/>
      <x:c r="P7" s="15" t="str"/>
      <x:c r="Q7" s="15" t="str"/>
      <x:c r="R7" s="15" t="str">
        <x:v>女性用户想找一双适合海滩穿着且舒适的夹脚拖鞋。</x:v>
      </x:c>
      <x:c r="S7" s="10" t="str">
        <x:v>high_intent</x:v>
      </x:c>
      <x:c r="T7" s="15" t="str">
        <x:v>explicit | page_validated</x:v>
      </x:c>
      <x:c r="U7" s="10" t="str">
        <x:v>high</x:v>
      </x:c>
      <x:c r="V7" s="15" t="str">
        <x:v>womens_comfort_beach_flip_flops</x:v>
      </x:c>
      <x:c r="W7" s="15" t="str">
        <x:v>cluster_route</x:v>
      </x:c>
      <x:c r="X7" s="15" t="str">
        <x:v>{"primary_domain":[{"value":"clothing_shoes_jewelry","evidence_type":"explicit","source_span":"flip flops","fact_ids":[],"rationale":"Flip flops are footwear."}],"secondary_domain":[{"value":"sports_outdoors","evidence_type":"explicit","source_span":"beach","fact_ids":[],"rationale":"Beach is an outdoor recreational activity."}],"product_type":[{"value":"flip_flop","evidence_type":"explicit","source_span":"flip flops","fact_ids":[],"rationale":"Term explicitly requests flip flops."},{"value":"flip_flop","evidence_type":"page_validated","source_span":"","fact_ids":["style_flip_flop"],"rationale":"Product page confirms Flip Flop type."}],"audience_intent":[{"value":"women","evidence_type":"explicit","source_span":"for women","fact_ids":[],"rationale":"Term explicitly targets women."},{"value":"women","evidence_type":"page_validated","source_span":"","fact_ids":["title_womens_flip_flop"],"rationale":"Product is a women's flip flop."}],"function_intent":[{"value":"comfort","evidence_type":"explicit","source_span":"comfortable","fact_ids":[],"rationale":"Term explicitly requests comfort."},{"value":"comfort","evidence_type":"page_validated","source_span":"","fact_ids":["arch_support","padded_cushioning","soft_toe_post"],"rationale":"Product features arch support, padded cushioning, and soft toe post for comfort."}],"event_intent":[{"value":"beach","evidence_type":"explicit","source_span":"beach","fact_ids":[],"rationale":"Term explicitly mentions beach as the use context."}],"location_intent":[{"value":"beach","evidence_type":"explicit","source_span":"beach","fact_ids":[],"rationale":"Beach is the intended place of use."},{"value":"outdoor","evidence_type":"page_validated","source_span":"","fact_ids":["style_outdoor"],"rationale":"Product lifestyle is outdoor, suitable for beach use."},{"value":"outdoor","evidence_type":"inferred","source_span":"","fact_ids":[],"rationale":"该能力由搜索词表达的任务或问题推断；页面事实仅用于验证商品承接。"}]}</x:v>
      </x:c>
      <x:c r="Y7" s="15" t="str"/>
      <x:c r="Z7" s="10" t="str">
        <x:v>match</x:v>
      </x:c>
      <x:c r="AA7" s="15" t="str">
        <x:v>title_womens_flip_flop | style_flip_flop | style_outdoor | arch_support | padded_cushioning</x:v>
      </x:c>
      <x:c r="AB7" s="10" t="str">
        <x:v>accepted</x:v>
      </x:c>
      <x:c r="AC7" s="10" t="str">
        <x:v>1.0.0</x:v>
      </x:c>
      <x:c r="AD7" s="10" t="str">
        <x:v>1.0.0</x:v>
      </x:c>
      <x:c r="AE7" s="10" t="str">
        <x:v>deepseek/deepseek-v4-pro</x:v>
      </x:c>
      <x:c r="AF7" s="10" t="str">
        <x:v>aj2-y90-20260714T234810-0bea2f52</x:v>
      </x:c>
      <x:c r="AG7" s="10" t="str">
        <x:v>full-0001</x:v>
      </x:c>
      <x:c r="AH7" s="10" t="str">
        <x:v>full</x:v>
      </x:c>
      <x:c r="AI7" s="10" t="n">
        <x:v>1</x:v>
      </x:c>
    </x:row>
    <x:row r="8" ht="34" customHeight="1">
      <x:c r="A8" s="16" t="str">
        <x:v>hot pink flip flop sandals</x:v>
      </x:c>
      <x:c r="B8" s="16" t="str">
        <x:v>hot pink flip flop sandals</x:v>
      </x:c>
      <x:c r="C8" s="13" t="str">
        <x:v>3ff19b4feb5b720f</x:v>
      </x:c>
      <x:c r="D8" s="13" t="str">
        <x:v>keyword</x:v>
      </x:c>
      <x:c r="E8" s="13" t="str">
        <x:v>en</x:v>
      </x:c>
      <x:c r="F8" s="13" t="str">
        <x:v>clothing_shoes_jewelry</x:v>
      </x:c>
      <x:c r="G8" s="16" t="str"/>
      <x:c r="H8" s="16" t="str">
        <x:v>flip_flop | sandal</x:v>
      </x:c>
      <x:c r="I8" s="16" t="str">
        <x:v>unknown</x:v>
      </x:c>
      <x:c r="J8" s="16" t="str"/>
      <x:c r="K8" s="16" t="str"/>
      <x:c r="L8" s="16" t="str"/>
      <x:c r="M8" s="16" t="str"/>
      <x:c r="N8" s="16" t="str"/>
      <x:c r="O8" s="16" t="str"/>
      <x:c r="P8" s="16" t="str"/>
      <x:c r="Q8" s="16" t="str"/>
      <x:c r="R8" s="16" t="str">
        <x:v>用户想找一双亮粉色的夹脚拖鞋或凉鞋。</x:v>
      </x:c>
      <x:c r="S8" s="13" t="str">
        <x:v>high_intent</x:v>
      </x:c>
      <x:c r="T8" s="16" t="str">
        <x:v>explicit | page_validated</x:v>
      </x:c>
      <x:c r="U8" s="13" t="str">
        <x:v>high</x:v>
      </x:c>
      <x:c r="V8" s="16" t="str">
        <x:v>hot_pink_flip_flop_sandals</x:v>
      </x:c>
      <x:c r="W8" s="16" t="str">
        <x:v>cluster_route</x:v>
      </x:c>
      <x:c r="X8" s="16" t="str">
        <x:v>{"primary_domain":[{"value":"clothing_shoes_jewelry","evidence_type":"explicit","source_span":"flip flop sandals","fact_ids":[],"rationale":"Footwear products belong to clothing_shoes_jewelry."}],"product_type":[{"value":"flip_flop","evidence_type":"explicit","source_span":"flip flop","fact_ids":[],"rationale":"Term explicitly mentions flip flop."},{"value":"flip_flop","evidence_type":"page_validated","source_span":"","fact_ids":["style_flip_flop"],"rationale":"Product is a Flip Flop."},{"value":"sandal","evidence_type":"explicit","source_span":"sandals","fact_ids":[],"rationale":"Term also mentions sandals."}],"color":[{"value":"hot_pink","evidence_type":"explicit","source_span":"hot pink","fact_ids":[],"rationale":"Term explicitly requests hot pink."},{"value":"pink_mauve","evidence_type":"inferred","source_span":"","fact_ids":[],"rationale":"这是搜索词中的颜色约束，但商品页面基准未确认该具体颜色。"}],"audience_intent":[{"value":"unknown","evidence_type":"inferred","source_span":"","fact_ids":[],"rationale":"该值由搜索词整体语义推断，未作为页面明示属性。"}]}</x:v>
      </x:c>
      <x:c r="Y8" s="16" t="str">
        <x:v>color_shade_variant</x:v>
      </x:c>
      <x:c r="Z8" s="13" t="str">
        <x:v>match</x:v>
      </x:c>
      <x:c r="AA8" s="16" t="str">
        <x:v>style_flip_flop | colors_visible</x:v>
      </x:c>
      <x:c r="AB8" s="13" t="str">
        <x:v>accepted</x:v>
      </x:c>
      <x:c r="AC8" s="13" t="str">
        <x:v>1.0.0</x:v>
      </x:c>
      <x:c r="AD8" s="13" t="str">
        <x:v>1.0.0</x:v>
      </x:c>
      <x:c r="AE8" s="13" t="str">
        <x:v>deepseek/deepseek-v4-pro</x:v>
      </x:c>
      <x:c r="AF8" s="13" t="str">
        <x:v>aj2-y90-20260714T234810-0bea2f52</x:v>
      </x:c>
      <x:c r="AG8" s="13" t="str">
        <x:v>full-0001</x:v>
      </x:c>
      <x:c r="AH8" s="13" t="str">
        <x:v>full</x:v>
      </x:c>
      <x:c r="AI8" s="13" t="n">
        <x:v>1</x:v>
      </x:c>
    </x:row>
    <x:row r="9" ht="34" customHeight="1">
      <x:c r="A9" s="15" t="str">
        <x:v>white flip flops comfy</x:v>
      </x:c>
      <x:c r="B9" s="15" t="str">
        <x:v>white flip flops comfy</x:v>
      </x:c>
      <x:c r="C9" s="10" t="str">
        <x:v>43e8205f021444f4</x:v>
      </x:c>
      <x:c r="D9" s="10" t="str">
        <x:v>keyword</x:v>
      </x:c>
      <x:c r="E9" s="10" t="str">
        <x:v>en</x:v>
      </x:c>
      <x:c r="F9" s="10" t="str">
        <x:v>clothing_shoes_jewelry</x:v>
      </x:c>
      <x:c r="G9" s="15" t="str"/>
      <x:c r="H9" s="15" t="str">
        <x:v>flip_flop</x:v>
      </x:c>
      <x:c r="I9" s="15" t="str">
        <x:v>unknown</x:v>
      </x:c>
      <x:c r="J9" s="15" t="str">
        <x:v>comfort</x:v>
      </x:c>
      <x:c r="K9" s="15" t="str"/>
      <x:c r="L9" s="15" t="str"/>
      <x:c r="M9" s="15" t="str"/>
      <x:c r="N9" s="15" t="str"/>
      <x:c r="O9" s="15" t="str"/>
      <x:c r="P9" s="15" t="str"/>
      <x:c r="Q9" s="15" t="str"/>
      <x:c r="R9" s="15" t="str">
        <x:v>用户想找一双舒适好穿的白色夹脚拖鞋。</x:v>
      </x:c>
      <x:c r="S9" s="10" t="str">
        <x:v>high_intent</x:v>
      </x:c>
      <x:c r="T9" s="15" t="str">
        <x:v>explicit | page_validated</x:v>
      </x:c>
      <x:c r="U9" s="10" t="str">
        <x:v>high</x:v>
      </x:c>
      <x:c r="V9" s="15" t="str">
        <x:v>white_comfort_flip_flops</x:v>
      </x:c>
      <x:c r="W9" s="15" t="str">
        <x:v>cluster_route</x:v>
      </x:c>
      <x:c r="X9" s="15" t="str">
        <x:v>{"primary_domain":[{"value":"clothing_shoes_jewelry","evidence_type":"explicit","source_span":"flip flops","fact_ids":[],"rationale":"Flip flops are footwear."}],"product_type":[{"value":"flip_flop","evidence_type":"explicit","source_span":"flip flops","fact_ids":[],"rationale":"Term explicitly requests flip flops."},{"value":"flip_flop","evidence_type":"page_validated","source_span":"","fact_ids":["style_flip_flop"],"rationale":"Product page confirms Flip Flop type."}],"function_intent":[{"value":"comfort","evidence_type":"explicit","source_span":"comfy","fact_ids":[],"rationale":"Comfy is a colloquial explicit request for comfort."},{"value":"comfort","evidence_type":"page_validated","source_span":"","fact_ids":["arch_support","padded_cushioning","soft_toe_post"],"rationale":"Product features ergonomic arch support, padded cushioning, and soft toe post for comfort."},{"value":"comfort","evidence_type":"inferred","source_span":"","fact_ids":[],"rationale":"该能力由搜索词表达的任务或问题推断；页面事实仅用于验证商品承接。"}],"color":[{"value":"white","evidence_type":"explicit","source_span":"white","fact_ids":[],"rationale":"该颜色在商品页面可见颜色选择中得到明确支持。"},{"value":"white","evidence_type":"page_validated","source_span":"","fact_ids":["colors_visible"],"rationale":"该颜色在商品页面可见颜色选择中得到明确支持。"}],"audience_intent":[{"value":"unknown","evidence_type":"inferred","source_span":"","fact_ids":[],"rationale":"该值由搜索词整体语义推断，未作为页面明示属性。"}]}</x:v>
      </x:c>
      <x:c r="Y9" s="15" t="str"/>
      <x:c r="Z9" s="10" t="str">
        <x:v>match</x:v>
      </x:c>
      <x:c r="AA9" s="15" t="str">
        <x:v>style_flip_flop | colors_visible | arch_support | padded_cushioning | soft_toe_post</x:v>
      </x:c>
      <x:c r="AB9" s="10" t="str">
        <x:v>accepted</x:v>
      </x:c>
      <x:c r="AC9" s="10" t="str">
        <x:v>1.0.0</x:v>
      </x:c>
      <x:c r="AD9" s="10" t="str">
        <x:v>1.0.0</x:v>
      </x:c>
      <x:c r="AE9" s="10" t="str">
        <x:v>deepseek/deepseek-v4-pro</x:v>
      </x:c>
      <x:c r="AF9" s="10" t="str">
        <x:v>aj2-y90-20260714T234810-0bea2f52</x:v>
      </x:c>
      <x:c r="AG9" s="10" t="str">
        <x:v>full-0001</x:v>
      </x:c>
      <x:c r="AH9" s="10" t="str">
        <x:v>full</x:v>
      </x:c>
      <x:c r="AI9" s="10" t="n">
        <x:v>1</x:v>
      </x:c>
    </x:row>
    <x:row r="10" ht="34" customHeight="1">
      <x:c r="A10" s="16" t="str">
        <x:v>white flip flops women arch support</x:v>
      </x:c>
      <x:c r="B10" s="16" t="str">
        <x:v>white flip flops women arch support</x:v>
      </x:c>
      <x:c r="C10" s="13" t="str">
        <x:v>4dc9ec02fd78cbd5</x:v>
      </x:c>
      <x:c r="D10" s="13" t="str">
        <x:v>keyword</x:v>
      </x:c>
      <x:c r="E10" s="13" t="str">
        <x:v>en</x:v>
      </x:c>
      <x:c r="F10" s="13" t="str">
        <x:v>clothing_shoes_jewelry</x:v>
      </x:c>
      <x:c r="G10" s="16" t="str"/>
      <x:c r="H10" s="16" t="str">
        <x:v>flip_flop</x:v>
      </x:c>
      <x:c r="I10" s="16" t="str">
        <x:v>women</x:v>
      </x:c>
      <x:c r="J10" s="16" t="str"/>
      <x:c r="K10" s="16" t="str">
        <x:v>arch_support</x:v>
      </x:c>
      <x:c r="L10" s="16" t="str"/>
      <x:c r="M10" s="16" t="str"/>
      <x:c r="N10" s="16" t="str">
        <x:v>arch_support</x:v>
      </x:c>
      <x:c r="O10" s="16" t="str"/>
      <x:c r="P10" s="16" t="str"/>
      <x:c r="Q10" s="16" t="str"/>
      <x:c r="R10" s="16" t="str">
        <x:v>女性用户想找一双白色且具有足弓支撑功能的夹脚拖鞋。</x:v>
      </x:c>
      <x:c r="S10" s="13" t="str">
        <x:v>high_intent</x:v>
      </x:c>
      <x:c r="T10" s="16" t="str">
        <x:v>explicit | page_validated</x:v>
      </x:c>
      <x:c r="U10" s="13" t="str">
        <x:v>high</x:v>
      </x:c>
      <x:c r="V10" s="16" t="str">
        <x:v>womens_white_arch_support_flip_flops</x:v>
      </x:c>
      <x:c r="W10" s="16" t="str">
        <x:v>cluster_route</x:v>
      </x:c>
      <x:c r="X10" s="16" t="str">
        <x:v>{"primary_domain":[{"value":"clothing_shoes_jewelry","evidence_type":"explicit","source_span":"flip flops","fact_ids":[],"rationale":"Flip flops are footwear."}],"product_type":[{"value":"flip_flop","evidence_type":"explicit","source_span":"flip flops","fact_ids":[],"rationale":"Term explicitly requests flip flops."},{"value":"flip_flop","evidence_type":"page_validated","source_span":"","fact_ids":["style_flip_flop"],"rationale":"Product page confirms Flip Flop type."}],"audience_intent":[{"value":"women","evidence_type":"explicit","source_span":"women","fact_ids":[],"rationale":"Term explicitly targets women."},{"value":"women","evidence_type":"page_validated","source_span":"","fact_ids":["title_womens_flip_flop"],"rationale":"Product is a women's flip flop."}],"capability_intent":[{"value":"arch_support","evidence_type":"explicit","source_span":"arch support","fact_ids":[],"rationale":"Term explicitly requests arch support."},{"value":"arch_support","evidence_type":"page_validated","source_span":"","fact_ids":["arch_support"],"rationale":"Product provides ergonomic arch support and proper alignment."}],"color":[{"value":"white","evidence_type":"explicit","source_span":"white","fact_ids":[],"rationale":"该颜色在商品页面可见颜色选择中得到明确支持。"},{"value":"white","evidence_type":"page_validated","source_span":"","fact_ids":["colors_visible"],"rationale":"该颜色在商品页面可见颜色选择中得到明确支持。"}]}</x:v>
      </x:c>
      <x:c r="Y10" s="16" t="str"/>
      <x:c r="Z10" s="13" t="str">
        <x:v>match</x:v>
      </x:c>
      <x:c r="AA10" s="16" t="str">
        <x:v>title_womens_flip_flop | style_flip_flop | arch_support | colors_visible</x:v>
      </x:c>
      <x:c r="AB10" s="13" t="str">
        <x:v>accepted</x:v>
      </x:c>
      <x:c r="AC10" s="13" t="str">
        <x:v>1.0.0</x:v>
      </x:c>
      <x:c r="AD10" s="13" t="str">
        <x:v>1.0.0</x:v>
      </x:c>
      <x:c r="AE10" s="13" t="str">
        <x:v>deepseek/deepseek-v4-pro</x:v>
      </x:c>
      <x:c r="AF10" s="13" t="str">
        <x:v>aj2-y90-20260714T234810-0bea2f52</x:v>
      </x:c>
      <x:c r="AG10" s="13" t="str">
        <x:v>full-0001</x:v>
      </x:c>
      <x:c r="AH10" s="13" t="str">
        <x:v>full</x:v>
      </x:c>
      <x:c r="AI10" s="13" t="n">
        <x:v>1</x:v>
      </x:c>
    </x:row>
    <x:row r="11" ht="34" customHeight="1">
      <x:c r="A11" s="15" t="str">
        <x:v>basic black flip flops for women</x:v>
      </x:c>
      <x:c r="B11" s="15" t="str">
        <x:v>basic black flip flops for women</x:v>
      </x:c>
      <x:c r="C11" s="10" t="str">
        <x:v>57f1daf17f12869a</x:v>
      </x:c>
      <x:c r="D11" s="10" t="str">
        <x:v>keyword</x:v>
      </x:c>
      <x:c r="E11" s="10" t="str">
        <x:v>en</x:v>
      </x:c>
      <x:c r="F11" s="10" t="str">
        <x:v>clothing_shoes_jewelry</x:v>
      </x:c>
      <x:c r="G11" s="15" t="str"/>
      <x:c r="H11" s="15" t="str">
        <x:v>flip_flop</x:v>
      </x:c>
      <x:c r="I11" s="15" t="str">
        <x:v>women</x:v>
      </x:c>
      <x:c r="J11" s="15" t="str">
        <x:v>basic</x:v>
      </x:c>
      <x:c r="K11" s="15" t="str"/>
      <x:c r="L11" s="15" t="str"/>
      <x:c r="M11" s="15" t="str"/>
      <x:c r="N11" s="15" t="str"/>
      <x:c r="O11" s="15" t="str"/>
      <x:c r="P11" s="15" t="str"/>
      <x:c r="Q11" s="15" t="str"/>
      <x:c r="R11" s="15" t="str">
        <x:v>女性用户想找一双基础简约款式的黑色夹脚拖鞋。</x:v>
      </x:c>
      <x:c r="S11" s="10" t="str">
        <x:v>high_intent</x:v>
      </x:c>
      <x:c r="T11" s="15" t="str">
        <x:v>explicit | page_validated</x:v>
      </x:c>
      <x:c r="U11" s="10" t="str">
        <x:v>high</x:v>
      </x:c>
      <x:c r="V11" s="15" t="str">
        <x:v>womens_basic_black_flip_flops</x:v>
      </x:c>
      <x:c r="W11" s="15" t="str">
        <x:v>cluster_route</x:v>
      </x:c>
      <x:c r="X11" s="15" t="str">
        <x:v>{"primary_domain":[{"value":"clothing_shoes_jewelry","evidence_type":"explicit","source_span":"flip flops","fact_ids":[],"rationale":"Flip flops are footwear."}],"product_type":[{"value":"flip_flop","evidence_type":"explicit","source_span":"flip flops","fact_ids":[],"rationale":"Term explicitly requests flip flops."},{"value":"flip_flop","evidence_type":"page_validated","source_span":"","fact_ids":["style_flip_flop"],"rationale":"Product page confirms Flip Flop type."}],"audience_intent":[{"value":"women","evidence_type":"explicit","source_span":"for women","fact_ids":[],"rationale":"Term explicitly targets women."},{"value":"women","evidence_type":"page_validated","source_span":"","fact_ids":["title_womens_flip_flop"],"rationale":"Product is a women's flip flop."}],"function_intent":[{"value":"basic","evidence_type":"explicit","source_span":"basic","fact_ids":[],"rationale":"Term explicitly describes a basic, no-frills style."}],"color":[{"value":"black","evidence_type":"explicit","source_span":"black","fact_ids":[],"rationale":"该颜色在商品页面可见颜色选择中得到明确支持。"},{"value":"black","evidence_type":"page_validated","source_span":"","fact_ids":["colors_visible"],"rationale":"该颜色在商品页面可见颜色选择中得到明确支持。"}]}</x:v>
      </x:c>
      <x:c r="Y11" s="15" t="str"/>
      <x:c r="Z11" s="10" t="str">
        <x:v>match</x:v>
      </x:c>
      <x:c r="AA11" s="15" t="str">
        <x:v>title_womens_flip_flop | style_flip_flop | colors_visible</x:v>
      </x:c>
      <x:c r="AB11" s="10" t="str">
        <x:v>accepted</x:v>
      </x:c>
      <x:c r="AC11" s="10" t="str">
        <x:v>1.0.0</x:v>
      </x:c>
      <x:c r="AD11" s="10" t="str">
        <x:v>1.0.0</x:v>
      </x:c>
      <x:c r="AE11" s="10" t="str">
        <x:v>deepseek/deepseek-v4-pro</x:v>
      </x:c>
      <x:c r="AF11" s="10" t="str">
        <x:v>aj2-y90-20260714T234810-0bea2f52</x:v>
      </x:c>
      <x:c r="AG11" s="10" t="str">
        <x:v>full-0001</x:v>
      </x:c>
      <x:c r="AH11" s="10" t="str">
        <x:v>full</x:v>
      </x:c>
      <x:c r="AI11" s="10" t="n">
        <x:v>1</x:v>
      </x:c>
    </x:row>
    <x:row r="12" ht="34" customHeight="1">
      <x:c r="A12" s="16" t="str">
        <x:v>ladies flip flops size 9</x:v>
      </x:c>
      <x:c r="B12" s="16" t="str">
        <x:v>ladies flip flops size 9</x:v>
      </x:c>
      <x:c r="C12" s="13" t="str">
        <x:v>59b619fe9ebba952</x:v>
      </x:c>
      <x:c r="D12" s="13" t="str">
        <x:v>keyword</x:v>
      </x:c>
      <x:c r="E12" s="13" t="str">
        <x:v>en</x:v>
      </x:c>
      <x:c r="F12" s="13" t="str">
        <x:v>clothing_shoes_jewelry</x:v>
      </x:c>
      <x:c r="G12" s="16" t="str"/>
      <x:c r="H12" s="16" t="str">
        <x:v>flip_flop</x:v>
      </x:c>
      <x:c r="I12" s="16" t="str">
        <x:v>women</x:v>
      </x:c>
      <x:c r="J12" s="16" t="str"/>
      <x:c r="K12" s="16" t="str"/>
      <x:c r="L12" s="16" t="str"/>
      <x:c r="M12" s="16" t="str"/>
      <x:c r="N12" s="16" t="str"/>
      <x:c r="O12" s="16" t="str"/>
      <x:c r="P12" s="16" t="str"/>
      <x:c r="Q12" s="16" t="str"/>
      <x:c r="R12" s="16" t="str">
        <x:v>女性用户想找一双美国9码的夹脚拖鞋。</x:v>
      </x:c>
      <x:c r="S12" s="13" t="str">
        <x:v>high_intent</x:v>
      </x:c>
      <x:c r="T12" s="16" t="str">
        <x:v>explicit | page_validated</x:v>
      </x:c>
      <x:c r="U12" s="13" t="str">
        <x:v>high</x:v>
      </x:c>
      <x:c r="V12" s="16" t="str">
        <x:v>womens_size_9_flip_flops</x:v>
      </x:c>
      <x:c r="W12" s="16" t="str">
        <x:v>cluster_route</x:v>
      </x:c>
      <x:c r="X12" s="16" t="str">
        <x:v>{"primary_domain":[{"value":"clothing_shoes_jewelry","evidence_type":"explicit","source_span":"flip flops","fact_ids":[],"rationale":"Flip flops are footwear."}],"product_type":[{"value":"flip_flop","evidence_type":"explicit","source_span":"flip flops","fact_ids":[],"rationale":"Term explicitly requests flip flops."},{"value":"flip_flop","evidence_type":"page_validated","source_span":"","fact_ids":["style_flip_flop"],"rationale":"Product page confirms Flip Flop type."}],"audience_intent":[{"value":"women","evidence_type":"explicit","source_span":"ladies","fact_ids":[],"rationale":"Ladies is synonymous with women."},{"value":"women","evidence_type":"page_validated","source_span":"","fact_ids":["title_womens_flip_flop"],"rationale":"Product is a women's flip flop."},{"value":"women","evidence_type":"inferred","source_span":"","fact_ids":[],"rationale":"该能力由搜索词表达的任务或问题推断；页面事实仅用于验证商品承接。"}],"size":[{"value":"us_9","evidence_type":"explicit","source_span":"size 9","fact_ids":[],"rationale":"Term explicitly requests size 9."},{"value":"us_9","evidence_type":"page_validated","source_span":"","fact_ids":["sizes_6_11"],"rationale":"Size 9 is within the available range of 6-11."}]}</x:v>
      </x:c>
      <x:c r="Y12" s="16" t="str"/>
      <x:c r="Z12" s="13" t="str">
        <x:v>match</x:v>
      </x:c>
      <x:c r="AA12" s="16" t="str">
        <x:v>title_womens_flip_flop | style_flip_flop | sizes_6_11</x:v>
      </x:c>
      <x:c r="AB12" s="13" t="str">
        <x:v>accepted</x:v>
      </x:c>
      <x:c r="AC12" s="13" t="str">
        <x:v>1.0.0</x:v>
      </x:c>
      <x:c r="AD12" s="13" t="str">
        <x:v>1.0.0</x:v>
      </x:c>
      <x:c r="AE12" s="13" t="str">
        <x:v>deepseek/deepseek-v4-pro</x:v>
      </x:c>
      <x:c r="AF12" s="13" t="str">
        <x:v>aj2-y90-20260714T234810-0bea2f52</x:v>
      </x:c>
      <x:c r="AG12" s="13" t="str">
        <x:v>full-0001</x:v>
      </x:c>
      <x:c r="AH12" s="13" t="str">
        <x:v>full</x:v>
      </x:c>
      <x:c r="AI12" s="13" t="n">
        <x:v>1</x:v>
      </x:c>
    </x:row>
    <x:row r="13" ht="34" customHeight="1">
      <x:c r="A13" s="15" t="str">
        <x:v>black chanclas archies</x:v>
      </x:c>
      <x:c r="B13" s="15" t="str">
        <x:v>black chanclas archies</x:v>
      </x:c>
      <x:c r="C13" s="10" t="str">
        <x:v>81bbf3108e8b4045</x:v>
      </x:c>
      <x:c r="D13" s="10" t="str">
        <x:v>keyword</x:v>
      </x:c>
      <x:c r="E13" s="10" t="str">
        <x:v>es</x:v>
      </x:c>
      <x:c r="F13" s="10" t="str">
        <x:v>clothing_shoes_jewelry</x:v>
      </x:c>
      <x:c r="G13" s="15" t="str"/>
      <x:c r="H13" s="15" t="str">
        <x:v>flip_flop</x:v>
      </x:c>
      <x:c r="I13" s="15" t="str">
        <x:v>unknown</x:v>
      </x:c>
      <x:c r="J13" s="15" t="str"/>
      <x:c r="K13" s="15" t="str">
        <x:v>arch_support</x:v>
      </x:c>
      <x:c r="L13" s="15" t="str"/>
      <x:c r="M13" s="15" t="str"/>
      <x:c r="N13" s="15" t="str"/>
      <x:c r="O13" s="15" t="str"/>
      <x:c r="P13" s="15" t="str">
        <x:v>archies_brand</x:v>
      </x:c>
      <x:c r="Q13" s="15" t="str"/>
      <x:c r="R13" s="15" t="str">
        <x:v>用户用西班牙语搜索黑色的Archies品牌夹脚拖鞋，可能关注足弓支撑功能。</x:v>
      </x:c>
      <x:c r="S13" s="10" t="str">
        <x:v>consideration</x:v>
      </x:c>
      <x:c r="T13" s="15" t="str">
        <x:v>explicit | inferred</x:v>
      </x:c>
      <x:c r="U13" s="10" t="str">
        <x:v>medium</x:v>
      </x:c>
      <x:c r="V13" s="15" t="str">
        <x:v>black_archies_brand_flip_flops</x:v>
      </x:c>
      <x:c r="W13" s="15" t="str">
        <x:v>performance_observation</x:v>
      </x:c>
      <x:c r="X13" s="15" t="str">
        <x:v>{"primary_domain":[{"value":"clothing_shoes_jewelry","evidence_type":"explicit","source_span":"chanclas","fact_ids":[],"rationale":"Chanclas is Spanish for flip flops/sandals, which are footwear."}],"product_type":[{"value":"flip_flop","evidence_type":"explicit","source_span":"chanclas","fact_ids":[],"rationale":"Chanclas means flip flops in Spanish."},{"value":"flip_flop","evidence_type":"page_validated","source_span":"","fact_ids":["style_flip_flop"],"rationale":"Product page confirms Flip Flop type."},{"value":"flip_flop","evidence_type":"inferred","source_span":"","fact_ids":[],"rationale":"该能力由搜索词表达的任务或问题推断；页面事实仅用于验证商品承接。"}],"capability_intent":[{"value":"arch_support","evidence_type":"inferred","source_span":"archies","fact_ids":[],"rationale":"Archies is a known brand of arch-support flip flops; the term implies arch support need even if interpreted as a misspelling of arches."},{"value":"arch_support","evidence_type":"page_validated","source_span":"","fact_ids":["arch_support"],"rationale":"该槽位与商品基准中的明示页面事实一致。"}],"substitute_intent":[{"value":"archies_brand","evidence_type":"explicit","source_span":"archies","fact_ids":[],"rationale":"Term includes Archies, a known arch-support flip flop brand, suggesting the user is searching for that specific brand."}],"color":[{"value":"black","evidence_type":"explicit","source_span":"black","fact_ids":[],"rationale":"该颜色在商品页面可见颜色选择中得到明确支持。"},{"value":"black","evidence_type":"page_validated","source_span":"","fact_ids":["colors_visible"],"rationale":"该颜色在商品页面可见颜色选择中得到明确支持。"}],"audience_intent":[{"value":"unknown","evidence_type":"inferred","source_span":"","fact_ids":[],"rationale":"该值由搜索词整体语义推断，未作为页面明示属性。"}]}</x:v>
      </x:c>
      <x:c r="Y13" s="15" t="str">
        <x:v>brand_or_spelling_ambiguity | language_spanish</x:v>
      </x:c>
      <x:c r="Z13" s="10" t="str">
        <x:v>partial_match</x:v>
      </x:c>
      <x:c r="AA13" s="15" t="str">
        <x:v>style_flip_flop | arch_support | colors_visible</x:v>
      </x:c>
      <x:c r="AB13" s="10" t="str">
        <x:v>accepted</x:v>
      </x:c>
      <x:c r="AC13" s="10" t="str">
        <x:v>1.0.0</x:v>
      </x:c>
      <x:c r="AD13" s="10" t="str">
        <x:v>1.0.0</x:v>
      </x:c>
      <x:c r="AE13" s="10" t="str">
        <x:v>deepseek/deepseek-v4-pro</x:v>
      </x:c>
      <x:c r="AF13" s="10" t="str">
        <x:v>aj2-y90-20260714T234810-0bea2f52</x:v>
      </x:c>
      <x:c r="AG13" s="10" t="str">
        <x:v>full-0001</x:v>
      </x:c>
      <x:c r="AH13" s="10" t="str">
        <x:v>full</x:v>
      </x:c>
      <x:c r="AI13" s="10" t="n">
        <x:v>1</x:v>
      </x:c>
    </x:row>
    <x:row r="14" ht="34" customHeight="1">
      <x:c r="A14" s="16" t="str">
        <x:v>pale pink women's flip flops</x:v>
      </x:c>
      <x:c r="B14" s="16" t="str">
        <x:v>pale pink women's flip flops</x:v>
      </x:c>
      <x:c r="C14" s="13" t="str">
        <x:v>a26f354e66988c46</x:v>
      </x:c>
      <x:c r="D14" s="13" t="str">
        <x:v>keyword</x:v>
      </x:c>
      <x:c r="E14" s="13" t="str">
        <x:v>en</x:v>
      </x:c>
      <x:c r="F14" s="13" t="str">
        <x:v>clothing_shoes_jewelry</x:v>
      </x:c>
      <x:c r="G14" s="16" t="str"/>
      <x:c r="H14" s="16" t="str">
        <x:v>flip_flop</x:v>
      </x:c>
      <x:c r="I14" s="16" t="str">
        <x:v>women</x:v>
      </x:c>
      <x:c r="J14" s="16" t="str"/>
      <x:c r="K14" s="16" t="str"/>
      <x:c r="L14" s="16" t="str"/>
      <x:c r="M14" s="16" t="str"/>
      <x:c r="N14" s="16" t="str"/>
      <x:c r="O14" s="16" t="str"/>
      <x:c r="P14" s="16" t="str"/>
      <x:c r="Q14" s="16" t="str"/>
      <x:c r="R14" s="16" t="str">
        <x:v>女性用户想找一双淡粉色的夹脚拖鞋，用于日常休闲穿着。</x:v>
      </x:c>
      <x:c r="S14" s="13" t="str">
        <x:v>high_intent</x:v>
      </x:c>
      <x:c r="T14" s="16" t="str">
        <x:v>explicit | page_validated</x:v>
      </x:c>
      <x:c r="U14" s="13" t="str">
        <x:v>high</x:v>
      </x:c>
      <x:c r="V14" s="16" t="str">
        <x:v>womens_pale_pink_flip_flops</x:v>
      </x:c>
      <x:c r="W14" s="16" t="str">
        <x:v>cluster_route</x:v>
      </x:c>
      <x:c r="X14" s="16" t="str">
        <x:v>{"primary_domain":[{"value":"clothing_shoes_jewelry","evidence_type":"explicit","source_span":"flip flops","fact_ids":[],"rationale":"Flip flops are footwear under clothing_shoes_jewelry."}],"product_type":[{"value":"flip_flop","evidence_type":"explicit","source_span":"flip flops","fact_ids":[],"rationale":"Term explicitly requests flip flops."},{"value":"flip_flop","evidence_type":"page_validated","source_span":"","fact_ids":["style_flip_flop"],"rationale":"Product page confirms sandal type is Flip Flop."}],"audience_intent":[{"value":"women","evidence_type":"explicit","source_span":"women's","fact_ids":[],"rationale":"Term explicitly targets women."},{"value":"women","evidence_type":"page_validated","source_span":"","fact_ids":["title_womens_flip_flop"],"rationale":"Page title identifies a women's flip flop."}],"color":[{"value":"pale_pink","evidence_type":"explicit","source_span":"pale pink","fact_ids":[],"rationale":"Term explicitly requests pale pink color."},{"value":"pink_mauve","evidence_type":"inferred","source_span":"","fact_ids":[],"rationale":"这是搜索词中的颜色约束，但商品页面基准未确认该具体颜色。"}]}</x:v>
      </x:c>
      <x:c r="Y14" s="16" t="str">
        <x:v>color_shade_variant</x:v>
      </x:c>
      <x:c r="Z14" s="13" t="str">
        <x:v>match</x:v>
      </x:c>
      <x:c r="AA14" s="16" t="str">
        <x:v>title_womens_flip_flop | style_flip_flop | colors_visible</x:v>
      </x:c>
      <x:c r="AB14" s="13" t="str">
        <x:v>accepted</x:v>
      </x:c>
      <x:c r="AC14" s="13" t="str">
        <x:v>1.0.0</x:v>
      </x:c>
      <x:c r="AD14" s="13" t="str">
        <x:v>1.0.0</x:v>
      </x:c>
      <x:c r="AE14" s="13" t="str">
        <x:v>deepseek/deepseek-v4-pro</x:v>
      </x:c>
      <x:c r="AF14" s="13" t="str">
        <x:v>aj2-y90-20260714T234810-0bea2f52</x:v>
      </x:c>
      <x:c r="AG14" s="13" t="str">
        <x:v>full-0001</x:v>
      </x:c>
      <x:c r="AH14" s="13" t="str">
        <x:v>full</x:v>
      </x:c>
      <x:c r="AI14" s="13" t="n">
        <x:v>1</x:v>
      </x:c>
    </x:row>
    <x:row r="15" ht="34" customHeight="1">
      <x:c r="A15" s="15" t="str">
        <x:v>squishy flip flops for women</x:v>
      </x:c>
      <x:c r="B15" s="15" t="str">
        <x:v>squishy flip flops for women</x:v>
      </x:c>
      <x:c r="C15" s="10" t="str">
        <x:v>a4ee46becaedb235</x:v>
      </x:c>
      <x:c r="D15" s="10" t="str">
        <x:v>keyword</x:v>
      </x:c>
      <x:c r="E15" s="10" t="str">
        <x:v>en</x:v>
      </x:c>
      <x:c r="F15" s="10" t="str">
        <x:v>clothing_shoes_jewelry</x:v>
      </x:c>
      <x:c r="G15" s="15" t="str"/>
      <x:c r="H15" s="15" t="str">
        <x:v>flip_flop</x:v>
      </x:c>
      <x:c r="I15" s="15" t="str">
        <x:v>women</x:v>
      </x:c>
      <x:c r="J15" s="15" t="str">
        <x:v>comfort</x:v>
      </x:c>
      <x:c r="K15" s="15" t="str">
        <x:v>cushioning</x:v>
      </x:c>
      <x:c r="L15" s="15" t="str"/>
      <x:c r="M15" s="15" t="str"/>
      <x:c r="N15" s="15" t="str"/>
      <x:c r="O15" s="15" t="str"/>
      <x:c r="P15" s="15" t="str"/>
      <x:c r="Q15" s="15" t="str"/>
      <x:c r="R15" s="15" t="str">
        <x:v>女性用户想找一双踩感柔软有弹性的夹脚拖鞋。</x:v>
      </x:c>
      <x:c r="S15" s="10" t="str">
        <x:v>high_intent</x:v>
      </x:c>
      <x:c r="T15" s="15" t="str">
        <x:v>explicit | page_validated | inferred</x:v>
      </x:c>
      <x:c r="U15" s="10" t="str">
        <x:v>high</x:v>
      </x:c>
      <x:c r="V15" s="15" t="str">
        <x:v>womens_squishy_cushioned_flip_flops</x:v>
      </x:c>
      <x:c r="W15" s="15" t="str">
        <x:v>cluster_route</x:v>
      </x:c>
      <x:c r="X15" s="15" t="str">
        <x:v>{"primary_domain":[{"value":"clothing_shoes_jewelry","evidence_type":"explicit","source_span":"flip flops","fact_ids":[],"rationale":"Flip flops are footwear."}],"product_type":[{"value":"flip_flop","evidence_type":"explicit","source_span":"flip flops","fact_ids":[],"rationale":"Term explicitly requests flip flops."},{"value":"flip_flop","evidence_type":"page_validated","source_span":"","fact_ids":["style_flip_flop"],"rationale":"Product page confirms Flip Flop type."}],"audience_intent":[{"value":"women","evidence_type":"explicit","source_span":"for women","fact_ids":[],"rationale":"Term explicitly targets women."},{"value":"women","evidence_type":"page_validated","source_span":"","fact_ids":["title_womens_flip_flop"],"rationale":"Product is a women's flip flop."}],"function_intent":[{"value":"comfort","evidence_type":"inferred","source_span":"squishy","fact_ids":[],"rationale":"Squishy implies a soft, comfortable feel underfoot."},{"value":"comfort","evidence_type":"page_validated","source_span":"","fact_ids":["arch_support","padded_cushioning"],"rationale":"该槽位与商品基准中的明示页面事实一致。"}],"capability_intent":[{"value":"cushioning","evidence_type":"page_validated","source_span":"","fact_ids":["padded_cushioning","material_eva"],"rationale":"Product has padded cushioning and EVA foam material, which provides a squishy feel."},{"value":"cushioning","evidence_type":"inferred","source_span":"","fact_ids":[],"rationale":"该能力由搜索词表达的任务或问题推断；页面事实仅用于验证商品承接。"}]}</x:v>
      </x:c>
      <x:c r="Y15" s="15" t="str"/>
      <x:c r="Z15" s="10" t="str">
        <x:v>match</x:v>
      </x:c>
      <x:c r="AA15" s="15" t="str">
        <x:v>title_womens_flip_flop | style_flip_flop | padded_cushioning | material_eva</x:v>
      </x:c>
      <x:c r="AB15" s="10" t="str">
        <x:v>accepted</x:v>
      </x:c>
      <x:c r="AC15" s="10" t="str">
        <x:v>1.0.0</x:v>
      </x:c>
      <x:c r="AD15" s="10" t="str">
        <x:v>1.0.0</x:v>
      </x:c>
      <x:c r="AE15" s="10" t="str">
        <x:v>deepseek/deepseek-v4-pro</x:v>
      </x:c>
      <x:c r="AF15" s="10" t="str">
        <x:v>aj2-y90-20260714T234810-0bea2f52</x:v>
      </x:c>
      <x:c r="AG15" s="10" t="str">
        <x:v>full-0001</x:v>
      </x:c>
      <x:c r="AH15" s="10" t="str">
        <x:v>full</x:v>
      </x:c>
      <x:c r="AI15" s="10" t="n">
        <x:v>1</x:v>
      </x:c>
    </x:row>
    <x:row r="16" ht="34" customHeight="1">
      <x:c r="A16" s="16" t="str">
        <x:v>pink flip flops arch</x:v>
      </x:c>
      <x:c r="B16" s="16" t="str">
        <x:v>pink flip flops arch</x:v>
      </x:c>
      <x:c r="C16" s="13" t="str">
        <x:v>b23dd57e566676a7</x:v>
      </x:c>
      <x:c r="D16" s="13" t="str">
        <x:v>keyword</x:v>
      </x:c>
      <x:c r="E16" s="13" t="str">
        <x:v>en</x:v>
      </x:c>
      <x:c r="F16" s="13" t="str">
        <x:v>clothing_shoes_jewelry</x:v>
      </x:c>
      <x:c r="G16" s="16" t="str"/>
      <x:c r="H16" s="16" t="str">
        <x:v>flip_flop</x:v>
      </x:c>
      <x:c r="I16" s="16" t="str">
        <x:v>unknown</x:v>
      </x:c>
      <x:c r="J16" s="16" t="str"/>
      <x:c r="K16" s="16" t="str">
        <x:v>arch_support</x:v>
      </x:c>
      <x:c r="L16" s="16" t="str"/>
      <x:c r="M16" s="16" t="str"/>
      <x:c r="N16" s="16" t="str">
        <x:v>arch_support</x:v>
      </x:c>
      <x:c r="O16" s="16" t="str"/>
      <x:c r="P16" s="16" t="str"/>
      <x:c r="Q16" s="16" t="str"/>
      <x:c r="R16" s="16" t="str">
        <x:v>用户想找一双粉色且具有足弓支撑的夹脚拖鞋。</x:v>
      </x:c>
      <x:c r="S16" s="13" t="str">
        <x:v>high_intent</x:v>
      </x:c>
      <x:c r="T16" s="16" t="str">
        <x:v>explicit | page_validated</x:v>
      </x:c>
      <x:c r="U16" s="13" t="str">
        <x:v>high</x:v>
      </x:c>
      <x:c r="V16" s="16" t="str">
        <x:v>pink_arch_support_flip_flops</x:v>
      </x:c>
      <x:c r="W16" s="16" t="str">
        <x:v>cluster_route</x:v>
      </x:c>
      <x:c r="X16" s="16" t="str">
        <x:v>{"primary_domain":[{"value":"clothing_shoes_jewelry","evidence_type":"explicit","source_span":"flip flops","fact_ids":[],"rationale":"Flip flops are footwear."}],"product_type":[{"value":"flip_flop","evidence_type":"explicit","source_span":"flip flops","fact_ids":[],"rationale":"Term explicitly requests flip flops."},{"value":"flip_flop","evidence_type":"page_validated","source_span":"","fact_ids":["style_flip_flop"],"rationale":"Product page confirms Flip Flop type."}],"capability_intent":[{"value":"arch_support","evidence_type":"explicit","source_span":"arch","fact_ids":[],"rationale":"Arch is a shorthand explicit request for arch support."},{"value":"arch_support","evidence_type":"page_validated","source_span":"","fact_ids":["arch_support"],"rationale":"Product provides ergonomic arch support."},{"value":"arch_support","evidence_type":"inferred","source_span":"","fact_ids":[],"rationale":"该能力由搜索词表达的任务或问题推断；页面事实仅用于验证商品承接。"}],"color":[{"value":"pink","evidence_type":"explicit","source_span":"pink","fact_ids":[],"rationale":"该颜色在商品页面可见颜色选择中得到明确支持。"},{"value":"pink_mauve","evidence_type":"inferred","source_span":"","fact_ids":[],"rationale":"这是搜索词中的颜色约束，但商品页面基准未确认该具体颜色。"}],"audience_intent":[{"value":"unknown","evidence_type":"inferred","source_span":"","fact_ids":[],"rationale":"该值由搜索词整体语义推断，未作为页面明示属性。"}]}</x:v>
      </x:c>
      <x:c r="Y16" s="16" t="str"/>
      <x:c r="Z16" s="13" t="str">
        <x:v>match</x:v>
      </x:c>
      <x:c r="AA16" s="16" t="str">
        <x:v>style_flip_flop | arch_support | colors_visible</x:v>
      </x:c>
      <x:c r="AB16" s="13" t="str">
        <x:v>accepted</x:v>
      </x:c>
      <x:c r="AC16" s="13" t="str">
        <x:v>1.0.0</x:v>
      </x:c>
      <x:c r="AD16" s="13" t="str">
        <x:v>1.0.0</x:v>
      </x:c>
      <x:c r="AE16" s="13" t="str">
        <x:v>deepseek/deepseek-v4-pro</x:v>
      </x:c>
      <x:c r="AF16" s="13" t="str">
        <x:v>aj2-y90-20260714T234810-0bea2f52</x:v>
      </x:c>
      <x:c r="AG16" s="13" t="str">
        <x:v>full-0001</x:v>
      </x:c>
      <x:c r="AH16" s="13" t="str">
        <x:v>full</x:v>
      </x:c>
      <x:c r="AI16" s="13" t="n">
        <x:v>1</x:v>
      </x:c>
    </x:row>
    <x:row r="17" ht="34" customHeight="1">
      <x:c r="A17" s="15" t="str">
        <x:v>light blue flip flops with arch support women</x:v>
      </x:c>
      <x:c r="B17" s="15" t="str">
        <x:v>light blue flip flops with arch support women</x:v>
      </x:c>
      <x:c r="C17" s="10" t="str">
        <x:v>b4f2f84737ecc4f7</x:v>
      </x:c>
      <x:c r="D17" s="10" t="str">
        <x:v>keyword</x:v>
      </x:c>
      <x:c r="E17" s="10" t="str">
        <x:v>en</x:v>
      </x:c>
      <x:c r="F17" s="10" t="str">
        <x:v>clothing_shoes_jewelry</x:v>
      </x:c>
      <x:c r="G17" s="15" t="str"/>
      <x:c r="H17" s="15" t="str">
        <x:v>flip_flop</x:v>
      </x:c>
      <x:c r="I17" s="15" t="str">
        <x:v>women</x:v>
      </x:c>
      <x:c r="J17" s="15" t="str"/>
      <x:c r="K17" s="15" t="str">
        <x:v>arch_support</x:v>
      </x:c>
      <x:c r="L17" s="15" t="str"/>
      <x:c r="M17" s="15" t="str"/>
      <x:c r="N17" s="15" t="str">
        <x:v>arch_support</x:v>
      </x:c>
      <x:c r="O17" s="15" t="str"/>
      <x:c r="P17" s="15" t="str"/>
      <x:c r="Q17" s="15" t="str"/>
      <x:c r="R17" s="15" t="str">
        <x:v>女性用户想找一双浅蓝色且具有足弓支撑功能的夹脚拖鞋。</x:v>
      </x:c>
      <x:c r="S17" s="10" t="str">
        <x:v>high_intent</x:v>
      </x:c>
      <x:c r="T17" s="15" t="str">
        <x:v>explicit | page_validated</x:v>
      </x:c>
      <x:c r="U17" s="10" t="str">
        <x:v>high</x:v>
      </x:c>
      <x:c r="V17" s="15" t="str">
        <x:v>womens_light_blue_arch_support_flip_flops</x:v>
      </x:c>
      <x:c r="W17" s="15" t="str">
        <x:v>cluster_route</x:v>
      </x:c>
      <x:c r="X17" s="15" t="str">
        <x:v>{"primary_domain":[{"value":"clothing_shoes_jewelry","evidence_type":"explicit","source_span":"flip flops","fact_ids":[],"rationale":"Flip flops are footwear."}],"product_type":[{"value":"flip_flop","evidence_type":"explicit","source_span":"flip flops","fact_ids":[],"rationale":"Term explicitly requests flip flops."},{"value":"flip_flop","evidence_type":"page_validated","source_span":"","fact_ids":["style_flip_flop"],"rationale":"Product page confirms Flip Flop type."}],"audience_intent":[{"value":"women","evidence_type":"explicit","source_span":"women","fact_ids":[],"rationale":"Term explicitly targets women."},{"value":"women","evidence_type":"page_validated","source_span":"","fact_ids":["title_womens_flip_flop"],"rationale":"Product is a women's flip flop."}],"capability_intent":[{"value":"arch_support","evidence_type":"explicit","source_span":"arch support","fact_ids":[],"rationale":"Term explicitly requests arch support."},{"value":"arch_support","evidence_type":"page_validated","source_span":"","fact_ids":["arch_support"],"rationale":"Product provides ergonomic arch support."}],"color":[{"value":"light_blue","evidence_type":"explicit","source_span":"light blue","fact_ids":[],"rationale":"该颜色在商品页面可见颜色选择中得到明确支持。"},{"value":"light_blue","evidence_type":"page_validated","source_span":"","fact_ids":["colors_visible"],"rationale":"该颜色在商品页面可见颜色选择中得到明确支持。"}]}</x:v>
      </x:c>
      <x:c r="Y17" s="15" t="str"/>
      <x:c r="Z17" s="10" t="str">
        <x:v>match</x:v>
      </x:c>
      <x:c r="AA17" s="15" t="str">
        <x:v>title_womens_flip_flop | style_flip_flop | arch_support | colors_visible</x:v>
      </x:c>
      <x:c r="AB17" s="10" t="str">
        <x:v>accepted</x:v>
      </x:c>
      <x:c r="AC17" s="10" t="str">
        <x:v>1.0.0</x:v>
      </x:c>
      <x:c r="AD17" s="10" t="str">
        <x:v>1.0.0</x:v>
      </x:c>
      <x:c r="AE17" s="10" t="str">
        <x:v>deepseek/deepseek-v4-pro</x:v>
      </x:c>
      <x:c r="AF17" s="10" t="str">
        <x:v>aj2-y90-20260714T234810-0bea2f52</x:v>
      </x:c>
      <x:c r="AG17" s="10" t="str">
        <x:v>full-0001</x:v>
      </x:c>
      <x:c r="AH17" s="10" t="str">
        <x:v>full</x:v>
      </x:c>
      <x:c r="AI17" s="10" t="n">
        <x:v>1</x:v>
      </x:c>
    </x:row>
    <x:row r="18" ht="34" customHeight="1">
      <x:c r="A18" s="16" t="str">
        <x:v>womens flip flops footbed traction water resistant</x:v>
      </x:c>
      <x:c r="B18" s="16" t="str">
        <x:v>womens flip flops footbed traction water resistant</x:v>
      </x:c>
      <x:c r="C18" s="13" t="str">
        <x:v>b50c65b89b986bf7</x:v>
      </x:c>
      <x:c r="D18" s="13" t="str">
        <x:v>keyword</x:v>
      </x:c>
      <x:c r="E18" s="13" t="str">
        <x:v>en</x:v>
      </x:c>
      <x:c r="F18" s="13" t="str">
        <x:v>clothing_shoes_jewelry</x:v>
      </x:c>
      <x:c r="G18" s="16" t="str">
        <x:v>sports_outdoors</x:v>
      </x:c>
      <x:c r="H18" s="16" t="str">
        <x:v>flip_flop</x:v>
      </x:c>
      <x:c r="I18" s="16" t="str">
        <x:v>women</x:v>
      </x:c>
      <x:c r="J18" s="16" t="str"/>
      <x:c r="K18" s="16" t="str">
        <x:v>traction | water_resistant</x:v>
      </x:c>
      <x:c r="L18" s="16" t="str"/>
      <x:c r="M18" s="16" t="str">
        <x:v>outdoor</x:v>
      </x:c>
      <x:c r="N18" s="16" t="str"/>
      <x:c r="O18" s="16" t="str"/>
      <x:c r="P18" s="16" t="str"/>
      <x:c r="Q18" s="16" t="str"/>
      <x:c r="R18" s="16" t="str">
        <x:v>女性用户想找一双鞋底有抓地力且具备防水功能的夹脚拖鞋，可能用于户外或涉水环境。</x:v>
      </x:c>
      <x:c r="S18" s="13" t="str">
        <x:v>high_intent</x:v>
      </x:c>
      <x:c r="T18" s="16" t="str">
        <x:v>explicit | page_validated</x:v>
      </x:c>
      <x:c r="U18" s="13" t="str">
        <x:v>high</x:v>
      </x:c>
      <x:c r="V18" s="16" t="str">
        <x:v>womens_traction_water_resistant_flip_flops</x:v>
      </x:c>
      <x:c r="W18" s="16" t="str">
        <x:v>listing_gap_review</x:v>
      </x:c>
      <x:c r="X18" s="16" t="str">
        <x:v>{"primary_domain":[{"value":"clothing_shoes_jewelry","evidence_type":"explicit","source_span":"flip flops","fact_ids":[],"rationale":"Flip flops are footwear."}],"secondary_domain":[{"value":"sports_outdoors","evidence_type":"inferred","source_span":"water resistant","fact_ids":[],"rationale":"Water resistance and outdoor traction suggest outdoor sports use."}],"product_type":[{"value":"flip_flop","evidence_type":"explicit","source_span":"flip flops","fact_ids":[],"rationale":"Term explicitly requests flip flops."},{"value":"flip_flop","evidence_type":"page_validated","source_span":"","fact_ids":["style_flip_flop"],"rationale":"Product page confirms Flip Flop type."}],"audience_intent":[{"value":"women","evidence_type":"explicit","source_span":"womens","fact_ids":[],"rationale":"Term explicitly targets women."},{"value":"women","evidence_type":"page_validated","source_span":"","fact_ids":["title_womens_flip_flop"],"rationale":"Product is a women's flip flop."}],"capability_intent":[{"value":"traction","evidence_type":"explicit","source_span":"traction","fact_ids":[],"rationale":"Term explicitly requests traction."},{"value":"traction","evidence_type":"page_validated","source_span":"","fact_ids":["slip_resistant_grip"],"rationale":"Product has deep textured lattice outsole providing grip and slip-resistant steps."},{"value":"water_resistant","evidence_type":"explicit","source_span":"water resistant","fact_ids":[],"rationale":"Term explicitly requests water resistance."}],"location_intent":[{"value":"outdoor","evidence_type":"page_validated","source_span":"","fact_ids":["style_outdoor"],"rationale":"Product lifestyle is outdoor."},{"value":"outdoor","evidence_type":"inferred","source_span":"","fact_ids":[],"rationale":"该能力由搜索词表达的任务或问题推断；页面事实仅用于验证商品承接。"}]}</x:v>
      </x:c>
      <x:c r="Y18" s="16" t="str">
        <x:v>water_resistant_not_evidenced</x:v>
      </x:c>
      <x:c r="Z18" s="13" t="str">
        <x:v>partial_match</x:v>
      </x:c>
      <x:c r="AA18" s="16" t="str">
        <x:v>title_womens_flip_flop | style_flip_flop | slip_resistant_grip | style_outdoor</x:v>
      </x:c>
      <x:c r="AB18" s="13" t="str">
        <x:v>accepted</x:v>
      </x:c>
      <x:c r="AC18" s="13" t="str">
        <x:v>1.0.0</x:v>
      </x:c>
      <x:c r="AD18" s="13" t="str">
        <x:v>1.0.0</x:v>
      </x:c>
      <x:c r="AE18" s="13" t="str">
        <x:v>deepseek/deepseek-v4-pro</x:v>
      </x:c>
      <x:c r="AF18" s="13" t="str">
        <x:v>aj2-y90-20260714T234810-0bea2f52</x:v>
      </x:c>
      <x:c r="AG18" s="13" t="str">
        <x:v>full-0001</x:v>
      </x:c>
      <x:c r="AH18" s="13" t="str">
        <x:v>full</x:v>
      </x:c>
      <x:c r="AI18" s="13" t="n">
        <x:v>1</x:v>
      </x:c>
    </x:row>
    <x:row r="19" ht="34" customHeight="1">
      <x:c r="A19" s="15" t="str">
        <x:v>ladies flip flops size 8</x:v>
      </x:c>
      <x:c r="B19" s="15" t="str">
        <x:v>ladies flip flops size 8</x:v>
      </x:c>
      <x:c r="C19" s="10" t="str">
        <x:v>c5f65f0d047903f0</x:v>
      </x:c>
      <x:c r="D19" s="10" t="str">
        <x:v>keyword</x:v>
      </x:c>
      <x:c r="E19" s="10" t="str">
        <x:v>en</x:v>
      </x:c>
      <x:c r="F19" s="10" t="str">
        <x:v>clothing_shoes_jewelry</x:v>
      </x:c>
      <x:c r="G19" s="15" t="str"/>
      <x:c r="H19" s="15" t="str">
        <x:v>flip_flop</x:v>
      </x:c>
      <x:c r="I19" s="15" t="str">
        <x:v>women</x:v>
      </x:c>
      <x:c r="J19" s="15" t="str"/>
      <x:c r="K19" s="15" t="str"/>
      <x:c r="L19" s="15" t="str"/>
      <x:c r="M19" s="15" t="str"/>
      <x:c r="N19" s="15" t="str"/>
      <x:c r="O19" s="15" t="str"/>
      <x:c r="P19" s="15" t="str"/>
      <x:c r="Q19" s="15" t="str"/>
      <x:c r="R19" s="15" t="str">
        <x:v>女性用户想找一双美国8码的夹脚拖鞋。</x:v>
      </x:c>
      <x:c r="S19" s="10" t="str">
        <x:v>high_intent</x:v>
      </x:c>
      <x:c r="T19" s="15" t="str">
        <x:v>explicit | page_validated</x:v>
      </x:c>
      <x:c r="U19" s="10" t="str">
        <x:v>high</x:v>
      </x:c>
      <x:c r="V19" s="15" t="str">
        <x:v>womens_size_8_flip_flops</x:v>
      </x:c>
      <x:c r="W19" s="15" t="str">
        <x:v>cluster_route</x:v>
      </x:c>
      <x:c r="X19" s="15" t="str">
        <x:v>{"primary_domain":[{"value":"clothing_shoes_jewelry","evidence_type":"explicit","source_span":"flip flops","fact_ids":[],"rationale":"Flip flops are footwear."}],"product_type":[{"value":"flip_flop","evidence_type":"explicit","source_span":"flip flops","fact_ids":[],"rationale":"Term explicitly requests flip flops."},{"value":"flip_flop","evidence_type":"page_validated","source_span":"","fact_ids":["style_flip_flop"],"rationale":"Product page confirms Flip Flop type."}],"audience_intent":[{"value":"women","evidence_type":"explicit","source_span":"ladies","fact_ids":[],"rationale":"Ladies is synonymous with women."},{"value":"women","evidence_type":"page_validated","source_span":"","fact_ids":["title_womens_flip_flop"],"rationale":"Product is a women's flip flop."},{"value":"women","evidence_type":"inferred","source_span":"","fact_ids":[],"rationale":"该能力由搜索词表达的任务或问题推断；页面事实仅用于验证商品承接。"}],"size":[{"value":"us_8","evidence_type":"explicit","source_span":"size 8","fact_ids":[],"rationale":"Term explicitly requests size 8."},{"value":"us_8","evidence_type":"page_validated","source_span":"","fact_ids":["sizes_6_11"],"rationale":"Size 8 is within the available range of 6-11."}]}</x:v>
      </x:c>
      <x:c r="Y19" s="15" t="str"/>
      <x:c r="Z19" s="10" t="str">
        <x:v>match</x:v>
      </x:c>
      <x:c r="AA19" s="15" t="str">
        <x:v>title_womens_flip_flop | style_flip_flop | sizes_6_11</x:v>
      </x:c>
      <x:c r="AB19" s="10" t="str">
        <x:v>accepted</x:v>
      </x:c>
      <x:c r="AC19" s="10" t="str">
        <x:v>1.0.0</x:v>
      </x:c>
      <x:c r="AD19" s="10" t="str">
        <x:v>1.0.0</x:v>
      </x:c>
      <x:c r="AE19" s="10" t="str">
        <x:v>deepseek/deepseek-v4-pro</x:v>
      </x:c>
      <x:c r="AF19" s="10" t="str">
        <x:v>aj2-y90-20260714T234810-0bea2f52</x:v>
      </x:c>
      <x:c r="AG19" s="10" t="str">
        <x:v>full-0001</x:v>
      </x:c>
      <x:c r="AH19" s="10" t="str">
        <x:v>full</x:v>
      </x:c>
      <x:c r="AI19" s="10" t="n">
        <x:v>1</x:v>
      </x:c>
    </x:row>
    <x:row r="20" ht="34" customHeight="1">
      <x:c r="A20" s="16" t="str">
        <x:v>arch support flip flops women size 9</x:v>
      </x:c>
      <x:c r="B20" s="16" t="str">
        <x:v>arch support flip flops women size 9</x:v>
      </x:c>
      <x:c r="C20" s="13" t="str">
        <x:v>e79e0aec9d1e6bd1</x:v>
      </x:c>
      <x:c r="D20" s="13" t="str">
        <x:v>keyword</x:v>
      </x:c>
      <x:c r="E20" s="13" t="str">
        <x:v>en</x:v>
      </x:c>
      <x:c r="F20" s="13" t="str">
        <x:v>clothing_shoes_jewelry</x:v>
      </x:c>
      <x:c r="G20" s="16" t="str"/>
      <x:c r="H20" s="16" t="str">
        <x:v>flip_flop</x:v>
      </x:c>
      <x:c r="I20" s="16" t="str">
        <x:v>women</x:v>
      </x:c>
      <x:c r="J20" s="16" t="str"/>
      <x:c r="K20" s="16" t="str">
        <x:v>arch_support</x:v>
      </x:c>
      <x:c r="L20" s="16" t="str"/>
      <x:c r="M20" s="16" t="str"/>
      <x:c r="N20" s="16" t="str">
        <x:v>arch_support</x:v>
      </x:c>
      <x:c r="O20" s="16" t="str"/>
      <x:c r="P20" s="16" t="str"/>
      <x:c r="Q20" s="16" t="str"/>
      <x:c r="R20" s="16" t="str">
        <x:v>女性用户想找一双美国9码且具有足弓支撑功能的夹脚拖鞋。</x:v>
      </x:c>
      <x:c r="S20" s="13" t="str">
        <x:v>high_intent</x:v>
      </x:c>
      <x:c r="T20" s="16" t="str">
        <x:v>explicit | page_validated</x:v>
      </x:c>
      <x:c r="U20" s="13" t="str">
        <x:v>high</x:v>
      </x:c>
      <x:c r="V20" s="16" t="str">
        <x:v>womens_size_9_arch_support_flip_flops</x:v>
      </x:c>
      <x:c r="W20" s="16" t="str">
        <x:v>cluster_route</x:v>
      </x:c>
      <x:c r="X20" s="16" t="str">
        <x:v>{"primary_domain":[{"value":"clothing_shoes_jewelry","evidence_type":"explicit","source_span":"flip flops","fact_ids":[],"rationale":"Flip flops are footwear."}],"product_type":[{"value":"flip_flop","evidence_type":"explicit","source_span":"flip flops","fact_ids":[],"rationale":"Term explicitly requests flip flops."},{"value":"flip_flop","evidence_type":"page_validated","source_span":"","fact_ids":["style_flip_flop"],"rationale":"Product page confirms Flip Flop type."}],"audience_intent":[{"value":"women","evidence_type":"explicit","source_span":"women","fact_ids":[],"rationale":"Term explicitly targets women."},{"value":"women","evidence_type":"page_validated","source_span":"","fact_ids":["title_womens_flip_flop"],"rationale":"Product is a women's flip flop."}],"capability_intent":[{"value":"arch_support","evidence_type":"explicit","source_span":"arch support","fact_ids":[],"rationale":"Term explicitly requests arch support."},{"value":"arch_support","evidence_type":"page_validated","source_span":"","fact_ids":["arch_support"],"rationale":"Product provides ergonomic arch support."}],"size":[{"value":"us_9","evidence_type":"explicit","source_span":"size 9","fact_ids":[],"rationale":"Term explicitly requests size 9."},{"value":"us_9","evidence_type":"page_validated","source_span":"","fact_ids":["sizes_6_11"],"rationale":"Size 9 is within the available range of 6-11."}]}</x:v>
      </x:c>
      <x:c r="Y20" s="16" t="str"/>
      <x:c r="Z20" s="13" t="str">
        <x:v>match</x:v>
      </x:c>
      <x:c r="AA20" s="16" t="str">
        <x:v>title_womens_flip_flop | style_flip_flop | arch_support | sizes_6_11</x:v>
      </x:c>
      <x:c r="AB20" s="13" t="str">
        <x:v>accepted</x:v>
      </x:c>
      <x:c r="AC20" s="13" t="str">
        <x:v>1.0.0</x:v>
      </x:c>
      <x:c r="AD20" s="13" t="str">
        <x:v>1.0.0</x:v>
      </x:c>
      <x:c r="AE20" s="13" t="str">
        <x:v>deepseek/deepseek-v4-pro</x:v>
      </x:c>
      <x:c r="AF20" s="13" t="str">
        <x:v>aj2-y90-20260714T234810-0bea2f52</x:v>
      </x:c>
      <x:c r="AG20" s="13" t="str">
        <x:v>full-0001</x:v>
      </x:c>
      <x:c r="AH20" s="13" t="str">
        <x:v>full</x:v>
      </x:c>
      <x:c r="AI20" s="13" t="n">
        <x:v>1</x:v>
      </x:c>
    </x:row>
    <x:row r="21" ht="34" customHeight="1">
      <x:c r="A21" s="15" t="str">
        <x:v>white foam flip-flop</x:v>
      </x:c>
      <x:c r="B21" s="15" t="str">
        <x:v>white foam flip-flop</x:v>
      </x:c>
      <x:c r="C21" s="10" t="str">
        <x:v>fd6d20645cdf3144</x:v>
      </x:c>
      <x:c r="D21" s="10" t="str">
        <x:v>keyword</x:v>
      </x:c>
      <x:c r="E21" s="10" t="str">
        <x:v>en</x:v>
      </x:c>
      <x:c r="F21" s="10" t="str">
        <x:v>clothing_shoes_jewelry</x:v>
      </x:c>
      <x:c r="G21" s="15" t="str"/>
      <x:c r="H21" s="15" t="str">
        <x:v>flip_flop</x:v>
      </x:c>
      <x:c r="I21" s="15" t="str">
        <x:v>unknown</x:v>
      </x:c>
      <x:c r="J21" s="15" t="str"/>
      <x:c r="K21" s="15" t="str"/>
      <x:c r="L21" s="15" t="str"/>
      <x:c r="M21" s="15" t="str"/>
      <x:c r="N21" s="15" t="str"/>
      <x:c r="O21" s="15" t="str"/>
      <x:c r="P21" s="15" t="str"/>
      <x:c r="Q21" s="15" t="str"/>
      <x:c r="R21" s="15" t="str">
        <x:v>用户想找一双白色泡沫材质的夹脚拖鞋。</x:v>
      </x:c>
      <x:c r="S21" s="10" t="str">
        <x:v>high_intent</x:v>
      </x:c>
      <x:c r="T21" s="15" t="str">
        <x:v>explicit | page_validated</x:v>
      </x:c>
      <x:c r="U21" s="10" t="str">
        <x:v>high</x:v>
      </x:c>
      <x:c r="V21" s="15" t="str">
        <x:v>white_foam_flip_flops</x:v>
      </x:c>
      <x:c r="W21" s="15" t="str">
        <x:v>cluster_route</x:v>
      </x:c>
      <x:c r="X21" s="15" t="str">
        <x:v>{"primary_domain":[{"value":"clothing_shoes_jewelry","evidence_type":"explicit","source_span":"flip-flop","fact_ids":[],"rationale":"Flip-flops are footwear."}],"product_type":[{"value":"flip_flop","evidence_type":"explicit","source_span":"flip-flop","fact_ids":[],"rationale":"Term explicitly requests a flip-flop."},{"value":"flip_flop","evidence_type":"page_validated","source_span":"","fact_ids":["style_flip_flop"],"rationale":"Product page confirms Flip Flop type."}],"color":[{"value":"white","evidence_type":"explicit","source_span":"white","fact_ids":[],"rationale":"该颜色在商品页面可见颜色选择中得到明确支持。"},{"value":"white","evidence_type":"page_validated","source_span":"","fact_ids":["colors_visible"],"rationale":"该颜色在商品页面可见颜色选择中得到明确支持。"}],"material":[{"value":"foam","evidence_type":"explicit","source_span":"foam","fact_ids":[],"rationale":"Term explicitly requests foam material."},{"value":"eva_foam","evidence_type":"page_validated","source_span":"","fact_ids":["material_eva"],"rationale":"Product outer material is EVA, which is a foam material; no water-resistance or other properties are inferred from the EVA material."}],"audience_intent":[{"value":"unknown","evidence_type":"inferred","source_span":"","fact_ids":[],"rationale":"该值由搜索词整体语义推断，未作为页面明示属性。"}]}</x:v>
      </x:c>
      <x:c r="Y21" s="15" t="str"/>
      <x:c r="Z21" s="10" t="str">
        <x:v>match</x:v>
      </x:c>
      <x:c r="AA21" s="15" t="str">
        <x:v>style_flip_flop | colors_visible | material_eva</x:v>
      </x:c>
      <x:c r="AB21" s="10" t="str">
        <x:v>accepted</x:v>
      </x:c>
      <x:c r="AC21" s="10" t="str">
        <x:v>1.0.0</x:v>
      </x:c>
      <x:c r="AD21" s="10" t="str">
        <x:v>1.0.0</x:v>
      </x:c>
      <x:c r="AE21" s="10" t="str">
        <x:v>deepseek/deepseek-v4-pro</x:v>
      </x:c>
      <x:c r="AF21" s="10" t="str">
        <x:v>aj2-y90-20260714T234810-0bea2f52</x:v>
      </x:c>
      <x:c r="AG21" s="10" t="str">
        <x:v>full-0001</x:v>
      </x:c>
      <x:c r="AH21" s="10" t="str">
        <x:v>full</x:v>
      </x:c>
      <x:c r="AI21" s="10" t="n">
        <x:v>1</x:v>
      </x:c>
    </x:row>
    <x:row r="22" ht="34" customHeight="1">
      <x:c r="A22" s="16" t="str">
        <x:v>flip flop whit</x:v>
      </x:c>
      <x:c r="B22" s="16" t="str">
        <x:v>flip flop whit</x:v>
      </x:c>
      <x:c r="C22" s="13" t="str">
        <x:v>03ef8afcd312fb29</x:v>
      </x:c>
      <x:c r="D22" s="13" t="str">
        <x:v>keyword</x:v>
      </x:c>
      <x:c r="E22" s="13" t="str">
        <x:v>en</x:v>
      </x:c>
      <x:c r="F22" s="13" t="str">
        <x:v>clothing_shoes_jewelry</x:v>
      </x:c>
      <x:c r="G22" s="16" t="str"/>
      <x:c r="H22" s="16" t="str">
        <x:v>flip_flops</x:v>
      </x:c>
      <x:c r="I22" s="16" t="str"/>
      <x:c r="J22" s="16" t="str"/>
      <x:c r="K22" s="16" t="str"/>
      <x:c r="L22" s="16" t="str"/>
      <x:c r="M22" s="16" t="str"/>
      <x:c r="N22" s="16" t="str"/>
      <x:c r="O22" s="16" t="str"/>
      <x:c r="P22" s="16" t="str"/>
      <x:c r="Q22" s="16" t="str"/>
      <x:c r="R22" s="16" t="str">
        <x:v>用户可能想搜索白色人字拖，whit可能是white的拼写错误，也可能是其他含with的短语片段</x:v>
      </x:c>
      <x:c r="S22" s="13" t="str">
        <x:v>exploration</x:v>
      </x:c>
      <x:c r="T22" s="16" t="str">
        <x:v>explicit | inferred</x:v>
      </x:c>
      <x:c r="U22" s="13" t="str">
        <x:v>low</x:v>
      </x:c>
      <x:c r="V22" s="16" t="str">
        <x:v>color_flip_flops</x:v>
      </x:c>
      <x:c r="W22" s="16" t="str">
        <x:v>ambiguity_review</x:v>
      </x:c>
      <x:c r="X22" s="16" t="str">
        <x:v>{"product_type":[{"value":"flip_flops","evidence_type":"explicit","source_span":"flip flop","fact_ids":[],"rationale":"verbatim match in search term"},{"value":"flip_flops","evidence_type":"page_validated","source_span":"","fact_ids":["style_flip_flop"],"rationale":"product sandal type is Flip Flop"},{"value":"flip_flops","evidence_type":"inferred","source_span":"","fact_ids":[],"rationale":"该能力由搜索词表达的任务或问题推断；页面事实仅用于验证商品承接。"}],"color":[{"value":"white","evidence_type":"inferred","source_span":"","fact_ids":[],"rationale":"该颜色在商品页面可见颜色选择中得到明确支持。"},{"value":"unknown","evidence_type":"inferred","source_span":"","fact_ids":[],"rationale":"whit could also be a fragment of with in a larger query, making the intent ambiguous"}],"primary_domain":[{"value":"clothing_shoes_jewelry","evidence_type":"inferred","source_span":"","fact_ids":[],"rationale":"该值由搜索词整体语义推断，未作为页面明示属性。"}]}</x:v>
      </x:c>
      <x:c r="Y22" s="16" t="str">
        <x:v>spelling_variant</x:v>
      </x:c>
      <x:c r="Z22" s="13" t="str">
        <x:v>match</x:v>
      </x:c>
      <x:c r="AA22" s="16" t="str">
        <x:v>style_flip_flop | colors_visible</x:v>
      </x:c>
      <x:c r="AB22" s="13" t="str">
        <x:v>accepted</x:v>
      </x:c>
      <x:c r="AC22" s="13" t="str">
        <x:v>1.0.0</x:v>
      </x:c>
      <x:c r="AD22" s="13" t="str">
        <x:v>1.1.0</x:v>
      </x:c>
      <x:c r="AE22" s="13" t="str">
        <x:v>deepseek/deepseek-v4-pro</x:v>
      </x:c>
      <x:c r="AF22" s="13" t="str">
        <x:v>aj2-y90-20260714T234810-0bea2f52</x:v>
      </x:c>
      <x:c r="AG22" s="13" t="str">
        <x:v>full-0002</x:v>
      </x:c>
      <x:c r="AH22" s="13" t="str">
        <x:v>full</x:v>
      </x:c>
      <x:c r="AI22" s="13" t="n">
        <x:v>2</x:v>
      </x:c>
    </x:row>
    <x:row r="23" ht="34" customHeight="1">
      <x:c r="A23" s="15" t="str">
        <x:v>comfortable flip flop</x:v>
      </x:c>
      <x:c r="B23" s="15" t="str">
        <x:v>comfortable flip flop</x:v>
      </x:c>
      <x:c r="C23" s="10" t="str">
        <x:v>0d3988749756df43</x:v>
      </x:c>
      <x:c r="D23" s="10" t="str">
        <x:v>keyword</x:v>
      </x:c>
      <x:c r="E23" s="10" t="str">
        <x:v>en</x:v>
      </x:c>
      <x:c r="F23" s="10" t="str">
        <x:v>clothing_shoes_jewelry</x:v>
      </x:c>
      <x:c r="G23" s="15" t="str"/>
      <x:c r="H23" s="15" t="str">
        <x:v>flip_flops</x:v>
      </x:c>
      <x:c r="I23" s="15" t="str"/>
      <x:c r="J23" s="15" t="str">
        <x:v>foot_comfort</x:v>
      </x:c>
      <x:c r="K23" s="15" t="str">
        <x:v>comfortable</x:v>
      </x:c>
      <x:c r="L23" s="15" t="str"/>
      <x:c r="M23" s="15" t="str"/>
      <x:c r="N23" s="15" t="str"/>
      <x:c r="O23" s="15" t="str"/>
      <x:c r="P23" s="15" t="str"/>
      <x:c r="Q23" s="15" t="str"/>
      <x:c r="R23" s="15" t="str">
        <x:v>用户需要购买穿着舒适的人字拖</x:v>
      </x:c>
      <x:c r="S23" s="10" t="str">
        <x:v>consideration</x:v>
      </x:c>
      <x:c r="T23" s="15" t="str">
        <x:v>explicit | page_validated | inferred</x:v>
      </x:c>
      <x:c r="U23" s="10" t="str">
        <x:v>high</x:v>
      </x:c>
      <x:c r="V23" s="15" t="str">
        <x:v>comfort_flip_flops</x:v>
      </x:c>
      <x:c r="W23" s="15" t="str">
        <x:v>cluster_route</x:v>
      </x:c>
      <x:c r="X23" s="15" t="str">
        <x:v>{"product_type":[{"value":"flip_flops","evidence_type":"explicit","source_span":"flip flop","fact_ids":[],"rationale":"verbatim match in search term"},{"value":"flip_flops","evidence_type":"page_validated","source_span":"","fact_ids":["style_flip_flop"],"rationale":"product sandal type is Flip Flop"},{"value":"flip_flops","evidence_type":"inferred","source_span":"","fact_ids":[],"rationale":"该能力由搜索词表达的任务或问题推断；页面事实仅用于验证商品承接。"}],"capability_intent":[{"value":"comfortable","evidence_type":"explicit","source_span":"comfortable","fact_ids":[],"rationale":"verbatim match in search term"},{"value":"comfortable","evidence_type":"page_validated","source_span":"","fact_ids":["arch_support","padded_cushioning","soft_toe_post","lightweight_breathable"],"rationale":"arch support, padded cushioning, soft toe post, and lightweight breathable construction all contribute to comfort"}],"function_intent":[{"value":"foot_comfort","evidence_type":"inferred","source_span":"","fact_ids":[],"rationale":"the user's core problem is foot comfort; comfort features on the product address this need"},{"value":"foot_comfort","evidence_type":"page_validated","source_span":"","fact_ids":["arch_support","padded_cushioning"],"rationale":"该槽位与商品基准中的明示页面事实一致。"}],"primary_domain":[{"value":"clothing_shoes_jewelry","evidence_type":"inferred","source_span":"","fact_ids":[],"rationale":"该值由搜索词整体语义推断，未作为页面明示属性。"}]}</x:v>
      </x:c>
      <x:c r="Y23" s="15" t="str"/>
      <x:c r="Z23" s="10" t="str">
        <x:v>match</x:v>
      </x:c>
      <x:c r="AA23" s="15" t="str">
        <x:v>style_flip_flop | arch_support | padded_cushioning | soft_toe_post | lightweight_breathable</x:v>
      </x:c>
      <x:c r="AB23" s="10" t="str">
        <x:v>accepted</x:v>
      </x:c>
      <x:c r="AC23" s="10" t="str">
        <x:v>1.0.0</x:v>
      </x:c>
      <x:c r="AD23" s="10" t="str">
        <x:v>1.1.0</x:v>
      </x:c>
      <x:c r="AE23" s="10" t="str">
        <x:v>deepseek/deepseek-v4-pro</x:v>
      </x:c>
      <x:c r="AF23" s="10" t="str">
        <x:v>aj2-y90-20260714T234810-0bea2f52</x:v>
      </x:c>
      <x:c r="AG23" s="10" t="str">
        <x:v>full-0002</x:v>
      </x:c>
      <x:c r="AH23" s="10" t="str">
        <x:v>full</x:v>
      </x:c>
      <x:c r="AI23" s="10" t="n">
        <x:v>2</x:v>
      </x:c>
    </x:row>
    <x:row r="24" ht="34" customHeight="1">
      <x:c r="A24" s="16" t="str">
        <x:v>beach sandals white</x:v>
      </x:c>
      <x:c r="B24" s="16" t="str">
        <x:v>beach sandals white</x:v>
      </x:c>
      <x:c r="C24" s="13" t="str">
        <x:v>10387023c91b2308</x:v>
      </x:c>
      <x:c r="D24" s="13" t="str">
        <x:v>keyword</x:v>
      </x:c>
      <x:c r="E24" s="13" t="str">
        <x:v>en</x:v>
      </x:c>
      <x:c r="F24" s="13" t="str">
        <x:v>clothing_shoes_jewelry</x:v>
      </x:c>
      <x:c r="G24" s="16" t="str">
        <x:v>sports_outdoors</x:v>
      </x:c>
      <x:c r="H24" s="16" t="str">
        <x:v>sandals | flip_flops</x:v>
      </x:c>
      <x:c r="I24" s="16" t="str"/>
      <x:c r="J24" s="16" t="str">
        <x:v>beach_use</x:v>
      </x:c>
      <x:c r="K24" s="16" t="str"/>
      <x:c r="L24" s="16" t="str">
        <x:v>beach_outing</x:v>
      </x:c>
      <x:c r="M24" s="16" t="str">
        <x:v>beach</x:v>
      </x:c>
      <x:c r="N24" s="16" t="str"/>
      <x:c r="O24" s="16" t="str"/>
      <x:c r="P24" s="16" t="str"/>
      <x:c r="Q24" s="16" t="str"/>
      <x:c r="R24" s="16" t="str">
        <x:v>用户需要购买适合海滩穿着的白色凉鞋</x:v>
      </x:c>
      <x:c r="S24" s="13" t="str">
        <x:v>consideration</x:v>
      </x:c>
      <x:c r="T24" s="16" t="str">
        <x:v>explicit | page_validated | inferred</x:v>
      </x:c>
      <x:c r="U24" s="13" t="str">
        <x:v>medium</x:v>
      </x:c>
      <x:c r="V24" s="16" t="str">
        <x:v>beach_color_sandals</x:v>
      </x:c>
      <x:c r="W24" s="16" t="str">
        <x:v>cluster_route</x:v>
      </x:c>
      <x:c r="X24" s="16" t="str">
        <x:v>{"product_type":[{"value":"sandals","evidence_type":"explicit","source_span":"sandals","fact_ids":[],"rationale":"verbatim match in search term"},{"value":"flip_flops","evidence_type":"page_validated","source_span":"","fact_ids":["style_flip_flop"],"rationale":"product is a flip flop, which is a type of sandal"},{"value":"sandals","evidence_type":"page_validated","source_span":"","fact_ids":["title_womens_flip_flop"],"rationale":"该槽位与商品基准中的明示页面事实一致。"},{"value":"flip_flops","evidence_type":"inferred","source_span":"","fact_ids":[],"rationale":"该能力由搜索词表达的任务或问题推断；页面事实仅用于验证商品承接。"}],"event_intent":[{"value":"beach_outing","evidence_type":"explicit","source_span":"beach","fact_ids":[],"rationale":"beach directly requested as use context"}],"location_intent":[{"value":"beach","evidence_type":"explicit","source_span":"beach","fact_ids":[],"rationale":"verbatim match in search term"},{"value":"beach","evidence_type":"page_validated","source_span":"","fact_ids":["style_outdoor","slip_resistant_grip"],"rationale":"outdoor lifestyle and slip-resistant grip are suitable for beach use"}],"color":[{"value":"white","evidence_type":"explicit","source_span":"white","fact_ids":[],"rationale":"该颜色在商品页面可见颜色选择中得到明确支持。"},{"value":"white","evidence_type":"page_validated","source_span":"","fact_ids":["colors_visible"],"rationale":"该颜色在商品页面可见颜色选择中得到明确支持。"}],"secondary_domain":[{"value":"sports_outdoors","evidence_type":"inferred","source_span":"","fact_ids":[],"rationale":"该值由搜索词整体语义推断，未作为页面明示属性。"}],"function_intent":[{"value":"beach_use","evidence_type":"inferred","source_span":"","fact_ids":[],"rationale":"该值由搜索词整体语义推断，未作为页面明示属性。"}],"primary_domain":[{"value":"clothing_shoes_jewelry","evidence_type":"inferred","source_span":"","fact_ids":[],"rationale":"该值由搜索词整体语义推断，未作为页面明示属性。"}]}</x:v>
      </x:c>
      <x:c r="Y24" s="16" t="str"/>
      <x:c r="Z24" s="13" t="str">
        <x:v>match</x:v>
      </x:c>
      <x:c r="AA24" s="16" t="str">
        <x:v>style_flip_flop | style_outdoor | colors_visible</x:v>
      </x:c>
      <x:c r="AB24" s="13" t="str">
        <x:v>accepted</x:v>
      </x:c>
      <x:c r="AC24" s="13" t="str">
        <x:v>1.0.0</x:v>
      </x:c>
      <x:c r="AD24" s="13" t="str">
        <x:v>1.1.0</x:v>
      </x:c>
      <x:c r="AE24" s="13" t="str">
        <x:v>deepseek/deepseek-v4-pro</x:v>
      </x:c>
      <x:c r="AF24" s="13" t="str">
        <x:v>aj2-y90-20260714T234810-0bea2f52</x:v>
      </x:c>
      <x:c r="AG24" s="13" t="str">
        <x:v>full-0002</x:v>
      </x:c>
      <x:c r="AH24" s="13" t="str">
        <x:v>full</x:v>
      </x:c>
      <x:c r="AI24" s="13" t="n">
        <x:v>2</x:v>
      </x:c>
    </x:row>
    <x:row r="25" ht="34" customHeight="1">
      <x:c r="A25" s="15" t="str">
        <x:v>arch support flip women alternative brands</x:v>
      </x:c>
      <x:c r="B25" s="15" t="str">
        <x:v>arch support flip women alternative brands</x:v>
      </x:c>
      <x:c r="C25" s="10" t="str">
        <x:v>1c139a723438a9cc</x:v>
      </x:c>
      <x:c r="D25" s="10" t="str">
        <x:v>keyword</x:v>
      </x:c>
      <x:c r="E25" s="10" t="str">
        <x:v>en</x:v>
      </x:c>
      <x:c r="F25" s="10" t="str">
        <x:v>clothing_shoes_jewelry</x:v>
      </x:c>
      <x:c r="G25" s="15" t="str"/>
      <x:c r="H25" s="15" t="str">
        <x:v>flip_flops</x:v>
      </x:c>
      <x:c r="I25" s="15" t="str">
        <x:v>women</x:v>
      </x:c>
      <x:c r="J25" s="15" t="str">
        <x:v>foot_support | brand_comparison</x:v>
      </x:c>
      <x:c r="K25" s="15" t="str">
        <x:v>arch_support</x:v>
      </x:c>
      <x:c r="L25" s="15" t="str"/>
      <x:c r="M25" s="15" t="str"/>
      <x:c r="N25" s="15" t="str">
        <x:v>arch_support_needs</x:v>
      </x:c>
      <x:c r="O25" s="15" t="str"/>
      <x:c r="P25" s="15" t="str"/>
      <x:c r="Q25" s="15" t="str"/>
      <x:c r="R25" s="15" t="str">
        <x:v>用户需要寻找其他品牌中带有足弓支撑功能的女士人字拖作为替代选择</x:v>
      </x:c>
      <x:c r="S25" s="10" t="str">
        <x:v>exploration</x:v>
      </x:c>
      <x:c r="T25" s="15" t="str">
        <x:v>explicit | page_validated | inferred</x:v>
      </x:c>
      <x:c r="U25" s="10" t="str">
        <x:v>medium</x:v>
      </x:c>
      <x:c r="V25" s="15" t="str">
        <x:v>womens_arch_alternative_brands</x:v>
      </x:c>
      <x:c r="W25" s="15" t="str">
        <x:v>listing_gap_review</x:v>
      </x:c>
      <x:c r="X25" s="15" t="str">
        <x:v>{"audience_intent":[{"value":"women","evidence_type":"explicit","source_span":"women","fact_ids":[],"rationale":"verbatim match in search term"},{"value":"women","evidence_type":"page_validated","source_span":"","fact_ids":["title_womens_flip_flop"],"rationale":"product page title identifies a women's flip flop"}],"product_type":[{"value":"flip_flops","evidence_type":"explicit","source_span":"flip","fact_ids":[],"rationale":"flip is shorthand for flip flops in search term"},{"value":"flip_flops","evidence_type":"page_validated","source_span":"","fact_ids":["style_flip_flop"],"rationale":"product sandal type is Flip Flop"},{"value":"flip_flops","evidence_type":"inferred","source_span":"","fact_ids":[],"rationale":"该能力由搜索词表达的任务或问题推断；页面事实仅用于验证商品承接。"}],"capability_intent":[{"value":"arch_support","evidence_type":"explicit","source_span":"arch support","fact_ids":[],"rationale":"verbatim match in search term"},{"value":"arch_support","evidence_type":"page_validated","source_span":"","fact_ids":["arch_support"],"rationale":"page states ergonomic arch support and proper alignment"}],"function_intent":[{"value":"brand_comparison","evidence_type":"explicit","source_span":"alternative brands","fact_ids":[],"rationale":"verbatim match indicating the user is comparing brands and seeking alternatives"},{"value":"foot_support","evidence_type":"page_validated","source_span":"","fact_ids":["arch_support"],"rationale":"该槽位与商品基准中的明示页面事实一致。"},{"value":"foot_support","evidence_type":"inferred","source_span":"","fact_ids":[],"rationale":"该能力由搜索词表达的任务或问题推断；页面事实仅用于验证商品承接。"}],"body_need_intent":[{"value":"arch_support_needs","evidence_type":"inferred","source_span":"","fact_ids":[],"rationale":"requesting arch support implies the user has arch-related foot needs"}],"primary_domain":[{"value":"clothing_shoes_jewelry","evidence_type":"inferred","source_span":"","fact_ids":[],"rationale":"该值由搜索词整体语义推断，未作为页面明示属性。"}]}</x:v>
      </x:c>
      <x:c r="Y25" s="15" t="str"/>
      <x:c r="Z25" s="10" t="str">
        <x:v>partial_match</x:v>
      </x:c>
      <x:c r="AA25" s="15" t="str">
        <x:v>title_womens_flip_flop | style_flip_flop | arch_support</x:v>
      </x:c>
      <x:c r="AB25" s="10" t="str">
        <x:v>accepted</x:v>
      </x:c>
      <x:c r="AC25" s="10" t="str">
        <x:v>1.0.0</x:v>
      </x:c>
      <x:c r="AD25" s="10" t="str">
        <x:v>1.1.0</x:v>
      </x:c>
      <x:c r="AE25" s="10" t="str">
        <x:v>deepseek/deepseek-v4-pro</x:v>
      </x:c>
      <x:c r="AF25" s="10" t="str">
        <x:v>aj2-y90-20260714T234810-0bea2f52</x:v>
      </x:c>
      <x:c r="AG25" s="10" t="str">
        <x:v>full-0002</x:v>
      </x:c>
      <x:c r="AH25" s="10" t="str">
        <x:v>full</x:v>
      </x:c>
      <x:c r="AI25" s="10" t="n">
        <x:v>2</x:v>
      </x:c>
    </x:row>
    <x:row r="26" ht="34" customHeight="1">
      <x:c r="A26" s="16" t="str">
        <x:v>black arch flip flops for women</x:v>
      </x:c>
      <x:c r="B26" s="16" t="str">
        <x:v>black arch flip flops for women</x:v>
      </x:c>
      <x:c r="C26" s="13" t="str">
        <x:v>1d41f81f013f86d5</x:v>
      </x:c>
      <x:c r="D26" s="13" t="str">
        <x:v>keyword</x:v>
      </x:c>
      <x:c r="E26" s="13" t="str">
        <x:v>en</x:v>
      </x:c>
      <x:c r="F26" s="13" t="str">
        <x:v>clothing_shoes_jewelry</x:v>
      </x:c>
      <x:c r="G26" s="16" t="str"/>
      <x:c r="H26" s="16" t="str">
        <x:v>flip_flops</x:v>
      </x:c>
      <x:c r="I26" s="16" t="str">
        <x:v>women</x:v>
      </x:c>
      <x:c r="J26" s="16" t="str">
        <x:v>foot_support</x:v>
      </x:c>
      <x:c r="K26" s="16" t="str">
        <x:v>arch_support</x:v>
      </x:c>
      <x:c r="L26" s="16" t="str"/>
      <x:c r="M26" s="16" t="str"/>
      <x:c r="N26" s="16" t="str">
        <x:v>arch_support_needs</x:v>
      </x:c>
      <x:c r="O26" s="16" t="str"/>
      <x:c r="P26" s="16" t="str"/>
      <x:c r="Q26" s="16" t="str"/>
      <x:c r="R26" s="16" t="str">
        <x:v>用户需要购买黑色带有足弓支撑功能的女士人字拖</x:v>
      </x:c>
      <x:c r="S26" s="13" t="str">
        <x:v>high_intent</x:v>
      </x:c>
      <x:c r="T26" s="16" t="str">
        <x:v>explicit | page_validated | inferred</x:v>
      </x:c>
      <x:c r="U26" s="13" t="str">
        <x:v>high</x:v>
      </x:c>
      <x:c r="V26" s="16" t="str">
        <x:v>womens_color_arch_flip_flops</x:v>
      </x:c>
      <x:c r="W26" s="16" t="str">
        <x:v>cluster_route</x:v>
      </x:c>
      <x:c r="X26" s="16" t="str">
        <x:v>{"audience_intent":[{"value":"women","evidence_type":"explicit","source_span":"women","fact_ids":[],"rationale":"verbatim match in search term"},{"value":"women","evidence_type":"page_validated","source_span":"","fact_ids":["title_womens_flip_flop"],"rationale":"product page title identifies a women's flip flop"}],"product_type":[{"value":"flip_flops","evidence_type":"explicit","source_span":"flip flops","fact_ids":[],"rationale":"verbatim match in search term"},{"value":"flip_flops","evidence_type":"page_validated","source_span":"","fact_ids":["style_flip_flop"],"rationale":"product sandal type is Flip Flop"}],"capability_intent":[{"value":"arch_support","evidence_type":"explicit","source_span":"arch","fact_ids":[],"rationale":"arch explicitly requested in search term"},{"value":"arch_support","evidence_type":"page_validated","source_span":"","fact_ids":["arch_support"],"rationale":"page states ergonomic arch support and proper alignment"},{"value":"arch_support","evidence_type":"inferred","source_span":"","fact_ids":[],"rationale":"该能力由搜索词表达的任务或问题推断；页面事实仅用于验证商品承接。"}],"body_need_intent":[{"value":"arch_support_needs","evidence_type":"inferred","source_span":"","fact_ids":[],"rationale":"requesting arch support implies the user has arch-related foot needs"}],"color":[{"value":"black","evidence_type":"explicit","source_span":"black","fact_ids":[],"rationale":"该颜色在商品页面可见颜色选择中得到明确支持。"},{"value":"black","evidence_type":"page_validated","source_span":"","fact_ids":["colors_visible"],"rationale":"该颜色在商品页面可见颜色选择中得到明确支持。"}],"function_intent":[{"value":"foot_support","evidence_type":"page_validated","source_span":"","fact_ids":["arch_support"],"rationale":"该槽位与商品基准中的明示页面事实一致。"},{"value":"foot_suppor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26" s="16" t="str"/>
      <x:c r="Z26" s="13" t="str">
        <x:v>match</x:v>
      </x:c>
      <x:c r="AA26" s="16" t="str">
        <x:v>title_womens_flip_flop | style_flip_flop | arch_support | colors_visible</x:v>
      </x:c>
      <x:c r="AB26" s="13" t="str">
        <x:v>accepted</x:v>
      </x:c>
      <x:c r="AC26" s="13" t="str">
        <x:v>1.0.0</x:v>
      </x:c>
      <x:c r="AD26" s="13" t="str">
        <x:v>1.1.0</x:v>
      </x:c>
      <x:c r="AE26" s="13" t="str">
        <x:v>deepseek/deepseek-v4-pro</x:v>
      </x:c>
      <x:c r="AF26" s="13" t="str">
        <x:v>aj2-y90-20260714T234810-0bea2f52</x:v>
      </x:c>
      <x:c r="AG26" s="13" t="str">
        <x:v>full-0002</x:v>
      </x:c>
      <x:c r="AH26" s="13" t="str">
        <x:v>full</x:v>
      </x:c>
      <x:c r="AI26" s="13" t="n">
        <x:v>2</x:v>
      </x:c>
    </x:row>
    <x:row r="27" ht="34" customHeight="1">
      <x:c r="A27" s="15" t="str">
        <x:v>flip flops around the house</x:v>
      </x:c>
      <x:c r="B27" s="15" t="str">
        <x:v>flip flops around the house</x:v>
      </x:c>
      <x:c r="C27" s="10" t="str">
        <x:v>1f315207154ddb3c</x:v>
      </x:c>
      <x:c r="D27" s="10" t="str">
        <x:v>keyword</x:v>
      </x:c>
      <x:c r="E27" s="10" t="str">
        <x:v>en</x:v>
      </x:c>
      <x:c r="F27" s="10" t="str">
        <x:v>clothing_shoes_jewelry</x:v>
      </x:c>
      <x:c r="G27" s="15" t="str"/>
      <x:c r="H27" s="15" t="str">
        <x:v>flip_flops</x:v>
      </x:c>
      <x:c r="I27" s="15" t="str"/>
      <x:c r="J27" s="15" t="str">
        <x:v>indoor_convenience</x:v>
      </x:c>
      <x:c r="K27" s="15" t="str"/>
      <x:c r="L27" s="15" t="str"/>
      <x:c r="M27" s="15" t="str">
        <x:v>indoor_home</x:v>
      </x:c>
      <x:c r="N27" s="15" t="str"/>
      <x:c r="O27" s="15" t="str"/>
      <x:c r="P27" s="15" t="str"/>
      <x:c r="Q27" s="15" t="str"/>
      <x:c r="R27" s="15" t="str">
        <x:v>用户需要购买适合在家里穿的人字拖</x:v>
      </x:c>
      <x:c r="S27" s="10" t="str">
        <x:v>consideration</x:v>
      </x:c>
      <x:c r="T27" s="15" t="str">
        <x:v>explicit | inferred</x:v>
      </x:c>
      <x:c r="U27" s="10" t="str">
        <x:v>medium</x:v>
      </x:c>
      <x:c r="V27" s="15" t="str">
        <x:v>indoor_flip_flops</x:v>
      </x:c>
      <x:c r="W27" s="15" t="str">
        <x:v>listing_gap_review</x:v>
      </x:c>
      <x:c r="X27" s="15" t="str">
        <x:v>{"product_type":[{"value":"flip_flops","evidence_type":"explicit","source_span":"flip flops","fact_ids":[],"rationale":"verbatim match in search term"},{"value":"flip_flops","evidence_type":"page_validated","source_span":"","fact_ids":["style_flip_flop"],"rationale":"product is a flip flop"}],"location_intent":[{"value":"indoor_home","evidence_type":"explicit","source_span":"around the house","fact_ids":[],"rationale":"verbatim match indicating indoor home use"}],"function_intent":[{"value":"indoor_convenience","evidence_type":"inferred","source_span":"","fact_ids":[],"rationale":"around the house suggests casual indoor convenience use, not outdoor activities"}],"primary_domain":[{"value":"clothing_shoes_jewelry","evidence_type":"inferred","source_span":"","fact_ids":[],"rationale":"该值由搜索词整体语义推断，未作为页面明示属性。"}]}</x:v>
      </x:c>
      <x:c r="Y27" s="15" t="str"/>
      <x:c r="Z27" s="10" t="str">
        <x:v>partial_match</x:v>
      </x:c>
      <x:c r="AA27" s="15" t="str">
        <x:v>style_flip_flop</x:v>
      </x:c>
      <x:c r="AB27" s="10" t="str">
        <x:v>accepted</x:v>
      </x:c>
      <x:c r="AC27" s="10" t="str">
        <x:v>1.0.0</x:v>
      </x:c>
      <x:c r="AD27" s="10" t="str">
        <x:v>1.1.0</x:v>
      </x:c>
      <x:c r="AE27" s="10" t="str">
        <x:v>deepseek/deepseek-v4-pro</x:v>
      </x:c>
      <x:c r="AF27" s="10" t="str">
        <x:v>aj2-y90-20260714T234810-0bea2f52</x:v>
      </x:c>
      <x:c r="AG27" s="10" t="str">
        <x:v>full-0002</x:v>
      </x:c>
      <x:c r="AH27" s="10" t="str">
        <x:v>full</x:v>
      </x:c>
      <x:c r="AI27" s="10" t="n">
        <x:v>2</x:v>
      </x:c>
    </x:row>
    <x:row r="28" ht="34" customHeight="1">
      <x:c r="A28" s="16" t="str">
        <x:v>women's non-slip flip flops</x:v>
      </x:c>
      <x:c r="B28" s="16" t="str">
        <x:v>women's non-slip flip flops</x:v>
      </x:c>
      <x:c r="C28" s="13" t="str">
        <x:v>3cd9f47262673ef1</x:v>
      </x:c>
      <x:c r="D28" s="13" t="str">
        <x:v>keyword</x:v>
      </x:c>
      <x:c r="E28" s="13" t="str">
        <x:v>en</x:v>
      </x:c>
      <x:c r="F28" s="13" t="str">
        <x:v>clothing_shoes_jewelry</x:v>
      </x:c>
      <x:c r="G28" s="16" t="str"/>
      <x:c r="H28" s="16" t="str">
        <x:v>flip_flops</x:v>
      </x:c>
      <x:c r="I28" s="16" t="str">
        <x:v>women</x:v>
      </x:c>
      <x:c r="J28" s="16" t="str">
        <x:v>slip_prevention</x:v>
      </x:c>
      <x:c r="K28" s="16" t="str">
        <x:v>non_slip</x:v>
      </x:c>
      <x:c r="L28" s="16" t="str"/>
      <x:c r="M28" s="16" t="str"/>
      <x:c r="N28" s="16" t="str"/>
      <x:c r="O28" s="16" t="str"/>
      <x:c r="P28" s="16" t="str"/>
      <x:c r="Q28" s="16" t="str"/>
      <x:c r="R28" s="16" t="str">
        <x:v>用户需要购买具有防滑功能的女士人字拖</x:v>
      </x:c>
      <x:c r="S28" s="13" t="str">
        <x:v>high_intent</x:v>
      </x:c>
      <x:c r="T28" s="16" t="str">
        <x:v>explicit | page_validated</x:v>
      </x:c>
      <x:c r="U28" s="13" t="str">
        <x:v>high</x:v>
      </x:c>
      <x:c r="V28" s="16" t="str">
        <x:v>womens_nonslip_flip_flops</x:v>
      </x:c>
      <x:c r="W28" s="16" t="str">
        <x:v>cluster_route</x:v>
      </x:c>
      <x:c r="X28" s="16" t="str">
        <x:v>{"audience_intent":[{"value":"women","evidence_type":"explicit","source_span":"women's","fact_ids":[],"rationale":"verbatim match in search term"},{"value":"women","evidence_type":"page_validated","source_span":"","fact_ids":["title_womens_flip_flop"],"rationale":"product page title identifies a women's flip flop"}],"product_type":[{"value":"flip_flops","evidence_type":"explicit","source_span":"flip flops","fact_ids":[],"rationale":"verbatim match in search term"},{"value":"flip_flops","evidence_type":"page_validated","source_span":"","fact_ids":["style_flip_flop"],"rationale":"product sandal type is Flip Flop"}],"capability_intent":[{"value":"non_slip","evidence_type":"explicit","source_span":"non-slip","fact_ids":[],"rationale":"verbatim match in search term"},{"value":"non_slip","evidence_type":"page_validated","source_span":"","fact_ids":["slip_resistant_grip"],"rationale":"deep textured lattice outsole provides grip and slip-resistant steps"}],"function_intent":[{"value":"slip_prevention","evidence_type":"inferred","source_span":"","fact_ids":[],"rationale":"user's problem is preventing slips; non-slip capability addresses this"}],"primary_domain":[{"value":"clothing_shoes_jewelry","evidence_type":"inferred","source_span":"","fact_ids":[],"rationale":"该值由搜索词整体语义推断，未作为页面明示属性。"}]}</x:v>
      </x:c>
      <x:c r="Y28" s="16" t="str"/>
      <x:c r="Z28" s="13" t="str">
        <x:v>match</x:v>
      </x:c>
      <x:c r="AA28" s="16" t="str">
        <x:v>title_womens_flip_flop | style_flip_flop | slip_resistant_grip</x:v>
      </x:c>
      <x:c r="AB28" s="13" t="str">
        <x:v>accepted</x:v>
      </x:c>
      <x:c r="AC28" s="13" t="str">
        <x:v>1.0.0</x:v>
      </x:c>
      <x:c r="AD28" s="13" t="str">
        <x:v>1.1.0</x:v>
      </x:c>
      <x:c r="AE28" s="13" t="str">
        <x:v>deepseek/deepseek-v4-pro</x:v>
      </x:c>
      <x:c r="AF28" s="13" t="str">
        <x:v>aj2-y90-20260714T234810-0bea2f52</x:v>
      </x:c>
      <x:c r="AG28" s="13" t="str">
        <x:v>full-0002</x:v>
      </x:c>
      <x:c r="AH28" s="13" t="str">
        <x:v>full</x:v>
      </x:c>
      <x:c r="AI28" s="13" t="n">
        <x:v>2</x:v>
      </x:c>
    </x:row>
    <x:row r="29" ht="34" customHeight="1">
      <x:c r="A29" s="15" t="str">
        <x:v>rose colored flip flops</x:v>
      </x:c>
      <x:c r="B29" s="15" t="str">
        <x:v>rose colored flip flops</x:v>
      </x:c>
      <x:c r="C29" s="10" t="str">
        <x:v>3dc23a8086786367</x:v>
      </x:c>
      <x:c r="D29" s="10" t="str">
        <x:v>keyword</x:v>
      </x:c>
      <x:c r="E29" s="10" t="str">
        <x:v>en</x:v>
      </x:c>
      <x:c r="F29" s="10" t="str">
        <x:v>clothing_shoes_jewelry</x:v>
      </x:c>
      <x:c r="G29" s="15" t="str"/>
      <x:c r="H29" s="15" t="str">
        <x:v>flip_flops</x:v>
      </x:c>
      <x:c r="I29" s="15" t="str"/>
      <x:c r="J29" s="15" t="str"/>
      <x:c r="K29" s="15" t="str"/>
      <x:c r="L29" s="15" t="str"/>
      <x:c r="M29" s="15" t="str"/>
      <x:c r="N29" s="15" t="str"/>
      <x:c r="O29" s="15" t="str"/>
      <x:c r="P29" s="15" t="str"/>
      <x:c r="Q29" s="15" t="str"/>
      <x:c r="R29" s="15" t="str">
        <x:v>用户需要购买玫瑰色的人字拖</x:v>
      </x:c>
      <x:c r="S29" s="10" t="str">
        <x:v>consideration</x:v>
      </x:c>
      <x:c r="T29" s="15" t="str">
        <x:v>explicit | page_validated | inferred</x:v>
      </x:c>
      <x:c r="U29" s="10" t="str">
        <x:v>medium</x:v>
      </x:c>
      <x:c r="V29" s="15" t="str">
        <x:v>color_flip_flops</x:v>
      </x:c>
      <x:c r="W29" s="15" t="str">
        <x:v>cluster_route</x:v>
      </x:c>
      <x:c r="X29" s="15" t="str">
        <x:v>{"product_type":[{"value":"flip_flops","evidence_type":"explicit","source_span":"flip flops","fact_ids":[],"rationale":"verbatim match in search term"},{"value":"flip_flops","evidence_type":"page_validated","source_span":"","fact_ids":["style_flip_flop"],"rationale":"product sandal type is Flip Flop"}],"color":[{"value":"rose","evidence_type":"explicit","source_span":"rose colored","fact_ids":[],"rationale":"verbatim match in search term"},{"value":"rose","evidence_type":"inferred","source_span":"","fact_ids":[],"rationale":"这是搜索词中的颜色约束，但商品页面基准未确认该具体颜色。"}],"primary_domain":[{"value":"clothing_shoes_jewelry","evidence_type":"inferred","source_span":"","fact_ids":[],"rationale":"该值由搜索词整体语义推断，未作为页面明示属性。"}]}</x:v>
      </x:c>
      <x:c r="Y29" s="15" t="str"/>
      <x:c r="Z29" s="10" t="str">
        <x:v>match</x:v>
      </x:c>
      <x:c r="AA29" s="15" t="str">
        <x:v>style_flip_flop | colors_visible</x:v>
      </x:c>
      <x:c r="AB29" s="10" t="str">
        <x:v>accepted</x:v>
      </x:c>
      <x:c r="AC29" s="10" t="str">
        <x:v>1.0.0</x:v>
      </x:c>
      <x:c r="AD29" s="10" t="str">
        <x:v>1.1.0</x:v>
      </x:c>
      <x:c r="AE29" s="10" t="str">
        <x:v>deepseek/deepseek-v4-pro</x:v>
      </x:c>
      <x:c r="AF29" s="10" t="str">
        <x:v>aj2-y90-20260714T234810-0bea2f52</x:v>
      </x:c>
      <x:c r="AG29" s="10" t="str">
        <x:v>full-0002</x:v>
      </x:c>
      <x:c r="AH29" s="10" t="str">
        <x:v>full</x:v>
      </x:c>
      <x:c r="AI29" s="10" t="n">
        <x:v>2</x:v>
      </x:c>
    </x:row>
    <x:row r="30" ht="34" customHeight="1">
      <x:c r="A30" s="16" t="str">
        <x:v>women's house flip flops under 10</x:v>
      </x:c>
      <x:c r="B30" s="16" t="str">
        <x:v>women's house flip flops under 10</x:v>
      </x:c>
      <x:c r="C30" s="13" t="str">
        <x:v>464cd3a076b21f73</x:v>
      </x:c>
      <x:c r="D30" s="13" t="str">
        <x:v>keyword</x:v>
      </x:c>
      <x:c r="E30" s="13" t="str">
        <x:v>en</x:v>
      </x:c>
      <x:c r="F30" s="13" t="str">
        <x:v>clothing_shoes_jewelry</x:v>
      </x:c>
      <x:c r="G30" s="16" t="str"/>
      <x:c r="H30" s="16" t="str">
        <x:v>flip_flops</x:v>
      </x:c>
      <x:c r="I30" s="16" t="str">
        <x:v>women</x:v>
      </x:c>
      <x:c r="J30" s="16" t="str">
        <x:v>indoor_convenience | budget_footwear</x:v>
      </x:c>
      <x:c r="K30" s="16" t="str"/>
      <x:c r="L30" s="16" t="str"/>
      <x:c r="M30" s="16" t="str">
        <x:v>indoor_home</x:v>
      </x:c>
      <x:c r="N30" s="16" t="str"/>
      <x:c r="O30" s="16" t="str"/>
      <x:c r="P30" s="16" t="str"/>
      <x:c r="Q30" s="16" t="str"/>
      <x:c r="R30" s="16" t="str">
        <x:v>用户需要购买价格低于10美元的女士家居人字拖</x:v>
      </x:c>
      <x:c r="S30" s="13" t="str">
        <x:v>high_intent</x:v>
      </x:c>
      <x:c r="T30" s="16" t="str">
        <x:v>explicit | page_validated | inferred</x:v>
      </x:c>
      <x:c r="U30" s="13" t="str">
        <x:v>medium</x:v>
      </x:c>
      <x:c r="V30" s="16" t="str">
        <x:v>womens_indoor_budget_flip_flops</x:v>
      </x:c>
      <x:c r="W30" s="16" t="str">
        <x:v>listing_gap_review</x:v>
      </x:c>
      <x:c r="X30" s="16" t="str">
        <x:v>{"audience_intent":[{"value":"women","evidence_type":"explicit","source_span":"women's","fact_ids":[],"rationale":"verbatim match in search term"},{"value":"women","evidence_type":"page_validated","source_span":"","fact_ids":["title_womens_flip_flop"],"rationale":"product page title identifies a women's flip flop"}],"product_type":[{"value":"flip_flops","evidence_type":"explicit","source_span":"flip flops","fact_ids":[],"rationale":"verbatim match in search term"},{"value":"flip_flops","evidence_type":"page_validated","source_span":"","fact_ids":["style_flip_flop"],"rationale":"product is a flip flop"}],"location_intent":[{"value":"indoor_home","evidence_type":"explicit","source_span":"house","fact_ids":[],"rationale":"verbatim match indicating indoor home use"}],"function_intent":[{"value":"indoor_convenience","evidence_type":"inferred","source_span":"","fact_ids":[],"rationale":"house flip flops imply casual indoor use"},{"value":"budget_footwear","evidence_type":"inferred","source_span":"","fact_ids":[],"rationale":"under 10 indicates a budget-conscious purchase"}],"primary_domain":[{"value":"clothing_shoes_jewelry","evidence_type":"inferred","source_span":"","fact_ids":[],"rationale":"该值由搜索词整体语义推断，未作为页面明示属性。"}]}</x:v>
      </x:c>
      <x:c r="Y30" s="16" t="str"/>
      <x:c r="Z30" s="13" t="str">
        <x:v>partial_match</x:v>
      </x:c>
      <x:c r="AA30" s="16" t="str">
        <x:v>title_womens_flip_flop | style_flip_flop</x:v>
      </x:c>
      <x:c r="AB30" s="13" t="str">
        <x:v>accepted</x:v>
      </x:c>
      <x:c r="AC30" s="13" t="str">
        <x:v>1.0.0</x:v>
      </x:c>
      <x:c r="AD30" s="13" t="str">
        <x:v>1.1.0</x:v>
      </x:c>
      <x:c r="AE30" s="13" t="str">
        <x:v>deepseek/deepseek-v4-pro</x:v>
      </x:c>
      <x:c r="AF30" s="13" t="str">
        <x:v>aj2-y90-20260714T234810-0bea2f52</x:v>
      </x:c>
      <x:c r="AG30" s="13" t="str">
        <x:v>full-0002</x:v>
      </x:c>
      <x:c r="AH30" s="13" t="str">
        <x:v>full</x:v>
      </x:c>
      <x:c r="AI30" s="13" t="n">
        <x:v>2</x:v>
      </x:c>
    </x:row>
    <x:row r="31" ht="34" customHeight="1">
      <x:c r="A31" s="15" t="str">
        <x:v>thong sandal for beach</x:v>
      </x:c>
      <x:c r="B31" s="15" t="str">
        <x:v>thong sandal for beach</x:v>
      </x:c>
      <x:c r="C31" s="10" t="str">
        <x:v>49d9d50c5db48405</x:v>
      </x:c>
      <x:c r="D31" s="10" t="str">
        <x:v>keyword</x:v>
      </x:c>
      <x:c r="E31" s="10" t="str">
        <x:v>en</x:v>
      </x:c>
      <x:c r="F31" s="10" t="str">
        <x:v>clothing_shoes_jewelry</x:v>
      </x:c>
      <x:c r="G31" s="15" t="str">
        <x:v>sports_outdoors</x:v>
      </x:c>
      <x:c r="H31" s="15" t="str">
        <x:v>thong_sandals | flip_flops</x:v>
      </x:c>
      <x:c r="I31" s="15" t="str"/>
      <x:c r="J31" s="15" t="str">
        <x:v>beach_use</x:v>
      </x:c>
      <x:c r="K31" s="15" t="str"/>
      <x:c r="L31" s="15" t="str">
        <x:v>beach_outing</x:v>
      </x:c>
      <x:c r="M31" s="15" t="str">
        <x:v>beach</x:v>
      </x:c>
      <x:c r="N31" s="15" t="str"/>
      <x:c r="O31" s="15" t="str"/>
      <x:c r="P31" s="15" t="str"/>
      <x:c r="Q31" s="15" t="str"/>
      <x:c r="R31" s="15" t="str">
        <x:v>用户需要购买适合海滩穿着的夹趾凉鞋</x:v>
      </x:c>
      <x:c r="S31" s="10" t="str">
        <x:v>consideration</x:v>
      </x:c>
      <x:c r="T31" s="15" t="str">
        <x:v>explicit | page_validated | inferred</x:v>
      </x:c>
      <x:c r="U31" s="10" t="str">
        <x:v>high</x:v>
      </x:c>
      <x:c r="V31" s="15" t="str">
        <x:v>beach_thong_sandals</x:v>
      </x:c>
      <x:c r="W31" s="15" t="str">
        <x:v>cluster_route</x:v>
      </x:c>
      <x:c r="X31" s="15" t="str">
        <x:v>{"product_type":[{"value":"thong_sandals","evidence_type":"explicit","source_span":"thong sandal","fact_ids":[],"rationale":"verbatim match in search term"},{"value":"flip_flops","evidence_type":"page_validated","source_span":"","fact_ids":["style_thong","style_flip_flop"],"rationale":"product is a flip flop with thong strap type, which is a thong sandal"},{"value":"thong_sandals","evidence_type":"page_validated","source_span":"","fact_ids":["style_thong","style_flip_flop"],"rationale":"该槽位与商品基准中的明示页面事实一致。"},{"value":"thong_sandals","evidence_type":"inferred","source_span":"","fact_ids":[],"rationale":"该能力由搜索词表达的任务或问题推断；页面事实仅用于验证商品承接。"},{"value":"flip_flops","evidence_type":"inferred","source_span":"","fact_ids":[],"rationale":"该能力由搜索词表达的任务或问题推断；页面事实仅用于验证商品承接。"}],"location_intent":[{"value":"beach","evidence_type":"explicit","source_span":"beach","fact_ids":[],"rationale":"verbatim match in search term"},{"value":"beach","evidence_type":"page_validated","source_span":"","fact_ids":["style_outdoor"],"rationale":"outdoor lifestyle supports beach use"}],"event_intent":[{"value":"beach_outing","evidence_type":"inferred","source_span":"","fact_ids":[],"rationale":"beach context implies a beach outing event"}],"secondary_domain":[{"value":"sports_outdoors","evidence_type":"inferred","source_span":"","fact_ids":[],"rationale":"该值由搜索词整体语义推断，未作为页面明示属性。"}],"function_intent":[{"value":"beach_use","evidence_type":"inferred","source_span":"","fact_ids":[],"rationale":"该值由搜索词整体语义推断，未作为页面明示属性。"}],"primary_domain":[{"value":"clothing_shoes_jewelry","evidence_type":"inferred","source_span":"","fact_ids":[],"rationale":"该值由搜索词整体语义推断，未作为页面明示属性。"}]}</x:v>
      </x:c>
      <x:c r="Y31" s="15" t="str"/>
      <x:c r="Z31" s="10" t="str">
        <x:v>match</x:v>
      </x:c>
      <x:c r="AA31" s="15" t="str">
        <x:v>style_thong | style_flip_flop | style_outdoor</x:v>
      </x:c>
      <x:c r="AB31" s="10" t="str">
        <x:v>accepted</x:v>
      </x:c>
      <x:c r="AC31" s="10" t="str">
        <x:v>1.0.0</x:v>
      </x:c>
      <x:c r="AD31" s="10" t="str">
        <x:v>1.1.0</x:v>
      </x:c>
      <x:c r="AE31" s="10" t="str">
        <x:v>deepseek/deepseek-v4-pro</x:v>
      </x:c>
      <x:c r="AF31" s="10" t="str">
        <x:v>aj2-y90-20260714T234810-0bea2f52</x:v>
      </x:c>
      <x:c r="AG31" s="10" t="str">
        <x:v>full-0002</x:v>
      </x:c>
      <x:c r="AH31" s="10" t="str">
        <x:v>full</x:v>
      </x:c>
      <x:c r="AI31" s="10" t="n">
        <x:v>2</x:v>
      </x:c>
    </x:row>
    <x:row r="32" ht="34" customHeight="1">
      <x:c r="A32" s="16" t="str">
        <x:v>womens flip flops 9.5 beach</x:v>
      </x:c>
      <x:c r="B32" s="16" t="str">
        <x:v>womens flip flops 9.5 beach</x:v>
      </x:c>
      <x:c r="C32" s="13" t="str">
        <x:v>5de999f5201a0ab9</x:v>
      </x:c>
      <x:c r="D32" s="13" t="str">
        <x:v>keyword</x:v>
      </x:c>
      <x:c r="E32" s="13" t="str">
        <x:v>en</x:v>
      </x:c>
      <x:c r="F32" s="13" t="str">
        <x:v>clothing_shoes_jewelry</x:v>
      </x:c>
      <x:c r="G32" s="16" t="str">
        <x:v>sports_outdoors</x:v>
      </x:c>
      <x:c r="H32" s="16" t="str">
        <x:v>flip_flops</x:v>
      </x:c>
      <x:c r="I32" s="16" t="str">
        <x:v>women</x:v>
      </x:c>
      <x:c r="J32" s="16" t="str">
        <x:v>beach_use</x:v>
      </x:c>
      <x:c r="K32" s="16" t="str"/>
      <x:c r="L32" s="16" t="str">
        <x:v>beach_outing</x:v>
      </x:c>
      <x:c r="M32" s="16" t="str">
        <x:v>beach</x:v>
      </x:c>
      <x:c r="N32" s="16" t="str"/>
      <x:c r="O32" s="16" t="str"/>
      <x:c r="P32" s="16" t="str"/>
      <x:c r="Q32" s="16" t="str"/>
      <x:c r="R32" s="16" t="str">
        <x:v>用户需要购买适合海滩穿着的9.5码女士人字拖</x:v>
      </x:c>
      <x:c r="S32" s="13" t="str">
        <x:v>high_intent</x:v>
      </x:c>
      <x:c r="T32" s="16" t="str">
        <x:v>explicit | page_validated | inferred</x:v>
      </x:c>
      <x:c r="U32" s="13" t="str">
        <x:v>high</x:v>
      </x:c>
      <x:c r="V32" s="16" t="str">
        <x:v>womens_sized_beach_flip_flops</x:v>
      </x:c>
      <x:c r="W32" s="16" t="str">
        <x:v>cluster_route</x:v>
      </x:c>
      <x:c r="X32" s="16" t="str">
        <x:v>{"audience_intent":[{"value":"women","evidence_type":"explicit","source_span":"womens","fact_ids":[],"rationale":"verbatim match in search term"},{"value":"women","evidence_type":"page_validated","source_span":"","fact_ids":["title_womens_flip_flop"],"rationale":"product page title identifies a women's flip flop"}],"product_type":[{"value":"flip_flops","evidence_type":"explicit","source_span":"flip flops","fact_ids":[],"rationale":"verbatim match in search term"},{"value":"flip_flops","evidence_type":"page_validated","source_span":"","fact_ids":["style_flip_flop"],"rationale":"product sandal type is Flip Flop"}],"location_intent":[{"value":"beach","evidence_type":"explicit","source_span":"beach","fact_ids":[],"rationale":"verbatim match in search term"},{"value":"beach","evidence_type":"page_validated","source_span":"","fact_ids":["style_outdoor","slip_resistant_grip"],"rationale":"outdoor lifestyle and slip-resistant grip suitable for beach use"}],"event_intent":[{"value":"beach_outing","evidence_type":"explicit","source_span":"beach","fact_ids":[],"rationale":"beach context implies beach outing as the event"}],"size":[{"value":"9.5","evidence_type":"explicit","source_span":"9.5","fact_ids":[],"rationale":"verbatim match in search term"},{"value":"9.5","evidence_type":"page_validated","source_span":"","fact_ids":["sizes_6_11"],"rationale":"size 9.5 falls within the available US sizes 6 through 11 range"}],"secondary_domain":[{"value":"sports_outdoors","evidence_type":"inferred","source_span":"","fact_ids":[],"rationale":"该值由搜索词整体语义推断，未作为页面明示属性。"}],"function_intent":[{"value":"beach_use","evidence_type":"inferred","source_span":"","fact_ids":[],"rationale":"该值由搜索词整体语义推断，未作为页面明示属性。"}],"primary_domain":[{"value":"clothing_shoes_jewelry","evidence_type":"inferred","source_span":"","fact_ids":[],"rationale":"该值由搜索词整体语义推断，未作为页面明示属性。"}]}</x:v>
      </x:c>
      <x:c r="Y32" s="16" t="str"/>
      <x:c r="Z32" s="13" t="str">
        <x:v>match</x:v>
      </x:c>
      <x:c r="AA32" s="16" t="str">
        <x:v>title_womens_flip_flop | style_flip_flop | sizes_6_11 | style_outdoor</x:v>
      </x:c>
      <x:c r="AB32" s="13" t="str">
        <x:v>accepted</x:v>
      </x:c>
      <x:c r="AC32" s="13" t="str">
        <x:v>1.0.0</x:v>
      </x:c>
      <x:c r="AD32" s="13" t="str">
        <x:v>1.1.0</x:v>
      </x:c>
      <x:c r="AE32" s="13" t="str">
        <x:v>deepseek/deepseek-v4-pro</x:v>
      </x:c>
      <x:c r="AF32" s="13" t="str">
        <x:v>aj2-y90-20260714T234810-0bea2f52</x:v>
      </x:c>
      <x:c r="AG32" s="13" t="str">
        <x:v>full-0002</x:v>
      </x:c>
      <x:c r="AH32" s="13" t="str">
        <x:v>full</x:v>
      </x:c>
      <x:c r="AI32" s="13" t="n">
        <x:v>2</x:v>
      </x:c>
    </x:row>
    <x:row r="33" ht="34" customHeight="1">
      <x:c r="A33" s="15" t="str">
        <x:v>flip flops for plantar fasciitis for women</x:v>
      </x:c>
      <x:c r="B33" s="15" t="str">
        <x:v>flip flops for plantar fasciitis for women</x:v>
      </x:c>
      <x:c r="C33" s="10" t="str">
        <x:v>865f6391ab6eed7c</x:v>
      </x:c>
      <x:c r="D33" s="10" t="str">
        <x:v>keyword</x:v>
      </x:c>
      <x:c r="E33" s="10" t="str">
        <x:v>en</x:v>
      </x:c>
      <x:c r="F33" s="10" t="str">
        <x:v>clothing_shoes_jewelry</x:v>
      </x:c>
      <x:c r="G33" s="15" t="str">
        <x:v>health_household</x:v>
      </x:c>
      <x:c r="H33" s="15" t="str">
        <x:v>flip_flops</x:v>
      </x:c>
      <x:c r="I33" s="15" t="str">
        <x:v>women</x:v>
      </x:c>
      <x:c r="J33" s="15" t="str">
        <x:v>foot_pain_relief</x:v>
      </x:c>
      <x:c r="K33" s="15" t="str">
        <x:v>arch_support | cushioning</x:v>
      </x:c>
      <x:c r="L33" s="15" t="str"/>
      <x:c r="M33" s="15" t="str"/>
      <x:c r="N33" s="15" t="str">
        <x:v>plantar_fasciitis</x:v>
      </x:c>
      <x:c r="O33" s="15" t="str"/>
      <x:c r="P33" s="15" t="str"/>
      <x:c r="Q33" s="15" t="str"/>
      <x:c r="R33" s="15" t="str">
        <x:v>用户需要购买适合足底筋膜炎患者穿着的女士人字拖，以缓解足部疼痛</x:v>
      </x:c>
      <x:c r="S33" s="10" t="str">
        <x:v>consideration</x:v>
      </x:c>
      <x:c r="T33" s="15" t="str">
        <x:v>explicit | page_validated | inferred</x:v>
      </x:c>
      <x:c r="U33" s="10" t="str">
        <x:v>medium</x:v>
      </x:c>
      <x:c r="V33" s="15" t="str">
        <x:v>womens_medical_flip_flops</x:v>
      </x:c>
      <x:c r="W33" s="15" t="str">
        <x:v>listing_gap_review</x:v>
      </x:c>
      <x:c r="X33" s="15" t="str">
        <x:v>{"audience_intent":[{"value":"women","evidence_type":"explicit","source_span":"women","fact_ids":[],"rationale":"verbatim match in search term"},{"value":"women","evidence_type":"page_validated","source_span":"","fact_ids":["title_womens_flip_flop"],"rationale":"product page title identifies a women's flip flop"}],"product_type":[{"value":"flip_flops","evidence_type":"explicit","source_span":"flip flops","fact_ids":[],"rationale":"verbatim match in search term"},{"value":"flip_flops","evidence_type":"page_validated","source_span":"","fact_ids":["style_flip_flop"],"rationale":"product sandal type is Flip Flop"}],"body_need_intent":[{"value":"plantar_fasciitis","evidence_type":"explicit","source_span":"plantar fasciitis","fact_ids":[],"rationale":"verbatim match in search term"}],"function_intent":[{"value":"foot_pain_relief","evidence_type":"inferred","source_span":"","fact_ids":[],"rationale":"plantar fasciitis drives a need for pain relief; arch support and cushioning may contribute but are not validated as treatment"}],"capability_intent":[{"value":"arch_support","evidence_type":"page_validated","source_span":"","fact_ids":["arch_support"],"rationale":"page states ergonomic arch support"},{"value":"cushioning","evidence_type":"page_validated","source_span":"","fact_ids":["padded_cushioning"],"rationale":"special features include padded cushioning"},{"value":"arch_support","evidence_type":"inferred","source_span":"","fact_ids":[],"rationale":"该能力由搜索词表达的任务或问题推断；页面事实仅用于验证商品承接。"},{"value":"cushioning","evidence_type":"inferred","source_span":"","fact_ids":[],"rationale":"该能力由搜索词表达的任务或问题推断；页面事实仅用于验证商品承接。"}],"secondary_domain":[{"value":"health_household","evidence_type":"inferred","source_span":"","fact_ids":[],"rationale":"该值由搜索词整体语义推断，未作为页面明示属性。"}],"primary_domain":[{"value":"clothing_shoes_jewelry","evidence_type":"inferred","source_span":"","fact_ids":[],"rationale":"该值由搜索词整体语义推断，未作为页面明示属性。"}]}</x:v>
      </x:c>
      <x:c r="Y33" s="15" t="str"/>
      <x:c r="Z33" s="10" t="str">
        <x:v>partial_match</x:v>
      </x:c>
      <x:c r="AA33" s="15" t="str">
        <x:v>title_womens_flip_flop | style_flip_flop | arch_support | padded_cushioning</x:v>
      </x:c>
      <x:c r="AB33" s="10" t="str">
        <x:v>accepted</x:v>
      </x:c>
      <x:c r="AC33" s="10" t="str">
        <x:v>1.0.0</x:v>
      </x:c>
      <x:c r="AD33" s="10" t="str">
        <x:v>1.1.0</x:v>
      </x:c>
      <x:c r="AE33" s="10" t="str">
        <x:v>deepseek/deepseek-v4-pro</x:v>
      </x:c>
      <x:c r="AF33" s="10" t="str">
        <x:v>aj2-y90-20260714T234810-0bea2f52</x:v>
      </x:c>
      <x:c r="AG33" s="10" t="str">
        <x:v>full-0002</x:v>
      </x:c>
      <x:c r="AH33" s="10" t="str">
        <x:v>full</x:v>
      </x:c>
      <x:c r="AI33" s="10" t="n">
        <x:v>2</x:v>
      </x:c>
    </x:row>
    <x:row r="34" ht="34" customHeight="1">
      <x:c r="A34" s="16" t="str">
        <x:v>light blue women's flip flops</x:v>
      </x:c>
      <x:c r="B34" s="16" t="str">
        <x:v>light blue women's flip flops</x:v>
      </x:c>
      <x:c r="C34" s="13" t="str">
        <x:v>982d433dfcf7aed1</x:v>
      </x:c>
      <x:c r="D34" s="13" t="str">
        <x:v>keyword</x:v>
      </x:c>
      <x:c r="E34" s="13" t="str">
        <x:v>en</x:v>
      </x:c>
      <x:c r="F34" s="13" t="str">
        <x:v>clothing_shoes_jewelry</x:v>
      </x:c>
      <x:c r="G34" s="16" t="str"/>
      <x:c r="H34" s="16" t="str">
        <x:v>flip_flops</x:v>
      </x:c>
      <x:c r="I34" s="16" t="str">
        <x:v>women</x:v>
      </x:c>
      <x:c r="J34" s="16" t="str"/>
      <x:c r="K34" s="16" t="str"/>
      <x:c r="L34" s="16" t="str"/>
      <x:c r="M34" s="16" t="str"/>
      <x:c r="N34" s="16" t="str"/>
      <x:c r="O34" s="16" t="str"/>
      <x:c r="P34" s="16" t="str"/>
      <x:c r="Q34" s="16" t="str"/>
      <x:c r="R34" s="16" t="str">
        <x:v>用户需要购买适合女士穿着的浅蓝色人字拖</x:v>
      </x:c>
      <x:c r="S34" s="13" t="str">
        <x:v>high_intent</x:v>
      </x:c>
      <x:c r="T34" s="16" t="str">
        <x:v>explicit | page_validated</x:v>
      </x:c>
      <x:c r="U34" s="13" t="str">
        <x:v>high</x:v>
      </x:c>
      <x:c r="V34" s="16" t="str">
        <x:v>womens_color_flip_flops</x:v>
      </x:c>
      <x:c r="W34" s="16" t="str">
        <x:v>cluster_route</x:v>
      </x:c>
      <x:c r="X34" s="16" t="str">
        <x:v>{"audience_intent":[{"value":"women","evidence_type":"explicit","source_span":"women's","fact_ids":[],"rationale":"verbatim match in search term"},{"value":"women","evidence_type":"page_validated","source_span":"","fact_ids":["title_womens_flip_flop"],"rationale":"product page title identifies a women's flip flop"}],"product_type":[{"value":"flip_flops","evidence_type":"explicit","source_span":"flip flops","fact_ids":[],"rationale":"verbatim match in search term"},{"value":"flip_flops","evidence_type":"page_validated","source_span":"","fact_ids":["style_flip_flop"],"rationale":"product sandal type is Flip Flop"}],"color":[{"value":"light_blue","evidence_type":"explicit","source_span":"light blue","fact_ids":[],"rationale":"该颜色在商品页面可见颜色选择中得到明确支持。"},{"value":"light_blue","evidence_type":"page_validated","source_span":"","fact_ids":["colors_visible"],"rationale":"该颜色在商品页面可见颜色选择中得到明确支持。"}],"primary_domain":[{"value":"clothing_shoes_jewelry","evidence_type":"inferred","source_span":"","fact_ids":[],"rationale":"该值由搜索词整体语义推断，未作为页面明示属性。"}]}</x:v>
      </x:c>
      <x:c r="Y34" s="16" t="str"/>
      <x:c r="Z34" s="13" t="str">
        <x:v>match</x:v>
      </x:c>
      <x:c r="AA34" s="16" t="str">
        <x:v>title_womens_flip_flop | style_flip_flop | colors_visible</x:v>
      </x:c>
      <x:c r="AB34" s="13" t="str">
        <x:v>accepted</x:v>
      </x:c>
      <x:c r="AC34" s="13" t="str">
        <x:v>1.0.0</x:v>
      </x:c>
      <x:c r="AD34" s="13" t="str">
        <x:v>1.1.0</x:v>
      </x:c>
      <x:c r="AE34" s="13" t="str">
        <x:v>deepseek/deepseek-v4-pro</x:v>
      </x:c>
      <x:c r="AF34" s="13" t="str">
        <x:v>aj2-y90-20260714T234810-0bea2f52</x:v>
      </x:c>
      <x:c r="AG34" s="13" t="str">
        <x:v>full-0002</x:v>
      </x:c>
      <x:c r="AH34" s="13" t="str">
        <x:v>full</x:v>
      </x:c>
      <x:c r="AI34" s="13" t="n">
        <x:v>2</x:v>
      </x:c>
    </x:row>
    <x:row r="35" ht="34" customHeight="1">
      <x:c r="A35" s="15" t="str">
        <x:v>light blue flip flop sandals</x:v>
      </x:c>
      <x:c r="B35" s="15" t="str">
        <x:v>light blue flip flop sandals</x:v>
      </x:c>
      <x:c r="C35" s="10" t="str">
        <x:v>c0be1fd08fec03d5</x:v>
      </x:c>
      <x:c r="D35" s="10" t="str">
        <x:v>keyword</x:v>
      </x:c>
      <x:c r="E35" s="10" t="str">
        <x:v>en</x:v>
      </x:c>
      <x:c r="F35" s="10" t="str">
        <x:v>clothing_shoes_jewelry</x:v>
      </x:c>
      <x:c r="G35" s="15" t="str"/>
      <x:c r="H35" s="15" t="str">
        <x:v>flip_flops | sandals</x:v>
      </x:c>
      <x:c r="I35" s="15" t="str"/>
      <x:c r="J35" s="15" t="str"/>
      <x:c r="K35" s="15" t="str"/>
      <x:c r="L35" s="15" t="str"/>
      <x:c r="M35" s="15" t="str"/>
      <x:c r="N35" s="15" t="str"/>
      <x:c r="O35" s="15" t="str"/>
      <x:c r="P35" s="15" t="str"/>
      <x:c r="Q35" s="15" t="str"/>
      <x:c r="R35" s="15" t="str">
        <x:v>用户需要购买浅蓝色人字拖凉鞋，未指定穿着者性别</x:v>
      </x:c>
      <x:c r="S35" s="10" t="str">
        <x:v>consideration</x:v>
      </x:c>
      <x:c r="T35" s="15" t="str">
        <x:v>explicit | page_validated | inferred</x:v>
      </x:c>
      <x:c r="U35" s="10" t="str">
        <x:v>medium</x:v>
      </x:c>
      <x:c r="V35" s="15" t="str">
        <x:v>color_flip_flops</x:v>
      </x:c>
      <x:c r="W35" s="15" t="str">
        <x:v>cluster_route</x:v>
      </x:c>
      <x:c r="X35" s="15" t="str">
        <x:v>{"product_type":[{"value":"flip_flops","evidence_type":"explicit","source_span":"flip flop","fact_ids":[],"rationale":"verbatim match in search term"},{"value":"sandals","evidence_type":"explicit","source_span":"sandals","fact_ids":[],"rationale":"verbatim match in search term"},{"value":"flip_flops","evidence_type":"page_validated","source_span":"","fact_ids":["style_flip_flop"],"rationale":"product sandal type is Flip Flop"},{"value":"flip_flops","evidence_type":"inferred","source_span":"","fact_ids":[],"rationale":"该能力由搜索词表达的任务或问题推断；页面事实仅用于验证商品承接。"},{"value":"sandals","evidence_type":"page_validated","source_span":"","fact_ids":["title_womens_flip_flop"],"rationale":"该槽位与商品基准中的明示页面事实一致。"}],"color":[{"value":"light_blue","evidence_type":"explicit","source_span":"light blue","fact_ids":[],"rationale":"该颜色在商品页面可见颜色选择中得到明确支持。"},{"value":"light_blue","evidence_type":"page_validated","source_span":"","fact_ids":["colors_visible"],"rationale":"该颜色在商品页面可见颜色选择中得到明确支持。"}],"primary_domain":[{"value":"clothing_shoes_jewelry","evidence_type":"inferred","source_span":"","fact_ids":[],"rationale":"该值由搜索词整体语义推断，未作为页面明示属性。"}]}</x:v>
      </x:c>
      <x:c r="Y35" s="15" t="str"/>
      <x:c r="Z35" s="10" t="str">
        <x:v>match</x:v>
      </x:c>
      <x:c r="AA35" s="15" t="str">
        <x:v>style_flip_flop | colors_visible</x:v>
      </x:c>
      <x:c r="AB35" s="10" t="str">
        <x:v>accepted</x:v>
      </x:c>
      <x:c r="AC35" s="10" t="str">
        <x:v>1.0.0</x:v>
      </x:c>
      <x:c r="AD35" s="10" t="str">
        <x:v>1.1.0</x:v>
      </x:c>
      <x:c r="AE35" s="10" t="str">
        <x:v>deepseek/deepseek-v4-pro</x:v>
      </x:c>
      <x:c r="AF35" s="10" t="str">
        <x:v>aj2-y90-20260714T234810-0bea2f52</x:v>
      </x:c>
      <x:c r="AG35" s="10" t="str">
        <x:v>full-0002</x:v>
      </x:c>
      <x:c r="AH35" s="10" t="str">
        <x:v>full</x:v>
      </x:c>
      <x:c r="AI35" s="10" t="n">
        <x:v>2</x:v>
      </x:c>
    </x:row>
    <x:row r="36" ht="34" customHeight="1">
      <x:c r="A36" s="16" t="str">
        <x:v>soft toe post flip flops for women</x:v>
      </x:c>
      <x:c r="B36" s="16" t="str">
        <x:v>soft toe post flip flops for women</x:v>
      </x:c>
      <x:c r="C36" s="13" t="str">
        <x:v>c66de8ad64e857a7</x:v>
      </x:c>
      <x:c r="D36" s="13" t="str">
        <x:v>keyword</x:v>
      </x:c>
      <x:c r="E36" s="13" t="str">
        <x:v>en</x:v>
      </x:c>
      <x:c r="F36" s="13" t="str">
        <x:v>clothing_shoes_jewelry</x:v>
      </x:c>
      <x:c r="G36" s="16" t="str"/>
      <x:c r="H36" s="16" t="str">
        <x:v>flip_flops</x:v>
      </x:c>
      <x:c r="I36" s="16" t="str">
        <x:v>women</x:v>
      </x:c>
      <x:c r="J36" s="16" t="str">
        <x:v>toe_comfort</x:v>
      </x:c>
      <x:c r="K36" s="16" t="str">
        <x:v>soft_toe_post</x:v>
      </x:c>
      <x:c r="L36" s="16" t="str"/>
      <x:c r="M36" s="16" t="str"/>
      <x:c r="N36" s="16" t="str"/>
      <x:c r="O36" s="16" t="str"/>
      <x:c r="P36" s="16" t="str"/>
      <x:c r="Q36" s="16" t="str"/>
      <x:c r="R36" s="16" t="str">
        <x:v>用户需要购买带有柔软趾夹柱的女士人字拖，以避免脚趾摩擦不适</x:v>
      </x:c>
      <x:c r="S36" s="13" t="str">
        <x:v>high_intent</x:v>
      </x:c>
      <x:c r="T36" s="16" t="str">
        <x:v>explicit | page_validated | inferred</x:v>
      </x:c>
      <x:c r="U36" s="13" t="str">
        <x:v>high</x:v>
      </x:c>
      <x:c r="V36" s="16" t="str">
        <x:v>womens_soft_toe_flip_flops</x:v>
      </x:c>
      <x:c r="W36" s="16" t="str">
        <x:v>cluster_route</x:v>
      </x:c>
      <x:c r="X36" s="16" t="str">
        <x:v>{"audience_intent":[{"value":"women","evidence_type":"explicit","source_span":"women","fact_ids":[],"rationale":"verbatim match in search term"},{"value":"women","evidence_type":"page_validated","source_span":"","fact_ids":["title_womens_flip_flop"],"rationale":"product page title identifies a women's flip flop"}],"product_type":[{"value":"flip_flops","evidence_type":"explicit","source_span":"flip flops","fact_ids":[],"rationale":"verbatim match in search term"},{"value":"flip_flops","evidence_type":"page_validated","source_span":"","fact_ids":["style_flip_flop"],"rationale":"product sandal type is Flip Flop"}],"capability_intent":[{"value":"soft_toe_post","evidence_type":"explicit","source_span":"soft toe post","fact_ids":[],"rationale":"verbatim match in search term"},{"value":"soft_toe_post","evidence_type":"page_validated","source_span":"","fact_ids":["soft_toe_post"],"rationale":"page states an upgraded soft toe post"}],"function_intent":[{"value":"toe_comfort","evidence_type":"inferred","source_span":"","fact_ids":[],"rationale":"soft toe post solves the problem of toe discomfort from rubbing against hard toe posts"}],"primary_domain":[{"value":"clothing_shoes_jewelry","evidence_type":"inferred","source_span":"","fact_ids":[],"rationale":"该值由搜索词整体语义推断，未作为页面明示属性。"}]}</x:v>
      </x:c>
      <x:c r="Y36" s="16" t="str"/>
      <x:c r="Z36" s="13" t="str">
        <x:v>match</x:v>
      </x:c>
      <x:c r="AA36" s="16" t="str">
        <x:v>title_womens_flip_flop | style_flip_flop | soft_toe_post</x:v>
      </x:c>
      <x:c r="AB36" s="13" t="str">
        <x:v>accepted</x:v>
      </x:c>
      <x:c r="AC36" s="13" t="str">
        <x:v>1.0.0</x:v>
      </x:c>
      <x:c r="AD36" s="13" t="str">
        <x:v>1.1.0</x:v>
      </x:c>
      <x:c r="AE36" s="13" t="str">
        <x:v>deepseek/deepseek-v4-pro</x:v>
      </x:c>
      <x:c r="AF36" s="13" t="str">
        <x:v>aj2-y90-20260714T234810-0bea2f52</x:v>
      </x:c>
      <x:c r="AG36" s="13" t="str">
        <x:v>full-0002</x:v>
      </x:c>
      <x:c r="AH36" s="13" t="str">
        <x:v>full</x:v>
      </x:c>
      <x:c r="AI36" s="13" t="n">
        <x:v>2</x:v>
      </x:c>
    </x:row>
    <x:row r="37" ht="34" customHeight="1">
      <x:c r="A37" s="15" t="str">
        <x:v>navy blue flip flop sandals for women</x:v>
      </x:c>
      <x:c r="B37" s="15" t="str">
        <x:v>navy blue flip flop sandals for women</x:v>
      </x:c>
      <x:c r="C37" s="10" t="str">
        <x:v>cfa1024793dc094c</x:v>
      </x:c>
      <x:c r="D37" s="10" t="str">
        <x:v>keyword</x:v>
      </x:c>
      <x:c r="E37" s="10" t="str">
        <x:v>en</x:v>
      </x:c>
      <x:c r="F37" s="10" t="str">
        <x:v>clothing_shoes_jewelry</x:v>
      </x:c>
      <x:c r="G37" s="15" t="str"/>
      <x:c r="H37" s="15" t="str">
        <x:v>flip_flops | sandals</x:v>
      </x:c>
      <x:c r="I37" s="15" t="str">
        <x:v>women</x:v>
      </x:c>
      <x:c r="J37" s="15" t="str"/>
      <x:c r="K37" s="15" t="str"/>
      <x:c r="L37" s="15" t="str"/>
      <x:c r="M37" s="15" t="str"/>
      <x:c r="N37" s="15" t="str"/>
      <x:c r="O37" s="15" t="str"/>
      <x:c r="P37" s="15" t="str"/>
      <x:c r="Q37" s="15" t="str"/>
      <x:c r="R37" s="15" t="str">
        <x:v>用户需要购买海军蓝色的女士人字拖凉鞋</x:v>
      </x:c>
      <x:c r="S37" s="10" t="str">
        <x:v>high_intent</x:v>
      </x:c>
      <x:c r="T37" s="15" t="str">
        <x:v>explicit | page_validated | inferred</x:v>
      </x:c>
      <x:c r="U37" s="10" t="str">
        <x:v>medium</x:v>
      </x:c>
      <x:c r="V37" s="15" t="str">
        <x:v>womens_color_flip_flops</x:v>
      </x:c>
      <x:c r="W37" s="15" t="str">
        <x:v>listing_gap_review</x:v>
      </x:c>
      <x:c r="X37" s="15" t="str">
        <x:v>{"audience_intent":[{"value":"women","evidence_type":"explicit","source_span":"women","fact_ids":[],"rationale":"verbatim match in search term"},{"value":"women","evidence_type":"page_validated","source_span":"","fact_ids":["title_womens_flip_flop"],"rationale":"product page title identifies a women's flip flop"}],"product_type":[{"value":"flip_flops","evidence_type":"explicit","source_span":"flip flop","fact_ids":[],"rationale":"verbatim match in search term"},{"value":"sandals","evidence_type":"explicit","source_span":"sandals","fact_ids":[],"rationale":"verbatim match in search term"},{"value":"flip_flops","evidence_type":"page_validated","source_span":"","fact_ids":["style_flip_flop"],"rationale":"product sandal type is Flip Flop"},{"value":"flip_flops","evidence_type":"inferred","source_span":"","fact_ids":[],"rationale":"该能力由搜索词表达的任务或问题推断；页面事实仅用于验证商品承接。"},{"value":"sandals","evidence_type":"page_validated","source_span":"","fact_ids":["title_womens_flip_flop"],"rationale":"该槽位与商品基准中的明示页面事实一致。"}],"color":[{"value":"navy_blue","evidence_type":"explicit","source_span":"navy blue","fact_ids":[],"rationale":"verbatim match in search term"}],"primary_domain":[{"value":"clothing_shoes_jewelry","evidence_type":"inferred","source_span":"","fact_ids":[],"rationale":"该值由搜索词整体语义推断，未作为页面明示属性。"}]}</x:v>
      </x:c>
      <x:c r="Y37" s="15" t="str"/>
      <x:c r="Z37" s="10" t="str">
        <x:v>partial_match</x:v>
      </x:c>
      <x:c r="AA37" s="15" t="str">
        <x:v>title_womens_flip_flop | style_flip_flop</x:v>
      </x:c>
      <x:c r="AB37" s="10" t="str">
        <x:v>accepted</x:v>
      </x:c>
      <x:c r="AC37" s="10" t="str">
        <x:v>1.0.0</x:v>
      </x:c>
      <x:c r="AD37" s="10" t="str">
        <x:v>1.1.0</x:v>
      </x:c>
      <x:c r="AE37" s="10" t="str">
        <x:v>deepseek/deepseek-v4-pro</x:v>
      </x:c>
      <x:c r="AF37" s="10" t="str">
        <x:v>aj2-y90-20260714T234810-0bea2f52</x:v>
      </x:c>
      <x:c r="AG37" s="10" t="str">
        <x:v>full-0002</x:v>
      </x:c>
      <x:c r="AH37" s="10" t="str">
        <x:v>full</x:v>
      </x:c>
      <x:c r="AI37" s="10" t="n">
        <x:v>2</x:v>
      </x:c>
    </x:row>
    <x:row r="38" ht="34" customHeight="1">
      <x:c r="A38" s="16" t="str">
        <x:v>chocolate candy shape of flip flops</x:v>
      </x:c>
      <x:c r="B38" s="16" t="str">
        <x:v>chocolate candy shape of flip flops</x:v>
      </x:c>
      <x:c r="C38" s="13" t="str">
        <x:v>e15ce7d470041e32</x:v>
      </x:c>
      <x:c r="D38" s="13" t="str">
        <x:v>keyword</x:v>
      </x:c>
      <x:c r="E38" s="13" t="str">
        <x:v>en</x:v>
      </x:c>
      <x:c r="F38" s="13" t="str">
        <x:v>grocery_gourmet_food</x:v>
      </x:c>
      <x:c r="G38" s="16" t="str"/>
      <x:c r="H38" s="16" t="str">
        <x:v>candy | chocolate</x:v>
      </x:c>
      <x:c r="I38" s="16" t="str"/>
      <x:c r="J38" s="16" t="str"/>
      <x:c r="K38" s="16" t="str"/>
      <x:c r="L38" s="16" t="str"/>
      <x:c r="M38" s="16" t="str"/>
      <x:c r="N38" s="16" t="str"/>
      <x:c r="O38" s="16" t="str"/>
      <x:c r="P38" s="16" t="str"/>
      <x:c r="Q38" s="16" t="str"/>
      <x:c r="R38" s="16" t="str">
        <x:v>用户需要购买人字拖造型的巧克力糖果，而非鞋类产品</x:v>
      </x:c>
      <x:c r="S38" s="13" t="str">
        <x:v>exploration</x:v>
      </x:c>
      <x:c r="T38" s="16" t="str">
        <x:v>explicit | inferred</x:v>
      </x:c>
      <x:c r="U38" s="13" t="str">
        <x:v>high</x:v>
      </x:c>
      <x:c r="V38" s="16" t="str">
        <x:v>non_footwear</x:v>
      </x:c>
      <x:c r="W38" s="16" t="str">
        <x:v>semantic_negative_candidate</x:v>
      </x:c>
      <x:c r="X38" s="16" t="str">
        <x:v>{"product_type":[{"value":"candy","evidence_type":"explicit","source_span":"chocolate candy","fact_ids":[],"rationale":"verbatim match showing the user wants chocolate candy"},{"value":"chocolate","evidence_type":"explicit","source_span":"chocolate","fact_ids":[],"rationale":"verbatim match confirming food product, not footwear"}],"primary_domain":[{"value":"grocery_gourmet_food","evidence_type":"inferred","source_span":"","fact_ids":[],"rationale":"该值由搜索词整体语义推断，未作为页面明示属性。"}]}</x:v>
      </x:c>
      <x:c r="Y38" s="16" t="str"/>
      <x:c r="Z38" s="13" t="str">
        <x:v>mismatch</x:v>
      </x:c>
      <x:c r="AA38" s="16" t="str"/>
      <x:c r="AB38" s="13" t="str">
        <x:v>accepted</x:v>
      </x:c>
      <x:c r="AC38" s="13" t="str">
        <x:v>1.0.0</x:v>
      </x:c>
      <x:c r="AD38" s="13" t="str">
        <x:v>1.1.0</x:v>
      </x:c>
      <x:c r="AE38" s="13" t="str">
        <x:v>deepseek/deepseek-v4-pro</x:v>
      </x:c>
      <x:c r="AF38" s="13" t="str">
        <x:v>aj2-y90-20260714T234810-0bea2f52</x:v>
      </x:c>
      <x:c r="AG38" s="13" t="str">
        <x:v>full-0002</x:v>
      </x:c>
      <x:c r="AH38" s="13" t="str">
        <x:v>full</x:v>
      </x:c>
      <x:c r="AI38" s="13" t="n">
        <x:v>2</x:v>
      </x:c>
    </x:row>
    <x:row r="39" ht="34" customHeight="1">
      <x:c r="A39" s="15" t="str">
        <x:v>womens flip flops sale</x:v>
      </x:c>
      <x:c r="B39" s="15" t="str">
        <x:v>womens flip flops sale</x:v>
      </x:c>
      <x:c r="C39" s="10" t="str">
        <x:v>f10d652ae873920e</x:v>
      </x:c>
      <x:c r="D39" s="10" t="str">
        <x:v>keyword</x:v>
      </x:c>
      <x:c r="E39" s="10" t="str">
        <x:v>en</x:v>
      </x:c>
      <x:c r="F39" s="10" t="str">
        <x:v>clothing_shoes_jewelry</x:v>
      </x:c>
      <x:c r="G39" s="15" t="str"/>
      <x:c r="H39" s="15" t="str">
        <x:v>flip_flops</x:v>
      </x:c>
      <x:c r="I39" s="15" t="str">
        <x:v>women</x:v>
      </x:c>
      <x:c r="J39" s="15" t="str">
        <x:v>deal_seeking</x:v>
      </x:c>
      <x:c r="K39" s="15" t="str"/>
      <x:c r="L39" s="15" t="str"/>
      <x:c r="M39" s="15" t="str"/>
      <x:c r="N39" s="15" t="str"/>
      <x:c r="O39" s="15" t="str"/>
      <x:c r="P39" s="15" t="str"/>
      <x:c r="Q39" s="15" t="str"/>
      <x:c r="R39" s="15" t="str">
        <x:v>用户需要购买正在打折促销的女士人字拖</x:v>
      </x:c>
      <x:c r="S39" s="10" t="str">
        <x:v>high_intent</x:v>
      </x:c>
      <x:c r="T39" s="15" t="str">
        <x:v>explicit | page_validated | inferred</x:v>
      </x:c>
      <x:c r="U39" s="10" t="str">
        <x:v>medium</x:v>
      </x:c>
      <x:c r="V39" s="15" t="str">
        <x:v>womens_flip_flops_deal</x:v>
      </x:c>
      <x:c r="W39" s="15" t="str">
        <x:v>performance_observation</x:v>
      </x:c>
      <x:c r="X39" s="15" t="str">
        <x:v>{"audience_intent":[{"value":"women","evidence_type":"explicit","source_span":"womens","fact_ids":[],"rationale":"verbatim match in search term"},{"value":"women","evidence_type":"page_validated","source_span":"","fact_ids":["title_womens_flip_flop"],"rationale":"product page title identifies a women's flip flop"}],"product_type":[{"value":"flip_flops","evidence_type":"explicit","source_span":"flip flops","fact_ids":[],"rationale":"verbatim match in search term"},{"value":"flip_flops","evidence_type":"page_validated","source_span":"","fact_ids":["style_flip_flop"],"rationale":"product sandal type is Flip Flop"}],"function_intent":[{"value":"deal_seeking","evidence_type":"inferred","source_span":"","fact_ids":[],"rationale":"sale implies the user is looking for discounted pricing; pricing data is excluded from page evidence"}],"primary_domain":[{"value":"clothing_shoes_jewelry","evidence_type":"inferred","source_span":"","fact_ids":[],"rationale":"该值由搜索词整体语义推断，未作为页面明示属性。"}]}</x:v>
      </x:c>
      <x:c r="Y39" s="15" t="str"/>
      <x:c r="Z39" s="10" t="str">
        <x:v>match</x:v>
      </x:c>
      <x:c r="AA39" s="15" t="str">
        <x:v>title_womens_flip_flop | style_flip_flop</x:v>
      </x:c>
      <x:c r="AB39" s="10" t="str">
        <x:v>accepted</x:v>
      </x:c>
      <x:c r="AC39" s="10" t="str">
        <x:v>1.0.0</x:v>
      </x:c>
      <x:c r="AD39" s="10" t="str">
        <x:v>1.1.0</x:v>
      </x:c>
      <x:c r="AE39" s="10" t="str">
        <x:v>deepseek/deepseek-v4-pro</x:v>
      </x:c>
      <x:c r="AF39" s="10" t="str">
        <x:v>aj2-y90-20260714T234810-0bea2f52</x:v>
      </x:c>
      <x:c r="AG39" s="10" t="str">
        <x:v>full-0002</x:v>
      </x:c>
      <x:c r="AH39" s="10" t="str">
        <x:v>full</x:v>
      </x:c>
      <x:c r="AI39" s="10" t="n">
        <x:v>2</x:v>
      </x:c>
    </x:row>
    <x:row r="40" ht="34" customHeight="1">
      <x:c r="A40" s="16" t="str">
        <x:v>brown fit flop</x:v>
      </x:c>
      <x:c r="B40" s="16" t="str">
        <x:v>brown fit flop</x:v>
      </x:c>
      <x:c r="C40" s="13" t="str">
        <x:v>fac1596b2f5ecb59</x:v>
      </x:c>
      <x:c r="D40" s="13" t="str">
        <x:v>keyword</x:v>
      </x:c>
      <x:c r="E40" s="13" t="str">
        <x:v>en</x:v>
      </x:c>
      <x:c r="F40" s="13" t="str">
        <x:v>clothing_shoes_jewelry</x:v>
      </x:c>
      <x:c r="G40" s="16" t="str"/>
      <x:c r="H40" s="16" t="str">
        <x:v>sandals</x:v>
      </x:c>
      <x:c r="I40" s="16" t="str"/>
      <x:c r="J40" s="16" t="str"/>
      <x:c r="K40" s="16" t="str"/>
      <x:c r="L40" s="16" t="str"/>
      <x:c r="M40" s="16" t="str"/>
      <x:c r="N40" s="16" t="str"/>
      <x:c r="O40" s="16" t="str"/>
      <x:c r="P40" s="16" t="str"/>
      <x:c r="Q40" s="16" t="str"/>
      <x:c r="R40" s="16" t="str">
        <x:v>用户可能搜索FitFlop品牌棕色凉鞋，也可能是将flip flop误输入为fit flop</x:v>
      </x:c>
      <x:c r="S40" s="13" t="str">
        <x:v>exploration</x:v>
      </x:c>
      <x:c r="T40" s="16" t="str">
        <x:v>explicit | inferred</x:v>
      </x:c>
      <x:c r="U40" s="13" t="str">
        <x:v>low</x:v>
      </x:c>
      <x:c r="V40" s="16" t="str">
        <x:v>competitor_brand_search</x:v>
      </x:c>
      <x:c r="W40" s="16" t="str">
        <x:v>ambiguity_review</x:v>
      </x:c>
      <x:c r="X40" s="16" t="str">
        <x:v>{"product_type":[{"value":"sandals","evidence_type":"inferred","source_span":"","fact_ids":[],"rationale":"fit flop likely refers to FitFlop brand sandals or is a typo for flip flop sandals"},{"value":"sandals","evidence_type":"page_validated","source_span":"","fact_ids":["title_womens_flip_flop"],"rationale":"该槽位与商品基准中的明示页面事实一致。"}],"color":[{"value":"brown","evidence_type":"explicit","source_span":"brown","fact_ids":[],"rationale":"该颜色在商品页面可见颜色选择中得到明确支持。"},{"value":"brown","evidence_type":"page_validated","source_span":"","fact_ids":["colors_visible"],"rationale":"该颜色在商品页面可见颜色选择中得到明确支持。"}],"primary_domain":[{"value":"clothing_shoes_jewelry","evidence_type":"inferred","source_span":"","fact_ids":[],"rationale":"该值由搜索词整体语义推断，未作为页面明示属性。"}]}</x:v>
      </x:c>
      <x:c r="Y40" s="16" t="str">
        <x:v>brand_vs_descriptor_typo</x:v>
      </x:c>
      <x:c r="Z40" s="13" t="str">
        <x:v>mismatch</x:v>
      </x:c>
      <x:c r="AA40" s="16" t="str"/>
      <x:c r="AB40" s="13" t="str">
        <x:v>accepted</x:v>
      </x:c>
      <x:c r="AC40" s="13" t="str">
        <x:v>1.0.0</x:v>
      </x:c>
      <x:c r="AD40" s="13" t="str">
        <x:v>1.1.0</x:v>
      </x:c>
      <x:c r="AE40" s="13" t="str">
        <x:v>deepseek/deepseek-v4-pro</x:v>
      </x:c>
      <x:c r="AF40" s="13" t="str">
        <x:v>aj2-y90-20260714T234810-0bea2f52</x:v>
      </x:c>
      <x:c r="AG40" s="13" t="str">
        <x:v>full-0002</x:v>
      </x:c>
      <x:c r="AH40" s="13" t="str">
        <x:v>full</x:v>
      </x:c>
      <x:c r="AI40" s="13" t="n">
        <x:v>2</x:v>
      </x:c>
    </x:row>
    <x:row r="41" ht="34" customHeight="1">
      <x:c r="A41" s="15" t="str">
        <x:v>white flip flop sandals women</x:v>
      </x:c>
      <x:c r="B41" s="15" t="str">
        <x:v>white flip flop sandals women</x:v>
      </x:c>
      <x:c r="C41" s="10" t="str">
        <x:v>fdaa5e620e4d4853</x:v>
      </x:c>
      <x:c r="D41" s="10" t="str">
        <x:v>keyword</x:v>
      </x:c>
      <x:c r="E41" s="10" t="str">
        <x:v>en</x:v>
      </x:c>
      <x:c r="F41" s="10" t="str">
        <x:v>clothing_shoes_jewelry</x:v>
      </x:c>
      <x:c r="G41" s="15" t="str"/>
      <x:c r="H41" s="15" t="str">
        <x:v>flip_flops | sandals</x:v>
      </x:c>
      <x:c r="I41" s="15" t="str">
        <x:v>women</x:v>
      </x:c>
      <x:c r="J41" s="15" t="str"/>
      <x:c r="K41" s="15" t="str"/>
      <x:c r="L41" s="15" t="str"/>
      <x:c r="M41" s="15" t="str"/>
      <x:c r="N41" s="15" t="str"/>
      <x:c r="O41" s="15" t="str"/>
      <x:c r="P41" s="15" t="str"/>
      <x:c r="Q41" s="15" t="str"/>
      <x:c r="R41" s="15" t="str">
        <x:v>用户需要购买白色女士人字拖凉鞋</x:v>
      </x:c>
      <x:c r="S41" s="10" t="str">
        <x:v>high_intent</x:v>
      </x:c>
      <x:c r="T41" s="15" t="str">
        <x:v>explicit | page_validated</x:v>
      </x:c>
      <x:c r="U41" s="10" t="str">
        <x:v>high</x:v>
      </x:c>
      <x:c r="V41" s="15" t="str">
        <x:v>womens_color_flip_flops</x:v>
      </x:c>
      <x:c r="W41" s="15" t="str">
        <x:v>cluster_route</x:v>
      </x:c>
      <x:c r="X41" s="15" t="str">
        <x:v>{"audience_intent":[{"value":"women","evidence_type":"explicit","source_span":"women","fact_ids":[],"rationale":"verbatim match in search term"},{"value":"women","evidence_type":"page_validated","source_span":"","fact_ids":["title_womens_flip_flop"],"rationale":"product page title identifies a women's flip flop"}],"product_type":[{"value":"flip_flops","evidence_type":"explicit","source_span":"flip flop","fact_ids":[],"rationale":"verbatim match in search term"},{"value":"sandals","evidence_type":"explicit","source_span":"sandals","fact_ids":[],"rationale":"verbatim match in search term"},{"value":"flip_flops","evidence_type":"page_validated","source_span":"","fact_ids":["style_flip_flop"],"rationale":"product sandal type is Flip Flop"},{"value":"flip_flops","evidence_type":"inferred","source_span":"","fact_ids":[],"rationale":"该能力由搜索词表达的任务或问题推断；页面事实仅用于验证商品承接。"},{"value":"sandals","evidence_type":"page_validated","source_span":"","fact_ids":["title_womens_flip_flop"],"rationale":"该槽位与商品基准中的明示页面事实一致。"}],"color":[{"value":"white","evidence_type":"explicit","source_span":"white","fact_ids":[],"rationale":"该颜色在商品页面可见颜色选择中得到明确支持。"},{"value":"white","evidence_type":"page_validated","source_span":"","fact_ids":["colors_visible"],"rationale":"该颜色在商品页面可见颜色选择中得到明确支持。"}],"primary_domain":[{"value":"clothing_shoes_jewelry","evidence_type":"inferred","source_span":"","fact_ids":[],"rationale":"该值由搜索词整体语义推断，未作为页面明示属性。"}]}</x:v>
      </x:c>
      <x:c r="Y41" s="15" t="str"/>
      <x:c r="Z41" s="10" t="str">
        <x:v>match</x:v>
      </x:c>
      <x:c r="AA41" s="15" t="str">
        <x:v>title_womens_flip_flop | style_flip_flop | colors_visible</x:v>
      </x:c>
      <x:c r="AB41" s="10" t="str">
        <x:v>accepted</x:v>
      </x:c>
      <x:c r="AC41" s="10" t="str">
        <x:v>1.0.0</x:v>
      </x:c>
      <x:c r="AD41" s="10" t="str">
        <x:v>1.1.0</x:v>
      </x:c>
      <x:c r="AE41" s="10" t="str">
        <x:v>deepseek/deepseek-v4-pro</x:v>
      </x:c>
      <x:c r="AF41" s="10" t="str">
        <x:v>aj2-y90-20260714T234810-0bea2f52</x:v>
      </x:c>
      <x:c r="AG41" s="10" t="str">
        <x:v>full-0002</x:v>
      </x:c>
      <x:c r="AH41" s="10" t="str">
        <x:v>full</x:v>
      </x:c>
      <x:c r="AI41" s="10" t="n">
        <x:v>2</x:v>
      </x:c>
    </x:row>
    <x:row r="42" ht="34" customHeight="1">
      <x:c r="A42" s="16" t="str">
        <x:v>ladies flip flops clearance</x:v>
      </x:c>
      <x:c r="B42" s="16" t="str">
        <x:v>ladies flip flops clearance</x:v>
      </x:c>
      <x:c r="C42" s="13" t="str">
        <x:v>0927d78876b4a204</x:v>
      </x:c>
      <x:c r="D42" s="13" t="str">
        <x:v>keyword</x:v>
      </x:c>
      <x:c r="E42" s="13" t="str">
        <x:v>en</x:v>
      </x:c>
      <x:c r="F42" s="13" t="str">
        <x:v>clothing_shoes_jewelry</x:v>
      </x:c>
      <x:c r="G42" s="16" t="str"/>
      <x:c r="H42" s="16" t="str">
        <x:v>flip_flops</x:v>
      </x:c>
      <x:c r="I42" s="16" t="str">
        <x:v>women</x:v>
      </x:c>
      <x:c r="J42" s="16" t="str">
        <x:v>discount_seeking</x:v>
      </x:c>
      <x:c r="K42" s="16" t="str"/>
      <x:c r="L42" s="16" t="str"/>
      <x:c r="M42" s="16" t="str"/>
      <x:c r="N42" s="16" t="str"/>
      <x:c r="O42" s="16" t="str"/>
      <x:c r="P42" s="16" t="str"/>
      <x:c r="Q42" s="16" t="str"/>
      <x:c r="R42" s="16" t="str">
        <x:v>女性消费者希望购买清仓打折的人字拖，追求高性价比。</x:v>
      </x:c>
      <x:c r="S42" s="13" t="str">
        <x:v>consideration</x:v>
      </x:c>
      <x:c r="T42" s="16" t="str">
        <x:v>explicit | inferred</x:v>
      </x:c>
      <x:c r="U42" s="13" t="str">
        <x:v>medium</x:v>
      </x:c>
      <x:c r="V42" s="16" t="str">
        <x:v>ladies_clearance_flip_flops</x:v>
      </x:c>
      <x:c r="W42" s="16" t="str">
        <x:v>listing_gap_review</x:v>
      </x:c>
      <x:c r="X42" s="16" t="str">
        <x:v>{"product_type":[{"value":"flip_flops","evidence_type":"explicit","source_span":"flip flops","fact_ids":[],"rationale":"Term explicitly requests flip flops."},{"value":"flip_flops","evidence_type":"page_validated","source_span":"","fact_ids":["style_flip_flop"],"rationale":"该槽位与商品基准中的明示页面事实一致。"}],"audience_intent":[{"value":"women","evidence_type":"explicit","source_span":"ladies","fact_ids":[],"rationale":"Term explicitly specifies ladies as audience."},{"value":"women","evidence_type":"page_validated","source_span":"","fact_ids":["title_womens_flip_flop"],"rationale":"该槽位与商品基准中的明示页面事实一致。"},{"value":"women","evidence_type":"inferred","source_span":"","fact_ids":[],"rationale":"该能力由搜索词表达的任务或问题推断；页面事实仅用于验证商品承接。"}],"function_intent":[{"value":"discount_seeking","evidence_type":"explicit","source_span":"clearance","fact_ids":[],"rationale":"Term explicitly requests clearance/discounted items; real-time price and inventory excluded from page evidence."}],"primary_domain":[{"value":"clothing_shoes_jewelry","evidence_type":"inferred","source_span":"","fact_ids":[],"rationale":"该值由搜索词整体语义推断，未作为页面明示属性。"}]}</x:v>
      </x:c>
      <x:c r="Y42" s="16" t="str">
        <x:v>clearance_unvalidated</x:v>
      </x:c>
      <x:c r="Z42" s="13" t="str">
        <x:v>partial_match</x:v>
      </x:c>
      <x:c r="AA42" s="16" t="str">
        <x:v>title_womens_flip_flop</x:v>
      </x:c>
      <x:c r="AB42" s="13" t="str">
        <x:v>accepted</x:v>
      </x:c>
      <x:c r="AC42" s="13" t="str">
        <x:v>1.0.0</x:v>
      </x:c>
      <x:c r="AD42" s="13" t="str">
        <x:v>1.1.0</x:v>
      </x:c>
      <x:c r="AE42" s="13" t="str">
        <x:v>deepseek/deepseek-v4-pro</x:v>
      </x:c>
      <x:c r="AF42" s="13" t="str">
        <x:v>aj2-y90-20260714T234810-0bea2f52</x:v>
      </x:c>
      <x:c r="AG42" s="13" t="str">
        <x:v>full-0003</x:v>
      </x:c>
      <x:c r="AH42" s="13" t="str">
        <x:v>full</x:v>
      </x:c>
      <x:c r="AI42" s="13" t="n">
        <x:v>3</x:v>
      </x:c>
    </x:row>
    <x:row r="43" ht="34" customHeight="1">
      <x:c r="A43" s="15" t="str">
        <x:v>teal flip flops for women</x:v>
      </x:c>
      <x:c r="B43" s="15" t="str">
        <x:v>teal flip flops for women</x:v>
      </x:c>
      <x:c r="C43" s="10" t="str">
        <x:v>29cb5f1fbe611511</x:v>
      </x:c>
      <x:c r="D43" s="10" t="str">
        <x:v>keyword</x:v>
      </x:c>
      <x:c r="E43" s="10" t="str">
        <x:v>en</x:v>
      </x:c>
      <x:c r="F43" s="10" t="str">
        <x:v>clothing_shoes_jewelry</x:v>
      </x:c>
      <x:c r="G43" s="15" t="str"/>
      <x:c r="H43" s="15" t="str">
        <x:v>flip_flops</x:v>
      </x:c>
      <x:c r="I43" s="15" t="str">
        <x:v>women</x:v>
      </x:c>
      <x:c r="J43" s="15" t="str"/>
      <x:c r="K43" s="15" t="str"/>
      <x:c r="L43" s="15" t="str"/>
      <x:c r="M43" s="15" t="str"/>
      <x:c r="N43" s="15" t="str"/>
      <x:c r="O43" s="15" t="str"/>
      <x:c r="P43" s="15" t="str"/>
      <x:c r="Q43" s="15" t="str"/>
      <x:c r="R43" s="15" t="str">
        <x:v>女性消费者需要蓝绿色的人字拖，注重特定的颜色偏好。</x:v>
      </x:c>
      <x:c r="S43" s="10" t="str">
        <x:v>consideration</x:v>
      </x:c>
      <x:c r="T43" s="15" t="str">
        <x:v>explicit | inferred</x:v>
      </x:c>
      <x:c r="U43" s="10" t="str">
        <x:v>medium</x:v>
      </x:c>
      <x:c r="V43" s="15" t="str">
        <x:v>teal_womens_flip_flops</x:v>
      </x:c>
      <x:c r="W43" s="15" t="str">
        <x:v>listing_gap_review</x:v>
      </x:c>
      <x:c r="X43" s="15" t="str">
        <x:v>{"product_type":[{"value":"flip_flops","evidence_type":"explicit","source_span":"flip flops","fact_ids":[],"rationale":"Term explicitly requests flip flops."},{"value":"flip_flops","evidence_type":"page_validated","source_span":"","fact_ids":["style_flip_flop"],"rationale":"该槽位与商品基准中的明示页面事实一致。"}],"audience_intent":[{"value":"women","evidence_type":"explicit","source_span":"women","fact_ids":[],"rationale":"Term explicitly specifies women."},{"value":"women","evidence_type":"page_validated","source_span":"","fact_ids":["title_womens_flip_flop"],"rationale":"该槽位与商品基准中的明示页面事实一致。"}],"primary_domain":[{"value":"clothing_shoes_jewelry","evidence_type":"inferred","source_span":"","fact_ids":[],"rationale":"该值由搜索词整体语义推断，未作为页面明示属性。"}]}</x:v>
      </x:c>
      <x:c r="Y43" s="15" t="str">
        <x:v>teal_color_unavailable</x:v>
      </x:c>
      <x:c r="Z43" s="10" t="str">
        <x:v>partial_match</x:v>
      </x:c>
      <x:c r="AA43" s="15" t="str">
        <x:v>title_womens_flip_flop</x:v>
      </x:c>
      <x:c r="AB43" s="10" t="str">
        <x:v>accepted</x:v>
      </x:c>
      <x:c r="AC43" s="10" t="str">
        <x:v>1.0.0</x:v>
      </x:c>
      <x:c r="AD43" s="10" t="str">
        <x:v>1.1.0</x:v>
      </x:c>
      <x:c r="AE43" s="10" t="str">
        <x:v>deepseek/deepseek-v4-pro</x:v>
      </x:c>
      <x:c r="AF43" s="10" t="str">
        <x:v>aj2-y90-20260714T234810-0bea2f52</x:v>
      </x:c>
      <x:c r="AG43" s="10" t="str">
        <x:v>full-0003</x:v>
      </x:c>
      <x:c r="AH43" s="10" t="str">
        <x:v>full</x:v>
      </x:c>
      <x:c r="AI43" s="10" t="n">
        <x:v>3</x:v>
      </x:c>
    </x:row>
    <x:row r="44" ht="34" customHeight="1">
      <x:c r="A44" s="16" t="str">
        <x:v>swim flip flops for women</x:v>
      </x:c>
      <x:c r="B44" s="16" t="str">
        <x:v>swim flip flops for women</x:v>
      </x:c>
      <x:c r="C44" s="13" t="str">
        <x:v>33a486fb13fa808b</x:v>
      </x:c>
      <x:c r="D44" s="13" t="str">
        <x:v>keyword</x:v>
      </x:c>
      <x:c r="E44" s="13" t="str">
        <x:v>en</x:v>
      </x:c>
      <x:c r="F44" s="13" t="str">
        <x:v>clothing_shoes_jewelry</x:v>
      </x:c>
      <x:c r="G44" s="16" t="str">
        <x:v>sports_outdoors</x:v>
      </x:c>
      <x:c r="H44" s="16" t="str">
        <x:v>flip_flops</x:v>
      </x:c>
      <x:c r="I44" s="16" t="str">
        <x:v>women</x:v>
      </x:c>
      <x:c r="J44" s="16" t="str"/>
      <x:c r="K44" s="16" t="str">
        <x:v>water_use</x:v>
      </x:c>
      <x:c r="L44" s="16" t="str">
        <x:v>swimming</x:v>
      </x:c>
      <x:c r="M44" s="16" t="str">
        <x:v>pool</x:v>
      </x:c>
      <x:c r="N44" s="16" t="str"/>
      <x:c r="O44" s="16" t="str"/>
      <x:c r="P44" s="16" t="str"/>
      <x:c r="Q44" s="16" t="str"/>
      <x:c r="R44" s="16" t="str">
        <x:v>女性消费者需要适合游泳前后穿着的人字拖，用于泳池或水边场景。</x:v>
      </x:c>
      <x:c r="S44" s="13" t="str">
        <x:v>consideration</x:v>
      </x:c>
      <x:c r="T44" s="16" t="str">
        <x:v>explicit | page_validated | inferred</x:v>
      </x:c>
      <x:c r="U44" s="13" t="str">
        <x:v>medium</x:v>
      </x:c>
      <x:c r="V44" s="16" t="str">
        <x:v>swim_womens_flip_flops</x:v>
      </x:c>
      <x:c r="W44" s="16" t="str">
        <x:v>listing_gap_review</x:v>
      </x:c>
      <x:c r="X44" s="16" t="str">
        <x:v>{"product_type":[{"value":"flip_flops","evidence_type":"explicit","source_span":"flip flops","fact_ids":[],"rationale":"Term explicitly requests flip flops."},{"value":"flip_flops","evidence_type":"page_validated","source_span":"","fact_ids":["style_flip_flop"],"rationale":"该槽位与商品基准中的明示页面事实一致。"}],"audience_intent":[{"value":"women","evidence_type":"explicit","source_span":"women","fact_ids":[],"rationale":"Term explicitly specifies women."},{"value":"women","evidence_type":"page_validated","source_span":"","fact_ids":["title_womens_flip_flop"],"rationale":"该槽位与商品基准中的明示页面事实一致。"}],"event_intent":[{"value":"swimming","evidence_type":"explicit","source_span":"swim","fact_ids":[],"rationale":"Term explicitly references swimming activity."}],"location_intent":[{"value":"pool","evidence_type":"inferred","source_span":"swim","fact_ids":[],"rationale":"Swim implies pool or water-side use; page does not claim water-friendly properties."}],"capability_intent":[{"value":"water_use","evidence_type":"inferred","source_span":"swim","fact_ids":[],"rationale":"Swim context implies water exposure; waterproof claims excluded from page evidence."}],"secondary_domain":[{"value":"sports_outdoors","evidence_type":"inferred","source_span":"","fact_ids":[],"rationale":"该值由搜索词整体语义推断，未作为页面明示属性。"}],"primary_domain":[{"value":"clothing_shoes_jewelry","evidence_type":"inferred","source_span":"","fact_ids":[],"rationale":"该值由搜索词整体语义推断，未作为页面明示属性。"}]}</x:v>
      </x:c>
      <x:c r="Y44" s="16" t="str">
        <x:v>water_capability_unconfirmed</x:v>
      </x:c>
      <x:c r="Z44" s="13" t="str">
        <x:v>partial_match</x:v>
      </x:c>
      <x:c r="AA44" s="16" t="str">
        <x:v>title_womens_flip_flop | style_outdoor</x:v>
      </x:c>
      <x:c r="AB44" s="13" t="str">
        <x:v>accepted</x:v>
      </x:c>
      <x:c r="AC44" s="13" t="str">
        <x:v>1.0.0</x:v>
      </x:c>
      <x:c r="AD44" s="13" t="str">
        <x:v>1.1.0</x:v>
      </x:c>
      <x:c r="AE44" s="13" t="str">
        <x:v>deepseek/deepseek-v4-pro</x:v>
      </x:c>
      <x:c r="AF44" s="13" t="str">
        <x:v>aj2-y90-20260714T234810-0bea2f52</x:v>
      </x:c>
      <x:c r="AG44" s="13" t="str">
        <x:v>full-0003</x:v>
      </x:c>
      <x:c r="AH44" s="13" t="str">
        <x:v>full</x:v>
      </x:c>
      <x:c r="AI44" s="13" t="n">
        <x:v>3</x:v>
      </x:c>
    </x:row>
    <x:row r="45" ht="34" customHeight="1">
      <x:c r="A45" s="15" t="str">
        <x:v>thong sandals soft toe post women</x:v>
      </x:c>
      <x:c r="B45" s="15" t="str">
        <x:v>thong sandals soft toe post women</x:v>
      </x:c>
      <x:c r="C45" s="10" t="str">
        <x:v>4b947d75ecc13015</x:v>
      </x:c>
      <x:c r="D45" s="10" t="str">
        <x:v>keyword</x:v>
      </x:c>
      <x:c r="E45" s="10" t="str">
        <x:v>en</x:v>
      </x:c>
      <x:c r="F45" s="10" t="str">
        <x:v>clothing_shoes_jewelry</x:v>
      </x:c>
      <x:c r="G45" s="15" t="str"/>
      <x:c r="H45" s="15" t="str">
        <x:v>thong_sandals</x:v>
      </x:c>
      <x:c r="I45" s="15" t="str">
        <x:v>women</x:v>
      </x:c>
      <x:c r="J45" s="15" t="str"/>
      <x:c r="K45" s="15" t="str">
        <x:v>soft_toe_post</x:v>
      </x:c>
      <x:c r="L45" s="15" t="str"/>
      <x:c r="M45" s="15" t="str"/>
      <x:c r="N45" s="15" t="str"/>
      <x:c r="O45" s="15" t="str"/>
      <x:c r="P45" s="15" t="str"/>
      <x:c r="Q45" s="15" t="str"/>
      <x:c r="R45" s="15" t="str">
        <x:v>女性消费者需要鞋头柱柔软的人字拖凉鞋，注重穿着舒适度。</x:v>
      </x:c>
      <x:c r="S45" s="10" t="str">
        <x:v>high_intent</x:v>
      </x:c>
      <x:c r="T45" s="15" t="str">
        <x:v>explicit | page_validated</x:v>
      </x:c>
      <x:c r="U45" s="10" t="str">
        <x:v>high</x:v>
      </x:c>
      <x:c r="V45" s="15" t="str">
        <x:v>thong_soft_toe_post_womens_sandals</x:v>
      </x:c>
      <x:c r="W45" s="15" t="str">
        <x:v>cluster_route</x:v>
      </x:c>
      <x:c r="X45" s="15" t="str">
        <x:v>{"product_type":[{"value":"thong_sandals","evidence_type":"explicit","source_span":"thong sandals","fact_ids":[],"rationale":"Term explicitly specifies thong sandals."},{"value":"thong_sandals","evidence_type":"page_validated","source_span":"","fact_ids":["style_thong","style_flip_flop"],"rationale":"该槽位与商品基准中的明示页面事实一致。"}],"audience_intent":[{"value":"women","evidence_type":"explicit","source_span":"women","fact_ids":[],"rationale":"Term explicitly specifies women."},{"value":"women","evidence_type":"page_validated","source_span":"","fact_ids":["title_womens_flip_flop"],"rationale":"该槽位与商品基准中的明示页面事实一致。"}],"capability_intent":[{"value":"soft_toe_post","evidence_type":"explicit","source_span":"soft toe post","fact_ids":[],"rationale":"Term explicitly requests soft toe post feature."}],"primary_domain":[{"value":"clothing_shoes_jewelry","evidence_type":"inferred","source_span":"","fact_ids":[],"rationale":"该值由搜索词整体语义推断，未作为页面明示属性。"}]}</x:v>
      </x:c>
      <x:c r="Y45" s="15" t="str"/>
      <x:c r="Z45" s="10" t="str">
        <x:v>match</x:v>
      </x:c>
      <x:c r="AA45" s="15" t="str">
        <x:v>title_womens_flip_flop | soft_toe_post | style_thong</x:v>
      </x:c>
      <x:c r="AB45" s="10" t="str">
        <x:v>accepted</x:v>
      </x:c>
      <x:c r="AC45" s="10" t="str">
        <x:v>1.0.0</x:v>
      </x:c>
      <x:c r="AD45" s="10" t="str">
        <x:v>1.1.0</x:v>
      </x:c>
      <x:c r="AE45" s="10" t="str">
        <x:v>deepseek/deepseek-v4-pro</x:v>
      </x:c>
      <x:c r="AF45" s="10" t="str">
        <x:v>aj2-y90-20260714T234810-0bea2f52</x:v>
      </x:c>
      <x:c r="AG45" s="10" t="str">
        <x:v>full-0003</x:v>
      </x:c>
      <x:c r="AH45" s="10" t="str">
        <x:v>full</x:v>
      </x:c>
      <x:c r="AI45" s="10" t="n">
        <x:v>3</x:v>
      </x:c>
    </x:row>
    <x:row r="46" ht="34" customHeight="1">
      <x:c r="A46" s="16" t="str">
        <x:v>water resistant flip flopswith arch support women</x:v>
      </x:c>
      <x:c r="B46" s="16" t="str">
        <x:v>water resistant flip flopswith arch support women</x:v>
      </x:c>
      <x:c r="C46" s="13" t="str">
        <x:v>4c19fa845570e08d</x:v>
      </x:c>
      <x:c r="D46" s="13" t="str">
        <x:v>keyword</x:v>
      </x:c>
      <x:c r="E46" s="13" t="str">
        <x:v>en</x:v>
      </x:c>
      <x:c r="F46" s="13" t="str">
        <x:v>clothing_shoes_jewelry</x:v>
      </x:c>
      <x:c r="G46" s="16" t="str"/>
      <x:c r="H46" s="16" t="str">
        <x:v>flip_flops</x:v>
      </x:c>
      <x:c r="I46" s="16" t="str">
        <x:v>women</x:v>
      </x:c>
      <x:c r="J46" s="16" t="str"/>
      <x:c r="K46" s="16" t="str">
        <x:v>water_resistant</x:v>
      </x:c>
      <x:c r="L46" s="16" t="str"/>
      <x:c r="M46" s="16" t="str"/>
      <x:c r="N46" s="16" t="str">
        <x:v>arch_support</x:v>
      </x:c>
      <x:c r="O46" s="16" t="str"/>
      <x:c r="P46" s="16" t="str"/>
      <x:c r="Q46" s="16" t="str"/>
      <x:c r="R46" s="16" t="str">
        <x:v>女性消费者需要兼具防水性能和足弓支撑的人字拖，适合潮湿环境使用。</x:v>
      </x:c>
      <x:c r="S46" s="13" t="str">
        <x:v>high_intent</x:v>
      </x:c>
      <x:c r="T46" s="16" t="str">
        <x:v>explicit | page_validated | inferred</x:v>
      </x:c>
      <x:c r="U46" s="13" t="str">
        <x:v>medium</x:v>
      </x:c>
      <x:c r="V46" s="16" t="str">
        <x:v>water_resistant_arch_support_womens_flip_flops</x:v>
      </x:c>
      <x:c r="W46" s="16" t="str">
        <x:v>listing_gap_review</x:v>
      </x:c>
      <x:c r="X46" s="16" t="str">
        <x:v>{"product_type":[{"value":"flip_flops","evidence_type":"explicit","source_span":"flip flops","fact_ids":[],"rationale":"Term explicitly requests flip flops."},{"value":"flip_flops","evidence_type":"page_validated","source_span":"","fact_ids":["style_flip_flop"],"rationale":"该槽位与商品基准中的明示页面事实一致。"}],"audience_intent":[{"value":"women","evidence_type":"explicit","source_span":"women","fact_ids":[],"rationale":"Term explicitly specifies women."},{"value":"women","evidence_type":"page_validated","source_span":"","fact_ids":["title_womens_flip_flop"],"rationale":"该槽位与商品基准中的明示页面事实一致。"}],"capability_intent":[{"value":"water_resistant","evidence_type":"explicit","source_span":"water resistant","fact_ids":[],"rationale":"Term explicitly requests water resistance; page does not claim waterproof or water-resistant properties."},{"value":"arch_support","evidence_type":"page_validated","source_span":"","fact_ids":["arch_support"],"rationale":"该槽位与商品基准中的明示页面事实一致。"}],"primary_domain":[{"value":"clothing_shoes_jewelry","evidence_type":"inferred","source_span":"","fact_ids":[],"rationale":"该值由搜索词整体语义推断，未作为页面明示属性。"}]}</x:v>
      </x:c>
      <x:c r="Y46" s="16" t="str">
        <x:v>water_resistant_unconfirmed</x:v>
      </x:c>
      <x:c r="Z46" s="13" t="str">
        <x:v>partial_match</x:v>
      </x:c>
      <x:c r="AA46" s="16" t="str">
        <x:v>title_womens_flip_flop | arch_support</x:v>
      </x:c>
      <x:c r="AB46" s="13" t="str">
        <x:v>accepted</x:v>
      </x:c>
      <x:c r="AC46" s="13" t="str">
        <x:v>1.0.0</x:v>
      </x:c>
      <x:c r="AD46" s="13" t="str">
        <x:v>1.1.0</x:v>
      </x:c>
      <x:c r="AE46" s="13" t="str">
        <x:v>deepseek/deepseek-v4-pro</x:v>
      </x:c>
      <x:c r="AF46" s="13" t="str">
        <x:v>aj2-y90-20260714T234810-0bea2f52</x:v>
      </x:c>
      <x:c r="AG46" s="13" t="str">
        <x:v>full-0003</x:v>
      </x:c>
      <x:c r="AH46" s="13" t="str">
        <x:v>full</x:v>
      </x:c>
      <x:c r="AI46" s="13" t="n">
        <x:v>3</x:v>
      </x:c>
    </x:row>
    <x:row r="47" ht="34" customHeight="1">
      <x:c r="A47" s="15" t="str">
        <x:v>women's black flip flops with arch support</x:v>
      </x:c>
      <x:c r="B47" s="15" t="str">
        <x:v>women's black flip flops with arch support</x:v>
      </x:c>
      <x:c r="C47" s="10" t="str">
        <x:v>505226e604149b99</x:v>
      </x:c>
      <x:c r="D47" s="10" t="str">
        <x:v>keyword</x:v>
      </x:c>
      <x:c r="E47" s="10" t="str">
        <x:v>en</x:v>
      </x:c>
      <x:c r="F47" s="10" t="str">
        <x:v>clothing_shoes_jewelry</x:v>
      </x:c>
      <x:c r="G47" s="15" t="str"/>
      <x:c r="H47" s="15" t="str">
        <x:v>flip_flops</x:v>
      </x:c>
      <x:c r="I47" s="15" t="str">
        <x:v>women</x:v>
      </x:c>
      <x:c r="J47" s="15" t="str"/>
      <x:c r="K47" s="15" t="str"/>
      <x:c r="L47" s="15" t="str"/>
      <x:c r="M47" s="15" t="str"/>
      <x:c r="N47" s="15" t="str">
        <x:v>arch_support</x:v>
      </x:c>
      <x:c r="O47" s="15" t="str"/>
      <x:c r="P47" s="15" t="str"/>
      <x:c r="Q47" s="15" t="str"/>
      <x:c r="R47" s="15" t="str">
        <x:v>女性消费者需要一双具有足弓支撑功能的黑色人字拖，以满足足部舒适需求。</x:v>
      </x:c>
      <x:c r="S47" s="10" t="str">
        <x:v>high_intent</x:v>
      </x:c>
      <x:c r="T47" s="15" t="str">
        <x:v>explicit | page_validated</x:v>
      </x:c>
      <x:c r="U47" s="10" t="str">
        <x:v>high</x:v>
      </x:c>
      <x:c r="V47" s="15" t="str">
        <x:v>womens_black_arch_support_flip_flops</x:v>
      </x:c>
      <x:c r="W47" s="15" t="str">
        <x:v>cluster_route</x:v>
      </x:c>
      <x:c r="X47" s="15" t="str">
        <x:v>{"product_type":[{"value":"flip_flops","evidence_type":"explicit","source_span":"flip flops","fact_ids":[],"rationale":"Term explicitly requests flip flops."},{"value":"flip_flops","evidence_type":"page_validated","source_span":"","fact_ids":["style_flip_flop"],"rationale":"该槽位与商品基准中的明示页面事实一致。"}],"audience_intent":[{"value":"women","evidence_type":"explicit","source_span":"women's","fact_ids":[],"rationale":"Term explicitly specifies women's."},{"value":"women","evidence_type":"page_validated","source_span":"","fact_ids":["title_womens_flip_flop"],"rationale":"该槽位与商品基准中的明示页面事实一致。"}],"primary_domain":[{"value":"clothing_shoes_jewelry","evidence_type":"inferred","source_span":"","fact_ids":[],"rationale":"该值由搜索词整体语义推断，未作为页面明示属性。"}],"capability_intent":[{"value":"arch_support","evidence_type":"page_validated","source_span":"","fact_ids":["arch_support"],"rationale":"该槽位与商品基准中的明示页面事实一致。"}]}</x:v>
      </x:c>
      <x:c r="Y47" s="15" t="str"/>
      <x:c r="Z47" s="10" t="str">
        <x:v>match</x:v>
      </x:c>
      <x:c r="AA47" s="15" t="str">
        <x:v>title_womens_flip_flop | arch_support | colors_visible</x:v>
      </x:c>
      <x:c r="AB47" s="10" t="str">
        <x:v>accepted</x:v>
      </x:c>
      <x:c r="AC47" s="10" t="str">
        <x:v>1.0.0</x:v>
      </x:c>
      <x:c r="AD47" s="10" t="str">
        <x:v>1.1.0</x:v>
      </x:c>
      <x:c r="AE47" s="10" t="str">
        <x:v>deepseek/deepseek-v4-pro</x:v>
      </x:c>
      <x:c r="AF47" s="10" t="str">
        <x:v>aj2-y90-20260714T234810-0bea2f52</x:v>
      </x:c>
      <x:c r="AG47" s="10" t="str">
        <x:v>full-0003</x:v>
      </x:c>
      <x:c r="AH47" s="10" t="str">
        <x:v>full</x:v>
      </x:c>
      <x:c r="AI47" s="10" t="n">
        <x:v>3</x:v>
      </x:c>
    </x:row>
    <x:row r="48" ht="34" customHeight="1">
      <x:c r="A48" s="16" t="str">
        <x:v>flip flops women black</x:v>
      </x:c>
      <x:c r="B48" s="16" t="str">
        <x:v>flip flops women black</x:v>
      </x:c>
      <x:c r="C48" s="13" t="str">
        <x:v>5376f6fa5244bace</x:v>
      </x:c>
      <x:c r="D48" s="13" t="str">
        <x:v>keyword</x:v>
      </x:c>
      <x:c r="E48" s="13" t="str">
        <x:v>en</x:v>
      </x:c>
      <x:c r="F48" s="13" t="str">
        <x:v>clothing_shoes_jewelry</x:v>
      </x:c>
      <x:c r="G48" s="16" t="str"/>
      <x:c r="H48" s="16" t="str">
        <x:v>flip_flops</x:v>
      </x:c>
      <x:c r="I48" s="16" t="str">
        <x:v>women</x:v>
      </x:c>
      <x:c r="J48" s="16" t="str"/>
      <x:c r="K48" s="16" t="str"/>
      <x:c r="L48" s="16" t="str"/>
      <x:c r="M48" s="16" t="str"/>
      <x:c r="N48" s="16" t="str"/>
      <x:c r="O48" s="16" t="str"/>
      <x:c r="P48" s="16" t="str"/>
      <x:c r="Q48" s="16" t="str"/>
      <x:c r="R48" s="16" t="str">
        <x:v>女性消费者需要一双黑色人字拖，用于日常穿着。</x:v>
      </x:c>
      <x:c r="S48" s="13" t="str">
        <x:v>consideration</x:v>
      </x:c>
      <x:c r="T48" s="16" t="str">
        <x:v>explicit | page_validated</x:v>
      </x:c>
      <x:c r="U48" s="13" t="str">
        <x:v>high</x:v>
      </x:c>
      <x:c r="V48" s="16" t="str">
        <x:v>womens_black_flip_flops</x:v>
      </x:c>
      <x:c r="W48" s="16" t="str">
        <x:v>cluster_route</x:v>
      </x:c>
      <x:c r="X48" s="16" t="str">
        <x:v>{"product_type":[{"value":"flip_flops","evidence_type":"explicit","source_span":"flip flops","fact_ids":[],"rationale":"Term explicitly requests flip flops."},{"value":"flip_flops","evidence_type":"page_validated","source_span":"","fact_ids":["style_flip_flop"],"rationale":"该槽位与商品基准中的明示页面事实一致。"}],"audience_intent":[{"value":"women","evidence_type":"explicit","source_span":"women","fact_ids":[],"rationale":"Term explicitly specifies women."},{"value":"women","evidence_type":"page_validated","source_span":"","fact_ids":["title_womens_flip_flop"],"rationale":"该槽位与商品基准中的明示页面事实一致。"}],"primary_domain":[{"value":"clothing_shoes_jewelry","evidence_type":"inferred","source_span":"","fact_ids":[],"rationale":"该值由搜索词整体语义推断，未作为页面明示属性。"}]}</x:v>
      </x:c>
      <x:c r="Y48" s="16" t="str"/>
      <x:c r="Z48" s="13" t="str">
        <x:v>match</x:v>
      </x:c>
      <x:c r="AA48" s="16" t="str">
        <x:v>title_womens_flip_flop | style_flip_flop | colors_visible</x:v>
      </x:c>
      <x:c r="AB48" s="13" t="str">
        <x:v>accepted</x:v>
      </x:c>
      <x:c r="AC48" s="13" t="str">
        <x:v>1.0.0</x:v>
      </x:c>
      <x:c r="AD48" s="13" t="str">
        <x:v>1.1.0</x:v>
      </x:c>
      <x:c r="AE48" s="13" t="str">
        <x:v>deepseek/deepseek-v4-pro</x:v>
      </x:c>
      <x:c r="AF48" s="13" t="str">
        <x:v>aj2-y90-20260714T234810-0bea2f52</x:v>
      </x:c>
      <x:c r="AG48" s="13" t="str">
        <x:v>full-0003</x:v>
      </x:c>
      <x:c r="AH48" s="13" t="str">
        <x:v>full</x:v>
      </x:c>
      <x:c r="AI48" s="13" t="n">
        <x:v>3</x:v>
      </x:c>
    </x:row>
    <x:row r="49" ht="34" customHeight="1">
      <x:c r="A49" s="15" t="str">
        <x:v>high arch support flip flop water</x:v>
      </x:c>
      <x:c r="B49" s="15" t="str">
        <x:v>high arch support flip flop water</x:v>
      </x:c>
      <x:c r="C49" s="10" t="str">
        <x:v>548fe92f4f769d7b</x:v>
      </x:c>
      <x:c r="D49" s="10" t="str">
        <x:v>keyword</x:v>
      </x:c>
      <x:c r="E49" s="10" t="str">
        <x:v>en</x:v>
      </x:c>
      <x:c r="F49" s="10" t="str">
        <x:v>clothing_shoes_jewelry</x:v>
      </x:c>
      <x:c r="G49" s="15" t="str"/>
      <x:c r="H49" s="15" t="str">
        <x:v>flip_flops</x:v>
      </x:c>
      <x:c r="I49" s="15" t="str"/>
      <x:c r="J49" s="15" t="str"/>
      <x:c r="K49" s="15" t="str">
        <x:v>water_use</x:v>
      </x:c>
      <x:c r="L49" s="15" t="str"/>
      <x:c r="M49" s="15" t="str"/>
      <x:c r="N49" s="15" t="str">
        <x:v>high_arch_support</x:v>
      </x:c>
      <x:c r="O49" s="15" t="str"/>
      <x:c r="P49" s="15" t="str"/>
      <x:c r="Q49" s="15" t="str"/>
      <x:c r="R49" s="15" t="str">
        <x:v>消费者需要具有高足弓支撑且适合涉水使用的人字拖。</x:v>
      </x:c>
      <x:c r="S49" s="10" t="str">
        <x:v>high_intent</x:v>
      </x:c>
      <x:c r="T49" s="15" t="str">
        <x:v>explicit | page_validated | inferred</x:v>
      </x:c>
      <x:c r="U49" s="10" t="str">
        <x:v>medium</x:v>
      </x:c>
      <x:c r="V49" s="15" t="str">
        <x:v>high_arch_support_water_flip_flops</x:v>
      </x:c>
      <x:c r="W49" s="15" t="str">
        <x:v>listing_gap_review</x:v>
      </x:c>
      <x:c r="X49" s="15" t="str">
        <x:v>{"product_type":[{"value":"flip_flops","evidence_type":"explicit","source_span":"flip flop","fact_ids":[],"rationale":"Term explicitly requests flip flop."},{"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body_need_intent":[{"value":"high_arch_support","evidence_type":"explicit","source_span":"high arch support","fact_ids":[],"rationale":"Term explicitly requests high arch support; page claims ergonomic arch support but not specifically high arch."}],"capability_intent":[{"value":"water_use","evidence_type":"explicit","source_span":"water","fact_ids":[],"rationale":"Term explicitly mentions water use context; page does not claim waterproof or water-resistant properties."}],"primary_domain":[{"value":"clothing_shoes_jewelry","evidence_type":"inferred","source_span":"","fact_ids":[],"rationale":"该值由搜索词整体语义推断，未作为页面明示属性。"}]}</x:v>
      </x:c>
      <x:c r="Y49" s="15" t="str">
        <x:v>high_arch_level_unconfirmed | water_capability_unconfirmed</x:v>
      </x:c>
      <x:c r="Z49" s="10" t="str">
        <x:v>partial_match</x:v>
      </x:c>
      <x:c r="AA49" s="15" t="str">
        <x:v>arch_support | style_flip_flop</x:v>
      </x:c>
      <x:c r="AB49" s="10" t="str">
        <x:v>accepted</x:v>
      </x:c>
      <x:c r="AC49" s="10" t="str">
        <x:v>1.0.0</x:v>
      </x:c>
      <x:c r="AD49" s="10" t="str">
        <x:v>1.1.0</x:v>
      </x:c>
      <x:c r="AE49" s="10" t="str">
        <x:v>deepseek/deepseek-v4-pro</x:v>
      </x:c>
      <x:c r="AF49" s="10" t="str">
        <x:v>aj2-y90-20260714T234810-0bea2f52</x:v>
      </x:c>
      <x:c r="AG49" s="10" t="str">
        <x:v>full-0003</x:v>
      </x:c>
      <x:c r="AH49" s="10" t="str">
        <x:v>full</x:v>
      </x:c>
      <x:c r="AI49" s="10" t="n">
        <x:v>3</x:v>
      </x:c>
    </x:row>
    <x:row r="50" ht="34" customHeight="1">
      <x:c r="A50" s="16" t="str">
        <x:v>big flower flip flops</x:v>
      </x:c>
      <x:c r="B50" s="16" t="str">
        <x:v>big flower flip flops</x:v>
      </x:c>
      <x:c r="C50" s="13" t="str">
        <x:v>585c8bea377f27a1</x:v>
      </x:c>
      <x:c r="D50" s="13" t="str">
        <x:v>keyword</x:v>
      </x:c>
      <x:c r="E50" s="13" t="str">
        <x:v>en</x:v>
      </x:c>
      <x:c r="F50" s="13" t="str">
        <x:v>clothing_shoes_jewelry</x:v>
      </x:c>
      <x:c r="G50" s="16" t="str"/>
      <x:c r="H50" s="16" t="str">
        <x:v>flip_flops</x:v>
      </x:c>
      <x:c r="I50" s="16" t="str"/>
      <x:c r="J50" s="16" t="str">
        <x:v>style_fashion | floral_design</x:v>
      </x:c>
      <x:c r="K50" s="16" t="str"/>
      <x:c r="L50" s="16" t="str"/>
      <x:c r="M50" s="16" t="str"/>
      <x:c r="N50" s="16" t="str"/>
      <x:c r="O50" s="16" t="str"/>
      <x:c r="P50" s="16" t="str"/>
      <x:c r="Q50" s="16" t="str"/>
      <x:c r="R50" s="16" t="str">
        <x:v>消费者希望购买带有大花朵装饰的人字拖，注重外观设计感。</x:v>
      </x:c>
      <x:c r="S50" s="13" t="str">
        <x:v>consideration</x:v>
      </x:c>
      <x:c r="T50" s="16" t="str">
        <x:v>explicit | page_validated | inferred</x:v>
      </x:c>
      <x:c r="U50" s="13" t="str">
        <x:v>medium</x:v>
      </x:c>
      <x:c r="V50" s="16" t="str">
        <x:v>floral_flip_flops</x:v>
      </x:c>
      <x:c r="W50" s="16" t="str">
        <x:v>listing_gap_review</x:v>
      </x:c>
      <x:c r="X50" s="16" t="str">
        <x:v>{"product_type":[{"value":"flip_flops","evidence_type":"explicit","source_span":"flip flops","fact_ids":[],"rationale":"Term explicitly requests flip flops."},{"value":"flip_flops","evidence_type":"page_validated","source_span":"","fact_ids":["style_flip_flop"],"rationale":"该槽位与商品基准中的明示页面事实一致。"}],"function_intent":[{"value":"style_fashion","evidence_type":"explicit","source_span":"big flower","fact_ids":[],"rationale":"Term requests a decorative floral design element."},{"value":"floral_design","evidence_type":"inferred","source_span":"big flower","fact_ids":[],"rationale":"Big flower indicates a specific aesthetic detail; no page evidence confirms floral embellishments exist."}],"primary_domain":[{"value":"clothing_shoes_jewelry","evidence_type":"inferred","source_span":"","fact_ids":[],"rationale":"该值由搜索词整体语义推断，未作为页面明示属性。"}]}</x:v>
      </x:c>
      <x:c r="Y50" s="16" t="str">
        <x:v>floral_design_unconfirmed</x:v>
      </x:c>
      <x:c r="Z50" s="13" t="str">
        <x:v>partial_match</x:v>
      </x:c>
      <x:c r="AA50" s="16" t="str">
        <x:v>style_flip_flop</x:v>
      </x:c>
      <x:c r="AB50" s="13" t="str">
        <x:v>accepted</x:v>
      </x:c>
      <x:c r="AC50" s="13" t="str">
        <x:v>1.0.0</x:v>
      </x:c>
      <x:c r="AD50" s="13" t="str">
        <x:v>1.1.0</x:v>
      </x:c>
      <x:c r="AE50" s="13" t="str">
        <x:v>deepseek/deepseek-v4-pro</x:v>
      </x:c>
      <x:c r="AF50" s="13" t="str">
        <x:v>aj2-y90-20260714T234810-0bea2f52</x:v>
      </x:c>
      <x:c r="AG50" s="13" t="str">
        <x:v>full-0003</x:v>
      </x:c>
      <x:c r="AH50" s="13" t="str">
        <x:v>full</x:v>
      </x:c>
      <x:c r="AI50" s="13" t="n">
        <x:v>3</x:v>
      </x:c>
    </x:row>
    <x:row r="51" ht="34" customHeight="1">
      <x:c r="A51" s="15" t="str">
        <x:v>eva flip flop</x:v>
      </x:c>
      <x:c r="B51" s="15" t="str">
        <x:v>eva flip flop</x:v>
      </x:c>
      <x:c r="C51" s="10" t="str">
        <x:v>5e4d5bd3b263ab8e</x:v>
      </x:c>
      <x:c r="D51" s="10" t="str">
        <x:v>keyword</x:v>
      </x:c>
      <x:c r="E51" s="10" t="str">
        <x:v>en</x:v>
      </x:c>
      <x:c r="F51" s="10" t="str">
        <x:v>clothing_shoes_jewelry</x:v>
      </x:c>
      <x:c r="G51" s="15" t="str"/>
      <x:c r="H51" s="15" t="str">
        <x:v>flip_flops</x:v>
      </x:c>
      <x:c r="I51" s="15" t="str"/>
      <x:c r="J51" s="15" t="str"/>
      <x:c r="K51" s="15" t="str">
        <x:v>eva_material</x:v>
      </x:c>
      <x:c r="L51" s="15" t="str"/>
      <x:c r="M51" s="15" t="str"/>
      <x:c r="N51" s="15" t="str"/>
      <x:c r="O51" s="15" t="str"/>
      <x:c r="P51" s="15" t="str"/>
      <x:c r="Q51" s="15" t="str"/>
      <x:c r="R51" s="15" t="str">
        <x:v>消费者需要一双EVA材质的人字拖，注重材质特性。</x:v>
      </x:c>
      <x:c r="S51" s="10" t="str">
        <x:v>consideration</x:v>
      </x:c>
      <x:c r="T51" s="15" t="str">
        <x:v>explicit | page_validated</x:v>
      </x:c>
      <x:c r="U51" s="10" t="str">
        <x:v>high</x:v>
      </x:c>
      <x:c r="V51" s="15" t="str">
        <x:v>eva_material_flip_flops</x:v>
      </x:c>
      <x:c r="W51" s="15" t="str">
        <x:v>cluster_route</x:v>
      </x:c>
      <x:c r="X51" s="15" t="str">
        <x:v>{"product_type":[{"value":"flip_flops","evidence_type":"explicit","source_span":"flip flop","fact_ids":[],"rationale":"Term explicitly requests flip flop."},{"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capability_intent":[{"value":"eva_material","evidence_type":"explicit","source_span":"eva","fact_ids":[],"rationale":"Term explicitly specifies EVA material."}],"primary_domain":[{"value":"clothing_shoes_jewelry","evidence_type":"inferred","source_span":"","fact_ids":[],"rationale":"该值由搜索词整体语义推断，未作为页面明示属性。"}]}</x:v>
      </x:c>
      <x:c r="Y51" s="15" t="str"/>
      <x:c r="Z51" s="10" t="str">
        <x:v>match</x:v>
      </x:c>
      <x:c r="AA51" s="15" t="str">
        <x:v>material_eva | style_flip_flop</x:v>
      </x:c>
      <x:c r="AB51" s="10" t="str">
        <x:v>accepted</x:v>
      </x:c>
      <x:c r="AC51" s="10" t="str">
        <x:v>1.0.0</x:v>
      </x:c>
      <x:c r="AD51" s="10" t="str">
        <x:v>1.1.0</x:v>
      </x:c>
      <x:c r="AE51" s="10" t="str">
        <x:v>deepseek/deepseek-v4-pro</x:v>
      </x:c>
      <x:c r="AF51" s="10" t="str">
        <x:v>aj2-y90-20260714T234810-0bea2f52</x:v>
      </x:c>
      <x:c r="AG51" s="10" t="str">
        <x:v>full-0003</x:v>
      </x:c>
      <x:c r="AH51" s="10" t="str">
        <x:v>full</x:v>
      </x:c>
      <x:c r="AI51" s="10" t="n">
        <x:v>3</x:v>
      </x:c>
    </x:row>
    <x:row r="52" ht="34" customHeight="1">
      <x:c r="A52" s="16" t="str">
        <x:v>flip flops women water friendly</x:v>
      </x:c>
      <x:c r="B52" s="16" t="str">
        <x:v>flip flops women water friendly</x:v>
      </x:c>
      <x:c r="C52" s="13" t="str">
        <x:v>741b7d434bc388e0</x:v>
      </x:c>
      <x:c r="D52" s="13" t="str">
        <x:v>keyword</x:v>
      </x:c>
      <x:c r="E52" s="13" t="str">
        <x:v>en</x:v>
      </x:c>
      <x:c r="F52" s="13" t="str">
        <x:v>clothing_shoes_jewelry</x:v>
      </x:c>
      <x:c r="G52" s="16" t="str"/>
      <x:c r="H52" s="16" t="str">
        <x:v>flip_flops</x:v>
      </x:c>
      <x:c r="I52" s="16" t="str">
        <x:v>women</x:v>
      </x:c>
      <x:c r="J52" s="16" t="str"/>
      <x:c r="K52" s="16" t="str">
        <x:v>water_friendly</x:v>
      </x:c>
      <x:c r="L52" s="16" t="str"/>
      <x:c r="M52" s="16" t="str"/>
      <x:c r="N52" s="16" t="str"/>
      <x:c r="O52" s="16" t="str"/>
      <x:c r="P52" s="16" t="str"/>
      <x:c r="Q52" s="16" t="str"/>
      <x:c r="R52" s="16" t="str">
        <x:v>女性消费者需要适合涉水环境穿着的人字拖，要求产品具备防水或亲水特性。</x:v>
      </x:c>
      <x:c r="S52" s="13" t="str">
        <x:v>consideration</x:v>
      </x:c>
      <x:c r="T52" s="16" t="str">
        <x:v>explicit | page_validated | inferred</x:v>
      </x:c>
      <x:c r="U52" s="13" t="str">
        <x:v>medium</x:v>
      </x:c>
      <x:c r="V52" s="16" t="str">
        <x:v>water_friendly_womens_flip_flops</x:v>
      </x:c>
      <x:c r="W52" s="16" t="str">
        <x:v>listing_gap_review</x:v>
      </x:c>
      <x:c r="X52" s="16" t="str">
        <x:v>{"product_type":[{"value":"flip_flops","evidence_type":"explicit","source_span":"flip flops","fact_ids":[],"rationale":"Term explicitly requests flip flops."},{"value":"flip_flops","evidence_type":"page_validated","source_span":"","fact_ids":["style_flip_flop"],"rationale":"该槽位与商品基准中的明示页面事实一致。"}],"audience_intent":[{"value":"women","evidence_type":"explicit","source_span":"women","fact_ids":[],"rationale":"Term explicitly specifies women."},{"value":"women","evidence_type":"page_validated","source_span":"","fact_ids":["title_womens_flip_flop"],"rationale":"该槽位与商品基准中的明示页面事实一致。"}],"capability_intent":[{"value":"water_friendly","evidence_type":"explicit","source_span":"water friendly","fact_ids":[],"rationale":"Term explicitly requests water-friendly capability; page does not claim waterproof or water-resistant properties."}],"primary_domain":[{"value":"clothing_shoes_jewelry","evidence_type":"inferred","source_span":"","fact_ids":[],"rationale":"该值由搜索词整体语义推断，未作为页面明示属性。"}]}</x:v>
      </x:c>
      <x:c r="Y52" s="16" t="str">
        <x:v>water_friendly_unconfirmed</x:v>
      </x:c>
      <x:c r="Z52" s="13" t="str">
        <x:v>partial_match</x:v>
      </x:c>
      <x:c r="AA52" s="16" t="str">
        <x:v>title_womens_flip_flop | style_flip_flop</x:v>
      </x:c>
      <x:c r="AB52" s="13" t="str">
        <x:v>accepted</x:v>
      </x:c>
      <x:c r="AC52" s="13" t="str">
        <x:v>1.0.0</x:v>
      </x:c>
      <x:c r="AD52" s="13" t="str">
        <x:v>1.1.0</x:v>
      </x:c>
      <x:c r="AE52" s="13" t="str">
        <x:v>deepseek/deepseek-v4-pro</x:v>
      </x:c>
      <x:c r="AF52" s="13" t="str">
        <x:v>aj2-y90-20260714T234810-0bea2f52</x:v>
      </x:c>
      <x:c r="AG52" s="13" t="str">
        <x:v>full-0003</x:v>
      </x:c>
      <x:c r="AH52" s="13" t="str">
        <x:v>full</x:v>
      </x:c>
      <x:c r="AI52" s="13" t="n">
        <x:v>3</x:v>
      </x:c>
    </x:row>
    <x:row r="53" ht="34" customHeight="1">
      <x:c r="A53" s="15" t="str">
        <x:v>white flip-flops for women</x:v>
      </x:c>
      <x:c r="B53" s="15" t="str">
        <x:v>white flip-flops for women</x:v>
      </x:c>
      <x:c r="C53" s="10" t="str">
        <x:v>7a0d9d15db54c945</x:v>
      </x:c>
      <x:c r="D53" s="10" t="str">
        <x:v>keyword</x:v>
      </x:c>
      <x:c r="E53" s="10" t="str">
        <x:v>en</x:v>
      </x:c>
      <x:c r="F53" s="10" t="str">
        <x:v>clothing_shoes_jewelry</x:v>
      </x:c>
      <x:c r="G53" s="15" t="str"/>
      <x:c r="H53" s="15" t="str">
        <x:v>flip_flops</x:v>
      </x:c>
      <x:c r="I53" s="15" t="str">
        <x:v>women</x:v>
      </x:c>
      <x:c r="J53" s="15" t="str"/>
      <x:c r="K53" s="15" t="str"/>
      <x:c r="L53" s="15" t="str"/>
      <x:c r="M53" s="15" t="str"/>
      <x:c r="N53" s="15" t="str"/>
      <x:c r="O53" s="15" t="str"/>
      <x:c r="P53" s="15" t="str"/>
      <x:c r="Q53" s="15" t="str"/>
      <x:c r="R53" s="15" t="str">
        <x:v>女性消费者需要一双白色人字拖，用于日常穿着。</x:v>
      </x:c>
      <x:c r="S53" s="10" t="str">
        <x:v>consideration</x:v>
      </x:c>
      <x:c r="T53" s="15" t="str">
        <x:v>explicit | page_validated</x:v>
      </x:c>
      <x:c r="U53" s="10" t="str">
        <x:v>high</x:v>
      </x:c>
      <x:c r="V53" s="15" t="str">
        <x:v>white_womens_flip_flops</x:v>
      </x:c>
      <x:c r="W53" s="15" t="str">
        <x:v>cluster_route</x:v>
      </x:c>
      <x:c r="X53" s="15" t="str">
        <x:v>{"product_type":[{"value":"flip_flops","evidence_type":"explicit","source_span":"flip-flops","fact_ids":[],"rationale":"Term explicitly requests flip-flops."},{"value":"flip_flops","evidence_type":"page_validated","source_span":"","fact_ids":["style_flip_flop"],"rationale":"该槽位与商品基准中的明示页面事实一致。"}],"audience_intent":[{"value":"women","evidence_type":"explicit","source_span":"women","fact_ids":[],"rationale":"Term explicitly specifies women."},{"value":"women","evidence_type":"page_validated","source_span":"","fact_ids":["title_womens_flip_flop"],"rationale":"该槽位与商品基准中的明示页面事实一致。"}],"primary_domain":[{"value":"clothing_shoes_jewelry","evidence_type":"inferred","source_span":"","fact_ids":[],"rationale":"该值由搜索词整体语义推断，未作为页面明示属性。"}]}</x:v>
      </x:c>
      <x:c r="Y53" s="15" t="str"/>
      <x:c r="Z53" s="10" t="str">
        <x:v>match</x:v>
      </x:c>
      <x:c r="AA53" s="15" t="str">
        <x:v>title_womens_flip_flop | colors_visible</x:v>
      </x:c>
      <x:c r="AB53" s="10" t="str">
        <x:v>accepted</x:v>
      </x:c>
      <x:c r="AC53" s="10" t="str">
        <x:v>1.0.0</x:v>
      </x:c>
      <x:c r="AD53" s="10" t="str">
        <x:v>1.1.0</x:v>
      </x:c>
      <x:c r="AE53" s="10" t="str">
        <x:v>deepseek/deepseek-v4-pro</x:v>
      </x:c>
      <x:c r="AF53" s="10" t="str">
        <x:v>aj2-y90-20260714T234810-0bea2f52</x:v>
      </x:c>
      <x:c r="AG53" s="10" t="str">
        <x:v>full-0003</x:v>
      </x:c>
      <x:c r="AH53" s="10" t="str">
        <x:v>full</x:v>
      </x:c>
      <x:c r="AI53" s="10" t="n">
        <x:v>3</x:v>
      </x:c>
    </x:row>
    <x:row r="54" ht="34" customHeight="1">
      <x:c r="A54" s="16" t="str">
        <x:v>nude casual flip flops</x:v>
      </x:c>
      <x:c r="B54" s="16" t="str">
        <x:v>nude casual flip flops</x:v>
      </x:c>
      <x:c r="C54" s="13" t="str">
        <x:v>7cca59125c3d5641</x:v>
      </x:c>
      <x:c r="D54" s="13" t="str">
        <x:v>keyword</x:v>
      </x:c>
      <x:c r="E54" s="13" t="str">
        <x:v>en</x:v>
      </x:c>
      <x:c r="F54" s="13" t="str">
        <x:v>clothing_shoes_jewelry</x:v>
      </x:c>
      <x:c r="G54" s="16" t="str"/>
      <x:c r="H54" s="16" t="str">
        <x:v>flip_flops</x:v>
      </x:c>
      <x:c r="I54" s="16" t="str"/>
      <x:c r="J54" s="16" t="str">
        <x:v>casual_style</x:v>
      </x:c>
      <x:c r="K54" s="16" t="str"/>
      <x:c r="L54" s="16" t="str"/>
      <x:c r="M54" s="16" t="str"/>
      <x:c r="N54" s="16" t="str"/>
      <x:c r="O54" s="16" t="str"/>
      <x:c r="P54" s="16" t="str"/>
      <x:c r="Q54" s="16" t="str"/>
      <x:c r="R54" s="16" t="str">
        <x:v>消费者希望找到裸色休闲风格的人字拖，用于日常搭配。</x:v>
      </x:c>
      <x:c r="S54" s="13" t="str">
        <x:v>consideration</x:v>
      </x:c>
      <x:c r="T54" s="16" t="str">
        <x:v>explicit | page_validated | inferred</x:v>
      </x:c>
      <x:c r="U54" s="13" t="str">
        <x:v>medium</x:v>
      </x:c>
      <x:c r="V54" s="16" t="str">
        <x:v>nude_casual_flip_flops</x:v>
      </x:c>
      <x:c r="W54" s="16" t="str">
        <x:v>listing_gap_review</x:v>
      </x:c>
      <x:c r="X54" s="16" t="str">
        <x:v>{"product_type":[{"value":"flip_flops","evidence_type":"explicit","source_span":"flip flops","fact_ids":[],"rationale":"Term explicitly requests flip flops."},{"value":"flip_flops","evidence_type":"page_validated","source_span":"","fact_ids":["style_flip_flop"],"rationale":"该槽位与商品基准中的明示页面事实一致。"}],"function_intent":[{"value":"casual_style","evidence_type":"explicit","source_span":"casual","fact_ids":[],"rationale":"Term explicitly specifies casual style."}],"primary_domain":[{"value":"clothing_shoes_jewelry","evidence_type":"inferred","source_span":"","fact_ids":[],"rationale":"该值由搜索词整体语义推断，未作为页面明示属性。"}]}</x:v>
      </x:c>
      <x:c r="Y54" s="16" t="str">
        <x:v>nude_color_unavailable</x:v>
      </x:c>
      <x:c r="Z54" s="13" t="str">
        <x:v>partial_match</x:v>
      </x:c>
      <x:c r="AA54" s="16" t="str">
        <x:v>style_flip_flop</x:v>
      </x:c>
      <x:c r="AB54" s="13" t="str">
        <x:v>accepted</x:v>
      </x:c>
      <x:c r="AC54" s="13" t="str">
        <x:v>1.0.0</x:v>
      </x:c>
      <x:c r="AD54" s="13" t="str">
        <x:v>1.1.0</x:v>
      </x:c>
      <x:c r="AE54" s="13" t="str">
        <x:v>deepseek/deepseek-v4-pro</x:v>
      </x:c>
      <x:c r="AF54" s="13" t="str">
        <x:v>aj2-y90-20260714T234810-0bea2f52</x:v>
      </x:c>
      <x:c r="AG54" s="13" t="str">
        <x:v>full-0003</x:v>
      </x:c>
      <x:c r="AH54" s="13" t="str">
        <x:v>full</x:v>
      </x:c>
      <x:c r="AI54" s="13" t="n">
        <x:v>3</x:v>
      </x:c>
    </x:row>
    <x:row r="55" ht="34" customHeight="1">
      <x:c r="A55" s="15" t="str">
        <x:v>light pink flip flops women</x:v>
      </x:c>
      <x:c r="B55" s="15" t="str">
        <x:v>light pink flip flops women</x:v>
      </x:c>
      <x:c r="C55" s="10" t="str">
        <x:v>962dd55bea1a91ad</x:v>
      </x:c>
      <x:c r="D55" s="10" t="str">
        <x:v>keyword</x:v>
      </x:c>
      <x:c r="E55" s="10" t="str">
        <x:v>en</x:v>
      </x:c>
      <x:c r="F55" s="10" t="str">
        <x:v>clothing_shoes_jewelry</x:v>
      </x:c>
      <x:c r="G55" s="15" t="str"/>
      <x:c r="H55" s="15" t="str">
        <x:v>flip_flops</x:v>
      </x:c>
      <x:c r="I55" s="15" t="str">
        <x:v>women</x:v>
      </x:c>
      <x:c r="J55" s="15" t="str"/>
      <x:c r="K55" s="15" t="str"/>
      <x:c r="L55" s="15" t="str"/>
      <x:c r="M55" s="15" t="str"/>
      <x:c r="N55" s="15" t="str"/>
      <x:c r="O55" s="15" t="str"/>
      <x:c r="P55" s="15" t="str"/>
      <x:c r="Q55" s="15" t="str"/>
      <x:c r="R55" s="15" t="str">
        <x:v>女性消费者需要浅粉色人字拖，注重柔和色调的搭配需求。</x:v>
      </x:c>
      <x:c r="S55" s="10" t="str">
        <x:v>consideration</x:v>
      </x:c>
      <x:c r="T55" s="15" t="str">
        <x:v>explicit | page_validated</x:v>
      </x:c>
      <x:c r="U55" s="10" t="str">
        <x:v>high</x:v>
      </x:c>
      <x:c r="V55" s="15" t="str">
        <x:v>light_pink_womens_flip_flops</x:v>
      </x:c>
      <x:c r="W55" s="15" t="str">
        <x:v>cluster_route</x:v>
      </x:c>
      <x:c r="X55" s="15" t="str">
        <x:v>{"product_type":[{"value":"flip_flops","evidence_type":"explicit","source_span":"flip flops","fact_ids":[],"rationale":"Term explicitly requests flip flops."},{"value":"flip_flops","evidence_type":"page_validated","source_span":"","fact_ids":["style_flip_flop"],"rationale":"该槽位与商品基准中的明示页面事实一致。"}],"audience_intent":[{"value":"women","evidence_type":"explicit","source_span":"women","fact_ids":[],"rationale":"Term explicitly specifies women."},{"value":"women","evidence_type":"page_validated","source_span":"","fact_ids":["title_womens_flip_flop"],"rationale":"该槽位与商品基准中的明示页面事实一致。"}],"primary_domain":[{"value":"clothing_shoes_jewelry","evidence_type":"inferred","source_span":"","fact_ids":[],"rationale":"该值由搜索词整体语义推断，未作为页面明示属性。"}]}</x:v>
      </x:c>
      <x:c r="Y55" s="15" t="str"/>
      <x:c r="Z55" s="10" t="str">
        <x:v>match</x:v>
      </x:c>
      <x:c r="AA55" s="15" t="str">
        <x:v>title_womens_flip_flop | colors_visible</x:v>
      </x:c>
      <x:c r="AB55" s="10" t="str">
        <x:v>accepted</x:v>
      </x:c>
      <x:c r="AC55" s="10" t="str">
        <x:v>1.0.0</x:v>
      </x:c>
      <x:c r="AD55" s="10" t="str">
        <x:v>1.1.0</x:v>
      </x:c>
      <x:c r="AE55" s="10" t="str">
        <x:v>deepseek/deepseek-v4-pro</x:v>
      </x:c>
      <x:c r="AF55" s="10" t="str">
        <x:v>aj2-y90-20260714T234810-0bea2f52</x:v>
      </x:c>
      <x:c r="AG55" s="10" t="str">
        <x:v>full-0003</x:v>
      </x:c>
      <x:c r="AH55" s="10" t="str">
        <x:v>full</x:v>
      </x:c>
      <x:c r="AI55" s="10" t="n">
        <x:v>3</x:v>
      </x:c>
    </x:row>
    <x:row r="56" ht="34" customHeight="1">
      <x:c r="A56" s="16" t="str">
        <x:v>flip flops cheap</x:v>
      </x:c>
      <x:c r="B56" s="16" t="str">
        <x:v>flip flops cheap</x:v>
      </x:c>
      <x:c r="C56" s="13" t="str">
        <x:v>9707b1789f652ece</x:v>
      </x:c>
      <x:c r="D56" s="13" t="str">
        <x:v>keyword</x:v>
      </x:c>
      <x:c r="E56" s="13" t="str">
        <x:v>en</x:v>
      </x:c>
      <x:c r="F56" s="13" t="str">
        <x:v>clothing_shoes_jewelry</x:v>
      </x:c>
      <x:c r="G56" s="16" t="str"/>
      <x:c r="H56" s="16" t="str">
        <x:v>flip_flops</x:v>
      </x:c>
      <x:c r="I56" s="16" t="str"/>
      <x:c r="J56" s="16" t="str">
        <x:v>low_price</x:v>
      </x:c>
      <x:c r="K56" s="16" t="str"/>
      <x:c r="L56" s="16" t="str"/>
      <x:c r="M56" s="16" t="str"/>
      <x:c r="N56" s="16" t="str"/>
      <x:c r="O56" s="16" t="str"/>
      <x:c r="P56" s="16" t="str"/>
      <x:c r="Q56" s="16" t="str"/>
      <x:c r="R56" s="16" t="str">
        <x:v>消费者希望找到价格低廉的人字拖，以价格为主要选购标准。</x:v>
      </x:c>
      <x:c r="S56" s="13" t="str">
        <x:v>consideration</x:v>
      </x:c>
      <x:c r="T56" s="16" t="str">
        <x:v>explicit | inferred</x:v>
      </x:c>
      <x:c r="U56" s="13" t="str">
        <x:v>medium</x:v>
      </x:c>
      <x:c r="V56" s="16" t="str">
        <x:v>cheap_flip_flops</x:v>
      </x:c>
      <x:c r="W56" s="16" t="str">
        <x:v>listing_gap_review</x:v>
      </x:c>
      <x:c r="X56" s="16" t="str">
        <x:v>{"product_type":[{"value":"flip_flops","evidence_type":"explicit","source_span":"flip flops","fact_ids":[],"rationale":"Term explicitly requests flip flops."},{"value":"flip_flops","evidence_type":"page_validated","source_span":"","fact_ids":["style_flip_flop"],"rationale":"该槽位与商品基准中的明示页面事实一致。"}],"function_intent":[{"value":"low_price","evidence_type":"explicit","source_span":"cheap","fact_ids":[],"rationale":"Term explicitly specifies cheap price expectation; real-time price excluded from page evidence."}],"primary_domain":[{"value":"clothing_shoes_jewelry","evidence_type":"inferred","source_span":"","fact_ids":[],"rationale":"该值由搜索词整体语义推断，未作为页面明示属性。"}]}</x:v>
      </x:c>
      <x:c r="Y56" s="16" t="str">
        <x:v>price_unvalidated</x:v>
      </x:c>
      <x:c r="Z56" s="13" t="str">
        <x:v>partial_match</x:v>
      </x:c>
      <x:c r="AA56" s="16" t="str">
        <x:v>style_flip_flop</x:v>
      </x:c>
      <x:c r="AB56" s="13" t="str">
        <x:v>accepted</x:v>
      </x:c>
      <x:c r="AC56" s="13" t="str">
        <x:v>1.0.0</x:v>
      </x:c>
      <x:c r="AD56" s="13" t="str">
        <x:v>1.1.0</x:v>
      </x:c>
      <x:c r="AE56" s="13" t="str">
        <x:v>deepseek/deepseek-v4-pro</x:v>
      </x:c>
      <x:c r="AF56" s="13" t="str">
        <x:v>aj2-y90-20260714T234810-0bea2f52</x:v>
      </x:c>
      <x:c r="AG56" s="13" t="str">
        <x:v>full-0003</x:v>
      </x:c>
      <x:c r="AH56" s="13" t="str">
        <x:v>full</x:v>
      </x:c>
      <x:c r="AI56" s="13" t="n">
        <x:v>3</x:v>
      </x:c>
    </x:row>
    <x:row r="57" ht="34" customHeight="1">
      <x:c r="A57" s="15" t="str">
        <x:v>womens size 7 flip flops</x:v>
      </x:c>
      <x:c r="B57" s="15" t="str">
        <x:v>womens size 7 flip flops</x:v>
      </x:c>
      <x:c r="C57" s="10" t="str">
        <x:v>d097bf7695003c4f</x:v>
      </x:c>
      <x:c r="D57" s="10" t="str">
        <x:v>keyword</x:v>
      </x:c>
      <x:c r="E57" s="10" t="str">
        <x:v>en</x:v>
      </x:c>
      <x:c r="F57" s="10" t="str">
        <x:v>clothing_shoes_jewelry</x:v>
      </x:c>
      <x:c r="G57" s="15" t="str"/>
      <x:c r="H57" s="15" t="str">
        <x:v>flip_flops</x:v>
      </x:c>
      <x:c r="I57" s="15" t="str">
        <x:v>women</x:v>
      </x:c>
      <x:c r="J57" s="15" t="str"/>
      <x:c r="K57" s="15" t="str"/>
      <x:c r="L57" s="15" t="str"/>
      <x:c r="M57" s="15" t="str"/>
      <x:c r="N57" s="15" t="str">
        <x:v>size_specific</x:v>
      </x:c>
      <x:c r="O57" s="15" t="str"/>
      <x:c r="P57" s="15" t="str"/>
      <x:c r="Q57" s="15" t="str"/>
      <x:c r="R57" s="15" t="str">
        <x:v>女性消费者需要7码的人字拖，强调尺码适配需求。</x:v>
      </x:c>
      <x:c r="S57" s="10" t="str">
        <x:v>high_intent</x:v>
      </x:c>
      <x:c r="T57" s="15" t="str">
        <x:v>explicit | page_validated</x:v>
      </x:c>
      <x:c r="U57" s="10" t="str">
        <x:v>high</x:v>
      </x:c>
      <x:c r="V57" s="15" t="str">
        <x:v>womens_size7_flip_flops</x:v>
      </x:c>
      <x:c r="W57" s="15" t="str">
        <x:v>cluster_route</x:v>
      </x:c>
      <x:c r="X57" s="15" t="str">
        <x:v>{"product_type":[{"value":"flip_flops","evidence_type":"explicit","source_span":"flip flops","fact_ids":[],"rationale":"Term explicitly requests flip flops."},{"value":"flip_flops","evidence_type":"page_validated","source_span":"","fact_ids":["style_flip_flop"],"rationale":"该槽位与商品基准中的明示页面事实一致。"}],"audience_intent":[{"value":"women","evidence_type":"explicit","source_span":"womens","fact_ids":[],"rationale":"Term explicitly specifies womens."},{"value":"women","evidence_type":"page_validated","source_span":"","fact_ids":["title_womens_flip_flop"],"rationale":"该槽位与商品基准中的明示页面事实一致。"}],"body_need_intent":[{"value":"size_specific","evidence_type":"explicit","source_span":"size 7","fact_ids":[],"rationale":"Term explicitly requests size 7."}],"primary_domain":[{"value":"clothing_shoes_jewelry","evidence_type":"inferred","source_span":"","fact_ids":[],"rationale":"该值由搜索词整体语义推断，未作为页面明示属性。"}]}</x:v>
      </x:c>
      <x:c r="Y57" s="15" t="str"/>
      <x:c r="Z57" s="10" t="str">
        <x:v>match</x:v>
      </x:c>
      <x:c r="AA57" s="15" t="str">
        <x:v>title_womens_flip_flop | sizes_6_11</x:v>
      </x:c>
      <x:c r="AB57" s="10" t="str">
        <x:v>accepted</x:v>
      </x:c>
      <x:c r="AC57" s="10" t="str">
        <x:v>1.0.0</x:v>
      </x:c>
      <x:c r="AD57" s="10" t="str">
        <x:v>1.1.0</x:v>
      </x:c>
      <x:c r="AE57" s="10" t="str">
        <x:v>deepseek/deepseek-v4-pro</x:v>
      </x:c>
      <x:c r="AF57" s="10" t="str">
        <x:v>aj2-y90-20260714T234810-0bea2f52</x:v>
      </x:c>
      <x:c r="AG57" s="10" t="str">
        <x:v>full-0003</x:v>
      </x:c>
      <x:c r="AH57" s="10" t="str">
        <x:v>full</x:v>
      </x:c>
      <x:c r="AI57" s="10" t="n">
        <x:v>3</x:v>
      </x:c>
    </x:row>
    <x:row r="58" ht="34" customHeight="1">
      <x:c r="A58" s="16" t="str">
        <x:v>beach non slip flip flops women</x:v>
      </x:c>
      <x:c r="B58" s="16" t="str">
        <x:v>beach non slip flip flops women</x:v>
      </x:c>
      <x:c r="C58" s="13" t="str">
        <x:v>d5edf97eb13158eb</x:v>
      </x:c>
      <x:c r="D58" s="13" t="str">
        <x:v>keyword</x:v>
      </x:c>
      <x:c r="E58" s="13" t="str">
        <x:v>en</x:v>
      </x:c>
      <x:c r="F58" s="13" t="str">
        <x:v>clothing_shoes_jewelry</x:v>
      </x:c>
      <x:c r="G58" s="16" t="str"/>
      <x:c r="H58" s="16" t="str">
        <x:v>flip_flops</x:v>
      </x:c>
      <x:c r="I58" s="16" t="str">
        <x:v>women</x:v>
      </x:c>
      <x:c r="J58" s="16" t="str"/>
      <x:c r="K58" s="16" t="str">
        <x:v>non_slip</x:v>
      </x:c>
      <x:c r="L58" s="16" t="str">
        <x:v>beach</x:v>
      </x:c>
      <x:c r="M58" s="16" t="str">
        <x:v>beach</x:v>
      </x:c>
      <x:c r="N58" s="16" t="str"/>
      <x:c r="O58" s="16" t="str"/>
      <x:c r="P58" s="16" t="str"/>
      <x:c r="Q58" s="16" t="str"/>
      <x:c r="R58" s="16" t="str">
        <x:v>女性消费者需要防滑的人字拖，适合在沙滩等湿滑环境穿着。</x:v>
      </x:c>
      <x:c r="S58" s="13" t="str">
        <x:v>high_intent</x:v>
      </x:c>
      <x:c r="T58" s="16" t="str">
        <x:v>explicit | page_validated</x:v>
      </x:c>
      <x:c r="U58" s="13" t="str">
        <x:v>high</x:v>
      </x:c>
      <x:c r="V58" s="16" t="str">
        <x:v>beach_nonslip_womens_flip_flops</x:v>
      </x:c>
      <x:c r="W58" s="16" t="str">
        <x:v>cluster_route</x:v>
      </x:c>
      <x:c r="X58" s="16" t="str">
        <x:v>{"product_type":[{"value":"flip_flops","evidence_type":"explicit","source_span":"flip flops","fact_ids":[],"rationale":"Term explicitly requests flip flops."},{"value":"flip_flops","evidence_type":"page_validated","source_span":"","fact_ids":["style_flip_flop"],"rationale":"该槽位与商品基准中的明示页面事实一致。"}],"audience_intent":[{"value":"women","evidence_type":"explicit","source_span":"women","fact_ids":[],"rationale":"Term explicitly specifies women."},{"value":"women","evidence_type":"page_validated","source_span":"","fact_ids":["title_womens_flip_flop"],"rationale":"该槽位与商品基准中的明示页面事实一致。"}],"capability_intent":[{"value":"non_slip","evidence_type":"explicit","source_span":"non slip","fact_ids":[],"rationale":"Term explicitly requests non-slip capability."},{"value":"non_slip","evidence_type":"page_validated","source_span":"","fact_ids":["slip_resistant_grip"],"rationale":"该槽位与商品基准中的明示页面事实一致。"}],"location_intent":[{"value":"beach","evidence_type":"explicit","source_span":"beach","fact_ids":[],"rationale":"Term explicitly specifies beach as use location."}],"event_intent":[{"value":"beach","evidence_type":"explicit","source_span":"beach","fact_ids":[],"rationale":"Beach is the activity context."}],"primary_domain":[{"value":"clothing_shoes_jewelry","evidence_type":"inferred","source_span":"","fact_ids":[],"rationale":"该值由搜索词整体语义推断，未作为页面明示属性。"}]}</x:v>
      </x:c>
      <x:c r="Y58" s="16" t="str"/>
      <x:c r="Z58" s="13" t="str">
        <x:v>match</x:v>
      </x:c>
      <x:c r="AA58" s="16" t="str">
        <x:v>title_womens_flip_flop | slip_resistant_grip | style_outdoor</x:v>
      </x:c>
      <x:c r="AB58" s="13" t="str">
        <x:v>accepted</x:v>
      </x:c>
      <x:c r="AC58" s="13" t="str">
        <x:v>1.0.0</x:v>
      </x:c>
      <x:c r="AD58" s="13" t="str">
        <x:v>1.1.0</x:v>
      </x:c>
      <x:c r="AE58" s="13" t="str">
        <x:v>deepseek/deepseek-v4-pro</x:v>
      </x:c>
      <x:c r="AF58" s="13" t="str">
        <x:v>aj2-y90-20260714T234810-0bea2f52</x:v>
      </x:c>
      <x:c r="AG58" s="13" t="str">
        <x:v>full-0003</x:v>
      </x:c>
      <x:c r="AH58" s="13" t="str">
        <x:v>full</x:v>
      </x:c>
      <x:c r="AI58" s="13" t="n">
        <x:v>3</x:v>
      </x:c>
    </x:row>
    <x:row r="59" ht="34" customHeight="1">
      <x:c r="A59" s="15" t="str">
        <x:v>womens stylish flip flops</x:v>
      </x:c>
      <x:c r="B59" s="15" t="str">
        <x:v>womens stylish flip flops</x:v>
      </x:c>
      <x:c r="C59" s="10" t="str">
        <x:v>d8d62eb132aa1dbd</x:v>
      </x:c>
      <x:c r="D59" s="10" t="str">
        <x:v>keyword</x:v>
      </x:c>
      <x:c r="E59" s="10" t="str">
        <x:v>en</x:v>
      </x:c>
      <x:c r="F59" s="10" t="str">
        <x:v>clothing_shoes_jewelry</x:v>
      </x:c>
      <x:c r="G59" s="15" t="str"/>
      <x:c r="H59" s="15" t="str">
        <x:v>flip_flops</x:v>
      </x:c>
      <x:c r="I59" s="15" t="str">
        <x:v>women</x:v>
      </x:c>
      <x:c r="J59" s="15" t="str">
        <x:v>style_fashion</x:v>
      </x:c>
      <x:c r="K59" s="15" t="str"/>
      <x:c r="L59" s="15" t="str"/>
      <x:c r="M59" s="15" t="str"/>
      <x:c r="N59" s="15" t="str"/>
      <x:c r="O59" s="15" t="str"/>
      <x:c r="P59" s="15" t="str"/>
      <x:c r="Q59" s="15" t="str"/>
      <x:c r="R59" s="15" t="str">
        <x:v>女性消费者希望找到外观时尚的人字拖，用于日常穿搭出行。</x:v>
      </x:c>
      <x:c r="S59" s="10" t="str">
        <x:v>exploration</x:v>
      </x:c>
      <x:c r="T59" s="15" t="str">
        <x:v>explicit | page_validated</x:v>
      </x:c>
      <x:c r="U59" s="10" t="str">
        <x:v>medium</x:v>
      </x:c>
      <x:c r="V59" s="15" t="str">
        <x:v>womens_stylish_flip_flops</x:v>
      </x:c>
      <x:c r="W59" s="15" t="str">
        <x:v>cluster_route</x:v>
      </x:c>
      <x:c r="X59" s="15" t="str">
        <x:v>{"product_type":[{"value":"flip_flops","evidence_type":"explicit","source_span":"flip flops","fact_ids":[],"rationale":"Term explicitly requests flip flops."},{"value":"flip_flops","evidence_type":"page_validated","source_span":"","fact_ids":["style_flip_flop"],"rationale":"该槽位与商品基准中的明示页面事实一致。"}],"audience_intent":[{"value":"women","evidence_type":"explicit","source_span":"womens","fact_ids":[],"rationale":"Term explicitly specifies womens."},{"value":"women","evidence_type":"page_validated","source_span":"","fact_ids":["title_womens_flip_flop"],"rationale":"该槽位与商品基准中的明示页面事实一致。"}],"function_intent":[{"value":"style_fashion","evidence_type":"explicit","source_span":"stylish","fact_ids":[],"rationale":"Term explicitly requests stylish fashion-oriented product."}],"primary_domain":[{"value":"clothing_shoes_jewelry","evidence_type":"inferred","source_span":"","fact_ids":[],"rationale":"该值由搜索词整体语义推断，未作为页面明示属性。"}]}</x:v>
      </x:c>
      <x:c r="Y59" s="15" t="str"/>
      <x:c r="Z59" s="10" t="str">
        <x:v>match</x:v>
      </x:c>
      <x:c r="AA59" s="15" t="str">
        <x:v>title_womens_flip_flop | style_flip_flop</x:v>
      </x:c>
      <x:c r="AB59" s="10" t="str">
        <x:v>accepted</x:v>
      </x:c>
      <x:c r="AC59" s="10" t="str">
        <x:v>1.0.0</x:v>
      </x:c>
      <x:c r="AD59" s="10" t="str">
        <x:v>1.1.0</x:v>
      </x:c>
      <x:c r="AE59" s="10" t="str">
        <x:v>deepseek/deepseek-v4-pro</x:v>
      </x:c>
      <x:c r="AF59" s="10" t="str">
        <x:v>aj2-y90-20260714T234810-0bea2f52</x:v>
      </x:c>
      <x:c r="AG59" s="10" t="str">
        <x:v>full-0003</x:v>
      </x:c>
      <x:c r="AH59" s="10" t="str">
        <x:v>full</x:v>
      </x:c>
      <x:c r="AI59" s="10" t="n">
        <x:v>3</x:v>
      </x:c>
    </x:row>
    <x:row r="60" ht="34" customHeight="1">
      <x:c r="A60" s="16" t="str">
        <x:v>coface flip flops for women</x:v>
      </x:c>
      <x:c r="B60" s="16" t="str">
        <x:v>coface flip flops for women</x:v>
      </x:c>
      <x:c r="C60" s="13" t="str">
        <x:v>eaf75a8e35aa87e9</x:v>
      </x:c>
      <x:c r="D60" s="13" t="str">
        <x:v>keyword</x:v>
      </x:c>
      <x:c r="E60" s="13" t="str">
        <x:v>en</x:v>
      </x:c>
      <x:c r="F60" s="13" t="str">
        <x:v>clothing_shoes_jewelry</x:v>
      </x:c>
      <x:c r="G60" s="16" t="str"/>
      <x:c r="H60" s="16" t="str">
        <x:v>flip_flops</x:v>
      </x:c>
      <x:c r="I60" s="16" t="str">
        <x:v>women</x:v>
      </x:c>
      <x:c r="J60" s="16" t="str"/>
      <x:c r="K60" s="16" t="str"/>
      <x:c r="L60" s="16" t="str"/>
      <x:c r="M60" s="16" t="str"/>
      <x:c r="N60" s="16" t="str"/>
      <x:c r="O60" s="16" t="str"/>
      <x:c r="P60" s="16" t="str">
        <x:v>brand_specific</x:v>
      </x:c>
      <x:c r="Q60" s="16" t="str"/>
      <x:c r="R60" s="16" t="str">
        <x:v>消费者搜索品牌名为Coface的女性人字拖，指定了特定品牌。</x:v>
      </x:c>
      <x:c r="S60" s="13" t="str">
        <x:v>brand_harvest</x:v>
      </x:c>
      <x:c r="T60" s="16" t="str">
        <x:v>explicit | inferred</x:v>
      </x:c>
      <x:c r="U60" s="13" t="str">
        <x:v>high</x:v>
      </x:c>
      <x:c r="V60" s="16" t="str">
        <x:v>coface_brand_womens_flip_flops</x:v>
      </x:c>
      <x:c r="W60" s="16" t="str">
        <x:v>semantic_negative_candidate</x:v>
      </x:c>
      <x:c r="X60" s="16" t="str">
        <x:v>{"product_type":[{"value":"flip_flops","evidence_type":"explicit","source_span":"flip flops","fact_ids":[],"rationale":"Term explicitly requests flip flops."},{"value":"flip_flops","evidence_type":"page_validated","source_span":"","fact_ids":["style_flip_flop"],"rationale":"该槽位与商品基准中的明示页面事实一致。"}],"audience_intent":[{"value":"women","evidence_type":"explicit","source_span":"women","fact_ids":[],"rationale":"Term explicitly specifies women."},{"value":"women","evidence_type":"page_validated","source_span":"","fact_ids":["title_womens_flip_flop"],"rationale":"该槽位与商品基准中的明示页面事实一致。"}],"substitute_intent":[{"value":"brand_specific","evidence_type":"explicit","source_span":"coface","fact_ids":[],"rationale":"Term includes brand name Coface; product baseline brand is joomra, indicating brand mismatch."}],"primary_domain":[{"value":"clothing_shoes_jewelry","evidence_type":"inferred","source_span":"","fact_ids":[],"rationale":"该值由搜索词整体语义推断，未作为页面明示属性。"}]}</x:v>
      </x:c>
      <x:c r="Y60" s="16" t="str">
        <x:v>brand_mismatch</x:v>
      </x:c>
      <x:c r="Z60" s="13" t="str">
        <x:v>mismatch</x:v>
      </x:c>
      <x:c r="AA60" s="16" t="str"/>
      <x:c r="AB60" s="13" t="str">
        <x:v>accepted</x:v>
      </x:c>
      <x:c r="AC60" s="13" t="str">
        <x:v>1.0.0</x:v>
      </x:c>
      <x:c r="AD60" s="13" t="str">
        <x:v>1.1.0</x:v>
      </x:c>
      <x:c r="AE60" s="13" t="str">
        <x:v>deepseek/deepseek-v4-pro</x:v>
      </x:c>
      <x:c r="AF60" s="13" t="str">
        <x:v>aj2-y90-20260714T234810-0bea2f52</x:v>
      </x:c>
      <x:c r="AG60" s="13" t="str">
        <x:v>full-0003</x:v>
      </x:c>
      <x:c r="AH60" s="13" t="str">
        <x:v>full</x:v>
      </x:c>
      <x:c r="AI60" s="13" t="n">
        <x:v>3</x:v>
      </x:c>
    </x:row>
    <x:row r="61" ht="34" customHeight="1">
      <x:c r="A61" s="15" t="str">
        <x:v>women's flip-flops beach sandals</x:v>
      </x:c>
      <x:c r="B61" s="15" t="str">
        <x:v>women's flip-flops beach sandals</x:v>
      </x:c>
      <x:c r="C61" s="10" t="str">
        <x:v>ef7f1591d973b8a1</x:v>
      </x:c>
      <x:c r="D61" s="10" t="str">
        <x:v>keyword</x:v>
      </x:c>
      <x:c r="E61" s="10" t="str">
        <x:v>en</x:v>
      </x:c>
      <x:c r="F61" s="10" t="str">
        <x:v>clothing_shoes_jewelry</x:v>
      </x:c>
      <x:c r="G61" s="15" t="str"/>
      <x:c r="H61" s="15" t="str">
        <x:v>flip_flops | sandals</x:v>
      </x:c>
      <x:c r="I61" s="15" t="str">
        <x:v>women</x:v>
      </x:c>
      <x:c r="J61" s="15" t="str"/>
      <x:c r="K61" s="15" t="str"/>
      <x:c r="L61" s="15" t="str">
        <x:v>beach</x:v>
      </x:c>
      <x:c r="M61" s="15" t="str">
        <x:v>beach</x:v>
      </x:c>
      <x:c r="N61" s="15" t="str"/>
      <x:c r="O61" s="15" t="str"/>
      <x:c r="P61" s="15" t="str"/>
      <x:c r="Q61" s="15" t="str"/>
      <x:c r="R61" s="15" t="str">
        <x:v>女性消费者需要适合沙滩穿着的人字拖或凉鞋，用于海边度假活动。</x:v>
      </x:c>
      <x:c r="S61" s="10" t="str">
        <x:v>consideration</x:v>
      </x:c>
      <x:c r="T61" s="15" t="str">
        <x:v>explicit | page_validated | inferred</x:v>
      </x:c>
      <x:c r="U61" s="10" t="str">
        <x:v>high</x:v>
      </x:c>
      <x:c r="V61" s="15" t="str">
        <x:v>womens_beach_flip_flops</x:v>
      </x:c>
      <x:c r="W61" s="15" t="str">
        <x:v>cluster_route</x:v>
      </x:c>
      <x:c r="X61" s="15" t="str">
        <x:v>{"product_type":[{"value":"flip_flops","evidence_type":"explicit","source_span":"flip-flops","fact_ids":[],"rationale":"Term explicitly requests flip-flops."},{"value":"sandals","evidence_type":"explicit","source_span":"sandals","fact_ids":[],"rationale":"Term explicitly requests sandals."},{"value":"flip_flops","evidence_type":"page_validated","source_span":"","fact_ids":["style_flip_flop"],"rationale":"该槽位与商品基准中的明示页面事实一致。"},{"value":"sandals","evidence_type":"page_validated","source_span":"","fact_ids":["title_womens_flip_flop"],"rationale":"该槽位与商品基准中的明示页面事实一致。"}],"audience_intent":[{"value":"women","evidence_type":"explicit","source_span":"women's","fact_ids":[],"rationale":"Term explicitly specifies women's."},{"value":"women","evidence_type":"page_validated","source_span":"","fact_ids":["title_womens_flip_flop"],"rationale":"该槽位与商品基准中的明示页面事实一致。"}],"location_intent":[{"value":"beach","evidence_type":"explicit","source_span":"beach","fact_ids":[],"rationale":"Term explicitly specifies beach as use location."}],"event_intent":[{"value":"beach","evidence_type":"explicit","source_span":"beach","fact_ids":[],"rationale":"Beach is the context of use."}],"primary_domain":[{"value":"clothing_shoes_jewelry","evidence_type":"inferred","source_span":"","fact_ids":[],"rationale":"该值由搜索词整体语义推断，未作为页面明示属性。"}]}</x:v>
      </x:c>
      <x:c r="Y61" s="15" t="str"/>
      <x:c r="Z61" s="10" t="str">
        <x:v>match</x:v>
      </x:c>
      <x:c r="AA61" s="15" t="str">
        <x:v>title_womens_flip_flop | style_outdoor</x:v>
      </x:c>
      <x:c r="AB61" s="10" t="str">
        <x:v>accepted</x:v>
      </x:c>
      <x:c r="AC61" s="10" t="str">
        <x:v>1.0.0</x:v>
      </x:c>
      <x:c r="AD61" s="10" t="str">
        <x:v>1.1.0</x:v>
      </x:c>
      <x:c r="AE61" s="10" t="str">
        <x:v>deepseek/deepseek-v4-pro</x:v>
      </x:c>
      <x:c r="AF61" s="10" t="str">
        <x:v>aj2-y90-20260714T234810-0bea2f52</x:v>
      </x:c>
      <x:c r="AG61" s="10" t="str">
        <x:v>full-0003</x:v>
      </x:c>
      <x:c r="AH61" s="10" t="str">
        <x:v>full</x:v>
      </x:c>
      <x:c r="AI61" s="10" t="n">
        <x:v>3</x:v>
      </x:c>
    </x:row>
    <x:row r="62" ht="34" customHeight="1">
      <x:c r="A62" s="16" t="str">
        <x:v>comfy flip flop</x:v>
      </x:c>
      <x:c r="B62" s="16" t="str">
        <x:v>comfy flip flop</x:v>
      </x:c>
      <x:c r="C62" s="13" t="str">
        <x:v>0a7aeac15dffff49</x:v>
      </x:c>
      <x:c r="D62" s="13" t="str">
        <x:v>keyword</x:v>
      </x:c>
      <x:c r="E62" s="13" t="str">
        <x:v>en</x:v>
      </x:c>
      <x:c r="F62" s="13" t="str">
        <x:v>clothing_shoes_jewelry</x:v>
      </x:c>
      <x:c r="G62" s="16" t="str"/>
      <x:c r="H62" s="16" t="str">
        <x:v>flip_flops</x:v>
      </x:c>
      <x:c r="I62" s="16" t="str"/>
      <x:c r="J62" s="16" t="str"/>
      <x:c r="K62" s="16" t="str">
        <x:v>comfort</x:v>
      </x:c>
      <x:c r="L62" s="16" t="str"/>
      <x:c r="M62" s="16" t="str"/>
      <x:c r="N62" s="16" t="str"/>
      <x:c r="O62" s="16" t="str"/>
      <x:c r="P62" s="16" t="str"/>
      <x:c r="Q62" s="16" t="str"/>
      <x:c r="R62" s="16" t="str">
        <x:v>用户需要一双舒适的人字拖，关注穿着柔软和支撑感受。</x:v>
      </x:c>
      <x:c r="S62" s="13" t="str">
        <x:v>consideration</x:v>
      </x:c>
      <x:c r="T62" s="16" t="str">
        <x:v>explicit | page_validated</x:v>
      </x:c>
      <x:c r="U62" s="13" t="str">
        <x:v>high</x:v>
      </x:c>
      <x:c r="V62" s="16" t="str">
        <x:v>comfort_flip_flops</x:v>
      </x:c>
      <x:c r="W62" s="16" t="str">
        <x:v>cluster_route</x:v>
      </x:c>
      <x:c r="X62" s="16" t="str">
        <x:v>{"product_type":[{"value":"flip_flops","evidence_type":"explicit","source_span":"flip flop","fact_ids":[],"rationale":""},{"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capability_intent":[{"value":"comfort","evidence_type":"explicit","source_span":"comfy","fact_ids":[],"rationale":""},{"value":"comfort","evidence_type":"page_validated","source_span":"","fact_ids":["arch_support","padded_cushioning"],"rationale":"该槽位与商品基准中的明示页面事实一致。"},{"value":"comfor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62" s="16" t="str"/>
      <x:c r="Z62" s="13" t="str">
        <x:v>match</x:v>
      </x:c>
      <x:c r="AA62" s="16" t="str">
        <x:v>style_flip_flop | padded_cushioning | arch_support | soft_toe_post | lightweight_breathable</x:v>
      </x:c>
      <x:c r="AB62" s="13" t="str">
        <x:v>accepted</x:v>
      </x:c>
      <x:c r="AC62" s="13" t="str">
        <x:v>1.0.0</x:v>
      </x:c>
      <x:c r="AD62" s="13" t="str">
        <x:v>1.1.0</x:v>
      </x:c>
      <x:c r="AE62" s="13" t="str">
        <x:v>deepseek/deepseek-v4-pro</x:v>
      </x:c>
      <x:c r="AF62" s="13" t="str">
        <x:v>aj2-y90-20260714T234810-0bea2f52</x:v>
      </x:c>
      <x:c r="AG62" s="13" t="str">
        <x:v>full-0004</x:v>
      </x:c>
      <x:c r="AH62" s="13" t="str">
        <x:v>full</x:v>
      </x:c>
      <x:c r="AI62" s="13" t="n">
        <x:v>4</x:v>
      </x:c>
    </x:row>
    <x:row r="63" ht="34" customHeight="1">
      <x:c r="A63" s="15" t="str">
        <x:v>womens flip flops thong cushion</x:v>
      </x:c>
      <x:c r="B63" s="15" t="str">
        <x:v>womens flip flops thong cushion</x:v>
      </x:c>
      <x:c r="C63" s="10" t="str">
        <x:v>18d525d4642876ab</x:v>
      </x:c>
      <x:c r="D63" s="10" t="str">
        <x:v>keyword</x:v>
      </x:c>
      <x:c r="E63" s="10" t="str">
        <x:v>en</x:v>
      </x:c>
      <x:c r="F63" s="10" t="str">
        <x:v>clothing_shoes_jewelry</x:v>
      </x:c>
      <x:c r="G63" s="15" t="str"/>
      <x:c r="H63" s="15" t="str">
        <x:v>flip_flops</x:v>
      </x:c>
      <x:c r="I63" s="15" t="str">
        <x:v>women</x:v>
      </x:c>
      <x:c r="J63" s="15" t="str"/>
      <x:c r="K63" s="15" t="str">
        <x:v>cushioning</x:v>
      </x:c>
      <x:c r="L63" s="15" t="str"/>
      <x:c r="M63" s="15" t="str"/>
      <x:c r="N63" s="15" t="str"/>
      <x:c r="O63" s="15" t="str"/>
      <x:c r="P63" s="15" t="str"/>
      <x:c r="Q63" s="15" t="str"/>
      <x:c r="R63" s="15" t="str">
        <x:v>女性用户需要带软垫缓冲的人字拖，关注夹脚款式的减震舒适性。</x:v>
      </x:c>
      <x:c r="S63" s="10" t="str">
        <x:v>consideration</x:v>
      </x:c>
      <x:c r="T63" s="15" t="str">
        <x:v>explicit | page_validated</x:v>
      </x:c>
      <x:c r="U63" s="10" t="str">
        <x:v>high</x:v>
      </x:c>
      <x:c r="V63" s="15" t="str">
        <x:v>womens_thong_cushion_flip_flops</x:v>
      </x:c>
      <x:c r="W63" s="15" t="str">
        <x:v>cluster_route</x:v>
      </x:c>
      <x:c r="X63" s="15" t="str">
        <x:v>{"product_type":[{"value":"flip_flops","evidence_type":"explicit","source_span":"flip flops","fact_ids":[],"rationale":""},{"value":"flip_flops","evidence_type":"page_validated","source_span":"","fact_ids":["style_flip_flop"],"rationale":"该槽位与商品基准中的明示页面事实一致。"}],"audience_intent":[{"value":"women","evidence_type":"explicit","source_span":"womens","fact_ids":[],"rationale":""},{"value":"women","evidence_type":"page_validated","source_span":"","fact_ids":["title_womens_flip_flop"],"rationale":"该槽位与商品基准中的明示页面事实一致。"}],"capability_intent":[{"value":"cushioning","evidence_type":"explicit","source_span":"cushion","fact_ids":[],"rationale":""},{"value":"cushioning","evidence_type":"page_validated","source_span":"","fact_ids":["padded_cushioning"],"rationale":"该槽位与商品基准中的明示页面事实一致。"},{"value":"cushioning","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63" s="15" t="str"/>
      <x:c r="Z63" s="10" t="str">
        <x:v>match</x:v>
      </x:c>
      <x:c r="AA63" s="15" t="str">
        <x:v>title_womens_flip_flop | style_flip_flop | style_thong | padded_cushioning</x:v>
      </x:c>
      <x:c r="AB63" s="10" t="str">
        <x:v>accepted</x:v>
      </x:c>
      <x:c r="AC63" s="10" t="str">
        <x:v>1.0.0</x:v>
      </x:c>
      <x:c r="AD63" s="10" t="str">
        <x:v>1.1.0</x:v>
      </x:c>
      <x:c r="AE63" s="10" t="str">
        <x:v>deepseek/deepseek-v4-pro</x:v>
      </x:c>
      <x:c r="AF63" s="10" t="str">
        <x:v>aj2-y90-20260714T234810-0bea2f52</x:v>
      </x:c>
      <x:c r="AG63" s="10" t="str">
        <x:v>full-0004</x:v>
      </x:c>
      <x:c r="AH63" s="10" t="str">
        <x:v>full</x:v>
      </x:c>
      <x:c r="AI63" s="10" t="n">
        <x:v>4</x:v>
      </x:c>
    </x:row>
    <x:row r="64" ht="34" customHeight="1">
      <x:c r="A64" s="16" t="str">
        <x:v>rubber flip flops</x:v>
      </x:c>
      <x:c r="B64" s="16" t="str">
        <x:v>rubber flip flops</x:v>
      </x:c>
      <x:c r="C64" s="13" t="str">
        <x:v>190c415cbc5475b5</x:v>
      </x:c>
      <x:c r="D64" s="13" t="str">
        <x:v>keyword</x:v>
      </x:c>
      <x:c r="E64" s="13" t="str">
        <x:v>en</x:v>
      </x:c>
      <x:c r="F64" s="13" t="str">
        <x:v>clothing_shoes_jewelry</x:v>
      </x:c>
      <x:c r="G64" s="16" t="str"/>
      <x:c r="H64" s="16" t="str">
        <x:v>flip_flops</x:v>
      </x:c>
      <x:c r="I64" s="16" t="str"/>
      <x:c r="J64" s="16" t="str"/>
      <x:c r="K64" s="16" t="str"/>
      <x:c r="L64" s="16" t="str"/>
      <x:c r="M64" s="16" t="str"/>
      <x:c r="N64" s="16" t="str"/>
      <x:c r="O64" s="16" t="str"/>
      <x:c r="P64" s="16" t="str"/>
      <x:c r="Q64" s="16" t="str"/>
      <x:c r="R64" s="16" t="str">
        <x:v>用户需要橡胶材质的人字拖，强调材料为橡胶而非泡沫。</x:v>
      </x:c>
      <x:c r="S64" s="13" t="str">
        <x:v>consideration</x:v>
      </x:c>
      <x:c r="T64" s="16" t="str">
        <x:v>explicit | page_validated | inferred</x:v>
      </x:c>
      <x:c r="U64" s="13" t="str">
        <x:v>medium</x:v>
      </x:c>
      <x:c r="V64" s="16" t="str">
        <x:v>rubber_flip_flops</x:v>
      </x:c>
      <x:c r="W64" s="16" t="str">
        <x:v>listing_gap_review</x:v>
      </x:c>
      <x:c r="X64" s="16" t="str">
        <x:v>{"product_type":[{"value":"flip_flops","evidence_type":"explicit","source_span":"flip flops","fact_ids":[],"rationale":""},{"value":"flip_flops","evidence_type":"page_validated","source_span":"","fact_ids":["style_flip_flop"],"rationale":"该槽位与商品基准中的明示页面事实一致。"}],"material_rubber":[{"value":"rubber","evidence_type":"explicit","source_span":"rubber","fact_ids":[],"rationale":"Term explicitly requests rubber material; page states outer material is EVA, not rubber."}],"primary_domain":[{"value":"clothing_shoes_jewelry","evidence_type":"inferred","source_span":"","fact_ids":[],"rationale":"该值由搜索词整体语义推断，未作为页面明示属性。"}]}</x:v>
      </x:c>
      <x:c r="Y64" s="16" t="str">
        <x:v>material_mismatch_rubber_vs_eva | audience_unspecified</x:v>
      </x:c>
      <x:c r="Z64" s="13" t="str">
        <x:v>partial_match</x:v>
      </x:c>
      <x:c r="AA64" s="16" t="str">
        <x:v>style_flip_flop | material_eva</x:v>
      </x:c>
      <x:c r="AB64" s="13" t="str">
        <x:v>needs_review</x:v>
      </x:c>
      <x:c r="AC64" s="13" t="str">
        <x:v>1.0.0</x:v>
      </x:c>
      <x:c r="AD64" s="13" t="str">
        <x:v>1.1.0</x:v>
      </x:c>
      <x:c r="AE64" s="13" t="str">
        <x:v>deepseek/deepseek-v4-pro</x:v>
      </x:c>
      <x:c r="AF64" s="13" t="str">
        <x:v>aj2-y90-20260714T234810-0bea2f52</x:v>
      </x:c>
      <x:c r="AG64" s="13" t="str">
        <x:v>full-0004</x:v>
      </x:c>
      <x:c r="AH64" s="13" t="str">
        <x:v>full</x:v>
      </x:c>
      <x:c r="AI64" s="13" t="n">
        <x:v>4</x:v>
      </x:c>
    </x:row>
    <x:row r="65" ht="34" customHeight="1">
      <x:c r="A65" s="15" t="str">
        <x:v>pool thongs for women</x:v>
      </x:c>
      <x:c r="B65" s="15" t="str">
        <x:v>pool thongs for women</x:v>
      </x:c>
      <x:c r="C65" s="10" t="str">
        <x:v>1a8675bf5072dc6a</x:v>
      </x:c>
      <x:c r="D65" s="10" t="str">
        <x:v>keyword</x:v>
      </x:c>
      <x:c r="E65" s="10" t="str">
        <x:v>en</x:v>
      </x:c>
      <x:c r="F65" s="10" t="str">
        <x:v>clothing_shoes_jewelry</x:v>
      </x:c>
      <x:c r="G65" s="15" t="str"/>
      <x:c r="H65" s="15" t="str">
        <x:v>flip_flops</x:v>
      </x:c>
      <x:c r="I65" s="15" t="str">
        <x:v>women</x:v>
      </x:c>
      <x:c r="J65" s="15" t="str"/>
      <x:c r="K65" s="15" t="str"/>
      <x:c r="L65" s="15" t="str"/>
      <x:c r="M65" s="15" t="str">
        <x:v>pool</x:v>
      </x:c>
      <x:c r="N65" s="15" t="str"/>
      <x:c r="O65" s="15" t="str"/>
      <x:c r="P65" s="15" t="str"/>
      <x:c r="Q65" s="15" t="str"/>
      <x:c r="R65" s="15" t="str">
        <x:v>女性用户需要适合泳池穿着的人字拖（夹脚凉鞋），用于水边活动和更衣场景。</x:v>
      </x:c>
      <x:c r="S65" s="10" t="str">
        <x:v>consideration</x:v>
      </x:c>
      <x:c r="T65" s="15" t="str">
        <x:v>explicit | page_validated | inferred</x:v>
      </x:c>
      <x:c r="U65" s="10" t="str">
        <x:v>high</x:v>
      </x:c>
      <x:c r="V65" s="15" t="str">
        <x:v>womens_pool_thong_flip_flops</x:v>
      </x:c>
      <x:c r="W65" s="15" t="str">
        <x:v>cluster_route</x:v>
      </x:c>
      <x:c r="X65" s="15" t="str">
        <x:v>{"product_type":[{"value":"flip_flops","evidence_type":"explicit","source_span":"thongs","fact_ids":[],"rationale":""},{"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audience_intent":[{"value":"women","evidence_type":"explicit","source_span":"women","fact_ids":[],"rationale":""},{"value":"women","evidence_type":"page_validated","source_span":"","fact_ids":["title_womens_flip_flop"],"rationale":"该槽位与商品基准中的明示页面事实一致。"}],"location_intent":[{"value":"pool","evidence_type":"explicit","source_span":"pool","fact_ids":[],"rationale":""}],"primary_domain":[{"value":"clothing_shoes_jewelry","evidence_type":"inferred","source_span":"","fact_ids":[],"rationale":"该值由搜索词整体语义推断，未作为页面明示属性。"}]}</x:v>
      </x:c>
      <x:c r="Y65" s="15" t="str"/>
      <x:c r="Z65" s="10" t="str">
        <x:v>match</x:v>
      </x:c>
      <x:c r="AA65" s="15" t="str">
        <x:v>title_womens_flip_flop | style_flip_flop | style_thong | style_outdoor | easy_clean | slip_resistant_grip</x:v>
      </x:c>
      <x:c r="AB65" s="10" t="str">
        <x:v>accepted</x:v>
      </x:c>
      <x:c r="AC65" s="10" t="str">
        <x:v>1.0.0</x:v>
      </x:c>
      <x:c r="AD65" s="10" t="str">
        <x:v>1.1.0</x:v>
      </x:c>
      <x:c r="AE65" s="10" t="str">
        <x:v>deepseek/deepseek-v4-pro</x:v>
      </x:c>
      <x:c r="AF65" s="10" t="str">
        <x:v>aj2-y90-20260714T234810-0bea2f52</x:v>
      </x:c>
      <x:c r="AG65" s="10" t="str">
        <x:v>full-0004</x:v>
      </x:c>
      <x:c r="AH65" s="10" t="str">
        <x:v>full</x:v>
      </x:c>
      <x:c r="AI65" s="10" t="n">
        <x:v>4</x:v>
      </x:c>
    </x:row>
    <x:row r="66" ht="34" customHeight="1">
      <x:c r="A66" s="16" t="str">
        <x:v>chocolate brown archies flip flops arch support womens</x:v>
      </x:c>
      <x:c r="B66" s="16" t="str">
        <x:v>chocolate brown archies flip flops arch support womens</x:v>
      </x:c>
      <x:c r="C66" s="13" t="str">
        <x:v>1d1285834a0a5281</x:v>
      </x:c>
      <x:c r="D66" s="13" t="str">
        <x:v>keyword</x:v>
      </x:c>
      <x:c r="E66" s="13" t="str">
        <x:v>en</x:v>
      </x:c>
      <x:c r="F66" s="13" t="str">
        <x:v>clothing_shoes_jewelry</x:v>
      </x:c>
      <x:c r="G66" s="16" t="str"/>
      <x:c r="H66" s="16" t="str">
        <x:v>flip_flops</x:v>
      </x:c>
      <x:c r="I66" s="16" t="str">
        <x:v>women</x:v>
      </x:c>
      <x:c r="J66" s="16" t="str"/>
      <x:c r="K66" s="16" t="str">
        <x:v>arch_support</x:v>
      </x:c>
      <x:c r="L66" s="16" t="str"/>
      <x:c r="M66" s="16" t="str"/>
      <x:c r="N66" s="16" t="str"/>
      <x:c r="O66" s="16" t="str"/>
      <x:c r="P66" s="16" t="str"/>
      <x:c r="Q66" s="16" t="str"/>
      <x:c r="R66" s="16" t="str">
        <x:v>女性用户搜索Archies品牌的巧克力棕色足弓支撑人字拖，明确指定了竞品品牌。</x:v>
      </x:c>
      <x:c r="S66" s="13" t="str">
        <x:v>brand_harvest</x:v>
      </x:c>
      <x:c r="T66" s="16" t="str">
        <x:v>explicit | page_validated</x:v>
      </x:c>
      <x:c r="U66" s="13" t="str">
        <x:v>high</x:v>
      </x:c>
      <x:c r="V66" s="16" t="str">
        <x:v>archies_brand_arch_support_womens_flip_flops</x:v>
      </x:c>
      <x:c r="W66" s="16" t="str">
        <x:v>semantic_negative_candidate</x:v>
      </x:c>
      <x:c r="X66" s="16" t="str">
        <x:v>{"product_type":[{"value":"flip_flops","evidence_type":"explicit","source_span":"flip flops","fact_ids":[],"rationale":""},{"value":"flip_flops","evidence_type":"page_validated","source_span":"","fact_ids":["style_flip_flop"],"rationale":"该槽位与商品基准中的明示页面事实一致。"}],"audience_intent":[{"value":"women","evidence_type":"explicit","source_span":"womens","fact_ids":[],"rationale":""},{"value":"women","evidence_type":"page_validated","source_span":"","fact_ids":["title_womens_flip_flop"],"rationale":"该槽位与商品基准中的明示页面事实一致。"}],"capability_intent":[{"value":"arch_support","evidence_type":"explicit","source_span":"arch support","fact_ids":[],"rationale":""},{"value":"arch_support","evidence_type":"page_validated","source_span":"","fact_ids":["arch_support"],"rationale":"该槽位与商品基准中的明示页面事实一致。"}],"brand_archies":[{"value":"archies","evidence_type":"explicit","source_span":"archies","fact_ids":[],"rationale":"Explicit competitor brand name; product brand is joomra, not Archies."}],"color_brown":[{"value":"chocolate brown","evidence_type":"explicit","source_span":"chocolate brown","fact_ids":["colors_visible"],"rationale":"Brown is among the visible color selectors."}],"primary_domain":[{"value":"clothing_shoes_jewelry","evidence_type":"inferred","source_span":"","fact_ids":[],"rationale":"该值由搜索词整体语义推断，未作为页面明示属性。"}]}</x:v>
      </x:c>
      <x:c r="Y66" s="16" t="str"/>
      <x:c r="Z66" s="13" t="str">
        <x:v>mismatch</x:v>
      </x:c>
      <x:c r="AA66" s="16" t="str">
        <x:v>title_womens_flip_flop | style_flip_flop | arch_support | colors_visible</x:v>
      </x:c>
      <x:c r="AB66" s="13" t="str">
        <x:v>needs_review</x:v>
      </x:c>
      <x:c r="AC66" s="13" t="str">
        <x:v>1.0.0</x:v>
      </x:c>
      <x:c r="AD66" s="13" t="str">
        <x:v>1.1.0</x:v>
      </x:c>
      <x:c r="AE66" s="13" t="str">
        <x:v>deepseek/deepseek-v4-pro</x:v>
      </x:c>
      <x:c r="AF66" s="13" t="str">
        <x:v>aj2-y90-20260714T234810-0bea2f52</x:v>
      </x:c>
      <x:c r="AG66" s="13" t="str">
        <x:v>full-0004</x:v>
      </x:c>
      <x:c r="AH66" s="13" t="str">
        <x:v>full</x:v>
      </x:c>
      <x:c r="AI66" s="13" t="n">
        <x:v>4</x:v>
      </x:c>
    </x:row>
    <x:row r="67" ht="34" customHeight="1">
      <x:c r="A67" s="15" t="str">
        <x:v>flip flop sandals for women size 43</x:v>
      </x:c>
      <x:c r="B67" s="15" t="str">
        <x:v>flip flop sandals for women size 43</x:v>
      </x:c>
      <x:c r="C67" s="10" t="str">
        <x:v>22a57cceaa7bed24</x:v>
      </x:c>
      <x:c r="D67" s="10" t="str">
        <x:v>keyword</x:v>
      </x:c>
      <x:c r="E67" s="10" t="str">
        <x:v>en</x:v>
      </x:c>
      <x:c r="F67" s="10" t="str">
        <x:v>clothing_shoes_jewelry</x:v>
      </x:c>
      <x:c r="G67" s="15" t="str"/>
      <x:c r="H67" s="15" t="str">
        <x:v>flip_flops | sandals</x:v>
      </x:c>
      <x:c r="I67" s="15" t="str">
        <x:v>women</x:v>
      </x:c>
      <x:c r="J67" s="15" t="str"/>
      <x:c r="K67" s="15" t="str"/>
      <x:c r="L67" s="15" t="str"/>
      <x:c r="M67" s="15" t="str"/>
      <x:c r="N67" s="15" t="str"/>
      <x:c r="O67" s="15" t="str"/>
      <x:c r="P67" s="15" t="str"/>
      <x:c r="Q67" s="15" t="str"/>
      <x:c r="R67" s="15" t="str">
        <x:v>女性用户需要欧码43号的人字拖鞋，关注尺码适配性。</x:v>
      </x:c>
      <x:c r="S67" s="10" t="str">
        <x:v>consideration</x:v>
      </x:c>
      <x:c r="T67" s="15" t="str">
        <x:v>explicit | page_validated | inferred</x:v>
      </x:c>
      <x:c r="U67" s="10" t="str">
        <x:v>medium</x:v>
      </x:c>
      <x:c r="V67" s="15" t="str">
        <x:v>womens_flip_flops_eu_size_43</x:v>
      </x:c>
      <x:c r="W67" s="15" t="str">
        <x:v>listing_gap_review</x:v>
      </x:c>
      <x:c r="X67" s="15" t="str">
        <x:v>{"product_type":[{"value":"flip_flops","evidence_type":"explicit","source_span":"flip flop","fact_ids":[],"rationale":""},{"value":"sandals","evidence_type":"explicit","source_span":"sandals","fact_ids":[],"rationale":""},{"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value":"sandals","evidence_type":"page_validated","source_span":"","fact_ids":["title_womens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size_eu_43":[{"value":"eu_43","evidence_type":"explicit","source_span":"size 43","fact_ids":[],"rationale":"EU 43 ≈ US women's 11-12; page lists US sizes 6-11, at the upper boundary or just beyond."}],"primary_domain":[{"value":"clothing_shoes_jewelry","evidence_type":"inferred","source_span":"","fact_ids":[],"rationale":"该值由搜索词整体语义推断，未作为页面明示属性。"}]}</x:v>
      </x:c>
      <x:c r="Y67" s="15" t="str">
        <x:v>size_boundary_eu_43_vs_us_11</x:v>
      </x:c>
      <x:c r="Z67" s="10" t="str">
        <x:v>partial_match</x:v>
      </x:c>
      <x:c r="AA67" s="15" t="str">
        <x:v>title_womens_flip_flop | style_flip_flop | sizes_6_11</x:v>
      </x:c>
      <x:c r="AB67" s="10" t="str">
        <x:v>needs_review</x:v>
      </x:c>
      <x:c r="AC67" s="10" t="str">
        <x:v>1.0.0</x:v>
      </x:c>
      <x:c r="AD67" s="10" t="str">
        <x:v>1.1.0</x:v>
      </x:c>
      <x:c r="AE67" s="10" t="str">
        <x:v>deepseek/deepseek-v4-pro</x:v>
      </x:c>
      <x:c r="AF67" s="10" t="str">
        <x:v>aj2-y90-20260714T234810-0bea2f52</x:v>
      </x:c>
      <x:c r="AG67" s="10" t="str">
        <x:v>full-0004</x:v>
      </x:c>
      <x:c r="AH67" s="10" t="str">
        <x:v>full</x:v>
      </x:c>
      <x:c r="AI67" s="10" t="n">
        <x:v>4</x:v>
      </x:c>
    </x:row>
    <x:row r="68" ht="34" customHeight="1">
      <x:c r="A68" s="16" t="str">
        <x:v>underarmour flip flops for women</x:v>
      </x:c>
      <x:c r="B68" s="16" t="str">
        <x:v>underarmour flip flops for women</x:v>
      </x:c>
      <x:c r="C68" s="13" t="str">
        <x:v>2a7b42219a8a81b9</x:v>
      </x:c>
      <x:c r="D68" s="13" t="str">
        <x:v>keyword</x:v>
      </x:c>
      <x:c r="E68" s="13" t="str">
        <x:v>en</x:v>
      </x:c>
      <x:c r="F68" s="13" t="str">
        <x:v>clothing_shoes_jewelry</x:v>
      </x:c>
      <x:c r="G68" s="16" t="str">
        <x:v>sports_outdoors</x:v>
      </x:c>
      <x:c r="H68" s="16" t="str">
        <x:v>flip_flops</x:v>
      </x:c>
      <x:c r="I68" s="16" t="str">
        <x:v>women</x:v>
      </x:c>
      <x:c r="J68" s="16" t="str"/>
      <x:c r="K68" s="16" t="str"/>
      <x:c r="L68" s="16" t="str"/>
      <x:c r="M68" s="16" t="str"/>
      <x:c r="N68" s="16" t="str"/>
      <x:c r="O68" s="16" t="str"/>
      <x:c r="P68" s="16" t="str"/>
      <x:c r="Q68" s="16" t="str"/>
      <x:c r="R68" s="16" t="str">
        <x:v>女性用户明确搜索Under Armour品牌的人字拖，属于竞品品牌收割意图。</x:v>
      </x:c>
      <x:c r="S68" s="13" t="str">
        <x:v>brand_harvest</x:v>
      </x:c>
      <x:c r="T68" s="16" t="str">
        <x:v>explicit | page_validated</x:v>
      </x:c>
      <x:c r="U68" s="13" t="str">
        <x:v>high</x:v>
      </x:c>
      <x:c r="V68" s="16" t="str">
        <x:v>underarmour_brand_womens_flip_flops</x:v>
      </x:c>
      <x:c r="W68" s="16" t="str">
        <x:v>semantic_negative_candidate</x:v>
      </x:c>
      <x:c r="X68" s="16" t="str">
        <x:v>{"product_type":[{"value":"flip_flops","evidence_type":"explicit","source_span":"flip flops","fact_ids":[],"rationale":""},{"value":"flip_flops","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brand_underarmour":[{"value":"underarmour","evidence_type":"explicit","source_span":"underarmour","fact_ids":[],"rationale":"Explicit competitor brand name; product brand is joomra, not Under Armour."}],"secondary_domain":[{"value":"sports_outdoors","evidence_type":"inferred","source_span":"","fact_ids":[],"rationale":"该值由搜索词整体语义推断，未作为页面明示属性。"}],"primary_domain":[{"value":"clothing_shoes_jewelry","evidence_type":"inferred","source_span":"","fact_ids":[],"rationale":"该值由搜索词整体语义推断，未作为页面明示属性。"}]}</x:v>
      </x:c>
      <x:c r="Y68" s="16" t="str"/>
      <x:c r="Z68" s="13" t="str">
        <x:v>mismatch</x:v>
      </x:c>
      <x:c r="AA68" s="16" t="str">
        <x:v>title_womens_flip_flop | style_flip_flop</x:v>
      </x:c>
      <x:c r="AB68" s="13" t="str">
        <x:v>needs_review</x:v>
      </x:c>
      <x:c r="AC68" s="13" t="str">
        <x:v>1.0.0</x:v>
      </x:c>
      <x:c r="AD68" s="13" t="str">
        <x:v>1.1.0</x:v>
      </x:c>
      <x:c r="AE68" s="13" t="str">
        <x:v>deepseek/deepseek-v4-pro</x:v>
      </x:c>
      <x:c r="AF68" s="13" t="str">
        <x:v>aj2-y90-20260714T234810-0bea2f52</x:v>
      </x:c>
      <x:c r="AG68" s="13" t="str">
        <x:v>full-0004</x:v>
      </x:c>
      <x:c r="AH68" s="13" t="str">
        <x:v>full</x:v>
      </x:c>
      <x:c r="AI68" s="13" t="n">
        <x:v>4</x:v>
      </x:c>
    </x:row>
    <x:row r="69" ht="34" customHeight="1">
      <x:c r="A69" s="15" t="str">
        <x:v>black trendy flip flop</x:v>
      </x:c>
      <x:c r="B69" s="15" t="str">
        <x:v>black trendy flip flop</x:v>
      </x:c>
      <x:c r="C69" s="10" t="str">
        <x:v>3d9aec4a2ecb50aa</x:v>
      </x:c>
      <x:c r="D69" s="10" t="str">
        <x:v>keyword</x:v>
      </x:c>
      <x:c r="E69" s="10" t="str">
        <x:v>en</x:v>
      </x:c>
      <x:c r="F69" s="10" t="str">
        <x:v>clothing_shoes_jewelry</x:v>
      </x:c>
      <x:c r="G69" s="15" t="str"/>
      <x:c r="H69" s="15" t="str">
        <x:v>flip_flops</x:v>
      </x:c>
      <x:c r="I69" s="15" t="str"/>
      <x:c r="J69" s="15" t="str"/>
      <x:c r="K69" s="15" t="str">
        <x:v>style_fashion</x:v>
      </x:c>
      <x:c r="L69" s="15" t="str"/>
      <x:c r="M69" s="15" t="str"/>
      <x:c r="N69" s="15" t="str"/>
      <x:c r="O69" s="15" t="str"/>
      <x:c r="P69" s="15" t="str"/>
      <x:c r="Q69" s="15" t="str"/>
      <x:c r="R69" s="15" t="str">
        <x:v>用户需要一款黑色时尚人字拖，追求外观潮流感。</x:v>
      </x:c>
      <x:c r="S69" s="10" t="str">
        <x:v>consideration</x:v>
      </x:c>
      <x:c r="T69" s="15" t="str">
        <x:v>explicit | page_validated | inferred</x:v>
      </x:c>
      <x:c r="U69" s="10" t="str">
        <x:v>medium</x:v>
      </x:c>
      <x:c r="V69" s="15" t="str">
        <x:v>black_trendy_flip_flops</x:v>
      </x:c>
      <x:c r="W69" s="15" t="str">
        <x:v>cluster_route</x:v>
      </x:c>
      <x:c r="X69" s="15" t="str">
        <x:v>{"product_type":[{"value":"flip_flops","evidence_type":"explicit","source_span":"flip flop","fact_ids":[],"rationale":""},{"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capability_intent":[{"value":"style_fashion","evidence_type":"explicit","source_span":"trendy","fact_ids":[],"rationale":""}],"color_black":[{"value":"black","evidence_type":"explicit","source_span":"black","fact_ids":["colors_visible"],"rationale":"Black is among the visible color selectors."}],"primary_domain":[{"value":"clothing_shoes_jewelry","evidence_type":"inferred","source_span":"","fact_ids":[],"rationale":"该值由搜索词整体语义推断，未作为页面明示属性。"}]}</x:v>
      </x:c>
      <x:c r="Y69" s="15" t="str">
        <x:v>subjective_style_qualifier_trendy</x:v>
      </x:c>
      <x:c r="Z69" s="10" t="str">
        <x:v>match</x:v>
      </x:c>
      <x:c r="AA69" s="15" t="str">
        <x:v>style_flip_flop | colors_visible</x:v>
      </x:c>
      <x:c r="AB69" s="10" t="str">
        <x:v>accepted</x:v>
      </x:c>
      <x:c r="AC69" s="10" t="str">
        <x:v>1.0.0</x:v>
      </x:c>
      <x:c r="AD69" s="10" t="str">
        <x:v>1.1.0</x:v>
      </x:c>
      <x:c r="AE69" s="10" t="str">
        <x:v>deepseek/deepseek-v4-pro</x:v>
      </x:c>
      <x:c r="AF69" s="10" t="str">
        <x:v>aj2-y90-20260714T234810-0bea2f52</x:v>
      </x:c>
      <x:c r="AG69" s="10" t="str">
        <x:v>full-0004</x:v>
      </x:c>
      <x:c r="AH69" s="10" t="str">
        <x:v>full</x:v>
      </x:c>
      <x:c r="AI69" s="10" t="n">
        <x:v>4</x:v>
      </x:c>
    </x:row>
    <x:row r="70" ht="34" customHeight="1">
      <x:c r="A70" s="16" t="str">
        <x:v>rubber black flip flops for women</x:v>
      </x:c>
      <x:c r="B70" s="16" t="str">
        <x:v>rubber black flip flops for women</x:v>
      </x:c>
      <x:c r="C70" s="13" t="str">
        <x:v>492f28e12d311cda</x:v>
      </x:c>
      <x:c r="D70" s="13" t="str">
        <x:v>keyword</x:v>
      </x:c>
      <x:c r="E70" s="13" t="str">
        <x:v>en</x:v>
      </x:c>
      <x:c r="F70" s="13" t="str">
        <x:v>clothing_shoes_jewelry</x:v>
      </x:c>
      <x:c r="G70" s="16" t="str"/>
      <x:c r="H70" s="16" t="str">
        <x:v>flip_flops</x:v>
      </x:c>
      <x:c r="I70" s="16" t="str">
        <x:v>women</x:v>
      </x:c>
      <x:c r="J70" s="16" t="str"/>
      <x:c r="K70" s="16" t="str"/>
      <x:c r="L70" s="16" t="str"/>
      <x:c r="M70" s="16" t="str"/>
      <x:c r="N70" s="16" t="str"/>
      <x:c r="O70" s="16" t="str"/>
      <x:c r="P70" s="16" t="str"/>
      <x:c r="Q70" s="16" t="str"/>
      <x:c r="R70" s="16" t="str">
        <x:v>女性用户需要黑色橡胶材质的人字拖，偏好橡胶而非泡沫材料。</x:v>
      </x:c>
      <x:c r="S70" s="13" t="str">
        <x:v>consideration</x:v>
      </x:c>
      <x:c r="T70" s="16" t="str">
        <x:v>explicit | page_validated | inferred</x:v>
      </x:c>
      <x:c r="U70" s="13" t="str">
        <x:v>medium</x:v>
      </x:c>
      <x:c r="V70" s="16" t="str">
        <x:v>womens_rubber_black_flip_flops</x:v>
      </x:c>
      <x:c r="W70" s="16" t="str">
        <x:v>listing_gap_review</x:v>
      </x:c>
      <x:c r="X70" s="16" t="str">
        <x:v>{"product_type":[{"value":"flip_flops","evidence_type":"explicit","source_span":"flip flops","fact_ids":[],"rationale":""},{"value":"flip_flops","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material_rubber":[{"value":"rubber","evidence_type":"explicit","source_span":"rubber","fact_ids":[],"rationale":"Term explicitly requests rubber; page states outer material is EVA, not rubber."}],"color_black":[{"value":"black","evidence_type":"explicit","source_span":"black","fact_ids":["colors_visible"],"rationale":"Black is among the visible color selectors."}],"primary_domain":[{"value":"clothing_shoes_jewelry","evidence_type":"inferred","source_span":"","fact_ids":[],"rationale":"该值由搜索词整体语义推断，未作为页面明示属性。"}]}</x:v>
      </x:c>
      <x:c r="Y70" s="16" t="str">
        <x:v>material_mismatch_rubber_vs_eva</x:v>
      </x:c>
      <x:c r="Z70" s="13" t="str">
        <x:v>partial_match</x:v>
      </x:c>
      <x:c r="AA70" s="16" t="str">
        <x:v>title_womens_flip_flop | style_flip_flop | colors_visible | material_eva</x:v>
      </x:c>
      <x:c r="AB70" s="13" t="str">
        <x:v>needs_review</x:v>
      </x:c>
      <x:c r="AC70" s="13" t="str">
        <x:v>1.0.0</x:v>
      </x:c>
      <x:c r="AD70" s="13" t="str">
        <x:v>1.1.0</x:v>
      </x:c>
      <x:c r="AE70" s="13" t="str">
        <x:v>deepseek/deepseek-v4-pro</x:v>
      </x:c>
      <x:c r="AF70" s="13" t="str">
        <x:v>aj2-y90-20260714T234810-0bea2f52</x:v>
      </x:c>
      <x:c r="AG70" s="13" t="str">
        <x:v>full-0004</x:v>
      </x:c>
      <x:c r="AH70" s="13" t="str">
        <x:v>full</x:v>
      </x:c>
      <x:c r="AI70" s="13" t="n">
        <x:v>4</x:v>
      </x:c>
    </x:row>
    <x:row r="71" ht="34" customHeight="1">
      <x:c r="A71" s="15" t="str">
        <x:v>womens brown supportive flip flops</x:v>
      </x:c>
      <x:c r="B71" s="15" t="str">
        <x:v>womens brown supportive flip flops</x:v>
      </x:c>
      <x:c r="C71" s="10" t="str">
        <x:v>4d395e73b9281251</x:v>
      </x:c>
      <x:c r="D71" s="10" t="str">
        <x:v>keyword</x:v>
      </x:c>
      <x:c r="E71" s="10" t="str">
        <x:v>en</x:v>
      </x:c>
      <x:c r="F71" s="10" t="str">
        <x:v>clothing_shoes_jewelry</x:v>
      </x:c>
      <x:c r="G71" s="15" t="str"/>
      <x:c r="H71" s="15" t="str">
        <x:v>flip_flops</x:v>
      </x:c>
      <x:c r="I71" s="15" t="str">
        <x:v>women</x:v>
      </x:c>
      <x:c r="J71" s="15" t="str"/>
      <x:c r="K71" s="15" t="str">
        <x:v>arch_support</x:v>
      </x:c>
      <x:c r="L71" s="15" t="str"/>
      <x:c r="M71" s="15" t="str"/>
      <x:c r="N71" s="15" t="str"/>
      <x:c r="O71" s="15" t="str"/>
      <x:c r="P71" s="15" t="str"/>
      <x:c r="Q71" s="15" t="str"/>
      <x:c r="R71" s="15" t="str">
        <x:v>女性用户需要棕色带足弓支撑的人字拖，追求穿着时的支撑感和稳定性。</x:v>
      </x:c>
      <x:c r="S71" s="10" t="str">
        <x:v>consideration</x:v>
      </x:c>
      <x:c r="T71" s="15" t="str">
        <x:v>explicit | page_validated</x:v>
      </x:c>
      <x:c r="U71" s="10" t="str">
        <x:v>high</x:v>
      </x:c>
      <x:c r="V71" s="15" t="str">
        <x:v>womens_supportive_brown_flip_flops</x:v>
      </x:c>
      <x:c r="W71" s="15" t="str">
        <x:v>cluster_route</x:v>
      </x:c>
      <x:c r="X71" s="15" t="str">
        <x:v>{"product_type":[{"value":"flip_flops","evidence_type":"explicit","source_span":"flip flops","fact_ids":[],"rationale":""},{"value":"flip_flops","evidence_type":"page_validated","source_span":"","fact_ids":["style_flip_flop"],"rationale":"该槽位与商品基准中的明示页面事实一致。"}],"audience_intent":[{"value":"women","evidence_type":"explicit","source_span":"womens","fact_ids":[],"rationale":""},{"value":"women","evidence_type":"page_validated","source_span":"","fact_ids":["title_womens_flip_flop"],"rationale":"该槽位与商品基准中的明示页面事实一致。"}],"capability_intent":[{"value":"arch_support","evidence_type":"explicit","source_span":"supportive","fact_ids":[],"rationale":""},{"value":"arch_support","evidence_type":"page_validated","source_span":"","fact_ids":["arch_support"],"rationale":"该槽位与商品基准中的明示页面事实一致。"},{"value":"arch_support","evidence_type":"inferred","source_span":"","fact_ids":[],"rationale":"该能力由搜索词表达的任务或问题推断；页面事实仅用于验证商品承接。"}],"color_brown":[{"value":"brown","evidence_type":"explicit","source_span":"brown","fact_ids":["colors_visible"],"rationale":"Brown is among the visible color selectors."}],"primary_domain":[{"value":"clothing_shoes_jewelry","evidence_type":"inferred","source_span":"","fact_ids":[],"rationale":"该值由搜索词整体语义推断，未作为页面明示属性。"}]}</x:v>
      </x:c>
      <x:c r="Y71" s="15" t="str"/>
      <x:c r="Z71" s="10" t="str">
        <x:v>match</x:v>
      </x:c>
      <x:c r="AA71" s="15" t="str">
        <x:v>title_womens_flip_flop | style_flip_flop | arch_support | colors_visible</x:v>
      </x:c>
      <x:c r="AB71" s="10" t="str">
        <x:v>accepted</x:v>
      </x:c>
      <x:c r="AC71" s="10" t="str">
        <x:v>1.0.0</x:v>
      </x:c>
      <x:c r="AD71" s="10" t="str">
        <x:v>1.1.0</x:v>
      </x:c>
      <x:c r="AE71" s="10" t="str">
        <x:v>deepseek/deepseek-v4-pro</x:v>
      </x:c>
      <x:c r="AF71" s="10" t="str">
        <x:v>aj2-y90-20260714T234810-0bea2f52</x:v>
      </x:c>
      <x:c r="AG71" s="10" t="str">
        <x:v>full-0004</x:v>
      </x:c>
      <x:c r="AH71" s="10" t="str">
        <x:v>full</x:v>
      </x:c>
      <x:c r="AI71" s="10" t="n">
        <x:v>4</x:v>
      </x:c>
    </x:row>
    <x:row r="72" ht="34" customHeight="1">
      <x:c r="A72" s="16" t="str">
        <x:v>white flat flip flops women</x:v>
      </x:c>
      <x:c r="B72" s="16" t="str">
        <x:v>white flat flip flops women</x:v>
      </x:c>
      <x:c r="C72" s="13" t="str">
        <x:v>57cf80f286374ffa</x:v>
      </x:c>
      <x:c r="D72" s="13" t="str">
        <x:v>keyword</x:v>
      </x:c>
      <x:c r="E72" s="13" t="str">
        <x:v>en</x:v>
      </x:c>
      <x:c r="F72" s="13" t="str">
        <x:v>clothing_shoes_jewelry</x:v>
      </x:c>
      <x:c r="G72" s="16" t="str"/>
      <x:c r="H72" s="16" t="str">
        <x:v>flip_flops</x:v>
      </x:c>
      <x:c r="I72" s="16" t="str">
        <x:v>women</x:v>
      </x:c>
      <x:c r="J72" s="16" t="str"/>
      <x:c r="K72" s="16" t="str"/>
      <x:c r="L72" s="16" t="str"/>
      <x:c r="M72" s="16" t="str"/>
      <x:c r="N72" s="16" t="str"/>
      <x:c r="O72" s="16" t="str"/>
      <x:c r="P72" s="16" t="str"/>
      <x:c r="Q72" s="16" t="str"/>
      <x:c r="R72" s="16" t="str">
        <x:v>女性用户需要白色平底人字拖，用于日常搭配和休闲出行。</x:v>
      </x:c>
      <x:c r="S72" s="13" t="str">
        <x:v>consideration</x:v>
      </x:c>
      <x:c r="T72" s="16" t="str">
        <x:v>explicit | page_validated</x:v>
      </x:c>
      <x:c r="U72" s="13" t="str">
        <x:v>high</x:v>
      </x:c>
      <x:c r="V72" s="16" t="str">
        <x:v>womens_white_flat_flip_flops</x:v>
      </x:c>
      <x:c r="W72" s="16" t="str">
        <x:v>cluster_route</x:v>
      </x:c>
      <x:c r="X72" s="16" t="str">
        <x:v>{"product_type":[{"value":"flip_flops","evidence_type":"explicit","source_span":"flip flops","fact_ids":[],"rationale":""},{"value":"flip_flops","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color_white":[{"value":"white","evidence_type":"explicit","source_span":"white","fact_ids":["colors_visible"],"rationale":"White is among the visible color selectors."}],"heel_flat":[{"value":"flat","evidence_type":"explicit","source_span":"flat","fact_ids":["style_flat"],"rationale":"Heel type is explicitly Flat on the page."}],"primary_domain":[{"value":"clothing_shoes_jewelry","evidence_type":"inferred","source_span":"","fact_ids":[],"rationale":"该值由搜索词整体语义推断，未作为页面明示属性。"}]}</x:v>
      </x:c>
      <x:c r="Y72" s="16" t="str"/>
      <x:c r="Z72" s="13" t="str">
        <x:v>match</x:v>
      </x:c>
      <x:c r="AA72" s="16" t="str">
        <x:v>title_womens_flip_flop | style_flip_flop | style_flat | colors_visible</x:v>
      </x:c>
      <x:c r="AB72" s="13" t="str">
        <x:v>accepted</x:v>
      </x:c>
      <x:c r="AC72" s="13" t="str">
        <x:v>1.0.0</x:v>
      </x:c>
      <x:c r="AD72" s="13" t="str">
        <x:v>1.1.0</x:v>
      </x:c>
      <x:c r="AE72" s="13" t="str">
        <x:v>deepseek/deepseek-v4-pro</x:v>
      </x:c>
      <x:c r="AF72" s="13" t="str">
        <x:v>aj2-y90-20260714T234810-0bea2f52</x:v>
      </x:c>
      <x:c r="AG72" s="13" t="str">
        <x:v>full-0004</x:v>
      </x:c>
      <x:c r="AH72" s="13" t="str">
        <x:v>full</x:v>
      </x:c>
      <x:c r="AI72" s="13" t="n">
        <x:v>4</x:v>
      </x:c>
    </x:row>
    <x:row r="73" ht="34" customHeight="1">
      <x:c r="A73" s="15" t="str">
        <x:v>narrow flip flops</x:v>
      </x:c>
      <x:c r="B73" s="15" t="str">
        <x:v>narrow flip flops</x:v>
      </x:c>
      <x:c r="C73" s="10" t="str">
        <x:v>73be1bee8a199d11</x:v>
      </x:c>
      <x:c r="D73" s="10" t="str">
        <x:v>keyword</x:v>
      </x:c>
      <x:c r="E73" s="10" t="str">
        <x:v>en</x:v>
      </x:c>
      <x:c r="F73" s="10" t="str">
        <x:v>clothing_shoes_jewelry</x:v>
      </x:c>
      <x:c r="G73" s="15" t="str"/>
      <x:c r="H73" s="15" t="str">
        <x:v>flip_flops</x:v>
      </x:c>
      <x:c r="I73" s="15" t="str"/>
      <x:c r="J73" s="15" t="str"/>
      <x:c r="K73" s="15" t="str"/>
      <x:c r="L73" s="15" t="str"/>
      <x:c r="M73" s="15" t="str"/>
      <x:c r="N73" s="15" t="str">
        <x:v>narrow_width</x:v>
      </x:c>
      <x:c r="O73" s="15" t="str"/>
      <x:c r="P73" s="15" t="str"/>
      <x:c r="Q73" s="15" t="str"/>
      <x:c r="R73" s="15" t="str">
        <x:v>用户需要窄版人字拖，关注鞋型宽度适合较瘦脚型。</x:v>
      </x:c>
      <x:c r="S73" s="10" t="str">
        <x:v>consideration</x:v>
      </x:c>
      <x:c r="T73" s="15" t="str">
        <x:v>explicit | inferred</x:v>
      </x:c>
      <x:c r="U73" s="10" t="str">
        <x:v>medium</x:v>
      </x:c>
      <x:c r="V73" s="15" t="str">
        <x:v>narrow_flip_flops</x:v>
      </x:c>
      <x:c r="W73" s="15" t="str">
        <x:v>listing_gap_review</x:v>
      </x:c>
      <x:c r="X73" s="15" t="str">
        <x:v>{"product_type":[{"value":"flip_flops","evidence_type":"explicit","source_span":"flip flops","fact_ids":[],"rationale":""},{"value":"flip_flops","evidence_type":"page_validated","source_span":"","fact_ids":["style_flip_flop"],"rationale":"该槽位与商品基准中的明示页面事实一致。"}],"body_need_intent":[{"value":"narrow_width","evidence_type":"explicit","source_span":"narrow","fact_ids":[],"rationale":""}],"primary_domain":[{"value":"clothing_shoes_jewelry","evidence_type":"inferred","source_span":"","fact_ids":[],"rationale":"该值由搜索词整体语义推断，未作为页面明示属性。"}]}</x:v>
      </x:c>
      <x:c r="Y73" s="15" t="str"/>
      <x:c r="Z73" s="10" t="str">
        <x:v>partial_match</x:v>
      </x:c>
      <x:c r="AA73" s="15" t="str">
        <x:v>style_flip_flop</x:v>
      </x:c>
      <x:c r="AB73" s="10" t="str">
        <x:v>needs_review</x:v>
      </x:c>
      <x:c r="AC73" s="10" t="str">
        <x:v>1.0.0</x:v>
      </x:c>
      <x:c r="AD73" s="10" t="str">
        <x:v>1.1.0</x:v>
      </x:c>
      <x:c r="AE73" s="10" t="str">
        <x:v>deepseek/deepseek-v4-pro</x:v>
      </x:c>
      <x:c r="AF73" s="10" t="str">
        <x:v>aj2-y90-20260714T234810-0bea2f52</x:v>
      </x:c>
      <x:c r="AG73" s="10" t="str">
        <x:v>full-0004</x:v>
      </x:c>
      <x:c r="AH73" s="10" t="str">
        <x:v>full</x:v>
      </x:c>
      <x:c r="AI73" s="10" t="n">
        <x:v>4</x:v>
      </x:c>
    </x:row>
    <x:row r="74" ht="34" customHeight="1">
      <x:c r="A74" s="16" t="str">
        <x:v>size womens flip flops</x:v>
      </x:c>
      <x:c r="B74" s="16" t="str">
        <x:v>size womens flip flops</x:v>
      </x:c>
      <x:c r="C74" s="13" t="str">
        <x:v>7589f8fa1c3e08b3</x:v>
      </x:c>
      <x:c r="D74" s="13" t="str">
        <x:v>keyword</x:v>
      </x:c>
      <x:c r="E74" s="13" t="str">
        <x:v>en</x:v>
      </x:c>
      <x:c r="F74" s="13" t="str">
        <x:v>clothing_shoes_jewelry</x:v>
      </x:c>
      <x:c r="G74" s="16" t="str"/>
      <x:c r="H74" s="16" t="str">
        <x:v>flip_flops</x:v>
      </x:c>
      <x:c r="I74" s="16" t="str">
        <x:v>women</x:v>
      </x:c>
      <x:c r="J74" s="16" t="str"/>
      <x:c r="K74" s="16" t="str"/>
      <x:c r="L74" s="16" t="str"/>
      <x:c r="M74" s="16" t="str"/>
      <x:c r="N74" s="16" t="str"/>
      <x:c r="O74" s="16" t="str"/>
      <x:c r="P74" s="16" t="str"/>
      <x:c r="Q74" s="16" t="str"/>
      <x:c r="R74" s="16" t="str">
        <x:v>女性用户想找有尺码选择的人字拖，处于浏览尺码选项的探索阶段。</x:v>
      </x:c>
      <x:c r="S74" s="13" t="str">
        <x:v>exploration</x:v>
      </x:c>
      <x:c r="T74" s="16" t="str">
        <x:v>explicit | page_validated | inferred</x:v>
      </x:c>
      <x:c r="U74" s="13" t="str">
        <x:v>medium</x:v>
      </x:c>
      <x:c r="V74" s="16" t="str">
        <x:v>womens_sized_flip_flops</x:v>
      </x:c>
      <x:c r="W74" s="16" t="str">
        <x:v>cluster_route</x:v>
      </x:c>
      <x:c r="X74" s="16" t="str">
        <x:v>{"product_type":[{"value":"flip_flops","evidence_type":"explicit","source_span":"flip flops","fact_ids":[],"rationale":""},{"value":"flip_flops","evidence_type":"page_validated","source_span":"","fact_ids":["style_flip_flop"],"rationale":"该槽位与商品基准中的明示页面事实一致。"}],"audience_intent":[{"value":"women","evidence_type":"explicit","source_span":"womens","fact_ids":[],"rationale":""},{"value":"women","evidence_type":"page_validated","source_span":"","fact_ids":["title_womens_flip_flop"],"rationale":"该槽位与商品基准中的明示页面事实一致。"}],"primary_domain":[{"value":"clothing_shoes_jewelry","evidence_type":"inferred","source_span":"","fact_ids":[],"rationale":"该值由搜索词整体语义推断，未作为页面明示属性。"}]}</x:v>
      </x:c>
      <x:c r="Y74" s="16" t="str">
        <x:v>vague_size_reference</x:v>
      </x:c>
      <x:c r="Z74" s="13" t="str">
        <x:v>match</x:v>
      </x:c>
      <x:c r="AA74" s="16" t="str">
        <x:v>title_womens_flip_flop | style_flip_flop | sizes_6_11</x:v>
      </x:c>
      <x:c r="AB74" s="13" t="str">
        <x:v>accepted</x:v>
      </x:c>
      <x:c r="AC74" s="13" t="str">
        <x:v>1.0.0</x:v>
      </x:c>
      <x:c r="AD74" s="13" t="str">
        <x:v>1.1.0</x:v>
      </x:c>
      <x:c r="AE74" s="13" t="str">
        <x:v>deepseek/deepseek-v4-pro</x:v>
      </x:c>
      <x:c r="AF74" s="13" t="str">
        <x:v>aj2-y90-20260714T234810-0bea2f52</x:v>
      </x:c>
      <x:c r="AG74" s="13" t="str">
        <x:v>full-0004</x:v>
      </x:c>
      <x:c r="AH74" s="13" t="str">
        <x:v>full</x:v>
      </x:c>
      <x:c r="AI74" s="13" t="n">
        <x:v>4</x:v>
      </x:c>
    </x:row>
    <x:row r="75" ht="34" customHeight="1">
      <x:c r="A75" s="15" t="str">
        <x:v>white flip flops women sale</x:v>
      </x:c>
      <x:c r="B75" s="15" t="str">
        <x:v>white flip flops women sale</x:v>
      </x:c>
      <x:c r="C75" s="10" t="str">
        <x:v>7631efa56c4bd926</x:v>
      </x:c>
      <x:c r="D75" s="10" t="str">
        <x:v>keyword</x:v>
      </x:c>
      <x:c r="E75" s="10" t="str">
        <x:v>en</x:v>
      </x:c>
      <x:c r="F75" s="10" t="str">
        <x:v>clothing_shoes_jewelry</x:v>
      </x:c>
      <x:c r="G75" s="15" t="str"/>
      <x:c r="H75" s="15" t="str">
        <x:v>flip_flops</x:v>
      </x:c>
      <x:c r="I75" s="15" t="str">
        <x:v>women</x:v>
      </x:c>
      <x:c r="J75" s="15" t="str"/>
      <x:c r="K75" s="15" t="str"/>
      <x:c r="L75" s="15" t="str"/>
      <x:c r="M75" s="15" t="str"/>
      <x:c r="N75" s="15" t="str"/>
      <x:c r="O75" s="15" t="str"/>
      <x:c r="P75" s="15" t="str"/>
      <x:c r="Q75" s="15" t="str"/>
      <x:c r="R75" s="15" t="str">
        <x:v>女性用户想找正在打折的白色人字拖，关注价格优惠。</x:v>
      </x:c>
      <x:c r="S75" s="10" t="str">
        <x:v>high_intent</x:v>
      </x:c>
      <x:c r="T75" s="15" t="str">
        <x:v>explicit | page_validated | inferred</x:v>
      </x:c>
      <x:c r="U75" s="10" t="str">
        <x:v>medium</x:v>
      </x:c>
      <x:c r="V75" s="15" t="str">
        <x:v>womens_white_flip_flops_sale</x:v>
      </x:c>
      <x:c r="W75" s="15" t="str">
        <x:v>cluster_route</x:v>
      </x:c>
      <x:c r="X75" s="15" t="str">
        <x:v>{"product_type":[{"value":"flip_flops","evidence_type":"explicit","source_span":"flip flops","fact_ids":[],"rationale":""},{"value":"flip_flops","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color_white":[{"value":"white","evidence_type":"explicit","source_span":"white","fact_ids":["colors_visible"],"rationale":"White is among the visible color selectors."}],"deal_seeker":[{"value":"sale","evidence_type":"explicit","source_span":"sale","fact_ids":[],"rationale":"Price/discount intent; page evidence for real-time pricing is excluded per policy."}],"primary_domain":[{"value":"clothing_shoes_jewelry","evidence_type":"inferred","source_span":"","fact_ids":[],"rationale":"该值由搜索词整体语义推断，未作为页面明示属性。"}]}</x:v>
      </x:c>
      <x:c r="Y75" s="15" t="str">
        <x:v>price_sensitivity_sale</x:v>
      </x:c>
      <x:c r="Z75" s="10" t="str">
        <x:v>match</x:v>
      </x:c>
      <x:c r="AA75" s="15" t="str">
        <x:v>title_womens_flip_flop | style_flip_flop | colors_visible</x:v>
      </x:c>
      <x:c r="AB75" s="10" t="str">
        <x:v>accepted</x:v>
      </x:c>
      <x:c r="AC75" s="10" t="str">
        <x:v>1.0.0</x:v>
      </x:c>
      <x:c r="AD75" s="10" t="str">
        <x:v>1.1.0</x:v>
      </x:c>
      <x:c r="AE75" s="10" t="str">
        <x:v>deepseek/deepseek-v4-pro</x:v>
      </x:c>
      <x:c r="AF75" s="10" t="str">
        <x:v>aj2-y90-20260714T234810-0bea2f52</x:v>
      </x:c>
      <x:c r="AG75" s="10" t="str">
        <x:v>full-0004</x:v>
      </x:c>
      <x:c r="AH75" s="10" t="str">
        <x:v>full</x:v>
      </x:c>
      <x:c r="AI75" s="10" t="n">
        <x:v>4</x:v>
      </x:c>
    </x:row>
    <x:row r="76" ht="34" customHeight="1">
      <x:c r="A76" s="16" t="str">
        <x:v>women's black flip flops</x:v>
      </x:c>
      <x:c r="B76" s="16" t="str">
        <x:v>women's black flip flops</x:v>
      </x:c>
      <x:c r="C76" s="13" t="str">
        <x:v>8480862fd6aba50c</x:v>
      </x:c>
      <x:c r="D76" s="13" t="str">
        <x:v>keyword</x:v>
      </x:c>
      <x:c r="E76" s="13" t="str">
        <x:v>en</x:v>
      </x:c>
      <x:c r="F76" s="13" t="str">
        <x:v>clothing_shoes_jewelry</x:v>
      </x:c>
      <x:c r="G76" s="16" t="str"/>
      <x:c r="H76" s="16" t="str">
        <x:v>flip_flops</x:v>
      </x:c>
      <x:c r="I76" s="16" t="str">
        <x:v>women</x:v>
      </x:c>
      <x:c r="J76" s="16" t="str"/>
      <x:c r="K76" s="16" t="str"/>
      <x:c r="L76" s="16" t="str"/>
      <x:c r="M76" s="16" t="str"/>
      <x:c r="N76" s="16" t="str"/>
      <x:c r="O76" s="16" t="str"/>
      <x:c r="P76" s="16" t="str"/>
      <x:c r="Q76" s="16" t="str"/>
      <x:c r="R76" s="16" t="str">
        <x:v>女性用户需要购买黑色人字拖鞋，用于日常或户外休闲穿着。</x:v>
      </x:c>
      <x:c r="S76" s="13" t="str">
        <x:v>consideration</x:v>
      </x:c>
      <x:c r="T76" s="16" t="str">
        <x:v>explicit | page_validated</x:v>
      </x:c>
      <x:c r="U76" s="13" t="str">
        <x:v>high</x:v>
      </x:c>
      <x:c r="V76" s="16" t="str">
        <x:v>womens_black_flip_flops</x:v>
      </x:c>
      <x:c r="W76" s="16" t="str">
        <x:v>cluster_route</x:v>
      </x:c>
      <x:c r="X76" s="16" t="str">
        <x:v>{"product_type":[{"value":"flip_flops","evidence_type":"explicit","source_span":"flip flops","fact_ids":[],"rationale":""},{"value":"flip_flops","evidence_type":"page_validated","source_span":"","fact_ids":["style_flip_flop"],"rationale":"该槽位与商品基准中的明示页面事实一致。"}],"audience_intent":[{"value":"women","evidence_type":"explicit","source_span":"women's","fact_ids":[],"rationale":""},{"value":"women","evidence_type":"page_validated","source_span":"","fact_ids":["title_womens_flip_flop"],"rationale":"该槽位与商品基准中的明示页面事实一致。"}],"color_black":[{"value":"black","evidence_type":"explicit","source_span":"black","fact_ids":["colors_visible"],"rationale":"Black is listed among the visible color selectors."}],"primary_domain":[{"value":"clothing_shoes_jewelry","evidence_type":"inferred","source_span":"","fact_ids":[],"rationale":"该值由搜索词整体语义推断，未作为页面明示属性。"}]}</x:v>
      </x:c>
      <x:c r="Y76" s="16" t="str"/>
      <x:c r="Z76" s="13" t="str">
        <x:v>match</x:v>
      </x:c>
      <x:c r="AA76" s="16" t="str">
        <x:v>title_womens_flip_flop | style_flip_flop | colors_visible</x:v>
      </x:c>
      <x:c r="AB76" s="13" t="str">
        <x:v>accepted</x:v>
      </x:c>
      <x:c r="AC76" s="13" t="str">
        <x:v>1.0.0</x:v>
      </x:c>
      <x:c r="AD76" s="13" t="str">
        <x:v>1.1.0</x:v>
      </x:c>
      <x:c r="AE76" s="13" t="str">
        <x:v>deepseek/deepseek-v4-pro</x:v>
      </x:c>
      <x:c r="AF76" s="13" t="str">
        <x:v>aj2-y90-20260714T234810-0bea2f52</x:v>
      </x:c>
      <x:c r="AG76" s="13" t="str">
        <x:v>full-0004</x:v>
      </x:c>
      <x:c r="AH76" s="13" t="str">
        <x:v>full</x:v>
      </x:c>
      <x:c r="AI76" s="13" t="n">
        <x:v>4</x:v>
      </x:c>
    </x:row>
    <x:row r="77" ht="34" customHeight="1">
      <x:c r="A77" s="15" t="str">
        <x:v>narrow width flip flops for women</x:v>
      </x:c>
      <x:c r="B77" s="15" t="str">
        <x:v>narrow width flip flops for women</x:v>
      </x:c>
      <x:c r="C77" s="10" t="str">
        <x:v>931f406ee744e47a</x:v>
      </x:c>
      <x:c r="D77" s="10" t="str">
        <x:v>keyword</x:v>
      </x:c>
      <x:c r="E77" s="10" t="str">
        <x:v>en</x:v>
      </x:c>
      <x:c r="F77" s="10" t="str">
        <x:v>clothing_shoes_jewelry</x:v>
      </x:c>
      <x:c r="G77" s="15" t="str"/>
      <x:c r="H77" s="15" t="str">
        <x:v>flip_flops</x:v>
      </x:c>
      <x:c r="I77" s="15" t="str">
        <x:v>women</x:v>
      </x:c>
      <x:c r="J77" s="15" t="str"/>
      <x:c r="K77" s="15" t="str"/>
      <x:c r="L77" s="15" t="str"/>
      <x:c r="M77" s="15" t="str"/>
      <x:c r="N77" s="15" t="str">
        <x:v>narrow_width</x:v>
      </x:c>
      <x:c r="O77" s="15" t="str"/>
      <x:c r="P77" s="15" t="str"/>
      <x:c r="Q77" s="15" t="str"/>
      <x:c r="R77" s="15" t="str">
        <x:v>女性用户需要窄版宽度的人字拖，适合脚型偏瘦的人群。</x:v>
      </x:c>
      <x:c r="S77" s="10" t="str">
        <x:v>consideration</x:v>
      </x:c>
      <x:c r="T77" s="15" t="str">
        <x:v>explicit | inferred</x:v>
      </x:c>
      <x:c r="U77" s="10" t="str">
        <x:v>medium</x:v>
      </x:c>
      <x:c r="V77" s="15" t="str">
        <x:v>womens_narrow_width_flip_flops</x:v>
      </x:c>
      <x:c r="W77" s="15" t="str">
        <x:v>listing_gap_review</x:v>
      </x:c>
      <x:c r="X77" s="15" t="str">
        <x:v>{"product_type":[{"value":"flip_flops","evidence_type":"explicit","source_span":"flip flops","fact_ids":[],"rationale":""},{"value":"flip_flops","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body_need_intent":[{"value":"narrow_width","evidence_type":"explicit","source_span":"narrow width","fact_ids":[],"rationale":""}],"primary_domain":[{"value":"clothing_shoes_jewelry","evidence_type":"inferred","source_span":"","fact_ids":[],"rationale":"该值由搜索词整体语义推断，未作为页面明示属性。"}]}</x:v>
      </x:c>
      <x:c r="Y77" s="15" t="str"/>
      <x:c r="Z77" s="10" t="str">
        <x:v>partial_match</x:v>
      </x:c>
      <x:c r="AA77" s="15" t="str">
        <x:v>title_womens_flip_flop | style_flip_flop</x:v>
      </x:c>
      <x:c r="AB77" s="10" t="str">
        <x:v>needs_review</x:v>
      </x:c>
      <x:c r="AC77" s="10" t="str">
        <x:v>1.0.0</x:v>
      </x:c>
      <x:c r="AD77" s="10" t="str">
        <x:v>1.1.0</x:v>
      </x:c>
      <x:c r="AE77" s="10" t="str">
        <x:v>deepseek/deepseek-v4-pro</x:v>
      </x:c>
      <x:c r="AF77" s="10" t="str">
        <x:v>aj2-y90-20260714T234810-0bea2f52</x:v>
      </x:c>
      <x:c r="AG77" s="10" t="str">
        <x:v>full-0004</x:v>
      </x:c>
      <x:c r="AH77" s="10" t="str">
        <x:v>full</x:v>
      </x:c>
      <x:c r="AI77" s="10" t="n">
        <x:v>4</x:v>
      </x:c>
    </x:row>
    <x:row r="78" ht="34" customHeight="1">
      <x:c r="A78" s="16" t="str">
        <x:v>orthotic waterproof flip flops</x:v>
      </x:c>
      <x:c r="B78" s="16" t="str">
        <x:v>orthotic waterproof flip flops</x:v>
      </x:c>
      <x:c r="C78" s="13" t="str">
        <x:v>ad272038106d5d7e</x:v>
      </x:c>
      <x:c r="D78" s="13" t="str">
        <x:v>keyword</x:v>
      </x:c>
      <x:c r="E78" s="13" t="str">
        <x:v>en</x:v>
      </x:c>
      <x:c r="F78" s="13" t="str">
        <x:v>clothing_shoes_jewelry</x:v>
      </x:c>
      <x:c r="G78" s="16" t="str"/>
      <x:c r="H78" s="16" t="str">
        <x:v>flip_flops</x:v>
      </x:c>
      <x:c r="I78" s="16" t="str"/>
      <x:c r="J78" s="16" t="str"/>
      <x:c r="K78" s="16" t="str">
        <x:v>arch_support | water_resistance</x:v>
      </x:c>
      <x:c r="L78" s="16" t="str"/>
      <x:c r="M78" s="16" t="str"/>
      <x:c r="N78" s="16" t="str"/>
      <x:c r="O78" s="16" t="str"/>
      <x:c r="P78" s="16" t="str"/>
      <x:c r="Q78" s="16" t="str"/>
      <x:c r="R78" s="16" t="str">
        <x:v>用户需要兼具足弓支撑和防水功能的人字拖，适用于遇水环境或长时间站立场景。</x:v>
      </x:c>
      <x:c r="S78" s="13" t="str">
        <x:v>consideration</x:v>
      </x:c>
      <x:c r="T78" s="16" t="str">
        <x:v>explicit | page_validated | inferred</x:v>
      </x:c>
      <x:c r="U78" s="13" t="str">
        <x:v>medium</x:v>
      </x:c>
      <x:c r="V78" s="16" t="str">
        <x:v>orthotic_waterproof_flip_flops</x:v>
      </x:c>
      <x:c r="W78" s="16" t="str">
        <x:v>listing_gap_review</x:v>
      </x:c>
      <x:c r="X78" s="16" t="str">
        <x:v>{"product_type":[{"value":"flip_flops","evidence_type":"explicit","source_span":"flip flops","fact_ids":[],"rationale":""},{"value":"flip_flops","evidence_type":"page_validated","source_span":"","fact_ids":["style_flip_flop"],"rationale":"该槽位与商品基准中的明示页面事实一致。"}],"capability_intent":[{"value":"arch_support","evidence_type":"explicit","source_span":"orthotic","fact_ids":[],"rationale":""},{"value":"water_resistance","evidence_type":"explicit","source_span":"waterproof","fact_ids":[],"rationale":""},{"value":"arch_support","evidence_type":"page_validated","source_span":"","fact_ids":["arch_support"],"rationale":"该槽位与商品基准中的明示页面事实一致。"},{"value":"arch_suppor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78" s="16" t="str">
        <x:v>audience_unspecified | waterproof_not_validated</x:v>
      </x:c>
      <x:c r="Z78" s="13" t="str">
        <x:v>partial_match</x:v>
      </x:c>
      <x:c r="AA78" s="16" t="str">
        <x:v>style_flip_flop | arch_support</x:v>
      </x:c>
      <x:c r="AB78" s="13" t="str">
        <x:v>needs_review</x:v>
      </x:c>
      <x:c r="AC78" s="13" t="str">
        <x:v>1.0.0</x:v>
      </x:c>
      <x:c r="AD78" s="13" t="str">
        <x:v>1.1.0</x:v>
      </x:c>
      <x:c r="AE78" s="13" t="str">
        <x:v>deepseek/deepseek-v4-pro</x:v>
      </x:c>
      <x:c r="AF78" s="13" t="str">
        <x:v>aj2-y90-20260714T234810-0bea2f52</x:v>
      </x:c>
      <x:c r="AG78" s="13" t="str">
        <x:v>full-0004</x:v>
      </x:c>
      <x:c r="AH78" s="13" t="str">
        <x:v>full</x:v>
      </x:c>
      <x:c r="AI78" s="13" t="n">
        <x:v>4</x:v>
      </x:c>
    </x:row>
    <x:row r="79" ht="34" customHeight="1">
      <x:c r="A79" s="15" t="str">
        <x:v>women's shower flip flops</x:v>
      </x:c>
      <x:c r="B79" s="15" t="str">
        <x:v>women's shower flip flops</x:v>
      </x:c>
      <x:c r="C79" s="10" t="str">
        <x:v>ca9ff7cfac5d1ad8</x:v>
      </x:c>
      <x:c r="D79" s="10" t="str">
        <x:v>keyword</x:v>
      </x:c>
      <x:c r="E79" s="10" t="str">
        <x:v>en</x:v>
      </x:c>
      <x:c r="F79" s="10" t="str">
        <x:v>clothing_shoes_jewelry</x:v>
      </x:c>
      <x:c r="G79" s="15" t="str"/>
      <x:c r="H79" s="15" t="str">
        <x:v>flip_flops</x:v>
      </x:c>
      <x:c r="I79" s="15" t="str">
        <x:v>women</x:v>
      </x:c>
      <x:c r="J79" s="15" t="str"/>
      <x:c r="K79" s="15" t="str">
        <x:v>water_resistance | slip_resistance</x:v>
      </x:c>
      <x:c r="L79" s="15" t="str"/>
      <x:c r="M79" s="15" t="str">
        <x:v>shower</x:v>
      </x:c>
      <x:c r="N79" s="15" t="str"/>
      <x:c r="O79" s="15" t="str"/>
      <x:c r="P79" s="15" t="str"/>
      <x:c r="Q79" s="15" t="str"/>
      <x:c r="R79" s="15" t="str">
        <x:v>女性用户需要浴室淋浴使用的人字拖，要求防滑且耐水。</x:v>
      </x:c>
      <x:c r="S79" s="10" t="str">
        <x:v>consideration</x:v>
      </x:c>
      <x:c r="T79" s="15" t="str">
        <x:v>explicit | page_validated | inferred</x:v>
      </x:c>
      <x:c r="U79" s="10" t="str">
        <x:v>medium</x:v>
      </x:c>
      <x:c r="V79" s="15" t="str">
        <x:v>womens_shower_flip_flops</x:v>
      </x:c>
      <x:c r="W79" s="15" t="str">
        <x:v>listing_gap_review</x:v>
      </x:c>
      <x:c r="X79" s="15" t="str">
        <x:v>{"product_type":[{"value":"flip_flops","evidence_type":"explicit","source_span":"flip flops","fact_ids":[],"rationale":""},{"value":"flip_flops","evidence_type":"page_validated","source_span":"","fact_ids":["style_flip_flop"],"rationale":"该槽位与商品基准中的明示页面事实一致。"}],"audience_intent":[{"value":"women","evidence_type":"explicit","source_span":"women's","fact_ids":[],"rationale":""},{"value":"women","evidence_type":"page_validated","source_span":"","fact_ids":["title_womens_flip_flop"],"rationale":"该槽位与商品基准中的明示页面事实一致。"}],"location_intent":[{"value":"shower","evidence_type":"explicit","source_span":"shower","fact_ids":[],"rationale":""}],"capability_intent":[{"value":"water_resistance","evidence_type":"inferred","source_span":"shower","fact_ids":[],"rationale":"Shower use implies water resistance; page does not claim waterproof or quick-dry."},{"value":"slip_resistance","evidence_type":"inferred","source_span":"shower","fact_ids":[],"rationale":"Shower use implies slip resistance on wet surfaces."}],"primary_domain":[{"value":"clothing_shoes_jewelry","evidence_type":"inferred","source_span":"","fact_ids":[],"rationale":"该值由搜索词整体语义推断，未作为页面明示属性。"}]}</x:v>
      </x:c>
      <x:c r="Y79" s="15" t="str">
        <x:v>waterproof_not_validated</x:v>
      </x:c>
      <x:c r="Z79" s="10" t="str">
        <x:v>partial_match</x:v>
      </x:c>
      <x:c r="AA79" s="15" t="str">
        <x:v>title_womens_flip_flop | style_flip_flop | slip_resistant_grip | easy_clean</x:v>
      </x:c>
      <x:c r="AB79" s="10" t="str">
        <x:v>needs_review</x:v>
      </x:c>
      <x:c r="AC79" s="10" t="str">
        <x:v>1.0.0</x:v>
      </x:c>
      <x:c r="AD79" s="10" t="str">
        <x:v>1.1.0</x:v>
      </x:c>
      <x:c r="AE79" s="10" t="str">
        <x:v>deepseek/deepseek-v4-pro</x:v>
      </x:c>
      <x:c r="AF79" s="10" t="str">
        <x:v>aj2-y90-20260714T234810-0bea2f52</x:v>
      </x:c>
      <x:c r="AG79" s="10" t="str">
        <x:v>full-0004</x:v>
      </x:c>
      <x:c r="AH79" s="10" t="str">
        <x:v>full</x:v>
      </x:c>
      <x:c r="AI79" s="10" t="n">
        <x:v>4</x:v>
      </x:c>
    </x:row>
    <x:row r="80" ht="34" customHeight="1">
      <x:c r="A80" s="16" t="str">
        <x:v>sandalias playa para mujer</x:v>
      </x:c>
      <x:c r="B80" s="16" t="str">
        <x:v>sandalias playa para mujer</x:v>
      </x:c>
      <x:c r="C80" s="13" t="str">
        <x:v>d297753f33924fb1</x:v>
      </x:c>
      <x:c r="D80" s="13" t="str">
        <x:v>keyword</x:v>
      </x:c>
      <x:c r="E80" s="13" t="str">
        <x:v>es</x:v>
      </x:c>
      <x:c r="F80" s="13" t="str">
        <x:v>clothing_shoes_jewelry</x:v>
      </x:c>
      <x:c r="G80" s="16" t="str"/>
      <x:c r="H80" s="16" t="str">
        <x:v>sandals</x:v>
      </x:c>
      <x:c r="I80" s="16" t="str">
        <x:v>women</x:v>
      </x:c>
      <x:c r="J80" s="16" t="str"/>
      <x:c r="K80" s="16" t="str"/>
      <x:c r="L80" s="16" t="str"/>
      <x:c r="M80" s="16" t="str">
        <x:v>beach</x:v>
      </x:c>
      <x:c r="N80" s="16" t="str"/>
      <x:c r="O80" s="16" t="str"/>
      <x:c r="P80" s="16" t="str"/>
      <x:c r="Q80" s="16" t="str"/>
      <x:c r="R80" s="16" t="str">
        <x:v>女性用户需要购买适合海滩穿着的凉鞋，用于户外度假场景。</x:v>
      </x:c>
      <x:c r="S80" s="13" t="str">
        <x:v>consideration</x:v>
      </x:c>
      <x:c r="T80" s="16" t="str">
        <x:v>explicit | page_validated | inferred</x:v>
      </x:c>
      <x:c r="U80" s="13" t="str">
        <x:v>high</x:v>
      </x:c>
      <x:c r="V80" s="16" t="str">
        <x:v>womens_beach_sandals_es</x:v>
      </x:c>
      <x:c r="W80" s="16" t="str">
        <x:v>cluster_route</x:v>
      </x:c>
      <x:c r="X80" s="16" t="str">
        <x:v>{"product_type":[{"value":"sandals","evidence_type":"explicit","source_span":"sandalias","fact_ids":[],"rationale":""},{"value":"sandals","evidence_type":"page_validated","source_span":"","fact_ids":["title_womens_flip_flop"],"rationale":"该槽位与商品基准中的明示页面事实一致。"},{"value":"sandals","evidence_type":"inferred","source_span":"","fact_ids":[],"rationale":"该能力由搜索词表达的任务或问题推断；页面事实仅用于验证商品承接。"}],"audience_intent":[{"value":"women","evidence_type":"explicit","source_span":"mujer","fact_ids":[],"rationale":""},{"value":"women","evidence_type":"page_validated","source_span":"","fact_ids":["title_womens_flip_flop"],"rationale":"该槽位与商品基准中的明示页面事实一致。"},{"value":"women","evidence_type":"inferred","source_span":"","fact_ids":[],"rationale":"该能力由搜索词表达的任务或问题推断；页面事实仅用于验证商品承接。"}],"location_intent":[{"value":"beach","evidence_type":"explicit","source_span":"playa","fact_ids":[],"rationale":""}],"primary_domain":[{"value":"clothing_shoes_jewelry","evidence_type":"inferred","source_span":"","fact_ids":[],"rationale":"该值由搜索词整体语义推断，未作为页面明示属性。"}]}</x:v>
      </x:c>
      <x:c r="Y80" s="16" t="str"/>
      <x:c r="Z80" s="13" t="str">
        <x:v>match</x:v>
      </x:c>
      <x:c r="AA80" s="16" t="str">
        <x:v>title_womens_flip_flop | style_flip_flop | style_outdoor</x:v>
      </x:c>
      <x:c r="AB80" s="13" t="str">
        <x:v>accepted</x:v>
      </x:c>
      <x:c r="AC80" s="13" t="str">
        <x:v>1.0.0</x:v>
      </x:c>
      <x:c r="AD80" s="13" t="str">
        <x:v>1.1.0</x:v>
      </x:c>
      <x:c r="AE80" s="13" t="str">
        <x:v>deepseek/deepseek-v4-pro</x:v>
      </x:c>
      <x:c r="AF80" s="13" t="str">
        <x:v>aj2-y90-20260714T234810-0bea2f52</x:v>
      </x:c>
      <x:c r="AG80" s="13" t="str">
        <x:v>full-0004</x:v>
      </x:c>
      <x:c r="AH80" s="13" t="str">
        <x:v>full</x:v>
      </x:c>
      <x:c r="AI80" s="13" t="n">
        <x:v>4</x:v>
      </x:c>
    </x:row>
    <x:row r="81" ht="34" customHeight="1">
      <x:c r="A81" s="15" t="str">
        <x:v>light blue beach flip flops</x:v>
      </x:c>
      <x:c r="B81" s="15" t="str">
        <x:v>light blue beach flip flops</x:v>
      </x:c>
      <x:c r="C81" s="10" t="str">
        <x:v>fc239b0edeb15cab</x:v>
      </x:c>
      <x:c r="D81" s="10" t="str">
        <x:v>keyword</x:v>
      </x:c>
      <x:c r="E81" s="10" t="str">
        <x:v>en</x:v>
      </x:c>
      <x:c r="F81" s="10" t="str">
        <x:v>clothing_shoes_jewelry</x:v>
      </x:c>
      <x:c r="G81" s="15" t="str"/>
      <x:c r="H81" s="15" t="str">
        <x:v>flip_flops</x:v>
      </x:c>
      <x:c r="I81" s="15" t="str"/>
      <x:c r="J81" s="15" t="str"/>
      <x:c r="K81" s="15" t="str"/>
      <x:c r="L81" s="15" t="str"/>
      <x:c r="M81" s="15" t="str">
        <x:v>beach</x:v>
      </x:c>
      <x:c r="N81" s="15" t="str"/>
      <x:c r="O81" s="15" t="str"/>
      <x:c r="P81" s="15" t="str"/>
      <x:c r="Q81" s="15" t="str"/>
      <x:c r="R81" s="15" t="str">
        <x:v>用户需要浅蓝色海滩人字拖，用于海边度假或户外休闲场景。</x:v>
      </x:c>
      <x:c r="S81" s="10" t="str">
        <x:v>consideration</x:v>
      </x:c>
      <x:c r="T81" s="15" t="str">
        <x:v>explicit | page_validated</x:v>
      </x:c>
      <x:c r="U81" s="10" t="str">
        <x:v>high</x:v>
      </x:c>
      <x:c r="V81" s="15" t="str">
        <x:v>light_blue_beach_flip_flops</x:v>
      </x:c>
      <x:c r="W81" s="15" t="str">
        <x:v>cluster_route</x:v>
      </x:c>
      <x:c r="X81" s="15" t="str">
        <x:v>{"product_type":[{"value":"flip_flops","evidence_type":"explicit","source_span":"flip flops","fact_ids":[],"rationale":""},{"value":"flip_flops","evidence_type":"page_validated","source_span":"","fact_ids":["style_flip_flop"],"rationale":"该槽位与商品基准中的明示页面事实一致。"}],"location_intent":[{"value":"beach","evidence_type":"explicit","source_span":"beach","fact_ids":[],"rationale":""}],"color_light_blue":[{"value":"light blue","evidence_type":"explicit","source_span":"light blue","fact_ids":["colors_visible"],"rationale":"Light blue is among the visible color selectors."}],"primary_domain":[{"value":"clothing_shoes_jewelry","evidence_type":"inferred","source_span":"","fact_ids":[],"rationale":"该值由搜索词整体语义推断，未作为页面明示属性。"}]}</x:v>
      </x:c>
      <x:c r="Y81" s="15" t="str"/>
      <x:c r="Z81" s="10" t="str">
        <x:v>match</x:v>
      </x:c>
      <x:c r="AA81" s="15" t="str">
        <x:v>style_flip_flop | style_outdoor | colors_visible</x:v>
      </x:c>
      <x:c r="AB81" s="10" t="str">
        <x:v>accepted</x:v>
      </x:c>
      <x:c r="AC81" s="10" t="str">
        <x:v>1.0.0</x:v>
      </x:c>
      <x:c r="AD81" s="10" t="str">
        <x:v>1.1.0</x:v>
      </x:c>
      <x:c r="AE81" s="10" t="str">
        <x:v>deepseek/deepseek-v4-pro</x:v>
      </x:c>
      <x:c r="AF81" s="10" t="str">
        <x:v>aj2-y90-20260714T234810-0bea2f52</x:v>
      </x:c>
      <x:c r="AG81" s="10" t="str">
        <x:v>full-0004</x:v>
      </x:c>
      <x:c r="AH81" s="10" t="str">
        <x:v>full</x:v>
      </x:c>
      <x:c r="AI81" s="10" t="n">
        <x:v>4</x:v>
      </x:c>
    </x:row>
    <x:row r="82" ht="34" customHeight="1">
      <x:c r="A82" s="16" t="str">
        <x:v>flip flops for women cushion</x:v>
      </x:c>
      <x:c r="B82" s="16" t="str">
        <x:v>flip flops for women cushion</x:v>
      </x:c>
      <x:c r="C82" s="13" t="str">
        <x:v>11690c9bd79dad71</x:v>
      </x:c>
      <x:c r="D82" s="13" t="str">
        <x:v>keyword</x:v>
      </x:c>
      <x:c r="E82" s="13" t="str">
        <x:v>en</x:v>
      </x:c>
      <x:c r="F82" s="13" t="str">
        <x:v>clothing_shoes_jewelry</x:v>
      </x:c>
      <x:c r="G82" s="16" t="str"/>
      <x:c r="H82" s="16" t="str">
        <x:v>flip_flop</x:v>
      </x:c>
      <x:c r="I82" s="16" t="str">
        <x:v>women</x:v>
      </x:c>
      <x:c r="J82" s="16" t="str"/>
      <x:c r="K82" s="16" t="str">
        <x:v>cushioning</x:v>
      </x:c>
      <x:c r="L82" s="16" t="str"/>
      <x:c r="M82" s="16" t="str"/>
      <x:c r="N82" s="16" t="str"/>
      <x:c r="O82" s="16" t="str"/>
      <x:c r="P82" s="16" t="str"/>
      <x:c r="Q82" s="16" t="str"/>
      <x:c r="R82" s="16" t="str">
        <x:v>用户是一位女性，想找一双具有缓冲软垫功能的人字拖。</x:v>
      </x:c>
      <x:c r="S82" s="13" t="str">
        <x:v>consideration</x:v>
      </x:c>
      <x:c r="T82" s="16" t="str">
        <x:v>explicit | page_validated | inferred</x:v>
      </x:c>
      <x:c r="U82" s="13" t="str">
        <x:v>high</x:v>
      </x:c>
      <x:c r="V82" s="16" t="str">
        <x:v>cushioned_flip_flops_women</x:v>
      </x:c>
      <x:c r="W82" s="16" t="str">
        <x:v>cluster_route</x:v>
      </x:c>
      <x:c r="X82" s="16" t="str">
        <x:v>{"primary_domain":[{"value":"clothing_shoes_jewelry","evidence_type":"inferred","source_span":"flip flops for women cushion","fact_ids":[],"rationale":"Flip flops are footwear, classified under clothing_shoes_jewelry."}],"product_type":[{"value":"flip_flop","evidence_type":"explicit","source_span":"flip flops","fact_ids":[],"rationale":"Term explicitly requests flip flops."},{"value":"flip_flop","evidence_type":"page_validated","source_span":"","fact_ids":["style_flip_flop"],"rationale":"该槽位与商品基准中的明示页面事实一致。"}],"audience_intent":[{"value":"women","evidence_type":"explicit","source_span":"women","fact_ids":[],"rationale":"Term explicitly targets women."},{"value":"women","evidence_type":"page_validated","source_span":"","fact_ids":["title_womens_flip_flop"],"rationale":"该槽位与商品基准中的明示页面事实一致。"}],"capability_intent":[{"value":"cushioning","evidence_type":"explicit","source_span":"cushion","fact_ids":[],"rationale":"Term explicitly requests cushioning."},{"value":"cushioning","evidence_type":"page_validated","source_span":"","fact_ids":["padded_cushioning"],"rationale":"该槽位与商品基准中的明示页面事实一致。"},{"value":"cushioning","evidence_type":"inferred","source_span":"","fact_ids":[],"rationale":"该能力由搜索词表达的任务或问题推断；页面事实仅用于验证商品承接。"}]}</x:v>
      </x:c>
      <x:c r="Y82" s="16" t="str"/>
      <x:c r="Z82" s="13" t="str">
        <x:v>match</x:v>
      </x:c>
      <x:c r="AA82" s="16" t="str">
        <x:v>title_womens_flip_flop | style_flip_flop | padded_cushioning</x:v>
      </x:c>
      <x:c r="AB82" s="13" t="str">
        <x:v>accepted</x:v>
      </x:c>
      <x:c r="AC82" s="13" t="str">
        <x:v>1.0.0</x:v>
      </x:c>
      <x:c r="AD82" s="13" t="str">
        <x:v>1.1.0</x:v>
      </x:c>
      <x:c r="AE82" s="13" t="str">
        <x:v>deepseek/deepseek-v4-pro</x:v>
      </x:c>
      <x:c r="AF82" s="13" t="str">
        <x:v>aj2-y90-20260714T234810-0bea2f52</x:v>
      </x:c>
      <x:c r="AG82" s="13" t="str">
        <x:v>full-0005</x:v>
      </x:c>
      <x:c r="AH82" s="13" t="str">
        <x:v>full</x:v>
      </x:c>
      <x:c r="AI82" s="13" t="n">
        <x:v>5</x:v>
      </x:c>
    </x:row>
    <x:row r="83" ht="34" customHeight="1">
      <x:c r="A83" s="15" t="str">
        <x:v>spa flip flops</x:v>
      </x:c>
      <x:c r="B83" s="15" t="str">
        <x:v>spa flip flops</x:v>
      </x:c>
      <x:c r="C83" s="10" t="str">
        <x:v>2308af0738e98743</x:v>
      </x:c>
      <x:c r="D83" s="10" t="str">
        <x:v>keyword</x:v>
      </x:c>
      <x:c r="E83" s="10" t="str">
        <x:v>en</x:v>
      </x:c>
      <x:c r="F83" s="10" t="str">
        <x:v>clothing_shoes_jewelry</x:v>
      </x:c>
      <x:c r="G83" s="15" t="str"/>
      <x:c r="H83" s="15" t="str">
        <x:v>flip_flop</x:v>
      </x:c>
      <x:c r="I83" s="15" t="str"/>
      <x:c r="J83" s="15" t="str"/>
      <x:c r="K83" s="15" t="str">
        <x:v>slip_resistant | easy_clean</x:v>
      </x:c>
      <x:c r="L83" s="15" t="str">
        <x:v>spa_visit</x:v>
      </x:c>
      <x:c r="M83" s="15" t="str">
        <x:v>spa</x:v>
      </x:c>
      <x:c r="N83" s="15" t="str"/>
      <x:c r="O83" s="15" t="str"/>
      <x:c r="P83" s="15" t="str"/>
      <x:c r="Q83" s="15" t="str"/>
      <x:c r="R83" s="15" t="str">
        <x:v>用户想找一双适合在水疗中心/SPA 穿着的人字拖。</x:v>
      </x:c>
      <x:c r="S83" s="10" t="str">
        <x:v>exploration</x:v>
      </x:c>
      <x:c r="T83" s="15" t="str">
        <x:v>explicit | page_validated | inferred</x:v>
      </x:c>
      <x:c r="U83" s="10" t="str">
        <x:v>medium</x:v>
      </x:c>
      <x:c r="V83" s="15" t="str">
        <x:v>spa_flip_flops</x:v>
      </x:c>
      <x:c r="W83" s="15" t="str">
        <x:v>listing_gap_review</x:v>
      </x:c>
      <x:c r="X83" s="15" t="str">
        <x:v>{"primary_domain":[{"value":"clothing_shoes_jewelry","evidence_type":"inferred","source_span":"spa flip flops","fact_ids":[],"rationale":"Flip flops are footwear, classified under clothing_shoes_jewelry."}],"product_type":[{"value":"flip_flop","evidence_type":"explicit","source_span":"flip flops","fact_ids":[],"rationale":"Term explicitly requests flip flops."},{"value":"flip_flop","evidence_type":"page_validated","source_span":"","fact_ids":["style_flip_flop"],"rationale":"该槽位与商品基准中的明示页面事实一致。"}],"location_intent":[{"value":"spa","evidence_type":"explicit","source_span":"spa","fact_ids":[],"rationale":"Term explicitly specifies spa as the use location."}],"event_intent":[{"value":"spa_visit","evidence_type":"inferred","source_span":"spa","fact_ids":[],"rationale":"Spa location implies a spa visit activity."}],"capability_intent":[{"value":"slip_resistant","evidence_type":"page_validated","source_span":"","fact_ids":["slip_resistant_grip"],"rationale":"Spa environments require slip resistance; product page validates slip-resistant grip."},{"value":"easy_clean","evidence_type":"page_validated","source_span":"","fact_ids":["easy_clean"],"rationale":"Spa environments benefit from easy-clean materials; product page validates easy clean."},{"value":"slip_resistant","evidence_type":"inferred","source_span":"","fact_ids":[],"rationale":"该能力由搜索词表达的任务或问题推断；页面事实仅用于验证商品承接。"},{"value":"easy_clean","evidence_type":"inferred","source_span":"","fact_ids":[],"rationale":"该能力由搜索词表达的任务或问题推断；页面事实仅用于验证商品承接。"}]}</x:v>
      </x:c>
      <x:c r="Y83" s="15" t="str">
        <x:v>spa_use_not_page_validated</x:v>
      </x:c>
      <x:c r="Z83" s="10" t="str">
        <x:v>partial_match</x:v>
      </x:c>
      <x:c r="AA83" s="15" t="str">
        <x:v>style_flip_flop | slip_resistant_grip | easy_clean | material_eva | lightweight_breathable</x:v>
      </x:c>
      <x:c r="AB83" s="10" t="str">
        <x:v>accepted</x:v>
      </x:c>
      <x:c r="AC83" s="10" t="str">
        <x:v>1.0.0</x:v>
      </x:c>
      <x:c r="AD83" s="10" t="str">
        <x:v>1.1.0</x:v>
      </x:c>
      <x:c r="AE83" s="10" t="str">
        <x:v>deepseek/deepseek-v4-pro</x:v>
      </x:c>
      <x:c r="AF83" s="10" t="str">
        <x:v>aj2-y90-20260714T234810-0bea2f52</x:v>
      </x:c>
      <x:c r="AG83" s="10" t="str">
        <x:v>full-0005</x:v>
      </x:c>
      <x:c r="AH83" s="10" t="str">
        <x:v>full</x:v>
      </x:c>
      <x:c r="AI83" s="10" t="n">
        <x:v>5</x:v>
      </x:c>
    </x:row>
    <x:row r="84" ht="34" customHeight="1">
      <x:c r="A84" s="16" t="str">
        <x:v>flip flops blue</x:v>
      </x:c>
      <x:c r="B84" s="16" t="str">
        <x:v>flip flops blue</x:v>
      </x:c>
      <x:c r="C84" s="13" t="str">
        <x:v>26b31bf1b396f991</x:v>
      </x:c>
      <x:c r="D84" s="13" t="str">
        <x:v>keyword</x:v>
      </x:c>
      <x:c r="E84" s="13" t="str">
        <x:v>en</x:v>
      </x:c>
      <x:c r="F84" s="13" t="str">
        <x:v>clothing_shoes_jewelry</x:v>
      </x:c>
      <x:c r="G84" s="16" t="str"/>
      <x:c r="H84" s="16" t="str">
        <x:v>flip_flop</x:v>
      </x:c>
      <x:c r="I84" s="16" t="str"/>
      <x:c r="J84" s="16" t="str"/>
      <x:c r="K84" s="16" t="str"/>
      <x:c r="L84" s="16" t="str"/>
      <x:c r="M84" s="16" t="str"/>
      <x:c r="N84" s="16" t="str"/>
      <x:c r="O84" s="16" t="str"/>
      <x:c r="P84" s="16" t="str"/>
      <x:c r="Q84" s="16" t="str"/>
      <x:c r="R84" s="16" t="str">
        <x:v>用户想找一双蓝色人字拖。</x:v>
      </x:c>
      <x:c r="S84" s="13" t="str">
        <x:v>exploration</x:v>
      </x:c>
      <x:c r="T84" s="16" t="str">
        <x:v>explicit | page_validated | inferred</x:v>
      </x:c>
      <x:c r="U84" s="13" t="str">
        <x:v>medium</x:v>
      </x:c>
      <x:c r="V84" s="16" t="str">
        <x:v>flip_flops_color</x:v>
      </x:c>
      <x:c r="W84" s="16" t="str">
        <x:v>listing_gap_review</x:v>
      </x:c>
      <x:c r="X84" s="16" t="str">
        <x:v>{"primary_domain":[{"value":"clothing_shoes_jewelry","evidence_type":"inferred","source_span":"flip flops blue","fact_ids":[],"rationale":"Flip flops are footwear, classified under clothing_shoes_jewelry."}],"product_type":[{"value":"flip_flop","evidence_type":"explicit","source_span":"flip flops","fact_ids":[],"rationale":"Term explicitly requests flip flops."},{"value":"flip_flop","evidence_type":"page_validated","source_span":"","fact_ids":["style_flip_flop"],"rationale":"该槽位与商品基准中的明示页面事实一致。"}]}</x:v>
      </x:c>
      <x:c r="Y84" s="16" t="str">
        <x:v>color_subset_only</x:v>
      </x:c>
      <x:c r="Z84" s="13" t="str">
        <x:v>partial_match</x:v>
      </x:c>
      <x:c r="AA84" s="16" t="str">
        <x:v>style_flip_flop | colors_visible</x:v>
      </x:c>
      <x:c r="AB84" s="13" t="str">
        <x:v>accepted</x:v>
      </x:c>
      <x:c r="AC84" s="13" t="str">
        <x:v>1.0.0</x:v>
      </x:c>
      <x:c r="AD84" s="13" t="str">
        <x:v>1.1.0</x:v>
      </x:c>
      <x:c r="AE84" s="13" t="str">
        <x:v>deepseek/deepseek-v4-pro</x:v>
      </x:c>
      <x:c r="AF84" s="13" t="str">
        <x:v>aj2-y90-20260714T234810-0bea2f52</x:v>
      </x:c>
      <x:c r="AG84" s="13" t="str">
        <x:v>full-0005</x:v>
      </x:c>
      <x:c r="AH84" s="13" t="str">
        <x:v>full</x:v>
      </x:c>
      <x:c r="AI84" s="13" t="n">
        <x:v>5</x:v>
      </x:c>
    </x:row>
    <x:row r="85" ht="34" customHeight="1">
      <x:c r="A85" s="15" t="str">
        <x:v>chancletas de playa para mujer</x:v>
      </x:c>
      <x:c r="B85" s="15" t="str">
        <x:v>chancletas de playa para mujer</x:v>
      </x:c>
      <x:c r="C85" s="10" t="str">
        <x:v>321bddbf88dc9ce7</x:v>
      </x:c>
      <x:c r="D85" s="10" t="str">
        <x:v>keyword</x:v>
      </x:c>
      <x:c r="E85" s="10" t="str">
        <x:v>es</x:v>
      </x:c>
      <x:c r="F85" s="10" t="str">
        <x:v>clothing_shoes_jewelry</x:v>
      </x:c>
      <x:c r="G85" s="15" t="str">
        <x:v>sports_outdoors</x:v>
      </x:c>
      <x:c r="H85" s="15" t="str">
        <x:v>flip_flop</x:v>
      </x:c>
      <x:c r="I85" s="15" t="str">
        <x:v>women</x:v>
      </x:c>
      <x:c r="J85" s="15" t="str"/>
      <x:c r="K85" s="15" t="str"/>
      <x:c r="L85" s="15" t="str">
        <x:v>beach_outing</x:v>
      </x:c>
      <x:c r="M85" s="15" t="str">
        <x:v>beach</x:v>
      </x:c>
      <x:c r="N85" s="15" t="str"/>
      <x:c r="O85" s="15" t="str"/>
      <x:c r="P85" s="15" t="str"/>
      <x:c r="Q85" s="15" t="str"/>
      <x:c r="R85" s="15" t="str">
        <x:v>用户是一位女性，想找一双适合在沙滩穿着的拖鞋。</x:v>
      </x:c>
      <x:c r="S85" s="10" t="str">
        <x:v>consideration</x:v>
      </x:c>
      <x:c r="T85" s="15" t="str">
        <x:v>explicit | page_validated | inferred</x:v>
      </x:c>
      <x:c r="U85" s="10" t="str">
        <x:v>medium</x:v>
      </x:c>
      <x:c r="V85" s="15" t="str">
        <x:v>beach_flip_flops_women</x:v>
      </x:c>
      <x:c r="W85" s="15" t="str">
        <x:v>listing_gap_review</x:v>
      </x:c>
      <x:c r="X85" s="15" t="str">
        <x:v>{"primary_domain":[{"value":"clothing_shoes_jewelry","evidence_type":"inferred","source_span":"chancletas de playa para mujer","fact_ids":[],"rationale":"Chancletas (flip flops) are footwear, classified under clothing_shoes_jewelry."}],"secondary_domain":[{"value":"sports_outdoors","evidence_type":"inferred","source_span":"playa","fact_ids":[],"rationale":"Beach use relates to outdoor activities, falling under sports_outdoors."}],"product_type":[{"value":"flip_flop","evidence_type":"explicit","source_span":"chancletas","fact_ids":[],"rationale":"Chancletas is Spanish for flip flops."},{"value":"flip_flop","evidence_type":"page_validated","source_span":"","fact_ids":["style_flip_flop"],"rationale":"该槽位与商品基准中的明示页面事实一致。"},{"value":"flip_flop","evidence_type":"inferred","source_span":"","fact_ids":[],"rationale":"该能力由搜索词表达的任务或问题推断；页面事实仅用于验证商品承接。"}],"audience_intent":[{"value":"women","evidence_type":"explicit","source_span":"mujer","fact_ids":[],"rationale":"Mujer is Spanish for woman; explicitly targets women."},{"value":"women","evidence_type":"page_validated","source_span":"","fact_ids":["title_womens_flip_flop"],"rationale":"该槽位与商品基准中的明示页面事实一致。"},{"value":"women","evidence_type":"inferred","source_span":"","fact_ids":[],"rationale":"该能力由搜索词表达的任务或问题推断；页面事实仅用于验证商品承接。"}],"location_intent":[{"value":"beach","evidence_type":"explicit","source_span":"playa","fact_ids":[],"rationale":"Playa is Spanish for beach."}],"event_intent":[{"value":"beach_outing","evidence_type":"inferred","source_span":"playa","fact_ids":[],"rationale":"Beach location implies a beach outing event/activity."}]}</x:v>
      </x:c>
      <x:c r="Y85" s="15" t="str">
        <x:v>beach_use_not_page_validated</x:v>
      </x:c>
      <x:c r="Z85" s="10" t="str">
        <x:v>partial_match</x:v>
      </x:c>
      <x:c r="AA85" s="15" t="str">
        <x:v>title_womens_flip_flop | style_flip_flop | style_outdoor | easy_clean | slip_resistant_grip</x:v>
      </x:c>
      <x:c r="AB85" s="10" t="str">
        <x:v>accepted</x:v>
      </x:c>
      <x:c r="AC85" s="10" t="str">
        <x:v>1.0.0</x:v>
      </x:c>
      <x:c r="AD85" s="10" t="str">
        <x:v>1.1.0</x:v>
      </x:c>
      <x:c r="AE85" s="10" t="str">
        <x:v>deepseek/deepseek-v4-pro</x:v>
      </x:c>
      <x:c r="AF85" s="10" t="str">
        <x:v>aj2-y90-20260714T234810-0bea2f52</x:v>
      </x:c>
      <x:c r="AG85" s="10" t="str">
        <x:v>full-0005</x:v>
      </x:c>
      <x:c r="AH85" s="10" t="str">
        <x:v>full</x:v>
      </x:c>
      <x:c r="AI85" s="10" t="n">
        <x:v>5</x:v>
      </x:c>
    </x:row>
    <x:row r="86" ht="34" customHeight="1">
      <x:c r="A86" s="16" t="str">
        <x:v>flip flops for pool</x:v>
      </x:c>
      <x:c r="B86" s="16" t="str">
        <x:v>flip flops for pool</x:v>
      </x:c>
      <x:c r="C86" s="13" t="str">
        <x:v>3a1dc680dd406143</x:v>
      </x:c>
      <x:c r="D86" s="13" t="str">
        <x:v>keyword</x:v>
      </x:c>
      <x:c r="E86" s="13" t="str">
        <x:v>en</x:v>
      </x:c>
      <x:c r="F86" s="13" t="str">
        <x:v>clothing_shoes_jewelry</x:v>
      </x:c>
      <x:c r="G86" s="16" t="str">
        <x:v>sports_outdoors</x:v>
      </x:c>
      <x:c r="H86" s="16" t="str">
        <x:v>flip_flop</x:v>
      </x:c>
      <x:c r="I86" s="16" t="str"/>
      <x:c r="J86" s="16" t="str"/>
      <x:c r="K86" s="16" t="str">
        <x:v>slip_resistant</x:v>
      </x:c>
      <x:c r="L86" s="16" t="str">
        <x:v>pool_visit</x:v>
      </x:c>
      <x:c r="M86" s="16" t="str">
        <x:v>pool</x:v>
      </x:c>
      <x:c r="N86" s="16" t="str"/>
      <x:c r="O86" s="16" t="str"/>
      <x:c r="P86" s="16" t="str"/>
      <x:c r="Q86" s="16" t="str"/>
      <x:c r="R86" s="16" t="str">
        <x:v>用户想找一双适合在游泳池边穿着的人字拖。</x:v>
      </x:c>
      <x:c r="S86" s="13" t="str">
        <x:v>exploration</x:v>
      </x:c>
      <x:c r="T86" s="16" t="str">
        <x:v>explicit | page_validated | inferred</x:v>
      </x:c>
      <x:c r="U86" s="13" t="str">
        <x:v>medium</x:v>
      </x:c>
      <x:c r="V86" s="16" t="str">
        <x:v>pool_flip_flops</x:v>
      </x:c>
      <x:c r="W86" s="16" t="str">
        <x:v>listing_gap_review</x:v>
      </x:c>
      <x:c r="X86" s="16" t="str">
        <x:v>{"primary_domain":[{"value":"clothing_shoes_jewelry","evidence_type":"inferred","source_span":"flip flops for pool","fact_ids":[],"rationale":"Flip flops are footwear, classified under clothing_shoes_jewelry."}],"secondary_domain":[{"value":"sports_outdoors","evidence_type":"inferred","source_span":"pool","fact_ids":[],"rationale":"Pool use relates to outdoor recreation."}],"product_type":[{"value":"flip_flop","evidence_type":"explicit","source_span":"flip flops","fact_ids":[],"rationale":"Term explicitly requests flip flops."},{"value":"flip_flop","evidence_type":"page_validated","source_span":"","fact_ids":["style_flip_flop"],"rationale":"该槽位与商品基准中的明示页面事实一致。"}],"location_intent":[{"value":"pool","evidence_type":"explicit","source_span":"pool","fact_ids":[],"rationale":"Term explicitly specifies pool as the use location."}],"event_intent":[{"value":"pool_visit","evidence_type":"inferred","source_span":"pool","fact_ids":[],"rationale":"Pool location implies a pool visit activity."}],"capability_intent":[{"value":"slip_resistant","evidence_type":"page_validated","source_span":"","fact_ids":["slip_resistant_grip"],"rationale":"Pool areas are wet; slip resistance is key. Product page validates slip-resistant grip."},{"value":"slip_resistant","evidence_type":"inferred","source_span":"","fact_ids":[],"rationale":"该能力由搜索词表达的任务或问题推断；页面事实仅用于验证商品承接。"}]}</x:v>
      </x:c>
      <x:c r="Y86" s="16" t="str">
        <x:v>pool_water_use_not_page_validated</x:v>
      </x:c>
      <x:c r="Z86" s="13" t="str">
        <x:v>partial_match</x:v>
      </x:c>
      <x:c r="AA86" s="16" t="str">
        <x:v>style_flip_flop | slip_resistant_grip | easy_clean | material_eva</x:v>
      </x:c>
      <x:c r="AB86" s="13" t="str">
        <x:v>accepted</x:v>
      </x:c>
      <x:c r="AC86" s="13" t="str">
        <x:v>1.0.0</x:v>
      </x:c>
      <x:c r="AD86" s="13" t="str">
        <x:v>1.1.0</x:v>
      </x:c>
      <x:c r="AE86" s="13" t="str">
        <x:v>deepseek/deepseek-v4-pro</x:v>
      </x:c>
      <x:c r="AF86" s="13" t="str">
        <x:v>aj2-y90-20260714T234810-0bea2f52</x:v>
      </x:c>
      <x:c r="AG86" s="13" t="str">
        <x:v>full-0005</x:v>
      </x:c>
      <x:c r="AH86" s="13" t="str">
        <x:v>full</x:v>
      </x:c>
      <x:c r="AI86" s="13" t="n">
        <x:v>5</x:v>
      </x:c>
    </x:row>
    <x:row r="87" ht="34" customHeight="1">
      <x:c r="A87" s="15" t="str">
        <x:v>women black flip flops</x:v>
      </x:c>
      <x:c r="B87" s="15" t="str">
        <x:v>women black flip flops</x:v>
      </x:c>
      <x:c r="C87" s="10" t="str">
        <x:v>3ad7f01b7505b01d</x:v>
      </x:c>
      <x:c r="D87" s="10" t="str">
        <x:v>keyword</x:v>
      </x:c>
      <x:c r="E87" s="10" t="str">
        <x:v>en</x:v>
      </x:c>
      <x:c r="F87" s="10" t="str">
        <x:v>clothing_shoes_jewelry</x:v>
      </x:c>
      <x:c r="G87" s="15" t="str"/>
      <x:c r="H87" s="15" t="str">
        <x:v>flip_flop</x:v>
      </x:c>
      <x:c r="I87" s="15" t="str">
        <x:v>women</x:v>
      </x:c>
      <x:c r="J87" s="15" t="str"/>
      <x:c r="K87" s="15" t="str"/>
      <x:c r="L87" s="15" t="str"/>
      <x:c r="M87" s="15" t="str"/>
      <x:c r="N87" s="15" t="str"/>
      <x:c r="O87" s="15" t="str"/>
      <x:c r="P87" s="15" t="str"/>
      <x:c r="Q87" s="15" t="str"/>
      <x:c r="R87" s="15" t="str">
        <x:v>用户是一位女性，想找一双黑色人字拖。</x:v>
      </x:c>
      <x:c r="S87" s="10" t="str">
        <x:v>consideration</x:v>
      </x:c>
      <x:c r="T87" s="15" t="str">
        <x:v>explicit | page_validated | inferred</x:v>
      </x:c>
      <x:c r="U87" s="10" t="str">
        <x:v>high</x:v>
      </x:c>
      <x:c r="V87" s="15" t="str">
        <x:v>womens_black_flip_flops</x:v>
      </x:c>
      <x:c r="W87" s="15" t="str">
        <x:v>cluster_route</x:v>
      </x:c>
      <x:c r="X87" s="15" t="str">
        <x:v>{"primary_domain":[{"value":"clothing_shoes_jewelry","evidence_type":"inferred","source_span":"women black flip flops","fact_ids":[],"rationale":"Flip flops are footwear, classified under clothing_shoes_jewelry."}],"product_type":[{"value":"flip_flop","evidence_type":"explicit","source_span":"flip flops","fact_ids":[],"rationale":"Term explicitly requests flip flops."},{"value":"flip_flop","evidence_type":"page_validated","source_span":"","fact_ids":["style_flip_flop"],"rationale":"该槽位与商品基准中的明示页面事实一致。"}],"audience_intent":[{"value":"women","evidence_type":"explicit","source_span":"women","fact_ids":[],"rationale":"Term explicitly targets women."},{"value":"women","evidence_type":"page_validated","source_span":"","fact_ids":["title_womens_flip_flop"],"rationale":"该槽位与商品基准中的明示页面事实一致。"}]}</x:v>
      </x:c>
      <x:c r="Y87" s="15" t="str"/>
      <x:c r="Z87" s="10" t="str">
        <x:v>match</x:v>
      </x:c>
      <x:c r="AA87" s="15" t="str">
        <x:v>title_womens_flip_flop | style_flip_flop | colors_visible</x:v>
      </x:c>
      <x:c r="AB87" s="10" t="str">
        <x:v>accepted</x:v>
      </x:c>
      <x:c r="AC87" s="10" t="str">
        <x:v>1.0.0</x:v>
      </x:c>
      <x:c r="AD87" s="10" t="str">
        <x:v>1.1.0</x:v>
      </x:c>
      <x:c r="AE87" s="10" t="str">
        <x:v>deepseek/deepseek-v4-pro</x:v>
      </x:c>
      <x:c r="AF87" s="10" t="str">
        <x:v>aj2-y90-20260714T234810-0bea2f52</x:v>
      </x:c>
      <x:c r="AG87" s="10" t="str">
        <x:v>full-0005</x:v>
      </x:c>
      <x:c r="AH87" s="10" t="str">
        <x:v>full</x:v>
      </x:c>
      <x:c r="AI87" s="10" t="n">
        <x:v>5</x:v>
      </x:c>
    </x:row>
    <x:row r="88" ht="34" customHeight="1">
      <x:c r="A88" s="16" t="str">
        <x:v>super high arch support sandals</x:v>
      </x:c>
      <x:c r="B88" s="16" t="str">
        <x:v>super high arch support sandals</x:v>
      </x:c>
      <x:c r="C88" s="13" t="str">
        <x:v>47e02f21b844d389</x:v>
      </x:c>
      <x:c r="D88" s="13" t="str">
        <x:v>keyword</x:v>
      </x:c>
      <x:c r="E88" s="13" t="str">
        <x:v>en</x:v>
      </x:c>
      <x:c r="F88" s="13" t="str">
        <x:v>clothing_shoes_jewelry</x:v>
      </x:c>
      <x:c r="G88" s="16" t="str"/>
      <x:c r="H88" s="16" t="str">
        <x:v>sandal</x:v>
      </x:c>
      <x:c r="I88" s="16" t="str"/>
      <x:c r="J88" s="16" t="str"/>
      <x:c r="K88" s="16" t="str">
        <x:v>arch_support | high_arch_support</x:v>
      </x:c>
      <x:c r="L88" s="16" t="str"/>
      <x:c r="M88" s="16" t="str"/>
      <x:c r="N88" s="16" t="str">
        <x:v>high_arch</x:v>
      </x:c>
      <x:c r="O88" s="16" t="str"/>
      <x:c r="P88" s="16" t="str"/>
      <x:c r="Q88" s="16" t="str"/>
      <x:c r="R88" s="16" t="str">
        <x:v>用户需要一双足弓支撑非常高/强的凉鞋，可能对应高足弓脚型需求。</x:v>
      </x:c>
      <x:c r="S88" s="13" t="str">
        <x:v>high_intent</x:v>
      </x:c>
      <x:c r="T88" s="16" t="str">
        <x:v>explicit | page_validated | inferred</x:v>
      </x:c>
      <x:c r="U88" s="13" t="str">
        <x:v>medium</x:v>
      </x:c>
      <x:c r="V88" s="16" t="str">
        <x:v>super_high_arch_support_sandals</x:v>
      </x:c>
      <x:c r="W88" s="16" t="str">
        <x:v>listing_gap_review</x:v>
      </x:c>
      <x:c r="X88" s="16" t="str">
        <x:v>{"primary_domain":[{"value":"clothing_shoes_jewelry","evidence_type":"inferred","source_span":"super high arch support sandals","fact_ids":[],"rationale":"Sandals are footwear, classified under clothing_shoes_jewelry."}],"product_type":[{"value":"sandal","evidence_type":"explicit","source_span":"sandals","fact_ids":[],"rationale":"Term explicitly requests sandals."}],"capability_intent":[{"value":"arch_support","evidence_type":"explicit","source_span":"arch support","fact_ids":[],"rationale":"Term explicitly requests arch support."},{"value":"high_arch_support","evidence_type":"explicit","source_span":"super high","fact_ids":[],"rationale":"Term explicitly qualifies arch support as super high."},{"value":"arch_support","evidence_type":"page_validated","source_span":"","fact_ids":["arch_support"],"rationale":"该槽位与商品基准中的明示页面事实一致。"}],"body_need_intent":[{"value":"high_arch","evidence_type":"inferred","source_span":"super high arch support","fact_ids":[],"rationale":"Super high arch support request suggests the user may have high arches requiring extra support."}]}</x:v>
      </x:c>
      <x:c r="Y88" s="16" t="str">
        <x:v>arch_support_intensity_unclear</x:v>
      </x:c>
      <x:c r="Z88" s="13" t="str">
        <x:v>partial_match</x:v>
      </x:c>
      <x:c r="AA88" s="16" t="str">
        <x:v>arch_support | style_flip_flop</x:v>
      </x:c>
      <x:c r="AB88" s="13" t="str">
        <x:v>accepted</x:v>
      </x:c>
      <x:c r="AC88" s="13" t="str">
        <x:v>1.0.0</x:v>
      </x:c>
      <x:c r="AD88" s="13" t="str">
        <x:v>1.1.0</x:v>
      </x:c>
      <x:c r="AE88" s="13" t="str">
        <x:v>deepseek/deepseek-v4-pro</x:v>
      </x:c>
      <x:c r="AF88" s="13" t="str">
        <x:v>aj2-y90-20260714T234810-0bea2f52</x:v>
      </x:c>
      <x:c r="AG88" s="13" t="str">
        <x:v>full-0005</x:v>
      </x:c>
      <x:c r="AH88" s="13" t="str">
        <x:v>full</x:v>
      </x:c>
      <x:c r="AI88" s="13" t="n">
        <x:v>5</x:v>
      </x:c>
    </x:row>
    <x:row r="89" ht="34" customHeight="1">
      <x:c r="A89" s="15" t="str">
        <x:v>archies dupes</x:v>
      </x:c>
      <x:c r="B89" s="15" t="str">
        <x:v>archies dupes</x:v>
      </x:c>
      <x:c r="C89" s="10" t="str">
        <x:v>4d057b9c4184aa0f</x:v>
      </x:c>
      <x:c r="D89" s="10" t="str">
        <x:v>keyword</x:v>
      </x:c>
      <x:c r="E89" s="10" t="str">
        <x:v>en</x:v>
      </x:c>
      <x:c r="F89" s="10" t="str">
        <x:v>clothing_shoes_jewelry</x:v>
      </x:c>
      <x:c r="G89" s="15" t="str"/>
      <x:c r="H89" s="15" t="str">
        <x:v>flip_flop</x:v>
      </x:c>
      <x:c r="I89" s="15" t="str"/>
      <x:c r="J89" s="15" t="str"/>
      <x:c r="K89" s="15" t="str">
        <x:v>arch_support</x:v>
      </x:c>
      <x:c r="L89" s="15" t="str"/>
      <x:c r="M89" s="15" t="str"/>
      <x:c r="N89" s="15" t="str"/>
      <x:c r="O89" s="15" t="str"/>
      <x:c r="P89" s="15" t="str">
        <x:v>archies_alternative</x:v>
      </x:c>
      <x:c r="Q89" s="15" t="str"/>
      <x:c r="R89" s="15" t="str">
        <x:v>用户想找类似 Archies 品牌的平价替代款足弓支撑人字拖。</x:v>
      </x:c>
      <x:c r="S89" s="10" t="str">
        <x:v>consideration</x:v>
      </x:c>
      <x:c r="T89" s="15" t="str">
        <x:v>explicit | page_validated | inferred</x:v>
      </x:c>
      <x:c r="U89" s="10" t="str">
        <x:v>medium</x:v>
      </x:c>
      <x:c r="V89" s="15" t="str">
        <x:v>archies_dupes</x:v>
      </x:c>
      <x:c r="W89" s="15" t="str">
        <x:v>cluster_route</x:v>
      </x:c>
      <x:c r="X89" s="15" t="str">
        <x:v>{"primary_domain":[{"value":"clothing_shoes_jewelry","evidence_type":"inferred","source_span":"archies dupes","fact_ids":[],"rationale":"Archies is a flip-flop brand; footwear falls under clothing_shoes_jewelry."}],"product_type":[{"value":"flip_flop","evidence_type":"inferred","source_span":"archies dupes","fact_ids":[],"rationale":"Archies is known for arch-support flip flops; dupes would be similar flip-flop products."},{"value":"flip_flop","evidence_type":"page_validated","source_span":"","fact_ids":["style_flip_flop"],"rationale":"该槽位与商品基准中的明示页面事实一致。"}],"capability_intent":[{"value":"arch_support","evidence_type":"inferred","source_span":"archies dupes","fact_ids":[],"rationale":"Archies brand is synonymous with arch-support footwear; the dupe request implies arch support."},{"value":"arch_support","evidence_type":"page_validated","source_span":"","fact_ids":["arch_support"],"rationale":"该槽位与商品基准中的明示页面事实一致。"}],"substitute_intent":[{"value":"archies_alternative","evidence_type":"explicit","source_span":"archies dupes","fact_ids":[],"rationale":"Dupes explicitly signals seeking alternatives/substitutes to Archies brand."}]}</x:v>
      </x:c>
      <x:c r="Y89" s="15" t="str"/>
      <x:c r="Z89" s="10" t="str">
        <x:v>match</x:v>
      </x:c>
      <x:c r="AA89" s="15" t="str">
        <x:v>title_womens_flip_flop | arch_support | style_flip_flop</x:v>
      </x:c>
      <x:c r="AB89" s="10" t="str">
        <x:v>accepted</x:v>
      </x:c>
      <x:c r="AC89" s="10" t="str">
        <x:v>1.0.0</x:v>
      </x:c>
      <x:c r="AD89" s="10" t="str">
        <x:v>1.1.0</x:v>
      </x:c>
      <x:c r="AE89" s="10" t="str">
        <x:v>deepseek/deepseek-v4-pro</x:v>
      </x:c>
      <x:c r="AF89" s="10" t="str">
        <x:v>aj2-y90-20260714T234810-0bea2f52</x:v>
      </x:c>
      <x:c r="AG89" s="10" t="str">
        <x:v>full-0005</x:v>
      </x:c>
      <x:c r="AH89" s="10" t="str">
        <x:v>full</x:v>
      </x:c>
      <x:c r="AI89" s="10" t="n">
        <x:v>5</x:v>
      </x:c>
    </x:row>
    <x:row r="90" ht="34" customHeight="1">
      <x:c r="A90" s="16" t="str">
        <x:v>arch support sandals for women</x:v>
      </x:c>
      <x:c r="B90" s="16" t="str">
        <x:v>arch support sandals for women</x:v>
      </x:c>
      <x:c r="C90" s="13" t="str">
        <x:v>70cc1ac7177ad860</x:v>
      </x:c>
      <x:c r="D90" s="13" t="str">
        <x:v>keyword</x:v>
      </x:c>
      <x:c r="E90" s="13" t="str">
        <x:v>en</x:v>
      </x:c>
      <x:c r="F90" s="13" t="str">
        <x:v>clothing_shoes_jewelry</x:v>
      </x:c>
      <x:c r="G90" s="16" t="str"/>
      <x:c r="H90" s="16" t="str">
        <x:v>sandal</x:v>
      </x:c>
      <x:c r="I90" s="16" t="str">
        <x:v>women</x:v>
      </x:c>
      <x:c r="J90" s="16" t="str"/>
      <x:c r="K90" s="16" t="str">
        <x:v>arch_support</x:v>
      </x:c>
      <x:c r="L90" s="16" t="str"/>
      <x:c r="M90" s="16" t="str"/>
      <x:c r="N90" s="16" t="str"/>
      <x:c r="O90" s="16" t="str"/>
      <x:c r="P90" s="16" t="str"/>
      <x:c r="Q90" s="16" t="str"/>
      <x:c r="R90" s="16" t="str">
        <x:v>用户是一位女性，想找一双具有足弓支撑功能的凉鞋。</x:v>
      </x:c>
      <x:c r="S90" s="13" t="str">
        <x:v>consideration</x:v>
      </x:c>
      <x:c r="T90" s="16" t="str">
        <x:v>explicit | page_validated | inferred</x:v>
      </x:c>
      <x:c r="U90" s="13" t="str">
        <x:v>high</x:v>
      </x:c>
      <x:c r="V90" s="16" t="str">
        <x:v>arch_support_sandals_women</x:v>
      </x:c>
      <x:c r="W90" s="16" t="str">
        <x:v>cluster_route</x:v>
      </x:c>
      <x:c r="X90" s="16" t="str">
        <x:v>{"primary_domain":[{"value":"clothing_shoes_jewelry","evidence_type":"inferred","source_span":"arch support sandals for women","fact_ids":[],"rationale":"Sandals are footwear, classified under clothing_shoes_jewelry."}],"product_type":[{"value":"sandal","evidence_type":"explicit","source_span":"sandals","fact_ids":[],"rationale":"Term explicitly requests sandals."}],"audience_intent":[{"value":"women","evidence_type":"explicit","source_span":"women","fact_ids":[],"rationale":"Term explicitly targets women."},{"value":"women","evidence_type":"page_validated","source_span":"","fact_ids":["title_womens_flip_flop"],"rationale":"该槽位与商品基准中的明示页面事实一致。"}],"capability_intent":[{"value":"arch_support","evidence_type":"explicit","source_span":"arch support","fact_ids":[],"rationale":"Term explicitly requests arch support."},{"value":"arch_support","evidence_type":"page_validated","source_span":"","fact_ids":["arch_support"],"rationale":"该槽位与商品基准中的明示页面事实一致。"}]}</x:v>
      </x:c>
      <x:c r="Y90" s="16" t="str"/>
      <x:c r="Z90" s="13" t="str">
        <x:v>match</x:v>
      </x:c>
      <x:c r="AA90" s="16" t="str">
        <x:v>title_womens_flip_flop | arch_support | style_flip_flop | sizes_6_11</x:v>
      </x:c>
      <x:c r="AB90" s="13" t="str">
        <x:v>accepted</x:v>
      </x:c>
      <x:c r="AC90" s="13" t="str">
        <x:v>1.0.0</x:v>
      </x:c>
      <x:c r="AD90" s="13" t="str">
        <x:v>1.1.0</x:v>
      </x:c>
      <x:c r="AE90" s="13" t="str">
        <x:v>deepseek/deepseek-v4-pro</x:v>
      </x:c>
      <x:c r="AF90" s="13" t="str">
        <x:v>aj2-y90-20260714T234810-0bea2f52</x:v>
      </x:c>
      <x:c r="AG90" s="13" t="str">
        <x:v>full-0005</x:v>
      </x:c>
      <x:c r="AH90" s="13" t="str">
        <x:v>full</x:v>
      </x:c>
      <x:c r="AI90" s="13" t="n">
        <x:v>5</x:v>
      </x:c>
    </x:row>
    <x:row r="91" ht="34" customHeight="1">
      <x:c r="A91" s="15" t="str">
        <x:v>waterproof white flip flops</x:v>
      </x:c>
      <x:c r="B91" s="15" t="str">
        <x:v>waterproof white flip flops</x:v>
      </x:c>
      <x:c r="C91" s="10" t="str">
        <x:v>7c13912d0ddeaf78</x:v>
      </x:c>
      <x:c r="D91" s="10" t="str">
        <x:v>keyword</x:v>
      </x:c>
      <x:c r="E91" s="10" t="str">
        <x:v>en</x:v>
      </x:c>
      <x:c r="F91" s="10" t="str">
        <x:v>clothing_shoes_jewelry</x:v>
      </x:c>
      <x:c r="G91" s="15" t="str"/>
      <x:c r="H91" s="15" t="str">
        <x:v>flip_flop</x:v>
      </x:c>
      <x:c r="I91" s="15" t="str"/>
      <x:c r="J91" s="15" t="str"/>
      <x:c r="K91" s="15" t="str">
        <x:v>waterproof</x:v>
      </x:c>
      <x:c r="L91" s="15" t="str"/>
      <x:c r="M91" s="15" t="str"/>
      <x:c r="N91" s="15" t="str"/>
      <x:c r="O91" s="15" t="str"/>
      <x:c r="P91" s="15" t="str"/>
      <x:c r="Q91" s="15" t="str"/>
      <x:c r="R91" s="15" t="str">
        <x:v>用户想找一双防水白色人字拖，但该产品页面未声称防水功能。</x:v>
      </x:c>
      <x:c r="S91" s="10" t="str">
        <x:v>consideration</x:v>
      </x:c>
      <x:c r="T91" s="15" t="str">
        <x:v>explicit | page_validated | inferred</x:v>
      </x:c>
      <x:c r="U91" s="10" t="str">
        <x:v>medium</x:v>
      </x:c>
      <x:c r="V91" s="15" t="str">
        <x:v>waterproof_white_flip_flops</x:v>
      </x:c>
      <x:c r="W91" s="15" t="str">
        <x:v>semantic_negative_candidate</x:v>
      </x:c>
      <x:c r="X91" s="15" t="str">
        <x:v>{"primary_domain":[{"value":"clothing_shoes_jewelry","evidence_type":"inferred","source_span":"waterproof white flip flops","fact_ids":[],"rationale":"Flip flops are footwear, classified under clothing_shoes_jewelry."}],"product_type":[{"value":"flip_flop","evidence_type":"explicit","source_span":"flip flops","fact_ids":[],"rationale":"Term explicitly requests flip flops."},{"value":"flip_flop","evidence_type":"page_validated","source_span":"","fact_ids":["style_flip_flop"],"rationale":"该槽位与商品基准中的明示页面事实一致。"}],"capability_intent":[{"value":"waterproof","evidence_type":"explicit","source_span":"waterproof","fact_ids":[],"rationale":"Term explicitly requests waterproof capability."}]}</x:v>
      </x:c>
      <x:c r="Y91" s="15" t="str">
        <x:v>waterproof_not_page_validated | color_white_available</x:v>
      </x:c>
      <x:c r="Z91" s="10" t="str">
        <x:v>mismatch</x:v>
      </x:c>
      <x:c r="AA91" s="15" t="str">
        <x:v>style_flip_flop | colors_visible | material_eva</x:v>
      </x:c>
      <x:c r="AB91" s="10" t="str">
        <x:v>accepted</x:v>
      </x:c>
      <x:c r="AC91" s="10" t="str">
        <x:v>1.0.0</x:v>
      </x:c>
      <x:c r="AD91" s="10" t="str">
        <x:v>1.1.0</x:v>
      </x:c>
      <x:c r="AE91" s="10" t="str">
        <x:v>deepseek/deepseek-v4-pro</x:v>
      </x:c>
      <x:c r="AF91" s="10" t="str">
        <x:v>aj2-y90-20260714T234810-0bea2f52</x:v>
      </x:c>
      <x:c r="AG91" s="10" t="str">
        <x:v>full-0005</x:v>
      </x:c>
      <x:c r="AH91" s="10" t="str">
        <x:v>full</x:v>
      </x:c>
      <x:c r="AI91" s="10" t="n">
        <x:v>5</x:v>
      </x:c>
    </x:row>
    <x:row r="92" ht="34" customHeight="1">
      <x:c r="A92" s="16" t="str">
        <x:v>supportive women's sandals arch support</x:v>
      </x:c>
      <x:c r="B92" s="16" t="str">
        <x:v>supportive women's sandals arch support</x:v>
      </x:c>
      <x:c r="C92" s="13" t="str">
        <x:v>aed5d68c3e6e2af2</x:v>
      </x:c>
      <x:c r="D92" s="13" t="str">
        <x:v>keyword</x:v>
      </x:c>
      <x:c r="E92" s="13" t="str">
        <x:v>en</x:v>
      </x:c>
      <x:c r="F92" s="13" t="str">
        <x:v>clothing_shoes_jewelry</x:v>
      </x:c>
      <x:c r="G92" s="16" t="str"/>
      <x:c r="H92" s="16" t="str">
        <x:v>sandal</x:v>
      </x:c>
      <x:c r="I92" s="16" t="str">
        <x:v>women</x:v>
      </x:c>
      <x:c r="J92" s="16" t="str"/>
      <x:c r="K92" s="16" t="str">
        <x:v>arch_support | supportive</x:v>
      </x:c>
      <x:c r="L92" s="16" t="str"/>
      <x:c r="M92" s="16" t="str"/>
      <x:c r="N92" s="16" t="str"/>
      <x:c r="O92" s="16" t="str"/>
      <x:c r="P92" s="16" t="str"/>
      <x:c r="Q92" s="16" t="str"/>
      <x:c r="R92" s="16" t="str">
        <x:v>用户是一位女性，需要一双具有足弓支撑功能且整体支撑性好的凉鞋。</x:v>
      </x:c>
      <x:c r="S92" s="13" t="str">
        <x:v>high_intent</x:v>
      </x:c>
      <x:c r="T92" s="16" t="str">
        <x:v>explicit | page_validated | inferred</x:v>
      </x:c>
      <x:c r="U92" s="13" t="str">
        <x:v>high</x:v>
      </x:c>
      <x:c r="V92" s="16" t="str">
        <x:v>supportive_arch_sandals_women</x:v>
      </x:c>
      <x:c r="W92" s="16" t="str">
        <x:v>cluster_route</x:v>
      </x:c>
      <x:c r="X92" s="16" t="str">
        <x:v>{"primary_domain":[{"value":"clothing_shoes_jewelry","evidence_type":"inferred","source_span":"supportive women's sandals arch support","fact_ids":[],"rationale":"Sandals are footwear, classified under clothing_shoes_jewelry."}],"product_type":[{"value":"sandal","evidence_type":"explicit","source_span":"sandals","fact_ids":[],"rationale":"Term explicitly requests sandals."}],"audience_intent":[{"value":"women","evidence_type":"explicit","source_span":"women's","fact_ids":[],"rationale":"Term explicitly targets women."},{"value":"women","evidence_type":"page_validated","source_span":"","fact_ids":["title_womens_flip_flop"],"rationale":"该槽位与商品基准中的明示页面事实一致。"}],"capability_intent":[{"value":"arch_support","evidence_type":"explicit","source_span":"arch support","fact_ids":[],"rationale":"Term explicitly requests arch support."},{"value":"supportive","evidence_type":"explicit","source_span":"supportive","fact_ids":[],"rationale":"Term explicitly requests a supportive product."},{"value":"arch_support","evidence_type":"page_validated","source_span":"","fact_ids":["arch_support"],"rationale":"该槽位与商品基准中的明示页面事实一致。"}]}</x:v>
      </x:c>
      <x:c r="Y92" s="16" t="str"/>
      <x:c r="Z92" s="13" t="str">
        <x:v>match</x:v>
      </x:c>
      <x:c r="AA92" s="16" t="str">
        <x:v>title_womens_flip_flop | arch_support | padded_cushioning | style_flip_flop</x:v>
      </x:c>
      <x:c r="AB92" s="13" t="str">
        <x:v>accepted</x:v>
      </x:c>
      <x:c r="AC92" s="13" t="str">
        <x:v>1.0.0</x:v>
      </x:c>
      <x:c r="AD92" s="13" t="str">
        <x:v>1.1.0</x:v>
      </x:c>
      <x:c r="AE92" s="13" t="str">
        <x:v>deepseek/deepseek-v4-pro</x:v>
      </x:c>
      <x:c r="AF92" s="13" t="str">
        <x:v>aj2-y90-20260714T234810-0bea2f52</x:v>
      </x:c>
      <x:c r="AG92" s="13" t="str">
        <x:v>full-0005</x:v>
      </x:c>
      <x:c r="AH92" s="13" t="str">
        <x:v>full</x:v>
      </x:c>
      <x:c r="AI92" s="13" t="n">
        <x:v>5</x:v>
      </x:c>
    </x:row>
    <x:row r="93" ht="34" customHeight="1">
      <x:c r="A93" s="15" t="str">
        <x:v>womens flip flop with arch</x:v>
      </x:c>
      <x:c r="B93" s="15" t="str">
        <x:v>womens flip flop with arch</x:v>
      </x:c>
      <x:c r="C93" s="10" t="str">
        <x:v>bfd98ae8ec28b839</x:v>
      </x:c>
      <x:c r="D93" s="10" t="str">
        <x:v>keyword</x:v>
      </x:c>
      <x:c r="E93" s="10" t="str">
        <x:v>en</x:v>
      </x:c>
      <x:c r="F93" s="10" t="str">
        <x:v>clothing_shoes_jewelry</x:v>
      </x:c>
      <x:c r="G93" s="15" t="str"/>
      <x:c r="H93" s="15" t="str">
        <x:v>flip_flop</x:v>
      </x:c>
      <x:c r="I93" s="15" t="str">
        <x:v>women</x:v>
      </x:c>
      <x:c r="J93" s="15" t="str"/>
      <x:c r="K93" s="15" t="str">
        <x:v>arch_support</x:v>
      </x:c>
      <x:c r="L93" s="15" t="str"/>
      <x:c r="M93" s="15" t="str"/>
      <x:c r="N93" s="15" t="str"/>
      <x:c r="O93" s="15" t="str"/>
      <x:c r="P93" s="15" t="str"/>
      <x:c r="Q93" s="15" t="str"/>
      <x:c r="R93" s="15" t="str">
        <x:v>用户是一位女性，想找一双带有足弓支撑的人字拖。</x:v>
      </x:c>
      <x:c r="S93" s="10" t="str">
        <x:v>consideration</x:v>
      </x:c>
      <x:c r="T93" s="15" t="str">
        <x:v>explicit | page_validated | inferred</x:v>
      </x:c>
      <x:c r="U93" s="10" t="str">
        <x:v>high</x:v>
      </x:c>
      <x:c r="V93" s="15" t="str">
        <x:v>womens_arch_flip_flop</x:v>
      </x:c>
      <x:c r="W93" s="15" t="str">
        <x:v>cluster_route</x:v>
      </x:c>
      <x:c r="X93" s="15" t="str">
        <x:v>{"primary_domain":[{"value":"clothing_shoes_jewelry","evidence_type":"inferred","source_span":"womens flip flop with arch","fact_ids":[],"rationale":"Flip flops are footwear, classified under clothing_shoes_jewelry."}],"product_type":[{"value":"flip_flop","evidence_type":"explicit","source_span":"flip flop","fact_ids":[],"rationale":"Term explicitly requests a flip flop."},{"value":"flip_flop","evidence_type":"page_validated","source_span":"","fact_ids":["style_flip_flop"],"rationale":"该槽位与商品基准中的明示页面事实一致。"}],"audience_intent":[{"value":"women","evidence_type":"explicit","source_span":"womens","fact_ids":[],"rationale":"Term explicitly targets women."},{"value":"women","evidence_type":"page_validated","source_span":"","fact_ids":["title_womens_flip_flop"],"rationale":"该槽位与商品基准中的明示页面事实一致。"}],"capability_intent":[{"value":"arch_support","evidence_type":"explicit","source_span":"arch","fact_ids":[],"rationale":"Term explicitly requests arch support via shorthand 'arch'."},{"value":"arch_support","evidence_type":"page_validated","source_span":"","fact_ids":["arch_support"],"rationale":"该槽位与商品基准中的明示页面事实一致。"},{"value":"arch_support","evidence_type":"inferred","source_span":"","fact_ids":[],"rationale":"该能力由搜索词表达的任务或问题推断；页面事实仅用于验证商品承接。"}]}</x:v>
      </x:c>
      <x:c r="Y93" s="15" t="str"/>
      <x:c r="Z93" s="10" t="str">
        <x:v>match</x:v>
      </x:c>
      <x:c r="AA93" s="15" t="str">
        <x:v>title_womens_flip_flop | arch_support | style_flip_flop</x:v>
      </x:c>
      <x:c r="AB93" s="10" t="str">
        <x:v>accepted</x:v>
      </x:c>
      <x:c r="AC93" s="10" t="str">
        <x:v>1.0.0</x:v>
      </x:c>
      <x:c r="AD93" s="10" t="str">
        <x:v>1.1.0</x:v>
      </x:c>
      <x:c r="AE93" s="10" t="str">
        <x:v>deepseek/deepseek-v4-pro</x:v>
      </x:c>
      <x:c r="AF93" s="10" t="str">
        <x:v>aj2-y90-20260714T234810-0bea2f52</x:v>
      </x:c>
      <x:c r="AG93" s="10" t="str">
        <x:v>full-0005</x:v>
      </x:c>
      <x:c r="AH93" s="10" t="str">
        <x:v>full</x:v>
      </x:c>
      <x:c r="AI93" s="10" t="n">
        <x:v>5</x:v>
      </x:c>
    </x:row>
    <x:row r="94" ht="34" customHeight="1">
      <x:c r="A94" s="16" t="str">
        <x:v>womens navy blue sandals</x:v>
      </x:c>
      <x:c r="B94" s="16" t="str">
        <x:v>womens navy blue sandals</x:v>
      </x:c>
      <x:c r="C94" s="13" t="str">
        <x:v>c6cb46909d513b5f</x:v>
      </x:c>
      <x:c r="D94" s="13" t="str">
        <x:v>keyword</x:v>
      </x:c>
      <x:c r="E94" s="13" t="str">
        <x:v>en</x:v>
      </x:c>
      <x:c r="F94" s="13" t="str">
        <x:v>clothing_shoes_jewelry</x:v>
      </x:c>
      <x:c r="G94" s="16" t="str"/>
      <x:c r="H94" s="16" t="str">
        <x:v>sandal</x:v>
      </x:c>
      <x:c r="I94" s="16" t="str">
        <x:v>women</x:v>
      </x:c>
      <x:c r="J94" s="16" t="str"/>
      <x:c r="K94" s="16" t="str"/>
      <x:c r="L94" s="16" t="str"/>
      <x:c r="M94" s="16" t="str"/>
      <x:c r="N94" s="16" t="str"/>
      <x:c r="O94" s="16" t="str"/>
      <x:c r="P94" s="16" t="str"/>
      <x:c r="Q94" s="16" t="str"/>
      <x:c r="R94" s="16" t="str">
        <x:v>用户是一位女性，想找一双深蓝色（海军蓝）凉鞋。</x:v>
      </x:c>
      <x:c r="S94" s="13" t="str">
        <x:v>consideration</x:v>
      </x:c>
      <x:c r="T94" s="16" t="str">
        <x:v>explicit | page_validated | inferred</x:v>
      </x:c>
      <x:c r="U94" s="13" t="str">
        <x:v>medium</x:v>
      </x:c>
      <x:c r="V94" s="16" t="str">
        <x:v>womens_navy_blue_sandals</x:v>
      </x:c>
      <x:c r="W94" s="16" t="str">
        <x:v>listing_gap_review</x:v>
      </x:c>
      <x:c r="X94" s="16" t="str">
        <x:v>{"primary_domain":[{"value":"clothing_shoes_jewelry","evidence_type":"inferred","source_span":"womens navy blue sandals","fact_ids":[],"rationale":"Sandals are footwear, classified under clothing_shoes_jewelry."}],"product_type":[{"value":"sandal","evidence_type":"explicit","source_span":"sandals","fact_ids":[],"rationale":"Term explicitly requests sandals."}],"audience_intent":[{"value":"women","evidence_type":"explicit","source_span":"womens","fact_ids":[],"rationale":"Term explicitly targets women."},{"value":"women","evidence_type":"page_validated","source_span":"","fact_ids":["title_womens_flip_flop"],"rationale":"该槽位与商品基准中的明示页面事实一致。"}]}</x:v>
      </x:c>
      <x:c r="Y94" s="16" t="str">
        <x:v>color_not_listed</x:v>
      </x:c>
      <x:c r="Z94" s="13" t="str">
        <x:v>partial_match</x:v>
      </x:c>
      <x:c r="AA94" s="16" t="str">
        <x:v>title_womens_flip_flop | style_flip_flop | colors_visible</x:v>
      </x:c>
      <x:c r="AB94" s="13" t="str">
        <x:v>accepted</x:v>
      </x:c>
      <x:c r="AC94" s="13" t="str">
        <x:v>1.0.0</x:v>
      </x:c>
      <x:c r="AD94" s="13" t="str">
        <x:v>1.1.0</x:v>
      </x:c>
      <x:c r="AE94" s="13" t="str">
        <x:v>deepseek/deepseek-v4-pro</x:v>
      </x:c>
      <x:c r="AF94" s="13" t="str">
        <x:v>aj2-y90-20260714T234810-0bea2f52</x:v>
      </x:c>
      <x:c r="AG94" s="13" t="str">
        <x:v>full-0005</x:v>
      </x:c>
      <x:c r="AH94" s="13" t="str">
        <x:v>full</x:v>
      </x:c>
      <x:c r="AI94" s="13" t="n">
        <x:v>5</x:v>
      </x:c>
    </x:row>
    <x:row r="95" ht="34" customHeight="1">
      <x:c r="A95" s="15" t="str">
        <x:v>allure step flip flops</x:v>
      </x:c>
      <x:c r="B95" s="15" t="str">
        <x:v>allure step flip flops</x:v>
      </x:c>
      <x:c r="C95" s="10" t="str">
        <x:v>cd95a2c322de901e</x:v>
      </x:c>
      <x:c r="D95" s="10" t="str">
        <x:v>keyword</x:v>
      </x:c>
      <x:c r="E95" s="10" t="str">
        <x:v>en</x:v>
      </x:c>
      <x:c r="F95" s="10" t="str">
        <x:v>clothing_shoes_jewelry</x:v>
      </x:c>
      <x:c r="G95" s="15" t="str"/>
      <x:c r="H95" s="15" t="str">
        <x:v>flip_flop</x:v>
      </x:c>
      <x:c r="I95" s="15" t="str"/>
      <x:c r="J95" s="15" t="str"/>
      <x:c r="K95" s="15" t="str"/>
      <x:c r="L95" s="15" t="str"/>
      <x:c r="M95" s="15" t="str"/>
      <x:c r="N95" s="15" t="str"/>
      <x:c r="O95" s="15" t="str"/>
      <x:c r="P95" s="15" t="str"/>
      <x:c r="Q95" s="15" t="str"/>
      <x:c r="R95" s="15" t="str">
        <x:v>用户想找 Allure Step 品牌的人字拖。</x:v>
      </x:c>
      <x:c r="S95" s="10" t="str">
        <x:v>brand_harvest</x:v>
      </x:c>
      <x:c r="T95" s="15" t="str">
        <x:v>explicit | page_validated | inferred</x:v>
      </x:c>
      <x:c r="U95" s="10" t="str">
        <x:v>medium</x:v>
      </x:c>
      <x:c r="V95" s="15" t="str">
        <x:v>allure_step_brand_flip_flops</x:v>
      </x:c>
      <x:c r="W95" s="15" t="str">
        <x:v>semantic_negative_candidate</x:v>
      </x:c>
      <x:c r="X95" s="15" t="str">
        <x:v>{"primary_domain":[{"value":"clothing_shoes_jewelry","evidence_type":"inferred","source_span":"allure step flip flops","fact_ids":[],"rationale":"Flip flops are footwear, classified under clothing_shoes_jewelry."}],"product_type":[{"value":"flip_flop","evidence_type":"explicit","source_span":"flip flops","fact_ids":[],"rationale":"Term explicitly requests flip flops."},{"value":"flip_flop","evidence_type":"page_validated","source_span":"","fact_ids":["style_flip_flop"],"rationale":"该槽位与商品基准中的明示页面事实一致。"}]}</x:v>
      </x:c>
      <x:c r="Y95" s="15" t="str">
        <x:v>brand_mismatch</x:v>
      </x:c>
      <x:c r="Z95" s="10" t="str">
        <x:v>mismatch</x:v>
      </x:c>
      <x:c r="AA95" s="15" t="str">
        <x:v>style_flip_flop</x:v>
      </x:c>
      <x:c r="AB95" s="10" t="str">
        <x:v>accepted</x:v>
      </x:c>
      <x:c r="AC95" s="10" t="str">
        <x:v>1.0.0</x:v>
      </x:c>
      <x:c r="AD95" s="10" t="str">
        <x:v>1.1.0</x:v>
      </x:c>
      <x:c r="AE95" s="10" t="str">
        <x:v>deepseek/deepseek-v4-pro</x:v>
      </x:c>
      <x:c r="AF95" s="10" t="str">
        <x:v>aj2-y90-20260714T234810-0bea2f52</x:v>
      </x:c>
      <x:c r="AG95" s="10" t="str">
        <x:v>full-0005</x:v>
      </x:c>
      <x:c r="AH95" s="10" t="str">
        <x:v>full</x:v>
      </x:c>
      <x:c r="AI95" s="10" t="n">
        <x:v>5</x:v>
      </x:c>
    </x:row>
    <x:row r="96" ht="34" customHeight="1">
      <x:c r="A96" s="16" t="str">
        <x:v>water friendly flip flops</x:v>
      </x:c>
      <x:c r="B96" s="16" t="str">
        <x:v>water friendly flip flops</x:v>
      </x:c>
      <x:c r="C96" s="13" t="str">
        <x:v>da4e47a2cbdb8ca1</x:v>
      </x:c>
      <x:c r="D96" s="13" t="str">
        <x:v>keyword</x:v>
      </x:c>
      <x:c r="E96" s="13" t="str">
        <x:v>en</x:v>
      </x:c>
      <x:c r="F96" s="13" t="str">
        <x:v>clothing_shoes_jewelry</x:v>
      </x:c>
      <x:c r="G96" s="16" t="str"/>
      <x:c r="H96" s="16" t="str">
        <x:v>flip_flop</x:v>
      </x:c>
      <x:c r="I96" s="16" t="str"/>
      <x:c r="J96" s="16" t="str"/>
      <x:c r="K96" s="16" t="str">
        <x:v>water_friendly</x:v>
      </x:c>
      <x:c r="L96" s="16" t="str"/>
      <x:c r="M96" s="16" t="str"/>
      <x:c r="N96" s="16" t="str"/>
      <x:c r="O96" s="16" t="str"/>
      <x:c r="P96" s="16" t="str"/>
      <x:c r="Q96" s="16" t="str"/>
      <x:c r="R96" s="16" t="str">
        <x:v>用户想找一双适合接触水环境的人字拖，但该产品页面未声称防水或快干功能。</x:v>
      </x:c>
      <x:c r="S96" s="13" t="str">
        <x:v>consideration</x:v>
      </x:c>
      <x:c r="T96" s="16" t="str">
        <x:v>explicit | inferred</x:v>
      </x:c>
      <x:c r="U96" s="13" t="str">
        <x:v>medium</x:v>
      </x:c>
      <x:c r="V96" s="16" t="str">
        <x:v>water_friendly_flip_flops</x:v>
      </x:c>
      <x:c r="W96" s="16" t="str">
        <x:v>semantic_negative_candidate</x:v>
      </x:c>
      <x:c r="X96" s="16" t="str">
        <x:v>{"primary_domain":[{"value":"clothing_shoes_jewelry","evidence_type":"inferred","source_span":"water friendly flip flops","fact_ids":[],"rationale":"Flip flops are footwear, classified under clothing_shoes_jewelry."}],"product_type":[{"value":"flip_flop","evidence_type":"explicit","source_span":"flip flops","fact_ids":[],"rationale":"Term explicitly requests flip flops."},{"value":"flip_flop","evidence_type":"page_validated","source_span":"","fact_ids":["style_flip_flop"],"rationale":"该槽位与商品基准中的明示页面事实一致。"}],"capability_intent":[{"value":"water_friendly","evidence_type":"explicit","source_span":"water friendly","fact_ids":[],"rationale":"Term explicitly requests water-friendly capability."}]}</x:v>
      </x:c>
      <x:c r="Y96" s="16" t="str">
        <x:v>waterproof_not_page_validated</x:v>
      </x:c>
      <x:c r="Z96" s="13" t="str">
        <x:v>mismatch</x:v>
      </x:c>
      <x:c r="AA96" s="16" t="str">
        <x:v>material_eva | style_flip_flop</x:v>
      </x:c>
      <x:c r="AB96" s="13" t="str">
        <x:v>accepted</x:v>
      </x:c>
      <x:c r="AC96" s="13" t="str">
        <x:v>1.0.0</x:v>
      </x:c>
      <x:c r="AD96" s="13" t="str">
        <x:v>1.1.0</x:v>
      </x:c>
      <x:c r="AE96" s="13" t="str">
        <x:v>deepseek/deepseek-v4-pro</x:v>
      </x:c>
      <x:c r="AF96" s="13" t="str">
        <x:v>aj2-y90-20260714T234810-0bea2f52</x:v>
      </x:c>
      <x:c r="AG96" s="13" t="str">
        <x:v>full-0005</x:v>
      </x:c>
      <x:c r="AH96" s="13" t="str">
        <x:v>full</x:v>
      </x:c>
      <x:c r="AI96" s="13" t="n">
        <x:v>5</x:v>
      </x:c>
    </x:row>
    <x:row r="97" ht="34" customHeight="1">
      <x:c r="A97" s="15" t="str">
        <x:v>flat rubber flip-flops women beach</x:v>
      </x:c>
      <x:c r="B97" s="15" t="str">
        <x:v>flat rubber flip-flops women beach</x:v>
      </x:c>
      <x:c r="C97" s="10" t="str">
        <x:v>df3bf03e984059bd</x:v>
      </x:c>
      <x:c r="D97" s="10" t="str">
        <x:v>keyword</x:v>
      </x:c>
      <x:c r="E97" s="10" t="str">
        <x:v>en</x:v>
      </x:c>
      <x:c r="F97" s="10" t="str">
        <x:v>clothing_shoes_jewelry</x:v>
      </x:c>
      <x:c r="G97" s="15" t="str">
        <x:v>sports_outdoors</x:v>
      </x:c>
      <x:c r="H97" s="15" t="str">
        <x:v>flip_flop</x:v>
      </x:c>
      <x:c r="I97" s="15" t="str">
        <x:v>women</x:v>
      </x:c>
      <x:c r="J97" s="15" t="str"/>
      <x:c r="K97" s="15" t="str"/>
      <x:c r="L97" s="15" t="str">
        <x:v>beach_outing</x:v>
      </x:c>
      <x:c r="M97" s="15" t="str">
        <x:v>beach</x:v>
      </x:c>
      <x:c r="N97" s="15" t="str"/>
      <x:c r="O97" s="15" t="str"/>
      <x:c r="P97" s="15" t="str"/>
      <x:c r="Q97" s="15" t="str"/>
      <x:c r="R97" s="15" t="str">
        <x:v>用户是一位女性，想找一双平底橡胶材质、适合沙滩穿着的人字拖。</x:v>
      </x:c>
      <x:c r="S97" s="10" t="str">
        <x:v>consideration</x:v>
      </x:c>
      <x:c r="T97" s="15" t="str">
        <x:v>explicit | page_validated | inferred</x:v>
      </x:c>
      <x:c r="U97" s="10" t="str">
        <x:v>medium</x:v>
      </x:c>
      <x:c r="V97" s="15" t="str">
        <x:v>rubber_beach_flip_flops_women</x:v>
      </x:c>
      <x:c r="W97" s="15" t="str">
        <x:v>listing_gap_review</x:v>
      </x:c>
      <x:c r="X97" s="15" t="str">
        <x:v>{"primary_domain":[{"value":"clothing_shoes_jewelry","evidence_type":"inferred","source_span":"flat rubber flip-flops women beach","fact_ids":[],"rationale":"Flip-flops are footwear, classified under clothing_shoes_jewelry."}],"secondary_domain":[{"value":"sports_outdoors","evidence_type":"inferred","source_span":"beach","fact_ids":[],"rationale":"Beach use relates to outdoor activities."}],"product_type":[{"value":"flip_flop","evidence_type":"explicit","source_span":"flip-flops","fact_ids":[],"rationale":"Term explicitly requests flip-flops."},{"value":"flip_flop","evidence_type":"page_validated","source_span":"","fact_ids":["style_flip_flop"],"rationale":"该槽位与商品基准中的明示页面事实一致。"}],"audience_intent":[{"value":"women","evidence_type":"explicit","source_span":"women","fact_ids":[],"rationale":"Term explicitly targets women."},{"value":"women","evidence_type":"page_validated","source_span":"","fact_ids":["title_womens_flip_flop"],"rationale":"该槽位与商品基准中的明示页面事实一致。"}],"location_intent":[{"value":"beach","evidence_type":"explicit","source_span":"beach","fact_ids":[],"rationale":"Term explicitly mentions beach as location."}],"event_intent":[{"value":"beach_outing","evidence_type":"inferred","source_span":"beach","fact_ids":[],"rationale":"Beach location implies a beach outing event."}]}</x:v>
      </x:c>
      <x:c r="Y97" s="15" t="str">
        <x:v>material_mismatch | beach_use_not_page_validated</x:v>
      </x:c>
      <x:c r="Z97" s="10" t="str">
        <x:v>partial_match</x:v>
      </x:c>
      <x:c r="AA97" s="15" t="str">
        <x:v>title_womens_flip_flop | style_flip_flop | style_flat | material_eva</x:v>
      </x:c>
      <x:c r="AB97" s="10" t="str">
        <x:v>accepted</x:v>
      </x:c>
      <x:c r="AC97" s="10" t="str">
        <x:v>1.0.0</x:v>
      </x:c>
      <x:c r="AD97" s="10" t="str">
        <x:v>1.1.0</x:v>
      </x:c>
      <x:c r="AE97" s="10" t="str">
        <x:v>deepseek/deepseek-v4-pro</x:v>
      </x:c>
      <x:c r="AF97" s="10" t="str">
        <x:v>aj2-y90-20260714T234810-0bea2f52</x:v>
      </x:c>
      <x:c r="AG97" s="10" t="str">
        <x:v>full-0005</x:v>
      </x:c>
      <x:c r="AH97" s="10" t="str">
        <x:v>full</x:v>
      </x:c>
      <x:c r="AI97" s="10" t="n">
        <x:v>5</x:v>
      </x:c>
    </x:row>
    <x:row r="98" ht="34" customHeight="1">
      <x:c r="A98" s="16" t="str">
        <x:v>flip flops for women under 10 dollars</x:v>
      </x:c>
      <x:c r="B98" s="16" t="str">
        <x:v>flip flops for women under 10 dollars</x:v>
      </x:c>
      <x:c r="C98" s="13" t="str">
        <x:v>e4176aaeef32ff30</x:v>
      </x:c>
      <x:c r="D98" s="13" t="str">
        <x:v>keyword</x:v>
      </x:c>
      <x:c r="E98" s="13" t="str">
        <x:v>en</x:v>
      </x:c>
      <x:c r="F98" s="13" t="str">
        <x:v>clothing_shoes_jewelry</x:v>
      </x:c>
      <x:c r="G98" s="16" t="str"/>
      <x:c r="H98" s="16" t="str">
        <x:v>flip_flop</x:v>
      </x:c>
      <x:c r="I98" s="16" t="str">
        <x:v>women</x:v>
      </x:c>
      <x:c r="J98" s="16" t="str"/>
      <x:c r="K98" s="16" t="str"/>
      <x:c r="L98" s="16" t="str"/>
      <x:c r="M98" s="16" t="str"/>
      <x:c r="N98" s="16" t="str"/>
      <x:c r="O98" s="16" t="str"/>
      <x:c r="P98" s="16" t="str"/>
      <x:c r="Q98" s="16" t="str"/>
      <x:c r="R98" s="16" t="str">
        <x:v>用户是一位女性，想购买价格在10美元以下的平价人字拖。</x:v>
      </x:c>
      <x:c r="S98" s="13" t="str">
        <x:v>high_intent</x:v>
      </x:c>
      <x:c r="T98" s="16" t="str">
        <x:v>explicit | page_validated | inferred</x:v>
      </x:c>
      <x:c r="U98" s="13" t="str">
        <x:v>medium</x:v>
      </x:c>
      <x:c r="V98" s="16" t="str">
        <x:v>budget_womens_flip_flops</x:v>
      </x:c>
      <x:c r="W98" s="16" t="str">
        <x:v>listing_gap_review</x:v>
      </x:c>
      <x:c r="X98" s="16" t="str">
        <x:v>{"primary_domain":[{"value":"clothing_shoes_jewelry","evidence_type":"inferred","source_span":"flip flops for women under 10 dollars","fact_ids":[],"rationale":"Flip flops are footwear, classified under clothing_shoes_jewelry."}],"product_type":[{"value":"flip_flop","evidence_type":"explicit","source_span":"flip flops","fact_ids":[],"rationale":"Term explicitly requests flip flops."},{"value":"flip_flop","evidence_type":"page_validated","source_span":"","fact_ids":["style_flip_flop"],"rationale":"该槽位与商品基准中的明示页面事实一致。"}],"audience_intent":[{"value":"women","evidence_type":"explicit","source_span":"women","fact_ids":[],"rationale":"Term explicitly targets women."},{"value":"women","evidence_type":"page_validated","source_span":"","fact_ids":["title_womens_flip_flop"],"rationale":"该槽位与商品基准中的明示页面事实一致。"}]}</x:v>
      </x:c>
      <x:c r="Y98" s="16" t="str">
        <x:v>price_not_page_validated</x:v>
      </x:c>
      <x:c r="Z98" s="13" t="str">
        <x:v>partial_match</x:v>
      </x:c>
      <x:c r="AA98" s="16" t="str">
        <x:v>title_womens_flip_flop | style_flip_flop</x:v>
      </x:c>
      <x:c r="AB98" s="13" t="str">
        <x:v>accepted</x:v>
      </x:c>
      <x:c r="AC98" s="13" t="str">
        <x:v>1.0.0</x:v>
      </x:c>
      <x:c r="AD98" s="13" t="str">
        <x:v>1.1.0</x:v>
      </x:c>
      <x:c r="AE98" s="13" t="str">
        <x:v>deepseek/deepseek-v4-pro</x:v>
      </x:c>
      <x:c r="AF98" s="13" t="str">
        <x:v>aj2-y90-20260714T234810-0bea2f52</x:v>
      </x:c>
      <x:c r="AG98" s="13" t="str">
        <x:v>full-0005</x:v>
      </x:c>
      <x:c r="AH98" s="13" t="str">
        <x:v>full</x:v>
      </x:c>
      <x:c r="AI98" s="13" t="n">
        <x:v>5</x:v>
      </x:c>
    </x:row>
    <x:row r="99" ht="34" customHeight="1">
      <x:c r="A99" s="15" t="str">
        <x:v>flip flips with arch support</x:v>
      </x:c>
      <x:c r="B99" s="15" t="str">
        <x:v>flip flips with arch support</x:v>
      </x:c>
      <x:c r="C99" s="10" t="str">
        <x:v>ed003c3bac3ea121</x:v>
      </x:c>
      <x:c r="D99" s="10" t="str">
        <x:v>keyword</x:v>
      </x:c>
      <x:c r="E99" s="10" t="str">
        <x:v>en</x:v>
      </x:c>
      <x:c r="F99" s="10" t="str">
        <x:v>clothing_shoes_jewelry</x:v>
      </x:c>
      <x:c r="G99" s="15" t="str"/>
      <x:c r="H99" s="15" t="str">
        <x:v>flip_flop</x:v>
      </x:c>
      <x:c r="I99" s="15" t="str"/>
      <x:c r="J99" s="15" t="str"/>
      <x:c r="K99" s="15" t="str">
        <x:v>arch_support</x:v>
      </x:c>
      <x:c r="L99" s="15" t="str"/>
      <x:c r="M99" s="15" t="str"/>
      <x:c r="N99" s="15" t="str"/>
      <x:c r="O99" s="15" t="str"/>
      <x:c r="P99" s="15" t="str"/>
      <x:c r="Q99" s="15" t="str"/>
      <x:c r="R99" s="15" t="str">
        <x:v>用户想找一双具有足弓支撑功能的人字拖（搜索词有拼写错误）。</x:v>
      </x:c>
      <x:c r="S99" s="10" t="str">
        <x:v>consideration</x:v>
      </x:c>
      <x:c r="T99" s="15" t="str">
        <x:v>explicit | page_validated | inferred</x:v>
      </x:c>
      <x:c r="U99" s="10" t="str">
        <x:v>high</x:v>
      </x:c>
      <x:c r="V99" s="15" t="str">
        <x:v>arch_support_flip_flops</x:v>
      </x:c>
      <x:c r="W99" s="15" t="str">
        <x:v>cluster_route</x:v>
      </x:c>
      <x:c r="X99" s="15" t="str">
        <x:v>{"primary_domain":[{"value":"clothing_shoes_jewelry","evidence_type":"inferred","source_span":"flip flips with arch support","fact_ids":[],"rationale":"Flip flops are footwear, classified under clothing_shoes_jewelry."}],"product_type":[{"value":"flip_flop","evidence_type":"explicit","source_span":"flip flips","fact_ids":[],"rationale":"Term requests flip flips, a common typo for flip flops."},{"value":"flip_flop","evidence_type":"page_validated","source_span":"","fact_ids":["style_flip_flop"],"rationale":"该槽位与商品基准中的明示页面事实一致。"},{"value":"flip_flop","evidence_type":"inferred","source_span":"","fact_ids":[],"rationale":"该能力由搜索词表达的任务或问题推断；页面事实仅用于验证商品承接。"}],"capability_intent":[{"value":"arch_support","evidence_type":"explicit","source_span":"arch support","fact_ids":[],"rationale":"Term explicitly requests arch support."},{"value":"arch_support","evidence_type":"page_validated","source_span":"","fact_ids":["arch_support"],"rationale":"该槽位与商品基准中的明示页面事实一致。"}]}</x:v>
      </x:c>
      <x:c r="Y99" s="15" t="str">
        <x:v>typo</x:v>
      </x:c>
      <x:c r="Z99" s="10" t="str">
        <x:v>match</x:v>
      </x:c>
      <x:c r="AA99" s="15" t="str">
        <x:v>title_womens_flip_flop | arch_support | style_flip_flop</x:v>
      </x:c>
      <x:c r="AB99" s="10" t="str">
        <x:v>accepted</x:v>
      </x:c>
      <x:c r="AC99" s="10" t="str">
        <x:v>1.0.0</x:v>
      </x:c>
      <x:c r="AD99" s="10" t="str">
        <x:v>1.1.0</x:v>
      </x:c>
      <x:c r="AE99" s="10" t="str">
        <x:v>deepseek/deepseek-v4-pro</x:v>
      </x:c>
      <x:c r="AF99" s="10" t="str">
        <x:v>aj2-y90-20260714T234810-0bea2f52</x:v>
      </x:c>
      <x:c r="AG99" s="10" t="str">
        <x:v>full-0005</x:v>
      </x:c>
      <x:c r="AH99" s="10" t="str">
        <x:v>full</x:v>
      </x:c>
      <x:c r="AI99" s="10" t="n">
        <x:v>5</x:v>
      </x:c>
    </x:row>
    <x:row r="100" ht="34" customHeight="1">
      <x:c r="A100" s="16" t="str">
        <x:v>padded flip flops for women</x:v>
      </x:c>
      <x:c r="B100" s="16" t="str">
        <x:v>padded flip flops for women</x:v>
      </x:c>
      <x:c r="C100" s="13" t="str">
        <x:v>f2d9907f9f368e7a</x:v>
      </x:c>
      <x:c r="D100" s="13" t="str">
        <x:v>keyword</x:v>
      </x:c>
      <x:c r="E100" s="13" t="str">
        <x:v>en</x:v>
      </x:c>
      <x:c r="F100" s="13" t="str">
        <x:v>clothing_shoes_jewelry</x:v>
      </x:c>
      <x:c r="G100" s="16" t="str"/>
      <x:c r="H100" s="16" t="str">
        <x:v>flip_flop</x:v>
      </x:c>
      <x:c r="I100" s="16" t="str">
        <x:v>women</x:v>
      </x:c>
      <x:c r="J100" s="16" t="str"/>
      <x:c r="K100" s="16" t="str">
        <x:v>padded_cushioning</x:v>
      </x:c>
      <x:c r="L100" s="16" t="str"/>
      <x:c r="M100" s="16" t="str"/>
      <x:c r="N100" s="16" t="str"/>
      <x:c r="O100" s="16" t="str"/>
      <x:c r="P100" s="16" t="str"/>
      <x:c r="Q100" s="16" t="str"/>
      <x:c r="R100" s="16" t="str">
        <x:v>用户是一位女性，想找一双带有软垫缓冲的人字拖。</x:v>
      </x:c>
      <x:c r="S100" s="13" t="str">
        <x:v>consideration</x:v>
      </x:c>
      <x:c r="T100" s="16" t="str">
        <x:v>explicit | page_validated | inferred</x:v>
      </x:c>
      <x:c r="U100" s="13" t="str">
        <x:v>high</x:v>
      </x:c>
      <x:c r="V100" s="16" t="str">
        <x:v>padded_flip_flops_women</x:v>
      </x:c>
      <x:c r="W100" s="16" t="str">
        <x:v>cluster_route</x:v>
      </x:c>
      <x:c r="X100" s="16" t="str">
        <x:v>{"primary_domain":[{"value":"clothing_shoes_jewelry","evidence_type":"inferred","source_span":"padded flip flops for women","fact_ids":[],"rationale":"Flip flops are footwear, classified under clothing_shoes_jewelry."}],"product_type":[{"value":"flip_flop","evidence_type":"explicit","source_span":"flip flops","fact_ids":[],"rationale":"Term explicitly requests flip flops."},{"value":"flip_flop","evidence_type":"page_validated","source_span":"","fact_ids":["style_flip_flop"],"rationale":"该槽位与商品基准中的明示页面事实一致。"}],"audience_intent":[{"value":"women","evidence_type":"explicit","source_span":"women","fact_ids":[],"rationale":"Term explicitly targets women."},{"value":"women","evidence_type":"page_validated","source_span":"","fact_ids":["title_womens_flip_flop"],"rationale":"该槽位与商品基准中的明示页面事实一致。"}],"capability_intent":[{"value":"padded_cushioning","evidence_type":"explicit","source_span":"padded","fact_ids":[],"rationale":"Term explicitly requests padded/cushioned product."}]}</x:v>
      </x:c>
      <x:c r="Y100" s="16" t="str"/>
      <x:c r="Z100" s="13" t="str">
        <x:v>match</x:v>
      </x:c>
      <x:c r="AA100" s="16" t="str">
        <x:v>title_womens_flip_flop | style_flip_flop | padded_cushioning</x:v>
      </x:c>
      <x:c r="AB100" s="13" t="str">
        <x:v>accepted</x:v>
      </x:c>
      <x:c r="AC100" s="13" t="str">
        <x:v>1.0.0</x:v>
      </x:c>
      <x:c r="AD100" s="13" t="str">
        <x:v>1.1.0</x:v>
      </x:c>
      <x:c r="AE100" s="13" t="str">
        <x:v>deepseek/deepseek-v4-pro</x:v>
      </x:c>
      <x:c r="AF100" s="13" t="str">
        <x:v>aj2-y90-20260714T234810-0bea2f52</x:v>
      </x:c>
      <x:c r="AG100" s="13" t="str">
        <x:v>full-0005</x:v>
      </x:c>
      <x:c r="AH100" s="13" t="str">
        <x:v>full</x:v>
      </x:c>
      <x:c r="AI100" s="13" t="n">
        <x:v>5</x:v>
      </x:c>
    </x:row>
    <x:row r="101" ht="34" customHeight="1">
      <x:c r="A101" s="15" t="str">
        <x:v>womens taupe flip flops</x:v>
      </x:c>
      <x:c r="B101" s="15" t="str">
        <x:v>womens taupe flip flops</x:v>
      </x:c>
      <x:c r="C101" s="10" t="str">
        <x:v>f670a21135b9c73b</x:v>
      </x:c>
      <x:c r="D101" s="10" t="str">
        <x:v>keyword</x:v>
      </x:c>
      <x:c r="E101" s="10" t="str">
        <x:v>en</x:v>
      </x:c>
      <x:c r="F101" s="10" t="str">
        <x:v>clothing_shoes_jewelry</x:v>
      </x:c>
      <x:c r="G101" s="15" t="str"/>
      <x:c r="H101" s="15" t="str">
        <x:v>flip_flop</x:v>
      </x:c>
      <x:c r="I101" s="15" t="str">
        <x:v>women</x:v>
      </x:c>
      <x:c r="J101" s="15" t="str"/>
      <x:c r="K101" s="15" t="str"/>
      <x:c r="L101" s="15" t="str"/>
      <x:c r="M101" s="15" t="str"/>
      <x:c r="N101" s="15" t="str"/>
      <x:c r="O101" s="15" t="str"/>
      <x:c r="P101" s="15" t="str"/>
      <x:c r="Q101" s="15" t="str"/>
      <x:c r="R101" s="15" t="str">
        <x:v>用户是一位女性，想购买一双灰褐色（taupe）人字拖。</x:v>
      </x:c>
      <x:c r="S101" s="10" t="str">
        <x:v>consideration</x:v>
      </x:c>
      <x:c r="T101" s="15" t="str">
        <x:v>explicit | page_validated | inferred</x:v>
      </x:c>
      <x:c r="U101" s="10" t="str">
        <x:v>medium</x:v>
      </x:c>
      <x:c r="V101" s="15" t="str">
        <x:v>womens_flip_flops_color</x:v>
      </x:c>
      <x:c r="W101" s="15" t="str">
        <x:v>listing_gap_review</x:v>
      </x:c>
      <x:c r="X101" s="15" t="str">
        <x:v>{"primary_domain":[{"value":"clothing_shoes_jewelry","evidence_type":"inferred","source_span":"womens taupe flip flops","fact_ids":[],"rationale":"Flip flops are footwear, classified under clothing_shoes_jewelry."}],"product_type":[{"value":"flip_flop","evidence_type":"explicit","source_span":"flip flops","fact_ids":[],"rationale":"Term explicitly requests flip flops."},{"value":"flip_flop","evidence_type":"page_validated","source_span":"","fact_ids":["style_flip_flop"],"rationale":"该槽位与商品基准中的明示页面事实一致。"}],"audience_intent":[{"value":"women","evidence_type":"explicit","source_span":"womens","fact_ids":[],"rationale":"Term explicitly targets women."},{"value":"women","evidence_type":"page_validated","source_span":"","fact_ids":["title_womens_flip_flop"],"rationale":"该槽位与商品基准中的明示页面事实一致。"}]}</x:v>
      </x:c>
      <x:c r="Y101" s="15" t="str">
        <x:v>color_not_listed</x:v>
      </x:c>
      <x:c r="Z101" s="10" t="str">
        <x:v>partial_match</x:v>
      </x:c>
      <x:c r="AA101" s="15" t="str">
        <x:v>title_womens_flip_flop | style_flip_flop | colors_visible</x:v>
      </x:c>
      <x:c r="AB101" s="10" t="str">
        <x:v>accepted</x:v>
      </x:c>
      <x:c r="AC101" s="10" t="str">
        <x:v>1.0.0</x:v>
      </x:c>
      <x:c r="AD101" s="10" t="str">
        <x:v>1.1.0</x:v>
      </x:c>
      <x:c r="AE101" s="10" t="str">
        <x:v>deepseek/deepseek-v4-pro</x:v>
      </x:c>
      <x:c r="AF101" s="10" t="str">
        <x:v>aj2-y90-20260714T234810-0bea2f52</x:v>
      </x:c>
      <x:c r="AG101" s="10" t="str">
        <x:v>full-0005</x:v>
      </x:c>
      <x:c r="AH101" s="10" t="str">
        <x:v>full</x:v>
      </x:c>
      <x:c r="AI101" s="10" t="n">
        <x:v>5</x:v>
      </x:c>
    </x:row>
    <x:row r="102" ht="34" customHeight="1">
      <x:c r="A102" s="16" t="str">
        <x:v>black cushioned flip flops women</x:v>
      </x:c>
      <x:c r="B102" s="16" t="str">
        <x:v>black cushioned flip flops women</x:v>
      </x:c>
      <x:c r="C102" s="13" t="str">
        <x:v>00999add3cca6976</x:v>
      </x:c>
      <x:c r="D102" s="13" t="str">
        <x:v>keyword</x:v>
      </x:c>
      <x:c r="E102" s="13" t="str">
        <x:v>en</x:v>
      </x:c>
      <x:c r="F102" s="13" t="str">
        <x:v>clothing_shoes_jewelry</x:v>
      </x:c>
      <x:c r="G102" s="16" t="str"/>
      <x:c r="H102" s="16" t="str">
        <x:v>flip_flops</x:v>
      </x:c>
      <x:c r="I102" s="16" t="str">
        <x:v>women</x:v>
      </x:c>
      <x:c r="J102" s="16" t="str"/>
      <x:c r="K102" s="16" t="str">
        <x:v>cushioning</x:v>
      </x:c>
      <x:c r="L102" s="16" t="str"/>
      <x:c r="M102" s="16" t="str"/>
      <x:c r="N102" s="16" t="str"/>
      <x:c r="O102" s="16" t="str"/>
      <x:c r="P102" s="16" t="str"/>
      <x:c r="Q102" s="16" t="str"/>
      <x:c r="R102" s="16" t="str">
        <x:v>用户为女性寻找黑色带有缓冲软垫的夹脚拖鞋。</x:v>
      </x:c>
      <x:c r="S102" s="13" t="str">
        <x:v>high_intent</x:v>
      </x:c>
      <x:c r="T102" s="16" t="str">
        <x:v>explicit | page_validated</x:v>
      </x:c>
      <x:c r="U102" s="13" t="str">
        <x:v>high</x:v>
      </x:c>
      <x:c r="V102" s="16" t="str">
        <x:v>flip_flops_women_black_cushioned</x:v>
      </x:c>
      <x:c r="W102" s="16" t="str">
        <x:v>cluster_route</x:v>
      </x:c>
      <x:c r="X102" s="16" t="str">
        <x:v>{"product_type":[{"value":"flip_flops","evidence_type":"explicit","source_span":"flip flops","fact_ids":[],"rationale":"Term explicitly requests flip flops."},{"value":"flip_flops","evidence_type":"page_validated","source_span":"","fact_ids":["style_flip_flop"],"rationale":"该槽位与商品基准中的明示页面事实一致。"}],"audience_intent":[{"value":"women","evidence_type":"explicit","source_span":"women","fact_ids":[],"rationale":"Term explicitly targets women."},{"value":"women","evidence_type":"page_validated","source_span":"","fact_ids":["title_womens_flip_flop"],"rationale":"该槽位与商品基准中的明示页面事实一致。"}],"capability_intent":[{"value":"cushioning","evidence_type":"explicit","source_span":"cushioned","fact_ids":["padded_cushioning"],"rationale":"Page lists padded as a special feature matching cushioned request."},{"value":"color_black","evidence_type":"explicit","source_span":"black","fact_ids":["colors_visible"],"rationale":"Black is among the visible color options."},{"value":"cushioning","evidence_type":"page_validated","source_span":"","fact_ids":["padded_cushioning"],"rationale":"该槽位与商品基准中的明示页面事实一致。"},{"value":"cushioning","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102" s="16" t="str"/>
      <x:c r="Z102" s="13" t="str">
        <x:v>match</x:v>
      </x:c>
      <x:c r="AA102" s="16" t="str">
        <x:v>title_womens_flip_flop | style_flip_flop | colors_visible | padded_cushioning</x:v>
      </x:c>
      <x:c r="AB102" s="13" t="str">
        <x:v>accepted</x:v>
      </x:c>
      <x:c r="AC102" s="13" t="str">
        <x:v>1.0.0</x:v>
      </x:c>
      <x:c r="AD102" s="13" t="str">
        <x:v>1.1.0</x:v>
      </x:c>
      <x:c r="AE102" s="13" t="str">
        <x:v>deepseek/deepseek-v4-pro</x:v>
      </x:c>
      <x:c r="AF102" s="13" t="str">
        <x:v>aj2-y90-20260714T234810-0bea2f52</x:v>
      </x:c>
      <x:c r="AG102" s="13" t="str">
        <x:v>full-0006</x:v>
      </x:c>
      <x:c r="AH102" s="13" t="str">
        <x:v>full</x:v>
      </x:c>
      <x:c r="AI102" s="13" t="n">
        <x:v>6</x:v>
      </x:c>
    </x:row>
    <x:row r="103" ht="34" customHeight="1">
      <x:c r="A103" s="15" t="str">
        <x:v>flip flops with arch support for women white</x:v>
      </x:c>
      <x:c r="B103" s="15" t="str">
        <x:v>flip flops with arch support for women white</x:v>
      </x:c>
      <x:c r="C103" s="10" t="str">
        <x:v>05beaac22e2cee8d</x:v>
      </x:c>
      <x:c r="D103" s="10" t="str">
        <x:v>keyword</x:v>
      </x:c>
      <x:c r="E103" s="10" t="str">
        <x:v>en</x:v>
      </x:c>
      <x:c r="F103" s="10" t="str">
        <x:v>clothing_shoes_jewelry</x:v>
      </x:c>
      <x:c r="G103" s="15" t="str"/>
      <x:c r="H103" s="15" t="str">
        <x:v>flip_flops</x:v>
      </x:c>
      <x:c r="I103" s="15" t="str">
        <x:v>women</x:v>
      </x:c>
      <x:c r="J103" s="15" t="str"/>
      <x:c r="K103" s="15" t="str">
        <x:v>arch_support</x:v>
      </x:c>
      <x:c r="L103" s="15" t="str"/>
      <x:c r="M103" s="15" t="str"/>
      <x:c r="N103" s="15" t="str"/>
      <x:c r="O103" s="15" t="str"/>
      <x:c r="P103" s="15" t="str"/>
      <x:c r="Q103" s="15" t="str"/>
      <x:c r="R103" s="15" t="str">
        <x:v>用户想为女性寻找一双具有足弓支撑功能的白色夹脚拖鞋。</x:v>
      </x:c>
      <x:c r="S103" s="10" t="str">
        <x:v>high_intent</x:v>
      </x:c>
      <x:c r="T103" s="15" t="str">
        <x:v>explicit | page_validated</x:v>
      </x:c>
      <x:c r="U103" s="10" t="str">
        <x:v>high</x:v>
      </x:c>
      <x:c r="V103" s="15" t="str">
        <x:v>flip_flops_women_arch_support_white</x:v>
      </x:c>
      <x:c r="W103" s="15" t="str">
        <x:v>cluster_route</x:v>
      </x:c>
      <x:c r="X103" s="15" t="str">
        <x:v>{"product_type":[{"value":"flip_flops","evidence_type":"explicit","source_span":"flip flops","fact_ids":[],"rationale":"Term explicitly requests flip flops."},{"value":"flip_flops","evidence_type":"page_validated","source_span":"","fact_ids":["style_flip_flop"],"rationale":"该槽位与商品基准中的明示页面事实一致。"}],"audience_intent":[{"value":"women","evidence_type":"explicit","source_span":"for women","fact_ids":[],"rationale":"Term explicitly targets women."},{"value":"women","evidence_type":"page_validated","source_span":"","fact_ids":["title_womens_flip_flop"],"rationale":"该槽位与商品基准中的明示页面事实一致。"}],"capability_intent":[{"value":"arch_support","evidence_type":"explicit","source_span":"arch support","fact_ids":["arch_support"],"rationale":"Page states ergonomic arch support and proper alignment."},{"value":"color_white","evidence_type":"explicit","source_span":"white","fact_ids":["colors_visible"],"rationale":"White color option is visible on the page."},{"value":"arch_support","evidence_type":"page_validated","source_span":"","fact_ids":["arch_support"],"rationale":"该槽位与商品基准中的明示页面事实一致。"}],"primary_domain":[{"value":"clothing_shoes_jewelry","evidence_type":"inferred","source_span":"","fact_ids":[],"rationale":"该值由搜索词整体语义推断，未作为页面明示属性。"}]}</x:v>
      </x:c>
      <x:c r="Y103" s="15" t="str"/>
      <x:c r="Z103" s="10" t="str">
        <x:v>match</x:v>
      </x:c>
      <x:c r="AA103" s="15" t="str">
        <x:v>title_womens_flip_flop | style_flip_flop | arch_support | colors_visible</x:v>
      </x:c>
      <x:c r="AB103" s="10" t="str">
        <x:v>accepted</x:v>
      </x:c>
      <x:c r="AC103" s="10" t="str">
        <x:v>1.0.0</x:v>
      </x:c>
      <x:c r="AD103" s="10" t="str">
        <x:v>1.1.0</x:v>
      </x:c>
      <x:c r="AE103" s="10" t="str">
        <x:v>deepseek/deepseek-v4-pro</x:v>
      </x:c>
      <x:c r="AF103" s="10" t="str">
        <x:v>aj2-y90-20260714T234810-0bea2f52</x:v>
      </x:c>
      <x:c r="AG103" s="10" t="str">
        <x:v>full-0006</x:v>
      </x:c>
      <x:c r="AH103" s="10" t="str">
        <x:v>full</x:v>
      </x:c>
      <x:c r="AI103" s="10" t="n">
        <x:v>6</x:v>
      </x:c>
    </x:row>
    <x:row r="104" ht="34" customHeight="1">
      <x:c r="A104" s="16" t="str">
        <x:v>ladies flip flops size 10</x:v>
      </x:c>
      <x:c r="B104" s="16" t="str">
        <x:v>ladies flip flops size 10</x:v>
      </x:c>
      <x:c r="C104" s="13" t="str">
        <x:v>13611c9cf2c8ef38</x:v>
      </x:c>
      <x:c r="D104" s="13" t="str">
        <x:v>keyword</x:v>
      </x:c>
      <x:c r="E104" s="13" t="str">
        <x:v>en</x:v>
      </x:c>
      <x:c r="F104" s="13" t="str">
        <x:v>clothing_shoes_jewelry</x:v>
      </x:c>
      <x:c r="G104" s="16" t="str"/>
      <x:c r="H104" s="16" t="str">
        <x:v>flip_flops</x:v>
      </x:c>
      <x:c r="I104" s="16" t="str">
        <x:v>women</x:v>
      </x:c>
      <x:c r="J104" s="16" t="str"/>
      <x:c r="K104" s="16" t="str"/>
      <x:c r="L104" s="16" t="str"/>
      <x:c r="M104" s="16" t="str"/>
      <x:c r="N104" s="16" t="str"/>
      <x:c r="O104" s="16" t="str"/>
      <x:c r="P104" s="16" t="str"/>
      <x:c r="Q104" s="16" t="str"/>
      <x:c r="R104" s="16" t="str">
        <x:v>用户为女性寻找10码的夹脚拖鞋。</x:v>
      </x:c>
      <x:c r="S104" s="13" t="str">
        <x:v>high_intent</x:v>
      </x:c>
      <x:c r="T104" s="16" t="str">
        <x:v>explicit | page_validated</x:v>
      </x:c>
      <x:c r="U104" s="13" t="str">
        <x:v>high</x:v>
      </x:c>
      <x:c r="V104" s="16" t="str">
        <x:v>flip_flops_women_size_10</x:v>
      </x:c>
      <x:c r="W104" s="16" t="str">
        <x:v>cluster_route</x:v>
      </x:c>
      <x:c r="X104" s="16" t="str">
        <x:v>{"product_type":[{"value":"flip_flops","evidence_type":"explicit","source_span":"flip flops","fact_ids":[],"rationale":"Term explicitly requests flip flops."},{"value":"flip_flops","evidence_type":"page_validated","source_span":"","fact_ids":["style_flip_flop"],"rationale":"该槽位与商品基准中的明示页面事实一致。"}],"audience_intent":[{"value":"women","evidence_type":"explicit","source_span":"ladies","fact_ids":[],"rationale":"Ladies is a synonym for women."},{"value":"women","evidence_type":"page_validated","source_span":"","fact_ids":["title_womens_flip_flop"],"rationale":"该槽位与商品基准中的明示页面事实一致。"},{"value":"women","evidence_type":"inferred","source_span":"","fact_ids":[],"rationale":"该能力由搜索词表达的任务或问题推断；页面事实仅用于验证商品承接。"}],"capability_intent":[{"value":"size_10","evidence_type":"explicit","source_span":"size 10","fact_ids":["sizes_6_11"],"rationale":"Size 10 is within the visible size range 6-11."}],"primary_domain":[{"value":"clothing_shoes_jewelry","evidence_type":"inferred","source_span":"","fact_ids":[],"rationale":"该值由搜索词整体语义推断，未作为页面明示属性。"}]}</x:v>
      </x:c>
      <x:c r="Y104" s="16" t="str"/>
      <x:c r="Z104" s="13" t="str">
        <x:v>match</x:v>
      </x:c>
      <x:c r="AA104" s="16" t="str">
        <x:v>title_womens_flip_flop | style_flip_flop | sizes_6_11</x:v>
      </x:c>
      <x:c r="AB104" s="13" t="str">
        <x:v>accepted</x:v>
      </x:c>
      <x:c r="AC104" s="13" t="str">
        <x:v>1.0.0</x:v>
      </x:c>
      <x:c r="AD104" s="13" t="str">
        <x:v>1.1.0</x:v>
      </x:c>
      <x:c r="AE104" s="13" t="str">
        <x:v>deepseek/deepseek-v4-pro</x:v>
      </x:c>
      <x:c r="AF104" s="13" t="str">
        <x:v>aj2-y90-20260714T234810-0bea2f52</x:v>
      </x:c>
      <x:c r="AG104" s="13" t="str">
        <x:v>full-0006</x:v>
      </x:c>
      <x:c r="AH104" s="13" t="str">
        <x:v>full</x:v>
      </x:c>
      <x:c r="AI104" s="13" t="n">
        <x:v>6</x:v>
      </x:c>
    </x:row>
    <x:row r="105" ht="34" customHeight="1">
      <x:c r="A105" s="15" t="str">
        <x:v>waterproof women sandals</x:v>
      </x:c>
      <x:c r="B105" s="15" t="str">
        <x:v>waterproof women sandals</x:v>
      </x:c>
      <x:c r="C105" s="10" t="str">
        <x:v>1f9f69f004956863</x:v>
      </x:c>
      <x:c r="D105" s="10" t="str">
        <x:v>keyword</x:v>
      </x:c>
      <x:c r="E105" s="10" t="str">
        <x:v>en</x:v>
      </x:c>
      <x:c r="F105" s="10" t="str">
        <x:v>clothing_shoes_jewelry</x:v>
      </x:c>
      <x:c r="G105" s="15" t="str"/>
      <x:c r="H105" s="15" t="str">
        <x:v>sandals</x:v>
      </x:c>
      <x:c r="I105" s="15" t="str">
        <x:v>women</x:v>
      </x:c>
      <x:c r="J105" s="15" t="str"/>
      <x:c r="K105" s="15" t="str">
        <x:v>waterproof</x:v>
      </x:c>
      <x:c r="L105" s="15" t="str"/>
      <x:c r="M105" s="15" t="str"/>
      <x:c r="N105" s="15" t="str"/>
      <x:c r="O105" s="15" t="str"/>
      <x:c r="P105" s="15" t="str"/>
      <x:c r="Q105" s="15" t="str"/>
      <x:c r="R105" s="15" t="str">
        <x:v>用户寻找女性防水的凉鞋，本产品为女性夹脚凉鞋但未声明防水性能。</x:v>
      </x:c>
      <x:c r="S105" s="10" t="str">
        <x:v>consideration</x:v>
      </x:c>
      <x:c r="T105" s="15" t="str">
        <x:v>explicit | page_validated</x:v>
      </x:c>
      <x:c r="U105" s="10" t="str">
        <x:v>medium</x:v>
      </x:c>
      <x:c r="V105" s="15" t="str">
        <x:v>sandals_women_waterproof</x:v>
      </x:c>
      <x:c r="W105" s="15" t="str">
        <x:v>listing_gap_review</x:v>
      </x:c>
      <x:c r="X105" s="15" t="str">
        <x:v>{"product_type":[{"value":"sandals","evidence_type":"explicit","source_span":"sandals","fact_ids":[],"rationale":"Term explicitly requests sandals; flip flops are a subtype of sandals."},{"value":"sandals","evidence_type":"page_validated","source_span":"","fact_ids":["title_womens_flip_flop"],"rationale":"该槽位与商品基准中的明示页面事实一致。"}],"audience_intent":[{"value":"women","evidence_type":"explicit","source_span":"women","fact_ids":[],"rationale":"Term explicitly targets women."},{"value":"women","evidence_type":"page_validated","source_span":"","fact_ids":["title_womens_flip_flop"],"rationale":"该槽位与商品基准中的明示页面事实一致。"}],"capability_intent":[{"value":"waterproof","evidence_type":"explicit","source_span":"waterproof","fact_ids":[],"rationale":"Waterproof is explicitly requested but not among page-validated claims."}],"primary_domain":[{"value":"clothing_shoes_jewelry","evidence_type":"inferred","source_span":"","fact_ids":[],"rationale":"该值由搜索词整体语义推断，未作为页面明示属性。"}]}</x:v>
      </x:c>
      <x:c r="Y105" s="15" t="str"/>
      <x:c r="Z105" s="10" t="str">
        <x:v>partial_match</x:v>
      </x:c>
      <x:c r="AA105" s="15" t="str">
        <x:v>title_womens_flip_flop</x:v>
      </x:c>
      <x:c r="AB105" s="10" t="str">
        <x:v>accepted</x:v>
      </x:c>
      <x:c r="AC105" s="10" t="str">
        <x:v>1.0.0</x:v>
      </x:c>
      <x:c r="AD105" s="10" t="str">
        <x:v>1.1.0</x:v>
      </x:c>
      <x:c r="AE105" s="10" t="str">
        <x:v>deepseek/deepseek-v4-pro</x:v>
      </x:c>
      <x:c r="AF105" s="10" t="str">
        <x:v>aj2-y90-20260714T234810-0bea2f52</x:v>
      </x:c>
      <x:c r="AG105" s="10" t="str">
        <x:v>full-0006</x:v>
      </x:c>
      <x:c r="AH105" s="10" t="str">
        <x:v>full</x:v>
      </x:c>
      <x:c r="AI105" s="10" t="n">
        <x:v>6</x:v>
      </x:c>
    </x:row>
    <x:row r="106" ht="34" customHeight="1">
      <x:c r="A106" s="16" t="str">
        <x:v>women's flip flops size 8</x:v>
      </x:c>
      <x:c r="B106" s="16" t="str">
        <x:v>women's flip flops size 8</x:v>
      </x:c>
      <x:c r="C106" s="13" t="str">
        <x:v>4c742c3bee381a70</x:v>
      </x:c>
      <x:c r="D106" s="13" t="str">
        <x:v>keyword</x:v>
      </x:c>
      <x:c r="E106" s="13" t="str">
        <x:v>en</x:v>
      </x:c>
      <x:c r="F106" s="13" t="str">
        <x:v>clothing_shoes_jewelry</x:v>
      </x:c>
      <x:c r="G106" s="16" t="str"/>
      <x:c r="H106" s="16" t="str">
        <x:v>flip_flops</x:v>
      </x:c>
      <x:c r="I106" s="16" t="str">
        <x:v>women</x:v>
      </x:c>
      <x:c r="J106" s="16" t="str"/>
      <x:c r="K106" s="16" t="str"/>
      <x:c r="L106" s="16" t="str"/>
      <x:c r="M106" s="16" t="str"/>
      <x:c r="N106" s="16" t="str"/>
      <x:c r="O106" s="16" t="str"/>
      <x:c r="P106" s="16" t="str"/>
      <x:c r="Q106" s="16" t="str"/>
      <x:c r="R106" s="16" t="str">
        <x:v>用户为女性寻找8码的夹脚拖鞋。</x:v>
      </x:c>
      <x:c r="S106" s="13" t="str">
        <x:v>high_intent</x:v>
      </x:c>
      <x:c r="T106" s="16" t="str">
        <x:v>explicit | page_validated</x:v>
      </x:c>
      <x:c r="U106" s="13" t="str">
        <x:v>high</x:v>
      </x:c>
      <x:c r="V106" s="16" t="str">
        <x:v>flip_flops_women_size_8</x:v>
      </x:c>
      <x:c r="W106" s="16" t="str">
        <x:v>cluster_route</x:v>
      </x:c>
      <x:c r="X106" s="16" t="str">
        <x:v>{"product_type":[{"value":"flip_flops","evidence_type":"explicit","source_span":"flip flops","fact_ids":[],"rationale":"Term explicitly requests flip flops."},{"value":"flip_flops","evidence_type":"page_validated","source_span":"","fact_ids":["style_flip_flop"],"rationale":"该槽位与商品基准中的明示页面事实一致。"}],"audience_intent":[{"value":"women","evidence_type":"explicit","source_span":"women's","fact_ids":[],"rationale":"Term explicitly targets women."},{"value":"women","evidence_type":"page_validated","source_span":"","fact_ids":["title_womens_flip_flop"],"rationale":"该槽位与商品基准中的明示页面事实一致。"}],"capability_intent":[{"value":"size_8","evidence_type":"explicit","source_span":"size 8","fact_ids":["sizes_6_11"],"rationale":"Size 8 is within the visible size range."}],"primary_domain":[{"value":"clothing_shoes_jewelry","evidence_type":"inferred","source_span":"","fact_ids":[],"rationale":"该值由搜索词整体语义推断，未作为页面明示属性。"}]}</x:v>
      </x:c>
      <x:c r="Y106" s="16" t="str"/>
      <x:c r="Z106" s="13" t="str">
        <x:v>match</x:v>
      </x:c>
      <x:c r="AA106" s="16" t="str">
        <x:v>title_womens_flip_flop | style_flip_flop | sizes_6_11</x:v>
      </x:c>
      <x:c r="AB106" s="13" t="str">
        <x:v>accepted</x:v>
      </x:c>
      <x:c r="AC106" s="13" t="str">
        <x:v>1.0.0</x:v>
      </x:c>
      <x:c r="AD106" s="13" t="str">
        <x:v>1.1.0</x:v>
      </x:c>
      <x:c r="AE106" s="13" t="str">
        <x:v>deepseek/deepseek-v4-pro</x:v>
      </x:c>
      <x:c r="AF106" s="13" t="str">
        <x:v>aj2-y90-20260714T234810-0bea2f52</x:v>
      </x:c>
      <x:c r="AG106" s="13" t="str">
        <x:v>full-0006</x:v>
      </x:c>
      <x:c r="AH106" s="13" t="str">
        <x:v>full</x:v>
      </x:c>
      <x:c r="AI106" s="13" t="n">
        <x:v>6</x:v>
      </x:c>
    </x:row>
    <x:row r="107" ht="34" customHeight="1">
      <x:c r="A107" s="15" t="str">
        <x:v>flip flops with silicone strap</x:v>
      </x:c>
      <x:c r="B107" s="15" t="str">
        <x:v>flip flops with silicone strap</x:v>
      </x:c>
      <x:c r="C107" s="10" t="str">
        <x:v>4dc2f3fc618da33f</x:v>
      </x:c>
      <x:c r="D107" s="10" t="str">
        <x:v>keyword</x:v>
      </x:c>
      <x:c r="E107" s="10" t="str">
        <x:v>en</x:v>
      </x:c>
      <x:c r="F107" s="10" t="str">
        <x:v>clothing_shoes_jewelry</x:v>
      </x:c>
      <x:c r="G107" s="15" t="str"/>
      <x:c r="H107" s="15" t="str">
        <x:v>flip_flops</x:v>
      </x:c>
      <x:c r="I107" s="15" t="str"/>
      <x:c r="J107" s="15" t="str"/>
      <x:c r="K107" s="15" t="str">
        <x:v>silicone_strap</x:v>
      </x:c>
      <x:c r="L107" s="15" t="str"/>
      <x:c r="M107" s="15" t="str"/>
      <x:c r="N107" s="15" t="str"/>
      <x:c r="O107" s="15" t="str"/>
      <x:c r="P107" s="15" t="str"/>
      <x:c r="Q107" s="15" t="str"/>
      <x:c r="R107" s="15" t="str">
        <x:v>用户寻找配有硅胶材质带子的夹脚拖鞋，而非EVA一体成型的人字拖。</x:v>
      </x:c>
      <x:c r="S107" s="10" t="str">
        <x:v>consideration</x:v>
      </x:c>
      <x:c r="T107" s="15" t="str">
        <x:v>explicit | page_validated</x:v>
      </x:c>
      <x:c r="U107" s="10" t="str">
        <x:v>high</x:v>
      </x:c>
      <x:c r="V107" s="15" t="str">
        <x:v>flip_flops_silicone_strap</x:v>
      </x:c>
      <x:c r="W107" s="15" t="str">
        <x:v>semantic_negative_candidate</x:v>
      </x:c>
      <x:c r="X107" s="15" t="str">
        <x:v>{"product_type":[{"value":"flip_flops","evidence_type":"explicit","source_span":"flip flops","fact_ids":[],"rationale":"Term explicitly requests flip flops."},{"value":"flip_flops","evidence_type":"page_validated","source_span":"","fact_ids":["style_flip_flop"],"rationale":"该槽位与商品基准中的明示页面事实一致。"}],"capability_intent":[{"value":"silicone_strap","evidence_type":"explicit","source_span":"silicone strap","fact_ids":[],"rationale":"Term explicitly requests silicone strap material; the baseline product uses EVA outer material with a thong strap, not silicone."}],"primary_domain":[{"value":"clothing_shoes_jewelry","evidence_type":"inferred","source_span":"","fact_ids":[],"rationale":"该值由搜索词整体语义推断，未作为页面明示属性。"}]}</x:v>
      </x:c>
      <x:c r="Y107" s="15" t="str"/>
      <x:c r="Z107" s="10" t="str">
        <x:v>mismatch</x:v>
      </x:c>
      <x:c r="AA107" s="15" t="str">
        <x:v>material_eva | style_thong</x:v>
      </x:c>
      <x:c r="AB107" s="10" t="str">
        <x:v>accepted</x:v>
      </x:c>
      <x:c r="AC107" s="10" t="str">
        <x:v>1.0.0</x:v>
      </x:c>
      <x:c r="AD107" s="10" t="str">
        <x:v>1.1.0</x:v>
      </x:c>
      <x:c r="AE107" s="10" t="str">
        <x:v>deepseek/deepseek-v4-pro</x:v>
      </x:c>
      <x:c r="AF107" s="10" t="str">
        <x:v>aj2-y90-20260714T234810-0bea2f52</x:v>
      </x:c>
      <x:c r="AG107" s="10" t="str">
        <x:v>full-0006</x:v>
      </x:c>
      <x:c r="AH107" s="10" t="str">
        <x:v>full</x:v>
      </x:c>
      <x:c r="AI107" s="10" t="n">
        <x:v>6</x:v>
      </x:c>
    </x:row>
    <x:row r="108" ht="34" customHeight="1">
      <x:c r="A108" s="16" t="str">
        <x:v>brown flip flops women arch</x:v>
      </x:c>
      <x:c r="B108" s="16" t="str">
        <x:v>brown flip flops women arch</x:v>
      </x:c>
      <x:c r="C108" s="13" t="str">
        <x:v>56dfc60deb2690cb</x:v>
      </x:c>
      <x:c r="D108" s="13" t="str">
        <x:v>keyword</x:v>
      </x:c>
      <x:c r="E108" s="13" t="str">
        <x:v>en</x:v>
      </x:c>
      <x:c r="F108" s="13" t="str">
        <x:v>clothing_shoes_jewelry</x:v>
      </x:c>
      <x:c r="G108" s="16" t="str"/>
      <x:c r="H108" s="16" t="str">
        <x:v>flip_flops</x:v>
      </x:c>
      <x:c r="I108" s="16" t="str">
        <x:v>women</x:v>
      </x:c>
      <x:c r="J108" s="16" t="str"/>
      <x:c r="K108" s="16" t="str">
        <x:v>arch_support</x:v>
      </x:c>
      <x:c r="L108" s="16" t="str"/>
      <x:c r="M108" s="16" t="str"/>
      <x:c r="N108" s="16" t="str"/>
      <x:c r="O108" s="16" t="str"/>
      <x:c r="P108" s="16" t="str"/>
      <x:c r="Q108" s="16" t="str"/>
      <x:c r="R108" s="16" t="str">
        <x:v>用户为女性寻找棕色且带足弓支撑的夹脚拖鞋。</x:v>
      </x:c>
      <x:c r="S108" s="13" t="str">
        <x:v>high_intent</x:v>
      </x:c>
      <x:c r="T108" s="16" t="str">
        <x:v>explicit | page_validated</x:v>
      </x:c>
      <x:c r="U108" s="13" t="str">
        <x:v>high</x:v>
      </x:c>
      <x:c r="V108" s="16" t="str">
        <x:v>flip_flops_women_arch_support_brown</x:v>
      </x:c>
      <x:c r="W108" s="16" t="str">
        <x:v>cluster_route</x:v>
      </x:c>
      <x:c r="X108" s="16" t="str">
        <x:v>{"product_type":[{"value":"flip_flops","evidence_type":"explicit","source_span":"flip flops","fact_ids":[],"rationale":"Term explicitly requests flip flops."},{"value":"flip_flops","evidence_type":"page_validated","source_span":"","fact_ids":["style_flip_flop"],"rationale":"该槽位与商品基准中的明示页面事实一致。"}],"audience_intent":[{"value":"women","evidence_type":"explicit","source_span":"women","fact_ids":[],"rationale":"Term explicitly targets women."},{"value":"women","evidence_type":"page_validated","source_span":"","fact_ids":["title_womens_flip_flop"],"rationale":"该槽位与商品基准中的明示页面事实一致。"}],"capability_intent":[{"value":"arch_support","evidence_type":"explicit","source_span":"arch","fact_ids":["arch_support"],"rationale":"Page states ergonomic arch support."},{"value":"color_brown","evidence_type":"explicit","source_span":"brown","fact_ids":["colors_visible"],"rationale":"Brown color option is visible in the color selectors."},{"value":"arch_support","evidence_type":"page_validated","source_span":"","fact_ids":["arch_support"],"rationale":"该槽位与商品基准中的明示页面事实一致。"},{"value":"arch_suppor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108" s="16" t="str"/>
      <x:c r="Z108" s="13" t="str">
        <x:v>match</x:v>
      </x:c>
      <x:c r="AA108" s="16" t="str">
        <x:v>title_womens_flip_flop | style_flip_flop | arch_support | colors_visible</x:v>
      </x:c>
      <x:c r="AB108" s="13" t="str">
        <x:v>accepted</x:v>
      </x:c>
      <x:c r="AC108" s="13" t="str">
        <x:v>1.0.0</x:v>
      </x:c>
      <x:c r="AD108" s="13" t="str">
        <x:v>1.1.0</x:v>
      </x:c>
      <x:c r="AE108" s="13" t="str">
        <x:v>deepseek/deepseek-v4-pro</x:v>
      </x:c>
      <x:c r="AF108" s="13" t="str">
        <x:v>aj2-y90-20260714T234810-0bea2f52</x:v>
      </x:c>
      <x:c r="AG108" s="13" t="str">
        <x:v>full-0006</x:v>
      </x:c>
      <x:c r="AH108" s="13" t="str">
        <x:v>full</x:v>
      </x:c>
      <x:c r="AI108" s="13" t="n">
        <x:v>6</x:v>
      </x:c>
    </x:row>
    <x:row r="109" ht="34" customHeight="1">
      <x:c r="A109" s="15" t="str">
        <x:v>size 7 women flip flops</x:v>
      </x:c>
      <x:c r="B109" s="15" t="str">
        <x:v>size 7 women flip flops</x:v>
      </x:c>
      <x:c r="C109" s="10" t="str">
        <x:v>5a738b1f2fc438a7</x:v>
      </x:c>
      <x:c r="D109" s="10" t="str">
        <x:v>keyword</x:v>
      </x:c>
      <x:c r="E109" s="10" t="str">
        <x:v>en</x:v>
      </x:c>
      <x:c r="F109" s="10" t="str">
        <x:v>clothing_shoes_jewelry</x:v>
      </x:c>
      <x:c r="G109" s="15" t="str"/>
      <x:c r="H109" s="15" t="str">
        <x:v>flip_flops</x:v>
      </x:c>
      <x:c r="I109" s="15" t="str">
        <x:v>women</x:v>
      </x:c>
      <x:c r="J109" s="15" t="str"/>
      <x:c r="K109" s="15" t="str"/>
      <x:c r="L109" s="15" t="str"/>
      <x:c r="M109" s="15" t="str"/>
      <x:c r="N109" s="15" t="str"/>
      <x:c r="O109" s="15" t="str"/>
      <x:c r="P109" s="15" t="str"/>
      <x:c r="Q109" s="15" t="str"/>
      <x:c r="R109" s="15" t="str">
        <x:v>用户为女性寻找7码的夹脚拖鞋。</x:v>
      </x:c>
      <x:c r="S109" s="10" t="str">
        <x:v>high_intent</x:v>
      </x:c>
      <x:c r="T109" s="15" t="str">
        <x:v>explicit | page_validated</x:v>
      </x:c>
      <x:c r="U109" s="10" t="str">
        <x:v>high</x:v>
      </x:c>
      <x:c r="V109" s="15" t="str">
        <x:v>flip_flops_women_size_7</x:v>
      </x:c>
      <x:c r="W109" s="15" t="str">
        <x:v>cluster_route</x:v>
      </x:c>
      <x:c r="X109" s="15" t="str">
        <x:v>{"product_type":[{"value":"flip_flops","evidence_type":"explicit","source_span":"flip flops","fact_ids":[],"rationale":"Term explicitly requests flip flops."},{"value":"flip_flops","evidence_type":"page_validated","source_span":"","fact_ids":["style_flip_flop"],"rationale":"该槽位与商品基准中的明示页面事实一致。"}],"audience_intent":[{"value":"women","evidence_type":"explicit","source_span":"women","fact_ids":[],"rationale":"Term explicitly targets women."},{"value":"women","evidence_type":"page_validated","source_span":"","fact_ids":["title_womens_flip_flop"],"rationale":"该槽位与商品基准中的明示页面事实一致。"}],"capability_intent":[{"value":"size_7","evidence_type":"explicit","source_span":"size 7","fact_ids":["sizes_6_11"],"rationale":"Size 7 is within the visible size range."}],"primary_domain":[{"value":"clothing_shoes_jewelry","evidence_type":"inferred","source_span":"","fact_ids":[],"rationale":"该值由搜索词整体语义推断，未作为页面明示属性。"}]}</x:v>
      </x:c>
      <x:c r="Y109" s="15" t="str"/>
      <x:c r="Z109" s="10" t="str">
        <x:v>match</x:v>
      </x:c>
      <x:c r="AA109" s="15" t="str">
        <x:v>title_womens_flip_flop | style_flip_flop | sizes_6_11</x:v>
      </x:c>
      <x:c r="AB109" s="10" t="str">
        <x:v>accepted</x:v>
      </x:c>
      <x:c r="AC109" s="10" t="str">
        <x:v>1.0.0</x:v>
      </x:c>
      <x:c r="AD109" s="10" t="str">
        <x:v>1.1.0</x:v>
      </x:c>
      <x:c r="AE109" s="10" t="str">
        <x:v>deepseek/deepseek-v4-pro</x:v>
      </x:c>
      <x:c r="AF109" s="10" t="str">
        <x:v>aj2-y90-20260714T234810-0bea2f52</x:v>
      </x:c>
      <x:c r="AG109" s="10" t="str">
        <x:v>full-0006</x:v>
      </x:c>
      <x:c r="AH109" s="10" t="str">
        <x:v>full</x:v>
      </x:c>
      <x:c r="AI109" s="10" t="n">
        <x:v>6</x:v>
      </x:c>
    </x:row>
    <x:row r="110" ht="34" customHeight="1">
      <x:c r="A110" s="16" t="str">
        <x:v>microfiber flip flops</x:v>
      </x:c>
      <x:c r="B110" s="16" t="str">
        <x:v>microfiber flip flops</x:v>
      </x:c>
      <x:c r="C110" s="13" t="str">
        <x:v>9da9564c7184b9a9</x:v>
      </x:c>
      <x:c r="D110" s="13" t="str">
        <x:v>keyword</x:v>
      </x:c>
      <x:c r="E110" s="13" t="str">
        <x:v>en</x:v>
      </x:c>
      <x:c r="F110" s="13" t="str">
        <x:v>clothing_shoes_jewelry</x:v>
      </x:c>
      <x:c r="G110" s="16" t="str"/>
      <x:c r="H110" s="16" t="str">
        <x:v>flip_flops</x:v>
      </x:c>
      <x:c r="I110" s="16" t="str"/>
      <x:c r="J110" s="16" t="str"/>
      <x:c r="K110" s="16" t="str">
        <x:v>microfiber_material</x:v>
      </x:c>
      <x:c r="L110" s="16" t="str"/>
      <x:c r="M110" s="16" t="str"/>
      <x:c r="N110" s="16" t="str"/>
      <x:c r="O110" s="16" t="str"/>
      <x:c r="P110" s="16" t="str"/>
      <x:c r="Q110" s="16" t="str"/>
      <x:c r="R110" s="16" t="str">
        <x:v>用户寻找超细纤维(microfiber)材质的夹脚拖鞋，而本产品外底材质为EVA。</x:v>
      </x:c>
      <x:c r="S110" s="13" t="str">
        <x:v>consideration</x:v>
      </x:c>
      <x:c r="T110" s="16" t="str">
        <x:v>explicit | page_validated</x:v>
      </x:c>
      <x:c r="U110" s="13" t="str">
        <x:v>high</x:v>
      </x:c>
      <x:c r="V110" s="16" t="str">
        <x:v>flip_flops_microfiber</x:v>
      </x:c>
      <x:c r="W110" s="16" t="str">
        <x:v>semantic_negative_candidate</x:v>
      </x:c>
      <x:c r="X110" s="16" t="str">
        <x:v>{"product_type":[{"value":"flip_flops","evidence_type":"explicit","source_span":"flip flops","fact_ids":[],"rationale":"Term explicitly requests flip flops."},{"value":"flip_flops","evidence_type":"page_validated","source_span":"","fact_ids":["style_flip_flop"],"rationale":"该槽位与商品基准中的明示页面事实一致。"}],"capability_intent":[{"value":"microfiber_material","evidence_type":"explicit","source_span":"microfiber","fact_ids":[],"rationale":"Term requests microfiber material; the baseline product uses EVA, a different material."}],"primary_domain":[{"value":"clothing_shoes_jewelry","evidence_type":"inferred","source_span":"","fact_ids":[],"rationale":"该值由搜索词整体语义推断，未作为页面明示属性。"}]}</x:v>
      </x:c>
      <x:c r="Y110" s="16" t="str"/>
      <x:c r="Z110" s="13" t="str">
        <x:v>mismatch</x:v>
      </x:c>
      <x:c r="AA110" s="16" t="str">
        <x:v>material_eva | style_flip_flop</x:v>
      </x:c>
      <x:c r="AB110" s="13" t="str">
        <x:v>accepted</x:v>
      </x:c>
      <x:c r="AC110" s="13" t="str">
        <x:v>1.0.0</x:v>
      </x:c>
      <x:c r="AD110" s="13" t="str">
        <x:v>1.1.0</x:v>
      </x:c>
      <x:c r="AE110" s="13" t="str">
        <x:v>deepseek/deepseek-v4-pro</x:v>
      </x:c>
      <x:c r="AF110" s="13" t="str">
        <x:v>aj2-y90-20260714T234810-0bea2f52</x:v>
      </x:c>
      <x:c r="AG110" s="13" t="str">
        <x:v>full-0006</x:v>
      </x:c>
      <x:c r="AH110" s="13" t="str">
        <x:v>full</x:v>
      </x:c>
      <x:c r="AI110" s="13" t="n">
        <x:v>6</x:v>
      </x:c>
    </x:row>
    <x:row r="111" ht="34" customHeight="1">
      <x:c r="A111" s="15" t="str">
        <x:v>women flip flops waterproof</x:v>
      </x:c>
      <x:c r="B111" s="15" t="str">
        <x:v>women flip flops waterproof</x:v>
      </x:c>
      <x:c r="C111" s="10" t="str">
        <x:v>a1a51c1e4e2074bf</x:v>
      </x:c>
      <x:c r="D111" s="10" t="str">
        <x:v>keyword</x:v>
      </x:c>
      <x:c r="E111" s="10" t="str">
        <x:v>en</x:v>
      </x:c>
      <x:c r="F111" s="10" t="str">
        <x:v>clothing_shoes_jewelry</x:v>
      </x:c>
      <x:c r="G111" s="15" t="str"/>
      <x:c r="H111" s="15" t="str">
        <x:v>flip_flops</x:v>
      </x:c>
      <x:c r="I111" s="15" t="str">
        <x:v>women</x:v>
      </x:c>
      <x:c r="J111" s="15" t="str"/>
      <x:c r="K111" s="15" t="str">
        <x:v>waterproof</x:v>
      </x:c>
      <x:c r="L111" s="15" t="str"/>
      <x:c r="M111" s="15" t="str"/>
      <x:c r="N111" s="15" t="str"/>
      <x:c r="O111" s="15" t="str"/>
      <x:c r="P111" s="15" t="str"/>
      <x:c r="Q111" s="15" t="str"/>
      <x:c r="R111" s="15" t="str">
        <x:v>用户为女性寻找防水的夹脚拖鞋，但本产品未声明防水性能。</x:v>
      </x:c>
      <x:c r="S111" s="10" t="str">
        <x:v>consideration</x:v>
      </x:c>
      <x:c r="T111" s="15" t="str">
        <x:v>explicit | page_validated</x:v>
      </x:c>
      <x:c r="U111" s="10" t="str">
        <x:v>medium</x:v>
      </x:c>
      <x:c r="V111" s="15" t="str">
        <x:v>flip_flops_women_waterproof</x:v>
      </x:c>
      <x:c r="W111" s="15" t="str">
        <x:v>listing_gap_review</x:v>
      </x:c>
      <x:c r="X111" s="15" t="str">
        <x:v>{"product_type":[{"value":"flip_flops","evidence_type":"explicit","source_span":"flip flops","fact_ids":[],"rationale":"Term explicitly requests flip flops."},{"value":"flip_flops","evidence_type":"page_validated","source_span":"","fact_ids":["style_flip_flop"],"rationale":"该槽位与商品基准中的明示页面事实一致。"}],"audience_intent":[{"value":"women","evidence_type":"explicit","source_span":"women","fact_ids":[],"rationale":"Term explicitly targets women."},{"value":"women","evidence_type":"page_validated","source_span":"","fact_ids":["title_womens_flip_flop"],"rationale":"该槽位与商品基准中的明示页面事实一致。"}],"capability_intent":[{"value":"waterproof","evidence_type":"explicit","source_span":"waterproof","fact_ids":[],"rationale":"Waterproof is explicitly requested but not among page-validated claims."}],"primary_domain":[{"value":"clothing_shoes_jewelry","evidence_type":"inferred","source_span":"","fact_ids":[],"rationale":"该值由搜索词整体语义推断，未作为页面明示属性。"}]}</x:v>
      </x:c>
      <x:c r="Y111" s="15" t="str"/>
      <x:c r="Z111" s="10" t="str">
        <x:v>partial_match</x:v>
      </x:c>
      <x:c r="AA111" s="15" t="str">
        <x:v>title_womens_flip_flop | style_flip_flop</x:v>
      </x:c>
      <x:c r="AB111" s="10" t="str">
        <x:v>accepted</x:v>
      </x:c>
      <x:c r="AC111" s="10" t="str">
        <x:v>1.0.0</x:v>
      </x:c>
      <x:c r="AD111" s="10" t="str">
        <x:v>1.1.0</x:v>
      </x:c>
      <x:c r="AE111" s="10" t="str">
        <x:v>deepseek/deepseek-v4-pro</x:v>
      </x:c>
      <x:c r="AF111" s="10" t="str">
        <x:v>aj2-y90-20260714T234810-0bea2f52</x:v>
      </x:c>
      <x:c r="AG111" s="10" t="str">
        <x:v>full-0006</x:v>
      </x:c>
      <x:c r="AH111" s="10" t="str">
        <x:v>full</x:v>
      </x:c>
      <x:c r="AI111" s="10" t="n">
        <x:v>6</x:v>
      </x:c>
    </x:row>
    <x:row r="112" ht="34" customHeight="1">
      <x:c r="A112" s="16" t="str">
        <x:v>flip flops for the beach that can be women</x:v>
      </x:c>
      <x:c r="B112" s="16" t="str">
        <x:v>flip flops for the beach that can be women</x:v>
      </x:c>
      <x:c r="C112" s="13" t="str">
        <x:v>a5b6822cd42a7fa9</x:v>
      </x:c>
      <x:c r="D112" s="13" t="str">
        <x:v>keyword</x:v>
      </x:c>
      <x:c r="E112" s="13" t="str">
        <x:v>en</x:v>
      </x:c>
      <x:c r="F112" s="13" t="str">
        <x:v>clothing_shoes_jewelry</x:v>
      </x:c>
      <x:c r="G112" s="16" t="str">
        <x:v>sports_outdoors</x:v>
      </x:c>
      <x:c r="H112" s="16" t="str">
        <x:v>flip_flops</x:v>
      </x:c>
      <x:c r="I112" s="16" t="str">
        <x:v>women</x:v>
      </x:c>
      <x:c r="J112" s="16" t="str"/>
      <x:c r="K112" s="16" t="str"/>
      <x:c r="L112" s="16" t="str">
        <x:v>beach_leisure</x:v>
      </x:c>
      <x:c r="M112" s="16" t="str">
        <x:v>beach</x:v>
      </x:c>
      <x:c r="N112" s="16" t="str"/>
      <x:c r="O112" s="16" t="str"/>
      <x:c r="P112" s="16" t="str"/>
      <x:c r="Q112" s="16" t="str"/>
      <x:c r="R112" s="16" t="str">
        <x:v>用户寻找女性可以在海滩穿着的夹脚拖鞋。</x:v>
      </x:c>
      <x:c r="S112" s="13" t="str">
        <x:v>consideration</x:v>
      </x:c>
      <x:c r="T112" s="16" t="str">
        <x:v>explicit | page_validated</x:v>
      </x:c>
      <x:c r="U112" s="13" t="str">
        <x:v>medium</x:v>
      </x:c>
      <x:c r="V112" s="16" t="str">
        <x:v>flip_flops_women_beach</x:v>
      </x:c>
      <x:c r="W112" s="16" t="str">
        <x:v>cluster_route</x:v>
      </x:c>
      <x:c r="X112" s="16" t="str">
        <x:v>{"product_type":[{"value":"flip_flops","evidence_type":"explicit","source_span":"flip flops","fact_ids":[],"rationale":"Term explicitly requests flip flops."},{"value":"flip_flops","evidence_type":"page_validated","source_span":"","fact_ids":["style_flip_flop"],"rationale":"该槽位与商品基准中的明示页面事实一致。"}],"audience_intent":[{"value":"women","evidence_type":"explicit","source_span":"women","fact_ids":[],"rationale":"Term specifies women as the intended wearer."},{"value":"women","evidence_type":"page_validated","source_span":"","fact_ids":["title_womens_flip_flop"],"rationale":"该槽位与商品基准中的明示页面事实一致。"}],"location_intent":[{"value":"beach","evidence_type":"explicit","source_span":"beach","fact_ids":["style_outdoor"],"rationale":"Page lists outdoor lifestyle which is compatible with beach use."}],"event_intent":[{"value":"beach_leisure","evidence_type":"inferred","source_span":"beach","fact_ids":[],"rationale":"Beach context implies leisure activity; product is outdoor-appropriate."}],"secondary_domain":[{"value":"sports_outdoors","evidence_type":"inferred","source_span":"","fact_ids":[],"rationale":"该值由搜索词整体语义推断，未作为页面明示属性。"}],"primary_domain":[{"value":"clothing_shoes_jewelry","evidence_type":"inferred","source_span":"","fact_ids":[],"rationale":"该值由搜索词整体语义推断，未作为页面明示属性。"}]}</x:v>
      </x:c>
      <x:c r="Y112" s="16" t="str">
        <x:v>awkward_phrasing</x:v>
      </x:c>
      <x:c r="Z112" s="13" t="str">
        <x:v>match</x:v>
      </x:c>
      <x:c r="AA112" s="16" t="str">
        <x:v>title_womens_flip_flop | style_flip_flop | style_outdoor</x:v>
      </x:c>
      <x:c r="AB112" s="13" t="str">
        <x:v>accepted</x:v>
      </x:c>
      <x:c r="AC112" s="13" t="str">
        <x:v>1.0.0</x:v>
      </x:c>
      <x:c r="AD112" s="13" t="str">
        <x:v>1.1.0</x:v>
      </x:c>
      <x:c r="AE112" s="13" t="str">
        <x:v>deepseek/deepseek-v4-pro</x:v>
      </x:c>
      <x:c r="AF112" s="13" t="str">
        <x:v>aj2-y90-20260714T234810-0bea2f52</x:v>
      </x:c>
      <x:c r="AG112" s="13" t="str">
        <x:v>full-0006</x:v>
      </x:c>
      <x:c r="AH112" s="13" t="str">
        <x:v>full</x:v>
      </x:c>
      <x:c r="AI112" s="13" t="n">
        <x:v>6</x:v>
      </x:c>
    </x:row>
    <x:row r="113" ht="34" customHeight="1">
      <x:c r="A113" s="15" t="str">
        <x:v>arch support flip flops</x:v>
      </x:c>
      <x:c r="B113" s="15" t="str">
        <x:v>arch support flip flops</x:v>
      </x:c>
      <x:c r="C113" s="10" t="str">
        <x:v>ad7f6919aaacf9f0</x:v>
      </x:c>
      <x:c r="D113" s="10" t="str">
        <x:v>keyword</x:v>
      </x:c>
      <x:c r="E113" s="10" t="str">
        <x:v>en</x:v>
      </x:c>
      <x:c r="F113" s="10" t="str">
        <x:v>clothing_shoes_jewelry</x:v>
      </x:c>
      <x:c r="G113" s="15" t="str"/>
      <x:c r="H113" s="15" t="str">
        <x:v>flip_flops</x:v>
      </x:c>
      <x:c r="I113" s="15" t="str"/>
      <x:c r="J113" s="15" t="str"/>
      <x:c r="K113" s="15" t="str">
        <x:v>arch_support</x:v>
      </x:c>
      <x:c r="L113" s="15" t="str"/>
      <x:c r="M113" s="15" t="str"/>
      <x:c r="N113" s="15" t="str"/>
      <x:c r="O113" s="15" t="str"/>
      <x:c r="P113" s="15" t="str"/>
      <x:c r="Q113" s="15" t="str"/>
      <x:c r="R113" s="15" t="str">
        <x:v>用户寻找具有足弓支撑功能的夹脚拖鞋。</x:v>
      </x:c>
      <x:c r="S113" s="10" t="str">
        <x:v>consideration</x:v>
      </x:c>
      <x:c r="T113" s="15" t="str">
        <x:v>explicit | page_validated</x:v>
      </x:c>
      <x:c r="U113" s="10" t="str">
        <x:v>high</x:v>
      </x:c>
      <x:c r="V113" s="15" t="str">
        <x:v>flip_flops_arch_support</x:v>
      </x:c>
      <x:c r="W113" s="15" t="str">
        <x:v>cluster_route</x:v>
      </x:c>
      <x:c r="X113" s="15" t="str">
        <x:v>{"product_type":[{"value":"flip_flops","evidence_type":"explicit","source_span":"flip flops","fact_ids":[],"rationale":"Term explicitly requests flip flops."},{"value":"flip_flops","evidence_type":"page_validated","source_span":"","fact_ids":["style_flip_flop"],"rationale":"该槽位与商品基准中的明示页面事实一致。"}],"capability_intent":[{"value":"arch_support","evidence_type":"explicit","source_span":"arch support","fact_ids":["arch_support"],"rationale":"Page states ergonomic arch support and proper alignment for all-day comfort."},{"value":"arch_support","evidence_type":"page_validated","source_span":"","fact_ids":["arch_support"],"rationale":"该槽位与商品基准中的明示页面事实一致。"}],"primary_domain":[{"value":"clothing_shoes_jewelry","evidence_type":"inferred","source_span":"","fact_ids":[],"rationale":"该值由搜索词整体语义推断，未作为页面明示属性。"}]}</x:v>
      </x:c>
      <x:c r="Y113" s="15" t="str"/>
      <x:c r="Z113" s="10" t="str">
        <x:v>match</x:v>
      </x:c>
      <x:c r="AA113" s="15" t="str">
        <x:v>style_flip_flop | arch_support</x:v>
      </x:c>
      <x:c r="AB113" s="10" t="str">
        <x:v>accepted</x:v>
      </x:c>
      <x:c r="AC113" s="10" t="str">
        <x:v>1.0.0</x:v>
      </x:c>
      <x:c r="AD113" s="10" t="str">
        <x:v>1.1.0</x:v>
      </x:c>
      <x:c r="AE113" s="10" t="str">
        <x:v>deepseek/deepseek-v4-pro</x:v>
      </x:c>
      <x:c r="AF113" s="10" t="str">
        <x:v>aj2-y90-20260714T234810-0bea2f52</x:v>
      </x:c>
      <x:c r="AG113" s="10" t="str">
        <x:v>full-0006</x:v>
      </x:c>
      <x:c r="AH113" s="10" t="str">
        <x:v>full</x:v>
      </x:c>
      <x:c r="AI113" s="10" t="n">
        <x:v>6</x:v>
      </x:c>
    </x:row>
    <x:row r="114" ht="34" customHeight="1">
      <x:c r="A114" s="16" t="str">
        <x:v>light blue beach sandals on sale overnight delivery</x:v>
      </x:c>
      <x:c r="B114" s="16" t="str">
        <x:v>light blue beach sandals on sale overnight delivery</x:v>
      </x:c>
      <x:c r="C114" s="13" t="str">
        <x:v>bed0bc3194a7d743</x:v>
      </x:c>
      <x:c r="D114" s="13" t="str">
        <x:v>keyword</x:v>
      </x:c>
      <x:c r="E114" s="13" t="str">
        <x:v>en</x:v>
      </x:c>
      <x:c r="F114" s="13" t="str">
        <x:v>clothing_shoes_jewelry</x:v>
      </x:c>
      <x:c r="G114" s="16" t="str">
        <x:v>sports_outdoors</x:v>
      </x:c>
      <x:c r="H114" s="16" t="str">
        <x:v>sandals</x:v>
      </x:c>
      <x:c r="I114" s="16" t="str"/>
      <x:c r="J114" s="16" t="str"/>
      <x:c r="K114" s="16" t="str"/>
      <x:c r="L114" s="16" t="str">
        <x:v>beach_leisure</x:v>
      </x:c>
      <x:c r="M114" s="16" t="str">
        <x:v>beach</x:v>
      </x:c>
      <x:c r="N114" s="16" t="str"/>
      <x:c r="O114" s="16" t="str"/>
      <x:c r="P114" s="16" t="str"/>
      <x:c r="Q114" s="16" t="str"/>
      <x:c r="R114" s="16" t="str">
        <x:v>用户寻找浅蓝色沙滩凉鞋并期待折扣与隔夜配送，本产品有浅蓝色可选且适合户外但价格和配送信息不在验证范围内。</x:v>
      </x:c>
      <x:c r="S114" s="13" t="str">
        <x:v>consideration</x:v>
      </x:c>
      <x:c r="T114" s="16" t="str">
        <x:v>explicit | page_validated | inferred</x:v>
      </x:c>
      <x:c r="U114" s="13" t="str">
        <x:v>medium</x:v>
      </x:c>
      <x:c r="V114" s="16" t="str">
        <x:v>sandals_beach_light_blue</x:v>
      </x:c>
      <x:c r="W114" s="16" t="str">
        <x:v>cluster_route</x:v>
      </x:c>
      <x:c r="X114" s="16" t="str">
        <x:v>{"product_type":[{"value":"sandals","evidence_type":"explicit","source_span":"sandals","fact_ids":[],"rationale":"Term explicitly requests sandals."},{"value":"sandals","evidence_type":"page_validated","source_span":"","fact_ids":["title_womens_flip_flop"],"rationale":"该槽位与商品基准中的明示页面事实一致。"}],"location_intent":[{"value":"beach","evidence_type":"explicit","source_span":"beach","fact_ids":["style_outdoor"],"rationale":"Outdoor lifestyle is compatible with beach use."}],"capability_intent":[{"value":"color_light_blue","evidence_type":"explicit","source_span":"light blue","fact_ids":["colors_visible"],"rationale":"Light blue is among the visible color options."}],"event_intent":[{"value":"beach_leisure","evidence_type":"inferred","source_span":"beach","fact_ids":[],"rationale":"Beach context implies leisure; outdoor lifestyle aligns."}],"secondary_domain":[{"value":"sports_outdoors","evidence_type":"inferred","source_span":"","fact_ids":[],"rationale":"该值由搜索词整体语义推断，未作为页面明示属性。"}],"primary_domain":[{"value":"clothing_shoes_jewelry","evidence_type":"inferred","source_span":"","fact_ids":[],"rationale":"该值由搜索词整体语义推断，未作为页面明示属性。"}]}</x:v>
      </x:c>
      <x:c r="Y114" s="16" t="str"/>
      <x:c r="Z114" s="13" t="str">
        <x:v>match</x:v>
      </x:c>
      <x:c r="AA114" s="16" t="str">
        <x:v>colors_visible | style_outdoor | style_flip_flop</x:v>
      </x:c>
      <x:c r="AB114" s="13" t="str">
        <x:v>accepted</x:v>
      </x:c>
      <x:c r="AC114" s="13" t="str">
        <x:v>1.0.0</x:v>
      </x:c>
      <x:c r="AD114" s="13" t="str">
        <x:v>1.1.0</x:v>
      </x:c>
      <x:c r="AE114" s="13" t="str">
        <x:v>deepseek/deepseek-v4-pro</x:v>
      </x:c>
      <x:c r="AF114" s="13" t="str">
        <x:v>aj2-y90-20260714T234810-0bea2f52</x:v>
      </x:c>
      <x:c r="AG114" s="13" t="str">
        <x:v>full-0006</x:v>
      </x:c>
      <x:c r="AH114" s="13" t="str">
        <x:v>full</x:v>
      </x:c>
      <x:c r="AI114" s="13" t="n">
        <x:v>6</x:v>
      </x:c>
    </x:row>
    <x:row r="115" ht="34" customHeight="1">
      <x:c r="A115" s="15" t="str">
        <x:v>coral beach sandals for women</x:v>
      </x:c>
      <x:c r="B115" s="15" t="str">
        <x:v>coral beach sandals for women</x:v>
      </x:c>
      <x:c r="C115" s="10" t="str">
        <x:v>c19a5f28404cb579</x:v>
      </x:c>
      <x:c r="D115" s="10" t="str">
        <x:v>keyword</x:v>
      </x:c>
      <x:c r="E115" s="10" t="str">
        <x:v>en</x:v>
      </x:c>
      <x:c r="F115" s="10" t="str">
        <x:v>clothing_shoes_jewelry</x:v>
      </x:c>
      <x:c r="G115" s="15" t="str">
        <x:v>sports_outdoors</x:v>
      </x:c>
      <x:c r="H115" s="15" t="str">
        <x:v>sandals</x:v>
      </x:c>
      <x:c r="I115" s="15" t="str">
        <x:v>women</x:v>
      </x:c>
      <x:c r="J115" s="15" t="str"/>
      <x:c r="K115" s="15" t="str"/>
      <x:c r="L115" s="15" t="str">
        <x:v>beach_leisure</x:v>
      </x:c>
      <x:c r="M115" s="15" t="str">
        <x:v>beach</x:v>
      </x:c>
      <x:c r="N115" s="15" t="str"/>
      <x:c r="O115" s="15" t="str"/>
      <x:c r="P115" s="15" t="str"/>
      <x:c r="Q115" s="15" t="str"/>
      <x:c r="R115" s="15" t="str">
        <x:v>用户为女性寻找珊瑚色的沙滩凉鞋，但本产品可见颜色中不含珊瑚色。</x:v>
      </x:c>
      <x:c r="S115" s="10" t="str">
        <x:v>consideration</x:v>
      </x:c>
      <x:c r="T115" s="15" t="str">
        <x:v>explicit | page_validated | inferred</x:v>
      </x:c>
      <x:c r="U115" s="10" t="str">
        <x:v>medium</x:v>
      </x:c>
      <x:c r="V115" s="15" t="str">
        <x:v>sandals_women_beach_coral</x:v>
      </x:c>
      <x:c r="W115" s="15" t="str">
        <x:v>listing_gap_review</x:v>
      </x:c>
      <x:c r="X115" s="15" t="str">
        <x:v>{"product_type":[{"value":"sandals","evidence_type":"explicit","source_span":"sandals","fact_ids":[],"rationale":"Term explicitly requests sandals."},{"value":"sandals","evidence_type":"page_validated","source_span":"","fact_ids":["title_womens_flip_flop"],"rationale":"该槽位与商品基准中的明示页面事实一致。"}],"audience_intent":[{"value":"women","evidence_type":"explicit","source_span":"for women","fact_ids":[],"rationale":"Term explicitly targets women."},{"value":"women","evidence_type":"page_validated","source_span":"","fact_ids":["title_womens_flip_flop"],"rationale":"该槽位与商品基准中的明示页面事实一致。"}],"location_intent":[{"value":"beach","evidence_type":"explicit","source_span":"beach","fact_ids":["style_outdoor"],"rationale":"Outdoor lifestyle is compatible with beach use."}],"capability_intent":[{"value":"color_coral","evidence_type":"explicit","source_span":"coral","fact_ids":[],"rationale":"Coral color is not among visible options; nearest match is pink/mauve."}],"event_intent":[{"value":"beach_leisure","evidence_type":"inferred","source_span":"beach","fact_ids":[],"rationale":"Beach context implies leisure activity."}],"secondary_domain":[{"value":"sports_outdoors","evidence_type":"inferred","source_span":"","fact_ids":[],"rationale":"该值由搜索词整体语义推断，未作为页面明示属性。"}],"primary_domain":[{"value":"clothing_shoes_jewelry","evidence_type":"inferred","source_span":"","fact_ids":[],"rationale":"该值由搜索词整体语义推断，未作为页面明示属性。"}]}</x:v>
      </x:c>
      <x:c r="Y115" s="15" t="str"/>
      <x:c r="Z115" s="10" t="str">
        <x:v>partial_match</x:v>
      </x:c>
      <x:c r="AA115" s="15" t="str">
        <x:v>title_womens_flip_flop | style_outdoor</x:v>
      </x:c>
      <x:c r="AB115" s="10" t="str">
        <x:v>accepted</x:v>
      </x:c>
      <x:c r="AC115" s="10" t="str">
        <x:v>1.0.0</x:v>
      </x:c>
      <x:c r="AD115" s="10" t="str">
        <x:v>1.1.0</x:v>
      </x:c>
      <x:c r="AE115" s="10" t="str">
        <x:v>deepseek/deepseek-v4-pro</x:v>
      </x:c>
      <x:c r="AF115" s="10" t="str">
        <x:v>aj2-y90-20260714T234810-0bea2f52</x:v>
      </x:c>
      <x:c r="AG115" s="10" t="str">
        <x:v>full-0006</x:v>
      </x:c>
      <x:c r="AH115" s="10" t="str">
        <x:v>full</x:v>
      </x:c>
      <x:c r="AI115" s="10" t="n">
        <x:v>6</x:v>
      </x:c>
    </x:row>
    <x:row r="116" ht="34" customHeight="1">
      <x:c r="A116" s="16" t="str">
        <x:v>rocketdog flip flops women</x:v>
      </x:c>
      <x:c r="B116" s="16" t="str">
        <x:v>rocketdog flip flops women</x:v>
      </x:c>
      <x:c r="C116" s="13" t="str">
        <x:v>cd286ef308d3fb7a</x:v>
      </x:c>
      <x:c r="D116" s="13" t="str">
        <x:v>keyword</x:v>
      </x:c>
      <x:c r="E116" s="13" t="str">
        <x:v>en</x:v>
      </x:c>
      <x:c r="F116" s="13" t="str">
        <x:v>clothing_shoes_jewelry</x:v>
      </x:c>
      <x:c r="G116" s="16" t="str"/>
      <x:c r="H116" s="16" t="str">
        <x:v>flip_flops</x:v>
      </x:c>
      <x:c r="I116" s="16" t="str">
        <x:v>women</x:v>
      </x:c>
      <x:c r="J116" s="16" t="str"/>
      <x:c r="K116" s="16" t="str"/>
      <x:c r="L116" s="16" t="str"/>
      <x:c r="M116" s="16" t="str"/>
      <x:c r="N116" s="16" t="str"/>
      <x:c r="O116" s="16" t="str"/>
      <x:c r="P116" s="16" t="str">
        <x:v>substitute_for_rocketdog</x:v>
      </x:c>
      <x:c r="Q116" s="16" t="str"/>
      <x:c r="R116" s="16" t="str">
        <x:v>用户想寻找Rocketdog品牌的女性夹脚拖鞋，本产品joomra可作为替代选择。</x:v>
      </x:c>
      <x:c r="S116" s="13" t="str">
        <x:v>brand_harvest</x:v>
      </x:c>
      <x:c r="T116" s="16" t="str">
        <x:v>explicit | inferred</x:v>
      </x:c>
      <x:c r="U116" s="13" t="str">
        <x:v>high</x:v>
      </x:c>
      <x:c r="V116" s="16" t="str">
        <x:v>flip_flops_women_brand_rocketdog</x:v>
      </x:c>
      <x:c r="W116" s="16" t="str">
        <x:v>semantic_negative_candidate</x:v>
      </x:c>
      <x:c r="X116" s="16" t="str">
        <x:v>{"product_type":[{"value":"flip_flops","evidence_type":"explicit","source_span":"flip flops","fact_ids":[],"rationale":"Term explicitly requests flip flops."},{"value":"flip_flops","evidence_type":"page_validated","source_span":"","fact_ids":["style_flip_flop"],"rationale":"该槽位与商品基准中的明示页面事实一致。"}],"audience_intent":[{"value":"women","evidence_type":"explicit","source_span":"women","fact_ids":[],"rationale":"Term explicitly targets women."},{"value":"women","evidence_type":"page_validated","source_span":"","fact_ids":["title_womens_flip_flop"],"rationale":"该槽位与商品基准中的明示页面事实一致。"}],"substitute_intent":[{"value":"substitute_for_rocketdog","evidence_type":"inferred","source_span":"rocketdog","fact_ids":[],"rationale":"User searches for Rocketdog but joomra women's flip flop can serve as a substitute; brand mismatch exists."}],"primary_domain":[{"value":"clothing_shoes_jewelry","evidence_type":"inferred","source_span":"","fact_ids":[],"rationale":"该值由搜索词整体语义推断，未作为页面明示属性。"}]}</x:v>
      </x:c>
      <x:c r="Y116" s="16" t="str"/>
      <x:c r="Z116" s="13" t="str">
        <x:v>mismatch</x:v>
      </x:c>
      <x:c r="AA116" s="16" t="str">
        <x:v>title_womens_flip_flop | style_flip_flop</x:v>
      </x:c>
      <x:c r="AB116" s="13" t="str">
        <x:v>accepted</x:v>
      </x:c>
      <x:c r="AC116" s="13" t="str">
        <x:v>1.0.0</x:v>
      </x:c>
      <x:c r="AD116" s="13" t="str">
        <x:v>1.1.0</x:v>
      </x:c>
      <x:c r="AE116" s="13" t="str">
        <x:v>deepseek/deepseek-v4-pro</x:v>
      </x:c>
      <x:c r="AF116" s="13" t="str">
        <x:v>aj2-y90-20260714T234810-0bea2f52</x:v>
      </x:c>
      <x:c r="AG116" s="13" t="str">
        <x:v>full-0006</x:v>
      </x:c>
      <x:c r="AH116" s="13" t="str">
        <x:v>full</x:v>
      </x:c>
      <x:c r="AI116" s="13" t="n">
        <x:v>6</x:v>
      </x:c>
    </x:row>
    <x:row r="117" ht="34" customHeight="1">
      <x:c r="A117" s="15" t="str">
        <x:v>recovery flip flops</x:v>
      </x:c>
      <x:c r="B117" s="15" t="str">
        <x:v>recovery flip flops</x:v>
      </x:c>
      <x:c r="C117" s="10" t="str">
        <x:v>d9f88eb863c69265</x:v>
      </x:c>
      <x:c r="D117" s="10" t="str">
        <x:v>keyword</x:v>
      </x:c>
      <x:c r="E117" s="10" t="str">
        <x:v>en</x:v>
      </x:c>
      <x:c r="F117" s="10" t="str">
        <x:v>clothing_shoes_jewelry</x:v>
      </x:c>
      <x:c r="G117" s="15" t="str">
        <x:v>health_household</x:v>
      </x:c>
      <x:c r="H117" s="15" t="str">
        <x:v>flip_flops</x:v>
      </x:c>
      <x:c r="I117" s="15" t="str"/>
      <x:c r="J117" s="15" t="str">
        <x:v>recovery</x:v>
      </x:c>
      <x:c r="K117" s="15" t="str">
        <x:v>cushioning | arch_support</x:v>
      </x:c>
      <x:c r="L117" s="15" t="str"/>
      <x:c r="M117" s="15" t="str"/>
      <x:c r="N117" s="15" t="str">
        <x:v>post_activity_foot_fatigue</x:v>
      </x:c>
      <x:c r="O117" s="15" t="str"/>
      <x:c r="P117" s="15" t="str"/>
      <x:c r="Q117" s="15" t="str"/>
      <x:c r="R117" s="15" t="str">
        <x:v>用户寻找用于运动后或足部恢复放松的夹脚拖鞋，本产品的足弓支撑和缓冲垫设计与此需求相关但未明确标注为恢复用途。</x:v>
      </x:c>
      <x:c r="S117" s="10" t="str">
        <x:v>consideration</x:v>
      </x:c>
      <x:c r="T117" s="15" t="str">
        <x:v>explicit | inferred | page_validated</x:v>
      </x:c>
      <x:c r="U117" s="10" t="str">
        <x:v>low</x:v>
      </x:c>
      <x:c r="V117" s="15" t="str">
        <x:v>flip_flops_recovery</x:v>
      </x:c>
      <x:c r="W117" s="15" t="str">
        <x:v>listing_gap_review</x:v>
      </x:c>
      <x:c r="X117" s="15" t="str">
        <x:v>{"product_type":[{"value":"flip_flops","evidence_type":"explicit","source_span":"flip flops","fact_ids":[],"rationale":"Term explicitly requests flip flops."},{"value":"flip_flops","evidence_type":"page_validated","source_span":"","fact_ids":["style_flip_flop"],"rationale":"该槽位与商品基准中的明示页面事实一致。"}],"function_intent":[{"value":"recovery","evidence_type":"inferred","source_span":"recovery","fact_ids":[],"rationale":"Recovery suggests post-exercise or post-injury use; arch support and cushioning are relevant but the page does not claim a recovery use case."}],"capability_intent":[{"value":"arch_support","evidence_type":"page_validated","source_span":"","fact_ids":["arch_support"],"rationale":"Page states ergonomic arch support."},{"value":"cushioning","evidence_type":"page_validated","source_span":"","fact_ids":["padded_cushioning"],"rationale":"Page lists padded as a special feature."},{"value":"cushioning","evidence_type":"inferred","source_span":"","fact_ids":[],"rationale":"该能力由搜索词表达的任务或问题推断；页面事实仅用于验证商品承接。"},{"value":"arch_support","evidence_type":"inferred","source_span":"","fact_ids":[],"rationale":"该能力由搜索词表达的任务或问题推断；页面事实仅用于验证商品承接。"}],"body_need_intent":[{"value":"post_activity_foot_fatigue","evidence_type":"inferred","source_span":"recovery","fact_ids":[],"rationale":"Recovery context implies foot fatigue relief; arch support and cushioning address this implicitly."}],"secondary_domain":[{"value":"health_household","evidence_type":"inferred","source_span":"","fact_ids":[],"rationale":"该值由搜索词整体语义推断，未作为页面明示属性。"}],"primary_domain":[{"value":"clothing_shoes_jewelry","evidence_type":"inferred","source_span":"","fact_ids":[],"rationale":"该值由搜索词整体语义推断，未作为页面明示属性。"}]}</x:v>
      </x:c>
      <x:c r="Y117" s="15" t="str">
        <x:v>ambiguous_function</x:v>
      </x:c>
      <x:c r="Z117" s="10" t="str">
        <x:v>partial_match</x:v>
      </x:c>
      <x:c r="AA117" s="15" t="str">
        <x:v>arch_support | padded_cushioning | style_flip_flop</x:v>
      </x:c>
      <x:c r="AB117" s="10" t="str">
        <x:v>accepted</x:v>
      </x:c>
      <x:c r="AC117" s="10" t="str">
        <x:v>1.0.0</x:v>
      </x:c>
      <x:c r="AD117" s="10" t="str">
        <x:v>1.1.0</x:v>
      </x:c>
      <x:c r="AE117" s="10" t="str">
        <x:v>deepseek/deepseek-v4-pro</x:v>
      </x:c>
      <x:c r="AF117" s="10" t="str">
        <x:v>aj2-y90-20260714T234810-0bea2f52</x:v>
      </x:c>
      <x:c r="AG117" s="10" t="str">
        <x:v>full-0006</x:v>
      </x:c>
      <x:c r="AH117" s="10" t="str">
        <x:v>full</x:v>
      </x:c>
      <x:c r="AI117" s="10" t="n">
        <x:v>6</x:v>
      </x:c>
    </x:row>
    <x:row r="118" ht="34" customHeight="1">
      <x:c r="A118" s="16" t="str">
        <x:v>womens beach flip flops waterproof</x:v>
      </x:c>
      <x:c r="B118" s="16" t="str">
        <x:v>womens beach flip flops waterproof</x:v>
      </x:c>
      <x:c r="C118" s="13" t="str">
        <x:v>ed1eef56385d50cc</x:v>
      </x:c>
      <x:c r="D118" s="13" t="str">
        <x:v>keyword</x:v>
      </x:c>
      <x:c r="E118" s="13" t="str">
        <x:v>en</x:v>
      </x:c>
      <x:c r="F118" s="13" t="str">
        <x:v>clothing_shoes_jewelry</x:v>
      </x:c>
      <x:c r="G118" s="16" t="str">
        <x:v>sports_outdoors</x:v>
      </x:c>
      <x:c r="H118" s="16" t="str">
        <x:v>flip_flops</x:v>
      </x:c>
      <x:c r="I118" s="16" t="str">
        <x:v>women</x:v>
      </x:c>
      <x:c r="J118" s="16" t="str"/>
      <x:c r="K118" s="16" t="str">
        <x:v>waterproof</x:v>
      </x:c>
      <x:c r="L118" s="16" t="str">
        <x:v>beach_leisure</x:v>
      </x:c>
      <x:c r="M118" s="16" t="str">
        <x:v>beach</x:v>
      </x:c>
      <x:c r="N118" s="16" t="str"/>
      <x:c r="O118" s="16" t="str"/>
      <x:c r="P118" s="16" t="str"/>
      <x:c r="Q118" s="16" t="str"/>
      <x:c r="R118" s="16" t="str">
        <x:v>用户为女性寻找可在沙滩穿着的防水夹脚拖鞋，但本产品未声明防水性能。</x:v>
      </x:c>
      <x:c r="S118" s="13" t="str">
        <x:v>consideration</x:v>
      </x:c>
      <x:c r="T118" s="16" t="str">
        <x:v>explicit | page_validated</x:v>
      </x:c>
      <x:c r="U118" s="13" t="str">
        <x:v>medium</x:v>
      </x:c>
      <x:c r="V118" s="16" t="str">
        <x:v>flip_flops_women_beach_waterproof</x:v>
      </x:c>
      <x:c r="W118" s="16" t="str">
        <x:v>listing_gap_review</x:v>
      </x:c>
      <x:c r="X118" s="16" t="str">
        <x:v>{"product_type":[{"value":"flip_flops","evidence_type":"explicit","source_span":"flip flops","fact_ids":[],"rationale":"Term explicitly requests flip flops."},{"value":"flip_flops","evidence_type":"page_validated","source_span":"","fact_ids":["style_flip_flop"],"rationale":"该槽位与商品基准中的明示页面事实一致。"}],"audience_intent":[{"value":"women","evidence_type":"explicit","source_span":"womens","fact_ids":[],"rationale":"Term explicitly targets women."},{"value":"women","evidence_type":"page_validated","source_span":"","fact_ids":["title_womens_flip_flop"],"rationale":"该槽位与商品基准中的明示页面事实一致。"}],"location_intent":[{"value":"beach","evidence_type":"explicit","source_span":"beach","fact_ids":["style_outdoor"],"rationale":"Outdoor lifestyle is compatible with beach use."}],"capability_intent":[{"value":"waterproof","evidence_type":"explicit","source_span":"waterproof","fact_ids":[],"rationale":"Waterproof is explicitly requested but not among page-validated claims."}],"secondary_domain":[{"value":"sports_outdoors","evidence_type":"inferred","source_span":"","fact_ids":[],"rationale":"该值由搜索词整体语义推断，未作为页面明示属性。"}],"primary_domain":[{"value":"clothing_shoes_jewelry","evidence_type":"inferred","source_span":"","fact_ids":[],"rationale":"该值由搜索词整体语义推断，未作为页面明示属性。"}],"event_intent":[{"value":"beach_leisure","evidence_type":"inferred","source_span":"","fact_ids":[],"rationale":"该值由搜索词整体语义推断，未作为页面明示属性。"}]}</x:v>
      </x:c>
      <x:c r="Y118" s="16" t="str"/>
      <x:c r="Z118" s="13" t="str">
        <x:v>partial_match</x:v>
      </x:c>
      <x:c r="AA118" s="16" t="str">
        <x:v>title_womens_flip_flop | style_flip_flop | style_outdoor</x:v>
      </x:c>
      <x:c r="AB118" s="13" t="str">
        <x:v>accepted</x:v>
      </x:c>
      <x:c r="AC118" s="13" t="str">
        <x:v>1.0.0</x:v>
      </x:c>
      <x:c r="AD118" s="13" t="str">
        <x:v>1.1.0</x:v>
      </x:c>
      <x:c r="AE118" s="13" t="str">
        <x:v>deepseek/deepseek-v4-pro</x:v>
      </x:c>
      <x:c r="AF118" s="13" t="str">
        <x:v>aj2-y90-20260714T234810-0bea2f52</x:v>
      </x:c>
      <x:c r="AG118" s="13" t="str">
        <x:v>full-0006</x:v>
      </x:c>
      <x:c r="AH118" s="13" t="str">
        <x:v>full</x:v>
      </x:c>
      <x:c r="AI118" s="13" t="n">
        <x:v>6</x:v>
      </x:c>
    </x:row>
    <x:row r="119" ht="34" customHeight="1">
      <x:c r="A119" s="15" t="str">
        <x:v>summer sandals</x:v>
      </x:c>
      <x:c r="B119" s="15" t="str">
        <x:v>summer sandals</x:v>
      </x:c>
      <x:c r="C119" s="10" t="str">
        <x:v>f77e37aa9d695c4a</x:v>
      </x:c>
      <x:c r="D119" s="10" t="str">
        <x:v>keyword</x:v>
      </x:c>
      <x:c r="E119" s="10" t="str">
        <x:v>en</x:v>
      </x:c>
      <x:c r="F119" s="10" t="str">
        <x:v>clothing_shoes_jewelry</x:v>
      </x:c>
      <x:c r="G119" s="15" t="str"/>
      <x:c r="H119" s="15" t="str">
        <x:v>sandals</x:v>
      </x:c>
      <x:c r="I119" s="15" t="str"/>
      <x:c r="J119" s="15" t="str"/>
      <x:c r="K119" s="15" t="str"/>
      <x:c r="L119" s="15" t="str"/>
      <x:c r="M119" s="15" t="str"/>
      <x:c r="N119" s="15" t="str"/>
      <x:c r="O119" s="15" t="str">
        <x:v>summer</x:v>
      </x:c>
      <x:c r="P119" s="15" t="str"/>
      <x:c r="Q119" s="15" t="str"/>
      <x:c r="R119" s="15" t="str">
        <x:v>用户寻找适合夏季穿着的凉鞋，本产品为户外露趾平底夹脚凉鞋，与夏季需求匹配。</x:v>
      </x:c>
      <x:c r="S119" s="10" t="str">
        <x:v>exploration</x:v>
      </x:c>
      <x:c r="T119" s="15" t="str">
        <x:v>explicit | page_validated | inferred</x:v>
      </x:c>
      <x:c r="U119" s="10" t="str">
        <x:v>medium</x:v>
      </x:c>
      <x:c r="V119" s="15" t="str">
        <x:v>sandals_summer</x:v>
      </x:c>
      <x:c r="W119" s="15" t="str">
        <x:v>cluster_route</x:v>
      </x:c>
      <x:c r="X119" s="15" t="str">
        <x:v>{"product_type":[{"value":"sandals","evidence_type":"explicit","source_span":"sandals","fact_ids":[],"rationale":"Term explicitly requests sandals."},{"value":"sandals","evidence_type":"page_validated","source_span":"","fact_ids":["title_womens_flip_flop"],"rationale":"该槽位与商品基准中的明示页面事实一致。"}],"time_intent":[{"value":"summer","evidence_type":"explicit","source_span":"summer","fact_ids":["style_open_toe","style_outdoor","lightweight_breathable"],"rationale":"Product attributes like open toe, outdoor lifestyle, and breathable design align with summer use."}],"primary_domain":[{"value":"clothing_shoes_jewelry","evidence_type":"inferred","source_span":"","fact_ids":[],"rationale":"该值由搜索词整体语义推断，未作为页面明示属性。"}]}</x:v>
      </x:c>
      <x:c r="Y119" s="15" t="str">
        <x:v>broad_term</x:v>
      </x:c>
      <x:c r="Z119" s="10" t="str">
        <x:v>match</x:v>
      </x:c>
      <x:c r="AA119" s="15" t="str">
        <x:v>style_flip_flop | style_outdoor | style_open_toe | lightweight_breathable</x:v>
      </x:c>
      <x:c r="AB119" s="10" t="str">
        <x:v>accepted</x:v>
      </x:c>
      <x:c r="AC119" s="10" t="str">
        <x:v>1.0.0</x:v>
      </x:c>
      <x:c r="AD119" s="10" t="str">
        <x:v>1.1.0</x:v>
      </x:c>
      <x:c r="AE119" s="10" t="str">
        <x:v>deepseek/deepseek-v4-pro</x:v>
      </x:c>
      <x:c r="AF119" s="10" t="str">
        <x:v>aj2-y90-20260714T234810-0bea2f52</x:v>
      </x:c>
      <x:c r="AG119" s="10" t="str">
        <x:v>full-0006</x:v>
      </x:c>
      <x:c r="AH119" s="10" t="str">
        <x:v>full</x:v>
      </x:c>
      <x:c r="AI119" s="10" t="n">
        <x:v>6</x:v>
      </x:c>
    </x:row>
    <x:row r="120" ht="34" customHeight="1">
      <x:c r="A120" s="16" t="str">
        <x:v>teal flipflops</x:v>
      </x:c>
      <x:c r="B120" s="16" t="str">
        <x:v>teal flipflops</x:v>
      </x:c>
      <x:c r="C120" s="13" t="str">
        <x:v>fbdf2f6a9ed5af55</x:v>
      </x:c>
      <x:c r="D120" s="13" t="str">
        <x:v>keyword</x:v>
      </x:c>
      <x:c r="E120" s="13" t="str">
        <x:v>en</x:v>
      </x:c>
      <x:c r="F120" s="13" t="str">
        <x:v>clothing_shoes_jewelry</x:v>
      </x:c>
      <x:c r="G120" s="16" t="str"/>
      <x:c r="H120" s="16" t="str">
        <x:v>flip_flops</x:v>
      </x:c>
      <x:c r="I120" s="16" t="str"/>
      <x:c r="J120" s="16" t="str"/>
      <x:c r="K120" s="16" t="str"/>
      <x:c r="L120" s="16" t="str"/>
      <x:c r="M120" s="16" t="str"/>
      <x:c r="N120" s="16" t="str"/>
      <x:c r="O120" s="16" t="str"/>
      <x:c r="P120" s="16" t="str"/>
      <x:c r="Q120" s="16" t="str"/>
      <x:c r="R120" s="16" t="str">
        <x:v>用户寻找青绿色(teal)的夹脚拖鞋，但该产品当前可见颜色中不包含teal。</x:v>
      </x:c>
      <x:c r="S120" s="13" t="str">
        <x:v>consideration</x:v>
      </x:c>
      <x:c r="T120" s="16" t="str">
        <x:v>explicit | page_validated</x:v>
      </x:c>
      <x:c r="U120" s="13" t="str">
        <x:v>medium</x:v>
      </x:c>
      <x:c r="V120" s="16" t="str">
        <x:v>flip_flops_teal</x:v>
      </x:c>
      <x:c r="W120" s="16" t="str">
        <x:v>listing_gap_review</x:v>
      </x:c>
      <x:c r="X120" s="16" t="str">
        <x:v>{"product_type":[{"value":"flip_flops","evidence_type":"explicit","source_span":"flipflops","fact_ids":[],"rationale":"Term explicitly requests flip flops."},{"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capability_intent":[{"value":"color_teal","evidence_type":"explicit","source_span":"teal","fact_ids":[],"rationale":"Teal color is not among the visible color options; closest match is light blue."}],"primary_domain":[{"value":"clothing_shoes_jewelry","evidence_type":"inferred","source_span":"","fact_ids":[],"rationale":"该值由搜索词整体语义推断，未作为页面明示属性。"}]}</x:v>
      </x:c>
      <x:c r="Y120" s="16" t="str"/>
      <x:c r="Z120" s="13" t="str">
        <x:v>partial_match</x:v>
      </x:c>
      <x:c r="AA120" s="16" t="str">
        <x:v>style_flip_flop</x:v>
      </x:c>
      <x:c r="AB120" s="13" t="str">
        <x:v>accepted</x:v>
      </x:c>
      <x:c r="AC120" s="13" t="str">
        <x:v>1.0.0</x:v>
      </x:c>
      <x:c r="AD120" s="13" t="str">
        <x:v>1.1.0</x:v>
      </x:c>
      <x:c r="AE120" s="13" t="str">
        <x:v>deepseek/deepseek-v4-pro</x:v>
      </x:c>
      <x:c r="AF120" s="13" t="str">
        <x:v>aj2-y90-20260714T234810-0bea2f52</x:v>
      </x:c>
      <x:c r="AG120" s="13" t="str">
        <x:v>full-0006</x:v>
      </x:c>
      <x:c r="AH120" s="13" t="str">
        <x:v>full</x:v>
      </x:c>
      <x:c r="AI120" s="13" t="n">
        <x:v>6</x:v>
      </x:c>
    </x:row>
    <x:row r="121" ht="34" customHeight="1">
      <x:c r="A121" s="15" t="str">
        <x:v>patriotic flip flops for women</x:v>
      </x:c>
      <x:c r="B121" s="15" t="str">
        <x:v>patriotic flip flops for women</x:v>
      </x:c>
      <x:c r="C121" s="10" t="str">
        <x:v>fc6b296ae4b2ddd7</x:v>
      </x:c>
      <x:c r="D121" s="10" t="str">
        <x:v>keyword</x:v>
      </x:c>
      <x:c r="E121" s="10" t="str">
        <x:v>en</x:v>
      </x:c>
      <x:c r="F121" s="10" t="str">
        <x:v>clothing_shoes_jewelry</x:v>
      </x:c>
      <x:c r="G121" s="15" t="str"/>
      <x:c r="H121" s="15" t="str">
        <x:v>flip_flops</x:v>
      </x:c>
      <x:c r="I121" s="15" t="str">
        <x:v>women</x:v>
      </x:c>
      <x:c r="J121" s="15" t="str"/>
      <x:c r="K121" s="15" t="str">
        <x:v>patriotic_design</x:v>
      </x:c>
      <x:c r="L121" s="15" t="str"/>
      <x:c r="M121" s="15" t="str"/>
      <x:c r="N121" s="15" t="str"/>
      <x:c r="O121" s="15" t="str"/>
      <x:c r="P121" s="15" t="str"/>
      <x:c r="Q121" s="15" t="str"/>
      <x:c r="R121" s="15" t="str">
        <x:v>用户想为女性寻找带有爱国主题图案或星条旗配色设计的夹脚拖鞋。</x:v>
      </x:c>
      <x:c r="S121" s="10" t="str">
        <x:v>consideration</x:v>
      </x:c>
      <x:c r="T121" s="15" t="str">
        <x:v>explicit</x:v>
      </x:c>
      <x:c r="U121" s="10" t="str">
        <x:v>medium</x:v>
      </x:c>
      <x:c r="V121" s="15" t="str">
        <x:v>flip_flops_women_patriotic_style</x:v>
      </x:c>
      <x:c r="W121" s="15" t="str">
        <x:v>listing_gap_review</x:v>
      </x:c>
      <x:c r="X121" s="15" t="str">
        <x:v>{"product_type":[{"value":"flip_flops","evidence_type":"explicit","source_span":"flip flops","fact_ids":[],"rationale":"Term explicitly requests flip flops."},{"value":"flip_flops","evidence_type":"page_validated","source_span":"","fact_ids":["style_flip_flop"],"rationale":"该槽位与商品基准中的明示页面事实一致。"}],"audience_intent":[{"value":"women","evidence_type":"explicit","source_span":"for women","fact_ids":[],"rationale":"Term explicitly targets women."},{"value":"women","evidence_type":"page_validated","source_span":"","fact_ids":["title_womens_flip_flop"],"rationale":"该槽位与商品基准中的明示页面事实一致。"}],"capability_intent":[{"value":"patriotic_design","evidence_type":"explicit","source_span":"patriotic","fact_ids":[],"rationale":"Term requests a patriotic visual theme; the baseline shows no patriotic colorway or graphic variant."}],"primary_domain":[{"value":"clothing_shoes_jewelry","evidence_type":"inferred","source_span":"","fact_ids":[],"rationale":"该值由搜索词整体语义推断，未作为页面明示属性。"}]}</x:v>
      </x:c>
      <x:c r="Y121" s="15" t="str"/>
      <x:c r="Z121" s="10" t="str">
        <x:v>partial_match</x:v>
      </x:c>
      <x:c r="AA121" s="15" t="str">
        <x:v>title_womens_flip_flop | style_flip_flop</x:v>
      </x:c>
      <x:c r="AB121" s="10" t="str">
        <x:v>accepted</x:v>
      </x:c>
      <x:c r="AC121" s="10" t="str">
        <x:v>1.0.0</x:v>
      </x:c>
      <x:c r="AD121" s="10" t="str">
        <x:v>1.1.0</x:v>
      </x:c>
      <x:c r="AE121" s="10" t="str">
        <x:v>deepseek/deepseek-v4-pro</x:v>
      </x:c>
      <x:c r="AF121" s="10" t="str">
        <x:v>aj2-y90-20260714T234810-0bea2f52</x:v>
      </x:c>
      <x:c r="AG121" s="10" t="str">
        <x:v>full-0006</x:v>
      </x:c>
      <x:c r="AH121" s="10" t="str">
        <x:v>full</x:v>
      </x:c>
      <x:c r="AI121" s="10" t="n">
        <x:v>6</x:v>
      </x:c>
    </x:row>
    <x:row r="122" ht="34" customHeight="1">
      <x:c r="A122" s="16" t="str">
        <x:v>womens sandals comfortable</x:v>
      </x:c>
      <x:c r="B122" s="16" t="str">
        <x:v>womens sandals comfortable</x:v>
      </x:c>
      <x:c r="C122" s="13" t="str">
        <x:v>09330987080bcbd4</x:v>
      </x:c>
      <x:c r="D122" s="13" t="str">
        <x:v>keyword</x:v>
      </x:c>
      <x:c r="E122" s="13" t="str">
        <x:v>en</x:v>
      </x:c>
      <x:c r="F122" s="13" t="str">
        <x:v>clothing_shoes_jewelry</x:v>
      </x:c>
      <x:c r="G122" s="16" t="str"/>
      <x:c r="H122" s="16" t="str">
        <x:v>sandals</x:v>
      </x:c>
      <x:c r="I122" s="16" t="str">
        <x:v>women</x:v>
      </x:c>
      <x:c r="J122" s="16" t="str"/>
      <x:c r="K122" s="16" t="str">
        <x:v>comfortable</x:v>
      </x:c>
      <x:c r="L122" s="16" t="str"/>
      <x:c r="M122" s="16" t="str"/>
      <x:c r="N122" s="16" t="str"/>
      <x:c r="O122" s="16" t="str"/>
      <x:c r="P122" s="16" t="str"/>
      <x:c r="Q122" s="16" t="str"/>
      <x:c r="R122" s="16" t="str">
        <x:v>女性用户在浏览各类舒适凉鞋，尚未限定具体款式，属于探索性搜索。</x:v>
      </x:c>
      <x:c r="S122" s="13" t="str">
        <x:v>exploration</x:v>
      </x:c>
      <x:c r="T122" s="16" t="str">
        <x:v>explicit | inferred</x:v>
      </x:c>
      <x:c r="U122" s="13" t="str">
        <x:v>high</x:v>
      </x:c>
      <x:c r="V122" s="16" t="str">
        <x:v>womens_comfortable_sandals</x:v>
      </x:c>
      <x:c r="W122" s="16" t="str">
        <x:v>cluster_route</x:v>
      </x:c>
      <x:c r="X122" s="16" t="str">
        <x:v>{"product_type":[{"value":"sandals","evidence_type":"explicit","source_span":"sandals","fact_ids":[],"rationale":"Term explicitly contains 'sandals'."},{"value":"sandals","evidence_type":"page_validated","source_span":"","fact_ids":["title_womens_flip_flop"],"rationale":"该槽位与商品基准中的明示页面事实一致。"}],"audience_intent":[{"value":"women","evidence_type":"explicit","source_span":"womens","fact_ids":[],"rationale":"Term explicitly contains 'womens'."},{"value":"women","evidence_type":"page_validated","source_span":"","fact_ids":["title_womens_flip_flop"],"rationale":"该槽位与商品基准中的明示页面事实一致。"}],"capability_intent":[{"value":"comfortable","evidence_type":"explicit","source_span":"comfortable","fact_ids":[],"rationale":"Term explicitly contains 'comfortable'."}],"primary_domain":[{"value":"clothing_shoes_jewelry","evidence_type":"inferred","source_span":"","fact_ids":[],"rationale":"该值由搜索词整体语义推断，未作为页面明示属性。"}]}</x:v>
      </x:c>
      <x:c r="Y122" s="16" t="str"/>
      <x:c r="Z122" s="13" t="str">
        <x:v>match</x:v>
      </x:c>
      <x:c r="AA122" s="16" t="str">
        <x:v>title_womens_flip_flop | arch_support | padded_cushioning | lightweight_breathable | soft_toe_post</x:v>
      </x:c>
      <x:c r="AB122" s="13" t="str">
        <x:v>accepted</x:v>
      </x:c>
      <x:c r="AC122" s="13" t="str">
        <x:v>1.0.0</x:v>
      </x:c>
      <x:c r="AD122" s="13" t="str">
        <x:v>1.1.0</x:v>
      </x:c>
      <x:c r="AE122" s="13" t="str">
        <x:v>deepseek/deepseek-v4-pro</x:v>
      </x:c>
      <x:c r="AF122" s="13" t="str">
        <x:v>aj2-y90-20260714T234810-0bea2f52</x:v>
      </x:c>
      <x:c r="AG122" s="13" t="str">
        <x:v>full-0007</x:v>
      </x:c>
      <x:c r="AH122" s="13" t="str">
        <x:v>full</x:v>
      </x:c>
      <x:c r="AI122" s="13" t="n">
        <x:v>7</x:v>
      </x:c>
    </x:row>
    <x:row r="123" ht="34" customHeight="1">
      <x:c r="A123" s="15" t="str">
        <x:v>ortho flip flops for women</x:v>
      </x:c>
      <x:c r="B123" s="15" t="str">
        <x:v>ortho flip flops for women</x:v>
      </x:c>
      <x:c r="C123" s="10" t="str">
        <x:v>105b6b5dd7471788</x:v>
      </x:c>
      <x:c r="D123" s="10" t="str">
        <x:v>keyword</x:v>
      </x:c>
      <x:c r="E123" s="10" t="str">
        <x:v>en</x:v>
      </x:c>
      <x:c r="F123" s="10" t="str">
        <x:v>clothing_shoes_jewelry</x:v>
      </x:c>
      <x:c r="G123" s="15" t="str"/>
      <x:c r="H123" s="15" t="str">
        <x:v>flip_flops</x:v>
      </x:c>
      <x:c r="I123" s="15" t="str">
        <x:v>women</x:v>
      </x:c>
      <x:c r="J123" s="15" t="str">
        <x:v>orthotic_support</x:v>
      </x:c>
      <x:c r="K123" s="15" t="str">
        <x:v>arch_support</x:v>
      </x:c>
      <x:c r="L123" s="15" t="str"/>
      <x:c r="M123" s="15" t="str"/>
      <x:c r="N123" s="15" t="str">
        <x:v>foot_pain_relief</x:v>
      </x:c>
      <x:c r="O123" s="15" t="str"/>
      <x:c r="P123" s="15" t="str"/>
      <x:c r="Q123" s="15" t="str"/>
      <x:c r="R123" s="15" t="str">
        <x:v>一位女性正在寻找带有足弓支撑功能的矫正型人字拖，以缓解足部不适并满足日常穿着需求。</x:v>
      </x:c>
      <x:c r="S123" s="10" t="str">
        <x:v>consideration</x:v>
      </x:c>
      <x:c r="T123" s="15" t="str">
        <x:v>explicit | inferred</x:v>
      </x:c>
      <x:c r="U123" s="10" t="str">
        <x:v>high</x:v>
      </x:c>
      <x:c r="V123" s="15" t="str">
        <x:v>womens_arch_support_flip_flops</x:v>
      </x:c>
      <x:c r="W123" s="15" t="str">
        <x:v>cluster_route</x:v>
      </x:c>
      <x:c r="X123" s="15" t="str">
        <x:v>{"product_type":[{"value":"flip_flops","evidence_type":"explicit","source_span":"flip flops","fact_ids":[],"rationale":"Term explicitly contains 'flip flops'."},{"value":"flip_flops","evidence_type":"page_validated","source_span":"","fact_ids":["style_flip_flop"],"rationale":"该槽位与商品基准中的明示页面事实一致。"}],"audience_intent":[{"value":"women","evidence_type":"explicit","source_span":"for women","fact_ids":[],"rationale":"Term explicitly contains 'for women'."},{"value":"women","evidence_type":"page_validated","source_span":"","fact_ids":["title_womens_flip_flop"],"rationale":"该槽位与商品基准中的明示页面事实一致。"}],"capability_intent":[{"value":"arch_support","evidence_type":"inferred","source_span":"ortho","fact_ids":[],"rationale":"'Ortho' is shorthand for orthopedic, typically implying arch support or corrective footbed features."},{"value":"arch_support","evidence_type":"page_validated","source_span":"","fact_ids":["arch_support"],"rationale":"该槽位与商品基准中的明示页面事实一致。"}],"function_intent":[{"value":"orthotic_support","evidence_type":"inferred","source_span":"ortho","fact_ids":[],"rationale":"'Ortho' prefix suggests the user seeks orthotic-like support."}],"body_need_intent":[{"value":"foot_pain_relief","evidence_type":"inferred","source_span":"","fact_ids":[],"rationale":"该值由搜索词整体语义推断，未作为页面明示属性。"}],"primary_domain":[{"value":"clothing_shoes_jewelry","evidence_type":"inferred","source_span":"","fact_ids":[],"rationale":"该值由搜索词整体语义推断，未作为页面明示属性。"}]}</x:v>
      </x:c>
      <x:c r="Y123" s="15" t="str"/>
      <x:c r="Z123" s="10" t="str">
        <x:v>match</x:v>
      </x:c>
      <x:c r="AA123" s="15" t="str">
        <x:v>arch_support | title_womens_flip_flop | style_flip_flop</x:v>
      </x:c>
      <x:c r="AB123" s="10" t="str">
        <x:v>accepted</x:v>
      </x:c>
      <x:c r="AC123" s="10" t="str">
        <x:v>1.0.0</x:v>
      </x:c>
      <x:c r="AD123" s="10" t="str">
        <x:v>1.1.0</x:v>
      </x:c>
      <x:c r="AE123" s="10" t="str">
        <x:v>deepseek/deepseek-v4-pro</x:v>
      </x:c>
      <x:c r="AF123" s="10" t="str">
        <x:v>aj2-y90-20260714T234810-0bea2f52</x:v>
      </x:c>
      <x:c r="AG123" s="10" t="str">
        <x:v>full-0007</x:v>
      </x:c>
      <x:c r="AH123" s="10" t="str">
        <x:v>full</x:v>
      </x:c>
      <x:c r="AI123" s="10" t="n">
        <x:v>7</x:v>
      </x:c>
    </x:row>
    <x:row r="124" ht="34" customHeight="1">
      <x:c r="A124" s="16" t="str">
        <x:v>flip flops for women waterproof arch</x:v>
      </x:c>
      <x:c r="B124" s="16" t="str">
        <x:v>flip flops for women waterproof arch</x:v>
      </x:c>
      <x:c r="C124" s="13" t="str">
        <x:v>112be29864eab139</x:v>
      </x:c>
      <x:c r="D124" s="13" t="str">
        <x:v>keyword</x:v>
      </x:c>
      <x:c r="E124" s="13" t="str">
        <x:v>en</x:v>
      </x:c>
      <x:c r="F124" s="13" t="str">
        <x:v>clothing_shoes_jewelry</x:v>
      </x:c>
      <x:c r="G124" s="16" t="str"/>
      <x:c r="H124" s="16" t="str">
        <x:v>flip_flops</x:v>
      </x:c>
      <x:c r="I124" s="16" t="str">
        <x:v>women</x:v>
      </x:c>
      <x:c r="J124" s="16" t="str"/>
      <x:c r="K124" s="16" t="str">
        <x:v>arch_support | waterproof</x:v>
      </x:c>
      <x:c r="L124" s="16" t="str"/>
      <x:c r="M124" s="16" t="str"/>
      <x:c r="N124" s="16" t="str"/>
      <x:c r="O124" s="16" t="str"/>
      <x:c r="P124" s="16" t="str"/>
      <x:c r="Q124" s="16" t="str"/>
      <x:c r="R124" s="16" t="str">
        <x:v>女性寻找既防水又具备足弓支撑功能的人字拖，但该产品页面未声明防水性能。</x:v>
      </x:c>
      <x:c r="S124" s="13" t="str">
        <x:v>consideration</x:v>
      </x:c>
      <x:c r="T124" s="16" t="str">
        <x:v>explicit | inferred</x:v>
      </x:c>
      <x:c r="U124" s="13" t="str">
        <x:v>medium</x:v>
      </x:c>
      <x:c r="V124" s="16" t="str">
        <x:v>womens_waterproof_arch_flip_flops</x:v>
      </x:c>
      <x:c r="W124" s="16" t="str">
        <x:v>listing_gap_review</x:v>
      </x:c>
      <x:c r="X124" s="16" t="str">
        <x:v>{"product_type":[{"value":"flip_flops","evidence_type":"explicit","source_span":"flip flops","fact_ids":[],"rationale":"Term explicitly contains 'flip flops'."},{"value":"flip_flops","evidence_type":"page_validated","source_span":"","fact_ids":["style_flip_flop"],"rationale":"该槽位与商品基准中的明示页面事实一致。"}],"audience_intent":[{"value":"women","evidence_type":"explicit","source_span":"for women","fact_ids":[],"rationale":"Term explicitly contains 'for women'."},{"value":"women","evidence_type":"page_validated","source_span":"","fact_ids":["title_womens_flip_flop"],"rationale":"该槽位与商品基准中的明示页面事实一致。"}],"capability_intent":[{"value":"arch_support","evidence_type":"explicit","source_span":"arch","fact_ids":[],"rationale":"Term explicitly contains 'arch' indicating arch support."},{"value":"waterproof","evidence_type":"explicit","source_span":"waterproof","fact_ids":[],"rationale":"Term explicitly contains 'waterproof'."},{"value":"arch_support","evidence_type":"page_validated","source_span":"","fact_ids":["arch_support"],"rationale":"该槽位与商品基准中的明示页面事实一致。"},{"value":"arch_suppor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124" s="16" t="str"/>
      <x:c r="Z124" s="13" t="str">
        <x:v>partial_match</x:v>
      </x:c>
      <x:c r="AA124" s="16" t="str">
        <x:v>arch_support | title_womens_flip_flop</x:v>
      </x:c>
      <x:c r="AB124" s="13" t="str">
        <x:v>accepted</x:v>
      </x:c>
      <x:c r="AC124" s="13" t="str">
        <x:v>1.0.0</x:v>
      </x:c>
      <x:c r="AD124" s="13" t="str">
        <x:v>1.1.0</x:v>
      </x:c>
      <x:c r="AE124" s="13" t="str">
        <x:v>deepseek/deepseek-v4-pro</x:v>
      </x:c>
      <x:c r="AF124" s="13" t="str">
        <x:v>aj2-y90-20260714T234810-0bea2f52</x:v>
      </x:c>
      <x:c r="AG124" s="13" t="str">
        <x:v>full-0007</x:v>
      </x:c>
      <x:c r="AH124" s="13" t="str">
        <x:v>full</x:v>
      </x:c>
      <x:c r="AI124" s="13" t="n">
        <x:v>7</x:v>
      </x:c>
    </x:row>
    <x:row r="125" ht="34" customHeight="1">
      <x:c r="A125" s="15" t="str">
        <x:v>slippers for women for beach</x:v>
      </x:c>
      <x:c r="B125" s="15" t="str">
        <x:v>slippers for women for beach</x:v>
      </x:c>
      <x:c r="C125" s="10" t="str">
        <x:v>3dbd71d01aee0abb</x:v>
      </x:c>
      <x:c r="D125" s="10" t="str">
        <x:v>keyword</x:v>
      </x:c>
      <x:c r="E125" s="10" t="str">
        <x:v>en</x:v>
      </x:c>
      <x:c r="F125" s="10" t="str">
        <x:v>clothing_shoes_jewelry</x:v>
      </x:c>
      <x:c r="G125" s="15" t="str">
        <x:v>sports_outdoors</x:v>
      </x:c>
      <x:c r="H125" s="15" t="str">
        <x:v>slippers</x:v>
      </x:c>
      <x:c r="I125" s="15" t="str">
        <x:v>women</x:v>
      </x:c>
      <x:c r="J125" s="15" t="str"/>
      <x:c r="K125" s="15" t="str"/>
      <x:c r="L125" s="15" t="str">
        <x:v>beach_outing</x:v>
      </x:c>
      <x:c r="M125" s="15" t="str">
        <x:v>beach</x:v>
      </x:c>
      <x:c r="N125" s="15" t="str"/>
      <x:c r="O125" s="15" t="str"/>
      <x:c r="P125" s="15" t="str"/>
      <x:c r="Q125" s="15" t="str"/>
      <x:c r="R125" s="15" t="str">
        <x:v>女性为海滩活动寻找拖鞋，虽然产品定位为人字拖，但作为户外凉鞋同样适合海滩穿着。</x:v>
      </x:c>
      <x:c r="S125" s="10" t="str">
        <x:v>exploration</x:v>
      </x:c>
      <x:c r="T125" s="15" t="str">
        <x:v>explicit | inferred</x:v>
      </x:c>
      <x:c r="U125" s="10" t="str">
        <x:v>medium</x:v>
      </x:c>
      <x:c r="V125" s="15" t="str">
        <x:v>womens_beach_slippers</x:v>
      </x:c>
      <x:c r="W125" s="15" t="str">
        <x:v>cluster_route</x:v>
      </x:c>
      <x:c r="X125" s="15" t="str">
        <x:v>{"product_type":[{"value":"slippers","evidence_type":"explicit","source_span":"slippers","fact_ids":[],"rationale":"Term explicitly contains 'slippers'."}],"audience_intent":[{"value":"women","evidence_type":"explicit","source_span":"for women","fact_ids":[],"rationale":"Term explicitly contains 'for women'."},{"value":"women","evidence_type":"page_validated","source_span":"","fact_ids":["title_womens_flip_flop"],"rationale":"该槽位与商品基准中的明示页面事实一致。"}],"location_intent":[{"value":"beach","evidence_type":"explicit","source_span":"beach","fact_ids":[],"rationale":"Term explicitly contains 'beach'."}],"secondary_domain":[{"value":"sports_outdoors","evidence_type":"inferred","source_span":"","fact_ids":[],"rationale":"该值由搜索词整体语义推断，未作为页面明示属性。"}],"event_intent":[{"value":"beach_outing","evidence_type":"inferred","source_span":"","fact_ids":[],"rationale":"该值由搜索词整体语义推断，未作为页面明示属性。"}],"primary_domain":[{"value":"clothing_shoes_jewelry","evidence_type":"inferred","source_span":"","fact_ids":[],"rationale":"该值由搜索词整体语义推断，未作为页面明示属性。"}]}</x:v>
      </x:c>
      <x:c r="Y125" s="15" t="str"/>
      <x:c r="Z125" s="10" t="str">
        <x:v>match</x:v>
      </x:c>
      <x:c r="AA125" s="15" t="str">
        <x:v>style_outdoor | title_womens_flip_flop | style_flip_flop</x:v>
      </x:c>
      <x:c r="AB125" s="10" t="str">
        <x:v>accepted</x:v>
      </x:c>
      <x:c r="AC125" s="10" t="str">
        <x:v>1.0.0</x:v>
      </x:c>
      <x:c r="AD125" s="10" t="str">
        <x:v>1.1.0</x:v>
      </x:c>
      <x:c r="AE125" s="10" t="str">
        <x:v>deepseek/deepseek-v4-pro</x:v>
      </x:c>
      <x:c r="AF125" s="10" t="str">
        <x:v>aj2-y90-20260714T234810-0bea2f52</x:v>
      </x:c>
      <x:c r="AG125" s="10" t="str">
        <x:v>full-0007</x:v>
      </x:c>
      <x:c r="AH125" s="10" t="str">
        <x:v>full</x:v>
      </x:c>
      <x:c r="AI125" s="10" t="n">
        <x:v>7</x:v>
      </x:c>
    </x:row>
    <x:row r="126" ht="34" customHeight="1">
      <x:c r="A126" s="16" t="str">
        <x:v>flip flops for the beach women</x:v>
      </x:c>
      <x:c r="B126" s="16" t="str">
        <x:v>flip flops for the beach women</x:v>
      </x:c>
      <x:c r="C126" s="13" t="str">
        <x:v>43b7aa80a74e0122</x:v>
      </x:c>
      <x:c r="D126" s="13" t="str">
        <x:v>keyword</x:v>
      </x:c>
      <x:c r="E126" s="13" t="str">
        <x:v>en</x:v>
      </x:c>
      <x:c r="F126" s="13" t="str">
        <x:v>clothing_shoes_jewelry</x:v>
      </x:c>
      <x:c r="G126" s="16" t="str">
        <x:v>sports_outdoors</x:v>
      </x:c>
      <x:c r="H126" s="16" t="str">
        <x:v>flip_flops</x:v>
      </x:c>
      <x:c r="I126" s="16" t="str">
        <x:v>women</x:v>
      </x:c>
      <x:c r="J126" s="16" t="str"/>
      <x:c r="K126" s="16" t="str"/>
      <x:c r="L126" s="16" t="str">
        <x:v>beach_outing</x:v>
      </x:c>
      <x:c r="M126" s="16" t="str">
        <x:v>beach</x:v>
      </x:c>
      <x:c r="N126" s="16" t="str"/>
      <x:c r="O126" s="16" t="str"/>
      <x:c r="P126" s="16" t="str"/>
      <x:c r="Q126" s="16" t="str"/>
      <x:c r="R126" s="16" t="str">
        <x:v>女性为海滩度假或海边活动寻找人字拖，产品定位为户外风格，非常适合该场景。</x:v>
      </x:c>
      <x:c r="S126" s="13" t="str">
        <x:v>exploration</x:v>
      </x:c>
      <x:c r="T126" s="16" t="str">
        <x:v>explicit | inferred</x:v>
      </x:c>
      <x:c r="U126" s="13" t="str">
        <x:v>high</x:v>
      </x:c>
      <x:c r="V126" s="16" t="str">
        <x:v>womens_beach_flip_flops</x:v>
      </x:c>
      <x:c r="W126" s="16" t="str">
        <x:v>cluster_route</x:v>
      </x:c>
      <x:c r="X126" s="16" t="str">
        <x:v>{"product_type":[{"value":"flip_flops","evidence_type":"explicit","source_span":"flip flops","fact_ids":[],"rationale":"Term explicitly contains 'flip flops'."},{"value":"flip_flops","evidence_type":"page_validated","source_span":"","fact_ids":["style_flip_flop"],"rationale":"该槽位与商品基准中的明示页面事实一致。"}],"audience_intent":[{"value":"women","evidence_type":"explicit","source_span":"women","fact_ids":[],"rationale":"Term explicitly contains 'women'."},{"value":"women","evidence_type":"page_validated","source_span":"","fact_ids":["title_womens_flip_flop"],"rationale":"该槽位与商品基准中的明示页面事实一致。"}],"location_intent":[{"value":"beach","evidence_type":"explicit","source_span":"beach","fact_ids":[],"rationale":"Term explicitly contains 'beach'."}],"secondary_domain":[{"value":"sports_outdoors","evidence_type":"inferred","source_span":"","fact_ids":[],"rationale":"该值由搜索词整体语义推断，未作为页面明示属性。"}],"event_intent":[{"value":"beach_outing","evidence_type":"inferred","source_span":"","fact_ids":[],"rationale":"该值由搜索词整体语义推断，未作为页面明示属性。"}],"primary_domain":[{"value":"clothing_shoes_jewelry","evidence_type":"inferred","source_span":"","fact_ids":[],"rationale":"该值由搜索词整体语义推断，未作为页面明示属性。"}]}</x:v>
      </x:c>
      <x:c r="Y126" s="16" t="str"/>
      <x:c r="Z126" s="13" t="str">
        <x:v>match</x:v>
      </x:c>
      <x:c r="AA126" s="16" t="str">
        <x:v>style_outdoor | title_womens_flip_flop | style_flip_flop</x:v>
      </x:c>
      <x:c r="AB126" s="13" t="str">
        <x:v>accepted</x:v>
      </x:c>
      <x:c r="AC126" s="13" t="str">
        <x:v>1.0.0</x:v>
      </x:c>
      <x:c r="AD126" s="13" t="str">
        <x:v>1.1.0</x:v>
      </x:c>
      <x:c r="AE126" s="13" t="str">
        <x:v>deepseek/deepseek-v4-pro</x:v>
      </x:c>
      <x:c r="AF126" s="13" t="str">
        <x:v>aj2-y90-20260714T234810-0bea2f52</x:v>
      </x:c>
      <x:c r="AG126" s="13" t="str">
        <x:v>full-0007</x:v>
      </x:c>
      <x:c r="AH126" s="13" t="str">
        <x:v>full</x:v>
      </x:c>
      <x:c r="AI126" s="13" t="n">
        <x:v>7</x:v>
      </x:c>
    </x:row>
    <x:row r="127" ht="34" customHeight="1">
      <x:c r="A127" s="15" t="str">
        <x:v>flipping flop arch support</x:v>
      </x:c>
      <x:c r="B127" s="15" t="str">
        <x:v>flipping flop arch support</x:v>
      </x:c>
      <x:c r="C127" s="10" t="str">
        <x:v>46951b5b1902f693</x:v>
      </x:c>
      <x:c r="D127" s="10" t="str">
        <x:v>keyword</x:v>
      </x:c>
      <x:c r="E127" s="10" t="str">
        <x:v>en</x:v>
      </x:c>
      <x:c r="F127" s="10" t="str">
        <x:v>clothing_shoes_jewelry</x:v>
      </x:c>
      <x:c r="G127" s="15" t="str"/>
      <x:c r="H127" s="15" t="str">
        <x:v>flip_flops</x:v>
      </x:c>
      <x:c r="I127" s="15" t="str"/>
      <x:c r="J127" s="15" t="str"/>
      <x:c r="K127" s="15" t="str">
        <x:v>arch_support</x:v>
      </x:c>
      <x:c r="L127" s="15" t="str"/>
      <x:c r="M127" s="15" t="str"/>
      <x:c r="N127" s="15" t="str"/>
      <x:c r="O127" s="15" t="str"/>
      <x:c r="P127" s="15" t="str"/>
      <x:c r="Q127" s="15" t="str"/>
      <x:c r="R127" s="15" t="str">
        <x:v>用户搜索带有足弓支撑的人字拖时出现了拼写变体，意图明确且产品完全匹配。</x:v>
      </x:c>
      <x:c r="S127" s="10" t="str">
        <x:v>high_intent</x:v>
      </x:c>
      <x:c r="T127" s="15" t="str">
        <x:v>explicit | inferred</x:v>
      </x:c>
      <x:c r="U127" s="10" t="str">
        <x:v>high</x:v>
      </x:c>
      <x:c r="V127" s="15" t="str">
        <x:v>arch_support_flip_flops</x:v>
      </x:c>
      <x:c r="W127" s="15" t="str">
        <x:v>cluster_route</x:v>
      </x:c>
      <x:c r="X127" s="15" t="str">
        <x:v>{"product_type":[{"value":"flip_flops","evidence_type":"inferred","source_span":"flipping flop","fact_ids":[],"rationale":"'flipping flop' is a common misspelling or typo for 'flip flop'."},{"value":"flip_flops","evidence_type":"page_validated","source_span":"","fact_ids":["style_flip_flop"],"rationale":"该槽位与商品基准中的明示页面事实一致。"}],"capability_intent":[{"value":"arch_support","evidence_type":"explicit","source_span":"arch support","fact_ids":[],"rationale":"Term explicitly contains 'arch support'."},{"value":"arch_support","evidence_type":"page_validated","source_span":"","fact_ids":["arch_support"],"rationale":"该槽位与商品基准中的明示页面事实一致。"}],"primary_domain":[{"value":"clothing_shoes_jewelry","evidence_type":"inferred","source_span":"","fact_ids":[],"rationale":"该值由搜索词整体语义推断，未作为页面明示属性。"}]}</x:v>
      </x:c>
      <x:c r="Y127" s="15" t="str"/>
      <x:c r="Z127" s="10" t="str">
        <x:v>match</x:v>
      </x:c>
      <x:c r="AA127" s="15" t="str">
        <x:v>arch_support | style_flip_flop</x:v>
      </x:c>
      <x:c r="AB127" s="10" t="str">
        <x:v>accepted</x:v>
      </x:c>
      <x:c r="AC127" s="10" t="str">
        <x:v>1.0.0</x:v>
      </x:c>
      <x:c r="AD127" s="10" t="str">
        <x:v>1.1.0</x:v>
      </x:c>
      <x:c r="AE127" s="10" t="str">
        <x:v>deepseek/deepseek-v4-pro</x:v>
      </x:c>
      <x:c r="AF127" s="10" t="str">
        <x:v>aj2-y90-20260714T234810-0bea2f52</x:v>
      </x:c>
      <x:c r="AG127" s="10" t="str">
        <x:v>full-0007</x:v>
      </x:c>
      <x:c r="AH127" s="10" t="str">
        <x:v>full</x:v>
      </x:c>
      <x:c r="AI127" s="10" t="n">
        <x:v>7</x:v>
      </x:c>
    </x:row>
    <x:row r="128" ht="34" customHeight="1">
      <x:c r="A128" s="16" t="str">
        <x:v>womens plantar fasciitis flip flops</x:v>
      </x:c>
      <x:c r="B128" s="16" t="str">
        <x:v>womens plantar fasciitis flip flops</x:v>
      </x:c>
      <x:c r="C128" s="13" t="str">
        <x:v>4ff3e869b4041cfd</x:v>
      </x:c>
      <x:c r="D128" s="13" t="str">
        <x:v>keyword</x:v>
      </x:c>
      <x:c r="E128" s="13" t="str">
        <x:v>en</x:v>
      </x:c>
      <x:c r="F128" s="13" t="str">
        <x:v>clothing_shoes_jewelry</x:v>
      </x:c>
      <x:c r="G128" s="16" t="str">
        <x:v>health_household</x:v>
      </x:c>
      <x:c r="H128" s="16" t="str">
        <x:v>flip_flops</x:v>
      </x:c>
      <x:c r="I128" s="16" t="str">
        <x:v>women</x:v>
      </x:c>
      <x:c r="J128" s="16" t="str">
        <x:v>pain_relief</x:v>
      </x:c>
      <x:c r="K128" s="16" t="str">
        <x:v>arch_support</x:v>
      </x:c>
      <x:c r="L128" s="16" t="str"/>
      <x:c r="M128" s="16" t="str"/>
      <x:c r="N128" s="16" t="str">
        <x:v>plantar_fasciitis</x:v>
      </x:c>
      <x:c r="O128" s="16" t="str"/>
      <x:c r="P128" s="16" t="str"/>
      <x:c r="Q128" s="16" t="str"/>
      <x:c r="R128" s="16" t="str">
        <x:v>患有足底筋膜炎的女性正在寻找能缓解足部疼痛并提供足弓支撑的人字拖。</x:v>
      </x:c>
      <x:c r="S128" s="13" t="str">
        <x:v>high_intent</x:v>
      </x:c>
      <x:c r="T128" s="16" t="str">
        <x:v>explicit | inferred</x:v>
      </x:c>
      <x:c r="U128" s="13" t="str">
        <x:v>medium</x:v>
      </x:c>
      <x:c r="V128" s="16" t="str">
        <x:v>plantar_fasciitis_flip_flops</x:v>
      </x:c>
      <x:c r="W128" s="16" t="str">
        <x:v>listing_gap_review</x:v>
      </x:c>
      <x:c r="X128" s="16" t="str">
        <x:v>{"product_type":[{"value":"flip_flops","evidence_type":"explicit","source_span":"flip flops","fact_ids":[],"rationale":"Term explicitly contains 'flip flops'."},{"value":"flip_flops","evidence_type":"page_validated","source_span":"","fact_ids":["style_flip_flop"],"rationale":"该槽位与商品基准中的明示页面事实一致。"}],"audience_intent":[{"value":"women","evidence_type":"explicit","source_span":"womens","fact_ids":[],"rationale":"Term explicitly contains 'womens'."},{"value":"women","evidence_type":"page_validated","source_span":"","fact_ids":["title_womens_flip_flop"],"rationale":"该槽位与商品基准中的明示页面事实一致。"}],"body_need_intent":[{"value":"plantar_fasciitis","evidence_type":"explicit","source_span":"plantar fasciitis","fact_ids":[],"rationale":"Term explicitly contains 'plantar fasciitis'."}],"capability_intent":[{"value":"arch_support","evidence_type":"inferred","source_span":"plantar fasciitis","fact_ids":[],"rationale":"Plantar fasciitis sufferers commonly seek arch support footwear for pain mitigation."},{"value":"arch_support","evidence_type":"page_validated","source_span":"","fact_ids":["arch_support"],"rationale":"该槽位与商品基准中的明示页面事实一致。"}],"secondary_domain":[{"value":"health_household","evidence_type":"inferred","source_span":"","fact_ids":[],"rationale":"该值由搜索词整体语义推断，未作为页面明示属性。"}],"function_intent":[{"value":"pain_relief","evidence_type":"inferred","source_span":"","fact_ids":[],"rationale":"该值由搜索词整体语义推断，未作为页面明示属性。"}],"primary_domain":[{"value":"clothing_shoes_jewelry","evidence_type":"inferred","source_span":"","fact_ids":[],"rationale":"该值由搜索词整体语义推断，未作为页面明示属性。"}]}</x:v>
      </x:c>
      <x:c r="Y128" s="16" t="str"/>
      <x:c r="Z128" s="13" t="str">
        <x:v>partial_match</x:v>
      </x:c>
      <x:c r="AA128" s="16" t="str">
        <x:v>arch_support | padded_cushioning</x:v>
      </x:c>
      <x:c r="AB128" s="13" t="str">
        <x:v>accepted</x:v>
      </x:c>
      <x:c r="AC128" s="13" t="str">
        <x:v>1.0.0</x:v>
      </x:c>
      <x:c r="AD128" s="13" t="str">
        <x:v>1.1.0</x:v>
      </x:c>
      <x:c r="AE128" s="13" t="str">
        <x:v>deepseek/deepseek-v4-pro</x:v>
      </x:c>
      <x:c r="AF128" s="13" t="str">
        <x:v>aj2-y90-20260714T234810-0bea2f52</x:v>
      </x:c>
      <x:c r="AG128" s="13" t="str">
        <x:v>full-0007</x:v>
      </x:c>
      <x:c r="AH128" s="13" t="str">
        <x:v>full</x:v>
      </x:c>
      <x:c r="AI128" s="13" t="n">
        <x:v>7</x:v>
      </x:c>
    </x:row>
    <x:row r="129" ht="34" customHeight="1">
      <x:c r="A129" s="15" t="str">
        <x:v>flip flops for women plastic</x:v>
      </x:c>
      <x:c r="B129" s="15" t="str">
        <x:v>flip flops for women plastic</x:v>
      </x:c>
      <x:c r="C129" s="10" t="str">
        <x:v>65a36e24497e74cd</x:v>
      </x:c>
      <x:c r="D129" s="10" t="str">
        <x:v>keyword</x:v>
      </x:c>
      <x:c r="E129" s="10" t="str">
        <x:v>en</x:v>
      </x:c>
      <x:c r="F129" s="10" t="str">
        <x:v>clothing_shoes_jewelry</x:v>
      </x:c>
      <x:c r="G129" s="15" t="str"/>
      <x:c r="H129" s="15" t="str">
        <x:v>flip_flops</x:v>
      </x:c>
      <x:c r="I129" s="15" t="str">
        <x:v>women</x:v>
      </x:c>
      <x:c r="J129" s="15" t="str"/>
      <x:c r="K129" s="15" t="str">
        <x:v>plastic_material</x:v>
      </x:c>
      <x:c r="L129" s="15" t="str"/>
      <x:c r="M129" s="15" t="str"/>
      <x:c r="N129" s="15" t="str"/>
      <x:c r="O129" s="15" t="str"/>
      <x:c r="P129" s="15" t="str"/>
      <x:c r="Q129" s="15" t="str"/>
      <x:c r="R129" s="15" t="str">
        <x:v>女性用户偏好塑料材质的人字拖，EVA作为一种常见的合成塑料材料可以满足该需求。</x:v>
      </x:c>
      <x:c r="S129" s="10" t="str">
        <x:v>consideration</x:v>
      </x:c>
      <x:c r="T129" s="15" t="str">
        <x:v>explicit | page_validated</x:v>
      </x:c>
      <x:c r="U129" s="10" t="str">
        <x:v>high</x:v>
      </x:c>
      <x:c r="V129" s="15" t="str">
        <x:v>womens_plastic_flip_flops</x:v>
      </x:c>
      <x:c r="W129" s="15" t="str">
        <x:v>cluster_route</x:v>
      </x:c>
      <x:c r="X129" s="15" t="str">
        <x:v>{"product_type":[{"value":"flip_flops","evidence_type":"explicit","source_span":"flip flops","fact_ids":[],"rationale":"Term explicitly contains 'flip flops'."},{"value":"flip_flops","evidence_type":"page_validated","source_span":"","fact_ids":["style_flip_flop"],"rationale":"该槽位与商品基准中的明示页面事实一致。"}],"audience_intent":[{"value":"women","evidence_type":"explicit","source_span":"for women","fact_ids":[],"rationale":"Term explicitly contains 'for women'."},{"value":"women","evidence_type":"page_validated","source_span":"","fact_ids":["title_womens_flip_flop"],"rationale":"该槽位与商品基准中的明示页面事实一致。"}],"capability_intent":[{"value":"plastic_material","evidence_type":"explicit","source_span":"plastic","fact_ids":[],"rationale":"Term explicitly contains 'plastic'."}],"primary_domain":[{"value":"clothing_shoes_jewelry","evidence_type":"inferred","source_span":"","fact_ids":[],"rationale":"该值由搜索词整体语义推断，未作为页面明示属性。"}]}</x:v>
      </x:c>
      <x:c r="Y129" s="15" t="str"/>
      <x:c r="Z129" s="10" t="str">
        <x:v>match</x:v>
      </x:c>
      <x:c r="AA129" s="15" t="str">
        <x:v>material_eva | title_womens_flip_flop | style_flip_flop</x:v>
      </x:c>
      <x:c r="AB129" s="10" t="str">
        <x:v>accepted</x:v>
      </x:c>
      <x:c r="AC129" s="10" t="str">
        <x:v>1.0.0</x:v>
      </x:c>
      <x:c r="AD129" s="10" t="str">
        <x:v>1.1.0</x:v>
      </x:c>
      <x:c r="AE129" s="10" t="str">
        <x:v>deepseek/deepseek-v4-pro</x:v>
      </x:c>
      <x:c r="AF129" s="10" t="str">
        <x:v>aj2-y90-20260714T234810-0bea2f52</x:v>
      </x:c>
      <x:c r="AG129" s="10" t="str">
        <x:v>full-0007</x:v>
      </x:c>
      <x:c r="AH129" s="10" t="str">
        <x:v>full</x:v>
      </x:c>
      <x:c r="AI129" s="10" t="n">
        <x:v>7</x:v>
      </x:c>
    </x:row>
    <x:row r="130" ht="34" customHeight="1">
      <x:c r="A130" s="16" t="str">
        <x:v>womens lightweight flip flops</x:v>
      </x:c>
      <x:c r="B130" s="16" t="str">
        <x:v>womens lightweight flip flops</x:v>
      </x:c>
      <x:c r="C130" s="13" t="str">
        <x:v>679f03f846d1746d</x:v>
      </x:c>
      <x:c r="D130" s="13" t="str">
        <x:v>keyword</x:v>
      </x:c>
      <x:c r="E130" s="13" t="str">
        <x:v>en</x:v>
      </x:c>
      <x:c r="F130" s="13" t="str">
        <x:v>clothing_shoes_jewelry</x:v>
      </x:c>
      <x:c r="G130" s="16" t="str"/>
      <x:c r="H130" s="16" t="str">
        <x:v>flip_flops</x:v>
      </x:c>
      <x:c r="I130" s="16" t="str">
        <x:v>women</x:v>
      </x:c>
      <x:c r="J130" s="16" t="str"/>
      <x:c r="K130" s="16" t="str">
        <x:v>lightweight</x:v>
      </x:c>
      <x:c r="L130" s="16" t="str"/>
      <x:c r="M130" s="16" t="str"/>
      <x:c r="N130" s="16" t="str"/>
      <x:c r="O130" s="16" t="str"/>
      <x:c r="P130" s="16" t="str"/>
      <x:c r="Q130" s="16" t="str"/>
      <x:c r="R130" s="16" t="str">
        <x:v>女性用户偏好轻便款式的人字拖，产品已声明超轻特性，高度匹配。</x:v>
      </x:c>
      <x:c r="S130" s="13" t="str">
        <x:v>consideration</x:v>
      </x:c>
      <x:c r="T130" s="16" t="str">
        <x:v>explicit | page_validated</x:v>
      </x:c>
      <x:c r="U130" s="13" t="str">
        <x:v>high</x:v>
      </x:c>
      <x:c r="V130" s="16" t="str">
        <x:v>womens_lightweight_flip_flops</x:v>
      </x:c>
      <x:c r="W130" s="16" t="str">
        <x:v>cluster_route</x:v>
      </x:c>
      <x:c r="X130" s="16" t="str">
        <x:v>{"product_type":[{"value":"flip_flops","evidence_type":"explicit","source_span":"flip flops","fact_ids":[],"rationale":"Term explicitly contains 'flip flops'."},{"value":"flip_flops","evidence_type":"page_validated","source_span":"","fact_ids":["style_flip_flop"],"rationale":"该槽位与商品基准中的明示页面事实一致。"}],"audience_intent":[{"value":"women","evidence_type":"explicit","source_span":"womens","fact_ids":[],"rationale":"Term explicitly contains 'womens'."},{"value":"women","evidence_type":"page_validated","source_span":"","fact_ids":["title_womens_flip_flop"],"rationale":"该槽位与商品基准中的明示页面事实一致。"}],"capability_intent":[{"value":"lightweight","evidence_type":"explicit","source_span":"lightweight","fact_ids":[],"rationale":"Term explicitly contains 'lightweight'."},{"value":"lightweight","evidence_type":"page_validated","source_span":"","fact_ids":["lightweight_breathable"],"rationale":"该槽位与商品基准中的明示页面事实一致。"}],"primary_domain":[{"value":"clothing_shoes_jewelry","evidence_type":"inferred","source_span":"","fact_ids":[],"rationale":"该值由搜索词整体语义推断，未作为页面明示属性。"}]}</x:v>
      </x:c>
      <x:c r="Y130" s="16" t="str"/>
      <x:c r="Z130" s="13" t="str">
        <x:v>match</x:v>
      </x:c>
      <x:c r="AA130" s="16" t="str">
        <x:v>lightweight_breathable | title_womens_flip_flop | style_flip_flop</x:v>
      </x:c>
      <x:c r="AB130" s="13" t="str">
        <x:v>accepted</x:v>
      </x:c>
      <x:c r="AC130" s="13" t="str">
        <x:v>1.0.0</x:v>
      </x:c>
      <x:c r="AD130" s="13" t="str">
        <x:v>1.1.0</x:v>
      </x:c>
      <x:c r="AE130" s="13" t="str">
        <x:v>deepseek/deepseek-v4-pro</x:v>
      </x:c>
      <x:c r="AF130" s="13" t="str">
        <x:v>aj2-y90-20260714T234810-0bea2f52</x:v>
      </x:c>
      <x:c r="AG130" s="13" t="str">
        <x:v>full-0007</x:v>
      </x:c>
      <x:c r="AH130" s="13" t="str">
        <x:v>full</x:v>
      </x:c>
      <x:c r="AI130" s="13" t="n">
        <x:v>7</x:v>
      </x:c>
    </x:row>
    <x:row r="131" ht="34" customHeight="1">
      <x:c r="A131" s="15" t="str">
        <x:v>sandal flip flops</x:v>
      </x:c>
      <x:c r="B131" s="15" t="str">
        <x:v>sandal flip flops</x:v>
      </x:c>
      <x:c r="C131" s="10" t="str">
        <x:v>6fe69a1515a8f73c</x:v>
      </x:c>
      <x:c r="D131" s="10" t="str">
        <x:v>keyword</x:v>
      </x:c>
      <x:c r="E131" s="10" t="str">
        <x:v>en</x:v>
      </x:c>
      <x:c r="F131" s="10" t="str">
        <x:v>clothing_shoes_jewelry</x:v>
      </x:c>
      <x:c r="G131" s="15" t="str"/>
      <x:c r="H131" s="15" t="str">
        <x:v>flip_flops | sandals</x:v>
      </x:c>
      <x:c r="I131" s="15" t="str"/>
      <x:c r="J131" s="15" t="str"/>
      <x:c r="K131" s="15" t="str"/>
      <x:c r="L131" s="15" t="str"/>
      <x:c r="M131" s="15" t="str"/>
      <x:c r="N131" s="15" t="str"/>
      <x:c r="O131" s="15" t="str"/>
      <x:c r="P131" s="15" t="str"/>
      <x:c r="Q131" s="15" t="str"/>
      <x:c r="R131" s="15" t="str">
        <x:v>用户泛指人字拖类型的凉鞋，没有限定性别、功能或使用场景，属于宽泛的品类浏览。</x:v>
      </x:c>
      <x:c r="S131" s="10" t="str">
        <x:v>exploration</x:v>
      </x:c>
      <x:c r="T131" s="15" t="str">
        <x:v>explicit</x:v>
      </x:c>
      <x:c r="U131" s="10" t="str">
        <x:v>high</x:v>
      </x:c>
      <x:c r="V131" s="15" t="str">
        <x:v>generic_flip_flop_sandals</x:v>
      </x:c>
      <x:c r="W131" s="15" t="str">
        <x:v>cluster_route</x:v>
      </x:c>
      <x:c r="X131" s="15" t="str">
        <x:v>{"product_type":[{"value":"flip_flops","evidence_type":"explicit","source_span":"flip flops","fact_ids":[],"rationale":"Term explicitly contains 'flip flops'."},{"value":"sandals","evidence_type":"explicit","source_span":"sandal","fact_ids":[],"rationale":"Term explicitly contains 'sandal'."},{"value":"flip_flops","evidence_type":"page_validated","source_span":"","fact_ids":["style_flip_flop"],"rationale":"该槽位与商品基准中的明示页面事实一致。"},{"value":"sandals","evidence_type":"page_validated","source_span":"","fact_ids":["title_womens_flip_flop"],"rationale":"该槽位与商品基准中的明示页面事实一致。"},{"value":"sandals","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131" s="15" t="str"/>
      <x:c r="Z131" s="10" t="str">
        <x:v>match</x:v>
      </x:c>
      <x:c r="AA131" s="15" t="str">
        <x:v>style_flip_flop | style_open_toe</x:v>
      </x:c>
      <x:c r="AB131" s="10" t="str">
        <x:v>accepted</x:v>
      </x:c>
      <x:c r="AC131" s="10" t="str">
        <x:v>1.0.0</x:v>
      </x:c>
      <x:c r="AD131" s="10" t="str">
        <x:v>1.1.0</x:v>
      </x:c>
      <x:c r="AE131" s="10" t="str">
        <x:v>deepseek/deepseek-v4-pro</x:v>
      </x:c>
      <x:c r="AF131" s="10" t="str">
        <x:v>aj2-y90-20260714T234810-0bea2f52</x:v>
      </x:c>
      <x:c r="AG131" s="10" t="str">
        <x:v>full-0007</x:v>
      </x:c>
      <x:c r="AH131" s="10" t="str">
        <x:v>full</x:v>
      </x:c>
      <x:c r="AI131" s="10" t="n">
        <x:v>7</x:v>
      </x:c>
    </x:row>
    <x:row r="132" ht="34" customHeight="1">
      <x:c r="A132" s="16" t="str">
        <x:v>joomm arch support flip flops</x:v>
      </x:c>
      <x:c r="B132" s="16" t="str">
        <x:v>joomm arch support flip flops</x:v>
      </x:c>
      <x:c r="C132" s="13" t="str">
        <x:v>7530e88417d9ab2d</x:v>
      </x:c>
      <x:c r="D132" s="13" t="str">
        <x:v>keyword</x:v>
      </x:c>
      <x:c r="E132" s="13" t="str">
        <x:v>en</x:v>
      </x:c>
      <x:c r="F132" s="13" t="str">
        <x:v>clothing_shoes_jewelry</x:v>
      </x:c>
      <x:c r="G132" s="16" t="str"/>
      <x:c r="H132" s="16" t="str">
        <x:v>flip_flops</x:v>
      </x:c>
      <x:c r="I132" s="16" t="str"/>
      <x:c r="J132" s="16" t="str"/>
      <x:c r="K132" s="16" t="str">
        <x:v>arch_support</x:v>
      </x:c>
      <x:c r="L132" s="16" t="str"/>
      <x:c r="M132" s="16" t="str"/>
      <x:c r="N132" s="16" t="str"/>
      <x:c r="O132" s="16" t="str"/>
      <x:c r="P132" s="16" t="str"/>
      <x:c r="Q132" s="16" t="str"/>
      <x:c r="R132" s="16" t="str">
        <x:v>用户搜索joomra品牌的足弓支撑人字拖，拼写中少了一个字母r，可能是回头客或通过口碑了解到该品牌。</x:v>
      </x:c>
      <x:c r="S132" s="13" t="str">
        <x:v>brand_harvest</x:v>
      </x:c>
      <x:c r="T132" s="16" t="str">
        <x:v>explicit | page_validated | inferred</x:v>
      </x:c>
      <x:c r="U132" s="13" t="str">
        <x:v>high</x:v>
      </x:c>
      <x:c r="V132" s="16" t="str">
        <x:v>joomra_brand_arch_support</x:v>
      </x:c>
      <x:c r="W132" s="16" t="str">
        <x:v>cluster_route</x:v>
      </x:c>
      <x:c r="X132" s="16" t="str">
        <x:v>{"product_type":[{"value":"flip_flops","evidence_type":"explicit","source_span":"flip flops","fact_ids":[],"rationale":"Term explicitly contains 'flip flops'."},{"value":"flip_flops","evidence_type":"page_validated","source_span":"","fact_ids":["style_flip_flop"],"rationale":"该槽位与商品基准中的明示页面事实一致。"}],"capability_intent":[{"value":"arch_support","evidence_type":"explicit","source_span":"arch support","fact_ids":[],"rationale":"Term explicitly contains 'arch support'."},{"value":"arch_support","evidence_type":"page_validated","source_span":"","fact_ids":["arch_support"],"rationale":"该槽位与商品基准中的明示页面事实一致。"}],"primary_domain":[{"value":"clothing_shoes_jewelry","evidence_type":"inferred","source_span":"","fact_ids":[],"rationale":"该值由搜索词整体语义推断，未作为页面明示属性。"}]}</x:v>
      </x:c>
      <x:c r="Y132" s="16" t="str"/>
      <x:c r="Z132" s="13" t="str">
        <x:v>match</x:v>
      </x:c>
      <x:c r="AA132" s="16" t="str">
        <x:v>arch_support | title_womens_flip_flop | style_flip_flop</x:v>
      </x:c>
      <x:c r="AB132" s="13" t="str">
        <x:v>accepted</x:v>
      </x:c>
      <x:c r="AC132" s="13" t="str">
        <x:v>1.0.0</x:v>
      </x:c>
      <x:c r="AD132" s="13" t="str">
        <x:v>1.1.0</x:v>
      </x:c>
      <x:c r="AE132" s="13" t="str">
        <x:v>deepseek/deepseek-v4-pro</x:v>
      </x:c>
      <x:c r="AF132" s="13" t="str">
        <x:v>aj2-y90-20260714T234810-0bea2f52</x:v>
      </x:c>
      <x:c r="AG132" s="13" t="str">
        <x:v>full-0007</x:v>
      </x:c>
      <x:c r="AH132" s="13" t="str">
        <x:v>full</x:v>
      </x:c>
      <x:c r="AI132" s="13" t="n">
        <x:v>7</x:v>
      </x:c>
    </x:row>
    <x:row r="133" ht="34" customHeight="1">
      <x:c r="A133" s="15" t="str">
        <x:v>affordable women's arch support flip flops under $20</x:v>
      </x:c>
      <x:c r="B133" s="15" t="str">
        <x:v>affordable women's arch support flip flops under $20</x:v>
      </x:c>
      <x:c r="C133" s="10" t="str">
        <x:v>790801e2fa4ecf49</x:v>
      </x:c>
      <x:c r="D133" s="10" t="str">
        <x:v>keyword</x:v>
      </x:c>
      <x:c r="E133" s="10" t="str">
        <x:v>en</x:v>
      </x:c>
      <x:c r="F133" s="10" t="str">
        <x:v>clothing_shoes_jewelry</x:v>
      </x:c>
      <x:c r="G133" s="15" t="str"/>
      <x:c r="H133" s="15" t="str">
        <x:v>flip_flops</x:v>
      </x:c>
      <x:c r="I133" s="15" t="str">
        <x:v>women</x:v>
      </x:c>
      <x:c r="J133" s="15" t="str">
        <x:v>affordable</x:v>
      </x:c>
      <x:c r="K133" s="15" t="str">
        <x:v>arch_support</x:v>
      </x:c>
      <x:c r="L133" s="15" t="str"/>
      <x:c r="M133" s="15" t="str"/>
      <x:c r="N133" s="15" t="str"/>
      <x:c r="O133" s="15" t="str"/>
      <x:c r="P133" s="15" t="str"/>
      <x:c r="Q133" s="15" t="str"/>
      <x:c r="R133" s="15" t="str">
        <x:v>一位预算有限的女性寻找价格低于20美元且带有足弓支撑功能的人字拖。</x:v>
      </x:c>
      <x:c r="S133" s="10" t="str">
        <x:v>consideration</x:v>
      </x:c>
      <x:c r="T133" s="15" t="str">
        <x:v>explicit | inferred</x:v>
      </x:c>
      <x:c r="U133" s="10" t="str">
        <x:v>medium</x:v>
      </x:c>
      <x:c r="V133" s="15" t="str">
        <x:v>budget_womens_arch_support_flip_flops</x:v>
      </x:c>
      <x:c r="W133" s="15" t="str">
        <x:v>listing_gap_review</x:v>
      </x:c>
      <x:c r="X133" s="15" t="str">
        <x:v>{"product_type":[{"value":"flip_flops","evidence_type":"explicit","source_span":"flip flops","fact_ids":[],"rationale":"Term explicitly contains 'flip flops'."},{"value":"flip_flops","evidence_type":"page_validated","source_span":"","fact_ids":["style_flip_flop"],"rationale":"该槽位与商品基准中的明示页面事实一致。"}],"audience_intent":[{"value":"women","evidence_type":"explicit","source_span":"women's","fact_ids":[],"rationale":"Term explicitly contains 'women's'."},{"value":"women","evidence_type":"page_validated","source_span":"","fact_ids":["title_womens_flip_flop"],"rationale":"该槽位与商品基准中的明示页面事实一致。"}],"capability_intent":[{"value":"arch_support","evidence_type":"explicit","source_span":"arch support","fact_ids":[],"rationale":"Term explicitly contains 'arch support'."},{"value":"arch_support","evidence_type":"page_validated","source_span":"","fact_ids":["arch_support"],"rationale":"该槽位与商品基准中的明示页面事实一致。"}],"function_intent":[{"value":"affordable","evidence_type":"explicit","source_span":"affordable","fact_ids":[],"rationale":"Term explicitly contains 'affordable' and 'under $20'."}],"primary_domain":[{"value":"clothing_shoes_jewelry","evidence_type":"inferred","source_span":"","fact_ids":[],"rationale":"该值由搜索词整体语义推断，未作为页面明示属性。"}]}</x:v>
      </x:c>
      <x:c r="Y133" s="15" t="str"/>
      <x:c r="Z133" s="10" t="str">
        <x:v>partial_match</x:v>
      </x:c>
      <x:c r="AA133" s="15" t="str">
        <x:v>arch_support | title_womens_flip_flop</x:v>
      </x:c>
      <x:c r="AB133" s="10" t="str">
        <x:v>accepted</x:v>
      </x:c>
      <x:c r="AC133" s="10" t="str">
        <x:v>1.0.0</x:v>
      </x:c>
      <x:c r="AD133" s="10" t="str">
        <x:v>1.1.0</x:v>
      </x:c>
      <x:c r="AE133" s="10" t="str">
        <x:v>deepseek/deepseek-v4-pro</x:v>
      </x:c>
      <x:c r="AF133" s="10" t="str">
        <x:v>aj2-y90-20260714T234810-0bea2f52</x:v>
      </x:c>
      <x:c r="AG133" s="10" t="str">
        <x:v>full-0007</x:v>
      </x:c>
      <x:c r="AH133" s="10" t="str">
        <x:v>full</x:v>
      </x:c>
      <x:c r="AI133" s="10" t="n">
        <x:v>7</x:v>
      </x:c>
    </x:row>
    <x:row r="134" ht="34" customHeight="1">
      <x:c r="A134" s="16" t="str">
        <x:v>womens flips flops</x:v>
      </x:c>
      <x:c r="B134" s="16" t="str">
        <x:v>womens flips flops</x:v>
      </x:c>
      <x:c r="C134" s="13" t="str">
        <x:v>8fe5b40369f2efc9</x:v>
      </x:c>
      <x:c r="D134" s="13" t="str">
        <x:v>keyword</x:v>
      </x:c>
      <x:c r="E134" s="13" t="str">
        <x:v>en</x:v>
      </x:c>
      <x:c r="F134" s="13" t="str">
        <x:v>clothing_shoes_jewelry</x:v>
      </x:c>
      <x:c r="G134" s="16" t="str"/>
      <x:c r="H134" s="16" t="str">
        <x:v>flip_flops</x:v>
      </x:c>
      <x:c r="I134" s="16" t="str">
        <x:v>women</x:v>
      </x:c>
      <x:c r="J134" s="16" t="str"/>
      <x:c r="K134" s="16" t="str"/>
      <x:c r="L134" s="16" t="str"/>
      <x:c r="M134" s="16" t="str"/>
      <x:c r="N134" s="16" t="str"/>
      <x:c r="O134" s="16" t="str"/>
      <x:c r="P134" s="16" t="str"/>
      <x:c r="Q134" s="16" t="str"/>
      <x:c r="R134" s="16" t="str">
        <x:v>女性用户在搜索人字拖时出现了明显的拼写错误，其真实意图是寻找女式人字拖。</x:v>
      </x:c>
      <x:c r="S134" s="13" t="str">
        <x:v>exploration</x:v>
      </x:c>
      <x:c r="T134" s="16" t="str">
        <x:v>explicit | inferred</x:v>
      </x:c>
      <x:c r="U134" s="13" t="str">
        <x:v>high</x:v>
      </x:c>
      <x:c r="V134" s="16" t="str">
        <x:v>womens_flip_flops_generic</x:v>
      </x:c>
      <x:c r="W134" s="16" t="str">
        <x:v>cluster_route</x:v>
      </x:c>
      <x:c r="X134" s="16" t="str">
        <x:v>{"product_type":[{"value":"flip_flops","evidence_type":"inferred","source_span":"flips flops","fact_ids":[],"rationale":"'flips flops' is a common misspelling of 'flip flops'."},{"value":"flip_flops","evidence_type":"page_validated","source_span":"","fact_ids":["style_flip_flop"],"rationale":"该槽位与商品基准中的明示页面事实一致。"}],"audience_intent":[{"value":"women","evidence_type":"explicit","source_span":"womens","fact_ids":[],"rationale":"Term explicitly contains 'womens'."},{"value":"women","evidence_type":"page_validated","source_span":"","fact_ids":["title_womens_flip_flop"],"rationale":"该槽位与商品基准中的明示页面事实一致。"}],"primary_domain":[{"value":"clothing_shoes_jewelry","evidence_type":"inferred","source_span":"","fact_ids":[],"rationale":"该值由搜索词整体语义推断，未作为页面明示属性。"}]}</x:v>
      </x:c>
      <x:c r="Y134" s="16" t="str"/>
      <x:c r="Z134" s="13" t="str">
        <x:v>match</x:v>
      </x:c>
      <x:c r="AA134" s="16" t="str">
        <x:v>title_womens_flip_flop | style_flip_flop</x:v>
      </x:c>
      <x:c r="AB134" s="13" t="str">
        <x:v>accepted</x:v>
      </x:c>
      <x:c r="AC134" s="13" t="str">
        <x:v>1.0.0</x:v>
      </x:c>
      <x:c r="AD134" s="13" t="str">
        <x:v>1.1.0</x:v>
      </x:c>
      <x:c r="AE134" s="13" t="str">
        <x:v>deepseek/deepseek-v4-pro</x:v>
      </x:c>
      <x:c r="AF134" s="13" t="str">
        <x:v>aj2-y90-20260714T234810-0bea2f52</x:v>
      </x:c>
      <x:c r="AG134" s="13" t="str">
        <x:v>full-0007</x:v>
      </x:c>
      <x:c r="AH134" s="13" t="str">
        <x:v>full</x:v>
      </x:c>
      <x:c r="AI134" s="13" t="n">
        <x:v>7</x:v>
      </x:c>
    </x:row>
    <x:row r="135" ht="34" customHeight="1">
      <x:c r="A135" s="15" t="str">
        <x:v>white rubber flip flops for women</x:v>
      </x:c>
      <x:c r="B135" s="15" t="str">
        <x:v>white rubber flip flops for women</x:v>
      </x:c>
      <x:c r="C135" s="10" t="str">
        <x:v>911062159620f217</x:v>
      </x:c>
      <x:c r="D135" s="10" t="str">
        <x:v>keyword</x:v>
      </x:c>
      <x:c r="E135" s="10" t="str">
        <x:v>en</x:v>
      </x:c>
      <x:c r="F135" s="10" t="str">
        <x:v>clothing_shoes_jewelry</x:v>
      </x:c>
      <x:c r="G135" s="15" t="str"/>
      <x:c r="H135" s="15" t="str">
        <x:v>flip_flops</x:v>
      </x:c>
      <x:c r="I135" s="15" t="str">
        <x:v>women</x:v>
      </x:c>
      <x:c r="J135" s="15" t="str"/>
      <x:c r="K135" s="15" t="str">
        <x:v>rubber_material</x:v>
      </x:c>
      <x:c r="L135" s="15" t="str"/>
      <x:c r="M135" s="15" t="str"/>
      <x:c r="N135" s="15" t="str"/>
      <x:c r="O135" s="15" t="str"/>
      <x:c r="P135" s="15" t="str"/>
      <x:c r="Q135" s="15" t="str"/>
      <x:c r="R135" s="15" t="str">
        <x:v>女性寻找白色橡胶材质的人字拖，产品有白色选项但材质为EVA而非传统橡胶，存在材质表述差异。</x:v>
      </x:c>
      <x:c r="S135" s="10" t="str">
        <x:v>consideration</x:v>
      </x:c>
      <x:c r="T135" s="15" t="str">
        <x:v>explicit | page_validated | inferred</x:v>
      </x:c>
      <x:c r="U135" s="10" t="str">
        <x:v>medium</x:v>
      </x:c>
      <x:c r="V135" s="15" t="str">
        <x:v>womens_white_rubber_flip_flops</x:v>
      </x:c>
      <x:c r="W135" s="15" t="str">
        <x:v>listing_gap_review</x:v>
      </x:c>
      <x:c r="X135" s="15" t="str">
        <x:v>{"product_type":[{"value":"flip_flops","evidence_type":"explicit","source_span":"flip flops","fact_ids":[],"rationale":"Term explicitly contains 'flip flops'."},{"value":"flip_flops","evidence_type":"page_validated","source_span":"","fact_ids":["style_flip_flop"],"rationale":"该槽位与商品基准中的明示页面事实一致。"}],"audience_intent":[{"value":"women","evidence_type":"explicit","source_span":"for women","fact_ids":[],"rationale":"Term explicitly contains 'for women'."},{"value":"women","evidence_type":"page_validated","source_span":"","fact_ids":["title_womens_flip_flop"],"rationale":"该槽位与商品基准中的明示页面事实一致。"}],"capability_intent":[{"value":"rubber_material","evidence_type":"explicit","source_span":"rubber","fact_ids":[],"rationale":"Term explicitly contains 'rubber'."}],"primary_domain":[{"value":"clothing_shoes_jewelry","evidence_type":"inferred","source_span":"","fact_ids":[],"rationale":"该值由搜索词整体语义推断，未作为页面明示属性。"}]}</x:v>
      </x:c>
      <x:c r="Y135" s="15" t="str"/>
      <x:c r="Z135" s="10" t="str">
        <x:v>partial_match</x:v>
      </x:c>
      <x:c r="AA135" s="15" t="str">
        <x:v>colors_visible | title_womens_flip_flop | style_flip_flop</x:v>
      </x:c>
      <x:c r="AB135" s="10" t="str">
        <x:v>accepted</x:v>
      </x:c>
      <x:c r="AC135" s="10" t="str">
        <x:v>1.0.0</x:v>
      </x:c>
      <x:c r="AD135" s="10" t="str">
        <x:v>1.1.0</x:v>
      </x:c>
      <x:c r="AE135" s="10" t="str">
        <x:v>deepseek/deepseek-v4-pro</x:v>
      </x:c>
      <x:c r="AF135" s="10" t="str">
        <x:v>aj2-y90-20260714T234810-0bea2f52</x:v>
      </x:c>
      <x:c r="AG135" s="10" t="str">
        <x:v>full-0007</x:v>
      </x:c>
      <x:c r="AH135" s="10" t="str">
        <x:v>full</x:v>
      </x:c>
      <x:c r="AI135" s="10" t="n">
        <x:v>7</x:v>
      </x:c>
    </x:row>
    <x:row r="136" ht="34" customHeight="1">
      <x:c r="A136" s="16" t="str">
        <x:v>arch support flip flops for women size 5</x:v>
      </x:c>
      <x:c r="B136" s="16" t="str">
        <x:v>arch support flip flops for women size 5</x:v>
      </x:c>
      <x:c r="C136" s="13" t="str">
        <x:v>922c12c5d1f8143d</x:v>
      </x:c>
      <x:c r="D136" s="13" t="str">
        <x:v>keyword</x:v>
      </x:c>
      <x:c r="E136" s="13" t="str">
        <x:v>en</x:v>
      </x:c>
      <x:c r="F136" s="13" t="str">
        <x:v>clothing_shoes_jewelry</x:v>
      </x:c>
      <x:c r="G136" s="16" t="str"/>
      <x:c r="H136" s="16" t="str">
        <x:v>flip_flops</x:v>
      </x:c>
      <x:c r="I136" s="16" t="str">
        <x:v>women</x:v>
      </x:c>
      <x:c r="J136" s="16" t="str"/>
      <x:c r="K136" s="16" t="str">
        <x:v>arch_support</x:v>
      </x:c>
      <x:c r="L136" s="16" t="str"/>
      <x:c r="M136" s="16" t="str"/>
      <x:c r="N136" s="16" t="str"/>
      <x:c r="O136" s="16" t="str"/>
      <x:c r="P136" s="16" t="str"/>
      <x:c r="Q136" s="16" t="str"/>
      <x:c r="R136" s="16" t="str">
        <x:v>穿5码小码的女性寻找带有足弓支撑的人字拖，但该产品尺码从6码起，不包含5码选项。</x:v>
      </x:c>
      <x:c r="S136" s="13" t="str">
        <x:v>high_intent</x:v>
      </x:c>
      <x:c r="T136" s="16" t="str">
        <x:v>explicit | inferred</x:v>
      </x:c>
      <x:c r="U136" s="13" t="str">
        <x:v>high</x:v>
      </x:c>
      <x:c r="V136" s="16" t="str">
        <x:v>womens_arch_support_flip_flops_size5</x:v>
      </x:c>
      <x:c r="W136" s="16" t="str">
        <x:v>listing_gap_review</x:v>
      </x:c>
      <x:c r="X136" s="16" t="str">
        <x:v>{"product_type":[{"value":"flip_flops","evidence_type":"explicit","source_span":"flip flops","fact_ids":[],"rationale":"Term explicitly contains 'flip flops'."},{"value":"flip_flops","evidence_type":"page_validated","source_span":"","fact_ids":["style_flip_flop"],"rationale":"该槽位与商品基准中的明示页面事实一致。"}],"audience_intent":[{"value":"women","evidence_type":"explicit","source_span":"women","fact_ids":[],"rationale":"Term explicitly contains 'women'."},{"value":"women","evidence_type":"page_validated","source_span":"","fact_ids":["title_womens_flip_flop"],"rationale":"该槽位与商品基准中的明示页面事实一致。"}],"capability_intent":[{"value":"arch_support","evidence_type":"explicit","source_span":"arch support","fact_ids":[],"rationale":"Term explicitly contains 'arch support'."},{"value":"arch_support","evidence_type":"page_validated","source_span":"","fact_ids":["arch_support"],"rationale":"该槽位与商品基准中的明示页面事实一致。"}],"primary_domain":[{"value":"clothing_shoes_jewelry","evidence_type":"inferred","source_span":"","fact_ids":[],"rationale":"该值由搜索词整体语义推断，未作为页面明示属性。"}]}</x:v>
      </x:c>
      <x:c r="Y136" s="16" t="str"/>
      <x:c r="Z136" s="13" t="str">
        <x:v>partial_match</x:v>
      </x:c>
      <x:c r="AA136" s="16" t="str">
        <x:v>arch_support | title_womens_flip_flop</x:v>
      </x:c>
      <x:c r="AB136" s="13" t="str">
        <x:v>accepted</x:v>
      </x:c>
      <x:c r="AC136" s="13" t="str">
        <x:v>1.0.0</x:v>
      </x:c>
      <x:c r="AD136" s="13" t="str">
        <x:v>1.1.0</x:v>
      </x:c>
      <x:c r="AE136" s="13" t="str">
        <x:v>deepseek/deepseek-v4-pro</x:v>
      </x:c>
      <x:c r="AF136" s="13" t="str">
        <x:v>aj2-y90-20260714T234810-0bea2f52</x:v>
      </x:c>
      <x:c r="AG136" s="13" t="str">
        <x:v>full-0007</x:v>
      </x:c>
      <x:c r="AH136" s="13" t="str">
        <x:v>full</x:v>
      </x:c>
      <x:c r="AI136" s="13" t="n">
        <x:v>7</x:v>
      </x:c>
    </x:row>
    <x:row r="137" ht="34" customHeight="1">
      <x:c r="A137" s="15" t="str">
        <x:v>boat thong sandals women</x:v>
      </x:c>
      <x:c r="B137" s="15" t="str">
        <x:v>boat thong sandals women</x:v>
      </x:c>
      <x:c r="C137" s="10" t="str">
        <x:v>9a415befb8ee3220</x:v>
      </x:c>
      <x:c r="D137" s="10" t="str">
        <x:v>keyword</x:v>
      </x:c>
      <x:c r="E137" s="10" t="str">
        <x:v>en</x:v>
      </x:c>
      <x:c r="F137" s="10" t="str">
        <x:v>clothing_shoes_jewelry</x:v>
      </x:c>
      <x:c r="G137" s="15" t="str">
        <x:v>sports_outdoors</x:v>
      </x:c>
      <x:c r="H137" s="15" t="str">
        <x:v>sandals</x:v>
      </x:c>
      <x:c r="I137" s="15" t="str">
        <x:v>women</x:v>
      </x:c>
      <x:c r="J137" s="15" t="str"/>
      <x:c r="K137" s="15" t="str">
        <x:v>slip_resistant</x:v>
      </x:c>
      <x:c r="L137" s="15" t="str">
        <x:v>boating</x:v>
      </x:c>
      <x:c r="M137" s="15" t="str">
        <x:v>boat</x:v>
      </x:c>
      <x:c r="N137" s="15" t="str"/>
      <x:c r="O137" s="15" t="str"/>
      <x:c r="P137" s="15" t="str"/>
      <x:c r="Q137" s="15" t="str"/>
      <x:c r="R137" s="15" t="str">
        <x:v>女性为船上活动寻找夹脚款凉鞋，产品具备防滑外底和夹脚设计，适合该使用场景。</x:v>
      </x:c>
      <x:c r="S137" s="10" t="str">
        <x:v>consideration</x:v>
      </x:c>
      <x:c r="T137" s="15" t="str">
        <x:v>explicit | inferred | page_validated</x:v>
      </x:c>
      <x:c r="U137" s="10" t="str">
        <x:v>high</x:v>
      </x:c>
      <x:c r="V137" s="15" t="str">
        <x:v>womens_boat_thong_sandals</x:v>
      </x:c>
      <x:c r="W137" s="15" t="str">
        <x:v>cluster_route</x:v>
      </x:c>
      <x:c r="X137" s="15" t="str">
        <x:v>{"product_type":[{"value":"sandals","evidence_type":"explicit","source_span":"sandals","fact_ids":[],"rationale":"Term explicitly contains 'sandals'."},{"value":"sandals","evidence_type":"page_validated","source_span":"","fact_ids":["title_womens_flip_flop"],"rationale":"该槽位与商品基准中的明示页面事实一致。"}],"audience_intent":[{"value":"women","evidence_type":"explicit","source_span":"women","fact_ids":[],"rationale":"Term explicitly contains 'women'."},{"value":"women","evidence_type":"page_validated","source_span":"","fact_ids":["title_womens_flip_flop"],"rationale":"该槽位与商品基准中的明示页面事实一致。"}],"location_intent":[{"value":"boat","evidence_type":"explicit","source_span":"boat","fact_ids":[],"rationale":"Term explicitly contains 'boat'."}],"capability_intent":[{"value":"slip_resistant","evidence_type":"inferred","source_span":"boat","fact_ids":[],"rationale":"Boat footwear typically requires slip-resistant soles for safety on wet decks."},{"value":"slip_resistant","evidence_type":"page_validated","source_span":"","fact_ids":["slip_resistant_grip"],"rationale":"该槽位与商品基准中的明示页面事实一致。"}],"secondary_domain":[{"value":"sports_outdoors","evidence_type":"inferred","source_span":"","fact_ids":[],"rationale":"该值由搜索词整体语义推断，未作为页面明示属性。"}],"event_intent":[{"value":"boating","evidence_type":"inferred","source_span":"","fact_ids":[],"rationale":"该值由搜索词整体语义推断，未作为页面明示属性。"}],"primary_domain":[{"value":"clothing_shoes_jewelry","evidence_type":"inferred","source_span":"","fact_ids":[],"rationale":"该值由搜索词整体语义推断，未作为页面明示属性。"}]}</x:v>
      </x:c>
      <x:c r="Y137" s="15" t="str"/>
      <x:c r="Z137" s="10" t="str">
        <x:v>match</x:v>
      </x:c>
      <x:c r="AA137" s="15" t="str">
        <x:v>style_thong | slip_resistant_grip | title_womens_flip_flop</x:v>
      </x:c>
      <x:c r="AB137" s="10" t="str">
        <x:v>accepted</x:v>
      </x:c>
      <x:c r="AC137" s="10" t="str">
        <x:v>1.0.0</x:v>
      </x:c>
      <x:c r="AD137" s="10" t="str">
        <x:v>1.1.0</x:v>
      </x:c>
      <x:c r="AE137" s="10" t="str">
        <x:v>deepseek/deepseek-v4-pro</x:v>
      </x:c>
      <x:c r="AF137" s="10" t="str">
        <x:v>aj2-y90-20260714T234810-0bea2f52</x:v>
      </x:c>
      <x:c r="AG137" s="10" t="str">
        <x:v>full-0007</x:v>
      </x:c>
      <x:c r="AH137" s="10" t="str">
        <x:v>full</x:v>
      </x:c>
      <x:c r="AI137" s="10" t="n">
        <x:v>7</x:v>
      </x:c>
    </x:row>
    <x:row r="138" ht="34" customHeight="1">
      <x:c r="A138" s="16" t="str">
        <x:v>archie flip-flopped</x:v>
      </x:c>
      <x:c r="B138" s="16" t="str">
        <x:v>archie flip-flopped</x:v>
      </x:c>
      <x:c r="C138" s="13" t="str">
        <x:v>9dc265dfdc193813</x:v>
      </x:c>
      <x:c r="D138" s="13" t="str">
        <x:v>keyword</x:v>
      </x:c>
      <x:c r="E138" s="13" t="str">
        <x:v>en</x:v>
      </x:c>
      <x:c r="F138" s="13" t="str">
        <x:v>clothing_shoes_jewelry</x:v>
      </x:c>
      <x:c r="G138" s="16" t="str"/>
      <x:c r="H138" s="16" t="str">
        <x:v>flip_flops</x:v>
      </x:c>
      <x:c r="I138" s="16" t="str"/>
      <x:c r="J138" s="16" t="str"/>
      <x:c r="K138" s="16" t="str"/>
      <x:c r="L138" s="16" t="str"/>
      <x:c r="M138" s="16" t="str"/>
      <x:c r="N138" s="16" t="str"/>
      <x:c r="O138" s="16" t="str"/>
      <x:c r="P138" s="16" t="str"/>
      <x:c r="Q138" s="16" t="str"/>
      <x:c r="R138" s="16" t="str">
        <x:v>用户尝试搜索竞品Archie's品牌的人字拖，但使用了非常规的语法形式，意图不够明确。</x:v>
      </x:c>
      <x:c r="S138" s="13" t="str">
        <x:v>unknown</x:v>
      </x:c>
      <x:c r="T138" s="16" t="str">
        <x:v>inferred</x:v>
      </x:c>
      <x:c r="U138" s="13" t="str">
        <x:v>medium</x:v>
      </x:c>
      <x:c r="V138" s="16" t="str">
        <x:v>competitor_brand_misspelling</x:v>
      </x:c>
      <x:c r="W138" s="16" t="str">
        <x:v>semantic_negative_candidate</x:v>
      </x:c>
      <x:c r="X138" s="16" t="str">
        <x:v>{"product_type":[{"value":"flip_flops","evidence_type":"inferred","source_span":"flip-flopped","fact_ids":[],"rationale":"'flip-flopped' appears to be a non-standard form of 'flip flops', possibly a search error."},{"value":"flip_flops","evidence_type":"page_validated","source_span":"","fact_ids":["style_flip_flop"],"rationale":"该槽位与商品基准中的明示页面事实一致。"}],"primary_domain":[{"value":"clothing_shoes_jewelry","evidence_type":"inferred","source_span":"","fact_ids":[],"rationale":"该值由搜索词整体语义推断，未作为页面明示属性。"}]}</x:v>
      </x:c>
      <x:c r="Y138" s="16" t="str">
        <x:v>unusual_word_form | brand_competitor</x:v>
      </x:c>
      <x:c r="Z138" s="13" t="str">
        <x:v>mismatch</x:v>
      </x:c>
      <x:c r="AA138" s="16" t="str"/>
      <x:c r="AB138" s="13" t="str">
        <x:v>accepted</x:v>
      </x:c>
      <x:c r="AC138" s="13" t="str">
        <x:v>1.0.0</x:v>
      </x:c>
      <x:c r="AD138" s="13" t="str">
        <x:v>1.1.0</x:v>
      </x:c>
      <x:c r="AE138" s="13" t="str">
        <x:v>deepseek/deepseek-v4-pro</x:v>
      </x:c>
      <x:c r="AF138" s="13" t="str">
        <x:v>aj2-y90-20260714T234810-0bea2f52</x:v>
      </x:c>
      <x:c r="AG138" s="13" t="str">
        <x:v>full-0007</x:v>
      </x:c>
      <x:c r="AH138" s="13" t="str">
        <x:v>full</x:v>
      </x:c>
      <x:c r="AI138" s="13" t="n">
        <x:v>7</x:v>
      </x:c>
    </x:row>
    <x:row r="139" ht="34" customHeight="1">
      <x:c r="A139" s="15" t="str">
        <x:v>floopi flip flops for women</x:v>
      </x:c>
      <x:c r="B139" s="15" t="str">
        <x:v>floopi flip flops for women</x:v>
      </x:c>
      <x:c r="C139" s="10" t="str">
        <x:v>abb7a04adccc2844</x:v>
      </x:c>
      <x:c r="D139" s="10" t="str">
        <x:v>keyword</x:v>
      </x:c>
      <x:c r="E139" s="10" t="str">
        <x:v>en</x:v>
      </x:c>
      <x:c r="F139" s="10" t="str">
        <x:v>clothing_shoes_jewelry</x:v>
      </x:c>
      <x:c r="G139" s="15" t="str"/>
      <x:c r="H139" s="15" t="str">
        <x:v>flip_flops</x:v>
      </x:c>
      <x:c r="I139" s="15" t="str">
        <x:v>women</x:v>
      </x:c>
      <x:c r="J139" s="15" t="str"/>
      <x:c r="K139" s="15" t="str"/>
      <x:c r="L139" s="15" t="str"/>
      <x:c r="M139" s="15" t="str"/>
      <x:c r="N139" s="15" t="str"/>
      <x:c r="O139" s="15" t="str"/>
      <x:c r="P139" s="15" t="str"/>
      <x:c r="Q139" s="15" t="str"/>
      <x:c r="R139" s="15" t="str">
        <x:v>用户搜索名为floopi品牌的女式人字拖，该品牌与joomra无关，属于竞品品牌搜索。</x:v>
      </x:c>
      <x:c r="S139" s="10" t="str">
        <x:v>brand_harvest</x:v>
      </x:c>
      <x:c r="T139" s="15" t="str">
        <x:v>explicit | inferred</x:v>
      </x:c>
      <x:c r="U139" s="10" t="str">
        <x:v>medium</x:v>
      </x:c>
      <x:c r="V139" s="15" t="str">
        <x:v>competitor_brand_womens_flip_flops</x:v>
      </x:c>
      <x:c r="W139" s="15" t="str">
        <x:v>semantic_negative_candidate</x:v>
      </x:c>
      <x:c r="X139" s="15" t="str">
        <x:v>{"product_type":[{"value":"flip_flops","evidence_type":"explicit","source_span":"flip flops","fact_ids":[],"rationale":"Term explicitly contains 'flip flops'."},{"value":"flip_flops","evidence_type":"page_validated","source_span":"","fact_ids":["style_flip_flop"],"rationale":"该槽位与商品基准中的明示页面事实一致。"}],"audience_intent":[{"value":"women","evidence_type":"explicit","source_span":"for women","fact_ids":[],"rationale":"Term explicitly contains 'for women'."},{"value":"women","evidence_type":"page_validated","source_span":"","fact_ids":["title_womens_flip_flop"],"rationale":"该槽位与商品基准中的明示页面事实一致。"}],"primary_domain":[{"value":"clothing_shoes_jewelry","evidence_type":"inferred","source_span":"","fact_ids":[],"rationale":"该值由搜索词整体语义推断，未作为页面明示属性。"}]}</x:v>
      </x:c>
      <x:c r="Y139" s="15" t="str"/>
      <x:c r="Z139" s="10" t="str">
        <x:v>mismatch</x:v>
      </x:c>
      <x:c r="AA139" s="15" t="str"/>
      <x:c r="AB139" s="10" t="str">
        <x:v>accepted</x:v>
      </x:c>
      <x:c r="AC139" s="10" t="str">
        <x:v>1.0.0</x:v>
      </x:c>
      <x:c r="AD139" s="10" t="str">
        <x:v>1.1.0</x:v>
      </x:c>
      <x:c r="AE139" s="10" t="str">
        <x:v>deepseek/deepseek-v4-pro</x:v>
      </x:c>
      <x:c r="AF139" s="10" t="str">
        <x:v>aj2-y90-20260714T234810-0bea2f52</x:v>
      </x:c>
      <x:c r="AG139" s="10" t="str">
        <x:v>full-0007</x:v>
      </x:c>
      <x:c r="AH139" s="10" t="str">
        <x:v>full</x:v>
      </x:c>
      <x:c r="AI139" s="10" t="n">
        <x:v>7</x:v>
      </x:c>
    </x:row>
    <x:row r="140" ht="34" customHeight="1">
      <x:c r="A140" s="16" t="str">
        <x:v>archie's flip-flops brown</x:v>
      </x:c>
      <x:c r="B140" s="16" t="str">
        <x:v>archie's flip-flops brown</x:v>
      </x:c>
      <x:c r="C140" s="13" t="str">
        <x:v>b7306e90bb751700</x:v>
      </x:c>
      <x:c r="D140" s="13" t="str">
        <x:v>keyword</x:v>
      </x:c>
      <x:c r="E140" s="13" t="str">
        <x:v>en</x:v>
      </x:c>
      <x:c r="F140" s="13" t="str">
        <x:v>clothing_shoes_jewelry</x:v>
      </x:c>
      <x:c r="G140" s="16" t="str"/>
      <x:c r="H140" s="16" t="str">
        <x:v>flip_flops</x:v>
      </x:c>
      <x:c r="I140" s="16" t="str"/>
      <x:c r="J140" s="16" t="str"/>
      <x:c r="K140" s="16" t="str"/>
      <x:c r="L140" s="16" t="str"/>
      <x:c r="M140" s="16" t="str"/>
      <x:c r="N140" s="16" t="str"/>
      <x:c r="O140" s="16" t="str"/>
      <x:c r="P140" s="16" t="str"/>
      <x:c r="Q140" s="16" t="str"/>
      <x:c r="R140" s="16" t="str">
        <x:v>用户正在搜索竞品品牌Archie's的棕色人字拖，该需求与joomra品牌不直接匹配。</x:v>
      </x:c>
      <x:c r="S140" s="13" t="str">
        <x:v>brand_harvest</x:v>
      </x:c>
      <x:c r="T140" s="16" t="str">
        <x:v>explicit | inferred</x:v>
      </x:c>
      <x:c r="U140" s="13" t="str">
        <x:v>high</x:v>
      </x:c>
      <x:c r="V140" s="16" t="str">
        <x:v>competitor_brand_flip_flops</x:v>
      </x:c>
      <x:c r="W140" s="16" t="str">
        <x:v>semantic_negative_candidate</x:v>
      </x:c>
      <x:c r="X140" s="16" t="str">
        <x:v>{"product_type":[{"value":"flip_flops","evidence_type":"explicit","source_span":"flip-flops","fact_ids":[],"rationale":"Term explicitly contains 'flip-flops'."},{"value":"flip_flops","evidence_type":"page_validated","source_span":"","fact_ids":["style_flip_flop"],"rationale":"该槽位与商品基准中的明示页面事实一致。"}],"primary_domain":[{"value":"clothing_shoes_jewelry","evidence_type":"inferred","source_span":"","fact_ids":[],"rationale":"该值由搜索词整体语义推断，未作为页面明示属性。"}]}</x:v>
      </x:c>
      <x:c r="Y140" s="16" t="str"/>
      <x:c r="Z140" s="13" t="str">
        <x:v>mismatch</x:v>
      </x:c>
      <x:c r="AA140" s="16" t="str"/>
      <x:c r="AB140" s="13" t="str">
        <x:v>accepted</x:v>
      </x:c>
      <x:c r="AC140" s="13" t="str">
        <x:v>1.0.0</x:v>
      </x:c>
      <x:c r="AD140" s="13" t="str">
        <x:v>1.1.0</x:v>
      </x:c>
      <x:c r="AE140" s="13" t="str">
        <x:v>deepseek/deepseek-v4-pro</x:v>
      </x:c>
      <x:c r="AF140" s="13" t="str">
        <x:v>aj2-y90-20260714T234810-0bea2f52</x:v>
      </x:c>
      <x:c r="AG140" s="13" t="str">
        <x:v>full-0007</x:v>
      </x:c>
      <x:c r="AH140" s="13" t="str">
        <x:v>full</x:v>
      </x:c>
      <x:c r="AI140" s="13" t="n">
        <x:v>7</x:v>
      </x:c>
    </x:row>
    <x:row r="141" ht="34" customHeight="1">
      <x:c r="A141" s="15" t="str">
        <x:v>womens slip on waterproof</x:v>
      </x:c>
      <x:c r="B141" s="15" t="str">
        <x:v>womens slip on waterproof</x:v>
      </x:c>
      <x:c r="C141" s="10" t="str">
        <x:v>f9ad6d920c9e6747</x:v>
      </x:c>
      <x:c r="D141" s="10" t="str">
        <x:v>keyword</x:v>
      </x:c>
      <x:c r="E141" s="10" t="str">
        <x:v>en</x:v>
      </x:c>
      <x:c r="F141" s="10" t="str">
        <x:v>clothing_shoes_jewelry</x:v>
      </x:c>
      <x:c r="G141" s="15" t="str"/>
      <x:c r="H141" s="15" t="str"/>
      <x:c r="I141" s="15" t="str">
        <x:v>women</x:v>
      </x:c>
      <x:c r="J141" s="15" t="str"/>
      <x:c r="K141" s="15" t="str">
        <x:v>slip_on | waterproof</x:v>
      </x:c>
      <x:c r="L141" s="15" t="str"/>
      <x:c r="M141" s="15" t="str"/>
      <x:c r="N141" s="15" t="str"/>
      <x:c r="O141" s="15" t="str"/>
      <x:c r="P141" s="15" t="str"/>
      <x:c r="Q141" s="15" t="str"/>
      <x:c r="R141" s="15" t="str">
        <x:v>女性搜索一脚蹬且防水的产品，但未指明具体品类，可能是鞋子、凉鞋或其他类型，意图过于模糊。</x:v>
      </x:c>
      <x:c r="S141" s="10" t="str">
        <x:v>exploration</x:v>
      </x:c>
      <x:c r="T141" s="15" t="str">
        <x:v>explicit | inferred</x:v>
      </x:c>
      <x:c r="U141" s="10" t="str">
        <x:v>low</x:v>
      </x:c>
      <x:c r="V141" s="15" t="str">
        <x:v>womens_slip_on_waterproof_generic</x:v>
      </x:c>
      <x:c r="W141" s="15" t="str">
        <x:v>ambiguity_review</x:v>
      </x:c>
      <x:c r="X141" s="15" t="str">
        <x:v>{"audience_intent":[{"value":"women","evidence_type":"explicit","source_span":"womens","fact_ids":[],"rationale":"Term explicitly contains 'womens'."},{"value":"women","evidence_type":"page_validated","source_span":"","fact_ids":["title_womens_flip_flop"],"rationale":"该槽位与商品基准中的明示页面事实一致。"}],"capability_intent":[{"value":"slip_on","evidence_type":"explicit","source_span":"slip on","fact_ids":[],"rationale":"Term explicitly contains 'slip on'."},{"value":"waterproof","evidence_type":"explicit","source_span":"waterproof","fact_ids":[],"rationale":"Term explicitly contains 'waterproof'."},{"value":"slip_on","evidence_type":"page_validated","source_span":"","fact_ids":["closure_slip_on"],"rationale":"该槽位与商品基准中的明示页面事实一致。"}],"primary_domain":[{"value":"clothing_shoes_jewelry","evidence_type":"inferred","source_span":"","fact_ids":[],"rationale":"该值由搜索词整体语义推断，未作为页面明示属性。"}]}</x:v>
      </x:c>
      <x:c r="Y141" s="15" t="str">
        <x:v>missing_product_type | broad_category</x:v>
      </x:c>
      <x:c r="Z141" s="10" t="str">
        <x:v>unknown</x:v>
      </x:c>
      <x:c r="AA141" s="15" t="str"/>
      <x:c r="AB141" s="10" t="str">
        <x:v>accepted</x:v>
      </x:c>
      <x:c r="AC141" s="10" t="str">
        <x:v>1.0.0</x:v>
      </x:c>
      <x:c r="AD141" s="10" t="str">
        <x:v>1.1.0</x:v>
      </x:c>
      <x:c r="AE141" s="10" t="str">
        <x:v>deepseek/deepseek-v4-pro</x:v>
      </x:c>
      <x:c r="AF141" s="10" t="str">
        <x:v>aj2-y90-20260714T234810-0bea2f52</x:v>
      </x:c>
      <x:c r="AG141" s="10" t="str">
        <x:v>full-0007</x:v>
      </x:c>
      <x:c r="AH141" s="10" t="str">
        <x:v>full</x:v>
      </x:c>
      <x:c r="AI141" s="10" t="n">
        <x:v>7</x:v>
      </x:c>
    </x:row>
    <x:row r="142" ht="34" customHeight="1">
      <x:c r="A142" s="16" t="str">
        <x:v>navy blue women's flipflops</x:v>
      </x:c>
      <x:c r="B142" s="16" t="str">
        <x:v>navy blue women's flipflops</x:v>
      </x:c>
      <x:c r="C142" s="13" t="str">
        <x:v>05556153e2bd3416</x:v>
      </x:c>
      <x:c r="D142" s="13" t="str">
        <x:v>keyword</x:v>
      </x:c>
      <x:c r="E142" s="13" t="str">
        <x:v>en</x:v>
      </x:c>
      <x:c r="F142" s="13" t="str">
        <x:v>clothing_shoes_jewelry</x:v>
      </x:c>
      <x:c r="G142" s="16" t="str"/>
      <x:c r="H142" s="16" t="str">
        <x:v>flip_flops</x:v>
      </x:c>
      <x:c r="I142" s="16" t="str">
        <x:v>women</x:v>
      </x:c>
      <x:c r="J142" s="16" t="str"/>
      <x:c r="K142" s="16" t="str"/>
      <x:c r="L142" s="16" t="str"/>
      <x:c r="M142" s="16" t="str"/>
      <x:c r="N142" s="16" t="str"/>
      <x:c r="O142" s="16" t="str"/>
      <x:c r="P142" s="16" t="str"/>
      <x:c r="Q142" s="16" t="str"/>
      <x:c r="R142" s="16" t="str">
        <x:v>用户搜索女士海军蓝色人字拖，注重颜色和性别的精准匹配。</x:v>
      </x:c>
      <x:c r="S142" s="13" t="str">
        <x:v>high_intent</x:v>
      </x:c>
      <x:c r="T142" s="16" t="str">
        <x:v>explicit | page_validated</x:v>
      </x:c>
      <x:c r="U142" s="13" t="str">
        <x:v>medium</x:v>
      </x:c>
      <x:c r="V142" s="16" t="str">
        <x:v>navy_blue_womens_flip_flops</x:v>
      </x:c>
      <x:c r="W142" s="16" t="str">
        <x:v>listing_gap_review</x:v>
      </x:c>
      <x:c r="X142" s="16" t="str">
        <x:v>{"product_type":[{"value":"flip_flops","evidence_type":"explicit","source_span":"flipflops","fact_ids":[],"rationale":"Term explicitly requests flip flops."},{"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audience_intent":[{"value":"women","evidence_type":"explicit","source_span":"women's","fact_ids":[],"rationale":"Term explicitly targets women."},{"value":"women","evidence_type":"page_validated","source_span":"","fact_ids":["title_womens_flip_flop"],"rationale":"该槽位与商品基准中的明示页面事实一致。"}],"asin_fit":[{"value":"partial_match","evidence_type":"page_validated","source_span":"","fact_ids":["title_womens_flip_flop","style_flip_flop"],"rationale":"Women's flip-flop product type matches; navy blue is not among listed colors (black, pink/mauve, brown, dark gray, light blue, white). Light blue is available but not navy."}],"primary_domain":[{"value":"clothing_shoes_jewelry","evidence_type":"inferred","source_span":"","fact_ids":[],"rationale":"该值由搜索词整体语义推断，未作为页面明示属性。"}]}</x:v>
      </x:c>
      <x:c r="Y142" s="16" t="str"/>
      <x:c r="Z142" s="13" t="str">
        <x:v>partial_match</x:v>
      </x:c>
      <x:c r="AA142" s="16" t="str">
        <x:v>title_womens_flip_flop | style_flip_flop</x:v>
      </x:c>
      <x:c r="AB142" s="13" t="str">
        <x:v>accepted</x:v>
      </x:c>
      <x:c r="AC142" s="13" t="str">
        <x:v>1.0.0</x:v>
      </x:c>
      <x:c r="AD142" s="13" t="str">
        <x:v>1.1.0</x:v>
      </x:c>
      <x:c r="AE142" s="13" t="str">
        <x:v>deepseek/deepseek-v4-pro</x:v>
      </x:c>
      <x:c r="AF142" s="13" t="str">
        <x:v>aj2-y90-20260714T234810-0bea2f52</x:v>
      </x:c>
      <x:c r="AG142" s="13" t="str">
        <x:v>full-0008</x:v>
      </x:c>
      <x:c r="AH142" s="13" t="str">
        <x:v>full</x:v>
      </x:c>
      <x:c r="AI142" s="13" t="n">
        <x:v>8</x:v>
      </x:c>
    </x:row>
    <x:row r="143" ht="34" customHeight="1">
      <x:c r="A143" s="15" t="str">
        <x:v>periwinkle flip flops women</x:v>
      </x:c>
      <x:c r="B143" s="15" t="str">
        <x:v>periwinkle flip flops women</x:v>
      </x:c>
      <x:c r="C143" s="10" t="str">
        <x:v>0f27bfc7625d373d</x:v>
      </x:c>
      <x:c r="D143" s="10" t="str">
        <x:v>keyword</x:v>
      </x:c>
      <x:c r="E143" s="10" t="str">
        <x:v>en</x:v>
      </x:c>
      <x:c r="F143" s="10" t="str">
        <x:v>clothing_shoes_jewelry</x:v>
      </x:c>
      <x:c r="G143" s="15" t="str"/>
      <x:c r="H143" s="15" t="str">
        <x:v>flip_flops</x:v>
      </x:c>
      <x:c r="I143" s="15" t="str">
        <x:v>women</x:v>
      </x:c>
      <x:c r="J143" s="15" t="str"/>
      <x:c r="K143" s="15" t="str"/>
      <x:c r="L143" s="15" t="str"/>
      <x:c r="M143" s="15" t="str"/>
      <x:c r="N143" s="15" t="str"/>
      <x:c r="O143" s="15" t="str"/>
      <x:c r="P143" s="15" t="str"/>
      <x:c r="Q143" s="15" t="str"/>
      <x:c r="R143" s="15" t="str">
        <x:v>用户搜索淡紫蓝色（periwinkle）女士人字拖，注重特定颜色选择。</x:v>
      </x:c>
      <x:c r="S143" s="10" t="str">
        <x:v>high_intent</x:v>
      </x:c>
      <x:c r="T143" s="15" t="str">
        <x:v>explicit | page_validated</x:v>
      </x:c>
      <x:c r="U143" s="10" t="str">
        <x:v>medium</x:v>
      </x:c>
      <x:c r="V143" s="15" t="str">
        <x:v>periwinkle_womens_flip_flops</x:v>
      </x:c>
      <x:c r="W143" s="15" t="str">
        <x:v>listing_gap_review</x:v>
      </x:c>
      <x:c r="X143" s="15" t="str">
        <x:v>{"product_type":[{"value":"flip_flops","evidence_type":"explicit","source_span":"flip flops","fact_ids":[],"rationale":"Term explicitly requests flip flops."},{"value":"flip_flops","evidence_type":"page_validated","source_span":"","fact_ids":["style_flip_flop"],"rationale":"该槽位与商品基准中的明示页面事实一致。"}],"audience_intent":[{"value":"women","evidence_type":"explicit","source_span":"women","fact_ids":[],"rationale":"Term explicitly targets women."},{"value":"women","evidence_type":"page_validated","source_span":"","fact_ids":["title_womens_flip_flop"],"rationale":"该槽位与商品基准中的明示页面事实一致。"}],"asin_fit":[{"value":"partial_match","evidence_type":"page_validated","source_span":"","fact_ids":["title_womens_flip_flop","style_flip_flop"],"rationale":"Women's flip-flop product type matches; periwinkle is not among listed colors (black, pink/mauve, brown, dark gray, light blue, white)."}],"primary_domain":[{"value":"clothing_shoes_jewelry","evidence_type":"inferred","source_span":"","fact_ids":[],"rationale":"该值由搜索词整体语义推断，未作为页面明示属性。"}]}</x:v>
      </x:c>
      <x:c r="Y143" s="15" t="str"/>
      <x:c r="Z143" s="10" t="str">
        <x:v>partial_match</x:v>
      </x:c>
      <x:c r="AA143" s="15" t="str">
        <x:v>title_womens_flip_flop | style_flip_flop</x:v>
      </x:c>
      <x:c r="AB143" s="10" t="str">
        <x:v>accepted</x:v>
      </x:c>
      <x:c r="AC143" s="10" t="str">
        <x:v>1.0.0</x:v>
      </x:c>
      <x:c r="AD143" s="10" t="str">
        <x:v>1.1.0</x:v>
      </x:c>
      <x:c r="AE143" s="10" t="str">
        <x:v>deepseek/deepseek-v4-pro</x:v>
      </x:c>
      <x:c r="AF143" s="10" t="str">
        <x:v>aj2-y90-20260714T234810-0bea2f52</x:v>
      </x:c>
      <x:c r="AG143" s="10" t="str">
        <x:v>full-0008</x:v>
      </x:c>
      <x:c r="AH143" s="10" t="str">
        <x:v>full</x:v>
      </x:c>
      <x:c r="AI143" s="10" t="n">
        <x:v>8</x:v>
      </x:c>
    </x:row>
    <x:row r="144" ht="34" customHeight="1">
      <x:c r="A144" s="16" t="str">
        <x:v>flip flops women</x:v>
      </x:c>
      <x:c r="B144" s="16" t="str">
        <x:v>flip flops women</x:v>
      </x:c>
      <x:c r="C144" s="13" t="str">
        <x:v>19e65356acfd7d0d</x:v>
      </x:c>
      <x:c r="D144" s="13" t="str">
        <x:v>keyword</x:v>
      </x:c>
      <x:c r="E144" s="13" t="str">
        <x:v>en</x:v>
      </x:c>
      <x:c r="F144" s="13" t="str">
        <x:v>clothing_shoes_jewelry</x:v>
      </x:c>
      <x:c r="G144" s="16" t="str"/>
      <x:c r="H144" s="16" t="str">
        <x:v>flip_flops</x:v>
      </x:c>
      <x:c r="I144" s="16" t="str">
        <x:v>women</x:v>
      </x:c>
      <x:c r="J144" s="16" t="str"/>
      <x:c r="K144" s="16" t="str"/>
      <x:c r="L144" s="16" t="str"/>
      <x:c r="M144" s="16" t="str"/>
      <x:c r="N144" s="16" t="str"/>
      <x:c r="O144" s="16" t="str"/>
      <x:c r="P144" s="16" t="str"/>
      <x:c r="Q144" s="16" t="str"/>
      <x:c r="R144" s="16" t="str">
        <x:v>女性用户搜索通用人字拖，无额外功能或款式限制。</x:v>
      </x:c>
      <x:c r="S144" s="13" t="str">
        <x:v>exploration</x:v>
      </x:c>
      <x:c r="T144" s="16" t="str">
        <x:v>explicit | page_validated</x:v>
      </x:c>
      <x:c r="U144" s="13" t="str">
        <x:v>high</x:v>
      </x:c>
      <x:c r="V144" s="16" t="str">
        <x:v>womens_flip_flops</x:v>
      </x:c>
      <x:c r="W144" s="16" t="str">
        <x:v>cluster_route</x:v>
      </x:c>
      <x:c r="X144" s="16" t="str">
        <x:v>{"product_type":[{"value":"flip_flops","evidence_type":"explicit","source_span":"flip flops","fact_ids":[],"rationale":"Term explicitly requests flip flops."},{"value":"flip_flops","evidence_type":"page_validated","source_span":"","fact_ids":["style_flip_flop"],"rationale":"该槽位与商品基准中的明示页面事实一致。"}],"audience_intent":[{"value":"women","evidence_type":"explicit","source_span":"women","fact_ids":[],"rationale":"Term explicitly targets women."},{"value":"women","evidence_type":"page_validated","source_span":"","fact_ids":["title_womens_flip_flop"],"rationale":"该槽位与商品基准中的明示页面事实一致。"}],"asin_fit":[{"value":"match","evidence_type":"page_validated","source_span":"","fact_ids":["title_womens_flip_flop","style_flip_flop"],"rationale":"Women's flip-flop product fully matches the broad term."}],"primary_domain":[{"value":"clothing_shoes_jewelry","evidence_type":"inferred","source_span":"","fact_ids":[],"rationale":"该值由搜索词整体语义推断，未作为页面明示属性。"}]}</x:v>
      </x:c>
      <x:c r="Y144" s="16" t="str"/>
      <x:c r="Z144" s="13" t="str">
        <x:v>match</x:v>
      </x:c>
      <x:c r="AA144" s="16" t="str">
        <x:v>title_womens_flip_flop | style_flip_flop</x:v>
      </x:c>
      <x:c r="AB144" s="13" t="str">
        <x:v>accepted</x:v>
      </x:c>
      <x:c r="AC144" s="13" t="str">
        <x:v>1.0.0</x:v>
      </x:c>
      <x:c r="AD144" s="13" t="str">
        <x:v>1.1.0</x:v>
      </x:c>
      <x:c r="AE144" s="13" t="str">
        <x:v>deepseek/deepseek-v4-pro</x:v>
      </x:c>
      <x:c r="AF144" s="13" t="str">
        <x:v>aj2-y90-20260714T234810-0bea2f52</x:v>
      </x:c>
      <x:c r="AG144" s="13" t="str">
        <x:v>full-0008</x:v>
      </x:c>
      <x:c r="AH144" s="13" t="str">
        <x:v>full</x:v>
      </x:c>
      <x:c r="AI144" s="13" t="n">
        <x:v>8</x:v>
      </x:c>
    </x:row>
    <x:row r="145" ht="34" customHeight="1">
      <x:c r="A145" s="15" t="str">
        <x:v>flip flops for women for pool</x:v>
      </x:c>
      <x:c r="B145" s="15" t="str">
        <x:v>flip flops for women for pool</x:v>
      </x:c>
      <x:c r="C145" s="10" t="str">
        <x:v>29c7603d68560811</x:v>
      </x:c>
      <x:c r="D145" s="10" t="str">
        <x:v>keyword</x:v>
      </x:c>
      <x:c r="E145" s="10" t="str">
        <x:v>en</x:v>
      </x:c>
      <x:c r="F145" s="10" t="str">
        <x:v>clothing_shoes_jewelry</x:v>
      </x:c>
      <x:c r="G145" s="15" t="str">
        <x:v>sports_outdoors</x:v>
      </x:c>
      <x:c r="H145" s="15" t="str">
        <x:v>flip_flops | pool_slides</x:v>
      </x:c>
      <x:c r="I145" s="15" t="str">
        <x:v>women</x:v>
      </x:c>
      <x:c r="J145" s="15" t="str">
        <x:v>pool_use</x:v>
      </x:c>
      <x:c r="K145" s="15" t="str">
        <x:v>water_friendly | slip_resistant</x:v>
      </x:c>
      <x:c r="L145" s="15" t="str">
        <x:v>swimming | pool_leisure</x:v>
      </x:c>
      <x:c r="M145" s="15" t="str">
        <x:v>pool | poolside</x:v>
      </x:c>
      <x:c r="N145" s="15" t="str"/>
      <x:c r="O145" s="15" t="str"/>
      <x:c r="P145" s="15" t="str"/>
      <x:c r="Q145" s="15" t="str"/>
      <x:c r="R145" s="15" t="str">
        <x:v>女性用户需要一双适合泳池穿着的凉拖鞋，要求防水防滑以便在泳池边安全使用。</x:v>
      </x:c>
      <x:c r="S145" s="10" t="str">
        <x:v>high_intent</x:v>
      </x:c>
      <x:c r="T145" s="15" t="str">
        <x:v>explicit | page_validated | inferred</x:v>
      </x:c>
      <x:c r="U145" s="10" t="str">
        <x:v>medium</x:v>
      </x:c>
      <x:c r="V145" s="15" t="str">
        <x:v>womens_pool_flip_flops</x:v>
      </x:c>
      <x:c r="W145" s="15" t="str">
        <x:v>listing_gap_review</x:v>
      </x:c>
      <x:c r="X145" s="15" t="str">
        <x:v>{"product_type":[{"value":"flip_flops","evidence_type":"explicit","source_span":"flip flops","fact_ids":[],"rationale":"Term explicitly requests flip flops."},{"value":"flip_flops","evidence_type":"page_validated","source_span":"","fact_ids":["style_flip_flop"],"rationale":"该槽位与商品基准中的明示页面事实一致。"},{"value":"pool_slides","evidence_type":"inferred","source_span":"","fact_ids":[],"rationale":"该值由搜索词整体语义推断，未作为页面明示属性。"}],"audience_intent":[{"value":"women","evidence_type":"explicit","source_span":"women","fact_ids":[],"rationale":"Term explicitly targets women."},{"value":"women","evidence_type":"page_validated","source_span":"","fact_ids":["title_womens_flip_flop"],"rationale":"该槽位与商品基准中的明示页面事实一致。"}],"location_intent":[{"value":"pool","evidence_type":"explicit","source_span":"pool","fact_ids":[],"rationale":"Term explicitly mentions pool use."},{"value":"poolside","evidence_type":"inferred","source_span":"","fact_ids":[],"rationale":"该值由搜索词整体语义推断，未作为页面明示属性。"}],"capability_intent":[{"value":"slip_resistant","evidence_type":"page_validated","source_span":"","fact_ids":["slip_resistant_grip"],"rationale":"Slip-resistant outsole is relevant for wet poolside surfaces."},{"value":"water_friendly","evidence_type":"inferred","source_span":"pool","fact_ids":[],"rationale":"该值来自搜索词整体语义推断；商品页面基准未验证相应性能。"},{"value":"slip_resistant","evidence_type":"inferred","source_span":"","fact_ids":[],"rationale":"该能力由搜索词表达的任务或问题推断；页面事实仅用于验证商品承接。"}],"asin_fit":[{"value":"partial_match","evidence_type":"page_validated","source_span":"","fact_ids":["title_womens_flip_flop","style_flip_flop","slip_resistant_grip","easy_clean","style_outdoor"],"rationale":"Women's flip-flop, slip-resistant grip, easy-clean, and outdoor lifestyle all support poolside use; explicit waterproofing is not evidenced."}],"secondary_domain":[{"value":"sports_outdoors","evidence_type":"inferred","source_span":"","fact_ids":[],"rationale":"该值由搜索词整体语义推断，未作为页面明示属性。"}],"event_intent":[{"value":"swimming","evidence_type":"inferred","source_span":"","fact_ids":[],"rationale":"该值由搜索词整体语义推断，未作为页面明示属性。"},{"value":"pool_leisure","evidence_type":"inferred","source_span":"","fact_ids":[],"rationale":"该值由搜索词整体语义推断，未作为页面明示属性。"}],"function_intent":[{"value":"pool_use","evidence_type":"inferred","source_span":"","fact_ids":[],"rationale":"该值由搜索词整体语义推断，未作为页面明示属性。"}],"primary_domain":[{"value":"clothing_shoes_jewelry","evidence_type":"inferred","source_span":"","fact_ids":[],"rationale":"该值由搜索词整体语义推断，未作为页面明示属性。"}]}</x:v>
      </x:c>
      <x:c r="Y145" s="15" t="str"/>
      <x:c r="Z145" s="10" t="str">
        <x:v>partial_match</x:v>
      </x:c>
      <x:c r="AA145" s="15" t="str">
        <x:v>title_womens_flip_flop | style_flip_flop | slip_resistant_grip | easy_clean | style_outdoor</x:v>
      </x:c>
      <x:c r="AB145" s="10" t="str">
        <x:v>accepted</x:v>
      </x:c>
      <x:c r="AC145" s="10" t="str">
        <x:v>1.0.0</x:v>
      </x:c>
      <x:c r="AD145" s="10" t="str">
        <x:v>1.1.0</x:v>
      </x:c>
      <x:c r="AE145" s="10" t="str">
        <x:v>deepseek/deepseek-v4-pro</x:v>
      </x:c>
      <x:c r="AF145" s="10" t="str">
        <x:v>aj2-y90-20260714T234810-0bea2f52</x:v>
      </x:c>
      <x:c r="AG145" s="10" t="str">
        <x:v>full-0008</x:v>
      </x:c>
      <x:c r="AH145" s="10" t="str">
        <x:v>full</x:v>
      </x:c>
      <x:c r="AI145" s="10" t="n">
        <x:v>8</x:v>
      </x:c>
    </x:row>
    <x:row r="146" ht="34" customHeight="1">
      <x:c r="A146" s="16" t="str">
        <x:v>women's brown flip flops</x:v>
      </x:c>
      <x:c r="B146" s="16" t="str">
        <x:v>women's brown flip flops</x:v>
      </x:c>
      <x:c r="C146" s="13" t="str">
        <x:v>6562c36065ba4e08</x:v>
      </x:c>
      <x:c r="D146" s="13" t="str">
        <x:v>keyword</x:v>
      </x:c>
      <x:c r="E146" s="13" t="str">
        <x:v>en</x:v>
      </x:c>
      <x:c r="F146" s="13" t="str">
        <x:v>clothing_shoes_jewelry</x:v>
      </x:c>
      <x:c r="G146" s="16" t="str"/>
      <x:c r="H146" s="16" t="str">
        <x:v>flip_flops</x:v>
      </x:c>
      <x:c r="I146" s="16" t="str">
        <x:v>women</x:v>
      </x:c>
      <x:c r="J146" s="16" t="str"/>
      <x:c r="K146" s="16" t="str"/>
      <x:c r="L146" s="16" t="str"/>
      <x:c r="M146" s="16" t="str"/>
      <x:c r="N146" s="16" t="str"/>
      <x:c r="O146" s="16" t="str"/>
      <x:c r="P146" s="16" t="str"/>
      <x:c r="Q146" s="16" t="str"/>
      <x:c r="R146" s="16" t="str">
        <x:v>女性用户搜索棕色人字拖，注重颜色选择。</x:v>
      </x:c>
      <x:c r="S146" s="13" t="str">
        <x:v>high_intent</x:v>
      </x:c>
      <x:c r="T146" s="16" t="str">
        <x:v>explicit | page_validated</x:v>
      </x:c>
      <x:c r="U146" s="13" t="str">
        <x:v>high</x:v>
      </x:c>
      <x:c r="V146" s="16" t="str">
        <x:v>womens_brown_flip_flops</x:v>
      </x:c>
      <x:c r="W146" s="16" t="str">
        <x:v>cluster_route</x:v>
      </x:c>
      <x:c r="X146" s="16" t="str">
        <x:v>{"product_type":[{"value":"flip_flops","evidence_type":"explicit","source_span":"flip flops","fact_ids":[],"rationale":"Term explicitly requests flip flops."},{"value":"flip_flops","evidence_type":"page_validated","source_span":"","fact_ids":["style_flip_flop"],"rationale":"该槽位与商品基准中的明示页面事实一致。"}],"audience_intent":[{"value":"women","evidence_type":"explicit","source_span":"women's","fact_ids":[],"rationale":"Term explicitly targets women."},{"value":"women","evidence_type":"page_validated","source_span":"","fact_ids":["title_womens_flip_flop"],"rationale":"该槽位与商品基准中的明示页面事实一致。"}],"asin_fit":[{"value":"match","evidence_type":"page_validated","source_span":"","fact_ids":["title_womens_flip_flop","colors_visible","style_flip_flop"],"rationale":"Women's flip-flop with brown color option fully matches."}],"primary_domain":[{"value":"clothing_shoes_jewelry","evidence_type":"inferred","source_span":"","fact_ids":[],"rationale":"该值由搜索词整体语义推断，未作为页面明示属性。"}]}</x:v>
      </x:c>
      <x:c r="Y146" s="16" t="str"/>
      <x:c r="Z146" s="13" t="str">
        <x:v>match</x:v>
      </x:c>
      <x:c r="AA146" s="16" t="str">
        <x:v>title_womens_flip_flop | colors_visible | style_flip_flop</x:v>
      </x:c>
      <x:c r="AB146" s="13" t="str">
        <x:v>accepted</x:v>
      </x:c>
      <x:c r="AC146" s="13" t="str">
        <x:v>1.0.0</x:v>
      </x:c>
      <x:c r="AD146" s="13" t="str">
        <x:v>1.1.0</x:v>
      </x:c>
      <x:c r="AE146" s="13" t="str">
        <x:v>deepseek/deepseek-v4-pro</x:v>
      </x:c>
      <x:c r="AF146" s="13" t="str">
        <x:v>aj2-y90-20260714T234810-0bea2f52</x:v>
      </x:c>
      <x:c r="AG146" s="13" t="str">
        <x:v>full-0008</x:v>
      </x:c>
      <x:c r="AH146" s="13" t="str">
        <x:v>full</x:v>
      </x:c>
      <x:c r="AI146" s="13" t="n">
        <x:v>8</x:v>
      </x:c>
    </x:row>
    <x:row r="147" ht="34" customHeight="1">
      <x:c r="A147" s="15" t="str">
        <x:v>womens soft flip flops</x:v>
      </x:c>
      <x:c r="B147" s="15" t="str">
        <x:v>womens soft flip flops</x:v>
      </x:c>
      <x:c r="C147" s="10" t="str">
        <x:v>6b2b2b55713acc85</x:v>
      </x:c>
      <x:c r="D147" s="10" t="str">
        <x:v>keyword</x:v>
      </x:c>
      <x:c r="E147" s="10" t="str">
        <x:v>en</x:v>
      </x:c>
      <x:c r="F147" s="10" t="str">
        <x:v>clothing_shoes_jewelry</x:v>
      </x:c>
      <x:c r="G147" s="15" t="str"/>
      <x:c r="H147" s="15" t="str">
        <x:v>flip_flops</x:v>
      </x:c>
      <x:c r="I147" s="15" t="str">
        <x:v>women</x:v>
      </x:c>
      <x:c r="J147" s="15" t="str">
        <x:v>comfort</x:v>
      </x:c>
      <x:c r="K147" s="15" t="str">
        <x:v>soft_material</x:v>
      </x:c>
      <x:c r="L147" s="15" t="str"/>
      <x:c r="M147" s="15" t="str"/>
      <x:c r="N147" s="15" t="str"/>
      <x:c r="O147" s="15" t="str"/>
      <x:c r="P147" s="15" t="str"/>
      <x:c r="Q147" s="15" t="str"/>
      <x:c r="R147" s="15" t="str">
        <x:v>女性用户搜索柔软舒适的人字拖，注重穿着体验。</x:v>
      </x:c>
      <x:c r="S147" s="10" t="str">
        <x:v>high_intent</x:v>
      </x:c>
      <x:c r="T147" s="15" t="str">
        <x:v>explicit | page_validated | inferred</x:v>
      </x:c>
      <x:c r="U147" s="10" t="str">
        <x:v>high</x:v>
      </x:c>
      <x:c r="V147" s="15" t="str">
        <x:v>womens_soft_flip_flops</x:v>
      </x:c>
      <x:c r="W147" s="15" t="str">
        <x:v>cluster_route</x:v>
      </x:c>
      <x:c r="X147" s="15" t="str">
        <x:v>{"product_type":[{"value":"flip_flops","evidence_type":"explicit","source_span":"flip flops","fact_ids":[],"rationale":"Term explicitly requests flip flops."},{"value":"flip_flops","evidence_type":"page_validated","source_span":"","fact_ids":["style_flip_flop"],"rationale":"该槽位与商品基准中的明示页面事实一致。"}],"audience_intent":[{"value":"women","evidence_type":"explicit","source_span":"womens","fact_ids":[],"rationale":"Term explicitly targets women."},{"value":"women","evidence_type":"page_validated","source_span":"","fact_ids":["title_womens_flip_flop"],"rationale":"该槽位与商品基准中的明示页面事实一致。"}],"capability_intent":[{"value":"soft_material","evidence_type":"explicit","source_span":"soft","fact_ids":["soft_toe_post"],"rationale":"Explicit soft request; page validates upgraded soft toe post."}],"function_intent":[{"value":"comfort","evidence_type":"inferred","source_span":"soft","fact_ids":[],"rationale":"Soft materials imply comfort-seeking."},{"value":"comfort","evidence_type":"page_validated","source_span":"","fact_ids":["arch_support","padded_cushioning"],"rationale":"该槽位与商品基准中的明示页面事实一致。"}],"asin_fit":[{"value":"match","evidence_type":"page_validated","source_span":"","fact_ids":["title_womens_flip_flop","soft_toe_post","style_flip_flop"],"rationale":"Women's flip-flop with soft toe post fully matches the search intent."}],"primary_domain":[{"value":"clothing_shoes_jewelry","evidence_type":"inferred","source_span":"","fact_ids":[],"rationale":"该值由搜索词整体语义推断，未作为页面明示属性。"}]}</x:v>
      </x:c>
      <x:c r="Y147" s="15" t="str"/>
      <x:c r="Z147" s="10" t="str">
        <x:v>match</x:v>
      </x:c>
      <x:c r="AA147" s="15" t="str">
        <x:v>title_womens_flip_flop | soft_toe_post | style_flip_flop</x:v>
      </x:c>
      <x:c r="AB147" s="10" t="str">
        <x:v>accepted</x:v>
      </x:c>
      <x:c r="AC147" s="10" t="str">
        <x:v>1.0.0</x:v>
      </x:c>
      <x:c r="AD147" s="10" t="str">
        <x:v>1.1.0</x:v>
      </x:c>
      <x:c r="AE147" s="10" t="str">
        <x:v>deepseek/deepseek-v4-pro</x:v>
      </x:c>
      <x:c r="AF147" s="10" t="str">
        <x:v>aj2-y90-20260714T234810-0bea2f52</x:v>
      </x:c>
      <x:c r="AG147" s="10" t="str">
        <x:v>full-0008</x:v>
      </x:c>
      <x:c r="AH147" s="10" t="str">
        <x:v>full</x:v>
      </x:c>
      <x:c r="AI147" s="10" t="n">
        <x:v>8</x:v>
      </x:c>
    </x:row>
    <x:row r="148" ht="34" customHeight="1">
      <x:c r="A148" s="16" t="str">
        <x:v>arch sandals for women</x:v>
      </x:c>
      <x:c r="B148" s="16" t="str">
        <x:v>arch sandals for women</x:v>
      </x:c>
      <x:c r="C148" s="13" t="str">
        <x:v>6c04e6ca10ffdd7f</x:v>
      </x:c>
      <x:c r="D148" s="13" t="str">
        <x:v>keyword</x:v>
      </x:c>
      <x:c r="E148" s="13" t="str">
        <x:v>en</x:v>
      </x:c>
      <x:c r="F148" s="13" t="str">
        <x:v>clothing_shoes_jewelry</x:v>
      </x:c>
      <x:c r="G148" s="16" t="str"/>
      <x:c r="H148" s="16" t="str">
        <x:v>sandals</x:v>
      </x:c>
      <x:c r="I148" s="16" t="str">
        <x:v>women</x:v>
      </x:c>
      <x:c r="J148" s="16" t="str">
        <x:v>arch_support</x:v>
      </x:c>
      <x:c r="K148" s="16" t="str">
        <x:v>arch_support</x:v>
      </x:c>
      <x:c r="L148" s="16" t="str"/>
      <x:c r="M148" s="16" t="str"/>
      <x:c r="N148" s="16" t="str">
        <x:v>arch_discomfort</x:v>
      </x:c>
      <x:c r="O148" s="16" t="str"/>
      <x:c r="P148" s="16" t="str"/>
      <x:c r="Q148" s="16" t="str"/>
      <x:c r="R148" s="16" t="str">
        <x:v>女性用户寻找带有足弓支撑的凉鞋，用于日常穿着时缓解足弓不适。</x:v>
      </x:c>
      <x:c r="S148" s="13" t="str">
        <x:v>high_intent</x:v>
      </x:c>
      <x:c r="T148" s="16" t="str">
        <x:v>explicit | page_validated | inferred</x:v>
      </x:c>
      <x:c r="U148" s="13" t="str">
        <x:v>high</x:v>
      </x:c>
      <x:c r="V148" s="16" t="str">
        <x:v>womens_arch_support_sandals</x:v>
      </x:c>
      <x:c r="W148" s="16" t="str">
        <x:v>cluster_route</x:v>
      </x:c>
      <x:c r="X148" s="16" t="str">
        <x:v>{"product_type":[{"value":"sandals","evidence_type":"explicit","source_span":"sandals","fact_ids":[],"rationale":"Term explicitly requests sandals."},{"value":"sandals","evidence_type":"page_validated","source_span":"","fact_ids":["title_womens_flip_flop"],"rationale":"该槽位与商品基准中的明示页面事实一致。"}],"audience_intent":[{"value":"women","evidence_type":"explicit","source_span":"women","fact_ids":[],"rationale":"Term explicitly targets women."},{"value":"women","evidence_type":"page_validated","source_span":"","fact_ids":["title_womens_flip_flop"],"rationale":"该槽位与商品基准中的明示页面事实一致。"}],"body_need_intent":[{"value":"arch_discomfort","evidence_type":"inferred","source_span":"arch","fact_ids":[],"rationale":"Arch support implies user has arch discomfort or needs proper alignment."}],"asin_fit":[{"value":"match","evidence_type":"page_validated","source_span":"","fact_ids":["title_womens_flip_flop","arch_support","style_flip_flop"],"rationale":"Women's arch-support sandal/flip-flop confirmed by baseline."}],"capability_intent":[{"value":"arch_support","evidence_type":"page_validated","source_span":"","fact_ids":["arch_support"],"rationale":"该槽位与商品基准中的明示页面事实一致。"},{"value":"arch_suppor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148" s="16" t="str"/>
      <x:c r="Z148" s="13" t="str">
        <x:v>match</x:v>
      </x:c>
      <x:c r="AA148" s="16" t="str">
        <x:v>title_womens_flip_flop | arch_support | style_flip_flop</x:v>
      </x:c>
      <x:c r="AB148" s="13" t="str">
        <x:v>accepted</x:v>
      </x:c>
      <x:c r="AC148" s="13" t="str">
        <x:v>1.0.0</x:v>
      </x:c>
      <x:c r="AD148" s="13" t="str">
        <x:v>1.1.0</x:v>
      </x:c>
      <x:c r="AE148" s="13" t="str">
        <x:v>deepseek/deepseek-v4-pro</x:v>
      </x:c>
      <x:c r="AF148" s="13" t="str">
        <x:v>aj2-y90-20260714T234810-0bea2f52</x:v>
      </x:c>
      <x:c r="AG148" s="13" t="str">
        <x:v>full-0008</x:v>
      </x:c>
      <x:c r="AH148" s="13" t="str">
        <x:v>full</x:v>
      </x:c>
      <x:c r="AI148" s="13" t="n">
        <x:v>8</x:v>
      </x:c>
    </x:row>
    <x:row r="149" ht="34" customHeight="1">
      <x:c r="A149" s="15" t="str">
        <x:v>narrow orthopedic flip flops</x:v>
      </x:c>
      <x:c r="B149" s="15" t="str">
        <x:v>narrow orthopedic flip flops</x:v>
      </x:c>
      <x:c r="C149" s="10" t="str">
        <x:v>7e8fe92e33ff9c21</x:v>
      </x:c>
      <x:c r="D149" s="10" t="str">
        <x:v>keyword</x:v>
      </x:c>
      <x:c r="E149" s="10" t="str">
        <x:v>en</x:v>
      </x:c>
      <x:c r="F149" s="10" t="str">
        <x:v>clothing_shoes_jewelry</x:v>
      </x:c>
      <x:c r="G149" s="15" t="str">
        <x:v>health_household</x:v>
      </x:c>
      <x:c r="H149" s="15" t="str">
        <x:v>flip_flops</x:v>
      </x:c>
      <x:c r="I149" s="15" t="str"/>
      <x:c r="J149" s="15" t="str">
        <x:v>orthopedic_support</x:v>
      </x:c>
      <x:c r="K149" s="15" t="str">
        <x:v>narrow_width | orthopedic_footbed</x:v>
      </x:c>
      <x:c r="L149" s="15" t="str"/>
      <x:c r="M149" s="15" t="str"/>
      <x:c r="N149" s="15" t="str">
        <x:v>narrow_feet | foot_condition</x:v>
      </x:c>
      <x:c r="O149" s="15" t="str"/>
      <x:c r="P149" s="15" t="str"/>
      <x:c r="Q149" s="15" t="str"/>
      <x:c r="R149" s="15" t="str">
        <x:v>用户需要一双窄版矫形人字拖，用于适配窄脚型并提供足部矫形支撑。</x:v>
      </x:c>
      <x:c r="S149" s="10" t="str">
        <x:v>high_intent</x:v>
      </x:c>
      <x:c r="T149" s="15" t="str">
        <x:v>explicit | page_validated | inferred</x:v>
      </x:c>
      <x:c r="U149" s="10" t="str">
        <x:v>medium</x:v>
      </x:c>
      <x:c r="V149" s="15" t="str">
        <x:v>narrow_orthopedic_flip_flops</x:v>
      </x:c>
      <x:c r="W149" s="15" t="str">
        <x:v>listing_gap_review</x:v>
      </x:c>
      <x:c r="X149" s="15" t="str">
        <x:v>{"product_type":[{"value":"flip_flops","evidence_type":"explicit","source_span":"flip flops","fact_ids":[],"rationale":"Term explicitly requests flip flops."},{"value":"flip_flops","evidence_type":"page_validated","source_span":"","fact_ids":["style_flip_flop"],"rationale":"该槽位与商品基准中的明示页面事实一致。"}],"function_intent":[{"value":"orthopedic_support","evidence_type":"explicit","source_span":"orthopedic","fact_ids":["arch_support"],"rationale":"Arch support and proper alignment partially address orthopedic needs but page does not claim orthopedic certification."}],"capability_intent":[{"value":"narrow_width","evidence_type":"explicit","source_span":"narrow","fact_ids":[],"rationale":"Narrow width explicitly requested; no narrow-width option evidenced on page."},{"value":"orthopedic_footbed","evidence_type":"inferred","source_span":"","fact_ids":[],"rationale":"该值由搜索词整体语义推断，未作为页面明示属性。"}],"body_need_intent":[{"value":"narrow_feet","evidence_type":"inferred","source_span":"narrow","fact_ids":[],"rationale":"Request for narrow fit implies user has narrow feet."},{"value":"foot_condition","evidence_type":"inferred","source_span":"","fact_ids":[],"rationale":"该值由搜索词整体语义推断，未作为页面明示属性。"}],"asin_fit":[{"value":"partial_match","evidence_type":"page_validated","source_span":"","fact_ids":["arch_support","style_flip_flop"],"rationale":"Flip-flop type and arch support match; narrow width and explicit orthopedic labeling are not evidenced."}],"secondary_domain":[{"value":"health_household","evidence_type":"inferred","source_span":"","fact_ids":[],"rationale":"该值由搜索词整体语义推断，未作为页面明示属性。"}],"primary_domain":[{"value":"clothing_shoes_jewelry","evidence_type":"inferred","source_span":"","fact_ids":[],"rationale":"该值由搜索词整体语义推断，未作为页面明示属性。"}]}</x:v>
      </x:c>
      <x:c r="Y149" s="15" t="str"/>
      <x:c r="Z149" s="10" t="str">
        <x:v>partial_match</x:v>
      </x:c>
      <x:c r="AA149" s="15" t="str">
        <x:v>arch_support | style_flip_flop</x:v>
      </x:c>
      <x:c r="AB149" s="10" t="str">
        <x:v>accepted</x:v>
      </x:c>
      <x:c r="AC149" s="10" t="str">
        <x:v>1.0.0</x:v>
      </x:c>
      <x:c r="AD149" s="10" t="str">
        <x:v>1.1.0</x:v>
      </x:c>
      <x:c r="AE149" s="10" t="str">
        <x:v>deepseek/deepseek-v4-pro</x:v>
      </x:c>
      <x:c r="AF149" s="10" t="str">
        <x:v>aj2-y90-20260714T234810-0bea2f52</x:v>
      </x:c>
      <x:c r="AG149" s="10" t="str">
        <x:v>full-0008</x:v>
      </x:c>
      <x:c r="AH149" s="10" t="str">
        <x:v>full</x:v>
      </x:c>
      <x:c r="AI149" s="10" t="n">
        <x:v>8</x:v>
      </x:c>
    </x:row>
    <x:row r="150" ht="34" customHeight="1">
      <x:c r="A150" s="16" t="str">
        <x:v>house flip flops</x:v>
      </x:c>
      <x:c r="B150" s="16" t="str">
        <x:v>house flip flops</x:v>
      </x:c>
      <x:c r="C150" s="13" t="str">
        <x:v>86d3ce3a391aa530</x:v>
      </x:c>
      <x:c r="D150" s="13" t="str">
        <x:v>keyword</x:v>
      </x:c>
      <x:c r="E150" s="13" t="str">
        <x:v>en</x:v>
      </x:c>
      <x:c r="F150" s="13" t="str">
        <x:v>clothing_shoes_jewelry</x:v>
      </x:c>
      <x:c r="G150" s="16" t="str">
        <x:v>home_kitchen</x:v>
      </x:c>
      <x:c r="H150" s="16" t="str">
        <x:v>flip_flops | house_slippers</x:v>
      </x:c>
      <x:c r="I150" s="16" t="str"/>
      <x:c r="J150" s="16" t="str">
        <x:v>indoor_use</x:v>
      </x:c>
      <x:c r="K150" s="16" t="str">
        <x:v>indoor_suitable</x:v>
      </x:c>
      <x:c r="L150" s="16" t="str"/>
      <x:c r="M150" s="16" t="str">
        <x:v>house | indoor</x:v>
      </x:c>
      <x:c r="N150" s="16" t="str"/>
      <x:c r="O150" s="16" t="str"/>
      <x:c r="P150" s="16" t="str"/>
      <x:c r="Q150" s="16" t="str"/>
      <x:c r="R150" s="16" t="str">
        <x:v>用户寻找适合在家中穿着的室内拖鞋式人字拖。</x:v>
      </x:c>
      <x:c r="S150" s="13" t="str">
        <x:v>high_intent</x:v>
      </x:c>
      <x:c r="T150" s="16" t="str">
        <x:v>explicit | page_validated | inferred</x:v>
      </x:c>
      <x:c r="U150" s="13" t="str">
        <x:v>medium</x:v>
      </x:c>
      <x:c r="V150" s="16" t="str">
        <x:v>house_flip_flops</x:v>
      </x:c>
      <x:c r="W150" s="16" t="str">
        <x:v>performance_observation</x:v>
      </x:c>
      <x:c r="X150" s="16" t="str">
        <x:v>{"product_type":[{"value":"flip_flops","evidence_type":"explicit","source_span":"flip flops","fact_ids":[],"rationale":"Term explicitly requests flip flops."},{"value":"flip_flops","evidence_type":"page_validated","source_span":"","fact_ids":["style_flip_flop"],"rationale":"该槽位与商品基准中的明示页面事实一致。"},{"value":"house_slippers","evidence_type":"inferred","source_span":"","fact_ids":[],"rationale":"该值由搜索词整体语义推断，未作为页面明示属性。"}],"location_intent":[{"value":"house","evidence_type":"explicit","source_span":"house","fact_ids":[],"rationale":"Explicitly references house/indoor use."},{"value":"indoor","evidence_type":"inferred","source_span":"","fact_ids":[],"rationale":"该值由搜索词整体语义推断，未作为页面明示属性。"}],"capability_intent":[{"value":"indoor_suitable","evidence_type":"inferred","source_span":"house","fact_ids":[],"rationale":"Easy-clean EVA and lightweight design support indoor use; product is positioned as outdoor lifestyle which partially conflicts."}],"asin_fit":[{"value":"partial_match","evidence_type":"page_validated","source_span":"","fact_ids":["style_flip_flop","easy_clean","lightweight_breathable"],"rationale":"Flip-flop type, easy-clean construction, and lightweight design support house use; product is explicitly positioned for outdoor lifestyle, creating partial mismatch for primary indoor use."}],"secondary_domain":[{"value":"home_kitchen","evidence_type":"inferred","source_span":"","fact_ids":[],"rationale":"该值由搜索词整体语义推断，未作为页面明示属性。"}],"function_intent":[{"value":"indoor_use","evidence_type":"inferred","source_span":"","fact_ids":[],"rationale":"该值由搜索词整体语义推断，未作为页面明示属性。"}],"primary_domain":[{"value":"clothing_shoes_jewelry","evidence_type":"inferred","source_span":"","fact_ids":[],"rationale":"该值由搜索词整体语义推断，未作为页面明示属性。"}]}</x:v>
      </x:c>
      <x:c r="Y150" s="16" t="str"/>
      <x:c r="Z150" s="13" t="str">
        <x:v>partial_match</x:v>
      </x:c>
      <x:c r="AA150" s="16" t="str">
        <x:v>style_flip_flop | easy_clean | lightweight_breathable</x:v>
      </x:c>
      <x:c r="AB150" s="13" t="str">
        <x:v>accepted</x:v>
      </x:c>
      <x:c r="AC150" s="13" t="str">
        <x:v>1.0.0</x:v>
      </x:c>
      <x:c r="AD150" s="13" t="str">
        <x:v>1.1.0</x:v>
      </x:c>
      <x:c r="AE150" s="13" t="str">
        <x:v>deepseek/deepseek-v4-pro</x:v>
      </x:c>
      <x:c r="AF150" s="13" t="str">
        <x:v>aj2-y90-20260714T234810-0bea2f52</x:v>
      </x:c>
      <x:c r="AG150" s="13" t="str">
        <x:v>full-0008</x:v>
      </x:c>
      <x:c r="AH150" s="13" t="str">
        <x:v>full</x:v>
      </x:c>
      <x:c r="AI150" s="13" t="n">
        <x:v>8</x:v>
      </x:c>
    </x:row>
    <x:row r="151" ht="34" customHeight="1">
      <x:c r="A151" s="15" t="str">
        <x:v>womens white flip flops size 8</x:v>
      </x:c>
      <x:c r="B151" s="15" t="str">
        <x:v>womens white flip flops size 8</x:v>
      </x:c>
      <x:c r="C151" s="10" t="str">
        <x:v>88a453bcc154a8ba</x:v>
      </x:c>
      <x:c r="D151" s="10" t="str">
        <x:v>keyword</x:v>
      </x:c>
      <x:c r="E151" s="10" t="str">
        <x:v>en</x:v>
      </x:c>
      <x:c r="F151" s="10" t="str">
        <x:v>clothing_shoes_jewelry</x:v>
      </x:c>
      <x:c r="G151" s="15" t="str"/>
      <x:c r="H151" s="15" t="str">
        <x:v>flip_flops</x:v>
      </x:c>
      <x:c r="I151" s="15" t="str">
        <x:v>women</x:v>
      </x:c>
      <x:c r="J151" s="15" t="str"/>
      <x:c r="K151" s="15" t="str"/>
      <x:c r="L151" s="15" t="str"/>
      <x:c r="M151" s="15" t="str"/>
      <x:c r="N151" s="15" t="str"/>
      <x:c r="O151" s="15" t="str"/>
      <x:c r="P151" s="15" t="str"/>
      <x:c r="Q151" s="15" t="str"/>
      <x:c r="R151" s="15" t="str">
        <x:v>女性用户搜索白色8码人字拖，颜色、尺码和性别均有明确要求。</x:v>
      </x:c>
      <x:c r="S151" s="10" t="str">
        <x:v>high_intent</x:v>
      </x:c>
      <x:c r="T151" s="15" t="str">
        <x:v>explicit | page_validated</x:v>
      </x:c>
      <x:c r="U151" s="10" t="str">
        <x:v>high</x:v>
      </x:c>
      <x:c r="V151" s="15" t="str">
        <x:v>womens_white_flip_flops_size_8</x:v>
      </x:c>
      <x:c r="W151" s="15" t="str">
        <x:v>cluster_route</x:v>
      </x:c>
      <x:c r="X151" s="15" t="str">
        <x:v>{"product_type":[{"value":"flip_flops","evidence_type":"explicit","source_span":"flip flops","fact_ids":[],"rationale":"Term explicitly requests flip flops."},{"value":"flip_flops","evidence_type":"page_validated","source_span":"","fact_ids":["style_flip_flop"],"rationale":"该槽位与商品基准中的明示页面事实一致。"}],"audience_intent":[{"value":"women","evidence_type":"explicit","source_span":"womens","fact_ids":[],"rationale":"Term explicitly targets women."},{"value":"women","evidence_type":"page_validated","source_span":"","fact_ids":["title_womens_flip_flop"],"rationale":"该槽位与商品基准中的明示页面事实一致。"}],"asin_fit":[{"value":"match","evidence_type":"page_validated","source_span":"","fact_ids":["title_womens_flip_flop","colors_visible","sizes_6_11","style_flip_flop"],"rationale":"Women's product, white color available, size 8 within range 6-11, flip-flop type all fully validated."}],"primary_domain":[{"value":"clothing_shoes_jewelry","evidence_type":"inferred","source_span":"","fact_ids":[],"rationale":"该值由搜索词整体语义推断，未作为页面明示属性。"}]}</x:v>
      </x:c>
      <x:c r="Y151" s="15" t="str"/>
      <x:c r="Z151" s="10" t="str">
        <x:v>match</x:v>
      </x:c>
      <x:c r="AA151" s="15" t="str">
        <x:v>title_womens_flip_flop | colors_visible | sizes_6_11 | style_flip_flop</x:v>
      </x:c>
      <x:c r="AB151" s="10" t="str">
        <x:v>accepted</x:v>
      </x:c>
      <x:c r="AC151" s="10" t="str">
        <x:v>1.0.0</x:v>
      </x:c>
      <x:c r="AD151" s="10" t="str">
        <x:v>1.1.0</x:v>
      </x:c>
      <x:c r="AE151" s="10" t="str">
        <x:v>deepseek/deepseek-v4-pro</x:v>
      </x:c>
      <x:c r="AF151" s="10" t="str">
        <x:v>aj2-y90-20260714T234810-0bea2f52</x:v>
      </x:c>
      <x:c r="AG151" s="10" t="str">
        <x:v>full-0008</x:v>
      </x:c>
      <x:c r="AH151" s="10" t="str">
        <x:v>full</x:v>
      </x:c>
      <x:c r="AI151" s="10" t="n">
        <x:v>8</x:v>
      </x:c>
    </x:row>
    <x:row r="152" ht="34" customHeight="1">
      <x:c r="A152" s="16" t="str">
        <x:v>memory foam flip flops for women for fasciitis</x:v>
      </x:c>
      <x:c r="B152" s="16" t="str">
        <x:v>memory foam flip flops for women for fasciitis</x:v>
      </x:c>
      <x:c r="C152" s="13" t="str">
        <x:v>8bce8b41c7e799c9</x:v>
      </x:c>
      <x:c r="D152" s="13" t="str">
        <x:v>keyword</x:v>
      </x:c>
      <x:c r="E152" s="13" t="str">
        <x:v>en</x:v>
      </x:c>
      <x:c r="F152" s="13" t="str">
        <x:v>clothing_shoes_jewelry</x:v>
      </x:c>
      <x:c r="G152" s="16" t="str">
        <x:v>health_household</x:v>
      </x:c>
      <x:c r="H152" s="16" t="str">
        <x:v>flip_flops</x:v>
      </x:c>
      <x:c r="I152" s="16" t="str">
        <x:v>women</x:v>
      </x:c>
      <x:c r="J152" s="16" t="str">
        <x:v>pain_relief | fasciitis_comfort</x:v>
      </x:c>
      <x:c r="K152" s="16" t="str">
        <x:v>memory_foam_cushioning | arch_support</x:v>
      </x:c>
      <x:c r="L152" s="16" t="str"/>
      <x:c r="M152" s="16" t="str"/>
      <x:c r="N152" s="16" t="str">
        <x:v>plantar_fasciitis | foot_pain</x:v>
      </x:c>
      <x:c r="O152" s="16" t="str"/>
      <x:c r="P152" s="16" t="str"/>
      <x:c r="Q152" s="16" t="str"/>
      <x:c r="R152" s="16" t="str">
        <x:v>女性足底筋膜炎患者需要一双记忆棉人字拖，以在日常行走中缓解足部疼痛。</x:v>
      </x:c>
      <x:c r="S152" s="13" t="str">
        <x:v>high_intent</x:v>
      </x:c>
      <x:c r="T152" s="16" t="str">
        <x:v>explicit | page_validated | inferred</x:v>
      </x:c>
      <x:c r="U152" s="13" t="str">
        <x:v>medium</x:v>
      </x:c>
      <x:c r="V152" s="16" t="str">
        <x:v>memory_foam_fasciitis_womens_flip_flops</x:v>
      </x:c>
      <x:c r="W152" s="16" t="str">
        <x:v>listing_gap_review</x:v>
      </x:c>
      <x:c r="X152" s="16" t="str">
        <x:v>{"product_type":[{"value":"flip_flops","evidence_type":"explicit","source_span":"flip flops","fact_ids":[],"rationale":"Term explicitly requests flip flops."},{"value":"flip_flops","evidence_type":"page_validated","source_span":"","fact_ids":["style_flip_flop"],"rationale":"该槽位与商品基准中的明示页面事实一致。"}],"audience_intent":[{"value":"women","evidence_type":"explicit","source_span":"women","fact_ids":[],"rationale":"Term explicitly targets women."},{"value":"women","evidence_type":"page_validated","source_span":"","fact_ids":["title_womens_flip_flop"],"rationale":"该槽位与商品基准中的明示页面事实一致。"}],"capability_intent":[{"value":"memory_foam_cushioning","evidence_type":"explicit","source_span":"memory foam","fact_ids":["padded_cushioning"],"rationale":"Explicitly requests memory foam; page has padded cushioning but does not claim memory foam material."},{"value":"arch_support","evidence_type":"page_validated","source_span":"","fact_ids":["arch_support"],"rationale":"Arch support is relevant for fasciitis comfort; page validates ergonomic arch support."},{"value":"arch_support","evidence_type":"inferred","source_span":"","fact_ids":[],"rationale":"该能力由搜索词表达的任务或问题推断；页面事实仅用于验证商品承接。"}],"body_need_intent":[{"value":"plantar_fasciitis","evidence_type":"explicit","source_span":"fasciitis","fact_ids":["arch_support","padded_cushioning"],"rationale":"Term references plantar fasciitis; arch support and padding are relevant but treatment/cure claims are excluded from page evidence."},{"value":"foot_pain","evidence_type":"inferred","source_span":"","fact_ids":[],"rationale":"该值由搜索词整体语义推断，未作为页面明示属性。"}],"asin_fit":[{"value":"partial_match","evidence_type":"page_validated","source_span":"","fact_ids":["title_womens_flip_flop","arch_support","padded_cushioning","style_flip_flop"],"rationale":"Women's flip-flop, arch support, and padded cushioning are relevant; memory foam material and fasciitis-specific treatment are not evidenced."}],"secondary_domain":[{"value":"health_household","evidence_type":"inferred","source_span":"","fact_ids":[],"rationale":"该值由搜索词整体语义推断，未作为页面明示属性。"}],"function_intent":[{"value":"pain_relief","evidence_type":"inferred","source_span":"","fact_ids":[],"rationale":"该值由搜索词整体语义推断，未作为页面明示属性。"},{"value":"fasciitis_comfort","evidence_type":"inferred","source_span":"","fact_ids":[],"rationale":"该值由搜索词整体语义推断，未作为页面明示属性。"}],"primary_domain":[{"value":"clothing_shoes_jewelry","evidence_type":"inferred","source_span":"","fact_ids":[],"rationale":"该值由搜索词整体语义推断，未作为页面明示属性。"}]}</x:v>
      </x:c>
      <x:c r="Y152" s="16" t="str"/>
      <x:c r="Z152" s="13" t="str">
        <x:v>partial_match</x:v>
      </x:c>
      <x:c r="AA152" s="16" t="str">
        <x:v>title_womens_flip_flop | arch_support | padded_cushioning | style_flip_flop</x:v>
      </x:c>
      <x:c r="AB152" s="13" t="str">
        <x:v>accepted</x:v>
      </x:c>
      <x:c r="AC152" s="13" t="str">
        <x:v>1.0.0</x:v>
      </x:c>
      <x:c r="AD152" s="13" t="str">
        <x:v>1.1.0</x:v>
      </x:c>
      <x:c r="AE152" s="13" t="str">
        <x:v>deepseek/deepseek-v4-pro</x:v>
      </x:c>
      <x:c r="AF152" s="13" t="str">
        <x:v>aj2-y90-20260714T234810-0bea2f52</x:v>
      </x:c>
      <x:c r="AG152" s="13" t="str">
        <x:v>full-0008</x:v>
      </x:c>
      <x:c r="AH152" s="13" t="str">
        <x:v>full</x:v>
      </x:c>
      <x:c r="AI152" s="13" t="n">
        <x:v>8</x:v>
      </x:c>
    </x:row>
    <x:row r="153" ht="34" customHeight="1">
      <x:c r="A153" s="15" t="str">
        <x:v>white flips flops</x:v>
      </x:c>
      <x:c r="B153" s="15" t="str">
        <x:v>white flips flops</x:v>
      </x:c>
      <x:c r="C153" s="10" t="str">
        <x:v>901e84f40992ed1f</x:v>
      </x:c>
      <x:c r="D153" s="10" t="str">
        <x:v>keyword</x:v>
      </x:c>
      <x:c r="E153" s="10" t="str">
        <x:v>en</x:v>
      </x:c>
      <x:c r="F153" s="10" t="str">
        <x:v>clothing_shoes_jewelry</x:v>
      </x:c>
      <x:c r="G153" s="15" t="str"/>
      <x:c r="H153" s="15" t="str">
        <x:v>flip_flops</x:v>
      </x:c>
      <x:c r="I153" s="15" t="str"/>
      <x:c r="J153" s="15" t="str"/>
      <x:c r="K153" s="15" t="str"/>
      <x:c r="L153" s="15" t="str"/>
      <x:c r="M153" s="15" t="str"/>
      <x:c r="N153" s="15" t="str"/>
      <x:c r="O153" s="15" t="str"/>
      <x:c r="P153" s="15" t="str"/>
      <x:c r="Q153" s="15" t="str"/>
      <x:c r="R153" s="15" t="str">
        <x:v>用户搜索白色人字拖，可能是为了夏季日常穿着或搭配需求。</x:v>
      </x:c>
      <x:c r="S153" s="10" t="str">
        <x:v>high_intent</x:v>
      </x:c>
      <x:c r="T153" s="15" t="str">
        <x:v>explicit | page_validated</x:v>
      </x:c>
      <x:c r="U153" s="10" t="str">
        <x:v>high</x:v>
      </x:c>
      <x:c r="V153" s="15" t="str">
        <x:v>white_flip_flops</x:v>
      </x:c>
      <x:c r="W153" s="15" t="str">
        <x:v>cluster_route</x:v>
      </x:c>
      <x:c r="X153" s="15" t="str">
        <x:v>{"product_type":[{"value":"flip_flops","evidence_type":"explicit","source_span":"flips flops","fact_ids":[],"rationale":"Typo 'flips flops' clearly means flip flops."},{"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asin_fit":[{"value":"match","evidence_type":"page_validated","source_span":"","fact_ids":["colors_visible","style_flip_flop"],"rationale":"White is an available color; flip-flop product type matches baseline."}],"primary_domain":[{"value":"clothing_shoes_jewelry","evidence_type":"inferred","source_span":"","fact_ids":[],"rationale":"该值由搜索词整体语义推断，未作为页面明示属性。"}]}</x:v>
      </x:c>
      <x:c r="Y153" s="15" t="str"/>
      <x:c r="Z153" s="10" t="str">
        <x:v>match</x:v>
      </x:c>
      <x:c r="AA153" s="15" t="str">
        <x:v>colors_visible | style_flip_flop</x:v>
      </x:c>
      <x:c r="AB153" s="10" t="str">
        <x:v>accepted</x:v>
      </x:c>
      <x:c r="AC153" s="10" t="str">
        <x:v>1.0.0</x:v>
      </x:c>
      <x:c r="AD153" s="10" t="str">
        <x:v>1.1.0</x:v>
      </x:c>
      <x:c r="AE153" s="10" t="str">
        <x:v>deepseek/deepseek-v4-pro</x:v>
      </x:c>
      <x:c r="AF153" s="10" t="str">
        <x:v>aj2-y90-20260714T234810-0bea2f52</x:v>
      </x:c>
      <x:c r="AG153" s="10" t="str">
        <x:v>full-0008</x:v>
      </x:c>
      <x:c r="AH153" s="10" t="str">
        <x:v>full</x:v>
      </x:c>
      <x:c r="AI153" s="10" t="n">
        <x:v>8</x:v>
      </x:c>
    </x:row>
    <x:row r="154" ht="34" customHeight="1">
      <x:c r="A154" s="16" t="str">
        <x:v>archie's flip flops with adjustable straps</x:v>
      </x:c>
      <x:c r="B154" s="16" t="str">
        <x:v>archie's flip flops with adjustable straps</x:v>
      </x:c>
      <x:c r="C154" s="13" t="str">
        <x:v>9400cc91182e0b82</x:v>
      </x:c>
      <x:c r="D154" s="13" t="str">
        <x:v>keyword</x:v>
      </x:c>
      <x:c r="E154" s="13" t="str">
        <x:v>en</x:v>
      </x:c>
      <x:c r="F154" s="13" t="str">
        <x:v>clothing_shoes_jewelry</x:v>
      </x:c>
      <x:c r="G154" s="16" t="str"/>
      <x:c r="H154" s="16" t="str">
        <x:v>flip_flops</x:v>
      </x:c>
      <x:c r="I154" s="16" t="str">
        <x:v>brand_seeker</x:v>
      </x:c>
      <x:c r="J154" s="16" t="str">
        <x:v>adjustable_fit</x:v>
      </x:c>
      <x:c r="K154" s="16" t="str">
        <x:v>adjustable_straps</x:v>
      </x:c>
      <x:c r="L154" s="16" t="str"/>
      <x:c r="M154" s="16" t="str"/>
      <x:c r="N154" s="16" t="str"/>
      <x:c r="O154" s="16" t="str"/>
      <x:c r="P154" s="16" t="str"/>
      <x:c r="Q154" s="16" t="str"/>
      <x:c r="R154" s="16" t="str">
        <x:v>用户专门搜索Archie品牌的带可调节绑带的人字拖，品牌和功能均有明确要求。</x:v>
      </x:c>
      <x:c r="S154" s="13" t="str">
        <x:v>brand_harvest</x:v>
      </x:c>
      <x:c r="T154" s="16" t="str">
        <x:v>explicit</x:v>
      </x:c>
      <x:c r="U154" s="13" t="str">
        <x:v>high</x:v>
      </x:c>
      <x:c r="V154" s="16" t="str">
        <x:v>archies_adjustable_strap_flip_flops</x:v>
      </x:c>
      <x:c r="W154" s="16" t="str">
        <x:v>semantic_negative_candidate</x:v>
      </x:c>
      <x:c r="X154" s="16" t="str">
        <x:v>{"product_type":[{"value":"flip_flops","evidence_type":"explicit","source_span":"flip flops","fact_ids":[],"rationale":"Term explicitly requests flip flops."},{"value":"flip_flops","evidence_type":"page_validated","source_span":"","fact_ids":["style_flip_flop"],"rationale":"该槽位与商品基准中的明示页面事实一致。"}],"audience_intent":[{"value":"brand_seeker","evidence_type":"explicit","source_span":"archie's","fact_ids":[],"rationale":"Term explicitly specifies Archie's brand, which differs from baseline brand joomra."}],"capability_intent":[{"value":"adjustable_straps","evidence_type":"explicit","source_span":"adjustable straps","fact_ids":[],"rationale":"Explicitly requests adjustable straps; baseline has slip-on closure and thong strap, no adjustable strap claim."}],"asin_fit":[{"value":"mismatch","evidence_type":"explicit","source_span":"archie's","fact_ids":[],"rationale":"Brand Archie's conflicts with baseline brand joomra; adjustable straps not evidenced on product page (closure_slip_on, style_thong)."}],"function_intent":[{"value":"adjustable_fit","evidence_type":"inferred","source_span":"","fact_ids":[],"rationale":"该值由搜索词整体语义推断，未作为页面明示属性。"}],"primary_domain":[{"value":"clothing_shoes_jewelry","evidence_type":"inferred","source_span":"","fact_ids":[],"rationale":"该值由搜索词整体语义推断，未作为页面明示属性。"}]}</x:v>
      </x:c>
      <x:c r="Y154" s="16" t="str"/>
      <x:c r="Z154" s="13" t="str">
        <x:v>mismatch</x:v>
      </x:c>
      <x:c r="AA154" s="16" t="str"/>
      <x:c r="AB154" s="13" t="str">
        <x:v>accepted</x:v>
      </x:c>
      <x:c r="AC154" s="13" t="str">
        <x:v>1.0.0</x:v>
      </x:c>
      <x:c r="AD154" s="13" t="str">
        <x:v>1.1.0</x:v>
      </x:c>
      <x:c r="AE154" s="13" t="str">
        <x:v>deepseek/deepseek-v4-pro</x:v>
      </x:c>
      <x:c r="AF154" s="13" t="str">
        <x:v>aj2-y90-20260714T234810-0bea2f52</x:v>
      </x:c>
      <x:c r="AG154" s="13" t="str">
        <x:v>full-0008</x:v>
      </x:c>
      <x:c r="AH154" s="13" t="str">
        <x:v>full</x:v>
      </x:c>
      <x:c r="AI154" s="13" t="n">
        <x:v>8</x:v>
      </x:c>
    </x:row>
    <x:row r="155" ht="34" customHeight="1">
      <x:c r="A155" s="15" t="str">
        <x:v>non slip rubber flip flops for women</x:v>
      </x:c>
      <x:c r="B155" s="15" t="str">
        <x:v>non slip rubber flip flops for women</x:v>
      </x:c>
      <x:c r="C155" s="10" t="str">
        <x:v>9d94bcb63fc2e6e7</x:v>
      </x:c>
      <x:c r="D155" s="10" t="str">
        <x:v>keyword</x:v>
      </x:c>
      <x:c r="E155" s="10" t="str">
        <x:v>en</x:v>
      </x:c>
      <x:c r="F155" s="10" t="str">
        <x:v>clothing_shoes_jewelry</x:v>
      </x:c>
      <x:c r="G155" s="15" t="str"/>
      <x:c r="H155" s="15" t="str">
        <x:v>flip_flops</x:v>
      </x:c>
      <x:c r="I155" s="15" t="str">
        <x:v>women</x:v>
      </x:c>
      <x:c r="J155" s="15" t="str">
        <x:v>safety</x:v>
      </x:c>
      <x:c r="K155" s="15" t="str">
        <x:v>non_slip | rubber_material</x:v>
      </x:c>
      <x:c r="L155" s="15" t="str"/>
      <x:c r="M155" s="15" t="str"/>
      <x:c r="N155" s="15" t="str"/>
      <x:c r="O155" s="15" t="str"/>
      <x:c r="P155" s="15" t="str"/>
      <x:c r="Q155" s="15" t="str"/>
      <x:c r="R155" s="15" t="str">
        <x:v>女性用户需要一双防滑橡胶人字拖，确保行走安全。</x:v>
      </x:c>
      <x:c r="S155" s="10" t="str">
        <x:v>high_intent</x:v>
      </x:c>
      <x:c r="T155" s="15" t="str">
        <x:v>explicit | page_validated | inferred</x:v>
      </x:c>
      <x:c r="U155" s="10" t="str">
        <x:v>medium</x:v>
      </x:c>
      <x:c r="V155" s="15" t="str">
        <x:v>womens_non_slip_rubber_flip_flops</x:v>
      </x:c>
      <x:c r="W155" s="15" t="str">
        <x:v>performance_observation</x:v>
      </x:c>
      <x:c r="X155" s="15" t="str">
        <x:v>{"product_type":[{"value":"flip_flops","evidence_type":"explicit","source_span":"flip flops","fact_ids":[],"rationale":"Term explicitly requests flip flops."},{"value":"flip_flops","evidence_type":"page_validated","source_span":"","fact_ids":["style_flip_flop"],"rationale":"该槽位与商品基准中的明示页面事实一致。"}],"audience_intent":[{"value":"women","evidence_type":"explicit","source_span":"women","fact_ids":[],"rationale":"Term explicitly targets women."},{"value":"women","evidence_type":"page_validated","source_span":"","fact_ids":["title_womens_flip_flop"],"rationale":"该槽位与商品基准中的明示页面事实一致。"}],"capability_intent":[{"value":"non_slip","evidence_type":"explicit","source_span":"non slip","fact_ids":["slip_resistant_grip"],"rationale":"Explicit non-slip request; page validates deep textured lattice outsole for slip-resistant steps."},{"value":"rubber_material","evidence_type":"explicit","source_span":"rubber","fact_ids":["material_eva"],"rationale":"Explicitly requests rubber; baseline outer material is EVA, which is a synthetic foam often perceived as rubber-like."},{"value":"non_slip","evidence_type":"page_validated","source_span":"","fact_ids":["slip_resistant_grip"],"rationale":"该槽位与商品基准中的明示页面事实一致。"}],"asin_fit":[{"value":"partial_match","evidence_type":"page_validated","source_span":"","fact_ids":["title_womens_flip_flop","slip_resistant_grip","style_flip_flop"],"rationale":"Women's flip-flop and non-slip outsole match; material is EVA not rubber, though functionally similar in consumer perception."}],"function_intent":[{"value":"safety","evidence_type":"inferred","source_span":"","fact_ids":[],"rationale":"该值由搜索词整体语义推断，未作为页面明示属性。"}],"primary_domain":[{"value":"clothing_shoes_jewelry","evidence_type":"inferred","source_span":"","fact_ids":[],"rationale":"该值由搜索词整体语义推断，未作为页面明示属性。"}]}</x:v>
      </x:c>
      <x:c r="Y155" s="15" t="str"/>
      <x:c r="Z155" s="10" t="str">
        <x:v>partial_match</x:v>
      </x:c>
      <x:c r="AA155" s="15" t="str">
        <x:v>title_womens_flip_flop | slip_resistant_grip | style_flip_flop</x:v>
      </x:c>
      <x:c r="AB155" s="10" t="str">
        <x:v>accepted</x:v>
      </x:c>
      <x:c r="AC155" s="10" t="str">
        <x:v>1.0.0</x:v>
      </x:c>
      <x:c r="AD155" s="10" t="str">
        <x:v>1.1.0</x:v>
      </x:c>
      <x:c r="AE155" s="10" t="str">
        <x:v>deepseek/deepseek-v4-pro</x:v>
      </x:c>
      <x:c r="AF155" s="10" t="str">
        <x:v>aj2-y90-20260714T234810-0bea2f52</x:v>
      </x:c>
      <x:c r="AG155" s="10" t="str">
        <x:v>full-0008</x:v>
      </x:c>
      <x:c r="AH155" s="10" t="str">
        <x:v>full</x:v>
      </x:c>
      <x:c r="AI155" s="10" t="n">
        <x:v>8</x:v>
      </x:c>
    </x:row>
    <x:row r="156" ht="34" customHeight="1">
      <x:c r="A156" s="16" t="str">
        <x:v>black flipflops</x:v>
      </x:c>
      <x:c r="B156" s="16" t="str">
        <x:v>black flipflops</x:v>
      </x:c>
      <x:c r="C156" s="13" t="str">
        <x:v>b06fd65c5b1a25ac</x:v>
      </x:c>
      <x:c r="D156" s="13" t="str">
        <x:v>keyword</x:v>
      </x:c>
      <x:c r="E156" s="13" t="str">
        <x:v>en</x:v>
      </x:c>
      <x:c r="F156" s="13" t="str">
        <x:v>clothing_shoes_jewelry</x:v>
      </x:c>
      <x:c r="G156" s="16" t="str"/>
      <x:c r="H156" s="16" t="str">
        <x:v>flip_flops</x:v>
      </x:c>
      <x:c r="I156" s="16" t="str"/>
      <x:c r="J156" s="16" t="str"/>
      <x:c r="K156" s="16" t="str"/>
      <x:c r="L156" s="16" t="str"/>
      <x:c r="M156" s="16" t="str"/>
      <x:c r="N156" s="16" t="str"/>
      <x:c r="O156" s="16" t="str"/>
      <x:c r="P156" s="16" t="str"/>
      <x:c r="Q156" s="16" t="str"/>
      <x:c r="R156" s="16" t="str">
        <x:v>用户搜索黑色人字拖，无性别或其他限制条件。</x:v>
      </x:c>
      <x:c r="S156" s="13" t="str">
        <x:v>high_intent</x:v>
      </x:c>
      <x:c r="T156" s="16" t="str">
        <x:v>explicit | page_validated</x:v>
      </x:c>
      <x:c r="U156" s="13" t="str">
        <x:v>high</x:v>
      </x:c>
      <x:c r="V156" s="16" t="str">
        <x:v>black_flip_flops</x:v>
      </x:c>
      <x:c r="W156" s="16" t="str">
        <x:v>cluster_route</x:v>
      </x:c>
      <x:c r="X156" s="16" t="str">
        <x:v>{"product_type":[{"value":"flip_flops","evidence_type":"explicit","source_span":"flipflops","fact_ids":[],"rationale":"Term explicitly requests flip flops."},{"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asin_fit":[{"value":"match","evidence_type":"page_validated","source_span":"","fact_ids":["colors_visible","style_flip_flop"],"rationale":"Black is an available color; flip-flop product type matches baseline. No gender specified so no audience conflict."}],"primary_domain":[{"value":"clothing_shoes_jewelry","evidence_type":"inferred","source_span":"","fact_ids":[],"rationale":"该值由搜索词整体语义推断，未作为页面明示属性。"}]}</x:v>
      </x:c>
      <x:c r="Y156" s="16" t="str"/>
      <x:c r="Z156" s="13" t="str">
        <x:v>match</x:v>
      </x:c>
      <x:c r="AA156" s="16" t="str">
        <x:v>colors_visible | style_flip_flop</x:v>
      </x:c>
      <x:c r="AB156" s="13" t="str">
        <x:v>accepted</x:v>
      </x:c>
      <x:c r="AC156" s="13" t="str">
        <x:v>1.0.0</x:v>
      </x:c>
      <x:c r="AD156" s="13" t="str">
        <x:v>1.1.0</x:v>
      </x:c>
      <x:c r="AE156" s="13" t="str">
        <x:v>deepseek/deepseek-v4-pro</x:v>
      </x:c>
      <x:c r="AF156" s="13" t="str">
        <x:v>aj2-y90-20260714T234810-0bea2f52</x:v>
      </x:c>
      <x:c r="AG156" s="13" t="str">
        <x:v>full-0008</x:v>
      </x:c>
      <x:c r="AH156" s="13" t="str">
        <x:v>full</x:v>
      </x:c>
      <x:c r="AI156" s="13" t="n">
        <x:v>8</x:v>
      </x:c>
    </x:row>
    <x:row r="157" ht="34" customHeight="1">
      <x:c r="A157" s="15" t="str">
        <x:v>archie lemon flip flops</x:v>
      </x:c>
      <x:c r="B157" s="15" t="str">
        <x:v>archie lemon flip flops</x:v>
      </x:c>
      <x:c r="C157" s="10" t="str">
        <x:v>c1477fc864e4f1f3</x:v>
      </x:c>
      <x:c r="D157" s="10" t="str">
        <x:v>keyword</x:v>
      </x:c>
      <x:c r="E157" s="10" t="str">
        <x:v>en</x:v>
      </x:c>
      <x:c r="F157" s="10" t="str">
        <x:v>clothing_shoes_jewelry</x:v>
      </x:c>
      <x:c r="G157" s="15" t="str"/>
      <x:c r="H157" s="15" t="str">
        <x:v>flip_flops</x:v>
      </x:c>
      <x:c r="I157" s="15" t="str">
        <x:v>brand_seeker</x:v>
      </x:c>
      <x:c r="J157" s="15" t="str"/>
      <x:c r="K157" s="15" t="str"/>
      <x:c r="L157" s="15" t="str"/>
      <x:c r="M157" s="15" t="str"/>
      <x:c r="N157" s="15" t="str"/>
      <x:c r="O157" s="15" t="str"/>
      <x:c r="P157" s="15" t="str"/>
      <x:c r="Q157" s="15" t="str"/>
      <x:c r="R157" s="15" t="str">
        <x:v>用户搜索Archie品牌柠檬黄色人字拖，品牌和颜色均有明确偏好。</x:v>
      </x:c>
      <x:c r="S157" s="10" t="str">
        <x:v>brand_harvest</x:v>
      </x:c>
      <x:c r="T157" s="15" t="str">
        <x:v>explicit</x:v>
      </x:c>
      <x:c r="U157" s="10" t="str">
        <x:v>high</x:v>
      </x:c>
      <x:c r="V157" s="15" t="str">
        <x:v>archies_lemon_flip_flops</x:v>
      </x:c>
      <x:c r="W157" s="15" t="str">
        <x:v>semantic_negative_candidate</x:v>
      </x:c>
      <x:c r="X157" s="15" t="str">
        <x:v>{"product_type":[{"value":"flip_flops","evidence_type":"explicit","source_span":"flip flops","fact_ids":[],"rationale":"Term explicitly requests flip flops."},{"value":"flip_flops","evidence_type":"page_validated","source_span":"","fact_ids":["style_flip_flop"],"rationale":"该槽位与商品基准中的明示页面事实一致。"}],"audience_intent":[{"value":"brand_seeker","evidence_type":"explicit","source_span":"archie","fact_ids":[],"rationale":"Term explicitly specifies Archie brand, which conflicts with baseline brand joomra."}],"asin_fit":[{"value":"mismatch","evidence_type":"explicit","source_span":"archie","fact_ids":[],"rationale":"Brand Archie conflicts with baseline brand joomra; lemon color also not among listed colors."}],"primary_domain":[{"value":"clothing_shoes_jewelry","evidence_type":"inferred","source_span":"","fact_ids":[],"rationale":"该值由搜索词整体语义推断，未作为页面明示属性。"}]}</x:v>
      </x:c>
      <x:c r="Y157" s="15" t="str"/>
      <x:c r="Z157" s="10" t="str">
        <x:v>mismatch</x:v>
      </x:c>
      <x:c r="AA157" s="15" t="str"/>
      <x:c r="AB157" s="10" t="str">
        <x:v>accepted</x:v>
      </x:c>
      <x:c r="AC157" s="10" t="str">
        <x:v>1.0.0</x:v>
      </x:c>
      <x:c r="AD157" s="10" t="str">
        <x:v>1.1.0</x:v>
      </x:c>
      <x:c r="AE157" s="10" t="str">
        <x:v>deepseek/deepseek-v4-pro</x:v>
      </x:c>
      <x:c r="AF157" s="10" t="str">
        <x:v>aj2-y90-20260714T234810-0bea2f52</x:v>
      </x:c>
      <x:c r="AG157" s="10" t="str">
        <x:v>full-0008</x:v>
      </x:c>
      <x:c r="AH157" s="10" t="str">
        <x:v>full</x:v>
      </x:c>
      <x:c r="AI157" s="10" t="n">
        <x:v>8</x:v>
      </x:c>
    </x:row>
    <x:row r="158" ht="34" customHeight="1">
      <x:c r="A158" s="16" t="str">
        <x:v>chocolate brown arch flip flops</x:v>
      </x:c>
      <x:c r="B158" s="16" t="str">
        <x:v>chocolate brown arch flip flops</x:v>
      </x:c>
      <x:c r="C158" s="13" t="str">
        <x:v>c538b13fe10c38bb</x:v>
      </x:c>
      <x:c r="D158" s="13" t="str">
        <x:v>keyword</x:v>
      </x:c>
      <x:c r="E158" s="13" t="str">
        <x:v>en</x:v>
      </x:c>
      <x:c r="F158" s="13" t="str">
        <x:v>clothing_shoes_jewelry</x:v>
      </x:c>
      <x:c r="G158" s="16" t="str"/>
      <x:c r="H158" s="16" t="str">
        <x:v>flip_flops</x:v>
      </x:c>
      <x:c r="I158" s="16" t="str"/>
      <x:c r="J158" s="16" t="str">
        <x:v>arch_support</x:v>
      </x:c>
      <x:c r="K158" s="16" t="str">
        <x:v>arch_support</x:v>
      </x:c>
      <x:c r="L158" s="16" t="str"/>
      <x:c r="M158" s="16" t="str"/>
      <x:c r="N158" s="16" t="str">
        <x:v>arch_discomfort</x:v>
      </x:c>
      <x:c r="O158" s="16" t="str"/>
      <x:c r="P158" s="16" t="str"/>
      <x:c r="Q158" s="16" t="str"/>
      <x:c r="R158" s="16" t="str">
        <x:v>用户需要一双巧克力棕色带足弓支撑的人字拖，兼顾颜色和功能性。</x:v>
      </x:c>
      <x:c r="S158" s="13" t="str">
        <x:v>high_intent</x:v>
      </x:c>
      <x:c r="T158" s="16" t="str">
        <x:v>explicit | page_validated | inferred</x:v>
      </x:c>
      <x:c r="U158" s="13" t="str">
        <x:v>high</x:v>
      </x:c>
      <x:c r="V158" s="16" t="str">
        <x:v>chocolate_brown_arch_flip_flops</x:v>
      </x:c>
      <x:c r="W158" s="16" t="str">
        <x:v>cluster_route</x:v>
      </x:c>
      <x:c r="X158" s="16" t="str">
        <x:v>{"product_type":[{"value":"flip_flops","evidence_type":"explicit","source_span":"flip flops","fact_ids":[],"rationale":"Term explicitly requests flip flops."},{"value":"flip_flops","evidence_type":"page_validated","source_span":"","fact_ids":["style_flip_flop"],"rationale":"该槽位与商品基准中的明示页面事实一致。"}],"body_need_intent":[{"value":"arch_discomfort","evidence_type":"inferred","source_span":"arch","fact_ids":[],"rationale":"Arch support request implies arch discomfort."}],"asin_fit":[{"value":"match","evidence_type":"page_validated","source_span":"","fact_ids":["arch_support","colors_visible","style_flip_flop"],"rationale":"Arch support validated; brown is available (chocolate brown is a shade of brown); flip-flop type matches."}],"capability_intent":[{"value":"arch_support","evidence_type":"page_validated","source_span":"","fact_ids":["arch_support"],"rationale":"该槽位与商品基准中的明示页面事实一致。"},{"value":"arch_suppor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158" s="16" t="str"/>
      <x:c r="Z158" s="13" t="str">
        <x:v>match</x:v>
      </x:c>
      <x:c r="AA158" s="16" t="str">
        <x:v>arch_support | colors_visible | style_flip_flop</x:v>
      </x:c>
      <x:c r="AB158" s="13" t="str">
        <x:v>accepted</x:v>
      </x:c>
      <x:c r="AC158" s="13" t="str">
        <x:v>1.0.0</x:v>
      </x:c>
      <x:c r="AD158" s="13" t="str">
        <x:v>1.1.0</x:v>
      </x:c>
      <x:c r="AE158" s="13" t="str">
        <x:v>deepseek/deepseek-v4-pro</x:v>
      </x:c>
      <x:c r="AF158" s="13" t="str">
        <x:v>aj2-y90-20260714T234810-0bea2f52</x:v>
      </x:c>
      <x:c r="AG158" s="13" t="str">
        <x:v>full-0008</x:v>
      </x:c>
      <x:c r="AH158" s="13" t="str">
        <x:v>full</x:v>
      </x:c>
      <x:c r="AI158" s="13" t="n">
        <x:v>8</x:v>
      </x:c>
    </x:row>
    <x:row r="159" ht="34" customHeight="1">
      <x:c r="A159" s="15" t="str">
        <x:v>shower sandals women non</x:v>
      </x:c>
      <x:c r="B159" s="15" t="str">
        <x:v>shower sandals women non</x:v>
      </x:c>
      <x:c r="C159" s="10" t="str">
        <x:v>c8b25f360ab0e282</x:v>
      </x:c>
      <x:c r="D159" s="10" t="str">
        <x:v>keyword</x:v>
      </x:c>
      <x:c r="E159" s="10" t="str">
        <x:v>en</x:v>
      </x:c>
      <x:c r="F159" s="10" t="str">
        <x:v>clothing_shoes_jewelry</x:v>
      </x:c>
      <x:c r="G159" s="15" t="str">
        <x:v>home_kitchen</x:v>
      </x:c>
      <x:c r="H159" s="15" t="str">
        <x:v>shower_sandals | sandals</x:v>
      </x:c>
      <x:c r="I159" s="15" t="str">
        <x:v>women</x:v>
      </x:c>
      <x:c r="J159" s="15" t="str">
        <x:v>shower_use</x:v>
      </x:c>
      <x:c r="K159" s="15" t="str">
        <x:v>non_slip | water_resistant</x:v>
      </x:c>
      <x:c r="L159" s="15" t="str">
        <x:v>showering</x:v>
      </x:c>
      <x:c r="M159" s="15" t="str">
        <x:v>shower | bathroom</x:v>
      </x:c>
      <x:c r="N159" s="15" t="str"/>
      <x:c r="O159" s="15" t="str"/>
      <x:c r="P159" s="15" t="str"/>
      <x:c r="Q159" s="15" t="str"/>
      <x:c r="R159" s="15" t="str">
        <x:v>女性用户需要一双防滑淋浴凉鞋，用于在浴室或淋浴间安全使用。</x:v>
      </x:c>
      <x:c r="S159" s="10" t="str">
        <x:v>high_intent</x:v>
      </x:c>
      <x:c r="T159" s="15" t="str">
        <x:v>explicit | page_validated | inferred</x:v>
      </x:c>
      <x:c r="U159" s="10" t="str">
        <x:v>medium</x:v>
      </x:c>
      <x:c r="V159" s="15" t="str">
        <x:v>womens_shower_sandals_non_slip</x:v>
      </x:c>
      <x:c r="W159" s="15" t="str">
        <x:v>listing_gap_review</x:v>
      </x:c>
      <x:c r="X159" s="15" t="str">
        <x:v>{"product_type":[{"value":"shower_sandals","evidence_type":"explicit","source_span":"shower sandals","fact_ids":[],"rationale":"Term explicitly requests shower sandals."},{"value":"sandals","evidence_type":"page_validated","source_span":"","fact_ids":["title_womens_flip_flop"],"rationale":"该槽位与商品基准中的明示页面事实一致。"}],"audience_intent":[{"value":"women","evidence_type":"explicit","source_span":"women","fact_ids":[],"rationale":"Term explicitly targets women."},{"value":"women","evidence_type":"page_validated","source_span":"","fact_ids":["title_womens_flip_flop"],"rationale":"该槽位与商品基准中的明示页面事实一致。"}],"capability_intent":[{"value":"non_slip","evidence_type":"inferred","source_span":"non","fact_ids":[],"rationale":"Truncated 'non' most plausibly means non-slip given context; page has slip-resistant grip."},{"value":"water_resistant","evidence_type":"inferred","source_span":"shower","fact_ids":[],"rationale":"该值来自搜索词整体语义推断；商品页面基准未验证相应性能。"},{"value":"non_slip","evidence_type":"page_validated","source_span":"","fact_ids":["slip_resistant_grip"],"rationale":"该槽位与商品基准中的明示页面事实一致。"}],"asin_fit":[{"value":"partial_match","evidence_type":"page_validated","source_span":"","fact_ids":["slip_resistant_grip","easy_clean","title_womens_flip_flop"],"rationale":"商品页面仅明示该槽位对应的基础属性，不据此推断额外性能。"}],"location_intent":[{"value":"shower","evidence_type":"inferred","source_span":"","fact_ids":[],"rationale":"该值由搜索词整体语义推断，未作为页面明示属性。"},{"value":"bathroom","evidence_type":"inferred","source_span":"","fact_ids":[],"rationale":"该值由搜索词整体语义推断，未作为页面明示属性。"}],"secondary_domain":[{"value":"home_kitchen","evidence_type":"inferred","source_span":"","fact_ids":[],"rationale":"该值由搜索词整体语义推断，未作为页面明示属性。"}],"event_intent":[{"value":"showering","evidence_type":"inferred","source_span":"","fact_ids":[],"rationale":"该值由搜索词整体语义推断，未作为页面明示属性。"}],"function_intent":[{"value":"shower_use","evidence_type":"inferred","source_span":"","fact_ids":[],"rationale":"该值由搜索词整体语义推断，未作为页面明示属性。"}],"primary_domain":[{"value":"clothing_shoes_jewelry","evidence_type":"inferred","source_span":"","fact_ids":[],"rationale":"该值由搜索词整体语义推断，未作为页面明示属性。"}]}</x:v>
      </x:c>
      <x:c r="Y159" s="15" t="str">
        <x:v>truncated_term_non</x:v>
      </x:c>
      <x:c r="Z159" s="10" t="str">
        <x:v>partial_match</x:v>
      </x:c>
      <x:c r="AA159" s="15" t="str">
        <x:v>slip_resistant_grip | easy_clean | title_womens_flip_flop</x:v>
      </x:c>
      <x:c r="AB159" s="10" t="str">
        <x:v>accepted</x:v>
      </x:c>
      <x:c r="AC159" s="10" t="str">
        <x:v>1.0.0</x:v>
      </x:c>
      <x:c r="AD159" s="10" t="str">
        <x:v>1.1.0</x:v>
      </x:c>
      <x:c r="AE159" s="10" t="str">
        <x:v>deepseek/deepseek-v4-pro</x:v>
      </x:c>
      <x:c r="AF159" s="10" t="str">
        <x:v>aj2-y90-20260714T234810-0bea2f52</x:v>
      </x:c>
      <x:c r="AG159" s="10" t="str">
        <x:v>full-0008</x:v>
      </x:c>
      <x:c r="AH159" s="10" t="str">
        <x:v>full</x:v>
      </x:c>
      <x:c r="AI159" s="10" t="n">
        <x:v>8</x:v>
      </x:c>
    </x:row>
    <x:row r="160" ht="34" customHeight="1">
      <x:c r="A160" s="16" t="str">
        <x:v>brown flip flop rubber</x:v>
      </x:c>
      <x:c r="B160" s="16" t="str">
        <x:v>brown flip flop rubber</x:v>
      </x:c>
      <x:c r="C160" s="13" t="str">
        <x:v>ddff05da19505681</x:v>
      </x:c>
      <x:c r="D160" s="13" t="str">
        <x:v>keyword</x:v>
      </x:c>
      <x:c r="E160" s="13" t="str">
        <x:v>en</x:v>
      </x:c>
      <x:c r="F160" s="13" t="str">
        <x:v>clothing_shoes_jewelry</x:v>
      </x:c>
      <x:c r="G160" s="16" t="str"/>
      <x:c r="H160" s="16" t="str">
        <x:v>flip_flops</x:v>
      </x:c>
      <x:c r="I160" s="16" t="str"/>
      <x:c r="J160" s="16" t="str"/>
      <x:c r="K160" s="16" t="str">
        <x:v>rubber_material</x:v>
      </x:c>
      <x:c r="L160" s="16" t="str"/>
      <x:c r="M160" s="16" t="str"/>
      <x:c r="N160" s="16" t="str"/>
      <x:c r="O160" s="16" t="str"/>
      <x:c r="P160" s="16" t="str"/>
      <x:c r="Q160" s="16" t="str"/>
      <x:c r="R160" s="16" t="str">
        <x:v>用户搜索棕色橡胶材质的人字拖，注重颜色和材质属性。</x:v>
      </x:c>
      <x:c r="S160" s="13" t="str">
        <x:v>high_intent</x:v>
      </x:c>
      <x:c r="T160" s="16" t="str">
        <x:v>explicit | page_validated | inferred</x:v>
      </x:c>
      <x:c r="U160" s="13" t="str">
        <x:v>medium</x:v>
      </x:c>
      <x:c r="V160" s="16" t="str">
        <x:v>brown_rubber_flip_flops</x:v>
      </x:c>
      <x:c r="W160" s="16" t="str">
        <x:v>performance_observation</x:v>
      </x:c>
      <x:c r="X160" s="16" t="str">
        <x:v>{"product_type":[{"value":"flip_flops","evidence_type":"explicit","source_span":"flip flop","fact_ids":[],"rationale":"Term explicitly requests flip flops."},{"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capability_intent":[{"value":"rubber_material","evidence_type":"explicit","source_span":"rubber","fact_ids":["material_eva"],"rationale":"Explicitly requests rubber; baseline outer material is EVA, which consumers may perceive as rubber-like but is technically a foam."}],"asin_fit":[{"value":"partial_match","evidence_type":"page_validated","source_span":"","fact_ids":["colors_visible","style_flip_flop"],"rationale":"Brown color and flip-flop type match; material is EVA not rubber, though EVA is a rubber-like synthetic."}],"primary_domain":[{"value":"clothing_shoes_jewelry","evidence_type":"inferred","source_span":"","fact_ids":[],"rationale":"该值由搜索词整体语义推断，未作为页面明示属性。"}]}</x:v>
      </x:c>
      <x:c r="Y160" s="16" t="str"/>
      <x:c r="Z160" s="13" t="str">
        <x:v>partial_match</x:v>
      </x:c>
      <x:c r="AA160" s="16" t="str">
        <x:v>colors_visible | style_flip_flop</x:v>
      </x:c>
      <x:c r="AB160" s="13" t="str">
        <x:v>accepted</x:v>
      </x:c>
      <x:c r="AC160" s="13" t="str">
        <x:v>1.0.0</x:v>
      </x:c>
      <x:c r="AD160" s="13" t="str">
        <x:v>1.1.0</x:v>
      </x:c>
      <x:c r="AE160" s="13" t="str">
        <x:v>deepseek/deepseek-v4-pro</x:v>
      </x:c>
      <x:c r="AF160" s="13" t="str">
        <x:v>aj2-y90-20260714T234810-0bea2f52</x:v>
      </x:c>
      <x:c r="AG160" s="13" t="str">
        <x:v>full-0008</x:v>
      </x:c>
      <x:c r="AH160" s="13" t="str">
        <x:v>full</x:v>
      </x:c>
      <x:c r="AI160" s="13" t="n">
        <x:v>8</x:v>
      </x:c>
    </x:row>
    <x:row r="161" ht="34" customHeight="1">
      <x:c r="A161" s="15" t="str">
        <x:v>nude flip flops with arch support</x:v>
      </x:c>
      <x:c r="B161" s="15" t="str">
        <x:v>nude flip flops with arch support</x:v>
      </x:c>
      <x:c r="C161" s="10" t="str">
        <x:v>e349dd268ad84f23</x:v>
      </x:c>
      <x:c r="D161" s="10" t="str">
        <x:v>keyword</x:v>
      </x:c>
      <x:c r="E161" s="10" t="str">
        <x:v>en</x:v>
      </x:c>
      <x:c r="F161" s="10" t="str">
        <x:v>clothing_shoes_jewelry</x:v>
      </x:c>
      <x:c r="G161" s="15" t="str"/>
      <x:c r="H161" s="15" t="str">
        <x:v>flip_flops</x:v>
      </x:c>
      <x:c r="I161" s="15" t="str"/>
      <x:c r="J161" s="15" t="str">
        <x:v>arch_support</x:v>
      </x:c>
      <x:c r="K161" s="15" t="str">
        <x:v>arch_support</x:v>
      </x:c>
      <x:c r="L161" s="15" t="str"/>
      <x:c r="M161" s="15" t="str"/>
      <x:c r="N161" s="15" t="str">
        <x:v>arch_discomfort</x:v>
      </x:c>
      <x:c r="O161" s="15" t="str"/>
      <x:c r="P161" s="15" t="str"/>
      <x:c r="Q161" s="15" t="str"/>
      <x:c r="R161" s="15" t="str">
        <x:v>用户需要一双带有足弓支撑的裸色人字拖，兼顾舒适与美观。</x:v>
      </x:c>
      <x:c r="S161" s="10" t="str">
        <x:v>high_intent</x:v>
      </x:c>
      <x:c r="T161" s="15" t="str">
        <x:v>explicit | page_validated | inferred</x:v>
      </x:c>
      <x:c r="U161" s="10" t="str">
        <x:v>medium</x:v>
      </x:c>
      <x:c r="V161" s="15" t="str">
        <x:v>nude_arch_support_flip_flops</x:v>
      </x:c>
      <x:c r="W161" s="15" t="str">
        <x:v>listing_gap_review</x:v>
      </x:c>
      <x:c r="X161" s="15" t="str">
        <x:v>{"product_type":[{"value":"flip_flops","evidence_type":"explicit","source_span":"flip flops","fact_ids":[],"rationale":"Term explicitly requests flip flops."},{"value":"flip_flops","evidence_type":"page_validated","source_span":"","fact_ids":["style_flip_flop"],"rationale":"该槽位与商品基准中的明示页面事实一致。"}],"body_need_intent":[{"value":"arch_discomfort","evidence_type":"inferred","source_span":"arch support","fact_ids":[],"rationale":"Arch support implies user wants relief from arch discomfort."}],"asin_fit":[{"value":"partial_match","evidence_type":"page_validated","source_span":"","fact_ids":["arch_support","style_flip_flop"],"rationale":"Arch support and flip-flop type match; nude color is not among listed colors. Brown may approximate nude for some skin tones but is not the same."}],"capability_intent":[{"value":"arch_support","evidence_type":"page_validated","source_span":"","fact_ids":["arch_support"],"rationale":"该槽位与商品基准中的明示页面事实一致。"}],"primary_domain":[{"value":"clothing_shoes_jewelry","evidence_type":"inferred","source_span":"","fact_ids":[],"rationale":"该值由搜索词整体语义推断，未作为页面明示属性。"}]}</x:v>
      </x:c>
      <x:c r="Y161" s="15" t="str"/>
      <x:c r="Z161" s="10" t="str">
        <x:v>partial_match</x:v>
      </x:c>
      <x:c r="AA161" s="15" t="str">
        <x:v>arch_support | style_flip_flop</x:v>
      </x:c>
      <x:c r="AB161" s="10" t="str">
        <x:v>accepted</x:v>
      </x:c>
      <x:c r="AC161" s="10" t="str">
        <x:v>1.0.0</x:v>
      </x:c>
      <x:c r="AD161" s="10" t="str">
        <x:v>1.1.0</x:v>
      </x:c>
      <x:c r="AE161" s="10" t="str">
        <x:v>deepseek/deepseek-v4-pro</x:v>
      </x:c>
      <x:c r="AF161" s="10" t="str">
        <x:v>aj2-y90-20260714T234810-0bea2f52</x:v>
      </x:c>
      <x:c r="AG161" s="10" t="str">
        <x:v>full-0008</x:v>
      </x:c>
      <x:c r="AH161" s="10" t="str">
        <x:v>full</x:v>
      </x:c>
      <x:c r="AI161" s="10" t="n">
        <x:v>8</x:v>
      </x:c>
    </x:row>
    <x:row r="162" ht="34" customHeight="1">
      <x:c r="A162" s="16" t="str">
        <x:v>sandals women comfortable</x:v>
      </x:c>
      <x:c r="B162" s="16" t="str">
        <x:v>sandals women comfortable</x:v>
      </x:c>
      <x:c r="C162" s="13" t="str">
        <x:v>0561be90bb879dec</x:v>
      </x:c>
      <x:c r="D162" s="13" t="str">
        <x:v>keyword</x:v>
      </x:c>
      <x:c r="E162" s="13" t="str">
        <x:v>en</x:v>
      </x:c>
      <x:c r="F162" s="13" t="str">
        <x:v>clothing_shoes_jewelry</x:v>
      </x:c>
      <x:c r="G162" s="16" t="str"/>
      <x:c r="H162" s="16" t="str">
        <x:v>sandals</x:v>
      </x:c>
      <x:c r="I162" s="16" t="str">
        <x:v>women</x:v>
      </x:c>
      <x:c r="J162" s="16" t="str">
        <x:v>comfort</x:v>
      </x:c>
      <x:c r="K162" s="16" t="str"/>
      <x:c r="L162" s="16" t="str"/>
      <x:c r="M162" s="16" t="str"/>
      <x:c r="N162" s="16" t="str"/>
      <x:c r="O162" s="16" t="str"/>
      <x:c r="P162" s="16" t="str"/>
      <x:c r="Q162" s="16" t="str"/>
      <x:c r="R162" s="16" t="str">
        <x:v>用户想为女性寻找舒适的凉鞋，搜索词使用较宽泛的'sandals'而非特定类型，处于浏览探索阶段。</x:v>
      </x:c>
      <x:c r="S162" s="13" t="str">
        <x:v>exploration</x:v>
      </x:c>
      <x:c r="T162" s="16" t="str">
        <x:v>explicit | page_validated</x:v>
      </x:c>
      <x:c r="U162" s="13" t="str">
        <x:v>medium</x:v>
      </x:c>
      <x:c r="V162" s="16" t="str">
        <x:v>womens_comfortable_sandals</x:v>
      </x:c>
      <x:c r="W162" s="16" t="str">
        <x:v>cluster_route</x:v>
      </x:c>
      <x:c r="X162" s="16" t="str">
        <x:v>{"audience_intent":[{"value":"women","evidence_type":"explicit","source_span":"women","fact_ids":[],"rationale":"Directly stated."},{"value":"women","evidence_type":"page_validated","source_span":"","fact_ids":["title_womens_flip_flop"],"rationale":"该槽位与商品基准中的明示页面事实一致。"}],"product_type":[{"value":"sandals","evidence_type":"explicit","source_span":"sandals","fact_ids":[],"rationale":"Directly stated; flip flop is a subclass of sandals."},{"value":"sandals","evidence_type":"page_validated","source_span":"","fact_ids":["title_womens_flip_flop"],"rationale":"该槽位与商品基准中的明示页面事实一致。"}],"function_intent":[{"value":"comfort","evidence_type":"explicit","source_span":"comfortable","fact_ids":[],"rationale":"Directly stated."},{"value":"comfort","evidence_type":"page_validated","source_span":"","fact_ids":["arch_support","padded_cushioning"],"rationale":"该槽位与商品基准中的明示页面事实一致。"}],"primary_domain":[{"value":"clothing_shoes_jewelry","evidence_type":"inferred","source_span":"","fact_ids":[],"rationale":"该值由搜索词整体语义推断，未作为页面明示属性。"}]}</x:v>
      </x:c>
      <x:c r="Y162" s="16" t="str">
        <x:v>sandals_broader_than_flip_flops</x:v>
      </x:c>
      <x:c r="Z162" s="13" t="str">
        <x:v>partial_match</x:v>
      </x:c>
      <x:c r="AA162" s="16" t="str">
        <x:v>title_womens_flip_flop | arch_support | padded_cushioning</x:v>
      </x:c>
      <x:c r="AB162" s="13" t="str">
        <x:v>accepted</x:v>
      </x:c>
      <x:c r="AC162" s="13" t="str">
        <x:v>1.0.0</x:v>
      </x:c>
      <x:c r="AD162" s="13" t="str">
        <x:v>1.1.0</x:v>
      </x:c>
      <x:c r="AE162" s="13" t="str">
        <x:v>deepseek/deepseek-v4-pro</x:v>
      </x:c>
      <x:c r="AF162" s="13" t="str">
        <x:v>aj2-y90-20260714T234810-0bea2f52</x:v>
      </x:c>
      <x:c r="AG162" s="13" t="str">
        <x:v>full-0009</x:v>
      </x:c>
      <x:c r="AH162" s="13" t="str">
        <x:v>full</x:v>
      </x:c>
      <x:c r="AI162" s="13" t="n">
        <x:v>9</x:v>
      </x:c>
    </x:row>
    <x:row r="163" ht="34" customHeight="1">
      <x:c r="A163" s="15" t="str">
        <x:v>brown archies flip flops</x:v>
      </x:c>
      <x:c r="B163" s="15" t="str">
        <x:v>brown archies flip flops</x:v>
      </x:c>
      <x:c r="C163" s="10" t="str">
        <x:v>0eab7f64bf5d1233</x:v>
      </x:c>
      <x:c r="D163" s="10" t="str">
        <x:v>keyword</x:v>
      </x:c>
      <x:c r="E163" s="10" t="str">
        <x:v>en</x:v>
      </x:c>
      <x:c r="F163" s="10" t="str">
        <x:v>clothing_shoes_jewelry</x:v>
      </x:c>
      <x:c r="G163" s="15" t="str"/>
      <x:c r="H163" s="15" t="str">
        <x:v>flip_flops</x:v>
      </x:c>
      <x:c r="I163" s="15" t="str"/>
      <x:c r="J163" s="15" t="str">
        <x:v>comfort</x:v>
      </x:c>
      <x:c r="K163" s="15" t="str"/>
      <x:c r="L163" s="15" t="str"/>
      <x:c r="M163" s="15" t="str"/>
      <x:c r="N163" s="15" t="str">
        <x:v>arch_support</x:v>
      </x:c>
      <x:c r="O163" s="15" t="str"/>
      <x:c r="P163" s="15" t="str"/>
      <x:c r="Q163" s="15" t="str"/>
      <x:c r="R163" s="15" t="str">
        <x:v>用户正在搜索Archies品牌的棕色人字拖，Archies是知名的足弓支撑人字拖品牌，属于竞品品牌搜索。</x:v>
      </x:c>
      <x:c r="S163" s="10" t="str">
        <x:v>brand_harvest</x:v>
      </x:c>
      <x:c r="T163" s="15" t="str">
        <x:v>explicit | inferred</x:v>
      </x:c>
      <x:c r="U163" s="10" t="str">
        <x:v>high</x:v>
      </x:c>
      <x:c r="V163" s="15" t="str">
        <x:v>competitor_brand_archies_flip_flops</x:v>
      </x:c>
      <x:c r="W163" s="15" t="str">
        <x:v>performance_observation</x:v>
      </x:c>
      <x:c r="X163" s="15" t="str">
        <x:v>{"product_type":[{"value":"flip_flops","evidence_type":"explicit","source_span":"flip flops","fact_ids":[],"rationale":"Directly stated."},{"value":"flip_flops","evidence_type":"page_validated","source_span":"","fact_ids":["style_flip_flop"],"rationale":"该槽位与商品基准中的明示页面事实一致。"}],"capability_intent":[{"value":"arch_support","evidence_type":"page_validated","source_span":"","fact_ids":["arch_support"],"rationale":"该槽位与商品基准中的明示页面事实一致。"},{"value":"arch_support","evidence_type":"inferred","source_span":"","fact_ids":[],"rationale":"该能力由搜索词表达的任务或问题推断；页面事实仅用于验证商品承接。"}],"function_intent":[{"value":"comfort","evidence_type":"page_validated","source_span":"","fact_ids":["arch_support","padded_cushioning"],"rationale":"该槽位与商品基准中的明示页面事实一致。"},{"value":"comfor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163" s="15" t="str"/>
      <x:c r="Z163" s="10" t="str">
        <x:v>partial_match</x:v>
      </x:c>
      <x:c r="AA163" s="15" t="str">
        <x:v>style_flip_flop | arch_support | colors_visible</x:v>
      </x:c>
      <x:c r="AB163" s="10" t="str">
        <x:v>accepted</x:v>
      </x:c>
      <x:c r="AC163" s="10" t="str">
        <x:v>1.0.0</x:v>
      </x:c>
      <x:c r="AD163" s="10" t="str">
        <x:v>1.1.0</x:v>
      </x:c>
      <x:c r="AE163" s="10" t="str">
        <x:v>deepseek/deepseek-v4-pro</x:v>
      </x:c>
      <x:c r="AF163" s="10" t="str">
        <x:v>aj2-y90-20260714T234810-0bea2f52</x:v>
      </x:c>
      <x:c r="AG163" s="10" t="str">
        <x:v>full-0009</x:v>
      </x:c>
      <x:c r="AH163" s="10" t="str">
        <x:v>full</x:v>
      </x:c>
      <x:c r="AI163" s="10" t="n">
        <x:v>9</x:v>
      </x:c>
    </x:row>
    <x:row r="164" ht="34" customHeight="1">
      <x:c r="A164" s="16" t="str">
        <x:v>brown flip flops size 10</x:v>
      </x:c>
      <x:c r="B164" s="16" t="str">
        <x:v>brown flip flops size 10</x:v>
      </x:c>
      <x:c r="C164" s="13" t="str">
        <x:v>1188c4b4a0948655</x:v>
      </x:c>
      <x:c r="D164" s="13" t="str">
        <x:v>keyword</x:v>
      </x:c>
      <x:c r="E164" s="13" t="str">
        <x:v>en</x:v>
      </x:c>
      <x:c r="F164" s="13" t="str">
        <x:v>clothing_shoes_jewelry</x:v>
      </x:c>
      <x:c r="G164" s="16" t="str"/>
      <x:c r="H164" s="16" t="str">
        <x:v>flip_flops</x:v>
      </x:c>
      <x:c r="I164" s="16" t="str"/>
      <x:c r="J164" s="16" t="str"/>
      <x:c r="K164" s="16" t="str"/>
      <x:c r="L164" s="16" t="str"/>
      <x:c r="M164" s="16" t="str"/>
      <x:c r="N164" s="16" t="str"/>
      <x:c r="O164" s="16" t="str"/>
      <x:c r="P164" s="16" t="str"/>
      <x:c r="Q164" s="16" t="str"/>
      <x:c r="R164" s="16" t="str">
        <x:v>用户想购买棕色10码人字拖，颜色和尺码要求明确，产品页面提供棕色选项和6-11尺码范围，匹配度高。</x:v>
      </x:c>
      <x:c r="S164" s="13" t="str">
        <x:v>high_intent</x:v>
      </x:c>
      <x:c r="T164" s="16" t="str">
        <x:v>explicit | page_validated</x:v>
      </x:c>
      <x:c r="U164" s="13" t="str">
        <x:v>high</x:v>
      </x:c>
      <x:c r="V164" s="16" t="str">
        <x:v>flip_flops_color_size_specific</x:v>
      </x:c>
      <x:c r="W164" s="16" t="str">
        <x:v>cluster_route</x:v>
      </x:c>
      <x:c r="X164" s="16" t="str">
        <x:v>{"product_type":[{"value":"flip_flops","evidence_type":"explicit","source_span":"flip flops","fact_ids":[],"rationale":"Directly stated."},{"value":"flip_flops","evidence_type":"page_validated","source_span":"","fact_ids":["style_flip_flop"],"rationale":"该槽位与商品基准中的明示页面事实一致。"}],"primary_domain":[{"value":"clothing_shoes_jewelry","evidence_type":"inferred","source_span":"","fact_ids":[],"rationale":"该值由搜索词整体语义推断，未作为页面明示属性。"}]}</x:v>
      </x:c>
      <x:c r="Y164" s="16" t="str"/>
      <x:c r="Z164" s="13" t="str">
        <x:v>match</x:v>
      </x:c>
      <x:c r="AA164" s="16" t="str">
        <x:v>style_flip_flop | colors_visible | sizes_6_11</x:v>
      </x:c>
      <x:c r="AB164" s="13" t="str">
        <x:v>accepted</x:v>
      </x:c>
      <x:c r="AC164" s="13" t="str">
        <x:v>1.0.0</x:v>
      </x:c>
      <x:c r="AD164" s="13" t="str">
        <x:v>1.1.0</x:v>
      </x:c>
      <x:c r="AE164" s="13" t="str">
        <x:v>deepseek/deepseek-v4-pro</x:v>
      </x:c>
      <x:c r="AF164" s="13" t="str">
        <x:v>aj2-y90-20260714T234810-0bea2f52</x:v>
      </x:c>
      <x:c r="AG164" s="13" t="str">
        <x:v>full-0009</x:v>
      </x:c>
      <x:c r="AH164" s="13" t="str">
        <x:v>full</x:v>
      </x:c>
      <x:c r="AI164" s="13" t="n">
        <x:v>9</x:v>
      </x:c>
    </x:row>
    <x:row r="165" ht="34" customHeight="1">
      <x:c r="A165" s="15" t="str">
        <x:v>flipflops for plantar fasciitis for women</x:v>
      </x:c>
      <x:c r="B165" s="15" t="str">
        <x:v>flipflops for plantar fasciitis for women</x:v>
      </x:c>
      <x:c r="C165" s="10" t="str">
        <x:v>179cfe27e4243307</x:v>
      </x:c>
      <x:c r="D165" s="10" t="str">
        <x:v>keyword</x:v>
      </x:c>
      <x:c r="E165" s="10" t="str">
        <x:v>en</x:v>
      </x:c>
      <x:c r="F165" s="10" t="str">
        <x:v>clothing_shoes_jewelry</x:v>
      </x:c>
      <x:c r="G165" s="15" t="str">
        <x:v>health_household</x:v>
      </x:c>
      <x:c r="H165" s="15" t="str">
        <x:v>flip_flops</x:v>
      </x:c>
      <x:c r="I165" s="15" t="str">
        <x:v>women</x:v>
      </x:c>
      <x:c r="J165" s="15" t="str">
        <x:v>pain_relief</x:v>
      </x:c>
      <x:c r="K165" s="15" t="str"/>
      <x:c r="L165" s="15" t="str"/>
      <x:c r="M165" s="15" t="str"/>
      <x:c r="N165" s="15" t="str">
        <x:v>plantar_fasciitis | arch_support</x:v>
      </x:c>
      <x:c r="O165" s="15" t="str"/>
      <x:c r="P165" s="15" t="str"/>
      <x:c r="Q165" s="15" t="str"/>
      <x:c r="R165" s="15" t="str">
        <x:v>用户想为女性寻找适合足底筋膜炎患者穿着的人字拖，产品具有足弓支撑和缓冲垫，有助于缓解不适，但页面并未声称治疗足底筋膜炎。</x:v>
      </x:c>
      <x:c r="S165" s="10" t="str">
        <x:v>high_intent</x:v>
      </x:c>
      <x:c r="T165" s="15" t="str">
        <x:v>explicit | page_validated</x:v>
      </x:c>
      <x:c r="U165" s="10" t="str">
        <x:v>high</x:v>
      </x:c>
      <x:c r="V165" s="15" t="str">
        <x:v>plantar_fasciitis_womens_flip_flops</x:v>
      </x:c>
      <x:c r="W165" s="15" t="str">
        <x:v>listing_gap_review</x:v>
      </x:c>
      <x:c r="X165" s="15" t="str">
        <x:v>{"audience_intent":[{"value":"women","evidence_type":"explicit","source_span":"women","fact_ids":[],"rationale":"Directly stated."},{"value":"women","evidence_type":"page_validated","source_span":"","fact_ids":["title_womens_flip_flop"],"rationale":"该槽位与商品基准中的明示页面事实一致。"}],"product_type":[{"value":"flip_flops","evidence_type":"explicit","source_span":"flipflops","fact_ids":[],"rationale":"Directly stated."},{"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body_need_intent":[{"value":"plantar_fasciitis","evidence_type":"explicit","source_span":"plantar fasciitis","fact_ids":[],"rationale":"Directly stated medical condition."}],"function_intent":[{"value":"pain_relief","evidence_type":"inferred","source_span":"","fact_ids":[],"rationale":"Searching for plantar fasciitis footwear implies a pain relief need."}],"capability_intent":[{"value":"arch_support","evidence_type":"page_validated","source_span":"","fact_ids":["arch_support"],"rationale":"该槽位与商品基准中的明示页面事实一致。"},{"value":"arch_support","evidence_type":"inferred","source_span":"","fact_ids":[],"rationale":"该能力由搜索词表达的任务或问题推断；页面事实仅用于验证商品承接。"}],"secondary_domain":[{"value":"health_household","evidence_type":"inferred","source_span":"","fact_ids":[],"rationale":"该值由搜索词整体语义推断，未作为页面明示属性。"}],"primary_domain":[{"value":"clothing_shoes_jewelry","evidence_type":"inferred","source_span":"","fact_ids":[],"rationale":"该值由搜索词整体语义推断，未作为页面明示属性。"}]}</x:v>
      </x:c>
      <x:c r="Y165" s="15" t="str"/>
      <x:c r="Z165" s="10" t="str">
        <x:v>partial_match</x:v>
      </x:c>
      <x:c r="AA165" s="15" t="str">
        <x:v>title_womens_flip_flop | arch_support | padded_cushioning | soft_toe_post</x:v>
      </x:c>
      <x:c r="AB165" s="10" t="str">
        <x:v>accepted</x:v>
      </x:c>
      <x:c r="AC165" s="10" t="str">
        <x:v>1.0.0</x:v>
      </x:c>
      <x:c r="AD165" s="10" t="str">
        <x:v>1.1.0</x:v>
      </x:c>
      <x:c r="AE165" s="10" t="str">
        <x:v>deepseek/deepseek-v4-pro</x:v>
      </x:c>
      <x:c r="AF165" s="10" t="str">
        <x:v>aj2-y90-20260714T234810-0bea2f52</x:v>
      </x:c>
      <x:c r="AG165" s="10" t="str">
        <x:v>full-0009</x:v>
      </x:c>
      <x:c r="AH165" s="10" t="str">
        <x:v>full</x:v>
      </x:c>
      <x:c r="AI165" s="10" t="n">
        <x:v>9</x:v>
      </x:c>
    </x:row>
    <x:row r="166" ht="34" customHeight="1">
      <x:c r="A166" s="16" t="str">
        <x:v>womens think rubber soled flip flops</x:v>
      </x:c>
      <x:c r="B166" s="16" t="str">
        <x:v>womens think rubber soled flip flops</x:v>
      </x:c>
      <x:c r="C166" s="13" t="str">
        <x:v>2467b391bcaedf3a</x:v>
      </x:c>
      <x:c r="D166" s="13" t="str">
        <x:v>keyword</x:v>
      </x:c>
      <x:c r="E166" s="13" t="str">
        <x:v>en</x:v>
      </x:c>
      <x:c r="F166" s="13" t="str">
        <x:v>clothing_shoes_jewelry</x:v>
      </x:c>
      <x:c r="G166" s="16" t="str"/>
      <x:c r="H166" s="16" t="str">
        <x:v>flip_flops</x:v>
      </x:c>
      <x:c r="I166" s="16" t="str">
        <x:v>women</x:v>
      </x:c>
      <x:c r="J166" s="16" t="str"/>
      <x:c r="K166" s="16" t="str">
        <x:v>rubber_sole</x:v>
      </x:c>
      <x:c r="L166" s="16" t="str"/>
      <x:c r="M166" s="16" t="str"/>
      <x:c r="N166" s="16" t="str"/>
      <x:c r="O166" s="16" t="str"/>
      <x:c r="P166" s="16" t="str"/>
      <x:c r="Q166" s="16" t="str"/>
      <x:c r="R166" s="16" t="str">
        <x:v>用户想为女性寻找橡胶底的人字拖，'think'可能是'thick'的拼写错误，期望厚实的橡胶鞋底。产品为EVA材质，无法满足橡胶底要求。</x:v>
      </x:c>
      <x:c r="S166" s="13" t="str">
        <x:v>consideration</x:v>
      </x:c>
      <x:c r="T166" s="16" t="str">
        <x:v>explicit | inferred</x:v>
      </x:c>
      <x:c r="U166" s="13" t="str">
        <x:v>medium</x:v>
      </x:c>
      <x:c r="V166" s="16" t="str">
        <x:v>womens_rubber_sole_flip_flops</x:v>
      </x:c>
      <x:c r="W166" s="16" t="str">
        <x:v>listing_gap_review</x:v>
      </x:c>
      <x:c r="X166" s="16" t="str">
        <x:v>{"audience_intent":[{"value":"women","evidence_type":"explicit","source_span":"womens","fact_ids":[],"rationale":"Directly stated."},{"value":"women","evidence_type":"page_validated","source_span":"","fact_ids":["title_womens_flip_flop"],"rationale":"该槽位与商品基准中的明示页面事实一致。"}],"product_type":[{"value":"flip_flops","evidence_type":"explicit","source_span":"flip flops","fact_ids":[],"rationale":"Directly stated."},{"value":"flip_flops","evidence_type":"page_validated","source_span":"","fact_ids":["style_flip_flop"],"rationale":"该槽位与商品基准中的明示页面事实一致。"}],"capability_intent":[{"value":"rubber_sole","evidence_type":"explicit","source_span":"rubber soled","fact_ids":[],"rationale":"Directly stated material requirement."}],"primary_domain":[{"value":"clothing_shoes_jewelry","evidence_type":"inferred","source_span":"","fact_ids":[],"rationale":"该值由搜索词整体语义推断，未作为页面明示属性。"}]}</x:v>
      </x:c>
      <x:c r="Y166" s="16" t="str">
        <x:v>think_likely_thick_typo</x:v>
      </x:c>
      <x:c r="Z166" s="13" t="str">
        <x:v>partial_match</x:v>
      </x:c>
      <x:c r="AA166" s="16" t="str">
        <x:v>title_womens_flip_flop | style_flip_flop | material_eva</x:v>
      </x:c>
      <x:c r="AB166" s="13" t="str">
        <x:v>accepted</x:v>
      </x:c>
      <x:c r="AC166" s="13" t="str">
        <x:v>1.0.0</x:v>
      </x:c>
      <x:c r="AD166" s="13" t="str">
        <x:v>1.1.0</x:v>
      </x:c>
      <x:c r="AE166" s="13" t="str">
        <x:v>deepseek/deepseek-v4-pro</x:v>
      </x:c>
      <x:c r="AF166" s="13" t="str">
        <x:v>aj2-y90-20260714T234810-0bea2f52</x:v>
      </x:c>
      <x:c r="AG166" s="13" t="str">
        <x:v>full-0009</x:v>
      </x:c>
      <x:c r="AH166" s="13" t="str">
        <x:v>full</x:v>
      </x:c>
      <x:c r="AI166" s="13" t="n">
        <x:v>9</x:v>
      </x:c>
    </x:row>
    <x:row r="167" ht="34" customHeight="1">
      <x:c r="A167" s="15" t="str">
        <x:v>ladies black flip flops narrow</x:v>
      </x:c>
      <x:c r="B167" s="15" t="str">
        <x:v>ladies black flip flops narrow</x:v>
      </x:c>
      <x:c r="C167" s="10" t="str">
        <x:v>2d5cb127218e39ac</x:v>
      </x:c>
      <x:c r="D167" s="10" t="str">
        <x:v>keyword</x:v>
      </x:c>
      <x:c r="E167" s="10" t="str">
        <x:v>en</x:v>
      </x:c>
      <x:c r="F167" s="10" t="str">
        <x:v>clothing_shoes_jewelry</x:v>
      </x:c>
      <x:c r="G167" s="15" t="str"/>
      <x:c r="H167" s="15" t="str">
        <x:v>flip_flops</x:v>
      </x:c>
      <x:c r="I167" s="15" t="str">
        <x:v>women</x:v>
      </x:c>
      <x:c r="J167" s="15" t="str"/>
      <x:c r="K167" s="15" t="str"/>
      <x:c r="L167" s="15" t="str"/>
      <x:c r="M167" s="15" t="str"/>
      <x:c r="N167" s="15" t="str">
        <x:v>narrow_width</x:v>
      </x:c>
      <x:c r="O167" s="15" t="str"/>
      <x:c r="P167" s="15" t="str"/>
      <x:c r="Q167" s="15" t="str"/>
      <x:c r="R167" s="15" t="str">
        <x:v>用户想为女士寻找黑色窄版人字拖，但产品页面仅显示标准尺码6-11，未提供窄版宽度选项。</x:v>
      </x:c>
      <x:c r="S167" s="10" t="str">
        <x:v>high_intent</x:v>
      </x:c>
      <x:c r="T167" s="15" t="str">
        <x:v>explicit | page_validated</x:v>
      </x:c>
      <x:c r="U167" s="10" t="str">
        <x:v>high</x:v>
      </x:c>
      <x:c r="V167" s="15" t="str">
        <x:v>womens_narrow_flip_flops</x:v>
      </x:c>
      <x:c r="W167" s="15" t="str">
        <x:v>listing_gap_review</x:v>
      </x:c>
      <x:c r="X167" s="15" t="str">
        <x:v>{"audience_intent":[{"value":"women","evidence_type":"explicit","source_span":"ladies","fact_ids":[],"rationale":"Directly stated."},{"value":"women","evidence_type":"page_validated","source_span":"","fact_ids":["title_womens_flip_flop"],"rationale":"该槽位与商品基准中的明示页面事实一致。"},{"value":"women","evidence_type":"inferred","source_span":"","fact_ids":[],"rationale":"该能力由搜索词表达的任务或问题推断；页面事实仅用于验证商品承接。"}],"product_type":[{"value":"flip_flops","evidence_type":"explicit","source_span":"flip flops","fact_ids":[],"rationale":"Directly stated."},{"value":"flip_flops","evidence_type":"page_validated","source_span":"","fact_ids":["style_flip_flop"],"rationale":"该槽位与商品基准中的明示页面事实一致。"}],"body_need_intent":[{"value":"narrow_width","evidence_type":"explicit","source_span":"narrow","fact_ids":[],"rationale":"Directly stated width requirement; baseline only lists standard sizes 6-11 with no width options."}],"primary_domain":[{"value":"clothing_shoes_jewelry","evidence_type":"inferred","source_span":"","fact_ids":[],"rationale":"该值由搜索词整体语义推断，未作为页面明示属性。"}]}</x:v>
      </x:c>
      <x:c r="Y167" s="15" t="str"/>
      <x:c r="Z167" s="10" t="str">
        <x:v>partial_match</x:v>
      </x:c>
      <x:c r="AA167" s="15" t="str">
        <x:v>title_womens_flip_flop | style_flip_flop | colors_visible | sizes_6_11</x:v>
      </x:c>
      <x:c r="AB167" s="10" t="str">
        <x:v>accepted</x:v>
      </x:c>
      <x:c r="AC167" s="10" t="str">
        <x:v>1.0.0</x:v>
      </x:c>
      <x:c r="AD167" s="10" t="str">
        <x:v>1.1.0</x:v>
      </x:c>
      <x:c r="AE167" s="10" t="str">
        <x:v>deepseek/deepseek-v4-pro</x:v>
      </x:c>
      <x:c r="AF167" s="10" t="str">
        <x:v>aj2-y90-20260714T234810-0bea2f52</x:v>
      </x:c>
      <x:c r="AG167" s="10" t="str">
        <x:v>full-0009</x:v>
      </x:c>
      <x:c r="AH167" s="10" t="str">
        <x:v>full</x:v>
      </x:c>
      <x:c r="AI167" s="10" t="n">
        <x:v>9</x:v>
      </x:c>
    </x:row>
    <x:row r="168" ht="34" customHeight="1">
      <x:c r="A168" s="16" t="str">
        <x:v>flip flops waterproof</x:v>
      </x:c>
      <x:c r="B168" s="16" t="str">
        <x:v>flip flops waterproof</x:v>
      </x:c>
      <x:c r="C168" s="13" t="str">
        <x:v>404b69af7874f08d</x:v>
      </x:c>
      <x:c r="D168" s="13" t="str">
        <x:v>keyword</x:v>
      </x:c>
      <x:c r="E168" s="13" t="str">
        <x:v>en</x:v>
      </x:c>
      <x:c r="F168" s="13" t="str">
        <x:v>clothing_shoes_jewelry</x:v>
      </x:c>
      <x:c r="G168" s="16" t="str">
        <x:v>sports_outdoors</x:v>
      </x:c>
      <x:c r="H168" s="16" t="str">
        <x:v>flip_flops</x:v>
      </x:c>
      <x:c r="I168" s="16" t="str"/>
      <x:c r="J168" s="16" t="str"/>
      <x:c r="K168" s="16" t="str">
        <x:v>waterproof</x:v>
      </x:c>
      <x:c r="L168" s="16" t="str"/>
      <x:c r="M168" s="16" t="str"/>
      <x:c r="N168" s="16" t="str"/>
      <x:c r="O168" s="16" t="str"/>
      <x:c r="P168" s="16" t="str"/>
      <x:c r="Q168" s="16" t="str"/>
      <x:c r="R168" s="16" t="str">
        <x:v>用户想找防水功能的人字拖，但产品页面未声称防水或快干特性，该需求在产品列表中属于证据空白。</x:v>
      </x:c>
      <x:c r="S168" s="13" t="str">
        <x:v>consideration</x:v>
      </x:c>
      <x:c r="T168" s="16" t="str">
        <x:v>explicit</x:v>
      </x:c>
      <x:c r="U168" s="13" t="str">
        <x:v>high</x:v>
      </x:c>
      <x:c r="V168" s="16" t="str">
        <x:v>waterproof_flip_flops</x:v>
      </x:c>
      <x:c r="W168" s="16" t="str">
        <x:v>listing_gap_review</x:v>
      </x:c>
      <x:c r="X168" s="16" t="str">
        <x:v>{"product_type":[{"value":"flip_flops","evidence_type":"explicit","source_span":"flip flops","fact_ids":[],"rationale":"Directly stated."},{"value":"flip_flops","evidence_type":"page_validated","source_span":"","fact_ids":["style_flip_flop"],"rationale":"该槽位与商品基准中的明示页面事实一致。"}],"capability_intent":[{"value":"waterproof","evidence_type":"explicit","source_span":"waterproof","fact_ids":[],"rationale":"Directly stated; waterproof is excluded from baseline page evidence."}],"secondary_domain":[{"value":"sports_outdoors","evidence_type":"inferred","source_span":"","fact_ids":[],"rationale":"该值由搜索词整体语义推断，未作为页面明示属性。"}],"primary_domain":[{"value":"clothing_shoes_jewelry","evidence_type":"inferred","source_span":"","fact_ids":[],"rationale":"该值由搜索词整体语义推断，未作为页面明示属性。"}]}</x:v>
      </x:c>
      <x:c r="Y168" s="16" t="str"/>
      <x:c r="Z168" s="13" t="str">
        <x:v>partial_match</x:v>
      </x:c>
      <x:c r="AA168" s="16" t="str">
        <x:v>style_flip_flop | material_eva</x:v>
      </x:c>
      <x:c r="AB168" s="13" t="str">
        <x:v>accepted</x:v>
      </x:c>
      <x:c r="AC168" s="13" t="str">
        <x:v>1.0.0</x:v>
      </x:c>
      <x:c r="AD168" s="13" t="str">
        <x:v>1.1.0</x:v>
      </x:c>
      <x:c r="AE168" s="13" t="str">
        <x:v>deepseek/deepseek-v4-pro</x:v>
      </x:c>
      <x:c r="AF168" s="13" t="str">
        <x:v>aj2-y90-20260714T234810-0bea2f52</x:v>
      </x:c>
      <x:c r="AG168" s="13" t="str">
        <x:v>full-0009</x:v>
      </x:c>
      <x:c r="AH168" s="13" t="str">
        <x:v>full</x:v>
      </x:c>
      <x:c r="AI168" s="13" t="n">
        <x:v>9</x:v>
      </x:c>
    </x:row>
    <x:row r="169" ht="34" customHeight="1">
      <x:c r="A169" s="15" t="str">
        <x:v>platform flip flops for women</x:v>
      </x:c>
      <x:c r="B169" s="15" t="str">
        <x:v>platform flip flops for women</x:v>
      </x:c>
      <x:c r="C169" s="10" t="str">
        <x:v>5eed97a42b6d1764</x:v>
      </x:c>
      <x:c r="D169" s="10" t="str">
        <x:v>keyword</x:v>
      </x:c>
      <x:c r="E169" s="10" t="str">
        <x:v>en</x:v>
      </x:c>
      <x:c r="F169" s="10" t="str">
        <x:v>clothing_shoes_jewelry</x:v>
      </x:c>
      <x:c r="G169" s="15" t="str"/>
      <x:c r="H169" s="15" t="str">
        <x:v>flip_flops</x:v>
      </x:c>
      <x:c r="I169" s="15" t="str">
        <x:v>women</x:v>
      </x:c>
      <x:c r="J169" s="15" t="str"/>
      <x:c r="K169" s="15" t="str"/>
      <x:c r="L169" s="15" t="str"/>
      <x:c r="M169" s="15" t="str"/>
      <x:c r="N169" s="15" t="str"/>
      <x:c r="O169" s="15" t="str"/>
      <x:c r="P169" s="15" t="str"/>
      <x:c r="Q169" s="15" t="str"/>
      <x:c r="R169" s="15" t="str">
        <x:v>用户想为女性寻找厚底/坡跟人字拖，但产品为平底人字拖，鞋跟类型明确冲突，属于语义不匹配。</x:v>
      </x:c>
      <x:c r="S169" s="10" t="str">
        <x:v>consideration</x:v>
      </x:c>
      <x:c r="T169" s="15" t="str">
        <x:v>explicit | page_validated</x:v>
      </x:c>
      <x:c r="U169" s="10" t="str">
        <x:v>high</x:v>
      </x:c>
      <x:c r="V169" s="15" t="str">
        <x:v>platform_flip_flops_women</x:v>
      </x:c>
      <x:c r="W169" s="15" t="str">
        <x:v>semantic_negative_candidate</x:v>
      </x:c>
      <x:c r="X169" s="15" t="str">
        <x:v>{"audience_intent":[{"value":"women","evidence_type":"explicit","source_span":"women","fact_ids":[],"rationale":"Directly stated."},{"value":"women","evidence_type":"page_validated","source_span":"","fact_ids":["title_womens_flip_flop"],"rationale":"该槽位与商品基准中的明示页面事实一致。"}],"product_type":[{"value":"flip_flops","evidence_type":"explicit","source_span":"flip flops","fact_ids":[],"rationale":"Directly stated."},{"value":"flip_flops","evidence_type":"page_validated","source_span":"","fact_ids":["style_flip_flop"],"rationale":"该槽位与商品基准中的明示页面事实一致。"}],"primary_domain":[{"value":"clothing_shoes_jewelry","evidence_type":"inferred","source_span":"","fact_ids":[],"rationale":"该值由搜索词整体语义推断，未作为页面明示属性。"}]}</x:v>
      </x:c>
      <x:c r="Y169" s="15" t="str"/>
      <x:c r="Z169" s="10" t="str">
        <x:v>mismatch</x:v>
      </x:c>
      <x:c r="AA169" s="15" t="str">
        <x:v>title_womens_flip_flop | style_flat | style_flip_flop</x:v>
      </x:c>
      <x:c r="AB169" s="10" t="str">
        <x:v>accepted</x:v>
      </x:c>
      <x:c r="AC169" s="10" t="str">
        <x:v>1.0.0</x:v>
      </x:c>
      <x:c r="AD169" s="10" t="str">
        <x:v>1.1.0</x:v>
      </x:c>
      <x:c r="AE169" s="10" t="str">
        <x:v>deepseek/deepseek-v4-pro</x:v>
      </x:c>
      <x:c r="AF169" s="10" t="str">
        <x:v>aj2-y90-20260714T234810-0bea2f52</x:v>
      </x:c>
      <x:c r="AG169" s="10" t="str">
        <x:v>full-0009</x:v>
      </x:c>
      <x:c r="AH169" s="10" t="str">
        <x:v>full</x:v>
      </x:c>
      <x:c r="AI169" s="10" t="n">
        <x:v>9</x:v>
      </x:c>
    </x:row>
    <x:row r="170" ht="34" customHeight="1">
      <x:c r="A170" s="16" t="str">
        <x:v>sta women's flip flops</x:v>
      </x:c>
      <x:c r="B170" s="16" t="str">
        <x:v>sta women's flip flops</x:v>
      </x:c>
      <x:c r="C170" s="13" t="str">
        <x:v>7d82ee10950b6a67</x:v>
      </x:c>
      <x:c r="D170" s="13" t="str">
        <x:v>keyword</x:v>
      </x:c>
      <x:c r="E170" s="13" t="str">
        <x:v>en</x:v>
      </x:c>
      <x:c r="F170" s="13" t="str">
        <x:v>clothing_shoes_jewelry</x:v>
      </x:c>
      <x:c r="G170" s="16" t="str"/>
      <x:c r="H170" s="16" t="str">
        <x:v>flip_flops</x:v>
      </x:c>
      <x:c r="I170" s="16" t="str">
        <x:v>women</x:v>
      </x:c>
      <x:c r="J170" s="16" t="str"/>
      <x:c r="K170" s="16" t="str"/>
      <x:c r="L170" s="16" t="str"/>
      <x:c r="M170" s="16" t="str"/>
      <x:c r="N170" s="16" t="str"/>
      <x:c r="O170" s="16" t="str"/>
      <x:c r="P170" s="16" t="str"/>
      <x:c r="Q170" s="16" t="str"/>
      <x:c r="R170" s="16" t="str">
        <x:v>用户想为女性寻找人字拖，搜索词中'sta'含义模糊，可能是品牌缩写、拼写错误或其他意图。</x:v>
      </x:c>
      <x:c r="S170" s="13" t="str">
        <x:v>exploration</x:v>
      </x:c>
      <x:c r="T170" s="16" t="str">
        <x:v>explicit | page_validated</x:v>
      </x:c>
      <x:c r="U170" s="13" t="str">
        <x:v>medium</x:v>
      </x:c>
      <x:c r="V170" s="16" t="str">
        <x:v>womens_flip_flops_ambiguous_prefix</x:v>
      </x:c>
      <x:c r="W170" s="16" t="str">
        <x:v>cluster_route</x:v>
      </x:c>
      <x:c r="X170" s="16" t="str">
        <x:v>{"audience_intent":[{"value":"women","evidence_type":"explicit","source_span":"women's","fact_ids":[],"rationale":"Directly stated in the search term."},{"value":"women","evidence_type":"page_validated","source_span":"","fact_ids":["title_womens_flip_flop"],"rationale":"该槽位与商品基准中的明示页面事实一致。"}],"product_type":[{"value":"flip_flops","evidence_type":"explicit","source_span":"flip flops","fact_ids":[],"rationale":"Directly stated in the search term."},{"value":"flip_flops","evidence_type":"page_validated","source_span":"","fact_ids":["style_flip_flop"],"rationale":"该槽位与商品基准中的明示页面事实一致。"}],"primary_domain":[{"value":"clothing_shoes_jewelry","evidence_type":"inferred","source_span":"","fact_ids":[],"rationale":"该值由搜索词整体语义推断，未作为页面明示属性。"}]}</x:v>
      </x:c>
      <x:c r="Y170" s="16" t="str">
        <x:v>sta_ambiguous_prefix</x:v>
      </x:c>
      <x:c r="Z170" s="13" t="str">
        <x:v>partial_match</x:v>
      </x:c>
      <x:c r="AA170" s="16" t="str">
        <x:v>title_womens_flip_flop | style_flip_flop</x:v>
      </x:c>
      <x:c r="AB170" s="13" t="str">
        <x:v>accepted</x:v>
      </x:c>
      <x:c r="AC170" s="13" t="str">
        <x:v>1.0.0</x:v>
      </x:c>
      <x:c r="AD170" s="13" t="str">
        <x:v>1.1.0</x:v>
      </x:c>
      <x:c r="AE170" s="13" t="str">
        <x:v>deepseek/deepseek-v4-pro</x:v>
      </x:c>
      <x:c r="AF170" s="13" t="str">
        <x:v>aj2-y90-20260714T234810-0bea2f52</x:v>
      </x:c>
      <x:c r="AG170" s="13" t="str">
        <x:v>full-0009</x:v>
      </x:c>
      <x:c r="AH170" s="13" t="str">
        <x:v>full</x:v>
      </x:c>
      <x:c r="AI170" s="13" t="n">
        <x:v>9</x:v>
      </x:c>
    </x:row>
    <x:row r="171" ht="34" customHeight="1">
      <x:c r="A171" s="15" t="str">
        <x:v>antimicrobial flip flops</x:v>
      </x:c>
      <x:c r="B171" s="15" t="str">
        <x:v>antimicrobial flip flops</x:v>
      </x:c>
      <x:c r="C171" s="10" t="str">
        <x:v>80f7e6cf3ad2bdbc</x:v>
      </x:c>
      <x:c r="D171" s="10" t="str">
        <x:v>keyword</x:v>
      </x:c>
      <x:c r="E171" s="10" t="str">
        <x:v>en</x:v>
      </x:c>
      <x:c r="F171" s="10" t="str">
        <x:v>clothing_shoes_jewelry</x:v>
      </x:c>
      <x:c r="G171" s="15" t="str">
        <x:v>health_household</x:v>
      </x:c>
      <x:c r="H171" s="15" t="str">
        <x:v>flip_flops</x:v>
      </x:c>
      <x:c r="I171" s="15" t="str"/>
      <x:c r="J171" s="15" t="str">
        <x:v>hygiene</x:v>
      </x:c>
      <x:c r="K171" s="15" t="str">
        <x:v>antimicrobial</x:v>
      </x:c>
      <x:c r="L171" s="15" t="str"/>
      <x:c r="M171" s="15" t="str"/>
      <x:c r="N171" s="15" t="str"/>
      <x:c r="O171" s="15" t="str"/>
      <x:c r="P171" s="15" t="str"/>
      <x:c r="Q171" s="15" t="str"/>
      <x:c r="R171" s="15" t="str">
        <x:v>用户寻找具有抗菌功能的人字拖，但产品页面未提及抗菌处理或材料，该需求在列表中缺乏证据支持。</x:v>
      </x:c>
      <x:c r="S171" s="10" t="str">
        <x:v>consideration</x:v>
      </x:c>
      <x:c r="T171" s="15" t="str">
        <x:v>explicit</x:v>
      </x:c>
      <x:c r="U171" s="10" t="str">
        <x:v>high</x:v>
      </x:c>
      <x:c r="V171" s="15" t="str">
        <x:v>antimicrobial_flip_flops</x:v>
      </x:c>
      <x:c r="W171" s="15" t="str">
        <x:v>listing_gap_review</x:v>
      </x:c>
      <x:c r="X171" s="15" t="str">
        <x:v>{"product_type":[{"value":"flip_flops","evidence_type":"explicit","source_span":"flip flops","fact_ids":[],"rationale":"Directly stated."},{"value":"flip_flops","evidence_type":"page_validated","source_span":"","fact_ids":["style_flip_flop"],"rationale":"该槽位与商品基准中的明示页面事实一致。"}],"capability_intent":[{"value":"antimicrobial","evidence_type":"explicit","source_span":"antimicrobial","fact_ids":[],"rationale":"Directly stated; no antimicrobial claim exists in product baseline."}],"secondary_domain":[{"value":"health_household","evidence_type":"inferred","source_span":"","fact_ids":[],"rationale":"该值由搜索词整体语义推断，未作为页面明示属性。"}],"function_intent":[{"value":"hygiene","evidence_type":"inferred","source_span":"","fact_ids":[],"rationale":"该值由搜索词整体语义推断，未作为页面明示属性。"}],"primary_domain":[{"value":"clothing_shoes_jewelry","evidence_type":"inferred","source_span":"","fact_ids":[],"rationale":"该值由搜索词整体语义推断，未作为页面明示属性。"}]}</x:v>
      </x:c>
      <x:c r="Y171" s="15" t="str"/>
      <x:c r="Z171" s="10" t="str">
        <x:v>partial_match</x:v>
      </x:c>
      <x:c r="AA171" s="15" t="str">
        <x:v>style_flip_flop | easy_clean</x:v>
      </x:c>
      <x:c r="AB171" s="10" t="str">
        <x:v>accepted</x:v>
      </x:c>
      <x:c r="AC171" s="10" t="str">
        <x:v>1.0.0</x:v>
      </x:c>
      <x:c r="AD171" s="10" t="str">
        <x:v>1.1.0</x:v>
      </x:c>
      <x:c r="AE171" s="10" t="str">
        <x:v>deepseek/deepseek-v4-pro</x:v>
      </x:c>
      <x:c r="AF171" s="10" t="str">
        <x:v>aj2-y90-20260714T234810-0bea2f52</x:v>
      </x:c>
      <x:c r="AG171" s="10" t="str">
        <x:v>full-0009</x:v>
      </x:c>
      <x:c r="AH171" s="10" t="str">
        <x:v>full</x:v>
      </x:c>
      <x:c r="AI171" s="10" t="n">
        <x:v>9</x:v>
      </x:c>
    </x:row>
    <x:row r="172" ht="34" customHeight="1">
      <x:c r="A172" s="16" t="str">
        <x:v>flipflops with arch support</x:v>
      </x:c>
      <x:c r="B172" s="16" t="str">
        <x:v>flipflops with arch support</x:v>
      </x:c>
      <x:c r="C172" s="13" t="str">
        <x:v>8eb0dfb60a869b78</x:v>
      </x:c>
      <x:c r="D172" s="13" t="str">
        <x:v>keyword</x:v>
      </x:c>
      <x:c r="E172" s="13" t="str">
        <x:v>en</x:v>
      </x:c>
      <x:c r="F172" s="13" t="str">
        <x:v>clothing_shoes_jewelry</x:v>
      </x:c>
      <x:c r="G172" s="16" t="str"/>
      <x:c r="H172" s="16" t="str">
        <x:v>flip_flops</x:v>
      </x:c>
      <x:c r="I172" s="16" t="str"/>
      <x:c r="J172" s="16" t="str">
        <x:v>comfort</x:v>
      </x:c>
      <x:c r="K172" s="16" t="str"/>
      <x:c r="L172" s="16" t="str"/>
      <x:c r="M172" s="16" t="str"/>
      <x:c r="N172" s="16" t="str">
        <x:v>arch_support</x:v>
      </x:c>
      <x:c r="O172" s="16" t="str"/>
      <x:c r="P172" s="16" t="str"/>
      <x:c r="Q172" s="16" t="str"/>
      <x:c r="R172" s="16" t="str">
        <x:v>用户寻找具有足弓支撑功能的人字拖，未限定性别、颜色或尺码，可能处于比较筛选阶段。</x:v>
      </x:c>
      <x:c r="S172" s="13" t="str">
        <x:v>consideration</x:v>
      </x:c>
      <x:c r="T172" s="16" t="str">
        <x:v>explicit | page_validated</x:v>
      </x:c>
      <x:c r="U172" s="13" t="str">
        <x:v>high</x:v>
      </x:c>
      <x:c r="V172" s="16" t="str">
        <x:v>arch_support_flip_flops_generic</x:v>
      </x:c>
      <x:c r="W172" s="16" t="str">
        <x:v>cluster_route</x:v>
      </x:c>
      <x:c r="X172" s="16" t="str">
        <x:v>{"product_type":[{"value":"flip_flops","evidence_type":"explicit","source_span":"flipflops","fact_ids":[],"rationale":"Directly stated."},{"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capability_intent":[{"value":"arch_support","evidence_type":"page_validated","source_span":"","fact_ids":["arch_support"],"rationale":"该槽位与商品基准中的明示页面事实一致。"}],"function_intent":[{"value":"comfort","evidence_type":"page_validated","source_span":"","fact_ids":["arch_support","padded_cushioning"],"rationale":"该槽位与商品基准中的明示页面事实一致。"},{"value":"comfor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172" s="16" t="str"/>
      <x:c r="Z172" s="13" t="str">
        <x:v>match</x:v>
      </x:c>
      <x:c r="AA172" s="16" t="str">
        <x:v>style_flip_flop | arch_support</x:v>
      </x:c>
      <x:c r="AB172" s="13" t="str">
        <x:v>accepted</x:v>
      </x:c>
      <x:c r="AC172" s="13" t="str">
        <x:v>1.0.0</x:v>
      </x:c>
      <x:c r="AD172" s="13" t="str">
        <x:v>1.1.0</x:v>
      </x:c>
      <x:c r="AE172" s="13" t="str">
        <x:v>deepseek/deepseek-v4-pro</x:v>
      </x:c>
      <x:c r="AF172" s="13" t="str">
        <x:v>aj2-y90-20260714T234810-0bea2f52</x:v>
      </x:c>
      <x:c r="AG172" s="13" t="str">
        <x:v>full-0009</x:v>
      </x:c>
      <x:c r="AH172" s="13" t="str">
        <x:v>full</x:v>
      </x:c>
      <x:c r="AI172" s="13" t="n">
        <x:v>9</x:v>
      </x:c>
    </x:row>
    <x:row r="173" ht="34" customHeight="1">
      <x:c r="A173" s="15" t="str">
        <x:v>women flip flops with arches</x:v>
      </x:c>
      <x:c r="B173" s="15" t="str">
        <x:v>women flip flops with arches</x:v>
      </x:c>
      <x:c r="C173" s="10" t="str">
        <x:v>9114adb23b18d79f</x:v>
      </x:c>
      <x:c r="D173" s="10" t="str">
        <x:v>keyword</x:v>
      </x:c>
      <x:c r="E173" s="10" t="str">
        <x:v>en</x:v>
      </x:c>
      <x:c r="F173" s="10" t="str">
        <x:v>clothing_shoes_jewelry</x:v>
      </x:c>
      <x:c r="G173" s="15" t="str"/>
      <x:c r="H173" s="15" t="str">
        <x:v>flip_flops</x:v>
      </x:c>
      <x:c r="I173" s="15" t="str">
        <x:v>women</x:v>
      </x:c>
      <x:c r="J173" s="15" t="str">
        <x:v>comfort</x:v>
      </x:c>
      <x:c r="K173" s="15" t="str"/>
      <x:c r="L173" s="15" t="str"/>
      <x:c r="M173" s="15" t="str"/>
      <x:c r="N173" s="15" t="str">
        <x:v>arch_support</x:v>
      </x:c>
      <x:c r="O173" s="15" t="str"/>
      <x:c r="P173" s="15" t="str"/>
      <x:c r="Q173" s="15" t="str"/>
      <x:c r="R173" s="15" t="str">
        <x:v>用户为女性寻找带足弓支撑的人字拖，'arches'是'arch support'的口语化表达，产品具有人体工学足弓支撑，匹配度高。</x:v>
      </x:c>
      <x:c r="S173" s="10" t="str">
        <x:v>consideration</x:v>
      </x:c>
      <x:c r="T173" s="15" t="str">
        <x:v>explicit | page_validated</x:v>
      </x:c>
      <x:c r="U173" s="10" t="str">
        <x:v>high</x:v>
      </x:c>
      <x:c r="V173" s="15" t="str">
        <x:v>womens_arch_support_flip_flops</x:v>
      </x:c>
      <x:c r="W173" s="15" t="str">
        <x:v>cluster_route</x:v>
      </x:c>
      <x:c r="X173" s="15" t="str">
        <x:v>{"audience_intent":[{"value":"women","evidence_type":"explicit","source_span":"women","fact_ids":[],"rationale":"Directly stated."},{"value":"women","evidence_type":"page_validated","source_span":"","fact_ids":["title_womens_flip_flop"],"rationale":"该槽位与商品基准中的明示页面事实一致。"}],"product_type":[{"value":"flip_flops","evidence_type":"explicit","source_span":"flip flops","fact_ids":[],"rationale":"Directly stated."},{"value":"flip_flops","evidence_type":"page_validated","source_span":"","fact_ids":["style_flip_flop"],"rationale":"该槽位与商品基准中的明示页面事实一致。"}],"capability_intent":[{"value":"arch_support","evidence_type":"page_validated","source_span":"","fact_ids":["arch_support"],"rationale":"该槽位与商品基准中的明示页面事实一致。"},{"value":"arch_support","evidence_type":"inferred","source_span":"","fact_ids":[],"rationale":"该能力由搜索词表达的任务或问题推断；页面事实仅用于验证商品承接。"}],"function_intent":[{"value":"comfort","evidence_type":"page_validated","source_span":"","fact_ids":["arch_support","padded_cushioning"],"rationale":"该槽位与商品基准中的明示页面事实一致。"},{"value":"comfor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173" s="15" t="str"/>
      <x:c r="Z173" s="10" t="str">
        <x:v>match</x:v>
      </x:c>
      <x:c r="AA173" s="15" t="str">
        <x:v>title_womens_flip_flop | arch_support | style_flip_flop</x:v>
      </x:c>
      <x:c r="AB173" s="10" t="str">
        <x:v>accepted</x:v>
      </x:c>
      <x:c r="AC173" s="10" t="str">
        <x:v>1.0.0</x:v>
      </x:c>
      <x:c r="AD173" s="10" t="str">
        <x:v>1.1.0</x:v>
      </x:c>
      <x:c r="AE173" s="10" t="str">
        <x:v>deepseek/deepseek-v4-pro</x:v>
      </x:c>
      <x:c r="AF173" s="10" t="str">
        <x:v>aj2-y90-20260714T234810-0bea2f52</x:v>
      </x:c>
      <x:c r="AG173" s="10" t="str">
        <x:v>full-0009</x:v>
      </x:c>
      <x:c r="AH173" s="10" t="str">
        <x:v>full</x:v>
      </x:c>
      <x:c r="AI173" s="10" t="n">
        <x:v>9</x:v>
      </x:c>
    </x:row>
    <x:row r="174" ht="34" customHeight="1">
      <x:c r="A174" s="16" t="str">
        <x:v>aqua flip flops</x:v>
      </x:c>
      <x:c r="B174" s="16" t="str">
        <x:v>aqua flip flops</x:v>
      </x:c>
      <x:c r="C174" s="13" t="str">
        <x:v>954e22028bac42e0</x:v>
      </x:c>
      <x:c r="D174" s="13" t="str">
        <x:v>keyword</x:v>
      </x:c>
      <x:c r="E174" s="13" t="str">
        <x:v>en</x:v>
      </x:c>
      <x:c r="F174" s="13" t="str">
        <x:v>clothing_shoes_jewelry</x:v>
      </x:c>
      <x:c r="G174" s="16" t="str">
        <x:v>sports_outdoors</x:v>
      </x:c>
      <x:c r="H174" s="16" t="str">
        <x:v>flip_flops</x:v>
      </x:c>
      <x:c r="I174" s="16" t="str"/>
      <x:c r="J174" s="16" t="str"/>
      <x:c r="K174" s="16" t="str"/>
      <x:c r="L174" s="16" t="str"/>
      <x:c r="M174" s="16" t="str"/>
      <x:c r="N174" s="16" t="str"/>
      <x:c r="O174" s="16" t="str"/>
      <x:c r="P174" s="16" t="str"/>
      <x:c r="Q174" s="16" t="str"/>
      <x:c r="R174" s="16" t="str">
        <x:v>用户搜索'aqua flip flops'，aqua可能指水蓝色、水上运动用途或品牌名，存在多重解释，需进一步判断真实意图。</x:v>
      </x:c>
      <x:c r="S174" s="13" t="str">
        <x:v>unknown</x:v>
      </x:c>
      <x:c r="T174" s="16" t="str">
        <x:v>explicit</x:v>
      </x:c>
      <x:c r="U174" s="13" t="str">
        <x:v>low</x:v>
      </x:c>
      <x:c r="V174" s="16" t="str">
        <x:v>aqua_flip_flops_ambiguous</x:v>
      </x:c>
      <x:c r="W174" s="16" t="str">
        <x:v>ambiguity_review</x:v>
      </x:c>
      <x:c r="X174" s="16" t="str">
        <x:v>{"product_type":[{"value":"flip_flops","evidence_type":"explicit","source_span":"flip flops","fact_ids":[],"rationale":"Directly stated."},{"value":"flip_flops","evidence_type":"page_validated","source_span":"","fact_ids":["style_flip_flop"],"rationale":"该槽位与商品基准中的明示页面事实一致。"}],"secondary_domain":[{"value":"sports_outdoors","evidence_type":"inferred","source_span":"","fact_ids":[],"rationale":"该值由搜索词整体语义推断，未作为页面明示属性。"}],"primary_domain":[{"value":"clothing_shoes_jewelry","evidence_type":"inferred","source_span":"","fact_ids":[],"rationale":"该值由搜索词整体语义推断，未作为页面明示属性。"}]}</x:v>
      </x:c>
      <x:c r="Y174" s="16" t="str">
        <x:v>aqua_ambiguous_color_or_water_use</x:v>
      </x:c>
      <x:c r="Z174" s="13" t="str">
        <x:v>partial_match</x:v>
      </x:c>
      <x:c r="AA174" s="16" t="str">
        <x:v>style_flip_flop | colors_visible</x:v>
      </x:c>
      <x:c r="AB174" s="13" t="str">
        <x:v>accepted</x:v>
      </x:c>
      <x:c r="AC174" s="13" t="str">
        <x:v>1.0.0</x:v>
      </x:c>
      <x:c r="AD174" s="13" t="str">
        <x:v>1.1.0</x:v>
      </x:c>
      <x:c r="AE174" s="13" t="str">
        <x:v>deepseek/deepseek-v4-pro</x:v>
      </x:c>
      <x:c r="AF174" s="13" t="str">
        <x:v>aj2-y90-20260714T234810-0bea2f52</x:v>
      </x:c>
      <x:c r="AG174" s="13" t="str">
        <x:v>full-0009</x:v>
      </x:c>
      <x:c r="AH174" s="13" t="str">
        <x:v>full</x:v>
      </x:c>
      <x:c r="AI174" s="13" t="n">
        <x:v>9</x:v>
      </x:c>
    </x:row>
    <x:row r="175" ht="34" customHeight="1">
      <x:c r="A175" s="15" t="str">
        <x:v>womens waterproof beach sandals</x:v>
      </x:c>
      <x:c r="B175" s="15" t="str">
        <x:v>womens waterproof beach sandals</x:v>
      </x:c>
      <x:c r="C175" s="10" t="str">
        <x:v>95b2a3c2896c16d1</x:v>
      </x:c>
      <x:c r="D175" s="10" t="str">
        <x:v>keyword</x:v>
      </x:c>
      <x:c r="E175" s="10" t="str">
        <x:v>en</x:v>
      </x:c>
      <x:c r="F175" s="10" t="str">
        <x:v>clothing_shoes_jewelry</x:v>
      </x:c>
      <x:c r="G175" s="15" t="str">
        <x:v>sports_outdoors</x:v>
      </x:c>
      <x:c r="H175" s="15" t="str">
        <x:v>sandals</x:v>
      </x:c>
      <x:c r="I175" s="15" t="str">
        <x:v>women</x:v>
      </x:c>
      <x:c r="J175" s="15" t="str"/>
      <x:c r="K175" s="15" t="str">
        <x:v>waterproof</x:v>
      </x:c>
      <x:c r="L175" s="15" t="str"/>
      <x:c r="M175" s="15" t="str">
        <x:v>beach</x:v>
      </x:c>
      <x:c r="N175" s="15" t="str"/>
      <x:c r="O175" s="15" t="str"/>
      <x:c r="P175" s="15" t="str"/>
      <x:c r="Q175" s="15" t="str"/>
      <x:c r="R175" s="15" t="str">
        <x:v>用户想为女性寻找适合海滩穿着的防水凉鞋，防水特性在产品页面中未被声明，但产品为户外风格EVA材质，与海滩场景部分契合。</x:v>
      </x:c>
      <x:c r="S175" s="10" t="str">
        <x:v>consideration</x:v>
      </x:c>
      <x:c r="T175" s="15" t="str">
        <x:v>explicit | inferred</x:v>
      </x:c>
      <x:c r="U175" s="10" t="str">
        <x:v>high</x:v>
      </x:c>
      <x:c r="V175" s="15" t="str">
        <x:v>womens_waterproof_beach_sandals</x:v>
      </x:c>
      <x:c r="W175" s="15" t="str">
        <x:v>listing_gap_review</x:v>
      </x:c>
      <x:c r="X175" s="15" t="str">
        <x:v>{"audience_intent":[{"value":"women","evidence_type":"explicit","source_span":"womens","fact_ids":[],"rationale":"Directly stated."},{"value":"women","evidence_type":"page_validated","source_span":"","fact_ids":["title_womens_flip_flop"],"rationale":"该槽位与商品基准中的明示页面事实一致。"}],"product_type":[{"value":"sandals","evidence_type":"explicit","source_span":"sandals","fact_ids":[],"rationale":"Directly stated; flip flop is a type of sandal."},{"value":"sandals","evidence_type":"page_validated","source_span":"","fact_ids":["title_womens_flip_flop"],"rationale":"该槽位与商品基准中的明示页面事实一致。"}],"capability_intent":[{"value":"waterproof","evidence_type":"explicit","source_span":"waterproof","fact_ids":[],"rationale":"Directly stated; not evidenced on page."}],"location_intent":[{"value":"beach","evidence_type":"explicit","source_span":"beach","fact_ids":[],"rationale":"Directly stated."}],"secondary_domain":[{"value":"sports_outdoors","evidence_type":"inferred","source_span":"","fact_ids":[],"rationale":"该值由搜索词整体语义推断，未作为页面明示属性。"}],"primary_domain":[{"value":"clothing_shoes_jewelry","evidence_type":"inferred","source_span":"","fact_ids":[],"rationale":"该值由搜索词整体语义推断，未作为页面明示属性。"}]}</x:v>
      </x:c>
      <x:c r="Y175" s="15" t="str"/>
      <x:c r="Z175" s="10" t="str">
        <x:v>partial_match</x:v>
      </x:c>
      <x:c r="AA175" s="15" t="str">
        <x:v>title_womens_flip_flop | style_outdoor | material_eva | easy_clean</x:v>
      </x:c>
      <x:c r="AB175" s="10" t="str">
        <x:v>accepted</x:v>
      </x:c>
      <x:c r="AC175" s="10" t="str">
        <x:v>1.0.0</x:v>
      </x:c>
      <x:c r="AD175" s="10" t="str">
        <x:v>1.1.0</x:v>
      </x:c>
      <x:c r="AE175" s="10" t="str">
        <x:v>deepseek/deepseek-v4-pro</x:v>
      </x:c>
      <x:c r="AF175" s="10" t="str">
        <x:v>aj2-y90-20260714T234810-0bea2f52</x:v>
      </x:c>
      <x:c r="AG175" s="10" t="str">
        <x:v>full-0009</x:v>
      </x:c>
      <x:c r="AH175" s="10" t="str">
        <x:v>full</x:v>
      </x:c>
      <x:c r="AI175" s="10" t="n">
        <x:v>9</x:v>
      </x:c>
    </x:row>
    <x:row r="176" ht="34" customHeight="1">
      <x:c r="A176" s="16" t="str">
        <x:v>shevalues flip flops for women</x:v>
      </x:c>
      <x:c r="B176" s="16" t="str">
        <x:v>shevalues flip flops for women</x:v>
      </x:c>
      <x:c r="C176" s="13" t="str">
        <x:v>95f5f2410ac3c908</x:v>
      </x:c>
      <x:c r="D176" s="13" t="str">
        <x:v>keyword</x:v>
      </x:c>
      <x:c r="E176" s="13" t="str">
        <x:v>en</x:v>
      </x:c>
      <x:c r="F176" s="13" t="str">
        <x:v>clothing_shoes_jewelry</x:v>
      </x:c>
      <x:c r="G176" s="16" t="str"/>
      <x:c r="H176" s="16" t="str">
        <x:v>flip_flops</x:v>
      </x:c>
      <x:c r="I176" s="16" t="str">
        <x:v>women</x:v>
      </x:c>
      <x:c r="J176" s="16" t="str"/>
      <x:c r="K176" s="16" t="str"/>
      <x:c r="L176" s="16" t="str"/>
      <x:c r="M176" s="16" t="str"/>
      <x:c r="N176" s="16" t="str"/>
      <x:c r="O176" s="16" t="str"/>
      <x:c r="P176" s="16" t="str"/>
      <x:c r="Q176" s="16" t="str"/>
      <x:c r="R176" s="16" t="str">
        <x:v>用户正在搜索Shevalues品牌的女士人字拖，这是一个竞品品牌搜索，产品品类匹配但品牌不同。</x:v>
      </x:c>
      <x:c r="S176" s="13" t="str">
        <x:v>brand_harvest</x:v>
      </x:c>
      <x:c r="T176" s="16" t="str">
        <x:v>explicit</x:v>
      </x:c>
      <x:c r="U176" s="13" t="str">
        <x:v>high</x:v>
      </x:c>
      <x:c r="V176" s="16" t="str">
        <x:v>competitor_brand_shevalues_flip_flops</x:v>
      </x:c>
      <x:c r="W176" s="16" t="str">
        <x:v>performance_observation</x:v>
      </x:c>
      <x:c r="X176" s="16" t="str">
        <x:v>{"audience_intent":[{"value":"women","evidence_type":"explicit","source_span":"women","fact_ids":[],"rationale":"Directly stated."},{"value":"women","evidence_type":"page_validated","source_span":"","fact_ids":["title_womens_flip_flop"],"rationale":"该槽位与商品基准中的明示页面事实一致。"}],"product_type":[{"value":"flip_flops","evidence_type":"explicit","source_span":"flip flops","fact_ids":[],"rationale":"Directly stated."},{"value":"flip_flops","evidence_type":"page_validated","source_span":"","fact_ids":["style_flip_flop"],"rationale":"该槽位与商品基准中的明示页面事实一致。"}],"primary_domain":[{"value":"clothing_shoes_jewelry","evidence_type":"inferred","source_span":"","fact_ids":[],"rationale":"该值由搜索词整体语义推断，未作为页面明示属性。"}]}</x:v>
      </x:c>
      <x:c r="Y176" s="16" t="str"/>
      <x:c r="Z176" s="13" t="str">
        <x:v>partial_match</x:v>
      </x:c>
      <x:c r="AA176" s="16" t="str">
        <x:v>title_womens_flip_flop | style_flip_flop</x:v>
      </x:c>
      <x:c r="AB176" s="13" t="str">
        <x:v>accepted</x:v>
      </x:c>
      <x:c r="AC176" s="13" t="str">
        <x:v>1.0.0</x:v>
      </x:c>
      <x:c r="AD176" s="13" t="str">
        <x:v>1.1.0</x:v>
      </x:c>
      <x:c r="AE176" s="13" t="str">
        <x:v>deepseek/deepseek-v4-pro</x:v>
      </x:c>
      <x:c r="AF176" s="13" t="str">
        <x:v>aj2-y90-20260714T234810-0bea2f52</x:v>
      </x:c>
      <x:c r="AG176" s="13" t="str">
        <x:v>full-0009</x:v>
      </x:c>
      <x:c r="AH176" s="13" t="str">
        <x:v>full</x:v>
      </x:c>
      <x:c r="AI176" s="13" t="n">
        <x:v>9</x:v>
      </x:c>
    </x:row>
    <x:row r="177" ht="34" customHeight="1">
      <x:c r="A177" s="15" t="str">
        <x:v>waterproof womens flipflops</x:v>
      </x:c>
      <x:c r="B177" s="15" t="str">
        <x:v>waterproof womens flipflops</x:v>
      </x:c>
      <x:c r="C177" s="10" t="str">
        <x:v>9730324115c13c94</x:v>
      </x:c>
      <x:c r="D177" s="10" t="str">
        <x:v>keyword</x:v>
      </x:c>
      <x:c r="E177" s="10" t="str">
        <x:v>en</x:v>
      </x:c>
      <x:c r="F177" s="10" t="str">
        <x:v>clothing_shoes_jewelry</x:v>
      </x:c>
      <x:c r="G177" s="15" t="str">
        <x:v>sports_outdoors</x:v>
      </x:c>
      <x:c r="H177" s="15" t="str">
        <x:v>flip_flops</x:v>
      </x:c>
      <x:c r="I177" s="15" t="str">
        <x:v>women</x:v>
      </x:c>
      <x:c r="J177" s="15" t="str"/>
      <x:c r="K177" s="15" t="str">
        <x:v>waterproof</x:v>
      </x:c>
      <x:c r="L177" s="15" t="str"/>
      <x:c r="M177" s="15" t="str"/>
      <x:c r="N177" s="15" t="str"/>
      <x:c r="O177" s="15" t="str"/>
      <x:c r="P177" s="15" t="str"/>
      <x:c r="Q177" s="15" t="str"/>
      <x:c r="R177" s="15" t="str">
        <x:v>用户想为女性寻找防水人字拖，防水特性在产品页面中未被声明，属于列表信息空白。</x:v>
      </x:c>
      <x:c r="S177" s="10" t="str">
        <x:v>consideration</x:v>
      </x:c>
      <x:c r="T177" s="15" t="str">
        <x:v>explicit</x:v>
      </x:c>
      <x:c r="U177" s="10" t="str">
        <x:v>high</x:v>
      </x:c>
      <x:c r="V177" s="15" t="str">
        <x:v>waterproof_womens_flip_flops</x:v>
      </x:c>
      <x:c r="W177" s="15" t="str">
        <x:v>listing_gap_review</x:v>
      </x:c>
      <x:c r="X177" s="15" t="str">
        <x:v>{"audience_intent":[{"value":"women","evidence_type":"explicit","source_span":"womens","fact_ids":[],"rationale":"Directly stated."},{"value":"women","evidence_type":"page_validated","source_span":"","fact_ids":["title_womens_flip_flop"],"rationale":"该槽位与商品基准中的明示页面事实一致。"}],"product_type":[{"value":"flip_flops","evidence_type":"explicit","source_span":"flipflops","fact_ids":[],"rationale":"Directly stated."},{"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capability_intent":[{"value":"waterproof","evidence_type":"explicit","source_span":"waterproof","fact_ids":[],"rationale":"Directly stated; excluded from page evidence."}],"secondary_domain":[{"value":"sports_outdoors","evidence_type":"inferred","source_span":"","fact_ids":[],"rationale":"该值由搜索词整体语义推断，未作为页面明示属性。"}],"primary_domain":[{"value":"clothing_shoes_jewelry","evidence_type":"inferred","source_span":"","fact_ids":[],"rationale":"该值由搜索词整体语义推断，未作为页面明示属性。"}]}</x:v>
      </x:c>
      <x:c r="Y177" s="15" t="str"/>
      <x:c r="Z177" s="10" t="str">
        <x:v>partial_match</x:v>
      </x:c>
      <x:c r="AA177" s="15" t="str">
        <x:v>title_womens_flip_flop | style_flip_flop | material_eva</x:v>
      </x:c>
      <x:c r="AB177" s="10" t="str">
        <x:v>accepted</x:v>
      </x:c>
      <x:c r="AC177" s="10" t="str">
        <x:v>1.0.0</x:v>
      </x:c>
      <x:c r="AD177" s="10" t="str">
        <x:v>1.1.0</x:v>
      </x:c>
      <x:c r="AE177" s="10" t="str">
        <x:v>deepseek/deepseek-v4-pro</x:v>
      </x:c>
      <x:c r="AF177" s="10" t="str">
        <x:v>aj2-y90-20260714T234810-0bea2f52</x:v>
      </x:c>
      <x:c r="AG177" s="10" t="str">
        <x:v>full-0009</x:v>
      </x:c>
      <x:c r="AH177" s="10" t="str">
        <x:v>full</x:v>
      </x:c>
      <x:c r="AI177" s="10" t="n">
        <x:v>9</x:v>
      </x:c>
    </x:row>
    <x:row r="178" ht="34" customHeight="1">
      <x:c r="A178" s="16" t="str">
        <x:v>women's dark brown arch support flip flop</x:v>
      </x:c>
      <x:c r="B178" s="16" t="str">
        <x:v>women's dark brown arch support flip flop</x:v>
      </x:c>
      <x:c r="C178" s="13" t="str">
        <x:v>97fc19a95e233a6c</x:v>
      </x:c>
      <x:c r="D178" s="13" t="str">
        <x:v>keyword</x:v>
      </x:c>
      <x:c r="E178" s="13" t="str">
        <x:v>en</x:v>
      </x:c>
      <x:c r="F178" s="13" t="str">
        <x:v>clothing_shoes_jewelry</x:v>
      </x:c>
      <x:c r="G178" s="16" t="str"/>
      <x:c r="H178" s="16" t="str">
        <x:v>flip_flops</x:v>
      </x:c>
      <x:c r="I178" s="16" t="str">
        <x:v>women</x:v>
      </x:c>
      <x:c r="J178" s="16" t="str">
        <x:v>comfort</x:v>
      </x:c>
      <x:c r="K178" s="16" t="str"/>
      <x:c r="L178" s="16" t="str"/>
      <x:c r="M178" s="16" t="str"/>
      <x:c r="N178" s="16" t="str">
        <x:v>arch_support</x:v>
      </x:c>
      <x:c r="O178" s="16" t="str"/>
      <x:c r="P178" s="16" t="str"/>
      <x:c r="Q178" s="16" t="str"/>
      <x:c r="R178" s="16" t="str">
        <x:v>用户想为女性购买深棕色带足弓支撑的人字拖，对颜色和功能特性有明确要求，购买意图较为强烈。</x:v>
      </x:c>
      <x:c r="S178" s="13" t="str">
        <x:v>high_intent</x:v>
      </x:c>
      <x:c r="T178" s="16" t="str">
        <x:v>explicit | page_validated</x:v>
      </x:c>
      <x:c r="U178" s="13" t="str">
        <x:v>high</x:v>
      </x:c>
      <x:c r="V178" s="16" t="str">
        <x:v>womens_arch_support_flip_flops_color_specific</x:v>
      </x:c>
      <x:c r="W178" s="16" t="str">
        <x:v>cluster_route</x:v>
      </x:c>
      <x:c r="X178" s="16" t="str">
        <x:v>{"audience_intent":[{"value":"women","evidence_type":"explicit","source_span":"women's","fact_ids":[],"rationale":"Directly stated."},{"value":"women","evidence_type":"page_validated","source_span":"","fact_ids":["title_womens_flip_flop"],"rationale":"该槽位与商品基准中的明示页面事实一致。"}],"product_type":[{"value":"flip_flops","evidence_type":"explicit","source_span":"flip flop","fact_ids":[],"rationale":"Directly stated."},{"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function_intent":[{"value":"comfort","evidence_type":"inferred","source_span":"","fact_ids":[],"rationale":"Arch support is typically sought for comfort."},{"value":"comfort","evidence_type":"page_validated","source_span":"","fact_ids":["arch_support","padded_cushioning"],"rationale":"该槽位与商品基准中的明示页面事实一致。"}],"capability_intent":[{"value":"arch_support","evidence_type":"page_validated","source_span":"","fact_ids":["arch_support"],"rationale":"该槽位与商品基准中的明示页面事实一致。"}],"primary_domain":[{"value":"clothing_shoes_jewelry","evidence_type":"inferred","source_span":"","fact_ids":[],"rationale":"该值由搜索词整体语义推断，未作为页面明示属性。"}]}</x:v>
      </x:c>
      <x:c r="Y178" s="16" t="str"/>
      <x:c r="Z178" s="13" t="str">
        <x:v>match</x:v>
      </x:c>
      <x:c r="AA178" s="16" t="str">
        <x:v>title_womens_flip_flop | arch_support | colors_visible | style_flip_flop</x:v>
      </x:c>
      <x:c r="AB178" s="13" t="str">
        <x:v>accepted</x:v>
      </x:c>
      <x:c r="AC178" s="13" t="str">
        <x:v>1.0.0</x:v>
      </x:c>
      <x:c r="AD178" s="13" t="str">
        <x:v>1.1.0</x:v>
      </x:c>
      <x:c r="AE178" s="13" t="str">
        <x:v>deepseek/deepseek-v4-pro</x:v>
      </x:c>
      <x:c r="AF178" s="13" t="str">
        <x:v>aj2-y90-20260714T234810-0bea2f52</x:v>
      </x:c>
      <x:c r="AG178" s="13" t="str">
        <x:v>full-0009</x:v>
      </x:c>
      <x:c r="AH178" s="13" t="str">
        <x:v>full</x:v>
      </x:c>
      <x:c r="AI178" s="13" t="n">
        <x:v>9</x:v>
      </x:c>
    </x:row>
    <x:row r="179" ht="34" customHeight="1">
      <x:c r="A179" s="15" t="str">
        <x:v>fancy flip flops arch support</x:v>
      </x:c>
      <x:c r="B179" s="15" t="str">
        <x:v>fancy flip flops arch support</x:v>
      </x:c>
      <x:c r="C179" s="10" t="str">
        <x:v>aa60af73de4f1908</x:v>
      </x:c>
      <x:c r="D179" s="10" t="str">
        <x:v>keyword</x:v>
      </x:c>
      <x:c r="E179" s="10" t="str">
        <x:v>en</x:v>
      </x:c>
      <x:c r="F179" s="10" t="str">
        <x:v>clothing_shoes_jewelry</x:v>
      </x:c>
      <x:c r="G179" s="15" t="str"/>
      <x:c r="H179" s="15" t="str">
        <x:v>flip_flops</x:v>
      </x:c>
      <x:c r="I179" s="15" t="str"/>
      <x:c r="J179" s="15" t="str">
        <x:v>comfort</x:v>
      </x:c>
      <x:c r="K179" s="15" t="str"/>
      <x:c r="L179" s="15" t="str"/>
      <x:c r="M179" s="15" t="str"/>
      <x:c r="N179" s="15" t="str">
        <x:v>arch_support</x:v>
      </x:c>
      <x:c r="O179" s="15" t="str"/>
      <x:c r="P179" s="15" t="str"/>
      <x:c r="Q179" s="15" t="str"/>
      <x:c r="R179" s="15" t="str">
        <x:v>用户寻找兼具时尚感和足弓支撑的人字拖，但产品定位为户外休闲EVA材质，风格偏运动休闲而非精致华丽。</x:v>
      </x:c>
      <x:c r="S179" s="10" t="str">
        <x:v>consideration</x:v>
      </x:c>
      <x:c r="T179" s="15" t="str">
        <x:v>explicit | page_validated</x:v>
      </x:c>
      <x:c r="U179" s="10" t="str">
        <x:v>medium</x:v>
      </x:c>
      <x:c r="V179" s="15" t="str">
        <x:v>fancy_arch_support_flip_flops</x:v>
      </x:c>
      <x:c r="W179" s="15" t="str">
        <x:v>listing_gap_review</x:v>
      </x:c>
      <x:c r="X179" s="15" t="str">
        <x:v>{"product_type":[{"value":"flip_flops","evidence_type":"explicit","source_span":"flip flops","fact_ids":[],"rationale":"Directly stated."},{"value":"flip_flops","evidence_type":"page_validated","source_span":"","fact_ids":["style_flip_flop"],"rationale":"该槽位与商品基准中的明示页面事实一致。"}],"capability_intent":[{"value":"arch_support","evidence_type":"page_validated","source_span":"","fact_ids":["arch_support"],"rationale":"该槽位与商品基准中的明示页面事实一致。"}],"function_intent":[{"value":"comfort","evidence_type":"page_validated","source_span":"","fact_ids":["arch_support","padded_cushioning"],"rationale":"该槽位与商品基准中的明示页面事实一致。"},{"value":"comfor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179" s="15" t="str">
        <x:v>fancy_style_vs_outdoor_design</x:v>
      </x:c>
      <x:c r="Z179" s="10" t="str">
        <x:v>partial_match</x:v>
      </x:c>
      <x:c r="AA179" s="15" t="str">
        <x:v>style_flip_flop | arch_support | style_outdoor</x:v>
      </x:c>
      <x:c r="AB179" s="10" t="str">
        <x:v>accepted</x:v>
      </x:c>
      <x:c r="AC179" s="10" t="str">
        <x:v>1.0.0</x:v>
      </x:c>
      <x:c r="AD179" s="10" t="str">
        <x:v>1.1.0</x:v>
      </x:c>
      <x:c r="AE179" s="10" t="str">
        <x:v>deepseek/deepseek-v4-pro</x:v>
      </x:c>
      <x:c r="AF179" s="10" t="str">
        <x:v>aj2-y90-20260714T234810-0bea2f52</x:v>
      </x:c>
      <x:c r="AG179" s="10" t="str">
        <x:v>full-0009</x:v>
      </x:c>
      <x:c r="AH179" s="10" t="str">
        <x:v>full</x:v>
      </x:c>
      <x:c r="AI179" s="10" t="n">
        <x:v>9</x:v>
      </x:c>
    </x:row>
    <x:row r="180" ht="34" customHeight="1">
      <x:c r="A180" s="16" t="str">
        <x:v>archies arch support flip flops</x:v>
      </x:c>
      <x:c r="B180" s="16" t="str">
        <x:v>archies arch support flip flops</x:v>
      </x:c>
      <x:c r="C180" s="13" t="str">
        <x:v>e91636fde9f6edb6</x:v>
      </x:c>
      <x:c r="D180" s="13" t="str">
        <x:v>keyword</x:v>
      </x:c>
      <x:c r="E180" s="13" t="str">
        <x:v>en</x:v>
      </x:c>
      <x:c r="F180" s="13" t="str">
        <x:v>clothing_shoes_jewelry</x:v>
      </x:c>
      <x:c r="G180" s="16" t="str"/>
      <x:c r="H180" s="16" t="str">
        <x:v>flip_flops</x:v>
      </x:c>
      <x:c r="I180" s="16" t="str"/>
      <x:c r="J180" s="16" t="str">
        <x:v>comfort</x:v>
      </x:c>
      <x:c r="K180" s="16" t="str"/>
      <x:c r="L180" s="16" t="str"/>
      <x:c r="M180" s="16" t="str"/>
      <x:c r="N180" s="16" t="str">
        <x:v>arch_support</x:v>
      </x:c>
      <x:c r="O180" s="16" t="str"/>
      <x:c r="P180" s="16" t="str"/>
      <x:c r="Q180" s="16" t="str"/>
      <x:c r="R180" s="16" t="str">
        <x:v>用户正在搜索Archies品牌的足弓支撑人字拖，明确提到了品牌名和功能特性，属于竞品品牌的高意图搜索。</x:v>
      </x:c>
      <x:c r="S180" s="13" t="str">
        <x:v>brand_harvest</x:v>
      </x:c>
      <x:c r="T180" s="16" t="str">
        <x:v>explicit | inferred</x:v>
      </x:c>
      <x:c r="U180" s="13" t="str">
        <x:v>high</x:v>
      </x:c>
      <x:c r="V180" s="16" t="str">
        <x:v>competitor_brand_archies_flip_flops</x:v>
      </x:c>
      <x:c r="W180" s="16" t="str">
        <x:v>performance_observation</x:v>
      </x:c>
      <x:c r="X180" s="16" t="str">
        <x:v>{"product_type":[{"value":"flip_flops","evidence_type":"explicit","source_span":"flip flops","fact_ids":[],"rationale":"Directly stated."},{"value":"flip_flops","evidence_type":"page_validated","source_span":"","fact_ids":["style_flip_flop"],"rationale":"该槽位与商品基准中的明示页面事实一致。"}],"capability_intent":[{"value":"arch_support","evidence_type":"page_validated","source_span":"","fact_ids":["arch_support"],"rationale":"该槽位与商品基准中的明示页面事实一致。"}],"function_intent":[{"value":"comfort","evidence_type":"page_validated","source_span":"","fact_ids":["arch_support","padded_cushioning"],"rationale":"该槽位与商品基准中的明示页面事实一致。"},{"value":"comfor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180" s="16" t="str"/>
      <x:c r="Z180" s="13" t="str">
        <x:v>partial_match</x:v>
      </x:c>
      <x:c r="AA180" s="16" t="str">
        <x:v>style_flip_flop | arch_support</x:v>
      </x:c>
      <x:c r="AB180" s="13" t="str">
        <x:v>accepted</x:v>
      </x:c>
      <x:c r="AC180" s="13" t="str">
        <x:v>1.0.0</x:v>
      </x:c>
      <x:c r="AD180" s="13" t="str">
        <x:v>1.1.0</x:v>
      </x:c>
      <x:c r="AE180" s="13" t="str">
        <x:v>deepseek/deepseek-v4-pro</x:v>
      </x:c>
      <x:c r="AF180" s="13" t="str">
        <x:v>aj2-y90-20260714T234810-0bea2f52</x:v>
      </x:c>
      <x:c r="AG180" s="13" t="str">
        <x:v>full-0009</x:v>
      </x:c>
      <x:c r="AH180" s="13" t="str">
        <x:v>full</x:v>
      </x:c>
      <x:c r="AI180" s="13" t="n">
        <x:v>9</x:v>
      </x:c>
    </x:row>
    <x:row r="181" ht="34" customHeight="1">
      <x:c r="A181" s="15" t="str">
        <x:v>womens plastic flip flops with arch support</x:v>
      </x:c>
      <x:c r="B181" s="15" t="str">
        <x:v>womens plastic flip flops with arch support</x:v>
      </x:c>
      <x:c r="C181" s="10" t="str">
        <x:v>f9b4cde762dc2c64</x:v>
      </x:c>
      <x:c r="D181" s="10" t="str">
        <x:v>keyword</x:v>
      </x:c>
      <x:c r="E181" s="10" t="str">
        <x:v>en</x:v>
      </x:c>
      <x:c r="F181" s="10" t="str">
        <x:v>clothing_shoes_jewelry</x:v>
      </x:c>
      <x:c r="G181" s="15" t="str"/>
      <x:c r="H181" s="15" t="str">
        <x:v>flip_flops</x:v>
      </x:c>
      <x:c r="I181" s="15" t="str">
        <x:v>women</x:v>
      </x:c>
      <x:c r="J181" s="15" t="str">
        <x:v>comfort</x:v>
      </x:c>
      <x:c r="K181" s="15" t="str"/>
      <x:c r="L181" s="15" t="str"/>
      <x:c r="M181" s="15" t="str"/>
      <x:c r="N181" s="15" t="str">
        <x:v>arch_support</x:v>
      </x:c>
      <x:c r="O181" s="15" t="str"/>
      <x:c r="P181" s="15" t="str"/>
      <x:c r="Q181" s="15" t="str"/>
      <x:c r="R181" s="15" t="str">
        <x:v>用户想为女性寻找塑料材质带足弓支撑的人字拖，产品使用的EVA属于塑料泡沫材料，与'plastic'描述高度吻合。</x:v>
      </x:c>
      <x:c r="S181" s="10" t="str">
        <x:v>high_intent</x:v>
      </x:c>
      <x:c r="T181" s="15" t="str">
        <x:v>explicit | page_validated</x:v>
      </x:c>
      <x:c r="U181" s="10" t="str">
        <x:v>high</x:v>
      </x:c>
      <x:c r="V181" s="15" t="str">
        <x:v>womens_plastic_arch_support_flip_flops</x:v>
      </x:c>
      <x:c r="W181" s="15" t="str">
        <x:v>cluster_route</x:v>
      </x:c>
      <x:c r="X181" s="15" t="str">
        <x:v>{"audience_intent":[{"value":"women","evidence_type":"explicit","source_span":"womens","fact_ids":[],"rationale":"Directly stated."},{"value":"women","evidence_type":"page_validated","source_span":"","fact_ids":["title_womens_flip_flop"],"rationale":"该槽位与商品基准中的明示页面事实一致。"}],"product_type":[{"value":"flip_flops","evidence_type":"explicit","source_span":"flip flops","fact_ids":[],"rationale":"Directly stated."},{"value":"flip_flops","evidence_type":"page_validated","source_span":"","fact_ids":["style_flip_flop"],"rationale":"该槽位与商品基准中的明示页面事实一致。"}],"capability_intent":[{"value":"arch_support","evidence_type":"page_validated","source_span":"","fact_ids":["arch_support"],"rationale":"该槽位与商品基准中的明示页面事实一致。"}],"function_intent":[{"value":"comfort","evidence_type":"page_validated","source_span":"","fact_ids":["arch_support","padded_cushioning"],"rationale":"该槽位与商品基准中的明示页面事实一致。"},{"value":"comfor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181" s="15" t="str"/>
      <x:c r="Z181" s="10" t="str">
        <x:v>match</x:v>
      </x:c>
      <x:c r="AA181" s="15" t="str">
        <x:v>title_womens_flip_flop | arch_support | material_eva | style_flip_flop</x:v>
      </x:c>
      <x:c r="AB181" s="10" t="str">
        <x:v>accepted</x:v>
      </x:c>
      <x:c r="AC181" s="10" t="str">
        <x:v>1.0.0</x:v>
      </x:c>
      <x:c r="AD181" s="10" t="str">
        <x:v>1.1.0</x:v>
      </x:c>
      <x:c r="AE181" s="10" t="str">
        <x:v>deepseek/deepseek-v4-pro</x:v>
      </x:c>
      <x:c r="AF181" s="10" t="str">
        <x:v>aj2-y90-20260714T234810-0bea2f52</x:v>
      </x:c>
      <x:c r="AG181" s="10" t="str">
        <x:v>full-0009</x:v>
      </x:c>
      <x:c r="AH181" s="10" t="str">
        <x:v>full</x:v>
      </x:c>
      <x:c r="AI181" s="10" t="n">
        <x:v>9</x:v>
      </x:c>
    </x:row>
    <x:row r="182" ht="34" customHeight="1">
      <x:c r="A182" s="16" t="str">
        <x:v>flip flops overnight delivery</x:v>
      </x:c>
      <x:c r="B182" s="16" t="str">
        <x:v>flip flops overnight delivery</x:v>
      </x:c>
      <x:c r="C182" s="13" t="str">
        <x:v>07d66d3395af0663</x:v>
      </x:c>
      <x:c r="D182" s="13" t="str">
        <x:v>keyword</x:v>
      </x:c>
      <x:c r="E182" s="13" t="str">
        <x:v>en</x:v>
      </x:c>
      <x:c r="F182" s="13" t="str">
        <x:v>clothing_shoes_jewelry</x:v>
      </x:c>
      <x:c r="G182" s="16" t="str"/>
      <x:c r="H182" s="16" t="str">
        <x:v>flip_flop</x:v>
      </x:c>
      <x:c r="I182" s="16" t="str"/>
      <x:c r="J182" s="16" t="str">
        <x:v>urgent_need</x:v>
      </x:c>
      <x:c r="K182" s="16" t="str"/>
      <x:c r="L182" s="16" t="str"/>
      <x:c r="M182" s="16" t="str"/>
      <x:c r="N182" s="16" t="str"/>
      <x:c r="O182" s="16" t="str">
        <x:v>overnight</x:v>
      </x:c>
      <x:c r="P182" s="16" t="str"/>
      <x:c r="Q182" s="16" t="str"/>
      <x:c r="R182" s="16" t="str">
        <x:v>用户急需人字拖，要求次日送达。</x:v>
      </x:c>
      <x:c r="S182" s="13" t="str">
        <x:v>high_intent</x:v>
      </x:c>
      <x:c r="T182" s="16" t="str">
        <x:v>explicit | page_validated | inferred</x:v>
      </x:c>
      <x:c r="U182" s="13" t="str">
        <x:v>medium</x:v>
      </x:c>
      <x:c r="V182" s="16" t="str">
        <x:v>flip_flops_overnight</x:v>
      </x:c>
      <x:c r="W182" s="16" t="str">
        <x:v>performance_observation</x:v>
      </x:c>
      <x:c r="X182" s="16" t="str">
        <x:v>{"product_type":[{"value":"flip_flop","evidence_type":"explicit","source_span":"flip flops","fact_ids":[],"rationale":""},{"value":"flip_flop","evidence_type":"page_validated","source_span":"","fact_ids":["style_flip_flop"],"rationale":"产品为人字拖。"}],"delivery":[{"value":"overnight","evidence_type":"explicit","source_span":"overnight delivery","fact_ids":[],"rationale":"配送时效无法从页面事实验证，需性能数据。"}],"function_intent":[{"value":"urgent_need","evidence_type":"inferred","source_span":"","fact_ids":[],"rationale":"该值由搜索词整体语义推断，未作为页面明示属性。"}],"time_intent":[{"value":"overnight","evidence_type":"inferred","source_span":"","fact_ids":[],"rationale":"该值由搜索词整体语义推断，未作为页面明示属性。"}],"primary_domain":[{"value":"clothing_shoes_jewelry","evidence_type":"inferred","source_span":"","fact_ids":[],"rationale":"该值由搜索词整体语义推断，未作为页面明示属性。"}]}</x:v>
      </x:c>
      <x:c r="Y182" s="16" t="str"/>
      <x:c r="Z182" s="13" t="str">
        <x:v>partial_match</x:v>
      </x:c>
      <x:c r="AA182" s="16" t="str">
        <x:v>style_flip_flop</x:v>
      </x:c>
      <x:c r="AB182" s="13" t="str">
        <x:v>accepted</x:v>
      </x:c>
      <x:c r="AC182" s="13" t="str">
        <x:v>1.0.0</x:v>
      </x:c>
      <x:c r="AD182" s="13" t="str">
        <x:v>1.0.0</x:v>
      </x:c>
      <x:c r="AE182" s="13" t="str">
        <x:v>deepseek/deepseek-v4-pro</x:v>
      </x:c>
      <x:c r="AF182" s="13" t="str">
        <x:v>aj2-y90-20260714T234810-0bea2f52</x:v>
      </x:c>
      <x:c r="AG182" s="13" t="str">
        <x:v>full-0010</x:v>
      </x:c>
      <x:c r="AH182" s="13" t="str">
        <x:v>full</x:v>
      </x:c>
      <x:c r="AI182" s="13" t="n">
        <x:v>10</x:v>
      </x:c>
    </x:row>
    <x:row r="183" ht="34" customHeight="1">
      <x:c r="A183" s="15" t="str">
        <x:v>womens summer flip flops 2026</x:v>
      </x:c>
      <x:c r="B183" s="15" t="str">
        <x:v>womens summer flip flops 2026</x:v>
      </x:c>
      <x:c r="C183" s="10" t="str">
        <x:v>0825209ed4e0c2cc</x:v>
      </x:c>
      <x:c r="D183" s="10" t="str">
        <x:v>keyword</x:v>
      </x:c>
      <x:c r="E183" s="10" t="str">
        <x:v>en</x:v>
      </x:c>
      <x:c r="F183" s="10" t="str">
        <x:v>clothing_shoes_jewelry</x:v>
      </x:c>
      <x:c r="G183" s="15" t="str"/>
      <x:c r="H183" s="15" t="str">
        <x:v>flip_flop</x:v>
      </x:c>
      <x:c r="I183" s="15" t="str">
        <x:v>female</x:v>
      </x:c>
      <x:c r="J183" s="15" t="str"/>
      <x:c r="K183" s="15" t="str"/>
      <x:c r="L183" s="15" t="str"/>
      <x:c r="M183" s="15" t="str"/>
      <x:c r="N183" s="15" t="str"/>
      <x:c r="O183" s="15" t="str">
        <x:v>summer | 2026</x:v>
      </x:c>
      <x:c r="P183" s="15" t="str"/>
      <x:c r="Q183" s="15" t="str"/>
      <x:c r="R183" s="15" t="str">
        <x:v>女性用户想找适合2026年夏季穿着的时尚人字拖。</x:v>
      </x:c>
      <x:c r="S183" s="10" t="str">
        <x:v>consideration</x:v>
      </x:c>
      <x:c r="T183" s="15" t="str">
        <x:v>explicit | page_validated | inferred</x:v>
      </x:c>
      <x:c r="U183" s="10" t="str">
        <x:v>high</x:v>
      </x:c>
      <x:c r="V183" s="15" t="str">
        <x:v>womens_summer_flip_flops</x:v>
      </x:c>
      <x:c r="W183" s="15" t="str">
        <x:v>cluster_route</x:v>
      </x:c>
      <x:c r="X183" s="15" t="str">
        <x:v>{"product_type":[{"value":"flip_flop","evidence_type":"explicit","source_span":"flip flops","fact_ids":[],"rationale":""},{"value":"flip_flop","evidence_type":"page_validated","source_span":"","fact_ids":["style_flip_flop"],"rationale":"产品为人字拖。"}],"audience_intent":[{"value":"female","evidence_type":"explicit","source_span":"womens","fact_ids":[],"rationale":""},{"value":"female","evidence_type":"page_validated","source_span":"","fact_ids":["title_womens_flip_flop"],"rationale":"产品为女款。"}],"time_intent":[{"value":"summer","evidence_type":"explicit","source_span":"summer","fact_ids":[],"rationale":""},{"value":"2026","evidence_type":"explicit","source_span":"2026","fact_ids":[],"rationale":"当前年度需求，产品持续在售。"}],"primary_domain":[{"value":"clothing_shoes_jewelry","evidence_type":"inferred","source_span":"","fact_ids":[],"rationale":"该值由搜索词整体语义推断，未作为页面明示属性。"}]}</x:v>
      </x:c>
      <x:c r="Y183" s="15" t="str"/>
      <x:c r="Z183" s="10" t="str">
        <x:v>match</x:v>
      </x:c>
      <x:c r="AA183" s="15" t="str">
        <x:v>title_womens_flip_flop | style_flip_flop | style_open_toe</x:v>
      </x:c>
      <x:c r="AB183" s="10" t="str">
        <x:v>accepted</x:v>
      </x:c>
      <x:c r="AC183" s="10" t="str">
        <x:v>1.0.0</x:v>
      </x:c>
      <x:c r="AD183" s="10" t="str">
        <x:v>1.0.0</x:v>
      </x:c>
      <x:c r="AE183" s="10" t="str">
        <x:v>deepseek/deepseek-v4-pro</x:v>
      </x:c>
      <x:c r="AF183" s="10" t="str">
        <x:v>aj2-y90-20260714T234810-0bea2f52</x:v>
      </x:c>
      <x:c r="AG183" s="10" t="str">
        <x:v>full-0010</x:v>
      </x:c>
      <x:c r="AH183" s="10" t="str">
        <x:v>full</x:v>
      </x:c>
      <x:c r="AI183" s="10" t="n">
        <x:v>10</x:v>
      </x:c>
    </x:row>
    <x:row r="184" ht="34" customHeight="1">
      <x:c r="A184" s="16" t="str">
        <x:v>flip flops for home</x:v>
      </x:c>
      <x:c r="B184" s="16" t="str">
        <x:v>flip flops for home</x:v>
      </x:c>
      <x:c r="C184" s="13" t="str">
        <x:v>0d4122881ea49c42</x:v>
      </x:c>
      <x:c r="D184" s="13" t="str">
        <x:v>keyword</x:v>
      </x:c>
      <x:c r="E184" s="13" t="str">
        <x:v>en</x:v>
      </x:c>
      <x:c r="F184" s="13" t="str">
        <x:v>clothing_shoes_jewelry</x:v>
      </x:c>
      <x:c r="G184" s="16" t="str">
        <x:v>home_kitchen</x:v>
      </x:c>
      <x:c r="H184" s="16" t="str">
        <x:v>flip_flop</x:v>
      </x:c>
      <x:c r="I184" s="16" t="str"/>
      <x:c r="J184" s="16" t="str"/>
      <x:c r="K184" s="16" t="str"/>
      <x:c r="L184" s="16" t="str"/>
      <x:c r="M184" s="16" t="str">
        <x:v>home</x:v>
      </x:c>
      <x:c r="N184" s="16" t="str"/>
      <x:c r="O184" s="16" t="str"/>
      <x:c r="P184" s="16" t="str">
        <x:v>house_slipper</x:v>
      </x:c>
      <x:c r="Q184" s="16" t="str"/>
      <x:c r="R184" s="16" t="str">
        <x:v>用户想找一双适合居家穿着的人字拖/拖鞋。</x:v>
      </x:c>
      <x:c r="S184" s="13" t="str">
        <x:v>exploration</x:v>
      </x:c>
      <x:c r="T184" s="16" t="str">
        <x:v>explicit | page_validated | inferred</x:v>
      </x:c>
      <x:c r="U184" s="13" t="str">
        <x:v>medium</x:v>
      </x:c>
      <x:c r="V184" s="16" t="str">
        <x:v>home_flip_flops</x:v>
      </x:c>
      <x:c r="W184" s="16" t="str">
        <x:v>cluster_route</x:v>
      </x:c>
      <x:c r="X184" s="16" t="str">
        <x:v>{"product_type":[{"value":"flip_flop","evidence_type":"explicit","source_span":"flip flops","fact_ids":[],"rationale":""},{"value":"flip_flop","evidence_type":"page_validated","source_span":"","fact_ids":["style_flip_flop"],"rationale":"产品为人字拖款式。"}],"location_intent":[{"value":"home","evidence_type":"explicit","source_span":"home","fact_ids":[],"rationale":""}],"substitute_intent":[{"value":"house_slipper","evidence_type":"inferred","source_span":"","fact_ids":[],"rationale":"该值由搜索词整体语义推断，未作为页面明示属性。"}],"secondary_domain":[{"value":"home_kitchen","evidence_type":"inferred","source_span":"","fact_ids":[],"rationale":"该值由搜索词整体语义推断，未作为页面明示属性。"}],"primary_domain":[{"value":"clothing_shoes_jewelry","evidence_type":"inferred","source_span":"","fact_ids":[],"rationale":"该值由搜索词整体语义推断，未作为页面明示属性。"}]}</x:v>
      </x:c>
      <x:c r="Y184" s="16" t="str"/>
      <x:c r="Z184" s="13" t="str">
        <x:v>match</x:v>
      </x:c>
      <x:c r="AA184" s="16" t="str">
        <x:v>style_flip_flop</x:v>
      </x:c>
      <x:c r="AB184" s="13" t="str">
        <x:v>accepted</x:v>
      </x:c>
      <x:c r="AC184" s="13" t="str">
        <x:v>1.0.0</x:v>
      </x:c>
      <x:c r="AD184" s="13" t="str">
        <x:v>1.0.0</x:v>
      </x:c>
      <x:c r="AE184" s="13" t="str">
        <x:v>deepseek/deepseek-v4-pro</x:v>
      </x:c>
      <x:c r="AF184" s="13" t="str">
        <x:v>aj2-y90-20260714T234810-0bea2f52</x:v>
      </x:c>
      <x:c r="AG184" s="13" t="str">
        <x:v>full-0010</x:v>
      </x:c>
      <x:c r="AH184" s="13" t="str">
        <x:v>full</x:v>
      </x:c>
      <x:c r="AI184" s="13" t="n">
        <x:v>10</x:v>
      </x:c>
    </x:row>
    <x:row r="185" ht="34" customHeight="1">
      <x:c r="A185" s="15" t="str">
        <x:v>plain black flip flops</x:v>
      </x:c>
      <x:c r="B185" s="15" t="str">
        <x:v>plain black flip flops</x:v>
      </x:c>
      <x:c r="C185" s="10" t="str">
        <x:v>1119bf2f0981492e</x:v>
      </x:c>
      <x:c r="D185" s="10" t="str">
        <x:v>keyword</x:v>
      </x:c>
      <x:c r="E185" s="10" t="str">
        <x:v>en</x:v>
      </x:c>
      <x:c r="F185" s="10" t="str">
        <x:v>clothing_shoes_jewelry</x:v>
      </x:c>
      <x:c r="G185" s="15" t="str"/>
      <x:c r="H185" s="15" t="str">
        <x:v>flip_flop</x:v>
      </x:c>
      <x:c r="I185" s="15" t="str"/>
      <x:c r="J185" s="15" t="str"/>
      <x:c r="K185" s="15" t="str"/>
      <x:c r="L185" s="15" t="str"/>
      <x:c r="M185" s="15" t="str"/>
      <x:c r="N185" s="15" t="str"/>
      <x:c r="O185" s="15" t="str"/>
      <x:c r="P185" s="15" t="str"/>
      <x:c r="Q185" s="15" t="str"/>
      <x:c r="R185" s="15" t="str">
        <x:v>用户想找一双款式简洁的纯黑色人字拖。</x:v>
      </x:c>
      <x:c r="S185" s="10" t="str">
        <x:v>consideration</x:v>
      </x:c>
      <x:c r="T185" s="15" t="str">
        <x:v>explicit | page_validated | inferred</x:v>
      </x:c>
      <x:c r="U185" s="10" t="str">
        <x:v>high</x:v>
      </x:c>
      <x:c r="V185" s="15" t="str">
        <x:v>plain_black_flip_flops</x:v>
      </x:c>
      <x:c r="W185" s="15" t="str">
        <x:v>cluster_route</x:v>
      </x:c>
      <x:c r="X185" s="15" t="str">
        <x:v>{"product_type":[{"value":"flip_flop","evidence_type":"explicit","source_span":"flip flops","fact_ids":[],"rationale":""},{"value":"flip_flop","evidence_type":"page_validated","source_span":"","fact_ids":["style_flip_flop"],"rationale":"产品为人字拖。"}],"color":[{"value":"black","evidence_type":"explicit","source_span":"black","fact_ids":[],"rationale":"该颜色在商品页面可见颜色选择中得到明确支持。"},{"value":"black","evidence_type":"page_validated","source_span":"","fact_ids":["colors_visible"],"rationale":"该颜色在商品页面可见颜色选择中得到明确支持。"}],"style":[{"value":"plain","evidence_type":"explicit","source_span":"plain","fact_ids":[],"rationale":"产品为简约基础款人字拖，无装饰描述不矛盾。"}],"primary_domain":[{"value":"clothing_shoes_jewelry","evidence_type":"inferred","source_span":"","fact_ids":[],"rationale":"该值由搜索词整体语义推断，未作为页面明示属性。"}]}</x:v>
      </x:c>
      <x:c r="Y185" s="15" t="str"/>
      <x:c r="Z185" s="10" t="str">
        <x:v>match</x:v>
      </x:c>
      <x:c r="AA185" s="15" t="str">
        <x:v>style_flip_flop | colors_visible | style_flat</x:v>
      </x:c>
      <x:c r="AB185" s="10" t="str">
        <x:v>accepted</x:v>
      </x:c>
      <x:c r="AC185" s="10" t="str">
        <x:v>1.0.0</x:v>
      </x:c>
      <x:c r="AD185" s="10" t="str">
        <x:v>1.0.0</x:v>
      </x:c>
      <x:c r="AE185" s="10" t="str">
        <x:v>deepseek/deepseek-v4-pro</x:v>
      </x:c>
      <x:c r="AF185" s="10" t="str">
        <x:v>aj2-y90-20260714T234810-0bea2f52</x:v>
      </x:c>
      <x:c r="AG185" s="10" t="str">
        <x:v>full-0010</x:v>
      </x:c>
      <x:c r="AH185" s="10" t="str">
        <x:v>full</x:v>
      </x:c>
      <x:c r="AI185" s="10" t="n">
        <x:v>10</x:v>
      </x:c>
    </x:row>
    <x:row r="186" ht="34" customHeight="1">
      <x:c r="A186" s="16" t="str">
        <x:v>black flip flops size 9</x:v>
      </x:c>
      <x:c r="B186" s="16" t="str">
        <x:v>black flip flops size 9</x:v>
      </x:c>
      <x:c r="C186" s="13" t="str">
        <x:v>11ad9e928e1c5346</x:v>
      </x:c>
      <x:c r="D186" s="13" t="str">
        <x:v>keyword</x:v>
      </x:c>
      <x:c r="E186" s="13" t="str">
        <x:v>en</x:v>
      </x:c>
      <x:c r="F186" s="13" t="str">
        <x:v>clothing_shoes_jewelry</x:v>
      </x:c>
      <x:c r="G186" s="16" t="str"/>
      <x:c r="H186" s="16" t="str">
        <x:v>flip_flop</x:v>
      </x:c>
      <x:c r="I186" s="16" t="str"/>
      <x:c r="J186" s="16" t="str"/>
      <x:c r="K186" s="16" t="str"/>
      <x:c r="L186" s="16" t="str"/>
      <x:c r="M186" s="16" t="str"/>
      <x:c r="N186" s="16" t="str"/>
      <x:c r="O186" s="16" t="str"/>
      <x:c r="P186" s="16" t="str"/>
      <x:c r="Q186" s="16" t="str"/>
      <x:c r="R186" s="16" t="str">
        <x:v>用户需要一双黑色9码人字拖。</x:v>
      </x:c>
      <x:c r="S186" s="13" t="str">
        <x:v>high_intent</x:v>
      </x:c>
      <x:c r="T186" s="16" t="str">
        <x:v>explicit | page_validated</x:v>
      </x:c>
      <x:c r="U186" s="13" t="str">
        <x:v>high</x:v>
      </x:c>
      <x:c r="V186" s="16" t="str">
        <x:v>black_flip_flops_size_9</x:v>
      </x:c>
      <x:c r="W186" s="16" t="str">
        <x:v>cluster_route</x:v>
      </x:c>
      <x:c r="X186" s="16" t="str">
        <x:v>{"product_type":[{"value":"flip_flop","evidence_type":"explicit","source_span":"flip flops","fact_ids":[],"rationale":""},{"value":"flip_flop","evidence_type":"page_validated","source_span":"","fact_ids":["style_flip_flop"],"rationale":"产品为人字拖。"}],"color":[{"value":"black","evidence_type":"explicit","source_span":"black","fact_ids":[],"rationale":"该颜色在商品页面可见颜色选择中得到明确支持。"},{"value":"black","evidence_type":"page_validated","source_span":"","fact_ids":["colors_visible"],"rationale":"该颜色在商品页面可见颜色选择中得到明确支持。"}],"size":[{"value":"9","evidence_type":"explicit","source_span":"size 9","fact_ids":[],"rationale":""},{"value":"9","evidence_type":"page_validated","source_span":"","fact_ids":["sizes_6_11"],"rationale":"尺码范围6-11含9码。"}],"primary_domain":[{"value":"clothing_shoes_jewelry","evidence_type":"inferred","source_span":"","fact_ids":[],"rationale":"该值由搜索词整体语义推断，未作为页面明示属性。"}]}</x:v>
      </x:c>
      <x:c r="Y186" s="16" t="str"/>
      <x:c r="Z186" s="13" t="str">
        <x:v>match</x:v>
      </x:c>
      <x:c r="AA186" s="16" t="str">
        <x:v>style_flip_flop | colors_visible | sizes_6_11</x:v>
      </x:c>
      <x:c r="AB186" s="13" t="str">
        <x:v>accepted</x:v>
      </x:c>
      <x:c r="AC186" s="13" t="str">
        <x:v>1.0.0</x:v>
      </x:c>
      <x:c r="AD186" s="13" t="str">
        <x:v>1.0.0</x:v>
      </x:c>
      <x:c r="AE186" s="13" t="str">
        <x:v>deepseek/deepseek-v4-pro</x:v>
      </x:c>
      <x:c r="AF186" s="13" t="str">
        <x:v>aj2-y90-20260714T234810-0bea2f52</x:v>
      </x:c>
      <x:c r="AG186" s="13" t="str">
        <x:v>full-0010</x:v>
      </x:c>
      <x:c r="AH186" s="13" t="str">
        <x:v>full</x:v>
      </x:c>
      <x:c r="AI186" s="13" t="n">
        <x:v>10</x:v>
      </x:c>
    </x:row>
    <x:row r="187" ht="34" customHeight="1">
      <x:c r="A187" s="15" t="str">
        <x:v>waterproof flip flops women</x:v>
      </x:c>
      <x:c r="B187" s="15" t="str">
        <x:v>waterproof flip flops women</x:v>
      </x:c>
      <x:c r="C187" s="10" t="str">
        <x:v>12f72a49553d1af8</x:v>
      </x:c>
      <x:c r="D187" s="10" t="str">
        <x:v>keyword</x:v>
      </x:c>
      <x:c r="E187" s="10" t="str">
        <x:v>en</x:v>
      </x:c>
      <x:c r="F187" s="10" t="str">
        <x:v>clothing_shoes_jewelry</x:v>
      </x:c>
      <x:c r="G187" s="15" t="str"/>
      <x:c r="H187" s="15" t="str">
        <x:v>flip_flop</x:v>
      </x:c>
      <x:c r="I187" s="15" t="str">
        <x:v>female</x:v>
      </x:c>
      <x:c r="J187" s="15" t="str">
        <x:v>water_resistance</x:v>
      </x:c>
      <x:c r="K187" s="15" t="str">
        <x:v>waterproof</x:v>
      </x:c>
      <x:c r="L187" s="15" t="str"/>
      <x:c r="M187" s="15" t="str"/>
      <x:c r="N187" s="15" t="str"/>
      <x:c r="O187" s="15" t="str"/>
      <x:c r="P187" s="15" t="str"/>
      <x:c r="Q187" s="15" t="str"/>
      <x:c r="R187" s="15" t="str">
        <x:v>女性用户需要一双防水人字拖，用于涉水或潮湿环境。</x:v>
      </x:c>
      <x:c r="S187" s="10" t="str">
        <x:v>consideration</x:v>
      </x:c>
      <x:c r="T187" s="15" t="str">
        <x:v>explicit | inferred</x:v>
      </x:c>
      <x:c r="U187" s="10" t="str">
        <x:v>medium</x:v>
      </x:c>
      <x:c r="V187" s="15" t="str">
        <x:v>waterproof_flip_flops_women</x:v>
      </x:c>
      <x:c r="W187" s="15" t="str">
        <x:v>listing_gap_review</x:v>
      </x:c>
      <x:c r="X187" s="15" t="str">
        <x:v>{"product_type":[{"value":"flip_flop","evidence_type":"explicit","source_span":"flip flops","fact_ids":[],"rationale":""},{"value":"flip_flop","evidence_type":"page_validated","source_span":"","fact_ids":["style_flip_flop"],"rationale":"该槽位与商品基准中的明示页面事实一致。"}],"audience_intent":[{"value":"female","evidence_type":"explicit","source_span":"women","fact_ids":[],"rationale":""}],"capability_intent":[{"value":"waterproof","evidence_type":"explicit","source_span":"waterproof","fact_ids":[],"rationale":""}],"function_intent":[{"value":"water_resistance","evidence_type":"inferred","source_span":"","fact_ids":[],"rationale":"该值由搜索词整体语义推断，未作为页面明示属性。"}],"primary_domain":[{"value":"clothing_shoes_jewelry","evidence_type":"inferred","source_span":"","fact_ids":[],"rationale":"该值由搜索词整体语义推断，未作为页面明示属性。"}]}</x:v>
      </x:c>
      <x:c r="Y187" s="15" t="str"/>
      <x:c r="Z187" s="10" t="str">
        <x:v>partial_match</x:v>
      </x:c>
      <x:c r="AA187" s="15" t="str">
        <x:v>style_flip_flop | title_womens_flip_flop</x:v>
      </x:c>
      <x:c r="AB187" s="10" t="str">
        <x:v>accepted</x:v>
      </x:c>
      <x:c r="AC187" s="10" t="str">
        <x:v>1.0.0</x:v>
      </x:c>
      <x:c r="AD187" s="10" t="str">
        <x:v>1.0.0</x:v>
      </x:c>
      <x:c r="AE187" s="10" t="str">
        <x:v>deepseek/deepseek-v4-pro</x:v>
      </x:c>
      <x:c r="AF187" s="10" t="str">
        <x:v>aj2-y90-20260714T234810-0bea2f52</x:v>
      </x:c>
      <x:c r="AG187" s="10" t="str">
        <x:v>full-0010</x:v>
      </x:c>
      <x:c r="AH187" s="10" t="str">
        <x:v>full</x:v>
      </x:c>
      <x:c r="AI187" s="10" t="n">
        <x:v>10</x:v>
      </x:c>
    </x:row>
    <x:row r="188" ht="34" customHeight="1">
      <x:c r="A188" s="16" t="str">
        <x:v>orthopedic flip flops women arch support</x:v>
      </x:c>
      <x:c r="B188" s="16" t="str">
        <x:v>orthopedic flip flops women arch support</x:v>
      </x:c>
      <x:c r="C188" s="13" t="str">
        <x:v>26589e60badb1fd8</x:v>
      </x:c>
      <x:c r="D188" s="13" t="str">
        <x:v>keyword</x:v>
      </x:c>
      <x:c r="E188" s="13" t="str">
        <x:v>en</x:v>
      </x:c>
      <x:c r="F188" s="13" t="str">
        <x:v>clothing_shoes_jewelry</x:v>
      </x:c>
      <x:c r="G188" s="16" t="str"/>
      <x:c r="H188" s="16" t="str">
        <x:v>flip_flop</x:v>
      </x:c>
      <x:c r="I188" s="16" t="str">
        <x:v>female</x:v>
      </x:c>
      <x:c r="J188" s="16" t="str">
        <x:v>foot_support</x:v>
      </x:c>
      <x:c r="K188" s="16" t="str">
        <x:v>arch_support</x:v>
      </x:c>
      <x:c r="L188" s="16" t="str"/>
      <x:c r="M188" s="16" t="str"/>
      <x:c r="N188" s="16" t="str">
        <x:v>arch_support | orthopedic</x:v>
      </x:c>
      <x:c r="O188" s="16" t="str"/>
      <x:c r="P188" s="16" t="str"/>
      <x:c r="Q188" s="16" t="str"/>
      <x:c r="R188" s="16" t="str">
        <x:v>女性用户因足部不适需要一双具有矫形级别足弓支撑功能的人字拖。</x:v>
      </x:c>
      <x:c r="S188" s="13" t="str">
        <x:v>consideration</x:v>
      </x:c>
      <x:c r="T188" s="16" t="str">
        <x:v>explicit | page_validated | inferred</x:v>
      </x:c>
      <x:c r="U188" s="13" t="str">
        <x:v>medium</x:v>
      </x:c>
      <x:c r="V188" s="16" t="str">
        <x:v>orthopedic_arch_support_flip_flops</x:v>
      </x:c>
      <x:c r="W188" s="16" t="str">
        <x:v>listing_gap_review</x:v>
      </x:c>
      <x:c r="X188" s="16" t="str">
        <x:v>{"product_type":[{"value":"flip_flop","evidence_type":"explicit","source_span":"flip flops","fact_ids":[],"rationale":""},{"value":"flip_flop","evidence_type":"page_validated","source_span":"","fact_ids":["style_flip_flop"],"rationale":"产品为人字拖。"}],"audience_intent":[{"value":"female","evidence_type":"explicit","source_span":"women","fact_ids":[],"rationale":""},{"value":"female","evidence_type":"page_validated","source_span":"","fact_ids":["title_womens_flip_flop"],"rationale":"产品标题标注女款。"}],"body_need_intent":[{"value":"orthopedic","evidence_type":"explicit","source_span":"orthopedic","fact_ids":[],"rationale":""}],"capability_intent":[{"value":"arch_support","evidence_type":"page_validated","source_span":"","fact_ids":["arch_support"],"rationale":"该槽位与商品基准中的明示页面事实一致。"}],"function_intent":[{"value":"foot_support","evidence_type":"page_validated","source_span":"","fact_ids":["arch_support"],"rationale":"该槽位与商品基准中的明示页面事实一致。"},{"value":"foot_suppor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188" s="16" t="str"/>
      <x:c r="Z188" s="13" t="str">
        <x:v>partial_match</x:v>
      </x:c>
      <x:c r="AA188" s="16" t="str">
        <x:v>arch_support | title_womens_flip_flop | style_flip_flop</x:v>
      </x:c>
      <x:c r="AB188" s="13" t="str">
        <x:v>accepted</x:v>
      </x:c>
      <x:c r="AC188" s="13" t="str">
        <x:v>1.0.0</x:v>
      </x:c>
      <x:c r="AD188" s="13" t="str">
        <x:v>1.0.0</x:v>
      </x:c>
      <x:c r="AE188" s="13" t="str">
        <x:v>deepseek/deepseek-v4-pro</x:v>
      </x:c>
      <x:c r="AF188" s="13" t="str">
        <x:v>aj2-y90-20260714T234810-0bea2f52</x:v>
      </x:c>
      <x:c r="AG188" s="13" t="str">
        <x:v>full-0010</x:v>
      </x:c>
      <x:c r="AH188" s="13" t="str">
        <x:v>full</x:v>
      </x:c>
      <x:c r="AI188" s="13" t="n">
        <x:v>10</x:v>
      </x:c>
    </x:row>
    <x:row r="189" ht="34" customHeight="1">
      <x:c r="A189" s="15" t="str">
        <x:v>flip flops women sale</x:v>
      </x:c>
      <x:c r="B189" s="15" t="str">
        <x:v>flip flops women sale</x:v>
      </x:c>
      <x:c r="C189" s="10" t="str">
        <x:v>284bfa42f11e15e1</x:v>
      </x:c>
      <x:c r="D189" s="10" t="str">
        <x:v>keyword</x:v>
      </x:c>
      <x:c r="E189" s="10" t="str">
        <x:v>en</x:v>
      </x:c>
      <x:c r="F189" s="10" t="str">
        <x:v>clothing_shoes_jewelry</x:v>
      </x:c>
      <x:c r="G189" s="15" t="str"/>
      <x:c r="H189" s="15" t="str">
        <x:v>flip_flop</x:v>
      </x:c>
      <x:c r="I189" s="15" t="str">
        <x:v>female</x:v>
      </x:c>
      <x:c r="J189" s="15" t="str"/>
      <x:c r="K189" s="15" t="str"/>
      <x:c r="L189" s="15" t="str"/>
      <x:c r="M189" s="15" t="str"/>
      <x:c r="N189" s="15" t="str"/>
      <x:c r="O189" s="15" t="str"/>
      <x:c r="P189" s="15" t="str"/>
      <x:c r="Q189" s="15" t="str"/>
      <x:c r="R189" s="15" t="str">
        <x:v>女性用户想寻找正在打折促销的人字拖。</x:v>
      </x:c>
      <x:c r="S189" s="10" t="str">
        <x:v>consideration</x:v>
      </x:c>
      <x:c r="T189" s="15" t="str">
        <x:v>explicit | page_validated | inferred</x:v>
      </x:c>
      <x:c r="U189" s="10" t="str">
        <x:v>medium</x:v>
      </x:c>
      <x:c r="V189" s="15" t="str">
        <x:v>womens_flip_flops_sale</x:v>
      </x:c>
      <x:c r="W189" s="15" t="str">
        <x:v>performance_observation</x:v>
      </x:c>
      <x:c r="X189" s="15" t="str">
        <x:v>{"product_type":[{"value":"flip_flop","evidence_type":"explicit","source_span":"flip flops","fact_ids":[],"rationale":""},{"value":"flip_flop","evidence_type":"page_validated","source_span":"","fact_ids":["style_flip_flop"],"rationale":"产品为人字拖。"}],"audience_intent":[{"value":"female","evidence_type":"explicit","source_span":"women","fact_ids":[],"rationale":""},{"value":"female","evidence_type":"page_validated","source_span":"","fact_ids":["title_womens_flip_flop"],"rationale":"产品为女款。"}],"price":[{"value":"sale","evidence_type":"explicit","source_span":"sale","fact_ids":[],"rationale":"折扣需求无法通过页面事实验证，需性能数据。"}],"primary_domain":[{"value":"clothing_shoes_jewelry","evidence_type":"inferred","source_span":"","fact_ids":[],"rationale":"该值由搜索词整体语义推断，未作为页面明示属性。"}]}</x:v>
      </x:c>
      <x:c r="Y189" s="15" t="str"/>
      <x:c r="Z189" s="10" t="str">
        <x:v>match</x:v>
      </x:c>
      <x:c r="AA189" s="15" t="str">
        <x:v>title_womens_flip_flop | style_flip_flop</x:v>
      </x:c>
      <x:c r="AB189" s="10" t="str">
        <x:v>accepted</x:v>
      </x:c>
      <x:c r="AC189" s="10" t="str">
        <x:v>1.0.0</x:v>
      </x:c>
      <x:c r="AD189" s="10" t="str">
        <x:v>1.0.0</x:v>
      </x:c>
      <x:c r="AE189" s="10" t="str">
        <x:v>deepseek/deepseek-v4-pro</x:v>
      </x:c>
      <x:c r="AF189" s="10" t="str">
        <x:v>aj2-y90-20260714T234810-0bea2f52</x:v>
      </x:c>
      <x:c r="AG189" s="10" t="str">
        <x:v>full-0010</x:v>
      </x:c>
      <x:c r="AH189" s="10" t="str">
        <x:v>full</x:v>
      </x:c>
      <x:c r="AI189" s="10" t="n">
        <x:v>10</x:v>
      </x:c>
    </x:row>
    <x:row r="190" ht="34" customHeight="1">
      <x:c r="A190" s="16" t="str">
        <x:v>pink flip flop</x:v>
      </x:c>
      <x:c r="B190" s="16" t="str">
        <x:v>pink flip flop</x:v>
      </x:c>
      <x:c r="C190" s="13" t="str">
        <x:v>37c977b5a6bb965d</x:v>
      </x:c>
      <x:c r="D190" s="13" t="str">
        <x:v>keyword</x:v>
      </x:c>
      <x:c r="E190" s="13" t="str">
        <x:v>en</x:v>
      </x:c>
      <x:c r="F190" s="13" t="str">
        <x:v>clothing_shoes_jewelry</x:v>
      </x:c>
      <x:c r="G190" s="16" t="str"/>
      <x:c r="H190" s="16" t="str">
        <x:v>flip_flop</x:v>
      </x:c>
      <x:c r="I190" s="16" t="str">
        <x:v>female</x:v>
      </x:c>
      <x:c r="J190" s="16" t="str"/>
      <x:c r="K190" s="16" t="str"/>
      <x:c r="L190" s="16" t="str"/>
      <x:c r="M190" s="16" t="str"/>
      <x:c r="N190" s="16" t="str"/>
      <x:c r="O190" s="16" t="str"/>
      <x:c r="P190" s="16" t="str"/>
      <x:c r="Q190" s="16" t="str"/>
      <x:c r="R190" s="16" t="str">
        <x:v>用户想找一双粉色夹脚拖鞋，可能用于日常穿着。</x:v>
      </x:c>
      <x:c r="S190" s="13" t="str">
        <x:v>exploration</x:v>
      </x:c>
      <x:c r="T190" s="16" t="str">
        <x:v>explicit | page_validated | inferred</x:v>
      </x:c>
      <x:c r="U190" s="13" t="str">
        <x:v>medium</x:v>
      </x:c>
      <x:c r="V190" s="16" t="str">
        <x:v>color_flip_flops</x:v>
      </x:c>
      <x:c r="W190" s="16" t="str">
        <x:v>cluster_route</x:v>
      </x:c>
      <x:c r="X190" s="16" t="str">
        <x:v>{"product_type":[{"value":"flip_flop","evidence_type":"explicit","source_span":"flip flop","fact_ids":[],"rationale":""},{"value":"flip_flop","evidence_type":"page_validated","source_span":"","fact_ids":["style_flip_flop"],"rationale":"产品为人字拖款式。"}],"audience_intent":[{"value":"female","evidence_type":"inferred","source_span":"","fact_ids":[],"rationale":"产品为女款，推断受众为女性。"}],"color":[{"value":"pink","evidence_type":"explicit","source_span":"pink","fact_ids":[],"rationale":"该颜色在商品页面可见颜色选择中得到明确支持。"},{"value":"pink","evidence_type":"page_validated","source_span":"","fact_ids":["colors_visible"],"rationale":"该颜色在商品页面可见颜色选择中得到明确支持。"}],"primary_domain":[{"value":"clothing_shoes_jewelry","evidence_type":"inferred","source_span":"","fact_ids":[],"rationale":"该值由搜索词整体语义推断，未作为页面明示属性。"}]}</x:v>
      </x:c>
      <x:c r="Y190" s="16" t="str"/>
      <x:c r="Z190" s="13" t="str">
        <x:v>match</x:v>
      </x:c>
      <x:c r="AA190" s="16" t="str">
        <x:v>style_flip_flop | colors_visible | title_womens_flip_flop</x:v>
      </x:c>
      <x:c r="AB190" s="13" t="str">
        <x:v>accepted</x:v>
      </x:c>
      <x:c r="AC190" s="13" t="str">
        <x:v>1.0.0</x:v>
      </x:c>
      <x:c r="AD190" s="13" t="str">
        <x:v>1.0.0</x:v>
      </x:c>
      <x:c r="AE190" s="13" t="str">
        <x:v>deepseek/deepseek-v4-pro</x:v>
      </x:c>
      <x:c r="AF190" s="13" t="str">
        <x:v>aj2-y90-20260714T234810-0bea2f52</x:v>
      </x:c>
      <x:c r="AG190" s="13" t="str">
        <x:v>full-0010</x:v>
      </x:c>
      <x:c r="AH190" s="13" t="str">
        <x:v>full</x:v>
      </x:c>
      <x:c r="AI190" s="13" t="n">
        <x:v>10</x:v>
      </x:c>
    </x:row>
    <x:row r="191" ht="34" customHeight="1">
      <x:c r="A191" s="15" t="str">
        <x:v>flip flops for women crooks</x:v>
      </x:c>
      <x:c r="B191" s="15" t="str">
        <x:v>flip flops for women crooks</x:v>
      </x:c>
      <x:c r="C191" s="10" t="str">
        <x:v>4d88a80ac4535ec9</x:v>
      </x:c>
      <x:c r="D191" s="10" t="str">
        <x:v>keyword</x:v>
      </x:c>
      <x:c r="E191" s="10" t="str">
        <x:v>en</x:v>
      </x:c>
      <x:c r="F191" s="10" t="str">
        <x:v>clothing_shoes_jewelry</x:v>
      </x:c>
      <x:c r="G191" s="15" t="str"/>
      <x:c r="H191" s="15" t="str">
        <x:v>flip_flop</x:v>
      </x:c>
      <x:c r="I191" s="15" t="str">
        <x:v>female</x:v>
      </x:c>
      <x:c r="J191" s="15" t="str"/>
      <x:c r="K191" s="15" t="str"/>
      <x:c r="L191" s="15" t="str"/>
      <x:c r="M191" s="15" t="str"/>
      <x:c r="N191" s="15" t="str"/>
      <x:c r="O191" s="15" t="str"/>
      <x:c r="P191" s="15" t="str">
        <x:v>crocs_flip_flop</x:v>
      </x:c>
      <x:c r="Q191" s="15" t="str"/>
      <x:c r="R191" s="15" t="str">
        <x:v>女性用户想购买Crocs品牌的夹脚拖鞋。</x:v>
      </x:c>
      <x:c r="S191" s="10" t="str">
        <x:v>brand_harvest</x:v>
      </x:c>
      <x:c r="T191" s="15" t="str">
        <x:v>explicit | inferred</x:v>
      </x:c>
      <x:c r="U191" s="10" t="str">
        <x:v>high</x:v>
      </x:c>
      <x:c r="V191" s="15" t="str">
        <x:v>crocs_brand_flip_flops</x:v>
      </x:c>
      <x:c r="W191" s="15" t="str">
        <x:v>semantic_negative_candidate</x:v>
      </x:c>
      <x:c r="X191" s="15" t="str">
        <x:v>{"product_type":[{"value":"flip_flop","evidence_type":"explicit","source_span":"flip flops","fact_ids":[],"rationale":""},{"value":"flip_flop","evidence_type":"page_validated","source_span":"","fact_ids":["style_flip_flop"],"rationale":"该槽位与商品基准中的明示页面事实一致。"}],"audience_intent":[{"value":"female","evidence_type":"explicit","source_span":"women","fact_ids":[],"rationale":""}],"brand":[{"value":"crocs","evidence_type":"inferred","source_span":"crooks","fact_ids":[],"rationale":"crooks疑为Crocs品牌拼写错误，非本产品Joomra品牌。"}],"substitute_intent":[{"value":"crocs_flip_flop","evidence_type":"inferred","source_span":"","fact_ids":[],"rationale":"该值由搜索词整体语义推断，未作为页面明示属性。"}],"primary_domain":[{"value":"clothing_shoes_jewelry","evidence_type":"inferred","source_span":"","fact_ids":[],"rationale":"该值由搜索词整体语义推断，未作为页面明示属性。"}]}</x:v>
      </x:c>
      <x:c r="Y191" s="15" t="str">
        <x:v>possible_typo_brand_crocs</x:v>
      </x:c>
      <x:c r="Z191" s="10" t="str">
        <x:v>mismatch</x:v>
      </x:c>
      <x:c r="AA191" s="15" t="str"/>
      <x:c r="AB191" s="10" t="str">
        <x:v>accepted</x:v>
      </x:c>
      <x:c r="AC191" s="10" t="str">
        <x:v>1.0.0</x:v>
      </x:c>
      <x:c r="AD191" s="10" t="str">
        <x:v>1.0.0</x:v>
      </x:c>
      <x:c r="AE191" s="10" t="str">
        <x:v>deepseek/deepseek-v4-pro</x:v>
      </x:c>
      <x:c r="AF191" s="10" t="str">
        <x:v>aj2-y90-20260714T234810-0bea2f52</x:v>
      </x:c>
      <x:c r="AG191" s="10" t="str">
        <x:v>full-0010</x:v>
      </x:c>
      <x:c r="AH191" s="10" t="str">
        <x:v>full</x:v>
      </x:c>
      <x:c r="AI191" s="10" t="n">
        <x:v>10</x:v>
      </x:c>
    </x:row>
    <x:row r="192" ht="34" customHeight="1">
      <x:c r="A192" s="16" t="str">
        <x:v>flip flop fabric</x:v>
      </x:c>
      <x:c r="B192" s="16" t="str">
        <x:v>flip flop fabric</x:v>
      </x:c>
      <x:c r="C192" s="13" t="str">
        <x:v>64bc4b5c61d13425</x:v>
      </x:c>
      <x:c r="D192" s="13" t="str">
        <x:v>keyword</x:v>
      </x:c>
      <x:c r="E192" s="13" t="str">
        <x:v>en</x:v>
      </x:c>
      <x:c r="F192" s="13" t="str">
        <x:v>clothing_shoes_jewelry</x:v>
      </x:c>
      <x:c r="G192" s="16" t="str">
        <x:v>arts_crafts_sewing</x:v>
      </x:c>
      <x:c r="H192" s="16" t="str">
        <x:v>flip_flop</x:v>
      </x:c>
      <x:c r="I192" s="16" t="str"/>
      <x:c r="J192" s="16" t="str"/>
      <x:c r="K192" s="16" t="str"/>
      <x:c r="L192" s="16" t="str"/>
      <x:c r="M192" s="16" t="str"/>
      <x:c r="N192" s="16" t="str"/>
      <x:c r="O192" s="16" t="str"/>
      <x:c r="P192" s="16" t="str"/>
      <x:c r="Q192" s="16" t="str"/>
      <x:c r="R192" s="16" t="str">
        <x:v>用户可能想找织物面料的人字拖，或寻找用于制作人字拖的面料。</x:v>
      </x:c>
      <x:c r="S192" s="13" t="str">
        <x:v>unknown</x:v>
      </x:c>
      <x:c r="T192" s="16" t="str">
        <x:v>explicit | inferred</x:v>
      </x:c>
      <x:c r="U192" s="13" t="str">
        <x:v>low</x:v>
      </x:c>
      <x:c r="V192" s="16" t="str">
        <x:v>unclassified</x:v>
      </x:c>
      <x:c r="W192" s="16" t="str">
        <x:v>ambiguity_review</x:v>
      </x:c>
      <x:c r="X192" s="16" t="str">
        <x:v>{"product_type":[{"value":"flip_flop","evidence_type":"explicit","source_span":"flip flop","fact_ids":[],"rationale":""},{"value":"flip_flop","evidence_type":"page_validated","source_span":"","fact_ids":["style_flip_flop"],"rationale":"该槽位与商品基准中的明示页面事实一致。"}],"material":[{"value":"fabric","evidence_type":"explicit","source_span":"fabric","fact_ids":[],"rationale":"EVA非织物材质，且词义可为面料而非成品鞋。"}],"secondary_domain":[{"value":"arts_crafts_sewing","evidence_type":"inferred","source_span":"","fact_ids":[],"rationale":"该值由搜索词整体语义推断，未作为页面明示属性。"}],"primary_domain":[{"value":"clothing_shoes_jewelry","evidence_type":"inferred","source_span":"","fact_ids":[],"rationale":"该值由搜索词整体语义推断，未作为页面明示属性。"}]}</x:v>
      </x:c>
      <x:c r="Y192" s="16" t="str">
        <x:v>unclear_product_or_material</x:v>
      </x:c>
      <x:c r="Z192" s="13" t="str">
        <x:v>mismatch</x:v>
      </x:c>
      <x:c r="AA192" s="16" t="str"/>
      <x:c r="AB192" s="13" t="str">
        <x:v>accepted</x:v>
      </x:c>
      <x:c r="AC192" s="13" t="str">
        <x:v>1.0.0</x:v>
      </x:c>
      <x:c r="AD192" s="13" t="str">
        <x:v>1.0.0</x:v>
      </x:c>
      <x:c r="AE192" s="13" t="str">
        <x:v>deepseek/deepseek-v4-pro</x:v>
      </x:c>
      <x:c r="AF192" s="13" t="str">
        <x:v>aj2-y90-20260714T234810-0bea2f52</x:v>
      </x:c>
      <x:c r="AG192" s="13" t="str">
        <x:v>full-0010</x:v>
      </x:c>
      <x:c r="AH192" s="13" t="str">
        <x:v>full</x:v>
      </x:c>
      <x:c r="AI192" s="13" t="n">
        <x:v>10</x:v>
      </x:c>
    </x:row>
    <x:row r="193" ht="34" customHeight="1">
      <x:c r="A193" s="15" t="str">
        <x:v>black beach flip flops for women</x:v>
      </x:c>
      <x:c r="B193" s="15" t="str">
        <x:v>black beach flip flops for women</x:v>
      </x:c>
      <x:c r="C193" s="10" t="str">
        <x:v>7f1b1e275b930396</x:v>
      </x:c>
      <x:c r="D193" s="10" t="str">
        <x:v>keyword</x:v>
      </x:c>
      <x:c r="E193" s="10" t="str">
        <x:v>en</x:v>
      </x:c>
      <x:c r="F193" s="10" t="str">
        <x:v>clothing_shoes_jewelry</x:v>
      </x:c>
      <x:c r="G193" s="15" t="str"/>
      <x:c r="H193" s="15" t="str">
        <x:v>flip_flop</x:v>
      </x:c>
      <x:c r="I193" s="15" t="str">
        <x:v>female</x:v>
      </x:c>
      <x:c r="J193" s="15" t="str"/>
      <x:c r="K193" s="15" t="str"/>
      <x:c r="L193" s="15" t="str">
        <x:v>beach</x:v>
      </x:c>
      <x:c r="M193" s="15" t="str">
        <x:v>beach</x:v>
      </x:c>
      <x:c r="N193" s="15" t="str"/>
      <x:c r="O193" s="15" t="str"/>
      <x:c r="P193" s="15" t="str"/>
      <x:c r="Q193" s="15" t="str"/>
      <x:c r="R193" s="15" t="str">
        <x:v>女性用户想找一双适合海滩穿着的黑色人字拖。</x:v>
      </x:c>
      <x:c r="S193" s="10" t="str">
        <x:v>consideration</x:v>
      </x:c>
      <x:c r="T193" s="15" t="str">
        <x:v>explicit | page_validated</x:v>
      </x:c>
      <x:c r="U193" s="10" t="str">
        <x:v>high</x:v>
      </x:c>
      <x:c r="V193" s="15" t="str">
        <x:v>beach_flip_flops_women</x:v>
      </x:c>
      <x:c r="W193" s="15" t="str">
        <x:v>cluster_route</x:v>
      </x:c>
      <x:c r="X193" s="15" t="str">
        <x:v>{"product_type":[{"value":"flip_flop","evidence_type":"explicit","source_span":"flip flops","fact_ids":[],"rationale":""},{"value":"flip_flop","evidence_type":"page_validated","source_span":"","fact_ids":["style_flip_flop"],"rationale":"产品为人字拖款式。"}],"audience_intent":[{"value":"female","evidence_type":"explicit","source_span":"women","fact_ids":[],"rationale":""},{"value":"female","evidence_type":"page_validated","source_span":"","fact_ids":["title_womens_flip_flop"],"rationale":"产品标题标明女款。"}],"event_intent":[{"value":"beach","evidence_type":"explicit","source_span":"beach","fact_ids":[],"rationale":""}],"location_intent":[{"value":"beach","evidence_type":"explicit","source_span":"beach","fact_ids":["style_outdoor"],"rationale":"产品定位户外生活，海滩场景适用。"}],"color":[{"value":"black","evidence_type":"explicit","source_span":"black","fact_ids":[],"rationale":"该颜色在商品页面可见颜色选择中得到明确支持。"},{"value":"black","evidence_type":"page_validated","source_span":"","fact_ids":["colors_visible"],"rationale":"该颜色在商品页面可见颜色选择中得到明确支持。"}],"primary_domain":[{"value":"clothing_shoes_jewelry","evidence_type":"inferred","source_span":"","fact_ids":[],"rationale":"该值由搜索词整体语义推断，未作为页面明示属性。"}]}</x:v>
      </x:c>
      <x:c r="Y193" s="15" t="str"/>
      <x:c r="Z193" s="10" t="str">
        <x:v>match</x:v>
      </x:c>
      <x:c r="AA193" s="15" t="str">
        <x:v>title_womens_flip_flop | style_flip_flop | colors_visible | style_outdoor</x:v>
      </x:c>
      <x:c r="AB193" s="10" t="str">
        <x:v>accepted</x:v>
      </x:c>
      <x:c r="AC193" s="10" t="str">
        <x:v>1.0.0</x:v>
      </x:c>
      <x:c r="AD193" s="10" t="str">
        <x:v>1.0.0</x:v>
      </x:c>
      <x:c r="AE193" s="10" t="str">
        <x:v>deepseek/deepseek-v4-pro</x:v>
      </x:c>
      <x:c r="AF193" s="10" t="str">
        <x:v>aj2-y90-20260714T234810-0bea2f52</x:v>
      </x:c>
      <x:c r="AG193" s="10" t="str">
        <x:v>full-0010</x:v>
      </x:c>
      <x:c r="AH193" s="10" t="str">
        <x:v>full</x:v>
      </x:c>
      <x:c r="AI193" s="10" t="n">
        <x:v>10</x:v>
      </x:c>
    </x:row>
    <x:row r="194" ht="34" customHeight="1">
      <x:c r="A194" s="16" t="str">
        <x:v>archies flip flops arch support womens white</x:v>
      </x:c>
      <x:c r="B194" s="16" t="str">
        <x:v>archies flip flops arch support womens white</x:v>
      </x:c>
      <x:c r="C194" s="13" t="str">
        <x:v>91742829b5eb0ed5</x:v>
      </x:c>
      <x:c r="D194" s="13" t="str">
        <x:v>keyword</x:v>
      </x:c>
      <x:c r="E194" s="13" t="str">
        <x:v>en</x:v>
      </x:c>
      <x:c r="F194" s="13" t="str">
        <x:v>clothing_shoes_jewelry</x:v>
      </x:c>
      <x:c r="G194" s="16" t="str"/>
      <x:c r="H194" s="16" t="str">
        <x:v>flip_flop</x:v>
      </x:c>
      <x:c r="I194" s="16" t="str">
        <x:v>female</x:v>
      </x:c>
      <x:c r="J194" s="16" t="str">
        <x:v>foot_support</x:v>
      </x:c>
      <x:c r="K194" s="16" t="str">
        <x:v>arch_support</x:v>
      </x:c>
      <x:c r="L194" s="16" t="str"/>
      <x:c r="M194" s="16" t="str"/>
      <x:c r="N194" s="16" t="str">
        <x:v>arch_support</x:v>
      </x:c>
      <x:c r="O194" s="16" t="str"/>
      <x:c r="P194" s="16" t="str">
        <x:v>archies_flip_flop</x:v>
      </x:c>
      <x:c r="Q194" s="16" t="str"/>
      <x:c r="R194" s="16" t="str">
        <x:v>女性用户想购买Archies品牌的白色足弓支撑人字拖。</x:v>
      </x:c>
      <x:c r="S194" s="13" t="str">
        <x:v>brand_harvest</x:v>
      </x:c>
      <x:c r="T194" s="16" t="str">
        <x:v>explicit | page_validated | inferred</x:v>
      </x:c>
      <x:c r="U194" s="13" t="str">
        <x:v>high</x:v>
      </x:c>
      <x:c r="V194" s="16" t="str">
        <x:v>archies_brand_arch_support</x:v>
      </x:c>
      <x:c r="W194" s="16" t="str">
        <x:v>semantic_negative_candidate</x:v>
      </x:c>
      <x:c r="X194" s="16" t="str">
        <x:v>{"product_type":[{"value":"flip_flop","evidence_type":"explicit","source_span":"flip flops","fact_ids":[],"rationale":""},{"value":"flip_flop","evidence_type":"page_validated","source_span":"","fact_ids":["style_flip_flop"],"rationale":"该槽位与商品基准中的明示页面事实一致。"}],"audience_intent":[{"value":"female","evidence_type":"explicit","source_span":"womens","fact_ids":[],"rationale":""}],"color":[{"value":"white","evidence_type":"explicit","source_span":"white","fact_ids":[],"rationale":"该颜色在商品页面可见颜色选择中得到明确支持。"}],"brand":[{"value":"archies","evidence_type":"explicit","source_span":"archies","fact_ids":[],"rationale":"Archies是独立品牌，非Joomra。"}],"capability_intent":[{"value":"arch_support","evidence_type":"page_validated","source_span":"","fact_ids":["arch_support"],"rationale":"该槽位与商品基准中的明示页面事实一致。"}],"substitute_intent":[{"value":"archies_flip_flop","evidence_type":"inferred","source_span":"","fact_ids":[],"rationale":"该值由搜索词整体语义推断，未作为页面明示属性。"}],"function_intent":[{"value":"foot_support","evidence_type":"page_validated","source_span":"","fact_ids":["arch_support"],"rationale":"该槽位与商品基准中的明示页面事实一致。"},{"value":"foot_suppor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194" s="16" t="str"/>
      <x:c r="Z194" s="13" t="str">
        <x:v>mismatch</x:v>
      </x:c>
      <x:c r="AA194" s="16" t="str"/>
      <x:c r="AB194" s="13" t="str">
        <x:v>accepted</x:v>
      </x:c>
      <x:c r="AC194" s="13" t="str">
        <x:v>1.0.0</x:v>
      </x:c>
      <x:c r="AD194" s="13" t="str">
        <x:v>1.0.0</x:v>
      </x:c>
      <x:c r="AE194" s="13" t="str">
        <x:v>deepseek/deepseek-v4-pro</x:v>
      </x:c>
      <x:c r="AF194" s="13" t="str">
        <x:v>aj2-y90-20260714T234810-0bea2f52</x:v>
      </x:c>
      <x:c r="AG194" s="13" t="str">
        <x:v>full-0010</x:v>
      </x:c>
      <x:c r="AH194" s="13" t="str">
        <x:v>full</x:v>
      </x:c>
      <x:c r="AI194" s="13" t="n">
        <x:v>10</x:v>
      </x:c>
    </x:row>
    <x:row r="195" ht="34" customHeight="1">
      <x:c r="A195" s="15" t="str">
        <x:v>non rubber flip flops womens</x:v>
      </x:c>
      <x:c r="B195" s="15" t="str">
        <x:v>non rubber flip flops womens</x:v>
      </x:c>
      <x:c r="C195" s="10" t="str">
        <x:v>adc33d73616c7d20</x:v>
      </x:c>
      <x:c r="D195" s="10" t="str">
        <x:v>keyword</x:v>
      </x:c>
      <x:c r="E195" s="10" t="str">
        <x:v>en</x:v>
      </x:c>
      <x:c r="F195" s="10" t="str">
        <x:v>clothing_shoes_jewelry</x:v>
      </x:c>
      <x:c r="G195" s="15" t="str"/>
      <x:c r="H195" s="15" t="str">
        <x:v>flip_flop</x:v>
      </x:c>
      <x:c r="I195" s="15" t="str">
        <x:v>female</x:v>
      </x:c>
      <x:c r="J195" s="15" t="str"/>
      <x:c r="K195" s="15" t="str"/>
      <x:c r="L195" s="15" t="str"/>
      <x:c r="M195" s="15" t="str"/>
      <x:c r="N195" s="15" t="str"/>
      <x:c r="O195" s="15" t="str"/>
      <x:c r="P195" s="15" t="str"/>
      <x:c r="Q195" s="15" t="str"/>
      <x:c r="R195" s="15" t="str">
        <x:v>女性用户想找一双非橡胶材质的人字拖，EVA材质符合此需求。</x:v>
      </x:c>
      <x:c r="S195" s="10" t="str">
        <x:v>consideration</x:v>
      </x:c>
      <x:c r="T195" s="15" t="str">
        <x:v>explicit | page_validated</x:v>
      </x:c>
      <x:c r="U195" s="10" t="str">
        <x:v>high</x:v>
      </x:c>
      <x:c r="V195" s="15" t="str">
        <x:v>non_rubber_flip_flops_womens</x:v>
      </x:c>
      <x:c r="W195" s="15" t="str">
        <x:v>cluster_route</x:v>
      </x:c>
      <x:c r="X195" s="15" t="str">
        <x:v>{"product_type":[{"value":"flip_flop","evidence_type":"explicit","source_span":"flip flops","fact_ids":[],"rationale":""},{"value":"flip_flop","evidence_type":"page_validated","source_span":"","fact_ids":["style_flip_flop"],"rationale":"产品为人字拖。"}],"audience_intent":[{"value":"female","evidence_type":"explicit","source_span":"womens","fact_ids":[],"rationale":""},{"value":"female","evidence_type":"page_validated","source_span":"","fact_ids":["title_womens_flip_flop"],"rationale":"产品为女款。"}],"material":[{"value":"eva","evidence_type":"page_validated","source_span":"","fact_ids":["material_eva"],"rationale":"EVA是合成泡沫非橡胶，满足非橡胶要求。"}],"negation":[{"value":"non_rubber","evidence_type":"explicit","source_span":"non rubber","fact_ids":[],"rationale":""}],"primary_domain":[{"value":"clothing_shoes_jewelry","evidence_type":"inferred","source_span":"","fact_ids":[],"rationale":"该值由搜索词整体语义推断，未作为页面明示属性。"}]}</x:v>
      </x:c>
      <x:c r="Y195" s="15" t="str"/>
      <x:c r="Z195" s="10" t="str">
        <x:v>match</x:v>
      </x:c>
      <x:c r="AA195" s="15" t="str">
        <x:v>style_flip_flop | title_womens_flip_flop | material_eva</x:v>
      </x:c>
      <x:c r="AB195" s="10" t="str">
        <x:v>accepted</x:v>
      </x:c>
      <x:c r="AC195" s="10" t="str">
        <x:v>1.0.0</x:v>
      </x:c>
      <x:c r="AD195" s="10" t="str">
        <x:v>1.0.0</x:v>
      </x:c>
      <x:c r="AE195" s="10" t="str">
        <x:v>deepseek/deepseek-v4-pro</x:v>
      </x:c>
      <x:c r="AF195" s="10" t="str">
        <x:v>aj2-y90-20260714T234810-0bea2f52</x:v>
      </x:c>
      <x:c r="AG195" s="10" t="str">
        <x:v>full-0010</x:v>
      </x:c>
      <x:c r="AH195" s="10" t="str">
        <x:v>full</x:v>
      </x:c>
      <x:c r="AI195" s="10" t="n">
        <x:v>10</x:v>
      </x:c>
    </x:row>
    <x:row r="196" ht="34" customHeight="1">
      <x:c r="A196" s="16" t="str">
        <x:v>blue sandals</x:v>
      </x:c>
      <x:c r="B196" s="16" t="str">
        <x:v>blue sandals</x:v>
      </x:c>
      <x:c r="C196" s="13" t="str">
        <x:v>b0c8a1f0debf63a8</x:v>
      </x:c>
      <x:c r="D196" s="13" t="str">
        <x:v>keyword</x:v>
      </x:c>
      <x:c r="E196" s="13" t="str">
        <x:v>en</x:v>
      </x:c>
      <x:c r="F196" s="13" t="str">
        <x:v>clothing_shoes_jewelry</x:v>
      </x:c>
      <x:c r="G196" s="16" t="str"/>
      <x:c r="H196" s="16" t="str">
        <x:v>sandal</x:v>
      </x:c>
      <x:c r="I196" s="16" t="str">
        <x:v>female</x:v>
      </x:c>
      <x:c r="J196" s="16" t="str"/>
      <x:c r="K196" s="16" t="str"/>
      <x:c r="L196" s="16" t="str"/>
      <x:c r="M196" s="16" t="str"/>
      <x:c r="N196" s="16" t="str"/>
      <x:c r="O196" s="16" t="str"/>
      <x:c r="P196" s="16" t="str"/>
      <x:c r="Q196" s="16" t="str"/>
      <x:c r="R196" s="16" t="str">
        <x:v>用户想找一双蓝色凉鞋，可能用于夏季日常穿着。</x:v>
      </x:c>
      <x:c r="S196" s="13" t="str">
        <x:v>exploration</x:v>
      </x:c>
      <x:c r="T196" s="16" t="str">
        <x:v>explicit | page_validated | inferred</x:v>
      </x:c>
      <x:c r="U196" s="13" t="str">
        <x:v>medium</x:v>
      </x:c>
      <x:c r="V196" s="16" t="str">
        <x:v>color_sandals</x:v>
      </x:c>
      <x:c r="W196" s="16" t="str">
        <x:v>cluster_route</x:v>
      </x:c>
      <x:c r="X196" s="16" t="str">
        <x:v>{"product_type":[{"value":"sandal","evidence_type":"explicit","source_span":"sandals","fact_ids":[],"rationale":"搜索词明确请求凉鞋品类。"},{"value":"flip_flop","evidence_type":"page_validated","source_span":"","fact_ids":["style_flip_flop"],"rationale":"人字拖是凉鞋子类，产品基线匹配。"}],"audience_intent":[{"value":"female","evidence_type":"inferred","source_span":"","fact_ids":[],"rationale":"产品为女款人字拖，推测目标受众为女性。"}],"color":[{"value":"blue","evidence_type":"explicit","source_span":"blue","fact_ids":[],"rationale":""},{"value":"light_blue","evidence_type":"page_validated","source_span":"","fact_ids":["colors_visible"],"rationale":"该颜色在商品页面可见颜色选择中得到明确支持。"}],"primary_domain":[{"value":"clothing_shoes_jewelry","evidence_type":"inferred","source_span":"","fact_ids":[],"rationale":"该值由搜索词整体语义推断，未作为页面明示属性。"}]}</x:v>
      </x:c>
      <x:c r="Y196" s="16" t="str"/>
      <x:c r="Z196" s="13" t="str">
        <x:v>match</x:v>
      </x:c>
      <x:c r="AA196" s="16" t="str">
        <x:v>style_flip_flop | colors_visible | title_womens_flip_flop</x:v>
      </x:c>
      <x:c r="AB196" s="13" t="str">
        <x:v>accepted</x:v>
      </x:c>
      <x:c r="AC196" s="13" t="str">
        <x:v>1.0.0</x:v>
      </x:c>
      <x:c r="AD196" s="13" t="str">
        <x:v>1.0.0</x:v>
      </x:c>
      <x:c r="AE196" s="13" t="str">
        <x:v>deepseek/deepseek-v4-pro</x:v>
      </x:c>
      <x:c r="AF196" s="13" t="str">
        <x:v>aj2-y90-20260714T234810-0bea2f52</x:v>
      </x:c>
      <x:c r="AG196" s="13" t="str">
        <x:v>full-0010</x:v>
      </x:c>
      <x:c r="AH196" s="13" t="str">
        <x:v>full</x:v>
      </x:c>
      <x:c r="AI196" s="13" t="n">
        <x:v>10</x:v>
      </x:c>
    </x:row>
    <x:row r="197" ht="34" customHeight="1">
      <x:c r="A197" s="15" t="str">
        <x:v>flip flops for women made of yoga mats</x:v>
      </x:c>
      <x:c r="B197" s="15" t="str">
        <x:v>flip flops for women made of yoga mats</x:v>
      </x:c>
      <x:c r="C197" s="10" t="str">
        <x:v>c47d4cf55b02e29f</x:v>
      </x:c>
      <x:c r="D197" s="10" t="str">
        <x:v>keyword</x:v>
      </x:c>
      <x:c r="E197" s="10" t="str">
        <x:v>en</x:v>
      </x:c>
      <x:c r="F197" s="10" t="str">
        <x:v>clothing_shoes_jewelry</x:v>
      </x:c>
      <x:c r="G197" s="15" t="str">
        <x:v>sports_outdoors</x:v>
      </x:c>
      <x:c r="H197" s="15" t="str">
        <x:v>flip_flop</x:v>
      </x:c>
      <x:c r="I197" s="15" t="str">
        <x:v>female</x:v>
      </x:c>
      <x:c r="J197" s="15" t="str">
        <x:v>comfort</x:v>
      </x:c>
      <x:c r="K197" s="15" t="str">
        <x:v>soft_cushioning</x:v>
      </x:c>
      <x:c r="L197" s="15" t="str"/>
      <x:c r="M197" s="15" t="str"/>
      <x:c r="N197" s="15" t="str"/>
      <x:c r="O197" s="15" t="str"/>
      <x:c r="P197" s="15" t="str">
        <x:v>yoga_mat_flip_flop</x:v>
      </x:c>
      <x:c r="Q197" s="15" t="str"/>
      <x:c r="R197" s="15" t="str">
        <x:v>女性用户想找一双采用瑜伽垫材质的人字拖，注重柔软舒适的脚感。</x:v>
      </x:c>
      <x:c r="S197" s="10" t="str">
        <x:v>consideration</x:v>
      </x:c>
      <x:c r="T197" s="15" t="str">
        <x:v>explicit | page_validated | inferred</x:v>
      </x:c>
      <x:c r="U197" s="10" t="str">
        <x:v>medium</x:v>
      </x:c>
      <x:c r="V197" s="15" t="str">
        <x:v>yoga_mat_material_flip_flops</x:v>
      </x:c>
      <x:c r="W197" s="15" t="str">
        <x:v>listing_gap_review</x:v>
      </x:c>
      <x:c r="X197" s="15" t="str">
        <x:v>{"product_type":[{"value":"flip_flop","evidence_type":"explicit","source_span":"flip flops","fact_ids":[],"rationale":""},{"value":"flip_flop","evidence_type":"page_validated","source_span":"","fact_ids":["style_flip_flop"],"rationale":"产品为人字拖。"}],"audience_intent":[{"value":"female","evidence_type":"explicit","source_span":"women","fact_ids":[],"rationale":""},{"value":"female","evidence_type":"page_validated","source_span":"","fact_ids":["title_womens_flip_flop"],"rationale":"产品为女款。"}],"material":[{"value":"yoga_mat","evidence_type":"explicit","source_span":"yoga mats","fact_ids":[],"rationale":""},{"value":"eva","evidence_type":"page_validated","source_span":"","fact_ids":["material_eva"],"rationale":"EVA与瑜伽垫材质相近但产品未声称瑜伽垫材质。"}],"capability_intent":[{"value":"soft_cushioning","evidence_type":"inferred","source_span":"","fact_ids":[],"rationale":"该值由搜索词整体语义推断，未作为页面明示属性。"}],"substitute_intent":[{"value":"yoga_mat_flip_flop","evidence_type":"inferred","source_span":"","fact_ids":[],"rationale":"该值由搜索词整体语义推断，未作为页面明示属性。"}],"secondary_domain":[{"value":"sports_outdoors","evidence_type":"inferred","source_span":"","fact_ids":[],"rationale":"该值由搜索词整体语义推断，未作为页面明示属性。"}],"function_intent":[{"value":"comfort","evidence_type":"page_validated","source_span":"","fact_ids":["arch_support","padded_cushioning"],"rationale":"该槽位与商品基准中的明示页面事实一致。"},{"value":"comfor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197" s="15" t="str"/>
      <x:c r="Z197" s="10" t="str">
        <x:v>partial_match</x:v>
      </x:c>
      <x:c r="AA197" s="15" t="str">
        <x:v>style_flip_flop | title_womens_flip_flop | material_eva | padded_cushioning</x:v>
      </x:c>
      <x:c r="AB197" s="10" t="str">
        <x:v>accepted</x:v>
      </x:c>
      <x:c r="AC197" s="10" t="str">
        <x:v>1.0.0</x:v>
      </x:c>
      <x:c r="AD197" s="10" t="str">
        <x:v>1.0.0</x:v>
      </x:c>
      <x:c r="AE197" s="10" t="str">
        <x:v>deepseek/deepseek-v4-pro</x:v>
      </x:c>
      <x:c r="AF197" s="10" t="str">
        <x:v>aj2-y90-20260714T234810-0bea2f52</x:v>
      </x:c>
      <x:c r="AG197" s="10" t="str">
        <x:v>full-0010</x:v>
      </x:c>
      <x:c r="AH197" s="10" t="str">
        <x:v>full</x:v>
      </x:c>
      <x:c r="AI197" s="10" t="n">
        <x:v>10</x:v>
      </x:c>
    </x:row>
    <x:row r="198" ht="34" customHeight="1">
      <x:c r="A198" s="16" t="str">
        <x:v>size 6 womens flip flop</x:v>
      </x:c>
      <x:c r="B198" s="16" t="str">
        <x:v>size 6 womens flip flop</x:v>
      </x:c>
      <x:c r="C198" s="13" t="str">
        <x:v>cb03853792663153</x:v>
      </x:c>
      <x:c r="D198" s="13" t="str">
        <x:v>keyword</x:v>
      </x:c>
      <x:c r="E198" s="13" t="str">
        <x:v>en</x:v>
      </x:c>
      <x:c r="F198" s="13" t="str">
        <x:v>clothing_shoes_jewelry</x:v>
      </x:c>
      <x:c r="G198" s="16" t="str"/>
      <x:c r="H198" s="16" t="str">
        <x:v>flip_flop</x:v>
      </x:c>
      <x:c r="I198" s="16" t="str">
        <x:v>female</x:v>
      </x:c>
      <x:c r="J198" s="16" t="str"/>
      <x:c r="K198" s="16" t="str"/>
      <x:c r="L198" s="16" t="str"/>
      <x:c r="M198" s="16" t="str"/>
      <x:c r="N198" s="16" t="str"/>
      <x:c r="O198" s="16" t="str"/>
      <x:c r="P198" s="16" t="str"/>
      <x:c r="Q198" s="16" t="str"/>
      <x:c r="R198" s="16" t="str">
        <x:v>女性用户需要一双6码人字拖。</x:v>
      </x:c>
      <x:c r="S198" s="13" t="str">
        <x:v>high_intent</x:v>
      </x:c>
      <x:c r="T198" s="16" t="str">
        <x:v>explicit | page_validated</x:v>
      </x:c>
      <x:c r="U198" s="13" t="str">
        <x:v>high</x:v>
      </x:c>
      <x:c r="V198" s="16" t="str">
        <x:v>size_6_womens_flip_flops</x:v>
      </x:c>
      <x:c r="W198" s="16" t="str">
        <x:v>cluster_route</x:v>
      </x:c>
      <x:c r="X198" s="16" t="str">
        <x:v>{"product_type":[{"value":"flip_flop","evidence_type":"explicit","source_span":"flip flop","fact_ids":[],"rationale":""},{"value":"flip_flop","evidence_type":"page_validated","source_span":"","fact_ids":["style_flip_flop"],"rationale":"产品为人字拖。"}],"audience_intent":[{"value":"female","evidence_type":"explicit","source_span":"womens","fact_ids":[],"rationale":""},{"value":"female","evidence_type":"page_validated","source_span":"","fact_ids":["title_womens_flip_flop"],"rationale":"产品为女款。"}],"size":[{"value":"6","evidence_type":"explicit","source_span":"size 6","fact_ids":[],"rationale":""},{"value":"6","evidence_type":"page_validated","source_span":"","fact_ids":["sizes_6_11"],"rationale":"尺码范围6-11含6码。"}],"primary_domain":[{"value":"clothing_shoes_jewelry","evidence_type":"inferred","source_span":"","fact_ids":[],"rationale":"该值由搜索词整体语义推断，未作为页面明示属性。"}]}</x:v>
      </x:c>
      <x:c r="Y198" s="16" t="str"/>
      <x:c r="Z198" s="13" t="str">
        <x:v>match</x:v>
      </x:c>
      <x:c r="AA198" s="16" t="str">
        <x:v>style_flip_flop | sizes_6_11 | title_womens_flip_flop</x:v>
      </x:c>
      <x:c r="AB198" s="13" t="str">
        <x:v>accepted</x:v>
      </x:c>
      <x:c r="AC198" s="13" t="str">
        <x:v>1.0.0</x:v>
      </x:c>
      <x:c r="AD198" s="13" t="str">
        <x:v>1.0.0</x:v>
      </x:c>
      <x:c r="AE198" s="13" t="str">
        <x:v>deepseek/deepseek-v4-pro</x:v>
      </x:c>
      <x:c r="AF198" s="13" t="str">
        <x:v>aj2-y90-20260714T234810-0bea2f52</x:v>
      </x:c>
      <x:c r="AG198" s="13" t="str">
        <x:v>full-0010</x:v>
      </x:c>
      <x:c r="AH198" s="13" t="str">
        <x:v>full</x:v>
      </x:c>
      <x:c r="AI198" s="13" t="n">
        <x:v>10</x:v>
      </x:c>
    </x:row>
    <x:row r="199" ht="34" customHeight="1">
      <x:c r="A199" s="15" t="str">
        <x:v>leather flip flops for women</x:v>
      </x:c>
      <x:c r="B199" s="15" t="str">
        <x:v>leather flip flops for women</x:v>
      </x:c>
      <x:c r="C199" s="10" t="str">
        <x:v>d6fd4a2a87b16db0</x:v>
      </x:c>
      <x:c r="D199" s="10" t="str">
        <x:v>keyword</x:v>
      </x:c>
      <x:c r="E199" s="10" t="str">
        <x:v>en</x:v>
      </x:c>
      <x:c r="F199" s="10" t="str">
        <x:v>clothing_shoes_jewelry</x:v>
      </x:c>
      <x:c r="G199" s="15" t="str"/>
      <x:c r="H199" s="15" t="str">
        <x:v>flip_flop</x:v>
      </x:c>
      <x:c r="I199" s="15" t="str">
        <x:v>female</x:v>
      </x:c>
      <x:c r="J199" s="15" t="str"/>
      <x:c r="K199" s="15" t="str"/>
      <x:c r="L199" s="15" t="str"/>
      <x:c r="M199" s="15" t="str"/>
      <x:c r="N199" s="15" t="str"/>
      <x:c r="O199" s="15" t="str"/>
      <x:c r="P199" s="15" t="str"/>
      <x:c r="Q199" s="15" t="str"/>
      <x:c r="R199" s="15" t="str">
        <x:v>女性用户想找一双真皮材质的人字拖。</x:v>
      </x:c>
      <x:c r="S199" s="10" t="str">
        <x:v>consideration</x:v>
      </x:c>
      <x:c r="T199" s="15" t="str">
        <x:v>explicit | inferred</x:v>
      </x:c>
      <x:c r="U199" s="10" t="str">
        <x:v>high</x:v>
      </x:c>
      <x:c r="V199" s="15" t="str">
        <x:v>leather_flip_flops_women</x:v>
      </x:c>
      <x:c r="W199" s="15" t="str">
        <x:v>semantic_negative_candidate</x:v>
      </x:c>
      <x:c r="X199" s="15" t="str">
        <x:v>{"product_type":[{"value":"flip_flop","evidence_type":"explicit","source_span":"flip flops","fact_ids":[],"rationale":""},{"value":"flip_flop","evidence_type":"page_validated","source_span":"","fact_ids":["style_flip_flop"],"rationale":"该槽位与商品基准中的明示页面事实一致。"}],"audience_intent":[{"value":"female","evidence_type":"explicit","source_span":"women","fact_ids":[],"rationale":""}],"material":[{"value":"leather","evidence_type":"explicit","source_span":"leather","fact_ids":[],"rationale":""},{"value":"eva","evidence_type":"inferred","source_span":"leather","fact_ids":[],"rationale":"产品为EVA材质，与皮革材质明确不匹配。"}],"primary_domain":[{"value":"clothing_shoes_jewelry","evidence_type":"inferred","source_span":"","fact_ids":[],"rationale":"该值由搜索词整体语义推断，未作为页面明示属性。"}]}</x:v>
      </x:c>
      <x:c r="Y199" s="15" t="str"/>
      <x:c r="Z199" s="10" t="str">
        <x:v>mismatch</x:v>
      </x:c>
      <x:c r="AA199" s="15" t="str"/>
      <x:c r="AB199" s="10" t="str">
        <x:v>accepted</x:v>
      </x:c>
      <x:c r="AC199" s="10" t="str">
        <x:v>1.0.0</x:v>
      </x:c>
      <x:c r="AD199" s="10" t="str">
        <x:v>1.0.0</x:v>
      </x:c>
      <x:c r="AE199" s="10" t="str">
        <x:v>deepseek/deepseek-v4-pro</x:v>
      </x:c>
      <x:c r="AF199" s="10" t="str">
        <x:v>aj2-y90-20260714T234810-0bea2f52</x:v>
      </x:c>
      <x:c r="AG199" s="10" t="str">
        <x:v>full-0010</x:v>
      </x:c>
      <x:c r="AH199" s="10" t="str">
        <x:v>full</x:v>
      </x:c>
      <x:c r="AI199" s="10" t="n">
        <x:v>10</x:v>
      </x:c>
    </x:row>
    <x:row r="200" ht="34" customHeight="1">
      <x:c r="A200" s="16" t="str">
        <x:v>flip flops for women</x:v>
      </x:c>
      <x:c r="B200" s="16" t="str">
        <x:v>flip flops for women</x:v>
      </x:c>
      <x:c r="C200" s="13" t="str">
        <x:v>da98c4730bf7f151</x:v>
      </x:c>
      <x:c r="D200" s="13" t="str">
        <x:v>keyword</x:v>
      </x:c>
      <x:c r="E200" s="13" t="str">
        <x:v>en</x:v>
      </x:c>
      <x:c r="F200" s="13" t="str">
        <x:v>clothing_shoes_jewelry</x:v>
      </x:c>
      <x:c r="G200" s="16" t="str"/>
      <x:c r="H200" s="16" t="str">
        <x:v>flip_flop</x:v>
      </x:c>
      <x:c r="I200" s="16" t="str">
        <x:v>female</x:v>
      </x:c>
      <x:c r="J200" s="16" t="str"/>
      <x:c r="K200" s="16" t="str"/>
      <x:c r="L200" s="16" t="str"/>
      <x:c r="M200" s="16" t="str"/>
      <x:c r="N200" s="16" t="str"/>
      <x:c r="O200" s="16" t="str"/>
      <x:c r="P200" s="16" t="str"/>
      <x:c r="Q200" s="16" t="str"/>
      <x:c r="R200" s="16" t="str">
        <x:v>用户想为女性选购人字拖，具体用途与场景未明确。</x:v>
      </x:c>
      <x:c r="S200" s="13" t="str">
        <x:v>exploration</x:v>
      </x:c>
      <x:c r="T200" s="16" t="str">
        <x:v>explicit | page_validated</x:v>
      </x:c>
      <x:c r="U200" s="13" t="str">
        <x:v>high</x:v>
      </x:c>
      <x:c r="V200" s="16" t="str">
        <x:v>womens_flip_flops_broad</x:v>
      </x:c>
      <x:c r="W200" s="16" t="str">
        <x:v>cluster_route</x:v>
      </x:c>
      <x:c r="X200" s="16" t="str">
        <x:v>{"product_type":[{"value":"flip_flop","evidence_type":"explicit","source_span":"flip flops","fact_ids":[],"rationale":""},{"value":"flip_flop","evidence_type":"page_validated","source_span":"","fact_ids":["style_flip_flop"],"rationale":"产品为夹脚拖鞋款式。"}],"audience_intent":[{"value":"female","evidence_type":"explicit","source_span":"women","fact_ids":[],"rationale":""},{"value":"female","evidence_type":"page_validated","source_span":"","fact_ids":["title_womens_flip_flop"],"rationale":"产品明确为女款人字拖。"}],"primary_domain":[{"value":"clothing_shoes_jewelry","evidence_type":"inferred","source_span":"","fact_ids":[],"rationale":"该值由搜索词整体语义推断，未作为页面明示属性。"}]}</x:v>
      </x:c>
      <x:c r="Y200" s="16" t="str"/>
      <x:c r="Z200" s="13" t="str">
        <x:v>match</x:v>
      </x:c>
      <x:c r="AA200" s="16" t="str">
        <x:v>title_womens_flip_flop | style_flip_flop</x:v>
      </x:c>
      <x:c r="AB200" s="13" t="str">
        <x:v>accepted</x:v>
      </x:c>
      <x:c r="AC200" s="13" t="str">
        <x:v>1.0.0</x:v>
      </x:c>
      <x:c r="AD200" s="13" t="str">
        <x:v>1.0.0</x:v>
      </x:c>
      <x:c r="AE200" s="13" t="str">
        <x:v>deepseek/deepseek-v4-pro</x:v>
      </x:c>
      <x:c r="AF200" s="13" t="str">
        <x:v>aj2-y90-20260714T234810-0bea2f52</x:v>
      </x:c>
      <x:c r="AG200" s="13" t="str">
        <x:v>full-0010</x:v>
      </x:c>
      <x:c r="AH200" s="13" t="str">
        <x:v>full</x:v>
      </x:c>
      <x:c r="AI200" s="13" t="n">
        <x:v>10</x:v>
      </x:c>
    </x:row>
    <x:row r="201" ht="34" customHeight="1">
      <x:c r="A201" s="15" t="str">
        <x:v>cheap flip flops</x:v>
      </x:c>
      <x:c r="B201" s="15" t="str">
        <x:v>cheap flip flops</x:v>
      </x:c>
      <x:c r="C201" s="10" t="str">
        <x:v>f90ad18e167ca121</x:v>
      </x:c>
      <x:c r="D201" s="10" t="str">
        <x:v>keyword</x:v>
      </x:c>
      <x:c r="E201" s="10" t="str">
        <x:v>en</x:v>
      </x:c>
      <x:c r="F201" s="10" t="str">
        <x:v>clothing_shoes_jewelry</x:v>
      </x:c>
      <x:c r="G201" s="15" t="str"/>
      <x:c r="H201" s="15" t="str">
        <x:v>flip_flop</x:v>
      </x:c>
      <x:c r="I201" s="15" t="str"/>
      <x:c r="J201" s="15" t="str"/>
      <x:c r="K201" s="15" t="str"/>
      <x:c r="L201" s="15" t="str"/>
      <x:c r="M201" s="15" t="str"/>
      <x:c r="N201" s="15" t="str"/>
      <x:c r="O201" s="15" t="str"/>
      <x:c r="P201" s="15" t="str"/>
      <x:c r="Q201" s="15" t="str"/>
      <x:c r="R201" s="15" t="str">
        <x:v>用户想以低廉价格购买人字拖。</x:v>
      </x:c>
      <x:c r="S201" s="10" t="str">
        <x:v>exploration</x:v>
      </x:c>
      <x:c r="T201" s="15" t="str">
        <x:v>explicit | page_validated | inferred</x:v>
      </x:c>
      <x:c r="U201" s="10" t="str">
        <x:v>medium</x:v>
      </x:c>
      <x:c r="V201" s="15" t="str">
        <x:v>cheap_flip_flops</x:v>
      </x:c>
      <x:c r="W201" s="15" t="str">
        <x:v>performance_observation</x:v>
      </x:c>
      <x:c r="X201" s="15" t="str">
        <x:v>{"product_type":[{"value":"flip_flop","evidence_type":"explicit","source_span":"flip flops","fact_ids":[],"rationale":""},{"value":"flip_flop","evidence_type":"page_validated","source_span":"","fact_ids":["style_flip_flop"],"rationale":"产品为人字拖。"}],"price":[{"value":"cheap","evidence_type":"explicit","source_span":"cheap","fact_ids":[],"rationale":"价格诉求无法从页面事实验证，需性能数据。"}],"primary_domain":[{"value":"clothing_shoes_jewelry","evidence_type":"inferred","source_span":"","fact_ids":[],"rationale":"该值由搜索词整体语义推断，未作为页面明示属性。"}]}</x:v>
      </x:c>
      <x:c r="Y201" s="15" t="str"/>
      <x:c r="Z201" s="10" t="str">
        <x:v>partial_match</x:v>
      </x:c>
      <x:c r="AA201" s="15" t="str">
        <x:v>style_flip_flop</x:v>
      </x:c>
      <x:c r="AB201" s="10" t="str">
        <x:v>accepted</x:v>
      </x:c>
      <x:c r="AC201" s="10" t="str">
        <x:v>1.0.0</x:v>
      </x:c>
      <x:c r="AD201" s="10" t="str">
        <x:v>1.0.0</x:v>
      </x:c>
      <x:c r="AE201" s="10" t="str">
        <x:v>deepseek/deepseek-v4-pro</x:v>
      </x:c>
      <x:c r="AF201" s="10" t="str">
        <x:v>aj2-y90-20260714T234810-0bea2f52</x:v>
      </x:c>
      <x:c r="AG201" s="10" t="str">
        <x:v>full-0010</x:v>
      </x:c>
      <x:c r="AH201" s="10" t="str">
        <x:v>full</x:v>
      </x:c>
      <x:c r="AI201" s="10" t="n">
        <x:v>10</x:v>
      </x:c>
    </x:row>
    <x:row r="202" ht="34" customHeight="1">
      <x:c r="A202" s="16" t="str">
        <x:v>flip flops for poolside</x:v>
      </x:c>
      <x:c r="B202" s="16" t="str">
        <x:v>flip flops for poolside</x:v>
      </x:c>
      <x:c r="C202" s="13" t="str">
        <x:v>0225c287a7e6d6b8</x:v>
      </x:c>
      <x:c r="D202" s="13" t="str">
        <x:v>keyword</x:v>
      </x:c>
      <x:c r="E202" s="13" t="str">
        <x:v>en</x:v>
      </x:c>
      <x:c r="F202" s="13" t="str">
        <x:v>clothing_shoes_jewelry</x:v>
      </x:c>
      <x:c r="G202" s="16" t="str">
        <x:v>sports_outdoors</x:v>
      </x:c>
      <x:c r="H202" s="16" t="str">
        <x:v>flip_flops</x:v>
      </x:c>
      <x:c r="I202" s="16" t="str"/>
      <x:c r="J202" s="16" t="str"/>
      <x:c r="K202" s="16" t="str"/>
      <x:c r="L202" s="16" t="str">
        <x:v>poolside_leisure</x:v>
      </x:c>
      <x:c r="M202" s="16" t="str">
        <x:v>poolside</x:v>
      </x:c>
      <x:c r="N202" s="16" t="str"/>
      <x:c r="O202" s="16" t="str"/>
      <x:c r="P202" s="16" t="str"/>
      <x:c r="Q202" s="16" t="str"/>
      <x:c r="R202" s="16" t="str">
        <x:v>用户需要一双适合泳池边穿着的拖鞋，用于户外休闲场景。</x:v>
      </x:c>
      <x:c r="S202" s="13" t="str">
        <x:v>consideration</x:v>
      </x:c>
      <x:c r="T202" s="16" t="str">
        <x:v>explicit | page_validated | inferred</x:v>
      </x:c>
      <x:c r="U202" s="13" t="str">
        <x:v>high</x:v>
      </x:c>
      <x:c r="V202" s="16" t="str">
        <x:v>poolside_flip_flops</x:v>
      </x:c>
      <x:c r="W202" s="16" t="str">
        <x:v>cluster_route</x:v>
      </x:c>
      <x:c r="X202" s="16" t="str">
        <x:v>{"product_type":[{"value":"flip_flops","evidence_type":"explicit","source_span":"flip flops","fact_ids":[],"rationale":"Term explicitly names flip flops."},{"value":"flip_flops","evidence_type":"page_validated","source_span":"","fact_ids":["style_flip_flop"],"rationale":"该槽位与商品基准中的明示页面事实一致。"}],"location_intent":[{"value":"poolside","evidence_type":"explicit","source_span":"poolside","fact_ids":[],"rationale":"Term explicitly states poolside."}],"event_intent":[{"value":"poolside_leisure","evidence_type":"inferred","source_span":"poolside","fact_ids":[],"rationale":"泳池边通常为休闲活动场景。"}],"asin_fit_poolside":[{"value":"match","evidence_type":"page_validated","source_span":"","fact_ids":["style_flip_flop","style_outdoor"],"rationale":"Outdoor flip flop suitable for poolside use."}],"secondary_domain":[{"value":"sports_outdoors","evidence_type":"inferred","source_span":"","fact_ids":[],"rationale":"该值由搜索词整体语义推断，未作为页面明示属性。"}],"primary_domain":[{"value":"clothing_shoes_jewelry","evidence_type":"inferred","source_span":"","fact_ids":[],"rationale":"该值由搜索词整体语义推断，未作为页面明示属性。"}]}</x:v>
      </x:c>
      <x:c r="Y202" s="16" t="str"/>
      <x:c r="Z202" s="13" t="str">
        <x:v>match</x:v>
      </x:c>
      <x:c r="AA202" s="16" t="str">
        <x:v>style_flip_flop | style_outdoor</x:v>
      </x:c>
      <x:c r="AB202" s="13" t="str">
        <x:v>accepted</x:v>
      </x:c>
      <x:c r="AC202" s="13" t="str">
        <x:v>1.0.0</x:v>
      </x:c>
      <x:c r="AD202" s="13" t="str">
        <x:v>1.1.0</x:v>
      </x:c>
      <x:c r="AE202" s="13" t="str">
        <x:v>deepseek/deepseek-v4-pro</x:v>
      </x:c>
      <x:c r="AF202" s="13" t="str">
        <x:v>aj2-y90-20260714T234810-0bea2f52</x:v>
      </x:c>
      <x:c r="AG202" s="13" t="str">
        <x:v>full-0011</x:v>
      </x:c>
      <x:c r="AH202" s="13" t="str">
        <x:v>full</x:v>
      </x:c>
      <x:c r="AI202" s="13" t="n">
        <x:v>11</x:v>
      </x:c>
    </x:row>
    <x:row r="203" ht="34" customHeight="1">
      <x:c r="A203" s="15" t="str">
        <x:v>white archies flip flops</x:v>
      </x:c>
      <x:c r="B203" s="15" t="str">
        <x:v>white archies flip flops</x:v>
      </x:c>
      <x:c r="C203" s="10" t="str">
        <x:v>0384a7cca95ef312</x:v>
      </x:c>
      <x:c r="D203" s="10" t="str">
        <x:v>keyword</x:v>
      </x:c>
      <x:c r="E203" s="10" t="str">
        <x:v>en</x:v>
      </x:c>
      <x:c r="F203" s="10" t="str">
        <x:v>clothing_shoes_jewelry</x:v>
      </x:c>
      <x:c r="G203" s="15" t="str"/>
      <x:c r="H203" s="15" t="str">
        <x:v>flip_flops</x:v>
      </x:c>
      <x:c r="I203" s="15" t="str"/>
      <x:c r="J203" s="15" t="str"/>
      <x:c r="K203" s="15" t="str"/>
      <x:c r="L203" s="15" t="str"/>
      <x:c r="M203" s="15" t="str"/>
      <x:c r="N203" s="15" t="str"/>
      <x:c r="O203" s="15" t="str"/>
      <x:c r="P203" s="15" t="str"/>
      <x:c r="Q203" s="15" t="str"/>
      <x:c r="R203" s="15" t="str">
        <x:v>用户搜索白色archies拖鞋，archies可能是品牌名或足弓支撑的指代，存在歧义。</x:v>
      </x:c>
      <x:c r="S203" s="10" t="str">
        <x:v>unknown</x:v>
      </x:c>
      <x:c r="T203" s="15" t="str">
        <x:v>explicit | page_validated</x:v>
      </x:c>
      <x:c r="U203" s="10" t="str">
        <x:v>low</x:v>
      </x:c>
      <x:c r="V203" s="15" t="str">
        <x:v>white_archies_flip_flops</x:v>
      </x:c>
      <x:c r="W203" s="15" t="str">
        <x:v>ambiguity_review</x:v>
      </x:c>
      <x:c r="X203" s="15" t="str">
        <x:v>{"product_type":[{"value":"flip_flops","evidence_type":"explicit","source_span":"flip flops","fact_ids":[],"rationale":"Term explicitly names flip flops."},{"value":"flip_flops","evidence_type":"page_validated","source_span":"","fact_ids":["style_flip_flop"],"rationale":"该槽位与商品基准中的明示页面事实一致。"}],"color_white":[{"value":"white","evidence_type":"explicit","source_span":"white","fact_ids":[],"rationale":"Term explicitly requests white."}],"brand_or_feature_archies":[{"value":"archies","evidence_type":"explicit","source_span":"archies","fact_ids":[],"rationale":"archies could be the Archies brand or a reference to arch support."}],"asin_fit_archies":[{"value":"partial_match","evidence_type":"page_validated","source_span":"","fact_ids":["style_flip_flop","arch_support","colors_visible"],"rationale":"If arch support intended, product matches; if brand Archies, mismatch."}],"primary_domain":[{"value":"clothing_shoes_jewelry","evidence_type":"inferred","source_span":"","fact_ids":[],"rationale":"该值由搜索词整体语义推断，未作为页面明示属性。"}]}</x:v>
      </x:c>
      <x:c r="Y203" s="15" t="str">
        <x:v>brand_or_feature_ambiguity</x:v>
      </x:c>
      <x:c r="Z203" s="10" t="str">
        <x:v>partial_match</x:v>
      </x:c>
      <x:c r="AA203" s="15" t="str">
        <x:v>style_flip_flop | arch_support | colors_visible</x:v>
      </x:c>
      <x:c r="AB203" s="10" t="str">
        <x:v>accepted</x:v>
      </x:c>
      <x:c r="AC203" s="10" t="str">
        <x:v>1.0.0</x:v>
      </x:c>
      <x:c r="AD203" s="10" t="str">
        <x:v>1.1.0</x:v>
      </x:c>
      <x:c r="AE203" s="10" t="str">
        <x:v>deepseek/deepseek-v4-pro</x:v>
      </x:c>
      <x:c r="AF203" s="10" t="str">
        <x:v>aj2-y90-20260714T234810-0bea2f52</x:v>
      </x:c>
      <x:c r="AG203" s="10" t="str">
        <x:v>full-0011</x:v>
      </x:c>
      <x:c r="AH203" s="10" t="str">
        <x:v>full</x:v>
      </x:c>
      <x:c r="AI203" s="10" t="n">
        <x:v>11</x:v>
      </x:c>
    </x:row>
    <x:row r="204" ht="34" customHeight="1">
      <x:c r="A204" s="16" t="str">
        <x:v>water flip flops for women</x:v>
      </x:c>
      <x:c r="B204" s="16" t="str">
        <x:v>water flip flops for women</x:v>
      </x:c>
      <x:c r="C204" s="13" t="str">
        <x:v>059b5091067a28e7</x:v>
      </x:c>
      <x:c r="D204" s="13" t="str">
        <x:v>keyword</x:v>
      </x:c>
      <x:c r="E204" s="13" t="str">
        <x:v>en</x:v>
      </x:c>
      <x:c r="F204" s="13" t="str">
        <x:v>clothing_shoes_jewelry</x:v>
      </x:c>
      <x:c r="G204" s="16" t="str">
        <x:v>sports_outdoors</x:v>
      </x:c>
      <x:c r="H204" s="16" t="str">
        <x:v>flip_flops</x:v>
      </x:c>
      <x:c r="I204" s="16" t="str">
        <x:v>women</x:v>
      </x:c>
      <x:c r="J204" s="16" t="str"/>
      <x:c r="K204" s="16" t="str">
        <x:v>water_ready</x:v>
      </x:c>
      <x:c r="L204" s="16" t="str">
        <x:v>water_activities</x:v>
      </x:c>
      <x:c r="M204" s="16" t="str">
        <x:v>water</x:v>
      </x:c>
      <x:c r="N204" s="16" t="str"/>
      <x:c r="O204" s="16" t="str"/>
      <x:c r="P204" s="16" t="str"/>
      <x:c r="Q204" s="16" t="str"/>
      <x:c r="R204" s="16" t="str">
        <x:v>女性用户需要一双适合涉水活动穿着的拖鞋，要求材料耐水。</x:v>
      </x:c>
      <x:c r="S204" s="13" t="str">
        <x:v>consideration</x:v>
      </x:c>
      <x:c r="T204" s="16" t="str">
        <x:v>explicit | inferred</x:v>
      </x:c>
      <x:c r="U204" s="13" t="str">
        <x:v>medium</x:v>
      </x:c>
      <x:c r="V204" s="16" t="str">
        <x:v>water_flip_flops_women</x:v>
      </x:c>
      <x:c r="W204" s="16" t="str">
        <x:v>listing_gap_review</x:v>
      </x:c>
      <x:c r="X204" s="16" t="str">
        <x:v>{"product_type":[{"value":"flip_flops","evidence_type":"explicit","source_span":"flip flops","fact_ids":[],"rationale":"Term explicitly names flip flops."},{"value":"flip_flops","evidence_type":"page_validated","source_span":"","fact_ids":["style_flip_flop"],"rationale":"该槽位与商品基准中的明示页面事实一致。"}],"audience_intent":[{"value":"women","evidence_type":"explicit","source_span":"women","fact_ids":[],"rationale":"Term explicitly specifies women."},{"value":"women","evidence_type":"page_validated","source_span":"","fact_ids":["title_womens_flip_flop"],"rationale":"该槽位与商品基准中的明示页面事实一致。"}],"capability_intent":[{"value":"water_ready","evidence_type":"inferred","source_span":"water","fact_ids":[],"rationale":"涉水场景需材料防水性能。"}],"location_intent":[{"value":"water","evidence_type":"explicit","source_span":"water","fact_ids":[],"rationale":"Term explicitly states water."}],"event_intent":[{"value":"water_activities","evidence_type":"inferred","source_span":"water","fact_ids":[],"rationale":"水边场景关联涉水活动。"}],"asin_fit_water":[{"value":"partial_match","evidence_type":"page_validated","source_span":"","fact_ids":["title_womens_flip_flop","style_flip_flop","material_eva"],"rationale":"Core product matches but water resistance not claimed by baseline."}],"secondary_domain":[{"value":"sports_outdoors","evidence_type":"inferred","source_span":"","fact_ids":[],"rationale":"该值由搜索词整体语义推断，未作为页面明示属性。"}],"primary_domain":[{"value":"clothing_shoes_jewelry","evidence_type":"inferred","source_span":"","fact_ids":[],"rationale":"该值由搜索词整体语义推断，未作为页面明示属性。"}]}</x:v>
      </x:c>
      <x:c r="Y204" s="16" t="str"/>
      <x:c r="Z204" s="13" t="str">
        <x:v>partial_match</x:v>
      </x:c>
      <x:c r="AA204" s="16" t="str">
        <x:v>title_womens_flip_flop | style_flip_flop | material_eva</x:v>
      </x:c>
      <x:c r="AB204" s="13" t="str">
        <x:v>accepted</x:v>
      </x:c>
      <x:c r="AC204" s="13" t="str">
        <x:v>1.0.0</x:v>
      </x:c>
      <x:c r="AD204" s="13" t="str">
        <x:v>1.1.0</x:v>
      </x:c>
      <x:c r="AE204" s="13" t="str">
        <x:v>deepseek/deepseek-v4-pro</x:v>
      </x:c>
      <x:c r="AF204" s="13" t="str">
        <x:v>aj2-y90-20260714T234810-0bea2f52</x:v>
      </x:c>
      <x:c r="AG204" s="13" t="str">
        <x:v>full-0011</x:v>
      </x:c>
      <x:c r="AH204" s="13" t="str">
        <x:v>full</x:v>
      </x:c>
      <x:c r="AI204" s="13" t="n">
        <x:v>11</x:v>
      </x:c>
    </x:row>
    <x:row r="205" ht="34" customHeight="1">
      <x:c r="A205" s="15" t="str">
        <x:v>women's pool flip flop</x:v>
      </x:c>
      <x:c r="B205" s="15" t="str">
        <x:v>women's pool flip flop</x:v>
      </x:c>
      <x:c r="C205" s="10" t="str">
        <x:v>09b9b2cb00b592a0</x:v>
      </x:c>
      <x:c r="D205" s="10" t="str">
        <x:v>keyword</x:v>
      </x:c>
      <x:c r="E205" s="10" t="str">
        <x:v>en</x:v>
      </x:c>
      <x:c r="F205" s="10" t="str">
        <x:v>clothing_shoes_jewelry</x:v>
      </x:c>
      <x:c r="G205" s="15" t="str">
        <x:v>sports_outdoors</x:v>
      </x:c>
      <x:c r="H205" s="15" t="str">
        <x:v>flip_flop</x:v>
      </x:c>
      <x:c r="I205" s="15" t="str">
        <x:v>women</x:v>
      </x:c>
      <x:c r="J205" s="15" t="str"/>
      <x:c r="K205" s="15" t="str"/>
      <x:c r="L205" s="15" t="str">
        <x:v>pool_leisure</x:v>
      </x:c>
      <x:c r="M205" s="15" t="str">
        <x:v>pool</x:v>
      </x:c>
      <x:c r="N205" s="15" t="str"/>
      <x:c r="O205" s="15" t="str"/>
      <x:c r="P205" s="15" t="str"/>
      <x:c r="Q205" s="15" t="str"/>
      <x:c r="R205" s="15" t="str">
        <x:v>女性用户需要一双适合泳池边穿着的拖鞋，用于休闲放松场景。</x:v>
      </x:c>
      <x:c r="S205" s="10" t="str">
        <x:v>consideration</x:v>
      </x:c>
      <x:c r="T205" s="15" t="str">
        <x:v>explicit | page_validated | inferred</x:v>
      </x:c>
      <x:c r="U205" s="10" t="str">
        <x:v>high</x:v>
      </x:c>
      <x:c r="V205" s="15" t="str">
        <x:v>womens_pool_flip_flop</x:v>
      </x:c>
      <x:c r="W205" s="15" t="str">
        <x:v>cluster_route</x:v>
      </x:c>
      <x:c r="X205" s="15" t="str">
        <x:v>{"product_type":[{"value":"flip_flop","evidence_type":"explicit","source_span":"flip flop","fact_ids":[],"rationale":"Term explicitly names the product category."},{"value":"flip_flop","evidence_type":"page_validated","source_span":"","fact_ids":["style_flip_flop"],"rationale":"该槽位与商品基准中的明示页面事实一致。"}],"audience_intent":[{"value":"women","evidence_type":"explicit","source_span":"women's","fact_ids":[],"rationale":"Term explicitly specifies women's."},{"value":"women","evidence_type":"page_validated","source_span":"","fact_ids":["title_womens_flip_flop"],"rationale":"该槽位与商品基准中的明示页面事实一致。"}],"location_intent":[{"value":"pool","evidence_type":"explicit","source_span":"pool","fact_ids":[],"rationale":"Term explicitly states pool."}],"event_intent":[{"value":"pool_leisure","evidence_type":"inferred","source_span":"pool","fact_ids":[],"rationale":"泳池场景通常关联休闲活动。"}],"asin_fit_product_class":[{"value":"match","evidence_type":"page_validated","source_span":"","fact_ids":["title_womens_flip_flop","style_flip_flop","style_outdoor"],"rationale":"Product is a women's outdoor flip flop."}],"secondary_domain":[{"value":"sports_outdoors","evidence_type":"inferred","source_span":"","fact_ids":[],"rationale":"该值由搜索词整体语义推断，未作为页面明示属性。"}],"primary_domain":[{"value":"clothing_shoes_jewelry","evidence_type":"inferred","source_span":"","fact_ids":[],"rationale":"该值由搜索词整体语义推断，未作为页面明示属性。"}]}</x:v>
      </x:c>
      <x:c r="Y205" s="15" t="str"/>
      <x:c r="Z205" s="10" t="str">
        <x:v>match</x:v>
      </x:c>
      <x:c r="AA205" s="15" t="str">
        <x:v>title_womens_flip_flop | style_flip_flop | style_outdoor</x:v>
      </x:c>
      <x:c r="AB205" s="10" t="str">
        <x:v>accepted</x:v>
      </x:c>
      <x:c r="AC205" s="10" t="str">
        <x:v>1.0.0</x:v>
      </x:c>
      <x:c r="AD205" s="10" t="str">
        <x:v>1.1.0</x:v>
      </x:c>
      <x:c r="AE205" s="10" t="str">
        <x:v>deepseek/deepseek-v4-pro</x:v>
      </x:c>
      <x:c r="AF205" s="10" t="str">
        <x:v>aj2-y90-20260714T234810-0bea2f52</x:v>
      </x:c>
      <x:c r="AG205" s="10" t="str">
        <x:v>full-0011</x:v>
      </x:c>
      <x:c r="AH205" s="10" t="str">
        <x:v>full</x:v>
      </x:c>
      <x:c r="AI205" s="10" t="n">
        <x:v>11</x:v>
      </x:c>
    </x:row>
    <x:row r="206" ht="34" customHeight="1">
      <x:c r="A206" s="16" t="str">
        <x:v>orthopedic flip flops with arch support</x:v>
      </x:c>
      <x:c r="B206" s="16" t="str">
        <x:v>orthopedic flip flops with arch support</x:v>
      </x:c>
      <x:c r="C206" s="13" t="str">
        <x:v>152997b8ae6da33d</x:v>
      </x:c>
      <x:c r="D206" s="13" t="str">
        <x:v>keyword</x:v>
      </x:c>
      <x:c r="E206" s="13" t="str">
        <x:v>en</x:v>
      </x:c>
      <x:c r="F206" s="13" t="str">
        <x:v>clothing_shoes_jewelry</x:v>
      </x:c>
      <x:c r="G206" s="16" t="str">
        <x:v>health_household</x:v>
      </x:c>
      <x:c r="H206" s="16" t="str">
        <x:v>flip_flops</x:v>
      </x:c>
      <x:c r="I206" s="16" t="str"/>
      <x:c r="J206" s="16" t="str">
        <x:v>orthopedic_support</x:v>
      </x:c>
      <x:c r="K206" s="16" t="str">
        <x:v>arch_support</x:v>
      </x:c>
      <x:c r="L206" s="16" t="str"/>
      <x:c r="M206" s="16" t="str"/>
      <x:c r="N206" s="16" t="str">
        <x:v>foot_pain | arch_support_need</x:v>
      </x:c>
      <x:c r="O206" s="16" t="str"/>
      <x:c r="P206" s="16" t="str"/>
      <x:c r="Q206" s="16" t="str"/>
      <x:c r="R206" s="16" t="str">
        <x:v>用户需要一双具有足弓支撑的矫形拖鞋，可能用于缓解足部疼痛或足底问题。</x:v>
      </x:c>
      <x:c r="S206" s="13" t="str">
        <x:v>consideration</x:v>
      </x:c>
      <x:c r="T206" s="16" t="str">
        <x:v>explicit | page_validated | inferred</x:v>
      </x:c>
      <x:c r="U206" s="13" t="str">
        <x:v>medium</x:v>
      </x:c>
      <x:c r="V206" s="16" t="str">
        <x:v>orthopedic_flip_flops_arch_support</x:v>
      </x:c>
      <x:c r="W206" s="16" t="str">
        <x:v>listing_gap_review</x:v>
      </x:c>
      <x:c r="X206" s="16" t="str">
        <x:v>{"product_type":[{"value":"flip_flops","evidence_type":"explicit","source_span":"flip flops","fact_ids":[],"rationale":"Term explicitly names flip flops."},{"value":"flip_flops","evidence_type":"page_validated","source_span":"","fact_ids":["style_flip_flop"],"rationale":"该槽位与商品基准中的明示页面事实一致。"}],"capability_intent":[{"value":"arch_support","evidence_type":"explicit","source_span":"arch support","fact_ids":[],"rationale":"Term explicitly demands arch support."},{"value":"arch_support","evidence_type":"page_validated","source_span":"","fact_ids":["arch_support"],"rationale":"该槽位与商品基准中的明示页面事实一致。"}],"function_intent":[{"value":"orthopedic_support","evidence_type":"explicit","source_span":"orthopedic","fact_ids":[],"rationale":"Term explicitly specifies orthopedic."}],"body_need_intent":[{"value":"foot_pain","evidence_type":"inferred","source_span":"orthopedic","fact_ids":[],"rationale":"矫形需求通常与足部不适相关。"},{"value":"arch_support_need","evidence_type":"inferred","source_span":"arch support","fact_ids":[],"rationale":"足弓支撑需求明确。"}],"asin_fit_orthopedic":[{"value":"partial_match","evidence_type":"page_validated","source_span":"","fact_ids":["style_flip_flop","arch_support"],"rationale":"Arch support matches but orthopedic/medical claims not evidenced."}],"secondary_domain":[{"value":"health_household","evidence_type":"inferred","source_span":"","fact_ids":[],"rationale":"该值由搜索词整体语义推断，未作为页面明示属性。"}],"primary_domain":[{"value":"clothing_shoes_jewelry","evidence_type":"inferred","source_span":"","fact_ids":[],"rationale":"该值由搜索词整体语义推断，未作为页面明示属性。"}]}</x:v>
      </x:c>
      <x:c r="Y206" s="16" t="str"/>
      <x:c r="Z206" s="13" t="str">
        <x:v>partial_match</x:v>
      </x:c>
      <x:c r="AA206" s="16" t="str">
        <x:v>style_flip_flop | arch_support</x:v>
      </x:c>
      <x:c r="AB206" s="13" t="str">
        <x:v>accepted</x:v>
      </x:c>
      <x:c r="AC206" s="13" t="str">
        <x:v>1.0.0</x:v>
      </x:c>
      <x:c r="AD206" s="13" t="str">
        <x:v>1.1.0</x:v>
      </x:c>
      <x:c r="AE206" s="13" t="str">
        <x:v>deepseek/deepseek-v4-pro</x:v>
      </x:c>
      <x:c r="AF206" s="13" t="str">
        <x:v>aj2-y90-20260714T234810-0bea2f52</x:v>
      </x:c>
      <x:c r="AG206" s="13" t="str">
        <x:v>full-0011</x:v>
      </x:c>
      <x:c r="AH206" s="13" t="str">
        <x:v>full</x:v>
      </x:c>
      <x:c r="AI206" s="13" t="n">
        <x:v>11</x:v>
      </x:c>
    </x:row>
    <x:row r="207" ht="34" customHeight="1">
      <x:c r="A207" s="15" t="str">
        <x:v>support flip flops for women</x:v>
      </x:c>
      <x:c r="B207" s="15" t="str">
        <x:v>support flip flops for women</x:v>
      </x:c>
      <x:c r="C207" s="10" t="str">
        <x:v>1eeba5a9b7188f9c</x:v>
      </x:c>
      <x:c r="D207" s="10" t="str">
        <x:v>keyword</x:v>
      </x:c>
      <x:c r="E207" s="10" t="str">
        <x:v>en</x:v>
      </x:c>
      <x:c r="F207" s="10" t="str">
        <x:v>clothing_shoes_jewelry</x:v>
      </x:c>
      <x:c r="G207" s="15" t="str"/>
      <x:c r="H207" s="15" t="str">
        <x:v>flip_flops</x:v>
      </x:c>
      <x:c r="I207" s="15" t="str">
        <x:v>women</x:v>
      </x:c>
      <x:c r="J207" s="15" t="str"/>
      <x:c r="K207" s="15" t="str">
        <x:v>support</x:v>
      </x:c>
      <x:c r="L207" s="15" t="str"/>
      <x:c r="M207" s="15" t="str"/>
      <x:c r="N207" s="15" t="str">
        <x:v>arch_support_need</x:v>
      </x:c>
      <x:c r="O207" s="15" t="str"/>
      <x:c r="P207" s="15" t="str"/>
      <x:c r="Q207" s="15" t="str"/>
      <x:c r="R207" s="15" t="str">
        <x:v>女性用户需要一双具有足弓支撑功能的拖鞋，以缓解足部不适。</x:v>
      </x:c>
      <x:c r="S207" s="10" t="str">
        <x:v>consideration</x:v>
      </x:c>
      <x:c r="T207" s="15" t="str">
        <x:v>explicit | page_validated</x:v>
      </x:c>
      <x:c r="U207" s="10" t="str">
        <x:v>high</x:v>
      </x:c>
      <x:c r="V207" s="15" t="str">
        <x:v>support_flip_flops_women</x:v>
      </x:c>
      <x:c r="W207" s="15" t="str">
        <x:v>cluster_route</x:v>
      </x:c>
      <x:c r="X207" s="15" t="str">
        <x:v>{"product_type":[{"value":"flip_flops","evidence_type":"explicit","source_span":"flip flops","fact_ids":[],"rationale":"Term explicitly names flip flops."},{"value":"flip_flops","evidence_type":"page_validated","source_span":"","fact_ids":["style_flip_flop"],"rationale":"该槽位与商品基准中的明示页面事实一致。"}],"audience_intent":[{"value":"women","evidence_type":"explicit","source_span":"women","fact_ids":[],"rationale":"Term explicitly specifies women."},{"value":"women","evidence_type":"page_validated","source_span":"","fact_ids":["title_womens_flip_flop"],"rationale":"该槽位与商品基准中的明示页面事实一致。"}],"capability_intent":[{"value":"support","evidence_type":"explicit","source_span":"support","fact_ids":[],"rationale":"Term explicitly demands support."}],"body_need_intent":[{"value":"arch_support_need","evidence_type":"inferred","source_span":"support","fact_ids":[],"rationale":"支撑需求通常指向足弓支撑。"}],"asin_fit_support":[{"value":"match","evidence_type":"page_validated","source_span":"","fact_ids":["title_womens_flip_flop","style_flip_flop","arch_support"],"rationale":"Women's flip flop with ergonomic arch support confirmed."}],"primary_domain":[{"value":"clothing_shoes_jewelry","evidence_type":"inferred","source_span":"","fact_ids":[],"rationale":"该值由搜索词整体语义推断，未作为页面明示属性。"}]}</x:v>
      </x:c>
      <x:c r="Y207" s="15" t="str"/>
      <x:c r="Z207" s="10" t="str">
        <x:v>match</x:v>
      </x:c>
      <x:c r="AA207" s="15" t="str">
        <x:v>title_womens_flip_flop | style_flip_flop | arch_support</x:v>
      </x:c>
      <x:c r="AB207" s="10" t="str">
        <x:v>accepted</x:v>
      </x:c>
      <x:c r="AC207" s="10" t="str">
        <x:v>1.0.0</x:v>
      </x:c>
      <x:c r="AD207" s="10" t="str">
        <x:v>1.1.0</x:v>
      </x:c>
      <x:c r="AE207" s="10" t="str">
        <x:v>deepseek/deepseek-v4-pro</x:v>
      </x:c>
      <x:c r="AF207" s="10" t="str">
        <x:v>aj2-y90-20260714T234810-0bea2f52</x:v>
      </x:c>
      <x:c r="AG207" s="10" t="str">
        <x:v>full-0011</x:v>
      </x:c>
      <x:c r="AH207" s="10" t="str">
        <x:v>full</x:v>
      </x:c>
      <x:c r="AI207" s="10" t="n">
        <x:v>11</x:v>
      </x:c>
    </x:row>
    <x:row r="208" ht="34" customHeight="1">
      <x:c r="A208" s="16" t="str">
        <x:v>black athletic flip flops for women</x:v>
      </x:c>
      <x:c r="B208" s="16" t="str">
        <x:v>black athletic flip flops for women</x:v>
      </x:c>
      <x:c r="C208" s="13" t="str">
        <x:v>2d691ae98cbd0f5e</x:v>
      </x:c>
      <x:c r="D208" s="13" t="str">
        <x:v>keyword</x:v>
      </x:c>
      <x:c r="E208" s="13" t="str">
        <x:v>en</x:v>
      </x:c>
      <x:c r="F208" s="13" t="str">
        <x:v>clothing_shoes_jewelry</x:v>
      </x:c>
      <x:c r="G208" s="16" t="str">
        <x:v>sports_outdoors</x:v>
      </x:c>
      <x:c r="H208" s="16" t="str">
        <x:v>flip_flops</x:v>
      </x:c>
      <x:c r="I208" s="16" t="str">
        <x:v>women</x:v>
      </x:c>
      <x:c r="J208" s="16" t="str"/>
      <x:c r="K208" s="16" t="str">
        <x:v>athletic</x:v>
      </x:c>
      <x:c r="L208" s="16" t="str"/>
      <x:c r="M208" s="16" t="str"/>
      <x:c r="N208" s="16" t="str"/>
      <x:c r="O208" s="16" t="str"/>
      <x:c r="P208" s="16" t="str"/>
      <x:c r="Q208" s="16" t="str"/>
      <x:c r="R208" s="16" t="str">
        <x:v>女性用户需要一双黑色运动拖鞋，用于运动场景或运动后放松穿着。</x:v>
      </x:c>
      <x:c r="S208" s="13" t="str">
        <x:v>consideration</x:v>
      </x:c>
      <x:c r="T208" s="16" t="str">
        <x:v>explicit | page_validated | inferred</x:v>
      </x:c>
      <x:c r="U208" s="13" t="str">
        <x:v>medium</x:v>
      </x:c>
      <x:c r="V208" s="16" t="str">
        <x:v>black_athletic_flip_flops_women</x:v>
      </x:c>
      <x:c r="W208" s="16" t="str">
        <x:v>listing_gap_review</x:v>
      </x:c>
      <x:c r="X208" s="16" t="str">
        <x:v>{"product_type":[{"value":"flip_flops","evidence_type":"explicit","source_span":"flip flops","fact_ids":[],"rationale":"Term explicitly names flip flops."},{"value":"flip_flops","evidence_type":"page_validated","source_span":"","fact_ids":["style_flip_flop"],"rationale":"该槽位与商品基准中的明示页面事实一致。"}],"audience_intent":[{"value":"women","evidence_type":"explicit","source_span":"women","fact_ids":[],"rationale":"Term explicitly specifies women."},{"value":"women","evidence_type":"page_validated","source_span":"","fact_ids":["title_womens_flip_flop"],"rationale":"该槽位与商品基准中的明示页面事实一致。"}],"color_black":[{"value":"black","evidence_type":"explicit","source_span":"black","fact_ids":[],"rationale":"Term explicitly requests black."}],"capability_intent":[{"value":"athletic","evidence_type":"inferred","source_span":"athletic","fact_ids":[],"rationale":"运动属性需支撑与抓地力。"}],"asin_fit_athletic":[{"value":"partial_match","evidence_type":"page_validated","source_span":"","fact_ids":["title_womens_flip_flop","style_flip_flop","colors_visible","arch_support","slip_resistant_grip"],"rationale":"Core product and color match; athletic capability not explicitly claimed."}],"secondary_domain":[{"value":"sports_outdoors","evidence_type":"inferred","source_span":"","fact_ids":[],"rationale":"该值由搜索词整体语义推断，未作为页面明示属性。"}],"primary_domain":[{"value":"clothing_shoes_jewelry","evidence_type":"inferred","source_span":"","fact_ids":[],"rationale":"该值由搜索词整体语义推断，未作为页面明示属性。"}]}</x:v>
      </x:c>
      <x:c r="Y208" s="16" t="str"/>
      <x:c r="Z208" s="13" t="str">
        <x:v>partial_match</x:v>
      </x:c>
      <x:c r="AA208" s="16" t="str">
        <x:v>title_womens_flip_flop | style_flip_flop | colors_visible | arch_support | slip_resistant_grip</x:v>
      </x:c>
      <x:c r="AB208" s="13" t="str">
        <x:v>accepted</x:v>
      </x:c>
      <x:c r="AC208" s="13" t="str">
        <x:v>1.0.0</x:v>
      </x:c>
      <x:c r="AD208" s="13" t="str">
        <x:v>1.1.0</x:v>
      </x:c>
      <x:c r="AE208" s="13" t="str">
        <x:v>deepseek/deepseek-v4-pro</x:v>
      </x:c>
      <x:c r="AF208" s="13" t="str">
        <x:v>aj2-y90-20260714T234810-0bea2f52</x:v>
      </x:c>
      <x:c r="AG208" s="13" t="str">
        <x:v>full-0011</x:v>
      </x:c>
      <x:c r="AH208" s="13" t="str">
        <x:v>full</x:v>
      </x:c>
      <x:c r="AI208" s="13" t="n">
        <x:v>11</x:v>
      </x:c>
    </x:row>
    <x:row r="209" ht="34" customHeight="1">
      <x:c r="A209" s="15" t="str">
        <x:v>flip flops for women swimming</x:v>
      </x:c>
      <x:c r="B209" s="15" t="str">
        <x:v>flip flops for women swimming</x:v>
      </x:c>
      <x:c r="C209" s="10" t="str">
        <x:v>2d7216895241d249</x:v>
      </x:c>
      <x:c r="D209" s="10" t="str">
        <x:v>keyword</x:v>
      </x:c>
      <x:c r="E209" s="10" t="str">
        <x:v>en</x:v>
      </x:c>
      <x:c r="F209" s="10" t="str">
        <x:v>clothing_shoes_jewelry</x:v>
      </x:c>
      <x:c r="G209" s="15" t="str">
        <x:v>sports_outdoors</x:v>
      </x:c>
      <x:c r="H209" s="15" t="str">
        <x:v>flip_flops</x:v>
      </x:c>
      <x:c r="I209" s="15" t="str">
        <x:v>women</x:v>
      </x:c>
      <x:c r="J209" s="15" t="str"/>
      <x:c r="K209" s="15" t="str">
        <x:v>swim_ready</x:v>
      </x:c>
      <x:c r="L209" s="15" t="str">
        <x:v>swimming</x:v>
      </x:c>
      <x:c r="M209" s="15" t="str">
        <x:v>pool | beach</x:v>
      </x:c>
      <x:c r="N209" s="15" t="str"/>
      <x:c r="O209" s="15" t="str"/>
      <x:c r="P209" s="15" t="str"/>
      <x:c r="Q209" s="15" t="str"/>
      <x:c r="R209" s="15" t="str">
        <x:v>女性用户需要一双游泳前后穿着的拖鞋，要求耐水易打理。</x:v>
      </x:c>
      <x:c r="S209" s="10" t="str">
        <x:v>consideration</x:v>
      </x:c>
      <x:c r="T209" s="15" t="str">
        <x:v>explicit | inferred</x:v>
      </x:c>
      <x:c r="U209" s="10" t="str">
        <x:v>medium</x:v>
      </x:c>
      <x:c r="V209" s="15" t="str">
        <x:v>flip_flops_women_swimming</x:v>
      </x:c>
      <x:c r="W209" s="15" t="str">
        <x:v>listing_gap_review</x:v>
      </x:c>
      <x:c r="X209" s="15" t="str">
        <x:v>{"product_type":[{"value":"flip_flops","evidence_type":"explicit","source_span":"flip flops","fact_ids":[],"rationale":"Term explicitly names flip flops."},{"value":"flip_flops","evidence_type":"page_validated","source_span":"","fact_ids":["style_flip_flop"],"rationale":"该槽位与商品基准中的明示页面事实一致。"}],"audience_intent":[{"value":"women","evidence_type":"explicit","source_span":"women","fact_ids":[],"rationale":"Term explicitly specifies women."},{"value":"women","evidence_type":"page_validated","source_span":"","fact_ids":["title_womens_flip_flop"],"rationale":"该槽位与商品基准中的明示页面事实一致。"}],"event_intent":[{"value":"swimming","evidence_type":"explicit","source_span":"swimming","fact_ids":[],"rationale":"Term explicitly states swimming."}],"capability_intent":[{"value":"swim_ready","evidence_type":"inferred","source_span":"swimming","fact_ids":[],"rationale":"游泳场景需涉水能力。"}],"location_intent":[{"value":"pool","evidence_type":"inferred","source_span":"swimming","fact_ids":[],"rationale":"游泳活动通常发生在泳池。"},{"value":"beach","evidence_type":"inferred","source_span":"swimming","fact_ids":[],"rationale":"游泳也可能在海滩进行。"}],"asin_fit_swimming":[{"value":"partial_match","evidence_type":"page_validated","source_span":"","fact_ids":["title_womens_flip_flop","style_flip_flop"],"rationale":"Core product matches but water resistance not evidenced."}],"secondary_domain":[{"value":"sports_outdoors","evidence_type":"inferred","source_span":"","fact_ids":[],"rationale":"该值由搜索词整体语义推断，未作为页面明示属性。"}],"primary_domain":[{"value":"clothing_shoes_jewelry","evidence_type":"inferred","source_span":"","fact_ids":[],"rationale":"该值由搜索词整体语义推断，未作为页面明示属性。"}]}</x:v>
      </x:c>
      <x:c r="Y209" s="15" t="str"/>
      <x:c r="Z209" s="10" t="str">
        <x:v>partial_match</x:v>
      </x:c>
      <x:c r="AA209" s="15" t="str">
        <x:v>title_womens_flip_flop | style_flip_flop</x:v>
      </x:c>
      <x:c r="AB209" s="10" t="str">
        <x:v>accepted</x:v>
      </x:c>
      <x:c r="AC209" s="10" t="str">
        <x:v>1.0.0</x:v>
      </x:c>
      <x:c r="AD209" s="10" t="str">
        <x:v>1.1.0</x:v>
      </x:c>
      <x:c r="AE209" s="10" t="str">
        <x:v>deepseek/deepseek-v4-pro</x:v>
      </x:c>
      <x:c r="AF209" s="10" t="str">
        <x:v>aj2-y90-20260714T234810-0bea2f52</x:v>
      </x:c>
      <x:c r="AG209" s="10" t="str">
        <x:v>full-0011</x:v>
      </x:c>
      <x:c r="AH209" s="10" t="str">
        <x:v>full</x:v>
      </x:c>
      <x:c r="AI209" s="10" t="n">
        <x:v>11</x:v>
      </x:c>
    </x:row>
    <x:row r="210" ht="34" customHeight="1">
      <x:c r="A210" s="16" t="str">
        <x:v>cushion flip flop</x:v>
      </x:c>
      <x:c r="B210" s="16" t="str">
        <x:v>cushion flip flop</x:v>
      </x:c>
      <x:c r="C210" s="13" t="str">
        <x:v>44e794433aaa061d</x:v>
      </x:c>
      <x:c r="D210" s="13" t="str">
        <x:v>keyword</x:v>
      </x:c>
      <x:c r="E210" s="13" t="str">
        <x:v>en</x:v>
      </x:c>
      <x:c r="F210" s="13" t="str">
        <x:v>clothing_shoes_jewelry</x:v>
      </x:c>
      <x:c r="G210" s="16" t="str"/>
      <x:c r="H210" s="16" t="str">
        <x:v>flip_flop</x:v>
      </x:c>
      <x:c r="I210" s="16" t="str"/>
      <x:c r="J210" s="16" t="str"/>
      <x:c r="K210" s="16" t="str">
        <x:v>cushioning</x:v>
      </x:c>
      <x:c r="L210" s="16" t="str"/>
      <x:c r="M210" s="16" t="str"/>
      <x:c r="N210" s="16" t="str">
        <x:v>cushioning_need</x:v>
      </x:c>
      <x:c r="O210" s="16" t="str"/>
      <x:c r="P210" s="16" t="str"/>
      <x:c r="Q210" s="16" t="str"/>
      <x:c r="R210" s="16" t="str">
        <x:v>用户需要一双带有缓冲垫的拖鞋，追求柔软舒适的脚感。</x:v>
      </x:c>
      <x:c r="S210" s="13" t="str">
        <x:v>consideration</x:v>
      </x:c>
      <x:c r="T210" s="16" t="str">
        <x:v>explicit | page_validated</x:v>
      </x:c>
      <x:c r="U210" s="13" t="str">
        <x:v>high</x:v>
      </x:c>
      <x:c r="V210" s="16" t="str">
        <x:v>cushion_flip_flop</x:v>
      </x:c>
      <x:c r="W210" s="16" t="str">
        <x:v>cluster_route</x:v>
      </x:c>
      <x:c r="X210" s="16" t="str">
        <x:v>{"product_type":[{"value":"flip_flop","evidence_type":"explicit","source_span":"flip flop","fact_ids":[],"rationale":"Term explicitly names flip flop."},{"value":"flip_flop","evidence_type":"page_validated","source_span":"","fact_ids":["style_flip_flop"],"rationale":"该槽位与商品基准中的明示页面事实一致。"}],"capability_intent":[{"value":"cushioning","evidence_type":"explicit","source_span":"cushion","fact_ids":[],"rationale":"Term explicitly demands cushion."},{"value":"cushioning","evidence_type":"page_validated","source_span":"","fact_ids":["padded_cushioning"],"rationale":"该槽位与商品基准中的明示页面事实一致。"},{"value":"cushioning","evidence_type":"inferred","source_span":"","fact_ids":[],"rationale":"该能力由搜索词表达的任务或问题推断；页面事实仅用于验证商品承接。"}],"body_need_intent":[{"value":"cushioning_need","evidence_type":"inferred","source_span":"cushion","fact_ids":[],"rationale":"缓冲需求关联柔软舒适体感。"}],"asin_fit_cushion":[{"value":"match","evidence_type":"page_validated","source_span":"","fact_ids":["style_flip_flop","padded_cushioning"],"rationale":"Padded special feature confirmed."}],"primary_domain":[{"value":"clothing_shoes_jewelry","evidence_type":"inferred","source_span":"","fact_ids":[],"rationale":"该值由搜索词整体语义推断，未作为页面明示属性。"}]}</x:v>
      </x:c>
      <x:c r="Y210" s="16" t="str"/>
      <x:c r="Z210" s="13" t="str">
        <x:v>match</x:v>
      </x:c>
      <x:c r="AA210" s="16" t="str">
        <x:v>style_flip_flop | padded_cushioning</x:v>
      </x:c>
      <x:c r="AB210" s="13" t="str">
        <x:v>accepted</x:v>
      </x:c>
      <x:c r="AC210" s="13" t="str">
        <x:v>1.0.0</x:v>
      </x:c>
      <x:c r="AD210" s="13" t="str">
        <x:v>1.1.0</x:v>
      </x:c>
      <x:c r="AE210" s="13" t="str">
        <x:v>deepseek/deepseek-v4-pro</x:v>
      </x:c>
      <x:c r="AF210" s="13" t="str">
        <x:v>aj2-y90-20260714T234810-0bea2f52</x:v>
      </x:c>
      <x:c r="AG210" s="13" t="str">
        <x:v>full-0011</x:v>
      </x:c>
      <x:c r="AH210" s="13" t="str">
        <x:v>full</x:v>
      </x:c>
      <x:c r="AI210" s="13" t="n">
        <x:v>11</x:v>
      </x:c>
    </x:row>
    <x:row r="211" ht="34" customHeight="1">
      <x:c r="A211" s="15" t="str">
        <x:v>jawuallana flip flops for women</x:v>
      </x:c>
      <x:c r="B211" s="15" t="str">
        <x:v>jawuallana flip flops for women</x:v>
      </x:c>
      <x:c r="C211" s="10" t="str">
        <x:v>46b242afe592cbba</x:v>
      </x:c>
      <x:c r="D211" s="10" t="str">
        <x:v>keyword</x:v>
      </x:c>
      <x:c r="E211" s="10" t="str">
        <x:v>en</x:v>
      </x:c>
      <x:c r="F211" s="10" t="str">
        <x:v>clothing_shoes_jewelry</x:v>
      </x:c>
      <x:c r="G211" s="15" t="str"/>
      <x:c r="H211" s="15" t="str">
        <x:v>flip_flops</x:v>
      </x:c>
      <x:c r="I211" s="15" t="str">
        <x:v>women</x:v>
      </x:c>
      <x:c r="J211" s="15" t="str"/>
      <x:c r="K211" s="15" t="str"/>
      <x:c r="L211" s="15" t="str"/>
      <x:c r="M211" s="15" t="str"/>
      <x:c r="N211" s="15" t="str"/>
      <x:c r="O211" s="15" t="str"/>
      <x:c r="P211" s="15" t="str"/>
      <x:c r="Q211" s="15" t="str"/>
      <x:c r="R211" s="15" t="str">
        <x:v>用户搜索jawuallana品牌的女式拖鞋，品牌与当前产品不符。</x:v>
      </x:c>
      <x:c r="S211" s="10" t="str">
        <x:v>brand_harvest</x:v>
      </x:c>
      <x:c r="T211" s="15" t="str">
        <x:v>explicit</x:v>
      </x:c>
      <x:c r="U211" s="10" t="str">
        <x:v>high</x:v>
      </x:c>
      <x:c r="V211" s="15" t="str">
        <x:v>jawuallana_flip_flops_women</x:v>
      </x:c>
      <x:c r="W211" s="15" t="str">
        <x:v>semantic_negative_candidate</x:v>
      </x:c>
      <x:c r="X211" s="15" t="str">
        <x:v>{"product_type":[{"value":"flip_flops","evidence_type":"explicit","source_span":"flip flops","fact_ids":[],"rationale":"Term explicitly names flip flops."},{"value":"flip_flops","evidence_type":"page_validated","source_span":"","fact_ids":["style_flip_flop"],"rationale":"该槽位与商品基准中的明示页面事实一致。"}],"audience_intent":[{"value":"women","evidence_type":"explicit","source_span":"women","fact_ids":[],"rationale":"Term explicitly specifies women."},{"value":"women","evidence_type":"page_validated","source_span":"","fact_ids":["title_womens_flip_flop"],"rationale":"该槽位与商品基准中的明示页面事实一致。"}],"brand_jawuallana":[{"value":"jawuallana","evidence_type":"explicit","source_span":"jawuallana","fact_ids":[],"rationale":"Term contains a brand name different from joomra."}],"asin_fit_brand":[{"value":"mismatch","evidence_type":"inferred","source_span":"jawuallana","fact_ids":[],"rationale":"Brand jawuallana does not match baseline brand joomra."}],"primary_domain":[{"value":"clothing_shoes_jewelry","evidence_type":"inferred","source_span":"","fact_ids":[],"rationale":"该值由搜索词整体语义推断，未作为页面明示属性。"}]}</x:v>
      </x:c>
      <x:c r="Y211" s="15" t="str"/>
      <x:c r="Z211" s="10" t="str">
        <x:v>mismatch</x:v>
      </x:c>
      <x:c r="AA211" s="15" t="str"/>
      <x:c r="AB211" s="10" t="str">
        <x:v>accepted</x:v>
      </x:c>
      <x:c r="AC211" s="10" t="str">
        <x:v>1.0.0</x:v>
      </x:c>
      <x:c r="AD211" s="10" t="str">
        <x:v>1.1.0</x:v>
      </x:c>
      <x:c r="AE211" s="10" t="str">
        <x:v>deepseek/deepseek-v4-pro</x:v>
      </x:c>
      <x:c r="AF211" s="10" t="str">
        <x:v>aj2-y90-20260714T234810-0bea2f52</x:v>
      </x:c>
      <x:c r="AG211" s="10" t="str">
        <x:v>full-0011</x:v>
      </x:c>
      <x:c r="AH211" s="10" t="str">
        <x:v>full</x:v>
      </x:c>
      <x:c r="AI211" s="10" t="n">
        <x:v>11</x:v>
      </x:c>
    </x:row>
    <x:row r="212" ht="34" customHeight="1">
      <x:c r="A212" s="16" t="str">
        <x:v>propet womens flip flop</x:v>
      </x:c>
      <x:c r="B212" s="16" t="str">
        <x:v>propet womens flip flop</x:v>
      </x:c>
      <x:c r="C212" s="13" t="str">
        <x:v>4ca941335b0fd9b7</x:v>
      </x:c>
      <x:c r="D212" s="13" t="str">
        <x:v>keyword</x:v>
      </x:c>
      <x:c r="E212" s="13" t="str">
        <x:v>en</x:v>
      </x:c>
      <x:c r="F212" s="13" t="str">
        <x:v>clothing_shoes_jewelry</x:v>
      </x:c>
      <x:c r="G212" s="16" t="str"/>
      <x:c r="H212" s="16" t="str">
        <x:v>flip_flop</x:v>
      </x:c>
      <x:c r="I212" s="16" t="str">
        <x:v>women</x:v>
      </x:c>
      <x:c r="J212" s="16" t="str"/>
      <x:c r="K212" s="16" t="str"/>
      <x:c r="L212" s="16" t="str"/>
      <x:c r="M212" s="16" t="str"/>
      <x:c r="N212" s="16" t="str"/>
      <x:c r="O212" s="16" t="str"/>
      <x:c r="P212" s="16" t="str"/>
      <x:c r="Q212" s="16" t="str"/>
      <x:c r="R212" s="16" t="str">
        <x:v>用户搜索propet品牌的女式拖鞋，品牌与当前产品不匹配。</x:v>
      </x:c>
      <x:c r="S212" s="13" t="str">
        <x:v>brand_harvest</x:v>
      </x:c>
      <x:c r="T212" s="16" t="str">
        <x:v>explicit</x:v>
      </x:c>
      <x:c r="U212" s="13" t="str">
        <x:v>high</x:v>
      </x:c>
      <x:c r="V212" s="16" t="str">
        <x:v>propet_womens_flip_flop</x:v>
      </x:c>
      <x:c r="W212" s="16" t="str">
        <x:v>semantic_negative_candidate</x:v>
      </x:c>
      <x:c r="X212" s="16" t="str">
        <x:v>{"product_type":[{"value":"flip_flop","evidence_type":"explicit","source_span":"flip flop","fact_ids":[],"rationale":"Term explicitly names flip flop."},{"value":"flip_flop","evidence_type":"page_validated","source_span":"","fact_ids":["style_flip_flop"],"rationale":"该槽位与商品基准中的明示页面事实一致。"}],"audience_intent":[{"value":"women","evidence_type":"explicit","source_span":"womens","fact_ids":[],"rationale":"Term explicitly specifies womens."},{"value":"women","evidence_type":"page_validated","source_span":"","fact_ids":["title_womens_flip_flop"],"rationale":"该槽位与商品基准中的明示页面事实一致。"}],"brand_propet":[{"value":"propet","evidence_type":"explicit","source_span":"propet","fact_ids":[],"rationale":"Term contains brand name Propet, different from joomra."}],"asin_fit_brand":[{"value":"mismatch","evidence_type":"inferred","source_span":"propet","fact_ids":[],"rationale":"Propet is a different footwear brand; not joomra."}],"primary_domain":[{"value":"clothing_shoes_jewelry","evidence_type":"inferred","source_span":"","fact_ids":[],"rationale":"该值由搜索词整体语义推断，未作为页面明示属性。"}]}</x:v>
      </x:c>
      <x:c r="Y212" s="16" t="str"/>
      <x:c r="Z212" s="13" t="str">
        <x:v>mismatch</x:v>
      </x:c>
      <x:c r="AA212" s="16" t="str"/>
      <x:c r="AB212" s="13" t="str">
        <x:v>accepted</x:v>
      </x:c>
      <x:c r="AC212" s="13" t="str">
        <x:v>1.0.0</x:v>
      </x:c>
      <x:c r="AD212" s="13" t="str">
        <x:v>1.1.0</x:v>
      </x:c>
      <x:c r="AE212" s="13" t="str">
        <x:v>deepseek/deepseek-v4-pro</x:v>
      </x:c>
      <x:c r="AF212" s="13" t="str">
        <x:v>aj2-y90-20260714T234810-0bea2f52</x:v>
      </x:c>
      <x:c r="AG212" s="13" t="str">
        <x:v>full-0011</x:v>
      </x:c>
      <x:c r="AH212" s="13" t="str">
        <x:v>full</x:v>
      </x:c>
      <x:c r="AI212" s="13" t="n">
        <x:v>11</x:v>
      </x:c>
    </x:row>
    <x:row r="213" ht="34" customHeight="1">
      <x:c r="A213" s="15" t="str">
        <x:v>hot pink sandals</x:v>
      </x:c>
      <x:c r="B213" s="15" t="str">
        <x:v>hot pink sandals</x:v>
      </x:c>
      <x:c r="C213" s="10" t="str">
        <x:v>5e44d4ac6cd6992e</x:v>
      </x:c>
      <x:c r="D213" s="10" t="str">
        <x:v>keyword</x:v>
      </x:c>
      <x:c r="E213" s="10" t="str">
        <x:v>en</x:v>
      </x:c>
      <x:c r="F213" s="10" t="str">
        <x:v>clothing_shoes_jewelry</x:v>
      </x:c>
      <x:c r="G213" s="15" t="str"/>
      <x:c r="H213" s="15" t="str">
        <x:v>sandals</x:v>
      </x:c>
      <x:c r="I213" s="15" t="str"/>
      <x:c r="J213" s="15" t="str"/>
      <x:c r="K213" s="15" t="str"/>
      <x:c r="L213" s="15" t="str"/>
      <x:c r="M213" s="15" t="str"/>
      <x:c r="N213" s="15" t="str"/>
      <x:c r="O213" s="15" t="str"/>
      <x:c r="P213" s="15" t="str"/>
      <x:c r="Q213" s="15" t="str"/>
      <x:c r="R213" s="15" t="str">
        <x:v>用户想要购买一双热粉色凉鞋，无特定性别或功能要求，偏向款式浏览。</x:v>
      </x:c>
      <x:c r="S213" s="10" t="str">
        <x:v>exploration</x:v>
      </x:c>
      <x:c r="T213" s="15" t="str">
        <x:v>explicit | page_validated</x:v>
      </x:c>
      <x:c r="U213" s="10" t="str">
        <x:v>medium</x:v>
      </x:c>
      <x:c r="V213" s="15" t="str">
        <x:v>hot_pink_sandals</x:v>
      </x:c>
      <x:c r="W213" s="15" t="str">
        <x:v>listing_gap_review</x:v>
      </x:c>
      <x:c r="X213" s="15" t="str">
        <x:v>{"product_type":[{"value":"sandals","evidence_type":"explicit","source_span":"sandals","fact_ids":[],"rationale":"Term explicitly names sandals."},{"value":"sandals","evidence_type":"page_validated","source_span":"","fact_ids":["title_womens_flip_flop"],"rationale":"该槽位与商品基准中的明示页面事实一致。"}],"color_hot_pink":[{"value":"hot_pink","evidence_type":"explicit","source_span":"hot pink","fact_ids":[],"rationale":"Term explicitly requests hot pink."}],"asin_fit_product_class":[{"value":"partial_match","evidence_type":"page_validated","source_span":"","fact_ids":["title_womens_flip_flop","style_flip_flop","colors_visible"],"rationale":"Flip flop is a sandal subtype; available pink may differ from hot pink."}],"primary_domain":[{"value":"clothing_shoes_jewelry","evidence_type":"inferred","source_span":"","fact_ids":[],"rationale":"该值由搜索词整体语义推断，未作为页面明示属性。"}]}</x:v>
      </x:c>
      <x:c r="Y213" s="15" t="str">
        <x:v>color_shade_ambiguity</x:v>
      </x:c>
      <x:c r="Z213" s="10" t="str">
        <x:v>partial_match</x:v>
      </x:c>
      <x:c r="AA213" s="15" t="str">
        <x:v>title_womens_flip_flop | style_flip_flop | colors_visible</x:v>
      </x:c>
      <x:c r="AB213" s="10" t="str">
        <x:v>accepted</x:v>
      </x:c>
      <x:c r="AC213" s="10" t="str">
        <x:v>1.0.0</x:v>
      </x:c>
      <x:c r="AD213" s="10" t="str">
        <x:v>1.1.0</x:v>
      </x:c>
      <x:c r="AE213" s="10" t="str">
        <x:v>deepseek/deepseek-v4-pro</x:v>
      </x:c>
      <x:c r="AF213" s="10" t="str">
        <x:v>aj2-y90-20260714T234810-0bea2f52</x:v>
      </x:c>
      <x:c r="AG213" s="10" t="str">
        <x:v>full-0011</x:v>
      </x:c>
      <x:c r="AH213" s="10" t="str">
        <x:v>full</x:v>
      </x:c>
      <x:c r="AI213" s="10" t="n">
        <x:v>11</x:v>
      </x:c>
    </x:row>
    <x:row r="214" ht="34" customHeight="1">
      <x:c r="A214" s="16" t="str">
        <x:v>flip flopwhite</x:v>
      </x:c>
      <x:c r="B214" s="16" t="str">
        <x:v>flip flopwhite</x:v>
      </x:c>
      <x:c r="C214" s="13" t="str">
        <x:v>858c5e2837b54b77</x:v>
      </x:c>
      <x:c r="D214" s="13" t="str">
        <x:v>keyword</x:v>
      </x:c>
      <x:c r="E214" s="13" t="str">
        <x:v>en</x:v>
      </x:c>
      <x:c r="F214" s="13" t="str">
        <x:v>clothing_shoes_jewelry</x:v>
      </x:c>
      <x:c r="G214" s="16" t="str"/>
      <x:c r="H214" s="16" t="str">
        <x:v>flip_flop</x:v>
      </x:c>
      <x:c r="I214" s="16" t="str"/>
      <x:c r="J214" s="16" t="str"/>
      <x:c r="K214" s="16" t="str"/>
      <x:c r="L214" s="16" t="str"/>
      <x:c r="M214" s="16" t="str"/>
      <x:c r="N214" s="16" t="str"/>
      <x:c r="O214" s="16" t="str"/>
      <x:c r="P214" s="16" t="str"/>
      <x:c r="Q214" s="16" t="str"/>
      <x:c r="R214" s="16" t="str">
        <x:v>用户搜索白色拖鞋，搜索词连写可能为拼写习惯或输入错误。</x:v>
      </x:c>
      <x:c r="S214" s="13" t="str">
        <x:v>exploration</x:v>
      </x:c>
      <x:c r="T214" s="16" t="str">
        <x:v>explicit | page_validated</x:v>
      </x:c>
      <x:c r="U214" s="13" t="str">
        <x:v>high</x:v>
      </x:c>
      <x:c r="V214" s="16" t="str">
        <x:v>white_flip_flop</x:v>
      </x:c>
      <x:c r="W214" s="16" t="str">
        <x:v>cluster_route</x:v>
      </x:c>
      <x:c r="X214" s="16" t="str">
        <x:v>{"product_type":[{"value":"flip_flop","evidence_type":"explicit","source_span":"flip flop","fact_ids":[],"rationale":"Term contains flip flop."},{"value":"flip_flop","evidence_type":"page_validated","source_span":"","fact_ids":["style_flip_flop"],"rationale":"该槽位与商品基准中的明示页面事实一致。"}],"color_white":[{"value":"white","evidence_type":"explicit","source_span":"white","fact_ids":[],"rationale":"Term contains white."}],"asin_fit_white":[{"value":"match","evidence_type":"page_validated","source_span":"","fact_ids":["style_flip_flop","colors_visible"],"rationale":"Flip flop with white color option available."}],"primary_domain":[{"value":"clothing_shoes_jewelry","evidence_type":"inferred","source_span":"","fact_ids":[],"rationale":"该值由搜索词整体语义推断，未作为页面明示属性。"}]}</x:v>
      </x:c>
      <x:c r="Y214" s="16" t="str">
        <x:v>spacing_ambiguity</x:v>
      </x:c>
      <x:c r="Z214" s="13" t="str">
        <x:v>match</x:v>
      </x:c>
      <x:c r="AA214" s="16" t="str">
        <x:v>style_flip_flop | colors_visible</x:v>
      </x:c>
      <x:c r="AB214" s="13" t="str">
        <x:v>accepted</x:v>
      </x:c>
      <x:c r="AC214" s="13" t="str">
        <x:v>1.0.0</x:v>
      </x:c>
      <x:c r="AD214" s="13" t="str">
        <x:v>1.1.0</x:v>
      </x:c>
      <x:c r="AE214" s="13" t="str">
        <x:v>deepseek/deepseek-v4-pro</x:v>
      </x:c>
      <x:c r="AF214" s="13" t="str">
        <x:v>aj2-y90-20260714T234810-0bea2f52</x:v>
      </x:c>
      <x:c r="AG214" s="13" t="str">
        <x:v>full-0011</x:v>
      </x:c>
      <x:c r="AH214" s="13" t="str">
        <x:v>full</x:v>
      </x:c>
      <x:c r="AI214" s="13" t="n">
        <x:v>11</x:v>
      </x:c>
    </x:row>
    <x:row r="215" ht="34" customHeight="1">
      <x:c r="A215" s="15" t="str">
        <x:v>flip flops women cushy</x:v>
      </x:c>
      <x:c r="B215" s="15" t="str">
        <x:v>flip flops women cushy</x:v>
      </x:c>
      <x:c r="C215" s="10" t="str">
        <x:v>8d87ab62804eaa5f</x:v>
      </x:c>
      <x:c r="D215" s="10" t="str">
        <x:v>keyword</x:v>
      </x:c>
      <x:c r="E215" s="10" t="str">
        <x:v>en</x:v>
      </x:c>
      <x:c r="F215" s="10" t="str">
        <x:v>clothing_shoes_jewelry</x:v>
      </x:c>
      <x:c r="G215" s="15" t="str"/>
      <x:c r="H215" s="15" t="str">
        <x:v>flip_flops</x:v>
      </x:c>
      <x:c r="I215" s="15" t="str">
        <x:v>women</x:v>
      </x:c>
      <x:c r="J215" s="15" t="str"/>
      <x:c r="K215" s="15" t="str">
        <x:v>cushioning</x:v>
      </x:c>
      <x:c r="L215" s="15" t="str"/>
      <x:c r="M215" s="15" t="str"/>
      <x:c r="N215" s="15" t="str">
        <x:v>cushioning_need</x:v>
      </x:c>
      <x:c r="O215" s="15" t="str"/>
      <x:c r="P215" s="15" t="str"/>
      <x:c r="Q215" s="15" t="str"/>
      <x:c r="R215" s="15" t="str">
        <x:v>女性用户需要一双极致柔软舒适的拖鞋，强调缓冲脚感。</x:v>
      </x:c>
      <x:c r="S215" s="10" t="str">
        <x:v>consideration</x:v>
      </x:c>
      <x:c r="T215" s="15" t="str">
        <x:v>explicit | page_validated</x:v>
      </x:c>
      <x:c r="U215" s="10" t="str">
        <x:v>high</x:v>
      </x:c>
      <x:c r="V215" s="15" t="str">
        <x:v>cushy_flip_flops_women</x:v>
      </x:c>
      <x:c r="W215" s="15" t="str">
        <x:v>cluster_route</x:v>
      </x:c>
      <x:c r="X215" s="15" t="str">
        <x:v>{"product_type":[{"value":"flip_flops","evidence_type":"explicit","source_span":"flip flops","fact_ids":[],"rationale":"Term explicitly names flip flops."},{"value":"flip_flops","evidence_type":"page_validated","source_span":"","fact_ids":["style_flip_flop"],"rationale":"该槽位与商品基准中的明示页面事实一致。"}],"audience_intent":[{"value":"women","evidence_type":"explicit","source_span":"women","fact_ids":[],"rationale":"Term explicitly specifies women."},{"value":"women","evidence_type":"page_validated","source_span":"","fact_ids":["title_womens_flip_flop"],"rationale":"该槽位与商品基准中的明示页面事实一致。"}],"capability_intent":[{"value":"cushioning","evidence_type":"explicit","source_span":"cushy","fact_ids":[],"rationale":"Term explicitly demands cushy comfort."},{"value":"cushioning","evidence_type":"page_validated","source_span":"","fact_ids":["padded_cushioning"],"rationale":"该槽位与商品基准中的明示页面事实一致。"},{"value":"cushioning","evidence_type":"inferred","source_span":"","fact_ids":[],"rationale":"该能力由搜索词表达的任务或问题推断；页面事实仅用于验证商品承接。"}],"body_need_intent":[{"value":"cushioning_need","evidence_type":"inferred","source_span":"cushy","fact_ids":[],"rationale":"柔软舒适需求对应缓冲功能。"}],"asin_fit_cushy":[{"value":"match","evidence_type":"page_validated","source_span":"","fact_ids":["title_womens_flip_flop","style_flip_flop","padded_cushioning"],"rationale":"Women's flip flop with padded cushioning."}],"primary_domain":[{"value":"clothing_shoes_jewelry","evidence_type":"inferred","source_span":"","fact_ids":[],"rationale":"该值由搜索词整体语义推断，未作为页面明示属性。"}]}</x:v>
      </x:c>
      <x:c r="Y215" s="15" t="str"/>
      <x:c r="Z215" s="10" t="str">
        <x:v>match</x:v>
      </x:c>
      <x:c r="AA215" s="15" t="str">
        <x:v>title_womens_flip_flop | style_flip_flop | padded_cushioning</x:v>
      </x:c>
      <x:c r="AB215" s="10" t="str">
        <x:v>accepted</x:v>
      </x:c>
      <x:c r="AC215" s="10" t="str">
        <x:v>1.0.0</x:v>
      </x:c>
      <x:c r="AD215" s="10" t="str">
        <x:v>1.1.0</x:v>
      </x:c>
      <x:c r="AE215" s="10" t="str">
        <x:v>deepseek/deepseek-v4-pro</x:v>
      </x:c>
      <x:c r="AF215" s="10" t="str">
        <x:v>aj2-y90-20260714T234810-0bea2f52</x:v>
      </x:c>
      <x:c r="AG215" s="10" t="str">
        <x:v>full-0011</x:v>
      </x:c>
      <x:c r="AH215" s="10" t="str">
        <x:v>full</x:v>
      </x:c>
      <x:c r="AI215" s="10" t="n">
        <x:v>11</x:v>
      </x:c>
    </x:row>
    <x:row r="216" ht="34" customHeight="1">
      <x:c r="A216" s="16" t="str">
        <x:v>walking flip flops women</x:v>
      </x:c>
      <x:c r="B216" s="16" t="str">
        <x:v>walking flip flops women</x:v>
      </x:c>
      <x:c r="C216" s="13" t="str">
        <x:v>998a039cd8e02d43</x:v>
      </x:c>
      <x:c r="D216" s="13" t="str">
        <x:v>keyword</x:v>
      </x:c>
      <x:c r="E216" s="13" t="str">
        <x:v>en</x:v>
      </x:c>
      <x:c r="F216" s="13" t="str">
        <x:v>clothing_shoes_jewelry</x:v>
      </x:c>
      <x:c r="G216" s="16" t="str"/>
      <x:c r="H216" s="16" t="str">
        <x:v>flip_flops</x:v>
      </x:c>
      <x:c r="I216" s="16" t="str">
        <x:v>women</x:v>
      </x:c>
      <x:c r="J216" s="16" t="str"/>
      <x:c r="K216" s="16" t="str">
        <x:v>walking_comfort</x:v>
      </x:c>
      <x:c r="L216" s="16" t="str">
        <x:v>walking</x:v>
      </x:c>
      <x:c r="M216" s="16" t="str"/>
      <x:c r="N216" s="16" t="str"/>
      <x:c r="O216" s="16" t="str"/>
      <x:c r="P216" s="16" t="str"/>
      <x:c r="Q216" s="16" t="str"/>
      <x:c r="R216" s="16" t="str">
        <x:v>女性用户需要一双适合长时间步行的拖鞋，要求舒适与支撑。</x:v>
      </x:c>
      <x:c r="S216" s="13" t="str">
        <x:v>consideration</x:v>
      </x:c>
      <x:c r="T216" s="16" t="str">
        <x:v>explicit | page_validated | inferred</x:v>
      </x:c>
      <x:c r="U216" s="13" t="str">
        <x:v>medium</x:v>
      </x:c>
      <x:c r="V216" s="16" t="str">
        <x:v>walking_flip_flops_women</x:v>
      </x:c>
      <x:c r="W216" s="16" t="str">
        <x:v>listing_gap_review</x:v>
      </x:c>
      <x:c r="X216" s="16" t="str">
        <x:v>{"product_type":[{"value":"flip_flops","evidence_type":"explicit","source_span":"flip flops","fact_ids":[],"rationale":"Term explicitly names flip flops."},{"value":"flip_flops","evidence_type":"page_validated","source_span":"","fact_ids":["style_flip_flop"],"rationale":"该槽位与商品基准中的明示页面事实一致。"}],"audience_intent":[{"value":"women","evidence_type":"explicit","source_span":"women","fact_ids":[],"rationale":"Term explicitly specifies women."},{"value":"women","evidence_type":"page_validated","source_span":"","fact_ids":["title_womens_flip_flop"],"rationale":"该槽位与商品基准中的明示页面事实一致。"}],"event_intent":[{"value":"walking","evidence_type":"explicit","source_span":"walking","fact_ids":[],"rationale":"Term explicitly states walking."}],"capability_intent":[{"value":"walking_comfort","evidence_type":"inferred","source_span":"walking","fact_ids":[],"rationale":"步行需足弓支撑与缓冲。"}],"asin_fit_walking":[{"value":"partial_match","evidence_type":"page_validated","source_span":"","fact_ids":["title_womens_flip_flop","style_flip_flop","arch_support","padded_cushioning"],"rationale":"Product offers support and padding but not walking-specific claims."}],"primary_domain":[{"value":"clothing_shoes_jewelry","evidence_type":"inferred","source_span":"","fact_ids":[],"rationale":"该值由搜索词整体语义推断，未作为页面明示属性。"}]}</x:v>
      </x:c>
      <x:c r="Y216" s="16" t="str"/>
      <x:c r="Z216" s="13" t="str">
        <x:v>partial_match</x:v>
      </x:c>
      <x:c r="AA216" s="16" t="str">
        <x:v>title_womens_flip_flop | style_flip_flop | arch_support | padded_cushioning</x:v>
      </x:c>
      <x:c r="AB216" s="13" t="str">
        <x:v>accepted</x:v>
      </x:c>
      <x:c r="AC216" s="13" t="str">
        <x:v>1.0.0</x:v>
      </x:c>
      <x:c r="AD216" s="13" t="str">
        <x:v>1.1.0</x:v>
      </x:c>
      <x:c r="AE216" s="13" t="str">
        <x:v>deepseek/deepseek-v4-pro</x:v>
      </x:c>
      <x:c r="AF216" s="13" t="str">
        <x:v>aj2-y90-20260714T234810-0bea2f52</x:v>
      </x:c>
      <x:c r="AG216" s="13" t="str">
        <x:v>full-0011</x:v>
      </x:c>
      <x:c r="AH216" s="13" t="str">
        <x:v>full</x:v>
      </x:c>
      <x:c r="AI216" s="13" t="n">
        <x:v>11</x:v>
      </x:c>
    </x:row>
    <x:row r="217" ht="34" customHeight="1">
      <x:c r="A217" s="15" t="str">
        <x:v>sport flip flops for women</x:v>
      </x:c>
      <x:c r="B217" s="15" t="str">
        <x:v>sport flip flops for women</x:v>
      </x:c>
      <x:c r="C217" s="10" t="str">
        <x:v>99c3256c6e42b19c</x:v>
      </x:c>
      <x:c r="D217" s="10" t="str">
        <x:v>keyword</x:v>
      </x:c>
      <x:c r="E217" s="10" t="str">
        <x:v>en</x:v>
      </x:c>
      <x:c r="F217" s="10" t="str">
        <x:v>clothing_shoes_jewelry</x:v>
      </x:c>
      <x:c r="G217" s="15" t="str">
        <x:v>sports_outdoors</x:v>
      </x:c>
      <x:c r="H217" s="15" t="str">
        <x:v>flip_flops</x:v>
      </x:c>
      <x:c r="I217" s="15" t="str">
        <x:v>women</x:v>
      </x:c>
      <x:c r="J217" s="15" t="str"/>
      <x:c r="K217" s="15" t="str">
        <x:v>sport_ready</x:v>
      </x:c>
      <x:c r="L217" s="15" t="str"/>
      <x:c r="M217" s="15" t="str"/>
      <x:c r="N217" s="15" t="str"/>
      <x:c r="O217" s="15" t="str"/>
      <x:c r="P217" s="15" t="str"/>
      <x:c r="Q217" s="15" t="str"/>
      <x:c r="R217" s="15" t="str">
        <x:v>女性用户需要一双适合运动场景穿着的拖鞋，注重抓地力与支撑性能。</x:v>
      </x:c>
      <x:c r="S217" s="10" t="str">
        <x:v>consideration</x:v>
      </x:c>
      <x:c r="T217" s="15" t="str">
        <x:v>explicit | page_validated | inferred</x:v>
      </x:c>
      <x:c r="U217" s="10" t="str">
        <x:v>medium</x:v>
      </x:c>
      <x:c r="V217" s="15" t="str">
        <x:v>sport_flip_flops_women</x:v>
      </x:c>
      <x:c r="W217" s="15" t="str">
        <x:v>listing_gap_review</x:v>
      </x:c>
      <x:c r="X217" s="15" t="str">
        <x:v>{"product_type":[{"value":"flip_flops","evidence_type":"explicit","source_span":"flip flops","fact_ids":[],"rationale":"Term explicitly names flip flops."},{"value":"flip_flops","evidence_type":"page_validated","source_span":"","fact_ids":["style_flip_flop"],"rationale":"该槽位与商品基准中的明示页面事实一致。"}],"audience_intent":[{"value":"women","evidence_type":"explicit","source_span":"women","fact_ids":[],"rationale":"Term explicitly specifies women."},{"value":"women","evidence_type":"page_validated","source_span":"","fact_ids":["title_womens_flip_flop"],"rationale":"该槽位与商品基准中的明示页面事实一致。"}],"capability_intent":[{"value":"sport_ready","evidence_type":"inferred","source_span":"sport","fact_ids":[],"rationale":"运动需要支撑、防滑与缓冲。"}],"asin_fit_sport":[{"value":"partial_match","evidence_type":"page_validated","source_span":"","fact_ids":["title_womens_flip_flop","style_flip_flop","arch_support","slip_resistant_grip","padded_cushioning"],"rationale":"Product has arch support and grip but not sport-specific design claims."}],"secondary_domain":[{"value":"sports_outdoors","evidence_type":"inferred","source_span":"","fact_ids":[],"rationale":"该值由搜索词整体语义推断，未作为页面明示属性。"}],"primary_domain":[{"value":"clothing_shoes_jewelry","evidence_type":"inferred","source_span":"","fact_ids":[],"rationale":"该值由搜索词整体语义推断，未作为页面明示属性。"}]}</x:v>
      </x:c>
      <x:c r="Y217" s="15" t="str"/>
      <x:c r="Z217" s="10" t="str">
        <x:v>partial_match</x:v>
      </x:c>
      <x:c r="AA217" s="15" t="str">
        <x:v>title_womens_flip_flop | style_flip_flop | arch_support | slip_resistant_grip | padded_cushioning</x:v>
      </x:c>
      <x:c r="AB217" s="10" t="str">
        <x:v>accepted</x:v>
      </x:c>
      <x:c r="AC217" s="10" t="str">
        <x:v>1.0.0</x:v>
      </x:c>
      <x:c r="AD217" s="10" t="str">
        <x:v>1.1.0</x:v>
      </x:c>
      <x:c r="AE217" s="10" t="str">
        <x:v>deepseek/deepseek-v4-pro</x:v>
      </x:c>
      <x:c r="AF217" s="10" t="str">
        <x:v>aj2-y90-20260714T234810-0bea2f52</x:v>
      </x:c>
      <x:c r="AG217" s="10" t="str">
        <x:v>full-0011</x:v>
      </x:c>
      <x:c r="AH217" s="10" t="str">
        <x:v>full</x:v>
      </x:c>
      <x:c r="AI217" s="10" t="n">
        <x:v>11</x:v>
      </x:c>
    </x:row>
    <x:row r="218" ht="34" customHeight="1">
      <x:c r="A218" s="16" t="str">
        <x:v>white flip flops women cheap</x:v>
      </x:c>
      <x:c r="B218" s="16" t="str">
        <x:v>white flip flops women cheap</x:v>
      </x:c>
      <x:c r="C218" s="13" t="str">
        <x:v>a02aab1fa0974cbc</x:v>
      </x:c>
      <x:c r="D218" s="13" t="str">
        <x:v>keyword</x:v>
      </x:c>
      <x:c r="E218" s="13" t="str">
        <x:v>en</x:v>
      </x:c>
      <x:c r="F218" s="13" t="str">
        <x:v>clothing_shoes_jewelry</x:v>
      </x:c>
      <x:c r="G218" s="16" t="str"/>
      <x:c r="H218" s="16" t="str">
        <x:v>flip_flops</x:v>
      </x:c>
      <x:c r="I218" s="16" t="str">
        <x:v>women</x:v>
      </x:c>
      <x:c r="J218" s="16" t="str"/>
      <x:c r="K218" s="16" t="str"/>
      <x:c r="L218" s="16" t="str"/>
      <x:c r="M218" s="16" t="str"/>
      <x:c r="N218" s="16" t="str"/>
      <x:c r="O218" s="16" t="str"/>
      <x:c r="P218" s="16" t="str"/>
      <x:c r="Q218" s="16" t="str"/>
      <x:c r="R218" s="16" t="str">
        <x:v>女性用户寻找价格便宜的白色拖鞋，对价格敏感。</x:v>
      </x:c>
      <x:c r="S218" s="13" t="str">
        <x:v>consideration</x:v>
      </x:c>
      <x:c r="T218" s="16" t="str">
        <x:v>explicit | page_validated</x:v>
      </x:c>
      <x:c r="U218" s="13" t="str">
        <x:v>medium</x:v>
      </x:c>
      <x:c r="V218" s="16" t="str">
        <x:v>white_flip_flops_women_cheap</x:v>
      </x:c>
      <x:c r="W218" s="16" t="str">
        <x:v>performance_observation</x:v>
      </x:c>
      <x:c r="X218" s="16" t="str">
        <x:v>{"product_type":[{"value":"flip_flops","evidence_type":"explicit","source_span":"flip flops","fact_ids":[],"rationale":"Term explicitly names flip flops."},{"value":"flip_flops","evidence_type":"page_validated","source_span":"","fact_ids":["style_flip_flop"],"rationale":"该槽位与商品基准中的明示页面事实一致。"}],"audience_intent":[{"value":"women","evidence_type":"explicit","source_span":"women","fact_ids":[],"rationale":"Term explicitly specifies women."},{"value":"women","evidence_type":"page_validated","source_span":"","fact_ids":["title_womens_flip_flop"],"rationale":"该槽位与商品基准中的明示页面事实一致。"}],"color_white":[{"value":"white","evidence_type":"explicit","source_span":"white","fact_ids":[],"rationale":"Term explicitly requests white."}],"price_constraint":[{"value":"cheap","evidence_type":"explicit","source_span":"cheap","fact_ids":[],"rationale":"Term explicitly demands low price."}],"asin_fit_product":[{"value":"match","evidence_type":"page_validated","source_span":"","fact_ids":["title_womens_flip_flop","style_flip_flop","colors_visible"],"rationale":"Product matches women's white flip flops; price assessment requires performance data."}],"primary_domain":[{"value":"clothing_shoes_jewelry","evidence_type":"inferred","source_span":"","fact_ids":[],"rationale":"该值由搜索词整体语义推断，未作为页面明示属性。"}]}</x:v>
      </x:c>
      <x:c r="Y218" s="16" t="str"/>
      <x:c r="Z218" s="13" t="str">
        <x:v>match</x:v>
      </x:c>
      <x:c r="AA218" s="16" t="str">
        <x:v>title_womens_flip_flop | style_flip_flop | colors_visible</x:v>
      </x:c>
      <x:c r="AB218" s="13" t="str">
        <x:v>accepted</x:v>
      </x:c>
      <x:c r="AC218" s="13" t="str">
        <x:v>1.0.0</x:v>
      </x:c>
      <x:c r="AD218" s="13" t="str">
        <x:v>1.1.0</x:v>
      </x:c>
      <x:c r="AE218" s="13" t="str">
        <x:v>deepseek/deepseek-v4-pro</x:v>
      </x:c>
      <x:c r="AF218" s="13" t="str">
        <x:v>aj2-y90-20260714T234810-0bea2f52</x:v>
      </x:c>
      <x:c r="AG218" s="13" t="str">
        <x:v>full-0011</x:v>
      </x:c>
      <x:c r="AH218" s="13" t="str">
        <x:v>full</x:v>
      </x:c>
      <x:c r="AI218" s="13" t="n">
        <x:v>11</x:v>
      </x:c>
    </x:row>
    <x:row r="219" ht="34" customHeight="1">
      <x:c r="A219" s="15" t="str">
        <x:v>same day delivery items flip flops</x:v>
      </x:c>
      <x:c r="B219" s="15" t="str">
        <x:v>same day delivery items flip flops</x:v>
      </x:c>
      <x:c r="C219" s="10" t="str">
        <x:v>da81c8c7120738a4</x:v>
      </x:c>
      <x:c r="D219" s="10" t="str">
        <x:v>keyword</x:v>
      </x:c>
      <x:c r="E219" s="10" t="str">
        <x:v>en</x:v>
      </x:c>
      <x:c r="F219" s="10" t="str">
        <x:v>clothing_shoes_jewelry</x:v>
      </x:c>
      <x:c r="G219" s="15" t="str"/>
      <x:c r="H219" s="15" t="str">
        <x:v>flip_flops</x:v>
      </x:c>
      <x:c r="I219" s="15" t="str"/>
      <x:c r="J219" s="15" t="str"/>
      <x:c r="K219" s="15" t="str"/>
      <x:c r="L219" s="15" t="str"/>
      <x:c r="M219" s="15" t="str"/>
      <x:c r="N219" s="15" t="str"/>
      <x:c r="O219" s="15" t="str">
        <x:v>same_day</x:v>
      </x:c>
      <x:c r="P219" s="15" t="str"/>
      <x:c r="Q219" s="15" t="str"/>
      <x:c r="R219" s="15" t="str">
        <x:v>用户需要能当日送达的拖鞋，对配送时效有严格要求。</x:v>
      </x:c>
      <x:c r="S219" s="10" t="str">
        <x:v>high_intent</x:v>
      </x:c>
      <x:c r="T219" s="15" t="str">
        <x:v>explicit | page_validated</x:v>
      </x:c>
      <x:c r="U219" s="10" t="str">
        <x:v>medium</x:v>
      </x:c>
      <x:c r="V219" s="15" t="str">
        <x:v>same_day_delivery_flip_flops</x:v>
      </x:c>
      <x:c r="W219" s="15" t="str">
        <x:v>performance_observation</x:v>
      </x:c>
      <x:c r="X219" s="15" t="str">
        <x:v>{"product_type":[{"value":"flip_flops","evidence_type":"explicit","source_span":"flip flops","fact_ids":[],"rationale":"Term explicitly names flip flops."},{"value":"flip_flops","evidence_type":"page_validated","source_span":"","fact_ids":["style_flip_flop"],"rationale":"该槽位与商品基准中的明示页面事实一致。"}],"time_intent":[{"value":"same_day","evidence_type":"explicit","source_span":"same day delivery","fact_ids":[],"rationale":"Term explicitly demands same day delivery."}],"asin_fit_product":[{"value":"match","evidence_type":"page_validated","source_span":"","fact_ids":["style_flip_flop"],"rationale":"Product is a flip flop; delivery is a service constraint outside product evidence."}],"primary_domain":[{"value":"clothing_shoes_jewelry","evidence_type":"inferred","source_span":"","fact_ids":[],"rationale":"该值由搜索词整体语义推断，未作为页面明示属性。"}]}</x:v>
      </x:c>
      <x:c r="Y219" s="15" t="str"/>
      <x:c r="Z219" s="10" t="str">
        <x:v>match</x:v>
      </x:c>
      <x:c r="AA219" s="15" t="str">
        <x:v>style_flip_flop</x:v>
      </x:c>
      <x:c r="AB219" s="10" t="str">
        <x:v>accepted</x:v>
      </x:c>
      <x:c r="AC219" s="10" t="str">
        <x:v>1.0.0</x:v>
      </x:c>
      <x:c r="AD219" s="10" t="str">
        <x:v>1.1.0</x:v>
      </x:c>
      <x:c r="AE219" s="10" t="str">
        <x:v>deepseek/deepseek-v4-pro</x:v>
      </x:c>
      <x:c r="AF219" s="10" t="str">
        <x:v>aj2-y90-20260714T234810-0bea2f52</x:v>
      </x:c>
      <x:c r="AG219" s="10" t="str">
        <x:v>full-0011</x:v>
      </x:c>
      <x:c r="AH219" s="10" t="str">
        <x:v>full</x:v>
      </x:c>
      <x:c r="AI219" s="10" t="n">
        <x:v>11</x:v>
      </x:c>
    </x:row>
    <x:row r="220" ht="34" customHeight="1">
      <x:c r="A220" s="16" t="str">
        <x:v>padded flip flops</x:v>
      </x:c>
      <x:c r="B220" s="16" t="str">
        <x:v>padded flip flops</x:v>
      </x:c>
      <x:c r="C220" s="13" t="str">
        <x:v>f5f878cc5ab4ced6</x:v>
      </x:c>
      <x:c r="D220" s="13" t="str">
        <x:v>keyword</x:v>
      </x:c>
      <x:c r="E220" s="13" t="str">
        <x:v>en</x:v>
      </x:c>
      <x:c r="F220" s="13" t="str">
        <x:v>clothing_shoes_jewelry</x:v>
      </x:c>
      <x:c r="G220" s="16" t="str"/>
      <x:c r="H220" s="16" t="str">
        <x:v>flip_flops</x:v>
      </x:c>
      <x:c r="I220" s="16" t="str"/>
      <x:c r="J220" s="16" t="str"/>
      <x:c r="K220" s="16" t="str">
        <x:v>padding</x:v>
      </x:c>
      <x:c r="L220" s="16" t="str"/>
      <x:c r="M220" s="16" t="str"/>
      <x:c r="N220" s="16" t="str">
        <x:v>cushioning_need</x:v>
      </x:c>
      <x:c r="O220" s="16" t="str"/>
      <x:c r="P220" s="16" t="str"/>
      <x:c r="Q220" s="16" t="str"/>
      <x:c r="R220" s="16" t="str">
        <x:v>用户需要一双带有加厚缓冲垫的拖鞋，注重柔软舒适的穿着体验。</x:v>
      </x:c>
      <x:c r="S220" s="13" t="str">
        <x:v>consideration</x:v>
      </x:c>
      <x:c r="T220" s="16" t="str">
        <x:v>explicit | page_validated</x:v>
      </x:c>
      <x:c r="U220" s="13" t="str">
        <x:v>high</x:v>
      </x:c>
      <x:c r="V220" s="16" t="str">
        <x:v>padded_flip_flops</x:v>
      </x:c>
      <x:c r="W220" s="16" t="str">
        <x:v>cluster_route</x:v>
      </x:c>
      <x:c r="X220" s="16" t="str">
        <x:v>{"product_type":[{"value":"flip_flops","evidence_type":"explicit","source_span":"flip flops","fact_ids":[],"rationale":"Term explicitly names flip flops."},{"value":"flip_flops","evidence_type":"page_validated","source_span":"","fact_ids":["style_flip_flop"],"rationale":"该槽位与商品基准中的明示页面事实一致。"}],"capability_intent":[{"value":"padding","evidence_type":"explicit","source_span":"padded","fact_ids":[],"rationale":"Term explicitly demands padded."}],"body_need_intent":[{"value":"cushioning_need","evidence_type":"inferred","source_span":"padded","fact_ids":[],"rationale":"加厚缓冲关联舒适需求。"}],"asin_fit_padded":[{"value":"match","evidence_type":"page_validated","source_span":"","fact_ids":["style_flip_flop","padded_cushioning"],"rationale":"Padded special feature matches exactly."}],"primary_domain":[{"value":"clothing_shoes_jewelry","evidence_type":"inferred","source_span":"","fact_ids":[],"rationale":"该值由搜索词整体语义推断，未作为页面明示属性。"}]}</x:v>
      </x:c>
      <x:c r="Y220" s="16" t="str"/>
      <x:c r="Z220" s="13" t="str">
        <x:v>match</x:v>
      </x:c>
      <x:c r="AA220" s="16" t="str">
        <x:v>style_flip_flop | padded_cushioning</x:v>
      </x:c>
      <x:c r="AB220" s="13" t="str">
        <x:v>accepted</x:v>
      </x:c>
      <x:c r="AC220" s="13" t="str">
        <x:v>1.0.0</x:v>
      </x:c>
      <x:c r="AD220" s="13" t="str">
        <x:v>1.1.0</x:v>
      </x:c>
      <x:c r="AE220" s="13" t="str">
        <x:v>deepseek/deepseek-v4-pro</x:v>
      </x:c>
      <x:c r="AF220" s="13" t="str">
        <x:v>aj2-y90-20260714T234810-0bea2f52</x:v>
      </x:c>
      <x:c r="AG220" s="13" t="str">
        <x:v>full-0011</x:v>
      </x:c>
      <x:c r="AH220" s="13" t="str">
        <x:v>full</x:v>
      </x:c>
      <x:c r="AI220" s="13" t="n">
        <x:v>11</x:v>
      </x:c>
    </x:row>
    <x:row r="221" ht="34" customHeight="1">
      <x:c r="A221" s="15" t="str">
        <x:v>size 11 sandals women</x:v>
      </x:c>
      <x:c r="B221" s="15" t="str">
        <x:v>size 11 sandals women</x:v>
      </x:c>
      <x:c r="C221" s="10" t="str">
        <x:v>fe06cb66f57dd6a3</x:v>
      </x:c>
      <x:c r="D221" s="10" t="str">
        <x:v>keyword</x:v>
      </x:c>
      <x:c r="E221" s="10" t="str">
        <x:v>en</x:v>
      </x:c>
      <x:c r="F221" s="10" t="str">
        <x:v>clothing_shoes_jewelry</x:v>
      </x:c>
      <x:c r="G221" s="15" t="str"/>
      <x:c r="H221" s="15" t="str">
        <x:v>sandals</x:v>
      </x:c>
      <x:c r="I221" s="15" t="str">
        <x:v>women</x:v>
      </x:c>
      <x:c r="J221" s="15" t="str"/>
      <x:c r="K221" s="15" t="str"/>
      <x:c r="L221" s="15" t="str"/>
      <x:c r="M221" s="15" t="str"/>
      <x:c r="N221" s="15" t="str">
        <x:v>size_11</x:v>
      </x:c>
      <x:c r="O221" s="15" t="str"/>
      <x:c r="P221" s="15" t="str"/>
      <x:c r="Q221" s="15" t="str"/>
      <x:c r="R221" s="15" t="str">
        <x:v>女性用户需要一双11码的凉鞋，尺码明确购买意图较强。</x:v>
      </x:c>
      <x:c r="S221" s="10" t="str">
        <x:v>high_intent</x:v>
      </x:c>
      <x:c r="T221" s="15" t="str">
        <x:v>explicit | page_validated</x:v>
      </x:c>
      <x:c r="U221" s="10" t="str">
        <x:v>high</x:v>
      </x:c>
      <x:c r="V221" s="15" t="str">
        <x:v>size_11_sandals_women</x:v>
      </x:c>
      <x:c r="W221" s="15" t="str">
        <x:v>cluster_route</x:v>
      </x:c>
      <x:c r="X221" s="15" t="str">
        <x:v>{"product_type":[{"value":"sandals","evidence_type":"explicit","source_span":"sandals","fact_ids":[],"rationale":"Term explicitly names sandals."},{"value":"sandals","evidence_type":"page_validated","source_span":"","fact_ids":["title_womens_flip_flop"],"rationale":"该槽位与商品基准中的明示页面事实一致。"}],"audience_intent":[{"value":"women","evidence_type":"explicit","source_span":"women","fact_ids":[],"rationale":"Term explicitly specifies women."},{"value":"women","evidence_type":"page_validated","source_span":"","fact_ids":["title_womens_flip_flop"],"rationale":"该槽位与商品基准中的明示页面事实一致。"}],"body_need_intent":[{"value":"size_11","evidence_type":"explicit","source_span":"size 11","fact_ids":[],"rationale":"Term explicitly requests size 11."}],"asin_fit_size":[{"value":"match","evidence_type":"page_validated","source_span":"","fact_ids":["title_womens_flip_flop","style_flip_flop","sizes_6_11"],"rationale":"Women's sandal with size 11 available."}],"primary_domain":[{"value":"clothing_shoes_jewelry","evidence_type":"inferred","source_span":"","fact_ids":[],"rationale":"该值由搜索词整体语义推断，未作为页面明示属性。"}]}</x:v>
      </x:c>
      <x:c r="Y221" s="15" t="str"/>
      <x:c r="Z221" s="10" t="str">
        <x:v>match</x:v>
      </x:c>
      <x:c r="AA221" s="15" t="str">
        <x:v>title_womens_flip_flop | style_flip_flop | sizes_6_11</x:v>
      </x:c>
      <x:c r="AB221" s="10" t="str">
        <x:v>accepted</x:v>
      </x:c>
      <x:c r="AC221" s="10" t="str">
        <x:v>1.0.0</x:v>
      </x:c>
      <x:c r="AD221" s="10" t="str">
        <x:v>1.1.0</x:v>
      </x:c>
      <x:c r="AE221" s="10" t="str">
        <x:v>deepseek/deepseek-v4-pro</x:v>
      </x:c>
      <x:c r="AF221" s="10" t="str">
        <x:v>aj2-y90-20260714T234810-0bea2f52</x:v>
      </x:c>
      <x:c r="AG221" s="10" t="str">
        <x:v>full-0011</x:v>
      </x:c>
      <x:c r="AH221" s="10" t="str">
        <x:v>full</x:v>
      </x:c>
      <x:c r="AI221" s="10" t="n">
        <x:v>11</x:v>
      </x:c>
    </x:row>
    <x:row r="222" ht="34" customHeight="1">
      <x:c r="A222" s="16" t="str">
        <x:v>silver flip flops</x:v>
      </x:c>
      <x:c r="B222" s="16" t="str">
        <x:v>silver flip flops</x:v>
      </x:c>
      <x:c r="C222" s="13" t="str">
        <x:v>161cf4c46d5189f8</x:v>
      </x:c>
      <x:c r="D222" s="13" t="str">
        <x:v>keyword</x:v>
      </x:c>
      <x:c r="E222" s="13" t="str">
        <x:v>en</x:v>
      </x:c>
      <x:c r="F222" s="13" t="str">
        <x:v>clothing_shoes_jewelry</x:v>
      </x:c>
      <x:c r="G222" s="16" t="str"/>
      <x:c r="H222" s="16" t="str">
        <x:v>flip_flop</x:v>
      </x:c>
      <x:c r="I222" s="16" t="str"/>
      <x:c r="J222" s="16" t="str"/>
      <x:c r="K222" s="16" t="str"/>
      <x:c r="L222" s="16" t="str"/>
      <x:c r="M222" s="16" t="str"/>
      <x:c r="N222" s="16" t="str"/>
      <x:c r="O222" s="16" t="str"/>
      <x:c r="P222" s="16" t="str"/>
      <x:c r="Q222" s="16" t="str"/>
      <x:c r="R222" s="16" t="str">
        <x:v>用户寻找银色人字拖。</x:v>
      </x:c>
      <x:c r="S222" s="13" t="str">
        <x:v>consideration</x:v>
      </x:c>
      <x:c r="T222" s="16" t="str">
        <x:v>explicit | page_validated</x:v>
      </x:c>
      <x:c r="U222" s="13" t="str">
        <x:v>medium</x:v>
      </x:c>
      <x:c r="V222" s="16" t="str">
        <x:v>silver_flip_flops</x:v>
      </x:c>
      <x:c r="W222" s="16" t="str">
        <x:v>listing_gap_review</x:v>
      </x:c>
      <x:c r="X222" s="16" t="str">
        <x:v>{"product_type":[{"value":"flip_flop","evidence_type":"explicit","source_span":"flip flops","fact_ids":[],"rationale":"Term explicitly requests flip flops."},{"value":"flip_flop","evidence_type":"page_validated","source_span":"","fact_ids":["style_flip_flop"],"rationale":"产品款式为人字拖。"}],"color":[{"value":"silver","evidence_type":"explicit","source_span":"silver","fact_ids":[],"rationale":"Term specifies silver color."},{"value":"silver","evidence_type":"inferred","source_span":"","fact_ids":[],"rationale":"这是搜索词中的颜色约束，但商品页面基准未确认该具体颜色。"}],"primary_domain":[{"value":"clothing_shoes_jewelry","evidence_type":"inferred","source_span":"","fact_ids":[],"rationale":"该值由搜索词整体语义推断，未作为页面明示属性。"}]}</x:v>
      </x:c>
      <x:c r="Y222" s="16" t="str">
        <x:v>color_unavailable</x:v>
      </x:c>
      <x:c r="Z222" s="13" t="str">
        <x:v>partial_match</x:v>
      </x:c>
      <x:c r="AA222" s="16" t="str">
        <x:v>style_flip_flop | colors_visible</x:v>
      </x:c>
      <x:c r="AB222" s="13" t="str">
        <x:v>accepted</x:v>
      </x:c>
      <x:c r="AC222" s="13" t="str">
        <x:v>1.0.0</x:v>
      </x:c>
      <x:c r="AD222" s="13" t="str">
        <x:v>1.0.0</x:v>
      </x:c>
      <x:c r="AE222" s="13" t="str">
        <x:v>deepseek/deepseek-v4-pro</x:v>
      </x:c>
      <x:c r="AF222" s="13" t="str">
        <x:v>aj2-y90-20260714T234810-0bea2f52</x:v>
      </x:c>
      <x:c r="AG222" s="13" t="str">
        <x:v>full-0012</x:v>
      </x:c>
      <x:c r="AH222" s="13" t="str">
        <x:v>full</x:v>
      </x:c>
      <x:c r="AI222" s="13" t="n">
        <x:v>12</x:v>
      </x:c>
    </x:row>
    <x:row r="223" ht="34" customHeight="1">
      <x:c r="A223" s="15" t="str">
        <x:v>black supportive flip flops</x:v>
      </x:c>
      <x:c r="B223" s="15" t="str">
        <x:v>black supportive flip flops</x:v>
      </x:c>
      <x:c r="C223" s="10" t="str">
        <x:v>20d6a300dc73e096</x:v>
      </x:c>
      <x:c r="D223" s="10" t="str">
        <x:v>keyword</x:v>
      </x:c>
      <x:c r="E223" s="10" t="str">
        <x:v>en</x:v>
      </x:c>
      <x:c r="F223" s="10" t="str">
        <x:v>clothing_shoes_jewelry</x:v>
      </x:c>
      <x:c r="G223" s="15" t="str"/>
      <x:c r="H223" s="15" t="str">
        <x:v>flip_flop</x:v>
      </x:c>
      <x:c r="I223" s="15" t="str"/>
      <x:c r="J223" s="15" t="str"/>
      <x:c r="K223" s="15" t="str">
        <x:v>supportive</x:v>
      </x:c>
      <x:c r="L223" s="15" t="str"/>
      <x:c r="M223" s="15" t="str"/>
      <x:c r="N223" s="15" t="str"/>
      <x:c r="O223" s="15" t="str"/>
      <x:c r="P223" s="15" t="str"/>
      <x:c r="Q223" s="15" t="str"/>
      <x:c r="R223" s="15" t="str">
        <x:v>用户寻找黑色的具有支撑功能的人字拖。</x:v>
      </x:c>
      <x:c r="S223" s="10" t="str">
        <x:v>consideration</x:v>
      </x:c>
      <x:c r="T223" s="15" t="str">
        <x:v>explicit | page_validated</x:v>
      </x:c>
      <x:c r="U223" s="10" t="str">
        <x:v>high</x:v>
      </x:c>
      <x:c r="V223" s="15" t="str">
        <x:v>black_supportive_flip_flops</x:v>
      </x:c>
      <x:c r="W223" s="15" t="str">
        <x:v>cluster_route</x:v>
      </x:c>
      <x:c r="X223" s="15" t="str">
        <x:v>{"product_type":[{"value":"flip_flop","evidence_type":"explicit","source_span":"flip flops","fact_ids":[],"rationale":"Term explicitly requests flip flops."},{"value":"flip_flop","evidence_type":"page_validated","source_span":"","fact_ids":["style_flip_flop"],"rationale":"产品款式为人字拖。"}],"capability_intent":[{"value":"supportive","evidence_type":"explicit","source_span":"supportive","fact_ids":[],"rationale":"Term explicitly requests supportive feature."},{"value":"supportive","evidence_type":"page_validated","source_span":"","fact_ids":["arch_support"],"rationale":"产品提供人体工学足弓支撑。"}],"color":[{"value":"black","evidence_type":"explicit","source_span":"black","fact_ids":[],"rationale":"该颜色在商品页面可见颜色选择中得到明确支持。"},{"value":"black","evidence_type":"page_validated","source_span":"","fact_ids":["colors_visible"],"rationale":"该颜色在商品页面可见颜色选择中得到明确支持。"}],"primary_domain":[{"value":"clothing_shoes_jewelry","evidence_type":"inferred","source_span":"","fact_ids":[],"rationale":"该值由搜索词整体语义推断，未作为页面明示属性。"}]}</x:v>
      </x:c>
      <x:c r="Y223" s="15" t="str"/>
      <x:c r="Z223" s="10" t="str">
        <x:v>match</x:v>
      </x:c>
      <x:c r="AA223" s="15" t="str">
        <x:v>style_flip_flop | arch_support | colors_visible</x:v>
      </x:c>
      <x:c r="AB223" s="10" t="str">
        <x:v>accepted</x:v>
      </x:c>
      <x:c r="AC223" s="10" t="str">
        <x:v>1.0.0</x:v>
      </x:c>
      <x:c r="AD223" s="10" t="str">
        <x:v>1.0.0</x:v>
      </x:c>
      <x:c r="AE223" s="10" t="str">
        <x:v>deepseek/deepseek-v4-pro</x:v>
      </x:c>
      <x:c r="AF223" s="10" t="str">
        <x:v>aj2-y90-20260714T234810-0bea2f52</x:v>
      </x:c>
      <x:c r="AG223" s="10" t="str">
        <x:v>full-0012</x:v>
      </x:c>
      <x:c r="AH223" s="10" t="str">
        <x:v>full</x:v>
      </x:c>
      <x:c r="AI223" s="10" t="n">
        <x:v>12</x:v>
      </x:c>
    </x:row>
    <x:row r="224" ht="34" customHeight="1">
      <x:c r="A224" s="16" t="str">
        <x:v>comfy women flip flops</x:v>
      </x:c>
      <x:c r="B224" s="16" t="str">
        <x:v>comfy women flip flops</x:v>
      </x:c>
      <x:c r="C224" s="13" t="str">
        <x:v>354d7eaa4b8bc4be</x:v>
      </x:c>
      <x:c r="D224" s="13" t="str">
        <x:v>keyword</x:v>
      </x:c>
      <x:c r="E224" s="13" t="str">
        <x:v>en</x:v>
      </x:c>
      <x:c r="F224" s="13" t="str">
        <x:v>clothing_shoes_jewelry</x:v>
      </x:c>
      <x:c r="G224" s="16" t="str"/>
      <x:c r="H224" s="16" t="str">
        <x:v>flip_flop</x:v>
      </x:c>
      <x:c r="I224" s="16" t="str">
        <x:v>women</x:v>
      </x:c>
      <x:c r="J224" s="16" t="str"/>
      <x:c r="K224" s="16" t="str">
        <x:v>comfortable</x:v>
      </x:c>
      <x:c r="L224" s="16" t="str"/>
      <x:c r="M224" s="16" t="str"/>
      <x:c r="N224" s="16" t="str"/>
      <x:c r="O224" s="16" t="str"/>
      <x:c r="P224" s="16" t="str"/>
      <x:c r="Q224" s="16" t="str"/>
      <x:c r="R224" s="16" t="str">
        <x:v>用户寻找穿着舒适的女性人字拖。</x:v>
      </x:c>
      <x:c r="S224" s="13" t="str">
        <x:v>exploration</x:v>
      </x:c>
      <x:c r="T224" s="16" t="str">
        <x:v>explicit | page_validated</x:v>
      </x:c>
      <x:c r="U224" s="13" t="str">
        <x:v>high</x:v>
      </x:c>
      <x:c r="V224" s="16" t="str">
        <x:v>comfy_womens_flip_flops</x:v>
      </x:c>
      <x:c r="W224" s="16" t="str">
        <x:v>cluster_route</x:v>
      </x:c>
      <x:c r="X224" s="16" t="str">
        <x:v>{"product_type":[{"value":"flip_flop","evidence_type":"explicit","source_span":"flip flops","fact_ids":[],"rationale":"Term explicitly requests flip flops."},{"value":"flip_flop","evidence_type":"page_validated","source_span":"","fact_ids":["style_flip_flop"],"rationale":"产品款式为人字拖。"}],"audience_intent":[{"value":"women","evidence_type":"explicit","source_span":"women","fact_ids":[],"rationale":"Term explicitly targets women."},{"value":"women","evidence_type":"page_validated","source_span":"","fact_ids":["title_womens_flip_flop"],"rationale":"产品标题定位为女性凉鞋。"}],"capability_intent":[{"value":"comfortable","evidence_type":"explicit","source_span":"comfy","fact_ids":[],"rationale":"Term explicitly requests comfort."},{"value":"comfortable","evidence_type":"page_validated","source_span":"","fact_ids":["arch_support","padded_cushioning","soft_toe_post","lightweight_breathable"],"rationale":"产品具备足弓支撑、软垫、柔软趾柱等舒适特性。"}],"primary_domain":[{"value":"clothing_shoes_jewelry","evidence_type":"inferred","source_span":"","fact_ids":[],"rationale":"该值由搜索词整体语义推断，未作为页面明示属性。"}]}</x:v>
      </x:c>
      <x:c r="Y224" s="16" t="str"/>
      <x:c r="Z224" s="13" t="str">
        <x:v>match</x:v>
      </x:c>
      <x:c r="AA224" s="16" t="str">
        <x:v>title_womens_flip_flop | style_flip_flop | arch_support | padded_cushioning | soft_toe_post | lightweight_breathable</x:v>
      </x:c>
      <x:c r="AB224" s="13" t="str">
        <x:v>accepted</x:v>
      </x:c>
      <x:c r="AC224" s="13" t="str">
        <x:v>1.0.0</x:v>
      </x:c>
      <x:c r="AD224" s="13" t="str">
        <x:v>1.0.0</x:v>
      </x:c>
      <x:c r="AE224" s="13" t="str">
        <x:v>deepseek/deepseek-v4-pro</x:v>
      </x:c>
      <x:c r="AF224" s="13" t="str">
        <x:v>aj2-y90-20260714T234810-0bea2f52</x:v>
      </x:c>
      <x:c r="AG224" s="13" t="str">
        <x:v>full-0012</x:v>
      </x:c>
      <x:c r="AH224" s="13" t="str">
        <x:v>full</x:v>
      </x:c>
      <x:c r="AI224" s="13" t="n">
        <x:v>12</x:v>
      </x:c>
    </x:row>
    <x:row r="225" ht="34" customHeight="1">
      <x:c r="A225" s="15" t="str">
        <x:v>womens tan flip flops</x:v>
      </x:c>
      <x:c r="B225" s="15" t="str">
        <x:v>womens tan flip flops</x:v>
      </x:c>
      <x:c r="C225" s="10" t="str">
        <x:v>477b8db8e4b4a0d9</x:v>
      </x:c>
      <x:c r="D225" s="10" t="str">
        <x:v>keyword</x:v>
      </x:c>
      <x:c r="E225" s="10" t="str">
        <x:v>en</x:v>
      </x:c>
      <x:c r="F225" s="10" t="str">
        <x:v>clothing_shoes_jewelry</x:v>
      </x:c>
      <x:c r="G225" s="15" t="str"/>
      <x:c r="H225" s="15" t="str">
        <x:v>flip_flop</x:v>
      </x:c>
      <x:c r="I225" s="15" t="str">
        <x:v>women</x:v>
      </x:c>
      <x:c r="J225" s="15" t="str"/>
      <x:c r="K225" s="15" t="str"/>
      <x:c r="L225" s="15" t="str"/>
      <x:c r="M225" s="15" t="str"/>
      <x:c r="N225" s="15" t="str"/>
      <x:c r="O225" s="15" t="str"/>
      <x:c r="P225" s="15" t="str"/>
      <x:c r="Q225" s="15" t="str"/>
      <x:c r="R225" s="15" t="str">
        <x:v>用户寻找棕褐色的女性人字拖。</x:v>
      </x:c>
      <x:c r="S225" s="10" t="str">
        <x:v>consideration</x:v>
      </x:c>
      <x:c r="T225" s="15" t="str">
        <x:v>explicit | page_validated</x:v>
      </x:c>
      <x:c r="U225" s="10" t="str">
        <x:v>medium</x:v>
      </x:c>
      <x:c r="V225" s="15" t="str">
        <x:v>tan_womens_flip_flops</x:v>
      </x:c>
      <x:c r="W225" s="15" t="str">
        <x:v>listing_gap_review</x:v>
      </x:c>
      <x:c r="X225" s="15" t="str">
        <x:v>{"product_type":[{"value":"flip_flop","evidence_type":"explicit","source_span":"flip flops","fact_ids":[],"rationale":"Term explicitly requests flip flops."},{"value":"flip_flop","evidence_type":"page_validated","source_span":"","fact_ids":["style_flip_flop"],"rationale":"产品款式为人字拖。"}],"audience_intent":[{"value":"women","evidence_type":"explicit","source_span":"womens","fact_ids":[],"rationale":"Term explicitly targets women."},{"value":"women","evidence_type":"page_validated","source_span":"","fact_ids":["title_womens_flip_flop"],"rationale":"产品标题定位为女性凉鞋。"}],"color":[{"value":"tan","evidence_type":"explicit","source_span":"tan","fact_ids":[],"rationale":"Term specifies tan color."},{"value":"tan","evidence_type":"inferred","source_span":"","fact_ids":[],"rationale":"这是搜索词中的颜色约束，但商品页面基准未确认该具体颜色。"}],"primary_domain":[{"value":"clothing_shoes_jewelry","evidence_type":"inferred","source_span":"","fact_ids":[],"rationale":"该值由搜索词整体语义推断，未作为页面明示属性。"}]}</x:v>
      </x:c>
      <x:c r="Y225" s="15" t="str">
        <x:v>color_shade_match</x:v>
      </x:c>
      <x:c r="Z225" s="10" t="str">
        <x:v>partial_match</x:v>
      </x:c>
      <x:c r="AA225" s="15" t="str">
        <x:v>title_womens_flip_flop | style_flip_flop | colors_visible</x:v>
      </x:c>
      <x:c r="AB225" s="10" t="str">
        <x:v>accepted</x:v>
      </x:c>
      <x:c r="AC225" s="10" t="str">
        <x:v>1.0.0</x:v>
      </x:c>
      <x:c r="AD225" s="10" t="str">
        <x:v>1.0.0</x:v>
      </x:c>
      <x:c r="AE225" s="10" t="str">
        <x:v>deepseek/deepseek-v4-pro</x:v>
      </x:c>
      <x:c r="AF225" s="10" t="str">
        <x:v>aj2-y90-20260714T234810-0bea2f52</x:v>
      </x:c>
      <x:c r="AG225" s="10" t="str">
        <x:v>full-0012</x:v>
      </x:c>
      <x:c r="AH225" s="10" t="str">
        <x:v>full</x:v>
      </x:c>
      <x:c r="AI225" s="10" t="n">
        <x:v>12</x:v>
      </x:c>
    </x:row>
    <x:row r="226" ht="34" customHeight="1">
      <x:c r="A226" s="16" t="str">
        <x:v>thong sandals with arch support</x:v>
      </x:c>
      <x:c r="B226" s="16" t="str">
        <x:v>thong sandals with arch support</x:v>
      </x:c>
      <x:c r="C226" s="13" t="str">
        <x:v>4ae3dea1c3258867</x:v>
      </x:c>
      <x:c r="D226" s="13" t="str">
        <x:v>keyword</x:v>
      </x:c>
      <x:c r="E226" s="13" t="str">
        <x:v>en</x:v>
      </x:c>
      <x:c r="F226" s="13" t="str">
        <x:v>clothing_shoes_jewelry</x:v>
      </x:c>
      <x:c r="G226" s="16" t="str"/>
      <x:c r="H226" s="16" t="str">
        <x:v>thong_sandal</x:v>
      </x:c>
      <x:c r="I226" s="16" t="str"/>
      <x:c r="J226" s="16" t="str"/>
      <x:c r="K226" s="16" t="str">
        <x:v>arch_support</x:v>
      </x:c>
      <x:c r="L226" s="16" t="str"/>
      <x:c r="M226" s="16" t="str"/>
      <x:c r="N226" s="16" t="str"/>
      <x:c r="O226" s="16" t="str"/>
      <x:c r="P226" s="16" t="str"/>
      <x:c r="Q226" s="16" t="str"/>
      <x:c r="R226" s="16" t="str">
        <x:v>用户寻找具有足弓支撑功能的夹趾凉鞋。</x:v>
      </x:c>
      <x:c r="S226" s="13" t="str">
        <x:v>consideration</x:v>
      </x:c>
      <x:c r="T226" s="16" t="str">
        <x:v>explicit | page_validated</x:v>
      </x:c>
      <x:c r="U226" s="13" t="str">
        <x:v>high</x:v>
      </x:c>
      <x:c r="V226" s="16" t="str">
        <x:v>thong_sandals_arch_support</x:v>
      </x:c>
      <x:c r="W226" s="16" t="str">
        <x:v>cluster_route</x:v>
      </x:c>
      <x:c r="X226" s="16" t="str">
        <x:v>{"product_type":[{"value":"thong_sandal","evidence_type":"explicit","source_span":"thong sandals","fact_ids":[],"rationale":"Term explicitly requests thong sandals."},{"value":"thong_sandal","evidence_type":"page_validated","source_span":"","fact_ids":["style_thong","title_womens_flip_flop"],"rationale":"产品为夹趾/人字拖凉鞋。"}],"capability_intent":[{"value":"arch_support","evidence_type":"explicit","source_span":"arch support","fact_ids":[],"rationale":"Term explicitly requests arch support."},{"value":"arch_support","evidence_type":"page_validated","source_span":"","fact_ids":["arch_support"],"rationale":"产品提供人体工学足弓支撑。"}],"primary_domain":[{"value":"clothing_shoes_jewelry","evidence_type":"inferred","source_span":"","fact_ids":[],"rationale":"该值由搜索词整体语义推断，未作为页面明示属性。"}]}</x:v>
      </x:c>
      <x:c r="Y226" s="16" t="str"/>
      <x:c r="Z226" s="13" t="str">
        <x:v>match</x:v>
      </x:c>
      <x:c r="AA226" s="16" t="str">
        <x:v>style_thong | title_womens_flip_flop | arch_support</x:v>
      </x:c>
      <x:c r="AB226" s="13" t="str">
        <x:v>accepted</x:v>
      </x:c>
      <x:c r="AC226" s="13" t="str">
        <x:v>1.0.0</x:v>
      </x:c>
      <x:c r="AD226" s="13" t="str">
        <x:v>1.0.0</x:v>
      </x:c>
      <x:c r="AE226" s="13" t="str">
        <x:v>deepseek/deepseek-v4-pro</x:v>
      </x:c>
      <x:c r="AF226" s="13" t="str">
        <x:v>aj2-y90-20260714T234810-0bea2f52</x:v>
      </x:c>
      <x:c r="AG226" s="13" t="str">
        <x:v>full-0012</x:v>
      </x:c>
      <x:c r="AH226" s="13" t="str">
        <x:v>full</x:v>
      </x:c>
      <x:c r="AI226" s="13" t="n">
        <x:v>12</x:v>
      </x:c>
    </x:row>
    <x:row r="227" ht="34" customHeight="1">
      <x:c r="A227" s="15" t="str">
        <x:v>flip flops beach women</x:v>
      </x:c>
      <x:c r="B227" s="15" t="str">
        <x:v>flip flops beach women</x:v>
      </x:c>
      <x:c r="C227" s="10" t="str">
        <x:v>4fa9ee305b2bee87</x:v>
      </x:c>
      <x:c r="D227" s="10" t="str">
        <x:v>keyword</x:v>
      </x:c>
      <x:c r="E227" s="10" t="str">
        <x:v>en</x:v>
      </x:c>
      <x:c r="F227" s="10" t="str">
        <x:v>clothing_shoes_jewelry</x:v>
      </x:c>
      <x:c r="G227" s="15" t="str"/>
      <x:c r="H227" s="15" t="str">
        <x:v>flip_flop</x:v>
      </x:c>
      <x:c r="I227" s="15" t="str">
        <x:v>women</x:v>
      </x:c>
      <x:c r="J227" s="15" t="str"/>
      <x:c r="K227" s="15" t="str"/>
      <x:c r="L227" s="15" t="str"/>
      <x:c r="M227" s="15" t="str">
        <x:v>beach</x:v>
      </x:c>
      <x:c r="N227" s="15" t="str"/>
      <x:c r="O227" s="15" t="str"/>
      <x:c r="P227" s="15" t="str"/>
      <x:c r="Q227" s="15" t="str"/>
      <x:c r="R227" s="15" t="str">
        <x:v>用户寻找适合女性在沙滩穿着的拖鞋。</x:v>
      </x:c>
      <x:c r="S227" s="10" t="str">
        <x:v>consideration</x:v>
      </x:c>
      <x:c r="T227" s="15" t="str">
        <x:v>explicit | page_validated</x:v>
      </x:c>
      <x:c r="U227" s="10" t="str">
        <x:v>high</x:v>
      </x:c>
      <x:c r="V227" s="15" t="str">
        <x:v>beach_womens_flip_flops</x:v>
      </x:c>
      <x:c r="W227" s="15" t="str">
        <x:v>cluster_route</x:v>
      </x:c>
      <x:c r="X227" s="15" t="str">
        <x:v>{"product_type":[{"value":"flip_flop","evidence_type":"explicit","source_span":"flip flops","fact_ids":[],"rationale":"Term explicitly requests flip flops."},{"value":"flip_flop","evidence_type":"page_validated","source_span":"","fact_ids":["style_flip_flop"],"rationale":"产品款式为人字拖。"}],"audience_intent":[{"value":"women","evidence_type":"explicit","source_span":"women","fact_ids":[],"rationale":"Term explicitly targets women."},{"value":"women","evidence_type":"page_validated","source_span":"","fact_ids":["title_womens_flip_flop"],"rationale":"产品标题定位为女性凉鞋。"}],"location_intent":[{"value":"beach","evidence_type":"explicit","source_span":"beach","fact_ids":[],"rationale":"Term specifies beach location."},{"value":"beach","evidence_type":"page_validated","source_span":"","fact_ids":["style_outdoor","material_eva","slip_resistant_grip"],"rationale":"产品定位户外、EVA材质耐水、防滑外底适合沙滩。"}],"primary_domain":[{"value":"clothing_shoes_jewelry","evidence_type":"inferred","source_span":"","fact_ids":[],"rationale":"该值由搜索词整体语义推断，未作为页面明示属性。"}]}</x:v>
      </x:c>
      <x:c r="Y227" s="15" t="str"/>
      <x:c r="Z227" s="10" t="str">
        <x:v>match</x:v>
      </x:c>
      <x:c r="AA227" s="15" t="str">
        <x:v>title_womens_flip_flop | style_flip_flop | style_outdoor | material_eva | slip_resistant_grip</x:v>
      </x:c>
      <x:c r="AB227" s="10" t="str">
        <x:v>accepted</x:v>
      </x:c>
      <x:c r="AC227" s="10" t="str">
        <x:v>1.0.0</x:v>
      </x:c>
      <x:c r="AD227" s="10" t="str">
        <x:v>1.0.0</x:v>
      </x:c>
      <x:c r="AE227" s="10" t="str">
        <x:v>deepseek/deepseek-v4-pro</x:v>
      </x:c>
      <x:c r="AF227" s="10" t="str">
        <x:v>aj2-y90-20260714T234810-0bea2f52</x:v>
      </x:c>
      <x:c r="AG227" s="10" t="str">
        <x:v>full-0012</x:v>
      </x:c>
      <x:c r="AH227" s="10" t="str">
        <x:v>full</x:v>
      </x:c>
      <x:c r="AI227" s="10" t="n">
        <x:v>12</x:v>
      </x:c>
    </x:row>
    <x:row r="228" ht="34" customHeight="1">
      <x:c r="A228" s="16" t="str">
        <x:v>soft flip flops for home</x:v>
      </x:c>
      <x:c r="B228" s="16" t="str">
        <x:v>soft flip flops for home</x:v>
      </x:c>
      <x:c r="C228" s="13" t="str">
        <x:v>5cbc78aef316da97</x:v>
      </x:c>
      <x:c r="D228" s="13" t="str">
        <x:v>keyword</x:v>
      </x:c>
      <x:c r="E228" s="13" t="str">
        <x:v>en</x:v>
      </x:c>
      <x:c r="F228" s="13" t="str">
        <x:v>clothing_shoes_jewelry</x:v>
      </x:c>
      <x:c r="G228" s="16" t="str"/>
      <x:c r="H228" s="16" t="str">
        <x:v>flip_flop</x:v>
      </x:c>
      <x:c r="I228" s="16" t="str"/>
      <x:c r="J228" s="16" t="str"/>
      <x:c r="K228" s="16" t="str">
        <x:v>soft</x:v>
      </x:c>
      <x:c r="L228" s="16" t="str"/>
      <x:c r="M228" s="16" t="str">
        <x:v>home</x:v>
      </x:c>
      <x:c r="N228" s="16" t="str"/>
      <x:c r="O228" s="16" t="str"/>
      <x:c r="P228" s="16" t="str"/>
      <x:c r="Q228" s="16" t="str"/>
      <x:c r="R228" s="16" t="str">
        <x:v>用户寻找柔软舒适适合家用的拖鞋。</x:v>
      </x:c>
      <x:c r="S228" s="13" t="str">
        <x:v>consideration</x:v>
      </x:c>
      <x:c r="T228" s="16" t="str">
        <x:v>explicit | page_validated</x:v>
      </x:c>
      <x:c r="U228" s="13" t="str">
        <x:v>medium</x:v>
      </x:c>
      <x:c r="V228" s="16" t="str">
        <x:v>soft_home_flip_flops</x:v>
      </x:c>
      <x:c r="W228" s="16" t="str">
        <x:v>listing_gap_review</x:v>
      </x:c>
      <x:c r="X228" s="16" t="str">
        <x:v>{"product_type":[{"value":"flip_flop","evidence_type":"explicit","source_span":"flip flops","fact_ids":[],"rationale":"Term explicitly requests flip flops."},{"value":"flip_flop","evidence_type":"page_validated","source_span":"","fact_ids":["style_flip_flop"],"rationale":"产品款式为人字拖。"}],"capability_intent":[{"value":"soft","evidence_type":"explicit","source_span":"soft","fact_ids":[],"rationale":"Term explicitly requests softness."},{"value":"soft","evidence_type":"page_validated","source_span":"","fact_ids":["soft_toe_post","padded_cushioning"],"rationale":"产品有柔软趾柱和软垫设计。"}],"location_intent":[{"value":"home","evidence_type":"explicit","source_span":"home","fact_ids":[],"rationale":"Term specifies home/indoor use."},{"value":"home","evidence_type":"page_validated","source_span":"","fact_ids":["style_outdoor"],"rationale":"产品定位为户外，防滑外底对室内可能过度。"}],"primary_domain":[{"value":"clothing_shoes_jewelry","evidence_type":"inferred","source_span":"","fact_ids":[],"rationale":"该值由搜索词整体语义推断，未作为页面明示属性。"}]}</x:v>
      </x:c>
      <x:c r="Y228" s="16" t="str">
        <x:v>indoor_vs_outdoor_conflict</x:v>
      </x:c>
      <x:c r="Z228" s="13" t="str">
        <x:v>partial_match</x:v>
      </x:c>
      <x:c r="AA228" s="16" t="str">
        <x:v>style_flip_flop | soft_toe_post | padded_cushioning</x:v>
      </x:c>
      <x:c r="AB228" s="13" t="str">
        <x:v>accepted</x:v>
      </x:c>
      <x:c r="AC228" s="13" t="str">
        <x:v>1.0.0</x:v>
      </x:c>
      <x:c r="AD228" s="13" t="str">
        <x:v>1.0.0</x:v>
      </x:c>
      <x:c r="AE228" s="13" t="str">
        <x:v>deepseek/deepseek-v4-pro</x:v>
      </x:c>
      <x:c r="AF228" s="13" t="str">
        <x:v>aj2-y90-20260714T234810-0bea2f52</x:v>
      </x:c>
      <x:c r="AG228" s="13" t="str">
        <x:v>full-0012</x:v>
      </x:c>
      <x:c r="AH228" s="13" t="str">
        <x:v>full</x:v>
      </x:c>
      <x:c r="AI228" s="13" t="n">
        <x:v>12</x:v>
      </x:c>
    </x:row>
    <x:row r="229" ht="34" customHeight="1">
      <x:c r="A229" s="15" t="str">
        <x:v>cheap flip flops women</x:v>
      </x:c>
      <x:c r="B229" s="15" t="str">
        <x:v>cheap flip flops women</x:v>
      </x:c>
      <x:c r="C229" s="10" t="str">
        <x:v>67847dd621daf927</x:v>
      </x:c>
      <x:c r="D229" s="10" t="str">
        <x:v>keyword</x:v>
      </x:c>
      <x:c r="E229" s="10" t="str">
        <x:v>en</x:v>
      </x:c>
      <x:c r="F229" s="10" t="str">
        <x:v>clothing_shoes_jewelry</x:v>
      </x:c>
      <x:c r="G229" s="15" t="str"/>
      <x:c r="H229" s="15" t="str">
        <x:v>flip_flop</x:v>
      </x:c>
      <x:c r="I229" s="15" t="str">
        <x:v>women</x:v>
      </x:c>
      <x:c r="J229" s="15" t="str">
        <x:v>affordable</x:v>
      </x:c>
      <x:c r="K229" s="15" t="str"/>
      <x:c r="L229" s="15" t="str"/>
      <x:c r="M229" s="15" t="str"/>
      <x:c r="N229" s="15" t="str"/>
      <x:c r="O229" s="15" t="str"/>
      <x:c r="P229" s="15" t="str"/>
      <x:c r="Q229" s="15" t="str"/>
      <x:c r="R229" s="15" t="str">
        <x:v>用户寻找价格便宜的女性人字拖。</x:v>
      </x:c>
      <x:c r="S229" s="10" t="str">
        <x:v>consideration</x:v>
      </x:c>
      <x:c r="T229" s="15" t="str">
        <x:v>explicit | page_validated</x:v>
      </x:c>
      <x:c r="U229" s="10" t="str">
        <x:v>medium</x:v>
      </x:c>
      <x:c r="V229" s="15" t="str">
        <x:v>cheap_womens_flip_flops</x:v>
      </x:c>
      <x:c r="W229" s="15" t="str">
        <x:v>performance_observation</x:v>
      </x:c>
      <x:c r="X229" s="15" t="str">
        <x:v>{"product_type":[{"value":"flip_flop","evidence_type":"explicit","source_span":"flip flops","fact_ids":[],"rationale":"Term explicitly requests flip flops."},{"value":"flip_flop","evidence_type":"page_validated","source_span":"","fact_ids":["style_flip_flop"],"rationale":"产品款式为人字拖。"}],"audience_intent":[{"value":"women","evidence_type":"explicit","source_span":"women","fact_ids":[],"rationale":"Term explicitly targets women."},{"value":"women","evidence_type":"page_validated","source_span":"","fact_ids":["title_womens_flip_flop"],"rationale":"产品标题定位为女性凉鞋。"}],"function_intent":[{"value":"affordable","evidence_type":"explicit","source_span":"cheap","fact_ids":[],"rationale":"Term explicitly requests low price."}],"primary_domain":[{"value":"clothing_shoes_jewelry","evidence_type":"inferred","source_span":"","fact_ids":[],"rationale":"该值由搜索词整体语义推断，未作为页面明示属性。"}]}</x:v>
      </x:c>
      <x:c r="Y229" s="15" t="str"/>
      <x:c r="Z229" s="10" t="str">
        <x:v>partial_match</x:v>
      </x:c>
      <x:c r="AA229" s="15" t="str">
        <x:v>title_womens_flip_flop | style_flip_flop</x:v>
      </x:c>
      <x:c r="AB229" s="10" t="str">
        <x:v>accepted</x:v>
      </x:c>
      <x:c r="AC229" s="10" t="str">
        <x:v>1.0.0</x:v>
      </x:c>
      <x:c r="AD229" s="10" t="str">
        <x:v>1.0.0</x:v>
      </x:c>
      <x:c r="AE229" s="10" t="str">
        <x:v>deepseek/deepseek-v4-pro</x:v>
      </x:c>
      <x:c r="AF229" s="10" t="str">
        <x:v>aj2-y90-20260714T234810-0bea2f52</x:v>
      </x:c>
      <x:c r="AG229" s="10" t="str">
        <x:v>full-0012</x:v>
      </x:c>
      <x:c r="AH229" s="10" t="str">
        <x:v>full</x:v>
      </x:c>
      <x:c r="AI229" s="10" t="n">
        <x:v>12</x:v>
      </x:c>
    </x:row>
    <x:row r="230" ht="34" customHeight="1">
      <x:c r="A230" s="16" t="str">
        <x:v>stq orthopedic flip flops women arch support</x:v>
      </x:c>
      <x:c r="B230" s="16" t="str">
        <x:v>stq orthopedic flip flops women arch support</x:v>
      </x:c>
      <x:c r="C230" s="13" t="str">
        <x:v>a33a0ab81b2e6a14</x:v>
      </x:c>
      <x:c r="D230" s="13" t="str">
        <x:v>keyword</x:v>
      </x:c>
      <x:c r="E230" s="13" t="str">
        <x:v>en</x:v>
      </x:c>
      <x:c r="F230" s="13" t="str">
        <x:v>clothing_shoes_jewelry</x:v>
      </x:c>
      <x:c r="G230" s="16" t="str"/>
      <x:c r="H230" s="16" t="str">
        <x:v>flip_flop</x:v>
      </x:c>
      <x:c r="I230" s="16" t="str">
        <x:v>women</x:v>
      </x:c>
      <x:c r="J230" s="16" t="str"/>
      <x:c r="K230" s="16" t="str">
        <x:v>arch_support</x:v>
      </x:c>
      <x:c r="L230" s="16" t="str"/>
      <x:c r="M230" s="16" t="str"/>
      <x:c r="N230" s="16" t="str">
        <x:v>orthopedic</x:v>
      </x:c>
      <x:c r="O230" s="16" t="str"/>
      <x:c r="P230" s="16" t="str">
        <x:v>brand_alternative</x:v>
      </x:c>
      <x:c r="Q230" s="16" t="str"/>
      <x:c r="R230" s="16" t="str">
        <x:v>用户搜索stq品牌的具有矫形足弓支撑功能的女性人字拖。</x:v>
      </x:c>
      <x:c r="S230" s="13" t="str">
        <x:v>brand_harvest</x:v>
      </x:c>
      <x:c r="T230" s="16" t="str">
        <x:v>explicit</x:v>
      </x:c>
      <x:c r="U230" s="13" t="str">
        <x:v>high</x:v>
      </x:c>
      <x:c r="V230" s="16" t="str">
        <x:v>stq_orthopedic_arch_support_flip_flops</x:v>
      </x:c>
      <x:c r="W230" s="16" t="str">
        <x:v>semantic_negative_candidate</x:v>
      </x:c>
      <x:c r="X230" s="16" t="str">
        <x:v>{"product_type":[{"value":"flip_flop","evidence_type":"explicit","source_span":"flip flops","fact_ids":[],"rationale":"Term explicitly requests flip flops."},{"value":"flip_flop","evidence_type":"page_validated","source_span":"","fact_ids":["style_flip_flop"],"rationale":"该槽位与商品基准中的明示页面事实一致。"}],"audience_intent":[{"value":"women","evidence_type":"explicit","source_span":"women","fact_ids":[],"rationale":"Term explicitly targets women."},{"value":"women","evidence_type":"page_validated","source_span":"","fact_ids":["title_womens_flip_flop"],"rationale":"该槽位与商品基准中的明示页面事实一致。"}],"capability_intent":[{"value":"arch_support","evidence_type":"explicit","source_span":"arch support","fact_ids":[],"rationale":"Term explicitly requests arch support."},{"value":"arch_support","evidence_type":"page_validated","source_span":"","fact_ids":["arch_support"],"rationale":"该槽位与商品基准中的明示页面事实一致。"}],"body_need_intent":[{"value":"orthopedic","evidence_type":"explicit","source_span":"orthopedic","fact_ids":[],"rationale":"Term requests orthopedic-grade support."}],"substitute_intent":[{"value":"brand_alternative","evidence_type":"explicit","source_span":"stq","fact_ids":[],"rationale":"stq为独立鞋履品牌，非joomra。"}],"primary_domain":[{"value":"clothing_shoes_jewelry","evidence_type":"inferred","source_span":"","fact_ids":[],"rationale":"该值由搜索词整体语义推断，未作为页面明示属性。"}]}</x:v>
      </x:c>
      <x:c r="Y230" s="16" t="str"/>
      <x:c r="Z230" s="13" t="str">
        <x:v>mismatch</x:v>
      </x:c>
      <x:c r="AA230" s="16" t="str">
        <x:v>title_womens_flip_flop | style_flip_flop | arch_support</x:v>
      </x:c>
      <x:c r="AB230" s="13" t="str">
        <x:v>accepted</x:v>
      </x:c>
      <x:c r="AC230" s="13" t="str">
        <x:v>1.0.0</x:v>
      </x:c>
      <x:c r="AD230" s="13" t="str">
        <x:v>1.0.0</x:v>
      </x:c>
      <x:c r="AE230" s="13" t="str">
        <x:v>deepseek/deepseek-v4-pro</x:v>
      </x:c>
      <x:c r="AF230" s="13" t="str">
        <x:v>aj2-y90-20260714T234810-0bea2f52</x:v>
      </x:c>
      <x:c r="AG230" s="13" t="str">
        <x:v>full-0012</x:v>
      </x:c>
      <x:c r="AH230" s="13" t="str">
        <x:v>full</x:v>
      </x:c>
      <x:c r="AI230" s="13" t="n">
        <x:v>12</x:v>
      </x:c>
    </x:row>
    <x:row r="231" ht="34" customHeight="1">
      <x:c r="A231" s="15" t="str">
        <x:v>pool beach flip flops arch support</x:v>
      </x:c>
      <x:c r="B231" s="15" t="str">
        <x:v>pool beach flip flops arch support</x:v>
      </x:c>
      <x:c r="C231" s="10" t="str">
        <x:v>ab5f45e8613bf8b8</x:v>
      </x:c>
      <x:c r="D231" s="10" t="str">
        <x:v>keyword</x:v>
      </x:c>
      <x:c r="E231" s="10" t="str">
        <x:v>en</x:v>
      </x:c>
      <x:c r="F231" s="10" t="str">
        <x:v>clothing_shoes_jewelry</x:v>
      </x:c>
      <x:c r="G231" s="15" t="str"/>
      <x:c r="H231" s="15" t="str">
        <x:v>flip_flop</x:v>
      </x:c>
      <x:c r="I231" s="15" t="str"/>
      <x:c r="J231" s="15" t="str"/>
      <x:c r="K231" s="15" t="str">
        <x:v>arch_support</x:v>
      </x:c>
      <x:c r="L231" s="15" t="str"/>
      <x:c r="M231" s="15" t="str">
        <x:v>pool | beach</x:v>
      </x:c>
      <x:c r="N231" s="15" t="str"/>
      <x:c r="O231" s="15" t="str"/>
      <x:c r="P231" s="15" t="str"/>
      <x:c r="Q231" s="15" t="str"/>
      <x:c r="R231" s="15" t="str">
        <x:v>用户寻找适合泳池和沙滩使用且具有足弓支撑的人字拖。</x:v>
      </x:c>
      <x:c r="S231" s="10" t="str">
        <x:v>consideration</x:v>
      </x:c>
      <x:c r="T231" s="15" t="str">
        <x:v>explicit | page_validated</x:v>
      </x:c>
      <x:c r="U231" s="10" t="str">
        <x:v>high</x:v>
      </x:c>
      <x:c r="V231" s="15" t="str">
        <x:v>pool_beach_arch_support_flip_flops</x:v>
      </x:c>
      <x:c r="W231" s="15" t="str">
        <x:v>cluster_route</x:v>
      </x:c>
      <x:c r="X231" s="15" t="str">
        <x:v>{"product_type":[{"value":"flip_flop","evidence_type":"explicit","source_span":"flip flops","fact_ids":[],"rationale":"Term explicitly requests flip flops."},{"value":"flip_flop","evidence_type":"page_validated","source_span":"","fact_ids":["style_flip_flop"],"rationale":"产品款式为人字拖。"}],"capability_intent":[{"value":"arch_support","evidence_type":"explicit","source_span":"arch support","fact_ids":[],"rationale":"Term explicitly requests arch support."},{"value":"arch_support","evidence_type":"page_validated","source_span":"","fact_ids":["arch_support"],"rationale":"产品提供人体工学足弓支撑。"}],"location_intent":[{"value":"pool","evidence_type":"explicit","source_span":"pool","fact_ids":[],"rationale":"Term specifies pool location."},{"value":"pool","evidence_type":"page_validated","source_span":"","fact_ids":["style_outdoor","material_eva"],"rationale":"户外定位且EVA材质耐水适合泳池。"},{"value":"beach","evidence_type":"explicit","source_span":"beach","fact_ids":[],"rationale":"Term specifies beach location."},{"value":"beach","evidence_type":"page_validated","source_span":"","fact_ids":["style_outdoor","slip_resistant_grip"],"rationale":"户外定位且防滑外底适合沙滩。"}],"primary_domain":[{"value":"clothing_shoes_jewelry","evidence_type":"inferred","source_span":"","fact_ids":[],"rationale":"该值由搜索词整体语义推断，未作为页面明示属性。"}]}</x:v>
      </x:c>
      <x:c r="Y231" s="15" t="str"/>
      <x:c r="Z231" s="10" t="str">
        <x:v>match</x:v>
      </x:c>
      <x:c r="AA231" s="15" t="str">
        <x:v>style_flip_flop | arch_support | style_outdoor | material_eva | slip_resistant_grip</x:v>
      </x:c>
      <x:c r="AB231" s="10" t="str">
        <x:v>accepted</x:v>
      </x:c>
      <x:c r="AC231" s="10" t="str">
        <x:v>1.0.0</x:v>
      </x:c>
      <x:c r="AD231" s="10" t="str">
        <x:v>1.0.0</x:v>
      </x:c>
      <x:c r="AE231" s="10" t="str">
        <x:v>deepseek/deepseek-v4-pro</x:v>
      </x:c>
      <x:c r="AF231" s="10" t="str">
        <x:v>aj2-y90-20260714T234810-0bea2f52</x:v>
      </x:c>
      <x:c r="AG231" s="10" t="str">
        <x:v>full-0012</x:v>
      </x:c>
      <x:c r="AH231" s="10" t="str">
        <x:v>full</x:v>
      </x:c>
      <x:c r="AI231" s="10" t="n">
        <x:v>12</x:v>
      </x:c>
    </x:row>
    <x:row r="232" ht="34" customHeight="1">
      <x:c r="A232" s="16" t="str">
        <x:v>foam flip flops</x:v>
      </x:c>
      <x:c r="B232" s="16" t="str">
        <x:v>foam flip flops</x:v>
      </x:c>
      <x:c r="C232" s="13" t="str">
        <x:v>af41e7bb91212dbb</x:v>
      </x:c>
      <x:c r="D232" s="13" t="str">
        <x:v>keyword</x:v>
      </x:c>
      <x:c r="E232" s="13" t="str">
        <x:v>en</x:v>
      </x:c>
      <x:c r="F232" s="13" t="str">
        <x:v>clothing_shoes_jewelry</x:v>
      </x:c>
      <x:c r="G232" s="16" t="str"/>
      <x:c r="H232" s="16" t="str">
        <x:v>flip_flop</x:v>
      </x:c>
      <x:c r="I232" s="16" t="str"/>
      <x:c r="J232" s="16" t="str"/>
      <x:c r="K232" s="16" t="str"/>
      <x:c r="L232" s="16" t="str"/>
      <x:c r="M232" s="16" t="str"/>
      <x:c r="N232" s="16" t="str"/>
      <x:c r="O232" s="16" t="str"/>
      <x:c r="P232" s="16" t="str"/>
      <x:c r="Q232" s="16" t="str"/>
      <x:c r="R232" s="16" t="str">
        <x:v>用户寻找泡沫材质的人字拖。</x:v>
      </x:c>
      <x:c r="S232" s="13" t="str">
        <x:v>exploration</x:v>
      </x:c>
      <x:c r="T232" s="16" t="str">
        <x:v>explicit | page_validated</x:v>
      </x:c>
      <x:c r="U232" s="13" t="str">
        <x:v>high</x:v>
      </x:c>
      <x:c r="V232" s="16" t="str">
        <x:v>foam_flip_flops</x:v>
      </x:c>
      <x:c r="W232" s="16" t="str">
        <x:v>cluster_route</x:v>
      </x:c>
      <x:c r="X232" s="16" t="str">
        <x:v>{"product_type":[{"value":"flip_flop","evidence_type":"explicit","source_span":"flip flops","fact_ids":[],"rationale":"Term explicitly requests flip flops."},{"value":"flip_flop","evidence_type":"page_validated","source_span":"","fact_ids":["style_flip_flop"],"rationale":"产品款式为人字拖。"}],"material":[{"value":"foam","evidence_type":"explicit","source_span":"foam","fact_ids":[],"rationale":"Term specifies foam material."},{"value":"foam","evidence_type":"page_validated","source_span":"","fact_ids":["material_eva"],"rationale":"EVA为泡沫类材料。"}],"primary_domain":[{"value":"clothing_shoes_jewelry","evidence_type":"inferred","source_span":"","fact_ids":[],"rationale":"该值由搜索词整体语义推断，未作为页面明示属性。"}]}</x:v>
      </x:c>
      <x:c r="Y232" s="16" t="str"/>
      <x:c r="Z232" s="13" t="str">
        <x:v>match</x:v>
      </x:c>
      <x:c r="AA232" s="16" t="str">
        <x:v>style_flip_flop | material_eva</x:v>
      </x:c>
      <x:c r="AB232" s="13" t="str">
        <x:v>accepted</x:v>
      </x:c>
      <x:c r="AC232" s="13" t="str">
        <x:v>1.0.0</x:v>
      </x:c>
      <x:c r="AD232" s="13" t="str">
        <x:v>1.0.0</x:v>
      </x:c>
      <x:c r="AE232" s="13" t="str">
        <x:v>deepseek/deepseek-v4-pro</x:v>
      </x:c>
      <x:c r="AF232" s="13" t="str">
        <x:v>aj2-y90-20260714T234810-0bea2f52</x:v>
      </x:c>
      <x:c r="AG232" s="13" t="str">
        <x:v>full-0012</x:v>
      </x:c>
      <x:c r="AH232" s="13" t="str">
        <x:v>full</x:v>
      </x:c>
      <x:c r="AI232" s="13" t="n">
        <x:v>12</x:v>
      </x:c>
    </x:row>
    <x:row r="233" ht="34" customHeight="1">
      <x:c r="A233" s="15" t="str">
        <x:v>baby blue womens flip flops size 7.5 or 8</x:v>
      </x:c>
      <x:c r="B233" s="15" t="str">
        <x:v>baby blue womens flip flops size 7.5 or 8</x:v>
      </x:c>
      <x:c r="C233" s="10" t="str">
        <x:v>b2084c5f10d75b98</x:v>
      </x:c>
      <x:c r="D233" s="10" t="str">
        <x:v>keyword</x:v>
      </x:c>
      <x:c r="E233" s="10" t="str">
        <x:v>en</x:v>
      </x:c>
      <x:c r="F233" s="10" t="str">
        <x:v>clothing_shoes_jewelry</x:v>
      </x:c>
      <x:c r="G233" s="15" t="str"/>
      <x:c r="H233" s="15" t="str">
        <x:v>flip_flop</x:v>
      </x:c>
      <x:c r="I233" s="15" t="str">
        <x:v>women</x:v>
      </x:c>
      <x:c r="J233" s="15" t="str"/>
      <x:c r="K233" s="15" t="str"/>
      <x:c r="L233" s="15" t="str"/>
      <x:c r="M233" s="15" t="str"/>
      <x:c r="N233" s="15" t="str"/>
      <x:c r="O233" s="15" t="str"/>
      <x:c r="P233" s="15" t="str"/>
      <x:c r="Q233" s="15" t="str"/>
      <x:c r="R233" s="15" t="str">
        <x:v>用户需要女性人字拖，颜色为浅蓝色，尺码7.5或8。</x:v>
      </x:c>
      <x:c r="S233" s="10" t="str">
        <x:v>high_intent</x:v>
      </x:c>
      <x:c r="T233" s="15" t="str">
        <x:v>explicit | page_validated</x:v>
      </x:c>
      <x:c r="U233" s="10" t="str">
        <x:v>medium</x:v>
      </x:c>
      <x:c r="V233" s="15" t="str">
        <x:v>baby_blue_womens_flip_flops_specific_size</x:v>
      </x:c>
      <x:c r="W233" s="15" t="str">
        <x:v>listing_gap_review</x:v>
      </x:c>
      <x:c r="X233" s="15" t="str">
        <x:v>{"product_type":[{"value":"flip_flop","evidence_type":"explicit","source_span":"flip flops","fact_ids":[],"rationale":"Term explicitly requests flip flops."},{"value":"flip_flop","evidence_type":"page_validated","source_span":"","fact_ids":["style_flip_flop"],"rationale":"产品款式为人字拖。"}],"audience_intent":[{"value":"women","evidence_type":"explicit","source_span":"womens","fact_ids":[],"rationale":"Term explicitly targets women."},{"value":"women","evidence_type":"page_validated","source_span":"","fact_ids":["title_womens_flip_flop"],"rationale":"产品标题定位为女性凉鞋。"}],"color":[{"value":"baby_blue","evidence_type":"explicit","source_span":"baby blue","fact_ids":[],"rationale":"Term specifies baby blue color."},{"value":"baby_blue","evidence_type":"inferred","source_span":"","fact_ids":[],"rationale":"这是搜索词中的颜色约束，但商品页面基准未确认该具体颜色。"}],"size":[{"value":"7.5_or_8","evidence_type":"explicit","source_span":"size 7.5 or 8","fact_ids":[],"rationale":"Term specifies size 7.5 or 8."},{"value":"7.5_or_8","evidence_type":"page_validated","source_span":"","fact_ids":["sizes_6_11"],"rationale":"尺码8在6-11范围内，半码7.5未见明确支持。"}],"primary_domain":[{"value":"clothing_shoes_jewelry","evidence_type":"inferred","source_span":"","fact_ids":[],"rationale":"该值由搜索词整体语义推断，未作为页面明示属性。"}]}</x:v>
      </x:c>
      <x:c r="Y233" s="15" t="str">
        <x:v>half_size_availability | color_shade_match</x:v>
      </x:c>
      <x:c r="Z233" s="10" t="str">
        <x:v>partial_match</x:v>
      </x:c>
      <x:c r="AA233" s="15" t="str">
        <x:v>title_womens_flip_flop | style_flip_flop | sizes_6_11 | colors_visible</x:v>
      </x:c>
      <x:c r="AB233" s="10" t="str">
        <x:v>accepted</x:v>
      </x:c>
      <x:c r="AC233" s="10" t="str">
        <x:v>1.0.0</x:v>
      </x:c>
      <x:c r="AD233" s="10" t="str">
        <x:v>1.0.0</x:v>
      </x:c>
      <x:c r="AE233" s="10" t="str">
        <x:v>deepseek/deepseek-v4-pro</x:v>
      </x:c>
      <x:c r="AF233" s="10" t="str">
        <x:v>aj2-y90-20260714T234810-0bea2f52</x:v>
      </x:c>
      <x:c r="AG233" s="10" t="str">
        <x:v>full-0012</x:v>
      </x:c>
      <x:c r="AH233" s="10" t="str">
        <x:v>full</x:v>
      </x:c>
      <x:c r="AI233" s="10" t="n">
        <x:v>12</x:v>
      </x:c>
    </x:row>
    <x:row r="234" ht="34" customHeight="1">
      <x:c r="A234" s="16" t="str">
        <x:v>flip flops arch support womens</x:v>
      </x:c>
      <x:c r="B234" s="16" t="str">
        <x:v>flip flops arch support womens</x:v>
      </x:c>
      <x:c r="C234" s="13" t="str">
        <x:v>c5a8a6d1d9d11220</x:v>
      </x:c>
      <x:c r="D234" s="13" t="str">
        <x:v>keyword</x:v>
      </x:c>
      <x:c r="E234" s="13" t="str">
        <x:v>en</x:v>
      </x:c>
      <x:c r="F234" s="13" t="str">
        <x:v>clothing_shoes_jewelry</x:v>
      </x:c>
      <x:c r="G234" s="16" t="str"/>
      <x:c r="H234" s="16" t="str">
        <x:v>flip_flop</x:v>
      </x:c>
      <x:c r="I234" s="16" t="str">
        <x:v>women</x:v>
      </x:c>
      <x:c r="J234" s="16" t="str"/>
      <x:c r="K234" s="16" t="str">
        <x:v>arch_support</x:v>
      </x:c>
      <x:c r="L234" s="16" t="str"/>
      <x:c r="M234" s="16" t="str"/>
      <x:c r="N234" s="16" t="str"/>
      <x:c r="O234" s="16" t="str"/>
      <x:c r="P234" s="16" t="str"/>
      <x:c r="Q234" s="16" t="str"/>
      <x:c r="R234" s="16" t="str">
        <x:v>用户寻找具有足弓支撑功能的女性人字拖。</x:v>
      </x:c>
      <x:c r="S234" s="13" t="str">
        <x:v>high_intent</x:v>
      </x:c>
      <x:c r="T234" s="16" t="str">
        <x:v>explicit | page_validated</x:v>
      </x:c>
      <x:c r="U234" s="13" t="str">
        <x:v>high</x:v>
      </x:c>
      <x:c r="V234" s="16" t="str">
        <x:v>womens_arch_support_flip_flops</x:v>
      </x:c>
      <x:c r="W234" s="16" t="str">
        <x:v>cluster_route</x:v>
      </x:c>
      <x:c r="X234" s="16" t="str">
        <x:v>{"product_type":[{"value":"flip_flop","evidence_type":"explicit","source_span":"flip flops","fact_ids":[],"rationale":"Term explicitly requests flip flops."},{"value":"flip_flop","evidence_type":"page_validated","source_span":"","fact_ids":["style_flip_flop"],"rationale":"产品款式为人字拖。"}],"audience_intent":[{"value":"women","evidence_type":"explicit","source_span":"womens","fact_ids":[],"rationale":"Term explicitly targets women."},{"value":"women","evidence_type":"page_validated","source_span":"","fact_ids":["title_womens_flip_flop"],"rationale":"产品标题定位为女性凉鞋。"}],"capability_intent":[{"value":"arch_support","evidence_type":"explicit","source_span":"arch support","fact_ids":[],"rationale":"Term explicitly requests arch support."},{"value":"arch_support","evidence_type":"page_validated","source_span":"","fact_ids":["arch_support"],"rationale":"产品提供人体工学足弓支撑。"}],"primary_domain":[{"value":"clothing_shoes_jewelry","evidence_type":"inferred","source_span":"","fact_ids":[],"rationale":"该值由搜索词整体语义推断，未作为页面明示属性。"}]}</x:v>
      </x:c>
      <x:c r="Y234" s="16" t="str"/>
      <x:c r="Z234" s="13" t="str">
        <x:v>match</x:v>
      </x:c>
      <x:c r="AA234" s="16" t="str">
        <x:v>style_flip_flop | arch_support | title_womens_flip_flop</x:v>
      </x:c>
      <x:c r="AB234" s="13" t="str">
        <x:v>accepted</x:v>
      </x:c>
      <x:c r="AC234" s="13" t="str">
        <x:v>1.0.0</x:v>
      </x:c>
      <x:c r="AD234" s="13" t="str">
        <x:v>1.0.0</x:v>
      </x:c>
      <x:c r="AE234" s="13" t="str">
        <x:v>deepseek/deepseek-v4-pro</x:v>
      </x:c>
      <x:c r="AF234" s="13" t="str">
        <x:v>aj2-y90-20260714T234810-0bea2f52</x:v>
      </x:c>
      <x:c r="AG234" s="13" t="str">
        <x:v>full-0012</x:v>
      </x:c>
      <x:c r="AH234" s="13" t="str">
        <x:v>full</x:v>
      </x:c>
      <x:c r="AI234" s="13" t="n">
        <x:v>12</x:v>
      </x:c>
    </x:row>
    <x:row r="235" ht="34" customHeight="1">
      <x:c r="A235" s="15" t="str">
        <x:v>white arch support flip flop women</x:v>
      </x:c>
      <x:c r="B235" s="15" t="str">
        <x:v>white arch support flip flop women</x:v>
      </x:c>
      <x:c r="C235" s="10" t="str">
        <x:v>ced53f71e7377ac2</x:v>
      </x:c>
      <x:c r="D235" s="10" t="str">
        <x:v>keyword</x:v>
      </x:c>
      <x:c r="E235" s="10" t="str">
        <x:v>en</x:v>
      </x:c>
      <x:c r="F235" s="10" t="str">
        <x:v>clothing_shoes_jewelry</x:v>
      </x:c>
      <x:c r="G235" s="15" t="str"/>
      <x:c r="H235" s="15" t="str">
        <x:v>flip_flop</x:v>
      </x:c>
      <x:c r="I235" s="15" t="str">
        <x:v>women</x:v>
      </x:c>
      <x:c r="J235" s="15" t="str"/>
      <x:c r="K235" s="15" t="str">
        <x:v>arch_support</x:v>
      </x:c>
      <x:c r="L235" s="15" t="str"/>
      <x:c r="M235" s="15" t="str"/>
      <x:c r="N235" s="15" t="str"/>
      <x:c r="O235" s="15" t="str"/>
      <x:c r="P235" s="15" t="str"/>
      <x:c r="Q235" s="15" t="str"/>
      <x:c r="R235" s="15" t="str">
        <x:v>用户寻找具有足弓支撑功能的白色女性人字拖。</x:v>
      </x:c>
      <x:c r="S235" s="10" t="str">
        <x:v>high_intent</x:v>
      </x:c>
      <x:c r="T235" s="15" t="str">
        <x:v>explicit | page_validated</x:v>
      </x:c>
      <x:c r="U235" s="10" t="str">
        <x:v>high</x:v>
      </x:c>
      <x:c r="V235" s="15" t="str">
        <x:v>white_arch_support_womens_flip_flop</x:v>
      </x:c>
      <x:c r="W235" s="15" t="str">
        <x:v>cluster_route</x:v>
      </x:c>
      <x:c r="X235" s="15" t="str">
        <x:v>{"product_type":[{"value":"flip_flop","evidence_type":"explicit","source_span":"flip flop","fact_ids":[],"rationale":"Term explicitly requests flip flop."},{"value":"flip_flop","evidence_type":"page_validated","source_span":"","fact_ids":["style_flip_flop"],"rationale":"产品款式为人字拖。"}],"audience_intent":[{"value":"women","evidence_type":"explicit","source_span":"women","fact_ids":[],"rationale":"Term explicitly targets women."},{"value":"women","evidence_type":"page_validated","source_span":"","fact_ids":["title_womens_flip_flop"],"rationale":"产品标题定位为女性凉鞋。"}],"capability_intent":[{"value":"arch_support","evidence_type":"explicit","source_span":"arch support","fact_ids":[],"rationale":"Term explicitly requests arch support."},{"value":"arch_support","evidence_type":"page_validated","source_span":"","fact_ids":["arch_support"],"rationale":"产品提供人体工学足弓支撑。"}],"color":[{"value":"white","evidence_type":"explicit","source_span":"white","fact_ids":[],"rationale":"该颜色在商品页面可见颜色选择中得到明确支持。"},{"value":"white","evidence_type":"page_validated","source_span":"","fact_ids":["colors_visible"],"rationale":"该颜色在商品页面可见颜色选择中得到明确支持。"}],"primary_domain":[{"value":"clothing_shoes_jewelry","evidence_type":"inferred","source_span":"","fact_ids":[],"rationale":"该值由搜索词整体语义推断，未作为页面明示属性。"}]}</x:v>
      </x:c>
      <x:c r="Y235" s="15" t="str"/>
      <x:c r="Z235" s="10" t="str">
        <x:v>match</x:v>
      </x:c>
      <x:c r="AA235" s="15" t="str">
        <x:v>style_flip_flop | arch_support | title_womens_flip_flop | colors_visible</x:v>
      </x:c>
      <x:c r="AB235" s="10" t="str">
        <x:v>accepted</x:v>
      </x:c>
      <x:c r="AC235" s="10" t="str">
        <x:v>1.0.0</x:v>
      </x:c>
      <x:c r="AD235" s="10" t="str">
        <x:v>1.0.0</x:v>
      </x:c>
      <x:c r="AE235" s="10" t="str">
        <x:v>deepseek/deepseek-v4-pro</x:v>
      </x:c>
      <x:c r="AF235" s="10" t="str">
        <x:v>aj2-y90-20260714T234810-0bea2f52</x:v>
      </x:c>
      <x:c r="AG235" s="10" t="str">
        <x:v>full-0012</x:v>
      </x:c>
      <x:c r="AH235" s="10" t="str">
        <x:v>full</x:v>
      </x:c>
      <x:c r="AI235" s="10" t="n">
        <x:v>12</x:v>
      </x:c>
    </x:row>
    <x:row r="236" ht="34" customHeight="1">
      <x:c r="A236" s="16" t="str">
        <x:v>fli- flops with arch support</x:v>
      </x:c>
      <x:c r="B236" s="16" t="str">
        <x:v>fli- flops with arch support</x:v>
      </x:c>
      <x:c r="C236" s="13" t="str">
        <x:v>d2f09df2a45b989b</x:v>
      </x:c>
      <x:c r="D236" s="13" t="str">
        <x:v>keyword</x:v>
      </x:c>
      <x:c r="E236" s="13" t="str">
        <x:v>en</x:v>
      </x:c>
      <x:c r="F236" s="13" t="str">
        <x:v>clothing_shoes_jewelry</x:v>
      </x:c>
      <x:c r="G236" s="16" t="str"/>
      <x:c r="H236" s="16" t="str">
        <x:v>flip_flop</x:v>
      </x:c>
      <x:c r="I236" s="16" t="str"/>
      <x:c r="J236" s="16" t="str"/>
      <x:c r="K236" s="16" t="str">
        <x:v>arch_support</x:v>
      </x:c>
      <x:c r="L236" s="16" t="str"/>
      <x:c r="M236" s="16" t="str"/>
      <x:c r="N236" s="16" t="str"/>
      <x:c r="O236" s="16" t="str"/>
      <x:c r="P236" s="16" t="str"/>
      <x:c r="Q236" s="16" t="str"/>
      <x:c r="R236" s="16" t="str">
        <x:v>用户寻找具有足弓支撑功能的人字拖。</x:v>
      </x:c>
      <x:c r="S236" s="13" t="str">
        <x:v>consideration</x:v>
      </x:c>
      <x:c r="T236" s="16" t="str">
        <x:v>explicit | page_validated</x:v>
      </x:c>
      <x:c r="U236" s="13" t="str">
        <x:v>high</x:v>
      </x:c>
      <x:c r="V236" s="16" t="str">
        <x:v>flip_flops_arch_support</x:v>
      </x:c>
      <x:c r="W236" s="16" t="str">
        <x:v>cluster_route</x:v>
      </x:c>
      <x:c r="X236" s="16" t="str">
        <x:v>{"product_type":[{"value":"flip_flop","evidence_type":"explicit","source_span":"fli- flops","fact_ids":[],"rationale":"拼写变体，明确指flip flops。"},{"value":"flip_flop","evidence_type":"page_validated","source_span":"","fact_ids":["style_flip_flop"],"rationale":"产品款式为人字拖。"},{"value":"flip_flop","evidence_type":"inferred","source_span":"","fact_ids":[],"rationale":"该能力由搜索词表达的任务或问题推断；页面事实仅用于验证商品承接。"}],"capability_intent":[{"value":"arch_support","evidence_type":"explicit","source_span":"arch support","fact_ids":[],"rationale":"Term explicitly requests arch support."},{"value":"arch_support","evidence_type":"page_validated","source_span":"","fact_ids":["arch_support"],"rationale":"产品提供人体工学足弓支撑。"}],"primary_domain":[{"value":"clothing_shoes_jewelry","evidence_type":"inferred","source_span":"","fact_ids":[],"rationale":"该值由搜索词整体语义推断，未作为页面明示属性。"}]}</x:v>
      </x:c>
      <x:c r="Y236" s="16" t="str">
        <x:v>typo_variant</x:v>
      </x:c>
      <x:c r="Z236" s="13" t="str">
        <x:v>match</x:v>
      </x:c>
      <x:c r="AA236" s="16" t="str">
        <x:v>style_flip_flop | arch_support</x:v>
      </x:c>
      <x:c r="AB236" s="13" t="str">
        <x:v>accepted</x:v>
      </x:c>
      <x:c r="AC236" s="13" t="str">
        <x:v>1.0.0</x:v>
      </x:c>
      <x:c r="AD236" s="13" t="str">
        <x:v>1.0.0</x:v>
      </x:c>
      <x:c r="AE236" s="13" t="str">
        <x:v>deepseek/deepseek-v4-pro</x:v>
      </x:c>
      <x:c r="AF236" s="13" t="str">
        <x:v>aj2-y90-20260714T234810-0bea2f52</x:v>
      </x:c>
      <x:c r="AG236" s="13" t="str">
        <x:v>full-0012</x:v>
      </x:c>
      <x:c r="AH236" s="13" t="str">
        <x:v>full</x:v>
      </x:c>
      <x:c r="AI236" s="13" t="n">
        <x:v>12</x:v>
      </x:c>
    </x:row>
    <x:row r="237" ht="34" customHeight="1">
      <x:c r="A237" s="15" t="str">
        <x:v>temi flip flops for women</x:v>
      </x:c>
      <x:c r="B237" s="15" t="str">
        <x:v>temi flip flops for women</x:v>
      </x:c>
      <x:c r="C237" s="10" t="str">
        <x:v>d6265521cbe17663</x:v>
      </x:c>
      <x:c r="D237" s="10" t="str">
        <x:v>keyword</x:v>
      </x:c>
      <x:c r="E237" s="10" t="str">
        <x:v>en</x:v>
      </x:c>
      <x:c r="F237" s="10" t="str">
        <x:v>clothing_shoes_jewelry</x:v>
      </x:c>
      <x:c r="G237" s="15" t="str"/>
      <x:c r="H237" s="15" t="str">
        <x:v>flip_flop</x:v>
      </x:c>
      <x:c r="I237" s="15" t="str">
        <x:v>women</x:v>
      </x:c>
      <x:c r="J237" s="15" t="str"/>
      <x:c r="K237" s="15" t="str"/>
      <x:c r="L237" s="15" t="str"/>
      <x:c r="M237" s="15" t="str"/>
      <x:c r="N237" s="15" t="str"/>
      <x:c r="O237" s="15" t="str"/>
      <x:c r="P237" s="15" t="str">
        <x:v>brand_alternative</x:v>
      </x:c>
      <x:c r="Q237" s="15" t="str"/>
      <x:c r="R237" s="15" t="str">
        <x:v>用户搜索temi品牌的女性人字拖。</x:v>
      </x:c>
      <x:c r="S237" s="10" t="str">
        <x:v>brand_harvest</x:v>
      </x:c>
      <x:c r="T237" s="15" t="str">
        <x:v>explicit</x:v>
      </x:c>
      <x:c r="U237" s="10" t="str">
        <x:v>high</x:v>
      </x:c>
      <x:c r="V237" s="15" t="str">
        <x:v>temi_brand_womens_flip_flops</x:v>
      </x:c>
      <x:c r="W237" s="15" t="str">
        <x:v>semantic_negative_candidate</x:v>
      </x:c>
      <x:c r="X237" s="15" t="str">
        <x:v>{"product_type":[{"value":"flip_flop","evidence_type":"explicit","source_span":"flip flops","fact_ids":[],"rationale":"Term explicitly requests flip flops."},{"value":"flip_flop","evidence_type":"page_validated","source_span":"","fact_ids":["style_flip_flop"],"rationale":"该槽位与商品基准中的明示页面事实一致。"}],"audience_intent":[{"value":"women","evidence_type":"explicit","source_span":"women","fact_ids":[],"rationale":"Term explicitly targets women."},{"value":"women","evidence_type":"page_validated","source_span":"","fact_ids":["title_womens_flip_flop"],"rationale":"该槽位与商品基准中的明示页面事实一致。"}],"substitute_intent":[{"value":"brand_alternative","evidence_type":"explicit","source_span":"temi","fact_ids":[],"rationale":"temi为独立品牌，非joomra。"}],"primary_domain":[{"value":"clothing_shoes_jewelry","evidence_type":"inferred","source_span":"","fact_ids":[],"rationale":"该值由搜索词整体语义推断，未作为页面明示属性。"}]}</x:v>
      </x:c>
      <x:c r="Y237" s="15" t="str"/>
      <x:c r="Z237" s="10" t="str">
        <x:v>mismatch</x:v>
      </x:c>
      <x:c r="AA237" s="15" t="str">
        <x:v>title_womens_flip_flop | style_flip_flop</x:v>
      </x:c>
      <x:c r="AB237" s="10" t="str">
        <x:v>accepted</x:v>
      </x:c>
      <x:c r="AC237" s="10" t="str">
        <x:v>1.0.0</x:v>
      </x:c>
      <x:c r="AD237" s="10" t="str">
        <x:v>1.0.0</x:v>
      </x:c>
      <x:c r="AE237" s="10" t="str">
        <x:v>deepseek/deepseek-v4-pro</x:v>
      </x:c>
      <x:c r="AF237" s="10" t="str">
        <x:v>aj2-y90-20260714T234810-0bea2f52</x:v>
      </x:c>
      <x:c r="AG237" s="10" t="str">
        <x:v>full-0012</x:v>
      </x:c>
      <x:c r="AH237" s="10" t="str">
        <x:v>full</x:v>
      </x:c>
      <x:c r="AI237" s="10" t="n">
        <x:v>12</x:v>
      </x:c>
    </x:row>
    <x:row r="238" ht="34" customHeight="1">
      <x:c r="A238" s="16" t="str">
        <x:v>womens croc flip flops</x:v>
      </x:c>
      <x:c r="B238" s="16" t="str">
        <x:v>womens croc flip flops</x:v>
      </x:c>
      <x:c r="C238" s="13" t="str">
        <x:v>e0a33914633c82d1</x:v>
      </x:c>
      <x:c r="D238" s="13" t="str">
        <x:v>keyword</x:v>
      </x:c>
      <x:c r="E238" s="13" t="str">
        <x:v>en</x:v>
      </x:c>
      <x:c r="F238" s="13" t="str">
        <x:v>clothing_shoes_jewelry</x:v>
      </x:c>
      <x:c r="G238" s="16" t="str"/>
      <x:c r="H238" s="16" t="str">
        <x:v>flip_flop</x:v>
      </x:c>
      <x:c r="I238" s="16" t="str">
        <x:v>women</x:v>
      </x:c>
      <x:c r="J238" s="16" t="str"/>
      <x:c r="K238" s="16" t="str"/>
      <x:c r="L238" s="16" t="str"/>
      <x:c r="M238" s="16" t="str"/>
      <x:c r="N238" s="16" t="str"/>
      <x:c r="O238" s="16" t="str"/>
      <x:c r="P238" s="16" t="str">
        <x:v>brand_alternative</x:v>
      </x:c>
      <x:c r="Q238" s="16" t="str"/>
      <x:c r="R238" s="16" t="str">
        <x:v>用户想寻找类似Crocs品牌风格的女性人字拖。</x:v>
      </x:c>
      <x:c r="S238" s="13" t="str">
        <x:v>brand_harvest</x:v>
      </x:c>
      <x:c r="T238" s="16" t="str">
        <x:v>explicit</x:v>
      </x:c>
      <x:c r="U238" s="13" t="str">
        <x:v>high</x:v>
      </x:c>
      <x:c r="V238" s="16" t="str">
        <x:v>croc_brand_womens_flip_flops</x:v>
      </x:c>
      <x:c r="W238" s="16" t="str">
        <x:v>semantic_negative_candidate</x:v>
      </x:c>
      <x:c r="X238" s="16" t="str">
        <x:v>{"product_type":[{"value":"flip_flop","evidence_type":"explicit","source_span":"flip flops","fact_ids":[],"rationale":"Term explicitly requests flip flops."},{"value":"flip_flop","evidence_type":"page_validated","source_span":"","fact_ids":["style_flip_flop"],"rationale":"该槽位与商品基准中的明示页面事实一致。"}],"audience_intent":[{"value":"women","evidence_type":"explicit","source_span":"womens","fact_ids":[],"rationale":"Term explicitly targets women."},{"value":"women","evidence_type":"page_validated","source_span":"","fact_ids":["title_womens_flip_flop"],"rationale":"该槽位与商品基准中的明示页面事实一致。"}],"substitute_intent":[{"value":"brand_alternative","evidence_type":"explicit","source_span":"croc","fact_ids":[],"rationale":"croc指Crocs品牌，非joomra品牌。"}],"primary_domain":[{"value":"clothing_shoes_jewelry","evidence_type":"inferred","source_span":"","fact_ids":[],"rationale":"该值由搜索词整体语义推断，未作为页面明示属性。"}]}</x:v>
      </x:c>
      <x:c r="Y238" s="16" t="str">
        <x:v>brand_generic_usage</x:v>
      </x:c>
      <x:c r="Z238" s="13" t="str">
        <x:v>mismatch</x:v>
      </x:c>
      <x:c r="AA238" s="16" t="str">
        <x:v>title_womens_flip_flop | style_flip_flop | material_eva</x:v>
      </x:c>
      <x:c r="AB238" s="13" t="str">
        <x:v>accepted</x:v>
      </x:c>
      <x:c r="AC238" s="13" t="str">
        <x:v>1.0.0</x:v>
      </x:c>
      <x:c r="AD238" s="13" t="str">
        <x:v>1.0.0</x:v>
      </x:c>
      <x:c r="AE238" s="13" t="str">
        <x:v>deepseek/deepseek-v4-pro</x:v>
      </x:c>
      <x:c r="AF238" s="13" t="str">
        <x:v>aj2-y90-20260714T234810-0bea2f52</x:v>
      </x:c>
      <x:c r="AG238" s="13" t="str">
        <x:v>full-0012</x:v>
      </x:c>
      <x:c r="AH238" s="13" t="str">
        <x:v>full</x:v>
      </x:c>
      <x:c r="AI238" s="13" t="n">
        <x:v>12</x:v>
      </x:c>
    </x:row>
    <x:row r="239" ht="34" customHeight="1">
      <x:c r="A239" s="15" t="str">
        <x:v>womens flip flops with arch support in white</x:v>
      </x:c>
      <x:c r="B239" s="15" t="str">
        <x:v>womens flip flops with arch support in white</x:v>
      </x:c>
      <x:c r="C239" s="10" t="str">
        <x:v>ef61b924ed010465</x:v>
      </x:c>
      <x:c r="D239" s="10" t="str">
        <x:v>keyword</x:v>
      </x:c>
      <x:c r="E239" s="10" t="str">
        <x:v>en</x:v>
      </x:c>
      <x:c r="F239" s="10" t="str">
        <x:v>clothing_shoes_jewelry</x:v>
      </x:c>
      <x:c r="G239" s="15" t="str"/>
      <x:c r="H239" s="15" t="str">
        <x:v>flip_flop</x:v>
      </x:c>
      <x:c r="I239" s="15" t="str">
        <x:v>women</x:v>
      </x:c>
      <x:c r="J239" s="15" t="str"/>
      <x:c r="K239" s="15" t="str">
        <x:v>arch_support</x:v>
      </x:c>
      <x:c r="L239" s="15" t="str"/>
      <x:c r="M239" s="15" t="str"/>
      <x:c r="N239" s="15" t="str"/>
      <x:c r="O239" s="15" t="str"/>
      <x:c r="P239" s="15" t="str"/>
      <x:c r="Q239" s="15" t="str"/>
      <x:c r="R239" s="15" t="str">
        <x:v>用户寻找具有足弓支撑功能的白色女性人字拖。</x:v>
      </x:c>
      <x:c r="S239" s="10" t="str">
        <x:v>high_intent</x:v>
      </x:c>
      <x:c r="T239" s="15" t="str">
        <x:v>explicit | page_validated</x:v>
      </x:c>
      <x:c r="U239" s="10" t="str">
        <x:v>high</x:v>
      </x:c>
      <x:c r="V239" s="15" t="str">
        <x:v>white_arch_support_womens_flip_flops</x:v>
      </x:c>
      <x:c r="W239" s="15" t="str">
        <x:v>cluster_route</x:v>
      </x:c>
      <x:c r="X239" s="15" t="str">
        <x:v>{"product_type":[{"value":"flip_flop","evidence_type":"explicit","source_span":"flip flops","fact_ids":[],"rationale":"Term explicitly requests flip flops."},{"value":"flip_flop","evidence_type":"page_validated","source_span":"","fact_ids":["style_flip_flop"],"rationale":"产品款式为人字拖。"}],"audience_intent":[{"value":"women","evidence_type":"explicit","source_span":"womens","fact_ids":[],"rationale":"Term explicitly targets women."},{"value":"women","evidence_type":"page_validated","source_span":"","fact_ids":["title_womens_flip_flop"],"rationale":"产品标题定位为女性凉鞋。"}],"capability_intent":[{"value":"arch_support","evidence_type":"explicit","source_span":"arch support","fact_ids":[],"rationale":"Term explicitly requests arch support."},{"value":"arch_support","evidence_type":"page_validated","source_span":"","fact_ids":["arch_support"],"rationale":"产品提供人体工学足弓支撑。"}],"color":[{"value":"white","evidence_type":"explicit","source_span":"white","fact_ids":[],"rationale":"该颜色在商品页面可见颜色选择中得到明确支持。"},{"value":"white","evidence_type":"page_validated","source_span":"","fact_ids":["colors_visible"],"rationale":"该颜色在商品页面可见颜色选择中得到明确支持。"}],"primary_domain":[{"value":"clothing_shoes_jewelry","evidence_type":"inferred","source_span":"","fact_ids":[],"rationale":"该值由搜索词整体语义推断，未作为页面明示属性。"}]}</x:v>
      </x:c>
      <x:c r="Y239" s="15" t="str"/>
      <x:c r="Z239" s="10" t="str">
        <x:v>match</x:v>
      </x:c>
      <x:c r="AA239" s="15" t="str">
        <x:v>title_womens_flip_flop | style_flip_flop | arch_support | colors_visible</x:v>
      </x:c>
      <x:c r="AB239" s="10" t="str">
        <x:v>accepted</x:v>
      </x:c>
      <x:c r="AC239" s="10" t="str">
        <x:v>1.0.0</x:v>
      </x:c>
      <x:c r="AD239" s="10" t="str">
        <x:v>1.0.0</x:v>
      </x:c>
      <x:c r="AE239" s="10" t="str">
        <x:v>deepseek/deepseek-v4-pro</x:v>
      </x:c>
      <x:c r="AF239" s="10" t="str">
        <x:v>aj2-y90-20260714T234810-0bea2f52</x:v>
      </x:c>
      <x:c r="AG239" s="10" t="str">
        <x:v>full-0012</x:v>
      </x:c>
      <x:c r="AH239" s="10" t="str">
        <x:v>full</x:v>
      </x:c>
      <x:c r="AI239" s="10" t="n">
        <x:v>12</x:v>
      </x:c>
    </x:row>
    <x:row r="240" ht="34" customHeight="1">
      <x:c r="A240" s="16" t="str">
        <x:v>multi colored sandals for women</x:v>
      </x:c>
      <x:c r="B240" s="16" t="str">
        <x:v>multi colored sandals for women</x:v>
      </x:c>
      <x:c r="C240" s="13" t="str">
        <x:v>f2b2cea435a77123</x:v>
      </x:c>
      <x:c r="D240" s="13" t="str">
        <x:v>keyword</x:v>
      </x:c>
      <x:c r="E240" s="13" t="str">
        <x:v>en</x:v>
      </x:c>
      <x:c r="F240" s="13" t="str">
        <x:v>clothing_shoes_jewelry</x:v>
      </x:c>
      <x:c r="G240" s="16" t="str"/>
      <x:c r="H240" s="16" t="str">
        <x:v>sandal | flip_flop</x:v>
      </x:c>
      <x:c r="I240" s="16" t="str">
        <x:v>women</x:v>
      </x:c>
      <x:c r="J240" s="16" t="str"/>
      <x:c r="K240" s="16" t="str"/>
      <x:c r="L240" s="16" t="str"/>
      <x:c r="M240" s="16" t="str"/>
      <x:c r="N240" s="16" t="str"/>
      <x:c r="O240" s="16" t="str"/>
      <x:c r="P240" s="16" t="str"/>
      <x:c r="Q240" s="16" t="str"/>
      <x:c r="R240" s="16" t="str">
        <x:v>用户寻找适合女性的多色凉鞋。</x:v>
      </x:c>
      <x:c r="S240" s="13" t="str">
        <x:v>exploration</x:v>
      </x:c>
      <x:c r="T240" s="16" t="str">
        <x:v>explicit | page_validated</x:v>
      </x:c>
      <x:c r="U240" s="13" t="str">
        <x:v>medium</x:v>
      </x:c>
      <x:c r="V240" s="16" t="str">
        <x:v>multi_colored_womens_sandals</x:v>
      </x:c>
      <x:c r="W240" s="16" t="str">
        <x:v>listing_gap_review</x:v>
      </x:c>
      <x:c r="X240" s="16" t="str">
        <x:v>{"product_type":[{"value":"sandal","evidence_type":"explicit","source_span":"sandals","fact_ids":[],"rationale":"Term explicitly requests sandals."},{"value":"flip_flop","evidence_type":"page_validated","source_span":"","fact_ids":["style_flip_flop","title_womens_flip_flop"],"rationale":"产品为夹趾凉鞋，属于凉鞋子类。"},{"value":"flip_flop","evidence_type":"inferred","source_span":"","fact_ids":[],"rationale":"该能力由搜索词表达的任务或问题推断；页面事实仅用于验证商品承接。"}],"audience_intent":[{"value":"women","evidence_type":"explicit","source_span":"women","fact_ids":[],"rationale":"Term explicitly targets women."},{"value":"women","evidence_type":"page_validated","source_span":"","fact_ids":["title_womens_flip_flop"],"rationale":"产品标题定位为女性凉鞋。"}],"color":[{"value":"multi_colored","evidence_type":"explicit","source_span":"multi colored","fact_ids":[],"rationale":"Term requests multi-colored sandals."},{"value":"multi_colored","evidence_type":"inferred","source_span":"","fact_ids":[],"rationale":"这是搜索词中的颜色约束，但商品页面基准未确认该具体颜色。"}],"primary_domain":[{"value":"clothing_shoes_jewelry","evidence_type":"inferred","source_span":"","fact_ids":[],"rationale":"该值由搜索词整体语义推断，未作为页面明示属性。"}]}</x:v>
      </x:c>
      <x:c r="Y240" s="16" t="str">
        <x:v>product_type_broadness | multi_color_unavailable</x:v>
      </x:c>
      <x:c r="Z240" s="13" t="str">
        <x:v>partial_match</x:v>
      </x:c>
      <x:c r="AA240" s="16" t="str">
        <x:v>style_flip_flop | title_womens_flip_flop | colors_visible</x:v>
      </x:c>
      <x:c r="AB240" s="13" t="str">
        <x:v>accepted</x:v>
      </x:c>
      <x:c r="AC240" s="13" t="str">
        <x:v>1.0.0</x:v>
      </x:c>
      <x:c r="AD240" s="13" t="str">
        <x:v>1.0.0</x:v>
      </x:c>
      <x:c r="AE240" s="13" t="str">
        <x:v>deepseek/deepseek-v4-pro</x:v>
      </x:c>
      <x:c r="AF240" s="13" t="str">
        <x:v>aj2-y90-20260714T234810-0bea2f52</x:v>
      </x:c>
      <x:c r="AG240" s="13" t="str">
        <x:v>full-0012</x:v>
      </x:c>
      <x:c r="AH240" s="13" t="str">
        <x:v>full</x:v>
      </x:c>
      <x:c r="AI240" s="13" t="n">
        <x:v>12</x:v>
      </x:c>
    </x:row>
    <x:row r="241" ht="34" customHeight="1">
      <x:c r="A241" s="15" t="str">
        <x:v>waterproof thong sandals for women</x:v>
      </x:c>
      <x:c r="B241" s="15" t="str">
        <x:v>waterproof thong sandals for women</x:v>
      </x:c>
      <x:c r="C241" s="10" t="str">
        <x:v>f47fd4fd49b5e58a</x:v>
      </x:c>
      <x:c r="D241" s="10" t="str">
        <x:v>keyword</x:v>
      </x:c>
      <x:c r="E241" s="10" t="str">
        <x:v>en</x:v>
      </x:c>
      <x:c r="F241" s="10" t="str">
        <x:v>clothing_shoes_jewelry</x:v>
      </x:c>
      <x:c r="G241" s="15" t="str"/>
      <x:c r="H241" s="15" t="str">
        <x:v>thong_sandal</x:v>
      </x:c>
      <x:c r="I241" s="15" t="str">
        <x:v>women</x:v>
      </x:c>
      <x:c r="J241" s="15" t="str"/>
      <x:c r="K241" s="15" t="str">
        <x:v>waterproof</x:v>
      </x:c>
      <x:c r="L241" s="15" t="str"/>
      <x:c r="M241" s="15" t="str"/>
      <x:c r="N241" s="15" t="str"/>
      <x:c r="O241" s="15" t="str"/>
      <x:c r="P241" s="15" t="str"/>
      <x:c r="Q241" s="15" t="str"/>
      <x:c r="R241" s="15" t="str">
        <x:v>用户需要为女性寻找具有防水功能的夹趾凉鞋。</x:v>
      </x:c>
      <x:c r="S241" s="10" t="str">
        <x:v>consideration</x:v>
      </x:c>
      <x:c r="T241" s="15" t="str">
        <x:v>explicit | page_validated</x:v>
      </x:c>
      <x:c r="U241" s="10" t="str">
        <x:v>medium</x:v>
      </x:c>
      <x:c r="V241" s="15" t="str">
        <x:v>waterproof_womens_thong_sandals</x:v>
      </x:c>
      <x:c r="W241" s="15" t="str">
        <x:v>listing_gap_review</x:v>
      </x:c>
      <x:c r="X241" s="15" t="str">
        <x:v>{"product_type":[{"value":"thong_sandal","evidence_type":"explicit","source_span":"thong sandals","fact_ids":[],"rationale":"Term explicitly requests thong sandals."},{"value":"thong_sandal","evidence_type":"page_validated","source_span":"","fact_ids":["style_thong","title_womens_flip_flop"],"rationale":"产品页面确认为夹趾/人字拖凉鞋。"}],"audience_intent":[{"value":"women","evidence_type":"explicit","source_span":"women","fact_ids":[],"rationale":"Term explicitly targets women."},{"value":"women","evidence_type":"page_validated","source_span":"","fact_ids":["title_womens_flip_flop"],"rationale":"产品标题定位为女性凉鞋。"}],"capability_intent":[{"value":"waterproof","evidence_type":"explicit","source_span":"waterproof","fact_ids":[],"rationale":"Term explicitly requests waterproof capability."}],"primary_domain":[{"value":"clothing_shoes_jewelry","evidence_type":"inferred","source_span":"","fact_ids":[],"rationale":"该值由搜索词整体语义推断，未作为页面明示属性。"}]}</x:v>
      </x:c>
      <x:c r="Y241" s="15" t="str"/>
      <x:c r="Z241" s="10" t="str">
        <x:v>partial_match</x:v>
      </x:c>
      <x:c r="AA241" s="15" t="str">
        <x:v>title_womens_flip_flop | style_thong</x:v>
      </x:c>
      <x:c r="AB241" s="10" t="str">
        <x:v>accepted</x:v>
      </x:c>
      <x:c r="AC241" s="10" t="str">
        <x:v>1.0.0</x:v>
      </x:c>
      <x:c r="AD241" s="10" t="str">
        <x:v>1.0.0</x:v>
      </x:c>
      <x:c r="AE241" s="10" t="str">
        <x:v>deepseek/deepseek-v4-pro</x:v>
      </x:c>
      <x:c r="AF241" s="10" t="str">
        <x:v>aj2-y90-20260714T234810-0bea2f52</x:v>
      </x:c>
      <x:c r="AG241" s="10" t="str">
        <x:v>full-0012</x:v>
      </x:c>
      <x:c r="AH241" s="10" t="str">
        <x:v>full</x:v>
      </x:c>
      <x:c r="AI241" s="10" t="n">
        <x:v>12</x:v>
      </x:c>
    </x:row>
    <x:row r="242" ht="34" customHeight="1">
      <x:c r="A242" s="16" t="str">
        <x:v>floopi white size 8</x:v>
      </x:c>
      <x:c r="B242" s="16" t="str">
        <x:v>floopi white size 8</x:v>
      </x:c>
      <x:c r="C242" s="13" t="str">
        <x:v>2216aa9e9fda8d85</x:v>
      </x:c>
      <x:c r="D242" s="13" t="str">
        <x:v>keyword</x:v>
      </x:c>
      <x:c r="E242" s="13" t="str">
        <x:v>en</x:v>
      </x:c>
      <x:c r="F242" s="13" t="str">
        <x:v>clothing_shoes_jewelry</x:v>
      </x:c>
      <x:c r="G242" s="16" t="str"/>
      <x:c r="H242" s="16" t="str">
        <x:v>flip_flops</x:v>
      </x:c>
      <x:c r="I242" s="16" t="str"/>
      <x:c r="J242" s="16" t="str"/>
      <x:c r="K242" s="16" t="str"/>
      <x:c r="L242" s="16" t="str"/>
      <x:c r="M242" s="16" t="str"/>
      <x:c r="N242" s="16" t="str"/>
      <x:c r="O242" s="16" t="str"/>
      <x:c r="P242" s="16" t="str"/>
      <x:c r="Q242" s="16" t="str"/>
      <x:c r="R242" s="16" t="str">
        <x:v>用户想购买Floopi品牌白色8码夹脚拖鞋，但本产品为joomra品牌。</x:v>
      </x:c>
      <x:c r="S242" s="13" t="str">
        <x:v>brand_harvest</x:v>
      </x:c>
      <x:c r="T242" s="16" t="str">
        <x:v>explicit | page_validated | inferred</x:v>
      </x:c>
      <x:c r="U242" s="13" t="str">
        <x:v>medium</x:v>
      </x:c>
      <x:c r="V242" s="16" t="str">
        <x:v>brand_specific_flip_flops_white_size8</x:v>
      </x:c>
      <x:c r="W242" s="16" t="str">
        <x:v>semantic_negative_candidate</x:v>
      </x:c>
      <x:c r="X242" s="16" t="str">
        <x:v>{"product_type":[{"value":"flip_flops","evidence_type":"inferred","source_span":"","fact_ids":[],"rationale":"floopi可能为夹脚拖鞋品牌"},{"value":"flip_flops","evidence_type":"page_validated","source_span":"","fact_ids":["style_flip_flop"],"rationale":"该槽位与商品基准中的明示页面事实一致。"}],"brand":[{"value":"floopi","evidence_type":"explicit","source_span":"floopi","fact_ids":[],"rationale":""}],"color":[{"value":"white","evidence_type":"explicit","source_span":"white","fact_ids":[],"rationale":"该颜色在商品页面可见颜色选择中得到明确支持。"}],"size":[{"value":"8","evidence_type":"explicit","source_span":"8","fact_ids":[],"rationale":""}],"primary_domain":[{"value":"clothing_shoes_jewelry","evidence_type":"inferred","source_span":"","fact_ids":[],"rationale":"该值由搜索词整体语义推断，未作为页面明示属性。"}]}</x:v>
      </x:c>
      <x:c r="Y242" s="16" t="str">
        <x:v>brand_vs_misspelling_ambiguity_floopi</x:v>
      </x:c>
      <x:c r="Z242" s="13" t="str">
        <x:v>mismatch</x:v>
      </x:c>
      <x:c r="AA242" s="16" t="str">
        <x:v>colors_visible | sizes_6_11</x:v>
      </x:c>
      <x:c r="AB242" s="13" t="str">
        <x:v>accepted</x:v>
      </x:c>
      <x:c r="AC242" s="13" t="str">
        <x:v>1.0.0</x:v>
      </x:c>
      <x:c r="AD242" s="13" t="str">
        <x:v>1.1.0</x:v>
      </x:c>
      <x:c r="AE242" s="13" t="str">
        <x:v>deepseek/deepseek-v4-pro</x:v>
      </x:c>
      <x:c r="AF242" s="13" t="str">
        <x:v>aj2-y90-20260714T234810-0bea2f52</x:v>
      </x:c>
      <x:c r="AG242" s="13" t="str">
        <x:v>full-0013</x:v>
      </x:c>
      <x:c r="AH242" s="13" t="str">
        <x:v>full</x:v>
      </x:c>
      <x:c r="AI242" s="13" t="n">
        <x:v>13</x:v>
      </x:c>
    </x:row>
    <x:row r="243" ht="34" customHeight="1">
      <x:c r="A243" s="15" t="str">
        <x:v>flip flops with rubber soles</x:v>
      </x:c>
      <x:c r="B243" s="15" t="str">
        <x:v>flip flops with rubber soles</x:v>
      </x:c>
      <x:c r="C243" s="10" t="str">
        <x:v>221758e773a3b88c</x:v>
      </x:c>
      <x:c r="D243" s="10" t="str">
        <x:v>keyword</x:v>
      </x:c>
      <x:c r="E243" s="10" t="str">
        <x:v>en</x:v>
      </x:c>
      <x:c r="F243" s="10" t="str">
        <x:v>clothing_shoes_jewelry</x:v>
      </x:c>
      <x:c r="G243" s="15" t="str"/>
      <x:c r="H243" s="15" t="str">
        <x:v>flip_flops</x:v>
      </x:c>
      <x:c r="I243" s="15" t="str"/>
      <x:c r="J243" s="15" t="str"/>
      <x:c r="K243" s="15" t="str"/>
      <x:c r="L243" s="15" t="str"/>
      <x:c r="M243" s="15" t="str"/>
      <x:c r="N243" s="15" t="str"/>
      <x:c r="O243" s="15" t="str"/>
      <x:c r="P243" s="15" t="str"/>
      <x:c r="Q243" s="15" t="str"/>
      <x:c r="R243" s="15" t="str">
        <x:v>用户需要橡胶鞋底的夹脚拖鞋，但本产品外底材质为EVA而非橡胶。</x:v>
      </x:c>
      <x:c r="S243" s="10" t="str">
        <x:v>consideration</x:v>
      </x:c>
      <x:c r="T243" s="15" t="str">
        <x:v>explicit | page_validated</x:v>
      </x:c>
      <x:c r="U243" s="10" t="str">
        <x:v>high</x:v>
      </x:c>
      <x:c r="V243" s="15" t="str">
        <x:v>flip_flops_rubber_sole</x:v>
      </x:c>
      <x:c r="W243" s="15" t="str">
        <x:v>semantic_negative_candidate</x:v>
      </x:c>
      <x:c r="X243" s="15" t="str">
        <x:v>{"product_type":[{"value":"flip_flops","evidence_type":"explicit","source_span":"flip flops","fact_ids":[],"rationale":""},{"value":"flip_flops","evidence_type":"page_validated","source_span":"","fact_ids":["style_flip_flop"],"rationale":"该槽位与商品基准中的明示页面事实一致。"}],"material":[{"value":"rubber","evidence_type":"explicit","source_span":"rubber soles","fact_ids":[],"rationale":""}],"primary_domain":[{"value":"clothing_shoes_jewelry","evidence_type":"inferred","source_span":"","fact_ids":[],"rationale":"该值由搜索词整体语义推断，未作为页面明示属性。"}]}</x:v>
      </x:c>
      <x:c r="Y243" s="15" t="str"/>
      <x:c r="Z243" s="10" t="str">
        <x:v>mismatch</x:v>
      </x:c>
      <x:c r="AA243" s="15" t="str">
        <x:v>style_flip_flop | material_eva</x:v>
      </x:c>
      <x:c r="AB243" s="10" t="str">
        <x:v>accepted</x:v>
      </x:c>
      <x:c r="AC243" s="10" t="str">
        <x:v>1.0.0</x:v>
      </x:c>
      <x:c r="AD243" s="10" t="str">
        <x:v>1.1.0</x:v>
      </x:c>
      <x:c r="AE243" s="10" t="str">
        <x:v>deepseek/deepseek-v4-pro</x:v>
      </x:c>
      <x:c r="AF243" s="10" t="str">
        <x:v>aj2-y90-20260714T234810-0bea2f52</x:v>
      </x:c>
      <x:c r="AG243" s="10" t="str">
        <x:v>full-0013</x:v>
      </x:c>
      <x:c r="AH243" s="10" t="str">
        <x:v>full</x:v>
      </x:c>
      <x:c r="AI243" s="10" t="n">
        <x:v>13</x:v>
      </x:c>
    </x:row>
    <x:row r="244" ht="34" customHeight="1">
      <x:c r="A244" s="16" t="str">
        <x:v>flip flops for water women</x:v>
      </x:c>
      <x:c r="B244" s="16" t="str">
        <x:v>flip flops for water women</x:v>
      </x:c>
      <x:c r="C244" s="13" t="str">
        <x:v>229bcae14f1456f3</x:v>
      </x:c>
      <x:c r="D244" s="13" t="str">
        <x:v>keyword</x:v>
      </x:c>
      <x:c r="E244" s="13" t="str">
        <x:v>en</x:v>
      </x:c>
      <x:c r="F244" s="13" t="str">
        <x:v>clothing_shoes_jewelry</x:v>
      </x:c>
      <x:c r="G244" s="16" t="str">
        <x:v>sports_outdoors</x:v>
      </x:c>
      <x:c r="H244" s="16" t="str">
        <x:v>flip_flops</x:v>
      </x:c>
      <x:c r="I244" s="16" t="str">
        <x:v>women</x:v>
      </x:c>
      <x:c r="J244" s="16" t="str"/>
      <x:c r="K244" s="16" t="str"/>
      <x:c r="L244" s="16" t="str">
        <x:v>water_activities</x:v>
      </x:c>
      <x:c r="M244" s="16" t="str"/>
      <x:c r="N244" s="16" t="str"/>
      <x:c r="O244" s="16" t="str"/>
      <x:c r="P244" s="16" t="str"/>
      <x:c r="Q244" s="16" t="str"/>
      <x:c r="R244" s="16" t="str">
        <x:v>用户想找适合涉水穿着的女式夹脚拖鞋，但产品未声明防水或速干功能。</x:v>
      </x:c>
      <x:c r="S244" s="13" t="str">
        <x:v>consideration</x:v>
      </x:c>
      <x:c r="T244" s="16" t="str">
        <x:v>explicit | page_validated | inferred</x:v>
      </x:c>
      <x:c r="U244" s="13" t="str">
        <x:v>high</x:v>
      </x:c>
      <x:c r="V244" s="16" t="str">
        <x:v>womens_water_flip_flops</x:v>
      </x:c>
      <x:c r="W244" s="16" t="str">
        <x:v>listing_gap_review</x:v>
      </x:c>
      <x:c r="X244" s="16" t="str">
        <x:v>{"product_type":[{"value":"flip_flops","evidence_type":"explicit","source_span":"flip flops","fact_ids":[],"rationale":""},{"value":"flip_flops","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event_intent":[{"value":"water_activities","evidence_type":"explicit","source_span":"water","fact_ids":[],"rationale":""}],"secondary_domain":[{"value":"sports_outdoors","evidence_type":"inferred","source_span":"","fact_ids":[],"rationale":"该值由搜索词整体语义推断，未作为页面明示属性。"}],"primary_domain":[{"value":"clothing_shoes_jewelry","evidence_type":"inferred","source_span":"","fact_ids":[],"rationale":"该值由搜索词整体语义推断，未作为页面明示属性。"}]}</x:v>
      </x:c>
      <x:c r="Y244" s="16" t="str"/>
      <x:c r="Z244" s="13" t="str">
        <x:v>partial_match</x:v>
      </x:c>
      <x:c r="AA244" s="16" t="str">
        <x:v>title_womens_flip_flop</x:v>
      </x:c>
      <x:c r="AB244" s="13" t="str">
        <x:v>accepted</x:v>
      </x:c>
      <x:c r="AC244" s="13" t="str">
        <x:v>1.0.0</x:v>
      </x:c>
      <x:c r="AD244" s="13" t="str">
        <x:v>1.1.0</x:v>
      </x:c>
      <x:c r="AE244" s="13" t="str">
        <x:v>deepseek/deepseek-v4-pro</x:v>
      </x:c>
      <x:c r="AF244" s="13" t="str">
        <x:v>aj2-y90-20260714T234810-0bea2f52</x:v>
      </x:c>
      <x:c r="AG244" s="13" t="str">
        <x:v>full-0013</x:v>
      </x:c>
      <x:c r="AH244" s="13" t="str">
        <x:v>full</x:v>
      </x:c>
      <x:c r="AI244" s="13" t="n">
        <x:v>13</x:v>
      </x:c>
    </x:row>
    <x:row r="245" ht="34" customHeight="1">
      <x:c r="A245" s="15" t="str">
        <x:v>black flip flops women comfortable arch support</x:v>
      </x:c>
      <x:c r="B245" s="15" t="str">
        <x:v>black flip flops women comfortable arch support</x:v>
      </x:c>
      <x:c r="C245" s="10" t="str">
        <x:v>289a0fc7b44866a0</x:v>
      </x:c>
      <x:c r="D245" s="10" t="str">
        <x:v>keyword</x:v>
      </x:c>
      <x:c r="E245" s="10" t="str">
        <x:v>en</x:v>
      </x:c>
      <x:c r="F245" s="10" t="str">
        <x:v>clothing_shoes_jewelry</x:v>
      </x:c>
      <x:c r="G245" s="15" t="str"/>
      <x:c r="H245" s="15" t="str">
        <x:v>flip_flops</x:v>
      </x:c>
      <x:c r="I245" s="15" t="str">
        <x:v>women</x:v>
      </x:c>
      <x:c r="J245" s="15" t="str">
        <x:v>arch_support</x:v>
      </x:c>
      <x:c r="K245" s="15" t="str">
        <x:v>comfortable</x:v>
      </x:c>
      <x:c r="L245" s="15" t="str"/>
      <x:c r="M245" s="15" t="str"/>
      <x:c r="N245" s="15" t="str"/>
      <x:c r="O245" s="15" t="str"/>
      <x:c r="P245" s="15" t="str"/>
      <x:c r="Q245" s="15" t="str"/>
      <x:c r="R245" s="15" t="str">
        <x:v>用户想找黑色舒适且带足弓支撑的女式夹脚拖鞋。</x:v>
      </x:c>
      <x:c r="S245" s="10" t="str">
        <x:v>high_intent</x:v>
      </x:c>
      <x:c r="T245" s="15" t="str">
        <x:v>explicit | page_validated</x:v>
      </x:c>
      <x:c r="U245" s="10" t="str">
        <x:v>high</x:v>
      </x:c>
      <x:c r="V245" s="15" t="str">
        <x:v>womens_comfort_arch_support_flip_flops_black</x:v>
      </x:c>
      <x:c r="W245" s="15" t="str">
        <x:v>cluster_route</x:v>
      </x:c>
      <x:c r="X245" s="15" t="str">
        <x:v>{"product_type":[{"value":"flip_flops","evidence_type":"explicit","source_span":"flip flops","fact_ids":[],"rationale":""},{"value":"flip_flops","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function_intent":[{"value":"arch_support","evidence_type":"explicit","source_span":"arch support","fact_ids":[],"rationale":""},{"value":"arch_support","evidence_type":"page_validated","source_span":"","fact_ids":["arch_support"],"rationale":"该槽位与商品基准中的明示页面事实一致。"}],"capability_intent":[{"value":"comfortable","evidence_type":"explicit","source_span":"comfortable","fact_ids":[],"rationale":""}],"color":[{"value":"black","evidence_type":"explicit","source_span":"black","fact_ids":[],"rationale":"该颜色在商品页面可见颜色选择中得到明确支持。"}],"primary_domain":[{"value":"clothing_shoes_jewelry","evidence_type":"inferred","source_span":"","fact_ids":[],"rationale":"该值由搜索词整体语义推断，未作为页面明示属性。"}]}</x:v>
      </x:c>
      <x:c r="Y245" s="15" t="str"/>
      <x:c r="Z245" s="10" t="str">
        <x:v>match</x:v>
      </x:c>
      <x:c r="AA245" s="15" t="str">
        <x:v>title_womens_flip_flop | arch_support | colors_visible | padded_cushioning</x:v>
      </x:c>
      <x:c r="AB245" s="10" t="str">
        <x:v>accepted</x:v>
      </x:c>
      <x:c r="AC245" s="10" t="str">
        <x:v>1.0.0</x:v>
      </x:c>
      <x:c r="AD245" s="10" t="str">
        <x:v>1.1.0</x:v>
      </x:c>
      <x:c r="AE245" s="10" t="str">
        <x:v>deepseek/deepseek-v4-pro</x:v>
      </x:c>
      <x:c r="AF245" s="10" t="str">
        <x:v>aj2-y90-20260714T234810-0bea2f52</x:v>
      </x:c>
      <x:c r="AG245" s="10" t="str">
        <x:v>full-0013</x:v>
      </x:c>
      <x:c r="AH245" s="10" t="str">
        <x:v>full</x:v>
      </x:c>
      <x:c r="AI245" s="10" t="n">
        <x:v>13</x:v>
      </x:c>
    </x:row>
    <x:row r="246" ht="34" customHeight="1">
      <x:c r="A246" s="16" t="str">
        <x:v>tan flops</x:v>
      </x:c>
      <x:c r="B246" s="16" t="str">
        <x:v>tan flops</x:v>
      </x:c>
      <x:c r="C246" s="13" t="str">
        <x:v>3e4aa4fd5b917077</x:v>
      </x:c>
      <x:c r="D246" s="13" t="str">
        <x:v>keyword</x:v>
      </x:c>
      <x:c r="E246" s="13" t="str">
        <x:v>en</x:v>
      </x:c>
      <x:c r="F246" s="13" t="str">
        <x:v>clothing_shoes_jewelry</x:v>
      </x:c>
      <x:c r="G246" s="16" t="str"/>
      <x:c r="H246" s="16" t="str">
        <x:v>flip_flops</x:v>
      </x:c>
      <x:c r="I246" s="16" t="str"/>
      <x:c r="J246" s="16" t="str"/>
      <x:c r="K246" s="16" t="str"/>
      <x:c r="L246" s="16" t="str"/>
      <x:c r="M246" s="16" t="str"/>
      <x:c r="N246" s="16" t="str"/>
      <x:c r="O246" s="16" t="str"/>
      <x:c r="P246" s="16" t="str"/>
      <x:c r="Q246" s="16" t="str"/>
      <x:c r="R246" s="16" t="str">
        <x:v>用户想找棕褐色夹脚拖鞋，但产品可选颜色中不包含棕褐色。</x:v>
      </x:c>
      <x:c r="S246" s="13" t="str">
        <x:v>consideration</x:v>
      </x:c>
      <x:c r="T246" s="16" t="str">
        <x:v>explicit | page_validated</x:v>
      </x:c>
      <x:c r="U246" s="13" t="str">
        <x:v>high</x:v>
      </x:c>
      <x:c r="V246" s="16" t="str">
        <x:v>womens_flip_flops_color_tan</x:v>
      </x:c>
      <x:c r="W246" s="16" t="str">
        <x:v>listing_gap_review</x:v>
      </x:c>
      <x:c r="X246" s="16" t="str">
        <x:v>{"product_type":[{"value":"flip_flops","evidence_type":"explicit","source_span":"flops","fact_ids":[],"rationale":""},{"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color":[{"value":"tan","evidence_type":"explicit","source_span":"tan","fact_ids":[],"rationale":""}],"primary_domain":[{"value":"clothing_shoes_jewelry","evidence_type":"inferred","source_span":"","fact_ids":[],"rationale":"该值由搜索词整体语义推断，未作为页面明示属性。"}]}</x:v>
      </x:c>
      <x:c r="Y246" s="16" t="str">
        <x:v>color_ambiguity_tan_vs_brown</x:v>
      </x:c>
      <x:c r="Z246" s="13" t="str">
        <x:v>partial_match</x:v>
      </x:c>
      <x:c r="AA246" s="16" t="str">
        <x:v>style_flip_flop | colors_visible</x:v>
      </x:c>
      <x:c r="AB246" s="13" t="str">
        <x:v>accepted</x:v>
      </x:c>
      <x:c r="AC246" s="13" t="str">
        <x:v>1.0.0</x:v>
      </x:c>
      <x:c r="AD246" s="13" t="str">
        <x:v>1.1.0</x:v>
      </x:c>
      <x:c r="AE246" s="13" t="str">
        <x:v>deepseek/deepseek-v4-pro</x:v>
      </x:c>
      <x:c r="AF246" s="13" t="str">
        <x:v>aj2-y90-20260714T234810-0bea2f52</x:v>
      </x:c>
      <x:c r="AG246" s="13" t="str">
        <x:v>full-0013</x:v>
      </x:c>
      <x:c r="AH246" s="13" t="str">
        <x:v>full</x:v>
      </x:c>
      <x:c r="AI246" s="13" t="n">
        <x:v>13</x:v>
      </x:c>
    </x:row>
    <x:row r="247" ht="34" customHeight="1">
      <x:c r="A247" s="15" t="str">
        <x:v>hot pink flip flops cushioned footbed</x:v>
      </x:c>
      <x:c r="B247" s="15" t="str">
        <x:v>hot pink flip flops cushioned footbed</x:v>
      </x:c>
      <x:c r="C247" s="10" t="str">
        <x:v>41d715098a7fcf98</x:v>
      </x:c>
      <x:c r="D247" s="10" t="str">
        <x:v>keyword</x:v>
      </x:c>
      <x:c r="E247" s="10" t="str">
        <x:v>en</x:v>
      </x:c>
      <x:c r="F247" s="10" t="str">
        <x:v>clothing_shoes_jewelry</x:v>
      </x:c>
      <x:c r="G247" s="15" t="str"/>
      <x:c r="H247" s="15" t="str">
        <x:v>flip_flops</x:v>
      </x:c>
      <x:c r="I247" s="15" t="str"/>
      <x:c r="J247" s="15" t="str"/>
      <x:c r="K247" s="15" t="str">
        <x:v>cushioned_footbed</x:v>
      </x:c>
      <x:c r="L247" s="15" t="str"/>
      <x:c r="M247" s="15" t="str"/>
      <x:c r="N247" s="15" t="str"/>
      <x:c r="O247" s="15" t="str"/>
      <x:c r="P247" s="15" t="str"/>
      <x:c r="Q247" s="15" t="str"/>
      <x:c r="R247" s="15" t="str">
        <x:v>用户想买亮粉色带缓冲鞋床的夹脚拖鞋。</x:v>
      </x:c>
      <x:c r="S247" s="10" t="str">
        <x:v>high_intent</x:v>
      </x:c>
      <x:c r="T247" s="15" t="str">
        <x:v>explicit | page_validated</x:v>
      </x:c>
      <x:c r="U247" s="10" t="str">
        <x:v>high</x:v>
      </x:c>
      <x:c r="V247" s="15" t="str">
        <x:v>cushioned_flip_flops_hot_pink</x:v>
      </x:c>
      <x:c r="W247" s="15" t="str">
        <x:v>cluster_route</x:v>
      </x:c>
      <x:c r="X247" s="15" t="str">
        <x:v>{"product_type":[{"value":"flip_flops","evidence_type":"explicit","source_span":"flip flops","fact_ids":[],"rationale":""},{"value":"flip_flops","evidence_type":"page_validated","source_span":"","fact_ids":["style_flip_flop"],"rationale":"该槽位与商品基准中的明示页面事实一致。"}],"capability_intent":[{"value":"cushioned_footbed","evidence_type":"explicit","source_span":"cushioned footbed","fact_ids":[],"rationale":""}],"color":[{"value":"hot_pink","evidence_type":"explicit","source_span":"hot pink","fact_ids":[],"rationale":""}],"primary_domain":[{"value":"clothing_shoes_jewelry","evidence_type":"inferred","source_span":"","fact_ids":[],"rationale":"该值由搜索词整体语义推断，未作为页面明示属性。"}]}</x:v>
      </x:c>
      <x:c r="Y247" s="15" t="str"/>
      <x:c r="Z247" s="10" t="str">
        <x:v>match</x:v>
      </x:c>
      <x:c r="AA247" s="15" t="str">
        <x:v>style_flip_flop | padded_cushioning | colors_visible</x:v>
      </x:c>
      <x:c r="AB247" s="10" t="str">
        <x:v>accepted</x:v>
      </x:c>
      <x:c r="AC247" s="10" t="str">
        <x:v>1.0.0</x:v>
      </x:c>
      <x:c r="AD247" s="10" t="str">
        <x:v>1.1.0</x:v>
      </x:c>
      <x:c r="AE247" s="10" t="str">
        <x:v>deepseek/deepseek-v4-pro</x:v>
      </x:c>
      <x:c r="AF247" s="10" t="str">
        <x:v>aj2-y90-20260714T234810-0bea2f52</x:v>
      </x:c>
      <x:c r="AG247" s="10" t="str">
        <x:v>full-0013</x:v>
      </x:c>
      <x:c r="AH247" s="10" t="str">
        <x:v>full</x:v>
      </x:c>
      <x:c r="AI247" s="10" t="n">
        <x:v>13</x:v>
      </x:c>
    </x:row>
    <x:row r="248" ht="34" customHeight="1">
      <x:c r="A248" s="16" t="str">
        <x:v>womens pink flip flops</x:v>
      </x:c>
      <x:c r="B248" s="16" t="str">
        <x:v>womens pink flip flops</x:v>
      </x:c>
      <x:c r="C248" s="13" t="str">
        <x:v>448492a1bee0429f</x:v>
      </x:c>
      <x:c r="D248" s="13" t="str">
        <x:v>keyword</x:v>
      </x:c>
      <x:c r="E248" s="13" t="str">
        <x:v>en</x:v>
      </x:c>
      <x:c r="F248" s="13" t="str">
        <x:v>clothing_shoes_jewelry</x:v>
      </x:c>
      <x:c r="G248" s="16" t="str"/>
      <x:c r="H248" s="16" t="str">
        <x:v>flip_flops</x:v>
      </x:c>
      <x:c r="I248" s="16" t="str">
        <x:v>women</x:v>
      </x:c>
      <x:c r="J248" s="16" t="str"/>
      <x:c r="K248" s="16" t="str"/>
      <x:c r="L248" s="16" t="str"/>
      <x:c r="M248" s="16" t="str"/>
      <x:c r="N248" s="16" t="str"/>
      <x:c r="O248" s="16" t="str"/>
      <x:c r="P248" s="16" t="str"/>
      <x:c r="Q248" s="16" t="str"/>
      <x:c r="R248" s="16" t="str">
        <x:v>用户想购买粉色女式夹脚拖鞋。</x:v>
      </x:c>
      <x:c r="S248" s="13" t="str">
        <x:v>consideration</x:v>
      </x:c>
      <x:c r="T248" s="16" t="str">
        <x:v>explicit | page_validated</x:v>
      </x:c>
      <x:c r="U248" s="13" t="str">
        <x:v>high</x:v>
      </x:c>
      <x:c r="V248" s="16" t="str">
        <x:v>womens_flip_flops_color_pink</x:v>
      </x:c>
      <x:c r="W248" s="16" t="str">
        <x:v>cluster_route</x:v>
      </x:c>
      <x:c r="X248" s="16" t="str">
        <x:v>{"product_type":[{"value":"flip_flops","evidence_type":"explicit","source_span":"flip flops","fact_ids":[],"rationale":""},{"value":"flip_flops","evidence_type":"page_validated","source_span":"","fact_ids":["style_flip_flop"],"rationale":"该槽位与商品基准中的明示页面事实一致。"}],"audience_intent":[{"value":"women","evidence_type":"explicit","source_span":"womens","fact_ids":[],"rationale":""},{"value":"women","evidence_type":"page_validated","source_span":"","fact_ids":["title_womens_flip_flop"],"rationale":"该槽位与商品基准中的明示页面事实一致。"}],"color":[{"value":"pink","evidence_type":"explicit","source_span":"pink","fact_ids":[],"rationale":"该颜色在商品页面可见颜色选择中得到明确支持。"}],"primary_domain":[{"value":"clothing_shoes_jewelry","evidence_type":"inferred","source_span":"","fact_ids":[],"rationale":"该值由搜索词整体语义推断，未作为页面明示属性。"}]}</x:v>
      </x:c>
      <x:c r="Y248" s="16" t="str"/>
      <x:c r="Z248" s="13" t="str">
        <x:v>match</x:v>
      </x:c>
      <x:c r="AA248" s="16" t="str">
        <x:v>title_womens_flip_flop | colors_visible</x:v>
      </x:c>
      <x:c r="AB248" s="13" t="str">
        <x:v>accepted</x:v>
      </x:c>
      <x:c r="AC248" s="13" t="str">
        <x:v>1.0.0</x:v>
      </x:c>
      <x:c r="AD248" s="13" t="str">
        <x:v>1.1.0</x:v>
      </x:c>
      <x:c r="AE248" s="13" t="str">
        <x:v>deepseek/deepseek-v4-pro</x:v>
      </x:c>
      <x:c r="AF248" s="13" t="str">
        <x:v>aj2-y90-20260714T234810-0bea2f52</x:v>
      </x:c>
      <x:c r="AG248" s="13" t="str">
        <x:v>full-0013</x:v>
      </x:c>
      <x:c r="AH248" s="13" t="str">
        <x:v>full</x:v>
      </x:c>
      <x:c r="AI248" s="13" t="n">
        <x:v>13</x:v>
      </x:c>
    </x:row>
    <x:row r="249" ht="34" customHeight="1">
      <x:c r="A249" s="15" t="str">
        <x:v>flip flops with arch support blue</x:v>
      </x:c>
      <x:c r="B249" s="15" t="str">
        <x:v>flip flops with arch support blue</x:v>
      </x:c>
      <x:c r="C249" s="10" t="str">
        <x:v>46843e634f313878</x:v>
      </x:c>
      <x:c r="D249" s="10" t="str">
        <x:v>keyword</x:v>
      </x:c>
      <x:c r="E249" s="10" t="str">
        <x:v>en</x:v>
      </x:c>
      <x:c r="F249" s="10" t="str">
        <x:v>clothing_shoes_jewelry</x:v>
      </x:c>
      <x:c r="G249" s="15" t="str"/>
      <x:c r="H249" s="15" t="str">
        <x:v>flip_flops</x:v>
      </x:c>
      <x:c r="I249" s="15" t="str"/>
      <x:c r="J249" s="15" t="str">
        <x:v>arch_support</x:v>
      </x:c>
      <x:c r="K249" s="15" t="str"/>
      <x:c r="L249" s="15" t="str"/>
      <x:c r="M249" s="15" t="str"/>
      <x:c r="N249" s="15" t="str"/>
      <x:c r="O249" s="15" t="str"/>
      <x:c r="P249" s="15" t="str"/>
      <x:c r="Q249" s="15" t="str"/>
      <x:c r="R249" s="15" t="str">
        <x:v>用户需要蓝色带足弓支撑的夹脚拖鞋。</x:v>
      </x:c>
      <x:c r="S249" s="10" t="str">
        <x:v>high_intent</x:v>
      </x:c>
      <x:c r="T249" s="15" t="str">
        <x:v>explicit | page_validated</x:v>
      </x:c>
      <x:c r="U249" s="10" t="str">
        <x:v>high</x:v>
      </x:c>
      <x:c r="V249" s="15" t="str">
        <x:v>arch_support_flip_flops_color_blue</x:v>
      </x:c>
      <x:c r="W249" s="15" t="str">
        <x:v>cluster_route</x:v>
      </x:c>
      <x:c r="X249" s="15" t="str">
        <x:v>{"product_type":[{"value":"flip_flops","evidence_type":"explicit","source_span":"flip flops","fact_ids":[],"rationale":""},{"value":"flip_flops","evidence_type":"page_validated","source_span":"","fact_ids":["style_flip_flop"],"rationale":"该槽位与商品基准中的明示页面事实一致。"}],"function_intent":[{"value":"arch_support","evidence_type":"explicit","source_span":"arch support","fact_ids":[],"rationale":""},{"value":"arch_support","evidence_type":"page_validated","source_span":"","fact_ids":["arch_support"],"rationale":"该槽位与商品基准中的明示页面事实一致。"}],"color":[{"value":"blue","evidence_type":"explicit","source_span":"blue","fact_ids":[],"rationale":""}],"primary_domain":[{"value":"clothing_shoes_jewelry","evidence_type":"inferred","source_span":"","fact_ids":[],"rationale":"该值由搜索词整体语义推断，未作为页面明示属性。"}]}</x:v>
      </x:c>
      <x:c r="Y249" s="15" t="str"/>
      <x:c r="Z249" s="10" t="str">
        <x:v>match</x:v>
      </x:c>
      <x:c r="AA249" s="15" t="str">
        <x:v>style_flip_flop | arch_support | colors_visible</x:v>
      </x:c>
      <x:c r="AB249" s="10" t="str">
        <x:v>accepted</x:v>
      </x:c>
      <x:c r="AC249" s="10" t="str">
        <x:v>1.0.0</x:v>
      </x:c>
      <x:c r="AD249" s="10" t="str">
        <x:v>1.1.0</x:v>
      </x:c>
      <x:c r="AE249" s="10" t="str">
        <x:v>deepseek/deepseek-v4-pro</x:v>
      </x:c>
      <x:c r="AF249" s="10" t="str">
        <x:v>aj2-y90-20260714T234810-0bea2f52</x:v>
      </x:c>
      <x:c r="AG249" s="10" t="str">
        <x:v>full-0013</x:v>
      </x:c>
      <x:c r="AH249" s="10" t="str">
        <x:v>full</x:v>
      </x:c>
      <x:c r="AI249" s="10" t="n">
        <x:v>13</x:v>
      </x:c>
    </x:row>
    <x:row r="250" ht="34" customHeight="1">
      <x:c r="A250" s="16" t="str">
        <x:v>supportive black flip flops for women</x:v>
      </x:c>
      <x:c r="B250" s="16" t="str">
        <x:v>supportive black flip flops for women</x:v>
      </x:c>
      <x:c r="C250" s="13" t="str">
        <x:v>653d21106f397a59</x:v>
      </x:c>
      <x:c r="D250" s="13" t="str">
        <x:v>keyword</x:v>
      </x:c>
      <x:c r="E250" s="13" t="str">
        <x:v>en</x:v>
      </x:c>
      <x:c r="F250" s="13" t="str">
        <x:v>clothing_shoes_jewelry</x:v>
      </x:c>
      <x:c r="G250" s="16" t="str"/>
      <x:c r="H250" s="16" t="str">
        <x:v>flip_flops</x:v>
      </x:c>
      <x:c r="I250" s="16" t="str">
        <x:v>women</x:v>
      </x:c>
      <x:c r="J250" s="16" t="str">
        <x:v>arch_support</x:v>
      </x:c>
      <x:c r="K250" s="16" t="str">
        <x:v>supportive</x:v>
      </x:c>
      <x:c r="L250" s="16" t="str"/>
      <x:c r="M250" s="16" t="str"/>
      <x:c r="N250" s="16" t="str"/>
      <x:c r="O250" s="16" t="str"/>
      <x:c r="P250" s="16" t="str"/>
      <x:c r="Q250" s="16" t="str"/>
      <x:c r="R250" s="16" t="str">
        <x:v>用户需要黑色有支撑力的女式夹脚拖鞋。</x:v>
      </x:c>
      <x:c r="S250" s="13" t="str">
        <x:v>high_intent</x:v>
      </x:c>
      <x:c r="T250" s="16" t="str">
        <x:v>explicit | page_validated | inferred</x:v>
      </x:c>
      <x:c r="U250" s="13" t="str">
        <x:v>high</x:v>
      </x:c>
      <x:c r="V250" s="16" t="str">
        <x:v>womens_supportive_flip_flops_black</x:v>
      </x:c>
      <x:c r="W250" s="16" t="str">
        <x:v>cluster_route</x:v>
      </x:c>
      <x:c r="X250" s="16" t="str">
        <x:v>{"product_type":[{"value":"flip_flops","evidence_type":"explicit","source_span":"flip flops","fact_ids":[],"rationale":""},{"value":"flip_flops","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capability_intent":[{"value":"supportive","evidence_type":"explicit","source_span":"supportive","fact_ids":[],"rationale":""}],"function_intent":[{"value":"arch_support","evidence_type":"inferred","source_span":"","fact_ids":[],"rationale":"supportive在夹脚拖语境中通常指足弓支撑"},{"value":"arch_support","evidence_type":"page_validated","source_span":"","fact_ids":["arch_support"],"rationale":"该槽位与商品基准中的明示页面事实一致。"}],"color":[{"value":"black","evidence_type":"explicit","source_span":"black","fact_ids":[],"rationale":"该颜色在商品页面可见颜色选择中得到明确支持。"}],"primary_domain":[{"value":"clothing_shoes_jewelry","evidence_type":"inferred","source_span":"","fact_ids":[],"rationale":"该值由搜索词整体语义推断，未作为页面明示属性。"}]}</x:v>
      </x:c>
      <x:c r="Y250" s="16" t="str"/>
      <x:c r="Z250" s="13" t="str">
        <x:v>match</x:v>
      </x:c>
      <x:c r="AA250" s="16" t="str">
        <x:v>title_womens_flip_flop | arch_support | colors_visible</x:v>
      </x:c>
      <x:c r="AB250" s="13" t="str">
        <x:v>accepted</x:v>
      </x:c>
      <x:c r="AC250" s="13" t="str">
        <x:v>1.0.0</x:v>
      </x:c>
      <x:c r="AD250" s="13" t="str">
        <x:v>1.1.0</x:v>
      </x:c>
      <x:c r="AE250" s="13" t="str">
        <x:v>deepseek/deepseek-v4-pro</x:v>
      </x:c>
      <x:c r="AF250" s="13" t="str">
        <x:v>aj2-y90-20260714T234810-0bea2f52</x:v>
      </x:c>
      <x:c r="AG250" s="13" t="str">
        <x:v>full-0013</x:v>
      </x:c>
      <x:c r="AH250" s="13" t="str">
        <x:v>full</x:v>
      </x:c>
      <x:c r="AI250" s="13" t="n">
        <x:v>13</x:v>
      </x:c>
    </x:row>
    <x:row r="251" ht="34" customHeight="1">
      <x:c r="A251" s="15" t="str">
        <x:v>black flip flops for women size 10</x:v>
      </x:c>
      <x:c r="B251" s="15" t="str">
        <x:v>black flip flops for women size 10</x:v>
      </x:c>
      <x:c r="C251" s="10" t="str">
        <x:v>7e16086bdbe7a91c</x:v>
      </x:c>
      <x:c r="D251" s="10" t="str">
        <x:v>keyword</x:v>
      </x:c>
      <x:c r="E251" s="10" t="str">
        <x:v>en</x:v>
      </x:c>
      <x:c r="F251" s="10" t="str">
        <x:v>clothing_shoes_jewelry</x:v>
      </x:c>
      <x:c r="G251" s="15" t="str"/>
      <x:c r="H251" s="15" t="str">
        <x:v>flip_flops</x:v>
      </x:c>
      <x:c r="I251" s="15" t="str">
        <x:v>women</x:v>
      </x:c>
      <x:c r="J251" s="15" t="str"/>
      <x:c r="K251" s="15" t="str"/>
      <x:c r="L251" s="15" t="str"/>
      <x:c r="M251" s="15" t="str"/>
      <x:c r="N251" s="15" t="str"/>
      <x:c r="O251" s="15" t="str"/>
      <x:c r="P251" s="15" t="str"/>
      <x:c r="Q251" s="15" t="str"/>
      <x:c r="R251" s="15" t="str">
        <x:v>用户需要黑色10码女式夹脚拖鞋。</x:v>
      </x:c>
      <x:c r="S251" s="10" t="str">
        <x:v>high_intent</x:v>
      </x:c>
      <x:c r="T251" s="15" t="str">
        <x:v>explicit | page_validated</x:v>
      </x:c>
      <x:c r="U251" s="10" t="str">
        <x:v>high</x:v>
      </x:c>
      <x:c r="V251" s="15" t="str">
        <x:v>womens_flip_flops_black_size10</x:v>
      </x:c>
      <x:c r="W251" s="15" t="str">
        <x:v>cluster_route</x:v>
      </x:c>
      <x:c r="X251" s="15" t="str">
        <x:v>{"product_type":[{"value":"flip_flops","evidence_type":"explicit","source_span":"flip flops","fact_ids":[],"rationale":""},{"value":"flip_flops","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color":[{"value":"black","evidence_type":"explicit","source_span":"black","fact_ids":[],"rationale":"该颜色在商品页面可见颜色选择中得到明确支持。"}],"size":[{"value":"10","evidence_type":"explicit","source_span":"size 10","fact_ids":[],"rationale":""}],"primary_domain":[{"value":"clothing_shoes_jewelry","evidence_type":"inferred","source_span":"","fact_ids":[],"rationale":"该值由搜索词整体语义推断，未作为页面明示属性。"}]}</x:v>
      </x:c>
      <x:c r="Y251" s="15" t="str"/>
      <x:c r="Z251" s="10" t="str">
        <x:v>match</x:v>
      </x:c>
      <x:c r="AA251" s="15" t="str">
        <x:v>title_womens_flip_flop | colors_visible | sizes_6_11</x:v>
      </x:c>
      <x:c r="AB251" s="10" t="str">
        <x:v>accepted</x:v>
      </x:c>
      <x:c r="AC251" s="10" t="str">
        <x:v>1.0.0</x:v>
      </x:c>
      <x:c r="AD251" s="10" t="str">
        <x:v>1.1.0</x:v>
      </x:c>
      <x:c r="AE251" s="10" t="str">
        <x:v>deepseek/deepseek-v4-pro</x:v>
      </x:c>
      <x:c r="AF251" s="10" t="str">
        <x:v>aj2-y90-20260714T234810-0bea2f52</x:v>
      </x:c>
      <x:c r="AG251" s="10" t="str">
        <x:v>full-0013</x:v>
      </x:c>
      <x:c r="AH251" s="10" t="str">
        <x:v>full</x:v>
      </x:c>
      <x:c r="AI251" s="10" t="n">
        <x:v>13</x:v>
      </x:c>
    </x:row>
    <x:row r="252" ht="34" customHeight="1">
      <x:c r="A252" s="16" t="str">
        <x:v>flip flops for women home</x:v>
      </x:c>
      <x:c r="B252" s="16" t="str">
        <x:v>flip flops for women home</x:v>
      </x:c>
      <x:c r="C252" s="13" t="str">
        <x:v>9623f782c5aeeb01</x:v>
      </x:c>
      <x:c r="D252" s="13" t="str">
        <x:v>keyword</x:v>
      </x:c>
      <x:c r="E252" s="13" t="str">
        <x:v>en</x:v>
      </x:c>
      <x:c r="F252" s="13" t="str">
        <x:v>clothing_shoes_jewelry</x:v>
      </x:c>
      <x:c r="G252" s="16" t="str">
        <x:v>home_kitchen</x:v>
      </x:c>
      <x:c r="H252" s="16" t="str">
        <x:v>flip_flops</x:v>
      </x:c>
      <x:c r="I252" s="16" t="str">
        <x:v>women</x:v>
      </x:c>
      <x:c r="J252" s="16" t="str"/>
      <x:c r="K252" s="16" t="str"/>
      <x:c r="L252" s="16" t="str"/>
      <x:c r="M252" s="16" t="str">
        <x:v>home | indoor</x:v>
      </x:c>
      <x:c r="N252" s="16" t="str"/>
      <x:c r="O252" s="16" t="str"/>
      <x:c r="P252" s="16" t="str"/>
      <x:c r="Q252" s="16" t="str"/>
      <x:c r="R252" s="16" t="str">
        <x:v>用户需要适合居家室内穿着的女式夹脚拖鞋，但产品定位为户外生活款式。</x:v>
      </x:c>
      <x:c r="S252" s="13" t="str">
        <x:v>consideration</x:v>
      </x:c>
      <x:c r="T252" s="16" t="str">
        <x:v>explicit | page_validated</x:v>
      </x:c>
      <x:c r="U252" s="13" t="str">
        <x:v>high</x:v>
      </x:c>
      <x:c r="V252" s="16" t="str">
        <x:v>womens_flip_flops_home_indoor</x:v>
      </x:c>
      <x:c r="W252" s="16" t="str">
        <x:v>listing_gap_review</x:v>
      </x:c>
      <x:c r="X252" s="16" t="str">
        <x:v>{"product_type":[{"value":"flip_flops","evidence_type":"explicit","source_span":"flip flops","fact_ids":[],"rationale":""},{"value":"flip_flops","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location_intent":[{"value":"home","evidence_type":"explicit","source_span":"home","fact_ids":[],"rationale":""},{"value":"indoor","evidence_type":"inferred","source_span":"","fact_ids":[],"rationale":"home暗示室内使用场景"}],"secondary_domain":[{"value":"home_kitchen","evidence_type":"inferred","source_span":"","fact_ids":[],"rationale":"该值由搜索词整体语义推断，未作为页面明示属性。"}],"primary_domain":[{"value":"clothing_shoes_jewelry","evidence_type":"inferred","source_span":"","fact_ids":[],"rationale":"该值由搜索词整体语义推断，未作为页面明示属性。"}]}</x:v>
      </x:c>
      <x:c r="Y252" s="16" t="str"/>
      <x:c r="Z252" s="13" t="str">
        <x:v>partial_match</x:v>
      </x:c>
      <x:c r="AA252" s="16" t="str">
        <x:v>title_womens_flip_flop | style_outdoor</x:v>
      </x:c>
      <x:c r="AB252" s="13" t="str">
        <x:v>accepted</x:v>
      </x:c>
      <x:c r="AC252" s="13" t="str">
        <x:v>1.0.0</x:v>
      </x:c>
      <x:c r="AD252" s="13" t="str">
        <x:v>1.1.0</x:v>
      </x:c>
      <x:c r="AE252" s="13" t="str">
        <x:v>deepseek/deepseek-v4-pro</x:v>
      </x:c>
      <x:c r="AF252" s="13" t="str">
        <x:v>aj2-y90-20260714T234810-0bea2f52</x:v>
      </x:c>
      <x:c r="AG252" s="13" t="str">
        <x:v>full-0013</x:v>
      </x:c>
      <x:c r="AH252" s="13" t="str">
        <x:v>full</x:v>
      </x:c>
      <x:c r="AI252" s="13" t="n">
        <x:v>13</x:v>
      </x:c>
    </x:row>
    <x:row r="253" ht="34" customHeight="1">
      <x:c r="A253" s="15" t="str">
        <x:v>flip flop arch</x:v>
      </x:c>
      <x:c r="B253" s="15" t="str">
        <x:v>flip flop arch</x:v>
      </x:c>
      <x:c r="C253" s="10" t="str">
        <x:v>966a746f5833bb22</x:v>
      </x:c>
      <x:c r="D253" s="10" t="str">
        <x:v>keyword</x:v>
      </x:c>
      <x:c r="E253" s="10" t="str">
        <x:v>en</x:v>
      </x:c>
      <x:c r="F253" s="10" t="str">
        <x:v>clothing_shoes_jewelry</x:v>
      </x:c>
      <x:c r="G253" s="15" t="str"/>
      <x:c r="H253" s="15" t="str">
        <x:v>flip_flops</x:v>
      </x:c>
      <x:c r="I253" s="15" t="str"/>
      <x:c r="J253" s="15" t="str">
        <x:v>arch_support</x:v>
      </x:c>
      <x:c r="K253" s="15" t="str"/>
      <x:c r="L253" s="15" t="str"/>
      <x:c r="M253" s="15" t="str"/>
      <x:c r="N253" s="15" t="str"/>
      <x:c r="O253" s="15" t="str"/>
      <x:c r="P253" s="15" t="str"/>
      <x:c r="Q253" s="15" t="str"/>
      <x:c r="R253" s="15" t="str">
        <x:v>用户寻找带足弓支撑的夹脚拖鞋。</x:v>
      </x:c>
      <x:c r="S253" s="10" t="str">
        <x:v>exploration</x:v>
      </x:c>
      <x:c r="T253" s="15" t="str">
        <x:v>explicit | inferred</x:v>
      </x:c>
      <x:c r="U253" s="10" t="str">
        <x:v>medium</x:v>
      </x:c>
      <x:c r="V253" s="15" t="str">
        <x:v>arch_support_flip_flops</x:v>
      </x:c>
      <x:c r="W253" s="15" t="str">
        <x:v>cluster_route</x:v>
      </x:c>
      <x:c r="X253" s="15" t="str">
        <x:v>{"product_type":[{"value":"flip_flops","evidence_type":"explicit","source_span":"flip flop","fact_ids":[],"rationale":""},{"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function_intent":[{"value":"arch_support","evidence_type":"inferred","source_span":"","fact_ids":[],"rationale":"arch指足弓支撑需求"},{"value":"arch_support","evidence_type":"page_validated","source_span":"","fact_ids":["arch_support"],"rationale":"该槽位与商品基准中的明示页面事实一致。"}],"primary_domain":[{"value":"clothing_shoes_jewelry","evidence_type":"inferred","source_span":"","fact_ids":[],"rationale":"该值由搜索词整体语义推断，未作为页面明示属性。"}]}</x:v>
      </x:c>
      <x:c r="Y253" s="15" t="str">
        <x:v>arch_meaning_ambiguity</x:v>
      </x:c>
      <x:c r="Z253" s="10" t="str">
        <x:v>match</x:v>
      </x:c>
      <x:c r="AA253" s="15" t="str">
        <x:v>style_flip_flop | arch_support</x:v>
      </x:c>
      <x:c r="AB253" s="10" t="str">
        <x:v>accepted</x:v>
      </x:c>
      <x:c r="AC253" s="10" t="str">
        <x:v>1.0.0</x:v>
      </x:c>
      <x:c r="AD253" s="10" t="str">
        <x:v>1.1.0</x:v>
      </x:c>
      <x:c r="AE253" s="10" t="str">
        <x:v>deepseek/deepseek-v4-pro</x:v>
      </x:c>
      <x:c r="AF253" s="10" t="str">
        <x:v>aj2-y90-20260714T234810-0bea2f52</x:v>
      </x:c>
      <x:c r="AG253" s="10" t="str">
        <x:v>full-0013</x:v>
      </x:c>
      <x:c r="AH253" s="10" t="str">
        <x:v>full</x:v>
      </x:c>
      <x:c r="AI253" s="10" t="n">
        <x:v>13</x:v>
      </x:c>
    </x:row>
    <x:row r="254" ht="34" customHeight="1">
      <x:c r="A254" s="16" t="str">
        <x:v>ergonomic flip flops for women</x:v>
      </x:c>
      <x:c r="B254" s="16" t="str">
        <x:v>ergonomic flip flops for women</x:v>
      </x:c>
      <x:c r="C254" s="13" t="str">
        <x:v>a69c74b43e70fe80</x:v>
      </x:c>
      <x:c r="D254" s="13" t="str">
        <x:v>keyword</x:v>
      </x:c>
      <x:c r="E254" s="13" t="str">
        <x:v>en</x:v>
      </x:c>
      <x:c r="F254" s="13" t="str">
        <x:v>clothing_shoes_jewelry</x:v>
      </x:c>
      <x:c r="G254" s="16" t="str"/>
      <x:c r="H254" s="16" t="str">
        <x:v>flip_flops</x:v>
      </x:c>
      <x:c r="I254" s="16" t="str">
        <x:v>women</x:v>
      </x:c>
      <x:c r="J254" s="16" t="str"/>
      <x:c r="K254" s="16" t="str">
        <x:v>ergonomic</x:v>
      </x:c>
      <x:c r="L254" s="16" t="str"/>
      <x:c r="M254" s="16" t="str"/>
      <x:c r="N254" s="16" t="str"/>
      <x:c r="O254" s="16" t="str"/>
      <x:c r="P254" s="16" t="str"/>
      <x:c r="Q254" s="16" t="str"/>
      <x:c r="R254" s="16" t="str">
        <x:v>用户寻找符合人体工学设计的女式夹脚拖鞋。</x:v>
      </x:c>
      <x:c r="S254" s="13" t="str">
        <x:v>consideration</x:v>
      </x:c>
      <x:c r="T254" s="16" t="str">
        <x:v>explicit | page_validated</x:v>
      </x:c>
      <x:c r="U254" s="13" t="str">
        <x:v>high</x:v>
      </x:c>
      <x:c r="V254" s="16" t="str">
        <x:v>womens_ergonomic_flip_flops</x:v>
      </x:c>
      <x:c r="W254" s="16" t="str">
        <x:v>cluster_route</x:v>
      </x:c>
      <x:c r="X254" s="16" t="str">
        <x:v>{"product_type":[{"value":"flip_flops","evidence_type":"explicit","source_span":"flip flops","fact_ids":[],"rationale":""},{"value":"flip_flops","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capability_intent":[{"value":"ergonomic","evidence_type":"explicit","source_span":"ergonomic","fact_ids":[],"rationale":""}],"primary_domain":[{"value":"clothing_shoes_jewelry","evidence_type":"inferred","source_span":"","fact_ids":[],"rationale":"该值由搜索词整体语义推断，未作为页面明示属性。"}]}</x:v>
      </x:c>
      <x:c r="Y254" s="16" t="str"/>
      <x:c r="Z254" s="13" t="str">
        <x:v>match</x:v>
      </x:c>
      <x:c r="AA254" s="16" t="str">
        <x:v>title_womens_flip_flop | arch_support</x:v>
      </x:c>
      <x:c r="AB254" s="13" t="str">
        <x:v>accepted</x:v>
      </x:c>
      <x:c r="AC254" s="13" t="str">
        <x:v>1.0.0</x:v>
      </x:c>
      <x:c r="AD254" s="13" t="str">
        <x:v>1.1.0</x:v>
      </x:c>
      <x:c r="AE254" s="13" t="str">
        <x:v>deepseek/deepseek-v4-pro</x:v>
      </x:c>
      <x:c r="AF254" s="13" t="str">
        <x:v>aj2-y90-20260714T234810-0bea2f52</x:v>
      </x:c>
      <x:c r="AG254" s="13" t="str">
        <x:v>full-0013</x:v>
      </x:c>
      <x:c r="AH254" s="13" t="str">
        <x:v>full</x:v>
      </x:c>
      <x:c r="AI254" s="13" t="n">
        <x:v>13</x:v>
      </x:c>
    </x:row>
    <x:row r="255" ht="34" customHeight="1">
      <x:c r="A255" s="15" t="str">
        <x:v>pink flops</x:v>
      </x:c>
      <x:c r="B255" s="15" t="str">
        <x:v>pink flops</x:v>
      </x:c>
      <x:c r="C255" s="10" t="str">
        <x:v>b1a4c1b35925b6a8</x:v>
      </x:c>
      <x:c r="D255" s="10" t="str">
        <x:v>keyword</x:v>
      </x:c>
      <x:c r="E255" s="10" t="str">
        <x:v>en</x:v>
      </x:c>
      <x:c r="F255" s="10" t="str">
        <x:v>clothing_shoes_jewelry</x:v>
      </x:c>
      <x:c r="G255" s="15" t="str"/>
      <x:c r="H255" s="15" t="str">
        <x:v>flip_flops</x:v>
      </x:c>
      <x:c r="I255" s="15" t="str"/>
      <x:c r="J255" s="15" t="str"/>
      <x:c r="K255" s="15" t="str"/>
      <x:c r="L255" s="15" t="str"/>
      <x:c r="M255" s="15" t="str"/>
      <x:c r="N255" s="15" t="str"/>
      <x:c r="O255" s="15" t="str"/>
      <x:c r="P255" s="15" t="str"/>
      <x:c r="Q255" s="15" t="str"/>
      <x:c r="R255" s="15" t="str">
        <x:v>用户想找粉色夹脚拖鞋。</x:v>
      </x:c>
      <x:c r="S255" s="10" t="str">
        <x:v>exploration</x:v>
      </x:c>
      <x:c r="T255" s="15" t="str">
        <x:v>explicit | page_validated</x:v>
      </x:c>
      <x:c r="U255" s="10" t="str">
        <x:v>high</x:v>
      </x:c>
      <x:c r="V255" s="15" t="str">
        <x:v>flip_flops_color_pink</x:v>
      </x:c>
      <x:c r="W255" s="15" t="str">
        <x:v>cluster_route</x:v>
      </x:c>
      <x:c r="X255" s="15" t="str">
        <x:v>{"product_type":[{"value":"flip_flops","evidence_type":"explicit","source_span":"flops","fact_ids":[],"rationale":""},{"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color":[{"value":"pink","evidence_type":"explicit","source_span":"pink","fact_ids":[],"rationale":"该颜色在商品页面可见颜色选择中得到明确支持。"}],"primary_domain":[{"value":"clothing_shoes_jewelry","evidence_type":"inferred","source_span":"","fact_ids":[],"rationale":"该值由搜索词整体语义推断，未作为页面明示属性。"}]}</x:v>
      </x:c>
      <x:c r="Y255" s="15" t="str"/>
      <x:c r="Z255" s="10" t="str">
        <x:v>match</x:v>
      </x:c>
      <x:c r="AA255" s="15" t="str">
        <x:v>style_flip_flop | colors_visible</x:v>
      </x:c>
      <x:c r="AB255" s="10" t="str">
        <x:v>accepted</x:v>
      </x:c>
      <x:c r="AC255" s="10" t="str">
        <x:v>1.0.0</x:v>
      </x:c>
      <x:c r="AD255" s="10" t="str">
        <x:v>1.1.0</x:v>
      </x:c>
      <x:c r="AE255" s="10" t="str">
        <x:v>deepseek/deepseek-v4-pro</x:v>
      </x:c>
      <x:c r="AF255" s="10" t="str">
        <x:v>aj2-y90-20260714T234810-0bea2f52</x:v>
      </x:c>
      <x:c r="AG255" s="10" t="str">
        <x:v>full-0013</x:v>
      </x:c>
      <x:c r="AH255" s="10" t="str">
        <x:v>full</x:v>
      </x:c>
      <x:c r="AI255" s="10" t="n">
        <x:v>13</x:v>
      </x:c>
    </x:row>
    <x:row r="256" ht="34" customHeight="1">
      <x:c r="A256" s="16" t="str">
        <x:v>project cloud flip flops with arch support for women</x:v>
      </x:c>
      <x:c r="B256" s="16" t="str">
        <x:v>project cloud flip flops with arch support for women</x:v>
      </x:c>
      <x:c r="C256" s="13" t="str">
        <x:v>b4ca8a77067fb837</x:v>
      </x:c>
      <x:c r="D256" s="13" t="str">
        <x:v>keyword</x:v>
      </x:c>
      <x:c r="E256" s="13" t="str">
        <x:v>en</x:v>
      </x:c>
      <x:c r="F256" s="13" t="str">
        <x:v>clothing_shoes_jewelry</x:v>
      </x:c>
      <x:c r="G256" s="16" t="str"/>
      <x:c r="H256" s="16" t="str">
        <x:v>flip_flops</x:v>
      </x:c>
      <x:c r="I256" s="16" t="str">
        <x:v>women</x:v>
      </x:c>
      <x:c r="J256" s="16" t="str">
        <x:v>arch_support</x:v>
      </x:c>
      <x:c r="K256" s="16" t="str"/>
      <x:c r="L256" s="16" t="str"/>
      <x:c r="M256" s="16" t="str"/>
      <x:c r="N256" s="16" t="str"/>
      <x:c r="O256" s="16" t="str"/>
      <x:c r="P256" s="16" t="str"/>
      <x:c r="Q256" s="16" t="str"/>
      <x:c r="R256" s="16" t="str">
        <x:v>用户寻找Project Cloud品牌带足弓支撑的女式夹脚拖鞋，但本产品为joomra品牌。</x:v>
      </x:c>
      <x:c r="S256" s="13" t="str">
        <x:v>brand_harvest</x:v>
      </x:c>
      <x:c r="T256" s="16" t="str">
        <x:v>explicit | page_validated</x:v>
      </x:c>
      <x:c r="U256" s="13" t="str">
        <x:v>high</x:v>
      </x:c>
      <x:c r="V256" s="16" t="str">
        <x:v>brand_specific_arch_support_flip_flops_women</x:v>
      </x:c>
      <x:c r="W256" s="16" t="str">
        <x:v>semantic_negative_candidate</x:v>
      </x:c>
      <x:c r="X256" s="16" t="str">
        <x:v>{"product_type":[{"value":"flip_flops","evidence_type":"explicit","source_span":"flip flops","fact_ids":[],"rationale":""},{"value":"flip_flops","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function_intent":[{"value":"arch_support","evidence_type":"explicit","source_span":"arch support","fact_ids":[],"rationale":""},{"value":"arch_support","evidence_type":"page_validated","source_span":"","fact_ids":["arch_support"],"rationale":"该槽位与商品基准中的明示页面事实一致。"}],"brand":[{"value":"project_cloud","evidence_type":"explicit","source_span":"project cloud","fact_ids":[],"rationale":""}],"primary_domain":[{"value":"clothing_shoes_jewelry","evidence_type":"inferred","source_span":"","fact_ids":[],"rationale":"该值由搜索词整体语义推断，未作为页面明示属性。"}]}</x:v>
      </x:c>
      <x:c r="Y256" s="16" t="str"/>
      <x:c r="Z256" s="13" t="str">
        <x:v>mismatch</x:v>
      </x:c>
      <x:c r="AA256" s="16" t="str">
        <x:v>title_womens_flip_flop | arch_support</x:v>
      </x:c>
      <x:c r="AB256" s="13" t="str">
        <x:v>accepted</x:v>
      </x:c>
      <x:c r="AC256" s="13" t="str">
        <x:v>1.0.0</x:v>
      </x:c>
      <x:c r="AD256" s="13" t="str">
        <x:v>1.1.0</x:v>
      </x:c>
      <x:c r="AE256" s="13" t="str">
        <x:v>deepseek/deepseek-v4-pro</x:v>
      </x:c>
      <x:c r="AF256" s="13" t="str">
        <x:v>aj2-y90-20260714T234810-0bea2f52</x:v>
      </x:c>
      <x:c r="AG256" s="13" t="str">
        <x:v>full-0013</x:v>
      </x:c>
      <x:c r="AH256" s="13" t="str">
        <x:v>full</x:v>
      </x:c>
      <x:c r="AI256" s="13" t="n">
        <x:v>13</x:v>
      </x:c>
    </x:row>
    <x:row r="257" ht="34" customHeight="1">
      <x:c r="A257" s="15" t="str">
        <x:v>flip+flops women</x:v>
      </x:c>
      <x:c r="B257" s="15" t="str">
        <x:v>flip+flops women</x:v>
      </x:c>
      <x:c r="C257" s="10" t="str">
        <x:v>d1c2ad495bcb0a5b</x:v>
      </x:c>
      <x:c r="D257" s="10" t="str">
        <x:v>keyword</x:v>
      </x:c>
      <x:c r="E257" s="10" t="str">
        <x:v>en</x:v>
      </x:c>
      <x:c r="F257" s="10" t="str">
        <x:v>clothing_shoes_jewelry</x:v>
      </x:c>
      <x:c r="G257" s="15" t="str"/>
      <x:c r="H257" s="15" t="str">
        <x:v>flip_flops</x:v>
      </x:c>
      <x:c r="I257" s="15" t="str">
        <x:v>women</x:v>
      </x:c>
      <x:c r="J257" s="15" t="str"/>
      <x:c r="K257" s="15" t="str"/>
      <x:c r="L257" s="15" t="str"/>
      <x:c r="M257" s="15" t="str"/>
      <x:c r="N257" s="15" t="str"/>
      <x:c r="O257" s="15" t="str"/>
      <x:c r="P257" s="15" t="str"/>
      <x:c r="Q257" s="15" t="str"/>
      <x:c r="R257" s="15" t="str">
        <x:v>用户寻找女式夹脚拖鞋。</x:v>
      </x:c>
      <x:c r="S257" s="10" t="str">
        <x:v>exploration</x:v>
      </x:c>
      <x:c r="T257" s="15" t="str">
        <x:v>explicit | page_validated</x:v>
      </x:c>
      <x:c r="U257" s="10" t="str">
        <x:v>high</x:v>
      </x:c>
      <x:c r="V257" s="15" t="str">
        <x:v>womens_flip_flops</x:v>
      </x:c>
      <x:c r="W257" s="15" t="str">
        <x:v>cluster_route</x:v>
      </x:c>
      <x:c r="X257" s="15" t="str">
        <x:v>{"product_type":[{"value":"flip_flops","evidence_type":"explicit","source_span":"flip+flops","fact_ids":[],"rationale":""},{"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audience_intent":[{"value":"women","evidence_type":"explicit","source_span":"women","fact_ids":[],"rationale":""},{"value":"women","evidence_type":"page_validated","source_span":"","fact_ids":["title_womens_flip_flop"],"rationale":"该槽位与商品基准中的明示页面事实一致。"}],"primary_domain":[{"value":"clothing_shoes_jewelry","evidence_type":"inferred","source_span":"","fact_ids":[],"rationale":"该值由搜索词整体语义推断，未作为页面明示属性。"}]}</x:v>
      </x:c>
      <x:c r="Y257" s="15" t="str"/>
      <x:c r="Z257" s="10" t="str">
        <x:v>match</x:v>
      </x:c>
      <x:c r="AA257" s="15" t="str">
        <x:v>title_womens_flip_flop</x:v>
      </x:c>
      <x:c r="AB257" s="10" t="str">
        <x:v>accepted</x:v>
      </x:c>
      <x:c r="AC257" s="10" t="str">
        <x:v>1.0.0</x:v>
      </x:c>
      <x:c r="AD257" s="10" t="str">
        <x:v>1.1.0</x:v>
      </x:c>
      <x:c r="AE257" s="10" t="str">
        <x:v>deepseek/deepseek-v4-pro</x:v>
      </x:c>
      <x:c r="AF257" s="10" t="str">
        <x:v>aj2-y90-20260714T234810-0bea2f52</x:v>
      </x:c>
      <x:c r="AG257" s="10" t="str">
        <x:v>full-0013</x:v>
      </x:c>
      <x:c r="AH257" s="10" t="str">
        <x:v>full</x:v>
      </x:c>
      <x:c r="AI257" s="10" t="n">
        <x:v>13</x:v>
      </x:c>
    </x:row>
    <x:row r="258" ht="34" customHeight="1">
      <x:c r="A258" s="16" t="str">
        <x:v>sandals with arch support for woman</x:v>
      </x:c>
      <x:c r="B258" s="16" t="str">
        <x:v>sandals with arch support for woman</x:v>
      </x:c>
      <x:c r="C258" s="13" t="str">
        <x:v>d38932a342414aef</x:v>
      </x:c>
      <x:c r="D258" s="13" t="str">
        <x:v>keyword</x:v>
      </x:c>
      <x:c r="E258" s="13" t="str">
        <x:v>en</x:v>
      </x:c>
      <x:c r="F258" s="13" t="str">
        <x:v>clothing_shoes_jewelry</x:v>
      </x:c>
      <x:c r="G258" s="16" t="str"/>
      <x:c r="H258" s="16" t="str">
        <x:v>sandals</x:v>
      </x:c>
      <x:c r="I258" s="16" t="str">
        <x:v>women</x:v>
      </x:c>
      <x:c r="J258" s="16" t="str">
        <x:v>arch_support</x:v>
      </x:c>
      <x:c r="K258" s="16" t="str"/>
      <x:c r="L258" s="16" t="str"/>
      <x:c r="M258" s="16" t="str"/>
      <x:c r="N258" s="16" t="str"/>
      <x:c r="O258" s="16" t="str"/>
      <x:c r="P258" s="16" t="str"/>
      <x:c r="Q258" s="16" t="str"/>
      <x:c r="R258" s="16" t="str">
        <x:v>用户需要带足弓支撑的女式凉鞋，夹脚拖鞋属于凉鞋子类可满足需求。</x:v>
      </x:c>
      <x:c r="S258" s="13" t="str">
        <x:v>consideration</x:v>
      </x:c>
      <x:c r="T258" s="16" t="str">
        <x:v>explicit | page_validated</x:v>
      </x:c>
      <x:c r="U258" s="13" t="str">
        <x:v>high</x:v>
      </x:c>
      <x:c r="V258" s="16" t="str">
        <x:v>womens_arch_support_sandals</x:v>
      </x:c>
      <x:c r="W258" s="16" t="str">
        <x:v>cluster_route</x:v>
      </x:c>
      <x:c r="X258" s="16" t="str">
        <x:v>{"product_type":[{"value":"sandals","evidence_type":"explicit","source_span":"sandals","fact_ids":[],"rationale":""},{"value":"sandals","evidence_type":"page_validated","source_span":"","fact_ids":["title_womens_flip_flop"],"rationale":"该槽位与商品基准中的明示页面事实一致。"}],"audience_intent":[{"value":"women","evidence_type":"explicit","source_span":"woman","fact_ids":[],"rationale":""},{"value":"women","evidence_type":"page_validated","source_span":"","fact_ids":["title_womens_flip_flop"],"rationale":"该槽位与商品基准中的明示页面事实一致。"},{"value":"women","evidence_type":"inferred","source_span":"","fact_ids":[],"rationale":"该能力由搜索词表达的任务或问题推断；页面事实仅用于验证商品承接。"}],"function_intent":[{"value":"arch_support","evidence_type":"explicit","source_span":"arch support","fact_ids":[],"rationale":""},{"value":"arch_support","evidence_type":"page_validated","source_span":"","fact_ids":["arch_support"],"rationale":"该槽位与商品基准中的明示页面事实一致。"}],"primary_domain":[{"value":"clothing_shoes_jewelry","evidence_type":"inferred","source_span":"","fact_ids":[],"rationale":"该值由搜索词整体语义推断，未作为页面明示属性。"}]}</x:v>
      </x:c>
      <x:c r="Y258" s="16" t="str">
        <x:v>sandals_vs_specific_type_ambiguity</x:v>
      </x:c>
      <x:c r="Z258" s="13" t="str">
        <x:v>match</x:v>
      </x:c>
      <x:c r="AA258" s="16" t="str">
        <x:v>style_flip_flop | arch_support</x:v>
      </x:c>
      <x:c r="AB258" s="13" t="str">
        <x:v>accepted</x:v>
      </x:c>
      <x:c r="AC258" s="13" t="str">
        <x:v>1.0.0</x:v>
      </x:c>
      <x:c r="AD258" s="13" t="str">
        <x:v>1.1.0</x:v>
      </x:c>
      <x:c r="AE258" s="13" t="str">
        <x:v>deepseek/deepseek-v4-pro</x:v>
      </x:c>
      <x:c r="AF258" s="13" t="str">
        <x:v>aj2-y90-20260714T234810-0bea2f52</x:v>
      </x:c>
      <x:c r="AG258" s="13" t="str">
        <x:v>full-0013</x:v>
      </x:c>
      <x:c r="AH258" s="13" t="str">
        <x:v>full</x:v>
      </x:c>
      <x:c r="AI258" s="13" t="n">
        <x:v>13</x:v>
      </x:c>
    </x:row>
    <x:row r="259" ht="34" customHeight="1">
      <x:c r="A259" s="15" t="str">
        <x:v>arch support flip flops for women pool days</x:v>
      </x:c>
      <x:c r="B259" s="15" t="str">
        <x:v>arch support flip flops for women pool days</x:v>
      </x:c>
      <x:c r="C259" s="10" t="str">
        <x:v>d4e4b2c90532656c</x:v>
      </x:c>
      <x:c r="D259" s="10" t="str">
        <x:v>keyword</x:v>
      </x:c>
      <x:c r="E259" s="10" t="str">
        <x:v>en</x:v>
      </x:c>
      <x:c r="F259" s="10" t="str">
        <x:v>clothing_shoes_jewelry</x:v>
      </x:c>
      <x:c r="G259" s="15" t="str">
        <x:v>sports_outdoors</x:v>
      </x:c>
      <x:c r="H259" s="15" t="str">
        <x:v>flip_flops</x:v>
      </x:c>
      <x:c r="I259" s="15" t="str">
        <x:v>women</x:v>
      </x:c>
      <x:c r="J259" s="15" t="str">
        <x:v>arch_support</x:v>
      </x:c>
      <x:c r="K259" s="15" t="str"/>
      <x:c r="L259" s="15" t="str">
        <x:v>pool_days</x:v>
      </x:c>
      <x:c r="M259" s="15" t="str">
        <x:v>pool</x:v>
      </x:c>
      <x:c r="N259" s="15" t="str"/>
      <x:c r="O259" s="15" t="str"/>
      <x:c r="P259" s="15" t="str"/>
      <x:c r="Q259" s="15" t="str"/>
      <x:c r="R259" s="15" t="str">
        <x:v>用户需要适合泳池日穿着的带足弓支撑女式夹脚拖鞋，但产品未声明防水功能。</x:v>
      </x:c>
      <x:c r="S259" s="10" t="str">
        <x:v>high_intent</x:v>
      </x:c>
      <x:c r="T259" s="15" t="str">
        <x:v>explicit | page_validated | inferred</x:v>
      </x:c>
      <x:c r="U259" s="10" t="str">
        <x:v>high</x:v>
      </x:c>
      <x:c r="V259" s="15" t="str">
        <x:v>womens_arch_support_pool_flip_flops</x:v>
      </x:c>
      <x:c r="W259" s="15" t="str">
        <x:v>listing_gap_review</x:v>
      </x:c>
      <x:c r="X259" s="15" t="str">
        <x:v>{"product_type":[{"value":"flip_flops","evidence_type":"explicit","source_span":"flip flops","fact_ids":[],"rationale":""},{"value":"flip_flops","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function_intent":[{"value":"arch_support","evidence_type":"explicit","source_span":"arch support","fact_ids":[],"rationale":""},{"value":"arch_support","evidence_type":"page_validated","source_span":"","fact_ids":["arch_support"],"rationale":"该槽位与商品基准中的明示页面事实一致。"}],"event_intent":[{"value":"pool_days","evidence_type":"explicit","source_span":"pool days","fact_ids":[],"rationale":""}],"location_intent":[{"value":"pool","evidence_type":"explicit","source_span":"pool","fact_ids":[],"rationale":""}],"secondary_domain":[{"value":"sports_outdoors","evidence_type":"inferred","source_span":"","fact_ids":[],"rationale":"该值由搜索词整体语义推断，未作为页面明示属性。"}],"primary_domain":[{"value":"clothing_shoes_jewelry","evidence_type":"inferred","source_span":"","fact_ids":[],"rationale":"该值由搜索词整体语义推断，未作为页面明示属性。"}]}</x:v>
      </x:c>
      <x:c r="Y259" s="15" t="str"/>
      <x:c r="Z259" s="10" t="str">
        <x:v>partial_match</x:v>
      </x:c>
      <x:c r="AA259" s="15" t="str">
        <x:v>title_womens_flip_flop | arch_support</x:v>
      </x:c>
      <x:c r="AB259" s="10" t="str">
        <x:v>accepted</x:v>
      </x:c>
      <x:c r="AC259" s="10" t="str">
        <x:v>1.0.0</x:v>
      </x:c>
      <x:c r="AD259" s="10" t="str">
        <x:v>1.1.0</x:v>
      </x:c>
      <x:c r="AE259" s="10" t="str">
        <x:v>deepseek/deepseek-v4-pro</x:v>
      </x:c>
      <x:c r="AF259" s="10" t="str">
        <x:v>aj2-y90-20260714T234810-0bea2f52</x:v>
      </x:c>
      <x:c r="AG259" s="10" t="str">
        <x:v>full-0013</x:v>
      </x:c>
      <x:c r="AH259" s="10" t="str">
        <x:v>full</x:v>
      </x:c>
      <x:c r="AI259" s="10" t="n">
        <x:v>13</x:v>
      </x:c>
    </x:row>
    <x:row r="260" ht="34" customHeight="1">
      <x:c r="A260" s="16" t="str">
        <x:v>fit-flops with arch support for women</x:v>
      </x:c>
      <x:c r="B260" s="16" t="str">
        <x:v>fit-flops with arch support for women</x:v>
      </x:c>
      <x:c r="C260" s="13" t="str">
        <x:v>d73d5b34c7fb3c80</x:v>
      </x:c>
      <x:c r="D260" s="13" t="str">
        <x:v>keyword</x:v>
      </x:c>
      <x:c r="E260" s="13" t="str">
        <x:v>en</x:v>
      </x:c>
      <x:c r="F260" s="13" t="str">
        <x:v>clothing_shoes_jewelry</x:v>
      </x:c>
      <x:c r="G260" s="16" t="str"/>
      <x:c r="H260" s="16" t="str">
        <x:v>flip_flops</x:v>
      </x:c>
      <x:c r="I260" s="16" t="str">
        <x:v>women</x:v>
      </x:c>
      <x:c r="J260" s="16" t="str">
        <x:v>arch_support</x:v>
      </x:c>
      <x:c r="K260" s="16" t="str"/>
      <x:c r="L260" s="16" t="str"/>
      <x:c r="M260" s="16" t="str"/>
      <x:c r="N260" s="16" t="str"/>
      <x:c r="O260" s="16" t="str"/>
      <x:c r="P260" s="16" t="str"/>
      <x:c r="Q260" s="16" t="str"/>
      <x:c r="R260" s="16" t="str">
        <x:v>用户寻找FitFlop品牌带足弓支撑的女式夹脚拖鞋，但本产品为joomra品牌。</x:v>
      </x:c>
      <x:c r="S260" s="13" t="str">
        <x:v>brand_harvest</x:v>
      </x:c>
      <x:c r="T260" s="16" t="str">
        <x:v>explicit | page_validated | inferred</x:v>
      </x:c>
      <x:c r="U260" s="13" t="str">
        <x:v>high</x:v>
      </x:c>
      <x:c r="V260" s="16" t="str">
        <x:v>brand_specific_arch_support_flip_flops</x:v>
      </x:c>
      <x:c r="W260" s="16" t="str">
        <x:v>semantic_negative_candidate</x:v>
      </x:c>
      <x:c r="X260" s="16" t="str">
        <x:v>{"product_type":[{"value":"flip_flops","evidence_type":"explicit","source_span":"flops","fact_ids":[],"rationale":""},{"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audience_intent":[{"value":"women","evidence_type":"explicit","source_span":"for women","fact_ids":[],"rationale":""},{"value":"women","evidence_type":"page_validated","source_span":"","fact_ids":["title_womens_flip_flop"],"rationale":"该槽位与商品基准中的明示页面事实一致。"}],"function_intent":[{"value":"arch_support","evidence_type":"explicit","source_span":"arch support","fact_ids":[],"rationale":""},{"value":"arch_support","evidence_type":"page_validated","source_span":"","fact_ids":["arch_support"],"rationale":"该槽位与商品基准中的明示页面事实一致。"}],"brand":[{"value":"fitflop","evidence_type":"explicit","source_span":"fit-flops","fact_ids":[],"rationale":""}],"primary_domain":[{"value":"clothing_shoes_jewelry","evidence_type":"inferred","source_span":"","fact_ids":[],"rationale":"该值由搜索词整体语义推断，未作为页面明示属性。"}]}</x:v>
      </x:c>
      <x:c r="Y260" s="16" t="str">
        <x:v>brand_vs_descriptive_ambiguity_fit_flops</x:v>
      </x:c>
      <x:c r="Z260" s="13" t="str">
        <x:v>mismatch</x:v>
      </x:c>
      <x:c r="AA260" s="16" t="str">
        <x:v>title_womens_flip_flop | arch_support</x:v>
      </x:c>
      <x:c r="AB260" s="13" t="str">
        <x:v>accepted</x:v>
      </x:c>
      <x:c r="AC260" s="13" t="str">
        <x:v>1.0.0</x:v>
      </x:c>
      <x:c r="AD260" s="13" t="str">
        <x:v>1.1.0</x:v>
      </x:c>
      <x:c r="AE260" s="13" t="str">
        <x:v>deepseek/deepseek-v4-pro</x:v>
      </x:c>
      <x:c r="AF260" s="13" t="str">
        <x:v>aj2-y90-20260714T234810-0bea2f52</x:v>
      </x:c>
      <x:c r="AG260" s="13" t="str">
        <x:v>full-0013</x:v>
      </x:c>
      <x:c r="AH260" s="13" t="str">
        <x:v>full</x:v>
      </x:c>
      <x:c r="AI260" s="13" t="n">
        <x:v>13</x:v>
      </x:c>
    </x:row>
    <x:row r="261" ht="34" customHeight="1">
      <x:c r="A261" s="15" t="str">
        <x:v>waterproof black flipflop</x:v>
      </x:c>
      <x:c r="B261" s="15" t="str">
        <x:v>waterproof black flipflop</x:v>
      </x:c>
      <x:c r="C261" s="10" t="str">
        <x:v>e2117dbdc5fb3443</x:v>
      </x:c>
      <x:c r="D261" s="10" t="str">
        <x:v>keyword</x:v>
      </x:c>
      <x:c r="E261" s="10" t="str">
        <x:v>en</x:v>
      </x:c>
      <x:c r="F261" s="10" t="str">
        <x:v>clothing_shoes_jewelry</x:v>
      </x:c>
      <x:c r="G261" s="15" t="str"/>
      <x:c r="H261" s="15" t="str">
        <x:v>flip_flops</x:v>
      </x:c>
      <x:c r="I261" s="15" t="str"/>
      <x:c r="J261" s="15" t="str"/>
      <x:c r="K261" s="15" t="str">
        <x:v>waterproof</x:v>
      </x:c>
      <x:c r="L261" s="15" t="str"/>
      <x:c r="M261" s="15" t="str"/>
      <x:c r="N261" s="15" t="str"/>
      <x:c r="O261" s="15" t="str"/>
      <x:c r="P261" s="15" t="str"/>
      <x:c r="Q261" s="15" t="str"/>
      <x:c r="R261" s="15" t="str">
        <x:v>用户需要防水黑色夹脚拖鞋，但产品页面未声明防水功能。</x:v>
      </x:c>
      <x:c r="S261" s="10" t="str">
        <x:v>high_intent</x:v>
      </x:c>
      <x:c r="T261" s="15" t="str">
        <x:v>explicit | page_validated</x:v>
      </x:c>
      <x:c r="U261" s="10" t="str">
        <x:v>high</x:v>
      </x:c>
      <x:c r="V261" s="15" t="str">
        <x:v>waterproof_flip_flops_black</x:v>
      </x:c>
      <x:c r="W261" s="15" t="str">
        <x:v>listing_gap_review</x:v>
      </x:c>
      <x:c r="X261" s="15" t="str">
        <x:v>{"product_type":[{"value":"flip_flops","evidence_type":"explicit","source_span":"flipflop","fact_ids":[],"rationale":""},{"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capability_intent":[{"value":"waterproof","evidence_type":"explicit","source_span":"waterproof","fact_ids":[],"rationale":""}],"color":[{"value":"black","evidence_type":"explicit","source_span":"black","fact_ids":[],"rationale":"该颜色在商品页面可见颜色选择中得到明确支持。"}],"primary_domain":[{"value":"clothing_shoes_jewelry","evidence_type":"inferred","source_span":"","fact_ids":[],"rationale":"该值由搜索词整体语义推断，未作为页面明示属性。"}]}</x:v>
      </x:c>
      <x:c r="Y261" s="15" t="str"/>
      <x:c r="Z261" s="10" t="str">
        <x:v>partial_match</x:v>
      </x:c>
      <x:c r="AA261" s="15" t="str">
        <x:v>style_flip_flop | colors_visible</x:v>
      </x:c>
      <x:c r="AB261" s="10" t="str">
        <x:v>accepted</x:v>
      </x:c>
      <x:c r="AC261" s="10" t="str">
        <x:v>1.0.0</x:v>
      </x:c>
      <x:c r="AD261" s="10" t="str">
        <x:v>1.1.0</x:v>
      </x:c>
      <x:c r="AE261" s="10" t="str">
        <x:v>deepseek/deepseek-v4-pro</x:v>
      </x:c>
      <x:c r="AF261" s="10" t="str">
        <x:v>aj2-y90-20260714T234810-0bea2f52</x:v>
      </x:c>
      <x:c r="AG261" s="10" t="str">
        <x:v>full-0013</x:v>
      </x:c>
      <x:c r="AH261" s="10" t="str">
        <x:v>full</x:v>
      </x:c>
      <x:c r="AI261" s="10" t="n">
        <x:v>13</x:v>
      </x:c>
    </x:row>
    <x:row r="262" ht="34" customHeight="1">
      <x:c r="A262" s="16" t="str">
        <x:v>supportive black flip flops</x:v>
      </x:c>
      <x:c r="B262" s="16" t="str">
        <x:v>supportive black flip flops</x:v>
      </x:c>
      <x:c r="C262" s="13" t="str">
        <x:v>0dfcef3ffe6849de</x:v>
      </x:c>
      <x:c r="D262" s="13" t="str">
        <x:v>keyword</x:v>
      </x:c>
      <x:c r="E262" s="13" t="str">
        <x:v>en</x:v>
      </x:c>
      <x:c r="F262" s="13" t="str">
        <x:v>clothing_shoes_jewelry</x:v>
      </x:c>
      <x:c r="G262" s="16" t="str">
        <x:v>health_household</x:v>
      </x:c>
      <x:c r="H262" s="16" t="str">
        <x:v>flip_flop</x:v>
      </x:c>
      <x:c r="I262" s="16" t="str"/>
      <x:c r="J262" s="16" t="str">
        <x:v>foot_support</x:v>
      </x:c>
      <x:c r="K262" s="16" t="str">
        <x:v>supportive | arch_support | cushioning</x:v>
      </x:c>
      <x:c r="L262" s="16" t="str"/>
      <x:c r="M262" s="16" t="str"/>
      <x:c r="N262" s="16" t="str">
        <x:v>arch_support</x:v>
      </x:c>
      <x:c r="O262" s="16" t="str"/>
      <x:c r="P262" s="16" t="str"/>
      <x:c r="Q262" s="16" t="str"/>
      <x:c r="R262" s="16" t="str">
        <x:v>用户需要具有足部支撑功能的黑色人字拖，注重穿着稳定性和舒适感。</x:v>
      </x:c>
      <x:c r="S262" s="13" t="str">
        <x:v>consideration</x:v>
      </x:c>
      <x:c r="T262" s="16" t="str">
        <x:v>explicit | page_validated</x:v>
      </x:c>
      <x:c r="U262" s="13" t="str">
        <x:v>high</x:v>
      </x:c>
      <x:c r="V262" s="16" t="str">
        <x:v>supportive_black_flip_flops</x:v>
      </x:c>
      <x:c r="W262" s="16" t="str">
        <x:v>cluster_route</x:v>
      </x:c>
      <x:c r="X262" s="16" t="str">
        <x:v>{"product_type":[{"value":"flip_flop","evidence_type":"explicit","source_span":"flip flops","fact_ids":[],"rationale":"搜索词直接指明人字拖品类。"},{"value":"flip_flop","evidence_type":"page_validated","source_span":"","fact_ids":["style_flip_flop"],"rationale":"该槽位与商品基准中的明示页面事实一致。"}],"capability_intent":[{"value":"supportive","evidence_type":"explicit","source_span":"supportive","fact_ids":[],"rationale":"搜索词明确要求支撑性。"},{"value":"arch_support","evidence_type":"page_validated","source_span":"","fact_ids":["arch_support"],"rationale":"产品的人体工学足弓支撑满足支撑需求。"},{"value":"cushioning","evidence_type":"page_validated","source_span":"","fact_ids":["padded_cushioning"],"rationale":"填充缓冲增强足底支撑感。"},{"value":"arch_support","evidence_type":"inferred","source_span":"","fact_ids":[],"rationale":"该能力由搜索词表达的任务或问题推断；页面事实仅用于验证商品承接。"},{"value":"cushioning","evidence_type":"inferred","source_span":"","fact_ids":[],"rationale":"该能力由搜索词表达的任务或问题推断；页面事实仅用于验证商品承接。"}],"secondary_domain":[{"value":"health_household","evidence_type":"inferred","source_span":"","fact_ids":[],"rationale":"该值由搜索词整体语义推断，未作为页面明示属性。"}],"function_intent":[{"value":"foot_support","evidence_type":"page_validated","source_span":"","fact_ids":["arch_support"],"rationale":"该槽位与商品基准中的明示页面事实一致。"},{"value":"foot_suppor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262" s="16" t="str"/>
      <x:c r="Z262" s="13" t="str">
        <x:v>match</x:v>
      </x:c>
      <x:c r="AA262" s="16" t="str">
        <x:v>style_flip_flop | arch_support | padded_cushioning | colors_visible</x:v>
      </x:c>
      <x:c r="AB262" s="13" t="str">
        <x:v>accepted</x:v>
      </x:c>
      <x:c r="AC262" s="13" t="str">
        <x:v>1.0.0</x:v>
      </x:c>
      <x:c r="AD262" s="13" t="str">
        <x:v>1.0.0</x:v>
      </x:c>
      <x:c r="AE262" s="13" t="str">
        <x:v>deepseek/deepseek-v4-pro</x:v>
      </x:c>
      <x:c r="AF262" s="13" t="str">
        <x:v>aj2-y90-20260714T234810-0bea2f52</x:v>
      </x:c>
      <x:c r="AG262" s="13" t="str">
        <x:v>full-0014</x:v>
      </x:c>
      <x:c r="AH262" s="13" t="str">
        <x:v>full</x:v>
      </x:c>
      <x:c r="AI262" s="13" t="n">
        <x:v>14</x:v>
      </x:c>
    </x:row>
    <x:row r="263" ht="34" customHeight="1">
      <x:c r="A263" s="15" t="str">
        <x:v>women rubber flip flop</x:v>
      </x:c>
      <x:c r="B263" s="15" t="str">
        <x:v>women rubber flip flop</x:v>
      </x:c>
      <x:c r="C263" s="10" t="str">
        <x:v>23523ad0c6bd6eec</x:v>
      </x:c>
      <x:c r="D263" s="10" t="str">
        <x:v>keyword</x:v>
      </x:c>
      <x:c r="E263" s="10" t="str">
        <x:v>en</x:v>
      </x:c>
      <x:c r="F263" s="10" t="str">
        <x:v>clothing_shoes_jewelry</x:v>
      </x:c>
      <x:c r="G263" s="15" t="str"/>
      <x:c r="H263" s="15" t="str">
        <x:v>flip_flop</x:v>
      </x:c>
      <x:c r="I263" s="15" t="str">
        <x:v>women</x:v>
      </x:c>
      <x:c r="J263" s="15" t="str"/>
      <x:c r="K263" s="15" t="str">
        <x:v>rubber_material</x:v>
      </x:c>
      <x:c r="L263" s="15" t="str"/>
      <x:c r="M263" s="15" t="str"/>
      <x:c r="N263" s="15" t="str"/>
      <x:c r="O263" s="15" t="str"/>
      <x:c r="P263" s="15" t="str"/>
      <x:c r="Q263" s="15" t="str"/>
      <x:c r="R263" s="15" t="str">
        <x:v>用户寻找橡胶材质的女士人字拖，可能偏好耐用防水的材料特性。</x:v>
      </x:c>
      <x:c r="S263" s="10" t="str">
        <x:v>consideration</x:v>
      </x:c>
      <x:c r="T263" s="15" t="str">
        <x:v>explicit | page_validated</x:v>
      </x:c>
      <x:c r="U263" s="10" t="str">
        <x:v>medium</x:v>
      </x:c>
      <x:c r="V263" s="15" t="str">
        <x:v>womens_rubber_flip_flops</x:v>
      </x:c>
      <x:c r="W263" s="15" t="str">
        <x:v>listing_gap_review</x:v>
      </x:c>
      <x:c r="X263" s="15" t="str">
        <x:v>{"product_type":[{"value":"flip_flop","evidence_type":"explicit","source_span":"flip flop","fact_ids":[],"rationale":"搜索词直接指明人字拖品类。"},{"value":"flip_flop","evidence_type":"page_validated","source_span":"","fact_ids":["style_flip_flop"],"rationale":"该槽位与商品基准中的明示页面事实一致。"}],"audience_intent":[{"value":"women","evidence_type":"explicit","source_span":"women","fact_ids":[],"rationale":"搜索词明确指定女性用户。"},{"value":"women","evidence_type":"page_validated","source_span":"","fact_ids":["title_womens_flip_flop"],"rationale":"该槽位与商品基准中的明示页面事实一致。"}],"capability_intent":[{"value":"rubber_material","evidence_type":"explicit","source_span":"rubber","fact_ids":[],"rationale":"搜索词明确要求橡胶材料。"}],"primary_domain":[{"value":"clothing_shoes_jewelry","evidence_type":"inferred","source_span":"","fact_ids":[],"rationale":"该值由搜索词整体语义推断，未作为页面明示属性。"}]}</x:v>
      </x:c>
      <x:c r="Y263" s="15" t="str"/>
      <x:c r="Z263" s="10" t="str">
        <x:v>partial_match</x:v>
      </x:c>
      <x:c r="AA263" s="15" t="str">
        <x:v>title_womens_flip_flop | style_flip_flop | material_eva</x:v>
      </x:c>
      <x:c r="AB263" s="10" t="str">
        <x:v>accepted</x:v>
      </x:c>
      <x:c r="AC263" s="10" t="str">
        <x:v>1.0.0</x:v>
      </x:c>
      <x:c r="AD263" s="10" t="str">
        <x:v>1.0.0</x:v>
      </x:c>
      <x:c r="AE263" s="10" t="str">
        <x:v>deepseek/deepseek-v4-pro</x:v>
      </x:c>
      <x:c r="AF263" s="10" t="str">
        <x:v>aj2-y90-20260714T234810-0bea2f52</x:v>
      </x:c>
      <x:c r="AG263" s="10" t="str">
        <x:v>full-0014</x:v>
      </x:c>
      <x:c r="AH263" s="10" t="str">
        <x:v>full</x:v>
      </x:c>
      <x:c r="AI263" s="10" t="n">
        <x:v>14</x:v>
      </x:c>
    </x:row>
    <x:row r="264" ht="34" customHeight="1">
      <x:c r="A264" s="16" t="str">
        <x:v>archies footwear womens</x:v>
      </x:c>
      <x:c r="B264" s="16" t="str">
        <x:v>archies footwear womens</x:v>
      </x:c>
      <x:c r="C264" s="13" t="str">
        <x:v>2fd294a010822def</x:v>
      </x:c>
      <x:c r="D264" s="13" t="str">
        <x:v>keyword</x:v>
      </x:c>
      <x:c r="E264" s="13" t="str">
        <x:v>en</x:v>
      </x:c>
      <x:c r="F264" s="13" t="str">
        <x:v>clothing_shoes_jewelry</x:v>
      </x:c>
      <x:c r="G264" s="16" t="str">
        <x:v>health_household</x:v>
      </x:c>
      <x:c r="H264" s="16" t="str">
        <x:v>footwear | flip_flop</x:v>
      </x:c>
      <x:c r="I264" s="16" t="str">
        <x:v>women</x:v>
      </x:c>
      <x:c r="J264" s="16" t="str">
        <x:v>arch_support</x:v>
      </x:c>
      <x:c r="K264" s="16" t="str">
        <x:v>arch_support</x:v>
      </x:c>
      <x:c r="L264" s="16" t="str"/>
      <x:c r="M264" s="16" t="str"/>
      <x:c r="N264" s="16" t="str">
        <x:v>arch_support</x:v>
      </x:c>
      <x:c r="O264" s="16" t="str"/>
      <x:c r="P264" s="16" t="str"/>
      <x:c r="Q264" s="16" t="str"/>
      <x:c r="R264" s="16" t="str">
        <x:v>用户搜索 Archies 品牌的女鞋，看重其以足弓支撑为核心的品牌理念。</x:v>
      </x:c>
      <x:c r="S264" s="13" t="str">
        <x:v>brand_harvest</x:v>
      </x:c>
      <x:c r="T264" s="16" t="str">
        <x:v>explicit | inferred</x:v>
      </x:c>
      <x:c r="U264" s="13" t="str">
        <x:v>high</x:v>
      </x:c>
      <x:c r="V264" s="16" t="str">
        <x:v>brand_archies_womens_footwear</x:v>
      </x:c>
      <x:c r="W264" s="16" t="str">
        <x:v>semantic_negative_candidate</x:v>
      </x:c>
      <x:c r="X264" s="16" t="str">
        <x:v>{"product_type":[{"value":"footwear","evidence_type":"explicit","source_span":"footwear","fact_ids":[],"rationale":"搜索词使用鞋类通用词，范围较广。"},{"value":"flip_flop","evidence_type":"page_validated","source_span":"","fact_ids":["style_flip_flop"],"rationale":"该槽位与商品基准中的明示页面事实一致。"},{"value":"flip_flop","evidence_type":"inferred","source_span":"","fact_ids":[],"rationale":"该能力由搜索词表达的任务或问题推断；页面事实仅用于验证商品承接。"}],"audience_intent":[{"value":"women","evidence_type":"explicit","source_span":"womens","fact_ids":[],"rationale":"搜索词明确指定女性用户。"},{"value":"women","evidence_type":"page_validated","source_span":"","fact_ids":["title_womens_flip_flop"],"rationale":"该槽位与商品基准中的明示页面事实一致。"}],"capability_intent":[{"value":"arch_support","evidence_type":"page_validated","source_span":"","fact_ids":["arch_support"],"rationale":"该槽位与商品基准中的明示页面事实一致。"},{"value":"arch_support","evidence_type":"inferred","source_span":"","fact_ids":[],"rationale":"该能力由搜索词表达的任务或问题推断；页面事实仅用于验证商品承接。"}],"secondary_domain":[{"value":"health_household","evidence_type":"inferred","source_span":"","fact_ids":[],"rationale":"该值由搜索词整体语义推断，未作为页面明示属性。"}],"primary_domain":[{"value":"clothing_shoes_jewelry","evidence_type":"inferred","source_span":"","fact_ids":[],"rationale":"该值由搜索词整体语义推断，未作为页面明示属性。"}]}</x:v>
      </x:c>
      <x:c r="Y264" s="16" t="str">
        <x:v>archies_is_competing_brand</x:v>
      </x:c>
      <x:c r="Z264" s="13" t="str">
        <x:v>mismatch</x:v>
      </x:c>
      <x:c r="AA264" s="16" t="str"/>
      <x:c r="AB264" s="13" t="str">
        <x:v>accepted</x:v>
      </x:c>
      <x:c r="AC264" s="13" t="str">
        <x:v>1.0.0</x:v>
      </x:c>
      <x:c r="AD264" s="13" t="str">
        <x:v>1.0.0</x:v>
      </x:c>
      <x:c r="AE264" s="13" t="str">
        <x:v>deepseek/deepseek-v4-pro</x:v>
      </x:c>
      <x:c r="AF264" s="13" t="str">
        <x:v>aj2-y90-20260714T234810-0bea2f52</x:v>
      </x:c>
      <x:c r="AG264" s="13" t="str">
        <x:v>full-0014</x:v>
      </x:c>
      <x:c r="AH264" s="13" t="str">
        <x:v>full</x:v>
      </x:c>
      <x:c r="AI264" s="13" t="n">
        <x:v>14</x:v>
      </x:c>
    </x:row>
    <x:row r="265" ht="34" customHeight="1">
      <x:c r="A265" s="15" t="str">
        <x:v>comfy everyday flip flops</x:v>
      </x:c>
      <x:c r="B265" s="15" t="str">
        <x:v>comfy everyday flip flops</x:v>
      </x:c>
      <x:c r="C265" s="10" t="str">
        <x:v>3c54fc5bbef046bf</x:v>
      </x:c>
      <x:c r="D265" s="10" t="str">
        <x:v>keyword</x:v>
      </x:c>
      <x:c r="E265" s="10" t="str">
        <x:v>en</x:v>
      </x:c>
      <x:c r="F265" s="10" t="str">
        <x:v>clothing_shoes_jewelry</x:v>
      </x:c>
      <x:c r="G265" s="15" t="str"/>
      <x:c r="H265" s="15" t="str">
        <x:v>flip_flop</x:v>
      </x:c>
      <x:c r="I265" s="15" t="str"/>
      <x:c r="J265" s="15" t="str">
        <x:v>everyday_comfort</x:v>
      </x:c>
      <x:c r="K265" s="15" t="str">
        <x:v>comfortable | all_day_wear | arch_support | cushioning</x:v>
      </x:c>
      <x:c r="L265" s="15" t="str"/>
      <x:c r="M265" s="15" t="str"/>
      <x:c r="N265" s="15" t="str"/>
      <x:c r="O265" s="15" t="str"/>
      <x:c r="P265" s="15" t="str"/>
      <x:c r="Q265" s="15" t="str"/>
      <x:c r="R265" s="15" t="str">
        <x:v>用户寻找日常穿着的舒适人字拖，适合长时间全天候使用。</x:v>
      </x:c>
      <x:c r="S265" s="10" t="str">
        <x:v>consideration</x:v>
      </x:c>
      <x:c r="T265" s="15" t="str">
        <x:v>explicit | page_validated | inferred</x:v>
      </x:c>
      <x:c r="U265" s="10" t="str">
        <x:v>high</x:v>
      </x:c>
      <x:c r="V265" s="15" t="str">
        <x:v>everyday_comfort_flip_flops</x:v>
      </x:c>
      <x:c r="W265" s="15" t="str">
        <x:v>cluster_route</x:v>
      </x:c>
      <x:c r="X265" s="15" t="str">
        <x:v>{"product_type":[{"value":"flip_flop","evidence_type":"explicit","source_span":"flip flops","fact_ids":[],"rationale":"搜索词直接指明人字拖品类。"},{"value":"flip_flop","evidence_type":"page_validated","source_span":"","fact_ids":["style_flip_flop"],"rationale":"该槽位与商品基准中的明示页面事实一致。"}],"capability_intent":[{"value":"comfortable","evidence_type":"explicit","source_span":"comfy","fact_ids":[],"rationale":"comfy 为 comfortable 的口语表达。"},{"value":"arch_support","evidence_type":"page_validated","source_span":"","fact_ids":["arch_support"],"rationale":"足弓支撑提供全天候舒适。"},{"value":"cushioning","evidence_type":"page_validated","source_span":"","fact_ids":["padded_cushioning","soft_toe_post"],"rationale":"填充缓冲提升日常穿着舒适感。"},{"value":"all_day_wear","evidence_type":"inferred","source_span":"everyday","fact_ids":[],"rationale":"日常使用隐含全天穿着需求。"},{"value":"arch_support","evidence_type":"inferred","source_span":"","fact_ids":[],"rationale":"该能力由搜索词表达的任务或问题推断；页面事实仅用于验证商品承接。"},{"value":"cushioning","evidence_type":"inferred","source_span":"","fact_ids":[],"rationale":"该能力由搜索词表达的任务或问题推断；页面事实仅用于验证商品承接。"}],"function_intent":[{"value":"everyday_comfort","evidence_type":"inferred","source_span":"","fact_ids":[],"rationale":"该值由搜索词整体语义推断，未作为页面明示属性。"}],"primary_domain":[{"value":"clothing_shoes_jewelry","evidence_type":"inferred","source_span":"","fact_ids":[],"rationale":"该值由搜索词整体语义推断，未作为页面明示属性。"}]}</x:v>
      </x:c>
      <x:c r="Y265" s="15" t="str"/>
      <x:c r="Z265" s="10" t="str">
        <x:v>match</x:v>
      </x:c>
      <x:c r="AA265" s="15" t="str">
        <x:v>style_flip_flop | arch_support | padded_cushioning | soft_toe_post</x:v>
      </x:c>
      <x:c r="AB265" s="10" t="str">
        <x:v>accepted</x:v>
      </x:c>
      <x:c r="AC265" s="10" t="str">
        <x:v>1.0.0</x:v>
      </x:c>
      <x:c r="AD265" s="10" t="str">
        <x:v>1.0.0</x:v>
      </x:c>
      <x:c r="AE265" s="10" t="str">
        <x:v>deepseek/deepseek-v4-pro</x:v>
      </x:c>
      <x:c r="AF265" s="10" t="str">
        <x:v>aj2-y90-20260714T234810-0bea2f52</x:v>
      </x:c>
      <x:c r="AG265" s="10" t="str">
        <x:v>full-0014</x:v>
      </x:c>
      <x:c r="AH265" s="10" t="str">
        <x:v>full</x:v>
      </x:c>
      <x:c r="AI265" s="10" t="n">
        <x:v>14</x:v>
      </x:c>
    </x:row>
    <x:row r="266" ht="34" customHeight="1">
      <x:c r="A266" s="16" t="str">
        <x:v>summer comfortable flip flops</x:v>
      </x:c>
      <x:c r="B266" s="16" t="str">
        <x:v>summer comfortable flip flops</x:v>
      </x:c>
      <x:c r="C266" s="13" t="str">
        <x:v>57056b74a60ccd27</x:v>
      </x:c>
      <x:c r="D266" s="13" t="str">
        <x:v>keyword</x:v>
      </x:c>
      <x:c r="E266" s="13" t="str">
        <x:v>en</x:v>
      </x:c>
      <x:c r="F266" s="13" t="str">
        <x:v>clothing_shoes_jewelry</x:v>
      </x:c>
      <x:c r="G266" s="16" t="str"/>
      <x:c r="H266" s="16" t="str">
        <x:v>flip_flop</x:v>
      </x:c>
      <x:c r="I266" s="16" t="str"/>
      <x:c r="J266" s="16" t="str">
        <x:v>summer_comfort</x:v>
      </x:c>
      <x:c r="K266" s="16" t="str">
        <x:v>comfortable | breathable | lightweight | arch_support</x:v>
      </x:c>
      <x:c r="L266" s="16" t="str"/>
      <x:c r="M266" s="16" t="str"/>
      <x:c r="N266" s="16" t="str"/>
      <x:c r="O266" s="16" t="str">
        <x:v>summer</x:v>
      </x:c>
      <x:c r="P266" s="16" t="str"/>
      <x:c r="Q266" s="16" t="str"/>
      <x:c r="R266" s="16" t="str">
        <x:v>用户寻找夏季穿着舒适的人字拖，兼顾凉爽透气与足部舒适。</x:v>
      </x:c>
      <x:c r="S266" s="13" t="str">
        <x:v>consideration</x:v>
      </x:c>
      <x:c r="T266" s="16" t="str">
        <x:v>explicit | page_validated</x:v>
      </x:c>
      <x:c r="U266" s="13" t="str">
        <x:v>high</x:v>
      </x:c>
      <x:c r="V266" s="16" t="str">
        <x:v>summer_comfortable_flip_flops</x:v>
      </x:c>
      <x:c r="W266" s="16" t="str">
        <x:v>cluster_route</x:v>
      </x:c>
      <x:c r="X266" s="16" t="str">
        <x:v>{"product_type":[{"value":"flip_flop","evidence_type":"explicit","source_span":"flip flops","fact_ids":[],"rationale":"搜索词直接指明人字拖品类。"},{"value":"flip_flop","evidence_type":"page_validated","source_span":"","fact_ids":["style_flip_flop"],"rationale":"该槽位与商品基准中的明示页面事实一致。"}],"time_intent":[{"value":"summer","evidence_type":"explicit","source_span":"summer","fact_ids":[],"rationale":"搜索词明确指定夏季使用。"}],"capability_intent":[{"value":"comfortable","evidence_type":"explicit","source_span":"comfortable","fact_ids":[],"rationale":"搜索词明确要求舒适性。"},{"value":"breathable","evidence_type":"page_validated","source_span":"","fact_ids":["lightweight_breathable"],"rationale":"透气特性适合炎热夏季。"},{"value":"lightweight","evidence_type":"page_validated","source_span":"","fact_ids":["lightweight_breathable"],"rationale":"超轻特性适合夏季日常。"},{"value":"arch_support","evidence_type":"page_validated","source_span":"","fact_ids":["arch_support","padded_cushioning","soft_toe_post"],"rationale":"足弓支撑和缓冲提供舒适体验。"},{"value":"breathable","evidence_type":"inferred","source_span":"","fact_ids":[],"rationale":"该能力由搜索词表达的任务或问题推断；页面事实仅用于验证商品承接。"},{"value":"lightweight","evidence_type":"inferred","source_span":"","fact_ids":[],"rationale":"该能力由搜索词表达的任务或问题推断；页面事实仅用于验证商品承接。"},{"value":"arch_support","evidence_type":"inferred","source_span":"","fact_ids":[],"rationale":"该能力由搜索词表达的任务或问题推断；页面事实仅用于验证商品承接。"}],"function_intent":[{"value":"summer_comfort","evidence_type":"inferred","source_span":"","fact_ids":[],"rationale":"该值由搜索词整体语义推断，未作为页面明示属性。"}],"primary_domain":[{"value":"clothing_shoes_jewelry","evidence_type":"inferred","source_span":"","fact_ids":[],"rationale":"该值由搜索词整体语义推断，未作为页面明示属性。"}]}</x:v>
      </x:c>
      <x:c r="Y266" s="16" t="str"/>
      <x:c r="Z266" s="13" t="str">
        <x:v>match</x:v>
      </x:c>
      <x:c r="AA266" s="16" t="str">
        <x:v>style_flip_flop | arch_support | padded_cushioning | lightweight_breathable | soft_toe_post</x:v>
      </x:c>
      <x:c r="AB266" s="13" t="str">
        <x:v>accepted</x:v>
      </x:c>
      <x:c r="AC266" s="13" t="str">
        <x:v>1.0.0</x:v>
      </x:c>
      <x:c r="AD266" s="13" t="str">
        <x:v>1.0.0</x:v>
      </x:c>
      <x:c r="AE266" s="13" t="str">
        <x:v>deepseek/deepseek-v4-pro</x:v>
      </x:c>
      <x:c r="AF266" s="13" t="str">
        <x:v>aj2-y90-20260714T234810-0bea2f52</x:v>
      </x:c>
      <x:c r="AG266" s="13" t="str">
        <x:v>full-0014</x:v>
      </x:c>
      <x:c r="AH266" s="13" t="str">
        <x:v>full</x:v>
      </x:c>
      <x:c r="AI266" s="13" t="n">
        <x:v>14</x:v>
      </x:c>
    </x:row>
    <x:row r="267" ht="34" customHeight="1">
      <x:c r="A267" s="15" t="str">
        <x:v>sandal</x:v>
      </x:c>
      <x:c r="B267" s="15" t="str">
        <x:v>sandal</x:v>
      </x:c>
      <x:c r="C267" s="10" t="str">
        <x:v>5c4d3352b8ac943f</x:v>
      </x:c>
      <x:c r="D267" s="10" t="str">
        <x:v>keyword</x:v>
      </x:c>
      <x:c r="E267" s="10" t="str">
        <x:v>en</x:v>
      </x:c>
      <x:c r="F267" s="10" t="str">
        <x:v>clothing_shoes_jewelry</x:v>
      </x:c>
      <x:c r="G267" s="15" t="str"/>
      <x:c r="H267" s="15" t="str">
        <x:v>sandal | flip_flop</x:v>
      </x:c>
      <x:c r="I267" s="15" t="str"/>
      <x:c r="J267" s="15" t="str"/>
      <x:c r="K267" s="15" t="str"/>
      <x:c r="L267" s="15" t="str"/>
      <x:c r="M267" s="15" t="str"/>
      <x:c r="N267" s="15" t="str"/>
      <x:c r="O267" s="15" t="str"/>
      <x:c r="P267" s="15" t="str"/>
      <x:c r="Q267" s="15" t="str"/>
      <x:c r="R267" s="15" t="str">
        <x:v>用户正在浏览凉鞋品类，尚无明确的品牌、功能或场景偏好。</x:v>
      </x:c>
      <x:c r="S267" s="10" t="str">
        <x:v>exploration</x:v>
      </x:c>
      <x:c r="T267" s="15" t="str">
        <x:v>explicit | page_validated</x:v>
      </x:c>
      <x:c r="U267" s="10" t="str">
        <x:v>high</x:v>
      </x:c>
      <x:c r="V267" s="15" t="str">
        <x:v>sandal_generic</x:v>
      </x:c>
      <x:c r="W267" s="15" t="str">
        <x:v>cluster_route</x:v>
      </x:c>
      <x:c r="X267" s="15" t="str">
        <x:v>{"product_type":[{"value":"sandal","evidence_type":"explicit","source_span":"sandal","fact_ids":[],"rationale":"搜索词直接指明凉鞋品类。"},{"value":"flip_flop","evidence_type":"page_validated","source_span":"","fact_ids":["style_flip_flop"],"rationale":"该槽位与商品基准中的明示页面事实一致。"},{"value":"flip_flop","evidence_type":"inferred","source_span":"","fact_ids":[],"rationale":"该能力由搜索词表达的任务或问题推断；页面事实仅用于验证商品承接。"}],"primary_domain":[{"value":"clothing_shoes_jewelry","evidence_type":"explicit","source_span":"sandal","fact_ids":[],"rationale":"凉鞋属于鞋类产品。"}]}</x:v>
      </x:c>
      <x:c r="Y267" s="15" t="str"/>
      <x:c r="Z267" s="10" t="str">
        <x:v>match</x:v>
      </x:c>
      <x:c r="AA267" s="15" t="str">
        <x:v>title_womens_flip_flop | style_flip_flop</x:v>
      </x:c>
      <x:c r="AB267" s="10" t="str">
        <x:v>accepted</x:v>
      </x:c>
      <x:c r="AC267" s="10" t="str">
        <x:v>1.0.0</x:v>
      </x:c>
      <x:c r="AD267" s="10" t="str">
        <x:v>1.0.0</x:v>
      </x:c>
      <x:c r="AE267" s="10" t="str">
        <x:v>deepseek/deepseek-v4-pro</x:v>
      </x:c>
      <x:c r="AF267" s="10" t="str">
        <x:v>aj2-y90-20260714T234810-0bea2f52</x:v>
      </x:c>
      <x:c r="AG267" s="10" t="str">
        <x:v>full-0014</x:v>
      </x:c>
      <x:c r="AH267" s="10" t="str">
        <x:v>full</x:v>
      </x:c>
      <x:c r="AI267" s="10" t="n">
        <x:v>14</x:v>
      </x:c>
    </x:row>
    <x:row r="268" ht="34" customHeight="1">
      <x:c r="A268" s="16" t="str">
        <x:v>waterproof flip flips</x:v>
      </x:c>
      <x:c r="B268" s="16" t="str">
        <x:v>waterproof flip flips</x:v>
      </x:c>
      <x:c r="C268" s="13" t="str">
        <x:v>5f67358c21a42184</x:v>
      </x:c>
      <x:c r="D268" s="13" t="str">
        <x:v>keyword</x:v>
      </x:c>
      <x:c r="E268" s="13" t="str">
        <x:v>en</x:v>
      </x:c>
      <x:c r="F268" s="13" t="str">
        <x:v>clothing_shoes_jewelry</x:v>
      </x:c>
      <x:c r="G268" s="16" t="str"/>
      <x:c r="H268" s="16" t="str">
        <x:v>flip_flop</x:v>
      </x:c>
      <x:c r="I268" s="16" t="str"/>
      <x:c r="J268" s="16" t="str">
        <x:v>water_use</x:v>
      </x:c>
      <x:c r="K268" s="16" t="str">
        <x:v>waterproof</x:v>
      </x:c>
      <x:c r="L268" s="16" t="str"/>
      <x:c r="M268" s="16" t="str"/>
      <x:c r="N268" s="16" t="str"/>
      <x:c r="O268" s="16" t="str"/>
      <x:c r="P268" s="16" t="str"/>
      <x:c r="Q268" s="16" t="str"/>
      <x:c r="R268" s="16" t="str">
        <x:v>用户寻找完全防水的人字拖，适合涉水环境使用。</x:v>
      </x:c>
      <x:c r="S268" s="13" t="str">
        <x:v>high_intent</x:v>
      </x:c>
      <x:c r="T268" s="16" t="str">
        <x:v>explicit</x:v>
      </x:c>
      <x:c r="U268" s="13" t="str">
        <x:v>high</x:v>
      </x:c>
      <x:c r="V268" s="16" t="str">
        <x:v>waterproof_flip_flops</x:v>
      </x:c>
      <x:c r="W268" s="16" t="str">
        <x:v>semantic_negative_candidate</x:v>
      </x:c>
      <x:c r="X268" s="16" t="str">
        <x:v>{"product_type":[{"value":"flip_flop","evidence_type":"explicit","source_span":"flip flips","fact_ids":[],"rationale":"搜索词为人字拖的拼写变体，意图明确。"},{"value":"flip_flop","evidence_type":"page_validated","source_span":"","fact_ids":["style_flip_flop"],"rationale":"该槽位与商品基准中的明示页面事实一致。"},{"value":"flip_flop","evidence_type":"inferred","source_span":"","fact_ids":[],"rationale":"该能力由搜索词表达的任务或问题推断；页面事实仅用于验证商品承接。"}],"capability_intent":[{"value":"waterproof","evidence_type":"explicit","source_span":"waterproof","fact_ids":[],"rationale":"搜索词明确要求防水功能。"}],"function_intent":[{"value":"water_use","evidence_type":"inferred","source_span":"","fact_ids":[],"rationale":"该值由搜索词整体语义推断，未作为页面明示属性。"}],"primary_domain":[{"value":"clothing_shoes_jewelry","evidence_type":"inferred","source_span":"","fact_ids":[],"rationale":"该值由搜索词整体语义推断，未作为页面明示属性。"}]}</x:v>
      </x:c>
      <x:c r="Y268" s="16" t="str">
        <x:v>typo_flips_for_flops</x:v>
      </x:c>
      <x:c r="Z268" s="13" t="str">
        <x:v>mismatch</x:v>
      </x:c>
      <x:c r="AA268" s="16" t="str"/>
      <x:c r="AB268" s="13" t="str">
        <x:v>accepted</x:v>
      </x:c>
      <x:c r="AC268" s="13" t="str">
        <x:v>1.0.0</x:v>
      </x:c>
      <x:c r="AD268" s="13" t="str">
        <x:v>1.0.0</x:v>
      </x:c>
      <x:c r="AE268" s="13" t="str">
        <x:v>deepseek/deepseek-v4-pro</x:v>
      </x:c>
      <x:c r="AF268" s="13" t="str">
        <x:v>aj2-y90-20260714T234810-0bea2f52</x:v>
      </x:c>
      <x:c r="AG268" s="13" t="str">
        <x:v>full-0014</x:v>
      </x:c>
      <x:c r="AH268" s="13" t="str">
        <x:v>full</x:v>
      </x:c>
      <x:c r="AI268" s="13" t="n">
        <x:v>14</x:v>
      </x:c>
    </x:row>
    <x:row r="269" ht="34" customHeight="1">
      <x:c r="A269" s="15" t="str">
        <x:v>thicker sole flip flops for women</x:v>
      </x:c>
      <x:c r="B269" s="15" t="str">
        <x:v>thicker sole flip flops for women</x:v>
      </x:c>
      <x:c r="C269" s="10" t="str">
        <x:v>6702746272656409</x:v>
      </x:c>
      <x:c r="D269" s="10" t="str">
        <x:v>keyword</x:v>
      </x:c>
      <x:c r="E269" s="10" t="str">
        <x:v>en</x:v>
      </x:c>
      <x:c r="F269" s="10" t="str">
        <x:v>clothing_shoes_jewelry</x:v>
      </x:c>
      <x:c r="G269" s="15" t="str"/>
      <x:c r="H269" s="15" t="str">
        <x:v>flip_flop</x:v>
      </x:c>
      <x:c r="I269" s="15" t="str">
        <x:v>women</x:v>
      </x:c>
      <x:c r="J269" s="15" t="str">
        <x:v>thicker_sole</x:v>
      </x:c>
      <x:c r="K269" s="15" t="str">
        <x:v>thick_sole | cushioning</x:v>
      </x:c>
      <x:c r="L269" s="15" t="str"/>
      <x:c r="M269" s="15" t="str"/>
      <x:c r="N269" s="15" t="str"/>
      <x:c r="O269" s="15" t="str"/>
      <x:c r="P269" s="15" t="str"/>
      <x:c r="Q269" s="15" t="str"/>
      <x:c r="R269" s="15" t="str">
        <x:v>用户寻找鞋底较厚的女士人字拖，可能追求更好的缓冲或增高效果。</x:v>
      </x:c>
      <x:c r="S269" s="10" t="str">
        <x:v>consideration</x:v>
      </x:c>
      <x:c r="T269" s="15" t="str">
        <x:v>explicit | page_validated | inferred</x:v>
      </x:c>
      <x:c r="U269" s="10" t="str">
        <x:v>medium</x:v>
      </x:c>
      <x:c r="V269" s="15" t="str">
        <x:v>womens_thick_sole_flip_flops</x:v>
      </x:c>
      <x:c r="W269" s="15" t="str">
        <x:v>listing_gap_review</x:v>
      </x:c>
      <x:c r="X269" s="15" t="str">
        <x:v>{"product_type":[{"value":"flip_flop","evidence_type":"explicit","source_span":"flip flops","fact_ids":[],"rationale":"搜索词直接指明人字拖品类。"},{"value":"flip_flop","evidence_type":"page_validated","source_span":"","fact_ids":["style_flip_flop"],"rationale":"该槽位与商品基准中的明示页面事实一致。"}],"audience_intent":[{"value":"women","evidence_type":"explicit","source_span":"for women","fact_ids":[],"rationale":"搜索词明确指定女性用户。"},{"value":"women","evidence_type":"page_validated","source_span":"","fact_ids":["title_womens_flip_flop"],"rationale":"该槽位与商品基准中的明示页面事实一致。"}],"capability_intent":[{"value":"thick_sole","evidence_type":"explicit","source_span":"thicker sole","fact_ids":[],"rationale":"搜索词明确要求加厚鞋底。"},{"value":"cushioning","evidence_type":"page_validated","source_span":"","fact_ids":["padded_cushioning"],"rationale":"产品具备填充缓冲，可部分满足加厚鞋底需求。"},{"value":"cushioning","evidence_type":"inferred","source_span":"","fact_ids":[],"rationale":"该能力由搜索词表达的任务或问题推断；页面事实仅用于验证商品承接。"}],"function_intent":[{"value":"thicker_sole","evidence_type":"explicit","source_span":"thicker sole","fact_ids":[],"rationale":"用户的核心诉求是鞋底厚度。"}],"primary_domain":[{"value":"clothing_shoes_jewelry","evidence_type":"inferred","source_span":"","fact_ids":[],"rationale":"该值由搜索词整体语义推断，未作为页面明示属性。"}]}</x:v>
      </x:c>
      <x:c r="Y269" s="15" t="str"/>
      <x:c r="Z269" s="10" t="str">
        <x:v>partial_match</x:v>
      </x:c>
      <x:c r="AA269" s="15" t="str">
        <x:v>title_womens_flip_flop | style_flip_flop | padded_cushioning</x:v>
      </x:c>
      <x:c r="AB269" s="10" t="str">
        <x:v>accepted</x:v>
      </x:c>
      <x:c r="AC269" s="10" t="str">
        <x:v>1.0.0</x:v>
      </x:c>
      <x:c r="AD269" s="10" t="str">
        <x:v>1.0.0</x:v>
      </x:c>
      <x:c r="AE269" s="10" t="str">
        <x:v>deepseek/deepseek-v4-pro</x:v>
      </x:c>
      <x:c r="AF269" s="10" t="str">
        <x:v>aj2-y90-20260714T234810-0bea2f52</x:v>
      </x:c>
      <x:c r="AG269" s="10" t="str">
        <x:v>full-0014</x:v>
      </x:c>
      <x:c r="AH269" s="10" t="str">
        <x:v>full</x:v>
      </x:c>
      <x:c r="AI269" s="10" t="n">
        <x:v>14</x:v>
      </x:c>
    </x:row>
    <x:row r="270" ht="34" customHeight="1">
      <x:c r="A270" s="16" t="str">
        <x:v>beach flip flops women waterproof</x:v>
      </x:c>
      <x:c r="B270" s="16" t="str">
        <x:v>beach flip flops women waterproof</x:v>
      </x:c>
      <x:c r="C270" s="13" t="str">
        <x:v>6fcb235ef93e3128</x:v>
      </x:c>
      <x:c r="D270" s="13" t="str">
        <x:v>keyword</x:v>
      </x:c>
      <x:c r="E270" s="13" t="str">
        <x:v>en</x:v>
      </x:c>
      <x:c r="F270" s="13" t="str">
        <x:v>clothing_shoes_jewelry</x:v>
      </x:c>
      <x:c r="G270" s="16" t="str">
        <x:v>sports_outdoors</x:v>
      </x:c>
      <x:c r="H270" s="16" t="str">
        <x:v>flip_flop</x:v>
      </x:c>
      <x:c r="I270" s="16" t="str">
        <x:v>women</x:v>
      </x:c>
      <x:c r="J270" s="16" t="str">
        <x:v>beach_use</x:v>
      </x:c>
      <x:c r="K270" s="16" t="str">
        <x:v>waterproof</x:v>
      </x:c>
      <x:c r="L270" s="16" t="str">
        <x:v>beach_activity</x:v>
      </x:c>
      <x:c r="M270" s="16" t="str">
        <x:v>beach</x:v>
      </x:c>
      <x:c r="N270" s="16" t="str"/>
      <x:c r="O270" s="16" t="str"/>
      <x:c r="P270" s="16" t="str"/>
      <x:c r="Q270" s="16" t="str"/>
      <x:c r="R270" s="16" t="str">
        <x:v>用户需要适合海滩穿着的防水女士人字拖，要求应对涉水和沙地环境。</x:v>
      </x:c>
      <x:c r="S270" s="13" t="str">
        <x:v>high_intent</x:v>
      </x:c>
      <x:c r="T270" s="16" t="str">
        <x:v>explicit</x:v>
      </x:c>
      <x:c r="U270" s="13" t="str">
        <x:v>high</x:v>
      </x:c>
      <x:c r="V270" s="16" t="str">
        <x:v>beach_waterproof_womens_flip_flops</x:v>
      </x:c>
      <x:c r="W270" s="16" t="str">
        <x:v>semantic_negative_candidate</x:v>
      </x:c>
      <x:c r="X270" s="16" t="str">
        <x:v>{"product_type":[{"value":"flip_flop","evidence_type":"explicit","source_span":"flip flops","fact_ids":[],"rationale":"搜索词直接指明人字拖品类。"},{"value":"flip_flop","evidence_type":"page_validated","source_span":"","fact_ids":["style_flip_flop"],"rationale":"该槽位与商品基准中的明示页面事实一致。"}],"audience_intent":[{"value":"women","evidence_type":"explicit","source_span":"women","fact_ids":[],"rationale":"搜索词明确指定女性用户。"},{"value":"women","evidence_type":"page_validated","source_span":"","fact_ids":["title_womens_flip_flop"],"rationale":"该槽位与商品基准中的明示页面事实一致。"}],"location_intent":[{"value":"beach","evidence_type":"explicit","source_span":"beach","fact_ids":[],"rationale":"搜索词明确指定海滩场景。"}],"capability_intent":[{"value":"waterproof","evidence_type":"explicit","source_span":"waterproof","fact_ids":[],"rationale":"搜索词明确要求防水功能。"}],"event_intent":[{"value":"beach_activity","evidence_type":"explicit","source_span":"beach","fact_ids":[],"rationale":"海滩隐含户外涉水活动。"}],"secondary_domain":[{"value":"sports_outdoors","evidence_type":"inferred","source_span":"","fact_ids":[],"rationale":"该值由搜索词整体语义推断，未作为页面明示属性。"}],"function_intent":[{"value":"beach_use","evidence_type":"inferred","source_span":"","fact_ids":[],"rationale":"该值由搜索词整体语义推断，未作为页面明示属性。"}],"primary_domain":[{"value":"clothing_shoes_jewelry","evidence_type":"inferred","source_span":"","fact_ids":[],"rationale":"该值由搜索词整体语义推断，未作为页面明示属性。"}]}</x:v>
      </x:c>
      <x:c r="Y270" s="16" t="str"/>
      <x:c r="Z270" s="13" t="str">
        <x:v>mismatch</x:v>
      </x:c>
      <x:c r="AA270" s="16" t="str"/>
      <x:c r="AB270" s="13" t="str">
        <x:v>accepted</x:v>
      </x:c>
      <x:c r="AC270" s="13" t="str">
        <x:v>1.0.0</x:v>
      </x:c>
      <x:c r="AD270" s="13" t="str">
        <x:v>1.0.0</x:v>
      </x:c>
      <x:c r="AE270" s="13" t="str">
        <x:v>deepseek/deepseek-v4-pro</x:v>
      </x:c>
      <x:c r="AF270" s="13" t="str">
        <x:v>aj2-y90-20260714T234810-0bea2f52</x:v>
      </x:c>
      <x:c r="AG270" s="13" t="str">
        <x:v>full-0014</x:v>
      </x:c>
      <x:c r="AH270" s="13" t="str">
        <x:v>full</x:v>
      </x:c>
      <x:c r="AI270" s="13" t="n">
        <x:v>14</x:v>
      </x:c>
    </x:row>
    <x:row r="271" ht="34" customHeight="1">
      <x:c r="A271" s="15" t="str">
        <x:v>flip flops for women foam</x:v>
      </x:c>
      <x:c r="B271" s="15" t="str">
        <x:v>flip flops for women foam</x:v>
      </x:c>
      <x:c r="C271" s="10" t="str">
        <x:v>77678d38815e9b44</x:v>
      </x:c>
      <x:c r="D271" s="10" t="str">
        <x:v>keyword</x:v>
      </x:c>
      <x:c r="E271" s="10" t="str">
        <x:v>en</x:v>
      </x:c>
      <x:c r="F271" s="10" t="str">
        <x:v>clothing_shoes_jewelry</x:v>
      </x:c>
      <x:c r="G271" s="15" t="str"/>
      <x:c r="H271" s="15" t="str">
        <x:v>flip_flop</x:v>
      </x:c>
      <x:c r="I271" s="15" t="str">
        <x:v>women</x:v>
      </x:c>
      <x:c r="J271" s="15" t="str"/>
      <x:c r="K271" s="15" t="str">
        <x:v>foam_material | lightweight</x:v>
      </x:c>
      <x:c r="L271" s="15" t="str"/>
      <x:c r="M271" s="15" t="str"/>
      <x:c r="N271" s="15" t="str"/>
      <x:c r="O271" s="15" t="str"/>
      <x:c r="P271" s="15" t="str"/>
      <x:c r="Q271" s="15" t="str"/>
      <x:c r="R271" s="15" t="str">
        <x:v>用户寻找泡沫材质的女士人字拖，注重轻便与柔软的穿着脚感。</x:v>
      </x:c>
      <x:c r="S271" s="10" t="str">
        <x:v>consideration</x:v>
      </x:c>
      <x:c r="T271" s="15" t="str">
        <x:v>explicit | page_validated</x:v>
      </x:c>
      <x:c r="U271" s="10" t="str">
        <x:v>high</x:v>
      </x:c>
      <x:c r="V271" s="15" t="str">
        <x:v>womens_foam_flip_flops</x:v>
      </x:c>
      <x:c r="W271" s="15" t="str">
        <x:v>cluster_route</x:v>
      </x:c>
      <x:c r="X271" s="15" t="str">
        <x:v>{"product_type":[{"value":"flip_flop","evidence_type":"explicit","source_span":"flip flops","fact_ids":[],"rationale":"搜索词直接指明人字拖品类。"},{"value":"flip_flop","evidence_type":"page_validated","source_span":"","fact_ids":["style_flip_flop"],"rationale":"该槽位与商品基准中的明示页面事实一致。"}],"audience_intent":[{"value":"women","evidence_type":"explicit","source_span":"for women","fact_ids":[],"rationale":"搜索词明确指定女性用户。"},{"value":"women","evidence_type":"page_validated","source_span":"","fact_ids":["title_womens_flip_flop"],"rationale":"该槽位与商品基准中的明示页面事实一致。"}],"capability_intent":[{"value":"foam_material","evidence_type":"explicit","source_span":"foam","fact_ids":[],"rationale":"搜索词明确要求泡沫材料。"},{"value":"lightweight","evidence_type":"page_validated","source_span":"","fact_ids":["material_eva","lightweight_breathable"],"rationale":"EVA泡沫材料天然轻便。"},{"value":"lightweigh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271" s="15" t="str"/>
      <x:c r="Z271" s="10" t="str">
        <x:v>match</x:v>
      </x:c>
      <x:c r="AA271" s="15" t="str">
        <x:v>title_womens_flip_flop | style_flip_flop | material_eva | lightweight_breathable</x:v>
      </x:c>
      <x:c r="AB271" s="10" t="str">
        <x:v>accepted</x:v>
      </x:c>
      <x:c r="AC271" s="10" t="str">
        <x:v>1.0.0</x:v>
      </x:c>
      <x:c r="AD271" s="10" t="str">
        <x:v>1.0.0</x:v>
      </x:c>
      <x:c r="AE271" s="10" t="str">
        <x:v>deepseek/deepseek-v4-pro</x:v>
      </x:c>
      <x:c r="AF271" s="10" t="str">
        <x:v>aj2-y90-20260714T234810-0bea2f52</x:v>
      </x:c>
      <x:c r="AG271" s="10" t="str">
        <x:v>full-0014</x:v>
      </x:c>
      <x:c r="AH271" s="10" t="str">
        <x:v>full</x:v>
      </x:c>
      <x:c r="AI271" s="10" t="n">
        <x:v>14</x:v>
      </x:c>
    </x:row>
    <x:row r="272" ht="34" customHeight="1">
      <x:c r="A272" s="16" t="str">
        <x:v>flip flops with sole support for women</x:v>
      </x:c>
      <x:c r="B272" s="16" t="str">
        <x:v>flip flops with sole support for women</x:v>
      </x:c>
      <x:c r="C272" s="13" t="str">
        <x:v>9103df59e0ce5f53</x:v>
      </x:c>
      <x:c r="D272" s="13" t="str">
        <x:v>keyword</x:v>
      </x:c>
      <x:c r="E272" s="13" t="str">
        <x:v>en</x:v>
      </x:c>
      <x:c r="F272" s="13" t="str">
        <x:v>clothing_shoes_jewelry</x:v>
      </x:c>
      <x:c r="G272" s="16" t="str">
        <x:v>health_household</x:v>
      </x:c>
      <x:c r="H272" s="16" t="str">
        <x:v>flip_flop</x:v>
      </x:c>
      <x:c r="I272" s="16" t="str">
        <x:v>women</x:v>
      </x:c>
      <x:c r="J272" s="16" t="str">
        <x:v>sole_support</x:v>
      </x:c>
      <x:c r="K272" s="16" t="str">
        <x:v>sole_support | arch_support | cushioning</x:v>
      </x:c>
      <x:c r="L272" s="16" t="str"/>
      <x:c r="M272" s="16" t="str"/>
      <x:c r="N272" s="16" t="str">
        <x:v>arch_support</x:v>
      </x:c>
      <x:c r="O272" s="16" t="str"/>
      <x:c r="P272" s="16" t="str"/>
      <x:c r="Q272" s="16" t="str"/>
      <x:c r="R272" s="16" t="str">
        <x:v>用户寻找具有鞋底支撑功能的女士人字拖，用于缓解足底压力并提升行走舒适度。</x:v>
      </x:c>
      <x:c r="S272" s="13" t="str">
        <x:v>high_intent</x:v>
      </x:c>
      <x:c r="T272" s="16" t="str">
        <x:v>explicit | page_validated</x:v>
      </x:c>
      <x:c r="U272" s="13" t="str">
        <x:v>high</x:v>
      </x:c>
      <x:c r="V272" s="16" t="str">
        <x:v>womens_sole_support_flip_flops</x:v>
      </x:c>
      <x:c r="W272" s="16" t="str">
        <x:v>cluster_route</x:v>
      </x:c>
      <x:c r="X272" s="16" t="str">
        <x:v>{"product_type":[{"value":"flip_flop","evidence_type":"explicit","source_span":"flip flops","fact_ids":[],"rationale":"搜索词直接指明人字拖品类。"},{"value":"flip_flop","evidence_type":"page_validated","source_span":"","fact_ids":["style_flip_flop"],"rationale":"该槽位与商品基准中的明示页面事实一致。"}],"audience_intent":[{"value":"women","evidence_type":"explicit","source_span":"for women","fact_ids":[],"rationale":"搜索词明确指定女性用户。"},{"value":"women","evidence_type":"page_validated","source_span":"","fact_ids":["title_womens_flip_flop"],"rationale":"该槽位与商品基准中的明示页面事实一致。"}],"capability_intent":[{"value":"sole_support","evidence_type":"explicit","source_span":"sole support","fact_ids":[],"rationale":"搜索词明确要求鞋底支撑。"},{"value":"arch_support","evidence_type":"page_validated","source_span":"","fact_ids":["arch_support"],"rationale":"足弓支撑是鞋底支撑的核心实现方式。"},{"value":"cushioning","evidence_type":"page_validated","source_span":"","fact_ids":["padded_cushioning"],"rationale":"填充缓冲提供鞋底舒适支撑。"},{"value":"arch_support","evidence_type":"inferred","source_span":"","fact_ids":[],"rationale":"该能力由搜索词表达的任务或问题推断；页面事实仅用于验证商品承接。"},{"value":"cushioning","evidence_type":"inferred","source_span":"","fact_ids":[],"rationale":"该能力由搜索词表达的任务或问题推断；页面事实仅用于验证商品承接。"}],"function_intent":[{"value":"sole_support","evidence_type":"explicit","source_span":"sole support","fact_ids":[],"rationale":"用户核心诉求是鞋底的支撑功能。"}],"secondary_domain":[{"value":"health_household","evidence_type":"inferred","source_span":"","fact_ids":[],"rationale":"该值由搜索词整体语义推断，未作为页面明示属性。"}],"primary_domain":[{"value":"clothing_shoes_jewelry","evidence_type":"inferred","source_span":"","fact_ids":[],"rationale":"该值由搜索词整体语义推断，未作为页面明示属性。"}]}</x:v>
      </x:c>
      <x:c r="Y272" s="16" t="str"/>
      <x:c r="Z272" s="13" t="str">
        <x:v>match</x:v>
      </x:c>
      <x:c r="AA272" s="16" t="str">
        <x:v>title_womens_flip_flop | style_flip_flop | arch_support | padded_cushioning</x:v>
      </x:c>
      <x:c r="AB272" s="13" t="str">
        <x:v>accepted</x:v>
      </x:c>
      <x:c r="AC272" s="13" t="str">
        <x:v>1.0.0</x:v>
      </x:c>
      <x:c r="AD272" s="13" t="str">
        <x:v>1.0.0</x:v>
      </x:c>
      <x:c r="AE272" s="13" t="str">
        <x:v>deepseek/deepseek-v4-pro</x:v>
      </x:c>
      <x:c r="AF272" s="13" t="str">
        <x:v>aj2-y90-20260714T234810-0bea2f52</x:v>
      </x:c>
      <x:c r="AG272" s="13" t="str">
        <x:v>full-0014</x:v>
      </x:c>
      <x:c r="AH272" s="13" t="str">
        <x:v>full</x:v>
      </x:c>
      <x:c r="AI272" s="13" t="n">
        <x:v>14</x:v>
      </x:c>
    </x:row>
    <x:row r="273" ht="34" customHeight="1">
      <x:c r="A273" s="15" t="str">
        <x:v>lemon archies flip flops</x:v>
      </x:c>
      <x:c r="B273" s="15" t="str">
        <x:v>lemon archies flip flops</x:v>
      </x:c>
      <x:c r="C273" s="10" t="str">
        <x:v>a6b85ec25ad6acb8</x:v>
      </x:c>
      <x:c r="D273" s="10" t="str">
        <x:v>keyword</x:v>
      </x:c>
      <x:c r="E273" s="10" t="str">
        <x:v>en</x:v>
      </x:c>
      <x:c r="F273" s="10" t="str">
        <x:v>clothing_shoes_jewelry</x:v>
      </x:c>
      <x:c r="G273" s="15" t="str">
        <x:v>health_household</x:v>
      </x:c>
      <x:c r="H273" s="15" t="str">
        <x:v>flip_flop</x:v>
      </x:c>
      <x:c r="I273" s="15" t="str"/>
      <x:c r="J273" s="15" t="str">
        <x:v>arch_support</x:v>
      </x:c>
      <x:c r="K273" s="15" t="str">
        <x:v>arch_support</x:v>
      </x:c>
      <x:c r="L273" s="15" t="str"/>
      <x:c r="M273" s="15" t="str"/>
      <x:c r="N273" s="15" t="str">
        <x:v>arch_support</x:v>
      </x:c>
      <x:c r="O273" s="15" t="str"/>
      <x:c r="P273" s="15" t="str"/>
      <x:c r="Q273" s="15" t="str"/>
      <x:c r="R273" s="15" t="str">
        <x:v>用户搜索 Archies 品牌的柠檬色人字拖，看中该品牌主打的足弓支撑功能。</x:v>
      </x:c>
      <x:c r="S273" s="10" t="str">
        <x:v>brand_harvest</x:v>
      </x:c>
      <x:c r="T273" s="15" t="str">
        <x:v>explicit | inferred</x:v>
      </x:c>
      <x:c r="U273" s="10" t="str">
        <x:v>high</x:v>
      </x:c>
      <x:c r="V273" s="15" t="str">
        <x:v>brand_archies_flip_flops</x:v>
      </x:c>
      <x:c r="W273" s="15" t="str">
        <x:v>semantic_negative_candidate</x:v>
      </x:c>
      <x:c r="X273" s="15" t="str">
        <x:v>{"product_type":[{"value":"flip_flop","evidence_type":"explicit","source_span":"flip flops","fact_ids":[],"rationale":"搜索词直接指明人字拖品类。"},{"value":"flip_flop","evidence_type":"page_validated","source_span":"","fact_ids":["style_flip_flop"],"rationale":"该槽位与商品基准中的明示页面事实一致。"}],"capability_intent":[{"value":"arch_support","evidence_type":"page_validated","source_span":"","fact_ids":["arch_support"],"rationale":"该槽位与商品基准中的明示页面事实一致。"},{"value":"arch_support","evidence_type":"inferred","source_span":"","fact_ids":[],"rationale":"该能力由搜索词表达的任务或问题推断；页面事实仅用于验证商品承接。"}],"secondary_domain":[{"value":"health_household","evidence_type":"inferred","source_span":"","fact_ids":[],"rationale":"该值由搜索词整体语义推断，未作为页面明示属性。"}],"primary_domain":[{"value":"clothing_shoes_jewelry","evidence_type":"inferred","source_span":"","fact_ids":[],"rationale":"该值由搜索词整体语义推断，未作为页面明示属性。"}]}</x:v>
      </x:c>
      <x:c r="Y273" s="15" t="str">
        <x:v>lemon_possible_color_or_flavor | archies_is_competing_brand</x:v>
      </x:c>
      <x:c r="Z273" s="10" t="str">
        <x:v>mismatch</x:v>
      </x:c>
      <x:c r="AA273" s="15" t="str"/>
      <x:c r="AB273" s="10" t="str">
        <x:v>accepted</x:v>
      </x:c>
      <x:c r="AC273" s="10" t="str">
        <x:v>1.0.0</x:v>
      </x:c>
      <x:c r="AD273" s="10" t="str">
        <x:v>1.0.0</x:v>
      </x:c>
      <x:c r="AE273" s="10" t="str">
        <x:v>deepseek/deepseek-v4-pro</x:v>
      </x:c>
      <x:c r="AF273" s="10" t="str">
        <x:v>aj2-y90-20260714T234810-0bea2f52</x:v>
      </x:c>
      <x:c r="AG273" s="10" t="str">
        <x:v>full-0014</x:v>
      </x:c>
      <x:c r="AH273" s="10" t="str">
        <x:v>full</x:v>
      </x:c>
      <x:c r="AI273" s="10" t="n">
        <x:v>14</x:v>
      </x:c>
    </x:row>
    <x:row r="274" ht="34" customHeight="1">
      <x:c r="A274" s="16" t="str">
        <x:v>flo hos flip flops</x:v>
      </x:c>
      <x:c r="B274" s="16" t="str">
        <x:v>flo hos flip flops</x:v>
      </x:c>
      <x:c r="C274" s="13" t="str">
        <x:v>bad1d9c8d6aa7e66</x:v>
      </x:c>
      <x:c r="D274" s="13" t="str">
        <x:v>keyword</x:v>
      </x:c>
      <x:c r="E274" s="13" t="str">
        <x:v>en</x:v>
      </x:c>
      <x:c r="F274" s="13" t="str">
        <x:v>clothing_shoes_jewelry</x:v>
      </x:c>
      <x:c r="G274" s="16" t="str"/>
      <x:c r="H274" s="16" t="str">
        <x:v>flip_flop</x:v>
      </x:c>
      <x:c r="I274" s="16" t="str"/>
      <x:c r="J274" s="16" t="str"/>
      <x:c r="K274" s="16" t="str"/>
      <x:c r="L274" s="16" t="str"/>
      <x:c r="M274" s="16" t="str"/>
      <x:c r="N274" s="16" t="str"/>
      <x:c r="O274" s="16" t="str"/>
      <x:c r="P274" s="16" t="str"/>
      <x:c r="Q274" s="16" t="str"/>
      <x:c r="R274" s="16" t="str">
        <x:v>用户搜索特定品牌 flo hos 的人字拖，可能是在寻找该品牌的替代品或比较产品。</x:v>
      </x:c>
      <x:c r="S274" s="13" t="str">
        <x:v>brand_harvest</x:v>
      </x:c>
      <x:c r="T274" s="16" t="str">
        <x:v>explicit | inferred</x:v>
      </x:c>
      <x:c r="U274" s="13" t="str">
        <x:v>medium</x:v>
      </x:c>
      <x:c r="V274" s="16" t="str">
        <x:v>brand_flo_hos_flip_flops</x:v>
      </x:c>
      <x:c r="W274" s="16" t="str">
        <x:v>semantic_negative_candidate</x:v>
      </x:c>
      <x:c r="X274" s="16" t="str">
        <x:v>{"product_type":[{"value":"flip_flop","evidence_type":"explicit","source_span":"flip flops","fact_ids":[],"rationale":"搜索词直接指明人字拖品类。"},{"value":"flip_flop","evidence_type":"page_validated","source_span":"","fact_ids":["style_flip_flop"],"rationale":"该槽位与商品基准中的明示页面事实一致。"}],"primary_domain":[{"value":"clothing_shoes_jewelry","evidence_type":"inferred","source_span":"","fact_ids":[],"rationale":"该值由搜索词整体语义推断，未作为页面明示属性。"}]}</x:v>
      </x:c>
      <x:c r="Y274" s="16" t="str">
        <x:v>brand_spelling_variant | flo_hos_may_be_misspelled_brand</x:v>
      </x:c>
      <x:c r="Z274" s="13" t="str">
        <x:v>mismatch</x:v>
      </x:c>
      <x:c r="AA274" s="16" t="str"/>
      <x:c r="AB274" s="13" t="str">
        <x:v>accepted</x:v>
      </x:c>
      <x:c r="AC274" s="13" t="str">
        <x:v>1.0.0</x:v>
      </x:c>
      <x:c r="AD274" s="13" t="str">
        <x:v>1.0.0</x:v>
      </x:c>
      <x:c r="AE274" s="13" t="str">
        <x:v>deepseek/deepseek-v4-pro</x:v>
      </x:c>
      <x:c r="AF274" s="13" t="str">
        <x:v>aj2-y90-20260714T234810-0bea2f52</x:v>
      </x:c>
      <x:c r="AG274" s="13" t="str">
        <x:v>full-0014</x:v>
      </x:c>
      <x:c r="AH274" s="13" t="str">
        <x:v>full</x:v>
      </x:c>
      <x:c r="AI274" s="13" t="n">
        <x:v>14</x:v>
      </x:c>
    </x:row>
    <x:row r="275" ht="34" customHeight="1">
      <x:c r="A275" s="15" t="str">
        <x:v>comfortable black flip flops</x:v>
      </x:c>
      <x:c r="B275" s="15" t="str">
        <x:v>comfortable black flip flops</x:v>
      </x:c>
      <x:c r="C275" s="10" t="str">
        <x:v>bc9b112ff1b222bf</x:v>
      </x:c>
      <x:c r="D275" s="10" t="str">
        <x:v>keyword</x:v>
      </x:c>
      <x:c r="E275" s="10" t="str">
        <x:v>en</x:v>
      </x:c>
      <x:c r="F275" s="10" t="str">
        <x:v>clothing_shoes_jewelry</x:v>
      </x:c>
      <x:c r="G275" s="15" t="str"/>
      <x:c r="H275" s="15" t="str">
        <x:v>flip_flop</x:v>
      </x:c>
      <x:c r="I275" s="15" t="str"/>
      <x:c r="J275" s="15" t="str">
        <x:v>comfort</x:v>
      </x:c>
      <x:c r="K275" s="15" t="str">
        <x:v>comfortable | arch_support | cushioning</x:v>
      </x:c>
      <x:c r="L275" s="15" t="str"/>
      <x:c r="M275" s="15" t="str"/>
      <x:c r="N275" s="15" t="str"/>
      <x:c r="O275" s="15" t="str"/>
      <x:c r="P275" s="15" t="str"/>
      <x:c r="Q275" s="15" t="str"/>
      <x:c r="R275" s="15" t="str">
        <x:v>用户寻找穿着舒适的黑色人字拖，注重日常穿着的脚感体验。</x:v>
      </x:c>
      <x:c r="S275" s="10" t="str">
        <x:v>consideration</x:v>
      </x:c>
      <x:c r="T275" s="15" t="str">
        <x:v>explicit | page_validated</x:v>
      </x:c>
      <x:c r="U275" s="10" t="str">
        <x:v>high</x:v>
      </x:c>
      <x:c r="V275" s="15" t="str">
        <x:v>comfortable_black_flip_flops</x:v>
      </x:c>
      <x:c r="W275" s="15" t="str">
        <x:v>cluster_route</x:v>
      </x:c>
      <x:c r="X275" s="15" t="str">
        <x:v>{"product_type":[{"value":"flip_flop","evidence_type":"explicit","source_span":"flip flops","fact_ids":[],"rationale":"搜索词直接指明人字拖品类。"},{"value":"flip_flop","evidence_type":"page_validated","source_span":"","fact_ids":["style_flip_flop"],"rationale":"该槽位与商品基准中的明示页面事实一致。"}],"capability_intent":[{"value":"comfortable","evidence_type":"explicit","source_span":"comfortable","fact_ids":[],"rationale":"搜索词明确要求舒适性。"},{"value":"arch_support","evidence_type":"page_validated","source_span":"","fact_ids":["arch_support"],"rationale":"足弓支撑是舒适性的关键支撑要素。"},{"value":"cushioning","evidence_type":"page_validated","source_span":"","fact_ids":["padded_cushioning","soft_toe_post"],"rationale":"填充缓冲和柔软趾柱提升舒适度。"},{"value":"arch_support","evidence_type":"inferred","source_span":"","fact_ids":[],"rationale":"该能力由搜索词表达的任务或问题推断；页面事实仅用于验证商品承接。"},{"value":"cushioning","evidence_type":"inferred","source_span":"","fact_ids":[],"rationale":"该能力由搜索词表达的任务或问题推断；页面事实仅用于验证商品承接。"}],"function_intent":[{"value":"comfort","evidence_type":"page_validated","source_span":"","fact_ids":["arch_support","padded_cushioning"],"rationale":"该槽位与商品基准中的明示页面事实一致。"}],"primary_domain":[{"value":"clothing_shoes_jewelry","evidence_type":"inferred","source_span":"","fact_ids":[],"rationale":"该值由搜索词整体语义推断，未作为页面明示属性。"}]}</x:v>
      </x:c>
      <x:c r="Y275" s="15" t="str"/>
      <x:c r="Z275" s="10" t="str">
        <x:v>match</x:v>
      </x:c>
      <x:c r="AA275" s="15" t="str">
        <x:v>style_flip_flop | arch_support | padded_cushioning | soft_toe_post | colors_visible</x:v>
      </x:c>
      <x:c r="AB275" s="10" t="str">
        <x:v>accepted</x:v>
      </x:c>
      <x:c r="AC275" s="10" t="str">
        <x:v>1.0.0</x:v>
      </x:c>
      <x:c r="AD275" s="10" t="str">
        <x:v>1.0.0</x:v>
      </x:c>
      <x:c r="AE275" s="10" t="str">
        <x:v>deepseek/deepseek-v4-pro</x:v>
      </x:c>
      <x:c r="AF275" s="10" t="str">
        <x:v>aj2-y90-20260714T234810-0bea2f52</x:v>
      </x:c>
      <x:c r="AG275" s="10" t="str">
        <x:v>full-0014</x:v>
      </x:c>
      <x:c r="AH275" s="10" t="str">
        <x:v>full</x:v>
      </x:c>
      <x:c r="AI275" s="10" t="n">
        <x:v>14</x:v>
      </x:c>
    </x:row>
    <x:row r="276" ht="34" customHeight="1">
      <x:c r="A276" s="16" t="str">
        <x:v>beach light weight flip flops</x:v>
      </x:c>
      <x:c r="B276" s="16" t="str">
        <x:v>beach light weight flip flops</x:v>
      </x:c>
      <x:c r="C276" s="13" t="str">
        <x:v>bcd64f472da7c592</x:v>
      </x:c>
      <x:c r="D276" s="13" t="str">
        <x:v>keyword</x:v>
      </x:c>
      <x:c r="E276" s="13" t="str">
        <x:v>en</x:v>
      </x:c>
      <x:c r="F276" s="13" t="str">
        <x:v>clothing_shoes_jewelry</x:v>
      </x:c>
      <x:c r="G276" s="16" t="str">
        <x:v>sports_outdoors</x:v>
      </x:c>
      <x:c r="H276" s="16" t="str">
        <x:v>flip_flop</x:v>
      </x:c>
      <x:c r="I276" s="16" t="str"/>
      <x:c r="J276" s="16" t="str">
        <x:v>beach_use</x:v>
      </x:c>
      <x:c r="K276" s="16" t="str">
        <x:v>lightweight | slip_resistant</x:v>
      </x:c>
      <x:c r="L276" s="16" t="str">
        <x:v>beach_activity</x:v>
      </x:c>
      <x:c r="M276" s="16" t="str">
        <x:v>beach</x:v>
      </x:c>
      <x:c r="N276" s="16" t="str"/>
      <x:c r="O276" s="16" t="str"/>
      <x:c r="P276" s="16" t="str"/>
      <x:c r="Q276" s="16" t="str"/>
      <x:c r="R276" s="16" t="str">
        <x:v>用户寻找适合海滩穿着的轻便人字拖，便于携带与沙滩行走。</x:v>
      </x:c>
      <x:c r="S276" s="13" t="str">
        <x:v>consideration</x:v>
      </x:c>
      <x:c r="T276" s="16" t="str">
        <x:v>explicit | page_validated</x:v>
      </x:c>
      <x:c r="U276" s="13" t="str">
        <x:v>medium</x:v>
      </x:c>
      <x:c r="V276" s="16" t="str">
        <x:v>beach_lightweight_flip_flops</x:v>
      </x:c>
      <x:c r="W276" s="16" t="str">
        <x:v>listing_gap_review</x:v>
      </x:c>
      <x:c r="X276" s="16" t="str">
        <x:v>{"product_type":[{"value":"flip_flop","evidence_type":"explicit","source_span":"flip flops","fact_ids":[],"rationale":"搜索词直接指明人字拖品类。"},{"value":"flip_flop","evidence_type":"page_validated","source_span":"","fact_ids":["style_flip_flop"],"rationale":"该槽位与商品基准中的明示页面事实一致。"}],"location_intent":[{"value":"beach","evidence_type":"explicit","source_span":"beach","fact_ids":[],"rationale":"搜索词明确指定海滩场景。"}],"capability_intent":[{"value":"lightweight","evidence_type":"explicit","source_span":"light weight","fact_ids":[],"rationale":"搜索词明确要求轻便。"},{"value":"slip_resistant","evidence_type":"page_validated","source_span":"","fact_ids":["slip_resistant_grip"],"rationale":"海滩场景需要防滑，产品具备防滑纹路。"},{"value":"lightweight","evidence_type":"page_validated","source_span":"","fact_ids":["lightweight_breathable"],"rationale":"该槽位与商品基准中的明示页面事实一致。"},{"value":"lightweight","evidence_type":"inferred","source_span":"","fact_ids":[],"rationale":"该能力由搜索词表达的任务或问题推断；页面事实仅用于验证商品承接。"},{"value":"slip_resistant","evidence_type":"inferred","source_span":"","fact_ids":[],"rationale":"该能力由搜索词表达的任务或问题推断；页面事实仅用于验证商品承接。"}],"event_intent":[{"value":"beach_activity","evidence_type":"explicit","source_span":"beach","fact_ids":[],"rationale":"海滩隐含户外休闲活动。"}],"secondary_domain":[{"value":"sports_outdoors","evidence_type":"inferred","source_span":"","fact_ids":[],"rationale":"该值由搜索词整体语义推断，未作为页面明示属性。"}],"function_intent":[{"value":"beach_use","evidence_type":"inferred","source_span":"","fact_ids":[],"rationale":"该值由搜索词整体语义推断，未作为页面明示属性。"}],"primary_domain":[{"value":"clothing_shoes_jewelry","evidence_type":"inferred","source_span":"","fact_ids":[],"rationale":"该值由搜索词整体语义推断，未作为页面明示属性。"}]}</x:v>
      </x:c>
      <x:c r="Y276" s="16" t="str"/>
      <x:c r="Z276" s="13" t="str">
        <x:v>partial_match</x:v>
      </x:c>
      <x:c r="AA276" s="16" t="str">
        <x:v>style_flip_flop | lightweight_breathable | easy_clean | slip_resistant_grip | style_outdoor</x:v>
      </x:c>
      <x:c r="AB276" s="13" t="str">
        <x:v>accepted</x:v>
      </x:c>
      <x:c r="AC276" s="13" t="str">
        <x:v>1.0.0</x:v>
      </x:c>
      <x:c r="AD276" s="13" t="str">
        <x:v>1.0.0</x:v>
      </x:c>
      <x:c r="AE276" s="13" t="str">
        <x:v>deepseek/deepseek-v4-pro</x:v>
      </x:c>
      <x:c r="AF276" s="13" t="str">
        <x:v>aj2-y90-20260714T234810-0bea2f52</x:v>
      </x:c>
      <x:c r="AG276" s="13" t="str">
        <x:v>full-0014</x:v>
      </x:c>
      <x:c r="AH276" s="13" t="str">
        <x:v>full</x:v>
      </x:c>
      <x:c r="AI276" s="13" t="n">
        <x:v>14</x:v>
      </x:c>
    </x:row>
    <x:row r="277" ht="34" customHeight="1">
      <x:c r="A277" s="15" t="str">
        <x:v>flip flops women for beach</x:v>
      </x:c>
      <x:c r="B277" s="15" t="str">
        <x:v>flip flops women for beach</x:v>
      </x:c>
      <x:c r="C277" s="10" t="str">
        <x:v>cbdf7a7b54465b7c</x:v>
      </x:c>
      <x:c r="D277" s="10" t="str">
        <x:v>keyword</x:v>
      </x:c>
      <x:c r="E277" s="10" t="str">
        <x:v>en</x:v>
      </x:c>
      <x:c r="F277" s="10" t="str">
        <x:v>clothing_shoes_jewelry</x:v>
      </x:c>
      <x:c r="G277" s="15" t="str">
        <x:v>sports_outdoors</x:v>
      </x:c>
      <x:c r="H277" s="15" t="str">
        <x:v>flip_flop</x:v>
      </x:c>
      <x:c r="I277" s="15" t="str">
        <x:v>women</x:v>
      </x:c>
      <x:c r="J277" s="15" t="str">
        <x:v>beach_use</x:v>
      </x:c>
      <x:c r="K277" s="15" t="str">
        <x:v>slip_resistant</x:v>
      </x:c>
      <x:c r="L277" s="15" t="str">
        <x:v>beach_activity</x:v>
      </x:c>
      <x:c r="M277" s="15" t="str">
        <x:v>beach</x:v>
      </x:c>
      <x:c r="N277" s="15" t="str"/>
      <x:c r="O277" s="15" t="str"/>
      <x:c r="P277" s="15" t="str"/>
      <x:c r="Q277" s="15" t="str"/>
      <x:c r="R277" s="15" t="str">
        <x:v>用户需要女士人字拖用于海滩活动，要求适合沙地和户外环境。</x:v>
      </x:c>
      <x:c r="S277" s="10" t="str">
        <x:v>consideration</x:v>
      </x:c>
      <x:c r="T277" s="15" t="str">
        <x:v>explicit | page_validated</x:v>
      </x:c>
      <x:c r="U277" s="10" t="str">
        <x:v>medium</x:v>
      </x:c>
      <x:c r="V277" s="15" t="str">
        <x:v>womens_beach_flip_flops</x:v>
      </x:c>
      <x:c r="W277" s="15" t="str">
        <x:v>listing_gap_review</x:v>
      </x:c>
      <x:c r="X277" s="15" t="str">
        <x:v>{"product_type":[{"value":"flip_flop","evidence_type":"explicit","source_span":"flip flops","fact_ids":[],"rationale":"搜索词直接指明人字拖品类。"},{"value":"flip_flop","evidence_type":"page_validated","source_span":"","fact_ids":["style_flip_flop"],"rationale":"该槽位与商品基准中的明示页面事实一致。"}],"audience_intent":[{"value":"women","evidence_type":"explicit","source_span":"women","fact_ids":[],"rationale":"搜索词明确指定女性用户。"},{"value":"women","evidence_type":"page_validated","source_span":"","fact_ids":["title_womens_flip_flop"],"rationale":"该槽位与商品基准中的明示页面事实一致。"}],"location_intent":[{"value":"beach","evidence_type":"explicit","source_span":"beach","fact_ids":[],"rationale":"搜索词明确指定海滩场景。"}],"event_intent":[{"value":"beach_activity","evidence_type":"explicit","source_span":"beach","fact_ids":[],"rationale":"海滩隐含户外休闲活动。"}],"capability_intent":[{"value":"slip_resistant","evidence_type":"page_validated","source_span":"","fact_ids":["slip_resistant_grip"],"rationale":"海滩沙地需要防滑，产品具备防滑功能。"},{"value":"slip_resistant","evidence_type":"inferred","source_span":"","fact_ids":[],"rationale":"该能力由搜索词表达的任务或问题推断；页面事实仅用于验证商品承接。"}],"secondary_domain":[{"value":"sports_outdoors","evidence_type":"inferred","source_span":"","fact_ids":[],"rationale":"该值由搜索词整体语义推断，未作为页面明示属性。"}],"function_intent":[{"value":"beach_use","evidence_type":"inferred","source_span":"","fact_ids":[],"rationale":"该值由搜索词整体语义推断，未作为页面明示属性。"}],"primary_domain":[{"value":"clothing_shoes_jewelry","evidence_type":"inferred","source_span":"","fact_ids":[],"rationale":"该值由搜索词整体语义推断，未作为页面明示属性。"}]}</x:v>
      </x:c>
      <x:c r="Y277" s="15" t="str"/>
      <x:c r="Z277" s="10" t="str">
        <x:v>partial_match</x:v>
      </x:c>
      <x:c r="AA277" s="15" t="str">
        <x:v>title_womens_flip_flop | style_flip_flop | style_outdoor | easy_clean | slip_resistant_grip</x:v>
      </x:c>
      <x:c r="AB277" s="10" t="str">
        <x:v>accepted</x:v>
      </x:c>
      <x:c r="AC277" s="10" t="str">
        <x:v>1.0.0</x:v>
      </x:c>
      <x:c r="AD277" s="10" t="str">
        <x:v>1.0.0</x:v>
      </x:c>
      <x:c r="AE277" s="10" t="str">
        <x:v>deepseek/deepseek-v4-pro</x:v>
      </x:c>
      <x:c r="AF277" s="10" t="str">
        <x:v>aj2-y90-20260714T234810-0bea2f52</x:v>
      </x:c>
      <x:c r="AG277" s="10" t="str">
        <x:v>full-0014</x:v>
      </x:c>
      <x:c r="AH277" s="10" t="str">
        <x:v>full</x:v>
      </x:c>
      <x:c r="AI277" s="10" t="n">
        <x:v>14</x:v>
      </x:c>
    </x:row>
    <x:row r="278" ht="34" customHeight="1">
      <x:c r="A278" s="16" t="str">
        <x:v>summer flip flops for women</x:v>
      </x:c>
      <x:c r="B278" s="16" t="str">
        <x:v>summer flip flops for women</x:v>
      </x:c>
      <x:c r="C278" s="13" t="str">
        <x:v>d053705175f5d254</x:v>
      </x:c>
      <x:c r="D278" s="13" t="str">
        <x:v>keyword</x:v>
      </x:c>
      <x:c r="E278" s="13" t="str">
        <x:v>en</x:v>
      </x:c>
      <x:c r="F278" s="13" t="str">
        <x:v>clothing_shoes_jewelry</x:v>
      </x:c>
      <x:c r="G278" s="16" t="str"/>
      <x:c r="H278" s="16" t="str">
        <x:v>flip_flop</x:v>
      </x:c>
      <x:c r="I278" s="16" t="str">
        <x:v>women</x:v>
      </x:c>
      <x:c r="J278" s="16" t="str">
        <x:v>summer_wear</x:v>
      </x:c>
      <x:c r="K278" s="16" t="str">
        <x:v>breathable | lightweight</x:v>
      </x:c>
      <x:c r="L278" s="16" t="str"/>
      <x:c r="M278" s="16" t="str"/>
      <x:c r="N278" s="16" t="str"/>
      <x:c r="O278" s="16" t="str">
        <x:v>summer</x:v>
      </x:c>
      <x:c r="P278" s="16" t="str"/>
      <x:c r="Q278" s="16" t="str"/>
      <x:c r="R278" s="16" t="str">
        <x:v>用户需要适合夏季穿着的女士人字拖，追求凉爽透气的穿着体验。</x:v>
      </x:c>
      <x:c r="S278" s="13" t="str">
        <x:v>consideration</x:v>
      </x:c>
      <x:c r="T278" s="16" t="str">
        <x:v>explicit | page_validated</x:v>
      </x:c>
      <x:c r="U278" s="13" t="str">
        <x:v>high</x:v>
      </x:c>
      <x:c r="V278" s="16" t="str">
        <x:v>womens_summer_flip_flops</x:v>
      </x:c>
      <x:c r="W278" s="16" t="str">
        <x:v>cluster_route</x:v>
      </x:c>
      <x:c r="X278" s="16" t="str">
        <x:v>{"product_type":[{"value":"flip_flop","evidence_type":"explicit","source_span":"flip flops","fact_ids":[],"rationale":"搜索词直接指明人字拖品类。"},{"value":"flip_flop","evidence_type":"page_validated","source_span":"","fact_ids":["style_flip_flop"],"rationale":"该槽位与商品基准中的明示页面事实一致。"}],"audience_intent":[{"value":"women","evidence_type":"explicit","source_span":"for women","fact_ids":[],"rationale":"搜索词明确指定女性用户。"},{"value":"women","evidence_type":"page_validated","source_span":"","fact_ids":["title_womens_flip_flop"],"rationale":"该槽位与商品基准中的明示页面事实一致。"}],"time_intent":[{"value":"summer","evidence_type":"explicit","source_span":"summer","fact_ids":[],"rationale":"搜索词明确指定夏季使用。"}],"capability_intent":[{"value":"lightweight","evidence_type":"page_validated","source_span":"","fact_ids":["lightweight_breathable"],"rationale":"产品超轻特性适合夏季穿着。"},{"value":"breathable","evidence_type":"page_validated","source_span":"","fact_ids":["lightweight_breathable"],"rationale":"产品透气特性适合炎热季节。"},{"value":"breathable","evidence_type":"inferred","source_span":"","fact_ids":[],"rationale":"该能力由搜索词表达的任务或问题推断；页面事实仅用于验证商品承接。"},{"value":"lightweight","evidence_type":"inferred","source_span":"","fact_ids":[],"rationale":"该能力由搜索词表达的任务或问题推断；页面事实仅用于验证商品承接。"}],"function_intent":[{"value":"summer_wear","evidence_type":"inferred","source_span":"","fact_ids":[],"rationale":"该值由搜索词整体语义推断，未作为页面明示属性。"}],"primary_domain":[{"value":"clothing_shoes_jewelry","evidence_type":"inferred","source_span":"","fact_ids":[],"rationale":"该值由搜索词整体语义推断，未作为页面明示属性。"}]}</x:v>
      </x:c>
      <x:c r="Y278" s="16" t="str"/>
      <x:c r="Z278" s="13" t="str">
        <x:v>match</x:v>
      </x:c>
      <x:c r="AA278" s="16" t="str">
        <x:v>title_womens_flip_flop | style_flip_flop | lightweight_breathable | style_outdoor</x:v>
      </x:c>
      <x:c r="AB278" s="13" t="str">
        <x:v>accepted</x:v>
      </x:c>
      <x:c r="AC278" s="13" t="str">
        <x:v>1.0.0</x:v>
      </x:c>
      <x:c r="AD278" s="13" t="str">
        <x:v>1.0.0</x:v>
      </x:c>
      <x:c r="AE278" s="13" t="str">
        <x:v>deepseek/deepseek-v4-pro</x:v>
      </x:c>
      <x:c r="AF278" s="13" t="str">
        <x:v>aj2-y90-20260714T234810-0bea2f52</x:v>
      </x:c>
      <x:c r="AG278" s="13" t="str">
        <x:v>full-0014</x:v>
      </x:c>
      <x:c r="AH278" s="13" t="str">
        <x:v>full</x:v>
      </x:c>
      <x:c r="AI278" s="13" t="n">
        <x:v>14</x:v>
      </x:c>
    </x:row>
    <x:row r="279" ht="34" customHeight="1">
      <x:c r="A279" s="15" t="str">
        <x:v>flip flops arch and heel support womens</x:v>
      </x:c>
      <x:c r="B279" s="15" t="str">
        <x:v>flip flops arch and heel support womens</x:v>
      </x:c>
      <x:c r="C279" s="10" t="str">
        <x:v>d1b924bdac4c1e73</x:v>
      </x:c>
      <x:c r="D279" s="10" t="str">
        <x:v>keyword</x:v>
      </x:c>
      <x:c r="E279" s="10" t="str">
        <x:v>en</x:v>
      </x:c>
      <x:c r="F279" s="10" t="str">
        <x:v>clothing_shoes_jewelry</x:v>
      </x:c>
      <x:c r="G279" s="15" t="str">
        <x:v>health_household</x:v>
      </x:c>
      <x:c r="H279" s="15" t="str">
        <x:v>flip_flop</x:v>
      </x:c>
      <x:c r="I279" s="15" t="str">
        <x:v>women</x:v>
      </x:c>
      <x:c r="J279" s="15" t="str">
        <x:v>foot_support</x:v>
      </x:c>
      <x:c r="K279" s="15" t="str">
        <x:v>arch_support | heel_support</x:v>
      </x:c>
      <x:c r="L279" s="15" t="str"/>
      <x:c r="M279" s="15" t="str"/>
      <x:c r="N279" s="15" t="str">
        <x:v>arch_support | heel_support</x:v>
      </x:c>
      <x:c r="O279" s="15" t="str"/>
      <x:c r="P279" s="15" t="str"/>
      <x:c r="Q279" s="15" t="str"/>
      <x:c r="R279" s="15" t="str">
        <x:v>用户寻找同时具备足弓支撑和后跟支撑的女士人字拖，用于缓解足部不适。</x:v>
      </x:c>
      <x:c r="S279" s="10" t="str">
        <x:v>high_intent</x:v>
      </x:c>
      <x:c r="T279" s="15" t="str">
        <x:v>explicit | page_validated</x:v>
      </x:c>
      <x:c r="U279" s="10" t="str">
        <x:v>medium</x:v>
      </x:c>
      <x:c r="V279" s="15" t="str">
        <x:v>womens_arch_heel_support_flip_flops</x:v>
      </x:c>
      <x:c r="W279" s="15" t="str">
        <x:v>listing_gap_review</x:v>
      </x:c>
      <x:c r="X279" s="15" t="str">
        <x:v>{"product_type":[{"value":"flip_flop","evidence_type":"explicit","source_span":"flip flops","fact_ids":[],"rationale":"搜索词直接指明人字拖品类。"},{"value":"flip_flop","evidence_type":"page_validated","source_span":"","fact_ids":["style_flip_flop"],"rationale":"该槽位与商品基准中的明示页面事实一致。"}],"audience_intent":[{"value":"women","evidence_type":"explicit","source_span":"womens","fact_ids":[],"rationale":"搜索词明确指定女性用户。"},{"value":"women","evidence_type":"page_validated","source_span":"","fact_ids":["title_womens_flip_flop"],"rationale":"该槽位与商品基准中的明示页面事实一致。"}],"body_need_intent":[{"value":"heel_support","evidence_type":"explicit","source_span":"heel support","fact_ids":[],"rationale":"搜索词明确要求后跟支撑。"}],"capability_intent":[{"value":"arch_support","evidence_type":"page_validated","source_span":"","fact_ids":["arch_support"],"rationale":"产品具备人体工学足弓支撑。"},{"value":"heel_support","evidence_type":"inferred","source_span":"heel support","fact_ids":[],"rationale":"产品有填充缓冲和平底设计，但未明确标注后跟支撑。"},{"value":"arch_support","evidence_type":"inferred","source_span":"","fact_ids":[],"rationale":"该能力由搜索词表达的任务或问题推断；页面事实仅用于验证商品承接。"}],"secondary_domain":[{"value":"health_household","evidence_type":"inferred","source_span":"","fact_ids":[],"rationale":"该值由搜索词整体语义推断，未作为页面明示属性。"}],"function_intent":[{"value":"foot_support","evidence_type":"page_validated","source_span":"","fact_ids":["arch_support"],"rationale":"该槽位与商品基准中的明示页面事实一致。"},{"value":"foot_suppor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279" s="15" t="str"/>
      <x:c r="Z279" s="10" t="str">
        <x:v>partial_match</x:v>
      </x:c>
      <x:c r="AA279" s="15" t="str">
        <x:v>title_womens_flip_flop | style_flip_flop | arch_support | padded_cushioning | style_flat</x:v>
      </x:c>
      <x:c r="AB279" s="10" t="str">
        <x:v>accepted</x:v>
      </x:c>
      <x:c r="AC279" s="10" t="str">
        <x:v>1.0.0</x:v>
      </x:c>
      <x:c r="AD279" s="10" t="str">
        <x:v>1.0.0</x:v>
      </x:c>
      <x:c r="AE279" s="10" t="str">
        <x:v>deepseek/deepseek-v4-pro</x:v>
      </x:c>
      <x:c r="AF279" s="10" t="str">
        <x:v>aj2-y90-20260714T234810-0bea2f52</x:v>
      </x:c>
      <x:c r="AG279" s="10" t="str">
        <x:v>full-0014</x:v>
      </x:c>
      <x:c r="AH279" s="10" t="str">
        <x:v>full</x:v>
      </x:c>
      <x:c r="AI279" s="10" t="n">
        <x:v>14</x:v>
      </x:c>
    </x:row>
    <x:row r="280" ht="34" customHeight="1">
      <x:c r="A280" s="16" t="str">
        <x:v>arch support flip flops for women on sale</x:v>
      </x:c>
      <x:c r="B280" s="16" t="str">
        <x:v>arch support flip flops for women on sale</x:v>
      </x:c>
      <x:c r="C280" s="13" t="str">
        <x:v>ed04b4132386e644</x:v>
      </x:c>
      <x:c r="D280" s="13" t="str">
        <x:v>keyword</x:v>
      </x:c>
      <x:c r="E280" s="13" t="str">
        <x:v>en</x:v>
      </x:c>
      <x:c r="F280" s="13" t="str">
        <x:v>clothing_shoes_jewelry</x:v>
      </x:c>
      <x:c r="G280" s="16" t="str">
        <x:v>health_household</x:v>
      </x:c>
      <x:c r="H280" s="16" t="str">
        <x:v>flip_flop</x:v>
      </x:c>
      <x:c r="I280" s="16" t="str">
        <x:v>women</x:v>
      </x:c>
      <x:c r="J280" s="16" t="str">
        <x:v>foot_support | bargain_hunting</x:v>
      </x:c>
      <x:c r="K280" s="16" t="str">
        <x:v>arch_support</x:v>
      </x:c>
      <x:c r="L280" s="16" t="str"/>
      <x:c r="M280" s="16" t="str"/>
      <x:c r="N280" s="16" t="str">
        <x:v>arch_support</x:v>
      </x:c>
      <x:c r="O280" s="16" t="str"/>
      <x:c r="P280" s="16" t="str"/>
      <x:c r="Q280" s="16" t="str"/>
      <x:c r="R280" s="16" t="str">
        <x:v>用户寻找正在促销且有足弓支撑功能的女士人字拖，兼顾功能需求与价格优惠。</x:v>
      </x:c>
      <x:c r="S280" s="13" t="str">
        <x:v>high_intent</x:v>
      </x:c>
      <x:c r="T280" s="16" t="str">
        <x:v>explicit | page_validated</x:v>
      </x:c>
      <x:c r="U280" s="13" t="str">
        <x:v>high</x:v>
      </x:c>
      <x:c r="V280" s="16" t="str">
        <x:v>womens_arch_support_flip_flops</x:v>
      </x:c>
      <x:c r="W280" s="16" t="str">
        <x:v>performance_observation</x:v>
      </x:c>
      <x:c r="X280" s="16" t="str">
        <x:v>{"product_type":[{"value":"flip_flop","evidence_type":"explicit","source_span":"flip flops","fact_ids":[],"rationale":"搜索词直接指明人字拖品类。"},{"value":"flip_flop","evidence_type":"page_validated","source_span":"","fact_ids":["style_flip_flop"],"rationale":"该槽位与商品基准中的明示页面事实一致。"}],"audience_intent":[{"value":"women","evidence_type":"explicit","source_span":"for women","fact_ids":[],"rationale":"搜索词明确指定女性用户。"},{"value":"women","evidence_type":"page_validated","source_span":"","fact_ids":["title_womens_flip_flop"],"rationale":"该槽位与商品基准中的明示页面事实一致。"}],"capability_intent":[{"value":"arch_support","evidence_type":"page_validated","source_span":"","fact_ids":["arch_support"],"rationale":"产品具备人体工学足弓支撑功能。"}],"function_intent":[{"value":"bargain_hunting","evidence_type":"explicit","source_span":"on sale","fact_ids":[],"rationale":"搜索词附加促销优惠条件。"},{"value":"foot_support","evidence_type":"page_validated","source_span":"","fact_ids":["arch_support"],"rationale":"该槽位与商品基准中的明示页面事实一致。"},{"value":"foot_support","evidence_type":"inferred","source_span":"","fact_ids":[],"rationale":"该能力由搜索词表达的任务或问题推断；页面事实仅用于验证商品承接。"}],"secondary_domain":[{"value":"health_household","evidence_type":"inferred","source_span":"","fact_ids":[],"rationale":"该值由搜索词整体语义推断，未作为页面明示属性。"}],"primary_domain":[{"value":"clothing_shoes_jewelry","evidence_type":"inferred","source_span":"","fact_ids":[],"rationale":"该值由搜索词整体语义推断，未作为页面明示属性。"}]}</x:v>
      </x:c>
      <x:c r="Y280" s="16" t="str"/>
      <x:c r="Z280" s="13" t="str">
        <x:v>match</x:v>
      </x:c>
      <x:c r="AA280" s="16" t="str">
        <x:v>title_womens_flip_flop | style_flip_flop | arch_support</x:v>
      </x:c>
      <x:c r="AB280" s="13" t="str">
        <x:v>accepted</x:v>
      </x:c>
      <x:c r="AC280" s="13" t="str">
        <x:v>1.0.0</x:v>
      </x:c>
      <x:c r="AD280" s="13" t="str">
        <x:v>1.0.0</x:v>
      </x:c>
      <x:c r="AE280" s="13" t="str">
        <x:v>deepseek/deepseek-v4-pro</x:v>
      </x:c>
      <x:c r="AF280" s="13" t="str">
        <x:v>aj2-y90-20260714T234810-0bea2f52</x:v>
      </x:c>
      <x:c r="AG280" s="13" t="str">
        <x:v>full-0014</x:v>
      </x:c>
      <x:c r="AH280" s="13" t="str">
        <x:v>full</x:v>
      </x:c>
      <x:c r="AI280" s="13" t="n">
        <x:v>14</x:v>
      </x:c>
    </x:row>
    <x:row r="281" ht="34" customHeight="1">
      <x:c r="A281" s="15" t="str">
        <x:v>flip flops for around the pool</x:v>
      </x:c>
      <x:c r="B281" s="15" t="str">
        <x:v>flip flops for around the pool</x:v>
      </x:c>
      <x:c r="C281" s="10" t="str">
        <x:v>fed2592ce5c1ba32</x:v>
      </x:c>
      <x:c r="D281" s="10" t="str">
        <x:v>keyword</x:v>
      </x:c>
      <x:c r="E281" s="10" t="str">
        <x:v>en</x:v>
      </x:c>
      <x:c r="F281" s="10" t="str">
        <x:v>clothing_shoes_jewelry</x:v>
      </x:c>
      <x:c r="G281" s="15" t="str">
        <x:v>sports_outdoors</x:v>
      </x:c>
      <x:c r="H281" s="15" t="str">
        <x:v>flip_flop</x:v>
      </x:c>
      <x:c r="I281" s="15" t="str"/>
      <x:c r="J281" s="15" t="str">
        <x:v>pool_use</x:v>
      </x:c>
      <x:c r="K281" s="15" t="str">
        <x:v>water_friendly | slip_resistant</x:v>
      </x:c>
      <x:c r="L281" s="15" t="str">
        <x:v>pool_activity</x:v>
      </x:c>
      <x:c r="M281" s="15" t="str">
        <x:v>poolside</x:v>
      </x:c>
      <x:c r="N281" s="15" t="str"/>
      <x:c r="O281" s="15" t="str"/>
      <x:c r="P281" s="15" t="str"/>
      <x:c r="Q281" s="15" t="str"/>
      <x:c r="R281" s="15" t="str">
        <x:v>用户需要适合泳池边穿着的人字拖，要求防滑且耐水。</x:v>
      </x:c>
      <x:c r="S281" s="10" t="str">
        <x:v>consideration</x:v>
      </x:c>
      <x:c r="T281" s="15" t="str">
        <x:v>explicit | page_validated | inferred</x:v>
      </x:c>
      <x:c r="U281" s="10" t="str">
        <x:v>medium</x:v>
      </x:c>
      <x:c r="V281" s="15" t="str">
        <x:v>poolside_flip_flops</x:v>
      </x:c>
      <x:c r="W281" s="15" t="str">
        <x:v>listing_gap_review</x:v>
      </x:c>
      <x:c r="X281" s="15" t="str">
        <x:v>{"product_type":[{"value":"flip_flop","evidence_type":"explicit","source_span":"flip flops","fact_ids":[],"rationale":"搜索词直接指明人字拖品类。"},{"value":"flip_flop","evidence_type":"page_validated","source_span":"","fact_ids":["style_flip_flop"],"rationale":"该槽位与商品基准中的明示页面事实一致。"}],"location_intent":[{"value":"poolside","evidence_type":"explicit","source_span":"around the pool","fact_ids":[],"rationale":"搜索词明确指定泳池边使用场景。"}],"event_intent":[{"value":"pool_activity","evidence_type":"explicit","source_span":"around the pool","fact_ids":[],"rationale":"泳池边隐含休闲活动场景。"}],"capability_intent":[{"value":"slip_resistant","evidence_type":"page_validated","source_span":"","fact_ids":["slip_resistant_grip"],"rationale":"产品具备防滑纹路，适合湿滑环境。"},{"value":"water_friendly","evidence_type":"inferred","source_span":"around the pool","fact_ids":[],"rationale":"泳池场景要求涉水耐受，但产品未声明防水。"},{"value":"slip_resistant","evidence_type":"inferred","source_span":"","fact_ids":[],"rationale":"该能力由搜索词表达的任务或问题推断；页面事实仅用于验证商品承接。"}],"secondary_domain":[{"value":"sports_outdoors","evidence_type":"inferred","source_span":"","fact_ids":[],"rationale":"该值由搜索词整体语义推断，未作为页面明示属性。"}],"function_intent":[{"value":"pool_use","evidence_type":"inferred","source_span":"","fact_ids":[],"rationale":"该值由搜索词整体语义推断，未作为页面明示属性。"}],"primary_domain":[{"value":"clothing_shoes_jewelry","evidence_type":"inferred","source_span":"","fact_ids":[],"rationale":"该值由搜索词整体语义推断，未作为页面明示属性。"}]}</x:v>
      </x:c>
      <x:c r="Y281" s="15" t="str"/>
      <x:c r="Z281" s="10" t="str">
        <x:v>partial_match</x:v>
      </x:c>
      <x:c r="AA281" s="15" t="str">
        <x:v>style_flip_flop | slip_resistant_grip | easy_clean | style_outdoor</x:v>
      </x:c>
      <x:c r="AB281" s="10" t="str">
        <x:v>accepted</x:v>
      </x:c>
      <x:c r="AC281" s="10" t="str">
        <x:v>1.0.0</x:v>
      </x:c>
      <x:c r="AD281" s="10" t="str">
        <x:v>1.0.0</x:v>
      </x:c>
      <x:c r="AE281" s="10" t="str">
        <x:v>deepseek/deepseek-v4-pro</x:v>
      </x:c>
      <x:c r="AF281" s="10" t="str">
        <x:v>aj2-y90-20260714T234810-0bea2f52</x:v>
      </x:c>
      <x:c r="AG281" s="10" t="str">
        <x:v>full-0014</x:v>
      </x:c>
      <x:c r="AH281" s="10" t="str">
        <x:v>full</x:v>
      </x:c>
      <x:c r="AI281" s="10" t="n">
        <x:v>14</x:v>
      </x:c>
    </x:row>
    <x:row r="282" ht="34" customHeight="1">
      <x:c r="A282" s="16" t="str">
        <x:v>khaki arch support flip flops</x:v>
      </x:c>
      <x:c r="B282" s="16" t="str">
        <x:v>khaki arch support flip flops</x:v>
      </x:c>
      <x:c r="C282" s="13" t="str">
        <x:v>0ed6a18b12945ad4</x:v>
      </x:c>
      <x:c r="D282" s="13" t="str">
        <x:v>keyword</x:v>
      </x:c>
      <x:c r="E282" s="13" t="str">
        <x:v>en</x:v>
      </x:c>
      <x:c r="F282" s="13" t="str">
        <x:v>clothing_shoes_jewelry</x:v>
      </x:c>
      <x:c r="G282" s="16" t="str"/>
      <x:c r="H282" s="16" t="str">
        <x:v>flip_flops</x:v>
      </x:c>
      <x:c r="I282" s="16" t="str"/>
      <x:c r="J282" s="16" t="str"/>
      <x:c r="K282" s="16" t="str">
        <x:v>arch_support</x:v>
      </x:c>
      <x:c r="L282" s="16" t="str"/>
      <x:c r="M282" s="16" t="str"/>
      <x:c r="N282" s="16" t="str">
        <x:v>arch_support</x:v>
      </x:c>
      <x:c r="O282" s="16" t="str"/>
      <x:c r="P282" s="16" t="str"/>
      <x:c r="Q282" s="16" t="str"/>
      <x:c r="R282" s="16" t="str">
        <x:v>用户寻找卡其色且具备足弓支撑功能的人字拖，但产品可选颜色中无卡其色。</x:v>
      </x:c>
      <x:c r="S282" s="13" t="str">
        <x:v>high_intent</x:v>
      </x:c>
      <x:c r="T282" s="16" t="str">
        <x:v>explicit | page_validated</x:v>
      </x:c>
      <x:c r="U282" s="13" t="str">
        <x:v>high</x:v>
      </x:c>
      <x:c r="V282" s="16" t="str">
        <x:v>arch_support_flip_flops_color</x:v>
      </x:c>
      <x:c r="W282" s="16" t="str">
        <x:v>listing_gap_review</x:v>
      </x:c>
      <x:c r="X282" s="16" t="str">
        <x:v>{"product_type":[{"value":"flip_flops","evidence_type":"explicit","source_span":"flip flops","fact_ids":[],"rationale":""},{"value":"flip_flops","evidence_type":"page_validated","source_span":"","fact_ids":["style_flip_flop"],"rationale":"产品为人字拖"}],"capability_intent":[{"value":"arch_support","evidence_type":"explicit","source_span":"arch support","fact_ids":[],"rationale":""},{"value":"arch_support","evidence_type":"page_validated","source_span":"","fact_ids":["arch_support"],"rationale":"产品提供足弓支撑"}],"primary_domain":[{"value":"clothing_shoes_jewelry","evidence_type":"inferred","source_span":"","fact_ids":[],"rationale":"该值由搜索词整体语义推断，未作为页面明示属性。"}]}</x:v>
      </x:c>
      <x:c r="Y282" s="16" t="str"/>
      <x:c r="Z282" s="13" t="str">
        <x:v>partial_match</x:v>
      </x:c>
      <x:c r="AA282" s="16" t="str">
        <x:v>style_flip_flop | arch_support</x:v>
      </x:c>
      <x:c r="AB282" s="13" t="str">
        <x:v>accepted</x:v>
      </x:c>
      <x:c r="AC282" s="13" t="str">
        <x:v>1.0.0</x:v>
      </x:c>
      <x:c r="AD282" s="13" t="str">
        <x:v>1.0.0</x:v>
      </x:c>
      <x:c r="AE282" s="13" t="str">
        <x:v>deepseek/deepseek-v4-pro</x:v>
      </x:c>
      <x:c r="AF282" s="13" t="str">
        <x:v>aj2-y90-20260714T234810-0bea2f52</x:v>
      </x:c>
      <x:c r="AG282" s="13" t="str">
        <x:v>full-0015</x:v>
      </x:c>
      <x:c r="AH282" s="13" t="str">
        <x:v>full</x:v>
      </x:c>
      <x:c r="AI282" s="13" t="n">
        <x:v>15</x:v>
      </x:c>
    </x:row>
    <x:row r="283" ht="34" customHeight="1">
      <x:c r="A283" s="15" t="str">
        <x:v>womens brown flip flop sandals</x:v>
      </x:c>
      <x:c r="B283" s="15" t="str">
        <x:v>womens brown flip flop sandals</x:v>
      </x:c>
      <x:c r="C283" s="10" t="str">
        <x:v>329ded84dbb180b9</x:v>
      </x:c>
      <x:c r="D283" s="10" t="str">
        <x:v>keyword</x:v>
      </x:c>
      <x:c r="E283" s="10" t="str">
        <x:v>en</x:v>
      </x:c>
      <x:c r="F283" s="10" t="str">
        <x:v>clothing_shoes_jewelry</x:v>
      </x:c>
      <x:c r="G283" s="15" t="str"/>
      <x:c r="H283" s="15" t="str">
        <x:v>sandals | flip_flops</x:v>
      </x:c>
      <x:c r="I283" s="15" t="str">
        <x:v>women</x:v>
      </x:c>
      <x:c r="J283" s="15" t="str"/>
      <x:c r="K283" s="15" t="str"/>
      <x:c r="L283" s="15" t="str"/>
      <x:c r="M283" s="15" t="str"/>
      <x:c r="N283" s="15" t="str"/>
      <x:c r="O283" s="15" t="str"/>
      <x:c r="P283" s="15" t="str"/>
      <x:c r="Q283" s="15" t="str"/>
      <x:c r="R283" s="15" t="str">
        <x:v>女性用户寻找棕色人字拖凉鞋。</x:v>
      </x:c>
      <x:c r="S283" s="10" t="str">
        <x:v>high_intent</x:v>
      </x:c>
      <x:c r="T283" s="15" t="str">
        <x:v>explicit | page_validated</x:v>
      </x:c>
      <x:c r="U283" s="10" t="str">
        <x:v>high</x:v>
      </x:c>
      <x:c r="V283" s="15" t="str">
        <x:v>womens_flip_flops_color</x:v>
      </x:c>
      <x:c r="W283" s="15" t="str">
        <x:v>cluster_route</x:v>
      </x:c>
      <x:c r="X283" s="15" t="str">
        <x:v>{"product_type":[{"value":"sandals","evidence_type":"explicit","source_span":"sandals","fact_ids":[],"rationale":""},{"value":"flip_flops","evidence_type":"explicit","source_span":"flip flop","fact_ids":[],"rationale":""},{"value":"flip_flops","evidence_type":"page_validated","source_span":"","fact_ids":["style_flip_flop"],"rationale":"产品为人字拖凉鞋"},{"value":"sandals","evidence_type":"page_validated","source_span":"","fact_ids":["title_womens_flip_flop"],"rationale":"该槽位与商品基准中的明示页面事实一致。"},{"value":"flip_flops","evidence_type":"inferred","source_span":"","fact_ids":[],"rationale":"该能力由搜索词表达的任务或问题推断；页面事实仅用于验证商品承接。"}],"audience_intent":[{"value":"women","evidence_type":"explicit","source_span":"womens","fact_ids":[],"rationale":""},{"value":"women","evidence_type":"page_validated","source_span":"","fact_ids":["title_womens_flip_flop"],"rationale":"产品为女款"}],"primary_domain":[{"value":"clothing_shoes_jewelry","evidence_type":"inferred","source_span":"","fact_ids":[],"rationale":"该值由搜索词整体语义推断，未作为页面明示属性。"}]}</x:v>
      </x:c>
      <x:c r="Y283" s="15" t="str"/>
      <x:c r="Z283" s="10" t="str">
        <x:v>match</x:v>
      </x:c>
      <x:c r="AA283" s="15" t="str">
        <x:v>title_womens_flip_flop | style_flip_flop | colors_visible</x:v>
      </x:c>
      <x:c r="AB283" s="10" t="str">
        <x:v>accepted</x:v>
      </x:c>
      <x:c r="AC283" s="10" t="str">
        <x:v>1.0.0</x:v>
      </x:c>
      <x:c r="AD283" s="10" t="str">
        <x:v>1.0.0</x:v>
      </x:c>
      <x:c r="AE283" s="10" t="str">
        <x:v>deepseek/deepseek-v4-pro</x:v>
      </x:c>
      <x:c r="AF283" s="10" t="str">
        <x:v>aj2-y90-20260714T234810-0bea2f52</x:v>
      </x:c>
      <x:c r="AG283" s="10" t="str">
        <x:v>full-0015</x:v>
      </x:c>
      <x:c r="AH283" s="10" t="str">
        <x:v>full</x:v>
      </x:c>
      <x:c r="AI283" s="10" t="n">
        <x:v>15</x:v>
      </x:c>
    </x:row>
    <x:row r="284" ht="34" customHeight="1">
      <x:c r="A284" s="16" t="str">
        <x:v>black arch support flip flop</x:v>
      </x:c>
      <x:c r="B284" s="16" t="str">
        <x:v>black arch support flip flop</x:v>
      </x:c>
      <x:c r="C284" s="13" t="str">
        <x:v>38710cd9716d46e9</x:v>
      </x:c>
      <x:c r="D284" s="13" t="str">
        <x:v>keyword</x:v>
      </x:c>
      <x:c r="E284" s="13" t="str">
        <x:v>en</x:v>
      </x:c>
      <x:c r="F284" s="13" t="str">
        <x:v>clothing_shoes_jewelry</x:v>
      </x:c>
      <x:c r="G284" s="16" t="str"/>
      <x:c r="H284" s="16" t="str">
        <x:v>flip_flops</x:v>
      </x:c>
      <x:c r="I284" s="16" t="str"/>
      <x:c r="J284" s="16" t="str"/>
      <x:c r="K284" s="16" t="str">
        <x:v>arch_support</x:v>
      </x:c>
      <x:c r="L284" s="16" t="str"/>
      <x:c r="M284" s="16" t="str"/>
      <x:c r="N284" s="16" t="str">
        <x:v>arch_support</x:v>
      </x:c>
      <x:c r="O284" s="16" t="str"/>
      <x:c r="P284" s="16" t="str"/>
      <x:c r="Q284" s="16" t="str"/>
      <x:c r="R284" s="16" t="str">
        <x:v>用户寻找黑色且具备足弓支撑的人字拖。</x:v>
      </x:c>
      <x:c r="S284" s="13" t="str">
        <x:v>high_intent</x:v>
      </x:c>
      <x:c r="T284" s="16" t="str">
        <x:v>explicit | page_validated</x:v>
      </x:c>
      <x:c r="U284" s="13" t="str">
        <x:v>high</x:v>
      </x:c>
      <x:c r="V284" s="16" t="str">
        <x:v>arch_support_flip_flops_color</x:v>
      </x:c>
      <x:c r="W284" s="16" t="str">
        <x:v>cluster_route</x:v>
      </x:c>
      <x:c r="X284" s="16" t="str">
        <x:v>{"product_type":[{"value":"flip_flops","evidence_type":"explicit","source_span":"flip flop","fact_ids":[],"rationale":""},{"value":"flip_flops","evidence_type":"page_validated","source_span":"","fact_ids":["style_flip_flop"],"rationale":"产品为人字拖"},{"value":"flip_flops","evidence_type":"inferred","source_span":"","fact_ids":[],"rationale":"该能力由搜索词表达的任务或问题推断；页面事实仅用于验证商品承接。"}],"capability_intent":[{"value":"arch_support","evidence_type":"explicit","source_span":"arch support","fact_ids":[],"rationale":""},{"value":"arch_support","evidence_type":"page_validated","source_span":"","fact_ids":["arch_support"],"rationale":"产品具备足弓支撑"}],"primary_domain":[{"value":"clothing_shoes_jewelry","evidence_type":"inferred","source_span":"","fact_ids":[],"rationale":"该值由搜索词整体语义推断，未作为页面明示属性。"}]}</x:v>
      </x:c>
      <x:c r="Y284" s="16" t="str"/>
      <x:c r="Z284" s="13" t="str">
        <x:v>match</x:v>
      </x:c>
      <x:c r="AA284" s="16" t="str">
        <x:v>style_flip_flop | arch_support | colors_visible</x:v>
      </x:c>
      <x:c r="AB284" s="13" t="str">
        <x:v>accepted</x:v>
      </x:c>
      <x:c r="AC284" s="13" t="str">
        <x:v>1.0.0</x:v>
      </x:c>
      <x:c r="AD284" s="13" t="str">
        <x:v>1.0.0</x:v>
      </x:c>
      <x:c r="AE284" s="13" t="str">
        <x:v>deepseek/deepseek-v4-pro</x:v>
      </x:c>
      <x:c r="AF284" s="13" t="str">
        <x:v>aj2-y90-20260714T234810-0bea2f52</x:v>
      </x:c>
      <x:c r="AG284" s="13" t="str">
        <x:v>full-0015</x:v>
      </x:c>
      <x:c r="AH284" s="13" t="str">
        <x:v>full</x:v>
      </x:c>
      <x:c r="AI284" s="13" t="n">
        <x:v>15</x:v>
      </x:c>
    </x:row>
    <x:row r="285" ht="34" customHeight="1">
      <x:c r="A285" s="15" t="str">
        <x:v>flip flops water</x:v>
      </x:c>
      <x:c r="B285" s="15" t="str">
        <x:v>flip flops water</x:v>
      </x:c>
      <x:c r="C285" s="10" t="str">
        <x:v>434d34c82835556d</x:v>
      </x:c>
      <x:c r="D285" s="10" t="str">
        <x:v>keyword</x:v>
      </x:c>
      <x:c r="E285" s="10" t="str">
        <x:v>en</x:v>
      </x:c>
      <x:c r="F285" s="10" t="str">
        <x:v>clothing_shoes_jewelry</x:v>
      </x:c>
      <x:c r="G285" s="15" t="str">
        <x:v>sports_outdoors</x:v>
      </x:c>
      <x:c r="H285" s="15" t="str">
        <x:v>flip_flops</x:v>
      </x:c>
      <x:c r="I285" s="15" t="str"/>
      <x:c r="J285" s="15" t="str"/>
      <x:c r="K285" s="15" t="str"/>
      <x:c r="L285" s="15" t="str">
        <x:v>water_activities</x:v>
      </x:c>
      <x:c r="M285" s="15" t="str">
        <x:v>water | beach | pool</x:v>
      </x:c>
      <x:c r="N285" s="15" t="str"/>
      <x:c r="O285" s="15" t="str"/>
      <x:c r="P285" s="15" t="str"/>
      <x:c r="Q285" s="15" t="str"/>
      <x:c r="R285" s="15" t="str">
        <x:v>用户寻找适合涉水或水边活动穿着的人字拖。</x:v>
      </x:c>
      <x:c r="S285" s="10" t="str">
        <x:v>consideration</x:v>
      </x:c>
      <x:c r="T285" s="15" t="str">
        <x:v>explicit | page_validated | inferred</x:v>
      </x:c>
      <x:c r="U285" s="10" t="str">
        <x:v>medium</x:v>
      </x:c>
      <x:c r="V285" s="15" t="str">
        <x:v>flip_flops_water_use</x:v>
      </x:c>
      <x:c r="W285" s="15" t="str">
        <x:v>listing_gap_review</x:v>
      </x:c>
      <x:c r="X285" s="15" t="str">
        <x:v>{"product_type":[{"value":"flip_flops","evidence_type":"explicit","source_span":"flip flops","fact_ids":[],"rationale":""},{"value":"flip_flops","evidence_type":"page_validated","source_span":"","fact_ids":["style_flip_flop"],"rationale":"产品为人字拖"}],"location_intent":[{"value":"water","evidence_type":"explicit","source_span":"water","fact_ids":[],"rationale":""},{"value":"beach","evidence_type":"inferred","source_span":"","fact_ids":[],"rationale":"water通常关联海滩场景"},{"value":"pool","evidence_type":"inferred","source_span":"","fact_ids":[],"rationale":"water可关联泳池场景"}],"event_intent":[{"value":"water_activities","evidence_type":"inferred","source_span":"","fact_ids":[],"rationale":"water暗示水上或水边活动"}],"secondary_domain":[{"value":"sports_outdoors","evidence_type":"inferred","source_span":"","fact_ids":[],"rationale":"该值由搜索词整体语义推断，未作为页面明示属性。"}],"primary_domain":[{"value":"clothing_shoes_jewelry","evidence_type":"inferred","source_span":"","fact_ids":[],"rationale":"该值由搜索词整体语义推断，未作为页面明示属性。"}]}</x:v>
      </x:c>
      <x:c r="Y285" s="15" t="str"/>
      <x:c r="Z285" s="10" t="str">
        <x:v>partial_match</x:v>
      </x:c>
      <x:c r="AA285" s="15" t="str">
        <x:v>style_flip_flop | easy_clean | style_outdoor</x:v>
      </x:c>
      <x:c r="AB285" s="10" t="str">
        <x:v>accepted</x:v>
      </x:c>
      <x:c r="AC285" s="10" t="str">
        <x:v>1.0.0</x:v>
      </x:c>
      <x:c r="AD285" s="10" t="str">
        <x:v>1.0.0</x:v>
      </x:c>
      <x:c r="AE285" s="10" t="str">
        <x:v>deepseek/deepseek-v4-pro</x:v>
      </x:c>
      <x:c r="AF285" s="10" t="str">
        <x:v>aj2-y90-20260714T234810-0bea2f52</x:v>
      </x:c>
      <x:c r="AG285" s="10" t="str">
        <x:v>full-0015</x:v>
      </x:c>
      <x:c r="AH285" s="10" t="str">
        <x:v>full</x:v>
      </x:c>
      <x:c r="AI285" s="10" t="n">
        <x:v>15</x:v>
      </x:c>
    </x:row>
    <x:row r="286" ht="34" customHeight="1">
      <x:c r="A286" s="16" t="str">
        <x:v>black comfy flip flops</x:v>
      </x:c>
      <x:c r="B286" s="16" t="str">
        <x:v>black comfy flip flops</x:v>
      </x:c>
      <x:c r="C286" s="13" t="str">
        <x:v>5f8aed0531047032</x:v>
      </x:c>
      <x:c r="D286" s="13" t="str">
        <x:v>keyword</x:v>
      </x:c>
      <x:c r="E286" s="13" t="str">
        <x:v>en</x:v>
      </x:c>
      <x:c r="F286" s="13" t="str">
        <x:v>clothing_shoes_jewelry</x:v>
      </x:c>
      <x:c r="G286" s="16" t="str"/>
      <x:c r="H286" s="16" t="str">
        <x:v>flip_flops</x:v>
      </x:c>
      <x:c r="I286" s="16" t="str"/>
      <x:c r="J286" s="16" t="str"/>
      <x:c r="K286" s="16" t="str">
        <x:v>comfort_cushioning</x:v>
      </x:c>
      <x:c r="L286" s="16" t="str"/>
      <x:c r="M286" s="16" t="str"/>
      <x:c r="N286" s="16" t="str">
        <x:v>general_comfort</x:v>
      </x:c>
      <x:c r="O286" s="16" t="str"/>
      <x:c r="P286" s="16" t="str"/>
      <x:c r="Q286" s="16" t="str"/>
      <x:c r="R286" s="16" t="str">
        <x:v>用户寻找黑色舒适型人字拖。</x:v>
      </x:c>
      <x:c r="S286" s="13" t="str">
        <x:v>consideration</x:v>
      </x:c>
      <x:c r="T286" s="16" t="str">
        <x:v>explicit | page_validated | inferred</x:v>
      </x:c>
      <x:c r="U286" s="13" t="str">
        <x:v>high</x:v>
      </x:c>
      <x:c r="V286" s="16" t="str">
        <x:v>comfort_flip_flops</x:v>
      </x:c>
      <x:c r="W286" s="16" t="str">
        <x:v>cluster_route</x:v>
      </x:c>
      <x:c r="X286" s="16" t="str">
        <x:v>{"product_type":[{"value":"flip_flops","evidence_type":"explicit","source_span":"flip flops","fact_ids":[],"rationale":""},{"value":"flip_flops","evidence_type":"page_validated","source_span":"","fact_ids":["style_flip_flop"],"rationale":"产品为人字拖"}],"capability_intent":[{"value":"comfort_cushioning","evidence_type":"page_validated","source_span":"","fact_ids":["padded_cushioning","arch_support","soft_toe_post"],"rationale":"产品具备多项舒适特性"}],"body_need_intent":[{"value":"general_comfort","evidence_type":"explicit","source_span":"comfy","fact_ids":[],"rationale":""}],"primary_domain":[{"value":"clothing_shoes_jewelry","evidence_type":"inferred","source_span":"","fact_ids":[],"rationale":"该值由搜索词整体语义推断，未作为页面明示属性。"}]}</x:v>
      </x:c>
      <x:c r="Y286" s="16" t="str"/>
      <x:c r="Z286" s="13" t="str">
        <x:v>match</x:v>
      </x:c>
      <x:c r="AA286" s="16" t="str">
        <x:v>style_flip_flop | colors_visible | padded_cushioning | arch_support | soft_toe_post</x:v>
      </x:c>
      <x:c r="AB286" s="13" t="str">
        <x:v>accepted</x:v>
      </x:c>
      <x:c r="AC286" s="13" t="str">
        <x:v>1.0.0</x:v>
      </x:c>
      <x:c r="AD286" s="13" t="str">
        <x:v>1.0.0</x:v>
      </x:c>
      <x:c r="AE286" s="13" t="str">
        <x:v>deepseek/deepseek-v4-pro</x:v>
      </x:c>
      <x:c r="AF286" s="13" t="str">
        <x:v>aj2-y90-20260714T234810-0bea2f52</x:v>
      </x:c>
      <x:c r="AG286" s="13" t="str">
        <x:v>full-0015</x:v>
      </x:c>
      <x:c r="AH286" s="13" t="str">
        <x:v>full</x:v>
      </x:c>
      <x:c r="AI286" s="13" t="n">
        <x:v>15</x:v>
      </x:c>
    </x:row>
    <x:row r="287" ht="34" customHeight="1">
      <x:c r="A287" s="15" t="str">
        <x:v>white sandals women</x:v>
      </x:c>
      <x:c r="B287" s="15" t="str">
        <x:v>white sandals women</x:v>
      </x:c>
      <x:c r="C287" s="10" t="str">
        <x:v>65a5397c6d746ba8</x:v>
      </x:c>
      <x:c r="D287" s="10" t="str">
        <x:v>keyword</x:v>
      </x:c>
      <x:c r="E287" s="10" t="str">
        <x:v>en</x:v>
      </x:c>
      <x:c r="F287" s="10" t="str">
        <x:v>clothing_shoes_jewelry</x:v>
      </x:c>
      <x:c r="G287" s="15" t="str"/>
      <x:c r="H287" s="15" t="str">
        <x:v>sandals | flip_flops</x:v>
      </x:c>
      <x:c r="I287" s="15" t="str">
        <x:v>women</x:v>
      </x:c>
      <x:c r="J287" s="15" t="str"/>
      <x:c r="K287" s="15" t="str"/>
      <x:c r="L287" s="15" t="str"/>
      <x:c r="M287" s="15" t="str"/>
      <x:c r="N287" s="15" t="str"/>
      <x:c r="O287" s="15" t="str"/>
      <x:c r="P287" s="15" t="str"/>
      <x:c r="Q287" s="15" t="str"/>
      <x:c r="R287" s="15" t="str">
        <x:v>女性用户寻找白色凉鞋。</x:v>
      </x:c>
      <x:c r="S287" s="10" t="str">
        <x:v>consideration</x:v>
      </x:c>
      <x:c r="T287" s="15" t="str">
        <x:v>explicit | page_validated | inferred</x:v>
      </x:c>
      <x:c r="U287" s="10" t="str">
        <x:v>high</x:v>
      </x:c>
      <x:c r="V287" s="15" t="str">
        <x:v>womens_white_sandals</x:v>
      </x:c>
      <x:c r="W287" s="15" t="str">
        <x:v>cluster_route</x:v>
      </x:c>
      <x:c r="X287" s="15" t="str">
        <x:v>{"product_type":[{"value":"sandals","evidence_type":"explicit","source_span":"sandals","fact_ids":[],"rationale":""},{"value":"flip_flops","evidence_type":"page_validated","source_span":"","fact_ids":["style_flip_flop"],"rationale":"产品为人字拖凉鞋"},{"value":"sandals","evidence_type":"page_validated","source_span":"","fact_ids":["title_womens_flip_flop"],"rationale":"该槽位与商品基准中的明示页面事实一致。"},{"value":"flip_flops","evidence_type":"inferred","source_span":"","fact_ids":[],"rationale":"该能力由搜索词表达的任务或问题推断；页面事实仅用于验证商品承接。"}],"audience_intent":[{"value":"women","evidence_type":"explicit","source_span":"women","fact_ids":[],"rationale":""},{"value":"women","evidence_type":"page_validated","source_span":"","fact_ids":["title_womens_flip_flop"],"rationale":"产品为女款"}],"primary_domain":[{"value":"clothing_shoes_jewelry","evidence_type":"inferred","source_span":"","fact_ids":[],"rationale":"该值由搜索词整体语义推断，未作为页面明示属性。"}]}</x:v>
      </x:c>
      <x:c r="Y287" s="15" t="str"/>
      <x:c r="Z287" s="10" t="str">
        <x:v>match</x:v>
      </x:c>
      <x:c r="AA287" s="15" t="str">
        <x:v>title_womens_flip_flop | style_flip_flop | colors_visible</x:v>
      </x:c>
      <x:c r="AB287" s="10" t="str">
        <x:v>accepted</x:v>
      </x:c>
      <x:c r="AC287" s="10" t="str">
        <x:v>1.0.0</x:v>
      </x:c>
      <x:c r="AD287" s="10" t="str">
        <x:v>1.0.0</x:v>
      </x:c>
      <x:c r="AE287" s="10" t="str">
        <x:v>deepseek/deepseek-v4-pro</x:v>
      </x:c>
      <x:c r="AF287" s="10" t="str">
        <x:v>aj2-y90-20260714T234810-0bea2f52</x:v>
      </x:c>
      <x:c r="AG287" s="10" t="str">
        <x:v>full-0015</x:v>
      </x:c>
      <x:c r="AH287" s="10" t="str">
        <x:v>full</x:v>
      </x:c>
      <x:c r="AI287" s="10" t="n">
        <x:v>15</x:v>
      </x:c>
    </x:row>
    <x:row r="288" ht="34" customHeight="1">
      <x:c r="A288" s="16" t="str">
        <x:v>eva flipflops</x:v>
      </x:c>
      <x:c r="B288" s="16" t="str">
        <x:v>eva flipflops</x:v>
      </x:c>
      <x:c r="C288" s="13" t="str">
        <x:v>674aee836876d147</x:v>
      </x:c>
      <x:c r="D288" s="13" t="str">
        <x:v>keyword</x:v>
      </x:c>
      <x:c r="E288" s="13" t="str">
        <x:v>en</x:v>
      </x:c>
      <x:c r="F288" s="13" t="str">
        <x:v>clothing_shoes_jewelry</x:v>
      </x:c>
      <x:c r="G288" s="16" t="str"/>
      <x:c r="H288" s="16" t="str">
        <x:v>flip_flops</x:v>
      </x:c>
      <x:c r="I288" s="16" t="str"/>
      <x:c r="J288" s="16" t="str"/>
      <x:c r="K288" s="16" t="str">
        <x:v>eva_material</x:v>
      </x:c>
      <x:c r="L288" s="16" t="str"/>
      <x:c r="M288" s="16" t="str"/>
      <x:c r="N288" s="16" t="str"/>
      <x:c r="O288" s="16" t="str"/>
      <x:c r="P288" s="16" t="str"/>
      <x:c r="Q288" s="16" t="str"/>
      <x:c r="R288" s="16" t="str">
        <x:v>用户寻找EVA材质的人字拖，注重材料轻便特性。</x:v>
      </x:c>
      <x:c r="S288" s="13" t="str">
        <x:v>consideration</x:v>
      </x:c>
      <x:c r="T288" s="16" t="str">
        <x:v>explicit | page_validated</x:v>
      </x:c>
      <x:c r="U288" s="13" t="str">
        <x:v>high</x:v>
      </x:c>
      <x:c r="V288" s="16" t="str">
        <x:v>eva_flip_flops</x:v>
      </x:c>
      <x:c r="W288" s="16" t="str">
        <x:v>cluster_route</x:v>
      </x:c>
      <x:c r="X288" s="16" t="str">
        <x:v>{"product_type":[{"value":"flip_flops","evidence_type":"explicit","source_span":"flipflops","fact_ids":[],"rationale":""},{"value":"flip_flops","evidence_type":"page_validated","source_span":"","fact_ids":["style_flip_flop"],"rationale":"产品为人字拖"},{"value":"flip_flops","evidence_type":"inferred","source_span":"","fact_ids":[],"rationale":"该能力由搜索词表达的任务或问题推断；页面事实仅用于验证商品承接。"}],"capability_intent":[{"value":"eva_material","evidence_type":"explicit","source_span":"eva","fact_ids":[],"rationale":""},{"value":"eva_material","evidence_type":"page_validated","source_span":"","fact_ids":["material_eva"],"rationale":"外层材质为EVA"}],"primary_domain":[{"value":"clothing_shoes_jewelry","evidence_type":"inferred","source_span":"","fact_ids":[],"rationale":"该值由搜索词整体语义推断，未作为页面明示属性。"}]}</x:v>
      </x:c>
      <x:c r="Y288" s="16" t="str"/>
      <x:c r="Z288" s="13" t="str">
        <x:v>match</x:v>
      </x:c>
      <x:c r="AA288" s="16" t="str">
        <x:v>style_flip_flop | material_eva</x:v>
      </x:c>
      <x:c r="AB288" s="13" t="str">
        <x:v>accepted</x:v>
      </x:c>
      <x:c r="AC288" s="13" t="str">
        <x:v>1.0.0</x:v>
      </x:c>
      <x:c r="AD288" s="13" t="str">
        <x:v>1.0.0</x:v>
      </x:c>
      <x:c r="AE288" s="13" t="str">
        <x:v>deepseek/deepseek-v4-pro</x:v>
      </x:c>
      <x:c r="AF288" s="13" t="str">
        <x:v>aj2-y90-20260714T234810-0bea2f52</x:v>
      </x:c>
      <x:c r="AG288" s="13" t="str">
        <x:v>full-0015</x:v>
      </x:c>
      <x:c r="AH288" s="13" t="str">
        <x:v>full</x:v>
      </x:c>
      <x:c r="AI288" s="13" t="n">
        <x:v>15</x:v>
      </x:c>
    </x:row>
    <x:row r="289" ht="34" customHeight="1">
      <x:c r="A289" s="15" t="str">
        <x:v>womens foot support flip flops</x:v>
      </x:c>
      <x:c r="B289" s="15" t="str">
        <x:v>womens foot support flip flops</x:v>
      </x:c>
      <x:c r="C289" s="10" t="str">
        <x:v>683fe5bb56655241</x:v>
      </x:c>
      <x:c r="D289" s="10" t="str">
        <x:v>keyword</x:v>
      </x:c>
      <x:c r="E289" s="10" t="str">
        <x:v>en</x:v>
      </x:c>
      <x:c r="F289" s="10" t="str">
        <x:v>clothing_shoes_jewelry</x:v>
      </x:c>
      <x:c r="G289" s="15" t="str"/>
      <x:c r="H289" s="15" t="str">
        <x:v>flip_flops</x:v>
      </x:c>
      <x:c r="I289" s="15" t="str">
        <x:v>women</x:v>
      </x:c>
      <x:c r="J289" s="15" t="str"/>
      <x:c r="K289" s="15" t="str">
        <x:v>arch_support</x:v>
      </x:c>
      <x:c r="L289" s="15" t="str"/>
      <x:c r="M289" s="15" t="str"/>
      <x:c r="N289" s="15" t="str">
        <x:v>foot_support</x:v>
      </x:c>
      <x:c r="O289" s="15" t="str"/>
      <x:c r="P289" s="15" t="str"/>
      <x:c r="Q289" s="15" t="str"/>
      <x:c r="R289" s="15" t="str">
        <x:v>女性用户寻找具备足部支撑功能的人字拖。</x:v>
      </x:c>
      <x:c r="S289" s="10" t="str">
        <x:v>high_intent</x:v>
      </x:c>
      <x:c r="T289" s="15" t="str">
        <x:v>explicit | page_validated</x:v>
      </x:c>
      <x:c r="U289" s="10" t="str">
        <x:v>high</x:v>
      </x:c>
      <x:c r="V289" s="15" t="str">
        <x:v>womens_arch_support_flip_flops</x:v>
      </x:c>
      <x:c r="W289" s="15" t="str">
        <x:v>cluster_route</x:v>
      </x:c>
      <x:c r="X289" s="15" t="str">
        <x:v>{"product_type":[{"value":"flip_flops","evidence_type":"explicit","source_span":"flip flops","fact_ids":[],"rationale":""},{"value":"flip_flops","evidence_type":"page_validated","source_span":"","fact_ids":["style_flip_flop"],"rationale":"产品为人字拖"}],"audience_intent":[{"value":"women","evidence_type":"explicit","source_span":"womens","fact_ids":[],"rationale":""},{"value":"women","evidence_type":"page_validated","source_span":"","fact_ids":["title_womens_flip_flop"],"rationale":"产品为女款"}],"capability_intent":[{"value":"arch_support","evidence_type":"page_validated","source_span":"","fact_ids":["arch_support"],"rationale":"产品具备足弓支撑"},{"value":"arch_support","evidence_type":"inferred","source_span":"","fact_ids":[],"rationale":"该能力由搜索词表达的任务或问题推断；页面事实仅用于验证商品承接。"}],"body_need_intent":[{"value":"foot_support","evidence_type":"explicit","source_span":"foot support","fact_ids":[],"rationale":""},{"value":"foot_support","evidence_type":"page_validated","source_span":"","fact_ids":["arch_support"],"rationale":"该槽位与商品基准中的明示页面事实一致。"}],"primary_domain":[{"value":"clothing_shoes_jewelry","evidence_type":"inferred","source_span":"","fact_ids":[],"rationale":"该值由搜索词整体语义推断，未作为页面明示属性。"}]}</x:v>
      </x:c>
      <x:c r="Y289" s="15" t="str"/>
      <x:c r="Z289" s="10" t="str">
        <x:v>match</x:v>
      </x:c>
      <x:c r="AA289" s="15" t="str">
        <x:v>title_womens_flip_flop | style_flip_flop | arch_support</x:v>
      </x:c>
      <x:c r="AB289" s="10" t="str">
        <x:v>accepted</x:v>
      </x:c>
      <x:c r="AC289" s="10" t="str">
        <x:v>1.0.0</x:v>
      </x:c>
      <x:c r="AD289" s="10" t="str">
        <x:v>1.0.0</x:v>
      </x:c>
      <x:c r="AE289" s="10" t="str">
        <x:v>deepseek/deepseek-v4-pro</x:v>
      </x:c>
      <x:c r="AF289" s="10" t="str">
        <x:v>aj2-y90-20260714T234810-0bea2f52</x:v>
      </x:c>
      <x:c r="AG289" s="10" t="str">
        <x:v>full-0015</x:v>
      </x:c>
      <x:c r="AH289" s="10" t="str">
        <x:v>full</x:v>
      </x:c>
      <x:c r="AI289" s="10" t="n">
        <x:v>15</x:v>
      </x:c>
    </x:row>
    <x:row r="290" ht="34" customHeight="1">
      <x:c r="A290" s="16" t="str">
        <x:v>flip flops cheap shower</x:v>
      </x:c>
      <x:c r="B290" s="16" t="str">
        <x:v>flip flops cheap shower</x:v>
      </x:c>
      <x:c r="C290" s="13" t="str">
        <x:v>771dc435635b7772</x:v>
      </x:c>
      <x:c r="D290" s="13" t="str">
        <x:v>keyword</x:v>
      </x:c>
      <x:c r="E290" s="13" t="str">
        <x:v>en</x:v>
      </x:c>
      <x:c r="F290" s="13" t="str">
        <x:v>clothing_shoes_jewelry</x:v>
      </x:c>
      <x:c r="G290" s="16" t="str"/>
      <x:c r="H290" s="16" t="str">
        <x:v>flip_flops</x:v>
      </x:c>
      <x:c r="I290" s="16" t="str"/>
      <x:c r="J290" s="16" t="str"/>
      <x:c r="K290" s="16" t="str"/>
      <x:c r="L290" s="16" t="str"/>
      <x:c r="M290" s="16" t="str">
        <x:v>shower</x:v>
      </x:c>
      <x:c r="N290" s="16" t="str"/>
      <x:c r="O290" s="16" t="str"/>
      <x:c r="P290" s="16" t="str"/>
      <x:c r="Q290" s="16" t="str"/>
      <x:c r="R290" s="16" t="str">
        <x:v>用户寻找价格低廉且适合淋浴时穿着的人字拖，但产品未声明防水或速干特性。</x:v>
      </x:c>
      <x:c r="S290" s="13" t="str">
        <x:v>consideration</x:v>
      </x:c>
      <x:c r="T290" s="16" t="str">
        <x:v>explicit | page_validated | inferred</x:v>
      </x:c>
      <x:c r="U290" s="13" t="str">
        <x:v>medium</x:v>
      </x:c>
      <x:c r="V290" s="16" t="str">
        <x:v>shower_flip_flops</x:v>
      </x:c>
      <x:c r="W290" s="16" t="str">
        <x:v>listing_gap_review</x:v>
      </x:c>
      <x:c r="X290" s="16" t="str">
        <x:v>{"product_type":[{"value":"flip_flops","evidence_type":"explicit","source_span":"flip flops","fact_ids":[],"rationale":""},{"value":"flip_flops","evidence_type":"page_validated","source_span":"","fact_ids":["style_flip_flop"],"rationale":"产品为人字拖"}],"location_intent":[{"value":"shower","evidence_type":"explicit","source_span":"shower","fact_ids":[],"rationale":""}],"primary_domain":[{"value":"clothing_shoes_jewelry","evidence_type":"inferred","source_span":"","fact_ids":[],"rationale":"该值由搜索词整体语义推断，未作为页面明示属性。"}]}</x:v>
      </x:c>
      <x:c r="Y290" s="16" t="str"/>
      <x:c r="Z290" s="13" t="str">
        <x:v>partial_match</x:v>
      </x:c>
      <x:c r="AA290" s="16" t="str">
        <x:v>style_flip_flop | easy_clean</x:v>
      </x:c>
      <x:c r="AB290" s="13" t="str">
        <x:v>accepted</x:v>
      </x:c>
      <x:c r="AC290" s="13" t="str">
        <x:v>1.0.0</x:v>
      </x:c>
      <x:c r="AD290" s="13" t="str">
        <x:v>1.0.0</x:v>
      </x:c>
      <x:c r="AE290" s="13" t="str">
        <x:v>deepseek/deepseek-v4-pro</x:v>
      </x:c>
      <x:c r="AF290" s="13" t="str">
        <x:v>aj2-y90-20260714T234810-0bea2f52</x:v>
      </x:c>
      <x:c r="AG290" s="13" t="str">
        <x:v>full-0015</x:v>
      </x:c>
      <x:c r="AH290" s="13" t="str">
        <x:v>full</x:v>
      </x:c>
      <x:c r="AI290" s="13" t="n">
        <x:v>15</x:v>
      </x:c>
    </x:row>
    <x:row r="291" ht="34" customHeight="1">
      <x:c r="A291" s="15" t="str">
        <x:v>flip flops womens arch support</x:v>
      </x:c>
      <x:c r="B291" s="15" t="str">
        <x:v>flip flops womens arch support</x:v>
      </x:c>
      <x:c r="C291" s="10" t="str">
        <x:v>77a932e18e2cb097</x:v>
      </x:c>
      <x:c r="D291" s="10" t="str">
        <x:v>keyword</x:v>
      </x:c>
      <x:c r="E291" s="10" t="str">
        <x:v>en</x:v>
      </x:c>
      <x:c r="F291" s="10" t="str">
        <x:v>clothing_shoes_jewelry</x:v>
      </x:c>
      <x:c r="G291" s="15" t="str"/>
      <x:c r="H291" s="15" t="str">
        <x:v>flip_flops</x:v>
      </x:c>
      <x:c r="I291" s="15" t="str">
        <x:v>women</x:v>
      </x:c>
      <x:c r="J291" s="15" t="str"/>
      <x:c r="K291" s="15" t="str">
        <x:v>arch_support</x:v>
      </x:c>
      <x:c r="L291" s="15" t="str"/>
      <x:c r="M291" s="15" t="str"/>
      <x:c r="N291" s="15" t="str">
        <x:v>arch_support</x:v>
      </x:c>
      <x:c r="O291" s="15" t="str"/>
      <x:c r="P291" s="15" t="str"/>
      <x:c r="Q291" s="15" t="str"/>
      <x:c r="R291" s="15" t="str">
        <x:v>女性用户寻找具备足弓支撑功能的人字拖。</x:v>
      </x:c>
      <x:c r="S291" s="10" t="str">
        <x:v>high_intent</x:v>
      </x:c>
      <x:c r="T291" s="15" t="str">
        <x:v>explicit | page_validated</x:v>
      </x:c>
      <x:c r="U291" s="10" t="str">
        <x:v>high</x:v>
      </x:c>
      <x:c r="V291" s="15" t="str">
        <x:v>womens_arch_support_flip_flops</x:v>
      </x:c>
      <x:c r="W291" s="15" t="str">
        <x:v>cluster_route</x:v>
      </x:c>
      <x:c r="X291" s="15" t="str">
        <x:v>{"product_type":[{"value":"flip_flops","evidence_type":"explicit","source_span":"flip flops","fact_ids":[],"rationale":""},{"value":"flip_flops","evidence_type":"page_validated","source_span":"","fact_ids":["style_flip_flop"],"rationale":"产品为人字拖"}],"audience_intent":[{"value":"women","evidence_type":"explicit","source_span":"womens","fact_ids":[],"rationale":""},{"value":"women","evidence_type":"page_validated","source_span":"","fact_ids":["title_womens_flip_flop"],"rationale":"产品为女款"}],"capability_intent":[{"value":"arch_support","evidence_type":"explicit","source_span":"arch support","fact_ids":[],"rationale":""},{"value":"arch_support","evidence_type":"page_validated","source_span":"","fact_ids":["arch_support"],"rationale":"产品具备足弓支撑"}],"primary_domain":[{"value":"clothing_shoes_jewelry","evidence_type":"inferred","source_span":"","fact_ids":[],"rationale":"该值由搜索词整体语义推断，未作为页面明示属性。"}]}</x:v>
      </x:c>
      <x:c r="Y291" s="15" t="str"/>
      <x:c r="Z291" s="10" t="str">
        <x:v>match</x:v>
      </x:c>
      <x:c r="AA291" s="15" t="str">
        <x:v>title_womens_flip_flop | style_flip_flop | arch_support</x:v>
      </x:c>
      <x:c r="AB291" s="10" t="str">
        <x:v>accepted</x:v>
      </x:c>
      <x:c r="AC291" s="10" t="str">
        <x:v>1.0.0</x:v>
      </x:c>
      <x:c r="AD291" s="10" t="str">
        <x:v>1.0.0</x:v>
      </x:c>
      <x:c r="AE291" s="10" t="str">
        <x:v>deepseek/deepseek-v4-pro</x:v>
      </x:c>
      <x:c r="AF291" s="10" t="str">
        <x:v>aj2-y90-20260714T234810-0bea2f52</x:v>
      </x:c>
      <x:c r="AG291" s="10" t="str">
        <x:v>full-0015</x:v>
      </x:c>
      <x:c r="AH291" s="10" t="str">
        <x:v>full</x:v>
      </x:c>
      <x:c r="AI291" s="10" t="n">
        <x:v>15</x:v>
      </x:c>
    </x:row>
    <x:row r="292" ht="34" customHeight="1">
      <x:c r="A292" s="16" t="str">
        <x:v>women sandals clearance sale arch support black thong</x:v>
      </x:c>
      <x:c r="B292" s="16" t="str">
        <x:v>women sandals clearance sale arch support black thong</x:v>
      </x:c>
      <x:c r="C292" s="13" t="str">
        <x:v>8c40f209c7a4e689</x:v>
      </x:c>
      <x:c r="D292" s="13" t="str">
        <x:v>keyword</x:v>
      </x:c>
      <x:c r="E292" s="13" t="str">
        <x:v>en</x:v>
      </x:c>
      <x:c r="F292" s="13" t="str">
        <x:v>clothing_shoes_jewelry</x:v>
      </x:c>
      <x:c r="G292" s="16" t="str"/>
      <x:c r="H292" s="16" t="str">
        <x:v>sandals | flip_flops</x:v>
      </x:c>
      <x:c r="I292" s="16" t="str">
        <x:v>women</x:v>
      </x:c>
      <x:c r="J292" s="16" t="str">
        <x:v>discount_shopping</x:v>
      </x:c>
      <x:c r="K292" s="16" t="str">
        <x:v>arch_support</x:v>
      </x:c>
      <x:c r="L292" s="16" t="str"/>
      <x:c r="M292" s="16" t="str"/>
      <x:c r="N292" s="16" t="str">
        <x:v>arch_support</x:v>
      </x:c>
      <x:c r="O292" s="16" t="str"/>
      <x:c r="P292" s="16" t="str"/>
      <x:c r="Q292" s="16" t="str"/>
      <x:c r="R292" s="16" t="str">
        <x:v>女性消费者在清仓促销中寻找黑色夹趾款且具备足弓支撑功能的凉鞋。</x:v>
      </x:c>
      <x:c r="S292" s="13" t="str">
        <x:v>high_intent</x:v>
      </x:c>
      <x:c r="T292" s="16" t="str">
        <x:v>explicit | page_validated | inferred</x:v>
      </x:c>
      <x:c r="U292" s="13" t="str">
        <x:v>high</x:v>
      </x:c>
      <x:c r="V292" s="16" t="str">
        <x:v>womens_arch_support_sandals</x:v>
      </x:c>
      <x:c r="W292" s="16" t="str">
        <x:v>cluster_route</x:v>
      </x:c>
      <x:c r="X292" s="16" t="str">
        <x:v>{"product_type":[{"value":"sandals","evidence_type":"explicit","source_span":"sandals","fact_ids":[],"rationale":""},{"value":"flip_flops","evidence_type":"explicit","source_span":"thong","fact_ids":[],"rationale":""},{"value":"flip_flops","evidence_type":"page_validated","source_span":"","fact_ids":["style_flip_flop","style_thong"],"rationale":"产品为夹趾人字拖款式"},{"value":"sandals","evidence_type":"page_validated","source_span":"","fact_ids":["title_womens_flip_flop"],"rationale":"该槽位与商品基准中的明示页面事实一致。"},{"value":"flip_flops","evidence_type":"inferred","source_span":"","fact_ids":[],"rationale":"该能力由搜索词表达的任务或问题推断；页面事实仅用于验证商品承接。"}],"audience_intent":[{"value":"women","evidence_type":"explicit","source_span":"women","fact_ids":[],"rationale":""},{"value":"women","evidence_type":"page_validated","source_span":"","fact_ids":["title_womens_flip_flop"],"rationale":"产品标题定位为女款"}],"capability_intent":[{"value":"arch_support","evidence_type":"explicit","source_span":"arch support","fact_ids":[],"rationale":""},{"value":"arch_support","evidence_type":"page_validated","source_span":"","fact_ids":["arch_support"],"rationale":"产品具有人体工学足弓支撑"}],"function_intent":[{"value":"discount_shopping","evidence_type":"explicit","source_span":"clearance sale","fact_ids":[],"rationale":""}],"primary_domain":[{"value":"clothing_shoes_jewelry","evidence_type":"inferred","source_span":"","fact_ids":[],"rationale":"该值由搜索词整体语义推断，未作为页面明示属性。"}]}</x:v>
      </x:c>
      <x:c r="Y292" s="16" t="str"/>
      <x:c r="Z292" s="13" t="str">
        <x:v>match</x:v>
      </x:c>
      <x:c r="AA292" s="16" t="str">
        <x:v>title_womens_flip_flop | arch_support | style_thong | colors_visible</x:v>
      </x:c>
      <x:c r="AB292" s="13" t="str">
        <x:v>accepted</x:v>
      </x:c>
      <x:c r="AC292" s="13" t="str">
        <x:v>1.0.0</x:v>
      </x:c>
      <x:c r="AD292" s="13" t="str">
        <x:v>1.0.0</x:v>
      </x:c>
      <x:c r="AE292" s="13" t="str">
        <x:v>deepseek/deepseek-v4-pro</x:v>
      </x:c>
      <x:c r="AF292" s="13" t="str">
        <x:v>aj2-y90-20260714T234810-0bea2f52</x:v>
      </x:c>
      <x:c r="AG292" s="13" t="str">
        <x:v>full-0015</x:v>
      </x:c>
      <x:c r="AH292" s="13" t="str">
        <x:v>full</x:v>
      </x:c>
      <x:c r="AI292" s="13" t="n">
        <x:v>15</x:v>
      </x:c>
    </x:row>
    <x:row r="293" ht="34" customHeight="1">
      <x:c r="A293" s="15" t="str">
        <x:v>flip flop slippers for women indoor</x:v>
      </x:c>
      <x:c r="B293" s="15" t="str">
        <x:v>flip flop slippers for women indoor</x:v>
      </x:c>
      <x:c r="C293" s="10" t="str">
        <x:v>9f997cab144bee78</x:v>
      </x:c>
      <x:c r="D293" s="10" t="str">
        <x:v>keyword</x:v>
      </x:c>
      <x:c r="E293" s="10" t="str">
        <x:v>en</x:v>
      </x:c>
      <x:c r="F293" s="10" t="str">
        <x:v>clothing_shoes_jewelry</x:v>
      </x:c>
      <x:c r="G293" s="15" t="str"/>
      <x:c r="H293" s="15" t="str">
        <x:v>flip_flops | slippers</x:v>
      </x:c>
      <x:c r="I293" s="15" t="str">
        <x:v>women</x:v>
      </x:c>
      <x:c r="J293" s="15" t="str"/>
      <x:c r="K293" s="15" t="str"/>
      <x:c r="L293" s="15" t="str"/>
      <x:c r="M293" s="15" t="str">
        <x:v>indoor</x:v>
      </x:c>
      <x:c r="N293" s="15" t="str"/>
      <x:c r="O293" s="15" t="str"/>
      <x:c r="P293" s="15" t="str"/>
      <x:c r="Q293" s="15" t="str"/>
      <x:c r="R293" s="15" t="str">
        <x:v>女性用户寻找可在室内穿着的拖鞋式人字拖，但产品定位为户外生活场景。</x:v>
      </x:c>
      <x:c r="S293" s="10" t="str">
        <x:v>high_intent</x:v>
      </x:c>
      <x:c r="T293" s="15" t="str">
        <x:v>explicit | page_validated | inferred</x:v>
      </x:c>
      <x:c r="U293" s="10" t="str">
        <x:v>medium</x:v>
      </x:c>
      <x:c r="V293" s="15" t="str">
        <x:v>womens_indoor_flip_flops</x:v>
      </x:c>
      <x:c r="W293" s="15" t="str">
        <x:v>listing_gap_review</x:v>
      </x:c>
      <x:c r="X293" s="15" t="str">
        <x:v>{"product_type":[{"value":"flip_flops","evidence_type":"explicit","source_span":"flip flop","fact_ids":[],"rationale":""},{"value":"slippers","evidence_type":"explicit","source_span":"slippers","fact_ids":[],"rationale":""},{"value":"flip_flops","evidence_type":"page_validated","source_span":"","fact_ids":["style_flip_flop"],"rationale":"产品为人字拖但非拖鞋品类"},{"value":"flip_flops","evidence_type":"inferred","source_span":"","fact_ids":[],"rationale":"该能力由搜索词表达的任务或问题推断；页面事实仅用于验证商品承接。"}],"audience_intent":[{"value":"women","evidence_type":"explicit","source_span":"women","fact_ids":[],"rationale":""},{"value":"women","evidence_type":"page_validated","source_span":"","fact_ids":["title_womens_flip_flop"],"rationale":"产品为女款"}],"location_intent":[{"value":"indoor","evidence_type":"explicit","source_span":"indoor","fact_ids":[],"rationale":""}],"primary_domain":[{"value":"clothing_shoes_jewelry","evidence_type":"inferred","source_span":"","fact_ids":[],"rationale":"该值由搜索词整体语义推断，未作为页面明示属性。"}]}</x:v>
      </x:c>
      <x:c r="Y293" s="15" t="str"/>
      <x:c r="Z293" s="10" t="str">
        <x:v>partial_match</x:v>
      </x:c>
      <x:c r="AA293" s="15" t="str">
        <x:v>title_womens_flip_flop | style_flip_flop</x:v>
      </x:c>
      <x:c r="AB293" s="10" t="str">
        <x:v>accepted</x:v>
      </x:c>
      <x:c r="AC293" s="10" t="str">
        <x:v>1.0.0</x:v>
      </x:c>
      <x:c r="AD293" s="10" t="str">
        <x:v>1.0.0</x:v>
      </x:c>
      <x:c r="AE293" s="10" t="str">
        <x:v>deepseek/deepseek-v4-pro</x:v>
      </x:c>
      <x:c r="AF293" s="10" t="str">
        <x:v>aj2-y90-20260714T234810-0bea2f52</x:v>
      </x:c>
      <x:c r="AG293" s="10" t="str">
        <x:v>full-0015</x:v>
      </x:c>
      <x:c r="AH293" s="10" t="str">
        <x:v>full</x:v>
      </x:c>
      <x:c r="AI293" s="10" t="n">
        <x:v>15</x:v>
      </x:c>
    </x:row>
    <x:row r="294" ht="34" customHeight="1">
      <x:c r="A294" s="16" t="str">
        <x:v>flip flops for women navy blue</x:v>
      </x:c>
      <x:c r="B294" s="16" t="str">
        <x:v>flip flops for women navy blue</x:v>
      </x:c>
      <x:c r="C294" s="13" t="str">
        <x:v>9fa6b4084d77808b</x:v>
      </x:c>
      <x:c r="D294" s="13" t="str">
        <x:v>keyword</x:v>
      </x:c>
      <x:c r="E294" s="13" t="str">
        <x:v>en</x:v>
      </x:c>
      <x:c r="F294" s="13" t="str">
        <x:v>clothing_shoes_jewelry</x:v>
      </x:c>
      <x:c r="G294" s="16" t="str"/>
      <x:c r="H294" s="16" t="str">
        <x:v>flip_flops</x:v>
      </x:c>
      <x:c r="I294" s="16" t="str">
        <x:v>women</x:v>
      </x:c>
      <x:c r="J294" s="16" t="str"/>
      <x:c r="K294" s="16" t="str"/>
      <x:c r="L294" s="16" t="str"/>
      <x:c r="M294" s="16" t="str"/>
      <x:c r="N294" s="16" t="str"/>
      <x:c r="O294" s="16" t="str"/>
      <x:c r="P294" s="16" t="str"/>
      <x:c r="Q294" s="16" t="str"/>
      <x:c r="R294" s="16" t="str">
        <x:v>女性用户寻找藏蓝色人字拖，但产品当前可选颜色中无此颜色。</x:v>
      </x:c>
      <x:c r="S294" s="13" t="str">
        <x:v>high_intent</x:v>
      </x:c>
      <x:c r="T294" s="16" t="str">
        <x:v>explicit | page_validated</x:v>
      </x:c>
      <x:c r="U294" s="13" t="str">
        <x:v>high</x:v>
      </x:c>
      <x:c r="V294" s="16" t="str">
        <x:v>womens_flip_flops_color</x:v>
      </x:c>
      <x:c r="W294" s="16" t="str">
        <x:v>listing_gap_review</x:v>
      </x:c>
      <x:c r="X294" s="16" t="str">
        <x:v>{"product_type":[{"value":"flip_flops","evidence_type":"explicit","source_span":"flip flops","fact_ids":[],"rationale":""},{"value":"flip_flops","evidence_type":"page_validated","source_span":"","fact_ids":["style_flip_flop"],"rationale":"产品为人字拖"}],"audience_intent":[{"value":"women","evidence_type":"explicit","source_span":"women","fact_ids":[],"rationale":""},{"value":"women","evidence_type":"page_validated","source_span":"","fact_ids":["title_womens_flip_flop"],"rationale":"产品为女款人字拖"}],"primary_domain":[{"value":"clothing_shoes_jewelry","evidence_type":"inferred","source_span":"","fact_ids":[],"rationale":"该值由搜索词整体语义推断，未作为页面明示属性。"}]}</x:v>
      </x:c>
      <x:c r="Y294" s="16" t="str"/>
      <x:c r="Z294" s="13" t="str">
        <x:v>partial_match</x:v>
      </x:c>
      <x:c r="AA294" s="16" t="str">
        <x:v>title_womens_flip_flop | style_flip_flop</x:v>
      </x:c>
      <x:c r="AB294" s="13" t="str">
        <x:v>accepted</x:v>
      </x:c>
      <x:c r="AC294" s="13" t="str">
        <x:v>1.0.0</x:v>
      </x:c>
      <x:c r="AD294" s="13" t="str">
        <x:v>1.0.0</x:v>
      </x:c>
      <x:c r="AE294" s="13" t="str">
        <x:v>deepseek/deepseek-v4-pro</x:v>
      </x:c>
      <x:c r="AF294" s="13" t="str">
        <x:v>aj2-y90-20260714T234810-0bea2f52</x:v>
      </x:c>
      <x:c r="AG294" s="13" t="str">
        <x:v>full-0015</x:v>
      </x:c>
      <x:c r="AH294" s="13" t="str">
        <x:v>full</x:v>
      </x:c>
      <x:c r="AI294" s="13" t="n">
        <x:v>15</x:v>
      </x:c>
    </x:row>
    <x:row r="295" ht="34" customHeight="1">
      <x:c r="A295" s="15" t="str">
        <x:v>women's black flip flop</x:v>
      </x:c>
      <x:c r="B295" s="15" t="str">
        <x:v>women's black flip flop</x:v>
      </x:c>
      <x:c r="C295" s="10" t="str">
        <x:v>ae704ec09ca38912</x:v>
      </x:c>
      <x:c r="D295" s="10" t="str">
        <x:v>keyword</x:v>
      </x:c>
      <x:c r="E295" s="10" t="str">
        <x:v>en</x:v>
      </x:c>
      <x:c r="F295" s="10" t="str">
        <x:v>clothing_shoes_jewelry</x:v>
      </x:c>
      <x:c r="G295" s="15" t="str"/>
      <x:c r="H295" s="15" t="str">
        <x:v>flip_flops</x:v>
      </x:c>
      <x:c r="I295" s="15" t="str">
        <x:v>women</x:v>
      </x:c>
      <x:c r="J295" s="15" t="str"/>
      <x:c r="K295" s="15" t="str"/>
      <x:c r="L295" s="15" t="str"/>
      <x:c r="M295" s="15" t="str"/>
      <x:c r="N295" s="15" t="str"/>
      <x:c r="O295" s="15" t="str"/>
      <x:c r="P295" s="15" t="str"/>
      <x:c r="Q295" s="15" t="str"/>
      <x:c r="R295" s="15" t="str">
        <x:v>女性用户寻找黑色人字拖。</x:v>
      </x:c>
      <x:c r="S295" s="10" t="str">
        <x:v>high_intent</x:v>
      </x:c>
      <x:c r="T295" s="15" t="str">
        <x:v>explicit | page_validated</x:v>
      </x:c>
      <x:c r="U295" s="10" t="str">
        <x:v>high</x:v>
      </x:c>
      <x:c r="V295" s="15" t="str">
        <x:v>womens_black_flip_flops</x:v>
      </x:c>
      <x:c r="W295" s="15" t="str">
        <x:v>cluster_route</x:v>
      </x:c>
      <x:c r="X295" s="15" t="str">
        <x:v>{"product_type":[{"value":"flip_flops","evidence_type":"explicit","source_span":"flip flop","fact_ids":[],"rationale":""},{"value":"flip_flops","evidence_type":"page_validated","source_span":"","fact_ids":["style_flip_flop"],"rationale":"产品为人字拖"},{"value":"flip_flops","evidence_type":"inferred","source_span":"","fact_ids":[],"rationale":"该能力由搜索词表达的任务或问题推断；页面事实仅用于验证商品承接。"}],"audience_intent":[{"value":"women","evidence_type":"explicit","source_span":"women","fact_ids":[],"rationale":""},{"value":"women","evidence_type":"page_validated","source_span":"","fact_ids":["title_womens_flip_flop"],"rationale":"产品为女款"}],"primary_domain":[{"value":"clothing_shoes_jewelry","evidence_type":"inferred","source_span":"","fact_ids":[],"rationale":"该值由搜索词整体语义推断，未作为页面明示属性。"}]}</x:v>
      </x:c>
      <x:c r="Y295" s="15" t="str"/>
      <x:c r="Z295" s="10" t="str">
        <x:v>match</x:v>
      </x:c>
      <x:c r="AA295" s="15" t="str">
        <x:v>title_womens_flip_flop | style_flip_flop | colors_visible</x:v>
      </x:c>
      <x:c r="AB295" s="10" t="str">
        <x:v>accepted</x:v>
      </x:c>
      <x:c r="AC295" s="10" t="str">
        <x:v>1.0.0</x:v>
      </x:c>
      <x:c r="AD295" s="10" t="str">
        <x:v>1.0.0</x:v>
      </x:c>
      <x:c r="AE295" s="10" t="str">
        <x:v>deepseek/deepseek-v4-pro</x:v>
      </x:c>
      <x:c r="AF295" s="10" t="str">
        <x:v>aj2-y90-20260714T234810-0bea2f52</x:v>
      </x:c>
      <x:c r="AG295" s="10" t="str">
        <x:v>full-0015</x:v>
      </x:c>
      <x:c r="AH295" s="10" t="str">
        <x:v>full</x:v>
      </x:c>
      <x:c r="AI295" s="10" t="n">
        <x:v>15</x:v>
      </x:c>
    </x:row>
    <x:row r="296" ht="34" customHeight="1">
      <x:c r="A296" s="16" t="str">
        <x:v>navy flip flops for women</x:v>
      </x:c>
      <x:c r="B296" s="16" t="str">
        <x:v>navy flip flops for women</x:v>
      </x:c>
      <x:c r="C296" s="13" t="str">
        <x:v>b16dec13099c7686</x:v>
      </x:c>
      <x:c r="D296" s="13" t="str">
        <x:v>keyword</x:v>
      </x:c>
      <x:c r="E296" s="13" t="str">
        <x:v>en</x:v>
      </x:c>
      <x:c r="F296" s="13" t="str">
        <x:v>clothing_shoes_jewelry</x:v>
      </x:c>
      <x:c r="G296" s="16" t="str"/>
      <x:c r="H296" s="16" t="str">
        <x:v>flip_flops</x:v>
      </x:c>
      <x:c r="I296" s="16" t="str">
        <x:v>women</x:v>
      </x:c>
      <x:c r="J296" s="16" t="str"/>
      <x:c r="K296" s="16" t="str"/>
      <x:c r="L296" s="16" t="str"/>
      <x:c r="M296" s="16" t="str"/>
      <x:c r="N296" s="16" t="str"/>
      <x:c r="O296" s="16" t="str"/>
      <x:c r="P296" s="16" t="str"/>
      <x:c r="Q296" s="16" t="str"/>
      <x:c r="R296" s="16" t="str">
        <x:v>女性用户寻找藏蓝色人字拖，但该颜色不在产品可选颜色中。</x:v>
      </x:c>
      <x:c r="S296" s="13" t="str">
        <x:v>high_intent</x:v>
      </x:c>
      <x:c r="T296" s="16" t="str">
        <x:v>explicit | page_validated</x:v>
      </x:c>
      <x:c r="U296" s="13" t="str">
        <x:v>high</x:v>
      </x:c>
      <x:c r="V296" s="16" t="str">
        <x:v>womens_flip_flops_color</x:v>
      </x:c>
      <x:c r="W296" s="16" t="str">
        <x:v>listing_gap_review</x:v>
      </x:c>
      <x:c r="X296" s="16" t="str">
        <x:v>{"product_type":[{"value":"flip_flops","evidence_type":"explicit","source_span":"flip flops","fact_ids":[],"rationale":""},{"value":"flip_flops","evidence_type":"page_validated","source_span":"","fact_ids":["style_flip_flop"],"rationale":"产品为人字拖"}],"audience_intent":[{"value":"women","evidence_type":"explicit","source_span":"women","fact_ids":[],"rationale":""},{"value":"women","evidence_type":"page_validated","source_span":"","fact_ids":["title_womens_flip_flop"],"rationale":"产品为女款"}],"primary_domain":[{"value":"clothing_shoes_jewelry","evidence_type":"inferred","source_span":"","fact_ids":[],"rationale":"该值由搜索词整体语义推断，未作为页面明示属性。"}]}</x:v>
      </x:c>
      <x:c r="Y296" s="16" t="str"/>
      <x:c r="Z296" s="13" t="str">
        <x:v>partial_match</x:v>
      </x:c>
      <x:c r="AA296" s="16" t="str">
        <x:v>title_womens_flip_flop | style_flip_flop</x:v>
      </x:c>
      <x:c r="AB296" s="13" t="str">
        <x:v>accepted</x:v>
      </x:c>
      <x:c r="AC296" s="13" t="str">
        <x:v>1.0.0</x:v>
      </x:c>
      <x:c r="AD296" s="13" t="str">
        <x:v>1.0.0</x:v>
      </x:c>
      <x:c r="AE296" s="13" t="str">
        <x:v>deepseek/deepseek-v4-pro</x:v>
      </x:c>
      <x:c r="AF296" s="13" t="str">
        <x:v>aj2-y90-20260714T234810-0bea2f52</x:v>
      </x:c>
      <x:c r="AG296" s="13" t="str">
        <x:v>full-0015</x:v>
      </x:c>
      <x:c r="AH296" s="13" t="str">
        <x:v>full</x:v>
      </x:c>
      <x:c r="AI296" s="13" t="n">
        <x:v>15</x:v>
      </x:c>
    </x:row>
    <x:row r="297" ht="34" customHeight="1">
      <x:c r="A297" s="15" t="str">
        <x:v>navy flip flops arch support women</x:v>
      </x:c>
      <x:c r="B297" s="15" t="str">
        <x:v>navy flip flops arch support women</x:v>
      </x:c>
      <x:c r="C297" s="10" t="str">
        <x:v>ba27392c98c4a910</x:v>
      </x:c>
      <x:c r="D297" s="10" t="str">
        <x:v>keyword</x:v>
      </x:c>
      <x:c r="E297" s="10" t="str">
        <x:v>en</x:v>
      </x:c>
      <x:c r="F297" s="10" t="str">
        <x:v>clothing_shoes_jewelry</x:v>
      </x:c>
      <x:c r="G297" s="15" t="str"/>
      <x:c r="H297" s="15" t="str">
        <x:v>flip_flops</x:v>
      </x:c>
      <x:c r="I297" s="15" t="str">
        <x:v>women</x:v>
      </x:c>
      <x:c r="J297" s="15" t="str"/>
      <x:c r="K297" s="15" t="str">
        <x:v>arch_support</x:v>
      </x:c>
      <x:c r="L297" s="15" t="str"/>
      <x:c r="M297" s="15" t="str"/>
      <x:c r="N297" s="15" t="str">
        <x:v>arch_support</x:v>
      </x:c>
      <x:c r="O297" s="15" t="str"/>
      <x:c r="P297" s="15" t="str"/>
      <x:c r="Q297" s="15" t="str"/>
      <x:c r="R297" s="15" t="str">
        <x:v>女性用户寻找藏蓝色足弓支撑人字拖，但藏蓝色不在产品可选颜色中。</x:v>
      </x:c>
      <x:c r="S297" s="10" t="str">
        <x:v>high_intent</x:v>
      </x:c>
      <x:c r="T297" s="15" t="str">
        <x:v>explicit | page_validated</x:v>
      </x:c>
      <x:c r="U297" s="10" t="str">
        <x:v>high</x:v>
      </x:c>
      <x:c r="V297" s="15" t="str">
        <x:v>womens_arch_support_flip_flops_color</x:v>
      </x:c>
      <x:c r="W297" s="15" t="str">
        <x:v>listing_gap_review</x:v>
      </x:c>
      <x:c r="X297" s="15" t="str">
        <x:v>{"product_type":[{"value":"flip_flops","evidence_type":"explicit","source_span":"flip flops","fact_ids":[],"rationale":""},{"value":"flip_flops","evidence_type":"page_validated","source_span":"","fact_ids":["style_flip_flop"],"rationale":"产品为人字拖"}],"audience_intent":[{"value":"women","evidence_type":"explicit","source_span":"women","fact_ids":[],"rationale":""},{"value":"women","evidence_type":"page_validated","source_span":"","fact_ids":["title_womens_flip_flop"],"rationale":"产品为女款"}],"capability_intent":[{"value":"arch_support","evidence_type":"explicit","source_span":"arch support","fact_ids":[],"rationale":""},{"value":"arch_support","evidence_type":"page_validated","source_span":"","fact_ids":["arch_support"],"rationale":"产品具备足弓支撑"}],"primary_domain":[{"value":"clothing_shoes_jewelry","evidence_type":"inferred","source_span":"","fact_ids":[],"rationale":"该值由搜索词整体语义推断，未作为页面明示属性。"}]}</x:v>
      </x:c>
      <x:c r="Y297" s="15" t="str"/>
      <x:c r="Z297" s="10" t="str">
        <x:v>partial_match</x:v>
      </x:c>
      <x:c r="AA297" s="15" t="str">
        <x:v>title_womens_flip_flop | style_flip_flop | arch_support</x:v>
      </x:c>
      <x:c r="AB297" s="10" t="str">
        <x:v>accepted</x:v>
      </x:c>
      <x:c r="AC297" s="10" t="str">
        <x:v>1.0.0</x:v>
      </x:c>
      <x:c r="AD297" s="10" t="str">
        <x:v>1.0.0</x:v>
      </x:c>
      <x:c r="AE297" s="10" t="str">
        <x:v>deepseek/deepseek-v4-pro</x:v>
      </x:c>
      <x:c r="AF297" s="10" t="str">
        <x:v>aj2-y90-20260714T234810-0bea2f52</x:v>
      </x:c>
      <x:c r="AG297" s="10" t="str">
        <x:v>full-0015</x:v>
      </x:c>
      <x:c r="AH297" s="10" t="str">
        <x:v>full</x:v>
      </x:c>
      <x:c r="AI297" s="10" t="n">
        <x:v>15</x:v>
      </x:c>
    </x:row>
    <x:row r="298" ht="34" customHeight="1">
      <x:c r="A298" s="16" t="str">
        <x:v>toe flip flops</x:v>
      </x:c>
      <x:c r="B298" s="16" t="str">
        <x:v>toe flip flops</x:v>
      </x:c>
      <x:c r="C298" s="13" t="str">
        <x:v>c2dd7511ba9bbe04</x:v>
      </x:c>
      <x:c r="D298" s="13" t="str">
        <x:v>keyword</x:v>
      </x:c>
      <x:c r="E298" s="13" t="str">
        <x:v>en</x:v>
      </x:c>
      <x:c r="F298" s="13" t="str">
        <x:v>clothing_shoes_jewelry</x:v>
      </x:c>
      <x:c r="G298" s="16" t="str"/>
      <x:c r="H298" s="16" t="str">
        <x:v>flip_flops</x:v>
      </x:c>
      <x:c r="I298" s="16" t="str"/>
      <x:c r="J298" s="16" t="str"/>
      <x:c r="K298" s="16" t="str"/>
      <x:c r="L298" s="16" t="str"/>
      <x:c r="M298" s="16" t="str"/>
      <x:c r="N298" s="16" t="str"/>
      <x:c r="O298" s="16" t="str"/>
      <x:c r="P298" s="16" t="str"/>
      <x:c r="Q298" s="16" t="str"/>
      <x:c r="R298" s="16" t="str">
        <x:v>用户寻找露趾或夹趾款式的人字拖。</x:v>
      </x:c>
      <x:c r="S298" s="13" t="str">
        <x:v>exploration</x:v>
      </x:c>
      <x:c r="T298" s="16" t="str">
        <x:v>explicit | page_validated | inferred</x:v>
      </x:c>
      <x:c r="U298" s="13" t="str">
        <x:v>medium</x:v>
      </x:c>
      <x:c r="V298" s="16" t="str">
        <x:v>open_toe_flip_flops</x:v>
      </x:c>
      <x:c r="W298" s="16" t="str">
        <x:v>cluster_route</x:v>
      </x:c>
      <x:c r="X298" s="16" t="str">
        <x:v>{"product_type":[{"value":"flip_flops","evidence_type":"explicit","source_span":"flip flops","fact_ids":[],"rationale":""},{"value":"flip_flops","evidence_type":"page_validated","source_span":"","fact_ids":["style_flip_flop","style_open_toe","style_thong"],"rationale":"产品为露趾夹趾人字拖"}],"primary_domain":[{"value":"clothing_shoes_jewelry","evidence_type":"inferred","source_span":"","fact_ids":[],"rationale":"该值由搜索词整体语义推断，未作为页面明示属性。"}]}</x:v>
      </x:c>
      <x:c r="Y298" s="16" t="str"/>
      <x:c r="Z298" s="13" t="str">
        <x:v>match</x:v>
      </x:c>
      <x:c r="AA298" s="16" t="str">
        <x:v>style_flip_flop | style_open_toe | style_thong</x:v>
      </x:c>
      <x:c r="AB298" s="13" t="str">
        <x:v>accepted</x:v>
      </x:c>
      <x:c r="AC298" s="13" t="str">
        <x:v>1.0.0</x:v>
      </x:c>
      <x:c r="AD298" s="13" t="str">
        <x:v>1.0.0</x:v>
      </x:c>
      <x:c r="AE298" s="13" t="str">
        <x:v>deepseek/deepseek-v4-pro</x:v>
      </x:c>
      <x:c r="AF298" s="13" t="str">
        <x:v>aj2-y90-20260714T234810-0bea2f52</x:v>
      </x:c>
      <x:c r="AG298" s="13" t="str">
        <x:v>full-0015</x:v>
      </x:c>
      <x:c r="AH298" s="13" t="str">
        <x:v>full</x:v>
      </x:c>
      <x:c r="AI298" s="13" t="n">
        <x:v>15</x:v>
      </x:c>
    </x:row>
    <x:row r="299" ht="34" customHeight="1">
      <x:c r="A299" s="15" t="str">
        <x:v>clear flip flops</x:v>
      </x:c>
      <x:c r="B299" s="15" t="str">
        <x:v>clear flip flops</x:v>
      </x:c>
      <x:c r="C299" s="10" t="str">
        <x:v>ebef69e9ada0a7a4</x:v>
      </x:c>
      <x:c r="D299" s="10" t="str">
        <x:v>keyword</x:v>
      </x:c>
      <x:c r="E299" s="10" t="str">
        <x:v>en</x:v>
      </x:c>
      <x:c r="F299" s="10" t="str">
        <x:v>clothing_shoes_jewelry</x:v>
      </x:c>
      <x:c r="G299" s="15" t="str"/>
      <x:c r="H299" s="15" t="str">
        <x:v>flip_flops</x:v>
      </x:c>
      <x:c r="I299" s="15" t="str"/>
      <x:c r="J299" s="15" t="str"/>
      <x:c r="K299" s="15" t="str"/>
      <x:c r="L299" s="15" t="str"/>
      <x:c r="M299" s="15" t="str"/>
      <x:c r="N299" s="15" t="str"/>
      <x:c r="O299" s="15" t="str"/>
      <x:c r="P299" s="15" t="str"/>
      <x:c r="Q299" s="15" t="str"/>
      <x:c r="R299" s="15" t="str">
        <x:v>用户寻找透明色人字拖或清仓促销人字拖，关键词clear具有歧义。</x:v>
      </x:c>
      <x:c r="S299" s="10" t="str">
        <x:v>exploration</x:v>
      </x:c>
      <x:c r="T299" s="15" t="str">
        <x:v>explicit | inferred</x:v>
      </x:c>
      <x:c r="U299" s="10" t="str">
        <x:v>low</x:v>
      </x:c>
      <x:c r="V299" s="15" t="str">
        <x:v>flip_flops_ambiguous_modifier</x:v>
      </x:c>
      <x:c r="W299" s="15" t="str">
        <x:v>ambiguity_review</x:v>
      </x:c>
      <x:c r="X299" s="15" t="str">
        <x:v>{"product_type":[{"value":"flip_flops","evidence_type":"explicit","source_span":"flip flops","fact_ids":[],"rationale":""},{"value":"flip_flops","evidence_type":"page_validated","source_span":"","fact_ids":["style_flip_flop"],"rationale":"产品为人字拖类型"}],"primary_domain":[{"value":"clothing_shoes_jewelry","evidence_type":"inferred","source_span":"","fact_ids":[],"rationale":"该值由搜索词整体语义推断，未作为页面明示属性。"}]}</x:v>
      </x:c>
      <x:c r="Y299" s="15" t="str">
        <x:v>clear_ambiguous_transparent_or_clearance</x:v>
      </x:c>
      <x:c r="Z299" s="10" t="str">
        <x:v>unknown</x:v>
      </x:c>
      <x:c r="AA299" s="15" t="str">
        <x:v>style_flip_flop</x:v>
      </x:c>
      <x:c r="AB299" s="10" t="str">
        <x:v>accepted</x:v>
      </x:c>
      <x:c r="AC299" s="10" t="str">
        <x:v>1.0.0</x:v>
      </x:c>
      <x:c r="AD299" s="10" t="str">
        <x:v>1.0.0</x:v>
      </x:c>
      <x:c r="AE299" s="10" t="str">
        <x:v>deepseek/deepseek-v4-pro</x:v>
      </x:c>
      <x:c r="AF299" s="10" t="str">
        <x:v>aj2-y90-20260714T234810-0bea2f52</x:v>
      </x:c>
      <x:c r="AG299" s="10" t="str">
        <x:v>full-0015</x:v>
      </x:c>
      <x:c r="AH299" s="10" t="str">
        <x:v>full</x:v>
      </x:c>
      <x:c r="AI299" s="10" t="n">
        <x:v>15</x:v>
      </x:c>
    </x:row>
    <x:row r="300" ht="34" customHeight="1">
      <x:c r="A300" s="16" t="str">
        <x:v>soft plastic toe sandals for women</x:v>
      </x:c>
      <x:c r="B300" s="16" t="str">
        <x:v>soft plastic toe sandals for women</x:v>
      </x:c>
      <x:c r="C300" s="13" t="str">
        <x:v>ede72c09a513766f</x:v>
      </x:c>
      <x:c r="D300" s="13" t="str">
        <x:v>keyword</x:v>
      </x:c>
      <x:c r="E300" s="13" t="str">
        <x:v>en</x:v>
      </x:c>
      <x:c r="F300" s="13" t="str">
        <x:v>clothing_shoes_jewelry</x:v>
      </x:c>
      <x:c r="G300" s="16" t="str"/>
      <x:c r="H300" s="16" t="str">
        <x:v>sandals | flip_flops</x:v>
      </x:c>
      <x:c r="I300" s="16" t="str">
        <x:v>women</x:v>
      </x:c>
      <x:c r="J300" s="16" t="str"/>
      <x:c r="K300" s="16" t="str">
        <x:v>soft_toe_post | plastic_material</x:v>
      </x:c>
      <x:c r="L300" s="16" t="str"/>
      <x:c r="M300" s="16" t="str"/>
      <x:c r="N300" s="16" t="str">
        <x:v>toe_comfort</x:v>
      </x:c>
      <x:c r="O300" s="16" t="str"/>
      <x:c r="P300" s="16" t="str"/>
      <x:c r="Q300" s="16" t="str"/>
      <x:c r="R300" s="16" t="str">
        <x:v>女性用户寻找塑料材质且趾夹柔软舒适的凉鞋。</x:v>
      </x:c>
      <x:c r="S300" s="13" t="str">
        <x:v>high_intent</x:v>
      </x:c>
      <x:c r="T300" s="16" t="str">
        <x:v>explicit | page_validated | inferred</x:v>
      </x:c>
      <x:c r="U300" s="13" t="str">
        <x:v>high</x:v>
      </x:c>
      <x:c r="V300" s="16" t="str">
        <x:v>womens_soft_toe_sandals</x:v>
      </x:c>
      <x:c r="W300" s="16" t="str">
        <x:v>cluster_route</x:v>
      </x:c>
      <x:c r="X300" s="16" t="str">
        <x:v>{"product_type":[{"value":"sandals","evidence_type":"explicit","source_span":"sandals","fact_ids":[],"rationale":""},{"value":"flip_flops","evidence_type":"page_validated","source_span":"","fact_ids":["style_flip_flop","style_thong"],"rationale":"产品为夹趾凉鞋"},{"value":"sandals","evidence_type":"page_validated","source_span":"","fact_ids":["title_womens_flip_flop"],"rationale":"该槽位与商品基准中的明示页面事实一致。"},{"value":"flip_flops","evidence_type":"inferred","source_span":"","fact_ids":[],"rationale":"该能力由搜索词表达的任务或问题推断；页面事实仅用于验证商品承接。"}],"audience_intent":[{"value":"women","evidence_type":"explicit","source_span":"women","fact_ids":[],"rationale":""},{"value":"women","evidence_type":"page_validated","source_span":"","fact_ids":["title_womens_flip_flop"],"rationale":"产品为女款"}],"capability_intent":[{"value":"soft_toe_post","evidence_type":"explicit","source_span":"soft plastic toe","fact_ids":[],"rationale":""},{"value":"soft_toe_post","evidence_type":"page_validated","source_span":"","fact_ids":["soft_toe_post"],"rationale":"产品具备升级柔软趾柱"},{"value":"plastic_material","evidence_type":"explicit","source_span":"plastic","fact_ids":[],"rationale":""},{"value":"plastic_material","evidence_type":"page_validated","source_span":"","fact_ids":["material_eva"],"rationale":"EVA为塑料类材质"}],"body_need_intent":[{"value":"toe_comfort","evidence_type":"inferred","source_span":"","fact_ids":[],"rationale":"soft toe暗示趾部舒适需求"}],"primary_domain":[{"value":"clothing_shoes_jewelry","evidence_type":"inferred","source_span":"","fact_ids":[],"rationale":"该值由搜索词整体语义推断，未作为页面明示属性。"}]}</x:v>
      </x:c>
      <x:c r="Y300" s="16" t="str"/>
      <x:c r="Z300" s="13" t="str">
        <x:v>match</x:v>
      </x:c>
      <x:c r="AA300" s="16" t="str">
        <x:v>title_womens_flip_flop | soft_toe_post | material_eva | style_thong</x:v>
      </x:c>
      <x:c r="AB300" s="13" t="str">
        <x:v>accepted</x:v>
      </x:c>
      <x:c r="AC300" s="13" t="str">
        <x:v>1.0.0</x:v>
      </x:c>
      <x:c r="AD300" s="13" t="str">
        <x:v>1.0.0</x:v>
      </x:c>
      <x:c r="AE300" s="13" t="str">
        <x:v>deepseek/deepseek-v4-pro</x:v>
      </x:c>
      <x:c r="AF300" s="13" t="str">
        <x:v>aj2-y90-20260714T234810-0bea2f52</x:v>
      </x:c>
      <x:c r="AG300" s="13" t="str">
        <x:v>full-0015</x:v>
      </x:c>
      <x:c r="AH300" s="13" t="str">
        <x:v>full</x:v>
      </x:c>
      <x:c r="AI300" s="13" t="n">
        <x:v>15</x:v>
      </x:c>
    </x:row>
    <x:row r="301" ht="34" customHeight="1">
      <x:c r="A301" s="15" t="str">
        <x:v>thong sandals beach</x:v>
      </x:c>
      <x:c r="B301" s="15" t="str">
        <x:v>thong sandals beach</x:v>
      </x:c>
      <x:c r="C301" s="10" t="str">
        <x:v>efe901fab25e2650</x:v>
      </x:c>
      <x:c r="D301" s="10" t="str">
        <x:v>keyword</x:v>
      </x:c>
      <x:c r="E301" s="10" t="str">
        <x:v>en</x:v>
      </x:c>
      <x:c r="F301" s="10" t="str">
        <x:v>clothing_shoes_jewelry</x:v>
      </x:c>
      <x:c r="G301" s="15" t="str">
        <x:v>sports_outdoors</x:v>
      </x:c>
      <x:c r="H301" s="15" t="str">
        <x:v>sandals | flip_flops</x:v>
      </x:c>
      <x:c r="I301" s="15" t="str"/>
      <x:c r="J301" s="15" t="str"/>
      <x:c r="K301" s="15" t="str"/>
      <x:c r="L301" s="15" t="str">
        <x:v>beach_outing</x:v>
      </x:c>
      <x:c r="M301" s="15" t="str">
        <x:v>beach</x:v>
      </x:c>
      <x:c r="N301" s="15" t="str"/>
      <x:c r="O301" s="15" t="str"/>
      <x:c r="P301" s="15" t="str"/>
      <x:c r="Q301" s="15" t="str"/>
      <x:c r="R301" s="15" t="str">
        <x:v>用户寻找适合海滩穿着的夹趾凉鞋。</x:v>
      </x:c>
      <x:c r="S301" s="10" t="str">
        <x:v>consideration</x:v>
      </x:c>
      <x:c r="T301" s="15" t="str">
        <x:v>explicit | page_validated | inferred</x:v>
      </x:c>
      <x:c r="U301" s="10" t="str">
        <x:v>high</x:v>
      </x:c>
      <x:c r="V301" s="15" t="str">
        <x:v>thong_sandals_beach</x:v>
      </x:c>
      <x:c r="W301" s="15" t="str">
        <x:v>cluster_route</x:v>
      </x:c>
      <x:c r="X301" s="15" t="str">
        <x:v>{"product_type":[{"value":"sandals","evidence_type":"explicit","source_span":"sandals","fact_ids":[],"rationale":""},{"value":"flip_flops","evidence_type":"explicit","source_span":"thong","fact_ids":[],"rationale":""},{"value":"flip_flops","evidence_type":"page_validated","source_span":"","fact_ids":["style_flip_flop","style_thong"],"rationale":"产品为夹趾人字拖"},{"value":"sandals","evidence_type":"page_validated","source_span":"","fact_ids":["title_womens_flip_flop"],"rationale":"该槽位与商品基准中的明示页面事实一致。"},{"value":"flip_flops","evidence_type":"inferred","source_span":"","fact_ids":[],"rationale":"该能力由搜索词表达的任务或问题推断；页面事实仅用于验证商品承接。"}],"location_intent":[{"value":"beach","evidence_type":"explicit","source_span":"beach","fact_ids":[],"rationale":""}],"event_intent":[{"value":"beach_outing","evidence_type":"inferred","source_span":"","fact_ids":[],"rationale":"海滩关联户外休闲活动"}],"secondary_domain":[{"value":"sports_outdoors","evidence_type":"inferred","source_span":"","fact_ids":[],"rationale":"该值由搜索词整体语义推断，未作为页面明示属性。"}],"primary_domain":[{"value":"clothing_shoes_jewelry","evidence_type":"inferred","source_span":"","fact_ids":[],"rationale":"该值由搜索词整体语义推断，未作为页面明示属性。"}]}</x:v>
      </x:c>
      <x:c r="Y301" s="15" t="str"/>
      <x:c r="Z301" s="10" t="str">
        <x:v>match</x:v>
      </x:c>
      <x:c r="AA301" s="15" t="str">
        <x:v>style_thong | style_flip_flop | style_outdoor</x:v>
      </x:c>
      <x:c r="AB301" s="10" t="str">
        <x:v>accepted</x:v>
      </x:c>
      <x:c r="AC301" s="10" t="str">
        <x:v>1.0.0</x:v>
      </x:c>
      <x:c r="AD301" s="10" t="str">
        <x:v>1.0.0</x:v>
      </x:c>
      <x:c r="AE301" s="10" t="str">
        <x:v>deepseek/deepseek-v4-pro</x:v>
      </x:c>
      <x:c r="AF301" s="10" t="str">
        <x:v>aj2-y90-20260714T234810-0bea2f52</x:v>
      </x:c>
      <x:c r="AG301" s="10" t="str">
        <x:v>full-0015</x:v>
      </x:c>
      <x:c r="AH301" s="10" t="str">
        <x:v>full</x:v>
      </x:c>
      <x:c r="AI301" s="10" t="n">
        <x:v>15</x:v>
      </x:c>
    </x:row>
    <x:row r="302" ht="34" customHeight="1">
      <x:c r="A302" s="16" t="str">
        <x:v>oldnavy flip flops</x:v>
      </x:c>
      <x:c r="B302" s="16" t="str">
        <x:v>oldnavy flip flops</x:v>
      </x:c>
      <x:c r="C302" s="13" t="str">
        <x:v>02ee3836dfd6e23f</x:v>
      </x:c>
      <x:c r="D302" s="13" t="str">
        <x:v>keyword</x:v>
      </x:c>
      <x:c r="E302" s="13" t="str">
        <x:v>en</x:v>
      </x:c>
      <x:c r="F302" s="13" t="str">
        <x:v>clothing_shoes_jewelry</x:v>
      </x:c>
      <x:c r="G302" s="16" t="str"/>
      <x:c r="H302" s="16" t="str">
        <x:v>flip_flops</x:v>
      </x:c>
      <x:c r="I302" s="16" t="str">
        <x:v>general</x:v>
      </x:c>
      <x:c r="J302" s="16" t="str"/>
      <x:c r="K302" s="16" t="str"/>
      <x:c r="L302" s="16" t="str"/>
      <x:c r="M302" s="16" t="str"/>
      <x:c r="N302" s="16" t="str"/>
      <x:c r="O302" s="16" t="str"/>
      <x:c r="P302" s="16" t="str"/>
      <x:c r="Q302" s="16" t="str"/>
      <x:c r="R302" s="16" t="str">
        <x:v>用户想购买Old Navy品牌的人字拖，该品牌非本产品所属品牌。</x:v>
      </x:c>
      <x:c r="S302" s="13" t="str">
        <x:v>high_intent</x:v>
      </x:c>
      <x:c r="T302" s="16" t="str">
        <x:v>explicit | inferred</x:v>
      </x:c>
      <x:c r="U302" s="13" t="str">
        <x:v>high</x:v>
      </x:c>
      <x:c r="V302" s="16" t="str">
        <x:v>branded_flip_flops</x:v>
      </x:c>
      <x:c r="W302" s="16" t="str">
        <x:v>semantic_negative_candidate</x:v>
      </x:c>
      <x:c r="X302" s="16" t="str">
        <x:v>{"product_type":[{"value":"flip_flops","evidence_type":"explicit","source_span":"flip flops","fact_ids":[],"rationale":""},{"value":"flip_flops","evidence_type":"page_validated","source_span":"","fact_ids":["style_flip_flop"],"rationale":"该槽位与商品基准中的明示页面事实一致。"}],"audience_intent":[{"value":"general","evidence_type":"inferred","source_span":"","fact_ids":[],"rationale":"未指定性别，面向通用人群"}],"brand":[{"value":"old_navy","evidence_type":"explicit","source_span":"oldnavy","fact_ids":[],"rationale":""}],"primary_domain":[{"value":"clothing_shoes_jewelry","evidence_type":"inferred","source_span":"","fact_ids":[],"rationale":"该值由搜索词整体语义推断，未作为页面明示属性。"}]}</x:v>
      </x:c>
      <x:c r="Y302" s="16" t="str"/>
      <x:c r="Z302" s="13" t="str">
        <x:v>mismatch</x:v>
      </x:c>
      <x:c r="AA302" s="16" t="str"/>
      <x:c r="AB302" s="13" t="str">
        <x:v>accepted</x:v>
      </x:c>
      <x:c r="AC302" s="13" t="str">
        <x:v>1.0.0</x:v>
      </x:c>
      <x:c r="AD302" s="13" t="str">
        <x:v>1.1.0</x:v>
      </x:c>
      <x:c r="AE302" s="13" t="str">
        <x:v>deepseek/deepseek-v4-pro</x:v>
      </x:c>
      <x:c r="AF302" s="13" t="str">
        <x:v>aj2-y90-20260714T234810-0bea2f52</x:v>
      </x:c>
      <x:c r="AG302" s="13" t="str">
        <x:v>full-0016</x:v>
      </x:c>
      <x:c r="AH302" s="13" t="str">
        <x:v>full</x:v>
      </x:c>
      <x:c r="AI302" s="13" t="n">
        <x:v>16</x:v>
      </x:c>
    </x:row>
    <x:row r="303" ht="34" customHeight="1">
      <x:c r="A303" s="15" t="str">
        <x:v>sandals with arch support</x:v>
      </x:c>
      <x:c r="B303" s="15" t="str">
        <x:v>sandals with arch support</x:v>
      </x:c>
      <x:c r="C303" s="10" t="str">
        <x:v>150d54aaa5760f39</x:v>
      </x:c>
      <x:c r="D303" s="10" t="str">
        <x:v>keyword</x:v>
      </x:c>
      <x:c r="E303" s="10" t="str">
        <x:v>en</x:v>
      </x:c>
      <x:c r="F303" s="10" t="str">
        <x:v>clothing_shoes_jewelry</x:v>
      </x:c>
      <x:c r="G303" s="15" t="str"/>
      <x:c r="H303" s="15" t="str">
        <x:v>sandals</x:v>
      </x:c>
      <x:c r="I303" s="15" t="str">
        <x:v>general</x:v>
      </x:c>
      <x:c r="J303" s="15" t="str">
        <x:v>foot_comfort</x:v>
      </x:c>
      <x:c r="K303" s="15" t="str">
        <x:v>arch_support</x:v>
      </x:c>
      <x:c r="L303" s="15" t="str"/>
      <x:c r="M303" s="15" t="str"/>
      <x:c r="N303" s="15" t="str">
        <x:v>arch_support</x:v>
      </x:c>
      <x:c r="O303" s="15" t="str"/>
      <x:c r="P303" s="15" t="str"/>
      <x:c r="Q303" s="15" t="str"/>
      <x:c r="R303" s="15" t="str">
        <x:v>用户寻找具有足弓支撑功能的凉鞋，未指定性别或具体款式。</x:v>
      </x:c>
      <x:c r="S303" s="10" t="str">
        <x:v>consideration</x:v>
      </x:c>
      <x:c r="T303" s="15" t="str">
        <x:v>explicit | page_validated | inferred</x:v>
      </x:c>
      <x:c r="U303" s="10" t="str">
        <x:v>high</x:v>
      </x:c>
      <x:c r="V303" s="15" t="str">
        <x:v>sandals_arch_support</x:v>
      </x:c>
      <x:c r="W303" s="15" t="str">
        <x:v>cluster_route</x:v>
      </x:c>
      <x:c r="X303" s="15" t="str">
        <x:v>{"product_type":[{"value":"sandals","evidence_type":"explicit","source_span":"sandals","fact_ids":[],"rationale":""},{"value":"sandals","evidence_type":"page_validated","source_span":"","fact_ids":["title_womens_flip_flop"],"rationale":"该槽位与商品基准中的明示页面事实一致。"}],"capability_intent":[{"value":"arch_support","evidence_type":"explicit","source_span":"arch support","fact_ids":[],"rationale":""},{"value":"arch_support","evidence_type":"page_validated","source_span":"","fact_ids":["arch_support"],"rationale":""}],"audience_intent":[{"value":"general","evidence_type":"inferred","source_span":"","fact_ids":[],"rationale":"未指定性别，面向通用需求"}],"function_intent":[{"value":"foot_comfort","evidence_type":"page_validated","source_span":"","fact_ids":["arch_support","padded_cushioning"],"rationale":"该槽位与商品基准中的明示页面事实一致。"},{"value":"foot_comfor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303" s="15" t="str"/>
      <x:c r="Z303" s="10" t="str">
        <x:v>match</x:v>
      </x:c>
      <x:c r="AA303" s="15" t="str">
        <x:v>arch_support | style_flip_flop</x:v>
      </x:c>
      <x:c r="AB303" s="10" t="str">
        <x:v>accepted</x:v>
      </x:c>
      <x:c r="AC303" s="10" t="str">
        <x:v>1.0.0</x:v>
      </x:c>
      <x:c r="AD303" s="10" t="str">
        <x:v>1.1.0</x:v>
      </x:c>
      <x:c r="AE303" s="10" t="str">
        <x:v>deepseek/deepseek-v4-pro</x:v>
      </x:c>
      <x:c r="AF303" s="10" t="str">
        <x:v>aj2-y90-20260714T234810-0bea2f52</x:v>
      </x:c>
      <x:c r="AG303" s="10" t="str">
        <x:v>full-0016</x:v>
      </x:c>
      <x:c r="AH303" s="10" t="str">
        <x:v>full</x:v>
      </x:c>
      <x:c r="AI303" s="10" t="n">
        <x:v>16</x:v>
      </x:c>
    </x:row>
    <x:row r="304" ht="34" customHeight="1">
      <x:c r="A304" s="16" t="str">
        <x:v>ergonomic flip flops women</x:v>
      </x:c>
      <x:c r="B304" s="16" t="str">
        <x:v>ergonomic flip flops women</x:v>
      </x:c>
      <x:c r="C304" s="13" t="str">
        <x:v>16053eb02cad2abd</x:v>
      </x:c>
      <x:c r="D304" s="13" t="str">
        <x:v>keyword</x:v>
      </x:c>
      <x:c r="E304" s="13" t="str">
        <x:v>en</x:v>
      </x:c>
      <x:c r="F304" s="13" t="str">
        <x:v>clothing_shoes_jewelry</x:v>
      </x:c>
      <x:c r="G304" s="16" t="str"/>
      <x:c r="H304" s="16" t="str">
        <x:v>flip_flops</x:v>
      </x:c>
      <x:c r="I304" s="16" t="str">
        <x:v>women</x:v>
      </x:c>
      <x:c r="J304" s="16" t="str">
        <x:v>foot_comfort</x:v>
      </x:c>
      <x:c r="K304" s="16" t="str">
        <x:v>arch_support</x:v>
      </x:c>
      <x:c r="L304" s="16" t="str"/>
      <x:c r="M304" s="16" t="str"/>
      <x:c r="N304" s="16" t="str">
        <x:v>arch_support</x:v>
      </x:c>
      <x:c r="O304" s="16" t="str"/>
      <x:c r="P304" s="16" t="str"/>
      <x:c r="Q304" s="16" t="str"/>
      <x:c r="R304" s="16" t="str">
        <x:v>用户为女性寻找符合人体工学设计的人字拖，关注足弓支撑与穿着舒适性。</x:v>
      </x:c>
      <x:c r="S304" s="13" t="str">
        <x:v>consideration</x:v>
      </x:c>
      <x:c r="T304" s="16" t="str">
        <x:v>explicit | page_validated</x:v>
      </x:c>
      <x:c r="U304" s="13" t="str">
        <x:v>high</x:v>
      </x:c>
      <x:c r="V304" s="16" t="str">
        <x:v>womens_ergonomic_flip_flops</x:v>
      </x:c>
      <x:c r="W304" s="16" t="str">
        <x:v>cluster_route</x:v>
      </x:c>
      <x:c r="X304" s="16" t="str">
        <x:v>{"product_type":[{"value":"flip_flops","evidence_type":"explicit","source_span":"flip flops","fact_ids":[],"rationale":""},{"value":"flip_flops","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capability_intent":[{"value":"arch_support","evidence_type":"explicit","source_span":"ergonomic","fact_ids":[],"rationale":""},{"value":"arch_support","evidence_type":"page_validated","source_span":"","fact_ids":["arch_support"],"rationale":""},{"value":"arch_support","evidence_type":"inferred","source_span":"","fact_ids":[],"rationale":"该能力由搜索词表达的任务或问题推断；页面事实仅用于验证商品承接。"}],"function_intent":[{"value":"foot_comfort","evidence_type":"page_validated","source_span":"","fact_ids":["arch_support","padded_cushioning"],"rationale":"该槽位与商品基准中的明示页面事实一致。"},{"value":"foot_comfor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304" s="16" t="str"/>
      <x:c r="Z304" s="13" t="str">
        <x:v>match</x:v>
      </x:c>
      <x:c r="AA304" s="16" t="str">
        <x:v>arch_support | style_flip_flop | title_womens_flip_flop</x:v>
      </x:c>
      <x:c r="AB304" s="13" t="str">
        <x:v>accepted</x:v>
      </x:c>
      <x:c r="AC304" s="13" t="str">
        <x:v>1.0.0</x:v>
      </x:c>
      <x:c r="AD304" s="13" t="str">
        <x:v>1.1.0</x:v>
      </x:c>
      <x:c r="AE304" s="13" t="str">
        <x:v>deepseek/deepseek-v4-pro</x:v>
      </x:c>
      <x:c r="AF304" s="13" t="str">
        <x:v>aj2-y90-20260714T234810-0bea2f52</x:v>
      </x:c>
      <x:c r="AG304" s="13" t="str">
        <x:v>full-0016</x:v>
      </x:c>
      <x:c r="AH304" s="13" t="str">
        <x:v>full</x:v>
      </x:c>
      <x:c r="AI304" s="13" t="n">
        <x:v>16</x:v>
      </x:c>
    </x:row>
    <x:row r="305" ht="34" customHeight="1">
      <x:c r="A305" s="15" t="str">
        <x:v>beach slippers for women</x:v>
      </x:c>
      <x:c r="B305" s="15" t="str">
        <x:v>beach slippers for women</x:v>
      </x:c>
      <x:c r="C305" s="10" t="str">
        <x:v>1842d95a9283c138</x:v>
      </x:c>
      <x:c r="D305" s="10" t="str">
        <x:v>keyword</x:v>
      </x:c>
      <x:c r="E305" s="10" t="str">
        <x:v>en</x:v>
      </x:c>
      <x:c r="F305" s="10" t="str">
        <x:v>clothing_shoes_jewelry</x:v>
      </x:c>
      <x:c r="G305" s="15" t="str">
        <x:v>sports_outdoors</x:v>
      </x:c>
      <x:c r="H305" s="15" t="str">
        <x:v>slippers | flip_flops</x:v>
      </x:c>
      <x:c r="I305" s="15" t="str">
        <x:v>women</x:v>
      </x:c>
      <x:c r="J305" s="15" t="str"/>
      <x:c r="K305" s="15" t="str"/>
      <x:c r="L305" s="15" t="str">
        <x:v>beach</x:v>
      </x:c>
      <x:c r="M305" s="15" t="str">
        <x:v>beach | outdoor</x:v>
      </x:c>
      <x:c r="N305" s="15" t="str"/>
      <x:c r="O305" s="15" t="str"/>
      <x:c r="P305" s="15" t="str"/>
      <x:c r="Q305" s="15" t="str"/>
      <x:c r="R305" s="15" t="str">
        <x:v>用户为女性寻找适合沙滩穿着的拖鞋，关注户外场景适用性。</x:v>
      </x:c>
      <x:c r="S305" s="10" t="str">
        <x:v>exploration</x:v>
      </x:c>
      <x:c r="T305" s="15" t="str">
        <x:v>explicit | page_validated | inferred</x:v>
      </x:c>
      <x:c r="U305" s="10" t="str">
        <x:v>high</x:v>
      </x:c>
      <x:c r="V305" s="15" t="str">
        <x:v>womens_beach_slippers</x:v>
      </x:c>
      <x:c r="W305" s="15" t="str">
        <x:v>cluster_route</x:v>
      </x:c>
      <x:c r="X305" s="15" t="str">
        <x:v>{"product_type":[{"value":"slippers","evidence_type":"explicit","source_span":"slippers","fact_ids":[],"rationale":""},{"value":"flip_flops","evidence_type":"inferred","source_span":"","fact_ids":[],"rationale":"beach slippers通常指人字拖类沙滩鞋"},{"value":"flip_flops","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location_intent":[{"value":"beach","evidence_type":"explicit","source_span":"beach","fact_ids":[],"rationale":""},{"value":"outdoor","evidence_type":"page_validated","source_span":"","fact_ids":["style_outdoor"],"rationale":""},{"value":"outdoor","evidence_type":"inferred","source_span":"","fact_ids":[],"rationale":"该能力由搜索词表达的任务或问题推断；页面事实仅用于验证商品承接。"}],"event_intent":[{"value":"beach","evidence_type":"explicit","source_span":"beach","fact_ids":[],"rationale":""}],"secondary_domain":[{"value":"sports_outdoors","evidence_type":"inferred","source_span":"","fact_ids":[],"rationale":"该值由搜索词整体语义推断，未作为页面明示属性。"}],"primary_domain":[{"value":"clothing_shoes_jewelry","evidence_type":"inferred","source_span":"","fact_ids":[],"rationale":"该值由搜索词整体语义推断，未作为页面明示属性。"}]}</x:v>
      </x:c>
      <x:c r="Y305" s="15" t="str"/>
      <x:c r="Z305" s="10" t="str">
        <x:v>match</x:v>
      </x:c>
      <x:c r="AA305" s="15" t="str">
        <x:v>style_outdoor | style_flip_flop | title_womens_flip_flop</x:v>
      </x:c>
      <x:c r="AB305" s="10" t="str">
        <x:v>accepted</x:v>
      </x:c>
      <x:c r="AC305" s="10" t="str">
        <x:v>1.0.0</x:v>
      </x:c>
      <x:c r="AD305" s="10" t="str">
        <x:v>1.1.0</x:v>
      </x:c>
      <x:c r="AE305" s="10" t="str">
        <x:v>deepseek/deepseek-v4-pro</x:v>
      </x:c>
      <x:c r="AF305" s="10" t="str">
        <x:v>aj2-y90-20260714T234810-0bea2f52</x:v>
      </x:c>
      <x:c r="AG305" s="10" t="str">
        <x:v>full-0016</x:v>
      </x:c>
      <x:c r="AH305" s="10" t="str">
        <x:v>full</x:v>
      </x:c>
      <x:c r="AI305" s="10" t="n">
        <x:v>16</x:v>
      </x:c>
    </x:row>
    <x:row r="306" ht="34" customHeight="1">
      <x:c r="A306" s="16" t="str">
        <x:v>flip flops for women with arch support comfortable summer beach thong sandals for walking slides women</x:v>
      </x:c>
      <x:c r="B306" s="16" t="str">
        <x:v>flip flops for women with arch support comfortable summer beach thong sandals for walking slides women</x:v>
      </x:c>
      <x:c r="C306" s="13" t="str">
        <x:v>2228b6921e208440</x:v>
      </x:c>
      <x:c r="D306" s="13" t="str">
        <x:v>keyword</x:v>
      </x:c>
      <x:c r="E306" s="13" t="str">
        <x:v>en</x:v>
      </x:c>
      <x:c r="F306" s="13" t="str">
        <x:v>clothing_shoes_jewelry</x:v>
      </x:c>
      <x:c r="G306" s="16" t="str">
        <x:v>sports_outdoors</x:v>
      </x:c>
      <x:c r="H306" s="16" t="str">
        <x:v>flip_flops | thong_sandals | slides</x:v>
      </x:c>
      <x:c r="I306" s="16" t="str">
        <x:v>women</x:v>
      </x:c>
      <x:c r="J306" s="16" t="str">
        <x:v>foot_comfort | walking</x:v>
      </x:c>
      <x:c r="K306" s="16" t="str">
        <x:v>arch_support | slip_resistant | lightweight</x:v>
      </x:c>
      <x:c r="L306" s="16" t="str">
        <x:v>beach | summer</x:v>
      </x:c>
      <x:c r="M306" s="16" t="str">
        <x:v>beach | outdoor</x:v>
      </x:c>
      <x:c r="N306" s="16" t="str">
        <x:v>arch_support</x:v>
      </x:c>
      <x:c r="O306" s="16" t="str">
        <x:v>summer</x:v>
      </x:c>
      <x:c r="P306" s="16" t="str"/>
      <x:c r="Q306" s="16" t="str"/>
      <x:c r="R306" s="16" t="str">
        <x:v>用户为女性寻找夏季沙滩穿着、具有足弓支撑、舒适透气且适合步行的夹趾凉鞋。</x:v>
      </x:c>
      <x:c r="S306" s="13" t="str">
        <x:v>consideration</x:v>
      </x:c>
      <x:c r="T306" s="16" t="str">
        <x:v>explicit | page_validated | inferred</x:v>
      </x:c>
      <x:c r="U306" s="13" t="str">
        <x:v>medium</x:v>
      </x:c>
      <x:c r="V306" s="16" t="str">
        <x:v>womens_arch_support_beach_flip_flops</x:v>
      </x:c>
      <x:c r="W306" s="16" t="str">
        <x:v>cluster_route</x:v>
      </x:c>
      <x:c r="X306" s="16" t="str">
        <x:v>{"product_type":[{"value":"flip_flops","evidence_type":"explicit","source_span":"flip flops","fact_ids":[],"rationale":""},{"value":"thong_sandals","evidence_type":"explicit","source_span":"thong sandals","fact_ids":[],"rationale":""},{"value":"slides","evidence_type":"explicit","source_span":"slides","fact_ids":[],"rationale":""},{"value":"flip_flops","evidence_type":"page_validated","source_span":"","fact_ids":["style_flip_flop"],"rationale":"该槽位与商品基准中的明示页面事实一致。"},{"value":"thong_sandals","evidence_type":"page_validated","source_span":"","fact_ids":["style_thong","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capability_intent":[{"value":"arch_support","evidence_type":"explicit","source_span":"arch support","fact_ids":[],"rationale":""},{"value":"arch_support","evidence_type":"page_validated","source_span":"","fact_ids":["arch_support"],"rationale":""},{"value":"lightweight","evidence_type":"inferred","source_span":"comfortable","fact_ids":[],"rationale":""},{"value":"slip_resistant","evidence_type":"page_validated","source_span":"","fact_ids":["slip_resistant_grip"],"rationale":"该槽位与商品基准中的明示页面事实一致。"},{"value":"slip_resistant","evidence_type":"inferred","source_span":"","fact_ids":[],"rationale":"该能力由搜索词表达的任务或问题推断；页面事实仅用于验证商品承接。"},{"value":"lightweight","evidence_type":"page_validated","source_span":"","fact_ids":["lightweight_breathable"],"rationale":"该槽位与商品基准中的明示页面事实一致。"}],"event_intent":[{"value":"beach","evidence_type":"explicit","source_span":"beach","fact_ids":[],"rationale":""},{"value":"summer","evidence_type":"explicit","source_span":"summer","fact_ids":[],"rationale":""}],"location_intent":[{"value":"beach","evidence_type":"explicit","source_span":"beach","fact_ids":[],"rationale":""},{"value":"outdoor","evidence_type":"page_validated","source_span":"","fact_ids":["style_outdoor"],"rationale":""},{"value":"outdoor","evidence_type":"inferred","source_span":"","fact_ids":[],"rationale":"该能力由搜索词表达的任务或问题推断；页面事实仅用于验证商品承接。"}],"time_intent":[{"value":"summer","evidence_type":"explicit","source_span":"summer","fact_ids":[],"rationale":""}],"function_intent":[{"value":"walking","evidence_type":"explicit","source_span":"walking","fact_ids":[],"rationale":""},{"value":"foot_comfort","evidence_type":"page_validated","source_span":"","fact_ids":["arch_support","padded_cushioning"],"rationale":"该槽位与商品基准中的明示页面事实一致。"},{"value":"foot_comfort","evidence_type":"inferred","source_span":"","fact_ids":[],"rationale":"该能力由搜索词表达的任务或问题推断；页面事实仅用于验证商品承接。"}],"secondary_domain":[{"value":"sports_outdoors","evidence_type":"inferred","source_span":"","fact_ids":[],"rationale":"该值由搜索词整体语义推断，未作为页面明示属性。"}],"primary_domain":[{"value":"clothing_shoes_jewelry","evidence_type":"inferred","source_span":"","fact_ids":[],"rationale":"该值由搜索词整体语义推断，未作为页面明示属性。"}]}</x:v>
      </x:c>
      <x:c r="Y306" s="16" t="str">
        <x:v>slides_vs_flip_flops_product_type_conflict</x:v>
      </x:c>
      <x:c r="Z306" s="13" t="str">
        <x:v>partial_match</x:v>
      </x:c>
      <x:c r="AA306" s="16" t="str">
        <x:v>arch_support | style_flip_flop | title_womens_flip_flop | style_thong | style_outdoor | lightweight_breathable | padded_cushioning | slip_resistant_grip</x:v>
      </x:c>
      <x:c r="AB306" s="13" t="str">
        <x:v>accepted</x:v>
      </x:c>
      <x:c r="AC306" s="13" t="str">
        <x:v>1.0.0</x:v>
      </x:c>
      <x:c r="AD306" s="13" t="str">
        <x:v>1.1.0</x:v>
      </x:c>
      <x:c r="AE306" s="13" t="str">
        <x:v>deepseek/deepseek-v4-pro</x:v>
      </x:c>
      <x:c r="AF306" s="13" t="str">
        <x:v>aj2-y90-20260714T234810-0bea2f52</x:v>
      </x:c>
      <x:c r="AG306" s="13" t="str">
        <x:v>full-0016</x:v>
      </x:c>
      <x:c r="AH306" s="13" t="str">
        <x:v>full</x:v>
      </x:c>
      <x:c r="AI306" s="13" t="n">
        <x:v>16</x:v>
      </x:c>
    </x:row>
    <x:row r="307" ht="34" customHeight="1">
      <x:c r="A307" s="15" t="str">
        <x:v>womens flip flops size 10</x:v>
      </x:c>
      <x:c r="B307" s="15" t="str">
        <x:v>womens flip flops size 10</x:v>
      </x:c>
      <x:c r="C307" s="10" t="str">
        <x:v>3ae1eb42c2906ea5</x:v>
      </x:c>
      <x:c r="D307" s="10" t="str">
        <x:v>keyword</x:v>
      </x:c>
      <x:c r="E307" s="10" t="str">
        <x:v>en</x:v>
      </x:c>
      <x:c r="F307" s="10" t="str">
        <x:v>clothing_shoes_jewelry</x:v>
      </x:c>
      <x:c r="G307" s="15" t="str"/>
      <x:c r="H307" s="15" t="str">
        <x:v>flip_flops</x:v>
      </x:c>
      <x:c r="I307" s="15" t="str">
        <x:v>women</x:v>
      </x:c>
      <x:c r="J307" s="15" t="str"/>
      <x:c r="K307" s="15" t="str"/>
      <x:c r="L307" s="15" t="str"/>
      <x:c r="M307" s="15" t="str"/>
      <x:c r="N307" s="15" t="str"/>
      <x:c r="O307" s="15" t="str"/>
      <x:c r="P307" s="15" t="str"/>
      <x:c r="Q307" s="15" t="str"/>
      <x:c r="R307" s="15" t="str">
        <x:v>用户为女性选购10码人字拖，对款式与功能无进一步要求。</x:v>
      </x:c>
      <x:c r="S307" s="10" t="str">
        <x:v>high_intent</x:v>
      </x:c>
      <x:c r="T307" s="15" t="str">
        <x:v>explicit | page_validated</x:v>
      </x:c>
      <x:c r="U307" s="10" t="str">
        <x:v>high</x:v>
      </x:c>
      <x:c r="V307" s="15" t="str">
        <x:v>womens_flip_flops_by_size</x:v>
      </x:c>
      <x:c r="W307" s="15" t="str">
        <x:v>cluster_route</x:v>
      </x:c>
      <x:c r="X307" s="15" t="str">
        <x:v>{"product_type":[{"value":"flip_flops","evidence_type":"explicit","source_span":"flip flops","fact_ids":[],"rationale":""},{"value":"flip_flops","evidence_type":"page_validated","source_span":"","fact_ids":["style_flip_flop"],"rationale":"该槽位与商品基准中的明示页面事实一致。"}],"audience_intent":[{"value":"women","evidence_type":"explicit","source_span":"womens","fact_ids":[],"rationale":""},{"value":"women","evidence_type":"page_validated","source_span":"","fact_ids":["title_womens_flip_flop"],"rationale":"该槽位与商品基准中的明示页面事实一致。"}],"size":[{"value":"us_10","evidence_type":"explicit","source_span":"size 10","fact_ids":[],"rationale":""},{"value":"us_10","evidence_type":"page_validated","source_span":"","fact_ids":["sizes_6_11"],"rationale":""}],"primary_domain":[{"value":"clothing_shoes_jewelry","evidence_type":"inferred","source_span":"","fact_ids":[],"rationale":"该值由搜索词整体语义推断，未作为页面明示属性。"}]}</x:v>
      </x:c>
      <x:c r="Y307" s="15" t="str"/>
      <x:c r="Z307" s="10" t="str">
        <x:v>match</x:v>
      </x:c>
      <x:c r="AA307" s="15" t="str">
        <x:v>sizes_6_11 | style_flip_flop | title_womens_flip_flop</x:v>
      </x:c>
      <x:c r="AB307" s="10" t="str">
        <x:v>accepted</x:v>
      </x:c>
      <x:c r="AC307" s="10" t="str">
        <x:v>1.0.0</x:v>
      </x:c>
      <x:c r="AD307" s="10" t="str">
        <x:v>1.1.0</x:v>
      </x:c>
      <x:c r="AE307" s="10" t="str">
        <x:v>deepseek/deepseek-v4-pro</x:v>
      </x:c>
      <x:c r="AF307" s="10" t="str">
        <x:v>aj2-y90-20260714T234810-0bea2f52</x:v>
      </x:c>
      <x:c r="AG307" s="10" t="str">
        <x:v>full-0016</x:v>
      </x:c>
      <x:c r="AH307" s="10" t="str">
        <x:v>full</x:v>
      </x:c>
      <x:c r="AI307" s="10" t="n">
        <x:v>16</x:v>
      </x:c>
    </x:row>
    <x:row r="308" ht="34" customHeight="1">
      <x:c r="A308" s="16" t="str">
        <x:v>flipflops sale</x:v>
      </x:c>
      <x:c r="B308" s="16" t="str">
        <x:v>flipflops sale</x:v>
      </x:c>
      <x:c r="C308" s="13" t="str">
        <x:v>3d240ac56ec339a9</x:v>
      </x:c>
      <x:c r="D308" s="13" t="str">
        <x:v>keyword</x:v>
      </x:c>
      <x:c r="E308" s="13" t="str">
        <x:v>en</x:v>
      </x:c>
      <x:c r="F308" s="13" t="str">
        <x:v>clothing_shoes_jewelry</x:v>
      </x:c>
      <x:c r="G308" s="16" t="str"/>
      <x:c r="H308" s="16" t="str">
        <x:v>flip_flops</x:v>
      </x:c>
      <x:c r="I308" s="16" t="str">
        <x:v>general</x:v>
      </x:c>
      <x:c r="J308" s="16" t="str">
        <x:v>bargain_seeking</x:v>
      </x:c>
      <x:c r="K308" s="16" t="str"/>
      <x:c r="L308" s="16" t="str"/>
      <x:c r="M308" s="16" t="str"/>
      <x:c r="N308" s="16" t="str"/>
      <x:c r="O308" s="16" t="str"/>
      <x:c r="P308" s="16" t="str"/>
      <x:c r="Q308" s="16" t="str"/>
      <x:c r="R308" s="16" t="str">
        <x:v>用户想购买正在打折促销的人字拖，未限定性别、尺码或特定功能需求。</x:v>
      </x:c>
      <x:c r="S308" s="13" t="str">
        <x:v>high_intent</x:v>
      </x:c>
      <x:c r="T308" s="16" t="str">
        <x:v>explicit | inferred</x:v>
      </x:c>
      <x:c r="U308" s="13" t="str">
        <x:v>medium</x:v>
      </x:c>
      <x:c r="V308" s="16" t="str">
        <x:v>flip_flops_sale</x:v>
      </x:c>
      <x:c r="W308" s="16" t="str">
        <x:v>cluster_route</x:v>
      </x:c>
      <x:c r="X308" s="16" t="str">
        <x:v>{"product_type":[{"value":"flip_flops","evidence_type":"explicit","source_span":"flipflops","fact_ids":[],"rationale":""},{"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function_intent":[{"value":"bargain_seeking","evidence_type":"explicit","source_span":"sale","fact_ids":[],"rationale":""}],"audience_intent":[{"value":"general","evidence_type":"inferred","source_span":"","fact_ids":[],"rationale":"未指定性别限定词，默认面向通用人群"}],"primary_domain":[{"value":"clothing_shoes_jewelry","evidence_type":"inferred","source_span":"","fact_ids":[],"rationale":"该值由搜索词整体语义推断，未作为页面明示属性。"}]}</x:v>
      </x:c>
      <x:c r="Y308" s="16" t="str"/>
      <x:c r="Z308" s="13" t="str">
        <x:v>partial_match</x:v>
      </x:c>
      <x:c r="AA308" s="16" t="str">
        <x:v>style_flip_flop | title_womens_flip_flop</x:v>
      </x:c>
      <x:c r="AB308" s="13" t="str">
        <x:v>accepted</x:v>
      </x:c>
      <x:c r="AC308" s="13" t="str">
        <x:v>1.0.0</x:v>
      </x:c>
      <x:c r="AD308" s="13" t="str">
        <x:v>1.1.0</x:v>
      </x:c>
      <x:c r="AE308" s="13" t="str">
        <x:v>deepseek/deepseek-v4-pro</x:v>
      </x:c>
      <x:c r="AF308" s="13" t="str">
        <x:v>aj2-y90-20260714T234810-0bea2f52</x:v>
      </x:c>
      <x:c r="AG308" s="13" t="str">
        <x:v>full-0016</x:v>
      </x:c>
      <x:c r="AH308" s="13" t="str">
        <x:v>full</x:v>
      </x:c>
      <x:c r="AI308" s="13" t="n">
        <x:v>16</x:v>
      </x:c>
    </x:row>
    <x:row r="309" ht="34" customHeight="1">
      <x:c r="A309" s="15" t="str">
        <x:v>joomra sl</x:v>
      </x:c>
      <x:c r="B309" s="15" t="str">
        <x:v>joomra sl</x:v>
      </x:c>
      <x:c r="C309" s="10" t="str">
        <x:v>5a103ec9c09c3cbd</x:v>
      </x:c>
      <x:c r="D309" s="10" t="str">
        <x:v>keyword</x:v>
      </x:c>
      <x:c r="E309" s="10" t="str">
        <x:v>en</x:v>
      </x:c>
      <x:c r="F309" s="10" t="str">
        <x:v>clothing_shoes_jewelry</x:v>
      </x:c>
      <x:c r="G309" s="15" t="str"/>
      <x:c r="H309" s="15" t="str">
        <x:v>sandals</x:v>
      </x:c>
      <x:c r="I309" s="15" t="str">
        <x:v>women</x:v>
      </x:c>
      <x:c r="J309" s="15" t="str"/>
      <x:c r="K309" s="15" t="str"/>
      <x:c r="L309" s="15" t="str"/>
      <x:c r="M309" s="15" t="str"/>
      <x:c r="N309" s="15" t="str"/>
      <x:c r="O309" s="15" t="str"/>
      <x:c r="P309" s="15" t="str"/>
      <x:c r="Q309" s="15" t="str"/>
      <x:c r="R309" s="15" t="str">
        <x:v>用户直接搜索joomra品牌的产品，sl可能指slides/sandals，面向该品牌女性拖鞋或凉鞋。</x:v>
      </x:c>
      <x:c r="S309" s="10" t="str">
        <x:v>brand_harvest</x:v>
      </x:c>
      <x:c r="T309" s="15" t="str">
        <x:v>explicit | page_validated | inferred</x:v>
      </x:c>
      <x:c r="U309" s="10" t="str">
        <x:v>high</x:v>
      </x:c>
      <x:c r="V309" s="15" t="str">
        <x:v>joomra_brand_search</x:v>
      </x:c>
      <x:c r="W309" s="15" t="str">
        <x:v>cluster_route</x:v>
      </x:c>
      <x:c r="X309" s="15" t="str">
        <x:v>{"product_type":[{"value":"sandals","evidence_type":"inferred","source_span":"sl","fact_ids":[],"rationale":"sl疑为slides/sandals缩写"},{"value":"sandals","evidence_type":"page_validated","source_span":"","fact_ids":["title_womens_flip_flop"],"rationale":"该槽位与商品基准中的明示页面事实一致。"}],"audience_intent":[{"value":"women","evidence_type":"page_validated","source_span":"","fact_ids":["title_womens_flip_flop"],"rationale":""},{"value":"women","evidence_type":"inferred","source_span":"","fact_ids":[],"rationale":"该能力由搜索词表达的任务或问题推断；页面事实仅用于验证商品承接。"}],"brand":[{"value":"joomra","evidence_type":"explicit","source_span":"joomra","fact_ids":[],"rationale":"搜索词明确包含品牌名称。"}],"primary_domain":[{"value":"clothing_shoes_jewelry","evidence_type":"inferred","source_span":"","fact_ids":[],"rationale":"该值由搜索词整体语义推断，未作为页面明示属性。"}]}</x:v>
      </x:c>
      <x:c r="Y309" s="15" t="str">
        <x:v>sl_may_mean_slides_or_sandals</x:v>
      </x:c>
      <x:c r="Z309" s="10" t="str">
        <x:v>match</x:v>
      </x:c>
      <x:c r="AA309" s="15" t="str">
        <x:v>title_womens_flip_flop | style_flip_flop</x:v>
      </x:c>
      <x:c r="AB309" s="10" t="str">
        <x:v>accepted</x:v>
      </x:c>
      <x:c r="AC309" s="10" t="str">
        <x:v>1.0.0</x:v>
      </x:c>
      <x:c r="AD309" s="10" t="str">
        <x:v>1.1.0</x:v>
      </x:c>
      <x:c r="AE309" s="10" t="str">
        <x:v>deepseek/deepseek-v4-pro</x:v>
      </x:c>
      <x:c r="AF309" s="10" t="str">
        <x:v>aj2-y90-20260714T234810-0bea2f52</x:v>
      </x:c>
      <x:c r="AG309" s="10" t="str">
        <x:v>full-0016</x:v>
      </x:c>
      <x:c r="AH309" s="10" t="str">
        <x:v>full</x:v>
      </x:c>
      <x:c r="AI309" s="10" t="n">
        <x:v>16</x:v>
      </x:c>
    </x:row>
    <x:row r="310" ht="34" customHeight="1">
      <x:c r="A310" s="16" t="str">
        <x:v>size 7 sandals women</x:v>
      </x:c>
      <x:c r="B310" s="16" t="str">
        <x:v>size 7 sandals women</x:v>
      </x:c>
      <x:c r="C310" s="13" t="str">
        <x:v>6127e406a7d39810</x:v>
      </x:c>
      <x:c r="D310" s="13" t="str">
        <x:v>keyword</x:v>
      </x:c>
      <x:c r="E310" s="13" t="str">
        <x:v>en</x:v>
      </x:c>
      <x:c r="F310" s="13" t="str">
        <x:v>clothing_shoes_jewelry</x:v>
      </x:c>
      <x:c r="G310" s="16" t="str"/>
      <x:c r="H310" s="16" t="str">
        <x:v>sandals</x:v>
      </x:c>
      <x:c r="I310" s="16" t="str">
        <x:v>women</x:v>
      </x:c>
      <x:c r="J310" s="16" t="str"/>
      <x:c r="K310" s="16" t="str"/>
      <x:c r="L310" s="16" t="str"/>
      <x:c r="M310" s="16" t="str"/>
      <x:c r="N310" s="16" t="str"/>
      <x:c r="O310" s="16" t="str"/>
      <x:c r="P310" s="16" t="str"/>
      <x:c r="Q310" s="16" t="str"/>
      <x:c r="R310" s="16" t="str">
        <x:v>用户为女性选购7码凉鞋，未对款式或功能做进一步限定。</x:v>
      </x:c>
      <x:c r="S310" s="13" t="str">
        <x:v>high_intent</x:v>
      </x:c>
      <x:c r="T310" s="16" t="str">
        <x:v>explicit | page_validated</x:v>
      </x:c>
      <x:c r="U310" s="13" t="str">
        <x:v>high</x:v>
      </x:c>
      <x:c r="V310" s="16" t="str">
        <x:v>womens_sandals_by_size</x:v>
      </x:c>
      <x:c r="W310" s="16" t="str">
        <x:v>cluster_route</x:v>
      </x:c>
      <x:c r="X310" s="16" t="str">
        <x:v>{"product_type":[{"value":"sandals","evidence_type":"explicit","source_span":"sandals","fact_ids":[],"rationale":""},{"value":"sandals","evidence_type":"page_validated","source_span":"","fact_ids":["title_womens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size":[{"value":"us_7","evidence_type":"explicit","source_span":"size 7","fact_ids":[],"rationale":""},{"value":"us_7","evidence_type":"page_validated","source_span":"","fact_ids":["sizes_6_11"],"rationale":""}],"primary_domain":[{"value":"clothing_shoes_jewelry","evidence_type":"inferred","source_span":"","fact_ids":[],"rationale":"该值由搜索词整体语义推断，未作为页面明示属性。"}]}</x:v>
      </x:c>
      <x:c r="Y310" s="16" t="str"/>
      <x:c r="Z310" s="13" t="str">
        <x:v>match</x:v>
      </x:c>
      <x:c r="AA310" s="16" t="str">
        <x:v>sizes_6_11 | title_womens_flip_flop</x:v>
      </x:c>
      <x:c r="AB310" s="13" t="str">
        <x:v>accepted</x:v>
      </x:c>
      <x:c r="AC310" s="13" t="str">
        <x:v>1.0.0</x:v>
      </x:c>
      <x:c r="AD310" s="13" t="str">
        <x:v>1.1.0</x:v>
      </x:c>
      <x:c r="AE310" s="13" t="str">
        <x:v>deepseek/deepseek-v4-pro</x:v>
      </x:c>
      <x:c r="AF310" s="13" t="str">
        <x:v>aj2-y90-20260714T234810-0bea2f52</x:v>
      </x:c>
      <x:c r="AG310" s="13" t="str">
        <x:v>full-0016</x:v>
      </x:c>
      <x:c r="AH310" s="13" t="str">
        <x:v>full</x:v>
      </x:c>
      <x:c r="AI310" s="13" t="n">
        <x:v>16</x:v>
      </x:c>
    </x:row>
    <x:row r="311" ht="34" customHeight="1">
      <x:c r="A311" s="15" t="str">
        <x:v>women's flip-flops with toe strap</x:v>
      </x:c>
      <x:c r="B311" s="15" t="str">
        <x:v>women's flip-flops with toe strap</x:v>
      </x:c>
      <x:c r="C311" s="10" t="str">
        <x:v>77dab32d3946fb4e</x:v>
      </x:c>
      <x:c r="D311" s="10" t="str">
        <x:v>keyword</x:v>
      </x:c>
      <x:c r="E311" s="10" t="str">
        <x:v>en</x:v>
      </x:c>
      <x:c r="F311" s="10" t="str">
        <x:v>clothing_shoes_jewelry</x:v>
      </x:c>
      <x:c r="G311" s="15" t="str"/>
      <x:c r="H311" s="15" t="str">
        <x:v>flip_flops</x:v>
      </x:c>
      <x:c r="I311" s="15" t="str">
        <x:v>women</x:v>
      </x:c>
      <x:c r="J311" s="15" t="str"/>
      <x:c r="K311" s="15" t="str">
        <x:v>toe_strap</x:v>
      </x:c>
      <x:c r="L311" s="15" t="str"/>
      <x:c r="M311" s="15" t="str"/>
      <x:c r="N311" s="15" t="str"/>
      <x:c r="O311" s="15" t="str"/>
      <x:c r="P311" s="15" t="str"/>
      <x:c r="Q311" s="15" t="str"/>
      <x:c r="R311" s="15" t="str">
        <x:v>用户为女性寻找带脚趾夹带设计的人字拖，关注特定鞋带结构。</x:v>
      </x:c>
      <x:c r="S311" s="10" t="str">
        <x:v>consideration</x:v>
      </x:c>
      <x:c r="T311" s="15" t="str">
        <x:v>explicit | page_validated</x:v>
      </x:c>
      <x:c r="U311" s="10" t="str">
        <x:v>high</x:v>
      </x:c>
      <x:c r="V311" s="15" t="str">
        <x:v>womens_flip_flops_toe_strap</x:v>
      </x:c>
      <x:c r="W311" s="15" t="str">
        <x:v>cluster_route</x:v>
      </x:c>
      <x:c r="X311" s="15" t="str">
        <x:v>{"product_type":[{"value":"flip_flops","evidence_type":"explicit","source_span":"flip-flops","fact_ids":[],"rationale":""},{"value":"flip_flops","evidence_type":"page_validated","source_span":"","fact_ids":["style_flip_flop"],"rationale":"该槽位与商品基准中的明示页面事实一致。"}],"audience_intent":[{"value":"women","evidence_type":"explicit","source_span":"women's","fact_ids":[],"rationale":""},{"value":"women","evidence_type":"page_validated","source_span":"","fact_ids":["title_womens_flip_flop"],"rationale":"该槽位与商品基准中的明示页面事实一致。"}],"capability_intent":[{"value":"toe_strap","evidence_type":"explicit","source_span":"toe strap","fact_ids":[],"rationale":""},{"value":"toe_strap","evidence_type":"page_validated","source_span":"","fact_ids":["style_thong","soft_toe_post"],"rationale":""}],"primary_domain":[{"value":"clothing_shoes_jewelry","evidence_type":"inferred","source_span":"","fact_ids":[],"rationale":"该值由搜索词整体语义推断，未作为页面明示属性。"}]}</x:v>
      </x:c>
      <x:c r="Y311" s="15" t="str"/>
      <x:c r="Z311" s="10" t="str">
        <x:v>match</x:v>
      </x:c>
      <x:c r="AA311" s="15" t="str">
        <x:v>style_thong | soft_toe_post | style_flip_flop | title_womens_flip_flop</x:v>
      </x:c>
      <x:c r="AB311" s="10" t="str">
        <x:v>accepted</x:v>
      </x:c>
      <x:c r="AC311" s="10" t="str">
        <x:v>1.0.0</x:v>
      </x:c>
      <x:c r="AD311" s="10" t="str">
        <x:v>1.1.0</x:v>
      </x:c>
      <x:c r="AE311" s="10" t="str">
        <x:v>deepseek/deepseek-v4-pro</x:v>
      </x:c>
      <x:c r="AF311" s="10" t="str">
        <x:v>aj2-y90-20260714T234810-0bea2f52</x:v>
      </x:c>
      <x:c r="AG311" s="10" t="str">
        <x:v>full-0016</x:v>
      </x:c>
      <x:c r="AH311" s="10" t="str">
        <x:v>full</x:v>
      </x:c>
      <x:c r="AI311" s="10" t="n">
        <x:v>16</x:v>
      </x:c>
    </x:row>
    <x:row r="312" ht="34" customHeight="1">
      <x:c r="A312" s="16" t="str">
        <x:v>thongs sandals</x:v>
      </x:c>
      <x:c r="B312" s="16" t="str">
        <x:v>thongs sandals</x:v>
      </x:c>
      <x:c r="C312" s="13" t="str">
        <x:v>809ab2ee198d7698</x:v>
      </x:c>
      <x:c r="D312" s="13" t="str">
        <x:v>keyword</x:v>
      </x:c>
      <x:c r="E312" s="13" t="str">
        <x:v>en</x:v>
      </x:c>
      <x:c r="F312" s="13" t="str">
        <x:v>clothing_shoes_jewelry</x:v>
      </x:c>
      <x:c r="G312" s="16" t="str"/>
      <x:c r="H312" s="16" t="str">
        <x:v>thong_sandals | flip_flops</x:v>
      </x:c>
      <x:c r="I312" s="16" t="str">
        <x:v>general</x:v>
      </x:c>
      <x:c r="J312" s="16" t="str"/>
      <x:c r="K312" s="16" t="str"/>
      <x:c r="L312" s="16" t="str"/>
      <x:c r="M312" s="16" t="str"/>
      <x:c r="N312" s="16" t="str"/>
      <x:c r="O312" s="16" t="str"/>
      <x:c r="P312" s="16" t="str"/>
      <x:c r="Q312" s="16" t="str"/>
      <x:c r="R312" s="16" t="str">
        <x:v>用户搜索夹趾凉鞋或人字拖款式，未指定性别、尺码或具体功能需求。</x:v>
      </x:c>
      <x:c r="S312" s="13" t="str">
        <x:v>exploration</x:v>
      </x:c>
      <x:c r="T312" s="16" t="str">
        <x:v>explicit | inferred | page_validated</x:v>
      </x:c>
      <x:c r="U312" s="13" t="str">
        <x:v>high</x:v>
      </x:c>
      <x:c r="V312" s="16" t="str">
        <x:v>thong_sandals</x:v>
      </x:c>
      <x:c r="W312" s="16" t="str">
        <x:v>cluster_route</x:v>
      </x:c>
      <x:c r="X312" s="16" t="str">
        <x:v>{"product_type":[{"value":"thong_sandals","evidence_type":"explicit","source_span":"thongs sandals","fact_ids":[],"rationale":""},{"value":"flip_flops","evidence_type":"page_validated","source_span":"","fact_ids":["style_thong","style_flip_flop"],"rationale":""},{"value":"thong_sandals","evidence_type":"page_validated","source_span":"","fact_ids":["style_thong","style_flip_flop"],"rationale":"该槽位与商品基准中的明示页面事实一致。"},{"value":"thong_sandals","evidence_type":"inferred","source_span":"","fact_ids":[],"rationale":"该能力由搜索词表达的任务或问题推断；页面事实仅用于验证商品承接。"},{"value":"flip_flops","evidence_type":"inferred","source_span":"","fact_ids":[],"rationale":"该能力由搜索词表达的任务或问题推断；页面事实仅用于验证商品承接。"}],"audience_intent":[{"value":"general","evidence_type":"inferred","source_span":"","fact_ids":[],"rationale":"未指定性别，默认通用人群"}],"primary_domain":[{"value":"clothing_shoes_jewelry","evidence_type":"inferred","source_span":"","fact_ids":[],"rationale":"该值由搜索词整体语义推断，未作为页面明示属性。"}]}</x:v>
      </x:c>
      <x:c r="Y312" s="16" t="str"/>
      <x:c r="Z312" s="13" t="str">
        <x:v>match</x:v>
      </x:c>
      <x:c r="AA312" s="16" t="str">
        <x:v>style_thong | style_flip_flop</x:v>
      </x:c>
      <x:c r="AB312" s="13" t="str">
        <x:v>accepted</x:v>
      </x:c>
      <x:c r="AC312" s="13" t="str">
        <x:v>1.0.0</x:v>
      </x:c>
      <x:c r="AD312" s="13" t="str">
        <x:v>1.1.0</x:v>
      </x:c>
      <x:c r="AE312" s="13" t="str">
        <x:v>deepseek/deepseek-v4-pro</x:v>
      </x:c>
      <x:c r="AF312" s="13" t="str">
        <x:v>aj2-y90-20260714T234810-0bea2f52</x:v>
      </x:c>
      <x:c r="AG312" s="13" t="str">
        <x:v>full-0016</x:v>
      </x:c>
      <x:c r="AH312" s="13" t="str">
        <x:v>full</x:v>
      </x:c>
      <x:c r="AI312" s="13" t="n">
        <x:v>16</x:v>
      </x:c>
    </x:row>
    <x:row r="313" ht="34" customHeight="1">
      <x:c r="A313" s="15" t="str">
        <x:v>flip flop sandals woman</x:v>
      </x:c>
      <x:c r="B313" s="15" t="str">
        <x:v>flip flop sandals woman</x:v>
      </x:c>
      <x:c r="C313" s="10" t="str">
        <x:v>9b6d13f3a250ad2a</x:v>
      </x:c>
      <x:c r="D313" s="10" t="str">
        <x:v>keyword</x:v>
      </x:c>
      <x:c r="E313" s="10" t="str">
        <x:v>en</x:v>
      </x:c>
      <x:c r="F313" s="10" t="str">
        <x:v>clothing_shoes_jewelry</x:v>
      </x:c>
      <x:c r="G313" s="15" t="str"/>
      <x:c r="H313" s="15" t="str">
        <x:v>flip_flops | sandals</x:v>
      </x:c>
      <x:c r="I313" s="15" t="str">
        <x:v>women</x:v>
      </x:c>
      <x:c r="J313" s="15" t="str"/>
      <x:c r="K313" s="15" t="str"/>
      <x:c r="L313" s="15" t="str"/>
      <x:c r="M313" s="15" t="str"/>
      <x:c r="N313" s="15" t="str"/>
      <x:c r="O313" s="15" t="str"/>
      <x:c r="P313" s="15" t="str"/>
      <x:c r="Q313" s="15" t="str"/>
      <x:c r="R313" s="15" t="str">
        <x:v>用户为女性选购人字拖凉鞋，属于宽泛的品类搜索。</x:v>
      </x:c>
      <x:c r="S313" s="10" t="str">
        <x:v>exploration</x:v>
      </x:c>
      <x:c r="T313" s="15" t="str">
        <x:v>explicit | inferred</x:v>
      </x:c>
      <x:c r="U313" s="10" t="str">
        <x:v>high</x:v>
      </x:c>
      <x:c r="V313" s="15" t="str">
        <x:v>womens_flip_flops_generic</x:v>
      </x:c>
      <x:c r="W313" s="15" t="str">
        <x:v>cluster_route</x:v>
      </x:c>
      <x:c r="X313" s="15" t="str">
        <x:v>{"product_type":[{"value":"flip_flops","evidence_type":"explicit","source_span":"flip flop","fact_ids":[],"rationale":""},{"value":"sandals","evidence_type":"explicit","source_span":"sandals","fact_ids":[],"rationale":""},{"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value":"sandals","evidence_type":"page_validated","source_span":"","fact_ids":["title_womens_flip_flop"],"rationale":"该槽位与商品基准中的明示页面事实一致。"}],"audience_intent":[{"value":"women","evidence_type":"explicit","source_span":"woman","fact_ids":[],"rationale":""},{"value":"women","evidence_type":"page_validated","source_span":"","fact_ids":["title_womens_flip_flop"],"rationale":"该槽位与商品基准中的明示页面事实一致。"},{"value":"women","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313" s="15" t="str"/>
      <x:c r="Z313" s="10" t="str">
        <x:v>match</x:v>
      </x:c>
      <x:c r="AA313" s="15" t="str">
        <x:v>style_flip_flop | title_womens_flip_flop</x:v>
      </x:c>
      <x:c r="AB313" s="10" t="str">
        <x:v>accepted</x:v>
      </x:c>
      <x:c r="AC313" s="10" t="str">
        <x:v>1.0.0</x:v>
      </x:c>
      <x:c r="AD313" s="10" t="str">
        <x:v>1.1.0</x:v>
      </x:c>
      <x:c r="AE313" s="10" t="str">
        <x:v>deepseek/deepseek-v4-pro</x:v>
      </x:c>
      <x:c r="AF313" s="10" t="str">
        <x:v>aj2-y90-20260714T234810-0bea2f52</x:v>
      </x:c>
      <x:c r="AG313" s="10" t="str">
        <x:v>full-0016</x:v>
      </x:c>
      <x:c r="AH313" s="10" t="str">
        <x:v>full</x:v>
      </x:c>
      <x:c r="AI313" s="10" t="n">
        <x:v>16</x:v>
      </x:c>
    </x:row>
    <x:row r="314" ht="34" customHeight="1">
      <x:c r="A314" s="16" t="str">
        <x:v>womens flip flop arch</x:v>
      </x:c>
      <x:c r="B314" s="16" t="str">
        <x:v>womens flip flop arch</x:v>
      </x:c>
      <x:c r="C314" s="13" t="str">
        <x:v>9cafde6212b06b16</x:v>
      </x:c>
      <x:c r="D314" s="13" t="str">
        <x:v>keyword</x:v>
      </x:c>
      <x:c r="E314" s="13" t="str">
        <x:v>en</x:v>
      </x:c>
      <x:c r="F314" s="13" t="str">
        <x:v>clothing_shoes_jewelry</x:v>
      </x:c>
      <x:c r="G314" s="16" t="str"/>
      <x:c r="H314" s="16" t="str">
        <x:v>flip_flops</x:v>
      </x:c>
      <x:c r="I314" s="16" t="str">
        <x:v>women</x:v>
      </x:c>
      <x:c r="J314" s="16" t="str">
        <x:v>foot_comfort</x:v>
      </x:c>
      <x:c r="K314" s="16" t="str">
        <x:v>arch_support</x:v>
      </x:c>
      <x:c r="L314" s="16" t="str"/>
      <x:c r="M314" s="16" t="str"/>
      <x:c r="N314" s="16" t="str">
        <x:v>arch_support</x:v>
      </x:c>
      <x:c r="O314" s="16" t="str"/>
      <x:c r="P314" s="16" t="str"/>
      <x:c r="Q314" s="16" t="str"/>
      <x:c r="R314" s="16" t="str">
        <x:v>用户为女性寻找带足弓支撑的人字拖，关注足部舒适与支撑。</x:v>
      </x:c>
      <x:c r="S314" s="13" t="str">
        <x:v>consideration</x:v>
      </x:c>
      <x:c r="T314" s="16" t="str">
        <x:v>explicit | page_validated</x:v>
      </x:c>
      <x:c r="U314" s="13" t="str">
        <x:v>high</x:v>
      </x:c>
      <x:c r="V314" s="16" t="str">
        <x:v>womens_flip_flops_arch_support</x:v>
      </x:c>
      <x:c r="W314" s="16" t="str">
        <x:v>cluster_route</x:v>
      </x:c>
      <x:c r="X314" s="16" t="str">
        <x:v>{"product_type":[{"value":"flip_flops","evidence_type":"explicit","source_span":"flip flop","fact_ids":[],"rationale":""},{"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audience_intent":[{"value":"women","evidence_type":"explicit","source_span":"womens","fact_ids":[],"rationale":""},{"value":"women","evidence_type":"page_validated","source_span":"","fact_ids":["title_womens_flip_flop"],"rationale":"该槽位与商品基准中的明示页面事实一致。"}],"capability_intent":[{"value":"arch_support","evidence_type":"explicit","source_span":"arch","fact_ids":[],"rationale":""},{"value":"arch_support","evidence_type":"page_validated","source_span":"","fact_ids":["arch_support"],"rationale":""},{"value":"arch_support","evidence_type":"inferred","source_span":"","fact_ids":[],"rationale":"该能力由搜索词表达的任务或问题推断；页面事实仅用于验证商品承接。"}],"function_intent":[{"value":"foot_comfort","evidence_type":"page_validated","source_span":"","fact_ids":["arch_support","padded_cushioning"],"rationale":"该槽位与商品基准中的明示页面事实一致。"},{"value":"foot_comfor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314" s="16" t="str"/>
      <x:c r="Z314" s="13" t="str">
        <x:v>match</x:v>
      </x:c>
      <x:c r="AA314" s="16" t="str">
        <x:v>arch_support | style_flip_flop | title_womens_flip_flop</x:v>
      </x:c>
      <x:c r="AB314" s="13" t="str">
        <x:v>accepted</x:v>
      </x:c>
      <x:c r="AC314" s="13" t="str">
        <x:v>1.0.0</x:v>
      </x:c>
      <x:c r="AD314" s="13" t="str">
        <x:v>1.1.0</x:v>
      </x:c>
      <x:c r="AE314" s="13" t="str">
        <x:v>deepseek/deepseek-v4-pro</x:v>
      </x:c>
      <x:c r="AF314" s="13" t="str">
        <x:v>aj2-y90-20260714T234810-0bea2f52</x:v>
      </x:c>
      <x:c r="AG314" s="13" t="str">
        <x:v>full-0016</x:v>
      </x:c>
      <x:c r="AH314" s="13" t="str">
        <x:v>full</x:v>
      </x:c>
      <x:c r="AI314" s="13" t="n">
        <x:v>16</x:v>
      </x:c>
    </x:row>
    <x:row r="315" ht="34" customHeight="1">
      <x:c r="A315" s="15" t="str">
        <x:v>flip flop with arches</x:v>
      </x:c>
      <x:c r="B315" s="15" t="str">
        <x:v>flip flop with arches</x:v>
      </x:c>
      <x:c r="C315" s="10" t="str">
        <x:v>a87079045d1846ba</x:v>
      </x:c>
      <x:c r="D315" s="10" t="str">
        <x:v>keyword</x:v>
      </x:c>
      <x:c r="E315" s="10" t="str">
        <x:v>en</x:v>
      </x:c>
      <x:c r="F315" s="10" t="str">
        <x:v>clothing_shoes_jewelry</x:v>
      </x:c>
      <x:c r="G315" s="15" t="str"/>
      <x:c r="H315" s="15" t="str">
        <x:v>flip_flops</x:v>
      </x:c>
      <x:c r="I315" s="15" t="str">
        <x:v>general</x:v>
      </x:c>
      <x:c r="J315" s="15" t="str">
        <x:v>foot_comfort</x:v>
      </x:c>
      <x:c r="K315" s="15" t="str">
        <x:v>arch_support</x:v>
      </x:c>
      <x:c r="L315" s="15" t="str"/>
      <x:c r="M315" s="15" t="str"/>
      <x:c r="N315" s="15" t="str">
        <x:v>arch_support</x:v>
      </x:c>
      <x:c r="O315" s="15" t="str"/>
      <x:c r="P315" s="15" t="str"/>
      <x:c r="Q315" s="15" t="str"/>
      <x:c r="R315" s="15" t="str">
        <x:v>用户寻找带足弓支撑的人字拖，未指定性别或尺码。</x:v>
      </x:c>
      <x:c r="S315" s="10" t="str">
        <x:v>consideration</x:v>
      </x:c>
      <x:c r="T315" s="15" t="str">
        <x:v>explicit | page_validated | inferred</x:v>
      </x:c>
      <x:c r="U315" s="10" t="str">
        <x:v>high</x:v>
      </x:c>
      <x:c r="V315" s="15" t="str">
        <x:v>arch_support_flip_flops</x:v>
      </x:c>
      <x:c r="W315" s="15" t="str">
        <x:v>cluster_route</x:v>
      </x:c>
      <x:c r="X315" s="15" t="str">
        <x:v>{"product_type":[{"value":"flip_flops","evidence_type":"explicit","source_span":"flip flop","fact_ids":[],"rationale":""},{"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capability_intent":[{"value":"arch_support","evidence_type":"explicit","source_span":"arches","fact_ids":[],"rationale":""},{"value":"arch_support","evidence_type":"page_validated","source_span":"","fact_ids":["arch_support"],"rationale":""},{"value":"arch_support","evidence_type":"inferred","source_span":"","fact_ids":[],"rationale":"该能力由搜索词表达的任务或问题推断；页面事实仅用于验证商品承接。"}],"audience_intent":[{"value":"general","evidence_type":"inferred","source_span":"","fact_ids":[],"rationale":"未指定性别"}],"function_intent":[{"value":"foot_comfort","evidence_type":"page_validated","source_span":"","fact_ids":["arch_support","padded_cushioning"],"rationale":"该槽位与商品基准中的明示页面事实一致。"},{"value":"foot_comfor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315" s="15" t="str"/>
      <x:c r="Z315" s="10" t="str">
        <x:v>match</x:v>
      </x:c>
      <x:c r="AA315" s="15" t="str">
        <x:v>arch_support | style_flip_flop</x:v>
      </x:c>
      <x:c r="AB315" s="10" t="str">
        <x:v>accepted</x:v>
      </x:c>
      <x:c r="AC315" s="10" t="str">
        <x:v>1.0.0</x:v>
      </x:c>
      <x:c r="AD315" s="10" t="str">
        <x:v>1.1.0</x:v>
      </x:c>
      <x:c r="AE315" s="10" t="str">
        <x:v>deepseek/deepseek-v4-pro</x:v>
      </x:c>
      <x:c r="AF315" s="10" t="str">
        <x:v>aj2-y90-20260714T234810-0bea2f52</x:v>
      </x:c>
      <x:c r="AG315" s="10" t="str">
        <x:v>full-0016</x:v>
      </x:c>
      <x:c r="AH315" s="10" t="str">
        <x:v>full</x:v>
      </x:c>
      <x:c r="AI315" s="10" t="n">
        <x:v>16</x:v>
      </x:c>
    </x:row>
    <x:row r="316" ht="34" customHeight="1">
      <x:c r="A316" s="16" t="str">
        <x:v>ted arch support sandals</x:v>
      </x:c>
      <x:c r="B316" s="16" t="str">
        <x:v>ted arch support sandals</x:v>
      </x:c>
      <x:c r="C316" s="13" t="str">
        <x:v>b349d9dac6fe4512</x:v>
      </x:c>
      <x:c r="D316" s="13" t="str">
        <x:v>keyword</x:v>
      </x:c>
      <x:c r="E316" s="13" t="str">
        <x:v>en</x:v>
      </x:c>
      <x:c r="F316" s="13" t="str">
        <x:v>clothing_shoes_jewelry</x:v>
      </x:c>
      <x:c r="G316" s="16" t="str"/>
      <x:c r="H316" s="16" t="str">
        <x:v>sandals</x:v>
      </x:c>
      <x:c r="I316" s="16" t="str">
        <x:v>general</x:v>
      </x:c>
      <x:c r="J316" s="16" t="str">
        <x:v>foot_comfort</x:v>
      </x:c>
      <x:c r="K316" s="16" t="str">
        <x:v>arch_support</x:v>
      </x:c>
      <x:c r="L316" s="16" t="str"/>
      <x:c r="M316" s="16" t="str"/>
      <x:c r="N316" s="16" t="str">
        <x:v>arch_support</x:v>
      </x:c>
      <x:c r="O316" s="16" t="str"/>
      <x:c r="P316" s="16" t="str"/>
      <x:c r="Q316" s="16" t="str"/>
      <x:c r="R316" s="16" t="str">
        <x:v>用户搜索有足弓支撑的凉鞋，ted可能为品牌名称或拼写错误，含义不明确。</x:v>
      </x:c>
      <x:c r="S316" s="13" t="str">
        <x:v>consideration</x:v>
      </x:c>
      <x:c r="T316" s="16" t="str">
        <x:v>explicit | inferred</x:v>
      </x:c>
      <x:c r="U316" s="13" t="str">
        <x:v>low</x:v>
      </x:c>
      <x:c r="V316" s="16" t="str">
        <x:v>ambiguous_arch_support_sandals</x:v>
      </x:c>
      <x:c r="W316" s="16" t="str">
        <x:v>ambiguity_review</x:v>
      </x:c>
      <x:c r="X316" s="16" t="str">
        <x:v>{"product_type":[{"value":"sandals","evidence_type":"explicit","source_span":"sandals","fact_ids":[],"rationale":""},{"value":"sandals","evidence_type":"page_validated","source_span":"","fact_ids":["title_womens_flip_flop"],"rationale":"该槽位与商品基准中的明示页面事实一致。"}],"capability_intent":[{"value":"arch_support","evidence_type":"explicit","source_span":"arch support","fact_ids":[],"rationale":""},{"value":"arch_support","evidence_type":"page_validated","source_span":"","fact_ids":["arch_support"],"rationale":"该槽位与商品基准中的明示页面事实一致。"}],"audience_intent":[{"value":"general","evidence_type":"inferred","source_span":"","fact_ids":[],"rationale":"未指定性别"}],"brand":[{"value":"ted","evidence_type":"explicit","source_span":"ted","fact_ids":[],"rationale":"可能为品牌名或拼写错误"}],"function_intent":[{"value":"foot_comfort","evidence_type":"page_validated","source_span":"","fact_ids":["arch_support","padded_cushioning"],"rationale":"该槽位与商品基准中的明示页面事实一致。"},{"value":"foot_comfor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316" s="16" t="str">
        <x:v>ted_may_be_brand_or_typo</x:v>
      </x:c>
      <x:c r="Z316" s="13" t="str">
        <x:v>unknown</x:v>
      </x:c>
      <x:c r="AA316" s="16" t="str"/>
      <x:c r="AB316" s="13" t="str">
        <x:v>accepted</x:v>
      </x:c>
      <x:c r="AC316" s="13" t="str">
        <x:v>1.0.0</x:v>
      </x:c>
      <x:c r="AD316" s="13" t="str">
        <x:v>1.1.0</x:v>
      </x:c>
      <x:c r="AE316" s="13" t="str">
        <x:v>deepseek/deepseek-v4-pro</x:v>
      </x:c>
      <x:c r="AF316" s="13" t="str">
        <x:v>aj2-y90-20260714T234810-0bea2f52</x:v>
      </x:c>
      <x:c r="AG316" s="13" t="str">
        <x:v>full-0016</x:v>
      </x:c>
      <x:c r="AH316" s="13" t="str">
        <x:v>full</x:v>
      </x:c>
      <x:c r="AI316" s="13" t="n">
        <x:v>16</x:v>
      </x:c>
    </x:row>
    <x:row r="317" ht="34" customHeight="1">
      <x:c r="A317" s="15" t="str">
        <x:v>cute beach flip flops for women light blue</x:v>
      </x:c>
      <x:c r="B317" s="15" t="str">
        <x:v>cute beach flip flops for women light blue</x:v>
      </x:c>
      <x:c r="C317" s="10" t="str">
        <x:v>c74f244b63121a39</x:v>
      </x:c>
      <x:c r="D317" s="10" t="str">
        <x:v>keyword</x:v>
      </x:c>
      <x:c r="E317" s="10" t="str">
        <x:v>en</x:v>
      </x:c>
      <x:c r="F317" s="10" t="str">
        <x:v>clothing_shoes_jewelry</x:v>
      </x:c>
      <x:c r="G317" s="15" t="str">
        <x:v>sports_outdoors</x:v>
      </x:c>
      <x:c r="H317" s="15" t="str">
        <x:v>flip_flops</x:v>
      </x:c>
      <x:c r="I317" s="15" t="str">
        <x:v>women</x:v>
      </x:c>
      <x:c r="J317" s="15" t="str">
        <x:v>aesthetic_appeal</x:v>
      </x:c>
      <x:c r="K317" s="15" t="str"/>
      <x:c r="L317" s="15" t="str">
        <x:v>beach</x:v>
      </x:c>
      <x:c r="M317" s="15" t="str">
        <x:v>beach | outdoor</x:v>
      </x:c>
      <x:c r="N317" s="15" t="str"/>
      <x:c r="O317" s="15" t="str"/>
      <x:c r="P317" s="15" t="str"/>
      <x:c r="Q317" s="15" t="str"/>
      <x:c r="R317" s="15" t="str">
        <x:v>用户为女性寻找浅蓝色、外观可爱的沙滩人字拖，兼顾美观与户外实穿性。</x:v>
      </x:c>
      <x:c r="S317" s="10" t="str">
        <x:v>high_intent</x:v>
      </x:c>
      <x:c r="T317" s="15" t="str">
        <x:v>explicit | page_validated</x:v>
      </x:c>
      <x:c r="U317" s="10" t="str">
        <x:v>high</x:v>
      </x:c>
      <x:c r="V317" s="15" t="str">
        <x:v>womens_beach_flip_flops_by_color</x:v>
      </x:c>
      <x:c r="W317" s="15" t="str">
        <x:v>cluster_route</x:v>
      </x:c>
      <x:c r="X317" s="15" t="str">
        <x:v>{"product_type":[{"value":"flip_flops","evidence_type":"explicit","source_span":"flip flops","fact_ids":[],"rationale":""},{"value":"flip_flops","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event_intent":[{"value":"beach","evidence_type":"explicit","source_span":"beach","fact_ids":[],"rationale":""}],"location_intent":[{"value":"beach","evidence_type":"explicit","source_span":"beach","fact_ids":[],"rationale":""},{"value":"outdoor","evidence_type":"page_validated","source_span":"","fact_ids":["style_outdoor"],"rationale":""},{"value":"outdoor","evidence_type":"inferred","source_span":"","fact_ids":[],"rationale":"该能力由搜索词表达的任务或问题推断；页面事实仅用于验证商品承接。"}],"color":[{"value":"light_blue","evidence_type":"explicit","source_span":"light blue","fact_ids":[],"rationale":"该颜色在商品页面可见颜色选择中得到明确支持。"},{"value":"light_blue","evidence_type":"page_validated","source_span":"","fact_ids":["colors_visible"],"rationale":"该颜色在商品页面可见颜色选择中得到明确支持。"}],"function_intent":[{"value":"aesthetic_appeal","evidence_type":"explicit","source_span":"cute","fact_ids":[],"rationale":""}],"secondary_domain":[{"value":"sports_outdoors","evidence_type":"inferred","source_span":"","fact_ids":[],"rationale":"该值由搜索词整体语义推断，未作为页面明示属性。"}],"primary_domain":[{"value":"clothing_shoes_jewelry","evidence_type":"inferred","source_span":"","fact_ids":[],"rationale":"该值由搜索词整体语义推断，未作为页面明示属性。"}]}</x:v>
      </x:c>
      <x:c r="Y317" s="15" t="str"/>
      <x:c r="Z317" s="10" t="str">
        <x:v>match</x:v>
      </x:c>
      <x:c r="AA317" s="15" t="str">
        <x:v>colors_visible | style_flip_flop | title_womens_flip_flop | style_outdoor</x:v>
      </x:c>
      <x:c r="AB317" s="10" t="str">
        <x:v>accepted</x:v>
      </x:c>
      <x:c r="AC317" s="10" t="str">
        <x:v>1.0.0</x:v>
      </x:c>
      <x:c r="AD317" s="10" t="str">
        <x:v>1.1.0</x:v>
      </x:c>
      <x:c r="AE317" s="10" t="str">
        <x:v>deepseek/deepseek-v4-pro</x:v>
      </x:c>
      <x:c r="AF317" s="10" t="str">
        <x:v>aj2-y90-20260714T234810-0bea2f52</x:v>
      </x:c>
      <x:c r="AG317" s="10" t="str">
        <x:v>full-0016</x:v>
      </x:c>
      <x:c r="AH317" s="10" t="str">
        <x:v>full</x:v>
      </x:c>
      <x:c r="AI317" s="10" t="n">
        <x:v>16</x:v>
      </x:c>
    </x:row>
    <x:row r="318" ht="34" customHeight="1">
      <x:c r="A318" s="16" t="str">
        <x:v>white women's flip flops</x:v>
      </x:c>
      <x:c r="B318" s="16" t="str">
        <x:v>white women's flip flops</x:v>
      </x:c>
      <x:c r="C318" s="13" t="str">
        <x:v>e3f54f24f766dda8</x:v>
      </x:c>
      <x:c r="D318" s="13" t="str">
        <x:v>keyword</x:v>
      </x:c>
      <x:c r="E318" s="13" t="str">
        <x:v>en</x:v>
      </x:c>
      <x:c r="F318" s="13" t="str">
        <x:v>clothing_shoes_jewelry</x:v>
      </x:c>
      <x:c r="G318" s="16" t="str"/>
      <x:c r="H318" s="16" t="str">
        <x:v>flip_flops</x:v>
      </x:c>
      <x:c r="I318" s="16" t="str">
        <x:v>women</x:v>
      </x:c>
      <x:c r="J318" s="16" t="str"/>
      <x:c r="K318" s="16" t="str"/>
      <x:c r="L318" s="16" t="str"/>
      <x:c r="M318" s="16" t="str"/>
      <x:c r="N318" s="16" t="str"/>
      <x:c r="O318" s="16" t="str"/>
      <x:c r="P318" s="16" t="str"/>
      <x:c r="Q318" s="16" t="str"/>
      <x:c r="R318" s="16" t="str">
        <x:v>用户为女性寻找白色人字拖，未指定尺码或功能需求。</x:v>
      </x:c>
      <x:c r="S318" s="13" t="str">
        <x:v>high_intent</x:v>
      </x:c>
      <x:c r="T318" s="16" t="str">
        <x:v>explicit | page_validated</x:v>
      </x:c>
      <x:c r="U318" s="13" t="str">
        <x:v>high</x:v>
      </x:c>
      <x:c r="V318" s="16" t="str">
        <x:v>womens_flip_flops_by_color</x:v>
      </x:c>
      <x:c r="W318" s="16" t="str">
        <x:v>cluster_route</x:v>
      </x:c>
      <x:c r="X318" s="16" t="str">
        <x:v>{"product_type":[{"value":"flip_flops","evidence_type":"explicit","source_span":"flip flops","fact_ids":[],"rationale":""},{"value":"flip_flops","evidence_type":"page_validated","source_span":"","fact_ids":["style_flip_flop"],"rationale":"该槽位与商品基准中的明示页面事实一致。"}],"audience_intent":[{"value":"women","evidence_type":"explicit","source_span":"women's","fact_ids":[],"rationale":""},{"value":"women","evidence_type":"page_validated","source_span":"","fact_ids":["title_womens_flip_flop"],"rationale":"该槽位与商品基准中的明示页面事实一致。"}],"color":[{"value":"white","evidence_type":"explicit","source_span":"white","fact_ids":[],"rationale":"该颜色在商品页面可见颜色选择中得到明确支持。"},{"value":"white","evidence_type":"page_validated","source_span":"","fact_ids":["colors_visible"],"rationale":"该颜色在商品页面可见颜色选择中得到明确支持。"}],"primary_domain":[{"value":"clothing_shoes_jewelry","evidence_type":"inferred","source_span":"","fact_ids":[],"rationale":"该值由搜索词整体语义推断，未作为页面明示属性。"}]}</x:v>
      </x:c>
      <x:c r="Y318" s="16" t="str"/>
      <x:c r="Z318" s="13" t="str">
        <x:v>match</x:v>
      </x:c>
      <x:c r="AA318" s="16" t="str">
        <x:v>colors_visible | style_flip_flop | title_womens_flip_flop</x:v>
      </x:c>
      <x:c r="AB318" s="13" t="str">
        <x:v>accepted</x:v>
      </x:c>
      <x:c r="AC318" s="13" t="str">
        <x:v>1.0.0</x:v>
      </x:c>
      <x:c r="AD318" s="13" t="str">
        <x:v>1.1.0</x:v>
      </x:c>
      <x:c r="AE318" s="13" t="str">
        <x:v>deepseek/deepseek-v4-pro</x:v>
      </x:c>
      <x:c r="AF318" s="13" t="str">
        <x:v>aj2-y90-20260714T234810-0bea2f52</x:v>
      </x:c>
      <x:c r="AG318" s="13" t="str">
        <x:v>full-0016</x:v>
      </x:c>
      <x:c r="AH318" s="13" t="str">
        <x:v>full</x:v>
      </x:c>
      <x:c r="AI318" s="13" t="n">
        <x:v>16</x:v>
      </x:c>
    </x:row>
    <x:row r="319" ht="34" customHeight="1">
      <x:c r="A319" s="15" t="str">
        <x:v>jaguellanas flip flops for women</x:v>
      </x:c>
      <x:c r="B319" s="15" t="str">
        <x:v>jaguellanas flip flops for women</x:v>
      </x:c>
      <x:c r="C319" s="10" t="str">
        <x:v>e76499823c476c02</x:v>
      </x:c>
      <x:c r="D319" s="10" t="str">
        <x:v>keyword</x:v>
      </x:c>
      <x:c r="E319" s="10" t="str">
        <x:v>en</x:v>
      </x:c>
      <x:c r="F319" s="10" t="str">
        <x:v>clothing_shoes_jewelry</x:v>
      </x:c>
      <x:c r="G319" s="15" t="str"/>
      <x:c r="H319" s="15" t="str">
        <x:v>flip_flops</x:v>
      </x:c>
      <x:c r="I319" s="15" t="str">
        <x:v>women</x:v>
      </x:c>
      <x:c r="J319" s="15" t="str"/>
      <x:c r="K319" s="15" t="str"/>
      <x:c r="L319" s="15" t="str"/>
      <x:c r="M319" s="15" t="str"/>
      <x:c r="N319" s="15" t="str"/>
      <x:c r="O319" s="15" t="str"/>
      <x:c r="P319" s="15" t="str"/>
      <x:c r="Q319" s="15" t="str"/>
      <x:c r="R319" s="15" t="str">
        <x:v>用户想购买jaguellanas品牌的女性人字拖，该品牌非本产品所属品牌。</x:v>
      </x:c>
      <x:c r="S319" s="10" t="str">
        <x:v>high_intent</x:v>
      </x:c>
      <x:c r="T319" s="15" t="str">
        <x:v>explicit | inferred</x:v>
      </x:c>
      <x:c r="U319" s="10" t="str">
        <x:v>high</x:v>
      </x:c>
      <x:c r="V319" s="15" t="str">
        <x:v>branded_flip_flops_women</x:v>
      </x:c>
      <x:c r="W319" s="15" t="str">
        <x:v>semantic_negative_candidate</x:v>
      </x:c>
      <x:c r="X319" s="15" t="str">
        <x:v>{"product_type":[{"value":"flip_flops","evidence_type":"explicit","source_span":"flip flops","fact_ids":[],"rationale":""},{"value":"flip_flops","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brand":[{"value":"jaguellanas","evidence_type":"explicit","source_span":"jaguellanas","fact_ids":[],"rationale":""}],"primary_domain":[{"value":"clothing_shoes_jewelry","evidence_type":"inferred","source_span":"","fact_ids":[],"rationale":"该值由搜索词整体语义推断，未作为页面明示属性。"}]}</x:v>
      </x:c>
      <x:c r="Y319" s="15" t="str"/>
      <x:c r="Z319" s="10" t="str">
        <x:v>mismatch</x:v>
      </x:c>
      <x:c r="AA319" s="15" t="str"/>
      <x:c r="AB319" s="10" t="str">
        <x:v>accepted</x:v>
      </x:c>
      <x:c r="AC319" s="10" t="str">
        <x:v>1.0.0</x:v>
      </x:c>
      <x:c r="AD319" s="10" t="str">
        <x:v>1.1.0</x:v>
      </x:c>
      <x:c r="AE319" s="10" t="str">
        <x:v>deepseek/deepseek-v4-pro</x:v>
      </x:c>
      <x:c r="AF319" s="10" t="str">
        <x:v>aj2-y90-20260714T234810-0bea2f52</x:v>
      </x:c>
      <x:c r="AG319" s="10" t="str">
        <x:v>full-0016</x:v>
      </x:c>
      <x:c r="AH319" s="10" t="str">
        <x:v>full</x:v>
      </x:c>
      <x:c r="AI319" s="10" t="n">
        <x:v>16</x:v>
      </x:c>
    </x:row>
    <x:row r="320" ht="34" customHeight="1">
      <x:c r="A320" s="16" t="str">
        <x:v>tek gear flip flops</x:v>
      </x:c>
      <x:c r="B320" s="16" t="str">
        <x:v>tek gear flip flops</x:v>
      </x:c>
      <x:c r="C320" s="13" t="str">
        <x:v>ee0fcf455ed5f18f</x:v>
      </x:c>
      <x:c r="D320" s="13" t="str">
        <x:v>keyword</x:v>
      </x:c>
      <x:c r="E320" s="13" t="str">
        <x:v>en</x:v>
      </x:c>
      <x:c r="F320" s="13" t="str">
        <x:v>clothing_shoes_jewelry</x:v>
      </x:c>
      <x:c r="G320" s="16" t="str"/>
      <x:c r="H320" s="16" t="str">
        <x:v>flip_flops</x:v>
      </x:c>
      <x:c r="I320" s="16" t="str">
        <x:v>general</x:v>
      </x:c>
      <x:c r="J320" s="16" t="str"/>
      <x:c r="K320" s="16" t="str"/>
      <x:c r="L320" s="16" t="str"/>
      <x:c r="M320" s="16" t="str"/>
      <x:c r="N320" s="16" t="str"/>
      <x:c r="O320" s="16" t="str"/>
      <x:c r="P320" s="16" t="str"/>
      <x:c r="Q320" s="16" t="str"/>
      <x:c r="R320" s="16" t="str">
        <x:v>用户想购买Tek Gear品牌的人字拖，该品牌非本产品所属品牌。</x:v>
      </x:c>
      <x:c r="S320" s="13" t="str">
        <x:v>high_intent</x:v>
      </x:c>
      <x:c r="T320" s="16" t="str">
        <x:v>explicit | inferred</x:v>
      </x:c>
      <x:c r="U320" s="13" t="str">
        <x:v>high</x:v>
      </x:c>
      <x:c r="V320" s="16" t="str">
        <x:v>branded_flip_flops</x:v>
      </x:c>
      <x:c r="W320" s="16" t="str">
        <x:v>semantic_negative_candidate</x:v>
      </x:c>
      <x:c r="X320" s="16" t="str">
        <x:v>{"product_type":[{"value":"flip_flops","evidence_type":"explicit","source_span":"flip flops","fact_ids":[],"rationale":""},{"value":"flip_flops","evidence_type":"page_validated","source_span":"","fact_ids":["style_flip_flop"],"rationale":"该槽位与商品基准中的明示页面事实一致。"}],"audience_intent":[{"value":"general","evidence_type":"inferred","source_span":"","fact_ids":[],"rationale":"未指定性别"}],"brand":[{"value":"tek_gear","evidence_type":"explicit","source_span":"tek gear","fact_ids":[],"rationale":""}],"primary_domain":[{"value":"clothing_shoes_jewelry","evidence_type":"inferred","source_span":"","fact_ids":[],"rationale":"该值由搜索词整体语义推断，未作为页面明示属性。"}]}</x:v>
      </x:c>
      <x:c r="Y320" s="16" t="str"/>
      <x:c r="Z320" s="13" t="str">
        <x:v>mismatch</x:v>
      </x:c>
      <x:c r="AA320" s="16" t="str"/>
      <x:c r="AB320" s="13" t="str">
        <x:v>accepted</x:v>
      </x:c>
      <x:c r="AC320" s="13" t="str">
        <x:v>1.0.0</x:v>
      </x:c>
      <x:c r="AD320" s="13" t="str">
        <x:v>1.1.0</x:v>
      </x:c>
      <x:c r="AE320" s="13" t="str">
        <x:v>deepseek/deepseek-v4-pro</x:v>
      </x:c>
      <x:c r="AF320" s="13" t="str">
        <x:v>aj2-y90-20260714T234810-0bea2f52</x:v>
      </x:c>
      <x:c r="AG320" s="13" t="str">
        <x:v>full-0016</x:v>
      </x:c>
      <x:c r="AH320" s="13" t="str">
        <x:v>full</x:v>
      </x:c>
      <x:c r="AI320" s="13" t="n">
        <x:v>16</x:v>
      </x:c>
    </x:row>
    <x:row r="321" ht="34" customHeight="1">
      <x:c r="A321" s="15" t="str">
        <x:v>true religion flip flops for women</x:v>
      </x:c>
      <x:c r="B321" s="15" t="str">
        <x:v>true religion flip flops for women</x:v>
      </x:c>
      <x:c r="C321" s="10" t="str">
        <x:v>f547dd8decda15c5</x:v>
      </x:c>
      <x:c r="D321" s="10" t="str">
        <x:v>keyword</x:v>
      </x:c>
      <x:c r="E321" s="10" t="str">
        <x:v>en</x:v>
      </x:c>
      <x:c r="F321" s="10" t="str">
        <x:v>clothing_shoes_jewelry</x:v>
      </x:c>
      <x:c r="G321" s="15" t="str"/>
      <x:c r="H321" s="15" t="str">
        <x:v>flip_flops</x:v>
      </x:c>
      <x:c r="I321" s="15" t="str">
        <x:v>women</x:v>
      </x:c>
      <x:c r="J321" s="15" t="str"/>
      <x:c r="K321" s="15" t="str"/>
      <x:c r="L321" s="15" t="str"/>
      <x:c r="M321" s="15" t="str"/>
      <x:c r="N321" s="15" t="str"/>
      <x:c r="O321" s="15" t="str"/>
      <x:c r="P321" s="15" t="str"/>
      <x:c r="Q321" s="15" t="str"/>
      <x:c r="R321" s="15" t="str">
        <x:v>用户想购买True Religion品牌的女性人字拖，该品牌非本产品所属品牌。</x:v>
      </x:c>
      <x:c r="S321" s="10" t="str">
        <x:v>high_intent</x:v>
      </x:c>
      <x:c r="T321" s="15" t="str">
        <x:v>explicit | inferred</x:v>
      </x:c>
      <x:c r="U321" s="10" t="str">
        <x:v>high</x:v>
      </x:c>
      <x:c r="V321" s="15" t="str">
        <x:v>branded_flip_flops_women</x:v>
      </x:c>
      <x:c r="W321" s="15" t="str">
        <x:v>semantic_negative_candidate</x:v>
      </x:c>
      <x:c r="X321" s="15" t="str">
        <x:v>{"product_type":[{"value":"flip_flops","evidence_type":"explicit","source_span":"flip flops","fact_ids":[],"rationale":""},{"value":"flip_flops","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brand":[{"value":"true_religion","evidence_type":"explicit","source_span":"true religion","fact_ids":[],"rationale":""}],"primary_domain":[{"value":"clothing_shoes_jewelry","evidence_type":"inferred","source_span":"","fact_ids":[],"rationale":"该值由搜索词整体语义推断，未作为页面明示属性。"}]}</x:v>
      </x:c>
      <x:c r="Y321" s="15" t="str"/>
      <x:c r="Z321" s="10" t="str">
        <x:v>mismatch</x:v>
      </x:c>
      <x:c r="AA321" s="15" t="str"/>
      <x:c r="AB321" s="10" t="str">
        <x:v>accepted</x:v>
      </x:c>
      <x:c r="AC321" s="10" t="str">
        <x:v>1.0.0</x:v>
      </x:c>
      <x:c r="AD321" s="10" t="str">
        <x:v>1.1.0</x:v>
      </x:c>
      <x:c r="AE321" s="10" t="str">
        <x:v>deepseek/deepseek-v4-pro</x:v>
      </x:c>
      <x:c r="AF321" s="10" t="str">
        <x:v>aj2-y90-20260714T234810-0bea2f52</x:v>
      </x:c>
      <x:c r="AG321" s="10" t="str">
        <x:v>full-0016</x:v>
      </x:c>
      <x:c r="AH321" s="10" t="str">
        <x:v>full</x:v>
      </x:c>
      <x:c r="AI321" s="10" t="n">
        <x:v>16</x:v>
      </x:c>
    </x:row>
    <x:row r="322" ht="34" customHeight="1">
      <x:c r="A322" s="16" t="str">
        <x:v>heydude flip flops for women</x:v>
      </x:c>
      <x:c r="B322" s="16" t="str">
        <x:v>heydude flip flops for women</x:v>
      </x:c>
      <x:c r="C322" s="13" t="str">
        <x:v>01179664bc0afca4</x:v>
      </x:c>
      <x:c r="D322" s="13" t="str">
        <x:v>keyword</x:v>
      </x:c>
      <x:c r="E322" s="13" t="str">
        <x:v>en</x:v>
      </x:c>
      <x:c r="F322" s="13" t="str">
        <x:v>clothing_shoes_jewelry</x:v>
      </x:c>
      <x:c r="G322" s="16" t="str"/>
      <x:c r="H322" s="16" t="str">
        <x:v>flip_flop</x:v>
      </x:c>
      <x:c r="I322" s="16" t="str">
        <x:v>women</x:v>
      </x:c>
      <x:c r="J322" s="16" t="str"/>
      <x:c r="K322" s="16" t="str"/>
      <x:c r="L322" s="16" t="str"/>
      <x:c r="M322" s="16" t="str"/>
      <x:c r="N322" s="16" t="str"/>
      <x:c r="O322" s="16" t="str"/>
      <x:c r="P322" s="16" t="str"/>
      <x:c r="Q322" s="16" t="str"/>
      <x:c r="R322" s="16" t="str">
        <x:v>用户搜索Hey Dude品牌的女性人字拖，品牌明确指向第三方而非joomra。</x:v>
      </x:c>
      <x:c r="S322" s="13" t="str">
        <x:v>brand_harvest</x:v>
      </x:c>
      <x:c r="T322" s="16" t="str">
        <x:v>explicit</x:v>
      </x:c>
      <x:c r="U322" s="13" t="str">
        <x:v>high</x:v>
      </x:c>
      <x:c r="V322" s="16" t="str">
        <x:v>brand_heydude_flip_flops</x:v>
      </x:c>
      <x:c r="W322" s="16" t="str">
        <x:v>semantic_negative_candidate</x:v>
      </x:c>
      <x:c r="X322" s="16" t="str">
        <x:v>{"product_type":[{"value":"flip_flop","evidence_type":"explicit","source_span":"flip flops","fact_ids":[],"rationale":"搜索词明确指定人字拖品类"},{"value":"flip_flop","evidence_type":"page_validated","source_span":"","fact_ids":["style_flip_flop"],"rationale":"该槽位与商品基准中的明示页面事实一致。"}],"audience_intent":[{"value":"women","evidence_type":"explicit","source_span":"for women","fact_ids":[],"rationale":"搜索词明确指定女性受众"},{"value":"women","evidence_type":"page_validated","source_span":"","fact_ids":["title_womens_flip_flop"],"rationale":"该槽位与商品基准中的明示页面事实一致。"}],"brand":[{"value":"heydude","evidence_type":"explicit","source_span":"heydude","fact_ids":[],"rationale":"搜索词明确包含品牌名称。"}],"primary_domain":[{"value":"clothing_shoes_jewelry","evidence_type":"inferred","source_span":"","fact_ids":[],"rationale":"该值由搜索词整体语义推断，未作为页面明示属性。"}]}</x:v>
      </x:c>
      <x:c r="Y322" s="16" t="str"/>
      <x:c r="Z322" s="13" t="str">
        <x:v>mismatch</x:v>
      </x:c>
      <x:c r="AA322" s="16" t="str">
        <x:v>title_womens_flip_flop</x:v>
      </x:c>
      <x:c r="AB322" s="13" t="str">
        <x:v>accepted</x:v>
      </x:c>
      <x:c r="AC322" s="13" t="str">
        <x:v>1.0.0</x:v>
      </x:c>
      <x:c r="AD322" s="13" t="str">
        <x:v>1.1.0</x:v>
      </x:c>
      <x:c r="AE322" s="13" t="str">
        <x:v>deepseek/deepseek-v4-pro</x:v>
      </x:c>
      <x:c r="AF322" s="13" t="str">
        <x:v>aj2-y90-20260714T234810-0bea2f52</x:v>
      </x:c>
      <x:c r="AG322" s="13" t="str">
        <x:v>full-0017</x:v>
      </x:c>
      <x:c r="AH322" s="13" t="str">
        <x:v>full</x:v>
      </x:c>
      <x:c r="AI322" s="13" t="n">
        <x:v>17</x:v>
      </x:c>
    </x:row>
    <x:row r="323" ht="34" customHeight="1">
      <x:c r="A323" s="15" t="str">
        <x:v>ache support flip flops for women</x:v>
      </x:c>
      <x:c r="B323" s="15" t="str">
        <x:v>ache support flip flops for women</x:v>
      </x:c>
      <x:c r="C323" s="10" t="str">
        <x:v>2f018eed5c8a15de</x:v>
      </x:c>
      <x:c r="D323" s="10" t="str">
        <x:v>keyword</x:v>
      </x:c>
      <x:c r="E323" s="10" t="str">
        <x:v>en</x:v>
      </x:c>
      <x:c r="F323" s="10" t="str">
        <x:v>clothing_shoes_jewelry</x:v>
      </x:c>
      <x:c r="G323" s="15" t="str"/>
      <x:c r="H323" s="15" t="str">
        <x:v>flip_flop</x:v>
      </x:c>
      <x:c r="I323" s="15" t="str">
        <x:v>women</x:v>
      </x:c>
      <x:c r="J323" s="15" t="str">
        <x:v>arch_support</x:v>
      </x:c>
      <x:c r="K323" s="15" t="str"/>
      <x:c r="L323" s="15" t="str"/>
      <x:c r="M323" s="15" t="str"/>
      <x:c r="N323" s="15" t="str"/>
      <x:c r="O323" s="15" t="str"/>
      <x:c r="P323" s="15" t="str"/>
      <x:c r="Q323" s="15" t="str"/>
      <x:c r="R323" s="15" t="str">
        <x:v>女性用户搜索足弓支撑人字拖，搜索词含拼写错误但需求清晰。</x:v>
      </x:c>
      <x:c r="S323" s="10" t="str">
        <x:v>high_intent</x:v>
      </x:c>
      <x:c r="T323" s="15" t="str">
        <x:v>explicit | page_validated</x:v>
      </x:c>
      <x:c r="U323" s="10" t="str">
        <x:v>high</x:v>
      </x:c>
      <x:c r="V323" s="15" t="str">
        <x:v>arch_support_flip_flops_women</x:v>
      </x:c>
      <x:c r="W323" s="15" t="str">
        <x:v>cluster_route</x:v>
      </x:c>
      <x:c r="X323" s="15" t="str">
        <x:v>{"product_type":[{"value":"flip_flop","evidence_type":"explicit","source_span":"flip flops","fact_ids":[],"rationale":"搜索词明确指定人字拖品类"},{"value":"flip_flop","evidence_type":"page_validated","source_span":"","fact_ids":["style_flip_flop"],"rationale":"该槽位与商品基准中的明示页面事实一致。"}],"audience_intent":[{"value":"women","evidence_type":"explicit","source_span":"for women","fact_ids":[],"rationale":"搜索词明确指定女性受众"},{"value":"women","evidence_type":"page_validated","source_span":"","fact_ids":["title_womens_flip_flop"],"rationale":"该槽位与商品基准中的明示页面事实一致。"}],"function_intent":[{"value":"arch_support","evidence_type":"explicit","source_span":"ache support","fact_ids":["arch_support"],"rationale":"拼写错误但语义明确为足弓支撑功能"},{"value":"arch_support","evidence_type":"page_validated","source_span":"","fact_ids":["arch_support"],"rationale":"该槽位与商品基准中的明示页面事实一致。"},{"value":"arch_suppor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323" s="15" t="str">
        <x:v>typo_present</x:v>
      </x:c>
      <x:c r="Z323" s="10" t="str">
        <x:v>match</x:v>
      </x:c>
      <x:c r="AA323" s="15" t="str">
        <x:v>title_womens_flip_flop | style_flip_flop | arch_support</x:v>
      </x:c>
      <x:c r="AB323" s="10" t="str">
        <x:v>accepted</x:v>
      </x:c>
      <x:c r="AC323" s="10" t="str">
        <x:v>1.0.0</x:v>
      </x:c>
      <x:c r="AD323" s="10" t="str">
        <x:v>1.1.0</x:v>
      </x:c>
      <x:c r="AE323" s="10" t="str">
        <x:v>deepseek/deepseek-v4-pro</x:v>
      </x:c>
      <x:c r="AF323" s="10" t="str">
        <x:v>aj2-y90-20260714T234810-0bea2f52</x:v>
      </x:c>
      <x:c r="AG323" s="10" t="str">
        <x:v>full-0017</x:v>
      </x:c>
      <x:c r="AH323" s="10" t="str">
        <x:v>full</x:v>
      </x:c>
      <x:c r="AI323" s="10" t="n">
        <x:v>17</x:v>
      </x:c>
    </x:row>
    <x:row r="324" ht="34" customHeight="1">
      <x:c r="A324" s="16" t="str">
        <x:v>waterproof sandals white</x:v>
      </x:c>
      <x:c r="B324" s="16" t="str">
        <x:v>waterproof sandals white</x:v>
      </x:c>
      <x:c r="C324" s="13" t="str">
        <x:v>2f7f2e5c28696ee2</x:v>
      </x:c>
      <x:c r="D324" s="13" t="str">
        <x:v>keyword</x:v>
      </x:c>
      <x:c r="E324" s="13" t="str">
        <x:v>en</x:v>
      </x:c>
      <x:c r="F324" s="13" t="str">
        <x:v>clothing_shoes_jewelry</x:v>
      </x:c>
      <x:c r="G324" s="16" t="str">
        <x:v>sports_outdoors</x:v>
      </x:c>
      <x:c r="H324" s="16" t="str">
        <x:v>sandal</x:v>
      </x:c>
      <x:c r="I324" s="16" t="str"/>
      <x:c r="J324" s="16" t="str"/>
      <x:c r="K324" s="16" t="str">
        <x:v>waterproof</x:v>
      </x:c>
      <x:c r="L324" s="16" t="str"/>
      <x:c r="M324" s="16" t="str"/>
      <x:c r="N324" s="16" t="str"/>
      <x:c r="O324" s="16" t="str"/>
      <x:c r="P324" s="16" t="str"/>
      <x:c r="Q324" s="16" t="str"/>
      <x:c r="R324" s="16" t="str">
        <x:v>用户搜索白色防水凉鞋，防水功能页面未声明且品类比人字拖更宽泛。</x:v>
      </x:c>
      <x:c r="S324" s="13" t="str">
        <x:v>high_intent</x:v>
      </x:c>
      <x:c r="T324" s="16" t="str">
        <x:v>explicit | page_validated</x:v>
      </x:c>
      <x:c r="U324" s="13" t="str">
        <x:v>medium</x:v>
      </x:c>
      <x:c r="V324" s="16" t="str">
        <x:v>waterproof_sandals</x:v>
      </x:c>
      <x:c r="W324" s="16" t="str">
        <x:v>listing_gap_review</x:v>
      </x:c>
      <x:c r="X324" s="16" t="str">
        <x:v>{"product_type":[{"value":"sandal","evidence_type":"explicit","source_span":"sandals","fact_ids":[],"rationale":"搜索词指定凉鞋品类，人字拖为其子类"}],"capability_intent":[{"value":"waterproof","evidence_type":"explicit","source_span":"waterproof","fact_ids":[],"rationale":"防水需求明确但属页面排除声明范畴"}],"color":[{"value":"white","evidence_type":"explicit","source_span":"white","fact_ids":["colors_visible"],"rationale":"该颜色在商品页面可见颜色选择中得到明确支持。"}],"secondary_domain":[{"value":"sports_outdoors","evidence_type":"inferred","source_span":"","fact_ids":[],"rationale":"该值由搜索词整体语义推断，未作为页面明示属性。"}],"primary_domain":[{"value":"clothing_shoes_jewelry","evidence_type":"inferred","source_span":"","fact_ids":[],"rationale":"该值由搜索词整体语义推断，未作为页面明示属性。"}]}</x:v>
      </x:c>
      <x:c r="Y324" s="16" t="str"/>
      <x:c r="Z324" s="13" t="str">
        <x:v>partial_match</x:v>
      </x:c>
      <x:c r="AA324" s="16" t="str">
        <x:v>style_flip_flop | colors_visible</x:v>
      </x:c>
      <x:c r="AB324" s="13" t="str">
        <x:v>accepted</x:v>
      </x:c>
      <x:c r="AC324" s="13" t="str">
        <x:v>1.0.0</x:v>
      </x:c>
      <x:c r="AD324" s="13" t="str">
        <x:v>1.1.0</x:v>
      </x:c>
      <x:c r="AE324" s="13" t="str">
        <x:v>deepseek/deepseek-v4-pro</x:v>
      </x:c>
      <x:c r="AF324" s="13" t="str">
        <x:v>aj2-y90-20260714T234810-0bea2f52</x:v>
      </x:c>
      <x:c r="AG324" s="13" t="str">
        <x:v>full-0017</x:v>
      </x:c>
      <x:c r="AH324" s="13" t="str">
        <x:v>full</x:v>
      </x:c>
      <x:c r="AI324" s="13" t="n">
        <x:v>17</x:v>
      </x:c>
    </x:row>
    <x:row r="325" ht="34" customHeight="1">
      <x:c r="A325" s="15" t="str">
        <x:v>corkys+flipflops</x:v>
      </x:c>
      <x:c r="B325" s="15" t="str">
        <x:v>corkys+flipflops</x:v>
      </x:c>
      <x:c r="C325" s="10" t="str">
        <x:v>36bbe7dc4a136adb</x:v>
      </x:c>
      <x:c r="D325" s="10" t="str">
        <x:v>keyword</x:v>
      </x:c>
      <x:c r="E325" s="10" t="str">
        <x:v>en</x:v>
      </x:c>
      <x:c r="F325" s="10" t="str">
        <x:v>clothing_shoes_jewelry</x:v>
      </x:c>
      <x:c r="G325" s="15" t="str"/>
      <x:c r="H325" s="15" t="str">
        <x:v>flip_flop</x:v>
      </x:c>
      <x:c r="I325" s="15" t="str"/>
      <x:c r="J325" s="15" t="str"/>
      <x:c r="K325" s="15" t="str"/>
      <x:c r="L325" s="15" t="str"/>
      <x:c r="M325" s="15" t="str"/>
      <x:c r="N325" s="15" t="str"/>
      <x:c r="O325" s="15" t="str"/>
      <x:c r="P325" s="15" t="str"/>
      <x:c r="Q325" s="15" t="str"/>
      <x:c r="R325" s="15" t="str">
        <x:v>用户搜索Corkys品牌的人字拖，意图直指第三方品牌产品而非joomra。</x:v>
      </x:c>
      <x:c r="S325" s="10" t="str">
        <x:v>brand_harvest</x:v>
      </x:c>
      <x:c r="T325" s="15" t="str">
        <x:v>explicit</x:v>
      </x:c>
      <x:c r="U325" s="10" t="str">
        <x:v>high</x:v>
      </x:c>
      <x:c r="V325" s="15" t="str">
        <x:v>brand_corkys_flip_flops</x:v>
      </x:c>
      <x:c r="W325" s="15" t="str">
        <x:v>semantic_negative_candidate</x:v>
      </x:c>
      <x:c r="X325" s="15" t="str">
        <x:v>{"product_type":[{"value":"flip_flop","evidence_type":"explicit","source_span":"flipflops","fact_ids":[],"rationale":"搜索词明确指定人字拖品类"},{"value":"flip_flop","evidence_type":"page_validated","source_span":"","fact_ids":["style_flip_flop"],"rationale":"该槽位与商品基准中的明示页面事实一致。"},{"value":"flip_flop","evidence_type":"inferred","source_span":"","fact_ids":[],"rationale":"该能力由搜索词表达的任务或问题推断；页面事实仅用于验证商品承接。"}],"brand":[{"value":"corkys","evidence_type":"explicit","source_span":"corkys","fact_ids":[],"rationale":"Corkys为第三方品牌名与joomra不匹配"}],"primary_domain":[{"value":"clothing_shoes_jewelry","evidence_type":"inferred","source_span":"","fact_ids":[],"rationale":"该值由搜索词整体语义推断，未作为页面明示属性。"}]}</x:v>
      </x:c>
      <x:c r="Y325" s="15" t="str"/>
      <x:c r="Z325" s="10" t="str">
        <x:v>mismatch</x:v>
      </x:c>
      <x:c r="AA325" s="15" t="str">
        <x:v>title_womens_flip_flop</x:v>
      </x:c>
      <x:c r="AB325" s="10" t="str">
        <x:v>accepted</x:v>
      </x:c>
      <x:c r="AC325" s="10" t="str">
        <x:v>1.0.0</x:v>
      </x:c>
      <x:c r="AD325" s="10" t="str">
        <x:v>1.1.0</x:v>
      </x:c>
      <x:c r="AE325" s="10" t="str">
        <x:v>deepseek/deepseek-v4-pro</x:v>
      </x:c>
      <x:c r="AF325" s="10" t="str">
        <x:v>aj2-y90-20260714T234810-0bea2f52</x:v>
      </x:c>
      <x:c r="AG325" s="10" t="str">
        <x:v>full-0017</x:v>
      </x:c>
      <x:c r="AH325" s="10" t="str">
        <x:v>full</x:v>
      </x:c>
      <x:c r="AI325" s="10" t="n">
        <x:v>17</x:v>
      </x:c>
    </x:row>
    <x:row r="326" ht="34" customHeight="1">
      <x:c r="A326" s="16" t="str">
        <x:v>orange flipflops</x:v>
      </x:c>
      <x:c r="B326" s="16" t="str">
        <x:v>orange flipflops</x:v>
      </x:c>
      <x:c r="C326" s="13" t="str">
        <x:v>398231835ebe440f</x:v>
      </x:c>
      <x:c r="D326" s="13" t="str">
        <x:v>keyword</x:v>
      </x:c>
      <x:c r="E326" s="13" t="str">
        <x:v>en</x:v>
      </x:c>
      <x:c r="F326" s="13" t="str">
        <x:v>clothing_shoes_jewelry</x:v>
      </x:c>
      <x:c r="G326" s="16" t="str"/>
      <x:c r="H326" s="16" t="str">
        <x:v>flip_flop</x:v>
      </x:c>
      <x:c r="I326" s="16" t="str"/>
      <x:c r="J326" s="16" t="str"/>
      <x:c r="K326" s="16" t="str"/>
      <x:c r="L326" s="16" t="str"/>
      <x:c r="M326" s="16" t="str"/>
      <x:c r="N326" s="16" t="str"/>
      <x:c r="O326" s="16" t="str"/>
      <x:c r="P326" s="16" t="str"/>
      <x:c r="Q326" s="16" t="str"/>
      <x:c r="R326" s="16" t="str">
        <x:v>用户搜索橙色人字拖，产品可选颜色无橙色。</x:v>
      </x:c>
      <x:c r="S326" s="13" t="str">
        <x:v>high_intent</x:v>
      </x:c>
      <x:c r="T326" s="16" t="str">
        <x:v>explicit | page_validated</x:v>
      </x:c>
      <x:c r="U326" s="13" t="str">
        <x:v>high</x:v>
      </x:c>
      <x:c r="V326" s="16" t="str">
        <x:v>flip_flops_by_color</x:v>
      </x:c>
      <x:c r="W326" s="16" t="str">
        <x:v>listing_gap_review</x:v>
      </x:c>
      <x:c r="X326" s="16" t="str">
        <x:v>{"product_type":[{"value":"flip_flop","evidence_type":"explicit","source_span":"flipflops","fact_ids":[],"rationale":"搜索词明确指定人字拖品类"},{"value":"flip_flop","evidence_type":"page_validated","source_span":"","fact_ids":["style_flip_flop"],"rationale":"该槽位与商品基准中的明示页面事实一致。"},{"value":"flip_flop","evidence_type":"inferred","source_span":"","fact_ids":[],"rationale":"该能力由搜索词表达的任务或问题推断；页面事实仅用于验证商品承接。"}],"color":[{"value":"orange","evidence_type":"explicit","source_span":"orange","fact_ids":[],"rationale":"这是搜索词中的颜色约束，但商品页面基准未确认该具体颜色。"}],"primary_domain":[{"value":"clothing_shoes_jewelry","evidence_type":"inferred","source_span":"","fact_ids":[],"rationale":"该值由搜索词整体语义推断，未作为页面明示属性。"}]}</x:v>
      </x:c>
      <x:c r="Y326" s="16" t="str"/>
      <x:c r="Z326" s="13" t="str">
        <x:v>partial_match</x:v>
      </x:c>
      <x:c r="AA326" s="16" t="str">
        <x:v>title_womens_flip_flop | style_flip_flop | colors_visible</x:v>
      </x:c>
      <x:c r="AB326" s="13" t="str">
        <x:v>accepted</x:v>
      </x:c>
      <x:c r="AC326" s="13" t="str">
        <x:v>1.0.0</x:v>
      </x:c>
      <x:c r="AD326" s="13" t="str">
        <x:v>1.1.0</x:v>
      </x:c>
      <x:c r="AE326" s="13" t="str">
        <x:v>deepseek/deepseek-v4-pro</x:v>
      </x:c>
      <x:c r="AF326" s="13" t="str">
        <x:v>aj2-y90-20260714T234810-0bea2f52</x:v>
      </x:c>
      <x:c r="AG326" s="13" t="str">
        <x:v>full-0017</x:v>
      </x:c>
      <x:c r="AH326" s="13" t="str">
        <x:v>full</x:v>
      </x:c>
      <x:c r="AI326" s="13" t="n">
        <x:v>17</x:v>
      </x:c>
    </x:row>
    <x:row r="327" ht="34" customHeight="1">
      <x:c r="A327" s="15" t="str">
        <x:v>flip flop with back strap</x:v>
      </x:c>
      <x:c r="B327" s="15" t="str">
        <x:v>flip flop with back strap</x:v>
      </x:c>
      <x:c r="C327" s="10" t="str">
        <x:v>40dc2fd6c7264964</x:v>
      </x:c>
      <x:c r="D327" s="10" t="str">
        <x:v>keyword</x:v>
      </x:c>
      <x:c r="E327" s="10" t="str">
        <x:v>en</x:v>
      </x:c>
      <x:c r="F327" s="10" t="str">
        <x:v>clothing_shoes_jewelry</x:v>
      </x:c>
      <x:c r="G327" s="15" t="str"/>
      <x:c r="H327" s="15" t="str">
        <x:v>flip_flop</x:v>
      </x:c>
      <x:c r="I327" s="15" t="str"/>
      <x:c r="J327" s="15" t="str"/>
      <x:c r="K327" s="15" t="str">
        <x:v>back_strap</x:v>
      </x:c>
      <x:c r="L327" s="15" t="str"/>
      <x:c r="M327" s="15" t="str"/>
      <x:c r="N327" s="15" t="str"/>
      <x:c r="O327" s="15" t="str"/>
      <x:c r="P327" s="15" t="str"/>
      <x:c r="Q327" s="15" t="str"/>
      <x:c r="R327" s="15" t="str">
        <x:v>用户搜索带后跟带的人字拖，产品为夹脚款式无后跟带设计。</x:v>
      </x:c>
      <x:c r="S327" s="10" t="str">
        <x:v>high_intent</x:v>
      </x:c>
      <x:c r="T327" s="15" t="str">
        <x:v>explicit</x:v>
      </x:c>
      <x:c r="U327" s="10" t="str">
        <x:v>high</x:v>
      </x:c>
      <x:c r="V327" s="15" t="str">
        <x:v>flip_flops_back_strap</x:v>
      </x:c>
      <x:c r="W327" s="15" t="str">
        <x:v>semantic_negative_candidate</x:v>
      </x:c>
      <x:c r="X327" s="15" t="str">
        <x:v>{"product_type":[{"value":"flip_flop","evidence_type":"explicit","source_span":"flip flop","fact_ids":[],"rationale":"搜索词明确指定人字拖品类"},{"value":"flip_flop","evidence_type":"page_validated","source_span":"","fact_ids":["style_flip_flop"],"rationale":"该槽位与商品基准中的明示页面事实一致。"}],"capability_intent":[{"value":"back_strap","evidence_type":"explicit","source_span":"with back strap","fact_ids":[],"rationale":"后跟带需求明确但产品为夹脚款无此设计"}],"primary_domain":[{"value":"clothing_shoes_jewelry","evidence_type":"inferred","source_span":"","fact_ids":[],"rationale":"该值由搜索词整体语义推断，未作为页面明示属性。"}]}</x:v>
      </x:c>
      <x:c r="Y327" s="15" t="str"/>
      <x:c r="Z327" s="10" t="str">
        <x:v>mismatch</x:v>
      </x:c>
      <x:c r="AA327" s="15" t="str">
        <x:v>style_thong</x:v>
      </x:c>
      <x:c r="AB327" s="10" t="str">
        <x:v>accepted</x:v>
      </x:c>
      <x:c r="AC327" s="10" t="str">
        <x:v>1.0.0</x:v>
      </x:c>
      <x:c r="AD327" s="10" t="str">
        <x:v>1.1.0</x:v>
      </x:c>
      <x:c r="AE327" s="10" t="str">
        <x:v>deepseek/deepseek-v4-pro</x:v>
      </x:c>
      <x:c r="AF327" s="10" t="str">
        <x:v>aj2-y90-20260714T234810-0bea2f52</x:v>
      </x:c>
      <x:c r="AG327" s="10" t="str">
        <x:v>full-0017</x:v>
      </x:c>
      <x:c r="AH327" s="10" t="str">
        <x:v>full</x:v>
      </x:c>
      <x:c r="AI327" s="10" t="n">
        <x:v>17</x:v>
      </x:c>
    </x:row>
    <x:row r="328" ht="34" customHeight="1">
      <x:c r="A328" s="16" t="str">
        <x:v>ortho flip flops</x:v>
      </x:c>
      <x:c r="B328" s="16" t="str">
        <x:v>ortho flip flops</x:v>
      </x:c>
      <x:c r="C328" s="13" t="str">
        <x:v>491e5cb708502bf0</x:v>
      </x:c>
      <x:c r="D328" s="13" t="str">
        <x:v>keyword</x:v>
      </x:c>
      <x:c r="E328" s="13" t="str">
        <x:v>en</x:v>
      </x:c>
      <x:c r="F328" s="13" t="str">
        <x:v>clothing_shoes_jewelry</x:v>
      </x:c>
      <x:c r="G328" s="16" t="str"/>
      <x:c r="H328" s="16" t="str">
        <x:v>flip_flop</x:v>
      </x:c>
      <x:c r="I328" s="16" t="str"/>
      <x:c r="J328" s="16" t="str">
        <x:v>orthopedic_support</x:v>
      </x:c>
      <x:c r="K328" s="16" t="str"/>
      <x:c r="L328" s="16" t="str"/>
      <x:c r="M328" s="16" t="str"/>
      <x:c r="N328" s="16" t="str">
        <x:v>foot_pain</x:v>
      </x:c>
      <x:c r="O328" s="16" t="str"/>
      <x:c r="P328" s="16" t="str"/>
      <x:c r="Q328" s="16" t="str"/>
      <x:c r="R328" s="16" t="str">
        <x:v>用户搜索矫形人字拖，产品有足弓支撑和缓冲但无矫形认证声明。</x:v>
      </x:c>
      <x:c r="S328" s="13" t="str">
        <x:v>high_intent</x:v>
      </x:c>
      <x:c r="T328" s="16" t="str">
        <x:v>explicit | page_validated | inferred</x:v>
      </x:c>
      <x:c r="U328" s="13" t="str">
        <x:v>medium</x:v>
      </x:c>
      <x:c r="V328" s="16" t="str">
        <x:v>orthopedic_flip_flops</x:v>
      </x:c>
      <x:c r="W328" s="16" t="str">
        <x:v>performance_observation</x:v>
      </x:c>
      <x:c r="X328" s="16" t="str">
        <x:v>{"product_type":[{"value":"flip_flop","evidence_type":"explicit","source_span":"flip flops","fact_ids":[],"rationale":"搜索词明确指定人字拖品类"},{"value":"flip_flop","evidence_type":"page_validated","source_span":"","fact_ids":["style_flip_flop"],"rationale":"该槽位与商品基准中的明示页面事实一致。"}],"function_intent":[{"value":"orthopedic_support","evidence_type":"inferred","source_span":"ortho","fact_ids":[],"rationale":"ortho缩写指向矫形需求，产品有相关功能但无认证"}],"body_need_intent":[{"value":"foot_pain","evidence_type":"inferred","source_span":"ortho","fact_ids":[],"rationale":"矫形需求隐含足部疼痛或不适的身体状况"}],"primary_domain":[{"value":"clothing_shoes_jewelry","evidence_type":"inferred","source_span":"","fact_ids":[],"rationale":"该值由搜索词整体语义推断，未作为页面明示属性。"}]}</x:v>
      </x:c>
      <x:c r="Y328" s="16" t="str"/>
      <x:c r="Z328" s="13" t="str">
        <x:v>partial_match</x:v>
      </x:c>
      <x:c r="AA328" s="16" t="str">
        <x:v>arch_support | padded_cushioning</x:v>
      </x:c>
      <x:c r="AB328" s="13" t="str">
        <x:v>accepted</x:v>
      </x:c>
      <x:c r="AC328" s="13" t="str">
        <x:v>1.0.0</x:v>
      </x:c>
      <x:c r="AD328" s="13" t="str">
        <x:v>1.1.0</x:v>
      </x:c>
      <x:c r="AE328" s="13" t="str">
        <x:v>deepseek/deepseek-v4-pro</x:v>
      </x:c>
      <x:c r="AF328" s="13" t="str">
        <x:v>aj2-y90-20260714T234810-0bea2f52</x:v>
      </x:c>
      <x:c r="AG328" s="13" t="str">
        <x:v>full-0017</x:v>
      </x:c>
      <x:c r="AH328" s="13" t="str">
        <x:v>full</x:v>
      </x:c>
      <x:c r="AI328" s="13" t="n">
        <x:v>17</x:v>
      </x:c>
    </x:row>
    <x:row r="329" ht="34" customHeight="1">
      <x:c r="A329" s="15" t="str">
        <x:v>white archer support flip flops</x:v>
      </x:c>
      <x:c r="B329" s="15" t="str">
        <x:v>white archer support flip flops</x:v>
      </x:c>
      <x:c r="C329" s="10" t="str">
        <x:v>4e4ca275e03ebb25</x:v>
      </x:c>
      <x:c r="D329" s="10" t="str">
        <x:v>keyword</x:v>
      </x:c>
      <x:c r="E329" s="10" t="str">
        <x:v>en</x:v>
      </x:c>
      <x:c r="F329" s="10" t="str">
        <x:v>clothing_shoes_jewelry</x:v>
      </x:c>
      <x:c r="G329" s="15" t="str"/>
      <x:c r="H329" s="15" t="str">
        <x:v>flip_flop</x:v>
      </x:c>
      <x:c r="I329" s="15" t="str"/>
      <x:c r="J329" s="15" t="str">
        <x:v>arch_support</x:v>
      </x:c>
      <x:c r="K329" s="15" t="str"/>
      <x:c r="L329" s="15" t="str"/>
      <x:c r="M329" s="15" t="str"/>
      <x:c r="N329" s="15" t="str"/>
      <x:c r="O329" s="15" t="str"/>
      <x:c r="P329" s="15" t="str"/>
      <x:c r="Q329" s="15" t="str"/>
      <x:c r="R329" s="15" t="str">
        <x:v>用户搜索白色足弓支撑人字拖，搜索词含明显拼写错误但需求清晰。</x:v>
      </x:c>
      <x:c r="S329" s="10" t="str">
        <x:v>high_intent</x:v>
      </x:c>
      <x:c r="T329" s="15" t="str">
        <x:v>explicit | page_validated</x:v>
      </x:c>
      <x:c r="U329" s="10" t="str">
        <x:v>high</x:v>
      </x:c>
      <x:c r="V329" s="15" t="str">
        <x:v>arch_support_flip_flops</x:v>
      </x:c>
      <x:c r="W329" s="15" t="str">
        <x:v>cluster_route</x:v>
      </x:c>
      <x:c r="X329" s="15" t="str">
        <x:v>{"product_type":[{"value":"flip_flop","evidence_type":"explicit","source_span":"flip flops","fact_ids":[],"rationale":"搜索词明确指定人字拖品类"},{"value":"flip_flop","evidence_type":"page_validated","source_span":"","fact_ids":["style_flip_flop"],"rationale":"该槽位与商品基准中的明示页面事实一致。"}],"function_intent":[{"value":"arch_support","evidence_type":"explicit","source_span":"archer support","fact_ids":["arch_support"],"rationale":"拼写错误但语义明确为足弓支撑功能"},{"value":"arch_support","evidence_type":"page_validated","source_span":"","fact_ids":["arch_support"],"rationale":"该槽位与商品基准中的明示页面事实一致。"},{"value":"arch_support","evidence_type":"inferred","source_span":"","fact_ids":[],"rationale":"该能力由搜索词表达的任务或问题推断；页面事实仅用于验证商品承接。"}],"color":[{"value":"white","evidence_type":"explicit","source_span":"white","fact_ids":["colors_visible"],"rationale":"该颜色在商品页面可见颜色选择中得到明确支持。"}],"primary_domain":[{"value":"clothing_shoes_jewelry","evidence_type":"inferred","source_span":"","fact_ids":[],"rationale":"该值由搜索词整体语义推断，未作为页面明示属性。"}]}</x:v>
      </x:c>
      <x:c r="Y329" s="15" t="str">
        <x:v>typo_present</x:v>
      </x:c>
      <x:c r="Z329" s="10" t="str">
        <x:v>match</x:v>
      </x:c>
      <x:c r="AA329" s="15" t="str">
        <x:v>title_womens_flip_flop | style_flip_flop | arch_support | colors_visible</x:v>
      </x:c>
      <x:c r="AB329" s="10" t="str">
        <x:v>accepted</x:v>
      </x:c>
      <x:c r="AC329" s="10" t="str">
        <x:v>1.0.0</x:v>
      </x:c>
      <x:c r="AD329" s="10" t="str">
        <x:v>1.1.0</x:v>
      </x:c>
      <x:c r="AE329" s="10" t="str">
        <x:v>deepseek/deepseek-v4-pro</x:v>
      </x:c>
      <x:c r="AF329" s="10" t="str">
        <x:v>aj2-y90-20260714T234810-0bea2f52</x:v>
      </x:c>
      <x:c r="AG329" s="10" t="str">
        <x:v>full-0017</x:v>
      </x:c>
      <x:c r="AH329" s="10" t="str">
        <x:v>full</x:v>
      </x:c>
      <x:c r="AI329" s="10" t="n">
        <x:v>17</x:v>
      </x:c>
    </x:row>
    <x:row r="330" ht="34" customHeight="1">
      <x:c r="A330" s="16" t="str">
        <x:v>osaka flip flops</x:v>
      </x:c>
      <x:c r="B330" s="16" t="str">
        <x:v>osaka flip flops</x:v>
      </x:c>
      <x:c r="C330" s="13" t="str">
        <x:v>6386fccb52f07999</x:v>
      </x:c>
      <x:c r="D330" s="13" t="str">
        <x:v>keyword</x:v>
      </x:c>
      <x:c r="E330" s="13" t="str">
        <x:v>en</x:v>
      </x:c>
      <x:c r="F330" s="13" t="str">
        <x:v>clothing_shoes_jewelry</x:v>
      </x:c>
      <x:c r="G330" s="16" t="str"/>
      <x:c r="H330" s="16" t="str">
        <x:v>flip_flop</x:v>
      </x:c>
      <x:c r="I330" s="16" t="str"/>
      <x:c r="J330" s="16" t="str"/>
      <x:c r="K330" s="16" t="str"/>
      <x:c r="L330" s="16" t="str"/>
      <x:c r="M330" s="16" t="str"/>
      <x:c r="N330" s="16" t="str"/>
      <x:c r="O330" s="16" t="str"/>
      <x:c r="P330" s="16" t="str"/>
      <x:c r="Q330" s="16" t="str"/>
      <x:c r="R330" s="16" t="str">
        <x:v>用户搜索Osaka品牌或风格的人字拖，最可能为第三方品牌搜索。</x:v>
      </x:c>
      <x:c r="S330" s="13" t="str">
        <x:v>brand_harvest</x:v>
      </x:c>
      <x:c r="T330" s="16" t="str">
        <x:v>explicit | inferred</x:v>
      </x:c>
      <x:c r="U330" s="13" t="str">
        <x:v>medium</x:v>
      </x:c>
      <x:c r="V330" s="16" t="str">
        <x:v>brand_osaka_flip_flops</x:v>
      </x:c>
      <x:c r="W330" s="16" t="str">
        <x:v>semantic_negative_candidate</x:v>
      </x:c>
      <x:c r="X330" s="16" t="str">
        <x:v>{"product_type":[{"value":"flip_flop","evidence_type":"explicit","source_span":"flip flops","fact_ids":[],"rationale":"搜索词明确指定人字拖品类"},{"value":"flip_flop","evidence_type":"page_validated","source_span":"","fact_ids":["style_flip_flop"],"rationale":"该槽位与商品基准中的明示页面事实一致。"}],"brand":[{"value":"osaka","evidence_type":"inferred","source_span":"osaka","fact_ids":[],"rationale":"Osaka在亚马逊语境中大概率指向第三方品牌"}],"primary_domain":[{"value":"clothing_shoes_jewelry","evidence_type":"inferred","source_span":"","fact_ids":[],"rationale":"该值由搜索词整体语义推断，未作为页面明示属性。"}]}</x:v>
      </x:c>
      <x:c r="Y330" s="16" t="str">
        <x:v>brand_or_style_ambiguous</x:v>
      </x:c>
      <x:c r="Z330" s="13" t="str">
        <x:v>mismatch</x:v>
      </x:c>
      <x:c r="AA330" s="16" t="str">
        <x:v>title_womens_flip_flop</x:v>
      </x:c>
      <x:c r="AB330" s="13" t="str">
        <x:v>accepted</x:v>
      </x:c>
      <x:c r="AC330" s="13" t="str">
        <x:v>1.0.0</x:v>
      </x:c>
      <x:c r="AD330" s="13" t="str">
        <x:v>1.1.0</x:v>
      </x:c>
      <x:c r="AE330" s="13" t="str">
        <x:v>deepseek/deepseek-v4-pro</x:v>
      </x:c>
      <x:c r="AF330" s="13" t="str">
        <x:v>aj2-y90-20260714T234810-0bea2f52</x:v>
      </x:c>
      <x:c r="AG330" s="13" t="str">
        <x:v>full-0017</x:v>
      </x:c>
      <x:c r="AH330" s="13" t="str">
        <x:v>full</x:v>
      </x:c>
      <x:c r="AI330" s="13" t="n">
        <x:v>17</x:v>
      </x:c>
    </x:row>
    <x:row r="331" ht="34" customHeight="1">
      <x:c r="A331" s="15" t="str">
        <x:v>women beach sandals</x:v>
      </x:c>
      <x:c r="B331" s="15" t="str">
        <x:v>women beach sandals</x:v>
      </x:c>
      <x:c r="C331" s="10" t="str">
        <x:v>84add778c7a5a158</x:v>
      </x:c>
      <x:c r="D331" s="10" t="str">
        <x:v>keyword</x:v>
      </x:c>
      <x:c r="E331" s="10" t="str">
        <x:v>en</x:v>
      </x:c>
      <x:c r="F331" s="10" t="str">
        <x:v>clothing_shoes_jewelry</x:v>
      </x:c>
      <x:c r="G331" s="15" t="str">
        <x:v>sports_outdoors</x:v>
      </x:c>
      <x:c r="H331" s="15" t="str">
        <x:v>sandal</x:v>
      </x:c>
      <x:c r="I331" s="15" t="str">
        <x:v>women</x:v>
      </x:c>
      <x:c r="J331" s="15" t="str"/>
      <x:c r="K331" s="15" t="str"/>
      <x:c r="L331" s="15" t="str"/>
      <x:c r="M331" s="15" t="str">
        <x:v>beach</x:v>
      </x:c>
      <x:c r="N331" s="15" t="str"/>
      <x:c r="O331" s="15" t="str"/>
      <x:c r="P331" s="15" t="str"/>
      <x:c r="Q331" s="15" t="str"/>
      <x:c r="R331" s="15" t="str">
        <x:v>女性用户寻找沙滩凉鞋，产品为户外人字拖天然适合沙滩场景。</x:v>
      </x:c>
      <x:c r="S331" s="10" t="str">
        <x:v>consideration</x:v>
      </x:c>
      <x:c r="T331" s="15" t="str">
        <x:v>explicit | page_validated | inferred</x:v>
      </x:c>
      <x:c r="U331" s="10" t="str">
        <x:v>high</x:v>
      </x:c>
      <x:c r="V331" s="15" t="str">
        <x:v>women_beach_sandals</x:v>
      </x:c>
      <x:c r="W331" s="15" t="str">
        <x:v>cluster_route</x:v>
      </x:c>
      <x:c r="X331" s="15" t="str">
        <x:v>{"product_type":[{"value":"sandal","evidence_type":"explicit","source_span":"sandals","fact_ids":[],"rationale":"搜索词指定凉鞋品类，人字拖为其经典子类"}],"audience_intent":[{"value":"women","evidence_type":"explicit","source_span":"women","fact_ids":[],"rationale":"搜索词明确指定女性受众"},{"value":"women","evidence_type":"page_validated","source_span":"","fact_ids":["title_womens_flip_flop"],"rationale":"该槽位与商品基准中的明示页面事实一致。"}],"location_intent":[{"value":"beach","evidence_type":"explicit","source_span":"beach","fact_ids":["style_outdoor"],"rationale":"沙滩场景与产品户外定位匹配"}],"secondary_domain":[{"value":"sports_outdoors","evidence_type":"inferred","source_span":"","fact_ids":[],"rationale":"该值由搜索词整体语义推断，未作为页面明示属性。"}],"primary_domain":[{"value":"clothing_shoes_jewelry","evidence_type":"inferred","source_span":"","fact_ids":[],"rationale":"该值由搜索词整体语义推断，未作为页面明示属性。"}]}</x:v>
      </x:c>
      <x:c r="Y331" s="15" t="str"/>
      <x:c r="Z331" s="10" t="str">
        <x:v>match</x:v>
      </x:c>
      <x:c r="AA331" s="15" t="str">
        <x:v>title_womens_flip_flop | style_flip_flop | style_outdoor | style_open_toe</x:v>
      </x:c>
      <x:c r="AB331" s="10" t="str">
        <x:v>accepted</x:v>
      </x:c>
      <x:c r="AC331" s="10" t="str">
        <x:v>1.0.0</x:v>
      </x:c>
      <x:c r="AD331" s="10" t="str">
        <x:v>1.1.0</x:v>
      </x:c>
      <x:c r="AE331" s="10" t="str">
        <x:v>deepseek/deepseek-v4-pro</x:v>
      </x:c>
      <x:c r="AF331" s="10" t="str">
        <x:v>aj2-y90-20260714T234810-0bea2f52</x:v>
      </x:c>
      <x:c r="AG331" s="10" t="str">
        <x:v>full-0017</x:v>
      </x:c>
      <x:c r="AH331" s="10" t="str">
        <x:v>full</x:v>
      </x:c>
      <x:c r="AI331" s="10" t="n">
        <x:v>17</x:v>
      </x:c>
    </x:row>
    <x:row r="332" ht="34" customHeight="1">
      <x:c r="A332" s="16" t="str">
        <x:v>black flip flops for women waterproof</x:v>
      </x:c>
      <x:c r="B332" s="16" t="str">
        <x:v>black flip flops for women waterproof</x:v>
      </x:c>
      <x:c r="C332" s="13" t="str">
        <x:v>9babafec1b7e1932</x:v>
      </x:c>
      <x:c r="D332" s="13" t="str">
        <x:v>keyword</x:v>
      </x:c>
      <x:c r="E332" s="13" t="str">
        <x:v>en</x:v>
      </x:c>
      <x:c r="F332" s="13" t="str">
        <x:v>clothing_shoes_jewelry</x:v>
      </x:c>
      <x:c r="G332" s="16" t="str">
        <x:v>sports_outdoors</x:v>
      </x:c>
      <x:c r="H332" s="16" t="str">
        <x:v>flip_flop</x:v>
      </x:c>
      <x:c r="I332" s="16" t="str">
        <x:v>women</x:v>
      </x:c>
      <x:c r="J332" s="16" t="str"/>
      <x:c r="K332" s="16" t="str">
        <x:v>waterproof</x:v>
      </x:c>
      <x:c r="L332" s="16" t="str"/>
      <x:c r="M332" s="16" t="str"/>
      <x:c r="N332" s="16" t="str"/>
      <x:c r="O332" s="16" t="str"/>
      <x:c r="P332" s="16" t="str"/>
      <x:c r="Q332" s="16" t="str"/>
      <x:c r="R332" s="16" t="str">
        <x:v>女性用户寻找黑色防水人字拖，防水是硬性要求但产品页面无此声明。</x:v>
      </x:c>
      <x:c r="S332" s="13" t="str">
        <x:v>high_intent</x:v>
      </x:c>
      <x:c r="T332" s="16" t="str">
        <x:v>explicit | page_validated</x:v>
      </x:c>
      <x:c r="U332" s="13" t="str">
        <x:v>medium</x:v>
      </x:c>
      <x:c r="V332" s="16" t="str">
        <x:v>womens_flip_flops_waterproof</x:v>
      </x:c>
      <x:c r="W332" s="16" t="str">
        <x:v>listing_gap_review</x:v>
      </x:c>
      <x:c r="X332" s="16" t="str">
        <x:v>{"product_type":[{"value":"flip_flop","evidence_type":"explicit","source_span":"flip flops","fact_ids":[],"rationale":"搜索词明确指定人字拖品类"},{"value":"flip_flop","evidence_type":"page_validated","source_span":"","fact_ids":["style_flip_flop"],"rationale":"该槽位与商品基准中的明示页面事实一致。"}],"audience_intent":[{"value":"women","evidence_type":"explicit","source_span":"for women","fact_ids":[],"rationale":"搜索词明确指定女性受众"},{"value":"women","evidence_type":"page_validated","source_span":"","fact_ids":["title_womens_flip_flop"],"rationale":"该槽位与商品基准中的明示页面事实一致。"}],"capability_intent":[{"value":"waterproof","evidence_type":"explicit","source_span":"waterproof","fact_ids":[],"rationale":"防水需求明确但属页面排除声明范畴"}],"color":[{"value":"black","evidence_type":"explicit","source_span":"black","fact_ids":["colors_visible"],"rationale":"该颜色在商品页面可见颜色选择中得到明确支持。"}],"secondary_domain":[{"value":"sports_outdoors","evidence_type":"inferred","source_span":"","fact_ids":[],"rationale":"该值由搜索词整体语义推断，未作为页面明示属性。"}],"primary_domain":[{"value":"clothing_shoes_jewelry","evidence_type":"inferred","source_span":"","fact_ids":[],"rationale":"该值由搜索词整体语义推断，未作为页面明示属性。"}]}</x:v>
      </x:c>
      <x:c r="Y332" s="16" t="str"/>
      <x:c r="Z332" s="13" t="str">
        <x:v>partial_match</x:v>
      </x:c>
      <x:c r="AA332" s="16" t="str">
        <x:v>title_womens_flip_flop | style_flip_flop | colors_visible</x:v>
      </x:c>
      <x:c r="AB332" s="13" t="str">
        <x:v>accepted</x:v>
      </x:c>
      <x:c r="AC332" s="13" t="str">
        <x:v>1.0.0</x:v>
      </x:c>
      <x:c r="AD332" s="13" t="str">
        <x:v>1.1.0</x:v>
      </x:c>
      <x:c r="AE332" s="13" t="str">
        <x:v>deepseek/deepseek-v4-pro</x:v>
      </x:c>
      <x:c r="AF332" s="13" t="str">
        <x:v>aj2-y90-20260714T234810-0bea2f52</x:v>
      </x:c>
      <x:c r="AG332" s="13" t="str">
        <x:v>full-0017</x:v>
      </x:c>
      <x:c r="AH332" s="13" t="str">
        <x:v>full</x:v>
      </x:c>
      <x:c r="AI332" s="13" t="n">
        <x:v>17</x:v>
      </x:c>
    </x:row>
    <x:row r="333" ht="34" customHeight="1">
      <x:c r="A333" s="15" t="str">
        <x:v>brown flip flops women</x:v>
      </x:c>
      <x:c r="B333" s="15" t="str">
        <x:v>brown flip flops women</x:v>
      </x:c>
      <x:c r="C333" s="10" t="str">
        <x:v>a44b501212c121a1</x:v>
      </x:c>
      <x:c r="D333" s="10" t="str">
        <x:v>keyword</x:v>
      </x:c>
      <x:c r="E333" s="10" t="str">
        <x:v>en</x:v>
      </x:c>
      <x:c r="F333" s="10" t="str">
        <x:v>clothing_shoes_jewelry</x:v>
      </x:c>
      <x:c r="G333" s="15" t="str"/>
      <x:c r="H333" s="15" t="str">
        <x:v>flip_flop</x:v>
      </x:c>
      <x:c r="I333" s="15" t="str">
        <x:v>women</x:v>
      </x:c>
      <x:c r="J333" s="15" t="str"/>
      <x:c r="K333" s="15" t="str"/>
      <x:c r="L333" s="15" t="str"/>
      <x:c r="M333" s="15" t="str"/>
      <x:c r="N333" s="15" t="str"/>
      <x:c r="O333" s="15" t="str"/>
      <x:c r="P333" s="15" t="str"/>
      <x:c r="Q333" s="15" t="str"/>
      <x:c r="R333" s="15" t="str">
        <x:v>女性用户搜索棕色人字拖，品类、受众和颜色均与产品匹配。</x:v>
      </x:c>
      <x:c r="S333" s="10" t="str">
        <x:v>high_intent</x:v>
      </x:c>
      <x:c r="T333" s="15" t="str">
        <x:v>explicit | page_validated</x:v>
      </x:c>
      <x:c r="U333" s="10" t="str">
        <x:v>high</x:v>
      </x:c>
      <x:c r="V333" s="15" t="str">
        <x:v>womens_flip_flops_brown</x:v>
      </x:c>
      <x:c r="W333" s="15" t="str">
        <x:v>cluster_route</x:v>
      </x:c>
      <x:c r="X333" s="15" t="str">
        <x:v>{"product_type":[{"value":"flip_flop","evidence_type":"explicit","source_span":"flip flops","fact_ids":[],"rationale":"搜索词明确指定人字拖品类"},{"value":"flip_flop","evidence_type":"page_validated","source_span":"","fact_ids":["style_flip_flop"],"rationale":"该槽位与商品基准中的明示页面事实一致。"}],"audience_intent":[{"value":"women","evidence_type":"explicit","source_span":"women","fact_ids":[],"rationale":"搜索词明确指定女性受众"},{"value":"women","evidence_type":"page_validated","source_span":"","fact_ids":["title_womens_flip_flop"],"rationale":"该槽位与商品基准中的明示页面事实一致。"}],"color":[{"value":"brown","evidence_type":"explicit","source_span":"brown","fact_ids":["colors_visible"],"rationale":"该颜色在商品页面可见颜色选择中得到明确支持。"}],"primary_domain":[{"value":"clothing_shoes_jewelry","evidence_type":"inferred","source_span":"","fact_ids":[],"rationale":"该值由搜索词整体语义推断，未作为页面明示属性。"}]}</x:v>
      </x:c>
      <x:c r="Y333" s="15" t="str"/>
      <x:c r="Z333" s="10" t="str">
        <x:v>match</x:v>
      </x:c>
      <x:c r="AA333" s="15" t="str">
        <x:v>title_womens_flip_flop | style_flip_flop | colors_visible</x:v>
      </x:c>
      <x:c r="AB333" s="10" t="str">
        <x:v>accepted</x:v>
      </x:c>
      <x:c r="AC333" s="10" t="str">
        <x:v>1.0.0</x:v>
      </x:c>
      <x:c r="AD333" s="10" t="str">
        <x:v>1.1.0</x:v>
      </x:c>
      <x:c r="AE333" s="10" t="str">
        <x:v>deepseek/deepseek-v4-pro</x:v>
      </x:c>
      <x:c r="AF333" s="10" t="str">
        <x:v>aj2-y90-20260714T234810-0bea2f52</x:v>
      </x:c>
      <x:c r="AG333" s="10" t="str">
        <x:v>full-0017</x:v>
      </x:c>
      <x:c r="AH333" s="10" t="str">
        <x:v>full</x:v>
      </x:c>
      <x:c r="AI333" s="10" t="n">
        <x:v>17</x:v>
      </x:c>
    </x:row>
    <x:row r="334" ht="34" customHeight="1">
      <x:c r="A334" s="16" t="str">
        <x:v>flip flips womens</x:v>
      </x:c>
      <x:c r="B334" s="16" t="str">
        <x:v>flip flips womens</x:v>
      </x:c>
      <x:c r="C334" s="13" t="str">
        <x:v>a74a78001ed6178e</x:v>
      </x:c>
      <x:c r="D334" s="13" t="str">
        <x:v>keyword</x:v>
      </x:c>
      <x:c r="E334" s="13" t="str">
        <x:v>en</x:v>
      </x:c>
      <x:c r="F334" s="13" t="str">
        <x:v>clothing_shoes_jewelry</x:v>
      </x:c>
      <x:c r="G334" s="16" t="str"/>
      <x:c r="H334" s="16" t="str">
        <x:v>flip_flop</x:v>
      </x:c>
      <x:c r="I334" s="16" t="str">
        <x:v>women</x:v>
      </x:c>
      <x:c r="J334" s="16" t="str"/>
      <x:c r="K334" s="16" t="str"/>
      <x:c r="L334" s="16" t="str"/>
      <x:c r="M334" s="16" t="str"/>
      <x:c r="N334" s="16" t="str"/>
      <x:c r="O334" s="16" t="str"/>
      <x:c r="P334" s="16" t="str"/>
      <x:c r="Q334" s="16" t="str"/>
      <x:c r="R334" s="16" t="str">
        <x:v>女性用户搜索人字拖，搜索词有明显拼写错误但品类和受众意图明确。</x:v>
      </x:c>
      <x:c r="S334" s="13" t="str">
        <x:v>exploration</x:v>
      </x:c>
      <x:c r="T334" s="16" t="str">
        <x:v>explicit | page_validated</x:v>
      </x:c>
      <x:c r="U334" s="13" t="str">
        <x:v>high</x:v>
      </x:c>
      <x:c r="V334" s="16" t="str">
        <x:v>womens_flip_flops</x:v>
      </x:c>
      <x:c r="W334" s="16" t="str">
        <x:v>cluster_route</x:v>
      </x:c>
      <x:c r="X334" s="16" t="str">
        <x:v>{"product_type":[{"value":"flip_flop","evidence_type":"explicit","source_span":"flip flips","fact_ids":[],"rationale":"拼写变体但语义清晰指向人字拖品类"},{"value":"flip_flop","evidence_type":"page_validated","source_span":"","fact_ids":["style_flip_flop"],"rationale":"该槽位与商品基准中的明示页面事实一致。"},{"value":"flip_flop","evidence_type":"inferred","source_span":"","fact_ids":[],"rationale":"该能力由搜索词表达的任务或问题推断；页面事实仅用于验证商品承接。"}],"audience_intent":[{"value":"women","evidence_type":"explicit","source_span":"womens","fact_ids":[],"rationale":"搜索词明确指定女性受众"},{"value":"women","evidence_type":"page_validated","source_span":"","fact_ids":["title_womens_flip_flop"],"rationale":"该槽位与商品基准中的明示页面事实一致。"}],"primary_domain":[{"value":"clothing_shoes_jewelry","evidence_type":"inferred","source_span":"","fact_ids":[],"rationale":"该值由搜索词整体语义推断，未作为页面明示属性。"}]}</x:v>
      </x:c>
      <x:c r="Y334" s="16" t="str">
        <x:v>typo_present</x:v>
      </x:c>
      <x:c r="Z334" s="13" t="str">
        <x:v>match</x:v>
      </x:c>
      <x:c r="AA334" s="16" t="str">
        <x:v>title_womens_flip_flop | style_flip_flop</x:v>
      </x:c>
      <x:c r="AB334" s="13" t="str">
        <x:v>accepted</x:v>
      </x:c>
      <x:c r="AC334" s="13" t="str">
        <x:v>1.0.0</x:v>
      </x:c>
      <x:c r="AD334" s="13" t="str">
        <x:v>1.1.0</x:v>
      </x:c>
      <x:c r="AE334" s="13" t="str">
        <x:v>deepseek/deepseek-v4-pro</x:v>
      </x:c>
      <x:c r="AF334" s="13" t="str">
        <x:v>aj2-y90-20260714T234810-0bea2f52</x:v>
      </x:c>
      <x:c r="AG334" s="13" t="str">
        <x:v>full-0017</x:v>
      </x:c>
      <x:c r="AH334" s="13" t="str">
        <x:v>full</x:v>
      </x:c>
      <x:c r="AI334" s="13" t="n">
        <x:v>17</x:v>
      </x:c>
    </x:row>
    <x:row r="335" ht="34" customHeight="1">
      <x:c r="A335" s="15" t="str">
        <x:v>flipflops for pedicures</x:v>
      </x:c>
      <x:c r="B335" s="15" t="str">
        <x:v>flipflops for pedicures</x:v>
      </x:c>
      <x:c r="C335" s="10" t="str">
        <x:v>adb12a1bb9cbbfe8</x:v>
      </x:c>
      <x:c r="D335" s="10" t="str">
        <x:v>keyword</x:v>
      </x:c>
      <x:c r="E335" s="10" t="str">
        <x:v>en</x:v>
      </x:c>
      <x:c r="F335" s="10" t="str">
        <x:v>clothing_shoes_jewelry</x:v>
      </x:c>
      <x:c r="G335" s="15" t="str"/>
      <x:c r="H335" s="15" t="str">
        <x:v>flip_flop</x:v>
      </x:c>
      <x:c r="I335" s="15" t="str"/>
      <x:c r="J335" s="15" t="str">
        <x:v>pedicure_use</x:v>
      </x:c>
      <x:c r="K335" s="15" t="str"/>
      <x:c r="L335" s="15" t="str">
        <x:v>pedicure</x:v>
      </x:c>
      <x:c r="M335" s="15" t="str"/>
      <x:c r="N335" s="15" t="str"/>
      <x:c r="O335" s="15" t="str"/>
      <x:c r="P335" s="15" t="str"/>
      <x:c r="Q335" s="15" t="str"/>
      <x:c r="R335" s="15" t="str">
        <x:v>用户寻找美甲后穿着的人字拖，露趾设计避免刮花指甲油是核心需求。</x:v>
      </x:c>
      <x:c r="S335" s="10" t="str">
        <x:v>high_intent</x:v>
      </x:c>
      <x:c r="T335" s="15" t="str">
        <x:v>explicit | page_validated | inferred</x:v>
      </x:c>
      <x:c r="U335" s="10" t="str">
        <x:v>high</x:v>
      </x:c>
      <x:c r="V335" s="15" t="str">
        <x:v>flip_flops_for_pedicure</x:v>
      </x:c>
      <x:c r="W335" s="15" t="str">
        <x:v>cluster_route</x:v>
      </x:c>
      <x:c r="X335" s="15" t="str">
        <x:v>{"product_type":[{"value":"flip_flop","evidence_type":"explicit","source_span":"flipflops","fact_ids":[],"rationale":"搜索词明确指定人字拖品类"},{"value":"flip_flop","evidence_type":"page_validated","source_span":"","fact_ids":["style_flip_flop"],"rationale":"该槽位与商品基准中的明示页面事实一致。"},{"value":"flip_flop","evidence_type":"inferred","source_span":"","fact_ids":[],"rationale":"该能力由搜索词表达的任务或问题推断；页面事实仅用于验证商品承接。"}],"function_intent":[{"value":"pedicure_use","evidence_type":"explicit","source_span":"for pedicures","fact_ids":["style_open_toe","soft_toe_post"],"rationale":"美甲后穿着需要露趾和柔软趾柱"}],"event_intent":[{"value":"pedicure","evidence_type":"explicit","source_span":"pedicures","fact_ids":[],"rationale":"搜索词明确指向美甲场景"}],"primary_domain":[{"value":"clothing_shoes_jewelry","evidence_type":"inferred","source_span":"","fact_ids":[],"rationale":"该值由搜索词整体语义推断，未作为页面明示属性。"}]}</x:v>
      </x:c>
      <x:c r="Y335" s="15" t="str"/>
      <x:c r="Z335" s="10" t="str">
        <x:v>match</x:v>
      </x:c>
      <x:c r="AA335" s="15" t="str">
        <x:v>style_open_toe | soft_toe_post</x:v>
      </x:c>
      <x:c r="AB335" s="10" t="str">
        <x:v>accepted</x:v>
      </x:c>
      <x:c r="AC335" s="10" t="str">
        <x:v>1.0.0</x:v>
      </x:c>
      <x:c r="AD335" s="10" t="str">
        <x:v>1.1.0</x:v>
      </x:c>
      <x:c r="AE335" s="10" t="str">
        <x:v>deepseek/deepseek-v4-pro</x:v>
      </x:c>
      <x:c r="AF335" s="10" t="str">
        <x:v>aj2-y90-20260714T234810-0bea2f52</x:v>
      </x:c>
      <x:c r="AG335" s="10" t="str">
        <x:v>full-0017</x:v>
      </x:c>
      <x:c r="AH335" s="10" t="str">
        <x:v>full</x:v>
      </x:c>
      <x:c r="AI335" s="10" t="n">
        <x:v>17</x:v>
      </x:c>
    </x:row>
    <x:row r="336" ht="34" customHeight="1">
      <x:c r="A336" s="16" t="str">
        <x:v>lemon colored flip flops</x:v>
      </x:c>
      <x:c r="B336" s="16" t="str">
        <x:v>lemon colored flip flops</x:v>
      </x:c>
      <x:c r="C336" s="13" t="str">
        <x:v>aee5785305b400a5</x:v>
      </x:c>
      <x:c r="D336" s="13" t="str">
        <x:v>keyword</x:v>
      </x:c>
      <x:c r="E336" s="13" t="str">
        <x:v>en</x:v>
      </x:c>
      <x:c r="F336" s="13" t="str">
        <x:v>clothing_shoes_jewelry</x:v>
      </x:c>
      <x:c r="G336" s="16" t="str"/>
      <x:c r="H336" s="16" t="str">
        <x:v>flip_flop</x:v>
      </x:c>
      <x:c r="I336" s="16" t="str"/>
      <x:c r="J336" s="16" t="str"/>
      <x:c r="K336" s="16" t="str"/>
      <x:c r="L336" s="16" t="str"/>
      <x:c r="M336" s="16" t="str"/>
      <x:c r="N336" s="16" t="str"/>
      <x:c r="O336" s="16" t="str"/>
      <x:c r="P336" s="16" t="str"/>
      <x:c r="Q336" s="16" t="str"/>
      <x:c r="R336" s="16" t="str">
        <x:v>用户搜索柠檬黄色人字拖，产品可选颜色中无黄色系。</x:v>
      </x:c>
      <x:c r="S336" s="13" t="str">
        <x:v>high_intent</x:v>
      </x:c>
      <x:c r="T336" s="16" t="str">
        <x:v>explicit | page_validated</x:v>
      </x:c>
      <x:c r="U336" s="13" t="str">
        <x:v>high</x:v>
      </x:c>
      <x:c r="V336" s="16" t="str">
        <x:v>flip_flops_by_color</x:v>
      </x:c>
      <x:c r="W336" s="16" t="str">
        <x:v>listing_gap_review</x:v>
      </x:c>
      <x:c r="X336" s="16" t="str">
        <x:v>{"product_type":[{"value":"flip_flop","evidence_type":"explicit","source_span":"flip flops","fact_ids":[],"rationale":"搜索词明确指定人字拖品类"},{"value":"flip_flop","evidence_type":"page_validated","source_span":"","fact_ids":["style_flip_flop"],"rationale":"该槽位与商品基准中的明示页面事实一致。"}],"color":[{"value":"lemon","evidence_type":"explicit","source_span":"lemon colored","fact_ids":[],"rationale":"这是搜索词中的颜色约束，但商品页面基准未确认该具体颜色。"}],"primary_domain":[{"value":"clothing_shoes_jewelry","evidence_type":"inferred","source_span":"","fact_ids":[],"rationale":"该值由搜索词整体语义推断，未作为页面明示属性。"}]}</x:v>
      </x:c>
      <x:c r="Y336" s="16" t="str"/>
      <x:c r="Z336" s="13" t="str">
        <x:v>partial_match</x:v>
      </x:c>
      <x:c r="AA336" s="16" t="str">
        <x:v>title_womens_flip_flop | style_flip_flop | colors_visible</x:v>
      </x:c>
      <x:c r="AB336" s="13" t="str">
        <x:v>accepted</x:v>
      </x:c>
      <x:c r="AC336" s="13" t="str">
        <x:v>1.0.0</x:v>
      </x:c>
      <x:c r="AD336" s="13" t="str">
        <x:v>1.1.0</x:v>
      </x:c>
      <x:c r="AE336" s="13" t="str">
        <x:v>deepseek/deepseek-v4-pro</x:v>
      </x:c>
      <x:c r="AF336" s="13" t="str">
        <x:v>aj2-y90-20260714T234810-0bea2f52</x:v>
      </x:c>
      <x:c r="AG336" s="13" t="str">
        <x:v>full-0017</x:v>
      </x:c>
      <x:c r="AH336" s="13" t="str">
        <x:v>full</x:v>
      </x:c>
      <x:c r="AI336" s="13" t="n">
        <x:v>17</x:v>
      </x:c>
    </x:row>
    <x:row r="337" ht="34" customHeight="1">
      <x:c r="A337" s="15" t="str">
        <x:v>womens arch support flip flops narrow</x:v>
      </x:c>
      <x:c r="B337" s="15" t="str">
        <x:v>womens arch support flip flops narrow</x:v>
      </x:c>
      <x:c r="C337" s="10" t="str">
        <x:v>b0ca352a4756238f</x:v>
      </x:c>
      <x:c r="D337" s="10" t="str">
        <x:v>keyword</x:v>
      </x:c>
      <x:c r="E337" s="10" t="str">
        <x:v>en</x:v>
      </x:c>
      <x:c r="F337" s="10" t="str">
        <x:v>clothing_shoes_jewelry</x:v>
      </x:c>
      <x:c r="G337" s="15" t="str"/>
      <x:c r="H337" s="15" t="str">
        <x:v>flip_flop</x:v>
      </x:c>
      <x:c r="I337" s="15" t="str">
        <x:v>women</x:v>
      </x:c>
      <x:c r="J337" s="15" t="str">
        <x:v>arch_support</x:v>
      </x:c>
      <x:c r="K337" s="15" t="str"/>
      <x:c r="L337" s="15" t="str"/>
      <x:c r="M337" s="15" t="str"/>
      <x:c r="N337" s="15" t="str">
        <x:v>narrow_foot</x:v>
      </x:c>
      <x:c r="O337" s="15" t="str"/>
      <x:c r="P337" s="15" t="str"/>
      <x:c r="Q337" s="15" t="str"/>
      <x:c r="R337" s="15" t="str">
        <x:v>女性窄脚用户搜索足弓支撑人字拖，足弓支撑匹配但窄版未确认。</x:v>
      </x:c>
      <x:c r="S337" s="10" t="str">
        <x:v>high_intent</x:v>
      </x:c>
      <x:c r="T337" s="15" t="str">
        <x:v>explicit | page_validated | inferred</x:v>
      </x:c>
      <x:c r="U337" s="10" t="str">
        <x:v>medium</x:v>
      </x:c>
      <x:c r="V337" s="15" t="str">
        <x:v>womens_arch_support_flip_flops_narrow</x:v>
      </x:c>
      <x:c r="W337" s="15" t="str">
        <x:v>listing_gap_review</x:v>
      </x:c>
      <x:c r="X337" s="15" t="str">
        <x:v>{"product_type":[{"value":"flip_flop","evidence_type":"explicit","source_span":"flip flops","fact_ids":[],"rationale":"搜索词明确指定人字拖品类"},{"value":"flip_flop","evidence_type":"page_validated","source_span":"","fact_ids":["style_flip_flop"],"rationale":"该槽位与商品基准中的明示页面事实一致。"}],"audience_intent":[{"value":"women","evidence_type":"explicit","source_span":"womens","fact_ids":[],"rationale":"搜索词明确指定女性受众"},{"value":"women","evidence_type":"page_validated","source_span":"","fact_ids":["title_womens_flip_flop"],"rationale":"该槽位与商品基准中的明示页面事实一致。"}],"function_intent":[{"value":"arch_support","evidence_type":"explicit","source_span":"arch support","fact_ids":["arch_support"],"rationale":"搜索词明确指定足弓支撑功能且页面有声明"},{"value":"arch_support","evidence_type":"page_validated","source_span":"","fact_ids":["arch_support"],"rationale":"该槽位与商品基准中的明示页面事实一致。"}],"body_need_intent":[{"value":"narrow_foot","evidence_type":"explicit","source_span":"narrow","fact_ids":[],"rationale":"窄版需求明确但页面未提供宽度信息"}],"primary_domain":[{"value":"clothing_shoes_jewelry","evidence_type":"inferred","source_span":"","fact_ids":[],"rationale":"该值由搜索词整体语义推断，未作为页面明示属性。"}]}</x:v>
      </x:c>
      <x:c r="Y337" s="15" t="str"/>
      <x:c r="Z337" s="10" t="str">
        <x:v>partial_match</x:v>
      </x:c>
      <x:c r="AA337" s="15" t="str">
        <x:v>title_womens_flip_flop | style_flip_flop | arch_support</x:v>
      </x:c>
      <x:c r="AB337" s="10" t="str">
        <x:v>accepted</x:v>
      </x:c>
      <x:c r="AC337" s="10" t="str">
        <x:v>1.0.0</x:v>
      </x:c>
      <x:c r="AD337" s="10" t="str">
        <x:v>1.1.0</x:v>
      </x:c>
      <x:c r="AE337" s="10" t="str">
        <x:v>deepseek/deepseek-v4-pro</x:v>
      </x:c>
      <x:c r="AF337" s="10" t="str">
        <x:v>aj2-y90-20260714T234810-0bea2f52</x:v>
      </x:c>
      <x:c r="AG337" s="10" t="str">
        <x:v>full-0017</x:v>
      </x:c>
      <x:c r="AH337" s="10" t="str">
        <x:v>full</x:v>
      </x:c>
      <x:c r="AI337" s="10" t="n">
        <x:v>17</x:v>
      </x:c>
    </x:row>
    <x:row r="338" ht="34" customHeight="1">
      <x:c r="A338" s="16" t="str">
        <x:v>sandals for women plantar fasciitis</x:v>
      </x:c>
      <x:c r="B338" s="16" t="str">
        <x:v>sandals for women plantar fasciitis</x:v>
      </x:c>
      <x:c r="C338" s="13" t="str">
        <x:v>c9c866e8c9403510</x:v>
      </x:c>
      <x:c r="D338" s="13" t="str">
        <x:v>keyword</x:v>
      </x:c>
      <x:c r="E338" s="13" t="str">
        <x:v>en</x:v>
      </x:c>
      <x:c r="F338" s="13" t="str">
        <x:v>clothing_shoes_jewelry</x:v>
      </x:c>
      <x:c r="G338" s="16" t="str"/>
      <x:c r="H338" s="16" t="str">
        <x:v>sandal</x:v>
      </x:c>
      <x:c r="I338" s="16" t="str">
        <x:v>women</x:v>
      </x:c>
      <x:c r="J338" s="16" t="str"/>
      <x:c r="K338" s="16" t="str"/>
      <x:c r="L338" s="16" t="str"/>
      <x:c r="M338" s="16" t="str"/>
      <x:c r="N338" s="16" t="str">
        <x:v>plantar_fasciitis</x:v>
      </x:c>
      <x:c r="O338" s="16" t="str"/>
      <x:c r="P338" s="16" t="str"/>
      <x:c r="Q338" s="16" t="str"/>
      <x:c r="R338" s="16" t="str">
        <x:v>女性用户寻找适合足底筋膜炎的凉鞋，产品虽有足弓支撑但未声明治疗功效。</x:v>
      </x:c>
      <x:c r="S338" s="13" t="str">
        <x:v>high_intent</x:v>
      </x:c>
      <x:c r="T338" s="16" t="str">
        <x:v>explicit | page_validated | inferred</x:v>
      </x:c>
      <x:c r="U338" s="13" t="str">
        <x:v>medium</x:v>
      </x:c>
      <x:c r="V338" s="16" t="str">
        <x:v>plantar_fasciitis_sandals_women</x:v>
      </x:c>
      <x:c r="W338" s="16" t="str">
        <x:v>performance_observation</x:v>
      </x:c>
      <x:c r="X338" s="16" t="str">
        <x:v>{"product_type":[{"value":"sandal","evidence_type":"explicit","source_span":"sandals","fact_ids":[],"rationale":"搜索词指定凉鞋品类，人字拖为其子类"}],"audience_intent":[{"value":"women","evidence_type":"explicit","source_span":"for women","fact_ids":[],"rationale":"搜索词明确指定女性受众"},{"value":"women","evidence_type":"page_validated","source_span":"","fact_ids":["title_womens_flip_flop"],"rationale":"该槽位与商品基准中的明示页面事实一致。"}],"body_need_intent":[{"value":"plantar_fasciitis","evidence_type":"explicit","source_span":"plantar fasciitis","fact_ids":[],"rationale":"足底筋膜炎属排除声明，无法作为页面证据"}],"primary_domain":[{"value":"clothing_shoes_jewelry","evidence_type":"inferred","source_span":"","fact_ids":[],"rationale":"该值由搜索词整体语义推断，未作为页面明示属性。"}]}</x:v>
      </x:c>
      <x:c r="Y338" s="16" t="str"/>
      <x:c r="Z338" s="13" t="str">
        <x:v>partial_match</x:v>
      </x:c>
      <x:c r="AA338" s="16" t="str">
        <x:v>title_womens_flip_flop | arch_support</x:v>
      </x:c>
      <x:c r="AB338" s="13" t="str">
        <x:v>accepted</x:v>
      </x:c>
      <x:c r="AC338" s="13" t="str">
        <x:v>1.0.0</x:v>
      </x:c>
      <x:c r="AD338" s="13" t="str">
        <x:v>1.1.0</x:v>
      </x:c>
      <x:c r="AE338" s="13" t="str">
        <x:v>deepseek/deepseek-v4-pro</x:v>
      </x:c>
      <x:c r="AF338" s="13" t="str">
        <x:v>aj2-y90-20260714T234810-0bea2f52</x:v>
      </x:c>
      <x:c r="AG338" s="13" t="str">
        <x:v>full-0017</x:v>
      </x:c>
      <x:c r="AH338" s="13" t="str">
        <x:v>full</x:v>
      </x:c>
      <x:c r="AI338" s="13" t="n">
        <x:v>17</x:v>
      </x:c>
    </x:row>
    <x:row r="339" ht="34" customHeight="1">
      <x:c r="A339" s="15" t="str">
        <x:v>flip flops size 40</x:v>
      </x:c>
      <x:c r="B339" s="15" t="str">
        <x:v>flip flops size 40</x:v>
      </x:c>
      <x:c r="C339" s="10" t="str">
        <x:v>de28608d161cb8c6</x:v>
      </x:c>
      <x:c r="D339" s="10" t="str">
        <x:v>keyword</x:v>
      </x:c>
      <x:c r="E339" s="10" t="str">
        <x:v>en</x:v>
      </x:c>
      <x:c r="F339" s="10" t="str">
        <x:v>clothing_shoes_jewelry</x:v>
      </x:c>
      <x:c r="G339" s="15" t="str"/>
      <x:c r="H339" s="15" t="str">
        <x:v>flip_flop</x:v>
      </x:c>
      <x:c r="I339" s="15" t="str"/>
      <x:c r="J339" s="15" t="str"/>
      <x:c r="K339" s="15" t="str"/>
      <x:c r="L339" s="15" t="str"/>
      <x:c r="M339" s="15" t="str"/>
      <x:c r="N339" s="15" t="str"/>
      <x:c r="O339" s="15" t="str"/>
      <x:c r="P339" s="15" t="str"/>
      <x:c r="Q339" s="15" t="str"/>
      <x:c r="R339" s="15" t="str">
        <x:v>用户搜索欧码40号人字拖，产品仅显示美码6-11，欧码对应关系需人工判断。</x:v>
      </x:c>
      <x:c r="S339" s="10" t="str">
        <x:v>high_intent</x:v>
      </x:c>
      <x:c r="T339" s="15" t="str">
        <x:v>explicit | inferred</x:v>
      </x:c>
      <x:c r="U339" s="10" t="str">
        <x:v>medium</x:v>
      </x:c>
      <x:c r="V339" s="15" t="str">
        <x:v>flip_flops_by_size</x:v>
      </x:c>
      <x:c r="W339" s="15" t="str">
        <x:v>listing_gap_review</x:v>
      </x:c>
      <x:c r="X339" s="15" t="str">
        <x:v>{"product_type":[{"value":"flip_flop","evidence_type":"explicit","source_span":"flip flops","fact_ids":[],"rationale":"搜索词明确指定人字拖品类"},{"value":"flip_flop","evidence_type":"page_validated","source_span":"","fact_ids":["style_flip_flop"],"rationale":"该槽位与商品基准中的明示页面事实一致。"}],"size":[{"value":"eu_40","evidence_type":"explicit","source_span":"size 40","fact_ids":["sizes_6_11"],"rationale":"欧码40约对应美码9-9.5在范围内但页面未标欧码"}],"primary_domain":[{"value":"clothing_shoes_jewelry","evidence_type":"inferred","source_span":"","fact_ids":[],"rationale":"该值由搜索词整体语义推断，未作为页面明示属性。"}]}</x:v>
      </x:c>
      <x:c r="Y339" s="15" t="str">
        <x:v>size_conversion_required</x:v>
      </x:c>
      <x:c r="Z339" s="10" t="str">
        <x:v>partial_match</x:v>
      </x:c>
      <x:c r="AA339" s="15" t="str">
        <x:v>sizes_6_11</x:v>
      </x:c>
      <x:c r="AB339" s="10" t="str">
        <x:v>accepted</x:v>
      </x:c>
      <x:c r="AC339" s="10" t="str">
        <x:v>1.0.0</x:v>
      </x:c>
      <x:c r="AD339" s="10" t="str">
        <x:v>1.1.0</x:v>
      </x:c>
      <x:c r="AE339" s="10" t="str">
        <x:v>deepseek/deepseek-v4-pro</x:v>
      </x:c>
      <x:c r="AF339" s="10" t="str">
        <x:v>aj2-y90-20260714T234810-0bea2f52</x:v>
      </x:c>
      <x:c r="AG339" s="10" t="str">
        <x:v>full-0017</x:v>
      </x:c>
      <x:c r="AH339" s="10" t="str">
        <x:v>full</x:v>
      </x:c>
      <x:c r="AI339" s="10" t="n">
        <x:v>17</x:v>
      </x:c>
    </x:row>
    <x:row r="340" ht="34" customHeight="1">
      <x:c r="A340" s="16" t="str">
        <x:v>podiatrist designed flip flops women</x:v>
      </x:c>
      <x:c r="B340" s="16" t="str">
        <x:v>podiatrist designed flip flops women</x:v>
      </x:c>
      <x:c r="C340" s="13" t="str">
        <x:v>f23fbc3afb403cae</x:v>
      </x:c>
      <x:c r="D340" s="13" t="str">
        <x:v>keyword</x:v>
      </x:c>
      <x:c r="E340" s="13" t="str">
        <x:v>en</x:v>
      </x:c>
      <x:c r="F340" s="13" t="str">
        <x:v>clothing_shoes_jewelry</x:v>
      </x:c>
      <x:c r="G340" s="16" t="str"/>
      <x:c r="H340" s="16" t="str">
        <x:v>flip_flop</x:v>
      </x:c>
      <x:c r="I340" s="16" t="str">
        <x:v>women</x:v>
      </x:c>
      <x:c r="J340" s="16" t="str"/>
      <x:c r="K340" s="16" t="str"/>
      <x:c r="L340" s="16" t="str"/>
      <x:c r="M340" s="16" t="str"/>
      <x:c r="N340" s="16" t="str">
        <x:v>foot_health</x:v>
      </x:c>
      <x:c r="O340" s="16" t="str"/>
      <x:c r="P340" s="16" t="str"/>
      <x:c r="Q340" s="16" t="str"/>
      <x:c r="R340" s="16" t="str">
        <x:v>女性用户寻找足科医生设计的人字拖，产品具备足弓支撑等功能但无医生背书。</x:v>
      </x:c>
      <x:c r="S340" s="13" t="str">
        <x:v>high_intent</x:v>
      </x:c>
      <x:c r="T340" s="16" t="str">
        <x:v>explicit | page_validated | inferred</x:v>
      </x:c>
      <x:c r="U340" s="13" t="str">
        <x:v>medium</x:v>
      </x:c>
      <x:c r="V340" s="16" t="str">
        <x:v>podiatrist_designed_flip_flops</x:v>
      </x:c>
      <x:c r="W340" s="16" t="str">
        <x:v>listing_gap_review</x:v>
      </x:c>
      <x:c r="X340" s="16" t="str">
        <x:v>{"product_type":[{"value":"flip_flop","evidence_type":"explicit","source_span":"flip flops","fact_ids":[],"rationale":"搜索词明确指定人字拖品类"},{"value":"flip_flop","evidence_type":"page_validated","source_span":"","fact_ids":["style_flip_flop"],"rationale":"该槽位与商品基准中的明示页面事实一致。"}],"audience_intent":[{"value":"women","evidence_type":"explicit","source_span":"women","fact_ids":[],"rationale":"搜索词明确指定女性受众"},{"value":"women","evidence_type":"page_validated","source_span":"","fact_ids":["title_womens_flip_flop"],"rationale":"该槽位与商品基准中的明示页面事实一致。"}],"body_need_intent":[{"value":"foot_health","evidence_type":"inferred","source_span":"podiatrist designed","fact_ids":[],"rationale":"足科设计隐含足部健康需求，产品功能有相关性"}],"primary_domain":[{"value":"clothing_shoes_jewelry","evidence_type":"inferred","source_span":"","fact_ids":[],"rationale":"该值由搜索词整体语义推断，未作为页面明示属性。"}]}</x:v>
      </x:c>
      <x:c r="Y340" s="16" t="str"/>
      <x:c r="Z340" s="13" t="str">
        <x:v>partial_match</x:v>
      </x:c>
      <x:c r="AA340" s="16" t="str">
        <x:v>title_womens_flip_flop | style_flip_flop | arch_support | padded_cushioning | soft_toe_post</x:v>
      </x:c>
      <x:c r="AB340" s="13" t="str">
        <x:v>accepted</x:v>
      </x:c>
      <x:c r="AC340" s="13" t="str">
        <x:v>1.0.0</x:v>
      </x:c>
      <x:c r="AD340" s="13" t="str">
        <x:v>1.1.0</x:v>
      </x:c>
      <x:c r="AE340" s="13" t="str">
        <x:v>deepseek/deepseek-v4-pro</x:v>
      </x:c>
      <x:c r="AF340" s="13" t="str">
        <x:v>aj2-y90-20260714T234810-0bea2f52</x:v>
      </x:c>
      <x:c r="AG340" s="13" t="str">
        <x:v>full-0017</x:v>
      </x:c>
      <x:c r="AH340" s="13" t="str">
        <x:v>full</x:v>
      </x:c>
      <x:c r="AI340" s="13" t="n">
        <x:v>17</x:v>
      </x:c>
    </x:row>
    <x:row r="341" ht="34" customHeight="1">
      <x:c r="A341" s="15" t="str">
        <x:v>ladies flip flops</x:v>
      </x:c>
      <x:c r="B341" s="15" t="str">
        <x:v>ladies flip flops</x:v>
      </x:c>
      <x:c r="C341" s="10" t="str">
        <x:v>f8c8b23277f4e3c4</x:v>
      </x:c>
      <x:c r="D341" s="10" t="str">
        <x:v>keyword</x:v>
      </x:c>
      <x:c r="E341" s="10" t="str">
        <x:v>en</x:v>
      </x:c>
      <x:c r="F341" s="10" t="str">
        <x:v>clothing_shoes_jewelry</x:v>
      </x:c>
      <x:c r="G341" s="15" t="str"/>
      <x:c r="H341" s="15" t="str">
        <x:v>flip_flop</x:v>
      </x:c>
      <x:c r="I341" s="15" t="str">
        <x:v>women</x:v>
      </x:c>
      <x:c r="J341" s="15" t="str"/>
      <x:c r="K341" s="15" t="str"/>
      <x:c r="L341" s="15" t="str"/>
      <x:c r="M341" s="15" t="str"/>
      <x:c r="N341" s="15" t="str"/>
      <x:c r="O341" s="15" t="str"/>
      <x:c r="P341" s="15" t="str"/>
      <x:c r="Q341" s="15" t="str"/>
      <x:c r="R341" s="15" t="str">
        <x:v>女性用户搜索人字拖，品类和受众完全匹配产品定位。</x:v>
      </x:c>
      <x:c r="S341" s="10" t="str">
        <x:v>exploration</x:v>
      </x:c>
      <x:c r="T341" s="15" t="str">
        <x:v>explicit | page_validated</x:v>
      </x:c>
      <x:c r="U341" s="10" t="str">
        <x:v>high</x:v>
      </x:c>
      <x:c r="V341" s="15" t="str">
        <x:v>womens_flip_flops</x:v>
      </x:c>
      <x:c r="W341" s="15" t="str">
        <x:v>cluster_route</x:v>
      </x:c>
      <x:c r="X341" s="15" t="str">
        <x:v>{"product_type":[{"value":"flip_flop","evidence_type":"explicit","source_span":"flip flops","fact_ids":[],"rationale":"搜索词明确指定人字拖品类"},{"value":"flip_flop","evidence_type":"page_validated","source_span":"","fact_ids":["style_flip_flop"],"rationale":"该槽位与商品基准中的明示页面事实一致。"}],"audience_intent":[{"value":"women","evidence_type":"explicit","source_span":"ladies","fact_ids":[],"rationale":"ladies与女性受众语义等价"},{"value":"women","evidence_type":"page_validated","source_span":"","fact_ids":["title_womens_flip_flop"],"rationale":"该槽位与商品基准中的明示页面事实一致。"},{"value":"women","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341" s="15" t="str"/>
      <x:c r="Z341" s="10" t="str">
        <x:v>match</x:v>
      </x:c>
      <x:c r="AA341" s="15" t="str">
        <x:v>title_womens_flip_flop | style_flip_flop</x:v>
      </x:c>
      <x:c r="AB341" s="10" t="str">
        <x:v>accepted</x:v>
      </x:c>
      <x:c r="AC341" s="10" t="str">
        <x:v>1.0.0</x:v>
      </x:c>
      <x:c r="AD341" s="10" t="str">
        <x:v>1.1.0</x:v>
      </x:c>
      <x:c r="AE341" s="10" t="str">
        <x:v>deepseek/deepseek-v4-pro</x:v>
      </x:c>
      <x:c r="AF341" s="10" t="str">
        <x:v>aj2-y90-20260714T234810-0bea2f52</x:v>
      </x:c>
      <x:c r="AG341" s="10" t="str">
        <x:v>full-0017</x:v>
      </x:c>
      <x:c r="AH341" s="10" t="str">
        <x:v>full</x:v>
      </x:c>
      <x:c r="AI341" s="10" t="n">
        <x:v>17</x:v>
      </x:c>
    </x:row>
    <x:row r="342" ht="34" customHeight="1">
      <x:c r="A342" s="16" t="str">
        <x:v>flip-flops with arch support for women</x:v>
      </x:c>
      <x:c r="B342" s="16" t="str">
        <x:v>flip-flops with arch support for women</x:v>
      </x:c>
      <x:c r="C342" s="13" t="str">
        <x:v>0a3cf0e9a7d96f94</x:v>
      </x:c>
      <x:c r="D342" s="13" t="str">
        <x:v>keyword</x:v>
      </x:c>
      <x:c r="E342" s="13" t="str">
        <x:v>en</x:v>
      </x:c>
      <x:c r="F342" s="13" t="str">
        <x:v>clothing_shoes_jewelry</x:v>
      </x:c>
      <x:c r="G342" s="16" t="str"/>
      <x:c r="H342" s="16" t="str">
        <x:v>flip_flop</x:v>
      </x:c>
      <x:c r="I342" s="16" t="str">
        <x:v>women</x:v>
      </x:c>
      <x:c r="J342" s="16" t="str">
        <x:v>arch_support</x:v>
      </x:c>
      <x:c r="K342" s="16" t="str"/>
      <x:c r="L342" s="16" t="str"/>
      <x:c r="M342" s="16" t="str"/>
      <x:c r="N342" s="16" t="str"/>
      <x:c r="O342" s="16" t="str"/>
      <x:c r="P342" s="16" t="str"/>
      <x:c r="Q342" s="16" t="str"/>
      <x:c r="R342" s="16" t="str">
        <x:v>用户需要一双女士足弓支撑人字拖，以在日常活动中获得足部支撑和舒适感。</x:v>
      </x:c>
      <x:c r="S342" s="13" t="str">
        <x:v>high_intent</x:v>
      </x:c>
      <x:c r="T342" s="16" t="str">
        <x:v>explicit | page_validated</x:v>
      </x:c>
      <x:c r="U342" s="13" t="str">
        <x:v>high</x:v>
      </x:c>
      <x:c r="V342" s="16" t="str">
        <x:v>womens_flip_flop_arch_support</x:v>
      </x:c>
      <x:c r="W342" s="16" t="str">
        <x:v>cluster_route</x:v>
      </x:c>
      <x:c r="X342" s="16" t="str">
        <x:v>{"product_type":[{"value":"flip_flop","evidence_type":"explicit","source_span":"flip-flops","fact_ids":[],"rationale":""},{"value":"flip_flop","evidence_type":"page_validated","source_span":"","fact_ids":["style_flip_flop"],"rationale":"页面确认为人字拖。"}],"audience_intent":[{"value":"women","evidence_type":"explicit","source_span":"for women","fact_ids":[],"rationale":""},{"value":"women","evidence_type":"page_validated","source_span":"","fact_ids":["title_womens_flip_flop"],"rationale":"页面标题确认女士产品。"}],"function_intent":[{"value":"arch_support","evidence_type":"explicit","source_span":"with arch support","fact_ids":[],"rationale":""},{"value":"arch_support","evidence_type":"page_validated","source_span":"","fact_ids":["arch_support"],"rationale":"页面声明人体工学足弓支撑。"}],"primary_domain":[{"value":"clothing_shoes_jewelry","evidence_type":"inferred","source_span":"","fact_ids":[],"rationale":"该值由搜索词整体语义推断，未作为页面明示属性。"}]}</x:v>
      </x:c>
      <x:c r="Y342" s="16" t="str"/>
      <x:c r="Z342" s="13" t="str">
        <x:v>match</x:v>
      </x:c>
      <x:c r="AA342" s="16" t="str">
        <x:v>style_flip_flop | title_womens_flip_flop | arch_support</x:v>
      </x:c>
      <x:c r="AB342" s="13" t="str">
        <x:v>accepted</x:v>
      </x:c>
      <x:c r="AC342" s="13" t="str">
        <x:v>1.0.0</x:v>
      </x:c>
      <x:c r="AD342" s="13" t="str">
        <x:v>1.1.0</x:v>
      </x:c>
      <x:c r="AE342" s="13" t="str">
        <x:v>deepseek/deepseek-v4-pro</x:v>
      </x:c>
      <x:c r="AF342" s="13" t="str">
        <x:v>aj2-y90-20260714T234810-0bea2f52</x:v>
      </x:c>
      <x:c r="AG342" s="13" t="str">
        <x:v>full-0018</x:v>
      </x:c>
      <x:c r="AH342" s="13" t="str">
        <x:v>full</x:v>
      </x:c>
      <x:c r="AI342" s="13" t="n">
        <x:v>18</x:v>
      </x:c>
    </x:row>
    <x:row r="343" ht="34" customHeight="1">
      <x:c r="A343" s="15" t="str">
        <x:v>sandals for women in the color jade</x:v>
      </x:c>
      <x:c r="B343" s="15" t="str">
        <x:v>sandals for women in the color jade</x:v>
      </x:c>
      <x:c r="C343" s="10" t="str">
        <x:v>0f719d5ca1a7bcfc</x:v>
      </x:c>
      <x:c r="D343" s="10" t="str">
        <x:v>keyword</x:v>
      </x:c>
      <x:c r="E343" s="10" t="str">
        <x:v>en</x:v>
      </x:c>
      <x:c r="F343" s="10" t="str">
        <x:v>clothing_shoes_jewelry</x:v>
      </x:c>
      <x:c r="G343" s="15" t="str"/>
      <x:c r="H343" s="15" t="str">
        <x:v>sandal</x:v>
      </x:c>
      <x:c r="I343" s="15" t="str">
        <x:v>women</x:v>
      </x:c>
      <x:c r="J343" s="15" t="str"/>
      <x:c r="K343" s="15" t="str"/>
      <x:c r="L343" s="15" t="str"/>
      <x:c r="M343" s="15" t="str"/>
      <x:c r="N343" s="15" t="str"/>
      <x:c r="O343" s="15" t="str"/>
      <x:c r="P343" s="15" t="str"/>
      <x:c r="Q343" s="15" t="str"/>
      <x:c r="R343" s="15" t="str">
        <x:v>用户需要一双玉色女士凉鞋，但该产品可选颜色中无玉色，存在颜色缺口。</x:v>
      </x:c>
      <x:c r="S343" s="10" t="str">
        <x:v>consideration</x:v>
      </x:c>
      <x:c r="T343" s="15" t="str">
        <x:v>explicit | page_validated | inferred</x:v>
      </x:c>
      <x:c r="U343" s="10" t="str">
        <x:v>medium</x:v>
      </x:c>
      <x:c r="V343" s="15" t="str">
        <x:v>womens_jade_sandals</x:v>
      </x:c>
      <x:c r="W343" s="15" t="str">
        <x:v>listing_gap_review</x:v>
      </x:c>
      <x:c r="X343" s="15" t="str">
        <x:v>{"product_type":[{"value":"sandal","evidence_type":"explicit","source_span":"sandals","fact_ids":[],"rationale":""},{"value":"sandal","evidence_type":"page_validated","source_span":"","fact_ids":["style_flip_flop"],"rationale":"本产品为人字拖，属凉鞋大类。"}],"audience_intent":[{"value":"women","evidence_type":"explicit","source_span":"for women","fact_ids":[],"rationale":""},{"value":"women","evidence_type":"page_validated","source_span":"","fact_ids":["title_womens_flip_flop"],"rationale":"页面标题确认女士产品。"}],"capability_intent":[{"value":"color_jade","evidence_type":"explicit","source_span":"in the color jade","fact_ids":[],"rationale":""}],"primary_domain":[{"value":"clothing_shoes_jewelry","evidence_type":"inferred","source_span":"","fact_ids":[],"rationale":"该值由搜索词整体语义推断，未作为页面明示属性。"}]}</x:v>
      </x:c>
      <x:c r="Y343" s="15" t="str">
        <x:v>color_not_in_baseline</x:v>
      </x:c>
      <x:c r="Z343" s="10" t="str">
        <x:v>partial_match</x:v>
      </x:c>
      <x:c r="AA343" s="15" t="str">
        <x:v>title_womens_flip_flop | style_flip_flop</x:v>
      </x:c>
      <x:c r="AB343" s="10" t="str">
        <x:v>accepted</x:v>
      </x:c>
      <x:c r="AC343" s="10" t="str">
        <x:v>1.0.0</x:v>
      </x:c>
      <x:c r="AD343" s="10" t="str">
        <x:v>1.1.0</x:v>
      </x:c>
      <x:c r="AE343" s="10" t="str">
        <x:v>deepseek/deepseek-v4-pro</x:v>
      </x:c>
      <x:c r="AF343" s="10" t="str">
        <x:v>aj2-y90-20260714T234810-0bea2f52</x:v>
      </x:c>
      <x:c r="AG343" s="10" t="str">
        <x:v>full-0018</x:v>
      </x:c>
      <x:c r="AH343" s="10" t="str">
        <x:v>full</x:v>
      </x:c>
      <x:c r="AI343" s="10" t="n">
        <x:v>18</x:v>
      </x:c>
    </x:row>
    <x:row r="344" ht="34" customHeight="1">
      <x:c r="A344" s="16" t="str">
        <x:v>ladies flip flops with arch support</x:v>
      </x:c>
      <x:c r="B344" s="16" t="str">
        <x:v>ladies flip flops with arch support</x:v>
      </x:c>
      <x:c r="C344" s="13" t="str">
        <x:v>19357410d3e24e5c</x:v>
      </x:c>
      <x:c r="D344" s="13" t="str">
        <x:v>keyword</x:v>
      </x:c>
      <x:c r="E344" s="13" t="str">
        <x:v>en</x:v>
      </x:c>
      <x:c r="F344" s="13" t="str">
        <x:v>clothing_shoes_jewelry</x:v>
      </x:c>
      <x:c r="G344" s="16" t="str"/>
      <x:c r="H344" s="16" t="str">
        <x:v>flip_flop</x:v>
      </x:c>
      <x:c r="I344" s="16" t="str">
        <x:v>women</x:v>
      </x:c>
      <x:c r="J344" s="16" t="str">
        <x:v>arch_support</x:v>
      </x:c>
      <x:c r="K344" s="16" t="str"/>
      <x:c r="L344" s="16" t="str"/>
      <x:c r="M344" s="16" t="str"/>
      <x:c r="N344" s="16" t="str"/>
      <x:c r="O344" s="16" t="str"/>
      <x:c r="P344" s="16" t="str"/>
      <x:c r="Q344" s="16" t="str"/>
      <x:c r="R344" s="16" t="str">
        <x:v>用户需要一双女士足弓支撑人字拖，以在日常穿着中获得更好的足部舒适度。</x:v>
      </x:c>
      <x:c r="S344" s="13" t="str">
        <x:v>high_intent</x:v>
      </x:c>
      <x:c r="T344" s="16" t="str">
        <x:v>explicit | page_validated</x:v>
      </x:c>
      <x:c r="U344" s="13" t="str">
        <x:v>high</x:v>
      </x:c>
      <x:c r="V344" s="16" t="str">
        <x:v>womens_flip_flop_arch_support</x:v>
      </x:c>
      <x:c r="W344" s="16" t="str">
        <x:v>cluster_route</x:v>
      </x:c>
      <x:c r="X344" s="16" t="str">
        <x:v>{"product_type":[{"value":"flip_flop","evidence_type":"explicit","source_span":"flip flops","fact_ids":[],"rationale":""},{"value":"flip_flop","evidence_type":"page_validated","source_span":"","fact_ids":["style_flip_flop"],"rationale":"页面确认为人字拖。"}],"audience_intent":[{"value":"women","evidence_type":"explicit","source_span":"ladies","fact_ids":[],"rationale":""},{"value":"women","evidence_type":"page_validated","source_span":"","fact_ids":["title_womens_flip_flop"],"rationale":"页面标题标明女士产品。"},{"value":"women","evidence_type":"inferred","source_span":"","fact_ids":[],"rationale":"该能力由搜索词表达的任务或问题推断；页面事实仅用于验证商品承接。"}],"function_intent":[{"value":"arch_support","evidence_type":"explicit","source_span":"with arch support","fact_ids":[],"rationale":""},{"value":"arch_support","evidence_type":"page_validated","source_span":"","fact_ids":["arch_support"],"rationale":"页面声明人体工学足弓支撑。"}],"primary_domain":[{"value":"clothing_shoes_jewelry","evidence_type":"inferred","source_span":"","fact_ids":[],"rationale":"该值由搜索词整体语义推断，未作为页面明示属性。"}]}</x:v>
      </x:c>
      <x:c r="Y344" s="16" t="str"/>
      <x:c r="Z344" s="13" t="str">
        <x:v>match</x:v>
      </x:c>
      <x:c r="AA344" s="16" t="str">
        <x:v>style_flip_flop | title_womens_flip_flop | arch_support</x:v>
      </x:c>
      <x:c r="AB344" s="13" t="str">
        <x:v>accepted</x:v>
      </x:c>
      <x:c r="AC344" s="13" t="str">
        <x:v>1.0.0</x:v>
      </x:c>
      <x:c r="AD344" s="13" t="str">
        <x:v>1.1.0</x:v>
      </x:c>
      <x:c r="AE344" s="13" t="str">
        <x:v>deepseek/deepseek-v4-pro</x:v>
      </x:c>
      <x:c r="AF344" s="13" t="str">
        <x:v>aj2-y90-20260714T234810-0bea2f52</x:v>
      </x:c>
      <x:c r="AG344" s="13" t="str">
        <x:v>full-0018</x:v>
      </x:c>
      <x:c r="AH344" s="13" t="str">
        <x:v>full</x:v>
      </x:c>
      <x:c r="AI344" s="13" t="n">
        <x:v>18</x:v>
      </x:c>
    </x:row>
    <x:row r="345" ht="34" customHeight="1">
      <x:c r="A345" s="15" t="str">
        <x:v>white arch flip flops</x:v>
      </x:c>
      <x:c r="B345" s="15" t="str">
        <x:v>white arch flip flops</x:v>
      </x:c>
      <x:c r="C345" s="10" t="str">
        <x:v>2d616ba61e641c38</x:v>
      </x:c>
      <x:c r="D345" s="10" t="str">
        <x:v>keyword</x:v>
      </x:c>
      <x:c r="E345" s="10" t="str">
        <x:v>en</x:v>
      </x:c>
      <x:c r="F345" s="10" t="str">
        <x:v>clothing_shoes_jewelry</x:v>
      </x:c>
      <x:c r="G345" s="15" t="str"/>
      <x:c r="H345" s="15" t="str">
        <x:v>flip_flop</x:v>
      </x:c>
      <x:c r="I345" s="15" t="str"/>
      <x:c r="J345" s="15" t="str">
        <x:v>arch_support</x:v>
      </x:c>
      <x:c r="K345" s="15" t="str"/>
      <x:c r="L345" s="15" t="str"/>
      <x:c r="M345" s="15" t="str"/>
      <x:c r="N345" s="15" t="str"/>
      <x:c r="O345" s="15" t="str"/>
      <x:c r="P345" s="15" t="str"/>
      <x:c r="Q345" s="15" t="str"/>
      <x:c r="R345" s="15" t="str">
        <x:v>用户需要一双白色足弓支撑人字拖，颜色、功能和产品类型均与页面声明匹配。</x:v>
      </x:c>
      <x:c r="S345" s="10" t="str">
        <x:v>high_intent</x:v>
      </x:c>
      <x:c r="T345" s="15" t="str">
        <x:v>explicit | page_validated</x:v>
      </x:c>
      <x:c r="U345" s="10" t="str">
        <x:v>high</x:v>
      </x:c>
      <x:c r="V345" s="15" t="str">
        <x:v>white_arch_flip_flops</x:v>
      </x:c>
      <x:c r="W345" s="15" t="str">
        <x:v>cluster_route</x:v>
      </x:c>
      <x:c r="X345" s="15" t="str">
        <x:v>{"product_type":[{"value":"flip_flop","evidence_type":"explicit","source_span":"flip flops","fact_ids":[],"rationale":""},{"value":"flip_flop","evidence_type":"page_validated","source_span":"","fact_ids":["style_flip_flop"],"rationale":"页面确认人字拖产品。"}],"function_intent":[{"value":"arch_support","evidence_type":"explicit","source_span":"arch","fact_ids":[],"rationale":""},{"value":"arch_support","evidence_type":"page_validated","source_span":"","fact_ids":["arch_support"],"rationale":"页面声明人体工学足弓支撑。"},{"value":"arch_suppor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345" s="15" t="str"/>
      <x:c r="Z345" s="10" t="str">
        <x:v>match</x:v>
      </x:c>
      <x:c r="AA345" s="15" t="str">
        <x:v>style_flip_flop | arch_support | colors_visible</x:v>
      </x:c>
      <x:c r="AB345" s="10" t="str">
        <x:v>accepted</x:v>
      </x:c>
      <x:c r="AC345" s="10" t="str">
        <x:v>1.0.0</x:v>
      </x:c>
      <x:c r="AD345" s="10" t="str">
        <x:v>1.1.0</x:v>
      </x:c>
      <x:c r="AE345" s="10" t="str">
        <x:v>deepseek/deepseek-v4-pro</x:v>
      </x:c>
      <x:c r="AF345" s="10" t="str">
        <x:v>aj2-y90-20260714T234810-0bea2f52</x:v>
      </x:c>
      <x:c r="AG345" s="10" t="str">
        <x:v>full-0018</x:v>
      </x:c>
      <x:c r="AH345" s="10" t="str">
        <x:v>full</x:v>
      </x:c>
      <x:c r="AI345" s="10" t="n">
        <x:v>18</x:v>
      </x:c>
    </x:row>
    <x:row r="346" ht="34" customHeight="1">
      <x:c r="A346" s="16" t="str">
        <x:v>off white flip flops</x:v>
      </x:c>
      <x:c r="B346" s="16" t="str">
        <x:v>off white flip flops</x:v>
      </x:c>
      <x:c r="C346" s="13" t="str">
        <x:v>4182d01ce7e98dd7</x:v>
      </x:c>
      <x:c r="D346" s="13" t="str">
        <x:v>keyword</x:v>
      </x:c>
      <x:c r="E346" s="13" t="str">
        <x:v>en</x:v>
      </x:c>
      <x:c r="F346" s="13" t="str">
        <x:v>clothing_shoes_jewelry</x:v>
      </x:c>
      <x:c r="G346" s="16" t="str"/>
      <x:c r="H346" s="16" t="str">
        <x:v>flip_flop</x:v>
      </x:c>
      <x:c r="I346" s="16" t="str"/>
      <x:c r="J346" s="16" t="str"/>
      <x:c r="K346" s="16" t="str"/>
      <x:c r="L346" s="16" t="str"/>
      <x:c r="M346" s="16" t="str"/>
      <x:c r="N346" s="16" t="str"/>
      <x:c r="O346" s="16" t="str"/>
      <x:c r="P346" s="16" t="str"/>
      <x:c r="Q346" s="16" t="str"/>
      <x:c r="R346" s="16" t="str">
        <x:v>用户需要米白色人字拖，产品有纯白色可选但无米白色，颜色存在细微偏差。</x:v>
      </x:c>
      <x:c r="S346" s="13" t="str">
        <x:v>consideration</x:v>
      </x:c>
      <x:c r="T346" s="16" t="str">
        <x:v>explicit | page_validated | inferred</x:v>
      </x:c>
      <x:c r="U346" s="13" t="str">
        <x:v>medium</x:v>
      </x:c>
      <x:c r="V346" s="16" t="str">
        <x:v>off_white_flip_flops</x:v>
      </x:c>
      <x:c r="W346" s="16" t="str">
        <x:v>listing_gap_review</x:v>
      </x:c>
      <x:c r="X346" s="16" t="str">
        <x:v>{"product_type":[{"value":"flip_flop","evidence_type":"explicit","source_span":"flip flops","fact_ids":[],"rationale":""},{"value":"flip_flop","evidence_type":"page_validated","source_span":"","fact_ids":["style_flip_flop"],"rationale":"页面确认人字拖产品。"}],"primary_domain":[{"value":"clothing_shoes_jewelry","evidence_type":"inferred","source_span":"","fact_ids":[],"rationale":"该值由搜索词整体语义推断，未作为页面明示属性。"}]}</x:v>
      </x:c>
      <x:c r="Y346" s="16" t="str">
        <x:v>off_white_vs_white_shade_variation</x:v>
      </x:c>
      <x:c r="Z346" s="13" t="str">
        <x:v>partial_match</x:v>
      </x:c>
      <x:c r="AA346" s="16" t="str">
        <x:v>style_flip_flop | colors_visible</x:v>
      </x:c>
      <x:c r="AB346" s="13" t="str">
        <x:v>accepted</x:v>
      </x:c>
      <x:c r="AC346" s="13" t="str">
        <x:v>1.0.0</x:v>
      </x:c>
      <x:c r="AD346" s="13" t="str">
        <x:v>1.1.0</x:v>
      </x:c>
      <x:c r="AE346" s="13" t="str">
        <x:v>deepseek/deepseek-v4-pro</x:v>
      </x:c>
      <x:c r="AF346" s="13" t="str">
        <x:v>aj2-y90-20260714T234810-0bea2f52</x:v>
      </x:c>
      <x:c r="AG346" s="13" t="str">
        <x:v>full-0018</x:v>
      </x:c>
      <x:c r="AH346" s="13" t="str">
        <x:v>full</x:v>
      </x:c>
      <x:c r="AI346" s="13" t="n">
        <x:v>18</x:v>
      </x:c>
    </x:row>
    <x:row r="347" ht="34" customHeight="1">
      <x:c r="A347" s="15" t="str">
        <x:v>flip flops women water proof</x:v>
      </x:c>
      <x:c r="B347" s="15" t="str">
        <x:v>flip flops women water proof</x:v>
      </x:c>
      <x:c r="C347" s="10" t="str">
        <x:v>480e9fe0a0f0e1d4</x:v>
      </x:c>
      <x:c r="D347" s="10" t="str">
        <x:v>keyword</x:v>
      </x:c>
      <x:c r="E347" s="10" t="str">
        <x:v>en</x:v>
      </x:c>
      <x:c r="F347" s="10" t="str">
        <x:v>clothing_shoes_jewelry</x:v>
      </x:c>
      <x:c r="G347" s="15" t="str"/>
      <x:c r="H347" s="15" t="str">
        <x:v>flip_flop</x:v>
      </x:c>
      <x:c r="I347" s="15" t="str">
        <x:v>women</x:v>
      </x:c>
      <x:c r="J347" s="15" t="str"/>
      <x:c r="K347" s="15" t="str">
        <x:v>waterproof</x:v>
      </x:c>
      <x:c r="L347" s="15" t="str"/>
      <x:c r="M347" s="15" t="str"/>
      <x:c r="N347" s="15" t="str"/>
      <x:c r="O347" s="15" t="str"/>
      <x:c r="P347" s="15" t="str"/>
      <x:c r="Q347" s="15" t="str"/>
      <x:c r="R347" s="15" t="str">
        <x:v>用户需要一双女士防水人字拖，适用于涉水环境，但该产品未声明防水功能。</x:v>
      </x:c>
      <x:c r="S347" s="10" t="str">
        <x:v>consideration</x:v>
      </x:c>
      <x:c r="T347" s="15" t="str">
        <x:v>explicit | page_validated | inferred</x:v>
      </x:c>
      <x:c r="U347" s="10" t="str">
        <x:v>medium</x:v>
      </x:c>
      <x:c r="V347" s="15" t="str">
        <x:v>womens_waterproof_flip_flop</x:v>
      </x:c>
      <x:c r="W347" s="15" t="str">
        <x:v>listing_gap_review</x:v>
      </x:c>
      <x:c r="X347" s="15" t="str">
        <x:v>{"product_type":[{"value":"flip_flop","evidence_type":"explicit","source_span":"flip flops","fact_ids":[],"rationale":""},{"value":"flip_flop","evidence_type":"page_validated","source_span":"","fact_ids":["style_flip_flop"],"rationale":"页面确认人字拖产品类型。"}],"audience_intent":[{"value":"women","evidence_type":"explicit","source_span":"women","fact_ids":[],"rationale":""},{"value":"women","evidence_type":"page_validated","source_span":"","fact_ids":["title_womens_flip_flop"],"rationale":"页面标题标明女士产品。"}],"capability_intent":[{"value":"waterproof","evidence_type":"explicit","source_span":"water proof","fact_ids":[],"rationale":""}],"primary_domain":[{"value":"clothing_shoes_jewelry","evidence_type":"inferred","source_span":"","fact_ids":[],"rationale":"该值由搜索词整体语义推断，未作为页面明示属性。"}]}</x:v>
      </x:c>
      <x:c r="Y347" s="15" t="str"/>
      <x:c r="Z347" s="10" t="str">
        <x:v>partial_match</x:v>
      </x:c>
      <x:c r="AA347" s="15" t="str">
        <x:v>style_flip_flop | title_womens_flip_flop</x:v>
      </x:c>
      <x:c r="AB347" s="10" t="str">
        <x:v>accepted</x:v>
      </x:c>
      <x:c r="AC347" s="10" t="str">
        <x:v>1.0.0</x:v>
      </x:c>
      <x:c r="AD347" s="10" t="str">
        <x:v>1.1.0</x:v>
      </x:c>
      <x:c r="AE347" s="10" t="str">
        <x:v>deepseek/deepseek-v4-pro</x:v>
      </x:c>
      <x:c r="AF347" s="10" t="str">
        <x:v>aj2-y90-20260714T234810-0bea2f52</x:v>
      </x:c>
      <x:c r="AG347" s="10" t="str">
        <x:v>full-0018</x:v>
      </x:c>
      <x:c r="AH347" s="10" t="str">
        <x:v>full</x:v>
      </x:c>
      <x:c r="AI347" s="10" t="n">
        <x:v>18</x:v>
      </x:c>
    </x:row>
    <x:row r="348" ht="34" customHeight="1">
      <x:c r="A348" s="16" t="str">
        <x:v>flip flops for plantar fasciitis women cushion</x:v>
      </x:c>
      <x:c r="B348" s="16" t="str">
        <x:v>flip flops for plantar fasciitis women cushion</x:v>
      </x:c>
      <x:c r="C348" s="13" t="str">
        <x:v>59f4829a77ad591d</x:v>
      </x:c>
      <x:c r="D348" s="13" t="str">
        <x:v>keyword</x:v>
      </x:c>
      <x:c r="E348" s="13" t="str">
        <x:v>en</x:v>
      </x:c>
      <x:c r="F348" s="13" t="str">
        <x:v>clothing_shoes_jewelry</x:v>
      </x:c>
      <x:c r="G348" s="16" t="str">
        <x:v>health_household</x:v>
      </x:c>
      <x:c r="H348" s="16" t="str">
        <x:v>flip_flop</x:v>
      </x:c>
      <x:c r="I348" s="16" t="str">
        <x:v>women</x:v>
      </x:c>
      <x:c r="J348" s="16" t="str"/>
      <x:c r="K348" s="16" t="str">
        <x:v>cushioning</x:v>
      </x:c>
      <x:c r="L348" s="16" t="str"/>
      <x:c r="M348" s="16" t="str"/>
      <x:c r="N348" s="16" t="str">
        <x:v>plantar_fasciitis</x:v>
      </x:c>
      <x:c r="O348" s="16" t="str"/>
      <x:c r="P348" s="16" t="str"/>
      <x:c r="Q348" s="16" t="str"/>
      <x:c r="R348" s="16" t="str">
        <x:v>用户需要一双适合足底筋膜炎患者穿着的女士缓震人字拖，但产品未声明具备治疗足底筋膜炎的功能。</x:v>
      </x:c>
      <x:c r="S348" s="13" t="str">
        <x:v>consideration</x:v>
      </x:c>
      <x:c r="T348" s="16" t="str">
        <x:v>explicit | page_validated | inferred</x:v>
      </x:c>
      <x:c r="U348" s="13" t="str">
        <x:v>medium</x:v>
      </x:c>
      <x:c r="V348" s="16" t="str">
        <x:v>plantar_fasciitis_flip_flops</x:v>
      </x:c>
      <x:c r="W348" s="16" t="str">
        <x:v>semantic_negative_candidate</x:v>
      </x:c>
      <x:c r="X348" s="16" t="str">
        <x:v>{"product_type":[{"value":"flip_flop","evidence_type":"explicit","source_span":"flip flops","fact_ids":[],"rationale":""},{"value":"flip_flop","evidence_type":"page_validated","source_span":"","fact_ids":["style_flip_flop"],"rationale":"页面确认人字拖产品。"}],"audience_intent":[{"value":"women","evidence_type":"explicit","source_span":"women","fact_ids":[],"rationale":""},{"value":"women","evidence_type":"page_validated","source_span":"","fact_ids":["title_womens_flip_flop"],"rationale":"页面标题确认女士产品。"}],"body_need_intent":[{"value":"plantar_fasciitis","evidence_type":"explicit","source_span":"plantar fasciitis","fact_ids":[],"rationale":""}],"capability_intent":[{"value":"cushioning","evidence_type":"explicit","source_span":"cushion","fact_ids":[],"rationale":""},{"value":"cushioning","evidence_type":"page_validated","source_span":"","fact_ids":["padded_cushioning"],"rationale":"页面标注软垫特性。"},{"value":"cushioning","evidence_type":"inferred","source_span":"","fact_ids":[],"rationale":"该能力由搜索词表达的任务或问题推断；页面事实仅用于验证商品承接。"}],"secondary_domain":[{"value":"health_household","evidence_type":"inferred","source_span":"","fact_ids":[],"rationale":"该值由搜索词整体语义推断，未作为页面明示属性。"}],"primary_domain":[{"value":"clothing_shoes_jewelry","evidence_type":"inferred","source_span":"","fact_ids":[],"rationale":"该值由搜索词整体语义推断，未作为页面明示属性。"}]}</x:v>
      </x:c>
      <x:c r="Y348" s="16" t="str">
        <x:v>medical_claim_excluded</x:v>
      </x:c>
      <x:c r="Z348" s="13" t="str">
        <x:v>mismatch</x:v>
      </x:c>
      <x:c r="AA348" s="16" t="str"/>
      <x:c r="AB348" s="13" t="str">
        <x:v>accepted</x:v>
      </x:c>
      <x:c r="AC348" s="13" t="str">
        <x:v>1.0.0</x:v>
      </x:c>
      <x:c r="AD348" s="13" t="str">
        <x:v>1.1.0</x:v>
      </x:c>
      <x:c r="AE348" s="13" t="str">
        <x:v>deepseek/deepseek-v4-pro</x:v>
      </x:c>
      <x:c r="AF348" s="13" t="str">
        <x:v>aj2-y90-20260714T234810-0bea2f52</x:v>
      </x:c>
      <x:c r="AG348" s="13" t="str">
        <x:v>full-0018</x:v>
      </x:c>
      <x:c r="AH348" s="13" t="str">
        <x:v>full</x:v>
      </x:c>
      <x:c r="AI348" s="13" t="n">
        <x:v>18</x:v>
      </x:c>
    </x:row>
    <x:row r="349" ht="34" customHeight="1">
      <x:c r="A349" s="15" t="str">
        <x:v>womens flip 7.5</x:v>
      </x:c>
      <x:c r="B349" s="15" t="str">
        <x:v>womens flip 7.5</x:v>
      </x:c>
      <x:c r="C349" s="10" t="str">
        <x:v>6739021d5f8e51e9</x:v>
      </x:c>
      <x:c r="D349" s="10" t="str">
        <x:v>keyword</x:v>
      </x:c>
      <x:c r="E349" s="10" t="str">
        <x:v>en</x:v>
      </x:c>
      <x:c r="F349" s="10" t="str">
        <x:v>clothing_shoes_jewelry</x:v>
      </x:c>
      <x:c r="G349" s="15" t="str"/>
      <x:c r="H349" s="15" t="str">
        <x:v>flip_flop</x:v>
      </x:c>
      <x:c r="I349" s="15" t="str">
        <x:v>women</x:v>
      </x:c>
      <x:c r="J349" s="15" t="str"/>
      <x:c r="K349" s="15" t="str"/>
      <x:c r="L349" s="15" t="str"/>
      <x:c r="M349" s="15" t="str"/>
      <x:c r="N349" s="15" t="str"/>
      <x:c r="O349" s="15" t="str"/>
      <x:c r="P349" s="15" t="str"/>
      <x:c r="Q349" s="15" t="str"/>
      <x:c r="R349" s="15" t="str">
        <x:v>用户需要一双7.5码的女士人字拖，指定了明确尺码和受众。</x:v>
      </x:c>
      <x:c r="S349" s="10" t="str">
        <x:v>high_intent</x:v>
      </x:c>
      <x:c r="T349" s="15" t="str">
        <x:v>explicit | page_validated</x:v>
      </x:c>
      <x:c r="U349" s="10" t="str">
        <x:v>high</x:v>
      </x:c>
      <x:c r="V349" s="15" t="str">
        <x:v>womens_flip_flop_size</x:v>
      </x:c>
      <x:c r="W349" s="15" t="str">
        <x:v>cluster_route</x:v>
      </x:c>
      <x:c r="X349" s="15" t="str">
        <x:v>{"product_type":[{"value":"flip_flop","evidence_type":"explicit","source_span":"flip","fact_ids":[],"rationale":""},{"value":"flip_flop","evidence_type":"page_validated","source_span":"","fact_ids":["style_flip_flop"],"rationale":"页面确认人字拖产品。"},{"value":"flip_flop","evidence_type":"inferred","source_span":"","fact_ids":[],"rationale":"该能力由搜索词表达的任务或问题推断；页面事实仅用于验证商品承接。"}],"audience_intent":[{"value":"women","evidence_type":"explicit","source_span":"womens","fact_ids":[],"rationale":""},{"value":"women","evidence_type":"page_validated","source_span":"","fact_ids":["title_womens_flip_flop"],"rationale":"页面标题确认女士产品。"}],"primary_domain":[{"value":"clothing_shoes_jewelry","evidence_type":"inferred","source_span":"","fact_ids":[],"rationale":"该值由搜索词整体语义推断，未作为页面明示属性。"}]}</x:v>
      </x:c>
      <x:c r="Y349" s="15" t="str"/>
      <x:c r="Z349" s="10" t="str">
        <x:v>match</x:v>
      </x:c>
      <x:c r="AA349" s="15" t="str">
        <x:v>style_flip_flop | title_womens_flip_flop | sizes_6_11</x:v>
      </x:c>
      <x:c r="AB349" s="10" t="str">
        <x:v>accepted</x:v>
      </x:c>
      <x:c r="AC349" s="10" t="str">
        <x:v>1.0.0</x:v>
      </x:c>
      <x:c r="AD349" s="10" t="str">
        <x:v>1.1.0</x:v>
      </x:c>
      <x:c r="AE349" s="10" t="str">
        <x:v>deepseek/deepseek-v4-pro</x:v>
      </x:c>
      <x:c r="AF349" s="10" t="str">
        <x:v>aj2-y90-20260714T234810-0bea2f52</x:v>
      </x:c>
      <x:c r="AG349" s="10" t="str">
        <x:v>full-0018</x:v>
      </x:c>
      <x:c r="AH349" s="10" t="str">
        <x:v>full</x:v>
      </x:c>
      <x:c r="AI349" s="10" t="n">
        <x:v>18</x:v>
      </x:c>
    </x:row>
    <x:row r="350" ht="34" customHeight="1">
      <x:c r="A350" s="16" t="str">
        <x:v>women's comfort flip flops</x:v>
      </x:c>
      <x:c r="B350" s="16" t="str">
        <x:v>women's comfort flip flops</x:v>
      </x:c>
      <x:c r="C350" s="13" t="str">
        <x:v>73bd8623ad2305ac</x:v>
      </x:c>
      <x:c r="D350" s="13" t="str">
        <x:v>keyword</x:v>
      </x:c>
      <x:c r="E350" s="13" t="str">
        <x:v>en</x:v>
      </x:c>
      <x:c r="F350" s="13" t="str">
        <x:v>clothing_shoes_jewelry</x:v>
      </x:c>
      <x:c r="G350" s="16" t="str"/>
      <x:c r="H350" s="16" t="str">
        <x:v>flip_flop</x:v>
      </x:c>
      <x:c r="I350" s="16" t="str">
        <x:v>women</x:v>
      </x:c>
      <x:c r="J350" s="16" t="str">
        <x:v>comfort</x:v>
      </x:c>
      <x:c r="K350" s="16" t="str"/>
      <x:c r="L350" s="16" t="str"/>
      <x:c r="M350" s="16" t="str"/>
      <x:c r="N350" s="16" t="str"/>
      <x:c r="O350" s="16" t="str"/>
      <x:c r="P350" s="16" t="str"/>
      <x:c r="Q350" s="16" t="str"/>
      <x:c r="R350" s="16" t="str">
        <x:v>用户需要一双舒适的女士人字拖，追求全天候穿着时的柔软感和足部放松体验。</x:v>
      </x:c>
      <x:c r="S350" s="13" t="str">
        <x:v>high_intent</x:v>
      </x:c>
      <x:c r="T350" s="16" t="str">
        <x:v>explicit | page_validated</x:v>
      </x:c>
      <x:c r="U350" s="13" t="str">
        <x:v>high</x:v>
      </x:c>
      <x:c r="V350" s="16" t="str">
        <x:v>womens_comfort_flip_flops</x:v>
      </x:c>
      <x:c r="W350" s="16" t="str">
        <x:v>cluster_route</x:v>
      </x:c>
      <x:c r="X350" s="16" t="str">
        <x:v>{"product_type":[{"value":"flip_flop","evidence_type":"explicit","source_span":"flip flops","fact_ids":[],"rationale":""},{"value":"flip_flop","evidence_type":"page_validated","source_span":"","fact_ids":["style_flip_flop"],"rationale":"页面确认人字拖产品。"}],"audience_intent":[{"value":"women","evidence_type":"explicit","source_span":"women's","fact_ids":[],"rationale":""},{"value":"women","evidence_type":"page_validated","source_span":"","fact_ids":["title_womens_flip_flop"],"rationale":"页面标题确认女士产品。"}],"function_intent":[{"value":"comfort","evidence_type":"explicit","source_span":"comfort","fact_ids":[],"rationale":""},{"value":"comfort","evidence_type":"page_validated","source_span":"","fact_ids":["arch_support","padded_cushioning","soft_toe_post","lightweight_breathable"],"rationale":"足弓支撑、软垫、软趾柱带来舒适体验。"}],"primary_domain":[{"value":"clothing_shoes_jewelry","evidence_type":"inferred","source_span":"","fact_ids":[],"rationale":"该值由搜索词整体语义推断，未作为页面明示属性。"}]}</x:v>
      </x:c>
      <x:c r="Y350" s="16" t="str"/>
      <x:c r="Z350" s="13" t="str">
        <x:v>match</x:v>
      </x:c>
      <x:c r="AA350" s="16" t="str">
        <x:v>style_flip_flop | title_womens_flip_flop | arch_support | padded_cushioning | soft_toe_post</x:v>
      </x:c>
      <x:c r="AB350" s="13" t="str">
        <x:v>accepted</x:v>
      </x:c>
      <x:c r="AC350" s="13" t="str">
        <x:v>1.0.0</x:v>
      </x:c>
      <x:c r="AD350" s="13" t="str">
        <x:v>1.1.0</x:v>
      </x:c>
      <x:c r="AE350" s="13" t="str">
        <x:v>deepseek/deepseek-v4-pro</x:v>
      </x:c>
      <x:c r="AF350" s="13" t="str">
        <x:v>aj2-y90-20260714T234810-0bea2f52</x:v>
      </x:c>
      <x:c r="AG350" s="13" t="str">
        <x:v>full-0018</x:v>
      </x:c>
      <x:c r="AH350" s="13" t="str">
        <x:v>full</x:v>
      </x:c>
      <x:c r="AI350" s="13" t="n">
        <x:v>18</x:v>
      </x:c>
    </x:row>
    <x:row r="351" ht="34" customHeight="1">
      <x:c r="A351" s="15" t="str">
        <x:v>blue flip flops for women</x:v>
      </x:c>
      <x:c r="B351" s="15" t="str">
        <x:v>blue flip flops for women</x:v>
      </x:c>
      <x:c r="C351" s="10" t="str">
        <x:v>868fa0047f2c8cad</x:v>
      </x:c>
      <x:c r="D351" s="10" t="str">
        <x:v>keyword</x:v>
      </x:c>
      <x:c r="E351" s="10" t="str">
        <x:v>en</x:v>
      </x:c>
      <x:c r="F351" s="10" t="str">
        <x:v>clothing_shoes_jewelry</x:v>
      </x:c>
      <x:c r="G351" s="15" t="str"/>
      <x:c r="H351" s="15" t="str">
        <x:v>flip_flop</x:v>
      </x:c>
      <x:c r="I351" s="15" t="str">
        <x:v>women</x:v>
      </x:c>
      <x:c r="J351" s="15" t="str"/>
      <x:c r="K351" s="15" t="str"/>
      <x:c r="L351" s="15" t="str"/>
      <x:c r="M351" s="15" t="str"/>
      <x:c r="N351" s="15" t="str"/>
      <x:c r="O351" s="15" t="str"/>
      <x:c r="P351" s="15" t="str"/>
      <x:c r="Q351" s="15" t="str"/>
      <x:c r="R351" s="15" t="str">
        <x:v>用户需要一双蓝色女士人字拖，明确指定了颜色、受众和产品类型。</x:v>
      </x:c>
      <x:c r="S351" s="10" t="str">
        <x:v>high_intent</x:v>
      </x:c>
      <x:c r="T351" s="15" t="str">
        <x:v>explicit | page_validated</x:v>
      </x:c>
      <x:c r="U351" s="10" t="str">
        <x:v>high</x:v>
      </x:c>
      <x:c r="V351" s="15" t="str">
        <x:v>blue_womens_flip_flops</x:v>
      </x:c>
      <x:c r="W351" s="15" t="str">
        <x:v>cluster_route</x:v>
      </x:c>
      <x:c r="X351" s="15" t="str">
        <x:v>{"product_type":[{"value":"flip_flop","evidence_type":"explicit","source_span":"flip flops","fact_ids":[],"rationale":""},{"value":"flip_flop","evidence_type":"page_validated","source_span":"","fact_ids":["style_flip_flop"],"rationale":"页面确认人字拖产品。"}],"audience_intent":[{"value":"women","evidence_type":"explicit","source_span":"for women","fact_ids":[],"rationale":""},{"value":"women","evidence_type":"page_validated","source_span":"","fact_ids":["title_womens_flip_flop"],"rationale":"页面标题确认女士产品。"}],"primary_domain":[{"value":"clothing_shoes_jewelry","evidence_type":"inferred","source_span":"","fact_ids":[],"rationale":"该值由搜索词整体语义推断，未作为页面明示属性。"}]}</x:v>
      </x:c>
      <x:c r="Y351" s="15" t="str"/>
      <x:c r="Z351" s="10" t="str">
        <x:v>match</x:v>
      </x:c>
      <x:c r="AA351" s="15" t="str">
        <x:v>style_flip_flop | title_womens_flip_flop | colors_visible</x:v>
      </x:c>
      <x:c r="AB351" s="10" t="str">
        <x:v>accepted</x:v>
      </x:c>
      <x:c r="AC351" s="10" t="str">
        <x:v>1.0.0</x:v>
      </x:c>
      <x:c r="AD351" s="10" t="str">
        <x:v>1.1.0</x:v>
      </x:c>
      <x:c r="AE351" s="10" t="str">
        <x:v>deepseek/deepseek-v4-pro</x:v>
      </x:c>
      <x:c r="AF351" s="10" t="str">
        <x:v>aj2-y90-20260714T234810-0bea2f52</x:v>
      </x:c>
      <x:c r="AG351" s="10" t="str">
        <x:v>full-0018</x:v>
      </x:c>
      <x:c r="AH351" s="10" t="str">
        <x:v>full</x:v>
      </x:c>
      <x:c r="AI351" s="10" t="n">
        <x:v>18</x:v>
      </x:c>
    </x:row>
    <x:row r="352" ht="34" customHeight="1">
      <x:c r="A352" s="16" t="str">
        <x:v>sandals for women</x:v>
      </x:c>
      <x:c r="B352" s="16" t="str">
        <x:v>sandals for women</x:v>
      </x:c>
      <x:c r="C352" s="13" t="str">
        <x:v>92fc6134fbffe35f</x:v>
      </x:c>
      <x:c r="D352" s="13" t="str">
        <x:v>keyword</x:v>
      </x:c>
      <x:c r="E352" s="13" t="str">
        <x:v>en</x:v>
      </x:c>
      <x:c r="F352" s="13" t="str">
        <x:v>clothing_shoes_jewelry</x:v>
      </x:c>
      <x:c r="G352" s="16" t="str"/>
      <x:c r="H352" s="16" t="str">
        <x:v>sandal</x:v>
      </x:c>
      <x:c r="I352" s="16" t="str">
        <x:v>women</x:v>
      </x:c>
      <x:c r="J352" s="16" t="str"/>
      <x:c r="K352" s="16" t="str"/>
      <x:c r="L352" s="16" t="str"/>
      <x:c r="M352" s="16" t="str"/>
      <x:c r="N352" s="16" t="str"/>
      <x:c r="O352" s="16" t="str"/>
      <x:c r="P352" s="16" t="str"/>
      <x:c r="Q352" s="16" t="str"/>
      <x:c r="R352" s="16" t="str">
        <x:v>用户需要女士凉鞋，属于广泛的品类搜索，无额外功能或场景限制。</x:v>
      </x:c>
      <x:c r="S352" s="13" t="str">
        <x:v>exploration</x:v>
      </x:c>
      <x:c r="T352" s="16" t="str">
        <x:v>explicit | page_validated</x:v>
      </x:c>
      <x:c r="U352" s="13" t="str">
        <x:v>high</x:v>
      </x:c>
      <x:c r="V352" s="16" t="str">
        <x:v>womens_sandals</x:v>
      </x:c>
      <x:c r="W352" s="16" t="str">
        <x:v>cluster_route</x:v>
      </x:c>
      <x:c r="X352" s="16" t="str">
        <x:v>{"product_type":[{"value":"sandal","evidence_type":"explicit","source_span":"sandals","fact_ids":[],"rationale":""},{"value":"sandal","evidence_type":"page_validated","source_span":"","fact_ids":["style_flip_flop"],"rationale":"人字拖为凉鞋子类。"}],"audience_intent":[{"value":"women","evidence_type":"explicit","source_span":"for women","fact_ids":[],"rationale":""},{"value":"women","evidence_type":"page_validated","source_span":"","fact_ids":["title_womens_flip_flop"],"rationale":"页面标题确认女士产品。"}],"primary_domain":[{"value":"clothing_shoes_jewelry","evidence_type":"inferred","source_span":"","fact_ids":[],"rationale":"该值由搜索词整体语义推断，未作为页面明示属性。"}]}</x:v>
      </x:c>
      <x:c r="Y352" s="16" t="str"/>
      <x:c r="Z352" s="13" t="str">
        <x:v>match</x:v>
      </x:c>
      <x:c r="AA352" s="16" t="str">
        <x:v>title_womens_flip_flop | style_flip_flop</x:v>
      </x:c>
      <x:c r="AB352" s="13" t="str">
        <x:v>accepted</x:v>
      </x:c>
      <x:c r="AC352" s="13" t="str">
        <x:v>1.0.0</x:v>
      </x:c>
      <x:c r="AD352" s="13" t="str">
        <x:v>1.1.0</x:v>
      </x:c>
      <x:c r="AE352" s="13" t="str">
        <x:v>deepseek/deepseek-v4-pro</x:v>
      </x:c>
      <x:c r="AF352" s="13" t="str">
        <x:v>aj2-y90-20260714T234810-0bea2f52</x:v>
      </x:c>
      <x:c r="AG352" s="13" t="str">
        <x:v>full-0018</x:v>
      </x:c>
      <x:c r="AH352" s="13" t="str">
        <x:v>full</x:v>
      </x:c>
      <x:c r="AI352" s="13" t="n">
        <x:v>18</x:v>
      </x:c>
    </x:row>
    <x:row r="353" ht="34" customHeight="1">
      <x:c r="A353" s="15" t="str">
        <x:v>flip flops shower beach pool for women</x:v>
      </x:c>
      <x:c r="B353" s="15" t="str">
        <x:v>flip flops shower beach pool for women</x:v>
      </x:c>
      <x:c r="C353" s="10" t="str">
        <x:v>983a221bd4cf5290</x:v>
      </x:c>
      <x:c r="D353" s="10" t="str">
        <x:v>keyword</x:v>
      </x:c>
      <x:c r="E353" s="10" t="str">
        <x:v>en</x:v>
      </x:c>
      <x:c r="F353" s="10" t="str">
        <x:v>clothing_shoes_jewelry</x:v>
      </x:c>
      <x:c r="G353" s="15" t="str">
        <x:v>sports_outdoors</x:v>
      </x:c>
      <x:c r="H353" s="15" t="str">
        <x:v>flip_flop</x:v>
      </x:c>
      <x:c r="I353" s="15" t="str">
        <x:v>women</x:v>
      </x:c>
      <x:c r="J353" s="15" t="str"/>
      <x:c r="K353" s="15" t="str">
        <x:v>slip_resistant | waterproof</x:v>
      </x:c>
      <x:c r="L353" s="15" t="str"/>
      <x:c r="M353" s="15" t="str">
        <x:v>shower | beach | pool</x:v>
      </x:c>
      <x:c r="N353" s="15" t="str"/>
      <x:c r="O353" s="15" t="str"/>
      <x:c r="P353" s="15" t="str"/>
      <x:c r="Q353" s="15" t="str"/>
      <x:c r="R353" s="15" t="str">
        <x:v>用户需要一双适合淋浴、沙滩和泳池多场景使用的女士人字拖，注重防滑和涉水功能，但产品未声明防水。</x:v>
      </x:c>
      <x:c r="S353" s="10" t="str">
        <x:v>consideration</x:v>
      </x:c>
      <x:c r="T353" s="15" t="str">
        <x:v>explicit | page_validated | inferred</x:v>
      </x:c>
      <x:c r="U353" s="10" t="str">
        <x:v>medium</x:v>
      </x:c>
      <x:c r="V353" s="15" t="str">
        <x:v>womens_water_ready_flip_flops</x:v>
      </x:c>
      <x:c r="W353" s="15" t="str">
        <x:v>listing_gap_review</x:v>
      </x:c>
      <x:c r="X353" s="15" t="str">
        <x:v>{"product_type":[{"value":"flip_flop","evidence_type":"explicit","source_span":"flip flops","fact_ids":[],"rationale":""},{"value":"flip_flop","evidence_type":"page_validated","source_span":"","fact_ids":["style_flip_flop"],"rationale":"页面确认人字拖产品。"}],"audience_intent":[{"value":"women","evidence_type":"explicit","source_span":"for women","fact_ids":[],"rationale":""},{"value":"women","evidence_type":"page_validated","source_span":"","fact_ids":["title_womens_flip_flop"],"rationale":"页面标题确认女士产品。"}],"location_intent":[{"value":"shower","evidence_type":"explicit","source_span":"shower","fact_ids":[],"rationale":""},{"value":"beach","evidence_type":"explicit","source_span":"beach","fact_ids":[],"rationale":""},{"value":"pool","evidence_type":"explicit","source_span":"pool","fact_ids":[],"rationale":""}],"capability_intent":[{"value":"slip_resistant","evidence_type":"inferred","source_span":"","fact_ids":[],"rationale":"涉水场景需防滑，产品具备防滑功能。"},{"value":"waterproof","evidence_type":"inferred","source_span":"","fact_ids":[],"rationale":"淋浴/泳池场景需防水，产品未声明。"},{"value":"slip_resistant","evidence_type":"page_validated","source_span":"","fact_ids":["slip_resistant_grip"],"rationale":"该槽位与商品基准中的明示页面事实一致。"}],"secondary_domain":[{"value":"sports_outdoors","evidence_type":"inferred","source_span":"","fact_ids":[],"rationale":"该值由搜索词整体语义推断，未作为页面明示属性。"}],"primary_domain":[{"value":"clothing_shoes_jewelry","evidence_type":"inferred","source_span":"","fact_ids":[],"rationale":"该值由搜索词整体语义推断，未作为页面明示属性。"}]}</x:v>
      </x:c>
      <x:c r="Y353" s="15" t="str">
        <x:v>waterproof_not_claimed</x:v>
      </x:c>
      <x:c r="Z353" s="10" t="str">
        <x:v>partial_match</x:v>
      </x:c>
      <x:c r="AA353" s="15" t="str">
        <x:v>style_flip_flop | title_womens_flip_flop | slip_resistant_grip</x:v>
      </x:c>
      <x:c r="AB353" s="10" t="str">
        <x:v>accepted</x:v>
      </x:c>
      <x:c r="AC353" s="10" t="str">
        <x:v>1.0.0</x:v>
      </x:c>
      <x:c r="AD353" s="10" t="str">
        <x:v>1.1.0</x:v>
      </x:c>
      <x:c r="AE353" s="10" t="str">
        <x:v>deepseek/deepseek-v4-pro</x:v>
      </x:c>
      <x:c r="AF353" s="10" t="str">
        <x:v>aj2-y90-20260714T234810-0bea2f52</x:v>
      </x:c>
      <x:c r="AG353" s="10" t="str">
        <x:v>full-0018</x:v>
      </x:c>
      <x:c r="AH353" s="10" t="str">
        <x:v>full</x:v>
      </x:c>
      <x:c r="AI353" s="10" t="n">
        <x:v>18</x:v>
      </x:c>
    </x:row>
    <x:row r="354" ht="34" customHeight="1">
      <x:c r="A354" s="16" t="str">
        <x:v>flip flop with support</x:v>
      </x:c>
      <x:c r="B354" s="16" t="str">
        <x:v>flip flop with support</x:v>
      </x:c>
      <x:c r="C354" s="13" t="str">
        <x:v>9e3f23fc62e250d9</x:v>
      </x:c>
      <x:c r="D354" s="13" t="str">
        <x:v>keyword</x:v>
      </x:c>
      <x:c r="E354" s="13" t="str">
        <x:v>en</x:v>
      </x:c>
      <x:c r="F354" s="13" t="str">
        <x:v>clothing_shoes_jewelry</x:v>
      </x:c>
      <x:c r="G354" s="16" t="str"/>
      <x:c r="H354" s="16" t="str">
        <x:v>flip_flop</x:v>
      </x:c>
      <x:c r="I354" s="16" t="str"/>
      <x:c r="J354" s="16" t="str">
        <x:v>arch_support</x:v>
      </x:c>
      <x:c r="K354" s="16" t="str"/>
      <x:c r="L354" s="16" t="str"/>
      <x:c r="M354" s="16" t="str"/>
      <x:c r="N354" s="16" t="str"/>
      <x:c r="O354" s="16" t="str"/>
      <x:c r="P354" s="16" t="str"/>
      <x:c r="Q354" s="16" t="str"/>
      <x:c r="R354" s="16" t="str">
        <x:v>用户需要一双具有足弓支撑功能的人字拖鞋，在日常行走中获得更好的足部舒适度和支撑力。</x:v>
      </x:c>
      <x:c r="S354" s="13" t="str">
        <x:v>high_intent</x:v>
      </x:c>
      <x:c r="T354" s="16" t="str">
        <x:v>explicit | page_validated</x:v>
      </x:c>
      <x:c r="U354" s="13" t="str">
        <x:v>high</x:v>
      </x:c>
      <x:c r="V354" s="16" t="str">
        <x:v>flip_flop_arch_support</x:v>
      </x:c>
      <x:c r="W354" s="16" t="str">
        <x:v>cluster_route</x:v>
      </x:c>
      <x:c r="X354" s="16" t="str">
        <x:v>{"product_type":[{"value":"flip_flop","evidence_type":"explicit","source_span":"flip flop","fact_ids":[],"rationale":""},{"value":"flip_flop","evidence_type":"page_validated","source_span":"","fact_ids":["style_flip_flop"],"rationale":"页面标题确认为人字拖产品。"}],"function_intent":[{"value":"arch_support","evidence_type":"explicit","source_span":"with support","fact_ids":[],"rationale":""},{"value":"arch_support","evidence_type":"page_validated","source_span":"","fact_ids":["arch_support"],"rationale":"页面声明人体工学足弓支撑。"},{"value":"arch_suppor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354" s="16" t="str"/>
      <x:c r="Z354" s="13" t="str">
        <x:v>match</x:v>
      </x:c>
      <x:c r="AA354" s="16" t="str">
        <x:v>style_flip_flop | arch_support</x:v>
      </x:c>
      <x:c r="AB354" s="13" t="str">
        <x:v>accepted</x:v>
      </x:c>
      <x:c r="AC354" s="13" t="str">
        <x:v>1.0.0</x:v>
      </x:c>
      <x:c r="AD354" s="13" t="str">
        <x:v>1.1.0</x:v>
      </x:c>
      <x:c r="AE354" s="13" t="str">
        <x:v>deepseek/deepseek-v4-pro</x:v>
      </x:c>
      <x:c r="AF354" s="13" t="str">
        <x:v>aj2-y90-20260714T234810-0bea2f52</x:v>
      </x:c>
      <x:c r="AG354" s="13" t="str">
        <x:v>full-0018</x:v>
      </x:c>
      <x:c r="AH354" s="13" t="str">
        <x:v>full</x:v>
      </x:c>
      <x:c r="AI354" s="13" t="n">
        <x:v>18</x:v>
      </x:c>
    </x:row>
    <x:row r="355" ht="34" customHeight="1">
      <x:c r="A355" s="15" t="str">
        <x:v>colorful flip flops</x:v>
      </x:c>
      <x:c r="B355" s="15" t="str">
        <x:v>colorful flip flops</x:v>
      </x:c>
      <x:c r="C355" s="10" t="str">
        <x:v>a30e86c21ab784ba</x:v>
      </x:c>
      <x:c r="D355" s="10" t="str">
        <x:v>keyword</x:v>
      </x:c>
      <x:c r="E355" s="10" t="str">
        <x:v>en</x:v>
      </x:c>
      <x:c r="F355" s="10" t="str">
        <x:v>clothing_shoes_jewelry</x:v>
      </x:c>
      <x:c r="G355" s="15" t="str"/>
      <x:c r="H355" s="15" t="str">
        <x:v>flip_flop</x:v>
      </x:c>
      <x:c r="I355" s="15" t="str"/>
      <x:c r="J355" s="15" t="str"/>
      <x:c r="K355" s="15" t="str"/>
      <x:c r="L355" s="15" t="str"/>
      <x:c r="M355" s="15" t="str"/>
      <x:c r="N355" s="15" t="str"/>
      <x:c r="O355" s="15" t="str"/>
      <x:c r="P355" s="15" t="str"/>
      <x:c r="Q355" s="15" t="str"/>
      <x:c r="R355" s="15" t="str">
        <x:v>用户需要色彩丰富的人字拖，追求多样化的视觉选择。</x:v>
      </x:c>
      <x:c r="S355" s="10" t="str">
        <x:v>exploration</x:v>
      </x:c>
      <x:c r="T355" s="15" t="str">
        <x:v>explicit | page_validated | inferred</x:v>
      </x:c>
      <x:c r="U355" s="10" t="str">
        <x:v>medium</x:v>
      </x:c>
      <x:c r="V355" s="15" t="str">
        <x:v>colorful_flip_flops</x:v>
      </x:c>
      <x:c r="W355" s="15" t="str">
        <x:v>cluster_route</x:v>
      </x:c>
      <x:c r="X355" s="15" t="str">
        <x:v>{"product_type":[{"value":"flip_flop","evidence_type":"explicit","source_span":"flip flops","fact_ids":[],"rationale":""},{"value":"flip_flop","evidence_type":"page_validated","source_span":"","fact_ids":["style_flip_flop"],"rationale":"页面确认人字拖产品。"}],"capability_intent":[{"value":"color_variety","evidence_type":"explicit","source_span":"colorful","fact_ids":[],"rationale":""},{"value":"color_variety","evidence_type":"page_validated","source_span":"","fact_ids":["colors_visible"],"rationale":"产品提供六种颜色可选。"}],"primary_domain":[{"value":"clothing_shoes_jewelry","evidence_type":"inferred","source_span":"","fact_ids":[],"rationale":"该值由搜索词整体语义推断，未作为页面明示属性。"}]}</x:v>
      </x:c>
      <x:c r="Y355" s="15" t="str">
        <x:v>colorful_is_subjective</x:v>
      </x:c>
      <x:c r="Z355" s="10" t="str">
        <x:v>match</x:v>
      </x:c>
      <x:c r="AA355" s="15" t="str">
        <x:v>style_flip_flop | colors_visible</x:v>
      </x:c>
      <x:c r="AB355" s="10" t="str">
        <x:v>accepted</x:v>
      </x:c>
      <x:c r="AC355" s="10" t="str">
        <x:v>1.0.0</x:v>
      </x:c>
      <x:c r="AD355" s="10" t="str">
        <x:v>1.1.0</x:v>
      </x:c>
      <x:c r="AE355" s="10" t="str">
        <x:v>deepseek/deepseek-v4-pro</x:v>
      </x:c>
      <x:c r="AF355" s="10" t="str">
        <x:v>aj2-y90-20260714T234810-0bea2f52</x:v>
      </x:c>
      <x:c r="AG355" s="10" t="str">
        <x:v>full-0018</x:v>
      </x:c>
      <x:c r="AH355" s="10" t="str">
        <x:v>full</x:v>
      </x:c>
      <x:c r="AI355" s="10" t="n">
        <x:v>18</x:v>
      </x:c>
    </x:row>
    <x:row r="356" ht="34" customHeight="1">
      <x:c r="A356" s="16" t="str">
        <x:v>boat flip flops women</x:v>
      </x:c>
      <x:c r="B356" s="16" t="str">
        <x:v>boat flip flops women</x:v>
      </x:c>
      <x:c r="C356" s="13" t="str">
        <x:v>ae1e2f449cc05e42</x:v>
      </x:c>
      <x:c r="D356" s="13" t="str">
        <x:v>keyword</x:v>
      </x:c>
      <x:c r="E356" s="13" t="str">
        <x:v>en</x:v>
      </x:c>
      <x:c r="F356" s="13" t="str">
        <x:v>clothing_shoes_jewelry</x:v>
      </x:c>
      <x:c r="G356" s="16" t="str">
        <x:v>sports_outdoors</x:v>
      </x:c>
      <x:c r="H356" s="16" t="str">
        <x:v>flip_flop</x:v>
      </x:c>
      <x:c r="I356" s="16" t="str">
        <x:v>women</x:v>
      </x:c>
      <x:c r="J356" s="16" t="str"/>
      <x:c r="K356" s="16" t="str">
        <x:v>slip_resistant</x:v>
      </x:c>
      <x:c r="L356" s="16" t="str">
        <x:v>boating</x:v>
      </x:c>
      <x:c r="M356" s="16" t="str">
        <x:v>boat</x:v>
      </x:c>
      <x:c r="N356" s="16" t="str"/>
      <x:c r="O356" s="16" t="str"/>
      <x:c r="P356" s="16" t="str"/>
      <x:c r="Q356" s="16" t="str"/>
      <x:c r="R356" s="16" t="str">
        <x:v>用户需要一双适合船上穿着的女士人字拖，注重防滑性能，但产品未声明防水特性。</x:v>
      </x:c>
      <x:c r="S356" s="13" t="str">
        <x:v>consideration</x:v>
      </x:c>
      <x:c r="T356" s="16" t="str">
        <x:v>explicit | page_validated | inferred</x:v>
      </x:c>
      <x:c r="U356" s="13" t="str">
        <x:v>medium</x:v>
      </x:c>
      <x:c r="V356" s="16" t="str">
        <x:v>womens_boat_flip_flops</x:v>
      </x:c>
      <x:c r="W356" s="16" t="str">
        <x:v>listing_gap_review</x:v>
      </x:c>
      <x:c r="X356" s="16" t="str">
        <x:v>{"product_type":[{"value":"flip_flop","evidence_type":"explicit","source_span":"flip flops","fact_ids":[],"rationale":""},{"value":"flip_flop","evidence_type":"page_validated","source_span":"","fact_ids":["style_flip_flop"],"rationale":"页面确认人字拖产品。"}],"audience_intent":[{"value":"women","evidence_type":"explicit","source_span":"women","fact_ids":[],"rationale":""},{"value":"women","evidence_type":"page_validated","source_span":"","fact_ids":["title_womens_flip_flop"],"rationale":"页面标题确认女士产品。"}],"location_intent":[{"value":"boat","evidence_type":"explicit","source_span":"boat","fact_ids":[],"rationale":""}],"capability_intent":[{"value":"slip_resistant","evidence_type":"inferred","source_span":"","fact_ids":[],"rationale":"船上环境需防滑，产品具备防滑功能。"},{"value":"slip_resistant","evidence_type":"page_validated","source_span":"","fact_ids":["slip_resistant_grip"],"rationale":"该槽位与商品基准中的明示页面事实一致。"}],"secondary_domain":[{"value":"sports_outdoors","evidence_type":"inferred","source_span":"","fact_ids":[],"rationale":"该值由搜索词整体语义推断，未作为页面明示属性。"}],"event_intent":[{"value":"boating","evidence_type":"inferred","source_span":"","fact_ids":[],"rationale":"该值由搜索词整体语义推断，未作为页面明示属性。"}],"primary_domain":[{"value":"clothing_shoes_jewelry","evidence_type":"inferred","source_span":"","fact_ids":[],"rationale":"该值由搜索词整体语义推断，未作为页面明示属性。"}]}</x:v>
      </x:c>
      <x:c r="Y356" s="16" t="str">
        <x:v>waterproof_not_claimed</x:v>
      </x:c>
      <x:c r="Z356" s="13" t="str">
        <x:v>partial_match</x:v>
      </x:c>
      <x:c r="AA356" s="16" t="str">
        <x:v>style_flip_flop | title_womens_flip_flop | slip_resistant_grip</x:v>
      </x:c>
      <x:c r="AB356" s="13" t="str">
        <x:v>accepted</x:v>
      </x:c>
      <x:c r="AC356" s="13" t="str">
        <x:v>1.0.0</x:v>
      </x:c>
      <x:c r="AD356" s="13" t="str">
        <x:v>1.1.0</x:v>
      </x:c>
      <x:c r="AE356" s="13" t="str">
        <x:v>deepseek/deepseek-v4-pro</x:v>
      </x:c>
      <x:c r="AF356" s="13" t="str">
        <x:v>aj2-y90-20260714T234810-0bea2f52</x:v>
      </x:c>
      <x:c r="AG356" s="13" t="str">
        <x:v>full-0018</x:v>
      </x:c>
      <x:c r="AH356" s="13" t="str">
        <x:v>full</x:v>
      </x:c>
      <x:c r="AI356" s="13" t="n">
        <x:v>18</x:v>
      </x:c>
    </x:row>
    <x:row r="357" ht="34" customHeight="1">
      <x:c r="A357" s="15" t="str">
        <x:v>pool non slip flip flops women</x:v>
      </x:c>
      <x:c r="B357" s="15" t="str">
        <x:v>pool non slip flip flops women</x:v>
      </x:c>
      <x:c r="C357" s="10" t="str">
        <x:v>aec2bd3d7a98072e</x:v>
      </x:c>
      <x:c r="D357" s="10" t="str">
        <x:v>keyword</x:v>
      </x:c>
      <x:c r="E357" s="10" t="str">
        <x:v>en</x:v>
      </x:c>
      <x:c r="F357" s="10" t="str">
        <x:v>clothing_shoes_jewelry</x:v>
      </x:c>
      <x:c r="G357" s="15" t="str">
        <x:v>sports_outdoors</x:v>
      </x:c>
      <x:c r="H357" s="15" t="str">
        <x:v>flip_flop</x:v>
      </x:c>
      <x:c r="I357" s="15" t="str">
        <x:v>women</x:v>
      </x:c>
      <x:c r="J357" s="15" t="str"/>
      <x:c r="K357" s="15" t="str">
        <x:v>slip_resistant</x:v>
      </x:c>
      <x:c r="L357" s="15" t="str"/>
      <x:c r="M357" s="15" t="str">
        <x:v>pool</x:v>
      </x:c>
      <x:c r="N357" s="15" t="str"/>
      <x:c r="O357" s="15" t="str"/>
      <x:c r="P357" s="15" t="str"/>
      <x:c r="Q357" s="15" t="str"/>
      <x:c r="R357" s="15" t="str">
        <x:v>用户需要一双泳池防滑女士人字拖，防滑功能页面已确认，但泳池场景需防水特性未声明。</x:v>
      </x:c>
      <x:c r="S357" s="10" t="str">
        <x:v>consideration</x:v>
      </x:c>
      <x:c r="T357" s="15" t="str">
        <x:v>explicit | page_validated | inferred</x:v>
      </x:c>
      <x:c r="U357" s="10" t="str">
        <x:v>medium</x:v>
      </x:c>
      <x:c r="V357" s="15" t="str">
        <x:v>pool_nonslip_womens_flip_flops</x:v>
      </x:c>
      <x:c r="W357" s="15" t="str">
        <x:v>listing_gap_review</x:v>
      </x:c>
      <x:c r="X357" s="15" t="str">
        <x:v>{"product_type":[{"value":"flip_flop","evidence_type":"explicit","source_span":"flip flops","fact_ids":[],"rationale":""},{"value":"flip_flop","evidence_type":"page_validated","source_span":"","fact_ids":["style_flip_flop"],"rationale":"页面确认人字拖产品。"}],"audience_intent":[{"value":"women","evidence_type":"explicit","source_span":"women","fact_ids":[],"rationale":""},{"value":"women","evidence_type":"page_validated","source_span":"","fact_ids":["title_womens_flip_flop"],"rationale":"页面标题确认女士产品。"}],"capability_intent":[{"value":"slip_resistant","evidence_type":"explicit","source_span":"non slip","fact_ids":[],"rationale":""},{"value":"slip_resistant","evidence_type":"page_validated","source_span":"","fact_ids":["slip_resistant_grip"],"rationale":"页面声明防滑纹理外底。"},{"value":"slip_resistant","evidence_type":"inferred","source_span":"","fact_ids":[],"rationale":"该能力由搜索词表达的任务或问题推断；页面事实仅用于验证商品承接。"}],"location_intent":[{"value":"pool","evidence_type":"explicit","source_span":"pool","fact_ids":[],"rationale":""}],"secondary_domain":[{"value":"sports_outdoors","evidence_type":"inferred","source_span":"","fact_ids":[],"rationale":"该值由搜索词整体语义推断，未作为页面明示属性。"}],"primary_domain":[{"value":"clothing_shoes_jewelry","evidence_type":"inferred","source_span":"","fact_ids":[],"rationale":"该值由搜索词整体语义推断，未作为页面明示属性。"}]}</x:v>
      </x:c>
      <x:c r="Y357" s="15" t="str">
        <x:v>waterproof_not_claimed_for_pool</x:v>
      </x:c>
      <x:c r="Z357" s="10" t="str">
        <x:v>partial_match</x:v>
      </x:c>
      <x:c r="AA357" s="15" t="str">
        <x:v>style_flip_flop | title_womens_flip_flop | slip_resistant_grip</x:v>
      </x:c>
      <x:c r="AB357" s="10" t="str">
        <x:v>accepted</x:v>
      </x:c>
      <x:c r="AC357" s="10" t="str">
        <x:v>1.0.0</x:v>
      </x:c>
      <x:c r="AD357" s="10" t="str">
        <x:v>1.1.0</x:v>
      </x:c>
      <x:c r="AE357" s="10" t="str">
        <x:v>deepseek/deepseek-v4-pro</x:v>
      </x:c>
      <x:c r="AF357" s="10" t="str">
        <x:v>aj2-y90-20260714T234810-0bea2f52</x:v>
      </x:c>
      <x:c r="AG357" s="10" t="str">
        <x:v>full-0018</x:v>
      </x:c>
      <x:c r="AH357" s="10" t="str">
        <x:v>full</x:v>
      </x:c>
      <x:c r="AI357" s="10" t="n">
        <x:v>18</x:v>
      </x:c>
    </x:row>
    <x:row r="358" ht="34" customHeight="1">
      <x:c r="A358" s="16" t="str">
        <x:v>sandals for the summer</x:v>
      </x:c>
      <x:c r="B358" s="16" t="str">
        <x:v>sandals for the summer</x:v>
      </x:c>
      <x:c r="C358" s="13" t="str">
        <x:v>aefd9ffe9c9d72ef</x:v>
      </x:c>
      <x:c r="D358" s="13" t="str">
        <x:v>keyword</x:v>
      </x:c>
      <x:c r="E358" s="13" t="str">
        <x:v>en</x:v>
      </x:c>
      <x:c r="F358" s="13" t="str">
        <x:v>clothing_shoes_jewelry</x:v>
      </x:c>
      <x:c r="G358" s="16" t="str"/>
      <x:c r="H358" s="16" t="str">
        <x:v>sandal</x:v>
      </x:c>
      <x:c r="I358" s="16" t="str"/>
      <x:c r="J358" s="16" t="str"/>
      <x:c r="K358" s="16" t="str"/>
      <x:c r="L358" s="16" t="str"/>
      <x:c r="M358" s="16" t="str"/>
      <x:c r="N358" s="16" t="str"/>
      <x:c r="O358" s="16" t="str">
        <x:v>summer</x:v>
      </x:c>
      <x:c r="P358" s="16" t="str"/>
      <x:c r="Q358" s="16" t="str"/>
      <x:c r="R358" s="16" t="str">
        <x:v>用户需要适合夏季穿着的凉鞋，追求透气凉爽的夏日出行体验。</x:v>
      </x:c>
      <x:c r="S358" s="13" t="str">
        <x:v>exploration</x:v>
      </x:c>
      <x:c r="T358" s="16" t="str">
        <x:v>explicit | page_validated | inferred</x:v>
      </x:c>
      <x:c r="U358" s="13" t="str">
        <x:v>high</x:v>
      </x:c>
      <x:c r="V358" s="16" t="str">
        <x:v>summer_sandals</x:v>
      </x:c>
      <x:c r="W358" s="16" t="str">
        <x:v>cluster_route</x:v>
      </x:c>
      <x:c r="X358" s="16" t="str">
        <x:v>{"product_type":[{"value":"sandal","evidence_type":"explicit","source_span":"sandals","fact_ids":[],"rationale":""},{"value":"sandal","evidence_type":"page_validated","source_span":"","fact_ids":["style_flip_flop"],"rationale":"人字拖属凉鞋品类。"}],"time_intent":[{"value":"summer","evidence_type":"explicit","source_span":"for the summer","fact_ids":[],"rationale":""},{"value":"summer","evidence_type":"page_validated","source_span":"","fact_ids":["style_open_toe","lightweight_breathable","style_outdoor"],"rationale":"露趾透气设计适合夏季。"}],"primary_domain":[{"value":"clothing_shoes_jewelry","evidence_type":"inferred","source_span":"","fact_ids":[],"rationale":"该值由搜索词整体语义推断，未作为页面明示属性。"}]}</x:v>
      </x:c>
      <x:c r="Y358" s="16" t="str"/>
      <x:c r="Z358" s="13" t="str">
        <x:v>match</x:v>
      </x:c>
      <x:c r="AA358" s="16" t="str">
        <x:v>style_flip_flop | style_open_toe | lightweight_breathable | style_outdoor</x:v>
      </x:c>
      <x:c r="AB358" s="13" t="str">
        <x:v>accepted</x:v>
      </x:c>
      <x:c r="AC358" s="13" t="str">
        <x:v>1.0.0</x:v>
      </x:c>
      <x:c r="AD358" s="13" t="str">
        <x:v>1.1.0</x:v>
      </x:c>
      <x:c r="AE358" s="13" t="str">
        <x:v>deepseek/deepseek-v4-pro</x:v>
      </x:c>
      <x:c r="AF358" s="13" t="str">
        <x:v>aj2-y90-20260714T234810-0bea2f52</x:v>
      </x:c>
      <x:c r="AG358" s="13" t="str">
        <x:v>full-0018</x:v>
      </x:c>
      <x:c r="AH358" s="13" t="str">
        <x:v>full</x:v>
      </x:c>
      <x:c r="AI358" s="13" t="n">
        <x:v>18</x:v>
      </x:c>
    </x:row>
    <x:row r="359" ht="34" customHeight="1">
      <x:c r="A359" s="15" t="str">
        <x:v>size 10 flip flops</x:v>
      </x:c>
      <x:c r="B359" s="15" t="str">
        <x:v>size 10 flip flops</x:v>
      </x:c>
      <x:c r="C359" s="10" t="str">
        <x:v>b22c92b984495275</x:v>
      </x:c>
      <x:c r="D359" s="10" t="str">
        <x:v>keyword</x:v>
      </x:c>
      <x:c r="E359" s="10" t="str">
        <x:v>en</x:v>
      </x:c>
      <x:c r="F359" s="10" t="str">
        <x:v>clothing_shoes_jewelry</x:v>
      </x:c>
      <x:c r="G359" s="15" t="str"/>
      <x:c r="H359" s="15" t="str">
        <x:v>flip_flop</x:v>
      </x:c>
      <x:c r="I359" s="15" t="str"/>
      <x:c r="J359" s="15" t="str"/>
      <x:c r="K359" s="15" t="str"/>
      <x:c r="L359" s="15" t="str"/>
      <x:c r="M359" s="15" t="str"/>
      <x:c r="N359" s="15" t="str"/>
      <x:c r="O359" s="15" t="str"/>
      <x:c r="P359" s="15" t="str"/>
      <x:c r="Q359" s="15" t="str"/>
      <x:c r="R359" s="15" t="str">
        <x:v>用户需要10码的人字拖，明确指定了尺码需求。</x:v>
      </x:c>
      <x:c r="S359" s="10" t="str">
        <x:v>high_intent</x:v>
      </x:c>
      <x:c r="T359" s="15" t="str">
        <x:v>explicit | page_validated</x:v>
      </x:c>
      <x:c r="U359" s="10" t="str">
        <x:v>high</x:v>
      </x:c>
      <x:c r="V359" s="15" t="str">
        <x:v>size_10_flip_flops</x:v>
      </x:c>
      <x:c r="W359" s="15" t="str">
        <x:v>cluster_route</x:v>
      </x:c>
      <x:c r="X359" s="15" t="str">
        <x:v>{"product_type":[{"value":"flip_flop","evidence_type":"explicit","source_span":"flip flops","fact_ids":[],"rationale":""},{"value":"flip_flop","evidence_type":"page_validated","source_span":"","fact_ids":["style_flip_flop"],"rationale":"页面确认人字拖产品。"}],"primary_domain":[{"value":"clothing_shoes_jewelry","evidence_type":"inferred","source_span":"","fact_ids":[],"rationale":"该值由搜索词整体语义推断，未作为页面明示属性。"}]}</x:v>
      </x:c>
      <x:c r="Y359" s="15" t="str"/>
      <x:c r="Z359" s="10" t="str">
        <x:v>match</x:v>
      </x:c>
      <x:c r="AA359" s="15" t="str">
        <x:v>style_flip_flop | sizes_6_11</x:v>
      </x:c>
      <x:c r="AB359" s="10" t="str">
        <x:v>accepted</x:v>
      </x:c>
      <x:c r="AC359" s="10" t="str">
        <x:v>1.0.0</x:v>
      </x:c>
      <x:c r="AD359" s="10" t="str">
        <x:v>1.1.0</x:v>
      </x:c>
      <x:c r="AE359" s="10" t="str">
        <x:v>deepseek/deepseek-v4-pro</x:v>
      </x:c>
      <x:c r="AF359" s="10" t="str">
        <x:v>aj2-y90-20260714T234810-0bea2f52</x:v>
      </x:c>
      <x:c r="AG359" s="10" t="str">
        <x:v>full-0018</x:v>
      </x:c>
      <x:c r="AH359" s="10" t="str">
        <x:v>full</x:v>
      </x:c>
      <x:c r="AI359" s="10" t="n">
        <x:v>18</x:v>
      </x:c>
    </x:row>
    <x:row r="360" ht="34" customHeight="1">
      <x:c r="A360" s="16" t="str">
        <x:v>orange sandals women</x:v>
      </x:c>
      <x:c r="B360" s="16" t="str">
        <x:v>orange sandals women</x:v>
      </x:c>
      <x:c r="C360" s="13" t="str">
        <x:v>c87363fa4eddc3ff</x:v>
      </x:c>
      <x:c r="D360" s="13" t="str">
        <x:v>keyword</x:v>
      </x:c>
      <x:c r="E360" s="13" t="str">
        <x:v>en</x:v>
      </x:c>
      <x:c r="F360" s="13" t="str">
        <x:v>clothing_shoes_jewelry</x:v>
      </x:c>
      <x:c r="G360" s="16" t="str"/>
      <x:c r="H360" s="16" t="str">
        <x:v>sandal</x:v>
      </x:c>
      <x:c r="I360" s="16" t="str">
        <x:v>women</x:v>
      </x:c>
      <x:c r="J360" s="16" t="str"/>
      <x:c r="K360" s="16" t="str"/>
      <x:c r="L360" s="16" t="str"/>
      <x:c r="M360" s="16" t="str"/>
      <x:c r="N360" s="16" t="str"/>
      <x:c r="O360" s="16" t="str"/>
      <x:c r="P360" s="16" t="str"/>
      <x:c r="Q360" s="16" t="str"/>
      <x:c r="R360" s="16" t="str">
        <x:v>用户需要一双橙色女士凉鞋，但产品可选颜色中无橙色，存在颜色缺口。</x:v>
      </x:c>
      <x:c r="S360" s="13" t="str">
        <x:v>consideration</x:v>
      </x:c>
      <x:c r="T360" s="16" t="str">
        <x:v>explicit | page_validated | inferred</x:v>
      </x:c>
      <x:c r="U360" s="13" t="str">
        <x:v>medium</x:v>
      </x:c>
      <x:c r="V360" s="16" t="str">
        <x:v>orange_womens_sandals</x:v>
      </x:c>
      <x:c r="W360" s="16" t="str">
        <x:v>listing_gap_review</x:v>
      </x:c>
      <x:c r="X360" s="16" t="str">
        <x:v>{"product_type":[{"value":"sandal","evidence_type":"explicit","source_span":"sandals","fact_ids":[],"rationale":""},{"value":"sandal","evidence_type":"page_validated","source_span":"","fact_ids":["style_flip_flop"],"rationale":"人字拖属凉鞋品类。"}],"audience_intent":[{"value":"women","evidence_type":"explicit","source_span":"women","fact_ids":[],"rationale":""},{"value":"women","evidence_type":"page_validated","source_span":"","fact_ids":["title_womens_flip_flop"],"rationale":"页面标题确认女士产品。"}],"primary_domain":[{"value":"clothing_shoes_jewelry","evidence_type":"inferred","source_span":"","fact_ids":[],"rationale":"该值由搜索词整体语义推断，未作为页面明示属性。"}]}</x:v>
      </x:c>
      <x:c r="Y360" s="16" t="str">
        <x:v>color_not_in_baseline</x:v>
      </x:c>
      <x:c r="Z360" s="13" t="str">
        <x:v>partial_match</x:v>
      </x:c>
      <x:c r="AA360" s="16" t="str">
        <x:v>title_womens_flip_flop | style_flip_flop</x:v>
      </x:c>
      <x:c r="AB360" s="13" t="str">
        <x:v>accepted</x:v>
      </x:c>
      <x:c r="AC360" s="13" t="str">
        <x:v>1.0.0</x:v>
      </x:c>
      <x:c r="AD360" s="13" t="str">
        <x:v>1.1.0</x:v>
      </x:c>
      <x:c r="AE360" s="13" t="str">
        <x:v>deepseek/deepseek-v4-pro</x:v>
      </x:c>
      <x:c r="AF360" s="13" t="str">
        <x:v>aj2-y90-20260714T234810-0bea2f52</x:v>
      </x:c>
      <x:c r="AG360" s="13" t="str">
        <x:v>full-0018</x:v>
      </x:c>
      <x:c r="AH360" s="13" t="str">
        <x:v>full</x:v>
      </x:c>
      <x:c r="AI360" s="13" t="n">
        <x:v>18</x:v>
      </x:c>
    </x:row>
    <x:row r="361" ht="34" customHeight="1">
      <x:c r="A361" s="15" t="str">
        <x:v>fit flops for women size 10</x:v>
      </x:c>
      <x:c r="B361" s="15" t="str">
        <x:v>fit flops for women size 10</x:v>
      </x:c>
      <x:c r="C361" s="10" t="str">
        <x:v>f72d6b74cd4f6a31</x:v>
      </x:c>
      <x:c r="D361" s="10" t="str">
        <x:v>keyword</x:v>
      </x:c>
      <x:c r="E361" s="10" t="str">
        <x:v>en</x:v>
      </x:c>
      <x:c r="F361" s="10" t="str">
        <x:v>clothing_shoes_jewelry</x:v>
      </x:c>
      <x:c r="G361" s="15" t="str"/>
      <x:c r="H361" s="15" t="str">
        <x:v>flip_flop</x:v>
      </x:c>
      <x:c r="I361" s="15" t="str">
        <x:v>women</x:v>
      </x:c>
      <x:c r="J361" s="15" t="str"/>
      <x:c r="K361" s="15" t="str"/>
      <x:c r="L361" s="15" t="str"/>
      <x:c r="M361" s="15" t="str"/>
      <x:c r="N361" s="15" t="str"/>
      <x:c r="O361" s="15" t="str"/>
      <x:c r="P361" s="15" t="str"/>
      <x:c r="Q361" s="15" t="str"/>
      <x:c r="R361" s="15" t="str">
        <x:v>用户搜索10码女士人字拖，fit flops可能为品牌FitFlop的变体拼写或flip flops的缩写。</x:v>
      </x:c>
      <x:c r="S361" s="10" t="str">
        <x:v>high_intent</x:v>
      </x:c>
      <x:c r="T361" s="15" t="str">
        <x:v>explicit | page_validated | inferred</x:v>
      </x:c>
      <x:c r="U361" s="10" t="str">
        <x:v>medium</x:v>
      </x:c>
      <x:c r="V361" s="15" t="str">
        <x:v>womens_flip_flop_size_10</x:v>
      </x:c>
      <x:c r="W361" s="15" t="str">
        <x:v>cluster_route</x:v>
      </x:c>
      <x:c r="X361" s="15" t="str">
        <x:v>{"product_type":[{"value":"flip_flop","evidence_type":"inferred","source_span":"fit flops","fact_ids":[],"rationale":"fit flops推断为flip flops变体或拼写。"},{"value":"flip_flop","evidence_type":"page_validated","source_span":"","fact_ids":["style_flip_flop"],"rationale":"该槽位与商品基准中的明示页面事实一致。"}],"audience_intent":[{"value":"women","evidence_type":"explicit","source_span":"for women","fact_ids":[],"rationale":""},{"value":"women","evidence_type":"page_validated","source_span":"","fact_ids":["title_womens_flip_flop"],"rationale":"页面标题确认女士产品。"}],"primary_domain":[{"value":"clothing_shoes_jewelry","evidence_type":"inferred","source_span":"","fact_ids":[],"rationale":"该值由搜索词整体语义推断，未作为页面明示属性。"}]}</x:v>
      </x:c>
      <x:c r="Y361" s="15" t="str">
        <x:v>fit_flops_ambiguous_brand_or_typo</x:v>
      </x:c>
      <x:c r="Z361" s="10" t="str">
        <x:v>match</x:v>
      </x:c>
      <x:c r="AA361" s="15" t="str">
        <x:v>style_flip_flop | title_womens_flip_flop | sizes_6_11</x:v>
      </x:c>
      <x:c r="AB361" s="10" t="str">
        <x:v>accepted</x:v>
      </x:c>
      <x:c r="AC361" s="10" t="str">
        <x:v>1.0.0</x:v>
      </x:c>
      <x:c r="AD361" s="10" t="str">
        <x:v>1.1.0</x:v>
      </x:c>
      <x:c r="AE361" s="10" t="str">
        <x:v>deepseek/deepseek-v4-pro</x:v>
      </x:c>
      <x:c r="AF361" s="10" t="str">
        <x:v>aj2-y90-20260714T234810-0bea2f52</x:v>
      </x:c>
      <x:c r="AG361" s="10" t="str">
        <x:v>full-0018</x:v>
      </x:c>
      <x:c r="AH361" s="10" t="str">
        <x:v>full</x:v>
      </x:c>
      <x:c r="AI361" s="10" t="n">
        <x:v>18</x:v>
      </x:c>
    </x:row>
    <x:row r="362" ht="34" customHeight="1">
      <x:c r="A362" s="16" t="str">
        <x:v>womens summer flip flops</x:v>
      </x:c>
      <x:c r="B362" s="16" t="str">
        <x:v>womens summer flip flops</x:v>
      </x:c>
      <x:c r="C362" s="13" t="str">
        <x:v>0e109745fefe6081</x:v>
      </x:c>
      <x:c r="D362" s="13" t="str">
        <x:v>keyword</x:v>
      </x:c>
      <x:c r="E362" s="13" t="str">
        <x:v>en</x:v>
      </x:c>
      <x:c r="F362" s="13" t="str">
        <x:v>clothing_shoes_jewelry</x:v>
      </x:c>
      <x:c r="G362" s="16" t="str"/>
      <x:c r="H362" s="16" t="str">
        <x:v>flip_flops</x:v>
      </x:c>
      <x:c r="I362" s="16" t="str">
        <x:v>women</x:v>
      </x:c>
      <x:c r="J362" s="16" t="str"/>
      <x:c r="K362" s="16" t="str"/>
      <x:c r="L362" s="16" t="str"/>
      <x:c r="M362" s="16" t="str"/>
      <x:c r="N362" s="16" t="str"/>
      <x:c r="O362" s="16" t="str">
        <x:v>summer</x:v>
      </x:c>
      <x:c r="P362" s="16" t="str"/>
      <x:c r="Q362" s="16" t="str"/>
      <x:c r="R362" s="16" t="str">
        <x:v>女性用户在夏季寻找适合日常穿着的夹脚拖鞋。</x:v>
      </x:c>
      <x:c r="S362" s="13" t="str">
        <x:v>exploration</x:v>
      </x:c>
      <x:c r="T362" s="16" t="str">
        <x:v>explicit | page_validated</x:v>
      </x:c>
      <x:c r="U362" s="13" t="str">
        <x:v>high</x:v>
      </x:c>
      <x:c r="V362" s="16" t="str">
        <x:v>womens_summer_flip_flops</x:v>
      </x:c>
      <x:c r="W362" s="16" t="str">
        <x:v>cluster_route</x:v>
      </x:c>
      <x:c r="X362" s="16" t="str">
        <x:v>{"product_type":[{"value":"flip_flops","evidence_type":"explicit","source_span":"flip flops","fact_ids":[],"rationale":""},{"value":"flip_flops","evidence_type":"page_validated","source_span":"","fact_ids":["title_womens_flip_flop","style_flip_flop"],"rationale":""}],"audience_intent":[{"value":"women","evidence_type":"explicit","source_span":"womens","fact_ids":[],"rationale":""},{"value":"women","evidence_type":"page_validated","source_span":"","fact_ids":["title_womens_flip_flop"],"rationale":"该槽位与商品基准中的明示页面事实一致。"}],"time_intent":[{"value":"summer","evidence_type":"explicit","source_span":"summer","fact_ids":[],"rationale":""}],"primary_domain":[{"value":"clothing_shoes_jewelry","evidence_type":"inferred","source_span":"","fact_ids":[],"rationale":"该值由搜索词整体语义推断，未作为页面明示属性。"}]}</x:v>
      </x:c>
      <x:c r="Y362" s="16" t="str"/>
      <x:c r="Z362" s="13" t="str">
        <x:v>match</x:v>
      </x:c>
      <x:c r="AA362" s="16" t="str">
        <x:v>title_womens_flip_flop | style_flip_flop</x:v>
      </x:c>
      <x:c r="AB362" s="13" t="str">
        <x:v>accepted</x:v>
      </x:c>
      <x:c r="AC362" s="13" t="str">
        <x:v>1.0.0</x:v>
      </x:c>
      <x:c r="AD362" s="13" t="str">
        <x:v>1.0.0</x:v>
      </x:c>
      <x:c r="AE362" s="13" t="str">
        <x:v>deepseek/deepseek-v4-pro</x:v>
      </x:c>
      <x:c r="AF362" s="13" t="str">
        <x:v>aj2-y90-20260714T234810-0bea2f52</x:v>
      </x:c>
      <x:c r="AG362" s="13" t="str">
        <x:v>full-0019</x:v>
      </x:c>
      <x:c r="AH362" s="13" t="str">
        <x:v>full</x:v>
      </x:c>
      <x:c r="AI362" s="13" t="n">
        <x:v>19</x:v>
      </x:c>
    </x:row>
    <x:row r="363" ht="34" customHeight="1">
      <x:c r="A363" s="15" t="str">
        <x:v>archie dupes</x:v>
      </x:c>
      <x:c r="B363" s="15" t="str">
        <x:v>archie dupes</x:v>
      </x:c>
      <x:c r="C363" s="10" t="str">
        <x:v>15304372c8ea26ae</x:v>
      </x:c>
      <x:c r="D363" s="10" t="str">
        <x:v>keyword</x:v>
      </x:c>
      <x:c r="E363" s="10" t="str">
        <x:v>en</x:v>
      </x:c>
      <x:c r="F363" s="10" t="str">
        <x:v>clothing_shoes_jewelry</x:v>
      </x:c>
      <x:c r="G363" s="15" t="str"/>
      <x:c r="H363" s="15" t="str">
        <x:v>flip_flops</x:v>
      </x:c>
      <x:c r="I363" s="15" t="str"/>
      <x:c r="J363" s="15" t="str"/>
      <x:c r="K363" s="15" t="str">
        <x:v>arch_support</x:v>
      </x:c>
      <x:c r="L363" s="15" t="str"/>
      <x:c r="M363" s="15" t="str"/>
      <x:c r="N363" s="15" t="str">
        <x:v>arch_support</x:v>
      </x:c>
      <x:c r="O363" s="15" t="str"/>
      <x:c r="P363" s="15" t="str">
        <x:v>knockoff | budget_alternative</x:v>
      </x:c>
      <x:c r="Q363" s="15" t="str"/>
      <x:c r="R363" s="15" t="str">
        <x:v>用户寻找Archies品牌足弓支撑拖鞋的平价替代品。</x:v>
      </x:c>
      <x:c r="S363" s="10" t="str">
        <x:v>brand_harvest</x:v>
      </x:c>
      <x:c r="T363" s="15" t="str">
        <x:v>explicit | inferred | page_validated</x:v>
      </x:c>
      <x:c r="U363" s="10" t="str">
        <x:v>medium</x:v>
      </x:c>
      <x:c r="V363" s="15" t="str">
        <x:v>archie_dupes_arch_support</x:v>
      </x:c>
      <x:c r="W363" s="15" t="str">
        <x:v>cluster_route</x:v>
      </x:c>
      <x:c r="X363" s="15" t="str">
        <x:v>{"substitute_intent":[{"value":"knockoff","evidence_type":"explicit","source_span":"dupes","fact_ids":[],"rationale":""},{"value":"budget_alternative","evidence_type":"explicit","source_span":"dupes","fact_ids":[],"rationale":""}],"capability_intent":[{"value":"arch_support","evidence_type":"inferred","source_span":"","fact_ids":[],"rationale":"Archies品牌以足弓支撑著称"},{"value":"arch_support","evidence_type":"page_validated","source_span":"","fact_ids":["arch_support"],"rationale":"该槽位与商品基准中的明示页面事实一致。"}],"product_type":[{"value":"flip_flops","evidence_type":"inferred","source_span":"","fact_ids":[],"rationale":"Archies主营夹脚拖鞋"},{"value":"flip_flops","evidence_type":"page_validated","source_span":"","fact_ids":["style_flip_flop"],"rationale":"该槽位与商品基准中的明示页面事实一致。"}],"primary_domain":[{"value":"clothing_shoes_jewelry","evidence_type":"inferred","source_span":"","fact_ids":[],"rationale":"该值由搜索词整体语义推断，未作为页面明示属性。"}]}</x:v>
      </x:c>
      <x:c r="Y363" s="15" t="str"/>
      <x:c r="Z363" s="10" t="str">
        <x:v>match</x:v>
      </x:c>
      <x:c r="AA363" s="15" t="str">
        <x:v>arch_support | style_flip_flop</x:v>
      </x:c>
      <x:c r="AB363" s="10" t="str">
        <x:v>accepted</x:v>
      </x:c>
      <x:c r="AC363" s="10" t="str">
        <x:v>1.0.0</x:v>
      </x:c>
      <x:c r="AD363" s="10" t="str">
        <x:v>1.0.0</x:v>
      </x:c>
      <x:c r="AE363" s="10" t="str">
        <x:v>deepseek/deepseek-v4-pro</x:v>
      </x:c>
      <x:c r="AF363" s="10" t="str">
        <x:v>aj2-y90-20260714T234810-0bea2f52</x:v>
      </x:c>
      <x:c r="AG363" s="10" t="str">
        <x:v>full-0019</x:v>
      </x:c>
      <x:c r="AH363" s="10" t="str">
        <x:v>full</x:v>
      </x:c>
      <x:c r="AI363" s="10" t="n">
        <x:v>19</x:v>
      </x:c>
    </x:row>
    <x:row r="364" ht="34" customHeight="1">
      <x:c r="A364" s="16" t="str">
        <x:v>white flip flops arch support</x:v>
      </x:c>
      <x:c r="B364" s="16" t="str">
        <x:v>white flip flops arch support</x:v>
      </x:c>
      <x:c r="C364" s="13" t="str">
        <x:v>1f0c08cb171b5703</x:v>
      </x:c>
      <x:c r="D364" s="13" t="str">
        <x:v>keyword</x:v>
      </x:c>
      <x:c r="E364" s="13" t="str">
        <x:v>en</x:v>
      </x:c>
      <x:c r="F364" s="13" t="str">
        <x:v>clothing_shoes_jewelry</x:v>
      </x:c>
      <x:c r="G364" s="16" t="str"/>
      <x:c r="H364" s="16" t="str">
        <x:v>flip_flops</x:v>
      </x:c>
      <x:c r="I364" s="16" t="str"/>
      <x:c r="J364" s="16" t="str"/>
      <x:c r="K364" s="16" t="str">
        <x:v>arch_support</x:v>
      </x:c>
      <x:c r="L364" s="16" t="str"/>
      <x:c r="M364" s="16" t="str"/>
      <x:c r="N364" s="16" t="str">
        <x:v>arch_support</x:v>
      </x:c>
      <x:c r="O364" s="16" t="str"/>
      <x:c r="P364" s="16" t="str"/>
      <x:c r="Q364" s="16" t="str"/>
      <x:c r="R364" s="16" t="str">
        <x:v>用户寻找具有足弓支撑功能的白色夹脚拖鞋。</x:v>
      </x:c>
      <x:c r="S364" s="13" t="str">
        <x:v>high_intent</x:v>
      </x:c>
      <x:c r="T364" s="16" t="str">
        <x:v>explicit | page_validated | inferred</x:v>
      </x:c>
      <x:c r="U364" s="13" t="str">
        <x:v>high</x:v>
      </x:c>
      <x:c r="V364" s="16" t="str">
        <x:v>white_arch_support_flip_flops</x:v>
      </x:c>
      <x:c r="W364" s="16" t="str">
        <x:v>cluster_route</x:v>
      </x:c>
      <x:c r="X364" s="16" t="str">
        <x:v>{"product_type":[{"value":"flip_flops","evidence_type":"explicit","source_span":"flip flops","fact_ids":[],"rationale":""},{"value":"flip_flops","evidence_type":"page_validated","source_span":"","fact_ids":["style_flip_flop"],"rationale":""}],"capability_intent":[{"value":"arch_support","evidence_type":"explicit","source_span":"arch support","fact_ids":[],"rationale":""},{"value":"arch_support","evidence_type":"page_validated","source_span":"","fact_ids":["arch_support"],"rationale":""}],"primary_domain":[{"value":"clothing_shoes_jewelry","evidence_type":"inferred","source_span":"","fact_ids":[],"rationale":"该值由搜索词整体语义推断，未作为页面明示属性。"}]}</x:v>
      </x:c>
      <x:c r="Y364" s="16" t="str"/>
      <x:c r="Z364" s="13" t="str">
        <x:v>match</x:v>
      </x:c>
      <x:c r="AA364" s="16" t="str">
        <x:v>arch_support | colors_visible | title_womens_flip_flop | style_flip_flop</x:v>
      </x:c>
      <x:c r="AB364" s="13" t="str">
        <x:v>accepted</x:v>
      </x:c>
      <x:c r="AC364" s="13" t="str">
        <x:v>1.0.0</x:v>
      </x:c>
      <x:c r="AD364" s="13" t="str">
        <x:v>1.0.0</x:v>
      </x:c>
      <x:c r="AE364" s="13" t="str">
        <x:v>deepseek/deepseek-v4-pro</x:v>
      </x:c>
      <x:c r="AF364" s="13" t="str">
        <x:v>aj2-y90-20260714T234810-0bea2f52</x:v>
      </x:c>
      <x:c r="AG364" s="13" t="str">
        <x:v>full-0019</x:v>
      </x:c>
      <x:c r="AH364" s="13" t="str">
        <x:v>full</x:v>
      </x:c>
      <x:c r="AI364" s="13" t="n">
        <x:v>19</x:v>
      </x:c>
    </x:row>
    <x:row r="365" ht="34" customHeight="1">
      <x:c r="A365" s="15" t="str">
        <x:v>white thong beach sandals</x:v>
      </x:c>
      <x:c r="B365" s="15" t="str">
        <x:v>white thong beach sandals</x:v>
      </x:c>
      <x:c r="C365" s="10" t="str">
        <x:v>2e539577acc6bf7a</x:v>
      </x:c>
      <x:c r="D365" s="10" t="str">
        <x:v>keyword</x:v>
      </x:c>
      <x:c r="E365" s="10" t="str">
        <x:v>en</x:v>
      </x:c>
      <x:c r="F365" s="10" t="str">
        <x:v>clothing_shoes_jewelry</x:v>
      </x:c>
      <x:c r="G365" s="15" t="str"/>
      <x:c r="H365" s="15" t="str">
        <x:v>sandals</x:v>
      </x:c>
      <x:c r="I365" s="15" t="str"/>
      <x:c r="J365" s="15" t="str"/>
      <x:c r="K365" s="15" t="str"/>
      <x:c r="L365" s="15" t="str"/>
      <x:c r="M365" s="15" t="str">
        <x:v>beach</x:v>
      </x:c>
      <x:c r="N365" s="15" t="str"/>
      <x:c r="O365" s="15" t="str"/>
      <x:c r="P365" s="15" t="str"/>
      <x:c r="Q365" s="15" t="str"/>
      <x:c r="R365" s="15" t="str">
        <x:v>用户寻找适合海滩穿着的白色夹脚凉鞋。</x:v>
      </x:c>
      <x:c r="S365" s="10" t="str">
        <x:v>consideration</x:v>
      </x:c>
      <x:c r="T365" s="15" t="str">
        <x:v>explicit | page_validated | inferred</x:v>
      </x:c>
      <x:c r="U365" s="10" t="str">
        <x:v>medium</x:v>
      </x:c>
      <x:c r="V365" s="15" t="str">
        <x:v>white_thong_beach_sandals</x:v>
      </x:c>
      <x:c r="W365" s="15" t="str">
        <x:v>cluster_route</x:v>
      </x:c>
      <x:c r="X365" s="15" t="str">
        <x:v>{"product_type":[{"value":"sandals","evidence_type":"explicit","source_span":"sandals","fact_ids":[],"rationale":""},{"value":"sandals","evidence_type":"page_validated","source_span":"","fact_ids":["style_flip_flop","style_thong"],"rationale":""}],"location_intent":[{"value":"beach","evidence_type":"explicit","source_span":"beach","fact_ids":[],"rationale":""}],"primary_domain":[{"value":"clothing_shoes_jewelry","evidence_type":"inferred","source_span":"","fact_ids":[],"rationale":"该值由搜索词整体语义推断，未作为页面明示属性。"}]}</x:v>
      </x:c>
      <x:c r="Y365" s="15" t="str"/>
      <x:c r="Z365" s="10" t="str">
        <x:v>match</x:v>
      </x:c>
      <x:c r="AA365" s="15" t="str">
        <x:v>colors_visible | style_thong | style_outdoor | style_flip_flop</x:v>
      </x:c>
      <x:c r="AB365" s="10" t="str">
        <x:v>accepted</x:v>
      </x:c>
      <x:c r="AC365" s="10" t="str">
        <x:v>1.0.0</x:v>
      </x:c>
      <x:c r="AD365" s="10" t="str">
        <x:v>1.0.0</x:v>
      </x:c>
      <x:c r="AE365" s="10" t="str">
        <x:v>deepseek/deepseek-v4-pro</x:v>
      </x:c>
      <x:c r="AF365" s="10" t="str">
        <x:v>aj2-y90-20260714T234810-0bea2f52</x:v>
      </x:c>
      <x:c r="AG365" s="10" t="str">
        <x:v>full-0019</x:v>
      </x:c>
      <x:c r="AH365" s="10" t="str">
        <x:v>full</x:v>
      </x:c>
      <x:c r="AI365" s="10" t="n">
        <x:v>19</x:v>
      </x:c>
    </x:row>
    <x:row r="366" ht="34" customHeight="1">
      <x:c r="A366" s="16" t="str">
        <x:v>comfortable flip flops</x:v>
      </x:c>
      <x:c r="B366" s="16" t="str">
        <x:v>comfortable flip flops</x:v>
      </x:c>
      <x:c r="C366" s="13" t="str">
        <x:v>3a1308f6a90a1261</x:v>
      </x:c>
      <x:c r="D366" s="13" t="str">
        <x:v>keyword</x:v>
      </x:c>
      <x:c r="E366" s="13" t="str">
        <x:v>en</x:v>
      </x:c>
      <x:c r="F366" s="13" t="str">
        <x:v>clothing_shoes_jewelry</x:v>
      </x:c>
      <x:c r="G366" s="16" t="str"/>
      <x:c r="H366" s="16" t="str">
        <x:v>flip_flops</x:v>
      </x:c>
      <x:c r="I366" s="16" t="str"/>
      <x:c r="J366" s="16" t="str">
        <x:v>comfort</x:v>
      </x:c>
      <x:c r="K366" s="16" t="str"/>
      <x:c r="L366" s="16" t="str"/>
      <x:c r="M366" s="16" t="str"/>
      <x:c r="N366" s="16" t="str"/>
      <x:c r="O366" s="16" t="str"/>
      <x:c r="P366" s="16" t="str"/>
      <x:c r="Q366" s="16" t="str"/>
      <x:c r="R366" s="16" t="str">
        <x:v>用户寻找穿着舒适的夹脚拖鞋。</x:v>
      </x:c>
      <x:c r="S366" s="13" t="str">
        <x:v>exploration</x:v>
      </x:c>
      <x:c r="T366" s="16" t="str">
        <x:v>explicit | page_validated</x:v>
      </x:c>
      <x:c r="U366" s="13" t="str">
        <x:v>high</x:v>
      </x:c>
      <x:c r="V366" s="16" t="str">
        <x:v>comfortable_flip_flops</x:v>
      </x:c>
      <x:c r="W366" s="16" t="str">
        <x:v>cluster_route</x:v>
      </x:c>
      <x:c r="X366" s="16" t="str">
        <x:v>{"product_type":[{"value":"flip_flops","evidence_type":"explicit","source_span":"flip flops","fact_ids":[],"rationale":""},{"value":"flip_flops","evidence_type":"page_validated","source_span":"","fact_ids":["style_flip_flop"],"rationale":""}],"function_intent":[{"value":"comfort","evidence_type":"explicit","source_span":"comfortable","fact_ids":[],"rationale":""},{"value":"comfort","evidence_type":"page_validated","source_span":"","fact_ids":["arch_support","padded_cushioning"],"rationale":"该槽位与商品基准中的明示页面事实一致。"}],"primary_domain":[{"value":"clothing_shoes_jewelry","evidence_type":"inferred","source_span":"","fact_ids":[],"rationale":"该值由搜索词整体语义推断，未作为页面明示属性。"}]}</x:v>
      </x:c>
      <x:c r="Y366" s="16" t="str"/>
      <x:c r="Z366" s="13" t="str">
        <x:v>match</x:v>
      </x:c>
      <x:c r="AA366" s="16" t="str">
        <x:v>arch_support | padded_cushioning | soft_toe_post | style_flip_flop</x:v>
      </x:c>
      <x:c r="AB366" s="13" t="str">
        <x:v>accepted</x:v>
      </x:c>
      <x:c r="AC366" s="13" t="str">
        <x:v>1.0.0</x:v>
      </x:c>
      <x:c r="AD366" s="13" t="str">
        <x:v>1.0.0</x:v>
      </x:c>
      <x:c r="AE366" s="13" t="str">
        <x:v>deepseek/deepseek-v4-pro</x:v>
      </x:c>
      <x:c r="AF366" s="13" t="str">
        <x:v>aj2-y90-20260714T234810-0bea2f52</x:v>
      </x:c>
      <x:c r="AG366" s="13" t="str">
        <x:v>full-0019</x:v>
      </x:c>
      <x:c r="AH366" s="13" t="str">
        <x:v>full</x:v>
      </x:c>
      <x:c r="AI366" s="13" t="n">
        <x:v>19</x:v>
      </x:c>
    </x:row>
    <x:row r="367" ht="34" customHeight="1">
      <x:c r="A367" s="15" t="str">
        <x:v>women flip flops water</x:v>
      </x:c>
      <x:c r="B367" s="15" t="str">
        <x:v>women flip flops water</x:v>
      </x:c>
      <x:c r="C367" s="10" t="str">
        <x:v>476853dbbe77e32d</x:v>
      </x:c>
      <x:c r="D367" s="10" t="str">
        <x:v>keyword</x:v>
      </x:c>
      <x:c r="E367" s="10" t="str">
        <x:v>en</x:v>
      </x:c>
      <x:c r="F367" s="10" t="str">
        <x:v>clothing_shoes_jewelry</x:v>
      </x:c>
      <x:c r="G367" s="15" t="str"/>
      <x:c r="H367" s="15" t="str">
        <x:v>flip_flops</x:v>
      </x:c>
      <x:c r="I367" s="15" t="str">
        <x:v>women</x:v>
      </x:c>
      <x:c r="J367" s="15" t="str"/>
      <x:c r="K367" s="15" t="str">
        <x:v>water_ready</x:v>
      </x:c>
      <x:c r="L367" s="15" t="str"/>
      <x:c r="M367" s="15" t="str">
        <x:v>water</x:v>
      </x:c>
      <x:c r="N367" s="15" t="str"/>
      <x:c r="O367" s="15" t="str"/>
      <x:c r="P367" s="15" t="str"/>
      <x:c r="Q367" s="15" t="str"/>
      <x:c r="R367" s="15" t="str">
        <x:v>女性用户寻找适合涉水环境的夹脚拖鞋。</x:v>
      </x:c>
      <x:c r="S367" s="10" t="str">
        <x:v>consideration</x:v>
      </x:c>
      <x:c r="T367" s="15" t="str">
        <x:v>explicit | inferred</x:v>
      </x:c>
      <x:c r="U367" s="10" t="str">
        <x:v>medium</x:v>
      </x:c>
      <x:c r="V367" s="15" t="str">
        <x:v>womens_water_flip_flops</x:v>
      </x:c>
      <x:c r="W367" s="15" t="str">
        <x:v>listing_gap_review</x:v>
      </x:c>
      <x:c r="X367" s="15" t="str">
        <x:v>{"product_type":[{"value":"flip_flops","evidence_type":"explicit","source_span":"flip flops","fact_ids":[],"rationale":""},{"value":"flip_flops","evidence_type":"page_validated","source_span":"","fact_ids":["style_flip_flop"],"rationale":""}],"audience_intent":[{"value":"women","evidence_type":"explicit","source_span":"women","fact_ids":[],"rationale":""},{"value":"women","evidence_type":"page_validated","source_span":"","fact_ids":["title_womens_flip_flop"],"rationale":""}],"location_intent":[{"value":"water","evidence_type":"explicit","source_span":"water","fact_ids":[],"rationale":""}],"capability_intent":[{"value":"water_ready","evidence_type":"inferred","source_span":"","fact_ids":[],"rationale":"涉水场景需要耐水功能"}],"primary_domain":[{"value":"clothing_shoes_jewelry","evidence_type":"inferred","source_span":"","fact_ids":[],"rationale":"该值由搜索词整体语义推断，未作为页面明示属性。"}]}</x:v>
      </x:c>
      <x:c r="Y367" s="15" t="str">
        <x:v>waterproof_not_page_claimed</x:v>
      </x:c>
      <x:c r="Z367" s="10" t="str">
        <x:v>partial_match</x:v>
      </x:c>
      <x:c r="AA367" s="15" t="str">
        <x:v>title_womens_flip_flop</x:v>
      </x:c>
      <x:c r="AB367" s="10" t="str">
        <x:v>accepted</x:v>
      </x:c>
      <x:c r="AC367" s="10" t="str">
        <x:v>1.0.0</x:v>
      </x:c>
      <x:c r="AD367" s="10" t="str">
        <x:v>1.0.0</x:v>
      </x:c>
      <x:c r="AE367" s="10" t="str">
        <x:v>deepseek/deepseek-v4-pro</x:v>
      </x:c>
      <x:c r="AF367" s="10" t="str">
        <x:v>aj2-y90-20260714T234810-0bea2f52</x:v>
      </x:c>
      <x:c r="AG367" s="10" t="str">
        <x:v>full-0019</x:v>
      </x:c>
      <x:c r="AH367" s="10" t="str">
        <x:v>full</x:v>
      </x:c>
      <x:c r="AI367" s="10" t="n">
        <x:v>19</x:v>
      </x:c>
    </x:row>
    <x:row r="368" ht="34" customHeight="1">
      <x:c r="A368" s="16" t="str">
        <x:v>cyan colored flip flops</x:v>
      </x:c>
      <x:c r="B368" s="16" t="str">
        <x:v>cyan colored flip flops</x:v>
      </x:c>
      <x:c r="C368" s="13" t="str">
        <x:v>4f403b5e3dd81751</x:v>
      </x:c>
      <x:c r="D368" s="13" t="str">
        <x:v>keyword</x:v>
      </x:c>
      <x:c r="E368" s="13" t="str">
        <x:v>en</x:v>
      </x:c>
      <x:c r="F368" s="13" t="str">
        <x:v>clothing_shoes_jewelry</x:v>
      </x:c>
      <x:c r="G368" s="16" t="str"/>
      <x:c r="H368" s="16" t="str">
        <x:v>flip_flops</x:v>
      </x:c>
      <x:c r="I368" s="16" t="str"/>
      <x:c r="J368" s="16" t="str"/>
      <x:c r="K368" s="16" t="str"/>
      <x:c r="L368" s="16" t="str"/>
      <x:c r="M368" s="16" t="str"/>
      <x:c r="N368" s="16" t="str"/>
      <x:c r="O368" s="16" t="str"/>
      <x:c r="P368" s="16" t="str"/>
      <x:c r="Q368" s="16" t="str"/>
      <x:c r="R368" s="16" t="str">
        <x:v>用户寻找青色（蓝绿色）的夹脚拖鞋。</x:v>
      </x:c>
      <x:c r="S368" s="13" t="str">
        <x:v>consideration</x:v>
      </x:c>
      <x:c r="T368" s="16" t="str">
        <x:v>explicit | page_validated</x:v>
      </x:c>
      <x:c r="U368" s="13" t="str">
        <x:v>medium</x:v>
      </x:c>
      <x:c r="V368" s="16" t="str">
        <x:v>cyan_flip_flops</x:v>
      </x:c>
      <x:c r="W368" s="16" t="str">
        <x:v>listing_gap_review</x:v>
      </x:c>
      <x:c r="X368" s="16" t="str">
        <x:v>{"product_type":[{"value":"flip_flops","evidence_type":"explicit","source_span":"flip flops","fact_ids":[],"rationale":""},{"value":"flip_flops","evidence_type":"page_validated","source_span":"","fact_ids":["style_flip_flop"],"rationale":""}],"primary_domain":[{"value":"clothing_shoes_jewelry","evidence_type":"inferred","source_span":"","fact_ids":[],"rationale":"该值由搜索词整体语义推断，未作为页面明示属性。"}]}</x:v>
      </x:c>
      <x:c r="Y368" s="16" t="str">
        <x:v>color_approximation_cyan_vs_light_blue</x:v>
      </x:c>
      <x:c r="Z368" s="13" t="str">
        <x:v>partial_match</x:v>
      </x:c>
      <x:c r="AA368" s="16" t="str">
        <x:v>colors_visible</x:v>
      </x:c>
      <x:c r="AB368" s="13" t="str">
        <x:v>accepted</x:v>
      </x:c>
      <x:c r="AC368" s="13" t="str">
        <x:v>1.0.0</x:v>
      </x:c>
      <x:c r="AD368" s="13" t="str">
        <x:v>1.0.0</x:v>
      </x:c>
      <x:c r="AE368" s="13" t="str">
        <x:v>deepseek/deepseek-v4-pro</x:v>
      </x:c>
      <x:c r="AF368" s="13" t="str">
        <x:v>aj2-y90-20260714T234810-0bea2f52</x:v>
      </x:c>
      <x:c r="AG368" s="13" t="str">
        <x:v>full-0019</x:v>
      </x:c>
      <x:c r="AH368" s="13" t="str">
        <x:v>full</x:v>
      </x:c>
      <x:c r="AI368" s="13" t="n">
        <x:v>19</x:v>
      </x:c>
    </x:row>
    <x:row r="369" ht="34" customHeight="1">
      <x:c r="A369" s="15" t="str">
        <x:v>pool side flip flops brown</x:v>
      </x:c>
      <x:c r="B369" s="15" t="str">
        <x:v>pool side flip flops brown</x:v>
      </x:c>
      <x:c r="C369" s="10" t="str">
        <x:v>55ecd97098e6ab6c</x:v>
      </x:c>
      <x:c r="D369" s="10" t="str">
        <x:v>keyword</x:v>
      </x:c>
      <x:c r="E369" s="10" t="str">
        <x:v>en</x:v>
      </x:c>
      <x:c r="F369" s="10" t="str">
        <x:v>clothing_shoes_jewelry</x:v>
      </x:c>
      <x:c r="G369" s="15" t="str"/>
      <x:c r="H369" s="15" t="str">
        <x:v>flip_flops</x:v>
      </x:c>
      <x:c r="I369" s="15" t="str"/>
      <x:c r="J369" s="15" t="str"/>
      <x:c r="K369" s="15" t="str"/>
      <x:c r="L369" s="15" t="str"/>
      <x:c r="M369" s="15" t="str">
        <x:v>pool_side</x:v>
      </x:c>
      <x:c r="N369" s="15" t="str"/>
      <x:c r="O369" s="15" t="str"/>
      <x:c r="P369" s="15" t="str"/>
      <x:c r="Q369" s="15" t="str"/>
      <x:c r="R369" s="15" t="str">
        <x:v>用户寻找适合泳池边穿着的棕色夹脚拖鞋。</x:v>
      </x:c>
      <x:c r="S369" s="10" t="str">
        <x:v>consideration</x:v>
      </x:c>
      <x:c r="T369" s="15" t="str">
        <x:v>explicit | page_validated | inferred</x:v>
      </x:c>
      <x:c r="U369" s="10" t="str">
        <x:v>medium</x:v>
      </x:c>
      <x:c r="V369" s="15" t="str">
        <x:v>pool_side_flip_flops_brown</x:v>
      </x:c>
      <x:c r="W369" s="15" t="str">
        <x:v>cluster_route</x:v>
      </x:c>
      <x:c r="X369" s="15" t="str">
        <x:v>{"product_type":[{"value":"flip_flops","evidence_type":"explicit","source_span":"flip flops","fact_ids":[],"rationale":""},{"value":"flip_flops","evidence_type":"page_validated","source_span":"","fact_ids":["style_flip_flop"],"rationale":""}],"location_intent":[{"value":"pool_side","evidence_type":"explicit","source_span":"pool side","fact_ids":[],"rationale":""}],"primary_domain":[{"value":"clothing_shoes_jewelry","evidence_type":"inferred","source_span":"","fact_ids":[],"rationale":"该值由搜索词整体语义推断，未作为页面明示属性。"}]}</x:v>
      </x:c>
      <x:c r="Y369" s="15" t="str"/>
      <x:c r="Z369" s="10" t="str">
        <x:v>match</x:v>
      </x:c>
      <x:c r="AA369" s="15" t="str">
        <x:v>colors_visible | style_flip_flop | style_outdoor | slip_resistant_grip</x:v>
      </x:c>
      <x:c r="AB369" s="10" t="str">
        <x:v>accepted</x:v>
      </x:c>
      <x:c r="AC369" s="10" t="str">
        <x:v>1.0.0</x:v>
      </x:c>
      <x:c r="AD369" s="10" t="str">
        <x:v>1.0.0</x:v>
      </x:c>
      <x:c r="AE369" s="10" t="str">
        <x:v>deepseek/deepseek-v4-pro</x:v>
      </x:c>
      <x:c r="AF369" s="10" t="str">
        <x:v>aj2-y90-20260714T234810-0bea2f52</x:v>
      </x:c>
      <x:c r="AG369" s="10" t="str">
        <x:v>full-0019</x:v>
      </x:c>
      <x:c r="AH369" s="10" t="str">
        <x:v>full</x:v>
      </x:c>
      <x:c r="AI369" s="10" t="n">
        <x:v>19</x:v>
      </x:c>
    </x:row>
    <x:row r="370" ht="34" customHeight="1">
      <x:c r="A370" s="16" t="str">
        <x:v>arch flip flops</x:v>
      </x:c>
      <x:c r="B370" s="16" t="str">
        <x:v>arch flip flops</x:v>
      </x:c>
      <x:c r="C370" s="13" t="str">
        <x:v>788d87be793522c3</x:v>
      </x:c>
      <x:c r="D370" s="13" t="str">
        <x:v>keyword</x:v>
      </x:c>
      <x:c r="E370" s="13" t="str">
        <x:v>en</x:v>
      </x:c>
      <x:c r="F370" s="13" t="str">
        <x:v>clothing_shoes_jewelry</x:v>
      </x:c>
      <x:c r="G370" s="16" t="str"/>
      <x:c r="H370" s="16" t="str">
        <x:v>flip_flops</x:v>
      </x:c>
      <x:c r="I370" s="16" t="str"/>
      <x:c r="J370" s="16" t="str"/>
      <x:c r="K370" s="16" t="str">
        <x:v>arch_support</x:v>
      </x:c>
      <x:c r="L370" s="16" t="str"/>
      <x:c r="M370" s="16" t="str"/>
      <x:c r="N370" s="16" t="str">
        <x:v>arch_support</x:v>
      </x:c>
      <x:c r="O370" s="16" t="str"/>
      <x:c r="P370" s="16" t="str"/>
      <x:c r="Q370" s="16" t="str"/>
      <x:c r="R370" s="16" t="str">
        <x:v>用户寻找具有足弓支撑功能的夹脚拖鞋。</x:v>
      </x:c>
      <x:c r="S370" s="13" t="str">
        <x:v>high_intent</x:v>
      </x:c>
      <x:c r="T370" s="16" t="str">
        <x:v>explicit | page_validated | inferred</x:v>
      </x:c>
      <x:c r="U370" s="13" t="str">
        <x:v>high</x:v>
      </x:c>
      <x:c r="V370" s="16" t="str">
        <x:v>arch_support_flip_flops</x:v>
      </x:c>
      <x:c r="W370" s="16" t="str">
        <x:v>cluster_route</x:v>
      </x:c>
      <x:c r="X370" s="16" t="str">
        <x:v>{"product_type":[{"value":"flip_flops","evidence_type":"explicit","source_span":"flip flops","fact_ids":[],"rationale":""},{"value":"flip_flops","evidence_type":"page_validated","source_span":"","fact_ids":["title_womens_flip_flop","style_flip_flop"],"rationale":""}],"capability_intent":[{"value":"arch_support","evidence_type":"explicit","source_span":"arch","fact_ids":[],"rationale":""},{"value":"arch_support","evidence_type":"page_validated","source_span":"","fact_ids":["arch_support"],"rationale":""},{"value":"arch_suppor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370" s="16" t="str"/>
      <x:c r="Z370" s="13" t="str">
        <x:v>match</x:v>
      </x:c>
      <x:c r="AA370" s="16" t="str">
        <x:v>arch_support | title_womens_flip_flop | style_flip_flop</x:v>
      </x:c>
      <x:c r="AB370" s="13" t="str">
        <x:v>accepted</x:v>
      </x:c>
      <x:c r="AC370" s="13" t="str">
        <x:v>1.0.0</x:v>
      </x:c>
      <x:c r="AD370" s="13" t="str">
        <x:v>1.0.0</x:v>
      </x:c>
      <x:c r="AE370" s="13" t="str">
        <x:v>deepseek/deepseek-v4-pro</x:v>
      </x:c>
      <x:c r="AF370" s="13" t="str">
        <x:v>aj2-y90-20260714T234810-0bea2f52</x:v>
      </x:c>
      <x:c r="AG370" s="13" t="str">
        <x:v>full-0019</x:v>
      </x:c>
      <x:c r="AH370" s="13" t="str">
        <x:v>full</x:v>
      </x:c>
      <x:c r="AI370" s="13" t="n">
        <x:v>19</x:v>
      </x:c>
    </x:row>
    <x:row r="371" ht="34" customHeight="1">
      <x:c r="A371" s="15" t="str">
        <x:v>arch support flip flops for women square toe</x:v>
      </x:c>
      <x:c r="B371" s="15" t="str">
        <x:v>arch support flip flops for women square toe</x:v>
      </x:c>
      <x:c r="C371" s="10" t="str">
        <x:v>7edec522eb418f7f</x:v>
      </x:c>
      <x:c r="D371" s="10" t="str">
        <x:v>keyword</x:v>
      </x:c>
      <x:c r="E371" s="10" t="str">
        <x:v>en</x:v>
      </x:c>
      <x:c r="F371" s="10" t="str">
        <x:v>clothing_shoes_jewelry</x:v>
      </x:c>
      <x:c r="G371" s="15" t="str"/>
      <x:c r="H371" s="15" t="str">
        <x:v>flip_flops</x:v>
      </x:c>
      <x:c r="I371" s="15" t="str">
        <x:v>women</x:v>
      </x:c>
      <x:c r="J371" s="15" t="str"/>
      <x:c r="K371" s="15" t="str">
        <x:v>arch_support</x:v>
      </x:c>
      <x:c r="L371" s="15" t="str"/>
      <x:c r="M371" s="15" t="str"/>
      <x:c r="N371" s="15" t="str">
        <x:v>arch_support</x:v>
      </x:c>
      <x:c r="O371" s="15" t="str"/>
      <x:c r="P371" s="15" t="str"/>
      <x:c r="Q371" s="15" t="str"/>
      <x:c r="R371" s="15" t="str">
        <x:v>女性用户寻找具有足弓支撑功能的方头夹脚拖鞋。</x:v>
      </x:c>
      <x:c r="S371" s="10" t="str">
        <x:v>high_intent</x:v>
      </x:c>
      <x:c r="T371" s="15" t="str">
        <x:v>explicit | page_validated | inferred</x:v>
      </x:c>
      <x:c r="U371" s="10" t="str">
        <x:v>medium</x:v>
      </x:c>
      <x:c r="V371" s="15" t="str">
        <x:v>arch_support_flip_flops_women_square_toe</x:v>
      </x:c>
      <x:c r="W371" s="15" t="str">
        <x:v>listing_gap_review</x:v>
      </x:c>
      <x:c r="X371" s="15" t="str">
        <x:v>{"product_type":[{"value":"flip_flops","evidence_type":"explicit","source_span":"flip flops","fact_ids":[],"rationale":""},{"value":"flip_flops","evidence_type":"page_validated","source_span":"","fact_ids":["style_flip_flop"],"rationale":""}],"audience_intent":[{"value":"women","evidence_type":"explicit","source_span":"women","fact_ids":[],"rationale":""},{"value":"women","evidence_type":"page_validated","source_span":"","fact_ids":["title_womens_flip_flop"],"rationale":""}],"capability_intent":[{"value":"arch_support","evidence_type":"explicit","source_span":"arch support","fact_ids":[],"rationale":""},{"value":"arch_support","evidence_type":"page_validated","source_span":"","fact_ids":["arch_support"],"rationale":""}],"primary_domain":[{"value":"clothing_shoes_jewelry","evidence_type":"inferred","source_span":"","fact_ids":[],"rationale":"该值由搜索词整体语义推断，未作为页面明示属性。"}]}</x:v>
      </x:c>
      <x:c r="Y371" s="15" t="str">
        <x:v>square_toe_vs_open_toe_conflict</x:v>
      </x:c>
      <x:c r="Z371" s="10" t="str">
        <x:v>partial_match</x:v>
      </x:c>
      <x:c r="AA371" s="15" t="str">
        <x:v>arch_support | title_womens_flip_flop</x:v>
      </x:c>
      <x:c r="AB371" s="10" t="str">
        <x:v>accepted</x:v>
      </x:c>
      <x:c r="AC371" s="10" t="str">
        <x:v>1.0.0</x:v>
      </x:c>
      <x:c r="AD371" s="10" t="str">
        <x:v>1.0.0</x:v>
      </x:c>
      <x:c r="AE371" s="10" t="str">
        <x:v>deepseek/deepseek-v4-pro</x:v>
      </x:c>
      <x:c r="AF371" s="10" t="str">
        <x:v>aj2-y90-20260714T234810-0bea2f52</x:v>
      </x:c>
      <x:c r="AG371" s="10" t="str">
        <x:v>full-0019</x:v>
      </x:c>
      <x:c r="AH371" s="10" t="str">
        <x:v>full</x:v>
      </x:c>
      <x:c r="AI371" s="10" t="n">
        <x:v>19</x:v>
      </x:c>
    </x:row>
    <x:row r="372" ht="34" customHeight="1">
      <x:c r="A372" s="16" t="str">
        <x:v>womens slipper flip flop</x:v>
      </x:c>
      <x:c r="B372" s="16" t="str">
        <x:v>womens slipper flip flop</x:v>
      </x:c>
      <x:c r="C372" s="13" t="str">
        <x:v>82c37ab4fdb63a7f</x:v>
      </x:c>
      <x:c r="D372" s="13" t="str">
        <x:v>keyword</x:v>
      </x:c>
      <x:c r="E372" s="13" t="str">
        <x:v>en</x:v>
      </x:c>
      <x:c r="F372" s="13" t="str">
        <x:v>clothing_shoes_jewelry</x:v>
      </x:c>
      <x:c r="G372" s="16" t="str"/>
      <x:c r="H372" s="16" t="str">
        <x:v>flip_flops | slippers</x:v>
      </x:c>
      <x:c r="I372" s="16" t="str">
        <x:v>women</x:v>
      </x:c>
      <x:c r="J372" s="16" t="str">
        <x:v>comfort</x:v>
      </x:c>
      <x:c r="K372" s="16" t="str"/>
      <x:c r="L372" s="16" t="str"/>
      <x:c r="M372" s="16" t="str"/>
      <x:c r="N372" s="16" t="str"/>
      <x:c r="O372" s="16" t="str"/>
      <x:c r="P372" s="16" t="str"/>
      <x:c r="Q372" s="16" t="str"/>
      <x:c r="R372" s="16" t="str">
        <x:v>女性用户寻找如拖鞋般柔软舒适的夹脚拖鞋。</x:v>
      </x:c>
      <x:c r="S372" s="13" t="str">
        <x:v>consideration</x:v>
      </x:c>
      <x:c r="T372" s="16" t="str">
        <x:v>explicit | page_validated | inferred</x:v>
      </x:c>
      <x:c r="U372" s="13" t="str">
        <x:v>medium</x:v>
      </x:c>
      <x:c r="V372" s="16" t="str">
        <x:v>womens_slipper_flip_flop</x:v>
      </x:c>
      <x:c r="W372" s="16" t="str">
        <x:v>performance_observation</x:v>
      </x:c>
      <x:c r="X372" s="16" t="str">
        <x:v>{"product_type":[{"value":"flip_flops","evidence_type":"explicit","source_span":"flip flop","fact_ids":[],"rationale":""},{"value":"slippers","evidence_type":"explicit","source_span":"slipper","fact_ids":[],"rationale":""},{"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audience_intent":[{"value":"women","evidence_type":"explicit","source_span":"womens","fact_ids":[],"rationale":""},{"value":"women","evidence_type":"page_validated","source_span":"","fact_ids":["title_womens_flip_flop"],"rationale":"该槽位与商品基准中的明示页面事实一致。"}],"function_intent":[{"value":"comfort","evidence_type":"inferred","source_span":"","fact_ids":[],"rationale":"拖鞋暗示舒适穿着体验"},{"value":"comfort","evidence_type":"page_validated","source_span":"","fact_ids":["arch_support","padded_cushioning"],"rationale":"该槽位与商品基准中的明示页面事实一致。"}],"primary_domain":[{"value":"clothing_shoes_jewelry","evidence_type":"inferred","source_span":"","fact_ids":[],"rationale":"该值由搜索词整体语义推断，未作为页面明示属性。"}]}</x:v>
      </x:c>
      <x:c r="Y372" s="16" t="str"/>
      <x:c r="Z372" s="13" t="str">
        <x:v>partial_match</x:v>
      </x:c>
      <x:c r="AA372" s="16" t="str">
        <x:v>title_womens_flip_flop | padded_cushioning | soft_toe_post</x:v>
      </x:c>
      <x:c r="AB372" s="13" t="str">
        <x:v>accepted</x:v>
      </x:c>
      <x:c r="AC372" s="13" t="str">
        <x:v>1.0.0</x:v>
      </x:c>
      <x:c r="AD372" s="13" t="str">
        <x:v>1.0.0</x:v>
      </x:c>
      <x:c r="AE372" s="13" t="str">
        <x:v>deepseek/deepseek-v4-pro</x:v>
      </x:c>
      <x:c r="AF372" s="13" t="str">
        <x:v>aj2-y90-20260714T234810-0bea2f52</x:v>
      </x:c>
      <x:c r="AG372" s="13" t="str">
        <x:v>full-0019</x:v>
      </x:c>
      <x:c r="AH372" s="13" t="str">
        <x:v>full</x:v>
      </x:c>
      <x:c r="AI372" s="13" t="n">
        <x:v>19</x:v>
      </x:c>
    </x:row>
    <x:row r="373" ht="34" customHeight="1">
      <x:c r="A373" s="15" t="str">
        <x:v>comfortable waterproof flip flops for women</x:v>
      </x:c>
      <x:c r="B373" s="15" t="str">
        <x:v>comfortable waterproof flip flops for women</x:v>
      </x:c>
      <x:c r="C373" s="10" t="str">
        <x:v>845bf0266baf48c8</x:v>
      </x:c>
      <x:c r="D373" s="10" t="str">
        <x:v>keyword</x:v>
      </x:c>
      <x:c r="E373" s="10" t="str">
        <x:v>en</x:v>
      </x:c>
      <x:c r="F373" s="10" t="str">
        <x:v>clothing_shoes_jewelry</x:v>
      </x:c>
      <x:c r="G373" s="15" t="str"/>
      <x:c r="H373" s="15" t="str">
        <x:v>flip_flops</x:v>
      </x:c>
      <x:c r="I373" s="15" t="str">
        <x:v>women</x:v>
      </x:c>
      <x:c r="J373" s="15" t="str">
        <x:v>comfort</x:v>
      </x:c>
      <x:c r="K373" s="15" t="str">
        <x:v>waterproof</x:v>
      </x:c>
      <x:c r="L373" s="15" t="str"/>
      <x:c r="M373" s="15" t="str"/>
      <x:c r="N373" s="15" t="str"/>
      <x:c r="O373" s="15" t="str"/>
      <x:c r="P373" s="15" t="str"/>
      <x:c r="Q373" s="15" t="str"/>
      <x:c r="R373" s="15" t="str">
        <x:v>女性用户寻找舒适且防水的夹脚拖鞋。</x:v>
      </x:c>
      <x:c r="S373" s="10" t="str">
        <x:v>consideration</x:v>
      </x:c>
      <x:c r="T373" s="15" t="str">
        <x:v>explicit | page_validated</x:v>
      </x:c>
      <x:c r="U373" s="10" t="str">
        <x:v>medium</x:v>
      </x:c>
      <x:c r="V373" s="15" t="str">
        <x:v>comfortable_waterproof_flip_flops_women</x:v>
      </x:c>
      <x:c r="W373" s="15" t="str">
        <x:v>listing_gap_review</x:v>
      </x:c>
      <x:c r="X373" s="15" t="str">
        <x:v>{"product_type":[{"value":"flip_flops","evidence_type":"explicit","source_span":"flip flops","fact_ids":[],"rationale":""},{"value":"flip_flops","evidence_type":"page_validated","source_span":"","fact_ids":["style_flip_flop"],"rationale":""}],"audience_intent":[{"value":"women","evidence_type":"explicit","source_span":"women","fact_ids":[],"rationale":""},{"value":"women","evidence_type":"page_validated","source_span":"","fact_ids":["title_womens_flip_flop"],"rationale":""}],"function_intent":[{"value":"comfort","evidence_type":"explicit","source_span":"comfortable","fact_ids":[],"rationale":""},{"value":"comfort","evidence_type":"page_validated","source_span":"","fact_ids":["arch_support","padded_cushioning"],"rationale":"该槽位与商品基准中的明示页面事实一致。"}],"capability_intent":[{"value":"waterproof","evidence_type":"explicit","source_span":"waterproof","fact_ids":[],"rationale":""}],"primary_domain":[{"value":"clothing_shoes_jewelry","evidence_type":"inferred","source_span":"","fact_ids":[],"rationale":"该值由搜索词整体语义推断，未作为页面明示属性。"}]}</x:v>
      </x:c>
      <x:c r="Y373" s="15" t="str">
        <x:v>waterproof_not_page_claimed</x:v>
      </x:c>
      <x:c r="Z373" s="10" t="str">
        <x:v>partial_match</x:v>
      </x:c>
      <x:c r="AA373" s="15" t="str">
        <x:v>title_womens_flip_flop | arch_support | padded_cushioning | soft_toe_post</x:v>
      </x:c>
      <x:c r="AB373" s="10" t="str">
        <x:v>accepted</x:v>
      </x:c>
      <x:c r="AC373" s="10" t="str">
        <x:v>1.0.0</x:v>
      </x:c>
      <x:c r="AD373" s="10" t="str">
        <x:v>1.0.0</x:v>
      </x:c>
      <x:c r="AE373" s="10" t="str">
        <x:v>deepseek/deepseek-v4-pro</x:v>
      </x:c>
      <x:c r="AF373" s="10" t="str">
        <x:v>aj2-y90-20260714T234810-0bea2f52</x:v>
      </x:c>
      <x:c r="AG373" s="10" t="str">
        <x:v>full-0019</x:v>
      </x:c>
      <x:c r="AH373" s="10" t="str">
        <x:v>full</x:v>
      </x:c>
      <x:c r="AI373" s="10" t="n">
        <x:v>19</x:v>
      </x:c>
    </x:row>
    <x:row r="374" ht="34" customHeight="1">
      <x:c r="A374" s="16" t="str">
        <x:v>white sandals</x:v>
      </x:c>
      <x:c r="B374" s="16" t="str">
        <x:v>white sandals</x:v>
      </x:c>
      <x:c r="C374" s="13" t="str">
        <x:v>89f612b94dd1dc46</x:v>
      </x:c>
      <x:c r="D374" s="13" t="str">
        <x:v>keyword</x:v>
      </x:c>
      <x:c r="E374" s="13" t="str">
        <x:v>en</x:v>
      </x:c>
      <x:c r="F374" s="13" t="str">
        <x:v>clothing_shoes_jewelry</x:v>
      </x:c>
      <x:c r="G374" s="16" t="str"/>
      <x:c r="H374" s="16" t="str">
        <x:v>sandals</x:v>
      </x:c>
      <x:c r="I374" s="16" t="str"/>
      <x:c r="J374" s="16" t="str"/>
      <x:c r="K374" s="16" t="str"/>
      <x:c r="L374" s="16" t="str"/>
      <x:c r="M374" s="16" t="str"/>
      <x:c r="N374" s="16" t="str"/>
      <x:c r="O374" s="16" t="str"/>
      <x:c r="P374" s="16" t="str"/>
      <x:c r="Q374" s="16" t="str"/>
      <x:c r="R374" s="16" t="str">
        <x:v>用户寻找白色凉鞋。</x:v>
      </x:c>
      <x:c r="S374" s="13" t="str">
        <x:v>exploration</x:v>
      </x:c>
      <x:c r="T374" s="16" t="str">
        <x:v>explicit | page_validated</x:v>
      </x:c>
      <x:c r="U374" s="13" t="str">
        <x:v>high</x:v>
      </x:c>
      <x:c r="V374" s="16" t="str">
        <x:v>white_sandals</x:v>
      </x:c>
      <x:c r="W374" s="16" t="str">
        <x:v>cluster_route</x:v>
      </x:c>
      <x:c r="X374" s="16" t="str">
        <x:v>{"product_type":[{"value":"sandals","evidence_type":"explicit","source_span":"sandals","fact_ids":[],"rationale":""},{"value":"sandals","evidence_type":"page_validated","source_span":"","fact_ids":["style_flip_flop"],"rationale":""}],"primary_domain":[{"value":"clothing_shoes_jewelry","evidence_type":"inferred","source_span":"","fact_ids":[],"rationale":"该值由搜索词整体语义推断，未作为页面明示属性。"}]}</x:v>
      </x:c>
      <x:c r="Y374" s="16" t="str"/>
      <x:c r="Z374" s="13" t="str">
        <x:v>match</x:v>
      </x:c>
      <x:c r="AA374" s="16" t="str">
        <x:v>colors_visible | style_flip_flop</x:v>
      </x:c>
      <x:c r="AB374" s="13" t="str">
        <x:v>accepted</x:v>
      </x:c>
      <x:c r="AC374" s="13" t="str">
        <x:v>1.0.0</x:v>
      </x:c>
      <x:c r="AD374" s="13" t="str">
        <x:v>1.0.0</x:v>
      </x:c>
      <x:c r="AE374" s="13" t="str">
        <x:v>deepseek/deepseek-v4-pro</x:v>
      </x:c>
      <x:c r="AF374" s="13" t="str">
        <x:v>aj2-y90-20260714T234810-0bea2f52</x:v>
      </x:c>
      <x:c r="AG374" s="13" t="str">
        <x:v>full-0019</x:v>
      </x:c>
      <x:c r="AH374" s="13" t="str">
        <x:v>full</x:v>
      </x:c>
      <x:c r="AI374" s="13" t="n">
        <x:v>19</x:v>
      </x:c>
    </x:row>
    <x:row r="375" ht="34" customHeight="1">
      <x:c r="A375" s="15" t="str">
        <x:v>women's shower shoes</x:v>
      </x:c>
      <x:c r="B375" s="15" t="str">
        <x:v>women's shower shoes</x:v>
      </x:c>
      <x:c r="C375" s="10" t="str">
        <x:v>95179e501512fb18</x:v>
      </x:c>
      <x:c r="D375" s="10" t="str">
        <x:v>keyword</x:v>
      </x:c>
      <x:c r="E375" s="10" t="str">
        <x:v>en</x:v>
      </x:c>
      <x:c r="F375" s="10" t="str">
        <x:v>clothing_shoes_jewelry</x:v>
      </x:c>
      <x:c r="G375" s="15" t="str"/>
      <x:c r="H375" s="15" t="str">
        <x:v>shower_shoes</x:v>
      </x:c>
      <x:c r="I375" s="15" t="str">
        <x:v>women</x:v>
      </x:c>
      <x:c r="J375" s="15" t="str"/>
      <x:c r="K375" s="15" t="str">
        <x:v>water_resistant</x:v>
      </x:c>
      <x:c r="L375" s="15" t="str"/>
      <x:c r="M375" s="15" t="str">
        <x:v>shower | bathroom</x:v>
      </x:c>
      <x:c r="N375" s="15" t="str"/>
      <x:c r="O375" s="15" t="str"/>
      <x:c r="P375" s="15" t="str"/>
      <x:c r="Q375" s="15" t="str"/>
      <x:c r="R375" s="15" t="str">
        <x:v>女性用户在淋浴或浴室环境寻找防滑鞋。</x:v>
      </x:c>
      <x:c r="S375" s="10" t="str">
        <x:v>consideration</x:v>
      </x:c>
      <x:c r="T375" s="15" t="str">
        <x:v>explicit | inferred</x:v>
      </x:c>
      <x:c r="U375" s="10" t="str">
        <x:v>medium</x:v>
      </x:c>
      <x:c r="V375" s="15" t="str">
        <x:v>womens_shower_shoes</x:v>
      </x:c>
      <x:c r="W375" s="15" t="str">
        <x:v>semantic_negative_candidate</x:v>
      </x:c>
      <x:c r="X375" s="15" t="str">
        <x:v>{"product_type":[{"value":"shower_shoes","evidence_type":"explicit","source_span":"shower shoes","fact_ids":[],"rationale":""}],"audience_intent":[{"value":"women","evidence_type":"explicit","source_span":"women's","fact_ids":[],"rationale":""},{"value":"women","evidence_type":"page_validated","source_span":"","fact_ids":["title_womens_flip_flop"],"rationale":"该槽位与商品基准中的明示页面事实一致。"}],"location_intent":[{"value":"shower","evidence_type":"explicit","source_span":"shower","fact_ids":[],"rationale":""},{"value":"bathroom","evidence_type":"inferred","source_span":"","fact_ids":[],"rationale":"该值由搜索词整体语义推断，未作为页面明示属性。"}],"capability_intent":[{"value":"water_resistant","evidence_type":"inferred","source_span":"","fact_ids":[],"rationale":"淋浴环境需要防水功能"}],"primary_domain":[{"value":"clothing_shoes_jewelry","evidence_type":"inferred","source_span":"","fact_ids":[],"rationale":"该值由搜索词整体语义推断，未作为页面明示属性。"}]}</x:v>
      </x:c>
      <x:c r="Y375" s="15" t="str"/>
      <x:c r="Z375" s="10" t="str">
        <x:v>mismatch</x:v>
      </x:c>
      <x:c r="AA375" s="15" t="str"/>
      <x:c r="AB375" s="10" t="str">
        <x:v>accepted</x:v>
      </x:c>
      <x:c r="AC375" s="10" t="str">
        <x:v>1.0.0</x:v>
      </x:c>
      <x:c r="AD375" s="10" t="str">
        <x:v>1.0.0</x:v>
      </x:c>
      <x:c r="AE375" s="10" t="str">
        <x:v>deepseek/deepseek-v4-pro</x:v>
      </x:c>
      <x:c r="AF375" s="10" t="str">
        <x:v>aj2-y90-20260714T234810-0bea2f52</x:v>
      </x:c>
      <x:c r="AG375" s="10" t="str">
        <x:v>full-0019</x:v>
      </x:c>
      <x:c r="AH375" s="10" t="str">
        <x:v>full</x:v>
      </x:c>
      <x:c r="AI375" s="10" t="n">
        <x:v>19</x:v>
      </x:c>
    </x:row>
    <x:row r="376" ht="34" customHeight="1">
      <x:c r="A376" s="16" t="str">
        <x:v>flipflops arch support</x:v>
      </x:c>
      <x:c r="B376" s="16" t="str">
        <x:v>flipflops arch support</x:v>
      </x:c>
      <x:c r="C376" s="13" t="str">
        <x:v>9db402bf0230b828</x:v>
      </x:c>
      <x:c r="D376" s="13" t="str">
        <x:v>keyword</x:v>
      </x:c>
      <x:c r="E376" s="13" t="str">
        <x:v>en</x:v>
      </x:c>
      <x:c r="F376" s="13" t="str">
        <x:v>clothing_shoes_jewelry</x:v>
      </x:c>
      <x:c r="G376" s="16" t="str"/>
      <x:c r="H376" s="16" t="str">
        <x:v>flip_flops</x:v>
      </x:c>
      <x:c r="I376" s="16" t="str"/>
      <x:c r="J376" s="16" t="str"/>
      <x:c r="K376" s="16" t="str">
        <x:v>arch_support</x:v>
      </x:c>
      <x:c r="L376" s="16" t="str"/>
      <x:c r="M376" s="16" t="str"/>
      <x:c r="N376" s="16" t="str">
        <x:v>arch_support</x:v>
      </x:c>
      <x:c r="O376" s="16" t="str"/>
      <x:c r="P376" s="16" t="str"/>
      <x:c r="Q376" s="16" t="str"/>
      <x:c r="R376" s="16" t="str">
        <x:v>用户寻找具有足弓支撑功能的夹脚拖鞋。</x:v>
      </x:c>
      <x:c r="S376" s="13" t="str">
        <x:v>high_intent</x:v>
      </x:c>
      <x:c r="T376" s="16" t="str">
        <x:v>explicit | page_validated | inferred</x:v>
      </x:c>
      <x:c r="U376" s="13" t="str">
        <x:v>high</x:v>
      </x:c>
      <x:c r="V376" s="16" t="str">
        <x:v>arch_support_flip_flops</x:v>
      </x:c>
      <x:c r="W376" s="16" t="str">
        <x:v>cluster_route</x:v>
      </x:c>
      <x:c r="X376" s="16" t="str">
        <x:v>{"product_type":[{"value":"flip_flops","evidence_type":"explicit","source_span":"flipflops","fact_ids":[],"rationale":""},{"value":"flip_flops","evidence_type":"page_validated","source_span":"","fact_ids":["style_flip_flop"],"rationale":""},{"value":"flip_flops","evidence_type":"inferred","source_span":"","fact_ids":[],"rationale":"该能力由搜索词表达的任务或问题推断；页面事实仅用于验证商品承接。"}],"capability_intent":[{"value":"arch_support","evidence_type":"explicit","source_span":"arch support","fact_ids":[],"rationale":""},{"value":"arch_support","evidence_type":"page_validated","source_span":"","fact_ids":["arch_support"],"rationale":""}],"primary_domain":[{"value":"clothing_shoes_jewelry","evidence_type":"inferred","source_span":"","fact_ids":[],"rationale":"该值由搜索词整体语义推断，未作为页面明示属性。"}]}</x:v>
      </x:c>
      <x:c r="Y376" s="16" t="str"/>
      <x:c r="Z376" s="13" t="str">
        <x:v>match</x:v>
      </x:c>
      <x:c r="AA376" s="16" t="str">
        <x:v>arch_support | style_flip_flop</x:v>
      </x:c>
      <x:c r="AB376" s="13" t="str">
        <x:v>accepted</x:v>
      </x:c>
      <x:c r="AC376" s="13" t="str">
        <x:v>1.0.0</x:v>
      </x:c>
      <x:c r="AD376" s="13" t="str">
        <x:v>1.0.0</x:v>
      </x:c>
      <x:c r="AE376" s="13" t="str">
        <x:v>deepseek/deepseek-v4-pro</x:v>
      </x:c>
      <x:c r="AF376" s="13" t="str">
        <x:v>aj2-y90-20260714T234810-0bea2f52</x:v>
      </x:c>
      <x:c r="AG376" s="13" t="str">
        <x:v>full-0019</x:v>
      </x:c>
      <x:c r="AH376" s="13" t="str">
        <x:v>full</x:v>
      </x:c>
      <x:c r="AI376" s="13" t="n">
        <x:v>19</x:v>
      </x:c>
    </x:row>
    <x:row r="377" ht="34" customHeight="1">
      <x:c r="A377" s="15" t="str">
        <x:v>woman sandals comfortable</x:v>
      </x:c>
      <x:c r="B377" s="15" t="str">
        <x:v>woman sandals comfortable</x:v>
      </x:c>
      <x:c r="C377" s="10" t="str">
        <x:v>b1c9d66cca6f3f37</x:v>
      </x:c>
      <x:c r="D377" s="10" t="str">
        <x:v>keyword</x:v>
      </x:c>
      <x:c r="E377" s="10" t="str">
        <x:v>en</x:v>
      </x:c>
      <x:c r="F377" s="10" t="str">
        <x:v>clothing_shoes_jewelry</x:v>
      </x:c>
      <x:c r="G377" s="15" t="str"/>
      <x:c r="H377" s="15" t="str">
        <x:v>sandals</x:v>
      </x:c>
      <x:c r="I377" s="15" t="str">
        <x:v>women</x:v>
      </x:c>
      <x:c r="J377" s="15" t="str">
        <x:v>comfort</x:v>
      </x:c>
      <x:c r="K377" s="15" t="str"/>
      <x:c r="L377" s="15" t="str"/>
      <x:c r="M377" s="15" t="str"/>
      <x:c r="N377" s="15" t="str"/>
      <x:c r="O377" s="15" t="str"/>
      <x:c r="P377" s="15" t="str"/>
      <x:c r="Q377" s="15" t="str"/>
      <x:c r="R377" s="15" t="str">
        <x:v>女性用户寻找舒适的凉鞋。</x:v>
      </x:c>
      <x:c r="S377" s="10" t="str">
        <x:v>exploration</x:v>
      </x:c>
      <x:c r="T377" s="15" t="str">
        <x:v>explicit | page_validated</x:v>
      </x:c>
      <x:c r="U377" s="10" t="str">
        <x:v>high</x:v>
      </x:c>
      <x:c r="V377" s="15" t="str">
        <x:v>womens_comfortable_sandals</x:v>
      </x:c>
      <x:c r="W377" s="15" t="str">
        <x:v>cluster_route</x:v>
      </x:c>
      <x:c r="X377" s="15" t="str">
        <x:v>{"product_type":[{"value":"sandals","evidence_type":"explicit","source_span":"sandals","fact_ids":[],"rationale":""},{"value":"sandals","evidence_type":"page_validated","source_span":"","fact_ids":["style_flip_flop"],"rationale":""}],"audience_intent":[{"value":"women","evidence_type":"explicit","source_span":"woman","fact_ids":[],"rationale":""},{"value":"women","evidence_type":"page_validated","source_span":"","fact_ids":["title_womens_flip_flop"],"rationale":""},{"value":"women","evidence_type":"inferred","source_span":"","fact_ids":[],"rationale":"该能力由搜索词表达的任务或问题推断；页面事实仅用于验证商品承接。"}],"function_intent":[{"value":"comfort","evidence_type":"explicit","source_span":"comfortable","fact_ids":[],"rationale":""},{"value":"comfort","evidence_type":"page_validated","source_span":"","fact_ids":["arch_support","padded_cushioning"],"rationale":"该槽位与商品基准中的明示页面事实一致。"}],"primary_domain":[{"value":"clothing_shoes_jewelry","evidence_type":"inferred","source_span":"","fact_ids":[],"rationale":"该值由搜索词整体语义推断，未作为页面明示属性。"}]}</x:v>
      </x:c>
      <x:c r="Y377" s="15" t="str"/>
      <x:c r="Z377" s="10" t="str">
        <x:v>match</x:v>
      </x:c>
      <x:c r="AA377" s="15" t="str">
        <x:v>title_womens_flip_flop | arch_support | padded_cushioning | soft_toe_post</x:v>
      </x:c>
      <x:c r="AB377" s="10" t="str">
        <x:v>accepted</x:v>
      </x:c>
      <x:c r="AC377" s="10" t="str">
        <x:v>1.0.0</x:v>
      </x:c>
      <x:c r="AD377" s="10" t="str">
        <x:v>1.0.0</x:v>
      </x:c>
      <x:c r="AE377" s="10" t="str">
        <x:v>deepseek/deepseek-v4-pro</x:v>
      </x:c>
      <x:c r="AF377" s="10" t="str">
        <x:v>aj2-y90-20260714T234810-0bea2f52</x:v>
      </x:c>
      <x:c r="AG377" s="10" t="str">
        <x:v>full-0019</x:v>
      </x:c>
      <x:c r="AH377" s="10" t="str">
        <x:v>full</x:v>
      </x:c>
      <x:c r="AI377" s="10" t="n">
        <x:v>19</x:v>
      </x:c>
    </x:row>
    <x:row r="378" ht="34" customHeight="1">
      <x:c r="A378" s="16" t="str">
        <x:v>non-slip rubber flip flops for women</x:v>
      </x:c>
      <x:c r="B378" s="16" t="str">
        <x:v>non-slip rubber flip flops for women</x:v>
      </x:c>
      <x:c r="C378" s="13" t="str">
        <x:v>b8a3bdb63d33f3bc</x:v>
      </x:c>
      <x:c r="D378" s="13" t="str">
        <x:v>keyword</x:v>
      </x:c>
      <x:c r="E378" s="13" t="str">
        <x:v>en</x:v>
      </x:c>
      <x:c r="F378" s="13" t="str">
        <x:v>clothing_shoes_jewelry</x:v>
      </x:c>
      <x:c r="G378" s="16" t="str"/>
      <x:c r="H378" s="16" t="str">
        <x:v>flip_flops</x:v>
      </x:c>
      <x:c r="I378" s="16" t="str">
        <x:v>women</x:v>
      </x:c>
      <x:c r="J378" s="16" t="str"/>
      <x:c r="K378" s="16" t="str">
        <x:v>non_slip</x:v>
      </x:c>
      <x:c r="L378" s="16" t="str"/>
      <x:c r="M378" s="16" t="str"/>
      <x:c r="N378" s="16" t="str"/>
      <x:c r="O378" s="16" t="str"/>
      <x:c r="P378" s="16" t="str"/>
      <x:c r="Q378" s="16" t="str"/>
      <x:c r="R378" s="16" t="str">
        <x:v>女性用户寻找防滑且橡胶材质的夹脚拖鞋。</x:v>
      </x:c>
      <x:c r="S378" s="13" t="str">
        <x:v>consideration</x:v>
      </x:c>
      <x:c r="T378" s="16" t="str">
        <x:v>explicit | page_validated</x:v>
      </x:c>
      <x:c r="U378" s="13" t="str">
        <x:v>medium</x:v>
      </x:c>
      <x:c r="V378" s="16" t="str">
        <x:v>nonslip_rubber_flip_flops_women</x:v>
      </x:c>
      <x:c r="W378" s="16" t="str">
        <x:v>listing_gap_review</x:v>
      </x:c>
      <x:c r="X378" s="16" t="str">
        <x:v>{"product_type":[{"value":"flip_flops","evidence_type":"explicit","source_span":"flip flops","fact_ids":[],"rationale":""},{"value":"flip_flops","evidence_type":"page_validated","source_span":"","fact_ids":["style_flip_flop"],"rationale":""}],"audience_intent":[{"value":"women","evidence_type":"explicit","source_span":"women","fact_ids":[],"rationale":""},{"value":"women","evidence_type":"page_validated","source_span":"","fact_ids":["title_womens_flip_flop"],"rationale":""}],"capability_intent":[{"value":"non_slip","evidence_type":"explicit","source_span":"non-slip","fact_ids":[],"rationale":""},{"value":"non_slip","evidence_type":"page_validated","source_span":"","fact_ids":["slip_resistant_grip"],"rationale":""}],"primary_domain":[{"value":"clothing_shoes_jewelry","evidence_type":"inferred","source_span":"","fact_ids":[],"rationale":"该值由搜索词整体语义推断，未作为页面明示属性。"}]}</x:v>
      </x:c>
      <x:c r="Y378" s="16" t="str">
        <x:v>material_mismatch_rubber_vs_eva</x:v>
      </x:c>
      <x:c r="Z378" s="13" t="str">
        <x:v>partial_match</x:v>
      </x:c>
      <x:c r="AA378" s="16" t="str">
        <x:v>slip_resistant_grip | title_womens_flip_flop</x:v>
      </x:c>
      <x:c r="AB378" s="13" t="str">
        <x:v>accepted</x:v>
      </x:c>
      <x:c r="AC378" s="13" t="str">
        <x:v>1.0.0</x:v>
      </x:c>
      <x:c r="AD378" s="13" t="str">
        <x:v>1.0.0</x:v>
      </x:c>
      <x:c r="AE378" s="13" t="str">
        <x:v>deepseek/deepseek-v4-pro</x:v>
      </x:c>
      <x:c r="AF378" s="13" t="str">
        <x:v>aj2-y90-20260714T234810-0bea2f52</x:v>
      </x:c>
      <x:c r="AG378" s="13" t="str">
        <x:v>full-0019</x:v>
      </x:c>
      <x:c r="AH378" s="13" t="str">
        <x:v>full</x:v>
      </x:c>
      <x:c r="AI378" s="13" t="n">
        <x:v>19</x:v>
      </x:c>
    </x:row>
    <x:row r="379" ht="34" customHeight="1">
      <x:c r="A379" s="15" t="str">
        <x:v>athletic flip flops for women</x:v>
      </x:c>
      <x:c r="B379" s="15" t="str">
        <x:v>athletic flip flops for women</x:v>
      </x:c>
      <x:c r="C379" s="10" t="str">
        <x:v>ec482a936e5dbe2d</x:v>
      </x:c>
      <x:c r="D379" s="10" t="str">
        <x:v>keyword</x:v>
      </x:c>
      <x:c r="E379" s="10" t="str">
        <x:v>en</x:v>
      </x:c>
      <x:c r="F379" s="10" t="str">
        <x:v>clothing_shoes_jewelry</x:v>
      </x:c>
      <x:c r="G379" s="15" t="str">
        <x:v>sports_outdoors</x:v>
      </x:c>
      <x:c r="H379" s="15" t="str">
        <x:v>flip_flops</x:v>
      </x:c>
      <x:c r="I379" s="15" t="str">
        <x:v>women</x:v>
      </x:c>
      <x:c r="J379" s="15" t="str">
        <x:v>athletic</x:v>
      </x:c>
      <x:c r="K379" s="15" t="str"/>
      <x:c r="L379" s="15" t="str"/>
      <x:c r="M379" s="15" t="str"/>
      <x:c r="N379" s="15" t="str"/>
      <x:c r="O379" s="15" t="str"/>
      <x:c r="P379" s="15" t="str"/>
      <x:c r="Q379" s="15" t="str"/>
      <x:c r="R379" s="15" t="str">
        <x:v>女性用户寻找适合运动或户外活动的夹脚拖鞋。</x:v>
      </x:c>
      <x:c r="S379" s="10" t="str">
        <x:v>consideration</x:v>
      </x:c>
      <x:c r="T379" s="15" t="str">
        <x:v>explicit | page_validated | inferred</x:v>
      </x:c>
      <x:c r="U379" s="10" t="str">
        <x:v>medium</x:v>
      </x:c>
      <x:c r="V379" s="15" t="str">
        <x:v>athletic_flip_flops_women</x:v>
      </x:c>
      <x:c r="W379" s="15" t="str">
        <x:v>performance_observation</x:v>
      </x:c>
      <x:c r="X379" s="15" t="str">
        <x:v>{"product_type":[{"value":"flip_flops","evidence_type":"explicit","source_span":"flip flops","fact_ids":[],"rationale":""},{"value":"flip_flops","evidence_type":"page_validated","source_span":"","fact_ids":["title_womens_flip_flop","style_flip_flop"],"rationale":""}],"audience_intent":[{"value":"women","evidence_type":"explicit","source_span":"women","fact_ids":[],"rationale":""},{"value":"women","evidence_type":"page_validated","source_span":"","fact_ids":["title_womens_flip_flop"],"rationale":"该槽位与商品基准中的明示页面事实一致。"}],"function_intent":[{"value":"athletic","evidence_type":"explicit","source_span":"athletic","fact_ids":[],"rationale":""}],"secondary_domain":[{"value":"sports_outdoors","evidence_type":"inferred","source_span":"","fact_ids":[],"rationale":"运动需求暗示运动户外场景"}],"primary_domain":[{"value":"clothing_shoes_jewelry","evidence_type":"inferred","source_span":"","fact_ids":[],"rationale":"该值由搜索词整体语义推断，未作为页面明示属性。"}]}</x:v>
      </x:c>
      <x:c r="Y379" s="15" t="str"/>
      <x:c r="Z379" s="10" t="str">
        <x:v>partial_match</x:v>
      </x:c>
      <x:c r="AA379" s="15" t="str">
        <x:v>title_womens_flip_flop | slip_resistant_grip | style_outdoor | lightweight_breathable</x:v>
      </x:c>
      <x:c r="AB379" s="10" t="str">
        <x:v>accepted</x:v>
      </x:c>
      <x:c r="AC379" s="10" t="str">
        <x:v>1.0.0</x:v>
      </x:c>
      <x:c r="AD379" s="10" t="str">
        <x:v>1.0.0</x:v>
      </x:c>
      <x:c r="AE379" s="10" t="str">
        <x:v>deepseek/deepseek-v4-pro</x:v>
      </x:c>
      <x:c r="AF379" s="10" t="str">
        <x:v>aj2-y90-20260714T234810-0bea2f52</x:v>
      </x:c>
      <x:c r="AG379" s="10" t="str">
        <x:v>full-0019</x:v>
      </x:c>
      <x:c r="AH379" s="10" t="str">
        <x:v>full</x:v>
      </x:c>
      <x:c r="AI379" s="10" t="n">
        <x:v>19</x:v>
      </x:c>
    </x:row>
    <x:row r="380" ht="34" customHeight="1">
      <x:c r="A380" s="16" t="str">
        <x:v>flip flops for women comfortable</x:v>
      </x:c>
      <x:c r="B380" s="16" t="str">
        <x:v>flip flops for women comfortable</x:v>
      </x:c>
      <x:c r="C380" s="13" t="str">
        <x:v>eecec66e0202aad3</x:v>
      </x:c>
      <x:c r="D380" s="13" t="str">
        <x:v>keyword</x:v>
      </x:c>
      <x:c r="E380" s="13" t="str">
        <x:v>en</x:v>
      </x:c>
      <x:c r="F380" s="13" t="str">
        <x:v>clothing_shoes_jewelry</x:v>
      </x:c>
      <x:c r="G380" s="16" t="str"/>
      <x:c r="H380" s="16" t="str">
        <x:v>flip_flops</x:v>
      </x:c>
      <x:c r="I380" s="16" t="str">
        <x:v>women</x:v>
      </x:c>
      <x:c r="J380" s="16" t="str">
        <x:v>comfort</x:v>
      </x:c>
      <x:c r="K380" s="16" t="str"/>
      <x:c r="L380" s="16" t="str"/>
      <x:c r="M380" s="16" t="str"/>
      <x:c r="N380" s="16" t="str"/>
      <x:c r="O380" s="16" t="str"/>
      <x:c r="P380" s="16" t="str"/>
      <x:c r="Q380" s="16" t="str"/>
      <x:c r="R380" s="16" t="str">
        <x:v>女性用户寻找舒适的夹脚拖鞋。</x:v>
      </x:c>
      <x:c r="S380" s="13" t="str">
        <x:v>exploration</x:v>
      </x:c>
      <x:c r="T380" s="16" t="str">
        <x:v>explicit | page_validated</x:v>
      </x:c>
      <x:c r="U380" s="13" t="str">
        <x:v>high</x:v>
      </x:c>
      <x:c r="V380" s="16" t="str">
        <x:v>womens_comfortable_flip_flops</x:v>
      </x:c>
      <x:c r="W380" s="16" t="str">
        <x:v>cluster_route</x:v>
      </x:c>
      <x:c r="X380" s="16" t="str">
        <x:v>{"product_type":[{"value":"flip_flops","evidence_type":"explicit","source_span":"flip flops","fact_ids":[],"rationale":""},{"value":"flip_flops","evidence_type":"page_validated","source_span":"","fact_ids":["style_flip_flop"],"rationale":""}],"audience_intent":[{"value":"women","evidence_type":"explicit","source_span":"women","fact_ids":[],"rationale":""},{"value":"women","evidence_type":"page_validated","source_span":"","fact_ids":["title_womens_flip_flop"],"rationale":""}],"function_intent":[{"value":"comfort","evidence_type":"explicit","source_span":"comfortable","fact_ids":[],"rationale":""},{"value":"comfort","evidence_type":"page_validated","source_span":"","fact_ids":["arch_support","padded_cushioning"],"rationale":"该槽位与商品基准中的明示页面事实一致。"}],"primary_domain":[{"value":"clothing_shoes_jewelry","evidence_type":"inferred","source_span":"","fact_ids":[],"rationale":"该值由搜索词整体语义推断，未作为页面明示属性。"}]}</x:v>
      </x:c>
      <x:c r="Y380" s="16" t="str"/>
      <x:c r="Z380" s="13" t="str">
        <x:v>match</x:v>
      </x:c>
      <x:c r="AA380" s="16" t="str">
        <x:v>title_womens_flip_flop | arch_support | padded_cushioning | soft_toe_post | style_flip_flop</x:v>
      </x:c>
      <x:c r="AB380" s="13" t="str">
        <x:v>accepted</x:v>
      </x:c>
      <x:c r="AC380" s="13" t="str">
        <x:v>1.0.0</x:v>
      </x:c>
      <x:c r="AD380" s="13" t="str">
        <x:v>1.0.0</x:v>
      </x:c>
      <x:c r="AE380" s="13" t="str">
        <x:v>deepseek/deepseek-v4-pro</x:v>
      </x:c>
      <x:c r="AF380" s="13" t="str">
        <x:v>aj2-y90-20260714T234810-0bea2f52</x:v>
      </x:c>
      <x:c r="AG380" s="13" t="str">
        <x:v>full-0019</x:v>
      </x:c>
      <x:c r="AH380" s="13" t="str">
        <x:v>full</x:v>
      </x:c>
      <x:c r="AI380" s="13" t="n">
        <x:v>19</x:v>
      </x:c>
    </x:row>
    <x:row r="381" ht="34" customHeight="1">
      <x:c r="A381" s="15" t="str">
        <x:v>womens</x:v>
      </x:c>
      <x:c r="B381" s="15" t="str">
        <x:v>womens</x:v>
      </x:c>
      <x:c r="C381" s="10" t="str">
        <x:v>f87b74e3b0a5cf01</x:v>
      </x:c>
      <x:c r="D381" s="10" t="str">
        <x:v>keyword</x:v>
      </x:c>
      <x:c r="E381" s="10" t="str">
        <x:v>en</x:v>
      </x:c>
      <x:c r="F381" s="10" t="str">
        <x:v>clothing_shoes_jewelry</x:v>
      </x:c>
      <x:c r="G381" s="15" t="str"/>
      <x:c r="H381" s="15" t="str"/>
      <x:c r="I381" s="15" t="str">
        <x:v>women</x:v>
      </x:c>
      <x:c r="J381" s="15" t="str"/>
      <x:c r="K381" s="15" t="str"/>
      <x:c r="L381" s="15" t="str"/>
      <x:c r="M381" s="15" t="str"/>
      <x:c r="N381" s="15" t="str"/>
      <x:c r="O381" s="15" t="str"/>
      <x:c r="P381" s="15" t="str"/>
      <x:c r="Q381" s="15" t="str"/>
      <x:c r="R381" s="15" t="str">
        <x:v>女性用户浏览女性商品，具体品类不明确。</x:v>
      </x:c>
      <x:c r="S381" s="10" t="str">
        <x:v>unknown</x:v>
      </x:c>
      <x:c r="T381" s="15" t="str">
        <x:v>explicit</x:v>
      </x:c>
      <x:c r="U381" s="10" t="str">
        <x:v>low</x:v>
      </x:c>
      <x:c r="V381" s="15" t="str">
        <x:v>unclassified</x:v>
      </x:c>
      <x:c r="W381" s="15" t="str">
        <x:v>ambiguity_review</x:v>
      </x:c>
      <x:c r="X381" s="15" t="str">
        <x:v>{"audience_intent":[{"value":"women","evidence_type":"explicit","source_span":"womens","fact_ids":[],"rationale":""},{"value":"women","evidence_type":"page_validated","source_span":"","fact_ids":["title_womens_flip_flop"],"rationale":"该槽位与商品基准中的明示页面事实一致。"}],"primary_domain":[{"value":"clothing_shoes_jewelry","evidence_type":"inferred","source_span":"","fact_ids":[],"rationale":"该值由搜索词整体语义推断，未作为页面明示属性。"}]}</x:v>
      </x:c>
      <x:c r="Y381" s="15" t="str">
        <x:v>query_too_broad</x:v>
      </x:c>
      <x:c r="Z381" s="10" t="str">
        <x:v>unknown</x:v>
      </x:c>
      <x:c r="AA381" s="15" t="str"/>
      <x:c r="AB381" s="10" t="str">
        <x:v>accepted</x:v>
      </x:c>
      <x:c r="AC381" s="10" t="str">
        <x:v>1.0.0</x:v>
      </x:c>
      <x:c r="AD381" s="10" t="str">
        <x:v>1.0.0</x:v>
      </x:c>
      <x:c r="AE381" s="10" t="str">
        <x:v>deepseek/deepseek-v4-pro</x:v>
      </x:c>
      <x:c r="AF381" s="10" t="str">
        <x:v>aj2-y90-20260714T234810-0bea2f52</x:v>
      </x:c>
      <x:c r="AG381" s="10" t="str">
        <x:v>full-0019</x:v>
      </x:c>
      <x:c r="AH381" s="10" t="str">
        <x:v>full</x:v>
      </x:c>
      <x:c r="AI381" s="10" t="n">
        <x:v>19</x:v>
      </x:c>
    </x:row>
    <x:row r="382" ht="34" customHeight="1">
      <x:c r="A382" s="16" t="str">
        <x:v>women flip flops size 9 textured insoles</x:v>
      </x:c>
      <x:c r="B382" s="16" t="str">
        <x:v>women flip flops size 9 textured insoles</x:v>
      </x:c>
      <x:c r="C382" s="13" t="str">
        <x:v>0464ee82bf09197e</x:v>
      </x:c>
      <x:c r="D382" s="13" t="str">
        <x:v>keyword</x:v>
      </x:c>
      <x:c r="E382" s="13" t="str">
        <x:v>en</x:v>
      </x:c>
      <x:c r="F382" s="13" t="str">
        <x:v>clothing_shoes_jewelry</x:v>
      </x:c>
      <x:c r="G382" s="16" t="str"/>
      <x:c r="H382" s="16" t="str">
        <x:v>flip_flops</x:v>
      </x:c>
      <x:c r="I382" s="16" t="str">
        <x:v>womens</x:v>
      </x:c>
      <x:c r="J382" s="16" t="str"/>
      <x:c r="K382" s="16" t="str">
        <x:v>textured_footbed</x:v>
      </x:c>
      <x:c r="L382" s="16" t="str"/>
      <x:c r="M382" s="16" t="str"/>
      <x:c r="N382" s="16" t="str"/>
      <x:c r="O382" s="16" t="str"/>
      <x:c r="P382" s="16" t="str"/>
      <x:c r="Q382" s="16" t="str"/>
      <x:c r="R382" s="16" t="str">
        <x:v>用户想找9码有纹理鞋垫的女士人字拖鞋。</x:v>
      </x:c>
      <x:c r="S382" s="13" t="str">
        <x:v>high_intent</x:v>
      </x:c>
      <x:c r="T382" s="16" t="str">
        <x:v>explicit | page_validated | inferred</x:v>
      </x:c>
      <x:c r="U382" s="13" t="str">
        <x:v>medium</x:v>
      </x:c>
      <x:c r="V382" s="16" t="str">
        <x:v>womens_flip_flops_size9_textured</x:v>
      </x:c>
      <x:c r="W382" s="16" t="str">
        <x:v>listing_gap_review</x:v>
      </x:c>
      <x:c r="X382" s="16" t="str">
        <x:v>{"product_type":[{"value":"flip_flops","evidence_type":"explicit","source_span":"flip flops","fact_ids":[],"rationale":"搜索词明确指定人字拖"},{"value":"flip_flops","evidence_type":"page_validated","source_span":"","fact_ids":["style_flip_flop"],"rationale":"该槽位与商品基准中的明示页面事实一致。"}],"audience_intent":[{"value":"womens","evidence_type":"explicit","source_span":"women","fact_ids":[],"rationale":"搜索词明确指定女士"},{"value":"womens","evidence_type":"page_validated","source_span":"","fact_ids":["title_womens_flip_flop"],"rationale":"该槽位与商品基准中的明示页面事实一致。"},{"value":"womens","evidence_type":"inferred","source_span":"","fact_ids":[],"rationale":"该能力由搜索词表达的任务或问题推断；页面事实仅用于验证商品承接。"}],"capability_intent":[{"value":"textured_footbed","evidence_type":"explicit","source_span":"textured insoles","fact_ids":["slip_resistant_grip"],"rationale":"搜索词要求纹理鞋垫，产品有纹理外底但非鞋垫"}],"primary_domain":[{"value":"clothing_shoes_jewelry","evidence_type":"inferred","source_span":"","fact_ids":[],"rationale":"该值由搜索词整体语义推断，未作为页面明示属性。"}]}</x:v>
      </x:c>
      <x:c r="Y382" s="16" t="str">
        <x:v>insole_vs_outsole_texture</x:v>
      </x:c>
      <x:c r="Z382" s="13" t="str">
        <x:v>partial_match</x:v>
      </x:c>
      <x:c r="AA382" s="16" t="str">
        <x:v>title_womens_flip_flop | style_flip_flop | sizes_6_11 | slip_resistant_grip | padded_cushioning</x:v>
      </x:c>
      <x:c r="AB382" s="13" t="str">
        <x:v>accepted</x:v>
      </x:c>
      <x:c r="AC382" s="13" t="str">
        <x:v>1.0.0</x:v>
      </x:c>
      <x:c r="AD382" s="13" t="str">
        <x:v>1.1.0</x:v>
      </x:c>
      <x:c r="AE382" s="13" t="str">
        <x:v>deepseek/deepseek-v4-pro</x:v>
      </x:c>
      <x:c r="AF382" s="13" t="str">
        <x:v>aj2-y90-20260714T234810-0bea2f52</x:v>
      </x:c>
      <x:c r="AG382" s="13" t="str">
        <x:v>full-0020</x:v>
      </x:c>
      <x:c r="AH382" s="13" t="str">
        <x:v>full</x:v>
      </x:c>
      <x:c r="AI382" s="13" t="n">
        <x:v>20</x:v>
      </x:c>
    </x:row>
    <x:row r="383" ht="34" customHeight="1">
      <x:c r="A383" s="15" t="str">
        <x:v>black flexible arch support flip flops</x:v>
      </x:c>
      <x:c r="B383" s="15" t="str">
        <x:v>black flexible arch support flip flops</x:v>
      </x:c>
      <x:c r="C383" s="10" t="str">
        <x:v>0dd6cca1c2d41844</x:v>
      </x:c>
      <x:c r="D383" s="10" t="str">
        <x:v>keyword</x:v>
      </x:c>
      <x:c r="E383" s="10" t="str">
        <x:v>en</x:v>
      </x:c>
      <x:c r="F383" s="10" t="str">
        <x:v>clothing_shoes_jewelry</x:v>
      </x:c>
      <x:c r="G383" s="15" t="str"/>
      <x:c r="H383" s="15" t="str">
        <x:v>flip_flops</x:v>
      </x:c>
      <x:c r="I383" s="15" t="str"/>
      <x:c r="J383" s="15" t="str"/>
      <x:c r="K383" s="15" t="str">
        <x:v>flexible | arch_support</x:v>
      </x:c>
      <x:c r="L383" s="15" t="str"/>
      <x:c r="M383" s="15" t="str"/>
      <x:c r="N383" s="15" t="str"/>
      <x:c r="O383" s="15" t="str"/>
      <x:c r="P383" s="15" t="str"/>
      <x:c r="Q383" s="15" t="str"/>
      <x:c r="R383" s="15" t="str">
        <x:v>用户想找黑色柔软有足弓支撑的人字拖鞋。</x:v>
      </x:c>
      <x:c r="S383" s="10" t="str">
        <x:v>high_intent</x:v>
      </x:c>
      <x:c r="T383" s="15" t="str">
        <x:v>explicit | page_validated | inferred</x:v>
      </x:c>
      <x:c r="U383" s="10" t="str">
        <x:v>high</x:v>
      </x:c>
      <x:c r="V383" s="15" t="str">
        <x:v>black_flexible_arch_support_flip_flops</x:v>
      </x:c>
      <x:c r="W383" s="15" t="str">
        <x:v>cluster_route</x:v>
      </x:c>
      <x:c r="X383" s="15" t="str">
        <x:v>{"product_type":[{"value":"flip_flops","evidence_type":"explicit","source_span":"flip flops","fact_ids":[],"rationale":"搜索词明确指定人字拖"},{"value":"flip_flops","evidence_type":"page_validated","source_span":"","fact_ids":["style_flip_flop"],"rationale":"该槽位与商品基准中的明示页面事实一致。"}],"capability_intent":[{"value":"flexible","evidence_type":"explicit","source_span":"flexible","fact_ids":["material_eva"],"rationale":"搜索词明确要求柔软灵活"},{"value":"arch_support","evidence_type":"explicit","source_span":"arch support","fact_ids":["arch_support"],"rationale":"搜索词明确要求足弓支撑"},{"value":"arch_support","evidence_type":"page_validated","source_span":"","fact_ids":["arch_support"],"rationale":"该槽位与商品基准中的明示页面事实一致。"}],"primary_domain":[{"value":"clothing_shoes_jewelry","evidence_type":"inferred","source_span":"","fact_ids":[],"rationale":"该值由搜索词整体语义推断，未作为页面明示属性。"}]}</x:v>
      </x:c>
      <x:c r="Y383" s="15" t="str"/>
      <x:c r="Z383" s="10" t="str">
        <x:v>match</x:v>
      </x:c>
      <x:c r="AA383" s="15" t="str">
        <x:v>style_flip_flop | arch_support | material_eva | colors_visible</x:v>
      </x:c>
      <x:c r="AB383" s="10" t="str">
        <x:v>accepted</x:v>
      </x:c>
      <x:c r="AC383" s="10" t="str">
        <x:v>1.0.0</x:v>
      </x:c>
      <x:c r="AD383" s="10" t="str">
        <x:v>1.1.0</x:v>
      </x:c>
      <x:c r="AE383" s="10" t="str">
        <x:v>deepseek/deepseek-v4-pro</x:v>
      </x:c>
      <x:c r="AF383" s="10" t="str">
        <x:v>aj2-y90-20260714T234810-0bea2f52</x:v>
      </x:c>
      <x:c r="AG383" s="10" t="str">
        <x:v>full-0020</x:v>
      </x:c>
      <x:c r="AH383" s="10" t="str">
        <x:v>full</x:v>
      </x:c>
      <x:c r="AI383" s="10" t="n">
        <x:v>20</x:v>
      </x:c>
    </x:row>
    <x:row r="384" ht="34" customHeight="1">
      <x:c r="A384" s="16" t="str">
        <x:v>poolside arch support sandals</x:v>
      </x:c>
      <x:c r="B384" s="16" t="str">
        <x:v>poolside arch support sandals</x:v>
      </x:c>
      <x:c r="C384" s="13" t="str">
        <x:v>120c8d4fe541c93b</x:v>
      </x:c>
      <x:c r="D384" s="13" t="str">
        <x:v>keyword</x:v>
      </x:c>
      <x:c r="E384" s="13" t="str">
        <x:v>en</x:v>
      </x:c>
      <x:c r="F384" s="13" t="str">
        <x:v>clothing_shoes_jewelry</x:v>
      </x:c>
      <x:c r="G384" s="16" t="str">
        <x:v>sports_outdoors</x:v>
      </x:c>
      <x:c r="H384" s="16" t="str">
        <x:v>sandals</x:v>
      </x:c>
      <x:c r="I384" s="16" t="str"/>
      <x:c r="J384" s="16" t="str"/>
      <x:c r="K384" s="16" t="str">
        <x:v>arch_support</x:v>
      </x:c>
      <x:c r="L384" s="16" t="str">
        <x:v>pool_leisure</x:v>
      </x:c>
      <x:c r="M384" s="16" t="str">
        <x:v>poolside</x:v>
      </x:c>
      <x:c r="N384" s="16" t="str"/>
      <x:c r="O384" s="16" t="str"/>
      <x:c r="P384" s="16" t="str"/>
      <x:c r="Q384" s="16" t="str"/>
      <x:c r="R384" s="16" t="str">
        <x:v>用户想找适合泳池边穿的足弓支撑凉鞋，未指定穿着者性别。</x:v>
      </x:c>
      <x:c r="S384" s="13" t="str">
        <x:v>exploration</x:v>
      </x:c>
      <x:c r="T384" s="16" t="str">
        <x:v>explicit | page_validated | inferred</x:v>
      </x:c>
      <x:c r="U384" s="13" t="str">
        <x:v>medium</x:v>
      </x:c>
      <x:c r="V384" s="16" t="str">
        <x:v>poolside_arch_support_sandals</x:v>
      </x:c>
      <x:c r="W384" s="16" t="str">
        <x:v>listing_gap_review</x:v>
      </x:c>
      <x:c r="X384" s="16" t="str">
        <x:v>{"product_type":[{"value":"sandals","evidence_type":"explicit","source_span":"sandals","fact_ids":[],"rationale":"搜索词明确指定凉鞋"},{"value":"sandals","evidence_type":"page_validated","source_span":"","fact_ids":["title_womens_flip_flop"],"rationale":"该槽位与商品基准中的明示页面事实一致。"}],"capability_intent":[{"value":"arch_support","evidence_type":"explicit","source_span":"arch support","fact_ids":["arch_support"],"rationale":"搜索词明确要求足弓支撑"},{"value":"arch_support","evidence_type":"page_validated","source_span":"","fact_ids":["arch_support"],"rationale":"该槽位与商品基准中的明示页面事实一致。"}],"location_intent":[{"value":"poolside","evidence_type":"explicit","source_span":"poolside","fact_ids":[],"rationale":"搜索词明确指定泳池边"}],"event_intent":[{"value":"pool_leisure","evidence_type":"inferred","source_span":"poolside","fact_ids":[],"rationale":"泳池边关联休闲活动场景"}],"secondary_domain":[{"value":"sports_outdoors","evidence_type":"inferred","source_span":"","fact_ids":[],"rationale":"该值由搜索词整体语义推断，未作为页面明示属性。"}],"primary_domain":[{"value":"clothing_shoes_jewelry","evidence_type":"inferred","source_span":"","fact_ids":[],"rationale":"该值由搜索词整体语义推断，未作为页面明示属性。"}]}</x:v>
      </x:c>
      <x:c r="Y384" s="16" t="str">
        <x:v>audience_unspecified</x:v>
      </x:c>
      <x:c r="Z384" s="13" t="str">
        <x:v>partial_match</x:v>
      </x:c>
      <x:c r="AA384" s="16" t="str">
        <x:v>arch_support</x:v>
      </x:c>
      <x:c r="AB384" s="13" t="str">
        <x:v>accepted</x:v>
      </x:c>
      <x:c r="AC384" s="13" t="str">
        <x:v>1.0.0</x:v>
      </x:c>
      <x:c r="AD384" s="13" t="str">
        <x:v>1.1.0</x:v>
      </x:c>
      <x:c r="AE384" s="13" t="str">
        <x:v>deepseek/deepseek-v4-pro</x:v>
      </x:c>
      <x:c r="AF384" s="13" t="str">
        <x:v>aj2-y90-20260714T234810-0bea2f52</x:v>
      </x:c>
      <x:c r="AG384" s="13" t="str">
        <x:v>full-0020</x:v>
      </x:c>
      <x:c r="AH384" s="13" t="str">
        <x:v>full</x:v>
      </x:c>
      <x:c r="AI384" s="13" t="n">
        <x:v>20</x:v>
      </x:c>
    </x:row>
    <x:row r="385" ht="34" customHeight="1">
      <x:c r="A385" s="15" t="str">
        <x:v>womens sandals for a pool</x:v>
      </x:c>
      <x:c r="B385" s="15" t="str">
        <x:v>womens sandals for a pool</x:v>
      </x:c>
      <x:c r="C385" s="10" t="str">
        <x:v>12f06c66bfce7bf6</x:v>
      </x:c>
      <x:c r="D385" s="10" t="str">
        <x:v>keyword</x:v>
      </x:c>
      <x:c r="E385" s="10" t="str">
        <x:v>en</x:v>
      </x:c>
      <x:c r="F385" s="10" t="str">
        <x:v>clothing_shoes_jewelry</x:v>
      </x:c>
      <x:c r="G385" s="15" t="str">
        <x:v>sports_outdoors</x:v>
      </x:c>
      <x:c r="H385" s="15" t="str">
        <x:v>sandals</x:v>
      </x:c>
      <x:c r="I385" s="15" t="str">
        <x:v>womens</x:v>
      </x:c>
      <x:c r="J385" s="15" t="str"/>
      <x:c r="K385" s="15" t="str"/>
      <x:c r="L385" s="15" t="str">
        <x:v>swimming | pool_leisure</x:v>
      </x:c>
      <x:c r="M385" s="15" t="str">
        <x:v>pool</x:v>
      </x:c>
      <x:c r="N385" s="15" t="str"/>
      <x:c r="O385" s="15" t="str"/>
      <x:c r="P385" s="15" t="str"/>
      <x:c r="Q385" s="15" t="str"/>
      <x:c r="R385" s="15" t="str">
        <x:v>用户想找女士在泳池边穿的凉鞋。</x:v>
      </x:c>
      <x:c r="S385" s="10" t="str">
        <x:v>exploration</x:v>
      </x:c>
      <x:c r="T385" s="15" t="str">
        <x:v>explicit | inferred</x:v>
      </x:c>
      <x:c r="U385" s="10" t="str">
        <x:v>medium</x:v>
      </x:c>
      <x:c r="V385" s="15" t="str">
        <x:v>pool_sandals_womens</x:v>
      </x:c>
      <x:c r="W385" s="15" t="str">
        <x:v>listing_gap_review</x:v>
      </x:c>
      <x:c r="X385" s="15" t="str">
        <x:v>{"product_type":[{"value":"sandals","evidence_type":"explicit","source_span":"sandals","fact_ids":[],"rationale":"搜索词明确指定凉鞋"},{"value":"sandals","evidence_type":"page_validated","source_span":"","fact_ids":["title_womens_flip_flop"],"rationale":"该槽位与商品基准中的明示页面事实一致。"}],"audience_intent":[{"value":"womens","evidence_type":"explicit","source_span":"womens","fact_ids":[],"rationale":"搜索词明确指定女士"},{"value":"womens","evidence_type":"page_validated","source_span":"","fact_ids":["title_womens_flip_flop"],"rationale":"该槽位与商品基准中的明示页面事实一致。"}],"location_intent":[{"value":"pool","evidence_type":"explicit","source_span":"pool","fact_ids":[],"rationale":"搜索词明确指定泳池场景"}],"event_intent":[{"value":"swimming","evidence_type":"inferred","source_span":"pool","fact_ids":[],"rationale":"泳池场景关联游泳活动"},{"value":"pool_leisure","evidence_type":"inferred","source_span":"pool","fact_ids":[],"rationale":"泳池旁休闲穿着需求"}],"secondary_domain":[{"value":"sports_outdoors","evidence_type":"inferred","source_span":"","fact_ids":[],"rationale":"该值由搜索词整体语义推断，未作为页面明示属性。"}],"primary_domain":[{"value":"clothing_shoes_jewelry","evidence_type":"inferred","source_span":"","fact_ids":[],"rationale":"该值由搜索词整体语义推断，未作为页面明示属性。"}]}</x:v>
      </x:c>
      <x:c r="Y385" s="15" t="str"/>
      <x:c r="Z385" s="10" t="str">
        <x:v>partial_match</x:v>
      </x:c>
      <x:c r="AA385" s="15" t="str">
        <x:v>title_womens_flip_flop</x:v>
      </x:c>
      <x:c r="AB385" s="10" t="str">
        <x:v>accepted</x:v>
      </x:c>
      <x:c r="AC385" s="10" t="str">
        <x:v>1.0.0</x:v>
      </x:c>
      <x:c r="AD385" s="10" t="str">
        <x:v>1.1.0</x:v>
      </x:c>
      <x:c r="AE385" s="10" t="str">
        <x:v>deepseek/deepseek-v4-pro</x:v>
      </x:c>
      <x:c r="AF385" s="10" t="str">
        <x:v>aj2-y90-20260714T234810-0bea2f52</x:v>
      </x:c>
      <x:c r="AG385" s="10" t="str">
        <x:v>full-0020</x:v>
      </x:c>
      <x:c r="AH385" s="10" t="str">
        <x:v>full</x:v>
      </x:c>
      <x:c r="AI385" s="10" t="n">
        <x:v>20</x:v>
      </x:c>
    </x:row>
    <x:row r="386" ht="34" customHeight="1">
      <x:c r="A386" s="16" t="str">
        <x:v>supportive thong sandals for women</x:v>
      </x:c>
      <x:c r="B386" s="16" t="str">
        <x:v>supportive thong sandals for women</x:v>
      </x:c>
      <x:c r="C386" s="13" t="str">
        <x:v>16447e90d8b995f0</x:v>
      </x:c>
      <x:c r="D386" s="13" t="str">
        <x:v>keyword</x:v>
      </x:c>
      <x:c r="E386" s="13" t="str">
        <x:v>en</x:v>
      </x:c>
      <x:c r="F386" s="13" t="str">
        <x:v>clothing_shoes_jewelry</x:v>
      </x:c>
      <x:c r="G386" s="16" t="str"/>
      <x:c r="H386" s="16" t="str">
        <x:v>thong_sandals</x:v>
      </x:c>
      <x:c r="I386" s="16" t="str">
        <x:v>womens</x:v>
      </x:c>
      <x:c r="J386" s="16" t="str"/>
      <x:c r="K386" s="16" t="str">
        <x:v>supportive | arch_support</x:v>
      </x:c>
      <x:c r="L386" s="16" t="str"/>
      <x:c r="M386" s="16" t="str"/>
      <x:c r="N386" s="16" t="str"/>
      <x:c r="O386" s="16" t="str"/>
      <x:c r="P386" s="16" t="str"/>
      <x:c r="Q386" s="16" t="str"/>
      <x:c r="R386" s="16" t="str">
        <x:v>用户想找有支撑性的女士人字凉鞋。</x:v>
      </x:c>
      <x:c r="S386" s="13" t="str">
        <x:v>high_intent</x:v>
      </x:c>
      <x:c r="T386" s="16" t="str">
        <x:v>explicit | page_validated</x:v>
      </x:c>
      <x:c r="U386" s="13" t="str">
        <x:v>high</x:v>
      </x:c>
      <x:c r="V386" s="16" t="str">
        <x:v>supportive_thong_sandals_womens</x:v>
      </x:c>
      <x:c r="W386" s="16" t="str">
        <x:v>cluster_route</x:v>
      </x:c>
      <x:c r="X386" s="16" t="str">
        <x:v>{"product_type":[{"value":"thong_sandals","evidence_type":"explicit","source_span":"thong sandals","fact_ids":[],"rationale":"搜索词明确指定人字凉鞋"},{"value":"thong_sandals","evidence_type":"page_validated","source_span":"","fact_ids":["style_thong","style_flip_flop"],"rationale":"该槽位与商品基准中的明示页面事实一致。"}],"audience_intent":[{"value":"womens","evidence_type":"explicit","source_span":"women","fact_ids":[],"rationale":"搜索词明确指定女士"},{"value":"womens","evidence_type":"page_validated","source_span":"","fact_ids":["title_womens_flip_flop"],"rationale":"该槽位与商品基准中的明示页面事实一致。"},{"value":"womens","evidence_type":"inferred","source_span":"","fact_ids":[],"rationale":"该能力由搜索词表达的任务或问题推断；页面事实仅用于验证商品承接。"}],"capability_intent":[{"value":"supportive","evidence_type":"explicit","source_span":"supportive","fact_ids":["arch_support","padded_cushioning"],"rationale":"搜索词明确要求支撑性"},{"value":"arch_support","evidence_type":"inferred","source_span":"supportive","fact_ids":[],"rationale":"支撑性通常关联足弓支撑功能"},{"value":"arch_support","evidence_type":"page_validated","source_span":"","fact_ids":["arch_support"],"rationale":"该槽位与商品基准中的明示页面事实一致。"}],"primary_domain":[{"value":"clothing_shoes_jewelry","evidence_type":"inferred","source_span":"","fact_ids":[],"rationale":"该值由搜索词整体语义推断，未作为页面明示属性。"}]}</x:v>
      </x:c>
      <x:c r="Y386" s="16" t="str"/>
      <x:c r="Z386" s="13" t="str">
        <x:v>match</x:v>
      </x:c>
      <x:c r="AA386" s="16" t="str">
        <x:v>title_womens_flip_flop | style_thong | arch_support | padded_cushioning</x:v>
      </x:c>
      <x:c r="AB386" s="13" t="str">
        <x:v>accepted</x:v>
      </x:c>
      <x:c r="AC386" s="13" t="str">
        <x:v>1.0.0</x:v>
      </x:c>
      <x:c r="AD386" s="13" t="str">
        <x:v>1.1.0</x:v>
      </x:c>
      <x:c r="AE386" s="13" t="str">
        <x:v>deepseek/deepseek-v4-pro</x:v>
      </x:c>
      <x:c r="AF386" s="13" t="str">
        <x:v>aj2-y90-20260714T234810-0bea2f52</x:v>
      </x:c>
      <x:c r="AG386" s="13" t="str">
        <x:v>full-0020</x:v>
      </x:c>
      <x:c r="AH386" s="13" t="str">
        <x:v>full</x:v>
      </x:c>
      <x:c r="AI386" s="13" t="n">
        <x:v>20</x:v>
      </x:c>
    </x:row>
    <x:row r="387" ht="34" customHeight="1">
      <x:c r="A387" s="15" t="str">
        <x:v>womens archies</x:v>
      </x:c>
      <x:c r="B387" s="15" t="str">
        <x:v>womens archies</x:v>
      </x:c>
      <x:c r="C387" s="10" t="str">
        <x:v>205471a04cd3b209</x:v>
      </x:c>
      <x:c r="D387" s="10" t="str">
        <x:v>keyword</x:v>
      </x:c>
      <x:c r="E387" s="10" t="str">
        <x:v>en</x:v>
      </x:c>
      <x:c r="F387" s="10" t="str">
        <x:v>clothing_shoes_jewelry</x:v>
      </x:c>
      <x:c r="G387" s="15" t="str"/>
      <x:c r="H387" s="15" t="str">
        <x:v>sandals | flip_flops</x:v>
      </x:c>
      <x:c r="I387" s="15" t="str">
        <x:v>womens</x:v>
      </x:c>
      <x:c r="J387" s="15" t="str"/>
      <x:c r="K387" s="15" t="str"/>
      <x:c r="L387" s="15" t="str"/>
      <x:c r="M387" s="15" t="str"/>
      <x:c r="N387" s="15" t="str"/>
      <x:c r="O387" s="15" t="str"/>
      <x:c r="P387" s="15" t="str">
        <x:v>archies_brand</x:v>
      </x:c>
      <x:c r="Q387" s="15" t="str"/>
      <x:c r="R387" s="15" t="str">
        <x:v>用户搜索Archies品牌女士鞋类，可能为人字拖或拖鞋。</x:v>
      </x:c>
      <x:c r="S387" s="10" t="str">
        <x:v>consideration</x:v>
      </x:c>
      <x:c r="T387" s="15" t="str">
        <x:v>explicit | inferred</x:v>
      </x:c>
      <x:c r="U387" s="10" t="str">
        <x:v>medium</x:v>
      </x:c>
      <x:c r="V387" s="15" t="str">
        <x:v>archies_brand_search</x:v>
      </x:c>
      <x:c r="W387" s="15" t="str">
        <x:v>semantic_negative_candidate</x:v>
      </x:c>
      <x:c r="X387" s="15" t="str">
        <x:v>{"audience_intent":[{"value":"womens","evidence_type":"explicit","source_span":"womens","fact_ids":[],"rationale":"搜索词明确指定女士"},{"value":"womens","evidence_type":"page_validated","source_span":"","fact_ids":["title_womens_flip_flop"],"rationale":"该槽位与商品基准中的明示页面事实一致。"}],"substitute_intent":[{"value":"archies_brand","evidence_type":"explicit","source_span":"archies","fact_ids":[],"rationale":"搜索词明确指向Archies品牌"}],"product_type":[{"value":"sandals","evidence_type":"inferred","source_span":"archies","fact_ids":[],"rationale":"Archies以凉鞋/拖鞋著称"},{"value":"flip_flops","evidence_type":"inferred","source_span":"archies","fact_ids":[],"rationale":"Archies也生产人字拖款式"},{"value":"sandals","evidence_type":"page_validated","source_span":"","fact_ids":["title_womens_flip_flop"],"rationale":"该槽位与商品基准中的明示页面事实一致。"},{"value":"flip_flops","evidence_type":"page_validated","source_span":"","fact_ids":["style_flip_flop"],"rationale":"该槽位与商品基准中的明示页面事实一致。"}],"primary_domain":[{"value":"clothing_shoes_jewelry","evidence_type":"inferred","source_span":"","fact_ids":[],"rationale":"该值由搜索词整体语义推断，未作为页面明示属性。"}]}</x:v>
      </x:c>
      <x:c r="Y387" s="15" t="str">
        <x:v>product_type_ambiguous</x:v>
      </x:c>
      <x:c r="Z387" s="10" t="str">
        <x:v>mismatch</x:v>
      </x:c>
      <x:c r="AA387" s="15" t="str">
        <x:v>title_womens_flip_flop</x:v>
      </x:c>
      <x:c r="AB387" s="10" t="str">
        <x:v>accepted</x:v>
      </x:c>
      <x:c r="AC387" s="10" t="str">
        <x:v>1.0.0</x:v>
      </x:c>
      <x:c r="AD387" s="10" t="str">
        <x:v>1.1.0</x:v>
      </x:c>
      <x:c r="AE387" s="10" t="str">
        <x:v>deepseek/deepseek-v4-pro</x:v>
      </x:c>
      <x:c r="AF387" s="10" t="str">
        <x:v>aj2-y90-20260714T234810-0bea2f52</x:v>
      </x:c>
      <x:c r="AG387" s="10" t="str">
        <x:v>full-0020</x:v>
      </x:c>
      <x:c r="AH387" s="10" t="str">
        <x:v>full</x:v>
      </x:c>
      <x:c r="AI387" s="10" t="n">
        <x:v>20</x:v>
      </x:c>
    </x:row>
    <x:row r="388" ht="34" customHeight="1">
      <x:c r="A388" s="16" t="str">
        <x:v>best flip flops for plantar fasciitis</x:v>
      </x:c>
      <x:c r="B388" s="16" t="str">
        <x:v>best flip flops for plantar fasciitis</x:v>
      </x:c>
      <x:c r="C388" s="13" t="str">
        <x:v>25d093690b0abc9f</x:v>
      </x:c>
      <x:c r="D388" s="13" t="str">
        <x:v>keyword</x:v>
      </x:c>
      <x:c r="E388" s="13" t="str">
        <x:v>en</x:v>
      </x:c>
      <x:c r="F388" s="13" t="str">
        <x:v>clothing_shoes_jewelry</x:v>
      </x:c>
      <x:c r="G388" s="16" t="str">
        <x:v>health_household</x:v>
      </x:c>
      <x:c r="H388" s="16" t="str">
        <x:v>flip_flops</x:v>
      </x:c>
      <x:c r="I388" s="16" t="str"/>
      <x:c r="J388" s="16" t="str"/>
      <x:c r="K388" s="16" t="str">
        <x:v>arch_support</x:v>
      </x:c>
      <x:c r="L388" s="16" t="str"/>
      <x:c r="M388" s="16" t="str"/>
      <x:c r="N388" s="16" t="str">
        <x:v>plantar_fasciitis</x:v>
      </x:c>
      <x:c r="O388" s="16" t="str"/>
      <x:c r="P388" s="16" t="str"/>
      <x:c r="Q388" s="16" t="str"/>
      <x:c r="R388" s="16" t="str">
        <x:v>用户想找最适合足底筋膜炎患者的人字拖鞋。</x:v>
      </x:c>
      <x:c r="S388" s="13" t="str">
        <x:v>consideration</x:v>
      </x:c>
      <x:c r="T388" s="16" t="str">
        <x:v>explicit | page_validated | inferred</x:v>
      </x:c>
      <x:c r="U388" s="13" t="str">
        <x:v>medium</x:v>
      </x:c>
      <x:c r="V388" s="16" t="str">
        <x:v>plantar_fasciitis_flip_flops</x:v>
      </x:c>
      <x:c r="W388" s="16" t="str">
        <x:v>listing_gap_review</x:v>
      </x:c>
      <x:c r="X388" s="16" t="str">
        <x:v>{"product_type":[{"value":"flip_flops","evidence_type":"explicit","source_span":"flip flops","fact_ids":[],"rationale":"搜索词明确指定人字拖"},{"value":"flip_flops","evidence_type":"page_validated","source_span":"","fact_ids":["style_flip_flop"],"rationale":"该槽位与商品基准中的明示页面事实一致。"}],"body_need_intent":[{"value":"plantar_fasciitis","evidence_type":"explicit","source_span":"plantar fasciitis","fact_ids":[],"rationale":"搜索词明确提及足底筋膜炎"}],"capability_intent":[{"value":"arch_support","evidence_type":"inferred","source_span":"plantar fasciitis","fact_ids":[],"rationale":"足底筋膜炎需求隐含足弓支撑功能"},{"value":"arch_support","evidence_type":"page_validated","source_span":"","fact_ids":["arch_support"],"rationale":"该槽位与商品基准中的明示页面事实一致。"}],"secondary_domain":[{"value":"health_household","evidence_type":"inferred","source_span":"","fact_ids":[],"rationale":"该值由搜索词整体语义推断，未作为页面明示属性。"}],"primary_domain":[{"value":"clothing_shoes_jewelry","evidence_type":"inferred","source_span":"","fact_ids":[],"rationale":"该值由搜索词整体语义推断，未作为页面明示属性。"}]}</x:v>
      </x:c>
      <x:c r="Y388" s="16" t="str">
        <x:v>audience_unspecified | no_treatment_claim</x:v>
      </x:c>
      <x:c r="Z388" s="13" t="str">
        <x:v>partial_match</x:v>
      </x:c>
      <x:c r="AA388" s="16" t="str">
        <x:v>style_flip_flop | arch_support</x:v>
      </x:c>
      <x:c r="AB388" s="13" t="str">
        <x:v>accepted</x:v>
      </x:c>
      <x:c r="AC388" s="13" t="str">
        <x:v>1.0.0</x:v>
      </x:c>
      <x:c r="AD388" s="13" t="str">
        <x:v>1.1.0</x:v>
      </x:c>
      <x:c r="AE388" s="13" t="str">
        <x:v>deepseek/deepseek-v4-pro</x:v>
      </x:c>
      <x:c r="AF388" s="13" t="str">
        <x:v>aj2-y90-20260714T234810-0bea2f52</x:v>
      </x:c>
      <x:c r="AG388" s="13" t="str">
        <x:v>full-0020</x:v>
      </x:c>
      <x:c r="AH388" s="13" t="str">
        <x:v>full</x:v>
      </x:c>
      <x:c r="AI388" s="13" t="n">
        <x:v>20</x:v>
      </x:c>
    </x:row>
    <x:row r="389" ht="34" customHeight="1">
      <x:c r="A389" s="15" t="str">
        <x:v>comfortable flip flops for women arch support</x:v>
      </x:c>
      <x:c r="B389" s="15" t="str">
        <x:v>comfortable flip flops for women arch support</x:v>
      </x:c>
      <x:c r="C389" s="10" t="str">
        <x:v>459d7f767070f48f</x:v>
      </x:c>
      <x:c r="D389" s="10" t="str">
        <x:v>keyword</x:v>
      </x:c>
      <x:c r="E389" s="10" t="str">
        <x:v>en</x:v>
      </x:c>
      <x:c r="F389" s="10" t="str">
        <x:v>clothing_shoes_jewelry</x:v>
      </x:c>
      <x:c r="G389" s="15" t="str"/>
      <x:c r="H389" s="15" t="str">
        <x:v>flip_flops</x:v>
      </x:c>
      <x:c r="I389" s="15" t="str">
        <x:v>womens</x:v>
      </x:c>
      <x:c r="J389" s="15" t="str">
        <x:v>comfort</x:v>
      </x:c>
      <x:c r="K389" s="15" t="str">
        <x:v>arch_support</x:v>
      </x:c>
      <x:c r="L389" s="15" t="str"/>
      <x:c r="M389" s="15" t="str"/>
      <x:c r="N389" s="15" t="str"/>
      <x:c r="O389" s="15" t="str"/>
      <x:c r="P389" s="15" t="str"/>
      <x:c r="Q389" s="15" t="str"/>
      <x:c r="R389" s="15" t="str">
        <x:v>用户想找舒适且有足弓支撑的女士人字拖鞋。</x:v>
      </x:c>
      <x:c r="S389" s="10" t="str">
        <x:v>high_intent</x:v>
      </x:c>
      <x:c r="T389" s="15" t="str">
        <x:v>explicit | page_validated</x:v>
      </x:c>
      <x:c r="U389" s="10" t="str">
        <x:v>high</x:v>
      </x:c>
      <x:c r="V389" s="15" t="str">
        <x:v>comfortable_arch_support_flip_flops_womens</x:v>
      </x:c>
      <x:c r="W389" s="15" t="str">
        <x:v>cluster_route</x:v>
      </x:c>
      <x:c r="X389" s="15" t="str">
        <x:v>{"product_type":[{"value":"flip_flops","evidence_type":"explicit","source_span":"flip flops","fact_ids":[],"rationale":"搜索词明确指定人字拖"},{"value":"flip_flops","evidence_type":"page_validated","source_span":"","fact_ids":["style_flip_flop"],"rationale":"该槽位与商品基准中的明示页面事实一致。"}],"audience_intent":[{"value":"womens","evidence_type":"explicit","source_span":"women","fact_ids":[],"rationale":"搜索词明确指定女士"},{"value":"womens","evidence_type":"page_validated","source_span":"","fact_ids":["title_womens_flip_flop"],"rationale":"该槽位与商品基准中的明示页面事实一致。"},{"value":"womens","evidence_type":"inferred","source_span":"","fact_ids":[],"rationale":"该能力由搜索词表达的任务或问题推断；页面事实仅用于验证商品承接。"}],"function_intent":[{"value":"comfort","evidence_type":"explicit","source_span":"comfortable","fact_ids":["padded_cushioning"],"rationale":"搜索词明确要求舒适"},{"value":"comfort","evidence_type":"page_validated","source_span":"","fact_ids":["arch_support","padded_cushioning"],"rationale":"该槽位与商品基准中的明示页面事实一致。"}],"capability_intent":[{"value":"arch_support","evidence_type":"explicit","source_span":"arch support","fact_ids":["arch_support"],"rationale":"搜索词明确要求足弓支撑"},{"value":"arch_support","evidence_type":"page_validated","source_span":"","fact_ids":["arch_support"],"rationale":"该槽位与商品基准中的明示页面事实一致。"}],"primary_domain":[{"value":"clothing_shoes_jewelry","evidence_type":"inferred","source_span":"","fact_ids":[],"rationale":"该值由搜索词整体语义推断，未作为页面明示属性。"}]}</x:v>
      </x:c>
      <x:c r="Y389" s="15" t="str"/>
      <x:c r="Z389" s="10" t="str">
        <x:v>match</x:v>
      </x:c>
      <x:c r="AA389" s="15" t="str">
        <x:v>title_womens_flip_flop | style_flip_flop | arch_support | padded_cushioning</x:v>
      </x:c>
      <x:c r="AB389" s="10" t="str">
        <x:v>accepted</x:v>
      </x:c>
      <x:c r="AC389" s="10" t="str">
        <x:v>1.0.0</x:v>
      </x:c>
      <x:c r="AD389" s="10" t="str">
        <x:v>1.1.0</x:v>
      </x:c>
      <x:c r="AE389" s="10" t="str">
        <x:v>deepseek/deepseek-v4-pro</x:v>
      </x:c>
      <x:c r="AF389" s="10" t="str">
        <x:v>aj2-y90-20260714T234810-0bea2f52</x:v>
      </x:c>
      <x:c r="AG389" s="10" t="str">
        <x:v>full-0020</x:v>
      </x:c>
      <x:c r="AH389" s="10" t="str">
        <x:v>full</x:v>
      </x:c>
      <x:c r="AI389" s="10" t="n">
        <x:v>20</x:v>
      </x:c>
    </x:row>
    <x:row r="390" ht="34" customHeight="1">
      <x:c r="A390" s="16" t="str">
        <x:v>flip flops for bunions women</x:v>
      </x:c>
      <x:c r="B390" s="16" t="str">
        <x:v>flip flops for bunions women</x:v>
      </x:c>
      <x:c r="C390" s="13" t="str">
        <x:v>6f3458c141992393</x:v>
      </x:c>
      <x:c r="D390" s="13" t="str">
        <x:v>keyword</x:v>
      </x:c>
      <x:c r="E390" s="13" t="str">
        <x:v>en</x:v>
      </x:c>
      <x:c r="F390" s="13" t="str">
        <x:v>clothing_shoes_jewelry</x:v>
      </x:c>
      <x:c r="G390" s="16" t="str">
        <x:v>health_household</x:v>
      </x:c>
      <x:c r="H390" s="16" t="str">
        <x:v>flip_flops</x:v>
      </x:c>
      <x:c r="I390" s="16" t="str">
        <x:v>womens</x:v>
      </x:c>
      <x:c r="J390" s="16" t="str"/>
      <x:c r="K390" s="16" t="str"/>
      <x:c r="L390" s="16" t="str"/>
      <x:c r="M390" s="16" t="str"/>
      <x:c r="N390" s="16" t="str">
        <x:v>bunions</x:v>
      </x:c>
      <x:c r="O390" s="16" t="str"/>
      <x:c r="P390" s="16" t="str"/>
      <x:c r="Q390" s="16" t="str"/>
      <x:c r="R390" s="16" t="str">
        <x:v>用户想找适合拇囊炎患者穿的女士人字拖鞋。</x:v>
      </x:c>
      <x:c r="S390" s="13" t="str">
        <x:v>consideration</x:v>
      </x:c>
      <x:c r="T390" s="16" t="str">
        <x:v>explicit | page_validated | inferred</x:v>
      </x:c>
      <x:c r="U390" s="13" t="str">
        <x:v>medium</x:v>
      </x:c>
      <x:c r="V390" s="16" t="str">
        <x:v>bunion_flip_flops_womens</x:v>
      </x:c>
      <x:c r="W390" s="16" t="str">
        <x:v>listing_gap_review</x:v>
      </x:c>
      <x:c r="X390" s="16" t="str">
        <x:v>{"product_type":[{"value":"flip_flops","evidence_type":"explicit","source_span":"flip flops","fact_ids":[],"rationale":"搜索词明确指定人字拖"},{"value":"flip_flops","evidence_type":"page_validated","source_span":"","fact_ids":["style_flip_flop"],"rationale":"该槽位与商品基准中的明示页面事实一致。"}],"audience_intent":[{"value":"womens","evidence_type":"explicit","source_span":"women","fact_ids":[],"rationale":"搜索词明确指定女士"},{"value":"womens","evidence_type":"page_validated","source_span":"","fact_ids":["title_womens_flip_flop"],"rationale":"该槽位与商品基准中的明示页面事实一致。"},{"value":"womens","evidence_type":"inferred","source_span":"","fact_ids":[],"rationale":"该能力由搜索词表达的任务或问题推断；页面事实仅用于验证商品承接。"}],"body_need_intent":[{"value":"bunions","evidence_type":"explicit","source_span":"bunions","fact_ids":[],"rationale":"搜索词明确提及拇囊炎需求"}],"secondary_domain":[{"value":"health_household","evidence_type":"inferred","source_span":"","fact_ids":[],"rationale":"该值由搜索词整体语义推断，未作为页面明示属性。"}],"primary_domain":[{"value":"clothing_shoes_jewelry","evidence_type":"inferred","source_span":"","fact_ids":[],"rationale":"该值由搜索词整体语义推断，未作为页面明示属性。"}]}</x:v>
      </x:c>
      <x:c r="Y390" s="16" t="str"/>
      <x:c r="Z390" s="13" t="str">
        <x:v>partial_match</x:v>
      </x:c>
      <x:c r="AA390" s="16" t="str">
        <x:v>title_womens_flip_flop | style_flip_flop | soft_toe_post</x:v>
      </x:c>
      <x:c r="AB390" s="13" t="str">
        <x:v>accepted</x:v>
      </x:c>
      <x:c r="AC390" s="13" t="str">
        <x:v>1.0.0</x:v>
      </x:c>
      <x:c r="AD390" s="13" t="str">
        <x:v>1.1.0</x:v>
      </x:c>
      <x:c r="AE390" s="13" t="str">
        <x:v>deepseek/deepseek-v4-pro</x:v>
      </x:c>
      <x:c r="AF390" s="13" t="str">
        <x:v>aj2-y90-20260714T234810-0bea2f52</x:v>
      </x:c>
      <x:c r="AG390" s="13" t="str">
        <x:v>full-0020</x:v>
      </x:c>
      <x:c r="AH390" s="13" t="str">
        <x:v>full</x:v>
      </x:c>
      <x:c r="AI390" s="13" t="n">
        <x:v>20</x:v>
      </x:c>
    </x:row>
    <x:row r="391" ht="34" customHeight="1">
      <x:c r="A391" s="15" t="str">
        <x:v>casual pink flip flops</x:v>
      </x:c>
      <x:c r="B391" s="15" t="str">
        <x:v>casual pink flip flops</x:v>
      </x:c>
      <x:c r="C391" s="10" t="str">
        <x:v>72752a70092c5a5a</x:v>
      </x:c>
      <x:c r="D391" s="10" t="str">
        <x:v>keyword</x:v>
      </x:c>
      <x:c r="E391" s="10" t="str">
        <x:v>en</x:v>
      </x:c>
      <x:c r="F391" s="10" t="str">
        <x:v>clothing_shoes_jewelry</x:v>
      </x:c>
      <x:c r="G391" s="15" t="str"/>
      <x:c r="H391" s="15" t="str">
        <x:v>flip_flops</x:v>
      </x:c>
      <x:c r="I391" s="15" t="str"/>
      <x:c r="J391" s="15" t="str"/>
      <x:c r="K391" s="15" t="str"/>
      <x:c r="L391" s="15" t="str">
        <x:v>casual_wear</x:v>
      </x:c>
      <x:c r="M391" s="15" t="str"/>
      <x:c r="N391" s="15" t="str"/>
      <x:c r="O391" s="15" t="str"/>
      <x:c r="P391" s="15" t="str"/>
      <x:c r="Q391" s="15" t="str"/>
      <x:c r="R391" s="15" t="str">
        <x:v>用户想找粉色休闲人字拖鞋。</x:v>
      </x:c>
      <x:c r="S391" s="10" t="str">
        <x:v>high_intent</x:v>
      </x:c>
      <x:c r="T391" s="15" t="str">
        <x:v>explicit | page_validated</x:v>
      </x:c>
      <x:c r="U391" s="10" t="str">
        <x:v>high</x:v>
      </x:c>
      <x:c r="V391" s="15" t="str">
        <x:v>casual_pink_flip_flops</x:v>
      </x:c>
      <x:c r="W391" s="15" t="str">
        <x:v>cluster_route</x:v>
      </x:c>
      <x:c r="X391" s="15" t="str">
        <x:v>{"product_type":[{"value":"flip_flops","evidence_type":"explicit","source_span":"flip flops","fact_ids":[],"rationale":"搜索词明确指定人字拖"},{"value":"flip_flops","evidence_type":"page_validated","source_span":"","fact_ids":["style_flip_flop"],"rationale":"该槽位与商品基准中的明示页面事实一致。"}],"event_intent":[{"value":"casual_wear","evidence_type":"explicit","source_span":"casual","fact_ids":[],"rationale":"搜索词明确指定休闲场景"}],"primary_domain":[{"value":"clothing_shoes_jewelry","evidence_type":"inferred","source_span":"","fact_ids":[],"rationale":"该值由搜索词整体语义推断，未作为页面明示属性。"}]}</x:v>
      </x:c>
      <x:c r="Y391" s="15" t="str"/>
      <x:c r="Z391" s="10" t="str">
        <x:v>match</x:v>
      </x:c>
      <x:c r="AA391" s="15" t="str">
        <x:v>style_flip_flop | colors_visible</x:v>
      </x:c>
      <x:c r="AB391" s="10" t="str">
        <x:v>accepted</x:v>
      </x:c>
      <x:c r="AC391" s="10" t="str">
        <x:v>1.0.0</x:v>
      </x:c>
      <x:c r="AD391" s="10" t="str">
        <x:v>1.1.0</x:v>
      </x:c>
      <x:c r="AE391" s="10" t="str">
        <x:v>deepseek/deepseek-v4-pro</x:v>
      </x:c>
      <x:c r="AF391" s="10" t="str">
        <x:v>aj2-y90-20260714T234810-0bea2f52</x:v>
      </x:c>
      <x:c r="AG391" s="10" t="str">
        <x:v>full-0020</x:v>
      </x:c>
      <x:c r="AH391" s="10" t="str">
        <x:v>full</x:v>
      </x:c>
      <x:c r="AI391" s="10" t="n">
        <x:v>20</x:v>
      </x:c>
    </x:row>
    <x:row r="392" ht="34" customHeight="1">
      <x:c r="A392" s="16" t="str">
        <x:v>womens white flip flops with arch support</x:v>
      </x:c>
      <x:c r="B392" s="16" t="str">
        <x:v>womens white flip flops with arch support</x:v>
      </x:c>
      <x:c r="C392" s="13" t="str">
        <x:v>7ada1b2ddc954b80</x:v>
      </x:c>
      <x:c r="D392" s="13" t="str">
        <x:v>keyword</x:v>
      </x:c>
      <x:c r="E392" s="13" t="str">
        <x:v>en</x:v>
      </x:c>
      <x:c r="F392" s="13" t="str">
        <x:v>clothing_shoes_jewelry</x:v>
      </x:c>
      <x:c r="G392" s="16" t="str"/>
      <x:c r="H392" s="16" t="str">
        <x:v>flip_flops</x:v>
      </x:c>
      <x:c r="I392" s="16" t="str">
        <x:v>womens</x:v>
      </x:c>
      <x:c r="J392" s="16" t="str"/>
      <x:c r="K392" s="16" t="str">
        <x:v>arch_support</x:v>
      </x:c>
      <x:c r="L392" s="16" t="str"/>
      <x:c r="M392" s="16" t="str"/>
      <x:c r="N392" s="16" t="str"/>
      <x:c r="O392" s="16" t="str"/>
      <x:c r="P392" s="16" t="str"/>
      <x:c r="Q392" s="16" t="str"/>
      <x:c r="R392" s="16" t="str">
        <x:v>用户想找白色有足弓支撑的女士人字拖鞋。</x:v>
      </x:c>
      <x:c r="S392" s="13" t="str">
        <x:v>high_intent</x:v>
      </x:c>
      <x:c r="T392" s="16" t="str">
        <x:v>explicit | page_validated</x:v>
      </x:c>
      <x:c r="U392" s="13" t="str">
        <x:v>high</x:v>
      </x:c>
      <x:c r="V392" s="16" t="str">
        <x:v>womens_white_arch_support_flip_flops</x:v>
      </x:c>
      <x:c r="W392" s="16" t="str">
        <x:v>cluster_route</x:v>
      </x:c>
      <x:c r="X392" s="16" t="str">
        <x:v>{"product_type":[{"value":"flip_flops","evidence_type":"explicit","source_span":"flip flops","fact_ids":[],"rationale":"搜索词明确指定人字拖"},{"value":"flip_flops","evidence_type":"page_validated","source_span":"","fact_ids":["style_flip_flop"],"rationale":"该槽位与商品基准中的明示页面事实一致。"}],"audience_intent":[{"value":"womens","evidence_type":"explicit","source_span":"womens","fact_ids":[],"rationale":"搜索词明确指定女士"},{"value":"womens","evidence_type":"page_validated","source_span":"","fact_ids":["title_womens_flip_flop"],"rationale":"该槽位与商品基准中的明示页面事实一致。"}],"capability_intent":[{"value":"arch_support","evidence_type":"explicit","source_span":"arch support","fact_ids":["arch_support"],"rationale":"搜索词明确要求足弓支撑"},{"value":"arch_support","evidence_type":"page_validated","source_span":"","fact_ids":["arch_support"],"rationale":"该槽位与商品基准中的明示页面事实一致。"}],"primary_domain":[{"value":"clothing_shoes_jewelry","evidence_type":"inferred","source_span":"","fact_ids":[],"rationale":"该值由搜索词整体语义推断，未作为页面明示属性。"}]}</x:v>
      </x:c>
      <x:c r="Y392" s="16" t="str"/>
      <x:c r="Z392" s="13" t="str">
        <x:v>match</x:v>
      </x:c>
      <x:c r="AA392" s="16" t="str">
        <x:v>title_womens_flip_flop | style_flip_flop | arch_support | colors_visible</x:v>
      </x:c>
      <x:c r="AB392" s="13" t="str">
        <x:v>accepted</x:v>
      </x:c>
      <x:c r="AC392" s="13" t="str">
        <x:v>1.0.0</x:v>
      </x:c>
      <x:c r="AD392" s="13" t="str">
        <x:v>1.1.0</x:v>
      </x:c>
      <x:c r="AE392" s="13" t="str">
        <x:v>deepseek/deepseek-v4-pro</x:v>
      </x:c>
      <x:c r="AF392" s="13" t="str">
        <x:v>aj2-y90-20260714T234810-0bea2f52</x:v>
      </x:c>
      <x:c r="AG392" s="13" t="str">
        <x:v>full-0020</x:v>
      </x:c>
      <x:c r="AH392" s="13" t="str">
        <x:v>full</x:v>
      </x:c>
      <x:c r="AI392" s="13" t="n">
        <x:v>20</x:v>
      </x:c>
    </x:row>
    <x:row r="393" ht="34" customHeight="1">
      <x:c r="A393" s="15" t="str">
        <x:v>joomra women's arch support flip flops</x:v>
      </x:c>
      <x:c r="B393" s="15" t="str">
        <x:v>joomra women's arch support flip flops</x:v>
      </x:c>
      <x:c r="C393" s="10" t="str">
        <x:v>8f4de6ff04dfa90b</x:v>
      </x:c>
      <x:c r="D393" s="10" t="str">
        <x:v>keyword</x:v>
      </x:c>
      <x:c r="E393" s="10" t="str">
        <x:v>en</x:v>
      </x:c>
      <x:c r="F393" s="10" t="str">
        <x:v>clothing_shoes_jewelry</x:v>
      </x:c>
      <x:c r="G393" s="15" t="str"/>
      <x:c r="H393" s="15" t="str">
        <x:v>flip_flops</x:v>
      </x:c>
      <x:c r="I393" s="15" t="str">
        <x:v>womens</x:v>
      </x:c>
      <x:c r="J393" s="15" t="str"/>
      <x:c r="K393" s="15" t="str">
        <x:v>arch_support</x:v>
      </x:c>
      <x:c r="L393" s="15" t="str"/>
      <x:c r="M393" s="15" t="str"/>
      <x:c r="N393" s="15" t="str"/>
      <x:c r="O393" s="15" t="str"/>
      <x:c r="P393" s="15" t="str"/>
      <x:c r="Q393" s="15" t="str"/>
      <x:c r="R393" s="15" t="str">
        <x:v>用户明确搜索Joomra品牌女士足弓支撑人字拖鞋。</x:v>
      </x:c>
      <x:c r="S393" s="10" t="str">
        <x:v>brand_harvest</x:v>
      </x:c>
      <x:c r="T393" s="15" t="str">
        <x:v>explicit | page_validated</x:v>
      </x:c>
      <x:c r="U393" s="10" t="str">
        <x:v>high</x:v>
      </x:c>
      <x:c r="V393" s="15" t="str">
        <x:v>joomra_arch_support_flip_flops</x:v>
      </x:c>
      <x:c r="W393" s="15" t="str">
        <x:v>cluster_route</x:v>
      </x:c>
      <x:c r="X393" s="15" t="str">
        <x:v>{"product_type":[{"value":"flip_flops","evidence_type":"explicit","source_span":"flip flops","fact_ids":[],"rationale":"搜索词明确指定人字拖"},{"value":"flip_flops","evidence_type":"page_validated","source_span":"","fact_ids":["style_flip_flop"],"rationale":"该槽位与商品基准中的明示页面事实一致。"}],"audience_intent":[{"value":"womens","evidence_type":"explicit","source_span":"women's","fact_ids":[],"rationale":"搜索词明确指定女士"},{"value":"womens","evidence_type":"page_validated","source_span":"","fact_ids":["title_womens_flip_flop"],"rationale":"该槽位与商品基准中的明示页面事实一致。"},{"value":"womens","evidence_type":"inferred","source_span":"","fact_ids":[],"rationale":"该能力由搜索词表达的任务或问题推断；页面事实仅用于验证商品承接。"}],"capability_intent":[{"value":"arch_support","evidence_type":"explicit","source_span":"arch support","fact_ids":["arch_support"],"rationale":"搜索词明确要求足弓支撑"},{"value":"arch_support","evidence_type":"page_validated","source_span":"","fact_ids":["arch_support"],"rationale":"该槽位与商品基准中的明示页面事实一致。"}],"primary_domain":[{"value":"clothing_shoes_jewelry","evidence_type":"inferred","source_span":"","fact_ids":[],"rationale":"该值由搜索词整体语义推断，未作为页面明示属性。"}],"brand":[{"value":"joomra","evidence_type":"explicit","source_span":"joomra","fact_ids":[],"rationale":"搜索词明确包含品牌名称。"}]}</x:v>
      </x:c>
      <x:c r="Y393" s="15" t="str"/>
      <x:c r="Z393" s="10" t="str">
        <x:v>match</x:v>
      </x:c>
      <x:c r="AA393" s="15" t="str">
        <x:v>title_womens_flip_flop | arch_support | style_flip_flop</x:v>
      </x:c>
      <x:c r="AB393" s="10" t="str">
        <x:v>accepted</x:v>
      </x:c>
      <x:c r="AC393" s="10" t="str">
        <x:v>1.0.0</x:v>
      </x:c>
      <x:c r="AD393" s="10" t="str">
        <x:v>1.1.0</x:v>
      </x:c>
      <x:c r="AE393" s="10" t="str">
        <x:v>deepseek/deepseek-v4-pro</x:v>
      </x:c>
      <x:c r="AF393" s="10" t="str">
        <x:v>aj2-y90-20260714T234810-0bea2f52</x:v>
      </x:c>
      <x:c r="AG393" s="10" t="str">
        <x:v>full-0020</x:v>
      </x:c>
      <x:c r="AH393" s="10" t="str">
        <x:v>full</x:v>
      </x:c>
      <x:c r="AI393" s="10" t="n">
        <x:v>20</x:v>
      </x:c>
    </x:row>
    <x:row r="394" ht="34" customHeight="1">
      <x:c r="A394" s="16" t="str">
        <x:v>archies slides womens dupe</x:v>
      </x:c>
      <x:c r="B394" s="16" t="str">
        <x:v>archies slides womens dupe</x:v>
      </x:c>
      <x:c r="C394" s="13" t="str">
        <x:v>93db02df46bf1f16</x:v>
      </x:c>
      <x:c r="D394" s="13" t="str">
        <x:v>keyword</x:v>
      </x:c>
      <x:c r="E394" s="13" t="str">
        <x:v>en</x:v>
      </x:c>
      <x:c r="F394" s="13" t="str">
        <x:v>clothing_shoes_jewelry</x:v>
      </x:c>
      <x:c r="G394" s="16" t="str"/>
      <x:c r="H394" s="16" t="str">
        <x:v>slides</x:v>
      </x:c>
      <x:c r="I394" s="16" t="str">
        <x:v>womens</x:v>
      </x:c>
      <x:c r="J394" s="16" t="str"/>
      <x:c r="K394" s="16" t="str"/>
      <x:c r="L394" s="16" t="str"/>
      <x:c r="M394" s="16" t="str"/>
      <x:c r="N394" s="16" t="str"/>
      <x:c r="O394" s="16" t="str"/>
      <x:c r="P394" s="16" t="str">
        <x:v>archies_dupe</x:v>
      </x:c>
      <x:c r="Q394" s="16" t="str"/>
      <x:c r="R394" s="16" t="str">
        <x:v>用户想寻找Archies品牌女士拖鞋的平价替代品。</x:v>
      </x:c>
      <x:c r="S394" s="13" t="str">
        <x:v>consideration</x:v>
      </x:c>
      <x:c r="T394" s="16" t="str">
        <x:v>explicit | inferred</x:v>
      </x:c>
      <x:c r="U394" s="13" t="str">
        <x:v>medium</x:v>
      </x:c>
      <x:c r="V394" s="16" t="str">
        <x:v>branded_slide_dupe</x:v>
      </x:c>
      <x:c r="W394" s="16" t="str">
        <x:v>semantic_negative_candidate</x:v>
      </x:c>
      <x:c r="X394" s="16" t="str">
        <x:v>{"product_type":[{"value":"slides","evidence_type":"explicit","source_span":"slides","fact_ids":[],"rationale":"搜索词明确包含slides产品类型"}],"audience_intent":[{"value":"womens","evidence_type":"explicit","source_span":"womens","fact_ids":[],"rationale":"搜索词明确指定女士群体"},{"value":"womens","evidence_type":"page_validated","source_span":"","fact_ids":["title_womens_flip_flop"],"rationale":"该槽位与商品基准中的明示页面事实一致。"}],"substitute_intent":[{"value":"archies_dupe","evidence_type":"explicit","source_span":"dupe","fact_ids":[],"rationale":"dupe表示寻找Archies平替"}],"primary_domain":[{"value":"clothing_shoes_jewelry","evidence_type":"inferred","source_span":"","fact_ids":[],"rationale":"该值由搜索词整体语义推断，未作为页面明示属性。"}]}</x:v>
      </x:c>
      <x:c r="Y394" s="16" t="str"/>
      <x:c r="Z394" s="13" t="str">
        <x:v>mismatch</x:v>
      </x:c>
      <x:c r="AA394" s="16" t="str">
        <x:v>style_flip_flop</x:v>
      </x:c>
      <x:c r="AB394" s="13" t="str">
        <x:v>accepted</x:v>
      </x:c>
      <x:c r="AC394" s="13" t="str">
        <x:v>1.0.0</x:v>
      </x:c>
      <x:c r="AD394" s="13" t="str">
        <x:v>1.1.0</x:v>
      </x:c>
      <x:c r="AE394" s="13" t="str">
        <x:v>deepseek/deepseek-v4-pro</x:v>
      </x:c>
      <x:c r="AF394" s="13" t="str">
        <x:v>aj2-y90-20260714T234810-0bea2f52</x:v>
      </x:c>
      <x:c r="AG394" s="13" t="str">
        <x:v>full-0020</x:v>
      </x:c>
      <x:c r="AH394" s="13" t="str">
        <x:v>full</x:v>
      </x:c>
      <x:c r="AI394" s="13" t="n">
        <x:v>20</x:v>
      </x:c>
    </x:row>
    <x:row r="395" ht="34" customHeight="1">
      <x:c r="A395" s="15" t="str">
        <x:v>flip flops arch</x:v>
      </x:c>
      <x:c r="B395" s="15" t="str">
        <x:v>flip flops arch</x:v>
      </x:c>
      <x:c r="C395" s="10" t="str">
        <x:v>9522c4f757be4a6e</x:v>
      </x:c>
      <x:c r="D395" s="10" t="str">
        <x:v>keyword</x:v>
      </x:c>
      <x:c r="E395" s="10" t="str">
        <x:v>en</x:v>
      </x:c>
      <x:c r="F395" s="10" t="str">
        <x:v>clothing_shoes_jewelry</x:v>
      </x:c>
      <x:c r="G395" s="15" t="str"/>
      <x:c r="H395" s="15" t="str">
        <x:v>flip_flops</x:v>
      </x:c>
      <x:c r="I395" s="15" t="str"/>
      <x:c r="J395" s="15" t="str"/>
      <x:c r="K395" s="15" t="str">
        <x:v>arch_support</x:v>
      </x:c>
      <x:c r="L395" s="15" t="str"/>
      <x:c r="M395" s="15" t="str"/>
      <x:c r="N395" s="15" t="str"/>
      <x:c r="O395" s="15" t="str"/>
      <x:c r="P395" s="15" t="str"/>
      <x:c r="Q395" s="15" t="str"/>
      <x:c r="R395" s="15" t="str">
        <x:v>用户想找有足弓支撑的人字拖鞋，未指定穿着者性别。</x:v>
      </x:c>
      <x:c r="S395" s="10" t="str">
        <x:v>consideration</x:v>
      </x:c>
      <x:c r="T395" s="15" t="str">
        <x:v>explicit | page_validated | inferred</x:v>
      </x:c>
      <x:c r="U395" s="10" t="str">
        <x:v>medium</x:v>
      </x:c>
      <x:c r="V395" s="15" t="str">
        <x:v>arch_flip_flops</x:v>
      </x:c>
      <x:c r="W395" s="15" t="str">
        <x:v>cluster_route</x:v>
      </x:c>
      <x:c r="X395" s="15" t="str">
        <x:v>{"product_type":[{"value":"flip_flops","evidence_type":"explicit","source_span":"flip flops","fact_ids":[],"rationale":"搜索词明确指定人字拖"},{"value":"flip_flops","evidence_type":"page_validated","source_span":"","fact_ids":["style_flip_flop"],"rationale":"该槽位与商品基准中的明示页面事实一致。"}],"capability_intent":[{"value":"arch_support","evidence_type":"inferred","source_span":"arch","fact_ids":[],"rationale":"arch为arch support的简写"},{"value":"arch_support","evidence_type":"page_validated","source_span":"","fact_ids":["arch_support"],"rationale":"该槽位与商品基准中的明示页面事实一致。"}],"primary_domain":[{"value":"clothing_shoes_jewelry","evidence_type":"inferred","source_span":"","fact_ids":[],"rationale":"该值由搜索词整体语义推断，未作为页面明示属性。"}]}</x:v>
      </x:c>
      <x:c r="Y395" s="15" t="str">
        <x:v>audience_unspecified</x:v>
      </x:c>
      <x:c r="Z395" s="10" t="str">
        <x:v>match</x:v>
      </x:c>
      <x:c r="AA395" s="15" t="str">
        <x:v>style_flip_flop | arch_support</x:v>
      </x:c>
      <x:c r="AB395" s="10" t="str">
        <x:v>accepted</x:v>
      </x:c>
      <x:c r="AC395" s="10" t="str">
        <x:v>1.0.0</x:v>
      </x:c>
      <x:c r="AD395" s="10" t="str">
        <x:v>1.1.0</x:v>
      </x:c>
      <x:c r="AE395" s="10" t="str">
        <x:v>deepseek/deepseek-v4-pro</x:v>
      </x:c>
      <x:c r="AF395" s="10" t="str">
        <x:v>aj2-y90-20260714T234810-0bea2f52</x:v>
      </x:c>
      <x:c r="AG395" s="10" t="str">
        <x:v>full-0020</x:v>
      </x:c>
      <x:c r="AH395" s="10" t="str">
        <x:v>full</x:v>
      </x:c>
      <x:c r="AI395" s="10" t="n">
        <x:v>20</x:v>
      </x:c>
    </x:row>
    <x:row r="396" ht="34" customHeight="1">
      <x:c r="A396" s="16" t="str">
        <x:v>joomra women's flip flops</x:v>
      </x:c>
      <x:c r="B396" s="16" t="str">
        <x:v>joomra women's flip flops</x:v>
      </x:c>
      <x:c r="C396" s="13" t="str">
        <x:v>992f5138a23c2c52</x:v>
      </x:c>
      <x:c r="D396" s="13" t="str">
        <x:v>keyword</x:v>
      </x:c>
      <x:c r="E396" s="13" t="str">
        <x:v>en</x:v>
      </x:c>
      <x:c r="F396" s="13" t="str">
        <x:v>clothing_shoes_jewelry</x:v>
      </x:c>
      <x:c r="G396" s="16" t="str"/>
      <x:c r="H396" s="16" t="str">
        <x:v>flip_flops</x:v>
      </x:c>
      <x:c r="I396" s="16" t="str">
        <x:v>womens</x:v>
      </x:c>
      <x:c r="J396" s="16" t="str"/>
      <x:c r="K396" s="16" t="str"/>
      <x:c r="L396" s="16" t="str"/>
      <x:c r="M396" s="16" t="str"/>
      <x:c r="N396" s="16" t="str"/>
      <x:c r="O396" s="16" t="str"/>
      <x:c r="P396" s="16" t="str"/>
      <x:c r="Q396" s="16" t="str"/>
      <x:c r="R396" s="16" t="str">
        <x:v>用户搜索Joomra品牌女士人字拖鞋。</x:v>
      </x:c>
      <x:c r="S396" s="13" t="str">
        <x:v>brand_harvest</x:v>
      </x:c>
      <x:c r="T396" s="16" t="str">
        <x:v>explicit | page_validated</x:v>
      </x:c>
      <x:c r="U396" s="13" t="str">
        <x:v>high</x:v>
      </x:c>
      <x:c r="V396" s="16" t="str">
        <x:v>joomra_womens_flip_flops</x:v>
      </x:c>
      <x:c r="W396" s="16" t="str">
        <x:v>cluster_route</x:v>
      </x:c>
      <x:c r="X396" s="16" t="str">
        <x:v>{"product_type":[{"value":"flip_flops","evidence_type":"explicit","source_span":"flip flops","fact_ids":[],"rationale":"搜索词明确指定人字拖"},{"value":"flip_flops","evidence_type":"page_validated","source_span":"","fact_ids":["style_flip_flop"],"rationale":"该槽位与商品基准中的明示页面事实一致。"}],"audience_intent":[{"value":"womens","evidence_type":"explicit","source_span":"women's","fact_ids":[],"rationale":"搜索词明确指定女士"},{"value":"womens","evidence_type":"page_validated","source_span":"","fact_ids":["title_womens_flip_flop"],"rationale":"该槽位与商品基准中的明示页面事实一致。"},{"value":"womens","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brand":[{"value":"joomra","evidence_type":"explicit","source_span":"joomra","fact_ids":[],"rationale":"搜索词明确包含品牌名称。"}]}</x:v>
      </x:c>
      <x:c r="Y396" s="16" t="str"/>
      <x:c r="Z396" s="13" t="str">
        <x:v>match</x:v>
      </x:c>
      <x:c r="AA396" s="16" t="str">
        <x:v>title_womens_flip_flop | style_flip_flop</x:v>
      </x:c>
      <x:c r="AB396" s="13" t="str">
        <x:v>accepted</x:v>
      </x:c>
      <x:c r="AC396" s="13" t="str">
        <x:v>1.0.0</x:v>
      </x:c>
      <x:c r="AD396" s="13" t="str">
        <x:v>1.1.0</x:v>
      </x:c>
      <x:c r="AE396" s="13" t="str">
        <x:v>deepseek/deepseek-v4-pro</x:v>
      </x:c>
      <x:c r="AF396" s="13" t="str">
        <x:v>aj2-y90-20260714T234810-0bea2f52</x:v>
      </x:c>
      <x:c r="AG396" s="13" t="str">
        <x:v>full-0020</x:v>
      </x:c>
      <x:c r="AH396" s="13" t="str">
        <x:v>full</x:v>
      </x:c>
      <x:c r="AI396" s="13" t="n">
        <x:v>20</x:v>
      </x:c>
    </x:row>
    <x:row r="397" ht="34" customHeight="1">
      <x:c r="A397" s="15" t="str">
        <x:v>womens white flip flops cheap</x:v>
      </x:c>
      <x:c r="B397" s="15" t="str">
        <x:v>womens white flip flops cheap</x:v>
      </x:c>
      <x:c r="C397" s="10" t="str">
        <x:v>9b2a3962845a6e9f</x:v>
      </x:c>
      <x:c r="D397" s="10" t="str">
        <x:v>keyword</x:v>
      </x:c>
      <x:c r="E397" s="10" t="str">
        <x:v>en</x:v>
      </x:c>
      <x:c r="F397" s="10" t="str">
        <x:v>clothing_shoes_jewelry</x:v>
      </x:c>
      <x:c r="G397" s="15" t="str"/>
      <x:c r="H397" s="15" t="str">
        <x:v>flip_flops</x:v>
      </x:c>
      <x:c r="I397" s="15" t="str">
        <x:v>womens</x:v>
      </x:c>
      <x:c r="J397" s="15" t="str"/>
      <x:c r="K397" s="15" t="str"/>
      <x:c r="L397" s="15" t="str"/>
      <x:c r="M397" s="15" t="str"/>
      <x:c r="N397" s="15" t="str"/>
      <x:c r="O397" s="15" t="str"/>
      <x:c r="P397" s="15" t="str"/>
      <x:c r="Q397" s="15" t="str"/>
      <x:c r="R397" s="15" t="str">
        <x:v>用户想找便宜的白色女士人字拖鞋。</x:v>
      </x:c>
      <x:c r="S397" s="10" t="str">
        <x:v>high_intent</x:v>
      </x:c>
      <x:c r="T397" s="15" t="str">
        <x:v>explicit | page_validated</x:v>
      </x:c>
      <x:c r="U397" s="10" t="str">
        <x:v>high</x:v>
      </x:c>
      <x:c r="V397" s="15" t="str">
        <x:v>womens_white_flip_flops</x:v>
      </x:c>
      <x:c r="W397" s="15" t="str">
        <x:v>cluster_route</x:v>
      </x:c>
      <x:c r="X397" s="15" t="str">
        <x:v>{"product_type":[{"value":"flip_flops","evidence_type":"explicit","source_span":"flip flops","fact_ids":[],"rationale":"搜索词明确指定人字拖"},{"value":"flip_flops","evidence_type":"page_validated","source_span":"","fact_ids":["style_flip_flop"],"rationale":"该槽位与商品基准中的明示页面事实一致。"}],"audience_intent":[{"value":"womens","evidence_type":"explicit","source_span":"womens","fact_ids":[],"rationale":"搜索词明确指定女士"},{"value":"womens","evidence_type":"page_validated","source_span":"","fact_ids":["title_womens_flip_flop"],"rationale":"该槽位与商品基准中的明示页面事实一致。"}],"primary_domain":[{"value":"clothing_shoes_jewelry","evidence_type":"inferred","source_span":"","fact_ids":[],"rationale":"该值由搜索词整体语义推断，未作为页面明示属性。"}]}</x:v>
      </x:c>
      <x:c r="Y397" s="15" t="str">
        <x:v>price_sensitive</x:v>
      </x:c>
      <x:c r="Z397" s="10" t="str">
        <x:v>match</x:v>
      </x:c>
      <x:c r="AA397" s="15" t="str">
        <x:v>title_womens_flip_flop | style_flip_flop | colors_visible</x:v>
      </x:c>
      <x:c r="AB397" s="10" t="str">
        <x:v>accepted</x:v>
      </x:c>
      <x:c r="AC397" s="10" t="str">
        <x:v>1.0.0</x:v>
      </x:c>
      <x:c r="AD397" s="10" t="str">
        <x:v>1.1.0</x:v>
      </x:c>
      <x:c r="AE397" s="10" t="str">
        <x:v>deepseek/deepseek-v4-pro</x:v>
      </x:c>
      <x:c r="AF397" s="10" t="str">
        <x:v>aj2-y90-20260714T234810-0bea2f52</x:v>
      </x:c>
      <x:c r="AG397" s="10" t="str">
        <x:v>full-0020</x:v>
      </x:c>
      <x:c r="AH397" s="10" t="str">
        <x:v>full</x:v>
      </x:c>
      <x:c r="AI397" s="10" t="n">
        <x:v>20</x:v>
      </x:c>
    </x:row>
    <x:row r="398" ht="34" customHeight="1">
      <x:c r="A398" s="16" t="str">
        <x:v>flip flops for women water</x:v>
      </x:c>
      <x:c r="B398" s="16" t="str">
        <x:v>flip flops for women water</x:v>
      </x:c>
      <x:c r="C398" s="13" t="str">
        <x:v>9bf117bdff71f394</x:v>
      </x:c>
      <x:c r="D398" s="13" t="str">
        <x:v>keyword</x:v>
      </x:c>
      <x:c r="E398" s="13" t="str">
        <x:v>en</x:v>
      </x:c>
      <x:c r="F398" s="13" t="str">
        <x:v>clothing_shoes_jewelry</x:v>
      </x:c>
      <x:c r="G398" s="16" t="str">
        <x:v>sports_outdoors</x:v>
      </x:c>
      <x:c r="H398" s="16" t="str">
        <x:v>flip_flops</x:v>
      </x:c>
      <x:c r="I398" s="16" t="str">
        <x:v>womens</x:v>
      </x:c>
      <x:c r="J398" s="16" t="str"/>
      <x:c r="K398" s="16" t="str"/>
      <x:c r="L398" s="16" t="str">
        <x:v>water_activities</x:v>
      </x:c>
      <x:c r="M398" s="16" t="str">
        <x:v>water</x:v>
      </x:c>
      <x:c r="N398" s="16" t="str"/>
      <x:c r="O398" s="16" t="str"/>
      <x:c r="P398" s="16" t="str"/>
      <x:c r="Q398" s="16" t="str"/>
      <x:c r="R398" s="16" t="str">
        <x:v>用户想找女士涉水穿着的人字拖鞋。</x:v>
      </x:c>
      <x:c r="S398" s="13" t="str">
        <x:v>exploration</x:v>
      </x:c>
      <x:c r="T398" s="16" t="str">
        <x:v>explicit | inferred</x:v>
      </x:c>
      <x:c r="U398" s="13" t="str">
        <x:v>medium</x:v>
      </x:c>
      <x:c r="V398" s="16" t="str">
        <x:v>water_flip_flops_womens</x:v>
      </x:c>
      <x:c r="W398" s="16" t="str">
        <x:v>listing_gap_review</x:v>
      </x:c>
      <x:c r="X398" s="16" t="str">
        <x:v>{"product_type":[{"value":"flip_flops","evidence_type":"explicit","source_span":"flip flops","fact_ids":[],"rationale":"搜索词明确指定人字拖"},{"value":"flip_flops","evidence_type":"page_validated","source_span":"","fact_ids":["style_flip_flop"],"rationale":"该槽位与商品基准中的明示页面事实一致。"}],"audience_intent":[{"value":"womens","evidence_type":"explicit","source_span":"women","fact_ids":[],"rationale":"搜索词明确指定女士"},{"value":"womens","evidence_type":"page_validated","source_span":"","fact_ids":["title_womens_flip_flop"],"rationale":"该槽位与商品基准中的明示页面事实一致。"},{"value":"womens","evidence_type":"inferred","source_span":"","fact_ids":[],"rationale":"该能力由搜索词表达的任务或问题推断；页面事实仅用于验证商品承接。"}],"location_intent":[{"value":"water","evidence_type":"explicit","source_span":"water","fact_ids":[],"rationale":"搜索词明确提及涉水场景"}],"event_intent":[{"value":"water_activities","evidence_type":"inferred","source_span":"water","fact_ids":[],"rationale":"涉水场景推断为水上活动需求"}],"secondary_domain":[{"value":"sports_outdoors","evidence_type":"inferred","source_span":"","fact_ids":[],"rationale":"该值由搜索词整体语义推断，未作为页面明示属性。"}],"primary_domain":[{"value":"clothing_shoes_jewelry","evidence_type":"inferred","source_span":"","fact_ids":[],"rationale":"该值由搜索词整体语义推断，未作为页面明示属性。"}]}</x:v>
      </x:c>
      <x:c r="Y398" s="16" t="str"/>
      <x:c r="Z398" s="13" t="str">
        <x:v>partial_match</x:v>
      </x:c>
      <x:c r="AA398" s="16" t="str">
        <x:v>title_womens_flip_flop | style_flip_flop</x:v>
      </x:c>
      <x:c r="AB398" s="13" t="str">
        <x:v>accepted</x:v>
      </x:c>
      <x:c r="AC398" s="13" t="str">
        <x:v>1.0.0</x:v>
      </x:c>
      <x:c r="AD398" s="13" t="str">
        <x:v>1.1.0</x:v>
      </x:c>
      <x:c r="AE398" s="13" t="str">
        <x:v>deepseek/deepseek-v4-pro</x:v>
      </x:c>
      <x:c r="AF398" s="13" t="str">
        <x:v>aj2-y90-20260714T234810-0bea2f52</x:v>
      </x:c>
      <x:c r="AG398" s="13" t="str">
        <x:v>full-0020</x:v>
      </x:c>
      <x:c r="AH398" s="13" t="str">
        <x:v>full</x:v>
      </x:c>
      <x:c r="AI398" s="13" t="n">
        <x:v>20</x:v>
      </x:c>
    </x:row>
    <x:row r="399" ht="34" customHeight="1">
      <x:c r="A399" s="15" t="str">
        <x:v>plantar fasciitis sandals for women under 10</x:v>
      </x:c>
      <x:c r="B399" s="15" t="str">
        <x:v>plantar fasciitis sandals for women under 10</x:v>
      </x:c>
      <x:c r="C399" s="10" t="str">
        <x:v>a666e1d14e27ba57</x:v>
      </x:c>
      <x:c r="D399" s="10" t="str">
        <x:v>keyword</x:v>
      </x:c>
      <x:c r="E399" s="10" t="str">
        <x:v>en</x:v>
      </x:c>
      <x:c r="F399" s="10" t="str">
        <x:v>clothing_shoes_jewelry</x:v>
      </x:c>
      <x:c r="G399" s="15" t="str">
        <x:v>health_household</x:v>
      </x:c>
      <x:c r="H399" s="15" t="str">
        <x:v>sandals</x:v>
      </x:c>
      <x:c r="I399" s="15" t="str">
        <x:v>womens</x:v>
      </x:c>
      <x:c r="J399" s="15" t="str"/>
      <x:c r="K399" s="15" t="str">
        <x:v>arch_support</x:v>
      </x:c>
      <x:c r="L399" s="15" t="str"/>
      <x:c r="M399" s="15" t="str"/>
      <x:c r="N399" s="15" t="str">
        <x:v>plantar_fasciitis</x:v>
      </x:c>
      <x:c r="O399" s="15" t="str"/>
      <x:c r="P399" s="15" t="str"/>
      <x:c r="Q399" s="15" t="str"/>
      <x:c r="R399" s="15" t="str">
        <x:v>用户想找10美元以下适合足底筋膜炎的女士凉鞋。</x:v>
      </x:c>
      <x:c r="S399" s="10" t="str">
        <x:v>consideration</x:v>
      </x:c>
      <x:c r="T399" s="15" t="str">
        <x:v>explicit | page_validated | inferred</x:v>
      </x:c>
      <x:c r="U399" s="10" t="str">
        <x:v>medium</x:v>
      </x:c>
      <x:c r="V399" s="15" t="str">
        <x:v>plantar_fasciitis_sandals_womens</x:v>
      </x:c>
      <x:c r="W399" s="15" t="str">
        <x:v>listing_gap_review</x:v>
      </x:c>
      <x:c r="X399" s="15" t="str">
        <x:v>{"product_type":[{"value":"sandals","evidence_type":"explicit","source_span":"sandals","fact_ids":[],"rationale":"搜索词明确指定凉鞋"},{"value":"sandals","evidence_type":"page_validated","source_span":"","fact_ids":["title_womens_flip_flop"],"rationale":"该槽位与商品基准中的明示页面事实一致。"}],"audience_intent":[{"value":"womens","evidence_type":"explicit","source_span":"women","fact_ids":[],"rationale":"搜索词明确指定女士"},{"value":"womens","evidence_type":"page_validated","source_span":"","fact_ids":["title_womens_flip_flop"],"rationale":"该槽位与商品基准中的明示页面事实一致。"},{"value":"womens","evidence_type":"inferred","source_span":"","fact_ids":[],"rationale":"该能力由搜索词表达的任务或问题推断；页面事实仅用于验证商品承接。"}],"body_need_intent":[{"value":"plantar_fasciitis","evidence_type":"explicit","source_span":"plantar fasciitis","fact_ids":[],"rationale":"搜索词明确提及足底筋膜炎"}],"capability_intent":[{"value":"arch_support","evidence_type":"inferred","source_span":"plantar fasciitis","fact_ids":[],"rationale":"足底筋膜炎隐含足弓支撑需求"},{"value":"arch_support","evidence_type":"page_validated","source_span":"","fact_ids":["arch_support"],"rationale":"该槽位与商品基准中的明示页面事实一致。"}],"secondary_domain":[{"value":"health_household","evidence_type":"inferred","source_span":"","fact_ids":[],"rationale":"该值由搜索词整体语义推断，未作为页面明示属性。"}],"primary_domain":[{"value":"clothing_shoes_jewelry","evidence_type":"inferred","source_span":"","fact_ids":[],"rationale":"该值由搜索词整体语义推断，未作为页面明示属性。"}]}</x:v>
      </x:c>
      <x:c r="Y399" s="15" t="str">
        <x:v>price_sensitive | no_treatment_claim</x:v>
      </x:c>
      <x:c r="Z399" s="10" t="str">
        <x:v>partial_match</x:v>
      </x:c>
      <x:c r="AA399" s="15" t="str">
        <x:v>arch_support | sizes_6_11</x:v>
      </x:c>
      <x:c r="AB399" s="10" t="str">
        <x:v>accepted</x:v>
      </x:c>
      <x:c r="AC399" s="10" t="str">
        <x:v>1.0.0</x:v>
      </x:c>
      <x:c r="AD399" s="10" t="str">
        <x:v>1.1.0</x:v>
      </x:c>
      <x:c r="AE399" s="10" t="str">
        <x:v>deepseek/deepseek-v4-pro</x:v>
      </x:c>
      <x:c r="AF399" s="10" t="str">
        <x:v>aj2-y90-20260714T234810-0bea2f52</x:v>
      </x:c>
      <x:c r="AG399" s="10" t="str">
        <x:v>full-0020</x:v>
      </x:c>
      <x:c r="AH399" s="10" t="str">
        <x:v>full</x:v>
      </x:c>
      <x:c r="AI399" s="10" t="n">
        <x:v>20</x:v>
      </x:c>
    </x:row>
    <x:row r="400" ht="34" customHeight="1">
      <x:c r="A400" s="16" t="str">
        <x:v>womens light pink flip flops</x:v>
      </x:c>
      <x:c r="B400" s="16" t="str">
        <x:v>womens light pink flip flops</x:v>
      </x:c>
      <x:c r="C400" s="13" t="str">
        <x:v>cfb5b7c5f01ee887</x:v>
      </x:c>
      <x:c r="D400" s="13" t="str">
        <x:v>keyword</x:v>
      </x:c>
      <x:c r="E400" s="13" t="str">
        <x:v>en</x:v>
      </x:c>
      <x:c r="F400" s="13" t="str">
        <x:v>clothing_shoes_jewelry</x:v>
      </x:c>
      <x:c r="G400" s="16" t="str"/>
      <x:c r="H400" s="16" t="str">
        <x:v>flip_flops</x:v>
      </x:c>
      <x:c r="I400" s="16" t="str">
        <x:v>womens</x:v>
      </x:c>
      <x:c r="J400" s="16" t="str"/>
      <x:c r="K400" s="16" t="str"/>
      <x:c r="L400" s="16" t="str"/>
      <x:c r="M400" s="16" t="str"/>
      <x:c r="N400" s="16" t="str"/>
      <x:c r="O400" s="16" t="str"/>
      <x:c r="P400" s="16" t="str"/>
      <x:c r="Q400" s="16" t="str"/>
      <x:c r="R400" s="16" t="str">
        <x:v>用户想找浅粉色女士人字拖鞋。</x:v>
      </x:c>
      <x:c r="S400" s="13" t="str">
        <x:v>high_intent</x:v>
      </x:c>
      <x:c r="T400" s="16" t="str">
        <x:v>explicit | page_validated</x:v>
      </x:c>
      <x:c r="U400" s="13" t="str">
        <x:v>high</x:v>
      </x:c>
      <x:c r="V400" s="16" t="str">
        <x:v>womens_light_pink_flip_flops</x:v>
      </x:c>
      <x:c r="W400" s="16" t="str">
        <x:v>cluster_route</x:v>
      </x:c>
      <x:c r="X400" s="16" t="str">
        <x:v>{"product_type":[{"value":"flip_flops","evidence_type":"explicit","source_span":"flip flops","fact_ids":[],"rationale":"搜索词明确指定人字拖"},{"value":"flip_flops","evidence_type":"page_validated","source_span":"","fact_ids":["style_flip_flop"],"rationale":"该槽位与商品基准中的明示页面事实一致。"}],"audience_intent":[{"value":"womens","evidence_type":"explicit","source_span":"womens","fact_ids":[],"rationale":"搜索词明确指定女士"},{"value":"womens","evidence_type":"page_validated","source_span":"","fact_ids":["title_womens_flip_flop"],"rationale":"该槽位与商品基准中的明示页面事实一致。"}],"primary_domain":[{"value":"clothing_shoes_jewelry","evidence_type":"inferred","source_span":"","fact_ids":[],"rationale":"该值由搜索词整体语义推断，未作为页面明示属性。"}]}</x:v>
      </x:c>
      <x:c r="Y400" s="16" t="str">
        <x:v>color_shade_approximate</x:v>
      </x:c>
      <x:c r="Z400" s="13" t="str">
        <x:v>match</x:v>
      </x:c>
      <x:c r="AA400" s="16" t="str">
        <x:v>title_womens_flip_flop | style_flip_flop | colors_visible</x:v>
      </x:c>
      <x:c r="AB400" s="13" t="str">
        <x:v>accepted</x:v>
      </x:c>
      <x:c r="AC400" s="13" t="str">
        <x:v>1.0.0</x:v>
      </x:c>
      <x:c r="AD400" s="13" t="str">
        <x:v>1.1.0</x:v>
      </x:c>
      <x:c r="AE400" s="13" t="str">
        <x:v>deepseek/deepseek-v4-pro</x:v>
      </x:c>
      <x:c r="AF400" s="13" t="str">
        <x:v>aj2-y90-20260714T234810-0bea2f52</x:v>
      </x:c>
      <x:c r="AG400" s="13" t="str">
        <x:v>full-0020</x:v>
      </x:c>
      <x:c r="AH400" s="13" t="str">
        <x:v>full</x:v>
      </x:c>
      <x:c r="AI400" s="13" t="n">
        <x:v>20</x:v>
      </x:c>
    </x:row>
    <x:row r="401" ht="34" customHeight="1">
      <x:c r="A401" s="15" t="str">
        <x:v>black women's flip flops</x:v>
      </x:c>
      <x:c r="B401" s="15" t="str">
        <x:v>black women's flip flops</x:v>
      </x:c>
      <x:c r="C401" s="10" t="str">
        <x:v>d041f140e3cd54fc</x:v>
      </x:c>
      <x:c r="D401" s="10" t="str">
        <x:v>keyword</x:v>
      </x:c>
      <x:c r="E401" s="10" t="str">
        <x:v>en</x:v>
      </x:c>
      <x:c r="F401" s="10" t="str">
        <x:v>clothing_shoes_jewelry</x:v>
      </x:c>
      <x:c r="G401" s="15" t="str"/>
      <x:c r="H401" s="15" t="str">
        <x:v>flip_flops</x:v>
      </x:c>
      <x:c r="I401" s="15" t="str">
        <x:v>womens</x:v>
      </x:c>
      <x:c r="J401" s="15" t="str"/>
      <x:c r="K401" s="15" t="str"/>
      <x:c r="L401" s="15" t="str"/>
      <x:c r="M401" s="15" t="str"/>
      <x:c r="N401" s="15" t="str"/>
      <x:c r="O401" s="15" t="str"/>
      <x:c r="P401" s="15" t="str"/>
      <x:c r="Q401" s="15" t="str"/>
      <x:c r="R401" s="15" t="str">
        <x:v>用户想找黑色女士人字拖鞋。</x:v>
      </x:c>
      <x:c r="S401" s="10" t="str">
        <x:v>high_intent</x:v>
      </x:c>
      <x:c r="T401" s="15" t="str">
        <x:v>explicit | page_validated</x:v>
      </x:c>
      <x:c r="U401" s="10" t="str">
        <x:v>high</x:v>
      </x:c>
      <x:c r="V401" s="15" t="str">
        <x:v>womens_black_flip_flops</x:v>
      </x:c>
      <x:c r="W401" s="15" t="str">
        <x:v>cluster_route</x:v>
      </x:c>
      <x:c r="X401" s="15" t="str">
        <x:v>{"product_type":[{"value":"flip_flops","evidence_type":"explicit","source_span":"flip flops","fact_ids":[],"rationale":"搜索词明确指定人字拖"},{"value":"flip_flops","evidence_type":"page_validated","source_span":"","fact_ids":["style_flip_flop"],"rationale":"该槽位与商品基准中的明示页面事实一致。"}],"audience_intent":[{"value":"womens","evidence_type":"explicit","source_span":"women's","fact_ids":[],"rationale":"搜索词明确指定女士"},{"value":"womens","evidence_type":"page_validated","source_span":"","fact_ids":["title_womens_flip_flop"],"rationale":"该槽位与商品基准中的明示页面事实一致。"},{"value":"womens","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401" s="15" t="str"/>
      <x:c r="Z401" s="10" t="str">
        <x:v>match</x:v>
      </x:c>
      <x:c r="AA401" s="15" t="str">
        <x:v>title_womens_flip_flop | style_flip_flop | colors_visible</x:v>
      </x:c>
      <x:c r="AB401" s="10" t="str">
        <x:v>accepted</x:v>
      </x:c>
      <x:c r="AC401" s="10" t="str">
        <x:v>1.0.0</x:v>
      </x:c>
      <x:c r="AD401" s="10" t="str">
        <x:v>1.1.0</x:v>
      </x:c>
      <x:c r="AE401" s="10" t="str">
        <x:v>deepseek/deepseek-v4-pro</x:v>
      </x:c>
      <x:c r="AF401" s="10" t="str">
        <x:v>aj2-y90-20260714T234810-0bea2f52</x:v>
      </x:c>
      <x:c r="AG401" s="10" t="str">
        <x:v>full-0020</x:v>
      </x:c>
      <x:c r="AH401" s="10" t="str">
        <x:v>full</x:v>
      </x:c>
      <x:c r="AI401" s="10" t="n">
        <x:v>20</x:v>
      </x:c>
    </x:row>
    <x:row r="402" ht="34" customHeight="1">
      <x:c r="A402" s="16" t="str">
        <x:v>flip flops soft cushion</x:v>
      </x:c>
      <x:c r="B402" s="16" t="str">
        <x:v>flip flops soft cushion</x:v>
      </x:c>
      <x:c r="C402" s="13" t="str">
        <x:v>0f82e889d322ab3b</x:v>
      </x:c>
      <x:c r="D402" s="13" t="str">
        <x:v>keyword</x:v>
      </x:c>
      <x:c r="E402" s="13" t="str">
        <x:v>en</x:v>
      </x:c>
      <x:c r="F402" s="13" t="str">
        <x:v>clothing_shoes_jewelry</x:v>
      </x:c>
      <x:c r="G402" s="16" t="str"/>
      <x:c r="H402" s="16" t="str">
        <x:v>flip_flops</x:v>
      </x:c>
      <x:c r="I402" s="16" t="str"/>
      <x:c r="J402" s="16" t="str">
        <x:v>cushioning | comfort</x:v>
      </x:c>
      <x:c r="K402" s="16" t="str">
        <x:v>soft_cushion</x:v>
      </x:c>
      <x:c r="L402" s="16" t="str"/>
      <x:c r="M402" s="16" t="str"/>
      <x:c r="N402" s="16" t="str"/>
      <x:c r="O402" s="16" t="str"/>
      <x:c r="P402" s="16" t="str"/>
      <x:c r="Q402" s="16" t="str"/>
      <x:c r="R402" s="16" t="str">
        <x:v>用户寻找鞋底柔软有缓冲的夹脚凉鞋。</x:v>
      </x:c>
      <x:c r="S402" s="13" t="str">
        <x:v>consideration</x:v>
      </x:c>
      <x:c r="T402" s="16" t="str">
        <x:v>explicit | page_validated</x:v>
      </x:c>
      <x:c r="U402" s="13" t="str">
        <x:v>high</x:v>
      </x:c>
      <x:c r="V402" s="16" t="str">
        <x:v>soft_cushion_flip_flops</x:v>
      </x:c>
      <x:c r="W402" s="16" t="str">
        <x:v>cluster_route</x:v>
      </x:c>
      <x:c r="X402" s="16" t="str">
        <x:v>{"product_type":[{"value":"flip_flops","evidence_type":"explicit","source_span":"flip flops","fact_ids":[],"rationale":""},{"value":"flip_flops","evidence_type":"page_validated","source_span":"","fact_ids":["style_flip_flop"],"rationale":"该槽位与商品基准中的明示页面事实一致。"}],"capability_intent":[{"value":"soft_cushion","evidence_type":"explicit","source_span":"soft cushion","fact_ids":[],"rationale":""}],"function_intent":[{"value":"cushioning","evidence_type":"explicit","source_span":"soft cushion","fact_ids":[],"rationale":""},{"value":"cushioning","evidence_type":"page_validated","source_span":"","fact_ids":["padded_cushioning"],"rationale":"该槽位与商品基准中的明示页面事实一致。"},{"value":"cushioning","evidence_type":"inferred","source_span":"","fact_ids":[],"rationale":"该能力由搜索词表达的任务或问题推断；页面事实仅用于验证商品承接。"},{"value":"comfort","evidence_type":"page_validated","source_span":"","fact_ids":["arch_support","padded_cushioning"],"rationale":"该槽位与商品基准中的明示页面事实一致。"},{"value":"comfor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402" s="16" t="str"/>
      <x:c r="Z402" s="13" t="str">
        <x:v>match</x:v>
      </x:c>
      <x:c r="AA402" s="16" t="str">
        <x:v>style_flip_flop | padded_cushioning</x:v>
      </x:c>
      <x:c r="AB402" s="13" t="str">
        <x:v>accepted</x:v>
      </x:c>
      <x:c r="AC402" s="13" t="str">
        <x:v>1.0.0</x:v>
      </x:c>
      <x:c r="AD402" s="13" t="str">
        <x:v>1.1.0</x:v>
      </x:c>
      <x:c r="AE402" s="13" t="str">
        <x:v>deepseek/deepseek-v4-pro</x:v>
      </x:c>
      <x:c r="AF402" s="13" t="str">
        <x:v>aj2-y90-20260714T234810-0bea2f52</x:v>
      </x:c>
      <x:c r="AG402" s="13" t="str">
        <x:v>full-0021</x:v>
      </x:c>
      <x:c r="AH402" s="13" t="str">
        <x:v>full</x:v>
      </x:c>
      <x:c r="AI402" s="13" t="n">
        <x:v>21</x:v>
      </x:c>
    </x:row>
    <x:row r="403" ht="34" customHeight="1">
      <x:c r="A403" s="15" t="str">
        <x:v>flip flops brown and whitee</x:v>
      </x:c>
      <x:c r="B403" s="15" t="str">
        <x:v>flip flops brown and whitee</x:v>
      </x:c>
      <x:c r="C403" s="10" t="str">
        <x:v>11cec4266eea4bf3</x:v>
      </x:c>
      <x:c r="D403" s="10" t="str">
        <x:v>keyword</x:v>
      </x:c>
      <x:c r="E403" s="10" t="str">
        <x:v>en</x:v>
      </x:c>
      <x:c r="F403" s="10" t="str">
        <x:v>clothing_shoes_jewelry</x:v>
      </x:c>
      <x:c r="G403" s="15" t="str"/>
      <x:c r="H403" s="15" t="str">
        <x:v>flip_flops</x:v>
      </x:c>
      <x:c r="I403" s="15" t="str"/>
      <x:c r="J403" s="15" t="str"/>
      <x:c r="K403" s="15" t="str"/>
      <x:c r="L403" s="15" t="str"/>
      <x:c r="M403" s="15" t="str"/>
      <x:c r="N403" s="15" t="str"/>
      <x:c r="O403" s="15" t="str"/>
      <x:c r="P403" s="15" t="str"/>
      <x:c r="Q403" s="15" t="str"/>
      <x:c r="R403" s="15" t="str">
        <x:v>用户寻找棕色和白色的夹脚凉鞋。</x:v>
      </x:c>
      <x:c r="S403" s="10" t="str">
        <x:v>consideration</x:v>
      </x:c>
      <x:c r="T403" s="15" t="str">
        <x:v>explicit | page_validated</x:v>
      </x:c>
      <x:c r="U403" s="10" t="str">
        <x:v>high</x:v>
      </x:c>
      <x:c r="V403" s="15" t="str">
        <x:v>brown_white_flip_flops</x:v>
      </x:c>
      <x:c r="W403" s="15" t="str">
        <x:v>cluster_route</x:v>
      </x:c>
      <x:c r="X403" s="15" t="str">
        <x:v>{"product_type":[{"value":"flip_flops","evidence_type":"explicit","source_span":"flip flops","fact_ids":[],"rationale":""},{"value":"flip_flops","evidence_type":"page_validated","source_span":"","fact_ids":["style_flip_flop"],"rationale":"该槽位与商品基准中的明示页面事实一致。"}],"primary_domain":[{"value":"clothing_shoes_jewelry","evidence_type":"inferred","source_span":"","fact_ids":[],"rationale":"该值由搜索词整体语义推断，未作为页面明示属性。"}]}</x:v>
      </x:c>
      <x:c r="Y403" s="15" t="str">
        <x:v>spelling_ambiguity_whitee</x:v>
      </x:c>
      <x:c r="Z403" s="10" t="str">
        <x:v>match</x:v>
      </x:c>
      <x:c r="AA403" s="15" t="str">
        <x:v>style_flip_flop | colors_visible</x:v>
      </x:c>
      <x:c r="AB403" s="10" t="str">
        <x:v>accepted</x:v>
      </x:c>
      <x:c r="AC403" s="10" t="str">
        <x:v>1.0.0</x:v>
      </x:c>
      <x:c r="AD403" s="10" t="str">
        <x:v>1.1.0</x:v>
      </x:c>
      <x:c r="AE403" s="10" t="str">
        <x:v>deepseek/deepseek-v4-pro</x:v>
      </x:c>
      <x:c r="AF403" s="10" t="str">
        <x:v>aj2-y90-20260714T234810-0bea2f52</x:v>
      </x:c>
      <x:c r="AG403" s="10" t="str">
        <x:v>full-0021</x:v>
      </x:c>
      <x:c r="AH403" s="10" t="str">
        <x:v>full</x:v>
      </x:c>
      <x:c r="AI403" s="10" t="n">
        <x:v>21</x:v>
      </x:c>
    </x:row>
    <x:row r="404" ht="34" customHeight="1">
      <x:c r="A404" s="16" t="str">
        <x:v>fashion comfort walking flip flops</x:v>
      </x:c>
      <x:c r="B404" s="16" t="str">
        <x:v>fashion comfort walking flip flops</x:v>
      </x:c>
      <x:c r="C404" s="13" t="str">
        <x:v>15a134f0db24507f</x:v>
      </x:c>
      <x:c r="D404" s="13" t="str">
        <x:v>keyword</x:v>
      </x:c>
      <x:c r="E404" s="13" t="str">
        <x:v>en</x:v>
      </x:c>
      <x:c r="F404" s="13" t="str">
        <x:v>clothing_shoes_jewelry</x:v>
      </x:c>
      <x:c r="G404" s="16" t="str">
        <x:v>sports_outdoors</x:v>
      </x:c>
      <x:c r="H404" s="16" t="str">
        <x:v>flip_flops</x:v>
      </x:c>
      <x:c r="I404" s="16" t="str"/>
      <x:c r="J404" s="16" t="str">
        <x:v>comfort | walking_support</x:v>
      </x:c>
      <x:c r="K404" s="16" t="str">
        <x:v>arch_support | cushioning | slip_resistance</x:v>
      </x:c>
      <x:c r="L404" s="16" t="str">
        <x:v>walking | fashion</x:v>
      </x:c>
      <x:c r="M404" s="16" t="str">
        <x:v>outdoor</x:v>
      </x:c>
      <x:c r="N404" s="16" t="str"/>
      <x:c r="O404" s="16" t="str"/>
      <x:c r="P404" s="16" t="str"/>
      <x:c r="Q404" s="16" t="str"/>
      <x:c r="R404" s="16" t="str">
        <x:v>用户寻找既时尚又舒适、适合长时间步行的夹脚凉鞋。</x:v>
      </x:c>
      <x:c r="S404" s="13" t="str">
        <x:v>consideration</x:v>
      </x:c>
      <x:c r="T404" s="16" t="str">
        <x:v>explicit | page_validated | inferred</x:v>
      </x:c>
      <x:c r="U404" s="13" t="str">
        <x:v>high</x:v>
      </x:c>
      <x:c r="V404" s="16" t="str">
        <x:v>fashion_comfort_walking_flip_flops</x:v>
      </x:c>
      <x:c r="W404" s="16" t="str">
        <x:v>cluster_route</x:v>
      </x:c>
      <x:c r="X404" s="16" t="str">
        <x:v>{"product_type":[{"value":"flip_flops","evidence_type":"explicit","source_span":"flip flops","fact_ids":[],"rationale":""},{"value":"flip_flops","evidence_type":"page_validated","source_span":"","fact_ids":["style_flip_flop"],"rationale":"该槽位与商品基准中的明示页面事实一致。"}],"function_intent":[{"value":"comfort","evidence_type":"explicit","source_span":"comfort","fact_ids":[],"rationale":""},{"value":"comfort","evidence_type":"page_validated","source_span":"","fact_ids":["arch_support","padded_cushioning"],"rationale":"该槽位与商品基准中的明示页面事实一致。"},{"value":"walking_support","evidence_type":"inferred","source_span":"","fact_ids":[],"rationale":"该值由搜索词整体语义推断，未作为页面明示属性。"}],"event_intent":[{"value":"walking","evidence_type":"explicit","source_span":"walking","fact_ids":[],"rationale":""},{"value":"fashion","evidence_type":"explicit","source_span":"fashion","fact_ids":[],"rationale":""}],"capability_intent":[{"value":"arch_support","evidence_type":"page_validated","source_span":"","fact_ids":["arch_support"],"rationale":"该槽位与商品基准中的明示页面事实一致。"},{"value":"arch_support","evidence_type":"inferred","source_span":"","fact_ids":[],"rationale":"该能力由搜索词表达的任务或问题推断；页面事实仅用于验证商品承接。"},{"value":"cushioning","evidence_type":"page_validated","source_span":"","fact_ids":["padded_cushioning"],"rationale":"该槽位与商品基准中的明示页面事实一致。"},{"value":"cushioning","evidence_type":"inferred","source_span":"","fact_ids":[],"rationale":"该能力由搜索词表达的任务或问题推断；页面事实仅用于验证商品承接。"},{"value":"slip_resistance","evidence_type":"inferred","source_span":"","fact_ids":[],"rationale":"该值由搜索词整体语义推断，未作为页面明示属性。"}],"location_intent":[{"value":"outdoor","evidence_type":"page_validated","source_span":"","fact_ids":["style_outdoor"],"rationale":"该槽位与商品基准中的明示页面事实一致。"},{"value":"outdoor","evidence_type":"inferred","source_span":"","fact_ids":[],"rationale":"该能力由搜索词表达的任务或问题推断；页面事实仅用于验证商品承接。"}],"secondary_domain":[{"value":"sports_outdoors","evidence_type":"inferred","source_span":"","fact_ids":[],"rationale":"该值由搜索词整体语义推断，未作为页面明示属性。"}],"primary_domain":[{"value":"clothing_shoes_jewelry","evidence_type":"inferred","source_span":"","fact_ids":[],"rationale":"该值由搜索词整体语义推断，未作为页面明示属性。"}]}</x:v>
      </x:c>
      <x:c r="Y404" s="16" t="str"/>
      <x:c r="Z404" s="13" t="str">
        <x:v>match</x:v>
      </x:c>
      <x:c r="AA404" s="16" t="str">
        <x:v>style_flip_flop | arch_support | padded_cushioning | slip_resistant_grip | style_outdoor</x:v>
      </x:c>
      <x:c r="AB404" s="13" t="str">
        <x:v>accepted</x:v>
      </x:c>
      <x:c r="AC404" s="13" t="str">
        <x:v>1.0.0</x:v>
      </x:c>
      <x:c r="AD404" s="13" t="str">
        <x:v>1.1.0</x:v>
      </x:c>
      <x:c r="AE404" s="13" t="str">
        <x:v>deepseek/deepseek-v4-pro</x:v>
      </x:c>
      <x:c r="AF404" s="13" t="str">
        <x:v>aj2-y90-20260714T234810-0bea2f52</x:v>
      </x:c>
      <x:c r="AG404" s="13" t="str">
        <x:v>full-0021</x:v>
      </x:c>
      <x:c r="AH404" s="13" t="str">
        <x:v>full</x:v>
      </x:c>
      <x:c r="AI404" s="13" t="n">
        <x:v>21</x:v>
      </x:c>
    </x:row>
    <x:row r="405" ht="34" customHeight="1">
      <x:c r="A405" s="15" t="str">
        <x:v>womens memory foam flip flops</x:v>
      </x:c>
      <x:c r="B405" s="15" t="str">
        <x:v>womens memory foam flip flops</x:v>
      </x:c>
      <x:c r="C405" s="10" t="str">
        <x:v>1f7d210c44a225ef</x:v>
      </x:c>
      <x:c r="D405" s="10" t="str">
        <x:v>keyword</x:v>
      </x:c>
      <x:c r="E405" s="10" t="str">
        <x:v>en</x:v>
      </x:c>
      <x:c r="F405" s="10" t="str">
        <x:v>clothing_shoes_jewelry</x:v>
      </x:c>
      <x:c r="G405" s="15" t="str"/>
      <x:c r="H405" s="15" t="str">
        <x:v>flip_flops</x:v>
      </x:c>
      <x:c r="I405" s="15" t="str">
        <x:v>women</x:v>
      </x:c>
      <x:c r="J405" s="15" t="str">
        <x:v>cushioning | comfort</x:v>
      </x:c>
      <x:c r="K405" s="15" t="str">
        <x:v>memory_foam</x:v>
      </x:c>
      <x:c r="L405" s="15" t="str"/>
      <x:c r="M405" s="15" t="str"/>
      <x:c r="N405" s="15" t="str"/>
      <x:c r="O405" s="15" t="str"/>
      <x:c r="P405" s="15" t="str"/>
      <x:c r="Q405" s="15" t="str"/>
      <x:c r="R405" s="15" t="str">
        <x:v>女性用户需要一双配备记忆棉缓冲层的夹脚凉鞋。</x:v>
      </x:c>
      <x:c r="S405" s="10" t="str">
        <x:v>consideration</x:v>
      </x:c>
      <x:c r="T405" s="15" t="str">
        <x:v>explicit | page_validated | inferred</x:v>
      </x:c>
      <x:c r="U405" s="10" t="str">
        <x:v>medium</x:v>
      </x:c>
      <x:c r="V405" s="15" t="str">
        <x:v>memory_foam_womens_flip_flops</x:v>
      </x:c>
      <x:c r="W405" s="15" t="str">
        <x:v>listing_gap_review</x:v>
      </x:c>
      <x:c r="X405" s="15" t="str">
        <x:v>{"product_type":[{"value":"flip_flops","evidence_type":"explicit","source_span":"flip flops","fact_ids":[],"rationale":""},{"value":"flip_flops","evidence_type":"page_validated","source_span":"","fact_ids":["style_flip_flop"],"rationale":"该槽位与商品基准中的明示页面事实一致。"}],"audience_intent":[{"value":"women","evidence_type":"explicit","source_span":"womens","fact_ids":[],"rationale":""},{"value":"women","evidence_type":"page_validated","source_span":"","fact_ids":["title_womens_flip_flop"],"rationale":"该槽位与商品基准中的明示页面事实一致。"}],"capability_intent":[{"value":"memory_foam","evidence_type":"explicit","source_span":"memory foam","fact_ids":[],"rationale":""}],"function_intent":[{"value":"cushioning","evidence_type":"page_validated","source_span":"","fact_ids":["padded_cushioning"],"rationale":"该槽位与商品基准中的明示页面事实一致。"},{"value":"cushioning","evidence_type":"inferred","source_span":"","fact_ids":[],"rationale":"该能力由搜索词表达的任务或问题推断；页面事实仅用于验证商品承接。"},{"value":"comfort","evidence_type":"page_validated","source_span":"","fact_ids":["arch_support","padded_cushioning"],"rationale":"该槽位与商品基准中的明示页面事实一致。"},{"value":"comfor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405" s="15" t="str"/>
      <x:c r="Z405" s="10" t="str">
        <x:v>partial_match</x:v>
      </x:c>
      <x:c r="AA405" s="15" t="str">
        <x:v>title_womens_flip_flop | style_flip_flop | padded_cushioning</x:v>
      </x:c>
      <x:c r="AB405" s="10" t="str">
        <x:v>accepted</x:v>
      </x:c>
      <x:c r="AC405" s="10" t="str">
        <x:v>1.0.0</x:v>
      </x:c>
      <x:c r="AD405" s="10" t="str">
        <x:v>1.1.0</x:v>
      </x:c>
      <x:c r="AE405" s="10" t="str">
        <x:v>deepseek/deepseek-v4-pro</x:v>
      </x:c>
      <x:c r="AF405" s="10" t="str">
        <x:v>aj2-y90-20260714T234810-0bea2f52</x:v>
      </x:c>
      <x:c r="AG405" s="10" t="str">
        <x:v>full-0021</x:v>
      </x:c>
      <x:c r="AH405" s="10" t="str">
        <x:v>full</x:v>
      </x:c>
      <x:c r="AI405" s="10" t="n">
        <x:v>21</x:v>
      </x:c>
    </x:row>
    <x:row r="406" ht="34" customHeight="1">
      <x:c r="A406" s="16" t="str">
        <x:v>flip flops with arch support women comfortable high quality</x:v>
      </x:c>
      <x:c r="B406" s="16" t="str">
        <x:v>flip flops with arch support women comfortable high quality</x:v>
      </x:c>
      <x:c r="C406" s="13" t="str">
        <x:v>2383eb2f8f45c532</x:v>
      </x:c>
      <x:c r="D406" s="13" t="str">
        <x:v>keyword</x:v>
      </x:c>
      <x:c r="E406" s="13" t="str">
        <x:v>en</x:v>
      </x:c>
      <x:c r="F406" s="13" t="str">
        <x:v>clothing_shoes_jewelry</x:v>
      </x:c>
      <x:c r="G406" s="16" t="str"/>
      <x:c r="H406" s="16" t="str">
        <x:v>flip_flops</x:v>
      </x:c>
      <x:c r="I406" s="16" t="str">
        <x:v>women</x:v>
      </x:c>
      <x:c r="J406" s="16" t="str">
        <x:v>comfort | foot_support</x:v>
      </x:c>
      <x:c r="K406" s="16" t="str">
        <x:v>arch_support | cushioning</x:v>
      </x:c>
      <x:c r="L406" s="16" t="str"/>
      <x:c r="M406" s="16" t="str"/>
      <x:c r="N406" s="16" t="str"/>
      <x:c r="O406" s="16" t="str"/>
      <x:c r="P406" s="16" t="str"/>
      <x:c r="Q406" s="16" t="str"/>
      <x:c r="R406" s="16" t="str">
        <x:v>女性用户寻找高品质、舒适且具有足弓支撑的夹脚凉鞋。</x:v>
      </x:c>
      <x:c r="S406" s="13" t="str">
        <x:v>high_intent</x:v>
      </x:c>
      <x:c r="T406" s="16" t="str">
        <x:v>explicit | page_validated</x:v>
      </x:c>
      <x:c r="U406" s="13" t="str">
        <x:v>high</x:v>
      </x:c>
      <x:c r="V406" s="16" t="str">
        <x:v>arch_support_womens_comfort_flip_flops</x:v>
      </x:c>
      <x:c r="W406" s="16" t="str">
        <x:v>cluster_route</x:v>
      </x:c>
      <x:c r="X406" s="16" t="str">
        <x:v>{"product_type":[{"value":"flip_flops","evidence_type":"explicit","source_span":"flip flops","fact_ids":[],"rationale":""},{"value":"flip_flops","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capability_intent":[{"value":"arch_support","evidence_type":"explicit","source_span":"arch support","fact_ids":[],"rationale":""},{"value":"arch_support","evidence_type":"page_validated","source_span":"","fact_ids":["arch_support"],"rationale":"该槽位与商品基准中的明示页面事实一致。"},{"value":"cushioning","evidence_type":"page_validated","source_span":"","fact_ids":["padded_cushioning"],"rationale":"该槽位与商品基准中的明示页面事实一致。"},{"value":"cushioning","evidence_type":"inferred","source_span":"","fact_ids":[],"rationale":"该能力由搜索词表达的任务或问题推断；页面事实仅用于验证商品承接。"}],"function_intent":[{"value":"comfort","evidence_type":"explicit","source_span":"comfortable","fact_ids":[],"rationale":""},{"value":"comfort","evidence_type":"page_validated","source_span":"","fact_ids":["arch_support","padded_cushioning"],"rationale":"该槽位与商品基准中的明示页面事实一致。"},{"value":"foot_support","evidence_type":"page_validated","source_span":"","fact_ids":["arch_support"],"rationale":"该槽位与商品基准中的明示页面事实一致。"},{"value":"foot_suppor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406" s="16" t="str"/>
      <x:c r="Z406" s="13" t="str">
        <x:v>match</x:v>
      </x:c>
      <x:c r="AA406" s="16" t="str">
        <x:v>title_womens_flip_flop | style_flip_flop | arch_support | padded_cushioning | soft_toe_post</x:v>
      </x:c>
      <x:c r="AB406" s="13" t="str">
        <x:v>accepted</x:v>
      </x:c>
      <x:c r="AC406" s="13" t="str">
        <x:v>1.0.0</x:v>
      </x:c>
      <x:c r="AD406" s="13" t="str">
        <x:v>1.1.0</x:v>
      </x:c>
      <x:c r="AE406" s="13" t="str">
        <x:v>deepseek/deepseek-v4-pro</x:v>
      </x:c>
      <x:c r="AF406" s="13" t="str">
        <x:v>aj2-y90-20260714T234810-0bea2f52</x:v>
      </x:c>
      <x:c r="AG406" s="13" t="str">
        <x:v>full-0021</x:v>
      </x:c>
      <x:c r="AH406" s="13" t="str">
        <x:v>full</x:v>
      </x:c>
      <x:c r="AI406" s="13" t="n">
        <x:v>21</x:v>
      </x:c>
    </x:row>
    <x:row r="407" ht="34" customHeight="1">
      <x:c r="A407" s="15" t="str">
        <x:v>arch support flip flops women size 7</x:v>
      </x:c>
      <x:c r="B407" s="15" t="str">
        <x:v>arch support flip flops women size 7</x:v>
      </x:c>
      <x:c r="C407" s="10" t="str">
        <x:v>289259ffd0b33d49</x:v>
      </x:c>
      <x:c r="D407" s="10" t="str">
        <x:v>keyword</x:v>
      </x:c>
      <x:c r="E407" s="10" t="str">
        <x:v>en</x:v>
      </x:c>
      <x:c r="F407" s="10" t="str">
        <x:v>clothing_shoes_jewelry</x:v>
      </x:c>
      <x:c r="G407" s="15" t="str"/>
      <x:c r="H407" s="15" t="str">
        <x:v>flip_flops</x:v>
      </x:c>
      <x:c r="I407" s="15" t="str">
        <x:v>women</x:v>
      </x:c>
      <x:c r="J407" s="15" t="str">
        <x:v>foot_support | comfort</x:v>
      </x:c>
      <x:c r="K407" s="15" t="str">
        <x:v>arch_support</x:v>
      </x:c>
      <x:c r="L407" s="15" t="str"/>
      <x:c r="M407" s="15" t="str"/>
      <x:c r="N407" s="15" t="str"/>
      <x:c r="O407" s="15" t="str"/>
      <x:c r="P407" s="15" t="str"/>
      <x:c r="Q407" s="15" t="str"/>
      <x:c r="R407" s="15" t="str">
        <x:v>女性用户需要一双7码、具有足弓支撑功能的夹脚凉鞋。</x:v>
      </x:c>
      <x:c r="S407" s="10" t="str">
        <x:v>high_intent</x:v>
      </x:c>
      <x:c r="T407" s="15" t="str">
        <x:v>explicit | page_validated</x:v>
      </x:c>
      <x:c r="U407" s="10" t="str">
        <x:v>high</x:v>
      </x:c>
      <x:c r="V407" s="15" t="str">
        <x:v>arch_support_womens_flip_flops_sized</x:v>
      </x:c>
      <x:c r="W407" s="15" t="str">
        <x:v>cluster_route</x:v>
      </x:c>
      <x:c r="X407" s="15" t="str">
        <x:v>{"product_type":[{"value":"flip_flops","evidence_type":"explicit","source_span":"flip flops","fact_ids":[],"rationale":""},{"value":"flip_flops","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capability_intent":[{"value":"arch_support","evidence_type":"explicit","source_span":"arch support","fact_ids":[],"rationale":""},{"value":"arch_support","evidence_type":"page_validated","source_span":"","fact_ids":["arch_support"],"rationale":"该槽位与商品基准中的明示页面事实一致。"}],"function_intent":[{"value":"foot_support","evidence_type":"page_validated","source_span":"","fact_ids":["arch_support"],"rationale":"该槽位与商品基准中的明示页面事实一致。"},{"value":"foot_support","evidence_type":"inferred","source_span":"","fact_ids":[],"rationale":"该能力由搜索词表达的任务或问题推断；页面事实仅用于验证商品承接。"},{"value":"comfort","evidence_type":"page_validated","source_span":"","fact_ids":["arch_support","padded_cushioning"],"rationale":"该槽位与商品基准中的明示页面事实一致。"},{"value":"comfor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407" s="15" t="str"/>
      <x:c r="Z407" s="10" t="str">
        <x:v>match</x:v>
      </x:c>
      <x:c r="AA407" s="15" t="str">
        <x:v>title_womens_flip_flop | style_flip_flop | arch_support | sizes_6_11</x:v>
      </x:c>
      <x:c r="AB407" s="10" t="str">
        <x:v>accepted</x:v>
      </x:c>
      <x:c r="AC407" s="10" t="str">
        <x:v>1.0.0</x:v>
      </x:c>
      <x:c r="AD407" s="10" t="str">
        <x:v>1.1.0</x:v>
      </x:c>
      <x:c r="AE407" s="10" t="str">
        <x:v>deepseek/deepseek-v4-pro</x:v>
      </x:c>
      <x:c r="AF407" s="10" t="str">
        <x:v>aj2-y90-20260714T234810-0bea2f52</x:v>
      </x:c>
      <x:c r="AG407" s="10" t="str">
        <x:v>full-0021</x:v>
      </x:c>
      <x:c r="AH407" s="10" t="str">
        <x:v>full</x:v>
      </x:c>
      <x:c r="AI407" s="10" t="n">
        <x:v>21</x:v>
      </x:c>
    </x:row>
    <x:row r="408" ht="34" customHeight="1">
      <x:c r="A408" s="16" t="str">
        <x:v>plantar fasciitis sandals for women</x:v>
      </x:c>
      <x:c r="B408" s="16" t="str">
        <x:v>plantar fasciitis sandals for women</x:v>
      </x:c>
      <x:c r="C408" s="13" t="str">
        <x:v>295e014b4fe2ec72</x:v>
      </x:c>
      <x:c r="D408" s="13" t="str">
        <x:v>keyword</x:v>
      </x:c>
      <x:c r="E408" s="13" t="str">
        <x:v>en</x:v>
      </x:c>
      <x:c r="F408" s="13" t="str">
        <x:v>clothing_shoes_jewelry</x:v>
      </x:c>
      <x:c r="G408" s="16" t="str">
        <x:v>health_household</x:v>
      </x:c>
      <x:c r="H408" s="16" t="str">
        <x:v>sandals</x:v>
      </x:c>
      <x:c r="I408" s="16" t="str">
        <x:v>women</x:v>
      </x:c>
      <x:c r="J408" s="16" t="str">
        <x:v>foot_pain_relief | walking_comfort</x:v>
      </x:c>
      <x:c r="K408" s="16" t="str">
        <x:v>arch_support | cushioning</x:v>
      </x:c>
      <x:c r="L408" s="16" t="str"/>
      <x:c r="M408" s="16" t="str"/>
      <x:c r="N408" s="16" t="str">
        <x:v>plantar_fasciitis</x:v>
      </x:c>
      <x:c r="O408" s="16" t="str"/>
      <x:c r="P408" s="16" t="str"/>
      <x:c r="Q408" s="16" t="str"/>
      <x:c r="R408" s="16" t="str">
        <x:v>女性足底筋膜炎患者需要一双有足弓支撑和缓冲的凉鞋，以在日常行走中缓解足部疼痛。</x:v>
      </x:c>
      <x:c r="S408" s="13" t="str">
        <x:v>high_intent</x:v>
      </x:c>
      <x:c r="T408" s="16" t="str">
        <x:v>explicit | page_validated | inferred</x:v>
      </x:c>
      <x:c r="U408" s="13" t="str">
        <x:v>medium</x:v>
      </x:c>
      <x:c r="V408" s="16" t="str">
        <x:v>plantar_fasciitis_womens_sandals</x:v>
      </x:c>
      <x:c r="W408" s="16" t="str">
        <x:v>listing_gap_review</x:v>
      </x:c>
      <x:c r="X408" s="16" t="str">
        <x:v>{"product_type":[{"value":"sandals","evidence_type":"explicit","source_span":"sandals","fact_ids":[],"rationale":""},{"value":"sandals","evidence_type":"page_validated","source_span":"","fact_ids":["title_womens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body_need_intent":[{"value":"plantar_fasciitis","evidence_type":"explicit","source_span":"plantar fasciitis","fact_ids":[],"rationale":""}],"capability_intent":[{"value":"arch_support","evidence_type":"inferred","source_span":"plantar fasciitis","fact_ids":[],"rationale":"足底筋膜炎患者通常寻求足弓支撑缓解症状"},{"value":"cushioning","evidence_type":"inferred","source_span":"plantar fasciitis","fact_ids":[],"rationale":"缓冲可减轻足底筋膜炎行走时的不适"},{"value":"arch_support","evidence_type":"page_validated","source_span":"","fact_ids":["arch_support"],"rationale":"该槽位与商品基准中的明示页面事实一致。"},{"value":"cushioning","evidence_type":"page_validated","source_span":"","fact_ids":["padded_cushioning"],"rationale":"该槽位与商品基准中的明示页面事实一致。"}],"secondary_domain":[{"value":"health_household","evidence_type":"inferred","source_span":"","fact_ids":[],"rationale":"该值由搜索词整体语义推断，未作为页面明示属性。"}],"function_intent":[{"value":"foot_pain_relief","evidence_type":"inferred","source_span":"","fact_ids":[],"rationale":"该值由搜索词整体语义推断，未作为页面明示属性。"},{"value":"walking_comfort","evidence_type":"inferred","source_span":"","fact_ids":[],"rationale":"该值由搜索词整体语义推断，未作为页面明示属性。"}],"primary_domain":[{"value":"clothing_shoes_jewelry","evidence_type":"inferred","source_span":"","fact_ids":[],"rationale":"该值由搜索词整体语义推断，未作为页面明示属性。"}]}</x:v>
      </x:c>
      <x:c r="Y408" s="16" t="str"/>
      <x:c r="Z408" s="13" t="str">
        <x:v>partial_match</x:v>
      </x:c>
      <x:c r="AA408" s="16" t="str">
        <x:v>arch_support | padded_cushioning | title_womens_flip_flop</x:v>
      </x:c>
      <x:c r="AB408" s="13" t="str">
        <x:v>accepted</x:v>
      </x:c>
      <x:c r="AC408" s="13" t="str">
        <x:v>1.0.0</x:v>
      </x:c>
      <x:c r="AD408" s="13" t="str">
        <x:v>1.1.0</x:v>
      </x:c>
      <x:c r="AE408" s="13" t="str">
        <x:v>deepseek/deepseek-v4-pro</x:v>
      </x:c>
      <x:c r="AF408" s="13" t="str">
        <x:v>aj2-y90-20260714T234810-0bea2f52</x:v>
      </x:c>
      <x:c r="AG408" s="13" t="str">
        <x:v>full-0021</x:v>
      </x:c>
      <x:c r="AH408" s="13" t="str">
        <x:v>full</x:v>
      </x:c>
      <x:c r="AI408" s="13" t="n">
        <x:v>21</x:v>
      </x:c>
    </x:row>
    <x:row r="409" ht="34" customHeight="1">
      <x:c r="A409" s="15" t="str">
        <x:v>casual flip flops for women</x:v>
      </x:c>
      <x:c r="B409" s="15" t="str">
        <x:v>casual flip flops for women</x:v>
      </x:c>
      <x:c r="C409" s="10" t="str">
        <x:v>4a84d81c6a71466a</x:v>
      </x:c>
      <x:c r="D409" s="10" t="str">
        <x:v>keyword</x:v>
      </x:c>
      <x:c r="E409" s="10" t="str">
        <x:v>en</x:v>
      </x:c>
      <x:c r="F409" s="10" t="str">
        <x:v>clothing_shoes_jewelry</x:v>
      </x:c>
      <x:c r="G409" s="15" t="str"/>
      <x:c r="H409" s="15" t="str">
        <x:v>flip_flops</x:v>
      </x:c>
      <x:c r="I409" s="15" t="str">
        <x:v>women</x:v>
      </x:c>
      <x:c r="J409" s="15" t="str">
        <x:v>comfort</x:v>
      </x:c>
      <x:c r="K409" s="15" t="str"/>
      <x:c r="L409" s="15" t="str">
        <x:v>casual</x:v>
      </x:c>
      <x:c r="M409" s="15" t="str"/>
      <x:c r="N409" s="15" t="str"/>
      <x:c r="O409" s="15" t="str"/>
      <x:c r="P409" s="15" t="str"/>
      <x:c r="Q409" s="15" t="str"/>
      <x:c r="R409" s="15" t="str">
        <x:v>女性用户需要一双适合日常休闲穿着的夹脚凉鞋。</x:v>
      </x:c>
      <x:c r="S409" s="10" t="str">
        <x:v>exploration</x:v>
      </x:c>
      <x:c r="T409" s="15" t="str">
        <x:v>explicit | page_validated</x:v>
      </x:c>
      <x:c r="U409" s="10" t="str">
        <x:v>high</x:v>
      </x:c>
      <x:c r="V409" s="15" t="str">
        <x:v>casual_womens_flip_flops</x:v>
      </x:c>
      <x:c r="W409" s="15" t="str">
        <x:v>cluster_route</x:v>
      </x:c>
      <x:c r="X409" s="15" t="str">
        <x:v>{"product_type":[{"value":"flip_flops","evidence_type":"explicit","source_span":"flip flops","fact_ids":[],"rationale":""},{"value":"flip_flops","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event_intent":[{"value":"casual","evidence_type":"explicit","source_span":"casual","fact_ids":[],"rationale":""}],"function_intent":[{"value":"comfort","evidence_type":"page_validated","source_span":"","fact_ids":["arch_support","padded_cushioning"],"rationale":"该槽位与商品基准中的明示页面事实一致。"},{"value":"comfor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409" s="15" t="str"/>
      <x:c r="Z409" s="10" t="str">
        <x:v>match</x:v>
      </x:c>
      <x:c r="AA409" s="15" t="str">
        <x:v>title_womens_flip_flop | style_flip_flop | lightweight_breathable</x:v>
      </x:c>
      <x:c r="AB409" s="10" t="str">
        <x:v>accepted</x:v>
      </x:c>
      <x:c r="AC409" s="10" t="str">
        <x:v>1.0.0</x:v>
      </x:c>
      <x:c r="AD409" s="10" t="str">
        <x:v>1.1.0</x:v>
      </x:c>
      <x:c r="AE409" s="10" t="str">
        <x:v>deepseek/deepseek-v4-pro</x:v>
      </x:c>
      <x:c r="AF409" s="10" t="str">
        <x:v>aj2-y90-20260714T234810-0bea2f52</x:v>
      </x:c>
      <x:c r="AG409" s="10" t="str">
        <x:v>full-0021</x:v>
      </x:c>
      <x:c r="AH409" s="10" t="str">
        <x:v>full</x:v>
      </x:c>
      <x:c r="AI409" s="10" t="n">
        <x:v>21</x:v>
      </x:c>
    </x:row>
    <x:row r="410" ht="34" customHeight="1">
      <x:c r="A410" s="16" t="str">
        <x:v>comfy flip flops for women</x:v>
      </x:c>
      <x:c r="B410" s="16" t="str">
        <x:v>comfy flip flops for women</x:v>
      </x:c>
      <x:c r="C410" s="13" t="str">
        <x:v>6d5554d2878c75a4</x:v>
      </x:c>
      <x:c r="D410" s="13" t="str">
        <x:v>keyword</x:v>
      </x:c>
      <x:c r="E410" s="13" t="str">
        <x:v>en</x:v>
      </x:c>
      <x:c r="F410" s="13" t="str">
        <x:v>clothing_shoes_jewelry</x:v>
      </x:c>
      <x:c r="G410" s="16" t="str"/>
      <x:c r="H410" s="16" t="str">
        <x:v>flip_flops</x:v>
      </x:c>
      <x:c r="I410" s="16" t="str">
        <x:v>women</x:v>
      </x:c>
      <x:c r="J410" s="16" t="str">
        <x:v>comfort</x:v>
      </x:c>
      <x:c r="K410" s="16" t="str">
        <x:v>cushioning | arch_support</x:v>
      </x:c>
      <x:c r="L410" s="16" t="str"/>
      <x:c r="M410" s="16" t="str"/>
      <x:c r="N410" s="16" t="str"/>
      <x:c r="O410" s="16" t="str"/>
      <x:c r="P410" s="16" t="str"/>
      <x:c r="Q410" s="16" t="str"/>
      <x:c r="R410" s="16" t="str">
        <x:v>女性用户寻找穿着舒适的夹脚凉鞋。</x:v>
      </x:c>
      <x:c r="S410" s="13" t="str">
        <x:v>exploration</x:v>
      </x:c>
      <x:c r="T410" s="16" t="str">
        <x:v>explicit | page_validated</x:v>
      </x:c>
      <x:c r="U410" s="13" t="str">
        <x:v>high</x:v>
      </x:c>
      <x:c r="V410" s="16" t="str">
        <x:v>comfy_womens_flip_flops</x:v>
      </x:c>
      <x:c r="W410" s="16" t="str">
        <x:v>cluster_route</x:v>
      </x:c>
      <x:c r="X410" s="16" t="str">
        <x:v>{"product_type":[{"value":"flip_flops","evidence_type":"explicit","source_span":"flip flops","fact_ids":[],"rationale":""},{"value":"flip_flops","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function_intent":[{"value":"comfort","evidence_type":"explicit","source_span":"comfy","fact_ids":[],"rationale":""},{"value":"comfort","evidence_type":"page_validated","source_span":"","fact_ids":["arch_support","padded_cushioning"],"rationale":"该槽位与商品基准中的明示页面事实一致。"},{"value":"comfort","evidence_type":"inferred","source_span":"","fact_ids":[],"rationale":"该能力由搜索词表达的任务或问题推断；页面事实仅用于验证商品承接。"}],"capability_intent":[{"value":"cushioning","evidence_type":"page_validated","source_span":"","fact_ids":["padded_cushioning"],"rationale":"该槽位与商品基准中的明示页面事实一致。"},{"value":"cushioning","evidence_type":"inferred","source_span":"","fact_ids":[],"rationale":"该能力由搜索词表达的任务或问题推断；页面事实仅用于验证商品承接。"},{"value":"arch_support","evidence_type":"page_validated","source_span":"","fact_ids":["arch_support"],"rationale":"该槽位与商品基准中的明示页面事实一致。"},{"value":"arch_suppor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410" s="16" t="str"/>
      <x:c r="Z410" s="13" t="str">
        <x:v>match</x:v>
      </x:c>
      <x:c r="AA410" s="16" t="str">
        <x:v>title_womens_flip_flop | style_flip_flop | arch_support | padded_cushioning | soft_toe_post</x:v>
      </x:c>
      <x:c r="AB410" s="13" t="str">
        <x:v>accepted</x:v>
      </x:c>
      <x:c r="AC410" s="13" t="str">
        <x:v>1.0.0</x:v>
      </x:c>
      <x:c r="AD410" s="13" t="str">
        <x:v>1.1.0</x:v>
      </x:c>
      <x:c r="AE410" s="13" t="str">
        <x:v>deepseek/deepseek-v4-pro</x:v>
      </x:c>
      <x:c r="AF410" s="13" t="str">
        <x:v>aj2-y90-20260714T234810-0bea2f52</x:v>
      </x:c>
      <x:c r="AG410" s="13" t="str">
        <x:v>full-0021</x:v>
      </x:c>
      <x:c r="AH410" s="13" t="str">
        <x:v>full</x:v>
      </x:c>
      <x:c r="AI410" s="13" t="n">
        <x:v>21</x:v>
      </x:c>
    </x:row>
    <x:row r="411" ht="34" customHeight="1">
      <x:c r="A411" s="15" t="str">
        <x:v>gurus flip flops with toe post design</x:v>
      </x:c>
      <x:c r="B411" s="15" t="str">
        <x:v>gurus flip flops with toe post design</x:v>
      </x:c>
      <x:c r="C411" s="10" t="str">
        <x:v>7132fb30bffd3c1c</x:v>
      </x:c>
      <x:c r="D411" s="10" t="str">
        <x:v>keyword</x:v>
      </x:c>
      <x:c r="E411" s="10" t="str">
        <x:v>en</x:v>
      </x:c>
      <x:c r="F411" s="10" t="str">
        <x:v>clothing_shoes_jewelry</x:v>
      </x:c>
      <x:c r="G411" s="15" t="str"/>
      <x:c r="H411" s="15" t="str">
        <x:v>flip_flops</x:v>
      </x:c>
      <x:c r="I411" s="15" t="str"/>
      <x:c r="J411" s="15" t="str"/>
      <x:c r="K411" s="15" t="str">
        <x:v>toe_post_design</x:v>
      </x:c>
      <x:c r="L411" s="15" t="str"/>
      <x:c r="M411" s="15" t="str"/>
      <x:c r="N411" s="15" t="str"/>
      <x:c r="O411" s="15" t="str"/>
      <x:c r="P411" s="15" t="str"/>
      <x:c r="Q411" s="15" t="str"/>
      <x:c r="R411" s="15" t="str">
        <x:v>用户寻找Gurus品牌或专业级夹趾柱设计的夹脚凉鞋。</x:v>
      </x:c>
      <x:c r="S411" s="10" t="str">
        <x:v>brand_harvest</x:v>
      </x:c>
      <x:c r="T411" s="15" t="str">
        <x:v>explicit | page_validated | inferred</x:v>
      </x:c>
      <x:c r="U411" s="10" t="str">
        <x:v>medium</x:v>
      </x:c>
      <x:c r="V411" s="15" t="str">
        <x:v>toe_post_flip_flops</x:v>
      </x:c>
      <x:c r="W411" s="15" t="str">
        <x:v>semantic_negative_candidate</x:v>
      </x:c>
      <x:c r="X411" s="15" t="str">
        <x:v>{"product_type":[{"value":"flip_flops","evidence_type":"explicit","source_span":"flip flops","fact_ids":[],"rationale":""},{"value":"flip_flops","evidence_type":"page_validated","source_span":"","fact_ids":["style_flip_flop"],"rationale":"该槽位与商品基准中的明示页面事实一致。"}],"capability_intent":[{"value":"toe_post_design","evidence_type":"explicit","source_span":"toe post design","fact_ids":[],"rationale":""}],"primary_domain":[{"value":"clothing_shoes_jewelry","evidence_type":"inferred","source_span":"","fact_ids":[],"rationale":"该值由搜索词整体语义推断，未作为页面明示属性。"}]}</x:v>
      </x:c>
      <x:c r="Y411" s="15" t="str">
        <x:v>brand_or_descriptor_ambiguity_gurus</x:v>
      </x:c>
      <x:c r="Z411" s="10" t="str">
        <x:v>partial_match</x:v>
      </x:c>
      <x:c r="AA411" s="15" t="str">
        <x:v>style_flip_flop | soft_toe_post | style_thong</x:v>
      </x:c>
      <x:c r="AB411" s="10" t="str">
        <x:v>accepted</x:v>
      </x:c>
      <x:c r="AC411" s="10" t="str">
        <x:v>1.0.0</x:v>
      </x:c>
      <x:c r="AD411" s="10" t="str">
        <x:v>1.1.0</x:v>
      </x:c>
      <x:c r="AE411" s="10" t="str">
        <x:v>deepseek/deepseek-v4-pro</x:v>
      </x:c>
      <x:c r="AF411" s="10" t="str">
        <x:v>aj2-y90-20260714T234810-0bea2f52</x:v>
      </x:c>
      <x:c r="AG411" s="10" t="str">
        <x:v>full-0021</x:v>
      </x:c>
      <x:c r="AH411" s="10" t="str">
        <x:v>full</x:v>
      </x:c>
      <x:c r="AI411" s="10" t="n">
        <x:v>21</x:v>
      </x:c>
    </x:row>
    <x:row r="412" ht="34" customHeight="1">
      <x:c r="A412" s="16" t="str">
        <x:v>chanclas de mujer de verano</x:v>
      </x:c>
      <x:c r="B412" s="16" t="str">
        <x:v>chanclas de mujer de verano</x:v>
      </x:c>
      <x:c r="C412" s="13" t="str">
        <x:v>84924e0057bca2f2</x:v>
      </x:c>
      <x:c r="D412" s="13" t="str">
        <x:v>keyword</x:v>
      </x:c>
      <x:c r="E412" s="13" t="str">
        <x:v>es</x:v>
      </x:c>
      <x:c r="F412" s="13" t="str">
        <x:v>clothing_shoes_jewelry</x:v>
      </x:c>
      <x:c r="G412" s="16" t="str"/>
      <x:c r="H412" s="16" t="str">
        <x:v>flip_flops | sandals</x:v>
      </x:c>
      <x:c r="I412" s="16" t="str">
        <x:v>women</x:v>
      </x:c>
      <x:c r="J412" s="16" t="str">
        <x:v>comfort | breathability</x:v>
      </x:c>
      <x:c r="K412" s="16" t="str"/>
      <x:c r="L412" s="16" t="str"/>
      <x:c r="M412" s="16" t="str"/>
      <x:c r="N412" s="16" t="str"/>
      <x:c r="O412" s="16" t="str">
        <x:v>summer</x:v>
      </x:c>
      <x:c r="P412" s="16" t="str"/>
      <x:c r="Q412" s="16" t="str"/>
      <x:c r="R412" s="16" t="str">
        <x:v>西班牙语用户寻找女性夏季穿着的夹脚凉鞋或拖鞋。</x:v>
      </x:c>
      <x:c r="S412" s="13" t="str">
        <x:v>exploration</x:v>
      </x:c>
      <x:c r="T412" s="16" t="str">
        <x:v>explicit | page_validated | inferred</x:v>
      </x:c>
      <x:c r="U412" s="13" t="str">
        <x:v>high</x:v>
      </x:c>
      <x:c r="V412" s="16" t="str">
        <x:v>summer_womens_sandals_es</x:v>
      </x:c>
      <x:c r="W412" s="16" t="str">
        <x:v>cluster_route</x:v>
      </x:c>
      <x:c r="X412" s="16" t="str">
        <x:v>{"product_type":[{"value":"flip_flops","evidence_type":"inferred","source_span":"chanclas","fact_ids":[],"rationale":"chanclas 在西班牙语中意为夹脚拖鞋"},{"value":"flip_flops","evidence_type":"page_validated","source_span":"","fact_ids":["style_flip_flop"],"rationale":"该槽位与商品基准中的明示页面事实一致。"},{"value":"sandals","evidence_type":"page_validated","source_span":"","fact_ids":["title_womens_flip_flop"],"rationale":"该槽位与商品基准中的明示页面事实一致。"},{"value":"sandals","evidence_type":"inferred","source_span":"","fact_ids":[],"rationale":"该能力由搜索词表达的任务或问题推断；页面事实仅用于验证商品承接。"}],"audience_intent":[{"value":"women","evidence_type":"explicit","source_span":"mujer","fact_ids":[],"rationale":""},{"value":"women","evidence_type":"page_validated","source_span":"","fact_ids":["title_womens_flip_flop"],"rationale":"该槽位与商品基准中的明示页面事实一致。"},{"value":"women","evidence_type":"inferred","source_span":"","fact_ids":[],"rationale":"该能力由搜索词表达的任务或问题推断；页面事实仅用于验证商品承接。"}],"time_intent":[{"value":"summer","evidence_type":"explicit","source_span":"verano","fact_ids":[],"rationale":""}],"function_intent":[{"value":"comfort","evidence_type":"page_validated","source_span":"","fact_ids":["arch_support","padded_cushioning"],"rationale":"该槽位与商品基准中的明示页面事实一致。"},{"value":"comfort","evidence_type":"inferred","source_span":"","fact_ids":[],"rationale":"该能力由搜索词表达的任务或问题推断；页面事实仅用于验证商品承接。"},{"value":"breathability","evidence_type":"inferred","source_span":"","fact_ids":[],"rationale":"该值由搜索词整体语义推断，未作为页面明示属性。"}],"primary_domain":[{"value":"clothing_shoes_jewelry","evidence_type":"inferred","source_span":"","fact_ids":[],"rationale":"该值由搜索词整体语义推断，未作为页面明示属性。"}]}</x:v>
      </x:c>
      <x:c r="Y412" s="16" t="str"/>
      <x:c r="Z412" s="13" t="str">
        <x:v>match</x:v>
      </x:c>
      <x:c r="AA412" s="16" t="str">
        <x:v>title_womens_flip_flop | style_flip_flop | lightweight_breathable</x:v>
      </x:c>
      <x:c r="AB412" s="13" t="str">
        <x:v>accepted</x:v>
      </x:c>
      <x:c r="AC412" s="13" t="str">
        <x:v>1.0.0</x:v>
      </x:c>
      <x:c r="AD412" s="13" t="str">
        <x:v>1.1.0</x:v>
      </x:c>
      <x:c r="AE412" s="13" t="str">
        <x:v>deepseek/deepseek-v4-pro</x:v>
      </x:c>
      <x:c r="AF412" s="13" t="str">
        <x:v>aj2-y90-20260714T234810-0bea2f52</x:v>
      </x:c>
      <x:c r="AG412" s="13" t="str">
        <x:v>full-0021</x:v>
      </x:c>
      <x:c r="AH412" s="13" t="str">
        <x:v>full</x:v>
      </x:c>
      <x:c r="AI412" s="13" t="n">
        <x:v>21</x:v>
      </x:c>
    </x:row>
    <x:row r="413" ht="34" customHeight="1">
      <x:c r="A413" s="15" t="str">
        <x:v>flip flop pool women</x:v>
      </x:c>
      <x:c r="B413" s="15" t="str">
        <x:v>flip flop pool women</x:v>
      </x:c>
      <x:c r="C413" s="10" t="str">
        <x:v>84cca5cbc1ac8c1f</x:v>
      </x:c>
      <x:c r="D413" s="10" t="str">
        <x:v>keyword</x:v>
      </x:c>
      <x:c r="E413" s="10" t="str">
        <x:v>en</x:v>
      </x:c>
      <x:c r="F413" s="10" t="str">
        <x:v>clothing_shoes_jewelry</x:v>
      </x:c>
      <x:c r="G413" s="15" t="str">
        <x:v>sports_outdoors</x:v>
      </x:c>
      <x:c r="H413" s="15" t="str">
        <x:v>flip_flops</x:v>
      </x:c>
      <x:c r="I413" s="15" t="str">
        <x:v>women</x:v>
      </x:c>
      <x:c r="J413" s="15" t="str">
        <x:v>water_safety</x:v>
      </x:c>
      <x:c r="K413" s="15" t="str">
        <x:v>water_friendly</x:v>
      </x:c>
      <x:c r="L413" s="15" t="str">
        <x:v>swimming</x:v>
      </x:c>
      <x:c r="M413" s="15" t="str">
        <x:v>pool</x:v>
      </x:c>
      <x:c r="N413" s="15" t="str"/>
      <x:c r="O413" s="15" t="str"/>
      <x:c r="P413" s="15" t="str"/>
      <x:c r="Q413" s="15" t="str"/>
      <x:c r="R413" s="15" t="str">
        <x:v>女性用户需要一双适合泳池穿着的夹脚凉鞋。</x:v>
      </x:c>
      <x:c r="S413" s="10" t="str">
        <x:v>consideration</x:v>
      </x:c>
      <x:c r="T413" s="15" t="str">
        <x:v>explicit | page_validated | inferred</x:v>
      </x:c>
      <x:c r="U413" s="10" t="str">
        <x:v>medium</x:v>
      </x:c>
      <x:c r="V413" s="15" t="str">
        <x:v>pool_womens_flip_flops</x:v>
      </x:c>
      <x:c r="W413" s="15" t="str">
        <x:v>listing_gap_review</x:v>
      </x:c>
      <x:c r="X413" s="15" t="str">
        <x:v>{"product_type":[{"value":"flip_flops","evidence_type":"explicit","source_span":"flip flop","fact_ids":[],"rationale":""},{"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audience_intent":[{"value":"women","evidence_type":"explicit","source_span":"women","fact_ids":[],"rationale":""},{"value":"women","evidence_type":"page_validated","source_span":"","fact_ids":["title_womens_flip_flop"],"rationale":"该槽位与商品基准中的明示页面事实一致。"}],"location_intent":[{"value":"pool","evidence_type":"explicit","source_span":"pool","fact_ids":[],"rationale":""}],"capability_intent":[{"value":"water_friendly","evidence_type":"inferred","source_span":"","fact_ids":[],"rationale":"该值由搜索词整体语义推断，未作为页面明示属性。"}],"secondary_domain":[{"value":"sports_outdoors","evidence_type":"inferred","source_span":"","fact_ids":[],"rationale":"该值由搜索词整体语义推断，未作为页面明示属性。"}],"event_intent":[{"value":"swimming","evidence_type":"inferred","source_span":"","fact_ids":[],"rationale":"该值由搜索词整体语义推断，未作为页面明示属性。"}],"function_intent":[{"value":"water_safety","evidence_type":"inferred","source_span":"","fact_ids":[],"rationale":"该值由搜索词整体语义推断，未作为页面明示属性。"}],"primary_domain":[{"value":"clothing_shoes_jewelry","evidence_type":"inferred","source_span":"","fact_ids":[],"rationale":"该值由搜索词整体语义推断，未作为页面明示属性。"}]}</x:v>
      </x:c>
      <x:c r="Y413" s="15" t="str"/>
      <x:c r="Z413" s="10" t="str">
        <x:v>partial_match</x:v>
      </x:c>
      <x:c r="AA413" s="15" t="str">
        <x:v>title_womens_flip_flop | style_flip_flop | material_eva | slip_resistant_grip</x:v>
      </x:c>
      <x:c r="AB413" s="10" t="str">
        <x:v>accepted</x:v>
      </x:c>
      <x:c r="AC413" s="10" t="str">
        <x:v>1.0.0</x:v>
      </x:c>
      <x:c r="AD413" s="10" t="str">
        <x:v>1.1.0</x:v>
      </x:c>
      <x:c r="AE413" s="10" t="str">
        <x:v>deepseek/deepseek-v4-pro</x:v>
      </x:c>
      <x:c r="AF413" s="10" t="str">
        <x:v>aj2-y90-20260714T234810-0bea2f52</x:v>
      </x:c>
      <x:c r="AG413" s="10" t="str">
        <x:v>full-0021</x:v>
      </x:c>
      <x:c r="AH413" s="10" t="str">
        <x:v>full</x:v>
      </x:c>
      <x:c r="AI413" s="10" t="n">
        <x:v>21</x:v>
      </x:c>
    </x:row>
    <x:row r="414" ht="34" customHeight="1">
      <x:c r="A414" s="16" t="str">
        <x:v>lemon flip flops for women archies</x:v>
      </x:c>
      <x:c r="B414" s="16" t="str">
        <x:v>lemon flip flops for women archies</x:v>
      </x:c>
      <x:c r="C414" s="13" t="str">
        <x:v>8c6f2016cc01a37d</x:v>
      </x:c>
      <x:c r="D414" s="13" t="str">
        <x:v>keyword</x:v>
      </x:c>
      <x:c r="E414" s="13" t="str">
        <x:v>en</x:v>
      </x:c>
      <x:c r="F414" s="13" t="str">
        <x:v>clothing_shoes_jewelry</x:v>
      </x:c>
      <x:c r="G414" s="16" t="str"/>
      <x:c r="H414" s="16" t="str">
        <x:v>flip_flops</x:v>
      </x:c>
      <x:c r="I414" s="16" t="str">
        <x:v>women</x:v>
      </x:c>
      <x:c r="J414" s="16" t="str">
        <x:v>comfort</x:v>
      </x:c>
      <x:c r="K414" s="16" t="str">
        <x:v>arch_support</x:v>
      </x:c>
      <x:c r="L414" s="16" t="str"/>
      <x:c r="M414" s="16" t="str"/>
      <x:c r="N414" s="16" t="str"/>
      <x:c r="O414" s="16" t="str"/>
      <x:c r="P414" s="16" t="str"/>
      <x:c r="Q414" s="16" t="str"/>
      <x:c r="R414" s="16" t="str">
        <x:v>用户寻找柠檬黄色、可能为Archie's品牌或具有足弓支撑的女性夹脚凉鞋。</x:v>
      </x:c>
      <x:c r="S414" s="13" t="str">
        <x:v>brand_harvest</x:v>
      </x:c>
      <x:c r="T414" s="16" t="str">
        <x:v>explicit | page_validated | inferred</x:v>
      </x:c>
      <x:c r="U414" s="13" t="str">
        <x:v>low</x:v>
      </x:c>
      <x:c r="V414" s="16" t="str">
        <x:v>lemon_arch_support_womens_flip_flops</x:v>
      </x:c>
      <x:c r="W414" s="16" t="str">
        <x:v>listing_gap_review</x:v>
      </x:c>
      <x:c r="X414" s="16" t="str">
        <x:v>{"product_type":[{"value":"flip_flops","evidence_type":"explicit","source_span":"flip flops","fact_ids":[],"rationale":""},{"value":"flip_flops","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capability_intent":[{"value":"arch_support","evidence_type":"inferred","source_span":"archies","fact_ids":[],"rationale":"archies 可能指足弓支撑功能或品牌名"},{"value":"arch_support","evidence_type":"page_validated","source_span":"","fact_ids":["arch_support"],"rationale":"该槽位与商品基准中的明示页面事实一致。"}],"function_intent":[{"value":"comfort","evidence_type":"page_validated","source_span":"","fact_ids":["arch_support","padded_cushioning"],"rationale":"该槽位与商品基准中的明示页面事实一致。"},{"value":"comfor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414" s="16" t="str">
        <x:v>brand_or_descriptor_ambiguity_archies | color_unavailable_lemon</x:v>
      </x:c>
      <x:c r="Z414" s="13" t="str">
        <x:v>partial_match</x:v>
      </x:c>
      <x:c r="AA414" s="16" t="str">
        <x:v>title_womens_flip_flop | style_flip_flop | arch_support</x:v>
      </x:c>
      <x:c r="AB414" s="13" t="str">
        <x:v>accepted</x:v>
      </x:c>
      <x:c r="AC414" s="13" t="str">
        <x:v>1.0.0</x:v>
      </x:c>
      <x:c r="AD414" s="13" t="str">
        <x:v>1.1.0</x:v>
      </x:c>
      <x:c r="AE414" s="13" t="str">
        <x:v>deepseek/deepseek-v4-pro</x:v>
      </x:c>
      <x:c r="AF414" s="13" t="str">
        <x:v>aj2-y90-20260714T234810-0bea2f52</x:v>
      </x:c>
      <x:c r="AG414" s="13" t="str">
        <x:v>full-0021</x:v>
      </x:c>
      <x:c r="AH414" s="13" t="str">
        <x:v>full</x:v>
      </x:c>
      <x:c r="AI414" s="13" t="n">
        <x:v>21</x:v>
      </x:c>
    </x:row>
    <x:row r="415" ht="34" customHeight="1">
      <x:c r="A415" s="15" t="str">
        <x:v>blue flip flops size 10</x:v>
      </x:c>
      <x:c r="B415" s="15" t="str">
        <x:v>blue flip flops size 10</x:v>
      </x:c>
      <x:c r="C415" s="10" t="str">
        <x:v>8fc2bfb4a5c88ebd</x:v>
      </x:c>
      <x:c r="D415" s="10" t="str">
        <x:v>keyword</x:v>
      </x:c>
      <x:c r="E415" s="10" t="str">
        <x:v>en</x:v>
      </x:c>
      <x:c r="F415" s="10" t="str">
        <x:v>clothing_shoes_jewelry</x:v>
      </x:c>
      <x:c r="G415" s="15" t="str"/>
      <x:c r="H415" s="15" t="str">
        <x:v>flip_flops</x:v>
      </x:c>
      <x:c r="I415" s="15" t="str"/>
      <x:c r="J415" s="15" t="str"/>
      <x:c r="K415" s="15" t="str"/>
      <x:c r="L415" s="15" t="str"/>
      <x:c r="M415" s="15" t="str"/>
      <x:c r="N415" s="15" t="str"/>
      <x:c r="O415" s="15" t="str"/>
      <x:c r="P415" s="15" t="str"/>
      <x:c r="Q415" s="15" t="str"/>
      <x:c r="R415" s="15" t="str">
        <x:v>用户需要一双蓝色10码的夹脚凉鞋。</x:v>
      </x:c>
      <x:c r="S415" s="10" t="str">
        <x:v>high_intent</x:v>
      </x:c>
      <x:c r="T415" s="15" t="str">
        <x:v>explicit | page_validated</x:v>
      </x:c>
      <x:c r="U415" s="10" t="str">
        <x:v>high</x:v>
      </x:c>
      <x:c r="V415" s="15" t="str">
        <x:v>blue_flip_flops_sized</x:v>
      </x:c>
      <x:c r="W415" s="15" t="str">
        <x:v>cluster_route</x:v>
      </x:c>
      <x:c r="X415" s="15" t="str">
        <x:v>{"product_type":[{"value":"flip_flops","evidence_type":"explicit","source_span":"flip flops","fact_ids":[],"rationale":""},{"value":"flip_flops","evidence_type":"page_validated","source_span":"","fact_ids":["style_flip_flop"],"rationale":"该槽位与商品基准中的明示页面事实一致。"}],"primary_domain":[{"value":"clothing_shoes_jewelry","evidence_type":"inferred","source_span":"","fact_ids":[],"rationale":"该值由搜索词整体语义推断，未作为页面明示属性。"}]}</x:v>
      </x:c>
      <x:c r="Y415" s="15" t="str"/>
      <x:c r="Z415" s="10" t="str">
        <x:v>match</x:v>
      </x:c>
      <x:c r="AA415" s="15" t="str">
        <x:v>style_flip_flop | colors_visible | sizes_6_11</x:v>
      </x:c>
      <x:c r="AB415" s="10" t="str">
        <x:v>accepted</x:v>
      </x:c>
      <x:c r="AC415" s="10" t="str">
        <x:v>1.0.0</x:v>
      </x:c>
      <x:c r="AD415" s="10" t="str">
        <x:v>1.1.0</x:v>
      </x:c>
      <x:c r="AE415" s="10" t="str">
        <x:v>deepseek/deepseek-v4-pro</x:v>
      </x:c>
      <x:c r="AF415" s="10" t="str">
        <x:v>aj2-y90-20260714T234810-0bea2f52</x:v>
      </x:c>
      <x:c r="AG415" s="10" t="str">
        <x:v>full-0021</x:v>
      </x:c>
      <x:c r="AH415" s="10" t="str">
        <x:v>full</x:v>
      </x:c>
      <x:c r="AI415" s="10" t="n">
        <x:v>21</x:v>
      </x:c>
    </x:row>
    <x:row r="416" ht="34" customHeight="1">
      <x:c r="A416" s="16" t="str">
        <x:v>lavender flip flops eva</x:v>
      </x:c>
      <x:c r="B416" s="16" t="str">
        <x:v>lavender flip flops eva</x:v>
      </x:c>
      <x:c r="C416" s="13" t="str">
        <x:v>b5d884de207a866c</x:v>
      </x:c>
      <x:c r="D416" s="13" t="str">
        <x:v>keyword</x:v>
      </x:c>
      <x:c r="E416" s="13" t="str">
        <x:v>en</x:v>
      </x:c>
      <x:c r="F416" s="13" t="str">
        <x:v>clothing_shoes_jewelry</x:v>
      </x:c>
      <x:c r="G416" s="16" t="str"/>
      <x:c r="H416" s="16" t="str">
        <x:v>flip_flops</x:v>
      </x:c>
      <x:c r="I416" s="16" t="str"/>
      <x:c r="J416" s="16" t="str"/>
      <x:c r="K416" s="16" t="str"/>
      <x:c r="L416" s="16" t="str"/>
      <x:c r="M416" s="16" t="str"/>
      <x:c r="N416" s="16" t="str"/>
      <x:c r="O416" s="16" t="str"/>
      <x:c r="P416" s="16" t="str"/>
      <x:c r="Q416" s="16" t="str"/>
      <x:c r="R416" s="16" t="str">
        <x:v>用户寻找淡紫色EVA材质的夹脚凉鞋。</x:v>
      </x:c>
      <x:c r="S416" s="13" t="str">
        <x:v>consideration</x:v>
      </x:c>
      <x:c r="T416" s="16" t="str">
        <x:v>explicit | page_validated</x:v>
      </x:c>
      <x:c r="U416" s="13" t="str">
        <x:v>medium</x:v>
      </x:c>
      <x:c r="V416" s="16" t="str">
        <x:v>lavender_eva_flip_flops</x:v>
      </x:c>
      <x:c r="W416" s="16" t="str">
        <x:v>listing_gap_review</x:v>
      </x:c>
      <x:c r="X416" s="16" t="str">
        <x:v>{"product_type":[{"value":"flip_flops","evidence_type":"explicit","source_span":"flip flops","fact_ids":[],"rationale":""},{"value":"flip_flops","evidence_type":"page_validated","source_span":"","fact_ids":["style_flip_flop"],"rationale":"该槽位与商品基准中的明示页面事实一致。"}],"primary_domain":[{"value":"clothing_shoes_jewelry","evidence_type":"inferred","source_span":"","fact_ids":[],"rationale":"该值由搜索词整体语义推断，未作为页面明示属性。"}]}</x:v>
      </x:c>
      <x:c r="Y416" s="16" t="str">
        <x:v>color_unavailable_lavender</x:v>
      </x:c>
      <x:c r="Z416" s="13" t="str">
        <x:v>partial_match</x:v>
      </x:c>
      <x:c r="AA416" s="16" t="str">
        <x:v>style_flip_flop | material_eva</x:v>
      </x:c>
      <x:c r="AB416" s="13" t="str">
        <x:v>accepted</x:v>
      </x:c>
      <x:c r="AC416" s="13" t="str">
        <x:v>1.0.0</x:v>
      </x:c>
      <x:c r="AD416" s="13" t="str">
        <x:v>1.1.0</x:v>
      </x:c>
      <x:c r="AE416" s="13" t="str">
        <x:v>deepseek/deepseek-v4-pro</x:v>
      </x:c>
      <x:c r="AF416" s="13" t="str">
        <x:v>aj2-y90-20260714T234810-0bea2f52</x:v>
      </x:c>
      <x:c r="AG416" s="13" t="str">
        <x:v>full-0021</x:v>
      </x:c>
      <x:c r="AH416" s="13" t="str">
        <x:v>full</x:v>
      </x:c>
      <x:c r="AI416" s="13" t="n">
        <x:v>21</x:v>
      </x:c>
    </x:row>
    <x:row r="417" ht="34" customHeight="1">
      <x:c r="A417" s="15" t="str">
        <x:v>sleepers for plantar fasciitis for women</x:v>
      </x:c>
      <x:c r="B417" s="15" t="str">
        <x:v>sleepers for plantar fasciitis for women</x:v>
      </x:c>
      <x:c r="C417" s="10" t="str">
        <x:v>d1bc635b5f10a96c</x:v>
      </x:c>
      <x:c r="D417" s="10" t="str">
        <x:v>keyword</x:v>
      </x:c>
      <x:c r="E417" s="10" t="str">
        <x:v>en</x:v>
      </x:c>
      <x:c r="F417" s="10" t="str">
        <x:v>clothing_shoes_jewelry</x:v>
      </x:c>
      <x:c r="G417" s="15" t="str">
        <x:v>health_household</x:v>
      </x:c>
      <x:c r="H417" s="15" t="str">
        <x:v>slippers | sandals</x:v>
      </x:c>
      <x:c r="I417" s="15" t="str">
        <x:v>women</x:v>
      </x:c>
      <x:c r="J417" s="15" t="str">
        <x:v>foot_pain_relief</x:v>
      </x:c>
      <x:c r="K417" s="15" t="str">
        <x:v>arch_support</x:v>
      </x:c>
      <x:c r="L417" s="15" t="str">
        <x:v>indoor</x:v>
      </x:c>
      <x:c r="M417" s="15" t="str">
        <x:v>home</x:v>
      </x:c>
      <x:c r="N417" s="15" t="str">
        <x:v>plantar_fasciitis</x:v>
      </x:c>
      <x:c r="O417" s="15" t="str"/>
      <x:c r="P417" s="15" t="str"/>
      <x:c r="Q417" s="15" t="str"/>
      <x:c r="R417" s="15" t="str">
        <x:v>女性足底筋膜炎患者需要一双有足弓支撑的家居拖鞋，以缓解足部不适并在室内穿着。</x:v>
      </x:c>
      <x:c r="S417" s="10" t="str">
        <x:v>high_intent</x:v>
      </x:c>
      <x:c r="T417" s="15" t="str">
        <x:v>explicit | page_validated | inferred</x:v>
      </x:c>
      <x:c r="U417" s="10" t="str">
        <x:v>low</x:v>
      </x:c>
      <x:c r="V417" s="15" t="str">
        <x:v>plantar_fasciitis_womens_slippers</x:v>
      </x:c>
      <x:c r="W417" s="15" t="str">
        <x:v>listing_gap_review</x:v>
      </x:c>
      <x:c r="X417" s="15" t="str">
        <x:v>{"product_type":[{"value":"slippers","evidence_type":"inferred","source_span":"sleepers","fact_ids":[],"rationale":"sleepers 疑为 slippers 拼写错误，指居家拖鞋"},{"value":"sandals","evidence_type":"page_validated","source_span":"","fact_ids":["title_womens_flip_flop"],"rationale":"产品为凉鞋，可作为室内拖鞋替代"},{"value":"sandals","evidence_type":"inferred","source_span":"","fact_ids":[],"rationale":"该能力由搜索词表达的任务或问题推断；页面事实仅用于验证商品承接。"}],"audience_intent":[{"value":"women","evidence_type":"explicit","source_span":"women","fact_ids":[],"rationale":""},{"value":"women","evidence_type":"page_validated","source_span":"","fact_ids":["title_womens_flip_flop"],"rationale":"该槽位与商品基准中的明示页面事实一致。"}],"body_need_intent":[{"value":"plantar_fasciitis","evidence_type":"explicit","source_span":"plantar fasciitis","fact_ids":[],"rationale":""}],"capability_intent":[{"value":"arch_support","evidence_type":"inferred","source_span":"plantar fasciitis","fact_ids":[],"rationale":"足底筋膜炎患者通常需足弓支撑缓解不适"},{"value":"arch_support","evidence_type":"page_validated","source_span":"","fact_ids":["arch_support"],"rationale":"该槽位与商品基准中的明示页面事实一致。"}],"function_intent":[{"value":"foot_pain_relief","evidence_type":"inferred","source_span":"plantar fasciitis","fact_ids":[],"rationale":"用户希望通过穿着缓解足底疼痛"}],"location_intent":[{"value":"home","evidence_type":"inferred","source_span":"sleepers","fact_ids":[],"rationale":"拖鞋通常用于室内居家场景"}],"secondary_domain":[{"value":"health_household","evidence_type":"inferred","source_span":"","fact_ids":[],"rationale":"该值由搜索词整体语义推断，未作为页面明示属性。"}],"event_intent":[{"value":"indoor","evidence_type":"inferred","source_span":"","fact_ids":[],"rationale":"该值由搜索词整体语义推断，未作为页面明示属性。"}],"primary_domain":[{"value":"clothing_shoes_jewelry","evidence_type":"inferred","source_span":"","fact_ids":[],"rationale":"该值由搜索词整体语义推断，未作为页面明示属性。"}]}</x:v>
      </x:c>
      <x:c r="Y417" s="15" t="str">
        <x:v>spelling_ambiguity_sleepers</x:v>
      </x:c>
      <x:c r="Z417" s="10" t="str">
        <x:v>partial_match</x:v>
      </x:c>
      <x:c r="AA417" s="15" t="str">
        <x:v>arch_support | title_womens_flip_flop | padded_cushioning</x:v>
      </x:c>
      <x:c r="AB417" s="10" t="str">
        <x:v>accepted</x:v>
      </x:c>
      <x:c r="AC417" s="10" t="str">
        <x:v>1.0.0</x:v>
      </x:c>
      <x:c r="AD417" s="10" t="str">
        <x:v>1.1.0</x:v>
      </x:c>
      <x:c r="AE417" s="10" t="str">
        <x:v>deepseek/deepseek-v4-pro</x:v>
      </x:c>
      <x:c r="AF417" s="10" t="str">
        <x:v>aj2-y90-20260714T234810-0bea2f52</x:v>
      </x:c>
      <x:c r="AG417" s="10" t="str">
        <x:v>full-0021</x:v>
      </x:c>
      <x:c r="AH417" s="10" t="str">
        <x:v>full</x:v>
      </x:c>
      <x:c r="AI417" s="10" t="n">
        <x:v>21</x:v>
      </x:c>
    </x:row>
    <x:row r="418" ht="34" customHeight="1">
      <x:c r="A418" s="16" t="str">
        <x:v>women brown sandals</x:v>
      </x:c>
      <x:c r="B418" s="16" t="str">
        <x:v>women brown sandals</x:v>
      </x:c>
      <x:c r="C418" s="13" t="str">
        <x:v>e2b7b3ee13bbe462</x:v>
      </x:c>
      <x:c r="D418" s="13" t="str">
        <x:v>keyword</x:v>
      </x:c>
      <x:c r="E418" s="13" t="str">
        <x:v>en</x:v>
      </x:c>
      <x:c r="F418" s="13" t="str">
        <x:v>clothing_shoes_jewelry</x:v>
      </x:c>
      <x:c r="G418" s="16" t="str"/>
      <x:c r="H418" s="16" t="str">
        <x:v>sandals</x:v>
      </x:c>
      <x:c r="I418" s="16" t="str">
        <x:v>women</x:v>
      </x:c>
      <x:c r="J418" s="16" t="str"/>
      <x:c r="K418" s="16" t="str"/>
      <x:c r="L418" s="16" t="str"/>
      <x:c r="M418" s="16" t="str"/>
      <x:c r="N418" s="16" t="str"/>
      <x:c r="O418" s="16" t="str"/>
      <x:c r="P418" s="16" t="str"/>
      <x:c r="Q418" s="16" t="str"/>
      <x:c r="R418" s="16" t="str">
        <x:v>女性用户需要一双棕色的凉鞋，用于日常穿着。</x:v>
      </x:c>
      <x:c r="S418" s="13" t="str">
        <x:v>consideration</x:v>
      </x:c>
      <x:c r="T418" s="16" t="str">
        <x:v>explicit | page_validated</x:v>
      </x:c>
      <x:c r="U418" s="13" t="str">
        <x:v>high</x:v>
      </x:c>
      <x:c r="V418" s="16" t="str">
        <x:v>womens_brown_sandals</x:v>
      </x:c>
      <x:c r="W418" s="16" t="str">
        <x:v>cluster_route</x:v>
      </x:c>
      <x:c r="X418" s="16" t="str">
        <x:v>{"product_type":[{"value":"sandals","evidence_type":"explicit","source_span":"sandals","fact_ids":[],"rationale":""},{"value":"sandals","evidence_type":"page_validated","source_span":"","fact_ids":["title_womens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primary_domain":[{"value":"clothing_shoes_jewelry","evidence_type":"inferred","source_span":"","fact_ids":[],"rationale":"该值由搜索词整体语义推断，未作为页面明示属性。"}]}</x:v>
      </x:c>
      <x:c r="Y418" s="16" t="str"/>
      <x:c r="Z418" s="13" t="str">
        <x:v>match</x:v>
      </x:c>
      <x:c r="AA418" s="16" t="str">
        <x:v>title_womens_flip_flop | style_flip_flop | colors_visible</x:v>
      </x:c>
      <x:c r="AB418" s="13" t="str">
        <x:v>accepted</x:v>
      </x:c>
      <x:c r="AC418" s="13" t="str">
        <x:v>1.0.0</x:v>
      </x:c>
      <x:c r="AD418" s="13" t="str">
        <x:v>1.1.0</x:v>
      </x:c>
      <x:c r="AE418" s="13" t="str">
        <x:v>deepseek/deepseek-v4-pro</x:v>
      </x:c>
      <x:c r="AF418" s="13" t="str">
        <x:v>aj2-y90-20260714T234810-0bea2f52</x:v>
      </x:c>
      <x:c r="AG418" s="13" t="str">
        <x:v>full-0021</x:v>
      </x:c>
      <x:c r="AH418" s="13" t="str">
        <x:v>full</x:v>
      </x:c>
      <x:c r="AI418" s="13" t="n">
        <x:v>21</x:v>
      </x:c>
    </x:row>
    <x:row r="419" ht="34" customHeight="1">
      <x:c r="A419" s="15" t="str">
        <x:v>quick dry flip flops women</x:v>
      </x:c>
      <x:c r="B419" s="15" t="str">
        <x:v>quick dry flip flops women</x:v>
      </x:c>
      <x:c r="C419" s="10" t="str">
        <x:v>e907f3da0e9d7b5a</x:v>
      </x:c>
      <x:c r="D419" s="10" t="str">
        <x:v>keyword</x:v>
      </x:c>
      <x:c r="E419" s="10" t="str">
        <x:v>en</x:v>
      </x:c>
      <x:c r="F419" s="10" t="str">
        <x:v>clothing_shoes_jewelry</x:v>
      </x:c>
      <x:c r="G419" s="15" t="str">
        <x:v>sports_outdoors</x:v>
      </x:c>
      <x:c r="H419" s="15" t="str">
        <x:v>flip_flops</x:v>
      </x:c>
      <x:c r="I419" s="15" t="str">
        <x:v>women</x:v>
      </x:c>
      <x:c r="J419" s="15" t="str">
        <x:v>quick_drying | comfort</x:v>
      </x:c>
      <x:c r="K419" s="15" t="str">
        <x:v>quick_dry</x:v>
      </x:c>
      <x:c r="L419" s="15" t="str"/>
      <x:c r="M419" s="15" t="str"/>
      <x:c r="N419" s="15" t="str"/>
      <x:c r="O419" s="15" t="str"/>
      <x:c r="P419" s="15" t="str"/>
      <x:c r="Q419" s="15" t="str"/>
      <x:c r="R419" s="15" t="str">
        <x:v>女性用户需要一双能快速干燥的夹脚凉鞋，适合日常或水边活动穿着。</x:v>
      </x:c>
      <x:c r="S419" s="10" t="str">
        <x:v>consideration</x:v>
      </x:c>
      <x:c r="T419" s="15" t="str">
        <x:v>explicit | page_validated | inferred</x:v>
      </x:c>
      <x:c r="U419" s="10" t="str">
        <x:v>medium</x:v>
      </x:c>
      <x:c r="V419" s="15" t="str">
        <x:v>quick_dry_womens_flip_flops</x:v>
      </x:c>
      <x:c r="W419" s="15" t="str">
        <x:v>listing_gap_review</x:v>
      </x:c>
      <x:c r="X419" s="15" t="str">
        <x:v>{"product_type":[{"value":"flip_flops","evidence_type":"explicit","source_span":"flip flops","fact_ids":[],"rationale":""},{"value":"flip_flops","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capability_intent":[{"value":"quick_dry","evidence_type":"explicit","source_span":"quick dry","fact_ids":[],"rationale":""}],"function_intent":[{"value":"quick_drying","evidence_type":"explicit","source_span":"quick dry","fact_ids":[],"rationale":""},{"value":"comfort","evidence_type":"page_validated","source_span":"","fact_ids":["arch_support","padded_cushioning"],"rationale":"该槽位与商品基准中的明示页面事实一致。"},{"value":"comfort","evidence_type":"inferred","source_span":"","fact_ids":[],"rationale":"该能力由搜索词表达的任务或问题推断；页面事实仅用于验证商品承接。"}],"secondary_domain":[{"value":"sports_outdoors","evidence_type":"inferred","source_span":"","fact_ids":[],"rationale":"该值由搜索词整体语义推断，未作为页面明示属性。"}],"primary_domain":[{"value":"clothing_shoes_jewelry","evidence_type":"inferred","source_span":"","fact_ids":[],"rationale":"该值由搜索词整体语义推断，未作为页面明示属性。"}]}</x:v>
      </x:c>
      <x:c r="Y419" s="15" t="str"/>
      <x:c r="Z419" s="10" t="str">
        <x:v>partial_match</x:v>
      </x:c>
      <x:c r="AA419" s="15" t="str">
        <x:v>title_womens_flip_flop | style_flip_flop | material_eva</x:v>
      </x:c>
      <x:c r="AB419" s="10" t="str">
        <x:v>accepted</x:v>
      </x:c>
      <x:c r="AC419" s="10" t="str">
        <x:v>1.0.0</x:v>
      </x:c>
      <x:c r="AD419" s="10" t="str">
        <x:v>1.1.0</x:v>
      </x:c>
      <x:c r="AE419" s="10" t="str">
        <x:v>deepseek/deepseek-v4-pro</x:v>
      </x:c>
      <x:c r="AF419" s="10" t="str">
        <x:v>aj2-y90-20260714T234810-0bea2f52</x:v>
      </x:c>
      <x:c r="AG419" s="10" t="str">
        <x:v>full-0021</x:v>
      </x:c>
      <x:c r="AH419" s="10" t="str">
        <x:v>full</x:v>
      </x:c>
      <x:c r="AI419" s="10" t="n">
        <x:v>21</x:v>
      </x:c>
    </x:row>
    <x:row r="420" ht="34" customHeight="1">
      <x:c r="A420" s="16" t="str">
        <x:v>waterproof flip flops with arch support</x:v>
      </x:c>
      <x:c r="B420" s="16" t="str">
        <x:v>waterproof flip flops with arch support</x:v>
      </x:c>
      <x:c r="C420" s="13" t="str">
        <x:v>f958a5d52af71dba</x:v>
      </x:c>
      <x:c r="D420" s="13" t="str">
        <x:v>keyword</x:v>
      </x:c>
      <x:c r="E420" s="13" t="str">
        <x:v>en</x:v>
      </x:c>
      <x:c r="F420" s="13" t="str">
        <x:v>clothing_shoes_jewelry</x:v>
      </x:c>
      <x:c r="G420" s="16" t="str">
        <x:v>sports_outdoors</x:v>
      </x:c>
      <x:c r="H420" s="16" t="str">
        <x:v>flip_flops</x:v>
      </x:c>
      <x:c r="I420" s="16" t="str"/>
      <x:c r="J420" s="16" t="str">
        <x:v>water_protection | foot_support</x:v>
      </x:c>
      <x:c r="K420" s="16" t="str">
        <x:v>waterproof | arch_support</x:v>
      </x:c>
      <x:c r="L420" s="16" t="str"/>
      <x:c r="M420" s="16" t="str"/>
      <x:c r="N420" s="16" t="str"/>
      <x:c r="O420" s="16" t="str"/>
      <x:c r="P420" s="16" t="str"/>
      <x:c r="Q420" s="16" t="str"/>
      <x:c r="R420" s="16" t="str">
        <x:v>用户需要一双既防水又具有足弓支撑功能的夹脚凉鞋，适合潮湿或多水环境使用。</x:v>
      </x:c>
      <x:c r="S420" s="13" t="str">
        <x:v>high_intent</x:v>
      </x:c>
      <x:c r="T420" s="16" t="str">
        <x:v>explicit | page_validated | inferred</x:v>
      </x:c>
      <x:c r="U420" s="13" t="str">
        <x:v>medium</x:v>
      </x:c>
      <x:c r="V420" s="16" t="str">
        <x:v>waterproof_arch_support_flip_flops</x:v>
      </x:c>
      <x:c r="W420" s="16" t="str">
        <x:v>listing_gap_review</x:v>
      </x:c>
      <x:c r="X420" s="16" t="str">
        <x:v>{"product_type":[{"value":"flip_flops","evidence_type":"explicit","source_span":"flip flops","fact_ids":[],"rationale":""},{"value":"flip_flops","evidence_type":"page_validated","source_span":"","fact_ids":["style_flip_flop"],"rationale":"该槽位与商品基准中的明示页面事实一致。"}],"capability_intent":[{"value":"arch_support","evidence_type":"explicit","source_span":"arch support","fact_ids":[],"rationale":""},{"value":"waterproof","evidence_type":"explicit","source_span":"waterproof","fact_ids":[],"rationale":""},{"value":"arch_support","evidence_type":"page_validated","source_span":"","fact_ids":["arch_support"],"rationale":"该槽位与商品基准中的明示页面事实一致。"}],"function_intent":[{"value":"foot_support","evidence_type":"explicit","source_span":"arch support","fact_ids":[],"rationale":""},{"value":"water_protection","evidence_type":"explicit","source_span":"waterproof","fact_ids":[],"rationale":""},{"value":"foot_support","evidence_type":"page_validated","source_span":"","fact_ids":["arch_support"],"rationale":"该槽位与商品基准中的明示页面事实一致。"},{"value":"foot_support","evidence_type":"inferred","source_span":"","fact_ids":[],"rationale":"该能力由搜索词表达的任务或问题推断；页面事实仅用于验证商品承接。"}],"secondary_domain":[{"value":"sports_outdoors","evidence_type":"inferred","source_span":"","fact_ids":[],"rationale":"该值由搜索词整体语义推断，未作为页面明示属性。"}],"primary_domain":[{"value":"clothing_shoes_jewelry","evidence_type":"inferred","source_span":"","fact_ids":[],"rationale":"该值由搜索词整体语义推断，未作为页面明示属性。"}]}</x:v>
      </x:c>
      <x:c r="Y420" s="16" t="str"/>
      <x:c r="Z420" s="13" t="str">
        <x:v>partial_match</x:v>
      </x:c>
      <x:c r="AA420" s="16" t="str">
        <x:v>title_womens_flip_flop | style_flip_flop | arch_support</x:v>
      </x:c>
      <x:c r="AB420" s="13" t="str">
        <x:v>accepted</x:v>
      </x:c>
      <x:c r="AC420" s="13" t="str">
        <x:v>1.0.0</x:v>
      </x:c>
      <x:c r="AD420" s="13" t="str">
        <x:v>1.1.0</x:v>
      </x:c>
      <x:c r="AE420" s="13" t="str">
        <x:v>deepseek/deepseek-v4-pro</x:v>
      </x:c>
      <x:c r="AF420" s="13" t="str">
        <x:v>aj2-y90-20260714T234810-0bea2f52</x:v>
      </x:c>
      <x:c r="AG420" s="13" t="str">
        <x:v>full-0021</x:v>
      </x:c>
      <x:c r="AH420" s="13" t="str">
        <x:v>full</x:v>
      </x:c>
      <x:c r="AI420" s="13" t="n">
        <x:v>21</x:v>
      </x:c>
    </x:row>
    <x:row r="421" ht="34" customHeight="1">
      <x:c r="A421" s="15" t="str">
        <x:v>pool flip flops for women non slip</x:v>
      </x:c>
      <x:c r="B421" s="15" t="str">
        <x:v>pool flip flops for women non slip</x:v>
      </x:c>
      <x:c r="C421" s="10" t="str">
        <x:v>fb78821fea69e7f1</x:v>
      </x:c>
      <x:c r="D421" s="10" t="str">
        <x:v>keyword</x:v>
      </x:c>
      <x:c r="E421" s="10" t="str">
        <x:v>en</x:v>
      </x:c>
      <x:c r="F421" s="10" t="str">
        <x:v>clothing_shoes_jewelry</x:v>
      </x:c>
      <x:c r="G421" s="15" t="str">
        <x:v>sports_outdoors</x:v>
      </x:c>
      <x:c r="H421" s="15" t="str">
        <x:v>flip_flops</x:v>
      </x:c>
      <x:c r="I421" s="15" t="str">
        <x:v>women</x:v>
      </x:c>
      <x:c r="J421" s="15" t="str">
        <x:v>slip_prevention | water_safety</x:v>
      </x:c>
      <x:c r="K421" s="15" t="str">
        <x:v>non_slip | water_friendly</x:v>
      </x:c>
      <x:c r="L421" s="15" t="str">
        <x:v>swimming</x:v>
      </x:c>
      <x:c r="M421" s="15" t="str">
        <x:v>pool</x:v>
      </x:c>
      <x:c r="N421" s="15" t="str"/>
      <x:c r="O421" s="15" t="str"/>
      <x:c r="P421" s="15" t="str"/>
      <x:c r="Q421" s="15" t="str"/>
      <x:c r="R421" s="15" t="str">
        <x:v>女性用户需要一双防滑的夹脚凉鞋，用于泳池环境以保障安全。</x:v>
      </x:c>
      <x:c r="S421" s="10" t="str">
        <x:v>high_intent</x:v>
      </x:c>
      <x:c r="T421" s="15" t="str">
        <x:v>explicit | page_validated | inferred</x:v>
      </x:c>
      <x:c r="U421" s="10" t="str">
        <x:v>medium</x:v>
      </x:c>
      <x:c r="V421" s="15" t="str">
        <x:v>pool_non_slip_womens_flip_flops</x:v>
      </x:c>
      <x:c r="W421" s="15" t="str">
        <x:v>listing_gap_review</x:v>
      </x:c>
      <x:c r="X421" s="15" t="str">
        <x:v>{"product_type":[{"value":"flip_flops","evidence_type":"explicit","source_span":"flip flops","fact_ids":[],"rationale":""},{"value":"flip_flops","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capability_intent":[{"value":"non_slip","evidence_type":"explicit","source_span":"non slip","fact_ids":[],"rationale":""},{"value":"non_slip","evidence_type":"page_validated","source_span":"","fact_ids":["slip_resistant_grip"],"rationale":"该槽位与商品基准中的明示页面事实一致。"},{"value":"water_friendly","evidence_type":"inferred","source_span":"","fact_ids":[],"rationale":"该值由搜索词整体语义推断，未作为页面明示属性。"}],"location_intent":[{"value":"pool","evidence_type":"explicit","source_span":"pool","fact_ids":[],"rationale":""}],"function_intent":[{"value":"slip_prevention","evidence_type":"explicit","source_span":"non slip","fact_ids":[],"rationale":""},{"value":"water_safety","evidence_type":"inferred","source_span":"","fact_ids":[],"rationale":"该值由搜索词整体语义推断，未作为页面明示属性。"}],"secondary_domain":[{"value":"sports_outdoors","evidence_type":"inferred","source_span":"","fact_ids":[],"rationale":"该值由搜索词整体语义推断，未作为页面明示属性。"}],"event_intent":[{"value":"swimming","evidence_type":"inferred","source_span":"","fact_ids":[],"rationale":"该值由搜索词整体语义推断，未作为页面明示属性。"}],"primary_domain":[{"value":"clothing_shoes_jewelry","evidence_type":"inferred","source_span":"","fact_ids":[],"rationale":"该值由搜索词整体语义推断，未作为页面明示属性。"}]}</x:v>
      </x:c>
      <x:c r="Y421" s="15" t="str"/>
      <x:c r="Z421" s="10" t="str">
        <x:v>partial_match</x:v>
      </x:c>
      <x:c r="AA421" s="15" t="str">
        <x:v>title_womens_flip_flop | style_flip_flop | slip_resistant_grip | material_eva</x:v>
      </x:c>
      <x:c r="AB421" s="10" t="str">
        <x:v>accepted</x:v>
      </x:c>
      <x:c r="AC421" s="10" t="str">
        <x:v>1.0.0</x:v>
      </x:c>
      <x:c r="AD421" s="10" t="str">
        <x:v>1.1.0</x:v>
      </x:c>
      <x:c r="AE421" s="10" t="str">
        <x:v>deepseek/deepseek-v4-pro</x:v>
      </x:c>
      <x:c r="AF421" s="10" t="str">
        <x:v>aj2-y90-20260714T234810-0bea2f52</x:v>
      </x:c>
      <x:c r="AG421" s="10" t="str">
        <x:v>full-0021</x:v>
      </x:c>
      <x:c r="AH421" s="10" t="str">
        <x:v>full</x:v>
      </x:c>
      <x:c r="AI421" s="10" t="n">
        <x:v>21</x:v>
      </x:c>
    </x:row>
    <x:row r="422" ht="34" customHeight="1">
      <x:c r="A422" s="16" t="str">
        <x:v>chanclas de mujer</x:v>
      </x:c>
      <x:c r="B422" s="16" t="str">
        <x:v>chanclas de mujer</x:v>
      </x:c>
      <x:c r="C422" s="13" t="str">
        <x:v>0812a87bc23b7217</x:v>
      </x:c>
      <x:c r="D422" s="13" t="str">
        <x:v>keyword</x:v>
      </x:c>
      <x:c r="E422" s="13" t="str">
        <x:v>es</x:v>
      </x:c>
      <x:c r="F422" s="13" t="str">
        <x:v>clothing_shoes_jewelry</x:v>
      </x:c>
      <x:c r="G422" s="16" t="str"/>
      <x:c r="H422" s="16" t="str">
        <x:v>flip_flops | sandals</x:v>
      </x:c>
      <x:c r="I422" s="16" t="str">
        <x:v>women</x:v>
      </x:c>
      <x:c r="J422" s="16" t="str"/>
      <x:c r="K422" s="16" t="str"/>
      <x:c r="L422" s="16" t="str"/>
      <x:c r="M422" s="16" t="str"/>
      <x:c r="N422" s="16" t="str"/>
      <x:c r="O422" s="16" t="str"/>
      <x:c r="P422" s="16" t="str"/>
      <x:c r="Q422" s="16" t="str"/>
      <x:c r="R422" s="16" t="str">
        <x:v>西语用户搜索女式人字拖，处于广泛浏览阶段。</x:v>
      </x:c>
      <x:c r="S422" s="13" t="str">
        <x:v>exploration</x:v>
      </x:c>
      <x:c r="T422" s="16" t="str">
        <x:v>explicit | inferred</x:v>
      </x:c>
      <x:c r="U422" s="13" t="str">
        <x:v>high</x:v>
      </x:c>
      <x:c r="V422" s="16" t="str">
        <x:v>womens_flip_flops_spanish</x:v>
      </x:c>
      <x:c r="W422" s="16" t="str">
        <x:v>cluster_route</x:v>
      </x:c>
      <x:c r="X422" s="16" t="str">
        <x:v>{"primary_domain":[{"value":"clothing_shoes_jewelry","evidence_type":"inferred","source_span":"","fact_ids":[],"rationale":"鞋类产品属于服装鞋履珠宝大类"}],"product_type":[{"value":"flip_flops","evidence_type":"inferred","source_span":"","fact_ids":[],"rationale":"chanclas在西语中常指人字拖"},{"value":"sandals","evidence_type":"inferred","source_span":"","fact_ids":[],"rationale":"chanclas也可泛指凉鞋"},{"value":"flip_flops","evidence_type":"page_validated","source_span":"","fact_ids":["style_flip_flop"],"rationale":"该槽位与商品基准中的明示页面事实一致。"},{"value":"sandals","evidence_type":"page_validated","source_span":"","fact_ids":["title_womens_flip_flop"],"rationale":"该槽位与商品基准中的明示页面事实一致。"}],"audience_intent":[{"value":"women","evidence_type":"explicit","source_span":"mujer","fact_ids":[],"rationale":""},{"value":"women","evidence_type":"page_validated","source_span":"","fact_ids":["title_womens_flip_flop"],"rationale":"该槽位与商品基准中的明示页面事实一致。"},{"value":"women","evidence_type":"inferred","source_span":"","fact_ids":[],"rationale":"该能力由搜索词表达的任务或问题推断；页面事实仅用于验证商品承接。"}],"intent_stage":[{"value":"exploration","evidence_type":"inferred","source_span":"","fact_ids":[],"rationale":"宽泛品类搜索无特征限定"}],"intent_cluster":[{"value":"womens_flip_flops_spanish","evidence_type":"inferred","source_span":"","fact_ids":[],"rationale":"西语女式人字拖语义簇"}],"routing_action":[{"value":"cluster_route","evidence_type":"inferred","source_span":"","fact_ids":[],"rationale":"产品类型与受众完全匹配"}],"asin_fit":[{"value":"match","evidence_type":"page_validated","source_span":"","fact_ids":["title_womens_flip_flop","style_flip_flop","style_thong"],"rationale":""}],"latent_task":[{"value":"西语用户搜索女式人字拖，处于广泛浏览阶段。","evidence_type":"inferred","source_span":"","fact_ids":[],"rationale":"宽泛西语品类搜索推断为浏览行为"}]}</x:v>
      </x:c>
      <x:c r="Y422" s="16" t="str"/>
      <x:c r="Z422" s="13" t="str">
        <x:v>match</x:v>
      </x:c>
      <x:c r="AA422" s="16" t="str">
        <x:v>title_womens_flip_flop | style_flip_flop | style_thong</x:v>
      </x:c>
      <x:c r="AB422" s="13" t="str">
        <x:v>accepted</x:v>
      </x:c>
      <x:c r="AC422" s="13" t="str">
        <x:v>1.0.0</x:v>
      </x:c>
      <x:c r="AD422" s="13" t="str">
        <x:v>1.1.0</x:v>
      </x:c>
      <x:c r="AE422" s="13" t="str">
        <x:v>deepseek/deepseek-v4-pro</x:v>
      </x:c>
      <x:c r="AF422" s="13" t="str">
        <x:v>aj2-y90-20260714T234810-0bea2f52</x:v>
      </x:c>
      <x:c r="AG422" s="13" t="str">
        <x:v>full-0022</x:v>
      </x:c>
      <x:c r="AH422" s="13" t="str">
        <x:v>full</x:v>
      </x:c>
      <x:c r="AI422" s="13" t="n">
        <x:v>22</x:v>
      </x:c>
    </x:row>
    <x:row r="423" ht="34" customHeight="1">
      <x:c r="A423" s="15" t="str">
        <x:v>black pool flip flops</x:v>
      </x:c>
      <x:c r="B423" s="15" t="str">
        <x:v>black pool flip flops</x:v>
      </x:c>
      <x:c r="C423" s="10" t="str">
        <x:v>0b73776b7722222d</x:v>
      </x:c>
      <x:c r="D423" s="10" t="str">
        <x:v>keyword</x:v>
      </x:c>
      <x:c r="E423" s="10" t="str">
        <x:v>en</x:v>
      </x:c>
      <x:c r="F423" s="10" t="str">
        <x:v>clothing_shoes_jewelry</x:v>
      </x:c>
      <x:c r="G423" s="15" t="str">
        <x:v>sports_outdoors</x:v>
      </x:c>
      <x:c r="H423" s="15" t="str">
        <x:v>flip_flops</x:v>
      </x:c>
      <x:c r="I423" s="15" t="str"/>
      <x:c r="J423" s="15" t="str"/>
      <x:c r="K423" s="15" t="str"/>
      <x:c r="L423" s="15" t="str">
        <x:v>pool_use</x:v>
      </x:c>
      <x:c r="M423" s="15" t="str">
        <x:v>poolside</x:v>
      </x:c>
      <x:c r="N423" s="15" t="str"/>
      <x:c r="O423" s="15" t="str"/>
      <x:c r="P423" s="15" t="str"/>
      <x:c r="Q423" s="15" t="str"/>
      <x:c r="R423" s="15" t="str">
        <x:v>用户寻找黑色泳池用人字拖，需要涉水场景穿着的便鞋。</x:v>
      </x:c>
      <x:c r="S423" s="10" t="str">
        <x:v>consideration</x:v>
      </x:c>
      <x:c r="T423" s="15" t="str">
        <x:v>explicit | inferred</x:v>
      </x:c>
      <x:c r="U423" s="10" t="str">
        <x:v>medium</x:v>
      </x:c>
      <x:c r="V423" s="15" t="str">
        <x:v>pool_flip_flops_black</x:v>
      </x:c>
      <x:c r="W423" s="15" t="str">
        <x:v>listing_gap_review</x:v>
      </x:c>
      <x:c r="X423" s="15" t="str">
        <x:v>{"primary_domain":[{"value":"clothing_shoes_jewelry","evidence_type":"inferred","source_span":"","fact_ids":[],"rationale":"鞋类产品属于服装鞋履珠宝大类"}],"secondary_domain":[{"value":"sports_outdoors","evidence_type":"inferred","source_span":"","fact_ids":[],"rationale":"泳池活动属于户外运动场景"}],"product_type":[{"value":"flip_flops","evidence_type":"explicit","source_span":"flip flops","fact_ids":[],"rationale":""},{"value":"flip_flops","evidence_type":"page_validated","source_span":"","fact_ids":["style_flip_flop"],"rationale":"该槽位与商品基准中的明示页面事实一致。"}],"event_intent":[{"value":"pool_use","evidence_type":"explicit","source_span":"pool","fact_ids":[],"rationale":""}],"location_intent":[{"value":"poolside","evidence_type":"inferred","source_span":"","fact_ids":[],"rationale":"pool场景推断为池畔使用"}],"intent_stage":[{"value":"consideration","evidence_type":"inferred","source_span":"","fact_ids":[],"rationale":"场景加颜色限定表明比较评估"}],"confidence_level":[{"value":"medium","evidence_type":"inferred","source_span":"","fact_ids":[],"rationale":"防水性能未被页面声明，涉水匹配度不确定"}],"intent_cluster":[{"value":"pool_flip_flops_black","evidence_type":"inferred","source_span":"","fact_ids":[],"rationale":"黑色泳池人字拖语义簇"}],"routing_action":[{"value":"listing_gap_review","evidence_type":"inferred","source_span":"","fact_ids":[],"rationale":"页面未声明防水速干特性"}],"asin_fit":[{"value":"partial_match","evidence_type":"page_validated","source_span":"","fact_ids":["title_womens_flip_flop","style_flip_flop","colors_visible","easy_clean"],"rationale":""}],"latent_task":[{"value":"用户寻找黑色泳池用人字拖，需要涉水场景穿着的便鞋。","evidence_type":"inferred","source_span":"","fact_ids":[],"rationale":"综合颜色和场景约束推断"}]}</x:v>
      </x:c>
      <x:c r="Y423" s="15" t="str">
        <x:v>waterproof_not_claimed</x:v>
      </x:c>
      <x:c r="Z423" s="10" t="str">
        <x:v>partial_match</x:v>
      </x:c>
      <x:c r="AA423" s="15" t="str">
        <x:v>title_womens_flip_flop | style_flip_flop | colors_visible | easy_clean</x:v>
      </x:c>
      <x:c r="AB423" s="10" t="str">
        <x:v>accepted</x:v>
      </x:c>
      <x:c r="AC423" s="10" t="str">
        <x:v>1.0.0</x:v>
      </x:c>
      <x:c r="AD423" s="10" t="str">
        <x:v>1.1.0</x:v>
      </x:c>
      <x:c r="AE423" s="10" t="str">
        <x:v>deepseek/deepseek-v4-pro</x:v>
      </x:c>
      <x:c r="AF423" s="10" t="str">
        <x:v>aj2-y90-20260714T234810-0bea2f52</x:v>
      </x:c>
      <x:c r="AG423" s="10" t="str">
        <x:v>full-0022</x:v>
      </x:c>
      <x:c r="AH423" s="10" t="str">
        <x:v>full</x:v>
      </x:c>
      <x:c r="AI423" s="10" t="n">
        <x:v>22</x:v>
      </x:c>
    </x:row>
    <x:row r="424" ht="34" customHeight="1">
      <x:c r="A424" s="16" t="str">
        <x:v>blue flip-flops with arch support for women</x:v>
      </x:c>
      <x:c r="B424" s="16" t="str">
        <x:v>blue flip-flops with arch support for women</x:v>
      </x:c>
      <x:c r="C424" s="13" t="str">
        <x:v>0c7a3fd41224a92c</x:v>
      </x:c>
      <x:c r="D424" s="13" t="str">
        <x:v>keyword</x:v>
      </x:c>
      <x:c r="E424" s="13" t="str">
        <x:v>en</x:v>
      </x:c>
      <x:c r="F424" s="13" t="str">
        <x:v>clothing_shoes_jewelry</x:v>
      </x:c>
      <x:c r="G424" s="16" t="str"/>
      <x:c r="H424" s="16" t="str">
        <x:v>flip_flops</x:v>
      </x:c>
      <x:c r="I424" s="16" t="str">
        <x:v>women</x:v>
      </x:c>
      <x:c r="J424" s="16" t="str">
        <x:v>arch_support</x:v>
      </x:c>
      <x:c r="K424" s="16" t="str"/>
      <x:c r="L424" s="16" t="str"/>
      <x:c r="M424" s="16" t="str"/>
      <x:c r="N424" s="16" t="str">
        <x:v>foot_arch_discomfort</x:v>
      </x:c>
      <x:c r="O424" s="16" t="str"/>
      <x:c r="P424" s="16" t="str"/>
      <x:c r="Q424" s="16" t="str"/>
      <x:c r="R424" s="16" t="str">
        <x:v>用户寻找蓝色女士足弓支撑人字拖，需要兼顾舒适与特定颜色偏好。</x:v>
      </x:c>
      <x:c r="S424" s="13" t="str">
        <x:v>high_intent</x:v>
      </x:c>
      <x:c r="T424" s="16" t="str">
        <x:v>explicit | inferred</x:v>
      </x:c>
      <x:c r="U424" s="13" t="str">
        <x:v>high</x:v>
      </x:c>
      <x:c r="V424" s="16" t="str">
        <x:v>womens_arch_support_flip_flops_color</x:v>
      </x:c>
      <x:c r="W424" s="16" t="str">
        <x:v>cluster_route</x:v>
      </x:c>
      <x:c r="X424" s="16" t="str">
        <x:v>{"primary_domain":[{"value":"clothing_shoes_jewelry","evidence_type":"inferred","source_span":"","fact_ids":[],"rationale":"鞋类产品属于服装鞋履珠宝大类"}],"product_type":[{"value":"flip_flops","evidence_type":"explicit","source_span":"flip-flops","fact_ids":[],"rationale":""},{"value":"flip_flops","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function_intent":[{"value":"arch_support","evidence_type":"explicit","source_span":"arch support","fact_ids":[],"rationale":""},{"value":"arch_support","evidence_type":"page_validated","source_span":"","fact_ids":["arch_support"],"rationale":"该槽位与商品基准中的明示页面事实一致。"}],"body_need_intent":[{"value":"foot_arch_discomfort","evidence_type":"inferred","source_span":"","fact_ids":[],"rationale":"搜索足弓支撑暗示足弓不适"}],"intent_stage":[{"value":"high_intent","evidence_type":"inferred","source_span":"","fact_ids":[],"rationale":"颜色加功能双重限定表明明确购买意向"}],"intent_cluster":[{"value":"womens_arch_support_flip_flops_color","evidence_type":"inferred","source_span":"","fact_ids":[],"rationale":"女士足弓支撑加颜色人字拖语义簇"}],"routing_action":[{"value":"cluster_route","evidence_type":"inferred","source_span":"","fact_ids":[],"rationale":"颜色、功能和产品类型均匹配"}],"asin_fit":[{"value":"match","evidence_type":"page_validated","source_span":"","fact_ids":["title_womens_flip_flop","style_flip_flop","arch_support","colors_visible"],"rationale":""}],"latent_task":[{"value":"用户寻找蓝色女士足弓支撑人字拖，需要兼顾舒适与特定颜色偏好。","evidence_type":"inferred","source_span":"","fact_ids":[],"rationale":"综合受众、颜色、功能约束推断"}]}</x:v>
      </x:c>
      <x:c r="Y424" s="16" t="str"/>
      <x:c r="Z424" s="13" t="str">
        <x:v>match</x:v>
      </x:c>
      <x:c r="AA424" s="16" t="str">
        <x:v>title_womens_flip_flop | style_flip_flop | arch_support | colors_visible</x:v>
      </x:c>
      <x:c r="AB424" s="13" t="str">
        <x:v>accepted</x:v>
      </x:c>
      <x:c r="AC424" s="13" t="str">
        <x:v>1.0.0</x:v>
      </x:c>
      <x:c r="AD424" s="13" t="str">
        <x:v>1.1.0</x:v>
      </x:c>
      <x:c r="AE424" s="13" t="str">
        <x:v>deepseek/deepseek-v4-pro</x:v>
      </x:c>
      <x:c r="AF424" s="13" t="str">
        <x:v>aj2-y90-20260714T234810-0bea2f52</x:v>
      </x:c>
      <x:c r="AG424" s="13" t="str">
        <x:v>full-0022</x:v>
      </x:c>
      <x:c r="AH424" s="13" t="str">
        <x:v>full</x:v>
      </x:c>
      <x:c r="AI424" s="13" t="n">
        <x:v>22</x:v>
      </x:c>
    </x:row>
    <x:row r="425" ht="34" customHeight="1">
      <x:c r="A425" s="15" t="str">
        <x:v>hawaianas</x:v>
      </x:c>
      <x:c r="B425" s="15" t="str">
        <x:v>hawaianas</x:v>
      </x:c>
      <x:c r="C425" s="10" t="str">
        <x:v>139ab2f959030a7c</x:v>
      </x:c>
      <x:c r="D425" s="10" t="str">
        <x:v>keyword</x:v>
      </x:c>
      <x:c r="E425" s="10" t="str">
        <x:v>en</x:v>
      </x:c>
      <x:c r="F425" s="10" t="str">
        <x:v>clothing_shoes_jewelry</x:v>
      </x:c>
      <x:c r="G425" s="15" t="str"/>
      <x:c r="H425" s="15" t="str">
        <x:v>flip_flops</x:v>
      </x:c>
      <x:c r="I425" s="15" t="str"/>
      <x:c r="J425" s="15" t="str"/>
      <x:c r="K425" s="15" t="str"/>
      <x:c r="L425" s="15" t="str"/>
      <x:c r="M425" s="15" t="str"/>
      <x:c r="N425" s="15" t="str"/>
      <x:c r="O425" s="15" t="str"/>
      <x:c r="P425" s="15" t="str"/>
      <x:c r="Q425" s="15" t="str"/>
      <x:c r="R425" s="15" t="str">
        <x:v>用户搜索Havaianas品牌人字拖，具有明确的竞争品牌偏好。</x:v>
      </x:c>
      <x:c r="S425" s="10" t="str">
        <x:v>brand_harvest</x:v>
      </x:c>
      <x:c r="T425" s="15" t="str">
        <x:v>inferred</x:v>
      </x:c>
      <x:c r="U425" s="10" t="str">
        <x:v>high</x:v>
      </x:c>
      <x:c r="V425" s="15" t="str">
        <x:v>havaianas_brand_flip_flops</x:v>
      </x:c>
      <x:c r="W425" s="15" t="str">
        <x:v>cluster_route</x:v>
      </x:c>
      <x:c r="X425" s="15" t="str">
        <x:v>{"primary_domain":[{"value":"clothing_shoes_jewelry","evidence_type":"inferred","source_span":"","fact_ids":[],"rationale":"鞋类品牌搜索属于服装鞋履珠宝大类"}],"product_type":[{"value":"flip_flops","evidence_type":"inferred","source_span":"","fact_ids":[],"rationale":"Havaianas以人字拖闻名"},{"value":"flip_flops","evidence_type":"page_validated","source_span":"","fact_ids":["style_flip_flop"],"rationale":"该槽位与商品基准中的明示页面事实一致。"}],"intent_stage":[{"value":"brand_harvest","evidence_type":"inferred","source_span":"","fact_ids":[],"rationale":"整个搜索词为竞争品牌名称"}],"intent_cluster":[{"value":"havaianas_brand_flip_flops","evidence_type":"inferred","source_span":"","fact_ids":[],"rationale":"Havaianas品牌人字拖语义簇"}],"routing_action":[{"value":"cluster_route","evidence_type":"inferred","source_span":"","fact_ids":[],"rationale":"同为人字拖品类，品牌竞争但品类匹配"}],"asin_fit":[{"value":"partial_match","evidence_type":"page_validated","source_span":"","fact_ids":["title_womens_flip_flop","style_flip_flop","style_thong"],"rationale":""}],"latent_task":[{"value":"用户搜索Havaianas品牌人字拖，具有明确的竞争品牌偏好。","evidence_type":"inferred","source_span":"","fact_ids":[],"rationale":"品牌名称搜索推断为品牌偏好行为"}]}</x:v>
      </x:c>
      <x:c r="Y425" s="15" t="str">
        <x:v>competitor_brand_havaianas</x:v>
      </x:c>
      <x:c r="Z425" s="10" t="str">
        <x:v>partial_match</x:v>
      </x:c>
      <x:c r="AA425" s="15" t="str">
        <x:v>title_womens_flip_flop | style_flip_flop | style_thong</x:v>
      </x:c>
      <x:c r="AB425" s="10" t="str">
        <x:v>accepted</x:v>
      </x:c>
      <x:c r="AC425" s="10" t="str">
        <x:v>1.0.0</x:v>
      </x:c>
      <x:c r="AD425" s="10" t="str">
        <x:v>1.1.0</x:v>
      </x:c>
      <x:c r="AE425" s="10" t="str">
        <x:v>deepseek/deepseek-v4-pro</x:v>
      </x:c>
      <x:c r="AF425" s="10" t="str">
        <x:v>aj2-y90-20260714T234810-0bea2f52</x:v>
      </x:c>
      <x:c r="AG425" s="10" t="str">
        <x:v>full-0022</x:v>
      </x:c>
      <x:c r="AH425" s="10" t="str">
        <x:v>full</x:v>
      </x:c>
      <x:c r="AI425" s="10" t="n">
        <x:v>22</x:v>
      </x:c>
    </x:row>
    <x:row r="426" ht="34" customHeight="1">
      <x:c r="A426" s="16" t="str">
        <x:v>womens flip flops coral</x:v>
      </x:c>
      <x:c r="B426" s="16" t="str">
        <x:v>womens flip flops coral</x:v>
      </x:c>
      <x:c r="C426" s="13" t="str">
        <x:v>1e5b5d8ceecf0bd6</x:v>
      </x:c>
      <x:c r="D426" s="13" t="str">
        <x:v>keyword</x:v>
      </x:c>
      <x:c r="E426" s="13" t="str">
        <x:v>en</x:v>
      </x:c>
      <x:c r="F426" s="13" t="str">
        <x:v>clothing_shoes_jewelry</x:v>
      </x:c>
      <x:c r="G426" s="16" t="str"/>
      <x:c r="H426" s="16" t="str">
        <x:v>flip_flops | thong_sandals</x:v>
      </x:c>
      <x:c r="I426" s="16" t="str">
        <x:v>women</x:v>
      </x:c>
      <x:c r="J426" s="16" t="str"/>
      <x:c r="K426" s="16" t="str"/>
      <x:c r="L426" s="16" t="str"/>
      <x:c r="M426" s="16" t="str"/>
      <x:c r="N426" s="16" t="str"/>
      <x:c r="O426" s="16" t="str"/>
      <x:c r="P426" s="16" t="str"/>
      <x:c r="Q426" s="16" t="str"/>
      <x:c r="R426" s="16" t="str">
        <x:v>用户寻找珊瑚色女式人字拖，需要特定颜色款式满足日常穿搭需求。</x:v>
      </x:c>
      <x:c r="S426" s="13" t="str">
        <x:v>high_intent</x:v>
      </x:c>
      <x:c r="T426" s="16" t="str">
        <x:v>explicit</x:v>
      </x:c>
      <x:c r="U426" s="13" t="str">
        <x:v>high</x:v>
      </x:c>
      <x:c r="V426" s="16" t="str">
        <x:v>womens_flip_flops_color_specific</x:v>
      </x:c>
      <x:c r="W426" s="16" t="str">
        <x:v>listing_gap_review</x:v>
      </x:c>
      <x:c r="X426" s="16" t="str">
        <x:v>{"primary_domain":[{"value":"clothing_shoes_jewelry","evidence_type":"inferred","source_span":"","fact_ids":[],"rationale":"鞋类产品属于服装鞋履珠宝大类"}],"product_type":[{"value":"flip_flops","evidence_type":"explicit","source_span":"flip flops","fact_ids":[],"rationale":""},{"value":"thong_sandals","evidence_type":"inferred","source_span":"","fact_ids":[],"rationale":"人字拖属于夹趾凉鞋子类"},{"value":"flip_flops","evidence_type":"page_validated","source_span":"","fact_ids":["style_flip_flop"],"rationale":"该槽位与商品基准中的明示页面事实一致。"},{"value":"thong_sandals","evidence_type":"page_validated","source_span":"","fact_ids":["style_thong","style_flip_flop"],"rationale":"该槽位与商品基准中的明示页面事实一致。"}],"audience_intent":[{"value":"women","evidence_type":"explicit","source_span":"womens","fact_ids":[],"rationale":""},{"value":"women","evidence_type":"page_validated","source_span":"","fact_ids":["title_womens_flip_flop"],"rationale":"该槽位与商品基准中的明示页面事实一致。"}],"intent_stage":[{"value":"high_intent","evidence_type":"inferred","source_span":"","fact_ids":[],"rationale":"含颜色限定词表明明确购买意向"}],"intent_cluster":[{"value":"womens_flip_flops_color_specific","evidence_type":"inferred","source_span":"","fact_ids":[],"rationale":"女式人字拖加特定颜色语义簇"}],"routing_action":[{"value":"listing_gap_review","evidence_type":"inferred","source_span":"","fact_ids":[],"rationale":"coral颜色不在页面列出颜色中"}],"asin_fit":[{"value":"partial_match","evidence_type":"page_validated","source_span":"","fact_ids":["title_womens_flip_flop","style_flip_flop","style_thong","colors_visible"],"rationale":""}],"latent_task":[{"value":"用户寻找珊瑚色女式人字拖，需要特定颜色款式满足日常穿搭需求。","evidence_type":"inferred","source_span":"","fact_ids":[],"rationale":"综合产品类型、受众和颜色约束推断"}]}</x:v>
      </x:c>
      <x:c r="Y426" s="16" t="str"/>
      <x:c r="Z426" s="13" t="str">
        <x:v>partial_match</x:v>
      </x:c>
      <x:c r="AA426" s="16" t="str">
        <x:v>title_womens_flip_flop | style_flip_flop | style_thong | colors_visible</x:v>
      </x:c>
      <x:c r="AB426" s="13" t="str">
        <x:v>accepted</x:v>
      </x:c>
      <x:c r="AC426" s="13" t="str">
        <x:v>1.0.0</x:v>
      </x:c>
      <x:c r="AD426" s="13" t="str">
        <x:v>1.1.0</x:v>
      </x:c>
      <x:c r="AE426" s="13" t="str">
        <x:v>deepseek/deepseek-v4-pro</x:v>
      </x:c>
      <x:c r="AF426" s="13" t="str">
        <x:v>aj2-y90-20260714T234810-0bea2f52</x:v>
      </x:c>
      <x:c r="AG426" s="13" t="str">
        <x:v>full-0022</x:v>
      </x:c>
      <x:c r="AH426" s="13" t="str">
        <x:v>full</x:v>
      </x:c>
      <x:c r="AI426" s="13" t="n">
        <x:v>22</x:v>
      </x:c>
    </x:row>
    <x:row r="427" ht="34" customHeight="1">
      <x:c r="A427" s="15" t="str">
        <x:v>womens white flipflops</x:v>
      </x:c>
      <x:c r="B427" s="15" t="str">
        <x:v>womens white flipflops</x:v>
      </x:c>
      <x:c r="C427" s="10" t="str">
        <x:v>259562e5e3ff53c4</x:v>
      </x:c>
      <x:c r="D427" s="10" t="str">
        <x:v>keyword</x:v>
      </x:c>
      <x:c r="E427" s="10" t="str">
        <x:v>en</x:v>
      </x:c>
      <x:c r="F427" s="10" t="str">
        <x:v>clothing_shoes_jewelry</x:v>
      </x:c>
      <x:c r="G427" s="15" t="str"/>
      <x:c r="H427" s="15" t="str">
        <x:v>flip_flops</x:v>
      </x:c>
      <x:c r="I427" s="15" t="str">
        <x:v>women</x:v>
      </x:c>
      <x:c r="J427" s="15" t="str"/>
      <x:c r="K427" s="15" t="str"/>
      <x:c r="L427" s="15" t="str"/>
      <x:c r="M427" s="15" t="str"/>
      <x:c r="N427" s="15" t="str"/>
      <x:c r="O427" s="15" t="str"/>
      <x:c r="P427" s="15" t="str"/>
      <x:c r="Q427" s="15" t="str"/>
      <x:c r="R427" s="15" t="str">
        <x:v>用户寻找白色女式人字拖，需要基础款白色凉鞋。</x:v>
      </x:c>
      <x:c r="S427" s="10" t="str">
        <x:v>high_intent</x:v>
      </x:c>
      <x:c r="T427" s="15" t="str">
        <x:v>explicit</x:v>
      </x:c>
      <x:c r="U427" s="10" t="str">
        <x:v>high</x:v>
      </x:c>
      <x:c r="V427" s="15" t="str">
        <x:v>womens_white_flip_flops</x:v>
      </x:c>
      <x:c r="W427" s="15" t="str">
        <x:v>cluster_route</x:v>
      </x:c>
      <x:c r="X427" s="15" t="str">
        <x:v>{"primary_domain":[{"value":"clothing_shoes_jewelry","evidence_type":"inferred","source_span":"","fact_ids":[],"rationale":"鞋类产品属于服装鞋履珠宝大类"}],"product_type":[{"value":"flip_flops","evidence_type":"explicit","source_span":"flipflops","fact_ids":[],"rationale":""},{"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audience_intent":[{"value":"women","evidence_type":"explicit","source_span":"womens","fact_ids":[],"rationale":""},{"value":"women","evidence_type":"page_validated","source_span":"","fact_ids":["title_womens_flip_flop"],"rationale":"该槽位与商品基准中的明示页面事实一致。"}],"intent_stage":[{"value":"high_intent","evidence_type":"inferred","source_span":"","fact_ids":[],"rationale":"受众和颜色双重限定"}],"intent_cluster":[{"value":"womens_white_flip_flops","evidence_type":"inferred","source_span":"","fact_ids":[],"rationale":"白色女式人字拖语义簇"}],"routing_action":[{"value":"cluster_route","evidence_type":"inferred","source_span":"","fact_ids":[],"rationale":"白色在页面颜色列表中"}],"asin_fit":[{"value":"match","evidence_type":"page_validated","source_span":"","fact_ids":["title_womens_flip_flop","style_flip_flop","colors_visible"],"rationale":""}],"latent_task":[{"value":"用户寻找白色女式人字拖，需要基础款白色凉鞋。","evidence_type":"inferred","source_span":"","fact_ids":[],"rationale":"综合受众和颜色约束推断"}]}</x:v>
      </x:c>
      <x:c r="Y427" s="15" t="str"/>
      <x:c r="Z427" s="10" t="str">
        <x:v>match</x:v>
      </x:c>
      <x:c r="AA427" s="15" t="str">
        <x:v>title_womens_flip_flop | style_flip_flop | colors_visible</x:v>
      </x:c>
      <x:c r="AB427" s="10" t="str">
        <x:v>accepted</x:v>
      </x:c>
      <x:c r="AC427" s="10" t="str">
        <x:v>1.0.0</x:v>
      </x:c>
      <x:c r="AD427" s="10" t="str">
        <x:v>1.1.0</x:v>
      </x:c>
      <x:c r="AE427" s="10" t="str">
        <x:v>deepseek/deepseek-v4-pro</x:v>
      </x:c>
      <x:c r="AF427" s="10" t="str">
        <x:v>aj2-y90-20260714T234810-0bea2f52</x:v>
      </x:c>
      <x:c r="AG427" s="10" t="str">
        <x:v>full-0022</x:v>
      </x:c>
      <x:c r="AH427" s="10" t="str">
        <x:v>full</x:v>
      </x:c>
      <x:c r="AI427" s="10" t="n">
        <x:v>22</x:v>
      </x:c>
    </x:row>
    <x:row r="428" ht="34" customHeight="1">
      <x:c r="A428" s="16" t="str">
        <x:v>flip flops with jewels</x:v>
      </x:c>
      <x:c r="B428" s="16" t="str">
        <x:v>flip flops with jewels</x:v>
      </x:c>
      <x:c r="C428" s="13" t="str">
        <x:v>2f1b2ff3aeac29d2</x:v>
      </x:c>
      <x:c r="D428" s="13" t="str">
        <x:v>keyword</x:v>
      </x:c>
      <x:c r="E428" s="13" t="str">
        <x:v>en</x:v>
      </x:c>
      <x:c r="F428" s="13" t="str">
        <x:v>clothing_shoes_jewelry</x:v>
      </x:c>
      <x:c r="G428" s="16" t="str"/>
      <x:c r="H428" s="16" t="str">
        <x:v>flip_flops</x:v>
      </x:c>
      <x:c r="I428" s="16" t="str"/>
      <x:c r="J428" s="16" t="str"/>
      <x:c r="K428" s="16" t="str">
        <x:v>jewel_embellishment</x:v>
      </x:c>
      <x:c r="L428" s="16" t="str"/>
      <x:c r="M428" s="16" t="str"/>
      <x:c r="N428" s="16" t="str"/>
      <x:c r="O428" s="16" t="str"/>
      <x:c r="P428" s="16" t="str"/>
      <x:c r="Q428" s="16" t="str"/>
      <x:c r="R428" s="16" t="str">
        <x:v>用户寻找带珠宝装饰的人字拖，注重外观装饰元素。</x:v>
      </x:c>
      <x:c r="S428" s="13" t="str">
        <x:v>consideration</x:v>
      </x:c>
      <x:c r="T428" s="16" t="str">
        <x:v>explicit | inferred</x:v>
      </x:c>
      <x:c r="U428" s="13" t="str">
        <x:v>high</x:v>
      </x:c>
      <x:c r="V428" s="16" t="str">
        <x:v>jeweled_flip_flops</x:v>
      </x:c>
      <x:c r="W428" s="16" t="str">
        <x:v>listing_gap_review</x:v>
      </x:c>
      <x:c r="X428" s="16" t="str">
        <x:v>{"primary_domain":[{"value":"clothing_shoes_jewelry","evidence_type":"inferred","source_span":"","fact_ids":[],"rationale":"鞋类产品属于服装鞋履珠宝大类"}],"product_type":[{"value":"flip_flops","evidence_type":"explicit","source_span":"flip flops","fact_ids":[],"rationale":""},{"value":"flip_flops","evidence_type":"page_validated","source_span":"","fact_ids":["style_flip_flop"],"rationale":"该槽位与商品基准中的明示页面事实一致。"}],"capability_intent":[{"value":"jewel_embellishment","evidence_type":"explicit","source_span":"jewels","fact_ids":[],"rationale":""}],"intent_stage":[{"value":"consideration","evidence_type":"inferred","source_span":"","fact_ids":[],"rationale":"装饰特征限定表明比较评估"}],"intent_cluster":[{"value":"jeweled_flip_flops","evidence_type":"inferred","source_span":"","fact_ids":[],"rationale":"珠宝装饰人字拖语义簇"}],"routing_action":[{"value":"listing_gap_review","evidence_type":"inferred","source_span":"","fact_ids":[],"rationale":"页面无珠宝装饰相关声明"}],"asin_fit":[{"value":"partial_match","evidence_type":"page_validated","source_span":"","fact_ids":["title_womens_flip_flop","style_flip_flop"],"rationale":""}],"latent_task":[{"value":"用户寻找带珠宝装饰的人字拖，注重外观装饰元素。","evidence_type":"inferred","source_span":"","fact_ids":[],"rationale":"综合品类和装饰需求推断"}]}</x:v>
      </x:c>
      <x:c r="Y428" s="16" t="str"/>
      <x:c r="Z428" s="13" t="str">
        <x:v>partial_match</x:v>
      </x:c>
      <x:c r="AA428" s="16" t="str">
        <x:v>title_womens_flip_flop | style_flip_flop</x:v>
      </x:c>
      <x:c r="AB428" s="13" t="str">
        <x:v>accepted</x:v>
      </x:c>
      <x:c r="AC428" s="13" t="str">
        <x:v>1.0.0</x:v>
      </x:c>
      <x:c r="AD428" s="13" t="str">
        <x:v>1.1.0</x:v>
      </x:c>
      <x:c r="AE428" s="13" t="str">
        <x:v>deepseek/deepseek-v4-pro</x:v>
      </x:c>
      <x:c r="AF428" s="13" t="str">
        <x:v>aj2-y90-20260714T234810-0bea2f52</x:v>
      </x:c>
      <x:c r="AG428" s="13" t="str">
        <x:v>full-0022</x:v>
      </x:c>
      <x:c r="AH428" s="13" t="str">
        <x:v>full</x:v>
      </x:c>
      <x:c r="AI428" s="13" t="n">
        <x:v>22</x:v>
      </x:c>
    </x:row>
    <x:row r="429" ht="34" customHeight="1">
      <x:c r="A429" s="15" t="str">
        <x:v>clearance flip flops</x:v>
      </x:c>
      <x:c r="B429" s="15" t="str">
        <x:v>clearance flip flops</x:v>
      </x:c>
      <x:c r="C429" s="10" t="str">
        <x:v>3183515a4a7e0108</x:v>
      </x:c>
      <x:c r="D429" s="10" t="str">
        <x:v>keyword</x:v>
      </x:c>
      <x:c r="E429" s="10" t="str">
        <x:v>en</x:v>
      </x:c>
      <x:c r="F429" s="10" t="str">
        <x:v>clothing_shoes_jewelry</x:v>
      </x:c>
      <x:c r="G429" s="15" t="str"/>
      <x:c r="H429" s="15" t="str">
        <x:v>flip_flops</x:v>
      </x:c>
      <x:c r="I429" s="15" t="str"/>
      <x:c r="J429" s="15" t="str"/>
      <x:c r="K429" s="15" t="str"/>
      <x:c r="L429" s="15" t="str"/>
      <x:c r="M429" s="15" t="str"/>
      <x:c r="N429" s="15" t="str"/>
      <x:c r="O429" s="15" t="str">
        <x:v>discount_seeking</x:v>
      </x:c>
      <x:c r="P429" s="15" t="str"/>
      <x:c r="Q429" s="15" t="str"/>
      <x:c r="R429" s="15" t="str">
        <x:v>用户寻找清仓折扣人字拖，主要关注价格优惠而非特定产品特性。</x:v>
      </x:c>
      <x:c r="S429" s="10" t="str">
        <x:v>exploration</x:v>
      </x:c>
      <x:c r="T429" s="15" t="str">
        <x:v>explicit | inferred</x:v>
      </x:c>
      <x:c r="U429" s="10" t="str">
        <x:v>medium</x:v>
      </x:c>
      <x:c r="V429" s="15" t="str">
        <x:v>clearance_flip_flops</x:v>
      </x:c>
      <x:c r="W429" s="15" t="str">
        <x:v>performance_observation</x:v>
      </x:c>
      <x:c r="X429" s="15" t="str">
        <x:v>{"primary_domain":[{"value":"clothing_shoes_jewelry","evidence_type":"inferred","source_span":"","fact_ids":[],"rationale":"鞋类产品属于服装鞋履珠宝大类"}],"product_type":[{"value":"flip_flops","evidence_type":"explicit","source_span":"flip flops","fact_ids":[],"rationale":""},{"value":"flip_flops","evidence_type":"page_validated","source_span":"","fact_ids":["style_flip_flop"],"rationale":"该槽位与商品基准中的明示页面事实一致。"}],"time_intent":[{"value":"discount_seeking","evidence_type":"explicit","source_span":"clearance","fact_ids":[],"rationale":""}],"intent_stage":[{"value":"exploration","evidence_type":"inferred","source_span":"","fact_ids":[],"rationale":"清仓折扣搜索通常为浏览行为"}],"confidence_level":[{"value":"medium","evidence_type":"inferred","source_span":"","fact_ids":[],"rationale":"价格意图无法通过页面事实验证"}],"intent_cluster":[{"value":"clearance_flip_flops","evidence_type":"inferred","source_span":"","fact_ids":[],"rationale":"折扣人字拖语义簇"}],"routing_action":[{"value":"performance_observation","evidence_type":"inferred","source_span":"","fact_ids":[],"rationale":"价格/折扣意图需后续性能数据评估"}],"asin_fit":[{"value":"unknown","evidence_type":"inferred","source_span":"","fact_ids":[],"rationale":"价格意图不属于产品适配评估范围"}],"latent_task":[{"value":"用户寻找清仓折扣人字拖，主要关注价格优惠而非特定产品特性。","evidence_type":"inferred","source_span":"","fact_ids":[],"rationale":"综合品类和折扣意图推断"}]}</x:v>
      </x:c>
      <x:c r="Y429" s="15" t="str">
        <x:v>price_intent_not_evaluable</x:v>
      </x:c>
      <x:c r="Z429" s="10" t="str">
        <x:v>unknown</x:v>
      </x:c>
      <x:c r="AA429" s="15" t="str"/>
      <x:c r="AB429" s="10" t="str">
        <x:v>accepted</x:v>
      </x:c>
      <x:c r="AC429" s="10" t="str">
        <x:v>1.0.0</x:v>
      </x:c>
      <x:c r="AD429" s="10" t="str">
        <x:v>1.1.0</x:v>
      </x:c>
      <x:c r="AE429" s="10" t="str">
        <x:v>deepseek/deepseek-v4-pro</x:v>
      </x:c>
      <x:c r="AF429" s="10" t="str">
        <x:v>aj2-y90-20260714T234810-0bea2f52</x:v>
      </x:c>
      <x:c r="AG429" s="10" t="str">
        <x:v>full-0022</x:v>
      </x:c>
      <x:c r="AH429" s="10" t="str">
        <x:v>full</x:v>
      </x:c>
      <x:c r="AI429" s="10" t="n">
        <x:v>22</x:v>
      </x:c>
    </x:row>
    <x:row r="430" ht="34" customHeight="1">
      <x:c r="A430" s="16" t="str">
        <x:v>black flip flops with arches</x:v>
      </x:c>
      <x:c r="B430" s="16" t="str">
        <x:v>black flip flops with arches</x:v>
      </x:c>
      <x:c r="C430" s="13" t="str">
        <x:v>371550a82565a6c2</x:v>
      </x:c>
      <x:c r="D430" s="13" t="str">
        <x:v>keyword</x:v>
      </x:c>
      <x:c r="E430" s="13" t="str">
        <x:v>en</x:v>
      </x:c>
      <x:c r="F430" s="13" t="str">
        <x:v>clothing_shoes_jewelry</x:v>
      </x:c>
      <x:c r="G430" s="16" t="str"/>
      <x:c r="H430" s="16" t="str">
        <x:v>flip_flops</x:v>
      </x:c>
      <x:c r="I430" s="16" t="str"/>
      <x:c r="J430" s="16" t="str">
        <x:v>arch_support</x:v>
      </x:c>
      <x:c r="K430" s="16" t="str"/>
      <x:c r="L430" s="16" t="str"/>
      <x:c r="M430" s="16" t="str"/>
      <x:c r="N430" s="16" t="str">
        <x:v>foot_arch_discomfort</x:v>
      </x:c>
      <x:c r="O430" s="16" t="str"/>
      <x:c r="P430" s="16" t="str"/>
      <x:c r="Q430" s="16" t="str"/>
      <x:c r="R430" s="16" t="str">
        <x:v>用户寻找黑色足弓支撑人字拖，需要缓解足弓不适的日常鞋履。</x:v>
      </x:c>
      <x:c r="S430" s="13" t="str">
        <x:v>high_intent</x:v>
      </x:c>
      <x:c r="T430" s="16" t="str">
        <x:v>explicit | inferred</x:v>
      </x:c>
      <x:c r="U430" s="13" t="str">
        <x:v>high</x:v>
      </x:c>
      <x:c r="V430" s="16" t="str">
        <x:v>arch_support_flip_flops_black</x:v>
      </x:c>
      <x:c r="W430" s="16" t="str">
        <x:v>cluster_route</x:v>
      </x:c>
      <x:c r="X430" s="16" t="str">
        <x:v>{"primary_domain":[{"value":"clothing_shoes_jewelry","evidence_type":"inferred","source_span":"","fact_ids":[],"rationale":"鞋类产品属于服装鞋履珠宝大类"}],"product_type":[{"value":"flip_flops","evidence_type":"explicit","source_span":"flip flops","fact_ids":[],"rationale":""},{"value":"flip_flops","evidence_type":"page_validated","source_span":"","fact_ids":["style_flip_flop"],"rationale":"该槽位与商品基准中的明示页面事实一致。"}],"function_intent":[{"value":"arch_support","evidence_type":"explicit","source_span":"arches","fact_ids":[],"rationale":""},{"value":"arch_support","evidence_type":"page_validated","source_span":"","fact_ids":["arch_support"],"rationale":"该槽位与商品基准中的明示页面事实一致。"},{"value":"arch_support","evidence_type":"inferred","source_span":"","fact_ids":[],"rationale":"该能力由搜索词表达的任务或问题推断；页面事实仅用于验证商品承接。"}],"body_need_intent":[{"value":"foot_arch_discomfort","evidence_type":"inferred","source_span":"","fact_ids":[],"rationale":"寻求足弓支撑暗示足弓不适需求"}],"intent_stage":[{"value":"high_intent","evidence_type":"inferred","source_span":"","fact_ids":[],"rationale":"颜色加功能双重限定"}],"intent_cluster":[{"value":"arch_support_flip_flops_black","evidence_type":"inferred","source_span":"","fact_ids":[],"rationale":"黑色足弓支撑人字拖语义簇"}],"routing_action":[{"value":"cluster_route","evidence_type":"inferred","source_span":"","fact_ids":[],"rationale":"颜色和功能均与页面匹配"}],"asin_fit":[{"value":"match","evidence_type":"page_validated","source_span":"","fact_ids":["title_womens_flip_flop","style_flip_flop","arch_support","colors_visible"],"rationale":""}],"latent_task":[{"value":"用户寻找黑色足弓支撑人字拖，需要缓解足弓不适的日常鞋履。","evidence_type":"inferred","source_span":"","fact_ids":[],"rationale":"综合功能、颜色和品类推断"}]}</x:v>
      </x:c>
      <x:c r="Y430" s="16" t="str"/>
      <x:c r="Z430" s="13" t="str">
        <x:v>match</x:v>
      </x:c>
      <x:c r="AA430" s="16" t="str">
        <x:v>title_womens_flip_flop | style_flip_flop | arch_support | colors_visible</x:v>
      </x:c>
      <x:c r="AB430" s="13" t="str">
        <x:v>accepted</x:v>
      </x:c>
      <x:c r="AC430" s="13" t="str">
        <x:v>1.0.0</x:v>
      </x:c>
      <x:c r="AD430" s="13" t="str">
        <x:v>1.1.0</x:v>
      </x:c>
      <x:c r="AE430" s="13" t="str">
        <x:v>deepseek/deepseek-v4-pro</x:v>
      </x:c>
      <x:c r="AF430" s="13" t="str">
        <x:v>aj2-y90-20260714T234810-0bea2f52</x:v>
      </x:c>
      <x:c r="AG430" s="13" t="str">
        <x:v>full-0022</x:v>
      </x:c>
      <x:c r="AH430" s="13" t="str">
        <x:v>full</x:v>
      </x:c>
      <x:c r="AI430" s="13" t="n">
        <x:v>22</x:v>
      </x:c>
    </x:row>
    <x:row r="431" ht="34" customHeight="1">
      <x:c r="A431" s="15" t="str">
        <x:v>chocolate brown flip flops</x:v>
      </x:c>
      <x:c r="B431" s="15" t="str">
        <x:v>chocolate brown flip flops</x:v>
      </x:c>
      <x:c r="C431" s="10" t="str">
        <x:v>4234232922151f26</x:v>
      </x:c>
      <x:c r="D431" s="10" t="str">
        <x:v>keyword</x:v>
      </x:c>
      <x:c r="E431" s="10" t="str">
        <x:v>en</x:v>
      </x:c>
      <x:c r="F431" s="10" t="str">
        <x:v>clothing_shoes_jewelry</x:v>
      </x:c>
      <x:c r="G431" s="15" t="str"/>
      <x:c r="H431" s="15" t="str">
        <x:v>flip_flops</x:v>
      </x:c>
      <x:c r="I431" s="15" t="str"/>
      <x:c r="J431" s="15" t="str"/>
      <x:c r="K431" s="15" t="str"/>
      <x:c r="L431" s="15" t="str"/>
      <x:c r="M431" s="15" t="str"/>
      <x:c r="N431" s="15" t="str"/>
      <x:c r="O431" s="15" t="str"/>
      <x:c r="P431" s="15" t="str"/>
      <x:c r="Q431" s="15" t="str"/>
      <x:c r="R431" s="15" t="str">
        <x:v>用户寻找巧克力棕色人字拖，关注特定颜色款式搭配。</x:v>
      </x:c>
      <x:c r="S431" s="10" t="str">
        <x:v>high_intent</x:v>
      </x:c>
      <x:c r="T431" s="15" t="str">
        <x:v>explicit</x:v>
      </x:c>
      <x:c r="U431" s="10" t="str">
        <x:v>high</x:v>
      </x:c>
      <x:c r="V431" s="15" t="str">
        <x:v>brown_flip_flops</x:v>
      </x:c>
      <x:c r="W431" s="15" t="str">
        <x:v>cluster_route</x:v>
      </x:c>
      <x:c r="X431" s="15" t="str">
        <x:v>{"primary_domain":[{"value":"clothing_shoes_jewelry","evidence_type":"inferred","source_span":"","fact_ids":[],"rationale":"鞋类产品属于服装鞋履珠宝大类"}],"product_type":[{"value":"flip_flops","evidence_type":"explicit","source_span":"flip flops","fact_ids":[],"rationale":""},{"value":"flip_flops","evidence_type":"page_validated","source_span":"","fact_ids":["style_flip_flop"],"rationale":"该槽位与商品基准中的明示页面事实一致。"}],"intent_stage":[{"value":"high_intent","evidence_type":"inferred","source_span":"","fact_ids":[],"rationale":"特定颜色限定表明明确购买意向"}],"intent_cluster":[{"value":"brown_flip_flops","evidence_type":"inferred","source_span":"","fact_ids":[],"rationale":"棕色人字拖语义簇"}],"routing_action":[{"value":"cluster_route","evidence_type":"inferred","source_span":"","fact_ids":[],"rationale":"棕色在产品颜色列表中"}],"asin_fit":[{"value":"match","evidence_type":"page_validated","source_span":"","fact_ids":["title_womens_flip_flop","style_flip_flop","colors_visible"],"rationale":""}],"latent_task":[{"value":"用户寻找巧克力棕色人字拖，关注特定颜色款式搭配。","evidence_type":"inferred","source_span":"","fact_ids":[],"rationale":"综合品类和颜色约束推断"}]}</x:v>
      </x:c>
      <x:c r="Y431" s="15" t="str"/>
      <x:c r="Z431" s="10" t="str">
        <x:v>match</x:v>
      </x:c>
      <x:c r="AA431" s="15" t="str">
        <x:v>title_womens_flip_flop | style_flip_flop | colors_visible</x:v>
      </x:c>
      <x:c r="AB431" s="10" t="str">
        <x:v>accepted</x:v>
      </x:c>
      <x:c r="AC431" s="10" t="str">
        <x:v>1.0.0</x:v>
      </x:c>
      <x:c r="AD431" s="10" t="str">
        <x:v>1.1.0</x:v>
      </x:c>
      <x:c r="AE431" s="10" t="str">
        <x:v>deepseek/deepseek-v4-pro</x:v>
      </x:c>
      <x:c r="AF431" s="10" t="str">
        <x:v>aj2-y90-20260714T234810-0bea2f52</x:v>
      </x:c>
      <x:c r="AG431" s="10" t="str">
        <x:v>full-0022</x:v>
      </x:c>
      <x:c r="AH431" s="10" t="str">
        <x:v>full</x:v>
      </x:c>
      <x:c r="AI431" s="10" t="n">
        <x:v>22</x:v>
      </x:c>
    </x:row>
    <x:row r="432" ht="34" customHeight="1">
      <x:c r="A432" s="16" t="str">
        <x:v>women’s silicone flip flops</x:v>
      </x:c>
      <x:c r="B432" s="16" t="str">
        <x:v>women’s silicone flip flops</x:v>
      </x:c>
      <x:c r="C432" s="13" t="str">
        <x:v>4461938ec8f23dd1</x:v>
      </x:c>
      <x:c r="D432" s="13" t="str">
        <x:v>keyword</x:v>
      </x:c>
      <x:c r="E432" s="13" t="str">
        <x:v>en</x:v>
      </x:c>
      <x:c r="F432" s="13" t="str">
        <x:v>clothing_shoes_jewelry</x:v>
      </x:c>
      <x:c r="G432" s="16" t="str"/>
      <x:c r="H432" s="16" t="str">
        <x:v>flip_flops</x:v>
      </x:c>
      <x:c r="I432" s="16" t="str">
        <x:v>women</x:v>
      </x:c>
      <x:c r="J432" s="16" t="str"/>
      <x:c r="K432" s="16" t="str">
        <x:v>silicone_material</x:v>
      </x:c>
      <x:c r="L432" s="16" t="str"/>
      <x:c r="M432" s="16" t="str"/>
      <x:c r="N432" s="16" t="str"/>
      <x:c r="O432" s="16" t="str"/>
      <x:c r="P432" s="16" t="str"/>
      <x:c r="Q432" s="16" t="str"/>
      <x:c r="R432" s="16" t="str">
        <x:v>用户寻找硅胶材质女式人字拖，偏好柔软硅胶触感。</x:v>
      </x:c>
      <x:c r="S432" s="13" t="str">
        <x:v>consideration</x:v>
      </x:c>
      <x:c r="T432" s="16" t="str">
        <x:v>explicit | inferred</x:v>
      </x:c>
      <x:c r="U432" s="13" t="str">
        <x:v>high</x:v>
      </x:c>
      <x:c r="V432" s="16" t="str">
        <x:v>womens_silicone_flip_flops</x:v>
      </x:c>
      <x:c r="W432" s="16" t="str">
        <x:v>listing_gap_review</x:v>
      </x:c>
      <x:c r="X432" s="16" t="str">
        <x:v>{"primary_domain":[{"value":"clothing_shoes_jewelry","evidence_type":"inferred","source_span":"","fact_ids":[],"rationale":"鞋类产品属于服装鞋履珠宝大类"}],"product_type":[{"value":"flip_flops","evidence_type":"explicit","source_span":"flip flops","fact_ids":[],"rationale":""},{"value":"flip_flops","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capability_intent":[{"value":"silicone_material","evidence_type":"explicit","source_span":"silicone","fact_ids":[],"rationale":""}],"intent_stage":[{"value":"consideration","evidence_type":"inferred","source_span":"","fact_ids":[],"rationale":"材质限定表明比较评估阶段"}],"intent_cluster":[{"value":"womens_silicone_flip_flops","evidence_type":"inferred","source_span":"","fact_ids":[],"rationale":"硅胶材质女式人字拖语义簇"}],"routing_action":[{"value":"listing_gap_review","evidence_type":"inferred","source_span":"","fact_ids":[],"rationale":"页面材质为EVA非硅胶，存在材质缺口"}],"asin_fit":[{"value":"partial_match","evidence_type":"page_validated","source_span":"","fact_ids":["title_womens_flip_flop","style_flip_flop","material_eva"],"rationale":""}],"latent_task":[{"value":"用户寻找硅胶材质女式人字拖，偏好柔软硅胶触感。","evidence_type":"inferred","source_span":"","fact_ids":[],"rationale":"综合受众和材质约束推断"}]}</x:v>
      </x:c>
      <x:c r="Y432" s="16" t="str"/>
      <x:c r="Z432" s="13" t="str">
        <x:v>partial_match</x:v>
      </x:c>
      <x:c r="AA432" s="16" t="str">
        <x:v>title_womens_flip_flop | style_flip_flop | material_eva</x:v>
      </x:c>
      <x:c r="AB432" s="13" t="str">
        <x:v>accepted</x:v>
      </x:c>
      <x:c r="AC432" s="13" t="str">
        <x:v>1.0.0</x:v>
      </x:c>
      <x:c r="AD432" s="13" t="str">
        <x:v>1.1.0</x:v>
      </x:c>
      <x:c r="AE432" s="13" t="str">
        <x:v>deepseek/deepseek-v4-pro</x:v>
      </x:c>
      <x:c r="AF432" s="13" t="str">
        <x:v>aj2-y90-20260714T234810-0bea2f52</x:v>
      </x:c>
      <x:c r="AG432" s="13" t="str">
        <x:v>full-0022</x:v>
      </x:c>
      <x:c r="AH432" s="13" t="str">
        <x:v>full</x:v>
      </x:c>
      <x:c r="AI432" s="13" t="n">
        <x:v>22</x:v>
      </x:c>
    </x:row>
    <x:row r="433" ht="34" customHeight="1">
      <x:c r="A433" s="15" t="str">
        <x:v>flip flops with arch supports</x:v>
      </x:c>
      <x:c r="B433" s="15" t="str">
        <x:v>flip flops with arch supports</x:v>
      </x:c>
      <x:c r="C433" s="10" t="str">
        <x:v>67567dabc9c0d3b6</x:v>
      </x:c>
      <x:c r="D433" s="10" t="str">
        <x:v>keyword</x:v>
      </x:c>
      <x:c r="E433" s="10" t="str">
        <x:v>en</x:v>
      </x:c>
      <x:c r="F433" s="10" t="str">
        <x:v>clothing_shoes_jewelry</x:v>
      </x:c>
      <x:c r="G433" s="15" t="str"/>
      <x:c r="H433" s="15" t="str">
        <x:v>flip_flops</x:v>
      </x:c>
      <x:c r="I433" s="15" t="str"/>
      <x:c r="J433" s="15" t="str">
        <x:v>arch_support</x:v>
      </x:c>
      <x:c r="K433" s="15" t="str"/>
      <x:c r="L433" s="15" t="str"/>
      <x:c r="M433" s="15" t="str"/>
      <x:c r="N433" s="15" t="str">
        <x:v>foot_arch_discomfort</x:v>
      </x:c>
      <x:c r="O433" s="15" t="str"/>
      <x:c r="P433" s="15" t="str"/>
      <x:c r="Q433" s="15" t="str"/>
      <x:c r="R433" s="15" t="str">
        <x:v>用户寻找足弓支撑人字拖，核心需求是足弓舒适与支撑功能。</x:v>
      </x:c>
      <x:c r="S433" s="10" t="str">
        <x:v>consideration</x:v>
      </x:c>
      <x:c r="T433" s="15" t="str">
        <x:v>explicit</x:v>
      </x:c>
      <x:c r="U433" s="10" t="str">
        <x:v>high</x:v>
      </x:c>
      <x:c r="V433" s="15" t="str">
        <x:v>arch_support_flip_flops_generic</x:v>
      </x:c>
      <x:c r="W433" s="15" t="str">
        <x:v>cluster_route</x:v>
      </x:c>
      <x:c r="X433" s="15" t="str">
        <x:v>{"primary_domain":[{"value":"clothing_shoes_jewelry","evidence_type":"inferred","source_span":"","fact_ids":[],"rationale":"鞋类产品属于服装鞋履珠宝大类"}],"product_type":[{"value":"flip_flops","evidence_type":"explicit","source_span":"flip flops","fact_ids":[],"rationale":""},{"value":"flip_flops","evidence_type":"page_validated","source_span":"","fact_ids":["style_flip_flop"],"rationale":"该槽位与商品基准中的明示页面事实一致。"}],"function_intent":[{"value":"arch_support","evidence_type":"explicit","source_span":"arch supports","fact_ids":[],"rationale":""},{"value":"arch_support","evidence_type":"page_validated","source_span":"","fact_ids":["arch_support"],"rationale":"该槽位与商品基准中的明示页面事实一致。"}],"body_need_intent":[{"value":"foot_arch_discomfort","evidence_type":"inferred","source_span":"","fact_ids":[],"rationale":"足弓支撑需求暗示足弓不适"}],"intent_stage":[{"value":"consideration","evidence_type":"inferred","source_span":"","fact_ids":[],"rationale":"功能搜索但无受众或颜色限定"}],"intent_cluster":[{"value":"arch_support_flip_flops_generic","evidence_type":"inferred","source_span":"","fact_ids":[],"rationale":"足弓支撑人字拖通用语义簇"}],"routing_action":[{"value":"cluster_route","evidence_type":"inferred","source_span":"","fact_ids":[],"rationale":"核心功能与产品类型完全匹配"}],"asin_fit":[{"value":"match","evidence_type":"page_validated","source_span":"","fact_ids":["title_womens_flip_flop","style_flip_flop","arch_support"],"rationale":""}],"latent_task":[{"value":"用户寻找足弓支撑人字拖，核心需求是足弓舒适与支撑功能。","evidence_type":"inferred","source_span":"","fact_ids":[],"rationale":"综合产品和功能意图推断"}]}</x:v>
      </x:c>
      <x:c r="Y433" s="15" t="str"/>
      <x:c r="Z433" s="10" t="str">
        <x:v>match</x:v>
      </x:c>
      <x:c r="AA433" s="15" t="str">
        <x:v>title_womens_flip_flop | style_flip_flop | arch_support</x:v>
      </x:c>
      <x:c r="AB433" s="10" t="str">
        <x:v>accepted</x:v>
      </x:c>
      <x:c r="AC433" s="10" t="str">
        <x:v>1.0.0</x:v>
      </x:c>
      <x:c r="AD433" s="10" t="str">
        <x:v>1.1.0</x:v>
      </x:c>
      <x:c r="AE433" s="10" t="str">
        <x:v>deepseek/deepseek-v4-pro</x:v>
      </x:c>
      <x:c r="AF433" s="10" t="str">
        <x:v>aj2-y90-20260714T234810-0bea2f52</x:v>
      </x:c>
      <x:c r="AG433" s="10" t="str">
        <x:v>full-0022</x:v>
      </x:c>
      <x:c r="AH433" s="10" t="str">
        <x:v>full</x:v>
      </x:c>
      <x:c r="AI433" s="10" t="n">
        <x:v>22</x:v>
      </x:c>
    </x:row>
    <x:row r="434" ht="34" customHeight="1">
      <x:c r="A434" s="16" t="str">
        <x:v>size 10 womens pool sandals</x:v>
      </x:c>
      <x:c r="B434" s="16" t="str">
        <x:v>size 10 womens pool sandals</x:v>
      </x:c>
      <x:c r="C434" s="13" t="str">
        <x:v>6b5c81ca13db3009</x:v>
      </x:c>
      <x:c r="D434" s="13" t="str">
        <x:v>keyword</x:v>
      </x:c>
      <x:c r="E434" s="13" t="str">
        <x:v>en</x:v>
      </x:c>
      <x:c r="F434" s="13" t="str">
        <x:v>clothing_shoes_jewelry</x:v>
      </x:c>
      <x:c r="G434" s="16" t="str">
        <x:v>sports_outdoors</x:v>
      </x:c>
      <x:c r="H434" s="16" t="str">
        <x:v>sandals | flip_flops</x:v>
      </x:c>
      <x:c r="I434" s="16" t="str">
        <x:v>women</x:v>
      </x:c>
      <x:c r="J434" s="16" t="str"/>
      <x:c r="K434" s="16" t="str"/>
      <x:c r="L434" s="16" t="str">
        <x:v>pool_use</x:v>
      </x:c>
      <x:c r="M434" s="16" t="str">
        <x:v>poolside</x:v>
      </x:c>
      <x:c r="N434" s="16" t="str"/>
      <x:c r="O434" s="16" t="str"/>
      <x:c r="P434" s="16" t="str"/>
      <x:c r="Q434" s="16" t="str"/>
      <x:c r="R434" s="16" t="str">
        <x:v>用户寻找10码女士泳池凉鞋，需要特定尺码的涉水场景鞋履。</x:v>
      </x:c>
      <x:c r="S434" s="13" t="str">
        <x:v>high_intent</x:v>
      </x:c>
      <x:c r="T434" s="16" t="str">
        <x:v>explicit | inferred</x:v>
      </x:c>
      <x:c r="U434" s="13" t="str">
        <x:v>medium</x:v>
      </x:c>
      <x:c r="V434" s="16" t="str">
        <x:v>womens_pool_sandals_sized</x:v>
      </x:c>
      <x:c r="W434" s="16" t="str">
        <x:v>listing_gap_review</x:v>
      </x:c>
      <x:c r="X434" s="16" t="str">
        <x:v>{"primary_domain":[{"value":"clothing_shoes_jewelry","evidence_type":"inferred","source_span":"","fact_ids":[],"rationale":"鞋类产品属于服装鞋履珠宝大类"}],"secondary_domain":[{"value":"sports_outdoors","evidence_type":"inferred","source_span":"","fact_ids":[],"rationale":"泳池活动属于户外运动场景"}],"product_type":[{"value":"sandals","evidence_type":"explicit","source_span":"sandals","fact_ids":[],"rationale":""},{"value":"flip_flops","evidence_type":"inferred","source_span":"","fact_ids":[],"rationale":"泳池凉鞋常为人字拖款式"},{"value":"sandals","evidence_type":"page_validated","source_span":"","fact_ids":["title_womens_flip_flop"],"rationale":"该槽位与商品基准中的明示页面事实一致。"},{"value":"flip_flops","evidence_type":"page_validated","source_span":"","fact_ids":["style_flip_flop"],"rationale":"该槽位与商品基准中的明示页面事实一致。"}],"audience_intent":[{"value":"women","evidence_type":"explicit","source_span":"womens","fact_ids":[],"rationale":""},{"value":"women","evidence_type":"page_validated","source_span":"","fact_ids":["title_womens_flip_flop"],"rationale":"该槽位与商品基准中的明示页面事实一致。"}],"event_intent":[{"value":"pool_use","evidence_type":"explicit","source_span":"pool","fact_ids":[],"rationale":""}],"location_intent":[{"value":"poolside","evidence_type":"inferred","source_span":"","fact_ids":[],"rationale":"pool场景推断为池畔使用"}],"intent_stage":[{"value":"high_intent","evidence_type":"inferred","source_span":"","fact_ids":[],"rationale":"尺码加场景加受众三重限定"}],"confidence_level":[{"value":"medium","evidence_type":"inferred","source_span":"","fact_ids":[],"rationale":"防水性能未被页面声明"}],"intent_cluster":[{"value":"womens_pool_sandals_sized","evidence_type":"inferred","source_span":"","fact_ids":[],"rationale":"尺码限定女士泳池凉鞋语义簇"}],"routing_action":[{"value":"listing_gap_review","evidence_type":"inferred","source_span":"","fact_ids":[],"rationale":"页面未声明防水速干特性"}],"asin_fit":[{"value":"partial_match","evidence_type":"page_validated","source_span":"","fact_ids":["title_womens_flip_flop","style_flip_flop","sizes_6_11","easy_clean"],"rationale":""}],"latent_task":[{"value":"用户寻找10码女士泳池凉鞋，需要特定尺码的涉水场景鞋履。","evidence_type":"inferred","source_span":"","fact_ids":[],"rationale":"综合尺码、受众和场景约束推断"}]}</x:v>
      </x:c>
      <x:c r="Y434" s="16" t="str">
        <x:v>waterproof_not_claimed</x:v>
      </x:c>
      <x:c r="Z434" s="13" t="str">
        <x:v>partial_match</x:v>
      </x:c>
      <x:c r="AA434" s="16" t="str">
        <x:v>title_womens_flip_flop | style_flip_flop | sizes_6_11 | easy_clean</x:v>
      </x:c>
      <x:c r="AB434" s="13" t="str">
        <x:v>accepted</x:v>
      </x:c>
      <x:c r="AC434" s="13" t="str">
        <x:v>1.0.0</x:v>
      </x:c>
      <x:c r="AD434" s="13" t="str">
        <x:v>1.1.0</x:v>
      </x:c>
      <x:c r="AE434" s="13" t="str">
        <x:v>deepseek/deepseek-v4-pro</x:v>
      </x:c>
      <x:c r="AF434" s="13" t="str">
        <x:v>aj2-y90-20260714T234810-0bea2f52</x:v>
      </x:c>
      <x:c r="AG434" s="13" t="str">
        <x:v>full-0022</x:v>
      </x:c>
      <x:c r="AH434" s="13" t="str">
        <x:v>full</x:v>
      </x:c>
      <x:c r="AI434" s="13" t="n">
        <x:v>22</x:v>
      </x:c>
    </x:row>
    <x:row r="435" ht="34" customHeight="1">
      <x:c r="A435" s="15" t="str">
        <x:v>yoga mat flip flops with arch support</x:v>
      </x:c>
      <x:c r="B435" s="15" t="str">
        <x:v>yoga mat flip flops with arch support</x:v>
      </x:c>
      <x:c r="C435" s="10" t="str">
        <x:v>81d0fae99017abc8</x:v>
      </x:c>
      <x:c r="D435" s="10" t="str">
        <x:v>keyword</x:v>
      </x:c>
      <x:c r="E435" s="10" t="str">
        <x:v>en</x:v>
      </x:c>
      <x:c r="F435" s="10" t="str">
        <x:v>clothing_shoes_jewelry</x:v>
      </x:c>
      <x:c r="G435" s="15" t="str"/>
      <x:c r="H435" s="15" t="str">
        <x:v>flip_flops</x:v>
      </x:c>
      <x:c r="I435" s="15" t="str"/>
      <x:c r="J435" s="15" t="str">
        <x:v>arch_support</x:v>
      </x:c>
      <x:c r="K435" s="15" t="str">
        <x:v>yoga_mat_footbed</x:v>
      </x:c>
      <x:c r="L435" s="15" t="str"/>
      <x:c r="M435" s="15" t="str"/>
      <x:c r="N435" s="15" t="str">
        <x:v>foot_arch_discomfort</x:v>
      </x:c>
      <x:c r="O435" s="15" t="str"/>
      <x:c r="P435" s="15" t="str"/>
      <x:c r="Q435" s="15" t="str"/>
      <x:c r="R435" s="15" t="str">
        <x:v>用户寻找瑜伽垫质感足弓支撑人字拖，需要柔软缓冲与足弓支撑兼备的舒适鞋履。</x:v>
      </x:c>
      <x:c r="S435" s="10" t="str">
        <x:v>consideration</x:v>
      </x:c>
      <x:c r="T435" s="15" t="str">
        <x:v>explicit | inferred</x:v>
      </x:c>
      <x:c r="U435" s="10" t="str">
        <x:v>medium</x:v>
      </x:c>
      <x:c r="V435" s="15" t="str">
        <x:v>yoga_mat_arch_support_flip_flops</x:v>
      </x:c>
      <x:c r="W435" s="15" t="str">
        <x:v>cluster_route</x:v>
      </x:c>
      <x:c r="X435" s="15" t="str">
        <x:v>{"primary_domain":[{"value":"clothing_shoes_jewelry","evidence_type":"inferred","source_span":"","fact_ids":[],"rationale":"鞋类产品属于服装鞋履珠宝大类"}],"product_type":[{"value":"flip_flops","evidence_type":"explicit","source_span":"flip flops","fact_ids":[],"rationale":""},{"value":"flip_flops","evidence_type":"page_validated","source_span":"","fact_ids":["style_flip_flop"],"rationale":"该槽位与商品基准中的明示页面事实一致。"}],"function_intent":[{"value":"arch_support","evidence_type":"explicit","source_span":"arch support","fact_ids":[],"rationale":""},{"value":"arch_support","evidence_type":"page_validated","source_span":"","fact_ids":["arch_support"],"rationale":"该槽位与商品基准中的明示页面事实一致。"}],"capability_intent":[{"value":"yoga_mat_footbed","evidence_type":"explicit","source_span":"yoga mat","fact_ids":[],"rationale":""}],"body_need_intent":[{"value":"foot_arch_discomfort","evidence_type":"inferred","source_span":"","fact_ids":[],"rationale":"足弓支撑需求暗示足弓不适"}],"intent_stage":[{"value":"consideration","evidence_type":"inferred","source_span":"","fact_ids":[],"rationale":"功能加材质感双重限定"}],"confidence_level":[{"value":"medium","evidence_type":"inferred","source_span":"","fact_ids":[],"rationale":"瑜伽垫质感为风格描述，非精确定义"}],"intent_cluster":[{"value":"yoga_mat_arch_support_flip_flops","evidence_type":"inferred","source_span":"","fact_ids":[],"rationale":"瑜伽垫质感足弓支撑人字拖语义簇"}],"routing_action":[{"value":"cluster_route","evidence_type":"inferred","source_span":"","fact_ids":[],"rationale":"EVA泡沫材质类似瑜伽垫质感，足弓支撑匹配"}],"asin_fit":[{"value":"match","evidence_type":"page_validated","source_span":"","fact_ids":["title_womens_flip_flop","style_flip_flop","arch_support","material_eva","padded_cushioning","lightweight_breathable"],"rationale":""}],"latent_task":[{"value":"用户寻找瑜伽垫质感足弓支撑人字拖，需要柔软缓冲与足弓支撑兼备的舒适鞋履。","evidence_type":"inferred","source_span":"","fact_ids":[],"rationale":"综合材质风格和功能需求推断"}]}</x:v>
      </x:c>
      <x:c r="Y435" s="15" t="str"/>
      <x:c r="Z435" s="10" t="str">
        <x:v>match</x:v>
      </x:c>
      <x:c r="AA435" s="15" t="str">
        <x:v>title_womens_flip_flop | style_flip_flop | arch_support | material_eva | padded_cushioning | lightweight_breathable</x:v>
      </x:c>
      <x:c r="AB435" s="10" t="str">
        <x:v>accepted</x:v>
      </x:c>
      <x:c r="AC435" s="10" t="str">
        <x:v>1.0.0</x:v>
      </x:c>
      <x:c r="AD435" s="10" t="str">
        <x:v>1.1.0</x:v>
      </x:c>
      <x:c r="AE435" s="10" t="str">
        <x:v>deepseek/deepseek-v4-pro</x:v>
      </x:c>
      <x:c r="AF435" s="10" t="str">
        <x:v>aj2-y90-20260714T234810-0bea2f52</x:v>
      </x:c>
      <x:c r="AG435" s="10" t="str">
        <x:v>full-0022</x:v>
      </x:c>
      <x:c r="AH435" s="10" t="str">
        <x:v>full</x:v>
      </x:c>
      <x:c r="AI435" s="10" t="n">
        <x:v>22</x:v>
      </x:c>
    </x:row>
    <x:row r="436" ht="34" customHeight="1">
      <x:c r="A436" s="16" t="str">
        <x:v>brown archies flip flops arch support womens</x:v>
      </x:c>
      <x:c r="B436" s="16" t="str">
        <x:v>brown archies flip flops arch support womens</x:v>
      </x:c>
      <x:c r="C436" s="13" t="str">
        <x:v>8c0d2f9bc84aca25</x:v>
      </x:c>
      <x:c r="D436" s="13" t="str">
        <x:v>keyword</x:v>
      </x:c>
      <x:c r="E436" s="13" t="str">
        <x:v>en</x:v>
      </x:c>
      <x:c r="F436" s="13" t="str">
        <x:v>clothing_shoes_jewelry</x:v>
      </x:c>
      <x:c r="G436" s="16" t="str"/>
      <x:c r="H436" s="16" t="str">
        <x:v>flip_flops</x:v>
      </x:c>
      <x:c r="I436" s="16" t="str">
        <x:v>women</x:v>
      </x:c>
      <x:c r="J436" s="16" t="str">
        <x:v>arch_support</x:v>
      </x:c>
      <x:c r="K436" s="16" t="str"/>
      <x:c r="L436" s="16" t="str"/>
      <x:c r="M436" s="16" t="str"/>
      <x:c r="N436" s="16" t="str">
        <x:v>foot_arch_discomfort</x:v>
      </x:c>
      <x:c r="O436" s="16" t="str"/>
      <x:c r="P436" s="16" t="str"/>
      <x:c r="Q436" s="16" t="str"/>
      <x:c r="R436" s="16" t="str">
        <x:v>用户寻找棕色Archies品牌女士足弓支撑人字拖，缓解足弓不适并兼顾品牌偏好。</x:v>
      </x:c>
      <x:c r="S436" s="13" t="str">
        <x:v>brand_harvest</x:v>
      </x:c>
      <x:c r="T436" s="16" t="str">
        <x:v>explicit | inferred</x:v>
      </x:c>
      <x:c r="U436" s="13" t="str">
        <x:v>high</x:v>
      </x:c>
      <x:c r="V436" s="16" t="str">
        <x:v>branded_arch_support_flip_flops_womens</x:v>
      </x:c>
      <x:c r="W436" s="16" t="str">
        <x:v>cluster_route</x:v>
      </x:c>
      <x:c r="X436" s="16" t="str">
        <x:v>{"primary_domain":[{"value":"clothing_shoes_jewelry","evidence_type":"inferred","source_span":"","fact_ids":[],"rationale":"鞋类产品属于服装鞋履珠宝大类"}],"product_type":[{"value":"flip_flops","evidence_type":"explicit","source_span":"flip flops","fact_ids":[],"rationale":""},{"value":"flip_flops","evidence_type":"page_validated","source_span":"","fact_ids":["style_flip_flop"],"rationale":"该槽位与商品基准中的明示页面事实一致。"}],"audience_intent":[{"value":"women","evidence_type":"explicit","source_span":"womens","fact_ids":[],"rationale":""},{"value":"women","evidence_type":"page_validated","source_span":"","fact_ids":["title_womens_flip_flop"],"rationale":"该槽位与商品基准中的明示页面事实一致。"}],"function_intent":[{"value":"arch_support","evidence_type":"explicit","source_span":"arch support","fact_ids":[],"rationale":""},{"value":"arch_support","evidence_type":"page_validated","source_span":"","fact_ids":["arch_support"],"rationale":"该槽位与商品基准中的明示页面事实一致。"}],"body_need_intent":[{"value":"foot_arch_discomfort","evidence_type":"inferred","source_span":"","fact_ids":[],"rationale":"搜索足弓支撑暗示足弓不适需求"}],"intent_stage":[{"value":"brand_harvest","evidence_type":"inferred","source_span":"","fact_ids":[],"rationale":"明确搜索竞争品牌Archies"}],"intent_cluster":[{"value":"branded_arch_support_flip_flops_womens","evidence_type":"inferred","source_span":"","fact_ids":[],"rationale":"品牌加功能型女式人字拖语义簇"}],"routing_action":[{"value":"cluster_route","evidence_type":"inferred","source_span":"","fact_ids":[],"rationale":"产品类型和功能均匹配，品牌差异不影响语义路由"}],"asin_fit":[{"value":"partial_match","evidence_type":"page_validated","source_span":"","fact_ids":["title_womens_flip_flop","style_flip_flop","arch_support","colors_visible"],"rationale":""}],"latent_task":[{"value":"用户寻找棕色Archies品牌女士足弓支撑人字拖，缓解足弓不适并兼顾品牌偏好。","evidence_type":"inferred","source_span":"","fact_ids":[],"rationale":"综合品牌、功能、受众和颜色约束推断"}]}</x:v>
      </x:c>
      <x:c r="Y436" s="16" t="str">
        <x:v>competitor_brand_archies</x:v>
      </x:c>
      <x:c r="Z436" s="13" t="str">
        <x:v>partial_match</x:v>
      </x:c>
      <x:c r="AA436" s="16" t="str">
        <x:v>title_womens_flip_flop | style_flip_flop | arch_support | colors_visible</x:v>
      </x:c>
      <x:c r="AB436" s="13" t="str">
        <x:v>accepted</x:v>
      </x:c>
      <x:c r="AC436" s="13" t="str">
        <x:v>1.0.0</x:v>
      </x:c>
      <x:c r="AD436" s="13" t="str">
        <x:v>1.1.0</x:v>
      </x:c>
      <x:c r="AE436" s="13" t="str">
        <x:v>deepseek/deepseek-v4-pro</x:v>
      </x:c>
      <x:c r="AF436" s="13" t="str">
        <x:v>aj2-y90-20260714T234810-0bea2f52</x:v>
      </x:c>
      <x:c r="AG436" s="13" t="str">
        <x:v>full-0022</x:v>
      </x:c>
      <x:c r="AH436" s="13" t="str">
        <x:v>full</x:v>
      </x:c>
      <x:c r="AI436" s="13" t="n">
        <x:v>22</x:v>
      </x:c>
    </x:row>
    <x:row r="437" ht="34" customHeight="1">
      <x:c r="A437" s="15" t="str">
        <x:v>flip flop thong sandal support thick</x:v>
      </x:c>
      <x:c r="B437" s="15" t="str">
        <x:v>flip flop thong sandal support thick</x:v>
      </x:c>
      <x:c r="C437" s="10" t="str">
        <x:v>b8ffc89b4c0515a7</x:v>
      </x:c>
      <x:c r="D437" s="10" t="str">
        <x:v>keyword</x:v>
      </x:c>
      <x:c r="E437" s="10" t="str">
        <x:v>en</x:v>
      </x:c>
      <x:c r="F437" s="10" t="str">
        <x:v>clothing_shoes_jewelry</x:v>
      </x:c>
      <x:c r="G437" s="15" t="str"/>
      <x:c r="H437" s="15" t="str">
        <x:v>flip_flops | thong_sandals</x:v>
      </x:c>
      <x:c r="I437" s="15" t="str"/>
      <x:c r="J437" s="15" t="str">
        <x:v>arch_support</x:v>
      </x:c>
      <x:c r="K437" s="15" t="str">
        <x:v>thick_cushioning</x:v>
      </x:c>
      <x:c r="L437" s="15" t="str"/>
      <x:c r="M437" s="15" t="str"/>
      <x:c r="N437" s="15" t="str">
        <x:v>foot_arch_discomfort</x:v>
      </x:c>
      <x:c r="O437" s="15" t="str"/>
      <x:c r="P437" s="15" t="str"/>
      <x:c r="Q437" s="15" t="str"/>
      <x:c r="R437" s="15" t="str">
        <x:v>用户寻找厚底支撑型人字拖凉鞋，需要加厚缓冲和足部支撑。</x:v>
      </x:c>
      <x:c r="S437" s="10" t="str">
        <x:v>consideration</x:v>
      </x:c>
      <x:c r="T437" s="15" t="str">
        <x:v>explicit | inferred</x:v>
      </x:c>
      <x:c r="U437" s="10" t="str">
        <x:v>medium</x:v>
      </x:c>
      <x:c r="V437" s="15" t="str">
        <x:v>thick_support_flip_flops</x:v>
      </x:c>
      <x:c r="W437" s="15" t="str">
        <x:v>cluster_route</x:v>
      </x:c>
      <x:c r="X437" s="15" t="str">
        <x:v>{"primary_domain":[{"value":"clothing_shoes_jewelry","evidence_type":"inferred","source_span":"","fact_ids":[],"rationale":"鞋类产品属于服装鞋履珠宝大类"}],"product_type":[{"value":"flip_flops","evidence_type":"explicit","source_span":"flip flop","fact_ids":[],"rationale":""},{"value":"thong_sandals","evidence_type":"explicit","source_span":"thong sandal","fact_ids":[],"rationale":""},{"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value":"thong_sandals","evidence_type":"page_validated","source_span":"","fact_ids":["style_thong","style_flip_flop"],"rationale":"该槽位与商品基准中的明示页面事实一致。"},{"value":"thong_sandals","evidence_type":"inferred","source_span":"","fact_ids":[],"rationale":"该能力由搜索词表达的任务或问题推断；页面事实仅用于验证商品承接。"}],"function_intent":[{"value":"arch_support","evidence_type":"explicit","source_span":"support","fact_ids":[],"rationale":""},{"value":"arch_support","evidence_type":"page_validated","source_span":"","fact_ids":["arch_support"],"rationale":"该槽位与商品基准中的明示页面事实一致。"},{"value":"arch_support","evidence_type":"inferred","source_span":"","fact_ids":[],"rationale":"该能力由搜索词表达的任务或问题推断；页面事实仅用于验证商品承接。"}],"capability_intent":[{"value":"thick_cushioning","evidence_type":"explicit","source_span":"thick","fact_ids":[],"rationale":""}],"body_need_intent":[{"value":"foot_arch_discomfort","evidence_type":"inferred","source_span":"","fact_ids":[],"rationale":"寻求支撑暗示足弓不适"}],"intent_stage":[{"value":"consideration","evidence_type":"inferred","source_span":"","fact_ids":[],"rationale":"功能特征搜索但无品牌或颜色限定"}],"confidence_level":[{"value":"medium","evidence_type":"inferred","source_span":"","fact_ids":[],"rationale":"thick可指鞋底厚度或缓冲厚度，略有歧义"}],"intent_cluster":[{"value":"thick_support_flip_flops","evidence_type":"inferred","source_span":"","fact_ids":[],"rationale":"厚底支撑型人字拖语义簇"}],"routing_action":[{"value":"cluster_route","evidence_type":"inferred","source_span":"","fact_ids":[],"rationale":"产品类型与支撑缓冲功能均匹配"}],"asin_fit":[{"value":"match","evidence_type":"page_validated","source_span":"","fact_ids":["title_womens_flip_flop","style_flip_flop","style_thong","arch_support","padded_cushioning"],"rationale":""}],"latent_task":[{"value":"用户寻找厚底支撑型人字拖凉鞋，需要加厚缓冲和足部支撑。","evidence_type":"inferred","source_span":"","fact_ids":[],"rationale":"综合产品类型、支撑和厚度需求推断"}]}</x:v>
      </x:c>
      <x:c r="Y437" s="15" t="str"/>
      <x:c r="Z437" s="10" t="str">
        <x:v>match</x:v>
      </x:c>
      <x:c r="AA437" s="15" t="str">
        <x:v>title_womens_flip_flop | style_flip_flop | style_thong | arch_support | padded_cushioning</x:v>
      </x:c>
      <x:c r="AB437" s="10" t="str">
        <x:v>accepted</x:v>
      </x:c>
      <x:c r="AC437" s="10" t="str">
        <x:v>1.0.0</x:v>
      </x:c>
      <x:c r="AD437" s="10" t="str">
        <x:v>1.1.0</x:v>
      </x:c>
      <x:c r="AE437" s="10" t="str">
        <x:v>deepseek/deepseek-v4-pro</x:v>
      </x:c>
      <x:c r="AF437" s="10" t="str">
        <x:v>aj2-y90-20260714T234810-0bea2f52</x:v>
      </x:c>
      <x:c r="AG437" s="10" t="str">
        <x:v>full-0022</x:v>
      </x:c>
      <x:c r="AH437" s="10" t="str">
        <x:v>full</x:v>
      </x:c>
      <x:c r="AI437" s="10" t="n">
        <x:v>22</x:v>
      </x:c>
    </x:row>
    <x:row r="438" ht="34" customHeight="1">
      <x:c r="A438" s="16" t="str">
        <x:v>terry cloth flip flops</x:v>
      </x:c>
      <x:c r="B438" s="16" t="str">
        <x:v>terry cloth flip flops</x:v>
      </x:c>
      <x:c r="C438" s="13" t="str">
        <x:v>cbcdca77c1e2edb1</x:v>
      </x:c>
      <x:c r="D438" s="13" t="str">
        <x:v>keyword</x:v>
      </x:c>
      <x:c r="E438" s="13" t="str">
        <x:v>en</x:v>
      </x:c>
      <x:c r="F438" s="13" t="str">
        <x:v>clothing_shoes_jewelry</x:v>
      </x:c>
      <x:c r="G438" s="16" t="str"/>
      <x:c r="H438" s="16" t="str">
        <x:v>flip_flops</x:v>
      </x:c>
      <x:c r="I438" s="16" t="str"/>
      <x:c r="J438" s="16" t="str"/>
      <x:c r="K438" s="16" t="str">
        <x:v>terry_cloth_material</x:v>
      </x:c>
      <x:c r="L438" s="16" t="str"/>
      <x:c r="M438" s="16" t="str"/>
      <x:c r="N438" s="16" t="str"/>
      <x:c r="O438" s="16" t="str"/>
      <x:c r="P438" s="16" t="str"/>
      <x:c r="Q438" s="16" t="str"/>
      <x:c r="R438" s="16" t="str">
        <x:v>用户寻找毛巾布材质人字拖，偏好柔软吸水织物鞋面。</x:v>
      </x:c>
      <x:c r="S438" s="13" t="str">
        <x:v>consideration</x:v>
      </x:c>
      <x:c r="T438" s="16" t="str">
        <x:v>explicit | inferred</x:v>
      </x:c>
      <x:c r="U438" s="13" t="str">
        <x:v>high</x:v>
      </x:c>
      <x:c r="V438" s="16" t="str">
        <x:v>terry_cloth_flip_flops</x:v>
      </x:c>
      <x:c r="W438" s="16" t="str">
        <x:v>semantic_negative_candidate</x:v>
      </x:c>
      <x:c r="X438" s="16" t="str">
        <x:v>{"primary_domain":[{"value":"clothing_shoes_jewelry","evidence_type":"inferred","source_span":"","fact_ids":[],"rationale":"鞋类产品属于服装鞋履珠宝大类"}],"product_type":[{"value":"flip_flops","evidence_type":"explicit","source_span":"flip flops","fact_ids":[],"rationale":""},{"value":"flip_flops","evidence_type":"page_validated","source_span":"","fact_ids":["style_flip_flop"],"rationale":"该槽位与商品基准中的明示页面事实一致。"}],"capability_intent":[{"value":"terry_cloth_material","evidence_type":"explicit","source_span":"terry cloth","fact_ids":[],"rationale":""}],"intent_stage":[{"value":"consideration","evidence_type":"inferred","source_span":"","fact_ids":[],"rationale":"材质限定表明比较评估"}],"intent_cluster":[{"value":"terry_cloth_flip_flops","evidence_type":"inferred","source_span":"","fact_ids":[],"rationale":"毛巾布人字拖语义簇"}],"routing_action":[{"value":"semantic_negative_candidate","evidence_type":"inferred","source_span":"","fact_ids":[],"rationale":"EVA材质与毛巾布完全冲突，语义不匹配"}],"asin_fit":[{"value":"mismatch","evidence_type":"page_validated","source_span":"","fact_ids":["material_eva","style_flip_flop"],"rationale":""}],"latent_task":[{"value":"用户寻找毛巾布材质人字拖，偏好柔软吸水织物鞋面。","evidence_type":"inferred","source_span":"","fact_ids":[],"rationale":"综合品类和材质约束推断"}]}</x:v>
      </x:c>
      <x:c r="Y438" s="16" t="str"/>
      <x:c r="Z438" s="13" t="str">
        <x:v>mismatch</x:v>
      </x:c>
      <x:c r="AA438" s="16" t="str">
        <x:v>material_eva | style_flip_flop</x:v>
      </x:c>
      <x:c r="AB438" s="13" t="str">
        <x:v>accepted</x:v>
      </x:c>
      <x:c r="AC438" s="13" t="str">
        <x:v>1.0.0</x:v>
      </x:c>
      <x:c r="AD438" s="13" t="str">
        <x:v>1.1.0</x:v>
      </x:c>
      <x:c r="AE438" s="13" t="str">
        <x:v>deepseek/deepseek-v4-pro</x:v>
      </x:c>
      <x:c r="AF438" s="13" t="str">
        <x:v>aj2-y90-20260714T234810-0bea2f52</x:v>
      </x:c>
      <x:c r="AG438" s="13" t="str">
        <x:v>full-0022</x:v>
      </x:c>
      <x:c r="AH438" s="13" t="str">
        <x:v>full</x:v>
      </x:c>
      <x:c r="AI438" s="13" t="n">
        <x:v>22</x:v>
      </x:c>
    </x:row>
    <x:row r="439" ht="34" customHeight="1">
      <x:c r="A439" s="15" t="str">
        <x:v>light pink flip flops stq narrow width</x:v>
      </x:c>
      <x:c r="B439" s="15" t="str">
        <x:v>light pink flip flops stq narrow width</x:v>
      </x:c>
      <x:c r="C439" s="10" t="str">
        <x:v>d89cf855dabcdf42</x:v>
      </x:c>
      <x:c r="D439" s="10" t="str">
        <x:v>keyword</x:v>
      </x:c>
      <x:c r="E439" s="10" t="str">
        <x:v>en</x:v>
      </x:c>
      <x:c r="F439" s="10" t="str">
        <x:v>clothing_shoes_jewelry</x:v>
      </x:c>
      <x:c r="G439" s="15" t="str"/>
      <x:c r="H439" s="15" t="str">
        <x:v>flip_flops</x:v>
      </x:c>
      <x:c r="I439" s="15" t="str">
        <x:v>women</x:v>
      </x:c>
      <x:c r="J439" s="15" t="str"/>
      <x:c r="K439" s="15" t="str">
        <x:v>narrow_width</x:v>
      </x:c>
      <x:c r="L439" s="15" t="str"/>
      <x:c r="M439" s="15" t="str"/>
      <x:c r="N439" s="15" t="str">
        <x:v>narrow_foot</x:v>
      </x:c>
      <x:c r="O439" s="15" t="str"/>
      <x:c r="P439" s="15" t="str"/>
      <x:c r="Q439" s="15" t="str"/>
      <x:c r="R439" s="15" t="str">
        <x:v>用户寻找STQ品牌浅粉色窄版女式人字拖，需特定宽度适配窄足型。</x:v>
      </x:c>
      <x:c r="S439" s="10" t="str">
        <x:v>high_intent</x:v>
      </x:c>
      <x:c r="T439" s="15" t="str">
        <x:v>explicit | inferred</x:v>
      </x:c>
      <x:c r="U439" s="10" t="str">
        <x:v>high</x:v>
      </x:c>
      <x:c r="V439" s="15" t="str">
        <x:v>branded_narrow_width_flip_flops</x:v>
      </x:c>
      <x:c r="W439" s="15" t="str">
        <x:v>listing_gap_review</x:v>
      </x:c>
      <x:c r="X439" s="15" t="str">
        <x:v>{"primary_domain":[{"value":"clothing_shoes_jewelry","evidence_type":"inferred","source_span":"","fact_ids":[],"rationale":"鞋类产品属于服装鞋履珠宝大类"}],"product_type":[{"value":"flip_flops","evidence_type":"explicit","source_span":"flip flops","fact_ids":[],"rationale":""},{"value":"flip_flops","evidence_type":"page_validated","source_span":"","fact_ids":["style_flip_flop"],"rationale":"该槽位与商品基准中的明示页面事实一致。"}],"audience_intent":[{"value":"women","evidence_type":"inferred","source_span":"","fact_ids":[],"rationale":"粉色人字拖通常面向女性"},{"value":"women","evidence_type":"page_validated","source_span":"","fact_ids":["title_womens_flip_flop"],"rationale":"该槽位与商品基准中的明示页面事实一致。"}],"capability_intent":[{"value":"narrow_width","evidence_type":"explicit","source_span":"narrow width","fact_ids":[],"rationale":""}],"body_need_intent":[{"value":"narrow_foot","evidence_type":"inferred","source_span":"","fact_ids":[],"rationale":"窄版需求暗示用户足型偏窄"}],"intent_stage":[{"value":"high_intent","evidence_type":"inferred","source_span":"","fact_ids":[],"rationale":"品牌、颜色、宽度三重限定表明强烈意向"}],"intent_cluster":[{"value":"branded_narrow_width_flip_flops","evidence_type":"inferred","source_span":"","fact_ids":[],"rationale":"品牌窄版人字拖语义簇"}],"routing_action":[{"value":"listing_gap_review","evidence_type":"inferred","source_span":"","fact_ids":[],"rationale":"页面无窄版宽度选项且品牌不匹配"}],"asin_fit":[{"value":"partial_match","evidence_type":"page_validated","source_span":"","fact_ids":["title_womens_flip_flop","style_flip_flop","colors_visible"],"rationale":""}],"latent_task":[{"value":"用户寻找STQ品牌浅粉色窄版女式人字拖，需特定宽度适配窄足型。","evidence_type":"inferred","source_span":"","fact_ids":[],"rationale":"综合品牌、颜色、宽度约束推断"}]}</x:v>
      </x:c>
      <x:c r="Y439" s="15" t="str">
        <x:v>competitor_brand_stq | width_not_listed</x:v>
      </x:c>
      <x:c r="Z439" s="10" t="str">
        <x:v>partial_match</x:v>
      </x:c>
      <x:c r="AA439" s="15" t="str">
        <x:v>title_womens_flip_flop | style_flip_flop | colors_visible</x:v>
      </x:c>
      <x:c r="AB439" s="10" t="str">
        <x:v>accepted</x:v>
      </x:c>
      <x:c r="AC439" s="10" t="str">
        <x:v>1.0.0</x:v>
      </x:c>
      <x:c r="AD439" s="10" t="str">
        <x:v>1.1.0</x:v>
      </x:c>
      <x:c r="AE439" s="10" t="str">
        <x:v>deepseek/deepseek-v4-pro</x:v>
      </x:c>
      <x:c r="AF439" s="10" t="str">
        <x:v>aj2-y90-20260714T234810-0bea2f52</x:v>
      </x:c>
      <x:c r="AG439" s="10" t="str">
        <x:v>full-0022</x:v>
      </x:c>
      <x:c r="AH439" s="10" t="str">
        <x:v>full</x:v>
      </x:c>
      <x:c r="AI439" s="10" t="n">
        <x:v>22</x:v>
      </x:c>
    </x:row>
    <x:row r="440" ht="34" customHeight="1">
      <x:c r="A440" s="16" t="str">
        <x:v>sandalias de mujer</x:v>
      </x:c>
      <x:c r="B440" s="16" t="str">
        <x:v>sandalias de mujer</x:v>
      </x:c>
      <x:c r="C440" s="13" t="str">
        <x:v>e6be783ad57d84cf</x:v>
      </x:c>
      <x:c r="D440" s="13" t="str">
        <x:v>keyword</x:v>
      </x:c>
      <x:c r="E440" s="13" t="str">
        <x:v>es</x:v>
      </x:c>
      <x:c r="F440" s="13" t="str">
        <x:v>clothing_shoes_jewelry</x:v>
      </x:c>
      <x:c r="G440" s="16" t="str"/>
      <x:c r="H440" s="16" t="str">
        <x:v>sandals</x:v>
      </x:c>
      <x:c r="I440" s="16" t="str">
        <x:v>women</x:v>
      </x:c>
      <x:c r="J440" s="16" t="str"/>
      <x:c r="K440" s="16" t="str"/>
      <x:c r="L440" s="16" t="str"/>
      <x:c r="M440" s="16" t="str"/>
      <x:c r="N440" s="16" t="str"/>
      <x:c r="O440" s="16" t="str"/>
      <x:c r="P440" s="16" t="str"/>
      <x:c r="Q440" s="16" t="str"/>
      <x:c r="R440" s="16" t="str">
        <x:v>西语用户搜索女式凉鞋，品类宽泛包含人字拖等子类。</x:v>
      </x:c>
      <x:c r="S440" s="13" t="str">
        <x:v>exploration</x:v>
      </x:c>
      <x:c r="T440" s="16" t="str">
        <x:v>explicit | inferred</x:v>
      </x:c>
      <x:c r="U440" s="13" t="str">
        <x:v>high</x:v>
      </x:c>
      <x:c r="V440" s="16" t="str">
        <x:v>womens_sandals_spanish</x:v>
      </x:c>
      <x:c r="W440" s="16" t="str">
        <x:v>cluster_route</x:v>
      </x:c>
      <x:c r="X440" s="16" t="str">
        <x:v>{"primary_domain":[{"value":"clothing_shoes_jewelry","evidence_type":"inferred","source_span":"","fact_ids":[],"rationale":"鞋类产品属于服装鞋履珠宝大类"}],"product_type":[{"value":"sandals","evidence_type":"inferred","source_span":"","fact_ids":[],"rationale":"sandalias即凉鞋，人字拖是其子类"},{"value":"sandals","evidence_type":"page_validated","source_span":"","fact_ids":["title_womens_flip_flop"],"rationale":"该槽位与商品基准中的明示页面事实一致。"}],"audience_intent":[{"value":"women","evidence_type":"explicit","source_span":"mujer","fact_ids":[],"rationale":""},{"value":"women","evidence_type":"page_validated","source_span":"","fact_ids":["title_womens_flip_flop"],"rationale":"该槽位与商品基准中的明示页面事实一致。"},{"value":"women","evidence_type":"inferred","source_span":"","fact_ids":[],"rationale":"该能力由搜索词表达的任务或问题推断；页面事实仅用于验证商品承接。"}],"intent_stage":[{"value":"exploration","evidence_type":"inferred","source_span":"","fact_ids":[],"rationale":"宽泛品类搜索无特征限定"}],"intent_cluster":[{"value":"womens_sandals_spanish","evidence_type":"inferred","source_span":"","fact_ids":[],"rationale":"西语女式凉鞋语义簇"}],"routing_action":[{"value":"cluster_route","evidence_type":"inferred","source_span":"","fact_ids":[],"rationale":"产品为凉鞋子类人字拖，品类匹配"}],"asin_fit":[{"value":"match","evidence_type":"page_validated","source_span":"","fact_ids":["title_womens_flip_flop","style_flip_flop","style_thong"],"rationale":""}],"latent_task":[{"value":"西语用户搜索女式凉鞋，品类宽泛包含人字拖等子类。","evidence_type":"inferred","source_span":"","fact_ids":[],"rationale":"宽泛西班牙语凉鞋搜索推断"}]}</x:v>
      </x:c>
      <x:c r="Y440" s="16" t="str"/>
      <x:c r="Z440" s="13" t="str">
        <x:v>match</x:v>
      </x:c>
      <x:c r="AA440" s="16" t="str">
        <x:v>title_womens_flip_flop | style_flip_flop | style_thong</x:v>
      </x:c>
      <x:c r="AB440" s="13" t="str">
        <x:v>accepted</x:v>
      </x:c>
      <x:c r="AC440" s="13" t="str">
        <x:v>1.0.0</x:v>
      </x:c>
      <x:c r="AD440" s="13" t="str">
        <x:v>1.1.0</x:v>
      </x:c>
      <x:c r="AE440" s="13" t="str">
        <x:v>deepseek/deepseek-v4-pro</x:v>
      </x:c>
      <x:c r="AF440" s="13" t="str">
        <x:v>aj2-y90-20260714T234810-0bea2f52</x:v>
      </x:c>
      <x:c r="AG440" s="13" t="str">
        <x:v>full-0022</x:v>
      </x:c>
      <x:c r="AH440" s="13" t="str">
        <x:v>full</x:v>
      </x:c>
      <x:c r="AI440" s="13" t="n">
        <x:v>22</x:v>
      </x:c>
    </x:row>
    <x:row r="441" ht="34" customHeight="1">
      <x:c r="A441" s="15" t="str">
        <x:v>thong sandals for women</x:v>
      </x:c>
      <x:c r="B441" s="15" t="str">
        <x:v>thong sandals for women</x:v>
      </x:c>
      <x:c r="C441" s="10" t="str">
        <x:v>ebd8ed5d56b3b5e0</x:v>
      </x:c>
      <x:c r="D441" s="10" t="str">
        <x:v>keyword</x:v>
      </x:c>
      <x:c r="E441" s="10" t="str">
        <x:v>en</x:v>
      </x:c>
      <x:c r="F441" s="10" t="str">
        <x:v>clothing_shoes_jewelry</x:v>
      </x:c>
      <x:c r="G441" s="15" t="str"/>
      <x:c r="H441" s="15" t="str">
        <x:v>thong_sandals | flip_flops</x:v>
      </x:c>
      <x:c r="I441" s="15" t="str">
        <x:v>women</x:v>
      </x:c>
      <x:c r="J441" s="15" t="str"/>
      <x:c r="K441" s="15" t="str"/>
      <x:c r="L441" s="15" t="str"/>
      <x:c r="M441" s="15" t="str"/>
      <x:c r="N441" s="15" t="str"/>
      <x:c r="O441" s="15" t="str"/>
      <x:c r="P441" s="15" t="str"/>
      <x:c r="Q441" s="15" t="str"/>
      <x:c r="R441" s="15" t="str">
        <x:v>用户浏览女士人字凉鞋，处于广泛探索阶段无明确附加需求。</x:v>
      </x:c>
      <x:c r="S441" s="10" t="str">
        <x:v>exploration</x:v>
      </x:c>
      <x:c r="T441" s="15" t="str">
        <x:v>explicit</x:v>
      </x:c>
      <x:c r="U441" s="10" t="str">
        <x:v>high</x:v>
      </x:c>
      <x:c r="V441" s="15" t="str">
        <x:v>womens_thong_sandals_broad</x:v>
      </x:c>
      <x:c r="W441" s="15" t="str">
        <x:v>cluster_route</x:v>
      </x:c>
      <x:c r="X441" s="15" t="str">
        <x:v>{"primary_domain":[{"value":"clothing_shoes_jewelry","evidence_type":"inferred","source_span":"","fact_ids":[],"rationale":"鞋类产品属于服装鞋履珠宝大类"}],"product_type":[{"value":"thong_sandals","evidence_type":"explicit","source_span":"thong sandals","fact_ids":[],"rationale":""},{"value":"flip_flops","evidence_type":"inferred","source_span":"","fact_ids":[],"rationale":"人字拖属于夹趾凉鞋常见形式"},{"value":"thong_sandals","evidence_type":"page_validated","source_span":"","fact_ids":["style_thong","style_flip_flop"],"rationale":"该槽位与商品基准中的明示页面事实一致。"},{"value":"flip_flops","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intent_stage":[{"value":"exploration","evidence_type":"inferred","source_span":"","fact_ids":[],"rationale":"宽泛品类搜索无特征限定"}],"intent_cluster":[{"value":"womens_thong_sandals_broad","evidence_type":"inferred","source_span":"","fact_ids":[],"rationale":"女士夹趾凉鞋泛搜索语义簇"}],"routing_action":[{"value":"cluster_route","evidence_type":"inferred","source_span":"","fact_ids":[],"rationale":"产品类型和受众完全匹配"}],"asin_fit":[{"value":"match","evidence_type":"page_validated","source_span":"","fact_ids":["title_womens_flip_flop","style_thong","style_flip_flop"],"rationale":""}],"latent_task":[{"value":"用户浏览女士人字凉鞋，处于广泛探索阶段无明确附加需求。","evidence_type":"inferred","source_span":"","fact_ids":[],"rationale":"宽泛品类搜索推断为浏览探索行为"}]}</x:v>
      </x:c>
      <x:c r="Y441" s="15" t="str"/>
      <x:c r="Z441" s="10" t="str">
        <x:v>match</x:v>
      </x:c>
      <x:c r="AA441" s="15" t="str">
        <x:v>title_womens_flip_flop | style_thong | style_flip_flop</x:v>
      </x:c>
      <x:c r="AB441" s="10" t="str">
        <x:v>accepted</x:v>
      </x:c>
      <x:c r="AC441" s="10" t="str">
        <x:v>1.0.0</x:v>
      </x:c>
      <x:c r="AD441" s="10" t="str">
        <x:v>1.1.0</x:v>
      </x:c>
      <x:c r="AE441" s="10" t="str">
        <x:v>deepseek/deepseek-v4-pro</x:v>
      </x:c>
      <x:c r="AF441" s="10" t="str">
        <x:v>aj2-y90-20260714T234810-0bea2f52</x:v>
      </x:c>
      <x:c r="AG441" s="10" t="str">
        <x:v>full-0022</x:v>
      </x:c>
      <x:c r="AH441" s="10" t="str">
        <x:v>full</x:v>
      </x:c>
      <x:c r="AI441" s="10" t="n">
        <x:v>22</x:v>
      </x:c>
    </x:row>
    <x:row r="442" ht="34" customHeight="1">
      <x:c r="A442" s="16" t="str">
        <x:v>rubber sandals for women</x:v>
      </x:c>
      <x:c r="B442" s="16" t="str">
        <x:v>rubber sandals for women</x:v>
      </x:c>
      <x:c r="C442" s="13" t="str">
        <x:v>186a53139a1b788a</x:v>
      </x:c>
      <x:c r="D442" s="13" t="str">
        <x:v>keyword</x:v>
      </x:c>
      <x:c r="E442" s="13" t="str">
        <x:v>en</x:v>
      </x:c>
      <x:c r="F442" s="13" t="str">
        <x:v>clothing_shoes_jewelry</x:v>
      </x:c>
      <x:c r="G442" s="16" t="str"/>
      <x:c r="H442" s="16" t="str">
        <x:v>sandal</x:v>
      </x:c>
      <x:c r="I442" s="16" t="str">
        <x:v>women</x:v>
      </x:c>
      <x:c r="J442" s="16" t="str"/>
      <x:c r="K442" s="16" t="str">
        <x:v>rubber_material</x:v>
      </x:c>
      <x:c r="L442" s="16" t="str"/>
      <x:c r="M442" s="16" t="str"/>
      <x:c r="N442" s="16" t="str"/>
      <x:c r="O442" s="16" t="str"/>
      <x:c r="P442" s="16" t="str"/>
      <x:c r="Q442" s="16" t="str"/>
      <x:c r="R442" s="16" t="str">
        <x:v>女性用户寻找橡胶材质凉鞋，当前产品为EVA而非橡胶。</x:v>
      </x:c>
      <x:c r="S442" s="13" t="str">
        <x:v>consideration</x:v>
      </x:c>
      <x:c r="T442" s="16" t="str">
        <x:v>explicit | page_validated | inferred</x:v>
      </x:c>
      <x:c r="U442" s="13" t="str">
        <x:v>medium</x:v>
      </x:c>
      <x:c r="V442" s="16" t="str">
        <x:v>rubber_sandals_women</x:v>
      </x:c>
      <x:c r="W442" s="16" t="str">
        <x:v>listing_gap_review</x:v>
      </x:c>
      <x:c r="X442" s="16" t="str">
        <x:v>{"product_type":[{"value":"sandal","evidence_type":"explicit","source_span":"sandals","fact_ids":[],"rationale":"搜索词直接指定sandals"},{"value":"sandal","evidence_type":"page_validated","source_span":"","fact_ids":["title_womens_flip_flop"],"rationale":"产品凉鞋品类匹配"}],"audience_intent":[{"value":"women","evidence_type":"explicit","source_span":"women","fact_ids":[],"rationale":"搜索词指定女性"},{"value":"women","evidence_type":"page_validated","source_span":"","fact_ids":["title_womens_flip_flop"],"rationale":"产品标注women's"}],"capability_intent":[{"value":"rubber_material","evidence_type":"explicit","source_span":"rubber","fact_ids":[],"rationale":"用户明确要求橡胶材质"}],"primary_domain":[{"value":"clothing_shoes_jewelry","evidence_type":"inferred","source_span":"","fact_ids":[],"rationale":"该值由搜索词整体语义推断，未作为页面明示属性。"}]}</x:v>
      </x:c>
      <x:c r="Y442" s="16" t="str"/>
      <x:c r="Z442" s="13" t="str">
        <x:v>partial_match</x:v>
      </x:c>
      <x:c r="AA442" s="16" t="str">
        <x:v>title_womens_flip_flop | material_eva</x:v>
      </x:c>
      <x:c r="AB442" s="13" t="str">
        <x:v>accepted</x:v>
      </x:c>
      <x:c r="AC442" s="13" t="str">
        <x:v>1.0.0</x:v>
      </x:c>
      <x:c r="AD442" s="13" t="str">
        <x:v>1.0.0</x:v>
      </x:c>
      <x:c r="AE442" s="13" t="str">
        <x:v>deepseek/deepseek-v4-pro</x:v>
      </x:c>
      <x:c r="AF442" s="13" t="str">
        <x:v>aj2-y90-20260714T234810-0bea2f52</x:v>
      </x:c>
      <x:c r="AG442" s="13" t="str">
        <x:v>full-0023</x:v>
      </x:c>
      <x:c r="AH442" s="13" t="str">
        <x:v>full</x:v>
      </x:c>
      <x:c r="AI442" s="13" t="n">
        <x:v>23</x:v>
      </x:c>
    </x:row>
    <x:row r="443" ht="34" customHeight="1">
      <x:c r="A443" s="15" t="str">
        <x:v>flip flops with arch support for women 10-10.5</x:v>
      </x:c>
      <x:c r="B443" s="15" t="str">
        <x:v>flip flops with arch support for women 10-10.5</x:v>
      </x:c>
      <x:c r="C443" s="10" t="str">
        <x:v>24d8e4dee56cb504</x:v>
      </x:c>
      <x:c r="D443" s="10" t="str">
        <x:v>keyword</x:v>
      </x:c>
      <x:c r="E443" s="10" t="str">
        <x:v>en</x:v>
      </x:c>
      <x:c r="F443" s="10" t="str">
        <x:v>clothing_shoes_jewelry</x:v>
      </x:c>
      <x:c r="G443" s="15" t="str"/>
      <x:c r="H443" s="15" t="str">
        <x:v>flip_flop</x:v>
      </x:c>
      <x:c r="I443" s="15" t="str">
        <x:v>women</x:v>
      </x:c>
      <x:c r="J443" s="15" t="str"/>
      <x:c r="K443" s="15" t="str">
        <x:v>arch_support</x:v>
      </x:c>
      <x:c r="L443" s="15" t="str"/>
      <x:c r="M443" s="15" t="str"/>
      <x:c r="N443" s="15" t="str">
        <x:v>arch_support</x:v>
      </x:c>
      <x:c r="O443" s="15" t="str"/>
      <x:c r="P443" s="15" t="str"/>
      <x:c r="Q443" s="15" t="str"/>
      <x:c r="R443" s="15" t="str">
        <x:v>女性用户寻找10至10.5码带足弓支撑的夹脚拖鞋，尺寸与功能需求非常明确。</x:v>
      </x:c>
      <x:c r="S443" s="10" t="str">
        <x:v>high_intent</x:v>
      </x:c>
      <x:c r="T443" s="15" t="str">
        <x:v>explicit | page_validated</x:v>
      </x:c>
      <x:c r="U443" s="10" t="str">
        <x:v>high</x:v>
      </x:c>
      <x:c r="V443" s="15" t="str">
        <x:v>arch_support_flip_flops_women_sized</x:v>
      </x:c>
      <x:c r="W443" s="15" t="str">
        <x:v>cluster_route</x:v>
      </x:c>
      <x:c r="X443" s="15" t="str">
        <x:v>{"product_type":[{"value":"flip_flop","evidence_type":"explicit","source_span":"flip flops","fact_ids":[],"rationale":"搜索词直接指定flip flops"},{"value":"flip_flop","evidence_type":"page_validated","source_span":"","fact_ids":["style_flip_flop"],"rationale":"产品为夹脚拖鞋"}],"audience_intent":[{"value":"women","evidence_type":"explicit","source_span":"women","fact_ids":[],"rationale":"搜索词指定女性"},{"value":"women","evidence_type":"page_validated","source_span":"","fact_ids":["title_womens_flip_flop"],"rationale":"产品标注women's"}],"capability_intent":[{"value":"arch_support","evidence_type":"explicit","source_span":"arch support","fact_ids":[],"rationale":"搜索词明确要求arch support"},{"value":"arch_support","evidence_type":"page_validated","source_span":"","fact_ids":["arch_support"],"rationale":"产品具备人体工学足弓支撑"}],"primary_domain":[{"value":"clothing_shoes_jewelry","evidence_type":"inferred","source_span":"","fact_ids":[],"rationale":"该值由搜索词整体语义推断，未作为页面明示属性。"}]}</x:v>
      </x:c>
      <x:c r="Y443" s="15" t="str"/>
      <x:c r="Z443" s="10" t="str">
        <x:v>match</x:v>
      </x:c>
      <x:c r="AA443" s="15" t="str">
        <x:v>title_womens_flip_flop | arch_support | sizes_6_11</x:v>
      </x:c>
      <x:c r="AB443" s="10" t="str">
        <x:v>accepted</x:v>
      </x:c>
      <x:c r="AC443" s="10" t="str">
        <x:v>1.0.0</x:v>
      </x:c>
      <x:c r="AD443" s="10" t="str">
        <x:v>1.0.0</x:v>
      </x:c>
      <x:c r="AE443" s="10" t="str">
        <x:v>deepseek/deepseek-v4-pro</x:v>
      </x:c>
      <x:c r="AF443" s="10" t="str">
        <x:v>aj2-y90-20260714T234810-0bea2f52</x:v>
      </x:c>
      <x:c r="AG443" s="10" t="str">
        <x:v>full-0023</x:v>
      </x:c>
      <x:c r="AH443" s="10" t="str">
        <x:v>full</x:v>
      </x:c>
      <x:c r="AI443" s="10" t="n">
        <x:v>23</x:v>
      </x:c>
    </x:row>
    <x:row r="444" ht="34" customHeight="1">
      <x:c r="A444" s="16" t="str">
        <x:v>foam flip flops women</x:v>
      </x:c>
      <x:c r="B444" s="16" t="str">
        <x:v>foam flip flops women</x:v>
      </x:c>
      <x:c r="C444" s="13" t="str">
        <x:v>2844ca7b18f20ec2</x:v>
      </x:c>
      <x:c r="D444" s="13" t="str">
        <x:v>keyword</x:v>
      </x:c>
      <x:c r="E444" s="13" t="str">
        <x:v>en</x:v>
      </x:c>
      <x:c r="F444" s="13" t="str">
        <x:v>clothing_shoes_jewelry</x:v>
      </x:c>
      <x:c r="G444" s="16" t="str"/>
      <x:c r="H444" s="16" t="str">
        <x:v>flip_flop</x:v>
      </x:c>
      <x:c r="I444" s="16" t="str">
        <x:v>women</x:v>
      </x:c>
      <x:c r="J444" s="16" t="str"/>
      <x:c r="K444" s="16" t="str">
        <x:v>foam_material</x:v>
      </x:c>
      <x:c r="L444" s="16" t="str"/>
      <x:c r="M444" s="16" t="str"/>
      <x:c r="N444" s="16" t="str"/>
      <x:c r="O444" s="16" t="str"/>
      <x:c r="P444" s="16" t="str"/>
      <x:c r="Q444" s="16" t="str"/>
      <x:c r="R444" s="16" t="str">
        <x:v>女性用户寻找泡沫材质夹脚拖鞋，注重轻便柔软的穿着体验。</x:v>
      </x:c>
      <x:c r="S444" s="13" t="str">
        <x:v>consideration</x:v>
      </x:c>
      <x:c r="T444" s="16" t="str">
        <x:v>explicit | page_validated</x:v>
      </x:c>
      <x:c r="U444" s="13" t="str">
        <x:v>high</x:v>
      </x:c>
      <x:c r="V444" s="16" t="str">
        <x:v>foam_flip_flops_women</x:v>
      </x:c>
      <x:c r="W444" s="16" t="str">
        <x:v>cluster_route</x:v>
      </x:c>
      <x:c r="X444" s="16" t="str">
        <x:v>{"product_type":[{"value":"flip_flop","evidence_type":"explicit","source_span":"flip flops","fact_ids":[],"rationale":"搜索词直接指定flip flops"},{"value":"flip_flop","evidence_type":"page_validated","source_span":"","fact_ids":["style_flip_flop"],"rationale":"产品为夹脚拖鞋"}],"audience_intent":[{"value":"women","evidence_type":"explicit","source_span":"women","fact_ids":[],"rationale":"搜索词指定女性"},{"value":"women","evidence_type":"page_validated","source_span":"","fact_ids":["title_womens_flip_flop"],"rationale":"产品标注women's"}],"capability_intent":[{"value":"foam_material","evidence_type":"explicit","source_span":"foam","fact_ids":[],"rationale":"搜索词指定泡沫材质"},{"value":"foam_material","evidence_type":"page_validated","source_span":"","fact_ids":["material_eva"],"rationale":"EVA为泡沫类材料"}],"primary_domain":[{"value":"clothing_shoes_jewelry","evidence_type":"inferred","source_span":"","fact_ids":[],"rationale":"该值由搜索词整体语义推断，未作为页面明示属性。"}]}</x:v>
      </x:c>
      <x:c r="Y444" s="16" t="str"/>
      <x:c r="Z444" s="13" t="str">
        <x:v>match</x:v>
      </x:c>
      <x:c r="AA444" s="16" t="str">
        <x:v>title_womens_flip_flop | material_eva</x:v>
      </x:c>
      <x:c r="AB444" s="13" t="str">
        <x:v>accepted</x:v>
      </x:c>
      <x:c r="AC444" s="13" t="str">
        <x:v>1.0.0</x:v>
      </x:c>
      <x:c r="AD444" s="13" t="str">
        <x:v>1.0.0</x:v>
      </x:c>
      <x:c r="AE444" s="13" t="str">
        <x:v>deepseek/deepseek-v4-pro</x:v>
      </x:c>
      <x:c r="AF444" s="13" t="str">
        <x:v>aj2-y90-20260714T234810-0bea2f52</x:v>
      </x:c>
      <x:c r="AG444" s="13" t="str">
        <x:v>full-0023</x:v>
      </x:c>
      <x:c r="AH444" s="13" t="str">
        <x:v>full</x:v>
      </x:c>
      <x:c r="AI444" s="13" t="n">
        <x:v>23</x:v>
      </x:c>
    </x:row>
    <x:row r="445" ht="34" customHeight="1">
      <x:c r="A445" s="15" t="str">
        <x:v>brown arch support flip flops</x:v>
      </x:c>
      <x:c r="B445" s="15" t="str">
        <x:v>brown arch support flip flops</x:v>
      </x:c>
      <x:c r="C445" s="10" t="str">
        <x:v>3067c17f38441c82</x:v>
      </x:c>
      <x:c r="D445" s="10" t="str">
        <x:v>keyword</x:v>
      </x:c>
      <x:c r="E445" s="10" t="str">
        <x:v>en</x:v>
      </x:c>
      <x:c r="F445" s="10" t="str">
        <x:v>clothing_shoes_jewelry</x:v>
      </x:c>
      <x:c r="G445" s="15" t="str"/>
      <x:c r="H445" s="15" t="str">
        <x:v>flip_flop</x:v>
      </x:c>
      <x:c r="I445" s="15" t="str"/>
      <x:c r="J445" s="15" t="str"/>
      <x:c r="K445" s="15" t="str">
        <x:v>arch_support</x:v>
      </x:c>
      <x:c r="L445" s="15" t="str"/>
      <x:c r="M445" s="15" t="str"/>
      <x:c r="N445" s="15" t="str">
        <x:v>arch_support</x:v>
      </x:c>
      <x:c r="O445" s="15" t="str"/>
      <x:c r="P445" s="15" t="str"/>
      <x:c r="Q445" s="15" t="str"/>
      <x:c r="R445" s="15" t="str">
        <x:v>用户搜索棕色带足弓支撑的夹脚拖鞋，颜色和功能要求均与产品匹配。</x:v>
      </x:c>
      <x:c r="S445" s="10" t="str">
        <x:v>high_intent</x:v>
      </x:c>
      <x:c r="T445" s="15" t="str">
        <x:v>explicit | page_validated</x:v>
      </x:c>
      <x:c r="U445" s="10" t="str">
        <x:v>high</x:v>
      </x:c>
      <x:c r="V445" s="15" t="str">
        <x:v>brown_arch_support_flip_flops</x:v>
      </x:c>
      <x:c r="W445" s="15" t="str">
        <x:v>cluster_route</x:v>
      </x:c>
      <x:c r="X445" s="15" t="str">
        <x:v>{"product_type":[{"value":"flip_flop","evidence_type":"explicit","source_span":"flip flops","fact_ids":[],"rationale":"搜索词直接指定flip flops"},{"value":"flip_flop","evidence_type":"page_validated","source_span":"","fact_ids":["style_flip_flop"],"rationale":"产品为夹脚拖鞋"}],"capability_intent":[{"value":"arch_support","evidence_type":"explicit","source_span":"arch support","fact_ids":[],"rationale":"搜索词明确要求足弓支撑"},{"value":"arch_support","evidence_type":"page_validated","source_span":"","fact_ids":["arch_support"],"rationale":"产品具备人体工学足弓支撑"}],"primary_domain":[{"value":"clothing_shoes_jewelry","evidence_type":"inferred","source_span":"","fact_ids":[],"rationale":"该值由搜索词整体语义推断，未作为页面明示属性。"}]}</x:v>
      </x:c>
      <x:c r="Y445" s="15" t="str"/>
      <x:c r="Z445" s="10" t="str">
        <x:v>match</x:v>
      </x:c>
      <x:c r="AA445" s="15" t="str">
        <x:v>style_flip_flop | arch_support | colors_visible</x:v>
      </x:c>
      <x:c r="AB445" s="10" t="str">
        <x:v>accepted</x:v>
      </x:c>
      <x:c r="AC445" s="10" t="str">
        <x:v>1.0.0</x:v>
      </x:c>
      <x:c r="AD445" s="10" t="str">
        <x:v>1.0.0</x:v>
      </x:c>
      <x:c r="AE445" s="10" t="str">
        <x:v>deepseek/deepseek-v4-pro</x:v>
      </x:c>
      <x:c r="AF445" s="10" t="str">
        <x:v>aj2-y90-20260714T234810-0bea2f52</x:v>
      </x:c>
      <x:c r="AG445" s="10" t="str">
        <x:v>full-0023</x:v>
      </x:c>
      <x:c r="AH445" s="10" t="str">
        <x:v>full</x:v>
      </x:c>
      <x:c r="AI445" s="10" t="n">
        <x:v>23</x:v>
      </x:c>
    </x:row>
    <x:row r="446" ht="34" customHeight="1">
      <x:c r="A446" s="16" t="str">
        <x:v>women's sandals for home</x:v>
      </x:c>
      <x:c r="B446" s="16" t="str">
        <x:v>women's sandals for home</x:v>
      </x:c>
      <x:c r="C446" s="13" t="str">
        <x:v>4ea8e1f00c63539c</x:v>
      </x:c>
      <x:c r="D446" s="13" t="str">
        <x:v>keyword</x:v>
      </x:c>
      <x:c r="E446" s="13" t="str">
        <x:v>en</x:v>
      </x:c>
      <x:c r="F446" s="13" t="str">
        <x:v>clothing_shoes_jewelry</x:v>
      </x:c>
      <x:c r="G446" s="16" t="str"/>
      <x:c r="H446" s="16" t="str">
        <x:v>sandal</x:v>
      </x:c>
      <x:c r="I446" s="16" t="str">
        <x:v>women</x:v>
      </x:c>
      <x:c r="J446" s="16" t="str"/>
      <x:c r="K446" s="16" t="str"/>
      <x:c r="L446" s="16" t="str"/>
      <x:c r="M446" s="16" t="str">
        <x:v>home</x:v>
      </x:c>
      <x:c r="N446" s="16" t="str"/>
      <x:c r="O446" s="16" t="str"/>
      <x:c r="P446" s="16" t="str"/>
      <x:c r="Q446" s="16" t="str"/>
      <x:c r="R446" s="16" t="str">
        <x:v>女性用户寻找适合居家穿着的凉鞋，注重室内舒适与便捷。</x:v>
      </x:c>
      <x:c r="S446" s="13" t="str">
        <x:v>consideration</x:v>
      </x:c>
      <x:c r="T446" s="16" t="str">
        <x:v>explicit | page_validated | inferred</x:v>
      </x:c>
      <x:c r="U446" s="13" t="str">
        <x:v>high</x:v>
      </x:c>
      <x:c r="V446" s="16" t="str">
        <x:v>womens_home_sandals</x:v>
      </x:c>
      <x:c r="W446" s="16" t="str">
        <x:v>cluster_route</x:v>
      </x:c>
      <x:c r="X446" s="16" t="str">
        <x:v>{"product_type":[{"value":"sandal","evidence_type":"explicit","source_span":"sandals","fact_ids":[],"rationale":"搜索词中直接提及sandals"},{"value":"sandal","evidence_type":"page_validated","source_span":"","fact_ids":["title_womens_flip_flop"],"rationale":"产品为女式夹脚凉鞋"}],"audience_intent":[{"value":"women","evidence_type":"explicit","source_span":"women's","fact_ids":[],"rationale":"搜索词明确标注女性"},{"value":"women","evidence_type":"page_validated","source_span":"","fact_ids":["title_womens_flip_flop"],"rationale":"产品标题标注women's"}],"location_intent":[{"value":"home","evidence_type":"explicit","source_span":"home","fact_ids":[],"rationale":"搜索词指定home使用场景"}],"primary_domain":[{"value":"clothing_shoes_jewelry","evidence_type":"inferred","source_span":"","fact_ids":[],"rationale":"该值由搜索词整体语义推断，未作为页面明示属性。"}]}</x:v>
      </x:c>
      <x:c r="Y446" s="16" t="str"/>
      <x:c r="Z446" s="13" t="str">
        <x:v>partial_match</x:v>
      </x:c>
      <x:c r="AA446" s="16" t="str">
        <x:v>title_womens_flip_flop</x:v>
      </x:c>
      <x:c r="AB446" s="13" t="str">
        <x:v>accepted</x:v>
      </x:c>
      <x:c r="AC446" s="13" t="str">
        <x:v>1.0.0</x:v>
      </x:c>
      <x:c r="AD446" s="13" t="str">
        <x:v>1.0.0</x:v>
      </x:c>
      <x:c r="AE446" s="13" t="str">
        <x:v>deepseek/deepseek-v4-pro</x:v>
      </x:c>
      <x:c r="AF446" s="13" t="str">
        <x:v>aj2-y90-20260714T234810-0bea2f52</x:v>
      </x:c>
      <x:c r="AG446" s="13" t="str">
        <x:v>full-0023</x:v>
      </x:c>
      <x:c r="AH446" s="13" t="str">
        <x:v>full</x:v>
      </x:c>
      <x:c r="AI446" s="13" t="n">
        <x:v>23</x:v>
      </x:c>
    </x:row>
    <x:row r="447" ht="34" customHeight="1">
      <x:c r="A447" s="15" t="str">
        <x:v>brown flip flops women size 9</x:v>
      </x:c>
      <x:c r="B447" s="15" t="str">
        <x:v>brown flip flops women size 9</x:v>
      </x:c>
      <x:c r="C447" s="10" t="str">
        <x:v>53cd7e1b16b75642</x:v>
      </x:c>
      <x:c r="D447" s="10" t="str">
        <x:v>keyword</x:v>
      </x:c>
      <x:c r="E447" s="10" t="str">
        <x:v>en</x:v>
      </x:c>
      <x:c r="F447" s="10" t="str">
        <x:v>clothing_shoes_jewelry</x:v>
      </x:c>
      <x:c r="G447" s="15" t="str"/>
      <x:c r="H447" s="15" t="str">
        <x:v>flip_flop</x:v>
      </x:c>
      <x:c r="I447" s="15" t="str">
        <x:v>women</x:v>
      </x:c>
      <x:c r="J447" s="15" t="str"/>
      <x:c r="K447" s="15" t="str"/>
      <x:c r="L447" s="15" t="str"/>
      <x:c r="M447" s="15" t="str"/>
      <x:c r="N447" s="15" t="str"/>
      <x:c r="O447" s="15" t="str"/>
      <x:c r="P447" s="15" t="str"/>
      <x:c r="Q447" s="15" t="str"/>
      <x:c r="R447" s="15" t="str">
        <x:v>女性用户搜索棕色9码夹脚拖鞋，颜色和尺寸要求明确且产品完全匹配。</x:v>
      </x:c>
      <x:c r="S447" s="10" t="str">
        <x:v>high_intent</x:v>
      </x:c>
      <x:c r="T447" s="15" t="str">
        <x:v>explicit | page_validated</x:v>
      </x:c>
      <x:c r="U447" s="10" t="str">
        <x:v>high</x:v>
      </x:c>
      <x:c r="V447" s="15" t="str">
        <x:v>brown_flip_flops_women_sized</x:v>
      </x:c>
      <x:c r="W447" s="15" t="str">
        <x:v>cluster_route</x:v>
      </x:c>
      <x:c r="X447" s="15" t="str">
        <x:v>{"product_type":[{"value":"flip_flop","evidence_type":"explicit","source_span":"flip flops","fact_ids":[],"rationale":"搜索词直接指定flip flops"},{"value":"flip_flop","evidence_type":"page_validated","source_span":"","fact_ids":["style_flip_flop"],"rationale":"产品为夹脚拖鞋"}],"audience_intent":[{"value":"women","evidence_type":"explicit","source_span":"women","fact_ids":[],"rationale":"搜索词指定女性"},{"value":"women","evidence_type":"page_validated","source_span":"","fact_ids":["title_womens_flip_flop"],"rationale":"产品标注women's"}],"primary_domain":[{"value":"clothing_shoes_jewelry","evidence_type":"inferred","source_span":"","fact_ids":[],"rationale":"该值由搜索词整体语义推断，未作为页面明示属性。"}]}</x:v>
      </x:c>
      <x:c r="Y447" s="15" t="str"/>
      <x:c r="Z447" s="10" t="str">
        <x:v>match</x:v>
      </x:c>
      <x:c r="AA447" s="15" t="str">
        <x:v>title_womens_flip_flop | style_flip_flop | colors_visible | sizes_6_11</x:v>
      </x:c>
      <x:c r="AB447" s="10" t="str">
        <x:v>accepted</x:v>
      </x:c>
      <x:c r="AC447" s="10" t="str">
        <x:v>1.0.0</x:v>
      </x:c>
      <x:c r="AD447" s="10" t="str">
        <x:v>1.0.0</x:v>
      </x:c>
      <x:c r="AE447" s="10" t="str">
        <x:v>deepseek/deepseek-v4-pro</x:v>
      </x:c>
      <x:c r="AF447" s="10" t="str">
        <x:v>aj2-y90-20260714T234810-0bea2f52</x:v>
      </x:c>
      <x:c r="AG447" s="10" t="str">
        <x:v>full-0023</x:v>
      </x:c>
      <x:c r="AH447" s="10" t="str">
        <x:v>full</x:v>
      </x:c>
      <x:c r="AI447" s="10" t="n">
        <x:v>23</x:v>
      </x:c>
    </x:row>
    <x:row r="448" ht="34" customHeight="1">
      <x:c r="A448" s="16" t="str">
        <x:v>lemon archies</x:v>
      </x:c>
      <x:c r="B448" s="16" t="str">
        <x:v>lemon archies</x:v>
      </x:c>
      <x:c r="C448" s="13" t="str">
        <x:v>555d77821af99bb9</x:v>
      </x:c>
      <x:c r="D448" s="13" t="str">
        <x:v>keyword</x:v>
      </x:c>
      <x:c r="E448" s="13" t="str">
        <x:v>en</x:v>
      </x:c>
      <x:c r="F448" s="13" t="str">
        <x:v>clothing_shoes_jewelry</x:v>
      </x:c>
      <x:c r="G448" s="16" t="str"/>
      <x:c r="H448" s="16" t="str">
        <x:v>flip_flop</x:v>
      </x:c>
      <x:c r="I448" s="16" t="str"/>
      <x:c r="J448" s="16" t="str"/>
      <x:c r="K448" s="16" t="str"/>
      <x:c r="L448" s="16" t="str"/>
      <x:c r="M448" s="16" t="str"/>
      <x:c r="N448" s="16" t="str">
        <x:v>arch_support</x:v>
      </x:c>
      <x:c r="O448" s="16" t="str"/>
      <x:c r="P448" s="16" t="str">
        <x:v>competing_brand</x:v>
      </x:c>
      <x:c r="Q448" s="16" t="str"/>
      <x:c r="R448" s="16" t="str">
        <x:v>用户搜索Archies品牌的柠檬黄色夹脚拖鞋，明确指向竞品品牌产品。</x:v>
      </x:c>
      <x:c r="S448" s="13" t="str">
        <x:v>brand_harvest</x:v>
      </x:c>
      <x:c r="T448" s="16" t="str">
        <x:v>explicit | inferred</x:v>
      </x:c>
      <x:c r="U448" s="13" t="str">
        <x:v>medium</x:v>
      </x:c>
      <x:c r="V448" s="16" t="str">
        <x:v>lemon_archies_brand</x:v>
      </x:c>
      <x:c r="W448" s="16" t="str">
        <x:v>semantic_negative_candidate</x:v>
      </x:c>
      <x:c r="X448" s="16" t="str">
        <x:v>{"product_type":[{"value":"flip_flop","evidence_type":"inferred","source_span":"","fact_ids":[],"rationale":"Archies品牌以夹脚拖鞋著称"},{"value":"flip_flop","evidence_type":"page_validated","source_span":"","fact_ids":["style_flip_flop"],"rationale":"该槽位与商品基准中的明示页面事实一致。"}],"substitute_intent":[{"value":"competing_brand","evidence_type":"explicit","source_span":"archies","fact_ids":[],"rationale":"Archies为知名夹脚拖品牌，非joomra"}],"capability_intent":[{"value":"arch_support","evidence_type":"page_validated","source_span":"","fact_ids":["arch_support"],"rationale":"该槽位与商品基准中的明示页面事实一致。"},{"value":"arch_suppor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448" s="16" t="str">
        <x:v>brand_or_descriptor_ambiguity</x:v>
      </x:c>
      <x:c r="Z448" s="13" t="str">
        <x:v>mismatch</x:v>
      </x:c>
      <x:c r="AA448" s="16" t="str"/>
      <x:c r="AB448" s="13" t="str">
        <x:v>accepted</x:v>
      </x:c>
      <x:c r="AC448" s="13" t="str">
        <x:v>1.0.0</x:v>
      </x:c>
      <x:c r="AD448" s="13" t="str">
        <x:v>1.0.0</x:v>
      </x:c>
      <x:c r="AE448" s="13" t="str">
        <x:v>deepseek/deepseek-v4-pro</x:v>
      </x:c>
      <x:c r="AF448" s="13" t="str">
        <x:v>aj2-y90-20260714T234810-0bea2f52</x:v>
      </x:c>
      <x:c r="AG448" s="13" t="str">
        <x:v>full-0023</x:v>
      </x:c>
      <x:c r="AH448" s="13" t="str">
        <x:v>full</x:v>
      </x:c>
      <x:c r="AI448" s="13" t="n">
        <x:v>23</x:v>
      </x:c>
    </x:row>
    <x:row r="449" ht="34" customHeight="1">
      <x:c r="A449" s="15" t="str">
        <x:v>sandals for women 2026</x:v>
      </x:c>
      <x:c r="B449" s="15" t="str">
        <x:v>sandals for women 2026</x:v>
      </x:c>
      <x:c r="C449" s="10" t="str">
        <x:v>59a9bbd90b86e8d0</x:v>
      </x:c>
      <x:c r="D449" s="10" t="str">
        <x:v>keyword</x:v>
      </x:c>
      <x:c r="E449" s="10" t="str">
        <x:v>en</x:v>
      </x:c>
      <x:c r="F449" s="10" t="str">
        <x:v>clothing_shoes_jewelry</x:v>
      </x:c>
      <x:c r="G449" s="15" t="str"/>
      <x:c r="H449" s="15" t="str">
        <x:v>sandal</x:v>
      </x:c>
      <x:c r="I449" s="15" t="str">
        <x:v>women</x:v>
      </x:c>
      <x:c r="J449" s="15" t="str"/>
      <x:c r="K449" s="15" t="str"/>
      <x:c r="L449" s="15" t="str"/>
      <x:c r="M449" s="15" t="str"/>
      <x:c r="N449" s="15" t="str"/>
      <x:c r="O449" s="15" t="str">
        <x:v>current_season</x:v>
      </x:c>
      <x:c r="P449" s="15" t="str"/>
      <x:c r="Q449" s="15" t="str"/>
      <x:c r="R449" s="15" t="str">
        <x:v>女性用户搜索2026年应季凉鞋，关注当季新款产品。</x:v>
      </x:c>
      <x:c r="S449" s="10" t="str">
        <x:v>exploration</x:v>
      </x:c>
      <x:c r="T449" s="15" t="str">
        <x:v>explicit | page_validated</x:v>
      </x:c>
      <x:c r="U449" s="10" t="str">
        <x:v>high</x:v>
      </x:c>
      <x:c r="V449" s="15" t="str">
        <x:v>womens_sandals_current</x:v>
      </x:c>
      <x:c r="W449" s="15" t="str">
        <x:v>cluster_route</x:v>
      </x:c>
      <x:c r="X449" s="15" t="str">
        <x:v>{"product_type":[{"value":"sandal","evidence_type":"explicit","source_span":"sandals","fact_ids":[],"rationale":"搜索词直接指定sandals"},{"value":"sandal","evidence_type":"page_validated","source_span":"","fact_ids":["title_womens_flip_flop"],"rationale":"产品为凉鞋品类"}],"audience_intent":[{"value":"women","evidence_type":"explicit","source_span":"women","fact_ids":[],"rationale":"搜索词指定女性"},{"value":"women","evidence_type":"page_validated","source_span":"","fact_ids":["title_womens_flip_flop"],"rationale":"产品标注women's"}],"time_intent":[{"value":"current_season","evidence_type":"explicit","source_span":"2026","fact_ids":[],"rationale":"搜索词标注当年年份"}],"primary_domain":[{"value":"clothing_shoes_jewelry","evidence_type":"inferred","source_span":"","fact_ids":[],"rationale":"该值由搜索词整体语义推断，未作为页面明示属性。"}]}</x:v>
      </x:c>
      <x:c r="Y449" s="15" t="str"/>
      <x:c r="Z449" s="10" t="str">
        <x:v>match</x:v>
      </x:c>
      <x:c r="AA449" s="15" t="str">
        <x:v>title_womens_flip_flop</x:v>
      </x:c>
      <x:c r="AB449" s="10" t="str">
        <x:v>accepted</x:v>
      </x:c>
      <x:c r="AC449" s="10" t="str">
        <x:v>1.0.0</x:v>
      </x:c>
      <x:c r="AD449" s="10" t="str">
        <x:v>1.0.0</x:v>
      </x:c>
      <x:c r="AE449" s="10" t="str">
        <x:v>deepseek/deepseek-v4-pro</x:v>
      </x:c>
      <x:c r="AF449" s="10" t="str">
        <x:v>aj2-y90-20260714T234810-0bea2f52</x:v>
      </x:c>
      <x:c r="AG449" s="10" t="str">
        <x:v>full-0023</x:v>
      </x:c>
      <x:c r="AH449" s="10" t="str">
        <x:v>full</x:v>
      </x:c>
      <x:c r="AI449" s="10" t="n">
        <x:v>23</x:v>
      </x:c>
    </x:row>
    <x:row r="450" ht="34" customHeight="1">
      <x:c r="A450" s="16" t="str">
        <x:v>size 10 flip flops women</x:v>
      </x:c>
      <x:c r="B450" s="16" t="str">
        <x:v>size 10 flip flops women</x:v>
      </x:c>
      <x:c r="C450" s="13" t="str">
        <x:v>5db4e2a42e757975</x:v>
      </x:c>
      <x:c r="D450" s="13" t="str">
        <x:v>keyword</x:v>
      </x:c>
      <x:c r="E450" s="13" t="str">
        <x:v>en</x:v>
      </x:c>
      <x:c r="F450" s="13" t="str">
        <x:v>clothing_shoes_jewelry</x:v>
      </x:c>
      <x:c r="G450" s="16" t="str"/>
      <x:c r="H450" s="16" t="str">
        <x:v>flip_flop</x:v>
      </x:c>
      <x:c r="I450" s="16" t="str">
        <x:v>women</x:v>
      </x:c>
      <x:c r="J450" s="16" t="str"/>
      <x:c r="K450" s="16" t="str"/>
      <x:c r="L450" s="16" t="str"/>
      <x:c r="M450" s="16" t="str"/>
      <x:c r="N450" s="16" t="str"/>
      <x:c r="O450" s="16" t="str"/>
      <x:c r="P450" s="16" t="str"/>
      <x:c r="Q450" s="16" t="str"/>
      <x:c r="R450" s="16" t="str">
        <x:v>女性用户搜索10码夹脚拖鞋，尺寸要求明确且产品提供该尺码。</x:v>
      </x:c>
      <x:c r="S450" s="13" t="str">
        <x:v>high_intent</x:v>
      </x:c>
      <x:c r="T450" s="16" t="str">
        <x:v>explicit | page_validated</x:v>
      </x:c>
      <x:c r="U450" s="13" t="str">
        <x:v>high</x:v>
      </x:c>
      <x:c r="V450" s="16" t="str">
        <x:v>womens_flip_flops_sized</x:v>
      </x:c>
      <x:c r="W450" s="16" t="str">
        <x:v>cluster_route</x:v>
      </x:c>
      <x:c r="X450" s="16" t="str">
        <x:v>{"product_type":[{"value":"flip_flop","evidence_type":"explicit","source_span":"flip flops","fact_ids":[],"rationale":"搜索词直接指定flip flops"},{"value":"flip_flop","evidence_type":"page_validated","source_span":"","fact_ids":["style_flip_flop"],"rationale":"产品为夹脚拖鞋"}],"audience_intent":[{"value":"women","evidence_type":"explicit","source_span":"women","fact_ids":[],"rationale":"搜索词指定女性"},{"value":"women","evidence_type":"page_validated","source_span":"","fact_ids":["title_womens_flip_flop"],"rationale":"产品标注women's"}],"primary_domain":[{"value":"clothing_shoes_jewelry","evidence_type":"inferred","source_span":"","fact_ids":[],"rationale":"该值由搜索词整体语义推断，未作为页面明示属性。"}]}</x:v>
      </x:c>
      <x:c r="Y450" s="16" t="str"/>
      <x:c r="Z450" s="13" t="str">
        <x:v>match</x:v>
      </x:c>
      <x:c r="AA450" s="16" t="str">
        <x:v>title_womens_flip_flop | sizes_6_11</x:v>
      </x:c>
      <x:c r="AB450" s="13" t="str">
        <x:v>accepted</x:v>
      </x:c>
      <x:c r="AC450" s="13" t="str">
        <x:v>1.0.0</x:v>
      </x:c>
      <x:c r="AD450" s="13" t="str">
        <x:v>1.0.0</x:v>
      </x:c>
      <x:c r="AE450" s="13" t="str">
        <x:v>deepseek/deepseek-v4-pro</x:v>
      </x:c>
      <x:c r="AF450" s="13" t="str">
        <x:v>aj2-y90-20260714T234810-0bea2f52</x:v>
      </x:c>
      <x:c r="AG450" s="13" t="str">
        <x:v>full-0023</x:v>
      </x:c>
      <x:c r="AH450" s="13" t="str">
        <x:v>full</x:v>
      </x:c>
      <x:c r="AI450" s="13" t="n">
        <x:v>23</x:v>
      </x:c>
    </x:row>
    <x:row r="451" ht="34" customHeight="1">
      <x:c r="A451" s="15" t="str">
        <x:v>brown flip flop</x:v>
      </x:c>
      <x:c r="B451" s="15" t="str">
        <x:v>brown flip flop</x:v>
      </x:c>
      <x:c r="C451" s="10" t="str">
        <x:v>6418bac0a4fdf591</x:v>
      </x:c>
      <x:c r="D451" s="10" t="str">
        <x:v>keyword</x:v>
      </x:c>
      <x:c r="E451" s="10" t="str">
        <x:v>en</x:v>
      </x:c>
      <x:c r="F451" s="10" t="str">
        <x:v>clothing_shoes_jewelry</x:v>
      </x:c>
      <x:c r="G451" s="15" t="str"/>
      <x:c r="H451" s="15" t="str">
        <x:v>flip_flop</x:v>
      </x:c>
      <x:c r="I451" s="15" t="str"/>
      <x:c r="J451" s="15" t="str"/>
      <x:c r="K451" s="15" t="str"/>
      <x:c r="L451" s="15" t="str"/>
      <x:c r="M451" s="15" t="str"/>
      <x:c r="N451" s="15" t="str"/>
      <x:c r="O451" s="15" t="str"/>
      <x:c r="P451" s="15" t="str"/>
      <x:c r="Q451" s="15" t="str"/>
      <x:c r="R451" s="15" t="str">
        <x:v>用户搜索棕色夹脚拖鞋，对颜色有明确偏好。</x:v>
      </x:c>
      <x:c r="S451" s="10" t="str">
        <x:v>consideration</x:v>
      </x:c>
      <x:c r="T451" s="15" t="str">
        <x:v>explicit | page_validated</x:v>
      </x:c>
      <x:c r="U451" s="10" t="str">
        <x:v>high</x:v>
      </x:c>
      <x:c r="V451" s="15" t="str">
        <x:v>brown_flip_flops</x:v>
      </x:c>
      <x:c r="W451" s="15" t="str">
        <x:v>cluster_route</x:v>
      </x:c>
      <x:c r="X451" s="15" t="str">
        <x:v>{"product_type":[{"value":"flip_flop","evidence_type":"explicit","source_span":"flip flop","fact_ids":[],"rationale":"搜索词直接指定flip flop"},{"value":"flip_flop","evidence_type":"page_validated","source_span":"","fact_ids":["style_flip_flop"],"rationale":"产品为夹脚拖鞋"}],"primary_domain":[{"value":"clothing_shoes_jewelry","evidence_type":"inferred","source_span":"","fact_ids":[],"rationale":"该值由搜索词整体语义推断，未作为页面明示属性。"}]}</x:v>
      </x:c>
      <x:c r="Y451" s="15" t="str"/>
      <x:c r="Z451" s="10" t="str">
        <x:v>match</x:v>
      </x:c>
      <x:c r="AA451" s="15" t="str">
        <x:v>style_flip_flop | colors_visible</x:v>
      </x:c>
      <x:c r="AB451" s="10" t="str">
        <x:v>accepted</x:v>
      </x:c>
      <x:c r="AC451" s="10" t="str">
        <x:v>1.0.0</x:v>
      </x:c>
      <x:c r="AD451" s="10" t="str">
        <x:v>1.0.0</x:v>
      </x:c>
      <x:c r="AE451" s="10" t="str">
        <x:v>deepseek/deepseek-v4-pro</x:v>
      </x:c>
      <x:c r="AF451" s="10" t="str">
        <x:v>aj2-y90-20260714T234810-0bea2f52</x:v>
      </x:c>
      <x:c r="AG451" s="10" t="str">
        <x:v>full-0023</x:v>
      </x:c>
      <x:c r="AH451" s="10" t="str">
        <x:v>full</x:v>
      </x:c>
      <x:c r="AI451" s="10" t="n">
        <x:v>23</x:v>
      </x:c>
    </x:row>
    <x:row r="452" ht="34" customHeight="1">
      <x:c r="A452" s="16" t="str">
        <x:v>amazon flip flops for women</x:v>
      </x:c>
      <x:c r="B452" s="16" t="str">
        <x:v>amazon flip flops for women</x:v>
      </x:c>
      <x:c r="C452" s="13" t="str">
        <x:v>7089ceb4d1dec2fb</x:v>
      </x:c>
      <x:c r="D452" s="13" t="str">
        <x:v>keyword</x:v>
      </x:c>
      <x:c r="E452" s="13" t="str">
        <x:v>en</x:v>
      </x:c>
      <x:c r="F452" s="13" t="str">
        <x:v>clothing_shoes_jewelry</x:v>
      </x:c>
      <x:c r="G452" s="16" t="str"/>
      <x:c r="H452" s="16" t="str">
        <x:v>flip_flop</x:v>
      </x:c>
      <x:c r="I452" s="16" t="str">
        <x:v>women</x:v>
      </x:c>
      <x:c r="J452" s="16" t="str"/>
      <x:c r="K452" s="16" t="str"/>
      <x:c r="L452" s="16" t="str"/>
      <x:c r="M452" s="16" t="str"/>
      <x:c r="N452" s="16" t="str"/>
      <x:c r="O452" s="16" t="str"/>
      <x:c r="P452" s="16" t="str"/>
      <x:c r="Q452" s="16" t="str"/>
      <x:c r="R452" s="16" t="str">
        <x:v>女性用户在亚马逊平台浏览夹脚拖鞋，属于泛搜索行为。</x:v>
      </x:c>
      <x:c r="S452" s="13" t="str">
        <x:v>exploration</x:v>
      </x:c>
      <x:c r="T452" s="16" t="str">
        <x:v>explicit | page_validated</x:v>
      </x:c>
      <x:c r="U452" s="13" t="str">
        <x:v>high</x:v>
      </x:c>
      <x:c r="V452" s="16" t="str">
        <x:v>amazon_womens_flip_flops</x:v>
      </x:c>
      <x:c r="W452" s="16" t="str">
        <x:v>cluster_route</x:v>
      </x:c>
      <x:c r="X452" s="16" t="str">
        <x:v>{"product_type":[{"value":"flip_flop","evidence_type":"explicit","source_span":"flip flops","fact_ids":[],"rationale":"搜索词直接指定flip flops"},{"value":"flip_flop","evidence_type":"page_validated","source_span":"","fact_ids":["style_flip_flop"],"rationale":"产品为夹脚拖鞋"}],"audience_intent":[{"value":"women","evidence_type":"explicit","source_span":"women","fact_ids":[],"rationale":"搜索词指定女性"},{"value":"women","evidence_type":"page_validated","source_span":"","fact_ids":["title_womens_flip_flop"],"rationale":"产品标注women's"}],"primary_domain":[{"value":"clothing_shoes_jewelry","evidence_type":"inferred","source_span":"","fact_ids":[],"rationale":"该值由搜索词整体语义推断，未作为页面明示属性。"}]}</x:v>
      </x:c>
      <x:c r="Y452" s="16" t="str"/>
      <x:c r="Z452" s="13" t="str">
        <x:v>match</x:v>
      </x:c>
      <x:c r="AA452" s="16" t="str">
        <x:v>title_womens_flip_flop | style_flip_flop</x:v>
      </x:c>
      <x:c r="AB452" s="13" t="str">
        <x:v>accepted</x:v>
      </x:c>
      <x:c r="AC452" s="13" t="str">
        <x:v>1.0.0</x:v>
      </x:c>
      <x:c r="AD452" s="13" t="str">
        <x:v>1.0.0</x:v>
      </x:c>
      <x:c r="AE452" s="13" t="str">
        <x:v>deepseek/deepseek-v4-pro</x:v>
      </x:c>
      <x:c r="AF452" s="13" t="str">
        <x:v>aj2-y90-20260714T234810-0bea2f52</x:v>
      </x:c>
      <x:c r="AG452" s="13" t="str">
        <x:v>full-0023</x:v>
      </x:c>
      <x:c r="AH452" s="13" t="str">
        <x:v>full</x:v>
      </x:c>
      <x:c r="AI452" s="13" t="n">
        <x:v>23</x:v>
      </x:c>
    </x:row>
    <x:row r="453" ht="34" customHeight="1">
      <x:c r="A453" s="15" t="str">
        <x:v>women flip flops blue</x:v>
      </x:c>
      <x:c r="B453" s="15" t="str">
        <x:v>women flip flops blue</x:v>
      </x:c>
      <x:c r="C453" s="10" t="str">
        <x:v>7b7e610a77386465</x:v>
      </x:c>
      <x:c r="D453" s="10" t="str">
        <x:v>keyword</x:v>
      </x:c>
      <x:c r="E453" s="10" t="str">
        <x:v>en</x:v>
      </x:c>
      <x:c r="F453" s="10" t="str">
        <x:v>clothing_shoes_jewelry</x:v>
      </x:c>
      <x:c r="G453" s="15" t="str"/>
      <x:c r="H453" s="15" t="str">
        <x:v>flip_flop</x:v>
      </x:c>
      <x:c r="I453" s="15" t="str">
        <x:v>women</x:v>
      </x:c>
      <x:c r="J453" s="15" t="str"/>
      <x:c r="K453" s="15" t="str"/>
      <x:c r="L453" s="15" t="str"/>
      <x:c r="M453" s="15" t="str"/>
      <x:c r="N453" s="15" t="str"/>
      <x:c r="O453" s="15" t="str"/>
      <x:c r="P453" s="15" t="str"/>
      <x:c r="Q453" s="15" t="str"/>
      <x:c r="R453" s="15" t="str">
        <x:v>女性用户搜索蓝色夹脚拖鞋，对颜色有明确的偏好。</x:v>
      </x:c>
      <x:c r="S453" s="10" t="str">
        <x:v>consideration</x:v>
      </x:c>
      <x:c r="T453" s="15" t="str">
        <x:v>explicit | page_validated</x:v>
      </x:c>
      <x:c r="U453" s="10" t="str">
        <x:v>high</x:v>
      </x:c>
      <x:c r="V453" s="15" t="str">
        <x:v>womens_blue_flip_flops</x:v>
      </x:c>
      <x:c r="W453" s="15" t="str">
        <x:v>cluster_route</x:v>
      </x:c>
      <x:c r="X453" s="15" t="str">
        <x:v>{"product_type":[{"value":"flip_flop","evidence_type":"explicit","source_span":"flip flops","fact_ids":[],"rationale":"搜索词直接指定flip flops"},{"value":"flip_flop","evidence_type":"page_validated","source_span":"","fact_ids":["style_flip_flop"],"rationale":"产品为夹脚拖鞋"}],"audience_intent":[{"value":"women","evidence_type":"explicit","source_span":"women","fact_ids":[],"rationale":"搜索词指定女性"},{"value":"women","evidence_type":"page_validated","source_span":"","fact_ids":["title_womens_flip_flop"],"rationale":"产品标注women's"}],"primary_domain":[{"value":"clothing_shoes_jewelry","evidence_type":"inferred","source_span":"","fact_ids":[],"rationale":"该值由搜索词整体语义推断，未作为页面明示属性。"}]}</x:v>
      </x:c>
      <x:c r="Y453" s="15" t="str"/>
      <x:c r="Z453" s="10" t="str">
        <x:v>match</x:v>
      </x:c>
      <x:c r="AA453" s="15" t="str">
        <x:v>title_womens_flip_flop | colors_visible</x:v>
      </x:c>
      <x:c r="AB453" s="10" t="str">
        <x:v>accepted</x:v>
      </x:c>
      <x:c r="AC453" s="10" t="str">
        <x:v>1.0.0</x:v>
      </x:c>
      <x:c r="AD453" s="10" t="str">
        <x:v>1.0.0</x:v>
      </x:c>
      <x:c r="AE453" s="10" t="str">
        <x:v>deepseek/deepseek-v4-pro</x:v>
      </x:c>
      <x:c r="AF453" s="10" t="str">
        <x:v>aj2-y90-20260714T234810-0bea2f52</x:v>
      </x:c>
      <x:c r="AG453" s="10" t="str">
        <x:v>full-0023</x:v>
      </x:c>
      <x:c r="AH453" s="10" t="str">
        <x:v>full</x:v>
      </x:c>
      <x:c r="AI453" s="10" t="n">
        <x:v>23</x:v>
      </x:c>
    </x:row>
    <x:row r="454" ht="34" customHeight="1">
      <x:c r="A454" s="16" t="str">
        <x:v>flip flops for short toes</x:v>
      </x:c>
      <x:c r="B454" s="16" t="str">
        <x:v>flip flops for short toes</x:v>
      </x:c>
      <x:c r="C454" s="13" t="str">
        <x:v>87ad04968aeaed7d</x:v>
      </x:c>
      <x:c r="D454" s="13" t="str">
        <x:v>keyword</x:v>
      </x:c>
      <x:c r="E454" s="13" t="str">
        <x:v>en</x:v>
      </x:c>
      <x:c r="F454" s="13" t="str">
        <x:v>clothing_shoes_jewelry</x:v>
      </x:c>
      <x:c r="G454" s="16" t="str"/>
      <x:c r="H454" s="16" t="str">
        <x:v>flip_flop</x:v>
      </x:c>
      <x:c r="I454" s="16" t="str"/>
      <x:c r="J454" s="16" t="str"/>
      <x:c r="K454" s="16" t="str"/>
      <x:c r="L454" s="16" t="str"/>
      <x:c r="M454" s="16" t="str"/>
      <x:c r="N454" s="16" t="str">
        <x:v>short_toes</x:v>
      </x:c>
      <x:c r="O454" s="16" t="str"/>
      <x:c r="P454" s="16" t="str"/>
      <x:c r="Q454" s="16" t="str"/>
      <x:c r="R454" s="16" t="str">
        <x:v>用户寻找适合短脚趾穿着的夹脚拖鞋，产品未针对短脚趾特殊设计。</x:v>
      </x:c>
      <x:c r="S454" s="13" t="str">
        <x:v>consideration</x:v>
      </x:c>
      <x:c r="T454" s="16" t="str">
        <x:v>explicit | page_validated | inferred</x:v>
      </x:c>
      <x:c r="U454" s="13" t="str">
        <x:v>medium</x:v>
      </x:c>
      <x:c r="V454" s="16" t="str">
        <x:v>flip_flops_short_toes</x:v>
      </x:c>
      <x:c r="W454" s="16" t="str">
        <x:v>listing_gap_review</x:v>
      </x:c>
      <x:c r="X454" s="16" t="str">
        <x:v>{"product_type":[{"value":"flip_flop","evidence_type":"explicit","source_span":"flip flops","fact_ids":[],"rationale":"搜索词直接指定flip flops"},{"value":"flip_flop","evidence_type":"page_validated","source_span":"","fact_ids":["style_flip_flop"],"rationale":"产品为夹脚拖鞋"}],"body_need_intent":[{"value":"short_toes","evidence_type":"explicit","source_span":"short toes","fact_ids":[],"rationale":"搜索词明确短脚趾需求"}],"primary_domain":[{"value":"clothing_shoes_jewelry","evidence_type":"inferred","source_span":"","fact_ids":[],"rationale":"该值由搜索词整体语义推断，未作为页面明示属性。"}]}</x:v>
      </x:c>
      <x:c r="Y454" s="16" t="str"/>
      <x:c r="Z454" s="13" t="str">
        <x:v>partial_match</x:v>
      </x:c>
      <x:c r="AA454" s="16" t="str">
        <x:v>style_flip_flop | soft_toe_post</x:v>
      </x:c>
      <x:c r="AB454" s="13" t="str">
        <x:v>accepted</x:v>
      </x:c>
      <x:c r="AC454" s="13" t="str">
        <x:v>1.0.0</x:v>
      </x:c>
      <x:c r="AD454" s="13" t="str">
        <x:v>1.0.0</x:v>
      </x:c>
      <x:c r="AE454" s="13" t="str">
        <x:v>deepseek/deepseek-v4-pro</x:v>
      </x:c>
      <x:c r="AF454" s="13" t="str">
        <x:v>aj2-y90-20260714T234810-0bea2f52</x:v>
      </x:c>
      <x:c r="AG454" s="13" t="str">
        <x:v>full-0023</x:v>
      </x:c>
      <x:c r="AH454" s="13" t="str">
        <x:v>full</x:v>
      </x:c>
      <x:c r="AI454" s="13" t="n">
        <x:v>23</x:v>
      </x:c>
    </x:row>
    <x:row r="455" ht="34" customHeight="1">
      <x:c r="A455" s="15" t="str">
        <x:v>comfortable beige flip flops women</x:v>
      </x:c>
      <x:c r="B455" s="15" t="str">
        <x:v>comfortable beige flip flops women</x:v>
      </x:c>
      <x:c r="C455" s="10" t="str">
        <x:v>b5a61e95f94727c0</x:v>
      </x:c>
      <x:c r="D455" s="10" t="str">
        <x:v>keyword</x:v>
      </x:c>
      <x:c r="E455" s="10" t="str">
        <x:v>en</x:v>
      </x:c>
      <x:c r="F455" s="10" t="str">
        <x:v>clothing_shoes_jewelry</x:v>
      </x:c>
      <x:c r="G455" s="15" t="str"/>
      <x:c r="H455" s="15" t="str">
        <x:v>flip_flop</x:v>
      </x:c>
      <x:c r="I455" s="15" t="str">
        <x:v>women</x:v>
      </x:c>
      <x:c r="J455" s="15" t="str"/>
      <x:c r="K455" s="15" t="str">
        <x:v>comfort</x:v>
      </x:c>
      <x:c r="L455" s="15" t="str"/>
      <x:c r="M455" s="15" t="str"/>
      <x:c r="N455" s="15" t="str"/>
      <x:c r="O455" s="15" t="str"/>
      <x:c r="P455" s="15" t="str"/>
      <x:c r="Q455" s="15" t="str"/>
      <x:c r="R455" s="15" t="str">
        <x:v>女性用户寻找米色舒适夹脚拖鞋，米色不在产品色板中但核心功能匹配。</x:v>
      </x:c>
      <x:c r="S455" s="10" t="str">
        <x:v>consideration</x:v>
      </x:c>
      <x:c r="T455" s="15" t="str">
        <x:v>explicit | page_validated | inferred</x:v>
      </x:c>
      <x:c r="U455" s="10" t="str">
        <x:v>high</x:v>
      </x:c>
      <x:c r="V455" s="15" t="str">
        <x:v>comfortable_beige_flip_flops_women</x:v>
      </x:c>
      <x:c r="W455" s="15" t="str">
        <x:v>listing_gap_review</x:v>
      </x:c>
      <x:c r="X455" s="15" t="str">
        <x:v>{"product_type":[{"value":"flip_flop","evidence_type":"explicit","source_span":"flip flops","fact_ids":[],"rationale":"搜索词直接指定flip flops"},{"value":"flip_flop","evidence_type":"page_validated","source_span":"","fact_ids":["style_flip_flop"],"rationale":"产品为夹脚拖鞋"}],"audience_intent":[{"value":"women","evidence_type":"explicit","source_span":"women","fact_ids":[],"rationale":"搜索词指定女性"},{"value":"women","evidence_type":"page_validated","source_span":"","fact_ids":["title_womens_flip_flop"],"rationale":"产品标注women's"}],"capability_intent":[{"value":"comfort","evidence_type":"explicit","source_span":"comfortable","fact_ids":[],"rationale":"用户明确要求舒适"},{"value":"comfort","evidence_type":"page_validated","source_span":"","fact_ids":["arch_support","padded_cushioning"],"rationale":"产品具备足弓支撑和缓冲垫"}],"primary_domain":[{"value":"clothing_shoes_jewelry","evidence_type":"inferred","source_span":"","fact_ids":[],"rationale":"该值由搜索词整体语义推断，未作为页面明示属性。"}]}</x:v>
      </x:c>
      <x:c r="Y455" s="15" t="str"/>
      <x:c r="Z455" s="10" t="str">
        <x:v>partial_match</x:v>
      </x:c>
      <x:c r="AA455" s="15" t="str">
        <x:v>title_womens_flip_flop | arch_support | padded_cushioning | colors_visible</x:v>
      </x:c>
      <x:c r="AB455" s="10" t="str">
        <x:v>accepted</x:v>
      </x:c>
      <x:c r="AC455" s="10" t="str">
        <x:v>1.0.0</x:v>
      </x:c>
      <x:c r="AD455" s="10" t="str">
        <x:v>1.0.0</x:v>
      </x:c>
      <x:c r="AE455" s="10" t="str">
        <x:v>deepseek/deepseek-v4-pro</x:v>
      </x:c>
      <x:c r="AF455" s="10" t="str">
        <x:v>aj2-y90-20260714T234810-0bea2f52</x:v>
      </x:c>
      <x:c r="AG455" s="10" t="str">
        <x:v>full-0023</x:v>
      </x:c>
      <x:c r="AH455" s="10" t="str">
        <x:v>full</x:v>
      </x:c>
      <x:c r="AI455" s="10" t="n">
        <x:v>23</x:v>
      </x:c>
    </x:row>
    <x:row r="456" ht="34" customHeight="1">
      <x:c r="A456" s="16" t="str">
        <x:v>summer flats for women</x:v>
      </x:c>
      <x:c r="B456" s="16" t="str">
        <x:v>summer flats for women</x:v>
      </x:c>
      <x:c r="C456" s="13" t="str">
        <x:v>b89dae186f7c7662</x:v>
      </x:c>
      <x:c r="D456" s="13" t="str">
        <x:v>keyword</x:v>
      </x:c>
      <x:c r="E456" s="13" t="str">
        <x:v>en</x:v>
      </x:c>
      <x:c r="F456" s="13" t="str">
        <x:v>clothing_shoes_jewelry</x:v>
      </x:c>
      <x:c r="G456" s="16" t="str"/>
      <x:c r="H456" s="16" t="str">
        <x:v>flat | sandal</x:v>
      </x:c>
      <x:c r="I456" s="16" t="str">
        <x:v>women</x:v>
      </x:c>
      <x:c r="J456" s="16" t="str"/>
      <x:c r="K456" s="16" t="str"/>
      <x:c r="L456" s="16" t="str"/>
      <x:c r="M456" s="16" t="str"/>
      <x:c r="N456" s="16" t="str"/>
      <x:c r="O456" s="16" t="str">
        <x:v>summer</x:v>
      </x:c>
      <x:c r="P456" s="16" t="str"/>
      <x:c r="Q456" s="16" t="str"/>
      <x:c r="R456" s="16" t="str">
        <x:v>女性用户在夏季寻找平底凉鞋，要求轻便凉爽适合高温天气。</x:v>
      </x:c>
      <x:c r="S456" s="13" t="str">
        <x:v>exploration</x:v>
      </x:c>
      <x:c r="T456" s="16" t="str">
        <x:v>explicit | page_validated</x:v>
      </x:c>
      <x:c r="U456" s="13" t="str">
        <x:v>high</x:v>
      </x:c>
      <x:c r="V456" s="16" t="str">
        <x:v>womens_summer_flats</x:v>
      </x:c>
      <x:c r="W456" s="16" t="str">
        <x:v>cluster_route</x:v>
      </x:c>
      <x:c r="X456" s="16" t="str">
        <x:v>{"product_type":[{"value":"flat","evidence_type":"explicit","source_span":"flats","fact_ids":[],"rationale":"用户明确搜索flats"},{"value":"flat","evidence_type":"page_validated","source_span":"","fact_ids":["style_flat"],"rationale":"产品跟型为平底"},{"value":"sandal","evidence_type":"page_validated","source_span":"","fact_ids":["title_womens_flip_flop"],"rationale":"产品为凉鞋品类"}],"audience_intent":[{"value":"women","evidence_type":"explicit","source_span":"women","fact_ids":[],"rationale":"搜索词指定女性用户"},{"value":"women","evidence_type":"page_validated","source_span":"","fact_ids":["title_womens_flip_flop"],"rationale":"产品标注women's"}],"time_intent":[{"value":"summer","evidence_type":"explicit","source_span":"summer","fact_ids":[],"rationale":"搜索词指定夏季"}],"primary_domain":[{"value":"clothing_shoes_jewelry","evidence_type":"inferred","source_span":"","fact_ids":[],"rationale":"该值由搜索词整体语义推断，未作为页面明示属性。"}]}</x:v>
      </x:c>
      <x:c r="Y456" s="16" t="str"/>
      <x:c r="Z456" s="13" t="str">
        <x:v>match</x:v>
      </x:c>
      <x:c r="AA456" s="16" t="str">
        <x:v>title_womens_flip_flop | style_flat</x:v>
      </x:c>
      <x:c r="AB456" s="13" t="str">
        <x:v>accepted</x:v>
      </x:c>
      <x:c r="AC456" s="13" t="str">
        <x:v>1.0.0</x:v>
      </x:c>
      <x:c r="AD456" s="13" t="str">
        <x:v>1.0.0</x:v>
      </x:c>
      <x:c r="AE456" s="13" t="str">
        <x:v>deepseek/deepseek-v4-pro</x:v>
      </x:c>
      <x:c r="AF456" s="13" t="str">
        <x:v>aj2-y90-20260714T234810-0bea2f52</x:v>
      </x:c>
      <x:c r="AG456" s="13" t="str">
        <x:v>full-0023</x:v>
      </x:c>
      <x:c r="AH456" s="13" t="str">
        <x:v>full</x:v>
      </x:c>
      <x:c r="AI456" s="13" t="n">
        <x:v>23</x:v>
      </x:c>
    </x:row>
    <x:row r="457" ht="34" customHeight="1">
      <x:c r="A457" s="15" t="str">
        <x:v>flip flops for women arch</x:v>
      </x:c>
      <x:c r="B457" s="15" t="str">
        <x:v>flip flops for women arch</x:v>
      </x:c>
      <x:c r="C457" s="10" t="str">
        <x:v>c6163ae8f90760b7</x:v>
      </x:c>
      <x:c r="D457" s="10" t="str">
        <x:v>keyword</x:v>
      </x:c>
      <x:c r="E457" s="10" t="str">
        <x:v>en</x:v>
      </x:c>
      <x:c r="F457" s="10" t="str">
        <x:v>clothing_shoes_jewelry</x:v>
      </x:c>
      <x:c r="G457" s="15" t="str"/>
      <x:c r="H457" s="15" t="str">
        <x:v>flip_flop</x:v>
      </x:c>
      <x:c r="I457" s="15" t="str">
        <x:v>women</x:v>
      </x:c>
      <x:c r="J457" s="15" t="str"/>
      <x:c r="K457" s="15" t="str">
        <x:v>arch_support</x:v>
      </x:c>
      <x:c r="L457" s="15" t="str"/>
      <x:c r="M457" s="15" t="str"/>
      <x:c r="N457" s="15" t="str">
        <x:v>arch_support</x:v>
      </x:c>
      <x:c r="O457" s="15" t="str"/>
      <x:c r="P457" s="15" t="str"/>
      <x:c r="Q457" s="15" t="str"/>
      <x:c r="R457" s="15" t="str">
        <x:v>女性用户搜索带足弓支撑的夹脚拖鞋，注重足部舒适与健康。</x:v>
      </x:c>
      <x:c r="S457" s="10" t="str">
        <x:v>consideration</x:v>
      </x:c>
      <x:c r="T457" s="15" t="str">
        <x:v>explicit | page_validated</x:v>
      </x:c>
      <x:c r="U457" s="10" t="str">
        <x:v>high</x:v>
      </x:c>
      <x:c r="V457" s="15" t="str">
        <x:v>arch_support_flip_flops_women</x:v>
      </x:c>
      <x:c r="W457" s="15" t="str">
        <x:v>cluster_route</x:v>
      </x:c>
      <x:c r="X457" s="15" t="str">
        <x:v>{"product_type":[{"value":"flip_flop","evidence_type":"explicit","source_span":"flip flops","fact_ids":[],"rationale":"搜索词直接指定flip flops"},{"value":"flip_flop","evidence_type":"page_validated","source_span":"","fact_ids":["style_flip_flop"],"rationale":"产品为夹脚拖鞋"}],"audience_intent":[{"value":"women","evidence_type":"explicit","source_span":"women","fact_ids":[],"rationale":"搜索词指定女性"},{"value":"women","evidence_type":"page_validated","source_span":"","fact_ids":["title_womens_flip_flop"],"rationale":"产品标注women's"}],"capability_intent":[{"value":"arch_support","evidence_type":"explicit","source_span":"arch","fact_ids":[],"rationale":"搜索词明确要求足弓支撑"},{"value":"arch_support","evidence_type":"page_validated","source_span":"","fact_ids":["arch_support"],"rationale":"产品具备人体工学足弓支撑"},{"value":"arch_suppor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457" s="15" t="str"/>
      <x:c r="Z457" s="10" t="str">
        <x:v>match</x:v>
      </x:c>
      <x:c r="AA457" s="15" t="str">
        <x:v>title_womens_flip_flop | arch_support</x:v>
      </x:c>
      <x:c r="AB457" s="10" t="str">
        <x:v>accepted</x:v>
      </x:c>
      <x:c r="AC457" s="10" t="str">
        <x:v>1.0.0</x:v>
      </x:c>
      <x:c r="AD457" s="10" t="str">
        <x:v>1.0.0</x:v>
      </x:c>
      <x:c r="AE457" s="10" t="str">
        <x:v>deepseek/deepseek-v4-pro</x:v>
      </x:c>
      <x:c r="AF457" s="10" t="str">
        <x:v>aj2-y90-20260714T234810-0bea2f52</x:v>
      </x:c>
      <x:c r="AG457" s="10" t="str">
        <x:v>full-0023</x:v>
      </x:c>
      <x:c r="AH457" s="10" t="str">
        <x:v>full</x:v>
      </x:c>
      <x:c r="AI457" s="10" t="n">
        <x:v>23</x:v>
      </x:c>
    </x:row>
    <x:row r="458" ht="34" customHeight="1">
      <x:c r="A458" s="16" t="str">
        <x:v>womens light blue rowkoo flip flops</x:v>
      </x:c>
      <x:c r="B458" s="16" t="str">
        <x:v>womens light blue rowkoo flip flops</x:v>
      </x:c>
      <x:c r="C458" s="13" t="str">
        <x:v>d6313cfee09ec227</x:v>
      </x:c>
      <x:c r="D458" s="13" t="str">
        <x:v>keyword</x:v>
      </x:c>
      <x:c r="E458" s="13" t="str">
        <x:v>en</x:v>
      </x:c>
      <x:c r="F458" s="13" t="str">
        <x:v>clothing_shoes_jewelry</x:v>
      </x:c>
      <x:c r="G458" s="16" t="str"/>
      <x:c r="H458" s="16" t="str">
        <x:v>flip_flop</x:v>
      </x:c>
      <x:c r="I458" s="16" t="str">
        <x:v>women</x:v>
      </x:c>
      <x:c r="J458" s="16" t="str"/>
      <x:c r="K458" s="16" t="str"/>
      <x:c r="L458" s="16" t="str"/>
      <x:c r="M458" s="16" t="str"/>
      <x:c r="N458" s="16" t="str"/>
      <x:c r="O458" s="16" t="str"/>
      <x:c r="P458" s="16" t="str">
        <x:v>competing_brand</x:v>
      </x:c>
      <x:c r="Q458" s="16" t="str"/>
      <x:c r="R458" s="16" t="str">
        <x:v>女性用户搜索Rowkoo品牌的浅蓝色夹脚拖鞋，目标为竞品品牌产品。</x:v>
      </x:c>
      <x:c r="S458" s="13" t="str">
        <x:v>brand_harvest</x:v>
      </x:c>
      <x:c r="T458" s="16" t="str">
        <x:v>explicit | inferred</x:v>
      </x:c>
      <x:c r="U458" s="13" t="str">
        <x:v>high</x:v>
      </x:c>
      <x:c r="V458" s="16" t="str">
        <x:v>rowkoo_light_blue_flip_flops</x:v>
      </x:c>
      <x:c r="W458" s="16" t="str">
        <x:v>semantic_negative_candidate</x:v>
      </x:c>
      <x:c r="X458" s="16" t="str">
        <x:v>{"product_type":[{"value":"flip_flop","evidence_type":"explicit","source_span":"flip flops","fact_ids":[],"rationale":"搜索词直接指定flip flops"},{"value":"flip_flop","evidence_type":"page_validated","source_span":"","fact_ids":["style_flip_flop"],"rationale":"该槽位与商品基准中的明示页面事实一致。"}],"audience_intent":[{"value":"women","evidence_type":"explicit","source_span":"womens","fact_ids":[],"rationale":"搜索词标注女性"},{"value":"women","evidence_type":"page_validated","source_span":"","fact_ids":["title_womens_flip_flop"],"rationale":"该槽位与商品基准中的明示页面事实一致。"}],"substitute_intent":[{"value":"competing_brand","evidence_type":"explicit","source_span":"rowkoo","fact_ids":[],"rationale":"Rowkoo为竞品品牌名，非joomra"}],"primary_domain":[{"value":"clothing_shoes_jewelry","evidence_type":"inferred","source_span":"","fact_ids":[],"rationale":"该值由搜索词整体语义推断，未作为页面明示属性。"}]}</x:v>
      </x:c>
      <x:c r="Y458" s="16" t="str"/>
      <x:c r="Z458" s="13" t="str">
        <x:v>mismatch</x:v>
      </x:c>
      <x:c r="AA458" s="16" t="str"/>
      <x:c r="AB458" s="13" t="str">
        <x:v>accepted</x:v>
      </x:c>
      <x:c r="AC458" s="13" t="str">
        <x:v>1.0.0</x:v>
      </x:c>
      <x:c r="AD458" s="13" t="str">
        <x:v>1.0.0</x:v>
      </x:c>
      <x:c r="AE458" s="13" t="str">
        <x:v>deepseek/deepseek-v4-pro</x:v>
      </x:c>
      <x:c r="AF458" s="13" t="str">
        <x:v>aj2-y90-20260714T234810-0bea2f52</x:v>
      </x:c>
      <x:c r="AG458" s="13" t="str">
        <x:v>full-0023</x:v>
      </x:c>
      <x:c r="AH458" s="13" t="str">
        <x:v>full</x:v>
      </x:c>
      <x:c r="AI458" s="13" t="n">
        <x:v>23</x:v>
      </x:c>
    </x:row>
    <x:row r="459" ht="34" customHeight="1">
      <x:c r="A459" s="15" t="str">
        <x:v>revitalign flip flops women</x:v>
      </x:c>
      <x:c r="B459" s="15" t="str">
        <x:v>revitalign flip flops women</x:v>
      </x:c>
      <x:c r="C459" s="10" t="str">
        <x:v>e06e8c369c8645c0</x:v>
      </x:c>
      <x:c r="D459" s="10" t="str">
        <x:v>keyword</x:v>
      </x:c>
      <x:c r="E459" s="10" t="str">
        <x:v>en</x:v>
      </x:c>
      <x:c r="F459" s="10" t="str">
        <x:v>clothing_shoes_jewelry</x:v>
      </x:c>
      <x:c r="G459" s="15" t="str"/>
      <x:c r="H459" s="15" t="str">
        <x:v>flip_flop</x:v>
      </x:c>
      <x:c r="I459" s="15" t="str">
        <x:v>women</x:v>
      </x:c>
      <x:c r="J459" s="15" t="str"/>
      <x:c r="K459" s="15" t="str"/>
      <x:c r="L459" s="15" t="str"/>
      <x:c r="M459" s="15" t="str"/>
      <x:c r="N459" s="15" t="str"/>
      <x:c r="O459" s="15" t="str"/>
      <x:c r="P459" s="15" t="str">
        <x:v>competing_brand</x:v>
      </x:c>
      <x:c r="Q459" s="15" t="str"/>
      <x:c r="R459" s="15" t="str">
        <x:v>女性用户搜索Revitalign品牌夹脚拖鞋，明确指向竞品品牌产品。</x:v>
      </x:c>
      <x:c r="S459" s="10" t="str">
        <x:v>brand_harvest</x:v>
      </x:c>
      <x:c r="T459" s="15" t="str">
        <x:v>explicit | inferred</x:v>
      </x:c>
      <x:c r="U459" s="10" t="str">
        <x:v>high</x:v>
      </x:c>
      <x:c r="V459" s="15" t="str">
        <x:v>revitalign_flip_flops_women</x:v>
      </x:c>
      <x:c r="W459" s="15" t="str">
        <x:v>semantic_negative_candidate</x:v>
      </x:c>
      <x:c r="X459" s="15" t="str">
        <x:v>{"product_type":[{"value":"flip_flop","evidence_type":"explicit","source_span":"flip flops","fact_ids":[],"rationale":"搜索词直接指定flip flops"},{"value":"flip_flop","evidence_type":"page_validated","source_span":"","fact_ids":["style_flip_flop"],"rationale":"该槽位与商品基准中的明示页面事实一致。"}],"audience_intent":[{"value":"women","evidence_type":"explicit","source_span":"women","fact_ids":[],"rationale":"搜索词指定女性"},{"value":"women","evidence_type":"page_validated","source_span":"","fact_ids":["title_womens_flip_flop"],"rationale":"该槽位与商品基准中的明示页面事实一致。"}],"substitute_intent":[{"value":"competing_brand","evidence_type":"explicit","source_span":"revitalign","fact_ids":[],"rationale":"revitalign为竞品品牌名，非joomra"}],"primary_domain":[{"value":"clothing_shoes_jewelry","evidence_type":"inferred","source_span":"","fact_ids":[],"rationale":"该值由搜索词整体语义推断，未作为页面明示属性。"}]}</x:v>
      </x:c>
      <x:c r="Y459" s="15" t="str"/>
      <x:c r="Z459" s="10" t="str">
        <x:v>mismatch</x:v>
      </x:c>
      <x:c r="AA459" s="15" t="str"/>
      <x:c r="AB459" s="10" t="str">
        <x:v>accepted</x:v>
      </x:c>
      <x:c r="AC459" s="10" t="str">
        <x:v>1.0.0</x:v>
      </x:c>
      <x:c r="AD459" s="10" t="str">
        <x:v>1.0.0</x:v>
      </x:c>
      <x:c r="AE459" s="10" t="str">
        <x:v>deepseek/deepseek-v4-pro</x:v>
      </x:c>
      <x:c r="AF459" s="10" t="str">
        <x:v>aj2-y90-20260714T234810-0bea2f52</x:v>
      </x:c>
      <x:c r="AG459" s="10" t="str">
        <x:v>full-0023</x:v>
      </x:c>
      <x:c r="AH459" s="10" t="str">
        <x:v>full</x:v>
      </x:c>
      <x:c r="AI459" s="10" t="n">
        <x:v>23</x:v>
      </x:c>
    </x:row>
    <x:row r="460" ht="34" customHeight="1">
      <x:c r="A460" s="16" t="str">
        <x:v>sweat resistant sandals for women</x:v>
      </x:c>
      <x:c r="B460" s="16" t="str">
        <x:v>sweat resistant sandals for women</x:v>
      </x:c>
      <x:c r="C460" s="13" t="str">
        <x:v>e74b5328df33c4fa</x:v>
      </x:c>
      <x:c r="D460" s="13" t="str">
        <x:v>keyword</x:v>
      </x:c>
      <x:c r="E460" s="13" t="str">
        <x:v>en</x:v>
      </x:c>
      <x:c r="F460" s="13" t="str">
        <x:v>clothing_shoes_jewelry</x:v>
      </x:c>
      <x:c r="G460" s="16" t="str"/>
      <x:c r="H460" s="16" t="str">
        <x:v>sandal</x:v>
      </x:c>
      <x:c r="I460" s="16" t="str">
        <x:v>women</x:v>
      </x:c>
      <x:c r="J460" s="16" t="str"/>
      <x:c r="K460" s="16" t="str">
        <x:v>sweat_resistant</x:v>
      </x:c>
      <x:c r="L460" s="16" t="str"/>
      <x:c r="M460" s="16" t="str"/>
      <x:c r="N460" s="16" t="str"/>
      <x:c r="O460" s="16" t="str"/>
      <x:c r="P460" s="16" t="str"/>
      <x:c r="Q460" s="16" t="str"/>
      <x:c r="R460" s="16" t="str">
        <x:v>女性用户寻找防汗凉鞋，产品具有透气性但未标注防汗功能。</x:v>
      </x:c>
      <x:c r="S460" s="13" t="str">
        <x:v>consideration</x:v>
      </x:c>
      <x:c r="T460" s="16" t="str">
        <x:v>explicit | page_validated | inferred</x:v>
      </x:c>
      <x:c r="U460" s="13" t="str">
        <x:v>medium</x:v>
      </x:c>
      <x:c r="V460" s="16" t="str">
        <x:v>sweat_resistant_sandals_women</x:v>
      </x:c>
      <x:c r="W460" s="16" t="str">
        <x:v>listing_gap_review</x:v>
      </x:c>
      <x:c r="X460" s="16" t="str">
        <x:v>{"product_type":[{"value":"sandal","evidence_type":"explicit","source_span":"sandals","fact_ids":[],"rationale":"搜索词直接指定sandals"},{"value":"sandal","evidence_type":"page_validated","source_span":"","fact_ids":["title_womens_flip_flop"],"rationale":"产品为凉鞋品类"}],"audience_intent":[{"value":"women","evidence_type":"explicit","source_span":"women","fact_ids":[],"rationale":"搜索词指定女性"},{"value":"women","evidence_type":"page_validated","source_span":"","fact_ids":["title_womens_flip_flop"],"rationale":"产品标注women's"}],"capability_intent":[{"value":"sweat_resistant","evidence_type":"explicit","source_span":"sweat resistant","fact_ids":[],"rationale":"搜索词明确要求防汗"}],"primary_domain":[{"value":"clothing_shoes_jewelry","evidence_type":"inferred","source_span":"","fact_ids":[],"rationale":"该值由搜索词整体语义推断，未作为页面明示属性。"}]}</x:v>
      </x:c>
      <x:c r="Y460" s="16" t="str"/>
      <x:c r="Z460" s="13" t="str">
        <x:v>partial_match</x:v>
      </x:c>
      <x:c r="AA460" s="16" t="str">
        <x:v>title_womens_flip_flop | lightweight_breathable</x:v>
      </x:c>
      <x:c r="AB460" s="13" t="str">
        <x:v>accepted</x:v>
      </x:c>
      <x:c r="AC460" s="13" t="str">
        <x:v>1.0.0</x:v>
      </x:c>
      <x:c r="AD460" s="13" t="str">
        <x:v>1.0.0</x:v>
      </x:c>
      <x:c r="AE460" s="13" t="str">
        <x:v>deepseek/deepseek-v4-pro</x:v>
      </x:c>
      <x:c r="AF460" s="13" t="str">
        <x:v>aj2-y90-20260714T234810-0bea2f52</x:v>
      </x:c>
      <x:c r="AG460" s="13" t="str">
        <x:v>full-0023</x:v>
      </x:c>
      <x:c r="AH460" s="13" t="str">
        <x:v>full</x:v>
      </x:c>
      <x:c r="AI460" s="13" t="n">
        <x:v>23</x:v>
      </x:c>
    </x:row>
    <x:row r="461" ht="34" customHeight="1">
      <x:c r="A461" s="15" t="str">
        <x:v>flip flops for flat feet</x:v>
      </x:c>
      <x:c r="B461" s="15" t="str">
        <x:v>flip flops for flat feet</x:v>
      </x:c>
      <x:c r="C461" s="10" t="str">
        <x:v>f6a3c01cbde99821</x:v>
      </x:c>
      <x:c r="D461" s="10" t="str">
        <x:v>keyword</x:v>
      </x:c>
      <x:c r="E461" s="10" t="str">
        <x:v>en</x:v>
      </x:c>
      <x:c r="F461" s="10" t="str">
        <x:v>clothing_shoes_jewelry</x:v>
      </x:c>
      <x:c r="G461" s="15" t="str"/>
      <x:c r="H461" s="15" t="str">
        <x:v>flip_flop</x:v>
      </x:c>
      <x:c r="I461" s="15" t="str"/>
      <x:c r="J461" s="15" t="str"/>
      <x:c r="K461" s="15" t="str"/>
      <x:c r="L461" s="15" t="str"/>
      <x:c r="M461" s="15" t="str"/>
      <x:c r="N461" s="15" t="str">
        <x:v>flat_feet</x:v>
      </x:c>
      <x:c r="O461" s="15" t="str"/>
      <x:c r="P461" s="15" t="str"/>
      <x:c r="Q461" s="15" t="str"/>
      <x:c r="R461" s="15" t="str">
        <x:v>用户寻找适合扁平足的夹脚拖鞋，产品有足弓支撑但未标明适用扁平足。</x:v>
      </x:c>
      <x:c r="S461" s="10" t="str">
        <x:v>consideration</x:v>
      </x:c>
      <x:c r="T461" s="15" t="str">
        <x:v>explicit | page_validated | inferred</x:v>
      </x:c>
      <x:c r="U461" s="10" t="str">
        <x:v>medium</x:v>
      </x:c>
      <x:c r="V461" s="15" t="str">
        <x:v>flip_flops_flat_feet</x:v>
      </x:c>
      <x:c r="W461" s="15" t="str">
        <x:v>listing_gap_review</x:v>
      </x:c>
      <x:c r="X461" s="15" t="str">
        <x:v>{"product_type":[{"value":"flip_flop","evidence_type":"explicit","source_span":"flip flops","fact_ids":[],"rationale":"搜索词直接指定flip flops"},{"value":"flip_flop","evidence_type":"page_validated","source_span":"","fact_ids":["style_flip_flop"],"rationale":"产品为夹脚拖鞋"}],"body_need_intent":[{"value":"flat_feet","evidence_type":"explicit","source_span":"flat feet","fact_ids":[],"rationale":"搜索词明确扁平足需求"}],"primary_domain":[{"value":"clothing_shoes_jewelry","evidence_type":"inferred","source_span":"","fact_ids":[],"rationale":"该值由搜索词整体语义推断，未作为页面明示属性。"}]}</x:v>
      </x:c>
      <x:c r="Y461" s="15" t="str"/>
      <x:c r="Z461" s="10" t="str">
        <x:v>partial_match</x:v>
      </x:c>
      <x:c r="AA461" s="15" t="str">
        <x:v>style_flip_flop | arch_support</x:v>
      </x:c>
      <x:c r="AB461" s="10" t="str">
        <x:v>accepted</x:v>
      </x:c>
      <x:c r="AC461" s="10" t="str">
        <x:v>1.0.0</x:v>
      </x:c>
      <x:c r="AD461" s="10" t="str">
        <x:v>1.0.0</x:v>
      </x:c>
      <x:c r="AE461" s="10" t="str">
        <x:v>deepseek/deepseek-v4-pro</x:v>
      </x:c>
      <x:c r="AF461" s="10" t="str">
        <x:v>aj2-y90-20260714T234810-0bea2f52</x:v>
      </x:c>
      <x:c r="AG461" s="10" t="str">
        <x:v>full-0023</x:v>
      </x:c>
      <x:c r="AH461" s="10" t="str">
        <x:v>full</x:v>
      </x:c>
      <x:c r="AI461" s="10" t="n">
        <x:v>23</x:v>
      </x:c>
    </x:row>
    <x:row r="462" ht="34" customHeight="1">
      <x:c r="A462" s="16" t="str">
        <x:v>sandalias para mujer</x:v>
      </x:c>
      <x:c r="B462" s="16" t="str">
        <x:v>sandalias para mujer</x:v>
      </x:c>
      <x:c r="C462" s="13" t="str">
        <x:v>0818ecfd6c31c343</x:v>
      </x:c>
      <x:c r="D462" s="13" t="str">
        <x:v>keyword</x:v>
      </x:c>
      <x:c r="E462" s="13" t="str">
        <x:v>es</x:v>
      </x:c>
      <x:c r="F462" s="13" t="str">
        <x:v>clothing_shoes_jewelry</x:v>
      </x:c>
      <x:c r="G462" s="16" t="str"/>
      <x:c r="H462" s="16" t="str">
        <x:v>sandals</x:v>
      </x:c>
      <x:c r="I462" s="16" t="str">
        <x:v>women</x:v>
      </x:c>
      <x:c r="J462" s="16" t="str"/>
      <x:c r="K462" s="16" t="str"/>
      <x:c r="L462" s="16" t="str"/>
      <x:c r="M462" s="16" t="str"/>
      <x:c r="N462" s="16" t="str"/>
      <x:c r="O462" s="16" t="str"/>
      <x:c r="P462" s="16" t="str"/>
      <x:c r="Q462" s="16" t="str"/>
      <x:c r="R462" s="16" t="str">
        <x:v>用户正在浏览女性凉鞋品类，未指定具体功能或场景。</x:v>
      </x:c>
      <x:c r="S462" s="13" t="str">
        <x:v>exploration</x:v>
      </x:c>
      <x:c r="T462" s="16" t="str">
        <x:v>explicit | page_validated | inferred</x:v>
      </x:c>
      <x:c r="U462" s="13" t="str">
        <x:v>high</x:v>
      </x:c>
      <x:c r="V462" s="16" t="str">
        <x:v>womens_sandals</x:v>
      </x:c>
      <x:c r="W462" s="16" t="str">
        <x:v>cluster_route</x:v>
      </x:c>
      <x:c r="X462" s="16" t="str">
        <x:v>{"primary_domain":[{"value":"clothing_shoes_jewelry","evidence_type":"inferred","source_span":"sandalias","fact_ids":[],"rationale":"凉鞋属于服装鞋履品类。"}],"product_type":[{"value":"sandals","evidence_type":"explicit","source_span":"sandalias","fact_ids":[],"rationale":"搜索词直接提及凉鞋类别。"},{"value":"sandals","evidence_type":"page_validated","source_span":"","fact_ids":["title_womens_flip_flop"],"rationale":"该槽位与商品基准中的明示页面事实一致。"},{"value":"sandals","evidence_type":"inferred","source_span":"","fact_ids":[],"rationale":"该能力由搜索词表达的任务或问题推断；页面事实仅用于验证商品承接。"}],"audience_intent":[{"value":"women","evidence_type":"explicit","source_span":"mujer","fact_ids":[],"rationale":"搜索词明确指定女性用户。"},{"value":"women","evidence_type":"page_validated","source_span":"","fact_ids":["title_womens_flip_flop"],"rationale":"该槽位与商品基准中的明示页面事实一致。"},{"value":"women","evidence_type":"inferred","source_span":"","fact_ids":[],"rationale":"该能力由搜索词表达的任务或问题推断；页面事实仅用于验证商品承接。"}]}</x:v>
      </x:c>
      <x:c r="Y462" s="16" t="str"/>
      <x:c r="Z462" s="13" t="str">
        <x:v>match</x:v>
      </x:c>
      <x:c r="AA462" s="16" t="str">
        <x:v>title_womens_flip_flop | style_flip_flop</x:v>
      </x:c>
      <x:c r="AB462" s="13" t="str">
        <x:v>accepted</x:v>
      </x:c>
      <x:c r="AC462" s="13" t="str">
        <x:v>1.0.0</x:v>
      </x:c>
      <x:c r="AD462" s="13" t="str">
        <x:v>1.1.0</x:v>
      </x:c>
      <x:c r="AE462" s="13" t="str">
        <x:v>deepseek/deepseek-v4-pro</x:v>
      </x:c>
      <x:c r="AF462" s="13" t="str">
        <x:v>aj2-y90-20260714T234810-0bea2f52</x:v>
      </x:c>
      <x:c r="AG462" s="13" t="str">
        <x:v>full-0024</x:v>
      </x:c>
      <x:c r="AH462" s="13" t="str">
        <x:v>full</x:v>
      </x:c>
      <x:c r="AI462" s="13" t="n">
        <x:v>24</x:v>
      </x:c>
    </x:row>
    <x:row r="463" ht="34" customHeight="1">
      <x:c r="A463" s="15" t="str">
        <x:v>water friendly flip flops women</x:v>
      </x:c>
      <x:c r="B463" s="15" t="str">
        <x:v>water friendly flip flops women</x:v>
      </x:c>
      <x:c r="C463" s="10" t="str">
        <x:v>0b899bd4c457badd</x:v>
      </x:c>
      <x:c r="D463" s="10" t="str">
        <x:v>keyword</x:v>
      </x:c>
      <x:c r="E463" s="10" t="str">
        <x:v>en</x:v>
      </x:c>
      <x:c r="F463" s="10" t="str">
        <x:v>clothing_shoes_jewelry</x:v>
      </x:c>
      <x:c r="G463" s="15" t="str"/>
      <x:c r="H463" s="15" t="str">
        <x:v>flip_flops</x:v>
      </x:c>
      <x:c r="I463" s="15" t="str">
        <x:v>women</x:v>
      </x:c>
      <x:c r="J463" s="15" t="str"/>
      <x:c r="K463" s="15" t="str">
        <x:v>water_friendly</x:v>
      </x:c>
      <x:c r="L463" s="15" t="str"/>
      <x:c r="M463" s="15" t="str"/>
      <x:c r="N463" s="15" t="str"/>
      <x:c r="O463" s="15" t="str"/>
      <x:c r="P463" s="15" t="str"/>
      <x:c r="Q463" s="15" t="str"/>
      <x:c r="R463" s="15" t="str">
        <x:v>用户寻找适合涉水场景穿着的女性人字拖。</x:v>
      </x:c>
      <x:c r="S463" s="10" t="str">
        <x:v>consideration</x:v>
      </x:c>
      <x:c r="T463" s="15" t="str">
        <x:v>explicit | inferred | page_validated</x:v>
      </x:c>
      <x:c r="U463" s="10" t="str">
        <x:v>medium</x:v>
      </x:c>
      <x:c r="V463" s="15" t="str">
        <x:v>water_friendly_flip_flops</x:v>
      </x:c>
      <x:c r="W463" s="15" t="str">
        <x:v>listing_gap_review</x:v>
      </x:c>
      <x:c r="X463" s="15" t="str">
        <x:v>{"primary_domain":[{"value":"clothing_shoes_jewelry","evidence_type":"inferred","source_span":"flip flops","fact_ids":[],"rationale":"人字拖属于鞋履品类。"}],"product_type":[{"value":"flip_flops","evidence_type":"explicit","source_span":"flip flops","fact_ids":[],"rationale":"搜索词直接提及人字拖。"},{"value":"flip_flops","evidence_type":"page_validated","source_span":"","fact_ids":["style_flip_flop"],"rationale":"该槽位与商品基准中的明示页面事实一致。"}],"audience_intent":[{"value":"women","evidence_type":"explicit","source_span":"women","fact_ids":[],"rationale":"搜索词指定女性用户。"},{"value":"women","evidence_type":"page_validated","source_span":"","fact_ids":["title_womens_flip_flop"],"rationale":"该槽位与商品基准中的明示页面事实一致。"}],"capability_intent":[{"value":"water_friendly","evidence_type":"explicit","source_span":"water friendly","fact_ids":[],"rationale":"搜索词要求涉水适用性。"}]}</x:v>
      </x:c>
      <x:c r="Y463" s="15" t="str"/>
      <x:c r="Z463" s="10" t="str">
        <x:v>partial_match</x:v>
      </x:c>
      <x:c r="AA463" s="15" t="str">
        <x:v>title_womens_flip_flop | style_flip_flop</x:v>
      </x:c>
      <x:c r="AB463" s="10" t="str">
        <x:v>accepted</x:v>
      </x:c>
      <x:c r="AC463" s="10" t="str">
        <x:v>1.0.0</x:v>
      </x:c>
      <x:c r="AD463" s="10" t="str">
        <x:v>1.1.0</x:v>
      </x:c>
      <x:c r="AE463" s="10" t="str">
        <x:v>deepseek/deepseek-v4-pro</x:v>
      </x:c>
      <x:c r="AF463" s="10" t="str">
        <x:v>aj2-y90-20260714T234810-0bea2f52</x:v>
      </x:c>
      <x:c r="AG463" s="10" t="str">
        <x:v>full-0024</x:v>
      </x:c>
      <x:c r="AH463" s="10" t="str">
        <x:v>full</x:v>
      </x:c>
      <x:c r="AI463" s="10" t="n">
        <x:v>24</x:v>
      </x:c>
    </x:row>
    <x:row r="464" ht="34" customHeight="1">
      <x:c r="A464" s="16" t="str">
        <x:v>support flip flops</x:v>
      </x:c>
      <x:c r="B464" s="16" t="str">
        <x:v>support flip flops</x:v>
      </x:c>
      <x:c r="C464" s="13" t="str">
        <x:v>1141e318ac59b45d</x:v>
      </x:c>
      <x:c r="D464" s="13" t="str">
        <x:v>keyword</x:v>
      </x:c>
      <x:c r="E464" s="13" t="str">
        <x:v>en</x:v>
      </x:c>
      <x:c r="F464" s="13" t="str">
        <x:v>clothing_shoes_jewelry</x:v>
      </x:c>
      <x:c r="G464" s="16" t="str"/>
      <x:c r="H464" s="16" t="str">
        <x:v>flip_flops</x:v>
      </x:c>
      <x:c r="I464" s="16" t="str"/>
      <x:c r="J464" s="16" t="str">
        <x:v>support</x:v>
      </x:c>
      <x:c r="K464" s="16" t="str"/>
      <x:c r="L464" s="16" t="str"/>
      <x:c r="M464" s="16" t="str"/>
      <x:c r="N464" s="16" t="str">
        <x:v>arch_support</x:v>
      </x:c>
      <x:c r="O464" s="16" t="str"/>
      <x:c r="P464" s="16" t="str"/>
      <x:c r="Q464" s="16" t="str"/>
      <x:c r="R464" s="16" t="str">
        <x:v>用户寻找具有支撑功能的人字拖，可能关注足弓支撑。</x:v>
      </x:c>
      <x:c r="S464" s="13" t="str">
        <x:v>consideration</x:v>
      </x:c>
      <x:c r="T464" s="16" t="str">
        <x:v>explicit | page_validated | inferred</x:v>
      </x:c>
      <x:c r="U464" s="13" t="str">
        <x:v>high</x:v>
      </x:c>
      <x:c r="V464" s="16" t="str">
        <x:v>support_flip_flops</x:v>
      </x:c>
      <x:c r="W464" s="16" t="str">
        <x:v>cluster_route</x:v>
      </x:c>
      <x:c r="X464" s="16" t="str">
        <x:v>{"primary_domain":[{"value":"clothing_shoes_jewelry","evidence_type":"inferred","source_span":"flip flops","fact_ids":[],"rationale":"人字拖属于鞋履品类。"}],"product_type":[{"value":"flip_flops","evidence_type":"explicit","source_span":"flip flops","fact_ids":[],"rationale":"搜索词直接提及人字拖。"},{"value":"flip_flops","evidence_type":"page_validated","source_span":"","fact_ids":["style_flip_flop"],"rationale":"该槽位与商品基准中的明示页面事实一致。"}],"function_intent":[{"value":"support","evidence_type":"explicit","source_span":"support","fact_ids":["arch_support"],"rationale":"搜索词要求支撑功能。"}],"capability_intent":[{"value":"arch_support","evidence_type":"page_validated","source_span":"","fact_ids":["arch_support"],"rationale":"该槽位与商品基准中的明示页面事实一致。"},{"value":"arch_support","evidence_type":"inferred","source_span":"","fact_ids":[],"rationale":"该能力由搜索词表达的任务或问题推断；页面事实仅用于验证商品承接。"}]}</x:v>
      </x:c>
      <x:c r="Y464" s="16" t="str"/>
      <x:c r="Z464" s="13" t="str">
        <x:v>match</x:v>
      </x:c>
      <x:c r="AA464" s="16" t="str">
        <x:v>style_flip_flop | arch_support</x:v>
      </x:c>
      <x:c r="AB464" s="13" t="str">
        <x:v>accepted</x:v>
      </x:c>
      <x:c r="AC464" s="13" t="str">
        <x:v>1.0.0</x:v>
      </x:c>
      <x:c r="AD464" s="13" t="str">
        <x:v>1.1.0</x:v>
      </x:c>
      <x:c r="AE464" s="13" t="str">
        <x:v>deepseek/deepseek-v4-pro</x:v>
      </x:c>
      <x:c r="AF464" s="13" t="str">
        <x:v>aj2-y90-20260714T234810-0bea2f52</x:v>
      </x:c>
      <x:c r="AG464" s="13" t="str">
        <x:v>full-0024</x:v>
      </x:c>
      <x:c r="AH464" s="13" t="str">
        <x:v>full</x:v>
      </x:c>
      <x:c r="AI464" s="13" t="n">
        <x:v>24</x:v>
      </x:c>
    </x:row>
    <x:row r="465" ht="34" customHeight="1">
      <x:c r="A465" s="15" t="str">
        <x:v>flip flop women size 6</x:v>
      </x:c>
      <x:c r="B465" s="15" t="str">
        <x:v>flip flop women size 6</x:v>
      </x:c>
      <x:c r="C465" s="10" t="str">
        <x:v>2168ba2ac326271a</x:v>
      </x:c>
      <x:c r="D465" s="10" t="str">
        <x:v>keyword</x:v>
      </x:c>
      <x:c r="E465" s="10" t="str">
        <x:v>en</x:v>
      </x:c>
      <x:c r="F465" s="10" t="str">
        <x:v>clothing_shoes_jewelry</x:v>
      </x:c>
      <x:c r="G465" s="15" t="str"/>
      <x:c r="H465" s="15" t="str">
        <x:v>flip_flops</x:v>
      </x:c>
      <x:c r="I465" s="15" t="str">
        <x:v>women</x:v>
      </x:c>
      <x:c r="J465" s="15" t="str"/>
      <x:c r="K465" s="15" t="str"/>
      <x:c r="L465" s="15" t="str"/>
      <x:c r="M465" s="15" t="str"/>
      <x:c r="N465" s="15" t="str"/>
      <x:c r="O465" s="15" t="str"/>
      <x:c r="P465" s="15" t="str"/>
      <x:c r="Q465" s="15" t="str"/>
      <x:c r="R465" s="15" t="str">
        <x:v>用户寻找6码女性人字拖，已锁定尺码。</x:v>
      </x:c>
      <x:c r="S465" s="10" t="str">
        <x:v>high_intent</x:v>
      </x:c>
      <x:c r="T465" s="15" t="str">
        <x:v>explicit | page_validated | inferred</x:v>
      </x:c>
      <x:c r="U465" s="10" t="str">
        <x:v>high</x:v>
      </x:c>
      <x:c r="V465" s="15" t="str">
        <x:v>womens_flip_flops_sized</x:v>
      </x:c>
      <x:c r="W465" s="15" t="str">
        <x:v>cluster_route</x:v>
      </x:c>
      <x:c r="X465" s="15" t="str">
        <x:v>{"primary_domain":[{"value":"clothing_shoes_jewelry","evidence_type":"inferred","source_span":"flip flop","fact_ids":[],"rationale":"人字拖属于鞋履品类。"}],"product_type":[{"value":"flip_flops","evidence_type":"explicit","source_span":"flip flop","fact_ids":[],"rationale":"搜索词直接提及人字拖。"},{"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audience_intent":[{"value":"women","evidence_type":"explicit","source_span":"women","fact_ids":[],"rationale":"搜索词指定女性用户。"},{"value":"women","evidence_type":"page_validated","source_span":"","fact_ids":["title_womens_flip_flop"],"rationale":"该槽位与商品基准中的明示页面事实一致。"}],"size":[{"value":"6","evidence_type":"explicit","source_span":"size 6","fact_ids":["sizes_6_11"],"rationale":"6码在可选尺码范围内。"}]}</x:v>
      </x:c>
      <x:c r="Y465" s="15" t="str"/>
      <x:c r="Z465" s="10" t="str">
        <x:v>match</x:v>
      </x:c>
      <x:c r="AA465" s="15" t="str">
        <x:v>title_womens_flip_flop | style_flip_flop | sizes_6_11</x:v>
      </x:c>
      <x:c r="AB465" s="10" t="str">
        <x:v>accepted</x:v>
      </x:c>
      <x:c r="AC465" s="10" t="str">
        <x:v>1.0.0</x:v>
      </x:c>
      <x:c r="AD465" s="10" t="str">
        <x:v>1.1.0</x:v>
      </x:c>
      <x:c r="AE465" s="10" t="str">
        <x:v>deepseek/deepseek-v4-pro</x:v>
      </x:c>
      <x:c r="AF465" s="10" t="str">
        <x:v>aj2-y90-20260714T234810-0bea2f52</x:v>
      </x:c>
      <x:c r="AG465" s="10" t="str">
        <x:v>full-0024</x:v>
      </x:c>
      <x:c r="AH465" s="10" t="str">
        <x:v>full</x:v>
      </x:c>
      <x:c r="AI465" s="10" t="n">
        <x:v>24</x:v>
      </x:c>
    </x:row>
    <x:row r="466" ht="34" customHeight="1">
      <x:c r="A466" s="16" t="str">
        <x:v>sonoma flip flops for women</x:v>
      </x:c>
      <x:c r="B466" s="16" t="str">
        <x:v>sonoma flip flops for women</x:v>
      </x:c>
      <x:c r="C466" s="13" t="str">
        <x:v>269c785354c36da0</x:v>
      </x:c>
      <x:c r="D466" s="13" t="str">
        <x:v>keyword</x:v>
      </x:c>
      <x:c r="E466" s="13" t="str">
        <x:v>en</x:v>
      </x:c>
      <x:c r="F466" s="13" t="str">
        <x:v>clothing_shoes_jewelry</x:v>
      </x:c>
      <x:c r="G466" s="16" t="str"/>
      <x:c r="H466" s="16" t="str">
        <x:v>flip_flops</x:v>
      </x:c>
      <x:c r="I466" s="16" t="str">
        <x:v>women</x:v>
      </x:c>
      <x:c r="J466" s="16" t="str"/>
      <x:c r="K466" s="16" t="str"/>
      <x:c r="L466" s="16" t="str"/>
      <x:c r="M466" s="16" t="str"/>
      <x:c r="N466" s="16" t="str"/>
      <x:c r="O466" s="16" t="str"/>
      <x:c r="P466" s="16" t="str"/>
      <x:c r="Q466" s="16" t="str"/>
      <x:c r="R466" s="16" t="str">
        <x:v>用户寻找Sonoma品牌的女性人字拖，品牌与本产品不匹配。</x:v>
      </x:c>
      <x:c r="S466" s="13" t="str">
        <x:v>brand_harvest</x:v>
      </x:c>
      <x:c r="T466" s="16" t="str">
        <x:v>explicit | inferred</x:v>
      </x:c>
      <x:c r="U466" s="13" t="str">
        <x:v>high</x:v>
      </x:c>
      <x:c r="V466" s="16" t="str">
        <x:v>branded_flip_flops</x:v>
      </x:c>
      <x:c r="W466" s="16" t="str">
        <x:v>semantic_negative_candidate</x:v>
      </x:c>
      <x:c r="X466" s="16" t="str">
        <x:v>{"primary_domain":[{"value":"clothing_shoes_jewelry","evidence_type":"inferred","source_span":"flip flops","fact_ids":[],"rationale":"人字拖属于鞋履品类。"}],"product_type":[{"value":"flip_flops","evidence_type":"explicit","source_span":"flip flops","fact_ids":[],"rationale":"搜索词直接提及人字拖。"},{"value":"flip_flops","evidence_type":"page_validated","source_span":"","fact_ids":["style_flip_flop"],"rationale":"该槽位与商品基准中的明示页面事实一致。"}],"audience_intent":[{"value":"women","evidence_type":"explicit","source_span":"women","fact_ids":[],"rationale":"搜索词指定女性用户。"},{"value":"women","evidence_type":"page_validated","source_span":"","fact_ids":["title_womens_flip_flop"],"rationale":"该槽位与商品基准中的明示页面事实一致。"}],"brand":[{"value":"sonoma","evidence_type":"explicit","source_span":"sonoma","fact_ids":[],"rationale":"搜索词指定Sonoma品牌，非joomra。"}]}</x:v>
      </x:c>
      <x:c r="Y466" s="16" t="str"/>
      <x:c r="Z466" s="13" t="str">
        <x:v>mismatch</x:v>
      </x:c>
      <x:c r="AA466" s="16" t="str"/>
      <x:c r="AB466" s="13" t="str">
        <x:v>accepted</x:v>
      </x:c>
      <x:c r="AC466" s="13" t="str">
        <x:v>1.0.0</x:v>
      </x:c>
      <x:c r="AD466" s="13" t="str">
        <x:v>1.1.0</x:v>
      </x:c>
      <x:c r="AE466" s="13" t="str">
        <x:v>deepseek/deepseek-v4-pro</x:v>
      </x:c>
      <x:c r="AF466" s="13" t="str">
        <x:v>aj2-y90-20260714T234810-0bea2f52</x:v>
      </x:c>
      <x:c r="AG466" s="13" t="str">
        <x:v>full-0024</x:v>
      </x:c>
      <x:c r="AH466" s="13" t="str">
        <x:v>full</x:v>
      </x:c>
      <x:c r="AI466" s="13" t="n">
        <x:v>24</x:v>
      </x:c>
    </x:row>
    <x:row r="467" ht="34" customHeight="1">
      <x:c r="A467" s="15" t="str">
        <x:v>nautical flip flops for women</x:v>
      </x:c>
      <x:c r="B467" s="15" t="str">
        <x:v>nautical flip flops for women</x:v>
      </x:c>
      <x:c r="C467" s="10" t="str">
        <x:v>60a10943d7c31828</x:v>
      </x:c>
      <x:c r="D467" s="10" t="str">
        <x:v>keyword</x:v>
      </x:c>
      <x:c r="E467" s="10" t="str">
        <x:v>en</x:v>
      </x:c>
      <x:c r="F467" s="10" t="str">
        <x:v>clothing_shoes_jewelry</x:v>
      </x:c>
      <x:c r="G467" s="15" t="str"/>
      <x:c r="H467" s="15" t="str">
        <x:v>flip_flops</x:v>
      </x:c>
      <x:c r="I467" s="15" t="str">
        <x:v>women</x:v>
      </x:c>
      <x:c r="J467" s="15" t="str"/>
      <x:c r="K467" s="15" t="str">
        <x:v>nautical_style</x:v>
      </x:c>
      <x:c r="L467" s="15" t="str"/>
      <x:c r="M467" s="15" t="str"/>
      <x:c r="N467" s="15" t="str"/>
      <x:c r="O467" s="15" t="str"/>
      <x:c r="P467" s="15" t="str"/>
      <x:c r="Q467" s="15" t="str"/>
      <x:c r="R467" s="15" t="str">
        <x:v>用户寻找具有航海风格设计的女性人字拖。</x:v>
      </x:c>
      <x:c r="S467" s="10" t="str">
        <x:v>consideration</x:v>
      </x:c>
      <x:c r="T467" s="15" t="str">
        <x:v>explicit | inferred | page_validated</x:v>
      </x:c>
      <x:c r="U467" s="10" t="str">
        <x:v>medium</x:v>
      </x:c>
      <x:c r="V467" s="15" t="str">
        <x:v>nautical_flip_flops</x:v>
      </x:c>
      <x:c r="W467" s="15" t="str">
        <x:v>listing_gap_review</x:v>
      </x:c>
      <x:c r="X467" s="15" t="str">
        <x:v>{"primary_domain":[{"value":"clothing_shoes_jewelry","evidence_type":"inferred","source_span":"flip flops","fact_ids":[],"rationale":"人字拖属于鞋履品类。"}],"product_type":[{"value":"flip_flops","evidence_type":"explicit","source_span":"flip flops","fact_ids":[],"rationale":"搜索词直接提及人字拖。"},{"value":"flip_flops","evidence_type":"page_validated","source_span":"","fact_ids":["style_flip_flop"],"rationale":"该槽位与商品基准中的明示页面事实一致。"}],"audience_intent":[{"value":"women","evidence_type":"explicit","source_span":"women","fact_ids":[],"rationale":"搜索词指定女性用户。"},{"value":"women","evidence_type":"page_validated","source_span":"","fact_ids":["title_womens_flip_flop"],"rationale":"该槽位与商品基准中的明示页面事实一致。"}],"capability_intent":[{"value":"nautical_style","evidence_type":"explicit","source_span":"nautical","fact_ids":[],"rationale":"搜索词要求航海风格外观。"}]}</x:v>
      </x:c>
      <x:c r="Y467" s="15" t="str"/>
      <x:c r="Z467" s="10" t="str">
        <x:v>partial_match</x:v>
      </x:c>
      <x:c r="AA467" s="15" t="str">
        <x:v>title_womens_flip_flop | style_flip_flop</x:v>
      </x:c>
      <x:c r="AB467" s="10" t="str">
        <x:v>accepted</x:v>
      </x:c>
      <x:c r="AC467" s="10" t="str">
        <x:v>1.0.0</x:v>
      </x:c>
      <x:c r="AD467" s="10" t="str">
        <x:v>1.1.0</x:v>
      </x:c>
      <x:c r="AE467" s="10" t="str">
        <x:v>deepseek/deepseek-v4-pro</x:v>
      </x:c>
      <x:c r="AF467" s="10" t="str">
        <x:v>aj2-y90-20260714T234810-0bea2f52</x:v>
      </x:c>
      <x:c r="AG467" s="10" t="str">
        <x:v>full-0024</x:v>
      </x:c>
      <x:c r="AH467" s="10" t="str">
        <x:v>full</x:v>
      </x:c>
      <x:c r="AI467" s="10" t="n">
        <x:v>24</x:v>
      </x:c>
    </x:row>
    <x:row r="468" ht="34" customHeight="1">
      <x:c r="A468" s="16" t="str">
        <x:v>comfort flip flops women</x:v>
      </x:c>
      <x:c r="B468" s="16" t="str">
        <x:v>comfort flip flops women</x:v>
      </x:c>
      <x:c r="C468" s="13" t="str">
        <x:v>688e76609f5104c0</x:v>
      </x:c>
      <x:c r="D468" s="13" t="str">
        <x:v>keyword</x:v>
      </x:c>
      <x:c r="E468" s="13" t="str">
        <x:v>en</x:v>
      </x:c>
      <x:c r="F468" s="13" t="str">
        <x:v>clothing_shoes_jewelry</x:v>
      </x:c>
      <x:c r="G468" s="16" t="str"/>
      <x:c r="H468" s="16" t="str">
        <x:v>flip_flops</x:v>
      </x:c>
      <x:c r="I468" s="16" t="str">
        <x:v>women</x:v>
      </x:c>
      <x:c r="J468" s="16" t="str">
        <x:v>comfort</x:v>
      </x:c>
      <x:c r="K468" s="16" t="str"/>
      <x:c r="L468" s="16" t="str"/>
      <x:c r="M468" s="16" t="str"/>
      <x:c r="N468" s="16" t="str"/>
      <x:c r="O468" s="16" t="str"/>
      <x:c r="P468" s="16" t="str"/>
      <x:c r="Q468" s="16" t="str"/>
      <x:c r="R468" s="16" t="str">
        <x:v>用户寻找穿着舒适的女性人字拖。</x:v>
      </x:c>
      <x:c r="S468" s="13" t="str">
        <x:v>consideration</x:v>
      </x:c>
      <x:c r="T468" s="16" t="str">
        <x:v>explicit | page_validated | inferred</x:v>
      </x:c>
      <x:c r="U468" s="13" t="str">
        <x:v>high</x:v>
      </x:c>
      <x:c r="V468" s="16" t="str">
        <x:v>comfort_womens_flip_flops</x:v>
      </x:c>
      <x:c r="W468" s="16" t="str">
        <x:v>cluster_route</x:v>
      </x:c>
      <x:c r="X468" s="16" t="str">
        <x:v>{"primary_domain":[{"value":"clothing_shoes_jewelry","evidence_type":"inferred","source_span":"flip flops","fact_ids":[],"rationale":"人字拖属于鞋履品类。"}],"product_type":[{"value":"flip_flops","evidence_type":"explicit","source_span":"flip flops","fact_ids":[],"rationale":"搜索词直接提及人字拖。"},{"value":"flip_flops","evidence_type":"page_validated","source_span":"","fact_ids":["style_flip_flop"],"rationale":"该槽位与商品基准中的明示页面事实一致。"}],"audience_intent":[{"value":"women","evidence_type":"explicit","source_span":"women","fact_ids":[],"rationale":"搜索词指定女性用户。"},{"value":"women","evidence_type":"page_validated","source_span":"","fact_ids":["title_womens_flip_flop"],"rationale":"该槽位与商品基准中的明示页面事实一致。"}],"function_intent":[{"value":"comfort","evidence_type":"explicit","source_span":"comfort","fact_ids":["arch_support","padded_cushioning"],"rationale":"搜索词要求舒适功能。"},{"value":"comfort","evidence_type":"page_validated","source_span":"","fact_ids":["arch_support","padded_cushioning"],"rationale":"该槽位与商品基准中的明示页面事实一致。"}]}</x:v>
      </x:c>
      <x:c r="Y468" s="16" t="str"/>
      <x:c r="Z468" s="13" t="str">
        <x:v>match</x:v>
      </x:c>
      <x:c r="AA468" s="16" t="str">
        <x:v>title_womens_flip_flop | style_flip_flop | arch_support | padded_cushioning</x:v>
      </x:c>
      <x:c r="AB468" s="13" t="str">
        <x:v>accepted</x:v>
      </x:c>
      <x:c r="AC468" s="13" t="str">
        <x:v>1.0.0</x:v>
      </x:c>
      <x:c r="AD468" s="13" t="str">
        <x:v>1.1.0</x:v>
      </x:c>
      <x:c r="AE468" s="13" t="str">
        <x:v>deepseek/deepseek-v4-pro</x:v>
      </x:c>
      <x:c r="AF468" s="13" t="str">
        <x:v>aj2-y90-20260714T234810-0bea2f52</x:v>
      </x:c>
      <x:c r="AG468" s="13" t="str">
        <x:v>full-0024</x:v>
      </x:c>
      <x:c r="AH468" s="13" t="str">
        <x:v>full</x:v>
      </x:c>
      <x:c r="AI468" s="13" t="n">
        <x:v>24</x:v>
      </x:c>
    </x:row>
    <x:row r="469" ht="34" customHeight="1">
      <x:c r="A469" s="15" t="str">
        <x:v>women's cushioned flip flops memory foam</x:v>
      </x:c>
      <x:c r="B469" s="15" t="str">
        <x:v>women's cushioned flip flops memory foam</x:v>
      </x:c>
      <x:c r="C469" s="10" t="str">
        <x:v>7247f41dd8f6cdc3</x:v>
      </x:c>
      <x:c r="D469" s="10" t="str">
        <x:v>keyword</x:v>
      </x:c>
      <x:c r="E469" s="10" t="str">
        <x:v>en</x:v>
      </x:c>
      <x:c r="F469" s="10" t="str">
        <x:v>clothing_shoes_jewelry</x:v>
      </x:c>
      <x:c r="G469" s="15" t="str"/>
      <x:c r="H469" s="15" t="str">
        <x:v>flip_flops</x:v>
      </x:c>
      <x:c r="I469" s="15" t="str">
        <x:v>women</x:v>
      </x:c>
      <x:c r="J469" s="15" t="str">
        <x:v>cushioning</x:v>
      </x:c>
      <x:c r="K469" s="15" t="str"/>
      <x:c r="L469" s="15" t="str"/>
      <x:c r="M469" s="15" t="str"/>
      <x:c r="N469" s="15" t="str"/>
      <x:c r="O469" s="15" t="str"/>
      <x:c r="P469" s="15" t="str"/>
      <x:c r="Q469" s="15" t="str"/>
      <x:c r="R469" s="15" t="str">
        <x:v>用户寻找带记忆棉缓震的女性人字拖。</x:v>
      </x:c>
      <x:c r="S469" s="10" t="str">
        <x:v>high_intent</x:v>
      </x:c>
      <x:c r="T469" s="15" t="str">
        <x:v>explicit | page_validated | inferred</x:v>
      </x:c>
      <x:c r="U469" s="10" t="str">
        <x:v>medium</x:v>
      </x:c>
      <x:c r="V469" s="15" t="str">
        <x:v>memory_foam_flip_flops</x:v>
      </x:c>
      <x:c r="W469" s="15" t="str">
        <x:v>listing_gap_review</x:v>
      </x:c>
      <x:c r="X469" s="15" t="str">
        <x:v>{"primary_domain":[{"value":"clothing_shoes_jewelry","evidence_type":"inferred","source_span":"flip flops","fact_ids":[],"rationale":"人字拖属于鞋履品类。"}],"product_type":[{"value":"flip_flops","evidence_type":"explicit","source_span":"flip flops","fact_ids":[],"rationale":"搜索词直接提及人字拖。"},{"value":"flip_flops","evidence_type":"page_validated","source_span":"","fact_ids":["style_flip_flop"],"rationale":"该槽位与商品基准中的明示页面事实一致。"}],"audience_intent":[{"value":"women","evidence_type":"explicit","source_span":"women's","fact_ids":[],"rationale":"搜索词指定女性用户。"},{"value":"women","evidence_type":"page_validated","source_span":"","fact_ids":["title_womens_flip_flop"],"rationale":"该槽位与商品基准中的明示页面事实一致。"}],"function_intent":[{"value":"cushioning","evidence_type":"explicit","source_span":"cushioned","fact_ids":["padded_cushioning"],"rationale":"搜索词要求缓震功能。"},{"value":"cushioning","evidence_type":"page_validated","source_span":"","fact_ids":["padded_cushioning"],"rationale":"该槽位与商品基准中的明示页面事实一致。"},{"value":"cushioning","evidence_type":"inferred","source_span":"","fact_ids":[],"rationale":"该能力由搜索词表达的任务或问题推断；页面事实仅用于验证商品承接。"}],"material":[{"value":"memory_foam","evidence_type":"explicit","source_span":"memory foam","fact_ids":[],"rationale":"记忆棉材质未在产品页面中声明。"}]}</x:v>
      </x:c>
      <x:c r="Y469" s="15" t="str"/>
      <x:c r="Z469" s="10" t="str">
        <x:v>partial_match</x:v>
      </x:c>
      <x:c r="AA469" s="15" t="str">
        <x:v>title_womens_flip_flop | style_flip_flop | padded_cushioning</x:v>
      </x:c>
      <x:c r="AB469" s="10" t="str">
        <x:v>accepted</x:v>
      </x:c>
      <x:c r="AC469" s="10" t="str">
        <x:v>1.0.0</x:v>
      </x:c>
      <x:c r="AD469" s="10" t="str">
        <x:v>1.1.0</x:v>
      </x:c>
      <x:c r="AE469" s="10" t="str">
        <x:v>deepseek/deepseek-v4-pro</x:v>
      </x:c>
      <x:c r="AF469" s="10" t="str">
        <x:v>aj2-y90-20260714T234810-0bea2f52</x:v>
      </x:c>
      <x:c r="AG469" s="10" t="str">
        <x:v>full-0024</x:v>
      </x:c>
      <x:c r="AH469" s="10" t="str">
        <x:v>full</x:v>
      </x:c>
      <x:c r="AI469" s="10" t="n">
        <x:v>24</x:v>
      </x:c>
    </x:row>
    <x:row r="470" ht="34" customHeight="1">
      <x:c r="A470" s="16" t="str">
        <x:v>zero drop flip flops no arch</x:v>
      </x:c>
      <x:c r="B470" s="16" t="str">
        <x:v>zero drop flip flops no arch</x:v>
      </x:c>
      <x:c r="C470" s="13" t="str">
        <x:v>79ecd99447e6cf5e</x:v>
      </x:c>
      <x:c r="D470" s="13" t="str">
        <x:v>keyword</x:v>
      </x:c>
      <x:c r="E470" s="13" t="str">
        <x:v>en</x:v>
      </x:c>
      <x:c r="F470" s="13" t="str">
        <x:v>clothing_shoes_jewelry</x:v>
      </x:c>
      <x:c r="G470" s="16" t="str"/>
      <x:c r="H470" s="16" t="str">
        <x:v>flip_flops</x:v>
      </x:c>
      <x:c r="I470" s="16" t="str"/>
      <x:c r="J470" s="16" t="str"/>
      <x:c r="K470" s="16" t="str">
        <x:v>zero_drop</x:v>
      </x:c>
      <x:c r="L470" s="16" t="str"/>
      <x:c r="M470" s="16" t="str"/>
      <x:c r="N470" s="16" t="str"/>
      <x:c r="O470" s="16" t="str"/>
      <x:c r="P470" s="16" t="str"/>
      <x:c r="Q470" s="16" t="str"/>
      <x:c r="R470" s="16" t="str">
        <x:v>用户寻找零高差且无足弓支撑的人字拖，与产品足弓支撑特性冲突。</x:v>
      </x:c>
      <x:c r="S470" s="13" t="str">
        <x:v>high_intent</x:v>
      </x:c>
      <x:c r="T470" s="16" t="str">
        <x:v>explicit | inferred</x:v>
      </x:c>
      <x:c r="U470" s="13" t="str">
        <x:v>high</x:v>
      </x:c>
      <x:c r="V470" s="16" t="str">
        <x:v>zero_drop_no_arch_flip_flops</x:v>
      </x:c>
      <x:c r="W470" s="16" t="str">
        <x:v>semantic_negative_candidate</x:v>
      </x:c>
      <x:c r="X470" s="16" t="str">
        <x:v>{"primary_domain":[{"value":"clothing_shoes_jewelry","evidence_type":"inferred","source_span":"flip flops","fact_ids":[],"rationale":"人字拖属于鞋履品类。"}],"product_type":[{"value":"flip_flops","evidence_type":"explicit","source_span":"flip flops","fact_ids":[],"rationale":"搜索词直接提及人字拖。"},{"value":"flip_flops","evidence_type":"page_validated","source_span":"","fact_ids":["style_flip_flop"],"rationale":"该槽位与商品基准中的明示页面事实一致。"}],"capability_intent":[{"value":"zero_drop","evidence_type":"explicit","source_span":"zero drop","fact_ids":[],"rationale":"搜索词要求零高差设计。"}],"negation":[{"value":"no_arch","evidence_type":"explicit","source_span":"no arch","fact_ids":[],"rationale":"明确排除足弓支撑，产品配有足弓支撑。"}]}</x:v>
      </x:c>
      <x:c r="Y470" s="16" t="str"/>
      <x:c r="Z470" s="13" t="str">
        <x:v>mismatch</x:v>
      </x:c>
      <x:c r="AA470" s="16" t="str"/>
      <x:c r="AB470" s="13" t="str">
        <x:v>accepted</x:v>
      </x:c>
      <x:c r="AC470" s="13" t="str">
        <x:v>1.0.0</x:v>
      </x:c>
      <x:c r="AD470" s="13" t="str">
        <x:v>1.1.0</x:v>
      </x:c>
      <x:c r="AE470" s="13" t="str">
        <x:v>deepseek/deepseek-v4-pro</x:v>
      </x:c>
      <x:c r="AF470" s="13" t="str">
        <x:v>aj2-y90-20260714T234810-0bea2f52</x:v>
      </x:c>
      <x:c r="AG470" s="13" t="str">
        <x:v>full-0024</x:v>
      </x:c>
      <x:c r="AH470" s="13" t="str">
        <x:v>full</x:v>
      </x:c>
      <x:c r="AI470" s="13" t="n">
        <x:v>24</x:v>
      </x:c>
    </x:row>
    <x:row r="471" ht="34" customHeight="1">
      <x:c r="A471" s="15" t="str">
        <x:v>white foam flip flops</x:v>
      </x:c>
      <x:c r="B471" s="15" t="str">
        <x:v>white foam flip flops</x:v>
      </x:c>
      <x:c r="C471" s="10" t="str">
        <x:v>7ada0d500cee494f</x:v>
      </x:c>
      <x:c r="D471" s="10" t="str">
        <x:v>keyword</x:v>
      </x:c>
      <x:c r="E471" s="10" t="str">
        <x:v>en</x:v>
      </x:c>
      <x:c r="F471" s="10" t="str">
        <x:v>clothing_shoes_jewelry</x:v>
      </x:c>
      <x:c r="G471" s="15" t="str"/>
      <x:c r="H471" s="15" t="str">
        <x:v>flip_flops</x:v>
      </x:c>
      <x:c r="I471" s="15" t="str"/>
      <x:c r="J471" s="15" t="str"/>
      <x:c r="K471" s="15" t="str"/>
      <x:c r="L471" s="15" t="str"/>
      <x:c r="M471" s="15" t="str"/>
      <x:c r="N471" s="15" t="str"/>
      <x:c r="O471" s="15" t="str"/>
      <x:c r="P471" s="15" t="str"/>
      <x:c r="Q471" s="15" t="str"/>
      <x:c r="R471" s="15" t="str">
        <x:v>用户寻找白色泡沫材质人字拖，关注颜色和材质。</x:v>
      </x:c>
      <x:c r="S471" s="10" t="str">
        <x:v>consideration</x:v>
      </x:c>
      <x:c r="T471" s="15" t="str">
        <x:v>explicit | page_validated | inferred</x:v>
      </x:c>
      <x:c r="U471" s="10" t="str">
        <x:v>high</x:v>
      </x:c>
      <x:c r="V471" s="15" t="str">
        <x:v>foam_flip_flops</x:v>
      </x:c>
      <x:c r="W471" s="15" t="str">
        <x:v>cluster_route</x:v>
      </x:c>
      <x:c r="X471" s="15" t="str">
        <x:v>{"primary_domain":[{"value":"clothing_shoes_jewelry","evidence_type":"inferred","source_span":"flip flops","fact_ids":[],"rationale":"人字拖属于鞋履品类。"}],"product_type":[{"value":"flip_flops","evidence_type":"explicit","source_span":"flip flops","fact_ids":[],"rationale":"搜索词直接提及人字拖。"},{"value":"flip_flops","evidence_type":"page_validated","source_span":"","fact_ids":["style_flip_flop"],"rationale":"该槽位与商品基准中的明示页面事实一致。"}],"color":[{"value":"white","evidence_type":"explicit","source_span":"white","fact_ids":["colors_visible"],"rationale":"该颜色在商品页面可见颜色选择中得到明确支持。"}],"material":[{"value":"foam","evidence_type":"explicit","source_span":"foam","fact_ids":["material_eva"],"rationale":"泡沫对应EVA材质。"}]}</x:v>
      </x:c>
      <x:c r="Y471" s="15" t="str"/>
      <x:c r="Z471" s="10" t="str">
        <x:v>match</x:v>
      </x:c>
      <x:c r="AA471" s="15" t="str">
        <x:v>style_flip_flop | material_eva | colors_visible</x:v>
      </x:c>
      <x:c r="AB471" s="10" t="str">
        <x:v>accepted</x:v>
      </x:c>
      <x:c r="AC471" s="10" t="str">
        <x:v>1.0.0</x:v>
      </x:c>
      <x:c r="AD471" s="10" t="str">
        <x:v>1.1.0</x:v>
      </x:c>
      <x:c r="AE471" s="10" t="str">
        <x:v>deepseek/deepseek-v4-pro</x:v>
      </x:c>
      <x:c r="AF471" s="10" t="str">
        <x:v>aj2-y90-20260714T234810-0bea2f52</x:v>
      </x:c>
      <x:c r="AG471" s="10" t="str">
        <x:v>full-0024</x:v>
      </x:c>
      <x:c r="AH471" s="10" t="str">
        <x:v>full</x:v>
      </x:c>
      <x:c r="AI471" s="10" t="n">
        <x:v>24</x:v>
      </x:c>
    </x:row>
    <x:row r="472" ht="34" customHeight="1">
      <x:c r="A472" s="16" t="str">
        <x:v>black womens size 10 flip flops</x:v>
      </x:c>
      <x:c r="B472" s="16" t="str">
        <x:v>black womens size 10 flip flops</x:v>
      </x:c>
      <x:c r="C472" s="13" t="str">
        <x:v>8c5ae31993a16ed1</x:v>
      </x:c>
      <x:c r="D472" s="13" t="str">
        <x:v>keyword</x:v>
      </x:c>
      <x:c r="E472" s="13" t="str">
        <x:v>en</x:v>
      </x:c>
      <x:c r="F472" s="13" t="str">
        <x:v>clothing_shoes_jewelry</x:v>
      </x:c>
      <x:c r="G472" s="16" t="str"/>
      <x:c r="H472" s="16" t="str">
        <x:v>flip_flops</x:v>
      </x:c>
      <x:c r="I472" s="16" t="str">
        <x:v>women</x:v>
      </x:c>
      <x:c r="J472" s="16" t="str"/>
      <x:c r="K472" s="16" t="str"/>
      <x:c r="L472" s="16" t="str"/>
      <x:c r="M472" s="16" t="str"/>
      <x:c r="N472" s="16" t="str"/>
      <x:c r="O472" s="16" t="str"/>
      <x:c r="P472" s="16" t="str"/>
      <x:c r="Q472" s="16" t="str"/>
      <x:c r="R472" s="16" t="str">
        <x:v>用户寻找黑色10码女性人字拖，已锁定具体颜色和尺码。</x:v>
      </x:c>
      <x:c r="S472" s="13" t="str">
        <x:v>high_intent</x:v>
      </x:c>
      <x:c r="T472" s="16" t="str">
        <x:v>explicit | page_validated | inferred</x:v>
      </x:c>
      <x:c r="U472" s="13" t="str">
        <x:v>high</x:v>
      </x:c>
      <x:c r="V472" s="16" t="str">
        <x:v>black_womens_flip_flops</x:v>
      </x:c>
      <x:c r="W472" s="16" t="str">
        <x:v>cluster_route</x:v>
      </x:c>
      <x:c r="X472" s="16" t="str">
        <x:v>{"primary_domain":[{"value":"clothing_shoes_jewelry","evidence_type":"inferred","source_span":"flip flops","fact_ids":[],"rationale":"人字拖属于鞋履品类。"}],"product_type":[{"value":"flip_flops","evidence_type":"explicit","source_span":"flip flops","fact_ids":[],"rationale":"搜索词直接提及人字拖。"},{"value":"flip_flops","evidence_type":"page_validated","source_span":"","fact_ids":["style_flip_flop"],"rationale":"该槽位与商品基准中的明示页面事实一致。"}],"audience_intent":[{"value":"women","evidence_type":"explicit","source_span":"womens","fact_ids":[],"rationale":"搜索词指定女性用户。"},{"value":"women","evidence_type":"page_validated","source_span":"","fact_ids":["title_womens_flip_flop"],"rationale":"该槽位与商品基准中的明示页面事实一致。"}],"color":[{"value":"black","evidence_type":"explicit","source_span":"black","fact_ids":["colors_visible"],"rationale":"该颜色在商品页面可见颜色选择中得到明确支持。"}],"size":[{"value":"10","evidence_type":"explicit","source_span":"size 10","fact_ids":["sizes_6_11"],"rationale":"10码在可选尺码范围内。"}]}</x:v>
      </x:c>
      <x:c r="Y472" s="16" t="str"/>
      <x:c r="Z472" s="13" t="str">
        <x:v>match</x:v>
      </x:c>
      <x:c r="AA472" s="16" t="str">
        <x:v>title_womens_flip_flop | style_flip_flop | colors_visible | sizes_6_11</x:v>
      </x:c>
      <x:c r="AB472" s="13" t="str">
        <x:v>accepted</x:v>
      </x:c>
      <x:c r="AC472" s="13" t="str">
        <x:v>1.0.0</x:v>
      </x:c>
      <x:c r="AD472" s="13" t="str">
        <x:v>1.1.0</x:v>
      </x:c>
      <x:c r="AE472" s="13" t="str">
        <x:v>deepseek/deepseek-v4-pro</x:v>
      </x:c>
      <x:c r="AF472" s="13" t="str">
        <x:v>aj2-y90-20260714T234810-0bea2f52</x:v>
      </x:c>
      <x:c r="AG472" s="13" t="str">
        <x:v>full-0024</x:v>
      </x:c>
      <x:c r="AH472" s="13" t="str">
        <x:v>full</x:v>
      </x:c>
      <x:c r="AI472" s="13" t="n">
        <x:v>24</x:v>
      </x:c>
    </x:row>
    <x:row r="473" ht="34" customHeight="1">
      <x:c r="A473" s="15" t="str">
        <x:v>light blue orthopedic flip flops women</x:v>
      </x:c>
      <x:c r="B473" s="15" t="str">
        <x:v>light blue orthopedic flip flops women</x:v>
      </x:c>
      <x:c r="C473" s="10" t="str">
        <x:v>8f9bb3035ec2a716</x:v>
      </x:c>
      <x:c r="D473" s="10" t="str">
        <x:v>keyword</x:v>
      </x:c>
      <x:c r="E473" s="10" t="str">
        <x:v>en</x:v>
      </x:c>
      <x:c r="F473" s="10" t="str">
        <x:v>clothing_shoes_jewelry</x:v>
      </x:c>
      <x:c r="G473" s="15" t="str"/>
      <x:c r="H473" s="15" t="str">
        <x:v>flip_flops</x:v>
      </x:c>
      <x:c r="I473" s="15" t="str">
        <x:v>women</x:v>
      </x:c>
      <x:c r="J473" s="15" t="str">
        <x:v>orthopedic_support</x:v>
      </x:c>
      <x:c r="K473" s="15" t="str"/>
      <x:c r="L473" s="15" t="str"/>
      <x:c r="M473" s="15" t="str"/>
      <x:c r="N473" s="15" t="str">
        <x:v>orthopedic_need</x:v>
      </x:c>
      <x:c r="O473" s="15" t="str"/>
      <x:c r="P473" s="15" t="str"/>
      <x:c r="Q473" s="15" t="str"/>
      <x:c r="R473" s="15" t="str">
        <x:v>用户寻找浅蓝色具有矫形支撑功能的女性人字拖。</x:v>
      </x:c>
      <x:c r="S473" s="10" t="str">
        <x:v>high_intent</x:v>
      </x:c>
      <x:c r="T473" s="15" t="str">
        <x:v>explicit | page_validated | inferred</x:v>
      </x:c>
      <x:c r="U473" s="10" t="str">
        <x:v>medium</x:v>
      </x:c>
      <x:c r="V473" s="15" t="str">
        <x:v>orthopedic_flip_flops</x:v>
      </x:c>
      <x:c r="W473" s="15" t="str">
        <x:v>listing_gap_review</x:v>
      </x:c>
      <x:c r="X473" s="15" t="str">
        <x:v>{"primary_domain":[{"value":"clothing_shoes_jewelry","evidence_type":"inferred","source_span":"flip flops","fact_ids":[],"rationale":"人字拖属于鞋履品类。"}],"product_type":[{"value":"flip_flops","evidence_type":"explicit","source_span":"flip flops","fact_ids":[],"rationale":"搜索词直接提及人字拖。"},{"value":"flip_flops","evidence_type":"page_validated","source_span":"","fact_ids":["style_flip_flop"],"rationale":"该槽位与商品基准中的明示页面事实一致。"}],"audience_intent":[{"value":"women","evidence_type":"explicit","source_span":"women","fact_ids":[],"rationale":"搜索词指定女性用户。"},{"value":"women","evidence_type":"page_validated","source_span":"","fact_ids":["title_womens_flip_flop"],"rationale":"该槽位与商品基准中的明示页面事实一致。"}],"function_intent":[{"value":"orthopedic_support","evidence_type":"explicit","source_span":"orthopedic","fact_ids":["arch_support"],"rationale":"矫形需求与足弓支撑部分相关。"}],"body_need_intent":[{"value":"orthopedic_need","evidence_type":"explicit","source_span":"orthopedic","fact_ids":[],"rationale":"矫形暗示足部医疗需求，页面未声明医疗功效。"}],"color":[{"value":"light_blue","evidence_type":"explicit","source_span":"light blue","fact_ids":["colors_visible"],"rationale":"该颜色在商品页面可见颜色选择中得到明确支持。"}]}</x:v>
      </x:c>
      <x:c r="Y473" s="15" t="str"/>
      <x:c r="Z473" s="10" t="str">
        <x:v>partial_match</x:v>
      </x:c>
      <x:c r="AA473" s="15" t="str">
        <x:v>title_womens_flip_flop | style_flip_flop | arch_support | colors_visible</x:v>
      </x:c>
      <x:c r="AB473" s="10" t="str">
        <x:v>accepted</x:v>
      </x:c>
      <x:c r="AC473" s="10" t="str">
        <x:v>1.0.0</x:v>
      </x:c>
      <x:c r="AD473" s="10" t="str">
        <x:v>1.1.0</x:v>
      </x:c>
      <x:c r="AE473" s="10" t="str">
        <x:v>deepseek/deepseek-v4-pro</x:v>
      </x:c>
      <x:c r="AF473" s="10" t="str">
        <x:v>aj2-y90-20260714T234810-0bea2f52</x:v>
      </x:c>
      <x:c r="AG473" s="10" t="str">
        <x:v>full-0024</x:v>
      </x:c>
      <x:c r="AH473" s="10" t="str">
        <x:v>full</x:v>
      </x:c>
      <x:c r="AI473" s="10" t="n">
        <x:v>24</x:v>
      </x:c>
    </x:row>
    <x:row r="474" ht="34" customHeight="1">
      <x:c r="A474" s="16" t="str">
        <x:v>womens black flip flops comfort support</x:v>
      </x:c>
      <x:c r="B474" s="16" t="str">
        <x:v>womens black flip flops comfort support</x:v>
      </x:c>
      <x:c r="C474" s="13" t="str">
        <x:v>9eddec10cd36c070</x:v>
      </x:c>
      <x:c r="D474" s="13" t="str">
        <x:v>keyword</x:v>
      </x:c>
      <x:c r="E474" s="13" t="str">
        <x:v>en</x:v>
      </x:c>
      <x:c r="F474" s="13" t="str">
        <x:v>clothing_shoes_jewelry</x:v>
      </x:c>
      <x:c r="G474" s="16" t="str"/>
      <x:c r="H474" s="16" t="str">
        <x:v>flip_flops</x:v>
      </x:c>
      <x:c r="I474" s="16" t="str">
        <x:v>women</x:v>
      </x:c>
      <x:c r="J474" s="16" t="str">
        <x:v>comfort | support</x:v>
      </x:c>
      <x:c r="K474" s="16" t="str"/>
      <x:c r="L474" s="16" t="str"/>
      <x:c r="M474" s="16" t="str"/>
      <x:c r="N474" s="16" t="str">
        <x:v>arch_support</x:v>
      </x:c>
      <x:c r="O474" s="16" t="str"/>
      <x:c r="P474" s="16" t="str"/>
      <x:c r="Q474" s="16" t="str"/>
      <x:c r="R474" s="16" t="str">
        <x:v>用户寻找黑色舒适且具支撑功能的女性人字拖。</x:v>
      </x:c>
      <x:c r="S474" s="13" t="str">
        <x:v>high_intent</x:v>
      </x:c>
      <x:c r="T474" s="16" t="str">
        <x:v>explicit | page_validated | inferred</x:v>
      </x:c>
      <x:c r="U474" s="13" t="str">
        <x:v>high</x:v>
      </x:c>
      <x:c r="V474" s="16" t="str">
        <x:v>comfort_support_flip_flops</x:v>
      </x:c>
      <x:c r="W474" s="16" t="str">
        <x:v>cluster_route</x:v>
      </x:c>
      <x:c r="X474" s="16" t="str">
        <x:v>{"primary_domain":[{"value":"clothing_shoes_jewelry","evidence_type":"inferred","source_span":"flip flops","fact_ids":[],"rationale":"人字拖属于鞋履品类。"}],"product_type":[{"value":"flip_flops","evidence_type":"explicit","source_span":"flip flops","fact_ids":[],"rationale":"搜索词直接提及人字拖。"},{"value":"flip_flops","evidence_type":"page_validated","source_span":"","fact_ids":["style_flip_flop"],"rationale":"该槽位与商品基准中的明示页面事实一致。"}],"audience_intent":[{"value":"women","evidence_type":"explicit","source_span":"womens","fact_ids":[],"rationale":"搜索词指定女性用户。"},{"value":"women","evidence_type":"page_validated","source_span":"","fact_ids":["title_womens_flip_flop"],"rationale":"该槽位与商品基准中的明示页面事实一致。"}],"function_intent":[{"value":"comfort","evidence_type":"explicit","source_span":"comfort","fact_ids":["padded_cushioning","arch_support"],"rationale":"搜索词要求舒适功能。"},{"value":"support","evidence_type":"explicit","source_span":"support","fact_ids":["arch_support"],"rationale":"搜索词要求支撑功能。"},{"value":"comfort","evidence_type":"page_validated","source_span":"","fact_ids":["arch_support","padded_cushioning"],"rationale":"该槽位与商品基准中的明示页面事实一致。"}],"color":[{"value":"black","evidence_type":"explicit","source_span":"black","fact_ids":["colors_visible"],"rationale":"该颜色在商品页面可见颜色选择中得到明确支持。"}],"capability_intent":[{"value":"arch_support","evidence_type":"page_validated","source_span":"","fact_ids":["arch_support"],"rationale":"该槽位与商品基准中的明示页面事实一致。"},{"value":"arch_support","evidence_type":"inferred","source_span":"","fact_ids":[],"rationale":"该能力由搜索词表达的任务或问题推断；页面事实仅用于验证商品承接。"}]}</x:v>
      </x:c>
      <x:c r="Y474" s="16" t="str"/>
      <x:c r="Z474" s="13" t="str">
        <x:v>match</x:v>
      </x:c>
      <x:c r="AA474" s="16" t="str">
        <x:v>title_womens_flip_flop | style_flip_flop | arch_support | padded_cushioning | colors_visible</x:v>
      </x:c>
      <x:c r="AB474" s="13" t="str">
        <x:v>accepted</x:v>
      </x:c>
      <x:c r="AC474" s="13" t="str">
        <x:v>1.0.0</x:v>
      </x:c>
      <x:c r="AD474" s="13" t="str">
        <x:v>1.1.0</x:v>
      </x:c>
      <x:c r="AE474" s="13" t="str">
        <x:v>deepseek/deepseek-v4-pro</x:v>
      </x:c>
      <x:c r="AF474" s="13" t="str">
        <x:v>aj2-y90-20260714T234810-0bea2f52</x:v>
      </x:c>
      <x:c r="AG474" s="13" t="str">
        <x:v>full-0024</x:v>
      </x:c>
      <x:c r="AH474" s="13" t="str">
        <x:v>full</x:v>
      </x:c>
      <x:c r="AI474" s="13" t="n">
        <x:v>24</x:v>
      </x:c>
    </x:row>
    <x:row r="475" ht="34" customHeight="1">
      <x:c r="A475" s="15" t="str">
        <x:v>taupe sandals for women</x:v>
      </x:c>
      <x:c r="B475" s="15" t="str">
        <x:v>taupe sandals for women</x:v>
      </x:c>
      <x:c r="C475" s="10" t="str">
        <x:v>c1aa576a62a7e284</x:v>
      </x:c>
      <x:c r="D475" s="10" t="str">
        <x:v>keyword</x:v>
      </x:c>
      <x:c r="E475" s="10" t="str">
        <x:v>en</x:v>
      </x:c>
      <x:c r="F475" s="10" t="str">
        <x:v>clothing_shoes_jewelry</x:v>
      </x:c>
      <x:c r="G475" s="15" t="str"/>
      <x:c r="H475" s="15" t="str">
        <x:v>sandals</x:v>
      </x:c>
      <x:c r="I475" s="15" t="str">
        <x:v>women</x:v>
      </x:c>
      <x:c r="J475" s="15" t="str"/>
      <x:c r="K475" s="15" t="str"/>
      <x:c r="L475" s="15" t="str"/>
      <x:c r="M475" s="15" t="str"/>
      <x:c r="N475" s="15" t="str"/>
      <x:c r="O475" s="15" t="str"/>
      <x:c r="P475" s="15" t="str"/>
      <x:c r="Q475" s="15" t="str"/>
      <x:c r="R475" s="15" t="str">
        <x:v>用户寻找灰褐色女性凉鞋，对颜色有特定偏好。</x:v>
      </x:c>
      <x:c r="S475" s="10" t="str">
        <x:v>consideration</x:v>
      </x:c>
      <x:c r="T475" s="15" t="str">
        <x:v>explicit | page_validated | inferred</x:v>
      </x:c>
      <x:c r="U475" s="10" t="str">
        <x:v>medium</x:v>
      </x:c>
      <x:c r="V475" s="15" t="str">
        <x:v>taupe_womens_sandals</x:v>
      </x:c>
      <x:c r="W475" s="15" t="str">
        <x:v>listing_gap_review</x:v>
      </x:c>
      <x:c r="X475" s="15" t="str">
        <x:v>{"primary_domain":[{"value":"clothing_shoes_jewelry","evidence_type":"inferred","source_span":"sandals","fact_ids":[],"rationale":"凉鞋属于服装鞋履品类。"}],"product_type":[{"value":"sandals","evidence_type":"explicit","source_span":"sandals","fact_ids":[],"rationale":"搜索词直接提及凉鞋。"},{"value":"sandals","evidence_type":"page_validated","source_span":"","fact_ids":["title_womens_flip_flop"],"rationale":"该槽位与商品基准中的明示页面事实一致。"}],"audience_intent":[{"value":"women","evidence_type":"explicit","source_span":"women","fact_ids":[],"rationale":"搜索词指定女性用户。"},{"value":"women","evidence_type":"page_validated","source_span":"","fact_ids":["title_womens_flip_flop"],"rationale":"该槽位与商品基准中的明示页面事实一致。"}],"color":[{"value":"taupe","evidence_type":"explicit","source_span":"taupe","fact_ids":[],"rationale":"灰褐色未在产品颜色选项中。"}]}</x:v>
      </x:c>
      <x:c r="Y475" s="15" t="str"/>
      <x:c r="Z475" s="10" t="str">
        <x:v>partial_match</x:v>
      </x:c>
      <x:c r="AA475" s="15" t="str">
        <x:v>title_womens_flip_flop | style_flip_flop</x:v>
      </x:c>
      <x:c r="AB475" s="10" t="str">
        <x:v>accepted</x:v>
      </x:c>
      <x:c r="AC475" s="10" t="str">
        <x:v>1.0.0</x:v>
      </x:c>
      <x:c r="AD475" s="10" t="str">
        <x:v>1.1.0</x:v>
      </x:c>
      <x:c r="AE475" s="10" t="str">
        <x:v>deepseek/deepseek-v4-pro</x:v>
      </x:c>
      <x:c r="AF475" s="10" t="str">
        <x:v>aj2-y90-20260714T234810-0bea2f52</x:v>
      </x:c>
      <x:c r="AG475" s="10" t="str">
        <x:v>full-0024</x:v>
      </x:c>
      <x:c r="AH475" s="10" t="str">
        <x:v>full</x:v>
      </x:c>
      <x:c r="AI475" s="10" t="n">
        <x:v>24</x:v>
      </x:c>
    </x:row>
    <x:row r="476" ht="34" customHeight="1">
      <x:c r="A476" s="16" t="str">
        <x:v>comfortable womens flip flops</x:v>
      </x:c>
      <x:c r="B476" s="16" t="str">
        <x:v>comfortable womens flip flops</x:v>
      </x:c>
      <x:c r="C476" s="13" t="str">
        <x:v>cfff71a95d62893f</x:v>
      </x:c>
      <x:c r="D476" s="13" t="str">
        <x:v>keyword</x:v>
      </x:c>
      <x:c r="E476" s="13" t="str">
        <x:v>en</x:v>
      </x:c>
      <x:c r="F476" s="13" t="str">
        <x:v>clothing_shoes_jewelry</x:v>
      </x:c>
      <x:c r="G476" s="16" t="str"/>
      <x:c r="H476" s="16" t="str">
        <x:v>flip_flops</x:v>
      </x:c>
      <x:c r="I476" s="16" t="str">
        <x:v>women</x:v>
      </x:c>
      <x:c r="J476" s="16" t="str">
        <x:v>comfort</x:v>
      </x:c>
      <x:c r="K476" s="16" t="str"/>
      <x:c r="L476" s="16" t="str"/>
      <x:c r="M476" s="16" t="str"/>
      <x:c r="N476" s="16" t="str"/>
      <x:c r="O476" s="16" t="str"/>
      <x:c r="P476" s="16" t="str"/>
      <x:c r="Q476" s="16" t="str"/>
      <x:c r="R476" s="16" t="str">
        <x:v>用户寻找穿着舒适的女性人字拖。</x:v>
      </x:c>
      <x:c r="S476" s="13" t="str">
        <x:v>consideration</x:v>
      </x:c>
      <x:c r="T476" s="16" t="str">
        <x:v>explicit | page_validated | inferred</x:v>
      </x:c>
      <x:c r="U476" s="13" t="str">
        <x:v>high</x:v>
      </x:c>
      <x:c r="V476" s="16" t="str">
        <x:v>comfort_womens_flip_flops</x:v>
      </x:c>
      <x:c r="W476" s="16" t="str">
        <x:v>cluster_route</x:v>
      </x:c>
      <x:c r="X476" s="16" t="str">
        <x:v>{"primary_domain":[{"value":"clothing_shoes_jewelry","evidence_type":"inferred","source_span":"flip flops","fact_ids":[],"rationale":"人字拖属于鞋履品类。"}],"product_type":[{"value":"flip_flops","evidence_type":"explicit","source_span":"flip flops","fact_ids":[],"rationale":"搜索词直接提及人字拖。"},{"value":"flip_flops","evidence_type":"page_validated","source_span":"","fact_ids":["style_flip_flop"],"rationale":"该槽位与商品基准中的明示页面事实一致。"}],"audience_intent":[{"value":"women","evidence_type":"explicit","source_span":"womens","fact_ids":[],"rationale":"搜索词指定女性用户。"},{"value":"women","evidence_type":"page_validated","source_span":"","fact_ids":["title_womens_flip_flop"],"rationale":"该槽位与商品基准中的明示页面事实一致。"}],"function_intent":[{"value":"comfort","evidence_type":"explicit","source_span":"comfortable","fact_ids":["arch_support","padded_cushioning"],"rationale":"搜索词要求舒适功能。"},{"value":"comfort","evidence_type":"page_validated","source_span":"","fact_ids":["arch_support","padded_cushioning"],"rationale":"该槽位与商品基准中的明示页面事实一致。"}]}</x:v>
      </x:c>
      <x:c r="Y476" s="16" t="str"/>
      <x:c r="Z476" s="13" t="str">
        <x:v>match</x:v>
      </x:c>
      <x:c r="AA476" s="16" t="str">
        <x:v>title_womens_flip_flop | style_flip_flop | arch_support | padded_cushioning</x:v>
      </x:c>
      <x:c r="AB476" s="13" t="str">
        <x:v>accepted</x:v>
      </x:c>
      <x:c r="AC476" s="13" t="str">
        <x:v>1.0.0</x:v>
      </x:c>
      <x:c r="AD476" s="13" t="str">
        <x:v>1.1.0</x:v>
      </x:c>
      <x:c r="AE476" s="13" t="str">
        <x:v>deepseek/deepseek-v4-pro</x:v>
      </x:c>
      <x:c r="AF476" s="13" t="str">
        <x:v>aj2-y90-20260714T234810-0bea2f52</x:v>
      </x:c>
      <x:c r="AG476" s="13" t="str">
        <x:v>full-0024</x:v>
      </x:c>
      <x:c r="AH476" s="13" t="str">
        <x:v>full</x:v>
      </x:c>
      <x:c r="AI476" s="13" t="n">
        <x:v>24</x:v>
      </x:c>
    </x:row>
    <x:row r="477" ht="34" customHeight="1">
      <x:c r="A477" s="15" t="str">
        <x:v>women sandals arch support</x:v>
      </x:c>
      <x:c r="B477" s="15" t="str">
        <x:v>women sandals arch support</x:v>
      </x:c>
      <x:c r="C477" s="10" t="str">
        <x:v>d0125eda62d26e2d</x:v>
      </x:c>
      <x:c r="D477" s="10" t="str">
        <x:v>keyword</x:v>
      </x:c>
      <x:c r="E477" s="10" t="str">
        <x:v>en</x:v>
      </x:c>
      <x:c r="F477" s="10" t="str">
        <x:v>clothing_shoes_jewelry</x:v>
      </x:c>
      <x:c r="G477" s="15" t="str"/>
      <x:c r="H477" s="15" t="str">
        <x:v>sandals</x:v>
      </x:c>
      <x:c r="I477" s="15" t="str">
        <x:v>women</x:v>
      </x:c>
      <x:c r="J477" s="15" t="str">
        <x:v>arch_support</x:v>
      </x:c>
      <x:c r="K477" s="15" t="str"/>
      <x:c r="L477" s="15" t="str"/>
      <x:c r="M477" s="15" t="str"/>
      <x:c r="N477" s="15" t="str">
        <x:v>arch_support</x:v>
      </x:c>
      <x:c r="O477" s="15" t="str"/>
      <x:c r="P477" s="15" t="str"/>
      <x:c r="Q477" s="15" t="str"/>
      <x:c r="R477" s="15" t="str">
        <x:v>用户寻找具有足弓支撑功能的女性凉鞋。</x:v>
      </x:c>
      <x:c r="S477" s="10" t="str">
        <x:v>consideration</x:v>
      </x:c>
      <x:c r="T477" s="15" t="str">
        <x:v>explicit | page_validated | inferred</x:v>
      </x:c>
      <x:c r="U477" s="10" t="str">
        <x:v>high</x:v>
      </x:c>
      <x:c r="V477" s="15" t="str">
        <x:v>arch_support_sandals</x:v>
      </x:c>
      <x:c r="W477" s="15" t="str">
        <x:v>cluster_route</x:v>
      </x:c>
      <x:c r="X477" s="15" t="str">
        <x:v>{"primary_domain":[{"value":"clothing_shoes_jewelry","evidence_type":"inferred","source_span":"sandals","fact_ids":[],"rationale":"凉鞋属于服装鞋履品类。"}],"product_type":[{"value":"sandals","evidence_type":"explicit","source_span":"sandals","fact_ids":[],"rationale":"搜索词直接提及凉鞋。"},{"value":"sandals","evidence_type":"page_validated","source_span":"","fact_ids":["title_womens_flip_flop"],"rationale":"该槽位与商品基准中的明示页面事实一致。"}],"audience_intent":[{"value":"women","evidence_type":"explicit","source_span":"women","fact_ids":[],"rationale":"搜索词指定女性用户。"},{"value":"women","evidence_type":"page_validated","source_span":"","fact_ids":["title_womens_flip_flop"],"rationale":"该槽位与商品基准中的明示页面事实一致。"}],"capability_intent":[{"value":"arch_support","evidence_type":"page_validated","source_span":"","fact_ids":["arch_support"],"rationale":"该槽位与商品基准中的明示页面事实一致。"}]}</x:v>
      </x:c>
      <x:c r="Y477" s="15" t="str"/>
      <x:c r="Z477" s="10" t="str">
        <x:v>match</x:v>
      </x:c>
      <x:c r="AA477" s="15" t="str">
        <x:v>title_womens_flip_flop | style_flip_flop | arch_support</x:v>
      </x:c>
      <x:c r="AB477" s="10" t="str">
        <x:v>accepted</x:v>
      </x:c>
      <x:c r="AC477" s="10" t="str">
        <x:v>1.0.0</x:v>
      </x:c>
      <x:c r="AD477" s="10" t="str">
        <x:v>1.1.0</x:v>
      </x:c>
      <x:c r="AE477" s="10" t="str">
        <x:v>deepseek/deepseek-v4-pro</x:v>
      </x:c>
      <x:c r="AF477" s="10" t="str">
        <x:v>aj2-y90-20260714T234810-0bea2f52</x:v>
      </x:c>
      <x:c r="AG477" s="10" t="str">
        <x:v>full-0024</x:v>
      </x:c>
      <x:c r="AH477" s="10" t="str">
        <x:v>full</x:v>
      </x:c>
      <x:c r="AI477" s="10" t="n">
        <x:v>24</x:v>
      </x:c>
    </x:row>
    <x:row r="478" ht="34" customHeight="1">
      <x:c r="A478" s="16" t="str">
        <x:v>voltare. flip flops</x:v>
      </x:c>
      <x:c r="B478" s="16" t="str">
        <x:v>voltare. flip flops</x:v>
      </x:c>
      <x:c r="C478" s="13" t="str">
        <x:v>db2675da0c1c31c5</x:v>
      </x:c>
      <x:c r="D478" s="13" t="str">
        <x:v>keyword</x:v>
      </x:c>
      <x:c r="E478" s="13" t="str">
        <x:v>en</x:v>
      </x:c>
      <x:c r="F478" s="13" t="str">
        <x:v>clothing_shoes_jewelry</x:v>
      </x:c>
      <x:c r="G478" s="16" t="str"/>
      <x:c r="H478" s="16" t="str">
        <x:v>flip_flops</x:v>
      </x:c>
      <x:c r="I478" s="16" t="str"/>
      <x:c r="J478" s="16" t="str"/>
      <x:c r="K478" s="16" t="str"/>
      <x:c r="L478" s="16" t="str"/>
      <x:c r="M478" s="16" t="str"/>
      <x:c r="N478" s="16" t="str"/>
      <x:c r="O478" s="16" t="str"/>
      <x:c r="P478" s="16" t="str"/>
      <x:c r="Q478" s="16" t="str"/>
      <x:c r="R478" s="16" t="str">
        <x:v>用户寻找Voltare品牌的人字拖，品牌与本产品不符。</x:v>
      </x:c>
      <x:c r="S478" s="13" t="str">
        <x:v>brand_harvest</x:v>
      </x:c>
      <x:c r="T478" s="16" t="str">
        <x:v>explicit | inferred</x:v>
      </x:c>
      <x:c r="U478" s="13" t="str">
        <x:v>high</x:v>
      </x:c>
      <x:c r="V478" s="16" t="str">
        <x:v>branded_flip_flops</x:v>
      </x:c>
      <x:c r="W478" s="16" t="str">
        <x:v>semantic_negative_candidate</x:v>
      </x:c>
      <x:c r="X478" s="16" t="str">
        <x:v>{"primary_domain":[{"value":"clothing_shoes_jewelry","evidence_type":"inferred","source_span":"flip flops","fact_ids":[],"rationale":"人字拖属于鞋履品类。"}],"product_type":[{"value":"flip_flops","evidence_type":"explicit","source_span":"flip flops","fact_ids":[],"rationale":"搜索词直接提及人字拖。"},{"value":"flip_flops","evidence_type":"page_validated","source_span":"","fact_ids":["style_flip_flop"],"rationale":"该槽位与商品基准中的明示页面事实一致。"}],"brand":[{"value":"voltare","evidence_type":"explicit","source_span":"voltare.","fact_ids":[],"rationale":"搜索词指定Voltare品牌，非joomra。"}]}</x:v>
      </x:c>
      <x:c r="Y478" s="16" t="str"/>
      <x:c r="Z478" s="13" t="str">
        <x:v>mismatch</x:v>
      </x:c>
      <x:c r="AA478" s="16" t="str"/>
      <x:c r="AB478" s="13" t="str">
        <x:v>accepted</x:v>
      </x:c>
      <x:c r="AC478" s="13" t="str">
        <x:v>1.0.0</x:v>
      </x:c>
      <x:c r="AD478" s="13" t="str">
        <x:v>1.1.0</x:v>
      </x:c>
      <x:c r="AE478" s="13" t="str">
        <x:v>deepseek/deepseek-v4-pro</x:v>
      </x:c>
      <x:c r="AF478" s="13" t="str">
        <x:v>aj2-y90-20260714T234810-0bea2f52</x:v>
      </x:c>
      <x:c r="AG478" s="13" t="str">
        <x:v>full-0024</x:v>
      </x:c>
      <x:c r="AH478" s="13" t="str">
        <x:v>full</x:v>
      </x:c>
      <x:c r="AI478" s="13" t="n">
        <x:v>24</x:v>
      </x:c>
    </x:row>
    <x:row r="479" ht="34" customHeight="1">
      <x:c r="A479" s="15" t="str">
        <x:v>light feet flip flops</x:v>
      </x:c>
      <x:c r="B479" s="15" t="str">
        <x:v>light feet flip flops</x:v>
      </x:c>
      <x:c r="C479" s="10" t="str">
        <x:v>dd464f932c7a6c95</x:v>
      </x:c>
      <x:c r="D479" s="10" t="str">
        <x:v>keyword</x:v>
      </x:c>
      <x:c r="E479" s="10" t="str">
        <x:v>en</x:v>
      </x:c>
      <x:c r="F479" s="10" t="str">
        <x:v>clothing_shoes_jewelry</x:v>
      </x:c>
      <x:c r="G479" s="15" t="str"/>
      <x:c r="H479" s="15" t="str">
        <x:v>flip_flops</x:v>
      </x:c>
      <x:c r="I479" s="15" t="str"/>
      <x:c r="J479" s="15" t="str"/>
      <x:c r="K479" s="15" t="str">
        <x:v>lightweight</x:v>
      </x:c>
      <x:c r="L479" s="15" t="str"/>
      <x:c r="M479" s="15" t="str"/>
      <x:c r="N479" s="15" t="str"/>
      <x:c r="O479" s="15" t="str"/>
      <x:c r="P479" s="15" t="str"/>
      <x:c r="Q479" s="15" t="str"/>
      <x:c r="R479" s="15" t="str">
        <x:v>用户寻找轻便的人字拖，减轻足部负担。</x:v>
      </x:c>
      <x:c r="S479" s="10" t="str">
        <x:v>consideration</x:v>
      </x:c>
      <x:c r="T479" s="15" t="str">
        <x:v>explicit | page_validated | inferred</x:v>
      </x:c>
      <x:c r="U479" s="10" t="str">
        <x:v>high</x:v>
      </x:c>
      <x:c r="V479" s="15" t="str">
        <x:v>lightweight_flip_flops</x:v>
      </x:c>
      <x:c r="W479" s="15" t="str">
        <x:v>cluster_route</x:v>
      </x:c>
      <x:c r="X479" s="15" t="str">
        <x:v>{"primary_domain":[{"value":"clothing_shoes_jewelry","evidence_type":"inferred","source_span":"flip flops","fact_ids":[],"rationale":"人字拖属于鞋履品类。"}],"product_type":[{"value":"flip_flops","evidence_type":"explicit","source_span":"flip flops","fact_ids":[],"rationale":"搜索词直接提及人字拖。"},{"value":"flip_flops","evidence_type":"page_validated","source_span":"","fact_ids":["style_flip_flop"],"rationale":"该槽位与商品基准中的明示页面事实一致。"}],"capability_intent":[{"value":"lightweight","evidence_type":"explicit","source_span":"light","fact_ids":["lightweight_breathable"],"rationale":"搜索词要求轻便特性。"},{"value":"lightweight","evidence_type":"page_validated","source_span":"","fact_ids":["lightweight_breathable"],"rationale":"该槽位与商品基准中的明示页面事实一致。"},{"value":"lightweight","evidence_type":"inferred","source_span":"","fact_ids":[],"rationale":"该能力由搜索词表达的任务或问题推断；页面事实仅用于验证商品承接。"}]}</x:v>
      </x:c>
      <x:c r="Y479" s="15" t="str"/>
      <x:c r="Z479" s="10" t="str">
        <x:v>match</x:v>
      </x:c>
      <x:c r="AA479" s="15" t="str">
        <x:v>style_flip_flop | lightweight_breathable</x:v>
      </x:c>
      <x:c r="AB479" s="10" t="str">
        <x:v>accepted</x:v>
      </x:c>
      <x:c r="AC479" s="10" t="str">
        <x:v>1.0.0</x:v>
      </x:c>
      <x:c r="AD479" s="10" t="str">
        <x:v>1.1.0</x:v>
      </x:c>
      <x:c r="AE479" s="10" t="str">
        <x:v>deepseek/deepseek-v4-pro</x:v>
      </x:c>
      <x:c r="AF479" s="10" t="str">
        <x:v>aj2-y90-20260714T234810-0bea2f52</x:v>
      </x:c>
      <x:c r="AG479" s="10" t="str">
        <x:v>full-0024</x:v>
      </x:c>
      <x:c r="AH479" s="10" t="str">
        <x:v>full</x:v>
      </x:c>
      <x:c r="AI479" s="10" t="n">
        <x:v>24</x:v>
      </x:c>
    </x:row>
    <x:row r="480" ht="34" customHeight="1">
      <x:c r="A480" s="16" t="str">
        <x:v>same day delivery arch support flip flops</x:v>
      </x:c>
      <x:c r="B480" s="16" t="str">
        <x:v>same day delivery arch support flip flops</x:v>
      </x:c>
      <x:c r="C480" s="13" t="str">
        <x:v>e27426b25c689a06</x:v>
      </x:c>
      <x:c r="D480" s="13" t="str">
        <x:v>keyword</x:v>
      </x:c>
      <x:c r="E480" s="13" t="str">
        <x:v>en</x:v>
      </x:c>
      <x:c r="F480" s="13" t="str">
        <x:v>clothing_shoes_jewelry</x:v>
      </x:c>
      <x:c r="G480" s="16" t="str"/>
      <x:c r="H480" s="16" t="str">
        <x:v>flip_flops</x:v>
      </x:c>
      <x:c r="I480" s="16" t="str"/>
      <x:c r="J480" s="16" t="str">
        <x:v>arch_support</x:v>
      </x:c>
      <x:c r="K480" s="16" t="str"/>
      <x:c r="L480" s="16" t="str"/>
      <x:c r="M480" s="16" t="str"/>
      <x:c r="N480" s="16" t="str">
        <x:v>arch_support</x:v>
      </x:c>
      <x:c r="O480" s="16" t="str">
        <x:v>same_day_delivery</x:v>
      </x:c>
      <x:c r="P480" s="16" t="str"/>
      <x:c r="Q480" s="16" t="str"/>
      <x:c r="R480" s="16" t="str">
        <x:v>用户寻找可当日送达的足弓支撑人字拖。</x:v>
      </x:c>
      <x:c r="S480" s="13" t="str">
        <x:v>high_intent</x:v>
      </x:c>
      <x:c r="T480" s="16" t="str">
        <x:v>explicit | page_validated | inferred</x:v>
      </x:c>
      <x:c r="U480" s="13" t="str">
        <x:v>medium</x:v>
      </x:c>
      <x:c r="V480" s="16" t="str">
        <x:v>arch_support_flip_flops</x:v>
      </x:c>
      <x:c r="W480" s="16" t="str">
        <x:v>performance_observation</x:v>
      </x:c>
      <x:c r="X480" s="16" t="str">
        <x:v>{"primary_domain":[{"value":"clothing_shoes_jewelry","evidence_type":"inferred","source_span":"flip flops","fact_ids":[],"rationale":"人字拖属于鞋履品类。"}],"product_type":[{"value":"flip_flops","evidence_type":"explicit","source_span":"flip flops","fact_ids":[],"rationale":"搜索词直接提及人字拖。"},{"value":"flip_flops","evidence_type":"page_validated","source_span":"","fact_ids":["style_flip_flop"],"rationale":"该槽位与商品基准中的明示页面事实一致。"}],"time_intent":[{"value":"same_day_delivery","evidence_type":"explicit","source_span":"same day delivery","fact_ids":[],"rationale":"搜索词要求当日送达服务。"}],"capability_intent":[{"value":"arch_support","evidence_type":"page_validated","source_span":"","fact_ids":["arch_support"],"rationale":"该槽位与商品基准中的明示页面事实一致。"}]}</x:v>
      </x:c>
      <x:c r="Y480" s="16" t="str"/>
      <x:c r="Z480" s="13" t="str">
        <x:v>partial_match</x:v>
      </x:c>
      <x:c r="AA480" s="16" t="str">
        <x:v>style_flip_flop | arch_support</x:v>
      </x:c>
      <x:c r="AB480" s="13" t="str">
        <x:v>accepted</x:v>
      </x:c>
      <x:c r="AC480" s="13" t="str">
        <x:v>1.0.0</x:v>
      </x:c>
      <x:c r="AD480" s="13" t="str">
        <x:v>1.1.0</x:v>
      </x:c>
      <x:c r="AE480" s="13" t="str">
        <x:v>deepseek/deepseek-v4-pro</x:v>
      </x:c>
      <x:c r="AF480" s="13" t="str">
        <x:v>aj2-y90-20260714T234810-0bea2f52</x:v>
      </x:c>
      <x:c r="AG480" s="13" t="str">
        <x:v>full-0024</x:v>
      </x:c>
      <x:c r="AH480" s="13" t="str">
        <x:v>full</x:v>
      </x:c>
      <x:c r="AI480" s="13" t="n">
        <x:v>24</x:v>
      </x:c>
    </x:row>
    <x:row r="481" ht="34" customHeight="1">
      <x:c r="A481" s="15" t="str">
        <x:v>flip flops with smooth bottoms for women</x:v>
      </x:c>
      <x:c r="B481" s="15" t="str">
        <x:v>flip flops with smooth bottoms for women</x:v>
      </x:c>
      <x:c r="C481" s="10" t="str">
        <x:v>f035247631c17e2c</x:v>
      </x:c>
      <x:c r="D481" s="10" t="str">
        <x:v>keyword</x:v>
      </x:c>
      <x:c r="E481" s="10" t="str">
        <x:v>en</x:v>
      </x:c>
      <x:c r="F481" s="10" t="str">
        <x:v>clothing_shoes_jewelry</x:v>
      </x:c>
      <x:c r="G481" s="15" t="str"/>
      <x:c r="H481" s="15" t="str">
        <x:v>flip_flops</x:v>
      </x:c>
      <x:c r="I481" s="15" t="str">
        <x:v>women</x:v>
      </x:c>
      <x:c r="J481" s="15" t="str"/>
      <x:c r="K481" s="15" t="str">
        <x:v>smooth_sole</x:v>
      </x:c>
      <x:c r="L481" s="15" t="str"/>
      <x:c r="M481" s="15" t="str"/>
      <x:c r="N481" s="15" t="str"/>
      <x:c r="O481" s="15" t="str"/>
      <x:c r="P481" s="15" t="str"/>
      <x:c r="Q481" s="15" t="str"/>
      <x:c r="R481" s="15" t="str">
        <x:v>用户寻找鞋底平滑的女性人字拖，与产品纹理防滑鞋底冲突。</x:v>
      </x:c>
      <x:c r="S481" s="10" t="str">
        <x:v>high_intent</x:v>
      </x:c>
      <x:c r="T481" s="15" t="str">
        <x:v>explicit | inferred</x:v>
      </x:c>
      <x:c r="U481" s="10" t="str">
        <x:v>high</x:v>
      </x:c>
      <x:c r="V481" s="15" t="str">
        <x:v>smooth_bottom_flip_flops</x:v>
      </x:c>
      <x:c r="W481" s="15" t="str">
        <x:v>semantic_negative_candidate</x:v>
      </x:c>
      <x:c r="X481" s="15" t="str">
        <x:v>{"primary_domain":[{"value":"clothing_shoes_jewelry","evidence_type":"inferred","source_span":"flip flops","fact_ids":[],"rationale":"人字拖属于鞋履品类。"}],"product_type":[{"value":"flip_flops","evidence_type":"explicit","source_span":"flip flops","fact_ids":[],"rationale":"搜索词直接提及人字拖。"},{"value":"flip_flops","evidence_type":"page_validated","source_span":"","fact_ids":["style_flip_flop"],"rationale":"该槽位与商品基准中的明示页面事实一致。"}],"audience_intent":[{"value":"women","evidence_type":"explicit","source_span":"women","fact_ids":[],"rationale":"搜索词指定女性用户。"},{"value":"women","evidence_type":"page_validated","source_span":"","fact_ids":["title_womens_flip_flop"],"rationale":"该槽位与商品基准中的明示页面事实一致。"}],"capability_intent":[{"value":"smooth_sole","evidence_type":"explicit","source_span":"smooth bottoms","fact_ids":[],"rationale":"要求平滑鞋底，产品为纹理防滑鞋底。"}]}</x:v>
      </x:c>
      <x:c r="Y481" s="15" t="str"/>
      <x:c r="Z481" s="10" t="str">
        <x:v>mismatch</x:v>
      </x:c>
      <x:c r="AA481" s="15" t="str"/>
      <x:c r="AB481" s="10" t="str">
        <x:v>accepted</x:v>
      </x:c>
      <x:c r="AC481" s="10" t="str">
        <x:v>1.0.0</x:v>
      </x:c>
      <x:c r="AD481" s="10" t="str">
        <x:v>1.1.0</x:v>
      </x:c>
      <x:c r="AE481" s="10" t="str">
        <x:v>deepseek/deepseek-v4-pro</x:v>
      </x:c>
      <x:c r="AF481" s="10" t="str">
        <x:v>aj2-y90-20260714T234810-0bea2f52</x:v>
      </x:c>
      <x:c r="AG481" s="10" t="str">
        <x:v>full-0024</x:v>
      </x:c>
      <x:c r="AH481" s="10" t="str">
        <x:v>full</x:v>
      </x:c>
      <x:c r="AI481" s="10" t="n">
        <x:v>24</x:v>
      </x:c>
    </x:row>
    <x:row r="482" ht="34" customHeight="1">
      <x:c r="A482" s="16" t="str">
        <x:v>black womens flip flops size 8</x:v>
      </x:c>
      <x:c r="B482" s="16" t="str">
        <x:v>black womens flip flops size 8</x:v>
      </x:c>
      <x:c r="C482" s="13" t="str">
        <x:v>060c967c42f99968</x:v>
      </x:c>
      <x:c r="D482" s="13" t="str">
        <x:v>keyword</x:v>
      </x:c>
      <x:c r="E482" s="13" t="str">
        <x:v>en</x:v>
      </x:c>
      <x:c r="F482" s="13" t="str">
        <x:v>clothing_shoes_jewelry</x:v>
      </x:c>
      <x:c r="G482" s="16" t="str"/>
      <x:c r="H482" s="16" t="str">
        <x:v>flip_flop</x:v>
      </x:c>
      <x:c r="I482" s="16" t="str">
        <x:v>women</x:v>
      </x:c>
      <x:c r="J482" s="16" t="str"/>
      <x:c r="K482" s="16" t="str"/>
      <x:c r="L482" s="16" t="str"/>
      <x:c r="M482" s="16" t="str"/>
      <x:c r="N482" s="16" t="str"/>
      <x:c r="O482" s="16" t="str"/>
      <x:c r="P482" s="16" t="str"/>
      <x:c r="Q482" s="16" t="str"/>
      <x:c r="R482" s="16" t="str">
        <x:v>女性用户寻找黑色8码夹脚拖鞋。</x:v>
      </x:c>
      <x:c r="S482" s="13" t="str">
        <x:v>high_intent</x:v>
      </x:c>
      <x:c r="T482" s="16" t="str">
        <x:v>explicit | page_validated</x:v>
      </x:c>
      <x:c r="U482" s="13" t="str">
        <x:v>high</x:v>
      </x:c>
      <x:c r="V482" s="16" t="str">
        <x:v>black_womens_flip_flops_sized</x:v>
      </x:c>
      <x:c r="W482" s="16" t="str">
        <x:v>cluster_route</x:v>
      </x:c>
      <x:c r="X482" s="16" t="str">
        <x:v>{"product_type":[{"value":"flip_flop","evidence_type":"explicit","source_span":"flip flops","fact_ids":[],"rationale":""},{"value":"flip_flop","evidence_type":"page_validated","source_span":"","fact_ids":["style_flip_flop"],"rationale":"该槽位与商品基准中的明示页面事实一致。"}],"audience_intent":[{"value":"women","evidence_type":"explicit","source_span":"womens","fact_ids":[],"rationale":""},{"value":"women","evidence_type":"page_validated","source_span":"","fact_ids":["title_womens_flip_flop"],"rationale":"该槽位与商品基准中的明示页面事实一致。"}],"color":[{"value":"black","evidence_type":"explicit","source_span":"black","fact_ids":[],"rationale":"该颜色在商品页面可见颜色选择中得到明确支持。"},{"value":"black","evidence_type":"page_validated","source_span":"","fact_ids":["colors_visible"],"rationale":"该颜色在商品页面可见颜色选择中得到明确支持。"}],"size":[{"value":"8","evidence_type":"explicit","source_span":"size 8","fact_ids":[],"rationale":""},{"value":"8","evidence_type":"page_validated","source_span":"","fact_ids":["sizes_6_11"],"rationale":""}],"primary_domain":[{"value":"clothing_shoes_jewelry","evidence_type":"inferred","source_span":"","fact_ids":[],"rationale":"该值由搜索词整体语义推断，未作为页面明示属性。"}]}</x:v>
      </x:c>
      <x:c r="Y482" s="16" t="str"/>
      <x:c r="Z482" s="13" t="str">
        <x:v>match</x:v>
      </x:c>
      <x:c r="AA482" s="16" t="str">
        <x:v>title_womens_flip_flop | style_flip_flop | colors_visible | sizes_6_11</x:v>
      </x:c>
      <x:c r="AB482" s="13" t="str">
        <x:v>accepted</x:v>
      </x:c>
      <x:c r="AC482" s="13" t="str">
        <x:v>1.0.0</x:v>
      </x:c>
      <x:c r="AD482" s="13" t="str">
        <x:v>1.1.0</x:v>
      </x:c>
      <x:c r="AE482" s="13" t="str">
        <x:v>deepseek/deepseek-v4-pro</x:v>
      </x:c>
      <x:c r="AF482" s="13" t="str">
        <x:v>aj2-y90-20260714T234810-0bea2f52</x:v>
      </x:c>
      <x:c r="AG482" s="13" t="str">
        <x:v>full-0025</x:v>
      </x:c>
      <x:c r="AH482" s="13" t="str">
        <x:v>full</x:v>
      </x:c>
      <x:c r="AI482" s="13" t="n">
        <x:v>25</x:v>
      </x:c>
    </x:row>
    <x:row r="483" ht="34" customHeight="1">
      <x:c r="A483" s="15" t="str">
        <x:v>joomfa women house slippers</x:v>
      </x:c>
      <x:c r="B483" s="15" t="str">
        <x:v>joomfa women house slippers</x:v>
      </x:c>
      <x:c r="C483" s="10" t="str">
        <x:v>19cc570a021f514b</x:v>
      </x:c>
      <x:c r="D483" s="10" t="str">
        <x:v>keyword</x:v>
      </x:c>
      <x:c r="E483" s="10" t="str">
        <x:v>en</x:v>
      </x:c>
      <x:c r="F483" s="10" t="str">
        <x:v>clothing_shoes_jewelry</x:v>
      </x:c>
      <x:c r="G483" s="15" t="str">
        <x:v>home_kitchen</x:v>
      </x:c>
      <x:c r="H483" s="15" t="str">
        <x:v>house_slippers</x:v>
      </x:c>
      <x:c r="I483" s="15" t="str">
        <x:v>women</x:v>
      </x:c>
      <x:c r="J483" s="15" t="str"/>
      <x:c r="K483" s="15" t="str"/>
      <x:c r="L483" s="15" t="str"/>
      <x:c r="M483" s="15" t="str">
        <x:v>indoor_home</x:v>
      </x:c>
      <x:c r="N483" s="15" t="str"/>
      <x:c r="O483" s="15" t="str"/>
      <x:c r="P483" s="15" t="str"/>
      <x:c r="Q483" s="15" t="str"/>
      <x:c r="R483" s="15" t="str">
        <x:v>用户寻找joomfa品牌的女性室内家居拖鞋。</x:v>
      </x:c>
      <x:c r="S483" s="10" t="str">
        <x:v>brand_harvest</x:v>
      </x:c>
      <x:c r="T483" s="15" t="str">
        <x:v>explicit | inferred</x:v>
      </x:c>
      <x:c r="U483" s="10" t="str">
        <x:v>high</x:v>
      </x:c>
      <x:c r="V483" s="15" t="str">
        <x:v>joomfa_house_slippers_women</x:v>
      </x:c>
      <x:c r="W483" s="15" t="str">
        <x:v>semantic_negative_candidate</x:v>
      </x:c>
      <x:c r="X483" s="15" t="str">
        <x:v>{"product_type":[{"value":"house_slippers","evidence_type":"explicit","source_span":"house slippers","fact_ids":[],"rationale":""}],"audience_intent":[{"value":"women","evidence_type":"explicit","source_span":"women","fact_ids":[],"rationale":""},{"value":"women","evidence_type":"page_validated","source_span":"","fact_ids":["title_womens_flip_flop"],"rationale":"该槽位与商品基准中的明示页面事实一致。"}],"location_intent":[{"value":"indoor_home","evidence_type":"explicit","source_span":"house","fact_ids":[],"rationale":""}],"brand":[{"value":"joomfa","evidence_type":"explicit","source_span":"joomfa","fact_ids":[],"rationale":""}],"secondary_domain":[{"value":"home_kitchen","evidence_type":"inferred","source_span":"","fact_ids":[],"rationale":"该值由搜索词整体语义推断，未作为页面明示属性。"}],"primary_domain":[{"value":"clothing_shoes_jewelry","evidence_type":"inferred","source_span":"","fact_ids":[],"rationale":"该值由搜索词整体语义推断，未作为页面明示属性。"}]}</x:v>
      </x:c>
      <x:c r="Y483" s="15" t="str">
        <x:v>brand_variant_spelling | product_category_mismatch</x:v>
      </x:c>
      <x:c r="Z483" s="10" t="str">
        <x:v>mismatch</x:v>
      </x:c>
      <x:c r="AA483" s="15" t="str"/>
      <x:c r="AB483" s="10" t="str">
        <x:v>accepted</x:v>
      </x:c>
      <x:c r="AC483" s="10" t="str">
        <x:v>1.0.0</x:v>
      </x:c>
      <x:c r="AD483" s="10" t="str">
        <x:v>1.1.0</x:v>
      </x:c>
      <x:c r="AE483" s="10" t="str">
        <x:v>deepseek/deepseek-v4-pro</x:v>
      </x:c>
      <x:c r="AF483" s="10" t="str">
        <x:v>aj2-y90-20260714T234810-0bea2f52</x:v>
      </x:c>
      <x:c r="AG483" s="10" t="str">
        <x:v>full-0025</x:v>
      </x:c>
      <x:c r="AH483" s="10" t="str">
        <x:v>full</x:v>
      </x:c>
      <x:c r="AI483" s="10" t="n">
        <x:v>25</x:v>
      </x:c>
    </x:row>
    <x:row r="484" ht="34" customHeight="1">
      <x:c r="A484" s="16" t="str">
        <x:v>white comfortable flip flops women</x:v>
      </x:c>
      <x:c r="B484" s="16" t="str">
        <x:v>white comfortable flip flops women</x:v>
      </x:c>
      <x:c r="C484" s="13" t="str">
        <x:v>23a28d423653e8f0</x:v>
      </x:c>
      <x:c r="D484" s="13" t="str">
        <x:v>keyword</x:v>
      </x:c>
      <x:c r="E484" s="13" t="str">
        <x:v>en</x:v>
      </x:c>
      <x:c r="F484" s="13" t="str">
        <x:v>clothing_shoes_jewelry</x:v>
      </x:c>
      <x:c r="G484" s="16" t="str"/>
      <x:c r="H484" s="16" t="str">
        <x:v>flip_flop</x:v>
      </x:c>
      <x:c r="I484" s="16" t="str">
        <x:v>women</x:v>
      </x:c>
      <x:c r="J484" s="16" t="str"/>
      <x:c r="K484" s="16" t="str">
        <x:v>comfortable</x:v>
      </x:c>
      <x:c r="L484" s="16" t="str"/>
      <x:c r="M484" s="16" t="str"/>
      <x:c r="N484" s="16" t="str"/>
      <x:c r="O484" s="16" t="str"/>
      <x:c r="P484" s="16" t="str"/>
      <x:c r="Q484" s="16" t="str"/>
      <x:c r="R484" s="16" t="str">
        <x:v>女性用户寻找白色舒适的夹脚拖鞋。</x:v>
      </x:c>
      <x:c r="S484" s="13" t="str">
        <x:v>high_intent</x:v>
      </x:c>
      <x:c r="T484" s="16" t="str">
        <x:v>explicit | page_validated</x:v>
      </x:c>
      <x:c r="U484" s="13" t="str">
        <x:v>high</x:v>
      </x:c>
      <x:c r="V484" s="16" t="str">
        <x:v>white_comfortable_womens_flip_flops</x:v>
      </x:c>
      <x:c r="W484" s="16" t="str">
        <x:v>cluster_route</x:v>
      </x:c>
      <x:c r="X484" s="16" t="str">
        <x:v>{"product_type":[{"value":"flip_flop","evidence_type":"explicit","source_span":"flip flops","fact_ids":[],"rationale":""},{"value":"flip_flop","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capability_intent":[{"value":"comfortable","evidence_type":"explicit","source_span":"comfortable","fact_ids":[],"rationale":""},{"value":"comfortable","evidence_type":"page_validated","source_span":"","fact_ids":["arch_support","padded_cushioning","soft_toe_post"],"rationale":""}],"color":[{"value":"white","evidence_type":"explicit","source_span":"white","fact_ids":[],"rationale":"该颜色在商品页面可见颜色选择中得到明确支持。"},{"value":"white","evidence_type":"page_validated","source_span":"","fact_ids":["colors_visible"],"rationale":"该颜色在商品页面可见颜色选择中得到明确支持。"}],"primary_domain":[{"value":"clothing_shoes_jewelry","evidence_type":"inferred","source_span":"","fact_ids":[],"rationale":"该值由搜索词整体语义推断，未作为页面明示属性。"}]}</x:v>
      </x:c>
      <x:c r="Y484" s="16" t="str"/>
      <x:c r="Z484" s="13" t="str">
        <x:v>match</x:v>
      </x:c>
      <x:c r="AA484" s="16" t="str">
        <x:v>title_womens_flip_flop | style_flip_flop | arch_support | padded_cushioning | soft_toe_post | colors_visible</x:v>
      </x:c>
      <x:c r="AB484" s="13" t="str">
        <x:v>accepted</x:v>
      </x:c>
      <x:c r="AC484" s="13" t="str">
        <x:v>1.0.0</x:v>
      </x:c>
      <x:c r="AD484" s="13" t="str">
        <x:v>1.1.0</x:v>
      </x:c>
      <x:c r="AE484" s="13" t="str">
        <x:v>deepseek/deepseek-v4-pro</x:v>
      </x:c>
      <x:c r="AF484" s="13" t="str">
        <x:v>aj2-y90-20260714T234810-0bea2f52</x:v>
      </x:c>
      <x:c r="AG484" s="13" t="str">
        <x:v>full-0025</x:v>
      </x:c>
      <x:c r="AH484" s="13" t="str">
        <x:v>full</x:v>
      </x:c>
      <x:c r="AI484" s="13" t="n">
        <x:v>25</x:v>
      </x:c>
    </x:row>
    <x:row r="485" ht="34" customHeight="1">
      <x:c r="A485" s="15" t="str">
        <x:v>yoga mat flip flops women</x:v>
      </x:c>
      <x:c r="B485" s="15" t="str">
        <x:v>yoga mat flip flops women</x:v>
      </x:c>
      <x:c r="C485" s="10" t="str">
        <x:v>32ea771287f316f8</x:v>
      </x:c>
      <x:c r="D485" s="10" t="str">
        <x:v>keyword</x:v>
      </x:c>
      <x:c r="E485" s="10" t="str">
        <x:v>en</x:v>
      </x:c>
      <x:c r="F485" s="10" t="str">
        <x:v>clothing_shoes_jewelry</x:v>
      </x:c>
      <x:c r="G485" s="15" t="str">
        <x:v>sports_outdoors</x:v>
      </x:c>
      <x:c r="H485" s="15" t="str">
        <x:v>flip_flop</x:v>
      </x:c>
      <x:c r="I485" s="15" t="str">
        <x:v>women</x:v>
      </x:c>
      <x:c r="J485" s="15" t="str"/>
      <x:c r="K485" s="15" t="str">
        <x:v>cushioning</x:v>
      </x:c>
      <x:c r="L485" s="15" t="str"/>
      <x:c r="M485" s="15" t="str"/>
      <x:c r="N485" s="15" t="str"/>
      <x:c r="O485" s="15" t="str"/>
      <x:c r="P485" s="15" t="str"/>
      <x:c r="Q485" s="15" t="str"/>
      <x:c r="R485" s="15" t="str">
        <x:v>女性用户寻找采用瑜伽垫般柔软材质的夹脚拖鞋，注重缓震舒适脚感。</x:v>
      </x:c>
      <x:c r="S485" s="10" t="str">
        <x:v>consideration</x:v>
      </x:c>
      <x:c r="T485" s="15" t="str">
        <x:v>explicit | page_validated | inferred</x:v>
      </x:c>
      <x:c r="U485" s="10" t="str">
        <x:v>medium</x:v>
      </x:c>
      <x:c r="V485" s="15" t="str">
        <x:v>yoga_mat_flip_flops_women</x:v>
      </x:c>
      <x:c r="W485" s="15" t="str">
        <x:v>listing_gap_review</x:v>
      </x:c>
      <x:c r="X485" s="15" t="str">
        <x:v>{"product_type":[{"value":"flip_flop","evidence_type":"explicit","source_span":"flip flops","fact_ids":[],"rationale":""},{"value":"flip_flop","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capability_intent":[{"value":"cushioning","evidence_type":"page_validated","source_span":"","fact_ids":["padded_cushioning"],"rationale":""},{"value":"cushioning","evidence_type":"inferred","source_span":"","fact_ids":[],"rationale":"该能力由搜索词表达的任务或问题推断；页面事实仅用于验证商品承接。"}],"material":[{"value":"yoga_mat","evidence_type":"explicit","source_span":"yoga mat","fact_ids":[],"rationale":""}],"secondary_domain":[{"value":"sports_outdoors","evidence_type":"inferred","source_span":"","fact_ids":[],"rationale":"该值由搜索词整体语义推断，未作为页面明示属性。"}],"primary_domain":[{"value":"clothing_shoes_jewelry","evidence_type":"inferred","source_span":"","fact_ids":[],"rationale":"该值由搜索词整体语义推断，未作为页面明示属性。"}]}</x:v>
      </x:c>
      <x:c r="Y485" s="15" t="str">
        <x:v>material_terminology</x:v>
      </x:c>
      <x:c r="Z485" s="10" t="str">
        <x:v>partial_match</x:v>
      </x:c>
      <x:c r="AA485" s="15" t="str">
        <x:v>title_womens_flip_flop | style_flip_flop | material_eva | padded_cushioning</x:v>
      </x:c>
      <x:c r="AB485" s="10" t="str">
        <x:v>accepted</x:v>
      </x:c>
      <x:c r="AC485" s="10" t="str">
        <x:v>1.0.0</x:v>
      </x:c>
      <x:c r="AD485" s="10" t="str">
        <x:v>1.1.0</x:v>
      </x:c>
      <x:c r="AE485" s="10" t="str">
        <x:v>deepseek/deepseek-v4-pro</x:v>
      </x:c>
      <x:c r="AF485" s="10" t="str">
        <x:v>aj2-y90-20260714T234810-0bea2f52</x:v>
      </x:c>
      <x:c r="AG485" s="10" t="str">
        <x:v>full-0025</x:v>
      </x:c>
      <x:c r="AH485" s="10" t="str">
        <x:v>full</x:v>
      </x:c>
      <x:c r="AI485" s="10" t="n">
        <x:v>25</x:v>
      </x:c>
    </x:row>
    <x:row r="486" ht="34" customHeight="1">
      <x:c r="A486" s="16" t="str">
        <x:v>light blue gray flip flops arch</x:v>
      </x:c>
      <x:c r="B486" s="16" t="str">
        <x:v>light blue gray flip flops arch</x:v>
      </x:c>
      <x:c r="C486" s="13" t="str">
        <x:v>462b7d268cc942fb</x:v>
      </x:c>
      <x:c r="D486" s="13" t="str">
        <x:v>keyword</x:v>
      </x:c>
      <x:c r="E486" s="13" t="str">
        <x:v>en</x:v>
      </x:c>
      <x:c r="F486" s="13" t="str">
        <x:v>clothing_shoes_jewelry</x:v>
      </x:c>
      <x:c r="G486" s="16" t="str"/>
      <x:c r="H486" s="16" t="str">
        <x:v>flip_flop</x:v>
      </x:c>
      <x:c r="I486" s="16" t="str"/>
      <x:c r="J486" s="16" t="str">
        <x:v>arch_support</x:v>
      </x:c>
      <x:c r="K486" s="16" t="str">
        <x:v>arch_support</x:v>
      </x:c>
      <x:c r="L486" s="16" t="str"/>
      <x:c r="M486" s="16" t="str"/>
      <x:c r="N486" s="16" t="str">
        <x:v>arch_support_needed</x:v>
      </x:c>
      <x:c r="O486" s="16" t="str"/>
      <x:c r="P486" s="16" t="str"/>
      <x:c r="Q486" s="16" t="str"/>
      <x:c r="R486" s="16" t="str">
        <x:v>用户寻找浅蓝灰色且有足弓支撑功能的夹脚拖鞋。</x:v>
      </x:c>
      <x:c r="S486" s="13" t="str">
        <x:v>high_intent</x:v>
      </x:c>
      <x:c r="T486" s="16" t="str">
        <x:v>explicit | page_validated | inferred</x:v>
      </x:c>
      <x:c r="U486" s="13" t="str">
        <x:v>medium</x:v>
      </x:c>
      <x:c r="V486" s="16" t="str">
        <x:v>colored_arch_flip_flops</x:v>
      </x:c>
      <x:c r="W486" s="16" t="str">
        <x:v>listing_gap_review</x:v>
      </x:c>
      <x:c r="X486" s="16" t="str">
        <x:v>{"product_type":[{"value":"flip_flop","evidence_type":"explicit","source_span":"flip flops","fact_ids":[],"rationale":""},{"value":"flip_flop","evidence_type":"page_validated","source_span":"","fact_ids":["style_flip_flop"],"rationale":"该槽位与商品基准中的明示页面事实一致。"}],"body_need_intent":[{"value":"arch_support_needed","evidence_type":"explicit","source_span":"arch","fact_ids":[],"rationale":""}],"capability_intent":[{"value":"arch_support","evidence_type":"page_validated","source_span":"","fact_ids":["arch_support"],"rationale":""},{"value":"arch_support","evidence_type":"inferred","source_span":"","fact_ids":[],"rationale":"该能力由搜索词表达的任务或问题推断；页面事实仅用于验证商品承接。"}],"color":[{"value":"light_blue_gray","evidence_type":"explicit","source_span":"light blue gray","fact_ids":[],"rationale":""},{"value":"light_blue_gray","evidence_type":"inferred","source_span":"","fact_ids":[],"rationale":"这是搜索词中的颜色约束，但商品页面基准未确认该具体颜色。"}],"primary_domain":[{"value":"clothing_shoes_jewelry","evidence_type":"inferred","source_span":"","fact_ids":[],"rationale":"该值由搜索词整体语义推断，未作为页面明示属性。"}]}</x:v>
      </x:c>
      <x:c r="Y486" s="16" t="str">
        <x:v>color_combination_undefined</x:v>
      </x:c>
      <x:c r="Z486" s="13" t="str">
        <x:v>partial_match</x:v>
      </x:c>
      <x:c r="AA486" s="16" t="str">
        <x:v>title_womens_flip_flop | style_flip_flop | arch_support | colors_visible</x:v>
      </x:c>
      <x:c r="AB486" s="13" t="str">
        <x:v>accepted</x:v>
      </x:c>
      <x:c r="AC486" s="13" t="str">
        <x:v>1.0.0</x:v>
      </x:c>
      <x:c r="AD486" s="13" t="str">
        <x:v>1.1.0</x:v>
      </x:c>
      <x:c r="AE486" s="13" t="str">
        <x:v>deepseek/deepseek-v4-pro</x:v>
      </x:c>
      <x:c r="AF486" s="13" t="str">
        <x:v>aj2-y90-20260714T234810-0bea2f52</x:v>
      </x:c>
      <x:c r="AG486" s="13" t="str">
        <x:v>full-0025</x:v>
      </x:c>
      <x:c r="AH486" s="13" t="str">
        <x:v>full</x:v>
      </x:c>
      <x:c r="AI486" s="13" t="n">
        <x:v>25</x:v>
      </x:c>
    </x:row>
    <x:row r="487" ht="34" customHeight="1">
      <x:c r="A487" s="15" t="str">
        <x:v>womens patriotic flip flops</x:v>
      </x:c>
      <x:c r="B487" s="15" t="str">
        <x:v>womens patriotic flip flops</x:v>
      </x:c>
      <x:c r="C487" s="10" t="str">
        <x:v>4af4fa83351f73cd</x:v>
      </x:c>
      <x:c r="D487" s="10" t="str">
        <x:v>keyword</x:v>
      </x:c>
      <x:c r="E487" s="10" t="str">
        <x:v>en</x:v>
      </x:c>
      <x:c r="F487" s="10" t="str">
        <x:v>clothing_shoes_jewelry</x:v>
      </x:c>
      <x:c r="G487" s="15" t="str"/>
      <x:c r="H487" s="15" t="str">
        <x:v>flip_flop</x:v>
      </x:c>
      <x:c r="I487" s="15" t="str">
        <x:v>women</x:v>
      </x:c>
      <x:c r="J487" s="15" t="str"/>
      <x:c r="K487" s="15" t="str"/>
      <x:c r="L487" s="15" t="str">
        <x:v>patriotic_occasion</x:v>
      </x:c>
      <x:c r="M487" s="15" t="str"/>
      <x:c r="N487" s="15" t="str"/>
      <x:c r="O487" s="15" t="str"/>
      <x:c r="P487" s="15" t="str"/>
      <x:c r="Q487" s="15" t="str"/>
      <x:c r="R487" s="15" t="str">
        <x:v>女性用户寻找具有爱国主题图案或配色的夹脚拖鞋。</x:v>
      </x:c>
      <x:c r="S487" s="10" t="str">
        <x:v>consideration</x:v>
      </x:c>
      <x:c r="T487" s="15" t="str">
        <x:v>explicit | inferred</x:v>
      </x:c>
      <x:c r="U487" s="10" t="str">
        <x:v>medium</x:v>
      </x:c>
      <x:c r="V487" s="15" t="str">
        <x:v>patriotic_flip_flops_women</x:v>
      </x:c>
      <x:c r="W487" s="15" t="str">
        <x:v>listing_gap_review</x:v>
      </x:c>
      <x:c r="X487" s="15" t="str">
        <x:v>{"product_type":[{"value":"flip_flop","evidence_type":"explicit","source_span":"flip flops","fact_ids":[],"rationale":""},{"value":"flip_flop","evidence_type":"page_validated","source_span":"","fact_ids":["style_flip_flop"],"rationale":"该槽位与商品基准中的明示页面事实一致。"}],"audience_intent":[{"value":"women","evidence_type":"explicit","source_span":"womens","fact_ids":[],"rationale":""},{"value":"women","evidence_type":"page_validated","source_span":"","fact_ids":["title_womens_flip_flop"],"rationale":"该槽位与商品基准中的明示页面事实一致。"}],"event_intent":[{"value":"patriotic_occasion","evidence_type":"explicit","source_span":"patriotic","fact_ids":[],"rationale":""}],"style":[{"value":"patriotic","evidence_type":"explicit","source_span":"patriotic","fact_ids":[],"rationale":""}],"primary_domain":[{"value":"clothing_shoes_jewelry","evidence_type":"inferred","source_span":"","fact_ids":[],"rationale":"该值由搜索词整体语义推断，未作为页面明示属性。"}]}</x:v>
      </x:c>
      <x:c r="Y487" s="15" t="str"/>
      <x:c r="Z487" s="10" t="str">
        <x:v>partial_match</x:v>
      </x:c>
      <x:c r="AA487" s="15" t="str">
        <x:v>title_womens_flip_flop | style_flip_flop</x:v>
      </x:c>
      <x:c r="AB487" s="10" t="str">
        <x:v>accepted</x:v>
      </x:c>
      <x:c r="AC487" s="10" t="str">
        <x:v>1.0.0</x:v>
      </x:c>
      <x:c r="AD487" s="10" t="str">
        <x:v>1.1.0</x:v>
      </x:c>
      <x:c r="AE487" s="10" t="str">
        <x:v>deepseek/deepseek-v4-pro</x:v>
      </x:c>
      <x:c r="AF487" s="10" t="str">
        <x:v>aj2-y90-20260714T234810-0bea2f52</x:v>
      </x:c>
      <x:c r="AG487" s="10" t="str">
        <x:v>full-0025</x:v>
      </x:c>
      <x:c r="AH487" s="10" t="str">
        <x:v>full</x:v>
      </x:c>
      <x:c r="AI487" s="10" t="n">
        <x:v>25</x:v>
      </x:c>
    </x:row>
    <x:row r="488" ht="34" customHeight="1">
      <x:c r="A488" s="16" t="str">
        <x:v>non slip flip flops women</x:v>
      </x:c>
      <x:c r="B488" s="16" t="str">
        <x:v>non slip flip flops women</x:v>
      </x:c>
      <x:c r="C488" s="13" t="str">
        <x:v>5f45acf486b06374</x:v>
      </x:c>
      <x:c r="D488" s="13" t="str">
        <x:v>keyword</x:v>
      </x:c>
      <x:c r="E488" s="13" t="str">
        <x:v>en</x:v>
      </x:c>
      <x:c r="F488" s="13" t="str">
        <x:v>clothing_shoes_jewelry</x:v>
      </x:c>
      <x:c r="G488" s="16" t="str"/>
      <x:c r="H488" s="16" t="str">
        <x:v>flip_flop</x:v>
      </x:c>
      <x:c r="I488" s="16" t="str">
        <x:v>women</x:v>
      </x:c>
      <x:c r="J488" s="16" t="str">
        <x:v>slip_prevention</x:v>
      </x:c>
      <x:c r="K488" s="16" t="str">
        <x:v>slip_resistant</x:v>
      </x:c>
      <x:c r="L488" s="16" t="str"/>
      <x:c r="M488" s="16" t="str"/>
      <x:c r="N488" s="16" t="str"/>
      <x:c r="O488" s="16" t="str"/>
      <x:c r="P488" s="16" t="str"/>
      <x:c r="Q488" s="16" t="str"/>
      <x:c r="R488" s="16" t="str">
        <x:v>女性用户寻找防滑的夹脚拖鞋，注重行走安全。</x:v>
      </x:c>
      <x:c r="S488" s="13" t="str">
        <x:v>high_intent</x:v>
      </x:c>
      <x:c r="T488" s="16" t="str">
        <x:v>explicit | page_validated</x:v>
      </x:c>
      <x:c r="U488" s="13" t="str">
        <x:v>high</x:v>
      </x:c>
      <x:c r="V488" s="16" t="str">
        <x:v>non_slip_womens_flip_flops</x:v>
      </x:c>
      <x:c r="W488" s="16" t="str">
        <x:v>cluster_route</x:v>
      </x:c>
      <x:c r="X488" s="16" t="str">
        <x:v>{"product_type":[{"value":"flip_flop","evidence_type":"explicit","source_span":"flip flops","fact_ids":[],"rationale":""},{"value":"flip_flop","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capability_intent":[{"value":"slip_resistant","evidence_type":"explicit","source_span":"non slip","fact_ids":[],"rationale":""},{"value":"slip_resistant","evidence_type":"page_validated","source_span":"","fact_ids":["slip_resistant_grip"],"rationale":""},{"value":"slip_resistant","evidence_type":"inferred","source_span":"","fact_ids":[],"rationale":"该能力由搜索词表达的任务或问题推断；页面事实仅用于验证商品承接。"}],"function_intent":[{"value":"slip_prevention","evidence_type":"inferred","source_span":"","fact_ids":[],"rationale":"该值由搜索词整体语义推断，未作为页面明示属性。"}],"primary_domain":[{"value":"clothing_shoes_jewelry","evidence_type":"inferred","source_span":"","fact_ids":[],"rationale":"该值由搜索词整体语义推断，未作为页面明示属性。"}]}</x:v>
      </x:c>
      <x:c r="Y488" s="16" t="str"/>
      <x:c r="Z488" s="13" t="str">
        <x:v>match</x:v>
      </x:c>
      <x:c r="AA488" s="16" t="str">
        <x:v>title_womens_flip_flop | style_flip_flop | slip_resistant_grip</x:v>
      </x:c>
      <x:c r="AB488" s="13" t="str">
        <x:v>accepted</x:v>
      </x:c>
      <x:c r="AC488" s="13" t="str">
        <x:v>1.0.0</x:v>
      </x:c>
      <x:c r="AD488" s="13" t="str">
        <x:v>1.1.0</x:v>
      </x:c>
      <x:c r="AE488" s="13" t="str">
        <x:v>deepseek/deepseek-v4-pro</x:v>
      </x:c>
      <x:c r="AF488" s="13" t="str">
        <x:v>aj2-y90-20260714T234810-0bea2f52</x:v>
      </x:c>
      <x:c r="AG488" s="13" t="str">
        <x:v>full-0025</x:v>
      </x:c>
      <x:c r="AH488" s="13" t="str">
        <x:v>full</x:v>
      </x:c>
      <x:c r="AI488" s="13" t="n">
        <x:v>25</x:v>
      </x:c>
    </x:row>
    <x:row r="489" ht="34" customHeight="1">
      <x:c r="A489" s="15" t="str">
        <x:v>cushioned pool flip flops for women</x:v>
      </x:c>
      <x:c r="B489" s="15" t="str">
        <x:v>cushioned pool flip flops for women</x:v>
      </x:c>
      <x:c r="C489" s="10" t="str">
        <x:v>6f56cd340df678fe</x:v>
      </x:c>
      <x:c r="D489" s="10" t="str">
        <x:v>keyword</x:v>
      </x:c>
      <x:c r="E489" s="10" t="str">
        <x:v>en</x:v>
      </x:c>
      <x:c r="F489" s="10" t="str">
        <x:v>clothing_shoes_jewelry</x:v>
      </x:c>
      <x:c r="G489" s="15" t="str">
        <x:v>sports_outdoors</x:v>
      </x:c>
      <x:c r="H489" s="15" t="str">
        <x:v>flip_flop</x:v>
      </x:c>
      <x:c r="I489" s="15" t="str">
        <x:v>women</x:v>
      </x:c>
      <x:c r="J489" s="15" t="str"/>
      <x:c r="K489" s="15" t="str">
        <x:v>cushioned</x:v>
      </x:c>
      <x:c r="L489" s="15" t="str">
        <x:v>pool_use</x:v>
      </x:c>
      <x:c r="M489" s="15" t="str">
        <x:v>pool</x:v>
      </x:c>
      <x:c r="N489" s="15" t="str"/>
      <x:c r="O489" s="15" t="str"/>
      <x:c r="P489" s="15" t="str"/>
      <x:c r="Q489" s="15" t="str"/>
      <x:c r="R489" s="15" t="str">
        <x:v>女性用户寻找适合泳池穿着的缓震夹脚拖鞋。</x:v>
      </x:c>
      <x:c r="S489" s="10" t="str">
        <x:v>high_intent</x:v>
      </x:c>
      <x:c r="T489" s="15" t="str">
        <x:v>explicit | page_validated | inferred</x:v>
      </x:c>
      <x:c r="U489" s="10" t="str">
        <x:v>medium</x:v>
      </x:c>
      <x:c r="V489" s="15" t="str">
        <x:v>cushioned_pool_flip_flops_women</x:v>
      </x:c>
      <x:c r="W489" s="15" t="str">
        <x:v>listing_gap_review</x:v>
      </x:c>
      <x:c r="X489" s="15" t="str">
        <x:v>{"product_type":[{"value":"flip_flop","evidence_type":"explicit","source_span":"flip flops","fact_ids":[],"rationale":""},{"value":"flip_flop","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capability_intent":[{"value":"cushioned","evidence_type":"explicit","source_span":"cushioned","fact_ids":[],"rationale":""},{"value":"cushioned","evidence_type":"page_validated","source_span":"","fact_ids":["padded_cushioning"],"rationale":""}],"location_intent":[{"value":"pool","evidence_type":"explicit","source_span":"pool","fact_ids":[],"rationale":""}],"secondary_domain":[{"value":"sports_outdoors","evidence_type":"inferred","source_span":"","fact_ids":[],"rationale":"该值由搜索词整体语义推断，未作为页面明示属性。"}],"event_intent":[{"value":"pool_use","evidence_type":"inferred","source_span":"","fact_ids":[],"rationale":"该值由搜索词整体语义推断，未作为页面明示属性。"}],"primary_domain":[{"value":"clothing_shoes_jewelry","evidence_type":"inferred","source_span":"","fact_ids":[],"rationale":"该值由搜索词整体语义推断，未作为页面明示属性。"}]}</x:v>
      </x:c>
      <x:c r="Y489" s="15" t="str"/>
      <x:c r="Z489" s="10" t="str">
        <x:v>partial_match</x:v>
      </x:c>
      <x:c r="AA489" s="15" t="str">
        <x:v>title_womens_flip_flop | style_flip_flop | padded_cushioning | easy_clean | slip_resistant_grip</x:v>
      </x:c>
      <x:c r="AB489" s="10" t="str">
        <x:v>accepted</x:v>
      </x:c>
      <x:c r="AC489" s="10" t="str">
        <x:v>1.0.0</x:v>
      </x:c>
      <x:c r="AD489" s="10" t="str">
        <x:v>1.1.0</x:v>
      </x:c>
      <x:c r="AE489" s="10" t="str">
        <x:v>deepseek/deepseek-v4-pro</x:v>
      </x:c>
      <x:c r="AF489" s="10" t="str">
        <x:v>aj2-y90-20260714T234810-0bea2f52</x:v>
      </x:c>
      <x:c r="AG489" s="10" t="str">
        <x:v>full-0025</x:v>
      </x:c>
      <x:c r="AH489" s="10" t="str">
        <x:v>full</x:v>
      </x:c>
      <x:c r="AI489" s="10" t="n">
        <x:v>25</x:v>
      </x:c>
    </x:row>
    <x:row r="490" ht="34" customHeight="1">
      <x:c r="A490" s="16" t="str">
        <x:v>womens flip flips size 10</x:v>
      </x:c>
      <x:c r="B490" s="16" t="str">
        <x:v>womens flip flips size 10</x:v>
      </x:c>
      <x:c r="C490" s="13" t="str">
        <x:v>844da702ba0fb94f</x:v>
      </x:c>
      <x:c r="D490" s="13" t="str">
        <x:v>keyword</x:v>
      </x:c>
      <x:c r="E490" s="13" t="str">
        <x:v>en</x:v>
      </x:c>
      <x:c r="F490" s="13" t="str">
        <x:v>clothing_shoes_jewelry</x:v>
      </x:c>
      <x:c r="G490" s="16" t="str"/>
      <x:c r="H490" s="16" t="str">
        <x:v>flip_flop</x:v>
      </x:c>
      <x:c r="I490" s="16" t="str">
        <x:v>women</x:v>
      </x:c>
      <x:c r="J490" s="16" t="str"/>
      <x:c r="K490" s="16" t="str"/>
      <x:c r="L490" s="16" t="str"/>
      <x:c r="M490" s="16" t="str"/>
      <x:c r="N490" s="16" t="str"/>
      <x:c r="O490" s="16" t="str"/>
      <x:c r="P490" s="16" t="str"/>
      <x:c r="Q490" s="16" t="str"/>
      <x:c r="R490" s="16" t="str">
        <x:v>女性用户寻找10码的夹脚拖鞋。</x:v>
      </x:c>
      <x:c r="S490" s="13" t="str">
        <x:v>high_intent</x:v>
      </x:c>
      <x:c r="T490" s="16" t="str">
        <x:v>explicit | page_validated</x:v>
      </x:c>
      <x:c r="U490" s="13" t="str">
        <x:v>high</x:v>
      </x:c>
      <x:c r="V490" s="16" t="str">
        <x:v>womens_flip_flops_sized</x:v>
      </x:c>
      <x:c r="W490" s="16" t="str">
        <x:v>cluster_route</x:v>
      </x:c>
      <x:c r="X490" s="16" t="str">
        <x:v>{"product_type":[{"value":"flip_flop","evidence_type":"explicit","source_span":"flip flips","fact_ids":[],"rationale":""},{"value":"flip_flop","evidence_type":"page_validated","source_span":"","fact_ids":["style_flip_flop"],"rationale":"该槽位与商品基准中的明示页面事实一致。"},{"value":"flip_flop","evidence_type":"inferred","source_span":"","fact_ids":[],"rationale":"该能力由搜索词表达的任务或问题推断；页面事实仅用于验证商品承接。"}],"audience_intent":[{"value":"women","evidence_type":"explicit","source_span":"womens","fact_ids":[],"rationale":""},{"value":"women","evidence_type":"page_validated","source_span":"","fact_ids":["title_womens_flip_flop"],"rationale":"该槽位与商品基准中的明示页面事实一致。"}],"size":[{"value":"10","evidence_type":"explicit","source_span":"size 10","fact_ids":[],"rationale":""},{"value":"10","evidence_type":"page_validated","source_span":"","fact_ids":["sizes_6_11"],"rationale":""}],"primary_domain":[{"value":"clothing_shoes_jewelry","evidence_type":"inferred","source_span":"","fact_ids":[],"rationale":"该值由搜索词整体语义推断，未作为页面明示属性。"}]}</x:v>
      </x:c>
      <x:c r="Y490" s="16" t="str">
        <x:v>typo</x:v>
      </x:c>
      <x:c r="Z490" s="13" t="str">
        <x:v>match</x:v>
      </x:c>
      <x:c r="AA490" s="16" t="str">
        <x:v>title_womens_flip_flop | style_flip_flop | sizes_6_11</x:v>
      </x:c>
      <x:c r="AB490" s="13" t="str">
        <x:v>accepted</x:v>
      </x:c>
      <x:c r="AC490" s="13" t="str">
        <x:v>1.0.0</x:v>
      </x:c>
      <x:c r="AD490" s="13" t="str">
        <x:v>1.1.0</x:v>
      </x:c>
      <x:c r="AE490" s="13" t="str">
        <x:v>deepseek/deepseek-v4-pro</x:v>
      </x:c>
      <x:c r="AF490" s="13" t="str">
        <x:v>aj2-y90-20260714T234810-0bea2f52</x:v>
      </x:c>
      <x:c r="AG490" s="13" t="str">
        <x:v>full-0025</x:v>
      </x:c>
      <x:c r="AH490" s="13" t="str">
        <x:v>full</x:v>
      </x:c>
      <x:c r="AI490" s="13" t="n">
        <x:v>25</x:v>
      </x:c>
    </x:row>
    <x:row r="491" ht="34" customHeight="1">
      <x:c r="A491" s="15" t="str">
        <x:v>everyday walking flip flops</x:v>
      </x:c>
      <x:c r="B491" s="15" t="str">
        <x:v>everyday walking flip flops</x:v>
      </x:c>
      <x:c r="C491" s="10" t="str">
        <x:v>8d9efabf2f8d61b5</x:v>
      </x:c>
      <x:c r="D491" s="10" t="str">
        <x:v>keyword</x:v>
      </x:c>
      <x:c r="E491" s="10" t="str">
        <x:v>en</x:v>
      </x:c>
      <x:c r="F491" s="10" t="str">
        <x:v>clothing_shoes_jewelry</x:v>
      </x:c>
      <x:c r="G491" s="15" t="str">
        <x:v>sports_outdoors</x:v>
      </x:c>
      <x:c r="H491" s="15" t="str">
        <x:v>flip_flop</x:v>
      </x:c>
      <x:c r="I491" s="15" t="str"/>
      <x:c r="J491" s="15" t="str">
        <x:v>daily_walking</x:v>
      </x:c>
      <x:c r="K491" s="15" t="str">
        <x:v>all_day_comfort | arch_support</x:v>
      </x:c>
      <x:c r="L491" s="15" t="str">
        <x:v>everyday_walking</x:v>
      </x:c>
      <x:c r="M491" s="15" t="str">
        <x:v>outdoor</x:v>
      </x:c>
      <x:c r="N491" s="15" t="str"/>
      <x:c r="O491" s="15" t="str">
        <x:v>all_day</x:v>
      </x:c>
      <x:c r="P491" s="15" t="str"/>
      <x:c r="Q491" s="15" t="str"/>
      <x:c r="R491" s="15" t="str">
        <x:v>用户寻找适合日常长时间步行的夹脚拖鞋，需要全天舒适和足弓支撑。</x:v>
      </x:c>
      <x:c r="S491" s="10" t="str">
        <x:v>consideration</x:v>
      </x:c>
      <x:c r="T491" s="15" t="str">
        <x:v>explicit | page_validated | inferred</x:v>
      </x:c>
      <x:c r="U491" s="10" t="str">
        <x:v>high</x:v>
      </x:c>
      <x:c r="V491" s="15" t="str">
        <x:v>everyday_walking_flip_flops</x:v>
      </x:c>
      <x:c r="W491" s="15" t="str">
        <x:v>cluster_route</x:v>
      </x:c>
      <x:c r="X491" s="15" t="str">
        <x:v>{"product_type":[{"value":"flip_flop","evidence_type":"explicit","source_span":"flip flops","fact_ids":[],"rationale":""},{"value":"flip_flop","evidence_type":"page_validated","source_span":"","fact_ids":["style_flip_flop"],"rationale":"该槽位与商品基准中的明示页面事实一致。"}],"event_intent":[{"value":"everyday_walking","evidence_type":"explicit","source_span":"everyday walking","fact_ids":[],"rationale":""}],"capability_intent":[{"value":"all_day_comfort","evidence_type":"page_validated","source_span":"","fact_ids":["arch_support"],"rationale":""},{"value":"arch_support","evidence_type":"page_validated","source_span":"","fact_ids":["arch_support"],"rationale":""},{"value":"arch_support","evidence_type":"inferred","source_span":"","fact_ids":[],"rationale":"该能力由搜索词表达的任务或问题推断；页面事实仅用于验证商品承接。"}],"location_intent":[{"value":"outdoor","evidence_type":"page_validated","source_span":"","fact_ids":["style_outdoor"],"rationale":""},{"value":"outdoor","evidence_type":"inferred","source_span":"","fact_ids":[],"rationale":"该能力由搜索词表达的任务或问题推断；页面事实仅用于验证商品承接。"}],"time_intent":[{"value":"all_day","evidence_type":"page_validated","source_span":"","fact_ids":["arch_support"],"rationale":"页面宣称全天舒适"}],"secondary_domain":[{"value":"sports_outdoors","evidence_type":"inferred","source_span":"","fact_ids":[],"rationale":"该值由搜索词整体语义推断，未作为页面明示属性。"}],"function_intent":[{"value":"daily_walking","evidence_type":"inferred","source_span":"","fact_ids":[],"rationale":"该值由搜索词整体语义推断，未作为页面明示属性。"}],"primary_domain":[{"value":"clothing_shoes_jewelry","evidence_type":"inferred","source_span":"","fact_ids":[],"rationale":"该值由搜索词整体语义推断，未作为页面明示属性。"}]}</x:v>
      </x:c>
      <x:c r="Y491" s="15" t="str"/>
      <x:c r="Z491" s="10" t="str">
        <x:v>match</x:v>
      </x:c>
      <x:c r="AA491" s="15" t="str">
        <x:v>title_womens_flip_flop | style_flip_flop | arch_support | style_outdoor | lightweight_breathable</x:v>
      </x:c>
      <x:c r="AB491" s="10" t="str">
        <x:v>accepted</x:v>
      </x:c>
      <x:c r="AC491" s="10" t="str">
        <x:v>1.0.0</x:v>
      </x:c>
      <x:c r="AD491" s="10" t="str">
        <x:v>1.1.0</x:v>
      </x:c>
      <x:c r="AE491" s="10" t="str">
        <x:v>deepseek/deepseek-v4-pro</x:v>
      </x:c>
      <x:c r="AF491" s="10" t="str">
        <x:v>aj2-y90-20260714T234810-0bea2f52</x:v>
      </x:c>
      <x:c r="AG491" s="10" t="str">
        <x:v>full-0025</x:v>
      </x:c>
      <x:c r="AH491" s="10" t="str">
        <x:v>full</x:v>
      </x:c>
      <x:c r="AI491" s="10" t="n">
        <x:v>25</x:v>
      </x:c>
    </x:row>
    <x:row r="492" ht="34" customHeight="1">
      <x:c r="A492" s="16" t="str">
        <x:v>sweat absorbent flip flops</x:v>
      </x:c>
      <x:c r="B492" s="16" t="str">
        <x:v>sweat absorbent flip flops</x:v>
      </x:c>
      <x:c r="C492" s="13" t="str">
        <x:v>8ed98474451934f9</x:v>
      </x:c>
      <x:c r="D492" s="13" t="str">
        <x:v>keyword</x:v>
      </x:c>
      <x:c r="E492" s="13" t="str">
        <x:v>en</x:v>
      </x:c>
      <x:c r="F492" s="13" t="str">
        <x:v>clothing_shoes_jewelry</x:v>
      </x:c>
      <x:c r="G492" s="16" t="str"/>
      <x:c r="H492" s="16" t="str">
        <x:v>flip_flop</x:v>
      </x:c>
      <x:c r="I492" s="16" t="str"/>
      <x:c r="J492" s="16" t="str">
        <x:v>moisture_management</x:v>
      </x:c>
      <x:c r="K492" s="16" t="str">
        <x:v>sweat_absorbent</x:v>
      </x:c>
      <x:c r="L492" s="16" t="str"/>
      <x:c r="M492" s="16" t="str"/>
      <x:c r="N492" s="16" t="str">
        <x:v>sweaty_feet</x:v>
      </x:c>
      <x:c r="O492" s="16" t="str"/>
      <x:c r="P492" s="16" t="str"/>
      <x:c r="Q492" s="16" t="str"/>
      <x:c r="R492" s="16" t="str">
        <x:v>用户寻找能吸汗的夹脚拖鞋，解决脚底出汗问题。</x:v>
      </x:c>
      <x:c r="S492" s="13" t="str">
        <x:v>consideration</x:v>
      </x:c>
      <x:c r="T492" s="16" t="str">
        <x:v>explicit | page_validated | inferred</x:v>
      </x:c>
      <x:c r="U492" s="13" t="str">
        <x:v>low</x:v>
      </x:c>
      <x:c r="V492" s="16" t="str">
        <x:v>sweat_absorbent_flip_flops</x:v>
      </x:c>
      <x:c r="W492" s="16" t="str">
        <x:v>listing_gap_review</x:v>
      </x:c>
      <x:c r="X492" s="16" t="str">
        <x:v>{"product_type":[{"value":"flip_flop","evidence_type":"explicit","source_span":"flip flops","fact_ids":[],"rationale":""},{"value":"flip_flop","evidence_type":"page_validated","source_span":"","fact_ids":["style_flip_flop"],"rationale":"该槽位与商品基准中的明示页面事实一致。"}],"capability_intent":[{"value":"sweat_absorbent","evidence_type":"explicit","source_span":"sweat absorbent","fact_ids":[],"rationale":""},{"value":"sweat_absorbent","evidence_type":"page_validated","source_span":"","fact_ids":["lightweight_breathable"],"rationale":"页面标注透气但未提及吸汗功能"}],"body_need_intent":[{"value":"sweaty_feet","evidence_type":"inferred","source_span":"","fact_ids":[],"rationale":"该值由搜索词整体语义推断，未作为页面明示属性。"}],"function_intent":[{"value":"moisture_management","evidence_type":"inferred","source_span":"","fact_ids":[],"rationale":"该值由搜索词整体语义推断，未作为页面明示属性。"}],"primary_domain":[{"value":"clothing_shoes_jewelry","evidence_type":"inferred","source_span":"","fact_ids":[],"rationale":"该值由搜索词整体语义推断，未作为页面明示属性。"}]}</x:v>
      </x:c>
      <x:c r="Y492" s="16" t="str"/>
      <x:c r="Z492" s="13" t="str">
        <x:v>partial_match</x:v>
      </x:c>
      <x:c r="AA492" s="16" t="str">
        <x:v>title_womens_flip_flop | style_flip_flop | lightweight_breathable</x:v>
      </x:c>
      <x:c r="AB492" s="13" t="str">
        <x:v>accepted</x:v>
      </x:c>
      <x:c r="AC492" s="13" t="str">
        <x:v>1.0.0</x:v>
      </x:c>
      <x:c r="AD492" s="13" t="str">
        <x:v>1.1.0</x:v>
      </x:c>
      <x:c r="AE492" s="13" t="str">
        <x:v>deepseek/deepseek-v4-pro</x:v>
      </x:c>
      <x:c r="AF492" s="13" t="str">
        <x:v>aj2-y90-20260714T234810-0bea2f52</x:v>
      </x:c>
      <x:c r="AG492" s="13" t="str">
        <x:v>full-0025</x:v>
      </x:c>
      <x:c r="AH492" s="13" t="str">
        <x:v>full</x:v>
      </x:c>
      <x:c r="AI492" s="13" t="n">
        <x:v>25</x:v>
      </x:c>
    </x:row>
    <x:row r="493" ht="34" customHeight="1">
      <x:c r="A493" s="15" t="str">
        <x:v>sandals women flip flop</x:v>
      </x:c>
      <x:c r="B493" s="15" t="str">
        <x:v>sandals women flip flop</x:v>
      </x:c>
      <x:c r="C493" s="10" t="str">
        <x:v>8ee5da2bf8626134</x:v>
      </x:c>
      <x:c r="D493" s="10" t="str">
        <x:v>keyword</x:v>
      </x:c>
      <x:c r="E493" s="10" t="str">
        <x:v>en</x:v>
      </x:c>
      <x:c r="F493" s="10" t="str">
        <x:v>clothing_shoes_jewelry</x:v>
      </x:c>
      <x:c r="G493" s="15" t="str"/>
      <x:c r="H493" s="15" t="str">
        <x:v>sandals | flip_flop</x:v>
      </x:c>
      <x:c r="I493" s="15" t="str">
        <x:v>women</x:v>
      </x:c>
      <x:c r="J493" s="15" t="str"/>
      <x:c r="K493" s="15" t="str"/>
      <x:c r="L493" s="15" t="str"/>
      <x:c r="M493" s="15" t="str"/>
      <x:c r="N493" s="15" t="str"/>
      <x:c r="O493" s="15" t="str"/>
      <x:c r="P493" s="15" t="str"/>
      <x:c r="Q493" s="15" t="str"/>
      <x:c r="R493" s="15" t="str">
        <x:v>女性用户浏览夹脚凉鞋，处于宽泛的品类搜索阶段。</x:v>
      </x:c>
      <x:c r="S493" s="10" t="str">
        <x:v>exploration</x:v>
      </x:c>
      <x:c r="T493" s="15" t="str">
        <x:v>explicit | page_validated</x:v>
      </x:c>
      <x:c r="U493" s="10" t="str">
        <x:v>high</x:v>
      </x:c>
      <x:c r="V493" s="15" t="str">
        <x:v>womens_flip_flop_sandals</x:v>
      </x:c>
      <x:c r="W493" s="15" t="str">
        <x:v>cluster_route</x:v>
      </x:c>
      <x:c r="X493" s="15" t="str">
        <x:v>{"product_type":[{"value":"sandals","evidence_type":"explicit","source_span":"sandals","fact_ids":[],"rationale":""},{"value":"flip_flop","evidence_type":"explicit","source_span":"flip flop","fact_ids":[],"rationale":""},{"value":"sandals","evidence_type":"page_validated","source_span":"","fact_ids":["title_womens_flip_flop"],"rationale":"该槽位与商品基准中的明示页面事实一致。"},{"value":"flip_flop","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primary_domain":[{"value":"clothing_shoes_jewelry","evidence_type":"inferred","source_span":"","fact_ids":[],"rationale":"该值由搜索词整体语义推断，未作为页面明示属性。"}]}</x:v>
      </x:c>
      <x:c r="Y493" s="15" t="str"/>
      <x:c r="Z493" s="10" t="str">
        <x:v>match</x:v>
      </x:c>
      <x:c r="AA493" s="15" t="str">
        <x:v>title_womens_flip_flop | style_flip_flop</x:v>
      </x:c>
      <x:c r="AB493" s="10" t="str">
        <x:v>accepted</x:v>
      </x:c>
      <x:c r="AC493" s="10" t="str">
        <x:v>1.0.0</x:v>
      </x:c>
      <x:c r="AD493" s="10" t="str">
        <x:v>1.1.0</x:v>
      </x:c>
      <x:c r="AE493" s="10" t="str">
        <x:v>deepseek/deepseek-v4-pro</x:v>
      </x:c>
      <x:c r="AF493" s="10" t="str">
        <x:v>aj2-y90-20260714T234810-0bea2f52</x:v>
      </x:c>
      <x:c r="AG493" s="10" t="str">
        <x:v>full-0025</x:v>
      </x:c>
      <x:c r="AH493" s="10" t="str">
        <x:v>full</x:v>
      </x:c>
      <x:c r="AI493" s="10" t="n">
        <x:v>25</x:v>
      </x:c>
    </x:row>
    <x:row r="494" ht="34" customHeight="1">
      <x:c r="A494" s="16" t="str">
        <x:v>flip flops sale</x:v>
      </x:c>
      <x:c r="B494" s="16" t="str">
        <x:v>flip flops sale</x:v>
      </x:c>
      <x:c r="C494" s="13" t="str">
        <x:v>993b33c441f2572b</x:v>
      </x:c>
      <x:c r="D494" s="13" t="str">
        <x:v>keyword</x:v>
      </x:c>
      <x:c r="E494" s="13" t="str">
        <x:v>en</x:v>
      </x:c>
      <x:c r="F494" s="13" t="str">
        <x:v>clothing_shoes_jewelry</x:v>
      </x:c>
      <x:c r="G494" s="16" t="str"/>
      <x:c r="H494" s="16" t="str">
        <x:v>flip_flop</x:v>
      </x:c>
      <x:c r="I494" s="16" t="str"/>
      <x:c r="J494" s="16" t="str"/>
      <x:c r="K494" s="16" t="str"/>
      <x:c r="L494" s="16" t="str"/>
      <x:c r="M494" s="16" t="str"/>
      <x:c r="N494" s="16" t="str"/>
      <x:c r="O494" s="16" t="str"/>
      <x:c r="P494" s="16" t="str"/>
      <x:c r="Q494" s="16" t="str"/>
      <x:c r="R494" s="16" t="str">
        <x:v>用户寻找正在打折促销的夹脚拖鞋，关注价格优惠。</x:v>
      </x:c>
      <x:c r="S494" s="13" t="str">
        <x:v>consideration</x:v>
      </x:c>
      <x:c r="T494" s="16" t="str">
        <x:v>explicit | inferred</x:v>
      </x:c>
      <x:c r="U494" s="13" t="str">
        <x:v>low</x:v>
      </x:c>
      <x:c r="V494" s="16" t="str">
        <x:v>flip_flops_sale</x:v>
      </x:c>
      <x:c r="W494" s="16" t="str">
        <x:v>performance_observation</x:v>
      </x:c>
      <x:c r="X494" s="16" t="str">
        <x:v>{"product_type":[{"value":"flip_flop","evidence_type":"explicit","source_span":"flip flops","fact_ids":[],"rationale":""},{"value":"flip_flop","evidence_type":"page_validated","source_span":"","fact_ids":["style_flip_flop"],"rationale":"该槽位与商品基准中的明示页面事实一致。"}],"price":[{"value":"sale","evidence_type":"explicit","source_span":"sale","fact_ids":[],"rationale":""}],"primary_domain":[{"value":"clothing_shoes_jewelry","evidence_type":"inferred","source_span":"","fact_ids":[],"rationale":"该值由搜索词整体语义推断，未作为页面明示属性。"}]}</x:v>
      </x:c>
      <x:c r="Y494" s="16" t="str"/>
      <x:c r="Z494" s="13" t="str">
        <x:v>unknown</x:v>
      </x:c>
      <x:c r="AA494" s="16" t="str">
        <x:v>title_womens_flip_flop | style_flip_flop</x:v>
      </x:c>
      <x:c r="AB494" s="13" t="str">
        <x:v>accepted</x:v>
      </x:c>
      <x:c r="AC494" s="13" t="str">
        <x:v>1.0.0</x:v>
      </x:c>
      <x:c r="AD494" s="13" t="str">
        <x:v>1.1.0</x:v>
      </x:c>
      <x:c r="AE494" s="13" t="str">
        <x:v>deepseek/deepseek-v4-pro</x:v>
      </x:c>
      <x:c r="AF494" s="13" t="str">
        <x:v>aj2-y90-20260714T234810-0bea2f52</x:v>
      </x:c>
      <x:c r="AG494" s="13" t="str">
        <x:v>full-0025</x:v>
      </x:c>
      <x:c r="AH494" s="13" t="str">
        <x:v>full</x:v>
      </x:c>
      <x:c r="AI494" s="13" t="n">
        <x:v>25</x:v>
      </x:c>
    </x:row>
    <x:row r="495" ht="34" customHeight="1">
      <x:c r="A495" s="15" t="str">
        <x:v>womens sandals arch support</x:v>
      </x:c>
      <x:c r="B495" s="15" t="str">
        <x:v>womens sandals arch support</x:v>
      </x:c>
      <x:c r="C495" s="10" t="str">
        <x:v>99a83575fabe21e0</x:v>
      </x:c>
      <x:c r="D495" s="10" t="str">
        <x:v>keyword</x:v>
      </x:c>
      <x:c r="E495" s="10" t="str">
        <x:v>en</x:v>
      </x:c>
      <x:c r="F495" s="10" t="str">
        <x:v>clothing_shoes_jewelry</x:v>
      </x:c>
      <x:c r="G495" s="15" t="str">
        <x:v>health_household</x:v>
      </x:c>
      <x:c r="H495" s="15" t="str">
        <x:v>sandals</x:v>
      </x:c>
      <x:c r="I495" s="15" t="str">
        <x:v>women</x:v>
      </x:c>
      <x:c r="J495" s="15" t="str">
        <x:v>arch_support</x:v>
      </x:c>
      <x:c r="K495" s="15" t="str">
        <x:v>arch_support</x:v>
      </x:c>
      <x:c r="L495" s="15" t="str"/>
      <x:c r="M495" s="15" t="str"/>
      <x:c r="N495" s="15" t="str"/>
      <x:c r="O495" s="15" t="str"/>
      <x:c r="P495" s="15" t="str"/>
      <x:c r="Q495" s="15" t="str"/>
      <x:c r="R495" s="15" t="str">
        <x:v>女性用户寻找具有足弓支撑功能的凉鞋。</x:v>
      </x:c>
      <x:c r="S495" s="10" t="str">
        <x:v>consideration</x:v>
      </x:c>
      <x:c r="T495" s="15" t="str">
        <x:v>explicit | page_validated</x:v>
      </x:c>
      <x:c r="U495" s="10" t="str">
        <x:v>high</x:v>
      </x:c>
      <x:c r="V495" s="15" t="str">
        <x:v>womens_arch_support_sandals</x:v>
      </x:c>
      <x:c r="W495" s="15" t="str">
        <x:v>cluster_route</x:v>
      </x:c>
      <x:c r="X495" s="15" t="str">
        <x:v>{"product_type":[{"value":"sandals","evidence_type":"explicit","source_span":"sandals","fact_ids":[],"rationale":""},{"value":"sandals","evidence_type":"page_validated","source_span":"","fact_ids":["title_womens_flip_flop"],"rationale":"该槽位与商品基准中的明示页面事实一致。"}],"audience_intent":[{"value":"women","evidence_type":"explicit","source_span":"womens","fact_ids":[],"rationale":""},{"value":"women","evidence_type":"page_validated","source_span":"","fact_ids":["title_womens_flip_flop"],"rationale":"该槽位与商品基准中的明示页面事实一致。"}],"capability_intent":[{"value":"arch_support","evidence_type":"page_validated","source_span":"","fact_ids":["arch_support"],"rationale":""}],"secondary_domain":[{"value":"health_household","evidence_type":"inferred","source_span":"","fact_ids":[],"rationale":"该值由搜索词整体语义推断，未作为页面明示属性。"}],"primary_domain":[{"value":"clothing_shoes_jewelry","evidence_type":"inferred","source_span":"","fact_ids":[],"rationale":"该值由搜索词整体语义推断，未作为页面明示属性。"}]}</x:v>
      </x:c>
      <x:c r="Y495" s="15" t="str"/>
      <x:c r="Z495" s="10" t="str">
        <x:v>match</x:v>
      </x:c>
      <x:c r="AA495" s="15" t="str">
        <x:v>title_womens_flip_flop | arch_support | style_flip_flop</x:v>
      </x:c>
      <x:c r="AB495" s="10" t="str">
        <x:v>accepted</x:v>
      </x:c>
      <x:c r="AC495" s="10" t="str">
        <x:v>1.0.0</x:v>
      </x:c>
      <x:c r="AD495" s="10" t="str">
        <x:v>1.1.0</x:v>
      </x:c>
      <x:c r="AE495" s="10" t="str">
        <x:v>deepseek/deepseek-v4-pro</x:v>
      </x:c>
      <x:c r="AF495" s="10" t="str">
        <x:v>aj2-y90-20260714T234810-0bea2f52</x:v>
      </x:c>
      <x:c r="AG495" s="10" t="str">
        <x:v>full-0025</x:v>
      </x:c>
      <x:c r="AH495" s="10" t="str">
        <x:v>full</x:v>
      </x:c>
      <x:c r="AI495" s="10" t="n">
        <x:v>25</x:v>
      </x:c>
    </x:row>
    <x:row r="496" ht="34" customHeight="1">
      <x:c r="A496" s="16" t="str">
        <x:v>flip flips eva</x:v>
      </x:c>
      <x:c r="B496" s="16" t="str">
        <x:v>flip flips eva</x:v>
      </x:c>
      <x:c r="C496" s="13" t="str">
        <x:v>afff863803158286</x:v>
      </x:c>
      <x:c r="D496" s="13" t="str">
        <x:v>keyword</x:v>
      </x:c>
      <x:c r="E496" s="13" t="str">
        <x:v>en</x:v>
      </x:c>
      <x:c r="F496" s="13" t="str">
        <x:v>clothing_shoes_jewelry</x:v>
      </x:c>
      <x:c r="G496" s="16" t="str"/>
      <x:c r="H496" s="16" t="str">
        <x:v>flip_flop</x:v>
      </x:c>
      <x:c r="I496" s="16" t="str"/>
      <x:c r="J496" s="16" t="str"/>
      <x:c r="K496" s="16" t="str"/>
      <x:c r="L496" s="16" t="str"/>
      <x:c r="M496" s="16" t="str"/>
      <x:c r="N496" s="16" t="str"/>
      <x:c r="O496" s="16" t="str"/>
      <x:c r="P496" s="16" t="str"/>
      <x:c r="Q496" s="16" t="str"/>
      <x:c r="R496" s="16" t="str">
        <x:v>用户寻找EVA材质的夹脚拖鞋。</x:v>
      </x:c>
      <x:c r="S496" s="13" t="str">
        <x:v>consideration</x:v>
      </x:c>
      <x:c r="T496" s="16" t="str">
        <x:v>explicit | page_validated</x:v>
      </x:c>
      <x:c r="U496" s="13" t="str">
        <x:v>high</x:v>
      </x:c>
      <x:c r="V496" s="16" t="str">
        <x:v>eva_flip_flops</x:v>
      </x:c>
      <x:c r="W496" s="16" t="str">
        <x:v>cluster_route</x:v>
      </x:c>
      <x:c r="X496" s="16" t="str">
        <x:v>{"product_type":[{"value":"flip_flop","evidence_type":"explicit","source_span":"flip flips","fact_ids":[],"rationale":""},{"value":"flip_flop","evidence_type":"page_validated","source_span":"","fact_ids":["style_flip_flop"],"rationale":"该槽位与商品基准中的明示页面事实一致。"},{"value":"flip_flop","evidence_type":"inferred","source_span":"","fact_ids":[],"rationale":"该能力由搜索词表达的任务或问题推断；页面事实仅用于验证商品承接。"}],"material":[{"value":"eva","evidence_type":"explicit","source_span":"eva","fact_ids":[],"rationale":""},{"value":"eva","evidence_type":"page_validated","source_span":"","fact_ids":["material_eva"],"rationale":""}],"primary_domain":[{"value":"clothing_shoes_jewelry","evidence_type":"inferred","source_span":"","fact_ids":[],"rationale":"该值由搜索词整体语义推断，未作为页面明示属性。"}]}</x:v>
      </x:c>
      <x:c r="Y496" s="16" t="str">
        <x:v>typo</x:v>
      </x:c>
      <x:c r="Z496" s="13" t="str">
        <x:v>match</x:v>
      </x:c>
      <x:c r="AA496" s="16" t="str">
        <x:v>title_womens_flip_flop | style_flip_flop | material_eva</x:v>
      </x:c>
      <x:c r="AB496" s="13" t="str">
        <x:v>accepted</x:v>
      </x:c>
      <x:c r="AC496" s="13" t="str">
        <x:v>1.0.0</x:v>
      </x:c>
      <x:c r="AD496" s="13" t="str">
        <x:v>1.1.0</x:v>
      </x:c>
      <x:c r="AE496" s="13" t="str">
        <x:v>deepseek/deepseek-v4-pro</x:v>
      </x:c>
      <x:c r="AF496" s="13" t="str">
        <x:v>aj2-y90-20260714T234810-0bea2f52</x:v>
      </x:c>
      <x:c r="AG496" s="13" t="str">
        <x:v>full-0025</x:v>
      </x:c>
      <x:c r="AH496" s="13" t="str">
        <x:v>full</x:v>
      </x:c>
      <x:c r="AI496" s="13" t="n">
        <x:v>25</x:v>
      </x:c>
    </x:row>
    <x:row r="497" ht="34" customHeight="1">
      <x:c r="A497" s="15" t="str">
        <x:v>high arch flip flops</x:v>
      </x:c>
      <x:c r="B497" s="15" t="str">
        <x:v>high arch flip flops</x:v>
      </x:c>
      <x:c r="C497" s="10" t="str">
        <x:v>cae4ffe3a15a3d09</x:v>
      </x:c>
      <x:c r="D497" s="10" t="str">
        <x:v>keyword</x:v>
      </x:c>
      <x:c r="E497" s="10" t="str">
        <x:v>en</x:v>
      </x:c>
      <x:c r="F497" s="10" t="str">
        <x:v>clothing_shoes_jewelry</x:v>
      </x:c>
      <x:c r="G497" s="15" t="str"/>
      <x:c r="H497" s="15" t="str">
        <x:v>flip_flop</x:v>
      </x:c>
      <x:c r="I497" s="15" t="str"/>
      <x:c r="J497" s="15" t="str">
        <x:v>arch_support</x:v>
      </x:c>
      <x:c r="K497" s="15" t="str">
        <x:v>arch_support</x:v>
      </x:c>
      <x:c r="L497" s="15" t="str"/>
      <x:c r="M497" s="15" t="str"/>
      <x:c r="N497" s="15" t="str">
        <x:v>high_arch</x:v>
      </x:c>
      <x:c r="O497" s="15" t="str"/>
      <x:c r="P497" s="15" t="str"/>
      <x:c r="Q497" s="15" t="str"/>
      <x:c r="R497" s="15" t="str">
        <x:v>用户寻找适合高足弓的夹脚拖鞋，需要产品提供足弓支撑以缓解高足弓带来的不适。</x:v>
      </x:c>
      <x:c r="S497" s="10" t="str">
        <x:v>consideration</x:v>
      </x:c>
      <x:c r="T497" s="15" t="str">
        <x:v>explicit | page_validated | inferred</x:v>
      </x:c>
      <x:c r="U497" s="10" t="str">
        <x:v>medium</x:v>
      </x:c>
      <x:c r="V497" s="15" t="str">
        <x:v>high_arch_flip_flops</x:v>
      </x:c>
      <x:c r="W497" s="15" t="str">
        <x:v>listing_gap_review</x:v>
      </x:c>
      <x:c r="X497" s="15" t="str">
        <x:v>{"product_type":[{"value":"flip_flop","evidence_type":"explicit","source_span":"flip flops","fact_ids":[],"rationale":""},{"value":"flip_flop","evidence_type":"page_validated","source_span":"","fact_ids":["style_flip_flop"],"rationale":"该槽位与商品基准中的明示页面事实一致。"}],"body_need_intent":[{"value":"high_arch","evidence_type":"explicit","source_span":"high arch","fact_ids":[],"rationale":""}],"capability_intent":[{"value":"arch_support","evidence_type":"page_validated","source_span":"","fact_ids":["arch_support"],"rationale":""},{"value":"arch_suppor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497" s="15" t="str"/>
      <x:c r="Z497" s="10" t="str">
        <x:v>partial_match</x:v>
      </x:c>
      <x:c r="AA497" s="15" t="str">
        <x:v>title_womens_flip_flop | style_flip_flop | arch_support</x:v>
      </x:c>
      <x:c r="AB497" s="10" t="str">
        <x:v>accepted</x:v>
      </x:c>
      <x:c r="AC497" s="10" t="str">
        <x:v>1.0.0</x:v>
      </x:c>
      <x:c r="AD497" s="10" t="str">
        <x:v>1.1.0</x:v>
      </x:c>
      <x:c r="AE497" s="10" t="str">
        <x:v>deepseek/deepseek-v4-pro</x:v>
      </x:c>
      <x:c r="AF497" s="10" t="str">
        <x:v>aj2-y90-20260714T234810-0bea2f52</x:v>
      </x:c>
      <x:c r="AG497" s="10" t="str">
        <x:v>full-0025</x:v>
      </x:c>
      <x:c r="AH497" s="10" t="str">
        <x:v>full</x:v>
      </x:c>
      <x:c r="AI497" s="10" t="n">
        <x:v>25</x:v>
      </x:c>
    </x:row>
    <x:row r="498" ht="34" customHeight="1">
      <x:c r="A498" s="16" t="str">
        <x:v>white flip flops women</x:v>
      </x:c>
      <x:c r="B498" s="16" t="str">
        <x:v>white flip flops women</x:v>
      </x:c>
      <x:c r="C498" s="13" t="str">
        <x:v>d310bbbdd18a7e84</x:v>
      </x:c>
      <x:c r="D498" s="13" t="str">
        <x:v>keyword</x:v>
      </x:c>
      <x:c r="E498" s="13" t="str">
        <x:v>en</x:v>
      </x:c>
      <x:c r="F498" s="13" t="str">
        <x:v>clothing_shoes_jewelry</x:v>
      </x:c>
      <x:c r="G498" s="16" t="str"/>
      <x:c r="H498" s="16" t="str">
        <x:v>flip_flop</x:v>
      </x:c>
      <x:c r="I498" s="16" t="str">
        <x:v>women</x:v>
      </x:c>
      <x:c r="J498" s="16" t="str"/>
      <x:c r="K498" s="16" t="str"/>
      <x:c r="L498" s="16" t="str"/>
      <x:c r="M498" s="16" t="str"/>
      <x:c r="N498" s="16" t="str"/>
      <x:c r="O498" s="16" t="str"/>
      <x:c r="P498" s="16" t="str"/>
      <x:c r="Q498" s="16" t="str"/>
      <x:c r="R498" s="16" t="str">
        <x:v>女性用户寻找白色夹脚拖鞋。</x:v>
      </x:c>
      <x:c r="S498" s="13" t="str">
        <x:v>high_intent</x:v>
      </x:c>
      <x:c r="T498" s="16" t="str">
        <x:v>explicit | page_validated</x:v>
      </x:c>
      <x:c r="U498" s="13" t="str">
        <x:v>high</x:v>
      </x:c>
      <x:c r="V498" s="16" t="str">
        <x:v>white_womens_flip_flops</x:v>
      </x:c>
      <x:c r="W498" s="16" t="str">
        <x:v>cluster_route</x:v>
      </x:c>
      <x:c r="X498" s="16" t="str">
        <x:v>{"product_type":[{"value":"flip_flop","evidence_type":"explicit","source_span":"flip flops","fact_ids":[],"rationale":""},{"value":"flip_flop","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color":[{"value":"white","evidence_type":"explicit","source_span":"white","fact_ids":[],"rationale":"该颜色在商品页面可见颜色选择中得到明确支持。"},{"value":"white","evidence_type":"page_validated","source_span":"","fact_ids":["colors_visible"],"rationale":"该颜色在商品页面可见颜色选择中得到明确支持。"}],"primary_domain":[{"value":"clothing_shoes_jewelry","evidence_type":"inferred","source_span":"","fact_ids":[],"rationale":"该值由搜索词整体语义推断，未作为页面明示属性。"}]}</x:v>
      </x:c>
      <x:c r="Y498" s="16" t="str"/>
      <x:c r="Z498" s="13" t="str">
        <x:v>match</x:v>
      </x:c>
      <x:c r="AA498" s="16" t="str">
        <x:v>title_womens_flip_flop | style_flip_flop | colors_visible</x:v>
      </x:c>
      <x:c r="AB498" s="13" t="str">
        <x:v>accepted</x:v>
      </x:c>
      <x:c r="AC498" s="13" t="str">
        <x:v>1.0.0</x:v>
      </x:c>
      <x:c r="AD498" s="13" t="str">
        <x:v>1.1.0</x:v>
      </x:c>
      <x:c r="AE498" s="13" t="str">
        <x:v>deepseek/deepseek-v4-pro</x:v>
      </x:c>
      <x:c r="AF498" s="13" t="str">
        <x:v>aj2-y90-20260714T234810-0bea2f52</x:v>
      </x:c>
      <x:c r="AG498" s="13" t="str">
        <x:v>full-0025</x:v>
      </x:c>
      <x:c r="AH498" s="13" t="str">
        <x:v>full</x:v>
      </x:c>
      <x:c r="AI498" s="13" t="n">
        <x:v>25</x:v>
      </x:c>
    </x:row>
    <x:row r="499" ht="34" customHeight="1">
      <x:c r="A499" s="15" t="str">
        <x:v>bathroom sandals</x:v>
      </x:c>
      <x:c r="B499" s="15" t="str">
        <x:v>bathroom sandals</x:v>
      </x:c>
      <x:c r="C499" s="10" t="str">
        <x:v>d6402d54b1af8de3</x:v>
      </x:c>
      <x:c r="D499" s="10" t="str">
        <x:v>keyword</x:v>
      </x:c>
      <x:c r="E499" s="10" t="str">
        <x:v>en</x:v>
      </x:c>
      <x:c r="F499" s="10" t="str">
        <x:v>clothing_shoes_jewelry</x:v>
      </x:c>
      <x:c r="G499" s="15" t="str">
        <x:v>home_kitchen</x:v>
      </x:c>
      <x:c r="H499" s="15" t="str">
        <x:v>sandals</x:v>
      </x:c>
      <x:c r="I499" s="15" t="str"/>
      <x:c r="J499" s="15" t="str">
        <x:v>wet_environment_use</x:v>
      </x:c>
      <x:c r="K499" s="15" t="str">
        <x:v>slip_resistant | easy_clean</x:v>
      </x:c>
      <x:c r="L499" s="15" t="str"/>
      <x:c r="M499" s="15" t="str">
        <x:v>bathroom</x:v>
      </x:c>
      <x:c r="N499" s="15" t="str"/>
      <x:c r="O499" s="15" t="str"/>
      <x:c r="P499" s="15" t="str"/>
      <x:c r="Q499" s="15" t="str"/>
      <x:c r="R499" s="15" t="str">
        <x:v>用户寻找适合浴室穿着的凉鞋，需要防滑且易清洁。</x:v>
      </x:c>
      <x:c r="S499" s="10" t="str">
        <x:v>consideration</x:v>
      </x:c>
      <x:c r="T499" s="15" t="str">
        <x:v>explicit | page_validated | inferred</x:v>
      </x:c>
      <x:c r="U499" s="10" t="str">
        <x:v>medium</x:v>
      </x:c>
      <x:c r="V499" s="15" t="str">
        <x:v>bathroom_sandals</x:v>
      </x:c>
      <x:c r="W499" s="15" t="str">
        <x:v>listing_gap_review</x:v>
      </x:c>
      <x:c r="X499" s="15" t="str">
        <x:v>{"product_type":[{"value":"sandals","evidence_type":"explicit","source_span":"sandals","fact_ids":[],"rationale":""},{"value":"sandals","evidence_type":"page_validated","source_span":"","fact_ids":["title_womens_flip_flop"],"rationale":"该槽位与商品基准中的明示页面事实一致。"}],"location_intent":[{"value":"bathroom","evidence_type":"explicit","source_span":"bathroom","fact_ids":[],"rationale":""}],"capability_intent":[{"value":"slip_resistant","evidence_type":"page_validated","source_span":"","fact_ids":["slip_resistant_grip"],"rationale":""},{"value":"easy_clean","evidence_type":"page_validated","source_span":"","fact_ids":["easy_clean"],"rationale":""},{"value":"slip_resistant","evidence_type":"inferred","source_span":"","fact_ids":[],"rationale":"该能力由搜索词表达的任务或问题推断；页面事实仅用于验证商品承接。"},{"value":"easy_clean","evidence_type":"inferred","source_span":"","fact_ids":[],"rationale":"该能力由搜索词表达的任务或问题推断；页面事实仅用于验证商品承接。"}],"secondary_domain":[{"value":"home_kitchen","evidence_type":"inferred","source_span":"","fact_ids":[],"rationale":"该值由搜索词整体语义推断，未作为页面明示属性。"}],"function_intent":[{"value":"wet_environment_use","evidence_type":"inferred","source_span":"","fact_ids":[],"rationale":"该值由搜索词整体语义推断，未作为页面明示属性。"}],"primary_domain":[{"value":"clothing_shoes_jewelry","evidence_type":"inferred","source_span":"","fact_ids":[],"rationale":"该值由搜索词整体语义推断，未作为页面明示属性。"}]}</x:v>
      </x:c>
      <x:c r="Y499" s="15" t="str">
        <x:v>unspecified_sandal_type</x:v>
      </x:c>
      <x:c r="Z499" s="10" t="str">
        <x:v>partial_match</x:v>
      </x:c>
      <x:c r="AA499" s="15" t="str">
        <x:v>title_womens_flip_flop | style_flip_flop | slip_resistant_grip | easy_clean | material_eva</x:v>
      </x:c>
      <x:c r="AB499" s="10" t="str">
        <x:v>accepted</x:v>
      </x:c>
      <x:c r="AC499" s="10" t="str">
        <x:v>1.0.0</x:v>
      </x:c>
      <x:c r="AD499" s="10" t="str">
        <x:v>1.1.0</x:v>
      </x:c>
      <x:c r="AE499" s="10" t="str">
        <x:v>deepseek/deepseek-v4-pro</x:v>
      </x:c>
      <x:c r="AF499" s="10" t="str">
        <x:v>aj2-y90-20260714T234810-0bea2f52</x:v>
      </x:c>
      <x:c r="AG499" s="10" t="str">
        <x:v>full-0025</x:v>
      </x:c>
      <x:c r="AH499" s="10" t="str">
        <x:v>full</x:v>
      </x:c>
      <x:c r="AI499" s="10" t="n">
        <x:v>25</x:v>
      </x:c>
    </x:row>
    <x:row r="500" ht="34" customHeight="1">
      <x:c r="A500" s="16" t="str">
        <x:v>yoga mat flip flops women black</x:v>
      </x:c>
      <x:c r="B500" s="16" t="str">
        <x:v>yoga mat flip flops women black</x:v>
      </x:c>
      <x:c r="C500" s="13" t="str">
        <x:v>de24e39b7a0c3257</x:v>
      </x:c>
      <x:c r="D500" s="13" t="str">
        <x:v>keyword</x:v>
      </x:c>
      <x:c r="E500" s="13" t="str">
        <x:v>en</x:v>
      </x:c>
      <x:c r="F500" s="13" t="str">
        <x:v>clothing_shoes_jewelry</x:v>
      </x:c>
      <x:c r="G500" s="16" t="str">
        <x:v>sports_outdoors</x:v>
      </x:c>
      <x:c r="H500" s="16" t="str">
        <x:v>flip_flop</x:v>
      </x:c>
      <x:c r="I500" s="16" t="str">
        <x:v>women</x:v>
      </x:c>
      <x:c r="J500" s="16" t="str"/>
      <x:c r="K500" s="16" t="str">
        <x:v>cushioning</x:v>
      </x:c>
      <x:c r="L500" s="16" t="str"/>
      <x:c r="M500" s="16" t="str"/>
      <x:c r="N500" s="16" t="str"/>
      <x:c r="O500" s="16" t="str"/>
      <x:c r="P500" s="16" t="str"/>
      <x:c r="Q500" s="16" t="str"/>
      <x:c r="R500" s="16" t="str">
        <x:v>女性用户寻找黑色瑜伽垫材质夹脚拖鞋，要求柔软缓震且颜色为黑色。</x:v>
      </x:c>
      <x:c r="S500" s="13" t="str">
        <x:v>high_intent</x:v>
      </x:c>
      <x:c r="T500" s="16" t="str">
        <x:v>explicit | page_validated | inferred</x:v>
      </x:c>
      <x:c r="U500" s="13" t="str">
        <x:v>medium</x:v>
      </x:c>
      <x:c r="V500" s="16" t="str">
        <x:v>yoga_mat_flip_flops_women</x:v>
      </x:c>
      <x:c r="W500" s="16" t="str">
        <x:v>listing_gap_review</x:v>
      </x:c>
      <x:c r="X500" s="16" t="str">
        <x:v>{"product_type":[{"value":"flip_flop","evidence_type":"explicit","source_span":"flip flops","fact_ids":[],"rationale":""},{"value":"flip_flop","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capability_intent":[{"value":"cushioning","evidence_type":"page_validated","source_span":"","fact_ids":["padded_cushioning"],"rationale":""},{"value":"cushioning","evidence_type":"inferred","source_span":"","fact_ids":[],"rationale":"该能力由搜索词表达的任务或问题推断；页面事实仅用于验证商品承接。"}],"material":[{"value":"yoga_mat","evidence_type":"explicit","source_span":"yoga mat","fact_ids":[],"rationale":""}],"color":[{"value":"black","evidence_type":"explicit","source_span":"black","fact_ids":[],"rationale":"该颜色在商品页面可见颜色选择中得到明确支持。"},{"value":"black","evidence_type":"page_validated","source_span":"","fact_ids":["colors_visible"],"rationale":"该颜色在商品页面可见颜色选择中得到明确支持。"}],"secondary_domain":[{"value":"sports_outdoors","evidence_type":"inferred","source_span":"","fact_ids":[],"rationale":"该值由搜索词整体语义推断，未作为页面明示属性。"}],"primary_domain":[{"value":"clothing_shoes_jewelry","evidence_type":"inferred","source_span":"","fact_ids":[],"rationale":"该值由搜索词整体语义推断，未作为页面明示属性。"}]}</x:v>
      </x:c>
      <x:c r="Y500" s="16" t="str">
        <x:v>material_terminology</x:v>
      </x:c>
      <x:c r="Z500" s="13" t="str">
        <x:v>partial_match</x:v>
      </x:c>
      <x:c r="AA500" s="16" t="str">
        <x:v>title_womens_flip_flop | style_flip_flop | material_eva | padded_cushioning | colors_visible</x:v>
      </x:c>
      <x:c r="AB500" s="13" t="str">
        <x:v>accepted</x:v>
      </x:c>
      <x:c r="AC500" s="13" t="str">
        <x:v>1.0.0</x:v>
      </x:c>
      <x:c r="AD500" s="13" t="str">
        <x:v>1.1.0</x:v>
      </x:c>
      <x:c r="AE500" s="13" t="str">
        <x:v>deepseek/deepseek-v4-pro</x:v>
      </x:c>
      <x:c r="AF500" s="13" t="str">
        <x:v>aj2-y90-20260714T234810-0bea2f52</x:v>
      </x:c>
      <x:c r="AG500" s="13" t="str">
        <x:v>full-0025</x:v>
      </x:c>
      <x:c r="AH500" s="13" t="str">
        <x:v>full</x:v>
      </x:c>
      <x:c r="AI500" s="13" t="n">
        <x:v>25</x:v>
      </x:c>
    </x:row>
    <x:row r="501" ht="34" customHeight="1">
      <x:c r="A501" s="15" t="str">
        <x:v>black flat thong sandals</x:v>
      </x:c>
      <x:c r="B501" s="15" t="str">
        <x:v>black flat thong sandals</x:v>
      </x:c>
      <x:c r="C501" s="10" t="str">
        <x:v>f7464ca7de2cb20d</x:v>
      </x:c>
      <x:c r="D501" s="10" t="str">
        <x:v>keyword</x:v>
      </x:c>
      <x:c r="E501" s="10" t="str">
        <x:v>en</x:v>
      </x:c>
      <x:c r="F501" s="10" t="str">
        <x:v>clothing_shoes_jewelry</x:v>
      </x:c>
      <x:c r="G501" s="15" t="str"/>
      <x:c r="H501" s="15" t="str">
        <x:v>sandals</x:v>
      </x:c>
      <x:c r="I501" s="15" t="str"/>
      <x:c r="J501" s="15" t="str"/>
      <x:c r="K501" s="15" t="str"/>
      <x:c r="L501" s="15" t="str"/>
      <x:c r="M501" s="15" t="str"/>
      <x:c r="N501" s="15" t="str"/>
      <x:c r="O501" s="15" t="str"/>
      <x:c r="P501" s="15" t="str"/>
      <x:c r="Q501" s="15" t="str"/>
      <x:c r="R501" s="15" t="str">
        <x:v>用户寻找黑色平底夹趾凉鞋。</x:v>
      </x:c>
      <x:c r="S501" s="10" t="str">
        <x:v>high_intent</x:v>
      </x:c>
      <x:c r="T501" s="15" t="str">
        <x:v>explicit | page_validated</x:v>
      </x:c>
      <x:c r="U501" s="10" t="str">
        <x:v>high</x:v>
      </x:c>
      <x:c r="V501" s="15" t="str">
        <x:v>black_flat_thong_sandals</x:v>
      </x:c>
      <x:c r="W501" s="15" t="str">
        <x:v>cluster_route</x:v>
      </x:c>
      <x:c r="X501" s="15" t="str">
        <x:v>{"product_type":[{"value":"sandals","evidence_type":"explicit","source_span":"sandals","fact_ids":[],"rationale":""},{"value":"sandals","evidence_type":"page_validated","source_span":"","fact_ids":["title_womens_flip_flop"],"rationale":"该槽位与商品基准中的明示页面事实一致。"}],"color":[{"value":"black","evidence_type":"explicit","source_span":"black","fact_ids":[],"rationale":"该颜色在商品页面可见颜色选择中得到明确支持。"},{"value":"black","evidence_type":"page_validated","source_span":"","fact_ids":["colors_visible"],"rationale":"该颜色在商品页面可见颜色选择中得到明确支持。"}],"style":[{"value":"flat","evidence_type":"explicit","source_span":"flat","fact_ids":[],"rationale":""},{"value":"flat","evidence_type":"page_validated","source_span":"","fact_ids":["style_flat"],"rationale":""},{"value":"thong","evidence_type":"explicit","source_span":"thong","fact_ids":[],"rationale":""},{"value":"thong","evidence_type":"page_validated","source_span":"","fact_ids":["style_thong"],"rationale":""}],"primary_domain":[{"value":"clothing_shoes_jewelry","evidence_type":"inferred","source_span":"","fact_ids":[],"rationale":"该值由搜索词整体语义推断，未作为页面明示属性。"}]}</x:v>
      </x:c>
      <x:c r="Y501" s="15" t="str"/>
      <x:c r="Z501" s="10" t="str">
        <x:v>match</x:v>
      </x:c>
      <x:c r="AA501" s="15" t="str">
        <x:v>title_womens_flip_flop | style_flip_flop | style_flat | style_thong | colors_visible</x:v>
      </x:c>
      <x:c r="AB501" s="10" t="str">
        <x:v>accepted</x:v>
      </x:c>
      <x:c r="AC501" s="10" t="str">
        <x:v>1.0.0</x:v>
      </x:c>
      <x:c r="AD501" s="10" t="str">
        <x:v>1.1.0</x:v>
      </x:c>
      <x:c r="AE501" s="10" t="str">
        <x:v>deepseek/deepseek-v4-pro</x:v>
      </x:c>
      <x:c r="AF501" s="10" t="str">
        <x:v>aj2-y90-20260714T234810-0bea2f52</x:v>
      </x:c>
      <x:c r="AG501" s="10" t="str">
        <x:v>full-0025</x:v>
      </x:c>
      <x:c r="AH501" s="10" t="str">
        <x:v>full</x:v>
      </x:c>
      <x:c r="AI501" s="10" t="n">
        <x:v>25</x:v>
      </x:c>
    </x:row>
    <x:row r="502" ht="34" customHeight="1">
      <x:c r="A502" s="16" t="str">
        <x:v>house flips comfortable</x:v>
      </x:c>
      <x:c r="B502" s="16" t="str">
        <x:v>house flips comfortable</x:v>
      </x:c>
      <x:c r="C502" s="13" t="str">
        <x:v>0ee1ca0dab42a827</x:v>
      </x:c>
      <x:c r="D502" s="13" t="str">
        <x:v>keyword</x:v>
      </x:c>
      <x:c r="E502" s="13" t="str">
        <x:v>en</x:v>
      </x:c>
      <x:c r="F502" s="13" t="str">
        <x:v>clothing_shoes_jewelry</x:v>
      </x:c>
      <x:c r="G502" s="16" t="str">
        <x:v>home_kitchen</x:v>
      </x:c>
      <x:c r="H502" s="16" t="str">
        <x:v>flip_flops</x:v>
      </x:c>
      <x:c r="I502" s="16" t="str"/>
      <x:c r="J502" s="16" t="str">
        <x:v>comfort</x:v>
      </x:c>
      <x:c r="K502" s="16" t="str">
        <x:v>comfort</x:v>
      </x:c>
      <x:c r="L502" s="16" t="str"/>
      <x:c r="M502" s="16" t="str">
        <x:v>indoor</x:v>
      </x:c>
      <x:c r="N502" s="16" t="str"/>
      <x:c r="O502" s="16" t="str"/>
      <x:c r="P502" s="16" t="str"/>
      <x:c r="Q502" s="16" t="str"/>
      <x:c r="R502" s="16" t="str">
        <x:v>用户寻找居家穿着的舒适人字拖，注重室内使用场景和舒适度。</x:v>
      </x:c>
      <x:c r="S502" s="13" t="str">
        <x:v>consideration</x:v>
      </x:c>
      <x:c r="T502" s="16" t="str">
        <x:v>explicit | page_validated | inferred</x:v>
      </x:c>
      <x:c r="U502" s="13" t="str">
        <x:v>medium</x:v>
      </x:c>
      <x:c r="V502" s="16" t="str">
        <x:v>house_comfortable_flip_flops</x:v>
      </x:c>
      <x:c r="W502" s="16" t="str">
        <x:v>performance_observation</x:v>
      </x:c>
      <x:c r="X502" s="16" t="str">
        <x:v>{"product_type":[{"value":"flip_flops","evidence_type":"explicit","source_span":"flips","fact_ids":[],"rationale":""},{"value":"flip_flops","evidence_type":"page_validated","source_span":"","fact_ids":["title_womens_flip_flop","style_flip_flop"],"rationale":""},{"value":"flip_flops","evidence_type":"inferred","source_span":"","fact_ids":[],"rationale":"该能力由搜索词表达的任务或问题推断；页面事实仅用于验证商品承接。"}],"location_intent":[{"value":"indoor","evidence_type":"explicit","source_span":"house","fact_ids":[],"rationale":""},{"value":"outdoor","evidence_type":"page_validated","source_span":"","fact_ids":["style_outdoor"],"rationale":"产品标注户外生活方式，室内场景未明确支持"}],"function_intent":[{"value":"comfort","evidence_type":"explicit","source_span":"comfortable","fact_ids":[],"rationale":""},{"value":"comfort","evidence_type":"page_validated","source_span":"","fact_ids":["arch_support","padded_cushioning"],"rationale":""}],"asin_fit":[{"value":"partial_match","evidence_type":"page_validated","source_span":"","fact_ids":["style_outdoor"],"rationale":"室内使用与户外标签存在场景差异"}],"capability_intent":[{"value":"comfort","evidence_type":"page_validated","source_span":"","fact_ids":["arch_support","padded_cushioning"],"rationale":"该槽位与商品基准中的明示页面事实一致。"}],"secondary_domain":[{"value":"home_kitchen","evidence_type":"inferred","source_span":"","fact_ids":[],"rationale":"该值由搜索词整体语义推断，未作为页面明示属性。"}],"primary_domain":[{"value":"clothing_shoes_jewelry","evidence_type":"inferred","source_span":"","fact_ids":[],"rationale":"该值由搜索词整体语义推断，未作为页面明示属性。"}]}</x:v>
      </x:c>
      <x:c r="Y502" s="16" t="str"/>
      <x:c r="Z502" s="13" t="str">
        <x:v>partial_match</x:v>
      </x:c>
      <x:c r="AA502" s="16" t="str">
        <x:v>style_outdoor</x:v>
      </x:c>
      <x:c r="AB502" s="13" t="str">
        <x:v>needs_review</x:v>
      </x:c>
      <x:c r="AC502" s="13" t="str">
        <x:v>1.0.0</x:v>
      </x:c>
      <x:c r="AD502" s="13" t="str">
        <x:v>1.0.0</x:v>
      </x:c>
      <x:c r="AE502" s="13" t="str">
        <x:v>deepseek/deepseek-v4-pro</x:v>
      </x:c>
      <x:c r="AF502" s="13" t="str">
        <x:v>aj2-y90-20260714T234810-0bea2f52</x:v>
      </x:c>
      <x:c r="AG502" s="13" t="str">
        <x:v>full-0026</x:v>
      </x:c>
      <x:c r="AH502" s="13" t="str">
        <x:v>full</x:v>
      </x:c>
      <x:c r="AI502" s="13" t="n">
        <x:v>26</x:v>
      </x:c>
    </x:row>
    <x:row r="503" ht="34" customHeight="1">
      <x:c r="A503" s="15" t="str">
        <x:v>flip flops brand for women sandals</x:v>
      </x:c>
      <x:c r="B503" s="15" t="str">
        <x:v>flip flops brand for women sandals</x:v>
      </x:c>
      <x:c r="C503" s="10" t="str">
        <x:v>0efb944b48c44cd2</x:v>
      </x:c>
      <x:c r="D503" s="10" t="str">
        <x:v>keyword</x:v>
      </x:c>
      <x:c r="E503" s="10" t="str">
        <x:v>en</x:v>
      </x:c>
      <x:c r="F503" s="10" t="str">
        <x:v>clothing_shoes_jewelry</x:v>
      </x:c>
      <x:c r="G503" s="15" t="str"/>
      <x:c r="H503" s="15" t="str">
        <x:v>flip_flops | sandals</x:v>
      </x:c>
      <x:c r="I503" s="15" t="str">
        <x:v>women</x:v>
      </x:c>
      <x:c r="J503" s="15" t="str"/>
      <x:c r="K503" s="15" t="str"/>
      <x:c r="L503" s="15" t="str"/>
      <x:c r="M503" s="15" t="str"/>
      <x:c r="N503" s="15" t="str"/>
      <x:c r="O503" s="15" t="str"/>
      <x:c r="P503" s="15" t="str">
        <x:v>branded_alternative</x:v>
      </x:c>
      <x:c r="Q503" s="15" t="str"/>
      <x:c r="R503" s="15" t="str">
        <x:v>女性用户寻找品牌人字拖或凉鞋，注重品牌辨识度和女性款式。</x:v>
      </x:c>
      <x:c r="S503" s="10" t="str">
        <x:v>exploration</x:v>
      </x:c>
      <x:c r="T503" s="15" t="str">
        <x:v>explicit | page_validated | inferred</x:v>
      </x:c>
      <x:c r="U503" s="10" t="str">
        <x:v>high</x:v>
      </x:c>
      <x:c r="V503" s="15" t="str">
        <x:v>branded_womens_flip_flops_sandals</x:v>
      </x:c>
      <x:c r="W503" s="15" t="str">
        <x:v>cluster_route</x:v>
      </x:c>
      <x:c r="X503" s="15" t="str">
        <x:v>{"product_type":[{"value":"flip_flops","evidence_type":"explicit","source_span":"flip flops","fact_ids":[],"rationale":""},{"value":"flip_flops","evidence_type":"page_validated","source_span":"","fact_ids":["title_womens_flip_flop","style_flip_flop"],"rationale":""},{"value":"sandals","evidence_type":"explicit","source_span":"sandals","fact_ids":[],"rationale":""},{"value":"sandals","evidence_type":"page_validated","source_span":"","fact_ids":["title_womens_flip_flop"],"rationale":"该槽位与商品基准中的明示页面事实一致。"}],"audience_intent":[{"value":"women","evidence_type":"explicit","source_span":"women","fact_ids":[],"rationale":""},{"value":"women","evidence_type":"page_validated","source_span":"","fact_ids":["title_womens_flip_flop"],"rationale":""}],"substitute_intent":[{"value":"branded_alternative","evidence_type":"explicit","source_span":"brand","fact_ids":[],"rationale":""}],"asin_fit":[{"value":"match","evidence_type":"page_validated","source_span":"","fact_ids":["title_womens_flip_flop"],"rationale":""}],"primary_domain":[{"value":"clothing_shoes_jewelry","evidence_type":"inferred","source_span":"","fact_ids":[],"rationale":"该值由搜索词整体语义推断，未作为页面明示属性。"}]}</x:v>
      </x:c>
      <x:c r="Y503" s="15" t="str"/>
      <x:c r="Z503" s="10" t="str">
        <x:v>match</x:v>
      </x:c>
      <x:c r="AA503" s="15" t="str">
        <x:v>title_womens_flip_flop</x:v>
      </x:c>
      <x:c r="AB503" s="10" t="str">
        <x:v>accepted</x:v>
      </x:c>
      <x:c r="AC503" s="10" t="str">
        <x:v>1.0.0</x:v>
      </x:c>
      <x:c r="AD503" s="10" t="str">
        <x:v>1.0.0</x:v>
      </x:c>
      <x:c r="AE503" s="10" t="str">
        <x:v>deepseek/deepseek-v4-pro</x:v>
      </x:c>
      <x:c r="AF503" s="10" t="str">
        <x:v>aj2-y90-20260714T234810-0bea2f52</x:v>
      </x:c>
      <x:c r="AG503" s="10" t="str">
        <x:v>full-0026</x:v>
      </x:c>
      <x:c r="AH503" s="10" t="str">
        <x:v>full</x:v>
      </x:c>
      <x:c r="AI503" s="10" t="n">
        <x:v>26</x:v>
      </x:c>
    </x:row>
    <x:row r="504" ht="34" customHeight="1">
      <x:c r="A504" s="16" t="str">
        <x:v>flip flops contoured footbed women</x:v>
      </x:c>
      <x:c r="B504" s="16" t="str">
        <x:v>flip flops contoured footbed women</x:v>
      </x:c>
      <x:c r="C504" s="13" t="str">
        <x:v>28836a1c0eea9346</x:v>
      </x:c>
      <x:c r="D504" s="13" t="str">
        <x:v>keyword</x:v>
      </x:c>
      <x:c r="E504" s="13" t="str">
        <x:v>en</x:v>
      </x:c>
      <x:c r="F504" s="13" t="str">
        <x:v>clothing_shoes_jewelry</x:v>
      </x:c>
      <x:c r="G504" s="16" t="str"/>
      <x:c r="H504" s="16" t="str">
        <x:v>flip_flops</x:v>
      </x:c>
      <x:c r="I504" s="16" t="str">
        <x:v>women</x:v>
      </x:c>
      <x:c r="J504" s="16" t="str">
        <x:v>contoured_footbed</x:v>
      </x:c>
      <x:c r="K504" s="16" t="str">
        <x:v>contoured_footbed</x:v>
      </x:c>
      <x:c r="L504" s="16" t="str"/>
      <x:c r="M504" s="16" t="str"/>
      <x:c r="N504" s="16" t="str">
        <x:v>arch_support</x:v>
      </x:c>
      <x:c r="O504" s="16" t="str"/>
      <x:c r="P504" s="16" t="str"/>
      <x:c r="Q504" s="16" t="str"/>
      <x:c r="R504" s="16" t="str">
        <x:v>女性用户寻找带有轮廓鞋床的人字拖，以获得足弓贴合和全天舒适支撑。</x:v>
      </x:c>
      <x:c r="S504" s="13" t="str">
        <x:v>consideration</x:v>
      </x:c>
      <x:c r="T504" s="16" t="str">
        <x:v>explicit | page_validated | inferred</x:v>
      </x:c>
      <x:c r="U504" s="13" t="str">
        <x:v>high</x:v>
      </x:c>
      <x:c r="V504" s="16" t="str">
        <x:v>womens_contoured_footbed_flip_flops</x:v>
      </x:c>
      <x:c r="W504" s="16" t="str">
        <x:v>cluster_route</x:v>
      </x:c>
      <x:c r="X504" s="16" t="str">
        <x:v>{"product_type":[{"value":"flip_flops","evidence_type":"explicit","source_span":"flip flops","fact_ids":[],"rationale":""},{"value":"flip_flops","evidence_type":"page_validated","source_span":"","fact_ids":["title_womens_flip_flop","style_flip_flop"],"rationale":""}],"audience_intent":[{"value":"women","evidence_type":"explicit","source_span":"women","fact_ids":[],"rationale":""},{"value":"women","evidence_type":"page_validated","source_span":"","fact_ids":["title_womens_flip_flop"],"rationale":""}],"function_intent":[{"value":"contoured_footbed","evidence_type":"explicit","source_span":"contoured footbed","fact_ids":[],"rationale":""}],"capability_intent":[{"value":"contoured_footbed","evidence_type":"page_validated","source_span":"","fact_ids":["arch_support"],"rationale":"足弓支撑鞋床即为轮廓鞋床"},{"value":"arch_support","evidence_type":"page_validated","source_span":"","fact_ids":["arch_support"],"rationale":"该槽位与商品基准中的明示页面事实一致。"},{"value":"arch_support","evidence_type":"inferred","source_span":"","fact_ids":[],"rationale":"该能力由搜索词表达的任务或问题推断；页面事实仅用于验证商品承接。"}],"asin_fit":[{"value":"match","evidence_type":"page_validated","source_span":"","fact_ids":["title_womens_flip_flop","arch_support"],"rationale":""}],"primary_domain":[{"value":"clothing_shoes_jewelry","evidence_type":"inferred","source_span":"","fact_ids":[],"rationale":"该值由搜索词整体语义推断，未作为页面明示属性。"}]}</x:v>
      </x:c>
      <x:c r="Y504" s="16" t="str"/>
      <x:c r="Z504" s="13" t="str">
        <x:v>match</x:v>
      </x:c>
      <x:c r="AA504" s="16" t="str">
        <x:v>title_womens_flip_flop | arch_support</x:v>
      </x:c>
      <x:c r="AB504" s="13" t="str">
        <x:v>accepted</x:v>
      </x:c>
      <x:c r="AC504" s="13" t="str">
        <x:v>1.0.0</x:v>
      </x:c>
      <x:c r="AD504" s="13" t="str">
        <x:v>1.0.0</x:v>
      </x:c>
      <x:c r="AE504" s="13" t="str">
        <x:v>deepseek/deepseek-v4-pro</x:v>
      </x:c>
      <x:c r="AF504" s="13" t="str">
        <x:v>aj2-y90-20260714T234810-0bea2f52</x:v>
      </x:c>
      <x:c r="AG504" s="13" t="str">
        <x:v>full-0026</x:v>
      </x:c>
      <x:c r="AH504" s="13" t="str">
        <x:v>full</x:v>
      </x:c>
      <x:c r="AI504" s="13" t="n">
        <x:v>26</x:v>
      </x:c>
    </x:row>
    <x:row r="505" ht="34" customHeight="1">
      <x:c r="A505" s="15" t="str">
        <x:v>kidmi womens arch support flip flops brown</x:v>
      </x:c>
      <x:c r="B505" s="15" t="str">
        <x:v>kidmi womens arch support flip flops brown</x:v>
      </x:c>
      <x:c r="C505" s="10" t="str">
        <x:v>36f0026dd65e0ec7</x:v>
      </x:c>
      <x:c r="D505" s="10" t="str">
        <x:v>keyword</x:v>
      </x:c>
      <x:c r="E505" s="10" t="str">
        <x:v>en</x:v>
      </x:c>
      <x:c r="F505" s="10" t="str">
        <x:v>clothing_shoes_jewelry</x:v>
      </x:c>
      <x:c r="G505" s="15" t="str"/>
      <x:c r="H505" s="15" t="str">
        <x:v>flip_flops</x:v>
      </x:c>
      <x:c r="I505" s="15" t="str">
        <x:v>women</x:v>
      </x:c>
      <x:c r="J505" s="15" t="str">
        <x:v>arch_support</x:v>
      </x:c>
      <x:c r="K505" s="15" t="str">
        <x:v>arch_support</x:v>
      </x:c>
      <x:c r="L505" s="15" t="str"/>
      <x:c r="M505" s="15" t="str"/>
      <x:c r="N505" s="15" t="str">
        <x:v>arch_support</x:v>
      </x:c>
      <x:c r="O505" s="15" t="str"/>
      <x:c r="P505" s="15" t="str"/>
      <x:c r="Q505" s="15" t="str"/>
      <x:c r="R505" s="15" t="str">
        <x:v>用户搜索Kidmi品牌女性棕色足弓支撑人字拖，品牌指向明确。</x:v>
      </x:c>
      <x:c r="S505" s="10" t="str">
        <x:v>brand_harvest</x:v>
      </x:c>
      <x:c r="T505" s="15" t="str">
        <x:v>explicit | page_validated</x:v>
      </x:c>
      <x:c r="U505" s="10" t="str">
        <x:v>high</x:v>
      </x:c>
      <x:c r="V505" s="15" t="str">
        <x:v>kidmi_brand_arch_support_flip_flops</x:v>
      </x:c>
      <x:c r="W505" s="15" t="str">
        <x:v>semantic_negative_candidate</x:v>
      </x:c>
      <x:c r="X505" s="15" t="str">
        <x:v>{"product_type":[{"value":"flip_flops","evidence_type":"explicit","source_span":"flip flops","fact_ids":[],"rationale":""},{"value":"flip_flops","evidence_type":"page_validated","source_span":"","fact_ids":["title_womens_flip_flop","style_flip_flop"],"rationale":""}],"audience_intent":[{"value":"women","evidence_type":"explicit","source_span":"womens","fact_ids":[],"rationale":""},{"value":"women","evidence_type":"page_validated","source_span":"","fact_ids":["title_womens_flip_flop"],"rationale":""}],"brand":[{"value":"kidmi","evidence_type":"explicit","source_span":"kidmi","fact_ids":[],"rationale":""}],"color":[{"value":"brown","evidence_type":"explicit","source_span":"brown","fact_ids":[],"rationale":"该颜色在商品页面可见颜色选择中得到明确支持。"},{"value":"brown","evidence_type":"page_validated","source_span":"","fact_ids":["colors_visible"],"rationale":"该颜色在商品页面可见颜色选择中得到明确支持。"}],"asin_fit":[{"value":"mismatch","evidence_type":"explicit","source_span":"kidmi","fact_ids":[],"rationale":"搜索品牌Kidmi与产品品牌Joomra不一致"}],"capability_intent":[{"value":"arch_support","evidence_type":"page_validated","source_span":"","fact_ids":["arch_support"],"rationale":"该槽位与商品基准中的明示页面事实一致。"}],"primary_domain":[{"value":"clothing_shoes_jewelry","evidence_type":"inferred","source_span":"","fact_ids":[],"rationale":"该值由搜索词整体语义推断，未作为页面明示属性。"}]}</x:v>
      </x:c>
      <x:c r="Y505" s="15" t="str"/>
      <x:c r="Z505" s="10" t="str">
        <x:v>mismatch</x:v>
      </x:c>
      <x:c r="AA505" s="15" t="str"/>
      <x:c r="AB505" s="10" t="str">
        <x:v>needs_review</x:v>
      </x:c>
      <x:c r="AC505" s="10" t="str">
        <x:v>1.0.0</x:v>
      </x:c>
      <x:c r="AD505" s="10" t="str">
        <x:v>1.0.0</x:v>
      </x:c>
      <x:c r="AE505" s="10" t="str">
        <x:v>deepseek/deepseek-v4-pro</x:v>
      </x:c>
      <x:c r="AF505" s="10" t="str">
        <x:v>aj2-y90-20260714T234810-0bea2f52</x:v>
      </x:c>
      <x:c r="AG505" s="10" t="str">
        <x:v>full-0026</x:v>
      </x:c>
      <x:c r="AH505" s="10" t="str">
        <x:v>full</x:v>
      </x:c>
      <x:c r="AI505" s="10" t="n">
        <x:v>26</x:v>
      </x:c>
    </x:row>
    <x:row r="506" ht="34" customHeight="1">
      <x:c r="A506" s="16" t="str">
        <x:v>足弓支撑拖鞋</x:v>
      </x:c>
      <x:c r="B506" s="16" t="str">
        <x:v>足弓支撑拖鞋</x:v>
      </x:c>
      <x:c r="C506" s="13" t="str">
        <x:v>36f4b41d2573cf7c</x:v>
      </x:c>
      <x:c r="D506" s="13" t="str">
        <x:v>keyword</x:v>
      </x:c>
      <x:c r="E506" s="13" t="str">
        <x:v>zh</x:v>
      </x:c>
      <x:c r="F506" s="13" t="str">
        <x:v>clothing_shoes_jewelry</x:v>
      </x:c>
      <x:c r="G506" s="16" t="str"/>
      <x:c r="H506" s="16" t="str">
        <x:v>flip_flops</x:v>
      </x:c>
      <x:c r="I506" s="16" t="str"/>
      <x:c r="J506" s="16" t="str">
        <x:v>arch_support</x:v>
      </x:c>
      <x:c r="K506" s="16" t="str">
        <x:v>arch_support</x:v>
      </x:c>
      <x:c r="L506" s="16" t="str"/>
      <x:c r="M506" s="16" t="str"/>
      <x:c r="N506" s="16" t="str">
        <x:v>arch_support</x:v>
      </x:c>
      <x:c r="O506" s="16" t="str"/>
      <x:c r="P506" s="16" t="str"/>
      <x:c r="Q506" s="16" t="str"/>
      <x:c r="R506" s="16" t="str">
        <x:v>中文用户搜索具有足弓支撑功能的拖鞋，注重足部健康和支撑性能。</x:v>
      </x:c>
      <x:c r="S506" s="13" t="str">
        <x:v>consideration</x:v>
      </x:c>
      <x:c r="T506" s="16" t="str">
        <x:v>explicit | page_validated</x:v>
      </x:c>
      <x:c r="U506" s="13" t="str">
        <x:v>high</x:v>
      </x:c>
      <x:c r="V506" s="16" t="str">
        <x:v>arch_support_slippers_cn</x:v>
      </x:c>
      <x:c r="W506" s="16" t="str">
        <x:v>cluster_route</x:v>
      </x:c>
      <x:c r="X506" s="16" t="str">
        <x:v>{"product_type":[{"value":"flip_flops","evidence_type":"explicit","source_span":"拖鞋","fact_ids":[],"rationale":""},{"value":"flip_flops","evidence_type":"page_validated","source_span":"","fact_ids":["title_womens_flip_flop","style_flip_flop"],"rationale":""},{"value":"flip_flops","evidence_type":"inferred","source_span":"","fact_ids":[],"rationale":"该能力由搜索词表达的任务或问题推断；页面事实仅用于验证商品承接。"}],"asin_fit":[{"value":"match","evidence_type":"page_validated","source_span":"","fact_ids":["title_womens_flip_flop","arch_support"],"rationale":""}],"capability_intent":[{"value":"arch_support","evidence_type":"page_validated","source_span":"","fact_ids":["arch_support"],"rationale":"该槽位与商品基准中的明示页面事实一致。"},{"value":"arch_suppor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506" s="16" t="str"/>
      <x:c r="Z506" s="13" t="str">
        <x:v>match</x:v>
      </x:c>
      <x:c r="AA506" s="16" t="str">
        <x:v>title_womens_flip_flop | arch_support</x:v>
      </x:c>
      <x:c r="AB506" s="13" t="str">
        <x:v>accepted</x:v>
      </x:c>
      <x:c r="AC506" s="13" t="str">
        <x:v>1.0.0</x:v>
      </x:c>
      <x:c r="AD506" s="13" t="str">
        <x:v>1.0.0</x:v>
      </x:c>
      <x:c r="AE506" s="13" t="str">
        <x:v>deepseek/deepseek-v4-pro</x:v>
      </x:c>
      <x:c r="AF506" s="13" t="str">
        <x:v>aj2-y90-20260714T234810-0bea2f52</x:v>
      </x:c>
      <x:c r="AG506" s="13" t="str">
        <x:v>full-0026</x:v>
      </x:c>
      <x:c r="AH506" s="13" t="str">
        <x:v>full</x:v>
      </x:c>
      <x:c r="AI506" s="13" t="n">
        <x:v>26</x:v>
      </x:c>
    </x:row>
    <x:row r="507" ht="34" customHeight="1">
      <x:c r="A507" s="15" t="str">
        <x:v>navy blue comfort flip flops</x:v>
      </x:c>
      <x:c r="B507" s="15" t="str">
        <x:v>navy blue comfort flip flops</x:v>
      </x:c>
      <x:c r="C507" s="10" t="str">
        <x:v>4ac2c76faf14fcef</x:v>
      </x:c>
      <x:c r="D507" s="10" t="str">
        <x:v>keyword</x:v>
      </x:c>
      <x:c r="E507" s="10" t="str">
        <x:v>en</x:v>
      </x:c>
      <x:c r="F507" s="10" t="str">
        <x:v>clothing_shoes_jewelry</x:v>
      </x:c>
      <x:c r="G507" s="15" t="str"/>
      <x:c r="H507" s="15" t="str">
        <x:v>flip_flops</x:v>
      </x:c>
      <x:c r="I507" s="15" t="str"/>
      <x:c r="J507" s="15" t="str">
        <x:v>comfort</x:v>
      </x:c>
      <x:c r="K507" s="15" t="str">
        <x:v>comfort</x:v>
      </x:c>
      <x:c r="L507" s="15" t="str"/>
      <x:c r="M507" s="15" t="str"/>
      <x:c r="N507" s="15" t="str"/>
      <x:c r="O507" s="15" t="str"/>
      <x:c r="P507" s="15" t="str"/>
      <x:c r="Q507" s="15" t="str"/>
      <x:c r="R507" s="15" t="str">
        <x:v>用户寻找藏蓝色舒适人字拖，对颜色和舒适度有明确偏好。</x:v>
      </x:c>
      <x:c r="S507" s="10" t="str">
        <x:v>consideration</x:v>
      </x:c>
      <x:c r="T507" s="15" t="str">
        <x:v>explicit | page_validated</x:v>
      </x:c>
      <x:c r="U507" s="10" t="str">
        <x:v>medium</x:v>
      </x:c>
      <x:c r="V507" s="15" t="str">
        <x:v>navy_blue_comfort_flip_flops</x:v>
      </x:c>
      <x:c r="W507" s="15" t="str">
        <x:v>listing_gap_review</x:v>
      </x:c>
      <x:c r="X507" s="15" t="str">
        <x:v>{"product_type":[{"value":"flip_flops","evidence_type":"explicit","source_span":"flip flops","fact_ids":[],"rationale":""},{"value":"flip_flops","evidence_type":"page_validated","source_span":"","fact_ids":["title_womens_flip_flop","style_flip_flop"],"rationale":""}],"function_intent":[{"value":"comfort","evidence_type":"explicit","source_span":"comfort","fact_ids":[],"rationale":""},{"value":"comfort","evidence_type":"page_validated","source_span":"","fact_ids":["arch_support","padded_cushioning"],"rationale":""}],"color":[{"value":"navy_blue","evidence_type":"explicit","source_span":"navy blue","fact_ids":[],"rationale":""}],"asin_fit":[{"value":"partial_match","evidence_type":"page_validated","source_span":"","fact_ids":["colors_visible"],"rationale":"藏蓝色不在页面可选颜色中"}],"capability_intent":[{"value":"comfort","evidence_type":"page_validated","source_span":"","fact_ids":["arch_support","padded_cushioning"],"rationale":"该槽位与商品基准中的明示页面事实一致。"}],"primary_domain":[{"value":"clothing_shoes_jewelry","evidence_type":"inferred","source_span":"","fact_ids":[],"rationale":"该值由搜索词整体语义推断，未作为页面明示属性。"}]}</x:v>
      </x:c>
      <x:c r="Y507" s="15" t="str"/>
      <x:c r="Z507" s="10" t="str">
        <x:v>partial_match</x:v>
      </x:c>
      <x:c r="AA507" s="15" t="str">
        <x:v>colors_visible</x:v>
      </x:c>
      <x:c r="AB507" s="10" t="str">
        <x:v>needs_review</x:v>
      </x:c>
      <x:c r="AC507" s="10" t="str">
        <x:v>1.0.0</x:v>
      </x:c>
      <x:c r="AD507" s="10" t="str">
        <x:v>1.0.0</x:v>
      </x:c>
      <x:c r="AE507" s="10" t="str">
        <x:v>deepseek/deepseek-v4-pro</x:v>
      </x:c>
      <x:c r="AF507" s="10" t="str">
        <x:v>aj2-y90-20260714T234810-0bea2f52</x:v>
      </x:c>
      <x:c r="AG507" s="10" t="str">
        <x:v>full-0026</x:v>
      </x:c>
      <x:c r="AH507" s="10" t="str">
        <x:v>full</x:v>
      </x:c>
      <x:c r="AI507" s="10" t="n">
        <x:v>26</x:v>
      </x:c>
    </x:row>
    <x:row r="508" ht="34" customHeight="1">
      <x:c r="A508" s="16" t="str">
        <x:v>slim rubber flip flops for women</x:v>
      </x:c>
      <x:c r="B508" s="16" t="str">
        <x:v>slim rubber flip flops for women</x:v>
      </x:c>
      <x:c r="C508" s="13" t="str">
        <x:v>67aefa1e687d4105</x:v>
      </x:c>
      <x:c r="D508" s="13" t="str">
        <x:v>keyword</x:v>
      </x:c>
      <x:c r="E508" s="13" t="str">
        <x:v>en</x:v>
      </x:c>
      <x:c r="F508" s="13" t="str">
        <x:v>clothing_shoes_jewelry</x:v>
      </x:c>
      <x:c r="G508" s="16" t="str"/>
      <x:c r="H508" s="16" t="str">
        <x:v>flip_flops</x:v>
      </x:c>
      <x:c r="I508" s="16" t="str">
        <x:v>women</x:v>
      </x:c>
      <x:c r="J508" s="16" t="str"/>
      <x:c r="K508" s="16" t="str">
        <x:v>slim_profile</x:v>
      </x:c>
      <x:c r="L508" s="16" t="str"/>
      <x:c r="M508" s="16" t="str"/>
      <x:c r="N508" s="16" t="str"/>
      <x:c r="O508" s="16" t="str"/>
      <x:c r="P508" s="16" t="str"/>
      <x:c r="Q508" s="16" t="str"/>
      <x:c r="R508" s="16" t="str">
        <x:v>女性用户寻找细窄款橡胶人字拖，对鞋型宽度和材质均有要求。</x:v>
      </x:c>
      <x:c r="S508" s="13" t="str">
        <x:v>consideration</x:v>
      </x:c>
      <x:c r="T508" s="16" t="str">
        <x:v>explicit | page_validated</x:v>
      </x:c>
      <x:c r="U508" s="13" t="str">
        <x:v>medium</x:v>
      </x:c>
      <x:c r="V508" s="16" t="str">
        <x:v>slim_rubber_womens_flip_flops</x:v>
      </x:c>
      <x:c r="W508" s="16" t="str">
        <x:v>listing_gap_review</x:v>
      </x:c>
      <x:c r="X508" s="16" t="str">
        <x:v>{"product_type":[{"value":"flip_flops","evidence_type":"explicit","source_span":"flip flops","fact_ids":[],"rationale":""},{"value":"flip_flops","evidence_type":"page_validated","source_span":"","fact_ids":["title_womens_flip_flop","style_flip_flop"],"rationale":""}],"audience_intent":[{"value":"women","evidence_type":"explicit","source_span":"women","fact_ids":[],"rationale":""},{"value":"women","evidence_type":"page_validated","source_span":"","fact_ids":["title_womens_flip_flop"],"rationale":""}],"material":[{"value":"rubber","evidence_type":"explicit","source_span":"rubber","fact_ids":[],"rationale":""},{"value":"eva","evidence_type":"page_validated","source_span":"","fact_ids":["material_eva"],"rationale":"橡胶与EVA材质不同"}],"asin_fit":[{"value":"partial_match","evidence_type":"page_validated","source_span":"","fact_ids":["material_eva"],"rationale":"橡胶材质和细窄鞋型均无页面证据"}],"capability_intent":[{"value":"slim_profile","evidence_type":"inferred","source_span":"","fact_ids":[],"rationale":"该值由搜索词整体语义推断，未作为页面明示属性。"}],"primary_domain":[{"value":"clothing_shoes_jewelry","evidence_type":"inferred","source_span":"","fact_ids":[],"rationale":"该值由搜索词整体语义推断，未作为页面明示属性。"}]}</x:v>
      </x:c>
      <x:c r="Y508" s="16" t="str"/>
      <x:c r="Z508" s="13" t="str">
        <x:v>partial_match</x:v>
      </x:c>
      <x:c r="AA508" s="16" t="str">
        <x:v>material_eva</x:v>
      </x:c>
      <x:c r="AB508" s="13" t="str">
        <x:v>needs_review</x:v>
      </x:c>
      <x:c r="AC508" s="13" t="str">
        <x:v>1.0.0</x:v>
      </x:c>
      <x:c r="AD508" s="13" t="str">
        <x:v>1.0.0</x:v>
      </x:c>
      <x:c r="AE508" s="13" t="str">
        <x:v>deepseek/deepseek-v4-pro</x:v>
      </x:c>
      <x:c r="AF508" s="13" t="str">
        <x:v>aj2-y90-20260714T234810-0bea2f52</x:v>
      </x:c>
      <x:c r="AG508" s="13" t="str">
        <x:v>full-0026</x:v>
      </x:c>
      <x:c r="AH508" s="13" t="str">
        <x:v>full</x:v>
      </x:c>
      <x:c r="AI508" s="13" t="n">
        <x:v>26</x:v>
      </x:c>
    </x:row>
    <x:row r="509" ht="34" customHeight="1">
      <x:c r="A509" s="15" t="str">
        <x:v>cute flip flops for women</x:v>
      </x:c>
      <x:c r="B509" s="15" t="str">
        <x:v>cute flip flops for women</x:v>
      </x:c>
      <x:c r="C509" s="10" t="str">
        <x:v>6cd9f826452f2e76</x:v>
      </x:c>
      <x:c r="D509" s="10" t="str">
        <x:v>keyword</x:v>
      </x:c>
      <x:c r="E509" s="10" t="str">
        <x:v>en</x:v>
      </x:c>
      <x:c r="F509" s="10" t="str">
        <x:v>clothing_shoes_jewelry</x:v>
      </x:c>
      <x:c r="G509" s="15" t="str"/>
      <x:c r="H509" s="15" t="str">
        <x:v>flip_flops</x:v>
      </x:c>
      <x:c r="I509" s="15" t="str">
        <x:v>women</x:v>
      </x:c>
      <x:c r="J509" s="15" t="str"/>
      <x:c r="K509" s="15" t="str"/>
      <x:c r="L509" s="15" t="str"/>
      <x:c r="M509" s="15" t="str"/>
      <x:c r="N509" s="15" t="str"/>
      <x:c r="O509" s="15" t="str"/>
      <x:c r="P509" s="15" t="str"/>
      <x:c r="Q509" s="15" t="str"/>
      <x:c r="R509" s="15" t="str">
        <x:v>女性用户寻找外观可爱的人字拖，注重女性审美风格。</x:v>
      </x:c>
      <x:c r="S509" s="10" t="str">
        <x:v>exploration</x:v>
      </x:c>
      <x:c r="T509" s="15" t="str">
        <x:v>explicit | page_validated</x:v>
      </x:c>
      <x:c r="U509" s="10" t="str">
        <x:v>high</x:v>
      </x:c>
      <x:c r="V509" s="15" t="str">
        <x:v>cute_womens_flip_flops</x:v>
      </x:c>
      <x:c r="W509" s="15" t="str">
        <x:v>cluster_route</x:v>
      </x:c>
      <x:c r="X509" s="15" t="str">
        <x:v>{"product_type":[{"value":"flip_flops","evidence_type":"explicit","source_span":"flip flops","fact_ids":[],"rationale":""},{"value":"flip_flops","evidence_type":"page_validated","source_span":"","fact_ids":["title_womens_flip_flop","style_flip_flop"],"rationale":""}],"audience_intent":[{"value":"women","evidence_type":"explicit","source_span":"women","fact_ids":[],"rationale":""},{"value":"women","evidence_type":"page_validated","source_span":"","fact_ids":["title_womens_flip_flop"],"rationale":""}],"asin_fit":[{"value":"match","evidence_type":"page_validated","source_span":"","fact_ids":["title_womens_flip_flop"],"rationale":""}],"primary_domain":[{"value":"clothing_shoes_jewelry","evidence_type":"inferred","source_span":"","fact_ids":[],"rationale":"该值由搜索词整体语义推断，未作为页面明示属性。"}]}</x:v>
      </x:c>
      <x:c r="Y509" s="15" t="str"/>
      <x:c r="Z509" s="10" t="str">
        <x:v>match</x:v>
      </x:c>
      <x:c r="AA509" s="15" t="str">
        <x:v>title_womens_flip_flop</x:v>
      </x:c>
      <x:c r="AB509" s="10" t="str">
        <x:v>accepted</x:v>
      </x:c>
      <x:c r="AC509" s="10" t="str">
        <x:v>1.0.0</x:v>
      </x:c>
      <x:c r="AD509" s="10" t="str">
        <x:v>1.0.0</x:v>
      </x:c>
      <x:c r="AE509" s="10" t="str">
        <x:v>deepseek/deepseek-v4-pro</x:v>
      </x:c>
      <x:c r="AF509" s="10" t="str">
        <x:v>aj2-y90-20260714T234810-0bea2f52</x:v>
      </x:c>
      <x:c r="AG509" s="10" t="str">
        <x:v>full-0026</x:v>
      </x:c>
      <x:c r="AH509" s="10" t="str">
        <x:v>full</x:v>
      </x:c>
      <x:c r="AI509" s="10" t="n">
        <x:v>26</x:v>
      </x:c>
    </x:row>
    <x:row r="510" ht="34" customHeight="1">
      <x:c r="A510" s="16" t="str">
        <x:v>flip flops with a little raise</x:v>
      </x:c>
      <x:c r="B510" s="16" t="str">
        <x:v>flip flops with a little raise</x:v>
      </x:c>
      <x:c r="C510" s="13" t="str">
        <x:v>7a6dc56045011bbb</x:v>
      </x:c>
      <x:c r="D510" s="13" t="str">
        <x:v>keyword</x:v>
      </x:c>
      <x:c r="E510" s="13" t="str">
        <x:v>en</x:v>
      </x:c>
      <x:c r="F510" s="13" t="str">
        <x:v>clothing_shoes_jewelry</x:v>
      </x:c>
      <x:c r="G510" s="16" t="str"/>
      <x:c r="H510" s="16" t="str">
        <x:v>flip_flops</x:v>
      </x:c>
      <x:c r="I510" s="16" t="str"/>
      <x:c r="J510" s="16" t="str"/>
      <x:c r="K510" s="16" t="str"/>
      <x:c r="L510" s="16" t="str"/>
      <x:c r="M510" s="16" t="str"/>
      <x:c r="N510" s="16" t="str"/>
      <x:c r="O510" s="16" t="str"/>
      <x:c r="P510" s="16" t="str"/>
      <x:c r="Q510" s="16" t="str"/>
      <x:c r="R510" s="16" t="str">
        <x:v>用户寻找带轻微增高或足弓隆起的人字拖，具体需求含义不明确。</x:v>
      </x:c>
      <x:c r="S510" s="13" t="str">
        <x:v>exploration</x:v>
      </x:c>
      <x:c r="T510" s="16" t="str">
        <x:v>explicit | inferred</x:v>
      </x:c>
      <x:c r="U510" s="13" t="str">
        <x:v>low</x:v>
      </x:c>
      <x:c r="V510" s="16" t="str">
        <x:v>flip_flops_with_raise</x:v>
      </x:c>
      <x:c r="W510" s="16" t="str">
        <x:v>ambiguity_review</x:v>
      </x:c>
      <x:c r="X510" s="16" t="str">
        <x:v>{"product_type":[{"value":"flip_flops","evidence_type":"explicit","source_span":"flip flops","fact_ids":[],"rationale":""},{"value":"flip_flops","evidence_type":"page_validated","source_span":"","fact_ids":["style_flip_flop"],"rationale":"该槽位与商品基准中的明示页面事实一致。"}],"asin_fit":[{"value":"unknown","evidence_type":"inferred","source_span":"","fact_ids":[],"rationale":"raise可能指足弓隆起或鞋跟增高，含义模糊"}],"primary_domain":[{"value":"clothing_shoes_jewelry","evidence_type":"inferred","source_span":"","fact_ids":[],"rationale":"该值由搜索词整体语义推断，未作为页面明示属性。"}]}</x:v>
      </x:c>
      <x:c r="Y510" s="16" t="str">
        <x:v>raise_meaning_ambiguous</x:v>
      </x:c>
      <x:c r="Z510" s="13" t="str">
        <x:v>unknown</x:v>
      </x:c>
      <x:c r="AA510" s="16" t="str"/>
      <x:c r="AB510" s="13" t="str">
        <x:v>needs_review</x:v>
      </x:c>
      <x:c r="AC510" s="13" t="str">
        <x:v>1.0.0</x:v>
      </x:c>
      <x:c r="AD510" s="13" t="str">
        <x:v>1.0.0</x:v>
      </x:c>
      <x:c r="AE510" s="13" t="str">
        <x:v>deepseek/deepseek-v4-pro</x:v>
      </x:c>
      <x:c r="AF510" s="13" t="str">
        <x:v>aj2-y90-20260714T234810-0bea2f52</x:v>
      </x:c>
      <x:c r="AG510" s="13" t="str">
        <x:v>full-0026</x:v>
      </x:c>
      <x:c r="AH510" s="13" t="str">
        <x:v>full</x:v>
      </x:c>
      <x:c r="AI510" s="13" t="n">
        <x:v>26</x:v>
      </x:c>
    </x:row>
    <x:row r="511" ht="34" customHeight="1">
      <x:c r="A511" s="15" t="str">
        <x:v>pink flip flops women</x:v>
      </x:c>
      <x:c r="B511" s="15" t="str">
        <x:v>pink flip flops women</x:v>
      </x:c>
      <x:c r="C511" s="10" t="str">
        <x:v>842f3299c0066a95</x:v>
      </x:c>
      <x:c r="D511" s="10" t="str">
        <x:v>keyword</x:v>
      </x:c>
      <x:c r="E511" s="10" t="str">
        <x:v>en</x:v>
      </x:c>
      <x:c r="F511" s="10" t="str">
        <x:v>clothing_shoes_jewelry</x:v>
      </x:c>
      <x:c r="G511" s="15" t="str"/>
      <x:c r="H511" s="15" t="str">
        <x:v>flip_flops</x:v>
      </x:c>
      <x:c r="I511" s="15" t="str">
        <x:v>women</x:v>
      </x:c>
      <x:c r="J511" s="15" t="str"/>
      <x:c r="K511" s="15" t="str"/>
      <x:c r="L511" s="15" t="str"/>
      <x:c r="M511" s="15" t="str"/>
      <x:c r="N511" s="15" t="str"/>
      <x:c r="O511" s="15" t="str"/>
      <x:c r="P511" s="15" t="str"/>
      <x:c r="Q511" s="15" t="str"/>
      <x:c r="R511" s="15" t="str">
        <x:v>女性用户寻找粉色人字拖，注重颜色和女性款式匹配。</x:v>
      </x:c>
      <x:c r="S511" s="10" t="str">
        <x:v>consideration</x:v>
      </x:c>
      <x:c r="T511" s="15" t="str">
        <x:v>explicit | page_validated</x:v>
      </x:c>
      <x:c r="U511" s="10" t="str">
        <x:v>high</x:v>
      </x:c>
      <x:c r="V511" s="15" t="str">
        <x:v>pink_womens_flip_flops</x:v>
      </x:c>
      <x:c r="W511" s="15" t="str">
        <x:v>cluster_route</x:v>
      </x:c>
      <x:c r="X511" s="15" t="str">
        <x:v>{"product_type":[{"value":"flip_flops","evidence_type":"explicit","source_span":"flip flops","fact_ids":[],"rationale":""},{"value":"flip_flops","evidence_type":"page_validated","source_span":"","fact_ids":["title_womens_flip_flop","style_flip_flop"],"rationale":""}],"audience_intent":[{"value":"women","evidence_type":"explicit","source_span":"women","fact_ids":[],"rationale":""},{"value":"women","evidence_type":"page_validated","source_span":"","fact_ids":["title_womens_flip_flop"],"rationale":""}],"color":[{"value":"pink","evidence_type":"explicit","source_span":"pink","fact_ids":[],"rationale":"该颜色在商品页面可见颜色选择中得到明确支持。"},{"value":"pink","evidence_type":"page_validated","source_span":"","fact_ids":["colors_visible"],"rationale":"该颜色在商品页面可见颜色选择中得到明确支持。"}],"asin_fit":[{"value":"match","evidence_type":"page_validated","source_span":"","fact_ids":["title_womens_flip_flop","colors_visible"],"rationale":""}],"primary_domain":[{"value":"clothing_shoes_jewelry","evidence_type":"inferred","source_span":"","fact_ids":[],"rationale":"该值由搜索词整体语义推断，未作为页面明示属性。"}]}</x:v>
      </x:c>
      <x:c r="Y511" s="15" t="str"/>
      <x:c r="Z511" s="10" t="str">
        <x:v>match</x:v>
      </x:c>
      <x:c r="AA511" s="15" t="str">
        <x:v>title_womens_flip_flop | colors_visible</x:v>
      </x:c>
      <x:c r="AB511" s="10" t="str">
        <x:v>accepted</x:v>
      </x:c>
      <x:c r="AC511" s="10" t="str">
        <x:v>1.0.0</x:v>
      </x:c>
      <x:c r="AD511" s="10" t="str">
        <x:v>1.0.0</x:v>
      </x:c>
      <x:c r="AE511" s="10" t="str">
        <x:v>deepseek/deepseek-v4-pro</x:v>
      </x:c>
      <x:c r="AF511" s="10" t="str">
        <x:v>aj2-y90-20260714T234810-0bea2f52</x:v>
      </x:c>
      <x:c r="AG511" s="10" t="str">
        <x:v>full-0026</x:v>
      </x:c>
      <x:c r="AH511" s="10" t="str">
        <x:v>full</x:v>
      </x:c>
      <x:c r="AI511" s="10" t="n">
        <x:v>26</x:v>
      </x:c>
    </x:row>
    <x:row r="512" ht="34" customHeight="1">
      <x:c r="A512" s="16" t="str">
        <x:v>black arch support flip flops</x:v>
      </x:c>
      <x:c r="B512" s="16" t="str">
        <x:v>black arch support flip flops</x:v>
      </x:c>
      <x:c r="C512" s="13" t="str">
        <x:v>b3be9912ca1aa1f5</x:v>
      </x:c>
      <x:c r="D512" s="13" t="str">
        <x:v>keyword</x:v>
      </x:c>
      <x:c r="E512" s="13" t="str">
        <x:v>en</x:v>
      </x:c>
      <x:c r="F512" s="13" t="str">
        <x:v>clothing_shoes_jewelry</x:v>
      </x:c>
      <x:c r="G512" s="16" t="str"/>
      <x:c r="H512" s="16" t="str">
        <x:v>flip_flops</x:v>
      </x:c>
      <x:c r="I512" s="16" t="str"/>
      <x:c r="J512" s="16" t="str">
        <x:v>arch_support</x:v>
      </x:c>
      <x:c r="K512" s="16" t="str">
        <x:v>arch_support</x:v>
      </x:c>
      <x:c r="L512" s="16" t="str"/>
      <x:c r="M512" s="16" t="str"/>
      <x:c r="N512" s="16" t="str">
        <x:v>arch_support</x:v>
      </x:c>
      <x:c r="O512" s="16" t="str"/>
      <x:c r="P512" s="16" t="str"/>
      <x:c r="Q512" s="16" t="str"/>
      <x:c r="R512" s="16" t="str">
        <x:v>用户寻找黑色具有足弓支撑功能的人字拖，对颜色和支撑性能有明确要求。</x:v>
      </x:c>
      <x:c r="S512" s="13" t="str">
        <x:v>consideration</x:v>
      </x:c>
      <x:c r="T512" s="16" t="str">
        <x:v>explicit | page_validated</x:v>
      </x:c>
      <x:c r="U512" s="13" t="str">
        <x:v>high</x:v>
      </x:c>
      <x:c r="V512" s="16" t="str">
        <x:v>black_arch_support_flip_flops</x:v>
      </x:c>
      <x:c r="W512" s="16" t="str">
        <x:v>cluster_route</x:v>
      </x:c>
      <x:c r="X512" s="16" t="str">
        <x:v>{"product_type":[{"value":"flip_flops","evidence_type":"explicit","source_span":"flip flops","fact_ids":[],"rationale":""},{"value":"flip_flops","evidence_type":"page_validated","source_span":"","fact_ids":["title_womens_flip_flop","style_flip_flop"],"rationale":""}],"color":[{"value":"black","evidence_type":"explicit","source_span":"black","fact_ids":[],"rationale":"该颜色在商品页面可见颜色选择中得到明确支持。"},{"value":"black","evidence_type":"page_validated","source_span":"","fact_ids":["colors_visible"],"rationale":"该颜色在商品页面可见颜色选择中得到明确支持。"}],"asin_fit":[{"value":"match","evidence_type":"page_validated","source_span":"","fact_ids":["arch_support","colors_visible","title_womens_flip_flop"],"rationale":""}],"capability_intent":[{"value":"arch_support","evidence_type":"page_validated","source_span":"","fact_ids":["arch_support"],"rationale":"该槽位与商品基准中的明示页面事实一致。"}],"primary_domain":[{"value":"clothing_shoes_jewelry","evidence_type":"inferred","source_span":"","fact_ids":[],"rationale":"该值由搜索词整体语义推断，未作为页面明示属性。"}]}</x:v>
      </x:c>
      <x:c r="Y512" s="16" t="str"/>
      <x:c r="Z512" s="13" t="str">
        <x:v>match</x:v>
      </x:c>
      <x:c r="AA512" s="16" t="str">
        <x:v>title_womens_flip_flop | arch_support | colors_visible</x:v>
      </x:c>
      <x:c r="AB512" s="13" t="str">
        <x:v>accepted</x:v>
      </x:c>
      <x:c r="AC512" s="13" t="str">
        <x:v>1.0.0</x:v>
      </x:c>
      <x:c r="AD512" s="13" t="str">
        <x:v>1.0.0</x:v>
      </x:c>
      <x:c r="AE512" s="13" t="str">
        <x:v>deepseek/deepseek-v4-pro</x:v>
      </x:c>
      <x:c r="AF512" s="13" t="str">
        <x:v>aj2-y90-20260714T234810-0bea2f52</x:v>
      </x:c>
      <x:c r="AG512" s="13" t="str">
        <x:v>full-0026</x:v>
      </x:c>
      <x:c r="AH512" s="13" t="str">
        <x:v>full</x:v>
      </x:c>
      <x:c r="AI512" s="13" t="n">
        <x:v>26</x:v>
      </x:c>
    </x:row>
    <x:row r="513" ht="34" customHeight="1">
      <x:c r="A513" s="15" t="str">
        <x:v>women's flip flops size 9 pool</x:v>
      </x:c>
      <x:c r="B513" s="15" t="str">
        <x:v>women's flip flops size 9 pool</x:v>
      </x:c>
      <x:c r="C513" s="10" t="str">
        <x:v>b5fb0cb0ed8c51b9</x:v>
      </x:c>
      <x:c r="D513" s="10" t="str">
        <x:v>keyword</x:v>
      </x:c>
      <x:c r="E513" s="10" t="str">
        <x:v>en</x:v>
      </x:c>
      <x:c r="F513" s="10" t="str">
        <x:v>clothing_shoes_jewelry</x:v>
      </x:c>
      <x:c r="G513" s="15" t="str">
        <x:v>sports_outdoors</x:v>
      </x:c>
      <x:c r="H513" s="15" t="str">
        <x:v>flip_flops</x:v>
      </x:c>
      <x:c r="I513" s="15" t="str">
        <x:v>women</x:v>
      </x:c>
      <x:c r="J513" s="15" t="str"/>
      <x:c r="K513" s="15" t="str"/>
      <x:c r="L513" s="15" t="str"/>
      <x:c r="M513" s="15" t="str">
        <x:v>pool</x:v>
      </x:c>
      <x:c r="N513" s="15" t="str"/>
      <x:c r="O513" s="15" t="str"/>
      <x:c r="P513" s="15" t="str"/>
      <x:c r="Q513" s="15" t="str"/>
      <x:c r="R513" s="15" t="str">
        <x:v>女性用户寻找9码人字拖用于泳池场景，对尺码和防水使用场景有要求。</x:v>
      </x:c>
      <x:c r="S513" s="10" t="str">
        <x:v>high_intent</x:v>
      </x:c>
      <x:c r="T513" s="15" t="str">
        <x:v>explicit | page_validated | inferred</x:v>
      </x:c>
      <x:c r="U513" s="10" t="str">
        <x:v>high</x:v>
      </x:c>
      <x:c r="V513" s="15" t="str">
        <x:v>womens_size9_pool_flip_flops</x:v>
      </x:c>
      <x:c r="W513" s="15" t="str">
        <x:v>cluster_route</x:v>
      </x:c>
      <x:c r="X513" s="15" t="str">
        <x:v>{"product_type":[{"value":"flip_flops","evidence_type":"explicit","source_span":"flip flops","fact_ids":[],"rationale":""},{"value":"flip_flops","evidence_type":"page_validated","source_span":"","fact_ids":["title_womens_flip_flop","style_flip_flop"],"rationale":""}],"audience_intent":[{"value":"women","evidence_type":"explicit","source_span":"women","fact_ids":[],"rationale":""},{"value":"women","evidence_type":"page_validated","source_span":"","fact_ids":["title_womens_flip_flop"],"rationale":""}],"size":[{"value":"9","evidence_type":"explicit","source_span":"size 9","fact_ids":[],"rationale":""},{"value":"9","evidence_type":"page_validated","source_span":"","fact_ids":["sizes_6_11"],"rationale":""}],"location_intent":[{"value":"pool","evidence_type":"explicit","source_span":"pool","fact_ids":[],"rationale":""}],"asin_fit":[{"value":"match","evidence_type":"page_validated","source_span":"","fact_ids":["title_womens_flip_flop","sizes_6_11"],"rationale":""}],"secondary_domain":[{"value":"sports_outdoors","evidence_type":"inferred","source_span":"","fact_ids":[],"rationale":"该值由搜索词整体语义推断，未作为页面明示属性。"}],"primary_domain":[{"value":"clothing_shoes_jewelry","evidence_type":"inferred","source_span":"","fact_ids":[],"rationale":"该值由搜索词整体语义推断，未作为页面明示属性。"}]}</x:v>
      </x:c>
      <x:c r="Y513" s="15" t="str"/>
      <x:c r="Z513" s="10" t="str">
        <x:v>match</x:v>
      </x:c>
      <x:c r="AA513" s="15" t="str">
        <x:v>title_womens_flip_flop | sizes_6_11</x:v>
      </x:c>
      <x:c r="AB513" s="10" t="str">
        <x:v>accepted</x:v>
      </x:c>
      <x:c r="AC513" s="10" t="str">
        <x:v>1.0.0</x:v>
      </x:c>
      <x:c r="AD513" s="10" t="str">
        <x:v>1.0.0</x:v>
      </x:c>
      <x:c r="AE513" s="10" t="str">
        <x:v>deepseek/deepseek-v4-pro</x:v>
      </x:c>
      <x:c r="AF513" s="10" t="str">
        <x:v>aj2-y90-20260714T234810-0bea2f52</x:v>
      </x:c>
      <x:c r="AG513" s="10" t="str">
        <x:v>full-0026</x:v>
      </x:c>
      <x:c r="AH513" s="10" t="str">
        <x:v>full</x:v>
      </x:c>
      <x:c r="AI513" s="10" t="n">
        <x:v>26</x:v>
      </x:c>
    </x:row>
    <x:row r="514" ht="34" customHeight="1">
      <x:c r="A514" s="16" t="str">
        <x:v>indoor flip flops for women arch support</x:v>
      </x:c>
      <x:c r="B514" s="16" t="str">
        <x:v>indoor flip flops for women arch support</x:v>
      </x:c>
      <x:c r="C514" s="13" t="str">
        <x:v>ccc98be9f6626363</x:v>
      </x:c>
      <x:c r="D514" s="13" t="str">
        <x:v>keyword</x:v>
      </x:c>
      <x:c r="E514" s="13" t="str">
        <x:v>en</x:v>
      </x:c>
      <x:c r="F514" s="13" t="str">
        <x:v>clothing_shoes_jewelry</x:v>
      </x:c>
      <x:c r="G514" s="16" t="str">
        <x:v>home_kitchen</x:v>
      </x:c>
      <x:c r="H514" s="16" t="str">
        <x:v>flip_flops</x:v>
      </x:c>
      <x:c r="I514" s="16" t="str">
        <x:v>women</x:v>
      </x:c>
      <x:c r="J514" s="16" t="str">
        <x:v>arch_support</x:v>
      </x:c>
      <x:c r="K514" s="16" t="str">
        <x:v>arch_support</x:v>
      </x:c>
      <x:c r="L514" s="16" t="str"/>
      <x:c r="M514" s="16" t="str">
        <x:v>indoor</x:v>
      </x:c>
      <x:c r="N514" s="16" t="str">
        <x:v>arch_support</x:v>
      </x:c>
      <x:c r="O514" s="16" t="str"/>
      <x:c r="P514" s="16" t="str"/>
      <x:c r="Q514" s="16" t="str"/>
      <x:c r="R514" s="16" t="str">
        <x:v>女性用户寻找室内穿着的足弓支撑人字拖，兼顾居家场景和足部健康需求。</x:v>
      </x:c>
      <x:c r="S514" s="13" t="str">
        <x:v>consideration</x:v>
      </x:c>
      <x:c r="T514" s="16" t="str">
        <x:v>explicit | page_validated | inferred</x:v>
      </x:c>
      <x:c r="U514" s="13" t="str">
        <x:v>medium</x:v>
      </x:c>
      <x:c r="V514" s="16" t="str">
        <x:v>indoor_womens_arch_support_flip_flops</x:v>
      </x:c>
      <x:c r="W514" s="16" t="str">
        <x:v>performance_observation</x:v>
      </x:c>
      <x:c r="X514" s="16" t="str">
        <x:v>{"product_type":[{"value":"flip_flops","evidence_type":"explicit","source_span":"flip flops","fact_ids":[],"rationale":""},{"value":"flip_flops","evidence_type":"page_validated","source_span":"","fact_ids":["title_womens_flip_flop","style_flip_flop"],"rationale":""}],"audience_intent":[{"value":"women","evidence_type":"explicit","source_span":"women","fact_ids":[],"rationale":""},{"value":"women","evidence_type":"page_validated","source_span":"","fact_ids":["title_womens_flip_flop"],"rationale":""}],"location_intent":[{"value":"indoor","evidence_type":"explicit","source_span":"indoor","fact_ids":[],"rationale":""},{"value":"outdoor","evidence_type":"page_validated","source_span":"","fact_ids":["style_outdoor"],"rationale":"产品标注户外风格，室内场景为推断"}],"asin_fit":[{"value":"partial_match","evidence_type":"page_validated","source_span":"","fact_ids":["style_outdoor"],"rationale":"室内场景与户外标签存在差异"}],"capability_intent":[{"value":"arch_support","evidence_type":"page_validated","source_span":"","fact_ids":["arch_support"],"rationale":"该槽位与商品基准中的明示页面事实一致。"}],"secondary_domain":[{"value":"home_kitchen","evidence_type":"inferred","source_span":"","fact_ids":[],"rationale":"该值由搜索词整体语义推断，未作为页面明示属性。"}],"primary_domain":[{"value":"clothing_shoes_jewelry","evidence_type":"inferred","source_span":"","fact_ids":[],"rationale":"该值由搜索词整体语义推断，未作为页面明示属性。"}]}</x:v>
      </x:c>
      <x:c r="Y514" s="16" t="str"/>
      <x:c r="Z514" s="13" t="str">
        <x:v>partial_match</x:v>
      </x:c>
      <x:c r="AA514" s="16" t="str">
        <x:v>style_outdoor</x:v>
      </x:c>
      <x:c r="AB514" s="13" t="str">
        <x:v>needs_review</x:v>
      </x:c>
      <x:c r="AC514" s="13" t="str">
        <x:v>1.0.0</x:v>
      </x:c>
      <x:c r="AD514" s="13" t="str">
        <x:v>1.0.0</x:v>
      </x:c>
      <x:c r="AE514" s="13" t="str">
        <x:v>deepseek/deepseek-v4-pro</x:v>
      </x:c>
      <x:c r="AF514" s="13" t="str">
        <x:v>aj2-y90-20260714T234810-0bea2f52</x:v>
      </x:c>
      <x:c r="AG514" s="13" t="str">
        <x:v>full-0026</x:v>
      </x:c>
      <x:c r="AH514" s="13" t="str">
        <x:v>full</x:v>
      </x:c>
      <x:c r="AI514" s="13" t="n">
        <x:v>26</x:v>
      </x:c>
    </x:row>
    <x:row r="515" ht="34" customHeight="1">
      <x:c r="A515" s="15" t="str">
        <x:v>comfy flops for women/summer</x:v>
      </x:c>
      <x:c r="B515" s="15" t="str">
        <x:v>comfy flops for women/summer</x:v>
      </x:c>
      <x:c r="C515" s="10" t="str">
        <x:v>e8c4f2ff43d9d3d8</x:v>
      </x:c>
      <x:c r="D515" s="10" t="str">
        <x:v>keyword</x:v>
      </x:c>
      <x:c r="E515" s="10" t="str">
        <x:v>en</x:v>
      </x:c>
      <x:c r="F515" s="10" t="str">
        <x:v>clothing_shoes_jewelry</x:v>
      </x:c>
      <x:c r="G515" s="15" t="str"/>
      <x:c r="H515" s="15" t="str">
        <x:v>flip_flops</x:v>
      </x:c>
      <x:c r="I515" s="15" t="str">
        <x:v>women</x:v>
      </x:c>
      <x:c r="J515" s="15" t="str">
        <x:v>comfort</x:v>
      </x:c>
      <x:c r="K515" s="15" t="str">
        <x:v>comfort</x:v>
      </x:c>
      <x:c r="L515" s="15" t="str"/>
      <x:c r="M515" s="15" t="str"/>
      <x:c r="N515" s="15" t="str"/>
      <x:c r="O515" s="15" t="str">
        <x:v>summer</x:v>
      </x:c>
      <x:c r="P515" s="15" t="str"/>
      <x:c r="Q515" s="15" t="str"/>
      <x:c r="R515" s="15" t="str">
        <x:v>女性用户寻找夏季穿着的舒适人字拖，注重季节适用性和穿着舒适度。</x:v>
      </x:c>
      <x:c r="S515" s="10" t="str">
        <x:v>consideration</x:v>
      </x:c>
      <x:c r="T515" s="15" t="str">
        <x:v>explicit | page_validated</x:v>
      </x:c>
      <x:c r="U515" s="10" t="str">
        <x:v>high</x:v>
      </x:c>
      <x:c r="V515" s="15" t="str">
        <x:v>comfy_womens_summer_flip_flops</x:v>
      </x:c>
      <x:c r="W515" s="15" t="str">
        <x:v>cluster_route</x:v>
      </x:c>
      <x:c r="X515" s="15" t="str">
        <x:v>{"product_type":[{"value":"flip_flops","evidence_type":"explicit","source_span":"flops","fact_ids":[],"rationale":""},{"value":"flip_flops","evidence_type":"page_validated","source_span":"","fact_ids":["title_womens_flip_flop","style_flip_flop"],"rationale":""},{"value":"flip_flops","evidence_type":"inferred","source_span":"","fact_ids":[],"rationale":"该能力由搜索词表达的任务或问题推断；页面事实仅用于验证商品承接。"}],"audience_intent":[{"value":"women","evidence_type":"explicit","source_span":"women","fact_ids":[],"rationale":""},{"value":"women","evidence_type":"page_validated","source_span":"","fact_ids":["title_womens_flip_flop"],"rationale":""}],"function_intent":[{"value":"comfort","evidence_type":"explicit","source_span":"comfy","fact_ids":[],"rationale":""},{"value":"comfort","evidence_type":"page_validated","source_span":"","fact_ids":["arch_support","padded_cushioning"],"rationale":""},{"value":"comfort","evidence_type":"inferred","source_span":"","fact_ids":[],"rationale":"该能力由搜索词表达的任务或问题推断；页面事实仅用于验证商品承接。"}],"time_intent":[{"value":"summer","evidence_type":"explicit","source_span":"summer","fact_ids":[],"rationale":""}],"asin_fit":[{"value":"match","evidence_type":"page_validated","source_span":"","fact_ids":["title_womens_flip_flop"],"rationale":""}],"capability_intent":[{"value":"comfort","evidence_type":"page_validated","source_span":"","fact_ids":["arch_support","padded_cushioning"],"rationale":"该槽位与商品基准中的明示页面事实一致。"},{"value":"comfor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515" s="15" t="str"/>
      <x:c r="Z515" s="10" t="str">
        <x:v>match</x:v>
      </x:c>
      <x:c r="AA515" s="15" t="str">
        <x:v>title_womens_flip_flop</x:v>
      </x:c>
      <x:c r="AB515" s="10" t="str">
        <x:v>accepted</x:v>
      </x:c>
      <x:c r="AC515" s="10" t="str">
        <x:v>1.0.0</x:v>
      </x:c>
      <x:c r="AD515" s="10" t="str">
        <x:v>1.0.0</x:v>
      </x:c>
      <x:c r="AE515" s="10" t="str">
        <x:v>deepseek/deepseek-v4-pro</x:v>
      </x:c>
      <x:c r="AF515" s="10" t="str">
        <x:v>aj2-y90-20260714T234810-0bea2f52</x:v>
      </x:c>
      <x:c r="AG515" s="10" t="str">
        <x:v>full-0026</x:v>
      </x:c>
      <x:c r="AH515" s="10" t="str">
        <x:v>full</x:v>
      </x:c>
      <x:c r="AI515" s="10" t="n">
        <x:v>26</x:v>
      </x:c>
    </x:row>
    <x:row r="516" ht="34" customHeight="1">
      <x:c r="A516" s="16" t="str">
        <x:v>white flip flops rubber</x:v>
      </x:c>
      <x:c r="B516" s="16" t="str">
        <x:v>white flip flops rubber</x:v>
      </x:c>
      <x:c r="C516" s="13" t="str">
        <x:v>eb48bb59d8e83678</x:v>
      </x:c>
      <x:c r="D516" s="13" t="str">
        <x:v>keyword</x:v>
      </x:c>
      <x:c r="E516" s="13" t="str">
        <x:v>en</x:v>
      </x:c>
      <x:c r="F516" s="13" t="str">
        <x:v>clothing_shoes_jewelry</x:v>
      </x:c>
      <x:c r="G516" s="16" t="str"/>
      <x:c r="H516" s="16" t="str">
        <x:v>flip_flops</x:v>
      </x:c>
      <x:c r="I516" s="16" t="str"/>
      <x:c r="J516" s="16" t="str"/>
      <x:c r="K516" s="16" t="str"/>
      <x:c r="L516" s="16" t="str"/>
      <x:c r="M516" s="16" t="str"/>
      <x:c r="N516" s="16" t="str"/>
      <x:c r="O516" s="16" t="str"/>
      <x:c r="P516" s="16" t="str"/>
      <x:c r="Q516" s="16" t="str"/>
      <x:c r="R516" s="16" t="str">
        <x:v>用户寻找白色橡胶材质的人字拖，注重特定颜色和材料属性。</x:v>
      </x:c>
      <x:c r="S516" s="13" t="str">
        <x:v>consideration</x:v>
      </x:c>
      <x:c r="T516" s="16" t="str">
        <x:v>explicit | page_validated</x:v>
      </x:c>
      <x:c r="U516" s="13" t="str">
        <x:v>medium</x:v>
      </x:c>
      <x:c r="V516" s="16" t="str">
        <x:v>white_rubber_flip_flops</x:v>
      </x:c>
      <x:c r="W516" s="16" t="str">
        <x:v>listing_gap_review</x:v>
      </x:c>
      <x:c r="X516" s="16" t="str">
        <x:v>{"product_type":[{"value":"flip_flops","evidence_type":"explicit","source_span":"flip flops","fact_ids":[],"rationale":""},{"value":"flip_flops","evidence_type":"page_validated","source_span":"","fact_ids":["title_womens_flip_flop","style_flip_flop"],"rationale":""}],"color":[{"value":"white","evidence_type":"explicit","source_span":"white","fact_ids":[],"rationale":"该颜色在商品页面可见颜色选择中得到明确支持。"},{"value":"white","evidence_type":"page_validated","source_span":"","fact_ids":["colors_visible"],"rationale":"该颜色在商品页面可见颜色选择中得到明确支持。"}],"material":[{"value":"rubber","evidence_type":"explicit","source_span":"rubber","fact_ids":[],"rationale":""},{"value":"eva","evidence_type":"page_validated","source_span":"","fact_ids":["material_eva"],"rationale":"产品材质为EVA非橡胶"}],"asin_fit":[{"value":"partial_match","evidence_type":"page_validated","source_span":"","fact_ids":["material_eva"],"rationale":"橡胶材质与EVA不一致"}],"primary_domain":[{"value":"clothing_shoes_jewelry","evidence_type":"inferred","source_span":"","fact_ids":[],"rationale":"该值由搜索词整体语义推断，未作为页面明示属性。"}]}</x:v>
      </x:c>
      <x:c r="Y516" s="16" t="str"/>
      <x:c r="Z516" s="13" t="str">
        <x:v>partial_match</x:v>
      </x:c>
      <x:c r="AA516" s="16" t="str">
        <x:v>material_eva</x:v>
      </x:c>
      <x:c r="AB516" s="13" t="str">
        <x:v>needs_review</x:v>
      </x:c>
      <x:c r="AC516" s="13" t="str">
        <x:v>1.0.0</x:v>
      </x:c>
      <x:c r="AD516" s="13" t="str">
        <x:v>1.0.0</x:v>
      </x:c>
      <x:c r="AE516" s="13" t="str">
        <x:v>deepseek/deepseek-v4-pro</x:v>
      </x:c>
      <x:c r="AF516" s="13" t="str">
        <x:v>aj2-y90-20260714T234810-0bea2f52</x:v>
      </x:c>
      <x:c r="AG516" s="13" t="str">
        <x:v>full-0026</x:v>
      </x:c>
      <x:c r="AH516" s="13" t="str">
        <x:v>full</x:v>
      </x:c>
      <x:c r="AI516" s="13" t="n">
        <x:v>26</x:v>
      </x:c>
    </x:row>
    <x:row r="517" ht="34" customHeight="1">
      <x:c r="A517" s="15" t="str">
        <x:v>best flip flops for walking all day</x:v>
      </x:c>
      <x:c r="B517" s="15" t="str">
        <x:v>best flip flops for walking all day</x:v>
      </x:c>
      <x:c r="C517" s="10" t="str">
        <x:v>ecd4832e94e0398c</x:v>
      </x:c>
      <x:c r="D517" s="10" t="str">
        <x:v>keyword</x:v>
      </x:c>
      <x:c r="E517" s="10" t="str">
        <x:v>en</x:v>
      </x:c>
      <x:c r="F517" s="10" t="str">
        <x:v>clothing_shoes_jewelry</x:v>
      </x:c>
      <x:c r="G517" s="15" t="str">
        <x:v>sports_outdoors</x:v>
      </x:c>
      <x:c r="H517" s="15" t="str">
        <x:v>flip_flops</x:v>
      </x:c>
      <x:c r="I517" s="15" t="str"/>
      <x:c r="J517" s="15" t="str">
        <x:v>all_day_walking</x:v>
      </x:c>
      <x:c r="K517" s="15" t="str">
        <x:v>all_day_comfort</x:v>
      </x:c>
      <x:c r="L517" s="15" t="str">
        <x:v>walking</x:v>
      </x:c>
      <x:c r="M517" s="15" t="str"/>
      <x:c r="N517" s="15" t="str">
        <x:v>arch_support</x:v>
      </x:c>
      <x:c r="O517" s="15" t="str">
        <x:v>all_day</x:v>
      </x:c>
      <x:c r="P517" s="15" t="str"/>
      <x:c r="Q517" s="15" t="str"/>
      <x:c r="R517" s="15" t="str">
        <x:v>用户寻找适合全天行走的最佳人字拖，注重长时间穿着的舒适性和支撑性能。</x:v>
      </x:c>
      <x:c r="S517" s="10" t="str">
        <x:v>consideration</x:v>
      </x:c>
      <x:c r="T517" s="15" t="str">
        <x:v>explicit | page_validated | inferred</x:v>
      </x:c>
      <x:c r="U517" s="10" t="str">
        <x:v>high</x:v>
      </x:c>
      <x:c r="V517" s="15" t="str">
        <x:v>all_day_walking_flip_flops</x:v>
      </x:c>
      <x:c r="W517" s="15" t="str">
        <x:v>cluster_route</x:v>
      </x:c>
      <x:c r="X517" s="15" t="str">
        <x:v>{"product_type":[{"value":"flip_flops","evidence_type":"explicit","source_span":"flip flops","fact_ids":[],"rationale":""},{"value":"flip_flops","evidence_type":"page_validated","source_span":"","fact_ids":["title_womens_flip_flop","style_flip_flop"],"rationale":""}],"function_intent":[{"value":"all_day_walking","evidence_type":"explicit","source_span":"walking all day","fact_ids":[],"rationale":""}],"capability_intent":[{"value":"all_day_comfort","evidence_type":"page_validated","source_span":"","fact_ids":["arch_support","padded_cushioning"],"rationale":"足弓支撑和缓冲垫支持全天舒适"},{"value":"arch_support","evidence_type":"page_validated","source_span":"","fact_ids":["arch_support"],"rationale":"该槽位与商品基准中的明示页面事实一致。"},{"value":"arch_support","evidence_type":"inferred","source_span":"","fact_ids":[],"rationale":"该能力由搜索词表达的任务或问题推断；页面事实仅用于验证商品承接。"}],"time_intent":[{"value":"all_day","evidence_type":"explicit","source_span":"all day","fact_ids":[],"rationale":""}],"asin_fit":[{"value":"match","evidence_type":"page_validated","source_span":"","fact_ids":["arch_support","padded_cushioning"],"rationale":"全天舒适在页面中有明确支撑"}],"secondary_domain":[{"value":"sports_outdoors","evidence_type":"inferred","source_span":"","fact_ids":[],"rationale":"该值由搜索词整体语义推断，未作为页面明示属性。"}],"event_intent":[{"value":"walking","evidence_type":"inferred","source_span":"","fact_ids":[],"rationale":"该值由搜索词整体语义推断，未作为页面明示属性。"}],"primary_domain":[{"value":"clothing_shoes_jewelry","evidence_type":"inferred","source_span":"","fact_ids":[],"rationale":"该值由搜索词整体语义推断，未作为页面明示属性。"}]}</x:v>
      </x:c>
      <x:c r="Y517" s="15" t="str"/>
      <x:c r="Z517" s="10" t="str">
        <x:v>match</x:v>
      </x:c>
      <x:c r="AA517" s="15" t="str">
        <x:v>arch_support | padded_cushioning</x:v>
      </x:c>
      <x:c r="AB517" s="10" t="str">
        <x:v>accepted</x:v>
      </x:c>
      <x:c r="AC517" s="10" t="str">
        <x:v>1.0.0</x:v>
      </x:c>
      <x:c r="AD517" s="10" t="str">
        <x:v>1.0.0</x:v>
      </x:c>
      <x:c r="AE517" s="10" t="str">
        <x:v>deepseek/deepseek-v4-pro</x:v>
      </x:c>
      <x:c r="AF517" s="10" t="str">
        <x:v>aj2-y90-20260714T234810-0bea2f52</x:v>
      </x:c>
      <x:c r="AG517" s="10" t="str">
        <x:v>full-0026</x:v>
      </x:c>
      <x:c r="AH517" s="10" t="str">
        <x:v>full</x:v>
      </x:c>
      <x:c r="AI517" s="10" t="n">
        <x:v>26</x:v>
      </x:c>
    </x:row>
    <x:row r="518" ht="34" customHeight="1">
      <x:c r="A518" s="16" t="str">
        <x:v>flip flops with arch support for women with lift</x:v>
      </x:c>
      <x:c r="B518" s="16" t="str">
        <x:v>flip flops with arch support for women with lift</x:v>
      </x:c>
      <x:c r="C518" s="13" t="str">
        <x:v>f1e176d0666e651c</x:v>
      </x:c>
      <x:c r="D518" s="13" t="str">
        <x:v>keyword</x:v>
      </x:c>
      <x:c r="E518" s="13" t="str">
        <x:v>en</x:v>
      </x:c>
      <x:c r="F518" s="13" t="str">
        <x:v>clothing_shoes_jewelry</x:v>
      </x:c>
      <x:c r="G518" s="16" t="str"/>
      <x:c r="H518" s="16" t="str">
        <x:v>flip_flops</x:v>
      </x:c>
      <x:c r="I518" s="16" t="str">
        <x:v>women</x:v>
      </x:c>
      <x:c r="J518" s="16" t="str">
        <x:v>arch_support</x:v>
      </x:c>
      <x:c r="K518" s="16" t="str">
        <x:v>arch_support</x:v>
      </x:c>
      <x:c r="L518" s="16" t="str"/>
      <x:c r="M518" s="16" t="str"/>
      <x:c r="N518" s="16" t="str">
        <x:v>arch_support</x:v>
      </x:c>
      <x:c r="O518" s="16" t="str"/>
      <x:c r="P518" s="16" t="str"/>
      <x:c r="Q518" s="16" t="str"/>
      <x:c r="R518" s="16" t="str">
        <x:v>女性用户寻找带有足弓支撑和增高功能的人字拖，增高需求可能与平底鞋型存在冲突。</x:v>
      </x:c>
      <x:c r="S518" s="13" t="str">
        <x:v>consideration</x:v>
      </x:c>
      <x:c r="T518" s="16" t="str">
        <x:v>explicit | page_validated | inferred</x:v>
      </x:c>
      <x:c r="U518" s="13" t="str">
        <x:v>medium</x:v>
      </x:c>
      <x:c r="V518" s="16" t="str">
        <x:v>womens_arch_support_lift_flip_flops</x:v>
      </x:c>
      <x:c r="W518" s="16" t="str">
        <x:v>ambiguity_review</x:v>
      </x:c>
      <x:c r="X518" s="16" t="str">
        <x:v>{"product_type":[{"value":"flip_flops","evidence_type":"explicit","source_span":"flip flops","fact_ids":[],"rationale":""},{"value":"flip_flops","evidence_type":"page_validated","source_span":"","fact_ids":["title_womens_flip_flop","style_flip_flop"],"rationale":""}],"audience_intent":[{"value":"women","evidence_type":"explicit","source_span":"women","fact_ids":[],"rationale":""},{"value":"women","evidence_type":"page_validated","source_span":"","fact_ids":["title_womens_flip_flop"],"rationale":""}],"asin_fit":[{"value":"partial_match","evidence_type":"page_validated","source_span":"","fact_ids":["style_flat"],"rationale":"lift若指鞋跟增高则与平底标签冲突，若指足弓隆起则匹配"}],"capability_intent":[{"value":"arch_support","evidence_type":"page_validated","source_span":"","fact_ids":["arch_support"],"rationale":"该槽位与商品基准中的明示页面事实一致。"}],"primary_domain":[{"value":"clothing_shoes_jewelry","evidence_type":"inferred","source_span":"","fact_ids":[],"rationale":"该值由搜索词整体语义推断，未作为页面明示属性。"}]}</x:v>
      </x:c>
      <x:c r="Y518" s="16" t="str">
        <x:v>lift_meaning_ambiguous</x:v>
      </x:c>
      <x:c r="Z518" s="13" t="str">
        <x:v>partial_match</x:v>
      </x:c>
      <x:c r="AA518" s="16" t="str">
        <x:v>style_flat</x:v>
      </x:c>
      <x:c r="AB518" s="13" t="str">
        <x:v>needs_review</x:v>
      </x:c>
      <x:c r="AC518" s="13" t="str">
        <x:v>1.0.0</x:v>
      </x:c>
      <x:c r="AD518" s="13" t="str">
        <x:v>1.0.0</x:v>
      </x:c>
      <x:c r="AE518" s="13" t="str">
        <x:v>deepseek/deepseek-v4-pro</x:v>
      </x:c>
      <x:c r="AF518" s="13" t="str">
        <x:v>aj2-y90-20260714T234810-0bea2f52</x:v>
      </x:c>
      <x:c r="AG518" s="13" t="str">
        <x:v>full-0026</x:v>
      </x:c>
      <x:c r="AH518" s="13" t="str">
        <x:v>full</x:v>
      </x:c>
      <x:c r="AI518" s="13" t="n">
        <x:v>26</x:v>
      </x:c>
    </x:row>
    <x:row r="519" ht="34" customHeight="1">
      <x:c r="A519" s="15" t="str">
        <x:v>hot pink support flip flops</x:v>
      </x:c>
      <x:c r="B519" s="15" t="str">
        <x:v>hot pink support flip flops</x:v>
      </x:c>
      <x:c r="C519" s="10" t="str">
        <x:v>f83cb61a7f06020e</x:v>
      </x:c>
      <x:c r="D519" s="10" t="str">
        <x:v>keyword</x:v>
      </x:c>
      <x:c r="E519" s="10" t="str">
        <x:v>en</x:v>
      </x:c>
      <x:c r="F519" s="10" t="str">
        <x:v>clothing_shoes_jewelry</x:v>
      </x:c>
      <x:c r="G519" s="15" t="str"/>
      <x:c r="H519" s="15" t="str">
        <x:v>flip_flops</x:v>
      </x:c>
      <x:c r="I519" s="15" t="str"/>
      <x:c r="J519" s="15" t="str">
        <x:v>arch_support</x:v>
      </x:c>
      <x:c r="K519" s="15" t="str">
        <x:v>arch_support</x:v>
      </x:c>
      <x:c r="L519" s="15" t="str"/>
      <x:c r="M519" s="15" t="str"/>
      <x:c r="N519" s="15" t="str">
        <x:v>arch_support</x:v>
      </x:c>
      <x:c r="O519" s="15" t="str"/>
      <x:c r="P519" s="15" t="str"/>
      <x:c r="Q519" s="15" t="str"/>
      <x:c r="R519" s="15" t="str">
        <x:v>用户寻找亮粉色具有足弓支撑功能的人字拖，对颜色鲜艳度和支撑性能均有要求。</x:v>
      </x:c>
      <x:c r="S519" s="10" t="str">
        <x:v>consideration</x:v>
      </x:c>
      <x:c r="T519" s="15" t="str">
        <x:v>explicit | page_validated</x:v>
      </x:c>
      <x:c r="U519" s="10" t="str">
        <x:v>medium</x:v>
      </x:c>
      <x:c r="V519" s="15" t="str">
        <x:v>hot_pink_arch_support_flip_flops</x:v>
      </x:c>
      <x:c r="W519" s="15" t="str">
        <x:v>listing_gap_review</x:v>
      </x:c>
      <x:c r="X519" s="15" t="str">
        <x:v>{"product_type":[{"value":"flip_flops","evidence_type":"explicit","source_span":"flip flops","fact_ids":[],"rationale":""},{"value":"flip_flops","evidence_type":"page_validated","source_span":"","fact_ids":["title_womens_flip_flop","style_flip_flop"],"rationale":""}],"color":[{"value":"hot_pink","evidence_type":"explicit","source_span":"hot pink","fact_ids":[],"rationale":""},{"value":"pink_mauve","evidence_type":"inferred","source_span":"","fact_ids":[],"rationale":"这是搜索词中的颜色约束，但商品页面基准未确认该具体颜色。"}],"asin_fit":[{"value":"partial_match","evidence_type":"page_validated","source_span":"","fact_ids":["colors_visible"],"rationale":"亮粉色与页面粉色可能不完全一致"}],"capability_intent":[{"value":"arch_support","evidence_type":"page_validated","source_span":"","fact_ids":["arch_support"],"rationale":"该槽位与商品基准中的明示页面事实一致。"},{"value":"arch_suppor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519" s="15" t="str"/>
      <x:c r="Z519" s="10" t="str">
        <x:v>partial_match</x:v>
      </x:c>
      <x:c r="AA519" s="15" t="str">
        <x:v>arch_support | colors_visible</x:v>
      </x:c>
      <x:c r="AB519" s="10" t="str">
        <x:v>needs_review</x:v>
      </x:c>
      <x:c r="AC519" s="10" t="str">
        <x:v>1.0.0</x:v>
      </x:c>
      <x:c r="AD519" s="10" t="str">
        <x:v>1.0.0</x:v>
      </x:c>
      <x:c r="AE519" s="10" t="str">
        <x:v>deepseek/deepseek-v4-pro</x:v>
      </x:c>
      <x:c r="AF519" s="10" t="str">
        <x:v>aj2-y90-20260714T234810-0bea2f52</x:v>
      </x:c>
      <x:c r="AG519" s="10" t="str">
        <x:v>full-0026</x:v>
      </x:c>
      <x:c r="AH519" s="10" t="str">
        <x:v>full</x:v>
      </x:c>
      <x:c r="AI519" s="10" t="n">
        <x:v>26</x:v>
      </x:c>
    </x:row>
    <x:row r="520" ht="34" customHeight="1">
      <x:c r="A520" s="16" t="str">
        <x:v>silicone flip flop for women</x:v>
      </x:c>
      <x:c r="B520" s="16" t="str">
        <x:v>silicone flip flop for women</x:v>
      </x:c>
      <x:c r="C520" s="13" t="str">
        <x:v>fc8a336c13d1ac13</x:v>
      </x:c>
      <x:c r="D520" s="13" t="str">
        <x:v>keyword</x:v>
      </x:c>
      <x:c r="E520" s="13" t="str">
        <x:v>en</x:v>
      </x:c>
      <x:c r="F520" s="13" t="str">
        <x:v>clothing_shoes_jewelry</x:v>
      </x:c>
      <x:c r="G520" s="16" t="str"/>
      <x:c r="H520" s="16" t="str">
        <x:v>flip_flops</x:v>
      </x:c>
      <x:c r="I520" s="16" t="str">
        <x:v>women</x:v>
      </x:c>
      <x:c r="J520" s="16" t="str"/>
      <x:c r="K520" s="16" t="str"/>
      <x:c r="L520" s="16" t="str"/>
      <x:c r="M520" s="16" t="str"/>
      <x:c r="N520" s="16" t="str"/>
      <x:c r="O520" s="16" t="str"/>
      <x:c r="P520" s="16" t="str"/>
      <x:c r="Q520" s="16" t="str"/>
      <x:c r="R520" s="16" t="str">
        <x:v>女性用户寻找硅胶材质的人字拖，对材料有明确偏好。</x:v>
      </x:c>
      <x:c r="S520" s="13" t="str">
        <x:v>consideration</x:v>
      </x:c>
      <x:c r="T520" s="16" t="str">
        <x:v>explicit | page_validated</x:v>
      </x:c>
      <x:c r="U520" s="13" t="str">
        <x:v>high</x:v>
      </x:c>
      <x:c r="V520" s="16" t="str">
        <x:v>silicone_womens_flip_flops</x:v>
      </x:c>
      <x:c r="W520" s="16" t="str">
        <x:v>semantic_negative_candidate</x:v>
      </x:c>
      <x:c r="X520" s="16" t="str">
        <x:v>{"product_type":[{"value":"flip_flops","evidence_type":"explicit","source_span":"flip flop","fact_ids":[],"rationale":""},{"value":"flip_flops","evidence_type":"page_validated","source_span":"","fact_ids":["title_womens_flip_flop","style_flip_flop"],"rationale":""},{"value":"flip_flops","evidence_type":"inferred","source_span":"","fact_ids":[],"rationale":"该能力由搜索词表达的任务或问题推断；页面事实仅用于验证商品承接。"}],"audience_intent":[{"value":"women","evidence_type":"explicit","source_span":"women","fact_ids":[],"rationale":""},{"value":"women","evidence_type":"page_validated","source_span":"","fact_ids":["title_womens_flip_flop"],"rationale":""}],"material":[{"value":"silicone","evidence_type":"explicit","source_span":"silicone","fact_ids":[],"rationale":""},{"value":"eva","evidence_type":"page_validated","source_span":"","fact_ids":["material_eva"],"rationale":"硅胶与EVA为不同材料"}],"asin_fit":[{"value":"mismatch","evidence_type":"page_validated","source_span":"","fact_ids":["material_eva"],"rationale":"产品材质为EVA，非硅胶"}],"primary_domain":[{"value":"clothing_shoes_jewelry","evidence_type":"inferred","source_span":"","fact_ids":[],"rationale":"该值由搜索词整体语义推断，未作为页面明示属性。"}]}</x:v>
      </x:c>
      <x:c r="Y520" s="16" t="str"/>
      <x:c r="Z520" s="13" t="str">
        <x:v>mismatch</x:v>
      </x:c>
      <x:c r="AA520" s="16" t="str">
        <x:v>material_eva</x:v>
      </x:c>
      <x:c r="AB520" s="13" t="str">
        <x:v>needs_review</x:v>
      </x:c>
      <x:c r="AC520" s="13" t="str">
        <x:v>1.0.0</x:v>
      </x:c>
      <x:c r="AD520" s="13" t="str">
        <x:v>1.0.0</x:v>
      </x:c>
      <x:c r="AE520" s="13" t="str">
        <x:v>deepseek/deepseek-v4-pro</x:v>
      </x:c>
      <x:c r="AF520" s="13" t="str">
        <x:v>aj2-y90-20260714T234810-0bea2f52</x:v>
      </x:c>
      <x:c r="AG520" s="13" t="str">
        <x:v>full-0026</x:v>
      </x:c>
      <x:c r="AH520" s="13" t="str">
        <x:v>full</x:v>
      </x:c>
      <x:c r="AI520" s="13" t="n">
        <x:v>26</x:v>
      </x:c>
    </x:row>
    <x:row r="521" ht="34" customHeight="1">
      <x:c r="A521" s="15" t="str">
        <x:v>best selling nude flip flops</x:v>
      </x:c>
      <x:c r="B521" s="15" t="str">
        <x:v>best selling nude flip flops</x:v>
      </x:c>
      <x:c r="C521" s="10" t="str">
        <x:v>feeb135e514daa49</x:v>
      </x:c>
      <x:c r="D521" s="10" t="str">
        <x:v>keyword</x:v>
      </x:c>
      <x:c r="E521" s="10" t="str">
        <x:v>en</x:v>
      </x:c>
      <x:c r="F521" s="10" t="str">
        <x:v>clothing_shoes_jewelry</x:v>
      </x:c>
      <x:c r="G521" s="15" t="str"/>
      <x:c r="H521" s="15" t="str">
        <x:v>flip_flops</x:v>
      </x:c>
      <x:c r="I521" s="15" t="str"/>
      <x:c r="J521" s="15" t="str"/>
      <x:c r="K521" s="15" t="str"/>
      <x:c r="L521" s="15" t="str"/>
      <x:c r="M521" s="15" t="str"/>
      <x:c r="N521" s="15" t="str"/>
      <x:c r="O521" s="15" t="str"/>
      <x:c r="P521" s="15" t="str"/>
      <x:c r="Q521" s="15" t="str"/>
      <x:c r="R521" s="15" t="str">
        <x:v>用户寻找畅销的裸色人字拖，注重市场热度和特定颜色。</x:v>
      </x:c>
      <x:c r="S521" s="10" t="str">
        <x:v>exploration</x:v>
      </x:c>
      <x:c r="T521" s="15" t="str">
        <x:v>explicit | page_validated</x:v>
      </x:c>
      <x:c r="U521" s="10" t="str">
        <x:v>low</x:v>
      </x:c>
      <x:c r="V521" s="15" t="str">
        <x:v>nude_flip_flops</x:v>
      </x:c>
      <x:c r="W521" s="15" t="str">
        <x:v>listing_gap_review</x:v>
      </x:c>
      <x:c r="X521" s="15" t="str">
        <x:v>{"product_type":[{"value":"flip_flops","evidence_type":"explicit","source_span":"flip flops","fact_ids":[],"rationale":""},{"value":"flip_flops","evidence_type":"page_validated","source_span":"","fact_ids":["title_womens_flip_flop","style_flip_flop"],"rationale":""}],"color":[{"value":"nude","evidence_type":"explicit","source_span":"nude","fact_ids":[],"rationale":""}],"asin_fit":[{"value":"partial_match","evidence_type":"page_validated","source_span":"","fact_ids":["colors_visible"],"rationale":"裸色不在页面可选颜色中，畅销度无法通过页面验证"}],"primary_domain":[{"value":"clothing_shoes_jewelry","evidence_type":"inferred","source_span":"","fact_ids":[],"rationale":"该值由搜索词整体语义推断，未作为页面明示属性。"}]}</x:v>
      </x:c>
      <x:c r="Y521" s="15" t="str"/>
      <x:c r="Z521" s="10" t="str">
        <x:v>partial_match</x:v>
      </x:c>
      <x:c r="AA521" s="15" t="str">
        <x:v>colors_visible</x:v>
      </x:c>
      <x:c r="AB521" s="10" t="str">
        <x:v>needs_review</x:v>
      </x:c>
      <x:c r="AC521" s="10" t="str">
        <x:v>1.0.0</x:v>
      </x:c>
      <x:c r="AD521" s="10" t="str">
        <x:v>1.0.0</x:v>
      </x:c>
      <x:c r="AE521" s="10" t="str">
        <x:v>deepseek/deepseek-v4-pro</x:v>
      </x:c>
      <x:c r="AF521" s="10" t="str">
        <x:v>aj2-y90-20260714T234810-0bea2f52</x:v>
      </x:c>
      <x:c r="AG521" s="10" t="str">
        <x:v>full-0026</x:v>
      </x:c>
      <x:c r="AH521" s="10" t="str">
        <x:v>full</x:v>
      </x:c>
      <x:c r="AI521" s="10" t="n">
        <x:v>26</x:v>
      </x:c>
    </x:row>
    <x:row r="522" ht="34" customHeight="1">
      <x:c r="A522" s="16" t="str">
        <x:v>water proof cheetah print flip flops for women</x:v>
      </x:c>
      <x:c r="B522" s="16" t="str">
        <x:v>water proof cheetah print flip flops for women</x:v>
      </x:c>
      <x:c r="C522" s="13" t="str">
        <x:v>0983d71a55ab9b71</x:v>
      </x:c>
      <x:c r="D522" s="13" t="str">
        <x:v>keyword</x:v>
      </x:c>
      <x:c r="E522" s="13" t="str">
        <x:v>en</x:v>
      </x:c>
      <x:c r="F522" s="13" t="str">
        <x:v>clothing_shoes_jewelry</x:v>
      </x:c>
      <x:c r="G522" s="16" t="str"/>
      <x:c r="H522" s="16" t="str">
        <x:v>flip_flops</x:v>
      </x:c>
      <x:c r="I522" s="16" t="str">
        <x:v>women</x:v>
      </x:c>
      <x:c r="J522" s="16" t="str"/>
      <x:c r="K522" s="16" t="str">
        <x:v>waterproof | animal_print</x:v>
      </x:c>
      <x:c r="L522" s="16" t="str"/>
      <x:c r="M522" s="16" t="str"/>
      <x:c r="N522" s="16" t="str"/>
      <x:c r="O522" s="16" t="str"/>
      <x:c r="P522" s="16" t="str"/>
      <x:c r="Q522" s="16" t="str"/>
      <x:c r="R522" s="16" t="str">
        <x:v>女性用户寻找防水且带有猎豹花纹的人字拖，偏好动物纹图案。</x:v>
      </x:c>
      <x:c r="S522" s="13" t="str">
        <x:v>consideration</x:v>
      </x:c>
      <x:c r="T522" s="16" t="str">
        <x:v>explicit | page_validated | inferred</x:v>
      </x:c>
      <x:c r="U522" s="13" t="str">
        <x:v>high</x:v>
      </x:c>
      <x:c r="V522" s="16" t="str">
        <x:v>flip_flops_women_animal_print</x:v>
      </x:c>
      <x:c r="W522" s="16" t="str">
        <x:v>listing_gap_review</x:v>
      </x:c>
      <x:c r="X522" s="16" t="str">
        <x:v>{"primary_domain":[{"value":"clothing_shoes_jewelry","evidence_type":"inferred","source_span":"","fact_ids":[],"rationale":"人字拖属于鞋类"}],"product_type":[{"value":"flip_flops","evidence_type":"explicit","source_span":"flip flops","fact_ids":[],"rationale":""},{"value":"flip_flops","evidence_type":"page_validated","source_span":"","fact_ids":["style_flip_flop"],"rationale":"产品为人字拖"}],"audience_intent":[{"value":"women","evidence_type":"explicit","source_span":"women","fact_ids":[],"rationale":""},{"value":"women","evidence_type":"page_validated","source_span":"","fact_ids":["title_womens_flip_flop"],"rationale":"产品为女性拖鞋"}],"capability_intent":[{"value":"waterproof","evidence_type":"explicit","source_span":"water proof","fact_ids":[],"rationale":""},{"value":"animal_print","evidence_type":"explicit","source_span":"cheetah print","fact_ids":[],"rationale":""}]}</x:v>
      </x:c>
      <x:c r="Y522" s="16" t="str"/>
      <x:c r="Z522" s="13" t="str">
        <x:v>partial_match</x:v>
      </x:c>
      <x:c r="AA522" s="16" t="str">
        <x:v>title_womens_flip_flop | style_flip_flop | colors_visible</x:v>
      </x:c>
      <x:c r="AB522" s="13" t="str">
        <x:v>accepted</x:v>
      </x:c>
      <x:c r="AC522" s="13" t="str">
        <x:v>1.0.0</x:v>
      </x:c>
      <x:c r="AD522" s="13" t="str">
        <x:v>1.1.0</x:v>
      </x:c>
      <x:c r="AE522" s="13" t="str">
        <x:v>deepseek/deepseek-v4-pro</x:v>
      </x:c>
      <x:c r="AF522" s="13" t="str">
        <x:v>aj2-y90-20260714T234810-0bea2f52</x:v>
      </x:c>
      <x:c r="AG522" s="13" t="str">
        <x:v>full-0027</x:v>
      </x:c>
      <x:c r="AH522" s="13" t="str">
        <x:v>full</x:v>
      </x:c>
      <x:c r="AI522" s="13" t="n">
        <x:v>27</x:v>
      </x:c>
    </x:row>
    <x:row r="523" ht="34" customHeight="1">
      <x:c r="A523" s="15" t="str">
        <x:v>womens brown flip flops good in water</x:v>
      </x:c>
      <x:c r="B523" s="15" t="str">
        <x:v>womens brown flip flops good in water</x:v>
      </x:c>
      <x:c r="C523" s="10" t="str">
        <x:v>10bf4b005dddde82</x:v>
      </x:c>
      <x:c r="D523" s="10" t="str">
        <x:v>keyword</x:v>
      </x:c>
      <x:c r="E523" s="10" t="str">
        <x:v>en</x:v>
      </x:c>
      <x:c r="F523" s="10" t="str">
        <x:v>clothing_shoes_jewelry</x:v>
      </x:c>
      <x:c r="G523" s="15" t="str"/>
      <x:c r="H523" s="15" t="str">
        <x:v>flip_flops</x:v>
      </x:c>
      <x:c r="I523" s="15" t="str">
        <x:v>women</x:v>
      </x:c>
      <x:c r="J523" s="15" t="str"/>
      <x:c r="K523" s="15" t="str">
        <x:v>water_friendly</x:v>
      </x:c>
      <x:c r="L523" s="15" t="str"/>
      <x:c r="M523" s="15" t="str"/>
      <x:c r="N523" s="15" t="str"/>
      <x:c r="O523" s="15" t="str"/>
      <x:c r="P523" s="15" t="str"/>
      <x:c r="Q523" s="15" t="str"/>
      <x:c r="R523" s="15" t="str">
        <x:v>女性用户寻找棕色且适合涉水穿着的人字拖，需在水中或水边使用。</x:v>
      </x:c>
      <x:c r="S523" s="10" t="str">
        <x:v>consideration</x:v>
      </x:c>
      <x:c r="T523" s="15" t="str">
        <x:v>explicit | page_validated | inferred</x:v>
      </x:c>
      <x:c r="U523" s="10" t="str">
        <x:v>high</x:v>
      </x:c>
      <x:c r="V523" s="15" t="str">
        <x:v>flip_flops_women_water_friendly</x:v>
      </x:c>
      <x:c r="W523" s="15" t="str">
        <x:v>listing_gap_review</x:v>
      </x:c>
      <x:c r="X523" s="15" t="str">
        <x:v>{"primary_domain":[{"value":"clothing_shoes_jewelry","evidence_type":"inferred","source_span":"","fact_ids":[],"rationale":"人字拖属于鞋类"}],"product_type":[{"value":"flip_flops","evidence_type":"explicit","source_span":"flip flops","fact_ids":[],"rationale":""},{"value":"flip_flops","evidence_type":"page_validated","source_span":"","fact_ids":["style_flip_flop"],"rationale":"产品为人字拖"}],"audience_intent":[{"value":"women","evidence_type":"explicit","source_span":"womens","fact_ids":[],"rationale":""},{"value":"women","evidence_type":"page_validated","source_span":"","fact_ids":["title_womens_flip_flop"],"rationale":"产品为女性拖鞋"}],"capability_intent":[{"value":"water_friendly","evidence_type":"explicit","source_span":"good in water","fact_ids":[],"rationale":""}],"color":[{"value":"brown","evidence_type":"explicit","source_span":"brown","fact_ids":[],"rationale":"该颜色在商品页面可见颜色选择中得到明确支持。"}]}</x:v>
      </x:c>
      <x:c r="Y523" s="15" t="str"/>
      <x:c r="Z523" s="10" t="str">
        <x:v>partial_match</x:v>
      </x:c>
      <x:c r="AA523" s="15" t="str">
        <x:v>title_womens_flip_flop | style_flip_flop | colors_visible | material_eva</x:v>
      </x:c>
      <x:c r="AB523" s="10" t="str">
        <x:v>accepted</x:v>
      </x:c>
      <x:c r="AC523" s="10" t="str">
        <x:v>1.0.0</x:v>
      </x:c>
      <x:c r="AD523" s="10" t="str">
        <x:v>1.1.0</x:v>
      </x:c>
      <x:c r="AE523" s="10" t="str">
        <x:v>deepseek/deepseek-v4-pro</x:v>
      </x:c>
      <x:c r="AF523" s="10" t="str">
        <x:v>aj2-y90-20260714T234810-0bea2f52</x:v>
      </x:c>
      <x:c r="AG523" s="10" t="str">
        <x:v>full-0027</x:v>
      </x:c>
      <x:c r="AH523" s="10" t="str">
        <x:v>full</x:v>
      </x:c>
      <x:c r="AI523" s="10" t="n">
        <x:v>27</x:v>
      </x:c>
    </x:row>
    <x:row r="524" ht="34" customHeight="1">
      <x:c r="A524" s="16" t="str">
        <x:v>archies fit flops</x:v>
      </x:c>
      <x:c r="B524" s="16" t="str">
        <x:v>archies fit flops</x:v>
      </x:c>
      <x:c r="C524" s="13" t="str">
        <x:v>1ea34af4002220fc</x:v>
      </x:c>
      <x:c r="D524" s="13" t="str">
        <x:v>keyword</x:v>
      </x:c>
      <x:c r="E524" s="13" t="str">
        <x:v>en</x:v>
      </x:c>
      <x:c r="F524" s="13" t="str">
        <x:v>clothing_shoes_jewelry</x:v>
      </x:c>
      <x:c r="G524" s="16" t="str"/>
      <x:c r="H524" s="16" t="str">
        <x:v>flip_flops</x:v>
      </x:c>
      <x:c r="I524" s="16" t="str"/>
      <x:c r="J524" s="16" t="str"/>
      <x:c r="K524" s="16" t="str">
        <x:v>arch_support</x:v>
      </x:c>
      <x:c r="L524" s="16" t="str"/>
      <x:c r="M524" s="16" t="str"/>
      <x:c r="N524" s="16" t="str"/>
      <x:c r="O524" s="16" t="str"/>
      <x:c r="P524" s="16" t="str"/>
      <x:c r="Q524" s="16" t="str"/>
      <x:c r="R524" s="16" t="str">
        <x:v>用户搜索Archies或FitFlop品牌的人字拖，注重足弓支撑功能，品牌与当前产品不符。</x:v>
      </x:c>
      <x:c r="S524" s="13" t="str">
        <x:v>brand_harvest</x:v>
      </x:c>
      <x:c r="T524" s="16" t="str">
        <x:v>explicit | inferred</x:v>
      </x:c>
      <x:c r="U524" s="13" t="str">
        <x:v>medium</x:v>
      </x:c>
      <x:c r="V524" s="16" t="str">
        <x:v>flip_flops_brand_archies</x:v>
      </x:c>
      <x:c r="W524" s="16" t="str">
        <x:v>semantic_negative_candidate</x:v>
      </x:c>
      <x:c r="X524" s="16" t="str">
        <x:v>{"primary_domain":[{"value":"clothing_shoes_jewelry","evidence_type":"inferred","source_span":"","fact_ids":[],"rationale":"人字拖属于鞋类"}],"product_type":[{"value":"flip_flops","evidence_type":"explicit","source_span":"flops","fact_ids":[],"rationale":""},{"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capability_intent":[{"value":"arch_support","evidence_type":"inferred","source_span":"","fact_ids":[],"rationale":"archies暗示足弓支撑需求"},{"value":"arch_support","evidence_type":"page_validated","source_span":"","fact_ids":["arch_support"],"rationale":"该槽位与商品基准中的明示页面事实一致。"}],"brand":[{"value":"archies","evidence_type":"explicit","source_span":"archies","fact_ids":[],"rationale":""}]}</x:v>
      </x:c>
      <x:c r="Y524" s="16" t="str">
        <x:v>brand_or_feature_ambiguity</x:v>
      </x:c>
      <x:c r="Z524" s="13" t="str">
        <x:v>mismatch</x:v>
      </x:c>
      <x:c r="AA524" s="16" t="str">
        <x:v>style_flip_flop</x:v>
      </x:c>
      <x:c r="AB524" s="13" t="str">
        <x:v>accepted</x:v>
      </x:c>
      <x:c r="AC524" s="13" t="str">
        <x:v>1.0.0</x:v>
      </x:c>
      <x:c r="AD524" s="13" t="str">
        <x:v>1.1.0</x:v>
      </x:c>
      <x:c r="AE524" s="13" t="str">
        <x:v>deepseek/deepseek-v4-pro</x:v>
      </x:c>
      <x:c r="AF524" s="13" t="str">
        <x:v>aj2-y90-20260714T234810-0bea2f52</x:v>
      </x:c>
      <x:c r="AG524" s="13" t="str">
        <x:v>full-0027</x:v>
      </x:c>
      <x:c r="AH524" s="13" t="str">
        <x:v>full</x:v>
      </x:c>
      <x:c r="AI524" s="13" t="n">
        <x:v>27</x:v>
      </x:c>
    </x:row>
    <x:row r="525" ht="34" customHeight="1">
      <x:c r="A525" s="15" t="str">
        <x:v>brown flip flop women</x:v>
      </x:c>
      <x:c r="B525" s="15" t="str">
        <x:v>brown flip flop women</x:v>
      </x:c>
      <x:c r="C525" s="10" t="str">
        <x:v>21ffa1cd82904f00</x:v>
      </x:c>
      <x:c r="D525" s="10" t="str">
        <x:v>keyword</x:v>
      </x:c>
      <x:c r="E525" s="10" t="str">
        <x:v>en</x:v>
      </x:c>
      <x:c r="F525" s="10" t="str">
        <x:v>clothing_shoes_jewelry</x:v>
      </x:c>
      <x:c r="G525" s="15" t="str"/>
      <x:c r="H525" s="15" t="str">
        <x:v>flip_flops</x:v>
      </x:c>
      <x:c r="I525" s="15" t="str">
        <x:v>women</x:v>
      </x:c>
      <x:c r="J525" s="15" t="str"/>
      <x:c r="K525" s="15" t="str"/>
      <x:c r="L525" s="15" t="str"/>
      <x:c r="M525" s="15" t="str"/>
      <x:c r="N525" s="15" t="str"/>
      <x:c r="O525" s="15" t="str"/>
      <x:c r="P525" s="15" t="str"/>
      <x:c r="Q525" s="15" t="str"/>
      <x:c r="R525" s="15" t="str">
        <x:v>女性用户寻找棕色人字拖用于日常穿着。</x:v>
      </x:c>
      <x:c r="S525" s="10" t="str">
        <x:v>consideration</x:v>
      </x:c>
      <x:c r="T525" s="15" t="str">
        <x:v>explicit | page_validated | inferred</x:v>
      </x:c>
      <x:c r="U525" s="10" t="str">
        <x:v>high</x:v>
      </x:c>
      <x:c r="V525" s="15" t="str">
        <x:v>flip_flops_women_brown</x:v>
      </x:c>
      <x:c r="W525" s="15" t="str">
        <x:v>cluster_route</x:v>
      </x:c>
      <x:c r="X525" s="15" t="str">
        <x:v>{"primary_domain":[{"value":"clothing_shoes_jewelry","evidence_type":"inferred","source_span":"","fact_ids":[],"rationale":"人字拖属于鞋类"}],"product_type":[{"value":"flip_flops","evidence_type":"explicit","source_span":"flip flop","fact_ids":[],"rationale":""},{"value":"flip_flops","evidence_type":"page_validated","source_span":"","fact_ids":["style_flip_flop"],"rationale":"产品为人字拖"},{"value":"flip_flops","evidence_type":"inferred","source_span":"","fact_ids":[],"rationale":"该能力由搜索词表达的任务或问题推断；页面事实仅用于验证商品承接。"}],"audience_intent":[{"value":"women","evidence_type":"explicit","source_span":"women","fact_ids":[],"rationale":""},{"value":"women","evidence_type":"page_validated","source_span":"","fact_ids":["title_womens_flip_flop"],"rationale":"产品为女性拖鞋"}],"color":[{"value":"brown","evidence_type":"explicit","source_span":"brown","fact_ids":[],"rationale":"该颜色在商品页面可见颜色选择中得到明确支持。"}]}</x:v>
      </x:c>
      <x:c r="Y525" s="15" t="str"/>
      <x:c r="Z525" s="10" t="str">
        <x:v>match</x:v>
      </x:c>
      <x:c r="AA525" s="15" t="str">
        <x:v>title_womens_flip_flop | style_flip_flop | colors_visible</x:v>
      </x:c>
      <x:c r="AB525" s="10" t="str">
        <x:v>accepted</x:v>
      </x:c>
      <x:c r="AC525" s="10" t="str">
        <x:v>1.0.0</x:v>
      </x:c>
      <x:c r="AD525" s="10" t="str">
        <x:v>1.1.0</x:v>
      </x:c>
      <x:c r="AE525" s="10" t="str">
        <x:v>deepseek/deepseek-v4-pro</x:v>
      </x:c>
      <x:c r="AF525" s="10" t="str">
        <x:v>aj2-y90-20260714T234810-0bea2f52</x:v>
      </x:c>
      <x:c r="AG525" s="10" t="str">
        <x:v>full-0027</x:v>
      </x:c>
      <x:c r="AH525" s="10" t="str">
        <x:v>full</x:v>
      </x:c>
      <x:c r="AI525" s="10" t="n">
        <x:v>27</x:v>
      </x:c>
    </x:row>
    <x:row r="526" ht="34" customHeight="1">
      <x:c r="A526" s="16" t="str">
        <x:v>yoga flip flops women</x:v>
      </x:c>
      <x:c r="B526" s="16" t="str">
        <x:v>yoga flip flops women</x:v>
      </x:c>
      <x:c r="C526" s="13" t="str">
        <x:v>35749faf67a4ed5c</x:v>
      </x:c>
      <x:c r="D526" s="13" t="str">
        <x:v>keyword</x:v>
      </x:c>
      <x:c r="E526" s="13" t="str">
        <x:v>en</x:v>
      </x:c>
      <x:c r="F526" s="13" t="str">
        <x:v>clothing_shoes_jewelry</x:v>
      </x:c>
      <x:c r="G526" s="16" t="str">
        <x:v>sports_outdoors</x:v>
      </x:c>
      <x:c r="H526" s="16" t="str">
        <x:v>flip_flops</x:v>
      </x:c>
      <x:c r="I526" s="16" t="str">
        <x:v>women</x:v>
      </x:c>
      <x:c r="J526" s="16" t="str"/>
      <x:c r="K526" s="16" t="str"/>
      <x:c r="L526" s="16" t="str">
        <x:v>yoga</x:v>
      </x:c>
      <x:c r="M526" s="16" t="str"/>
      <x:c r="N526" s="16" t="str"/>
      <x:c r="O526" s="16" t="str"/>
      <x:c r="P526" s="16" t="str"/>
      <x:c r="Q526" s="16" t="str"/>
      <x:c r="R526" s="16" t="str">
        <x:v>女性用户寻找适合瑜伽场景使用的人字拖，可能在瑜伽前后穿着。</x:v>
      </x:c>
      <x:c r="S526" s="13" t="str">
        <x:v>consideration</x:v>
      </x:c>
      <x:c r="T526" s="16" t="str">
        <x:v>explicit | page_validated | inferred</x:v>
      </x:c>
      <x:c r="U526" s="13" t="str">
        <x:v>medium</x:v>
      </x:c>
      <x:c r="V526" s="16" t="str">
        <x:v>flip_flops_women_yoga</x:v>
      </x:c>
      <x:c r="W526" s="16" t="str">
        <x:v>listing_gap_review</x:v>
      </x:c>
      <x:c r="X526" s="16" t="str">
        <x:v>{"primary_domain":[{"value":"clothing_shoes_jewelry","evidence_type":"inferred","source_span":"","fact_ids":[],"rationale":"人字拖属于鞋类"}],"product_type":[{"value":"flip_flops","evidence_type":"explicit","source_span":"flip flops","fact_ids":[],"rationale":""},{"value":"flip_flops","evidence_type":"page_validated","source_span":"","fact_ids":["style_flip_flop"],"rationale":"产品为人字拖款式"}],"audience_intent":[{"value":"women","evidence_type":"explicit","source_span":"women","fact_ids":[],"rationale":""},{"value":"women","evidence_type":"page_validated","source_span":"","fact_ids":["title_womens_flip_flop"],"rationale":"产品定位女性"}],"event_intent":[{"value":"yoga","evidence_type":"explicit","source_span":"yoga","fact_ids":[],"rationale":""}],"secondary_domain":[{"value":"sports_outdoors","evidence_type":"inferred","source_span":"","fact_ids":[],"rationale":"该值由搜索词整体语义推断，未作为页面明示属性。"}]}</x:v>
      </x:c>
      <x:c r="Y526" s="16" t="str"/>
      <x:c r="Z526" s="13" t="str">
        <x:v>partial_match</x:v>
      </x:c>
      <x:c r="AA526" s="16" t="str">
        <x:v>title_womens_flip_flop | style_flip_flop</x:v>
      </x:c>
      <x:c r="AB526" s="13" t="str">
        <x:v>accepted</x:v>
      </x:c>
      <x:c r="AC526" s="13" t="str">
        <x:v>1.0.0</x:v>
      </x:c>
      <x:c r="AD526" s="13" t="str">
        <x:v>1.1.0</x:v>
      </x:c>
      <x:c r="AE526" s="13" t="str">
        <x:v>deepseek/deepseek-v4-pro</x:v>
      </x:c>
      <x:c r="AF526" s="13" t="str">
        <x:v>aj2-y90-20260714T234810-0bea2f52</x:v>
      </x:c>
      <x:c r="AG526" s="13" t="str">
        <x:v>full-0027</x:v>
      </x:c>
      <x:c r="AH526" s="13" t="str">
        <x:v>full</x:v>
      </x:c>
      <x:c r="AI526" s="13" t="n">
        <x:v>27</x:v>
      </x:c>
    </x:row>
    <x:row r="527" ht="34" customHeight="1">
      <x:c r="A527" s="15" t="str">
        <x:v>barely there minimalist flip flop</x:v>
      </x:c>
      <x:c r="B527" s="15" t="str">
        <x:v>barely there minimalist flip flop</x:v>
      </x:c>
      <x:c r="C527" s="10" t="str">
        <x:v>45e2814d324efb70</x:v>
      </x:c>
      <x:c r="D527" s="10" t="str">
        <x:v>keyword</x:v>
      </x:c>
      <x:c r="E527" s="10" t="str">
        <x:v>en</x:v>
      </x:c>
      <x:c r="F527" s="10" t="str">
        <x:v>clothing_shoes_jewelry</x:v>
      </x:c>
      <x:c r="G527" s="15" t="str"/>
      <x:c r="H527" s="15" t="str">
        <x:v>flip_flops</x:v>
      </x:c>
      <x:c r="I527" s="15" t="str"/>
      <x:c r="J527" s="15" t="str"/>
      <x:c r="K527" s="15" t="str">
        <x:v>minimalist | ultra_lightweight</x:v>
      </x:c>
      <x:c r="L527" s="15" t="str"/>
      <x:c r="M527" s="15" t="str"/>
      <x:c r="N527" s="15" t="str"/>
      <x:c r="O527" s="15" t="str"/>
      <x:c r="P527" s="15" t="str"/>
      <x:c r="Q527" s="15" t="str"/>
      <x:c r="R527" s="15" t="str">
        <x:v>用户寻找极简超薄设计的人字拖，追求近乎无感的轻盈穿着体验。</x:v>
      </x:c>
      <x:c r="S527" s="10" t="str">
        <x:v>consideration</x:v>
      </x:c>
      <x:c r="T527" s="15" t="str">
        <x:v>explicit | page_validated | inferred</x:v>
      </x:c>
      <x:c r="U527" s="10" t="str">
        <x:v>medium</x:v>
      </x:c>
      <x:c r="V527" s="15" t="str">
        <x:v>flip_flops_minimalist</x:v>
      </x:c>
      <x:c r="W527" s="15" t="str">
        <x:v>listing_gap_review</x:v>
      </x:c>
      <x:c r="X527" s="15" t="str">
        <x:v>{"primary_domain":[{"value":"clothing_shoes_jewelry","evidence_type":"inferred","source_span":"","fact_ids":[],"rationale":"人字拖属于鞋类"}],"product_type":[{"value":"flip_flops","evidence_type":"explicit","source_span":"flip flop","fact_ids":[],"rationale":""},{"value":"flip_flops","evidence_type":"page_validated","source_span":"","fact_ids":["style_flip_flop"],"rationale":"产品为人字拖"},{"value":"flip_flops","evidence_type":"inferred","source_span":"","fact_ids":[],"rationale":"该能力由搜索词表达的任务或问题推断；页面事实仅用于验证商品承接。"}],"capability_intent":[{"value":"minimalist","evidence_type":"explicit","source_span":"minimalist","fact_ids":[],"rationale":""},{"value":"ultra_lightweight","evidence_type":"explicit","source_span":"barely there","fact_ids":[],"rationale":""},{"value":"ultra_lightweight","evidence_type":"page_validated","source_span":"","fact_ids":["lightweight_breathable"],"rationale":"产品标注超轻"}]}</x:v>
      </x:c>
      <x:c r="Y527" s="15" t="str"/>
      <x:c r="Z527" s="10" t="str">
        <x:v>partial_match</x:v>
      </x:c>
      <x:c r="AA527" s="15" t="str">
        <x:v>style_flip_flop | lightweight_breathable | arch_support | padded_cushioning</x:v>
      </x:c>
      <x:c r="AB527" s="10" t="str">
        <x:v>accepted</x:v>
      </x:c>
      <x:c r="AC527" s="10" t="str">
        <x:v>1.0.0</x:v>
      </x:c>
      <x:c r="AD527" s="10" t="str">
        <x:v>1.1.0</x:v>
      </x:c>
      <x:c r="AE527" s="10" t="str">
        <x:v>deepseek/deepseek-v4-pro</x:v>
      </x:c>
      <x:c r="AF527" s="10" t="str">
        <x:v>aj2-y90-20260714T234810-0bea2f52</x:v>
      </x:c>
      <x:c r="AG527" s="10" t="str">
        <x:v>full-0027</x:v>
      </x:c>
      <x:c r="AH527" s="10" t="str">
        <x:v>full</x:v>
      </x:c>
      <x:c r="AI527" s="10" t="n">
        <x:v>27</x:v>
      </x:c>
    </x:row>
    <x:row r="528" ht="34" customHeight="1">
      <x:c r="A528" s="16" t="str">
        <x:v>womens cheap flip flops rubber</x:v>
      </x:c>
      <x:c r="B528" s="16" t="str">
        <x:v>womens cheap flip flops rubber</x:v>
      </x:c>
      <x:c r="C528" s="13" t="str">
        <x:v>52d41ee851dcc55c</x:v>
      </x:c>
      <x:c r="D528" s="13" t="str">
        <x:v>keyword</x:v>
      </x:c>
      <x:c r="E528" s="13" t="str">
        <x:v>en</x:v>
      </x:c>
      <x:c r="F528" s="13" t="str">
        <x:v>clothing_shoes_jewelry</x:v>
      </x:c>
      <x:c r="G528" s="16" t="str"/>
      <x:c r="H528" s="16" t="str">
        <x:v>flip_flops</x:v>
      </x:c>
      <x:c r="I528" s="16" t="str">
        <x:v>women</x:v>
      </x:c>
      <x:c r="J528" s="16" t="str"/>
      <x:c r="K528" s="16" t="str"/>
      <x:c r="L528" s="16" t="str"/>
      <x:c r="M528" s="16" t="str"/>
      <x:c r="N528" s="16" t="str"/>
      <x:c r="O528" s="16" t="str"/>
      <x:c r="P528" s="16" t="str"/>
      <x:c r="Q528" s="16" t="str"/>
      <x:c r="R528" s="16" t="str">
        <x:v>女性用户寻找价格实惠的橡胶材质人字拖。</x:v>
      </x:c>
      <x:c r="S528" s="13" t="str">
        <x:v>consideration</x:v>
      </x:c>
      <x:c r="T528" s="16" t="str">
        <x:v>explicit | page_validated | inferred</x:v>
      </x:c>
      <x:c r="U528" s="13" t="str">
        <x:v>high</x:v>
      </x:c>
      <x:c r="V528" s="16" t="str">
        <x:v>flip_flops_women_affordable</x:v>
      </x:c>
      <x:c r="W528" s="16" t="str">
        <x:v>listing_gap_review</x:v>
      </x:c>
      <x:c r="X528" s="16" t="str">
        <x:v>{"primary_domain":[{"value":"clothing_shoes_jewelry","evidence_type":"inferred","source_span":"","fact_ids":[],"rationale":"人字拖属于鞋类产品"}],"product_type":[{"value":"flip_flops","evidence_type":"explicit","source_span":"flip flops","fact_ids":[],"rationale":""},{"value":"flip_flops","evidence_type":"page_validated","source_span":"","fact_ids":["style_flip_flop"],"rationale":"产品页面确认款式"}],"audience_intent":[{"value":"women","evidence_type":"explicit","source_span":"womens","fact_ids":[],"rationale":""},{"value":"women","evidence_type":"page_validated","source_span":"","fact_ids":["title_womens_flip_flop"],"rationale":"产品标题定位为女性"}],"material":[{"value":"rubber","evidence_type":"explicit","source_span":"rubber","fact_ids":[],"rationale":""}]}</x:v>
      </x:c>
      <x:c r="Y528" s="16" t="str"/>
      <x:c r="Z528" s="13" t="str">
        <x:v>partial_match</x:v>
      </x:c>
      <x:c r="AA528" s="16" t="str">
        <x:v>title_womens_flip_flop | style_flip_flop | material_eva</x:v>
      </x:c>
      <x:c r="AB528" s="13" t="str">
        <x:v>accepted</x:v>
      </x:c>
      <x:c r="AC528" s="13" t="str">
        <x:v>1.0.0</x:v>
      </x:c>
      <x:c r="AD528" s="13" t="str">
        <x:v>1.1.0</x:v>
      </x:c>
      <x:c r="AE528" s="13" t="str">
        <x:v>deepseek/deepseek-v4-pro</x:v>
      </x:c>
      <x:c r="AF528" s="13" t="str">
        <x:v>aj2-y90-20260714T234810-0bea2f52</x:v>
      </x:c>
      <x:c r="AG528" s="13" t="str">
        <x:v>full-0027</x:v>
      </x:c>
      <x:c r="AH528" s="13" t="str">
        <x:v>full</x:v>
      </x:c>
      <x:c r="AI528" s="13" t="n">
        <x:v>27</x:v>
      </x:c>
    </x:row>
    <x:row r="529" ht="34" customHeight="1">
      <x:c r="A529" s="15" t="str">
        <x:v>t shape flip flops</x:v>
      </x:c>
      <x:c r="B529" s="15" t="str">
        <x:v>t shape flip flops</x:v>
      </x:c>
      <x:c r="C529" s="10" t="str">
        <x:v>600cca99bcdd319f</x:v>
      </x:c>
      <x:c r="D529" s="10" t="str">
        <x:v>keyword</x:v>
      </x:c>
      <x:c r="E529" s="10" t="str">
        <x:v>en</x:v>
      </x:c>
      <x:c r="F529" s="10" t="str">
        <x:v>clothing_shoes_jewelry</x:v>
      </x:c>
      <x:c r="G529" s="15" t="str"/>
      <x:c r="H529" s="15" t="str">
        <x:v>flip_flops</x:v>
      </x:c>
      <x:c r="I529" s="15" t="str"/>
      <x:c r="J529" s="15" t="str"/>
      <x:c r="K529" s="15" t="str">
        <x:v>t_shape_strap</x:v>
      </x:c>
      <x:c r="L529" s="15" t="str"/>
      <x:c r="M529" s="15" t="str"/>
      <x:c r="N529" s="15" t="str"/>
      <x:c r="O529" s="15" t="str"/>
      <x:c r="P529" s="15" t="str"/>
      <x:c r="Q529" s="15" t="str"/>
      <x:c r="R529" s="15" t="str">
        <x:v>用户寻找T型绑带设计的人字拖，追求特定的绑带结构样式。</x:v>
      </x:c>
      <x:c r="S529" s="10" t="str">
        <x:v>consideration</x:v>
      </x:c>
      <x:c r="T529" s="15" t="str">
        <x:v>explicit | page_validated | inferred</x:v>
      </x:c>
      <x:c r="U529" s="10" t="str">
        <x:v>medium</x:v>
      </x:c>
      <x:c r="V529" s="15" t="str">
        <x:v>flip_flops_t_strap</x:v>
      </x:c>
      <x:c r="W529" s="15" t="str">
        <x:v>listing_gap_review</x:v>
      </x:c>
      <x:c r="X529" s="15" t="str">
        <x:v>{"primary_domain":[{"value":"clothing_shoes_jewelry","evidence_type":"inferred","source_span":"","fact_ids":[],"rationale":"人字拖属于鞋类"}],"product_type":[{"value":"flip_flops","evidence_type":"explicit","source_span":"flip flops","fact_ids":[],"rationale":""},{"value":"flip_flops","evidence_type":"page_validated","source_span":"","fact_ids":["style_flip_flop"],"rationale":"产品为人字拖"}],"capability_intent":[{"value":"t_shape_strap","evidence_type":"explicit","source_span":"t shape","fact_ids":[],"rationale":""}]}</x:v>
      </x:c>
      <x:c r="Y529" s="15" t="str"/>
      <x:c r="Z529" s="10" t="str">
        <x:v>partial_match</x:v>
      </x:c>
      <x:c r="AA529" s="15" t="str">
        <x:v>style_flip_flop | style_thong</x:v>
      </x:c>
      <x:c r="AB529" s="10" t="str">
        <x:v>accepted</x:v>
      </x:c>
      <x:c r="AC529" s="10" t="str">
        <x:v>1.0.0</x:v>
      </x:c>
      <x:c r="AD529" s="10" t="str">
        <x:v>1.1.0</x:v>
      </x:c>
      <x:c r="AE529" s="10" t="str">
        <x:v>deepseek/deepseek-v4-pro</x:v>
      </x:c>
      <x:c r="AF529" s="10" t="str">
        <x:v>aj2-y90-20260714T234810-0bea2f52</x:v>
      </x:c>
      <x:c r="AG529" s="10" t="str">
        <x:v>full-0027</x:v>
      </x:c>
      <x:c r="AH529" s="10" t="str">
        <x:v>full</x:v>
      </x:c>
      <x:c r="AI529" s="10" t="n">
        <x:v>27</x:v>
      </x:c>
    </x:row>
    <x:row r="530" ht="34" customHeight="1">
      <x:c r="A530" s="16" t="str">
        <x:v>flip flops with fabric straps</x:v>
      </x:c>
      <x:c r="B530" s="16" t="str">
        <x:v>flip flops with fabric straps</x:v>
      </x:c>
      <x:c r="C530" s="13" t="str">
        <x:v>6642cf06ce16bca4</x:v>
      </x:c>
      <x:c r="D530" s="13" t="str">
        <x:v>keyword</x:v>
      </x:c>
      <x:c r="E530" s="13" t="str">
        <x:v>en</x:v>
      </x:c>
      <x:c r="F530" s="13" t="str">
        <x:v>clothing_shoes_jewelry</x:v>
      </x:c>
      <x:c r="G530" s="16" t="str"/>
      <x:c r="H530" s="16" t="str">
        <x:v>flip_flops</x:v>
      </x:c>
      <x:c r="I530" s="16" t="str"/>
      <x:c r="J530" s="16" t="str"/>
      <x:c r="K530" s="16" t="str">
        <x:v>fabric_straps</x:v>
      </x:c>
      <x:c r="L530" s="16" t="str"/>
      <x:c r="M530" s="16" t="str"/>
      <x:c r="N530" s="16" t="str"/>
      <x:c r="O530" s="16" t="str"/>
      <x:c r="P530" s="16" t="str"/>
      <x:c r="Q530" s="16" t="str"/>
      <x:c r="R530" s="16" t="str">
        <x:v>用户寻找带有织物绑带的人字拖，偏好柔软织物而非塑料绑带。</x:v>
      </x:c>
      <x:c r="S530" s="13" t="str">
        <x:v>consideration</x:v>
      </x:c>
      <x:c r="T530" s="16" t="str">
        <x:v>explicit | page_validated | inferred</x:v>
      </x:c>
      <x:c r="U530" s="13" t="str">
        <x:v>high</x:v>
      </x:c>
      <x:c r="V530" s="16" t="str">
        <x:v>flip_flops_fabric_straps</x:v>
      </x:c>
      <x:c r="W530" s="16" t="str">
        <x:v>semantic_negative_candidate</x:v>
      </x:c>
      <x:c r="X530" s="16" t="str">
        <x:v>{"primary_domain":[{"value":"clothing_shoes_jewelry","evidence_type":"inferred","source_span":"","fact_ids":[],"rationale":"人字拖属于鞋类"}],"product_type":[{"value":"flip_flops","evidence_type":"explicit","source_span":"flip flops","fact_ids":[],"rationale":""},{"value":"flip_flops","evidence_type":"page_validated","source_span":"","fact_ids":["style_flip_flop"],"rationale":"产品为EVA一体成型人字拖"}],"capability_intent":[{"value":"fabric_straps","evidence_type":"explicit","source_span":"fabric straps","fact_ids":[],"rationale":""}],"material":[{"value":"fabric","evidence_type":"explicit","source_span":"fabric","fact_ids":[],"rationale":""}]}</x:v>
      </x:c>
      <x:c r="Y530" s="16" t="str"/>
      <x:c r="Z530" s="13" t="str">
        <x:v>mismatch</x:v>
      </x:c>
      <x:c r="AA530" s="16" t="str">
        <x:v>style_flip_flop | style_thong | material_eva</x:v>
      </x:c>
      <x:c r="AB530" s="13" t="str">
        <x:v>accepted</x:v>
      </x:c>
      <x:c r="AC530" s="13" t="str">
        <x:v>1.0.0</x:v>
      </x:c>
      <x:c r="AD530" s="13" t="str">
        <x:v>1.1.0</x:v>
      </x:c>
      <x:c r="AE530" s="13" t="str">
        <x:v>deepseek/deepseek-v4-pro</x:v>
      </x:c>
      <x:c r="AF530" s="13" t="str">
        <x:v>aj2-y90-20260714T234810-0bea2f52</x:v>
      </x:c>
      <x:c r="AG530" s="13" t="str">
        <x:v>full-0027</x:v>
      </x:c>
      <x:c r="AH530" s="13" t="str">
        <x:v>full</x:v>
      </x:c>
      <x:c r="AI530" s="13" t="n">
        <x:v>27</x:v>
      </x:c>
    </x:row>
    <x:row r="531" ht="34" customHeight="1">
      <x:c r="A531" s="15" t="str">
        <x:v>cushioned waterproof flip flops for women</x:v>
      </x:c>
      <x:c r="B531" s="15" t="str">
        <x:v>cushioned waterproof flip flops for women</x:v>
      </x:c>
      <x:c r="C531" s="10" t="str">
        <x:v>95dc0a0768ef6699</x:v>
      </x:c>
      <x:c r="D531" s="10" t="str">
        <x:v>keyword</x:v>
      </x:c>
      <x:c r="E531" s="10" t="str">
        <x:v>en</x:v>
      </x:c>
      <x:c r="F531" s="10" t="str">
        <x:v>clothing_shoes_jewelry</x:v>
      </x:c>
      <x:c r="G531" s="15" t="str"/>
      <x:c r="H531" s="15" t="str">
        <x:v>flip_flops</x:v>
      </x:c>
      <x:c r="I531" s="15" t="str">
        <x:v>women</x:v>
      </x:c>
      <x:c r="J531" s="15" t="str"/>
      <x:c r="K531" s="15" t="str">
        <x:v>cushioned | waterproof</x:v>
      </x:c>
      <x:c r="L531" s="15" t="str"/>
      <x:c r="M531" s="15" t="str"/>
      <x:c r="N531" s="15" t="str"/>
      <x:c r="O531" s="15" t="str"/>
      <x:c r="P531" s="15" t="str"/>
      <x:c r="Q531" s="15" t="str"/>
      <x:c r="R531" s="15" t="str">
        <x:v>女性用户寻找具有缓震功能且防水的人字拖，适合潮湿环境使用。</x:v>
      </x:c>
      <x:c r="S531" s="10" t="str">
        <x:v>consideration</x:v>
      </x:c>
      <x:c r="T531" s="15" t="str">
        <x:v>explicit | page_validated | inferred</x:v>
      </x:c>
      <x:c r="U531" s="10" t="str">
        <x:v>high</x:v>
      </x:c>
      <x:c r="V531" s="15" t="str">
        <x:v>flip_flops_women_cushioned_waterproof</x:v>
      </x:c>
      <x:c r="W531" s="15" t="str">
        <x:v>listing_gap_review</x:v>
      </x:c>
      <x:c r="X531" s="15" t="str">
        <x:v>{"primary_domain":[{"value":"clothing_shoes_jewelry","evidence_type":"inferred","source_span":"","fact_ids":[],"rationale":"人字拖属于鞋类"}],"product_type":[{"value":"flip_flops","evidence_type":"explicit","source_span":"flip flops","fact_ids":[],"rationale":""},{"value":"flip_flops","evidence_type":"page_validated","source_span":"","fact_ids":["style_flip_flop"],"rationale":"产品确认为人字拖"}],"audience_intent":[{"value":"women","evidence_type":"explicit","source_span":"women","fact_ids":[],"rationale":""},{"value":"women","evidence_type":"page_validated","source_span":"","fact_ids":["title_womens_flip_flop"],"rationale":"产品为女性人字拖"}],"capability_intent":[{"value":"cushioned","evidence_type":"explicit","source_span":"cushioned","fact_ids":[],"rationale":""},{"value":"cushioned","evidence_type":"page_validated","source_span":"","fact_ids":["padded_cushioning"],"rationale":"产品标注有缓震填充"},{"value":"waterproof","evidence_type":"explicit","source_span":"waterproof","fact_ids":[],"rationale":""}]}</x:v>
      </x:c>
      <x:c r="Y531" s="15" t="str"/>
      <x:c r="Z531" s="10" t="str">
        <x:v>partial_match</x:v>
      </x:c>
      <x:c r="AA531" s="15" t="str">
        <x:v>title_womens_flip_flop | style_flip_flop | padded_cushioning</x:v>
      </x:c>
      <x:c r="AB531" s="10" t="str">
        <x:v>accepted</x:v>
      </x:c>
      <x:c r="AC531" s="10" t="str">
        <x:v>1.0.0</x:v>
      </x:c>
      <x:c r="AD531" s="10" t="str">
        <x:v>1.1.0</x:v>
      </x:c>
      <x:c r="AE531" s="10" t="str">
        <x:v>deepseek/deepseek-v4-pro</x:v>
      </x:c>
      <x:c r="AF531" s="10" t="str">
        <x:v>aj2-y90-20260714T234810-0bea2f52</x:v>
      </x:c>
      <x:c r="AG531" s="10" t="str">
        <x:v>full-0027</x:v>
      </x:c>
      <x:c r="AH531" s="10" t="str">
        <x:v>full</x:v>
      </x:c>
      <x:c r="AI531" s="10" t="n">
        <x:v>27</x:v>
      </x:c>
    </x:row>
    <x:row r="532" ht="34" customHeight="1">
      <x:c r="A532" s="16" t="str">
        <x:v>women's heavy duty thong sandals</x:v>
      </x:c>
      <x:c r="B532" s="16" t="str">
        <x:v>women's heavy duty thong sandals</x:v>
      </x:c>
      <x:c r="C532" s="13" t="str">
        <x:v>9902fd520008dfb9</x:v>
      </x:c>
      <x:c r="D532" s="13" t="str">
        <x:v>keyword</x:v>
      </x:c>
      <x:c r="E532" s="13" t="str">
        <x:v>en</x:v>
      </x:c>
      <x:c r="F532" s="13" t="str">
        <x:v>clothing_shoes_jewelry</x:v>
      </x:c>
      <x:c r="G532" s="16" t="str"/>
      <x:c r="H532" s="16" t="str">
        <x:v>flip_flops | sandals</x:v>
      </x:c>
      <x:c r="I532" s="16" t="str">
        <x:v>women</x:v>
      </x:c>
      <x:c r="J532" s="16" t="str"/>
      <x:c r="K532" s="16" t="str">
        <x:v>heavy_duty</x:v>
      </x:c>
      <x:c r="L532" s="16" t="str"/>
      <x:c r="M532" s="16" t="str"/>
      <x:c r="N532" s="16" t="str"/>
      <x:c r="O532" s="16" t="str"/>
      <x:c r="P532" s="16" t="str"/>
      <x:c r="Q532" s="16" t="str"/>
      <x:c r="R532" s="16" t="str">
        <x:v>女性用户寻找结实耐用的重型夹脚凉鞋，需要经久耐磨的材质。</x:v>
      </x:c>
      <x:c r="S532" s="13" t="str">
        <x:v>consideration</x:v>
      </x:c>
      <x:c r="T532" s="16" t="str">
        <x:v>explicit | page_validated | inferred</x:v>
      </x:c>
      <x:c r="U532" s="13" t="str">
        <x:v>medium</x:v>
      </x:c>
      <x:c r="V532" s="16" t="str">
        <x:v>thong_sandals_women_heavy_duty</x:v>
      </x:c>
      <x:c r="W532" s="16" t="str">
        <x:v>listing_gap_review</x:v>
      </x:c>
      <x:c r="X532" s="16" t="str">
        <x:v>{"primary_domain":[{"value":"clothing_shoes_jewelry","evidence_type":"inferred","source_span":"","fact_ids":[],"rationale":"凉鞋属于鞋类"}],"product_type":[{"value":"flip_flops","evidence_type":"page_validated","source_span":"","fact_ids":["style_flip_flop","style_thong"],"rationale":"产品为夹脚人字拖"},{"value":"sandals","evidence_type":"explicit","source_span":"sandals","fact_ids":[],"rationale":""},{"value":"flip_flops","evidence_type":"inferred","source_span":"","fact_ids":[],"rationale":"该能力由搜索词表达的任务或问题推断；页面事实仅用于验证商品承接。"},{"value":"sandals","evidence_type":"page_validated","source_span":"","fact_ids":["title_womens_flip_flop"],"rationale":"该槽位与商品基准中的明示页面事实一致。"}],"audience_intent":[{"value":"women","evidence_type":"explicit","source_span":"women's","fact_ids":[],"rationale":""},{"value":"women","evidence_type":"page_validated","source_span":"","fact_ids":["title_womens_flip_flop"],"rationale":"产品为女性拖鞋"}],"capability_intent":[{"value":"heavy_duty","evidence_type":"explicit","source_span":"heavy duty","fact_ids":[],"rationale":""}]}</x:v>
      </x:c>
      <x:c r="Y532" s="16" t="str"/>
      <x:c r="Z532" s="13" t="str">
        <x:v>partial_match</x:v>
      </x:c>
      <x:c r="AA532" s="16" t="str">
        <x:v>title_womens_flip_flop | style_flip_flop | style_thong | material_eva</x:v>
      </x:c>
      <x:c r="AB532" s="13" t="str">
        <x:v>accepted</x:v>
      </x:c>
      <x:c r="AC532" s="13" t="str">
        <x:v>1.0.0</x:v>
      </x:c>
      <x:c r="AD532" s="13" t="str">
        <x:v>1.1.0</x:v>
      </x:c>
      <x:c r="AE532" s="13" t="str">
        <x:v>deepseek/deepseek-v4-pro</x:v>
      </x:c>
      <x:c r="AF532" s="13" t="str">
        <x:v>aj2-y90-20260714T234810-0bea2f52</x:v>
      </x:c>
      <x:c r="AG532" s="13" t="str">
        <x:v>full-0027</x:v>
      </x:c>
      <x:c r="AH532" s="13" t="str">
        <x:v>full</x:v>
      </x:c>
      <x:c r="AI532" s="13" t="n">
        <x:v>27</x:v>
      </x:c>
    </x:row>
    <x:row r="533" ht="34" customHeight="1">
      <x:c r="A533" s="15" t="str">
        <x:v>red flip flops women</x:v>
      </x:c>
      <x:c r="B533" s="15" t="str">
        <x:v>red flip flops women</x:v>
      </x:c>
      <x:c r="C533" s="10" t="str">
        <x:v>aafbe5a3d7608c9e</x:v>
      </x:c>
      <x:c r="D533" s="10" t="str">
        <x:v>keyword</x:v>
      </x:c>
      <x:c r="E533" s="10" t="str">
        <x:v>en</x:v>
      </x:c>
      <x:c r="F533" s="10" t="str">
        <x:v>clothing_shoes_jewelry</x:v>
      </x:c>
      <x:c r="G533" s="15" t="str"/>
      <x:c r="H533" s="15" t="str">
        <x:v>flip_flops</x:v>
      </x:c>
      <x:c r="I533" s="15" t="str">
        <x:v>women</x:v>
      </x:c>
      <x:c r="J533" s="15" t="str"/>
      <x:c r="K533" s="15" t="str"/>
      <x:c r="L533" s="15" t="str"/>
      <x:c r="M533" s="15" t="str"/>
      <x:c r="N533" s="15" t="str"/>
      <x:c r="O533" s="15" t="str"/>
      <x:c r="P533" s="15" t="str"/>
      <x:c r="Q533" s="15" t="str"/>
      <x:c r="R533" s="15" t="str">
        <x:v>女性用户希望购买一双红色人字拖，用于日常户外穿着。</x:v>
      </x:c>
      <x:c r="S533" s="10" t="str">
        <x:v>consideration</x:v>
      </x:c>
      <x:c r="T533" s="15" t="str">
        <x:v>explicit | page_validated | inferred</x:v>
      </x:c>
      <x:c r="U533" s="10" t="str">
        <x:v>high</x:v>
      </x:c>
      <x:c r="V533" s="15" t="str">
        <x:v>flip_flops_women_color</x:v>
      </x:c>
      <x:c r="W533" s="15" t="str">
        <x:v>listing_gap_review</x:v>
      </x:c>
      <x:c r="X533" s="15" t="str">
        <x:v>{"primary_domain":[{"value":"clothing_shoes_jewelry","evidence_type":"inferred","source_span":"","fact_ids":[],"rationale":"人字拖属于鞋类服饰品类"}],"product_type":[{"value":"flip_flops","evidence_type":"explicit","source_span":"flip flops","fact_ids":[],"rationale":""},{"value":"flip_flops","evidence_type":"page_validated","source_span":"","fact_ids":["style_flip_flop"],"rationale":"产品页面确认为人字拖款式"}],"audience_intent":[{"value":"women","evidence_type":"explicit","source_span":"women","fact_ids":[],"rationale":""},{"value":"women","evidence_type":"page_validated","source_span":"","fact_ids":["title_womens_flip_flop"],"rationale":"产品标题定位为女性拖鞋"}],"color":[{"value":"red","evidence_type":"explicit","source_span":"red","fact_ids":[],"rationale":""}]}</x:v>
      </x:c>
      <x:c r="Y533" s="15" t="str"/>
      <x:c r="Z533" s="10" t="str">
        <x:v>partial_match</x:v>
      </x:c>
      <x:c r="AA533" s="15" t="str">
        <x:v>title_womens_flip_flop | style_flip_flop | colors_visible</x:v>
      </x:c>
      <x:c r="AB533" s="10" t="str">
        <x:v>accepted</x:v>
      </x:c>
      <x:c r="AC533" s="10" t="str">
        <x:v>1.0.0</x:v>
      </x:c>
      <x:c r="AD533" s="10" t="str">
        <x:v>1.1.0</x:v>
      </x:c>
      <x:c r="AE533" s="10" t="str">
        <x:v>deepseek/deepseek-v4-pro</x:v>
      </x:c>
      <x:c r="AF533" s="10" t="str">
        <x:v>aj2-y90-20260714T234810-0bea2f52</x:v>
      </x:c>
      <x:c r="AG533" s="10" t="str">
        <x:v>full-0027</x:v>
      </x:c>
      <x:c r="AH533" s="10" t="str">
        <x:v>full</x:v>
      </x:c>
      <x:c r="AI533" s="10" t="n">
        <x:v>27</x:v>
      </x:c>
    </x:row>
    <x:row r="534" ht="34" customHeight="1">
      <x:c r="A534" s="16" t="str">
        <x:v>summer flip flops</x:v>
      </x:c>
      <x:c r="B534" s="16" t="str">
        <x:v>summer flip flops</x:v>
      </x:c>
      <x:c r="C534" s="13" t="str">
        <x:v>b1b5b599a5c84164</x:v>
      </x:c>
      <x:c r="D534" s="13" t="str">
        <x:v>keyword</x:v>
      </x:c>
      <x:c r="E534" s="13" t="str">
        <x:v>en</x:v>
      </x:c>
      <x:c r="F534" s="13" t="str">
        <x:v>clothing_shoes_jewelry</x:v>
      </x:c>
      <x:c r="G534" s="16" t="str"/>
      <x:c r="H534" s="16" t="str">
        <x:v>flip_flops</x:v>
      </x:c>
      <x:c r="I534" s="16" t="str"/>
      <x:c r="J534" s="16" t="str"/>
      <x:c r="K534" s="16" t="str"/>
      <x:c r="L534" s="16" t="str"/>
      <x:c r="M534" s="16" t="str"/>
      <x:c r="N534" s="16" t="str"/>
      <x:c r="O534" s="16" t="str">
        <x:v>summer</x:v>
      </x:c>
      <x:c r="P534" s="16" t="str"/>
      <x:c r="Q534" s="16" t="str"/>
      <x:c r="R534" s="16" t="str">
        <x:v>用户寻找适合夏季穿着的人字拖，注重透气凉爽。</x:v>
      </x:c>
      <x:c r="S534" s="13" t="str">
        <x:v>exploration</x:v>
      </x:c>
      <x:c r="T534" s="16" t="str">
        <x:v>explicit | page_validated | inferred</x:v>
      </x:c>
      <x:c r="U534" s="13" t="str">
        <x:v>high</x:v>
      </x:c>
      <x:c r="V534" s="16" t="str">
        <x:v>flip_flops_summer</x:v>
      </x:c>
      <x:c r="W534" s="16" t="str">
        <x:v>cluster_route</x:v>
      </x:c>
      <x:c r="X534" s="16" t="str">
        <x:v>{"primary_domain":[{"value":"clothing_shoes_jewelry","evidence_type":"inferred","source_span":"","fact_ids":[],"rationale":"人字拖属于鞋类"}],"product_type":[{"value":"flip_flops","evidence_type":"explicit","source_span":"flip flops","fact_ids":[],"rationale":""},{"value":"flip_flops","evidence_type":"page_validated","source_span":"","fact_ids":["style_flip_flop"],"rationale":"产品为人字拖"}],"time_intent":[{"value":"summer","evidence_type":"explicit","source_span":"summer","fact_ids":[],"rationale":""},{"value":"summer","evidence_type":"page_validated","source_span":"","fact_ids":["lightweight_breathable","style_outdoor"],"rationale":"产品透气且适合户外夏季场景"}]}</x:v>
      </x:c>
      <x:c r="Y534" s="16" t="str"/>
      <x:c r="Z534" s="13" t="str">
        <x:v>match</x:v>
      </x:c>
      <x:c r="AA534" s="16" t="str">
        <x:v>style_flip_flop | lightweight_breathable | style_outdoor</x:v>
      </x:c>
      <x:c r="AB534" s="13" t="str">
        <x:v>accepted</x:v>
      </x:c>
      <x:c r="AC534" s="13" t="str">
        <x:v>1.0.0</x:v>
      </x:c>
      <x:c r="AD534" s="13" t="str">
        <x:v>1.1.0</x:v>
      </x:c>
      <x:c r="AE534" s="13" t="str">
        <x:v>deepseek/deepseek-v4-pro</x:v>
      </x:c>
      <x:c r="AF534" s="13" t="str">
        <x:v>aj2-y90-20260714T234810-0bea2f52</x:v>
      </x:c>
      <x:c r="AG534" s="13" t="str">
        <x:v>full-0027</x:v>
      </x:c>
      <x:c r="AH534" s="13" t="str">
        <x:v>full</x:v>
      </x:c>
      <x:c r="AI534" s="13" t="n">
        <x:v>27</x:v>
      </x:c>
    </x:row>
    <x:row r="535" ht="34" customHeight="1">
      <x:c r="A535" s="15" t="str">
        <x:v>tek gear bayou flip flops</x:v>
      </x:c>
      <x:c r="B535" s="15" t="str">
        <x:v>tek gear bayou flip flops</x:v>
      </x:c>
      <x:c r="C535" s="10" t="str">
        <x:v>c4575740fb7e0191</x:v>
      </x:c>
      <x:c r="D535" s="10" t="str">
        <x:v>keyword</x:v>
      </x:c>
      <x:c r="E535" s="10" t="str">
        <x:v>en</x:v>
      </x:c>
      <x:c r="F535" s="10" t="str">
        <x:v>clothing_shoes_jewelry</x:v>
      </x:c>
      <x:c r="G535" s="15" t="str"/>
      <x:c r="H535" s="15" t="str">
        <x:v>flip_flops</x:v>
      </x:c>
      <x:c r="I535" s="15" t="str"/>
      <x:c r="J535" s="15" t="str"/>
      <x:c r="K535" s="15" t="str"/>
      <x:c r="L535" s="15" t="str"/>
      <x:c r="M535" s="15" t="str"/>
      <x:c r="N535" s="15" t="str"/>
      <x:c r="O535" s="15" t="str"/>
      <x:c r="P535" s="15" t="str"/>
      <x:c r="Q535" s="15" t="str"/>
      <x:c r="R535" s="15" t="str">
        <x:v>用户明确搜索Tek Gear品牌的Bayou系列人字拖，与当前产品品牌不符。</x:v>
      </x:c>
      <x:c r="S535" s="10" t="str">
        <x:v>brand_harvest</x:v>
      </x:c>
      <x:c r="T535" s="15" t="str">
        <x:v>explicit | inferred</x:v>
      </x:c>
      <x:c r="U535" s="10" t="str">
        <x:v>high</x:v>
      </x:c>
      <x:c r="V535" s="15" t="str">
        <x:v>flip_flops_brand_tek_gear</x:v>
      </x:c>
      <x:c r="W535" s="15" t="str">
        <x:v>semantic_negative_candidate</x:v>
      </x:c>
      <x:c r="X535" s="15" t="str">
        <x:v>{"primary_domain":[{"value":"clothing_shoes_jewelry","evidence_type":"inferred","source_span":"","fact_ids":[],"rationale":"人字拖属于鞋类"}],"product_type":[{"value":"flip_flops","evidence_type":"explicit","source_span":"flip flops","fact_ids":[],"rationale":""},{"value":"flip_flops","evidence_type":"page_validated","source_span":"","fact_ids":["style_flip_flop"],"rationale":"该槽位与商品基准中的明示页面事实一致。"}],"brand":[{"value":"tek_gear","evidence_type":"explicit","source_span":"tek gear","fact_ids":[],"rationale":""}]}</x:v>
      </x:c>
      <x:c r="Y535" s="15" t="str"/>
      <x:c r="Z535" s="10" t="str">
        <x:v>mismatch</x:v>
      </x:c>
      <x:c r="AA535" s="15" t="str">
        <x:v>style_flip_flop</x:v>
      </x:c>
      <x:c r="AB535" s="10" t="str">
        <x:v>accepted</x:v>
      </x:c>
      <x:c r="AC535" s="10" t="str">
        <x:v>1.0.0</x:v>
      </x:c>
      <x:c r="AD535" s="10" t="str">
        <x:v>1.1.0</x:v>
      </x:c>
      <x:c r="AE535" s="10" t="str">
        <x:v>deepseek/deepseek-v4-pro</x:v>
      </x:c>
      <x:c r="AF535" s="10" t="str">
        <x:v>aj2-y90-20260714T234810-0bea2f52</x:v>
      </x:c>
      <x:c r="AG535" s="10" t="str">
        <x:v>full-0027</x:v>
      </x:c>
      <x:c r="AH535" s="10" t="str">
        <x:v>full</x:v>
      </x:c>
      <x:c r="AI535" s="10" t="n">
        <x:v>27</x:v>
      </x:c>
    </x:row>
    <x:row r="536" ht="34" customHeight="1">
      <x:c r="A536" s="16" t="str">
        <x:v>flip flips cream ivory</x:v>
      </x:c>
      <x:c r="B536" s="16" t="str">
        <x:v>flip flips cream ivory</x:v>
      </x:c>
      <x:c r="C536" s="13" t="str">
        <x:v>cb8931d3e9740fc8</x:v>
      </x:c>
      <x:c r="D536" s="13" t="str">
        <x:v>keyword</x:v>
      </x:c>
      <x:c r="E536" s="13" t="str">
        <x:v>en</x:v>
      </x:c>
      <x:c r="F536" s="13" t="str">
        <x:v>clothing_shoes_jewelry</x:v>
      </x:c>
      <x:c r="G536" s="16" t="str"/>
      <x:c r="H536" s="16" t="str">
        <x:v>flip_flops</x:v>
      </x:c>
      <x:c r="I536" s="16" t="str"/>
      <x:c r="J536" s="16" t="str"/>
      <x:c r="K536" s="16" t="str"/>
      <x:c r="L536" s="16" t="str"/>
      <x:c r="M536" s="16" t="str"/>
      <x:c r="N536" s="16" t="str"/>
      <x:c r="O536" s="16" t="str"/>
      <x:c r="P536" s="16" t="str"/>
      <x:c r="Q536" s="16" t="str"/>
      <x:c r="R536" s="16" t="str">
        <x:v>用户寻找奶油色或象牙白色的人字拖，偏好浅色中性色调。</x:v>
      </x:c>
      <x:c r="S536" s="13" t="str">
        <x:v>consideration</x:v>
      </x:c>
      <x:c r="T536" s="16" t="str">
        <x:v>explicit | page_validated | inferred</x:v>
      </x:c>
      <x:c r="U536" s="13" t="str">
        <x:v>medium</x:v>
      </x:c>
      <x:c r="V536" s="16" t="str">
        <x:v>flip_flops_neutral_light</x:v>
      </x:c>
      <x:c r="W536" s="16" t="str">
        <x:v>listing_gap_review</x:v>
      </x:c>
      <x:c r="X536" s="16" t="str">
        <x:v>{"primary_domain":[{"value":"clothing_shoes_jewelry","evidence_type":"inferred","source_span":"","fact_ids":[],"rationale":"拖鞋属于鞋类"}],"product_type":[{"value":"flip_flops","evidence_type":"page_validated","source_span":"","fact_ids":["style_flip_flop"],"rationale":"产品为人字拖"},{"value":"flip_flops","evidence_type":"inferred","source_span":"","fact_ids":[],"rationale":"该能力由搜索词表达的任务或问题推断；页面事实仅用于验证商品承接。"}],"color":[{"value":"cream_ivory","evidence_type":"explicit","source_span":"cream ivory","fact_ids":[],"rationale":""}]}</x:v>
      </x:c>
      <x:c r="Y536" s="16" t="str">
        <x:v>typo_flip_flips</x:v>
      </x:c>
      <x:c r="Z536" s="13" t="str">
        <x:v>partial_match</x:v>
      </x:c>
      <x:c r="AA536" s="16" t="str">
        <x:v>style_flip_flop | colors_visible</x:v>
      </x:c>
      <x:c r="AB536" s="13" t="str">
        <x:v>accepted</x:v>
      </x:c>
      <x:c r="AC536" s="13" t="str">
        <x:v>1.0.0</x:v>
      </x:c>
      <x:c r="AD536" s="13" t="str">
        <x:v>1.1.0</x:v>
      </x:c>
      <x:c r="AE536" s="13" t="str">
        <x:v>deepseek/deepseek-v4-pro</x:v>
      </x:c>
      <x:c r="AF536" s="13" t="str">
        <x:v>aj2-y90-20260714T234810-0bea2f52</x:v>
      </x:c>
      <x:c r="AG536" s="13" t="str">
        <x:v>full-0027</x:v>
      </x:c>
      <x:c r="AH536" s="13" t="str">
        <x:v>full</x:v>
      </x:c>
      <x:c r="AI536" s="13" t="n">
        <x:v>27</x:v>
      </x:c>
    </x:row>
    <x:row r="537" ht="34" customHeight="1">
      <x:c r="A537" s="15" t="str">
        <x:v>soda flip flops for women</x:v>
      </x:c>
      <x:c r="B537" s="15" t="str">
        <x:v>soda flip flops for women</x:v>
      </x:c>
      <x:c r="C537" s="10" t="str">
        <x:v>d740055550a25b8f</x:v>
      </x:c>
      <x:c r="D537" s="10" t="str">
        <x:v>keyword</x:v>
      </x:c>
      <x:c r="E537" s="10" t="str">
        <x:v>en</x:v>
      </x:c>
      <x:c r="F537" s="10" t="str">
        <x:v>clothing_shoes_jewelry</x:v>
      </x:c>
      <x:c r="G537" s="15" t="str"/>
      <x:c r="H537" s="15" t="str">
        <x:v>flip_flops</x:v>
      </x:c>
      <x:c r="I537" s="15" t="str">
        <x:v>women</x:v>
      </x:c>
      <x:c r="J537" s="15" t="str"/>
      <x:c r="K537" s="15" t="str"/>
      <x:c r="L537" s="15" t="str"/>
      <x:c r="M537" s="15" t="str"/>
      <x:c r="N537" s="15" t="str"/>
      <x:c r="O537" s="15" t="str"/>
      <x:c r="P537" s="15" t="str"/>
      <x:c r="Q537" s="15" t="str"/>
      <x:c r="R537" s="15" t="str">
        <x:v>用户搜索Soda品牌的女性人字拖，品牌与当前产品不符。</x:v>
      </x:c>
      <x:c r="S537" s="10" t="str">
        <x:v>brand_harvest</x:v>
      </x:c>
      <x:c r="T537" s="15" t="str">
        <x:v>explicit | inferred</x:v>
      </x:c>
      <x:c r="U537" s="10" t="str">
        <x:v>high</x:v>
      </x:c>
      <x:c r="V537" s="15" t="str">
        <x:v>flip_flops_brand_soda</x:v>
      </x:c>
      <x:c r="W537" s="15" t="str">
        <x:v>semantic_negative_candidate</x:v>
      </x:c>
      <x:c r="X537" s="15" t="str">
        <x:v>{"primary_domain":[{"value":"clothing_shoes_jewelry","evidence_type":"inferred","source_span":"","fact_ids":[],"rationale":"人字拖属于鞋类"}],"product_type":[{"value":"flip_flops","evidence_type":"explicit","source_span":"flip flops","fact_ids":[],"rationale":""},{"value":"flip_flops","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brand":[{"value":"soda","evidence_type":"explicit","source_span":"soda","fact_ids":[],"rationale":""}]}</x:v>
      </x:c>
      <x:c r="Y537" s="15" t="str"/>
      <x:c r="Z537" s="10" t="str">
        <x:v>mismatch</x:v>
      </x:c>
      <x:c r="AA537" s="15" t="str">
        <x:v>style_flip_flop</x:v>
      </x:c>
      <x:c r="AB537" s="10" t="str">
        <x:v>accepted</x:v>
      </x:c>
      <x:c r="AC537" s="10" t="str">
        <x:v>1.0.0</x:v>
      </x:c>
      <x:c r="AD537" s="10" t="str">
        <x:v>1.1.0</x:v>
      </x:c>
      <x:c r="AE537" s="10" t="str">
        <x:v>deepseek/deepseek-v4-pro</x:v>
      </x:c>
      <x:c r="AF537" s="10" t="str">
        <x:v>aj2-y90-20260714T234810-0bea2f52</x:v>
      </x:c>
      <x:c r="AG537" s="10" t="str">
        <x:v>full-0027</x:v>
      </x:c>
      <x:c r="AH537" s="10" t="str">
        <x:v>full</x:v>
      </x:c>
      <x:c r="AI537" s="10" t="n">
        <x:v>27</x:v>
      </x:c>
    </x:row>
    <x:row r="538" ht="34" customHeight="1">
      <x:c r="A538" s="16" t="str">
        <x:v>womens flip flops comfortable</x:v>
      </x:c>
      <x:c r="B538" s="16" t="str">
        <x:v>womens flip flops comfortable</x:v>
      </x:c>
      <x:c r="C538" s="13" t="str">
        <x:v>def97de8451bbc10</x:v>
      </x:c>
      <x:c r="D538" s="13" t="str">
        <x:v>keyword</x:v>
      </x:c>
      <x:c r="E538" s="13" t="str">
        <x:v>en</x:v>
      </x:c>
      <x:c r="F538" s="13" t="str">
        <x:v>clothing_shoes_jewelry</x:v>
      </x:c>
      <x:c r="G538" s="16" t="str"/>
      <x:c r="H538" s="16" t="str">
        <x:v>flip_flops</x:v>
      </x:c>
      <x:c r="I538" s="16" t="str">
        <x:v>women</x:v>
      </x:c>
      <x:c r="J538" s="16" t="str"/>
      <x:c r="K538" s="16" t="str">
        <x:v>comfortable</x:v>
      </x:c>
      <x:c r="L538" s="16" t="str"/>
      <x:c r="M538" s="16" t="str"/>
      <x:c r="N538" s="16" t="str"/>
      <x:c r="O538" s="16" t="str"/>
      <x:c r="P538" s="16" t="str"/>
      <x:c r="Q538" s="16" t="str"/>
      <x:c r="R538" s="16" t="str">
        <x:v>女性用户寻找穿着舒适的人字拖，注重全天候舒适体验。</x:v>
      </x:c>
      <x:c r="S538" s="13" t="str">
        <x:v>consideration</x:v>
      </x:c>
      <x:c r="T538" s="16" t="str">
        <x:v>explicit | page_validated | inferred</x:v>
      </x:c>
      <x:c r="U538" s="13" t="str">
        <x:v>high</x:v>
      </x:c>
      <x:c r="V538" s="16" t="str">
        <x:v>flip_flops_women_comfortable</x:v>
      </x:c>
      <x:c r="W538" s="16" t="str">
        <x:v>cluster_route</x:v>
      </x:c>
      <x:c r="X538" s="16" t="str">
        <x:v>{"primary_domain":[{"value":"clothing_shoes_jewelry","evidence_type":"inferred","source_span":"","fact_ids":[],"rationale":"人字拖属于鞋类"}],"product_type":[{"value":"flip_flops","evidence_type":"explicit","source_span":"flip flops","fact_ids":[],"rationale":""},{"value":"flip_flops","evidence_type":"page_validated","source_span":"","fact_ids":["style_flip_flop"],"rationale":"产品为人字拖"}],"audience_intent":[{"value":"women","evidence_type":"explicit","source_span":"womens","fact_ids":[],"rationale":""},{"value":"women","evidence_type":"page_validated","source_span":"","fact_ids":["title_womens_flip_flop"],"rationale":"产品为女性拖鞋"}],"capability_intent":[{"value":"comfortable","evidence_type":"explicit","source_span":"comfortable","fact_ids":[],"rationale":""},{"value":"comfortable","evidence_type":"page_validated","source_span":"","fact_ids":["arch_support","padded_cushioning","soft_toe_post"],"rationale":"产品具备足弓支撑和缓震填充确保全天舒适"}]}</x:v>
      </x:c>
      <x:c r="Y538" s="16" t="str"/>
      <x:c r="Z538" s="13" t="str">
        <x:v>match</x:v>
      </x:c>
      <x:c r="AA538" s="16" t="str">
        <x:v>title_womens_flip_flop | style_flip_flop | arch_support | padded_cushioning | soft_toe_post</x:v>
      </x:c>
      <x:c r="AB538" s="13" t="str">
        <x:v>accepted</x:v>
      </x:c>
      <x:c r="AC538" s="13" t="str">
        <x:v>1.0.0</x:v>
      </x:c>
      <x:c r="AD538" s="13" t="str">
        <x:v>1.1.0</x:v>
      </x:c>
      <x:c r="AE538" s="13" t="str">
        <x:v>deepseek/deepseek-v4-pro</x:v>
      </x:c>
      <x:c r="AF538" s="13" t="str">
        <x:v>aj2-y90-20260714T234810-0bea2f52</x:v>
      </x:c>
      <x:c r="AG538" s="13" t="str">
        <x:v>full-0027</x:v>
      </x:c>
      <x:c r="AH538" s="13" t="str">
        <x:v>full</x:v>
      </x:c>
      <x:c r="AI538" s="13" t="n">
        <x:v>27</x:v>
      </x:c>
    </x:row>
    <x:row r="539" ht="34" customHeight="1">
      <x:c r="A539" s="15" t="str">
        <x:v>womens flip flops for being at home</x:v>
      </x:c>
      <x:c r="B539" s="15" t="str">
        <x:v>womens flip flops for being at home</x:v>
      </x:c>
      <x:c r="C539" s="10" t="str">
        <x:v>e3dd4629489fce4a</x:v>
      </x:c>
      <x:c r="D539" s="10" t="str">
        <x:v>keyword</x:v>
      </x:c>
      <x:c r="E539" s="10" t="str">
        <x:v>en</x:v>
      </x:c>
      <x:c r="F539" s="10" t="str">
        <x:v>clothing_shoes_jewelry</x:v>
      </x:c>
      <x:c r="G539" s="15" t="str">
        <x:v>home_kitchen</x:v>
      </x:c>
      <x:c r="H539" s="15" t="str">
        <x:v>flip_flops</x:v>
      </x:c>
      <x:c r="I539" s="15" t="str">
        <x:v>women</x:v>
      </x:c>
      <x:c r="J539" s="15" t="str">
        <x:v>indoor_wear</x:v>
      </x:c>
      <x:c r="K539" s="15" t="str"/>
      <x:c r="L539" s="15" t="str"/>
      <x:c r="M539" s="15" t="str">
        <x:v>home</x:v>
      </x:c>
      <x:c r="N539" s="15" t="str"/>
      <x:c r="O539" s="15" t="str"/>
      <x:c r="P539" s="15" t="str"/>
      <x:c r="Q539" s="15" t="str"/>
      <x:c r="R539" s="15" t="str">
        <x:v>女性用户寻找适合在家中穿着的舒适人字拖，注重室内使用场景。</x:v>
      </x:c>
      <x:c r="S539" s="10" t="str">
        <x:v>consideration</x:v>
      </x:c>
      <x:c r="T539" s="15" t="str">
        <x:v>explicit | page_validated | inferred</x:v>
      </x:c>
      <x:c r="U539" s="10" t="str">
        <x:v>high</x:v>
      </x:c>
      <x:c r="V539" s="15" t="str">
        <x:v>flip_flops_women_indoor_home</x:v>
      </x:c>
      <x:c r="W539" s="15" t="str">
        <x:v>listing_gap_review</x:v>
      </x:c>
      <x:c r="X539" s="15" t="str">
        <x:v>{"primary_domain":[{"value":"clothing_shoes_jewelry","evidence_type":"inferred","source_span":"","fact_ids":[],"rationale":"拖鞋属于鞋类"}],"product_type":[{"value":"flip_flops","evidence_type":"explicit","source_span":"flip flops","fact_ids":[],"rationale":""},{"value":"flip_flops","evidence_type":"page_validated","source_span":"","fact_ids":["style_flip_flop"],"rationale":"产品页面确认为人字拖"}],"audience_intent":[{"value":"women","evidence_type":"explicit","source_span":"womens","fact_ids":[],"rationale":""},{"value":"women","evidence_type":"page_validated","source_span":"","fact_ids":["title_womens_flip_flop"],"rationale":"产品为女性拖鞋"}],"function_intent":[{"value":"indoor_wear","evidence_type":"inferred","source_span":"","fact_ids":[],"rationale":"at home表明室内穿着需求"}],"location_intent":[{"value":"home","evidence_type":"explicit","source_span":"at home","fact_ids":[],"rationale":""}],"secondary_domain":[{"value":"home_kitchen","evidence_type":"inferred","source_span":"","fact_ids":[],"rationale":"该值由搜索词整体语义推断，未作为页面明示属性。"}]}</x:v>
      </x:c>
      <x:c r="Y539" s="15" t="str"/>
      <x:c r="Z539" s="10" t="str">
        <x:v>partial_match</x:v>
      </x:c>
      <x:c r="AA539" s="15" t="str">
        <x:v>title_womens_flip_flop | style_flip_flop | style_outdoor</x:v>
      </x:c>
      <x:c r="AB539" s="10" t="str">
        <x:v>accepted</x:v>
      </x:c>
      <x:c r="AC539" s="10" t="str">
        <x:v>1.0.0</x:v>
      </x:c>
      <x:c r="AD539" s="10" t="str">
        <x:v>1.1.0</x:v>
      </x:c>
      <x:c r="AE539" s="10" t="str">
        <x:v>deepseek/deepseek-v4-pro</x:v>
      </x:c>
      <x:c r="AF539" s="10" t="str">
        <x:v>aj2-y90-20260714T234810-0bea2f52</x:v>
      </x:c>
      <x:c r="AG539" s="10" t="str">
        <x:v>full-0027</x:v>
      </x:c>
      <x:c r="AH539" s="10" t="str">
        <x:v>full</x:v>
      </x:c>
      <x:c r="AI539" s="10" t="n">
        <x:v>27</x:v>
      </x:c>
    </x:row>
    <x:row r="540" ht="34" customHeight="1">
      <x:c r="A540" s="16" t="str">
        <x:v>women's flip flop</x:v>
      </x:c>
      <x:c r="B540" s="16" t="str">
        <x:v>women's flip flop</x:v>
      </x:c>
      <x:c r="C540" s="13" t="str">
        <x:v>ee1620875b8a8c64</x:v>
      </x:c>
      <x:c r="D540" s="13" t="str">
        <x:v>keyword</x:v>
      </x:c>
      <x:c r="E540" s="13" t="str">
        <x:v>en</x:v>
      </x:c>
      <x:c r="F540" s="13" t="str">
        <x:v>clothing_shoes_jewelry</x:v>
      </x:c>
      <x:c r="G540" s="16" t="str"/>
      <x:c r="H540" s="16" t="str">
        <x:v>flip_flops</x:v>
      </x:c>
      <x:c r="I540" s="16" t="str">
        <x:v>women</x:v>
      </x:c>
      <x:c r="J540" s="16" t="str"/>
      <x:c r="K540" s="16" t="str"/>
      <x:c r="L540" s="16" t="str"/>
      <x:c r="M540" s="16" t="str"/>
      <x:c r="N540" s="16" t="str"/>
      <x:c r="O540" s="16" t="str"/>
      <x:c r="P540" s="16" t="str"/>
      <x:c r="Q540" s="16" t="str"/>
      <x:c r="R540" s="16" t="str">
        <x:v>女性用户寻找人字拖，无其他具体限制条件。</x:v>
      </x:c>
      <x:c r="S540" s="13" t="str">
        <x:v>exploration</x:v>
      </x:c>
      <x:c r="T540" s="16" t="str">
        <x:v>explicit | page_validated | inferred</x:v>
      </x:c>
      <x:c r="U540" s="13" t="str">
        <x:v>high</x:v>
      </x:c>
      <x:c r="V540" s="16" t="str">
        <x:v>flip_flops_women_generic</x:v>
      </x:c>
      <x:c r="W540" s="16" t="str">
        <x:v>cluster_route</x:v>
      </x:c>
      <x:c r="X540" s="16" t="str">
        <x:v>{"primary_domain":[{"value":"clothing_shoes_jewelry","evidence_type":"inferred","source_span":"","fact_ids":[],"rationale":"人字拖属于鞋类"}],"product_type":[{"value":"flip_flops","evidence_type":"explicit","source_span":"flip flop","fact_ids":[],"rationale":""},{"value":"flip_flops","evidence_type":"page_validated","source_span":"","fact_ids":["style_flip_flop"],"rationale":"产品确认为人字拖"},{"value":"flip_flops","evidence_type":"inferred","source_span":"","fact_ids":[],"rationale":"该能力由搜索词表达的任务或问题推断；页面事实仅用于验证商品承接。"}],"audience_intent":[{"value":"women","evidence_type":"explicit","source_span":"women's","fact_ids":[],"rationale":""},{"value":"women","evidence_type":"page_validated","source_span":"","fact_ids":["title_womens_flip_flop"],"rationale":"产品为女性拖鞋"}]}</x:v>
      </x:c>
      <x:c r="Y540" s="16" t="str"/>
      <x:c r="Z540" s="13" t="str">
        <x:v>match</x:v>
      </x:c>
      <x:c r="AA540" s="16" t="str">
        <x:v>title_womens_flip_flop | style_flip_flop</x:v>
      </x:c>
      <x:c r="AB540" s="13" t="str">
        <x:v>accepted</x:v>
      </x:c>
      <x:c r="AC540" s="13" t="str">
        <x:v>1.0.0</x:v>
      </x:c>
      <x:c r="AD540" s="13" t="str">
        <x:v>1.1.0</x:v>
      </x:c>
      <x:c r="AE540" s="13" t="str">
        <x:v>deepseek/deepseek-v4-pro</x:v>
      </x:c>
      <x:c r="AF540" s="13" t="str">
        <x:v>aj2-y90-20260714T234810-0bea2f52</x:v>
      </x:c>
      <x:c r="AG540" s="13" t="str">
        <x:v>full-0027</x:v>
      </x:c>
      <x:c r="AH540" s="13" t="str">
        <x:v>full</x:v>
      </x:c>
      <x:c r="AI540" s="13" t="n">
        <x:v>27</x:v>
      </x:c>
    </x:row>
    <x:row r="541" ht="34" customHeight="1">
      <x:c r="A541" s="15" t="str">
        <x:v>shevalues brown flip flops</x:v>
      </x:c>
      <x:c r="B541" s="15" t="str">
        <x:v>shevalues brown flip flops</x:v>
      </x:c>
      <x:c r="C541" s="10" t="str">
        <x:v>fe4533a3eb58ee03</x:v>
      </x:c>
      <x:c r="D541" s="10" t="str">
        <x:v>keyword</x:v>
      </x:c>
      <x:c r="E541" s="10" t="str">
        <x:v>en</x:v>
      </x:c>
      <x:c r="F541" s="10" t="str">
        <x:v>clothing_shoes_jewelry</x:v>
      </x:c>
      <x:c r="G541" s="15" t="str"/>
      <x:c r="H541" s="15" t="str">
        <x:v>flip_flops</x:v>
      </x:c>
      <x:c r="I541" s="15" t="str">
        <x:v>women</x:v>
      </x:c>
      <x:c r="J541" s="15" t="str"/>
      <x:c r="K541" s="15" t="str"/>
      <x:c r="L541" s="15" t="str"/>
      <x:c r="M541" s="15" t="str"/>
      <x:c r="N541" s="15" t="str"/>
      <x:c r="O541" s="15" t="str"/>
      <x:c r="P541" s="15" t="str"/>
      <x:c r="Q541" s="15" t="str"/>
      <x:c r="R541" s="15" t="str">
        <x:v>用户搜索Shevalues品牌的棕色人字拖，品牌与当前产品不符。</x:v>
      </x:c>
      <x:c r="S541" s="10" t="str">
        <x:v>brand_harvest</x:v>
      </x:c>
      <x:c r="T541" s="15" t="str">
        <x:v>explicit | inferred</x:v>
      </x:c>
      <x:c r="U541" s="10" t="str">
        <x:v>high</x:v>
      </x:c>
      <x:c r="V541" s="15" t="str">
        <x:v>flip_flops_brand_shevalues</x:v>
      </x:c>
      <x:c r="W541" s="15" t="str">
        <x:v>semantic_negative_candidate</x:v>
      </x:c>
      <x:c r="X541" s="15" t="str">
        <x:v>{"primary_domain":[{"value":"clothing_shoes_jewelry","evidence_type":"inferred","source_span":"","fact_ids":[],"rationale":"人字拖属于鞋类"}],"product_type":[{"value":"flip_flops","evidence_type":"explicit","source_span":"flip flops","fact_ids":[],"rationale":""},{"value":"flip_flops","evidence_type":"page_validated","source_span":"","fact_ids":["style_flip_flop"],"rationale":"该槽位与商品基准中的明示页面事实一致。"}],"audience_intent":[{"value":"women","evidence_type":"inferred","source_span":"","fact_ids":[],"rationale":"shevalues前缀she暗示女性受众"},{"value":"women","evidence_type":"page_validated","source_span":"","fact_ids":["title_womens_flip_flop"],"rationale":"该槽位与商品基准中的明示页面事实一致。"}],"brand":[{"value":"shevalues","evidence_type":"explicit","source_span":"shevalues","fact_ids":[],"rationale":""}],"color":[{"value":"brown","evidence_type":"explicit","source_span":"brown","fact_ids":[],"rationale":"该颜色在商品页面可见颜色选择中得到明确支持。"}]}</x:v>
      </x:c>
      <x:c r="Y541" s="15" t="str"/>
      <x:c r="Z541" s="10" t="str">
        <x:v>mismatch</x:v>
      </x:c>
      <x:c r="AA541" s="15" t="str">
        <x:v>style_flip_flop</x:v>
      </x:c>
      <x:c r="AB541" s="10" t="str">
        <x:v>accepted</x:v>
      </x:c>
      <x:c r="AC541" s="10" t="str">
        <x:v>1.0.0</x:v>
      </x:c>
      <x:c r="AD541" s="10" t="str">
        <x:v>1.1.0</x:v>
      </x:c>
      <x:c r="AE541" s="10" t="str">
        <x:v>deepseek/deepseek-v4-pro</x:v>
      </x:c>
      <x:c r="AF541" s="10" t="str">
        <x:v>aj2-y90-20260714T234810-0bea2f52</x:v>
      </x:c>
      <x:c r="AG541" s="10" t="str">
        <x:v>full-0027</x:v>
      </x:c>
      <x:c r="AH541" s="10" t="str">
        <x:v>full</x:v>
      </x:c>
      <x:c r="AI541" s="10" t="n">
        <x:v>27</x:v>
      </x:c>
    </x:row>
    <x:row r="542" ht="34" customHeight="1">
      <x:c r="A542" s="16" t="str">
        <x:v>orange flip flops for women size 11</x:v>
      </x:c>
      <x:c r="B542" s="16" t="str">
        <x:v>orange flip flops for women size 11</x:v>
      </x:c>
      <x:c r="C542" s="13" t="str">
        <x:v>0a906c6b2444c9b6</x:v>
      </x:c>
      <x:c r="D542" s="13" t="str">
        <x:v>keyword</x:v>
      </x:c>
      <x:c r="E542" s="13" t="str">
        <x:v>en</x:v>
      </x:c>
      <x:c r="F542" s="13" t="str">
        <x:v>clothing_shoes_jewelry</x:v>
      </x:c>
      <x:c r="G542" s="16" t="str"/>
      <x:c r="H542" s="16" t="str">
        <x:v>flip_flops</x:v>
      </x:c>
      <x:c r="I542" s="16" t="str">
        <x:v>women</x:v>
      </x:c>
      <x:c r="J542" s="16" t="str"/>
      <x:c r="K542" s="16" t="str"/>
      <x:c r="L542" s="16" t="str"/>
      <x:c r="M542" s="16" t="str"/>
      <x:c r="N542" s="16" t="str"/>
      <x:c r="O542" s="16" t="str"/>
      <x:c r="P542" s="16" t="str"/>
      <x:c r="Q542" s="16" t="str"/>
      <x:c r="R542" s="16" t="str">
        <x:v>一位女士想要橙色11码的夹脚拖鞋。</x:v>
      </x:c>
      <x:c r="S542" s="13" t="str">
        <x:v>high_intent</x:v>
      </x:c>
      <x:c r="T542" s="16" t="str">
        <x:v>explicit | page_validated | inferred</x:v>
      </x:c>
      <x:c r="U542" s="13" t="str">
        <x:v>medium</x:v>
      </x:c>
      <x:c r="V542" s="16" t="str">
        <x:v>womens_orange_flip_flops_size_11</x:v>
      </x:c>
      <x:c r="W542" s="16" t="str">
        <x:v>listing_gap_review</x:v>
      </x:c>
      <x:c r="X542" s="16" t="str">
        <x:v>{"product_type":[{"value":"flip_flops","evidence_type":"explicit","source_span":"flip flops","fact_ids":[],"rationale":"搜索词直接指定产品类型"},{"value":"flip_flops","evidence_type":"page_validated","source_span":"","fact_ids":["style_flip_flop"],"rationale":"该槽位与商品基准中的明示页面事实一致。"}],"audience_intent":[{"value":"women","evidence_type":"explicit","source_span":"women","fact_ids":[],"rationale":"搜索词明确女性受众"},{"value":"women","evidence_type":"page_validated","source_span":"","fact_ids":["title_womens_flip_flop"],"rationale":"该槽位与商品基准中的明示页面事实一致。"}],"color":[{"value":"orange","evidence_type":"explicit","source_span":"orange","fact_ids":[],"rationale":"橙色不在产品可见颜色选项中"}],"size":[{"value":"11","evidence_type":"explicit","source_span":"size 11","fact_ids":["sizes_6_11"],"rationale":"11码在可见尺码范围内"}],"primary_domain":[{"value":"clothing_shoes_jewelry","evidence_type":"inferred","source_span":"","fact_ids":[],"rationale":"该值由搜索词整体语义推断，未作为页面明示属性。"}]}</x:v>
      </x:c>
      <x:c r="Y542" s="16" t="str"/>
      <x:c r="Z542" s="13" t="str">
        <x:v>partial_match</x:v>
      </x:c>
      <x:c r="AA542" s="16" t="str">
        <x:v>title_womens_flip_flop | style_flip_flop | sizes_6_11</x:v>
      </x:c>
      <x:c r="AB542" s="13" t="str">
        <x:v>needs_review</x:v>
      </x:c>
      <x:c r="AC542" s="13" t="str">
        <x:v>1.0.0</x:v>
      </x:c>
      <x:c r="AD542" s="13" t="str">
        <x:v>1.0.0</x:v>
      </x:c>
      <x:c r="AE542" s="13" t="str">
        <x:v>deepseek/deepseek-v4-pro</x:v>
      </x:c>
      <x:c r="AF542" s="13" t="str">
        <x:v>aj2-y90-20260714T234810-0bea2f52</x:v>
      </x:c>
      <x:c r="AG542" s="13" t="str">
        <x:v>full-0028</x:v>
      </x:c>
      <x:c r="AH542" s="13" t="str">
        <x:v>full</x:v>
      </x:c>
      <x:c r="AI542" s="13" t="n">
        <x:v>28</x:v>
      </x:c>
    </x:row>
    <x:row r="543" ht="34" customHeight="1">
      <x:c r="A543" s="15" t="str">
        <x:v>arch support and plantar fasciitis sandals</x:v>
      </x:c>
      <x:c r="B543" s="15" t="str">
        <x:v>arch support and plantar fasciitis sandals</x:v>
      </x:c>
      <x:c r="C543" s="10" t="str">
        <x:v>0ae1220d7f148bbe</x:v>
      </x:c>
      <x:c r="D543" s="10" t="str">
        <x:v>keyword</x:v>
      </x:c>
      <x:c r="E543" s="10" t="str">
        <x:v>en</x:v>
      </x:c>
      <x:c r="F543" s="10" t="str">
        <x:v>clothing_shoes_jewelry</x:v>
      </x:c>
      <x:c r="G543" s="15" t="str">
        <x:v>health_household</x:v>
      </x:c>
      <x:c r="H543" s="15" t="str">
        <x:v>sandals</x:v>
      </x:c>
      <x:c r="I543" s="15" t="str"/>
      <x:c r="J543" s="15" t="str"/>
      <x:c r="K543" s="15" t="str">
        <x:v>arch_support</x:v>
      </x:c>
      <x:c r="L543" s="15" t="str"/>
      <x:c r="M543" s="15" t="str"/>
      <x:c r="N543" s="15" t="str">
        <x:v>plantar_fasciitis</x:v>
      </x:c>
      <x:c r="O543" s="15" t="str"/>
      <x:c r="P543" s="15" t="str"/>
      <x:c r="Q543" s="15" t="str"/>
      <x:c r="R543" s="15" t="str">
        <x:v>用户因足底筋膜炎需要具有足弓支撑的凉鞋来缓解疼痛。</x:v>
      </x:c>
      <x:c r="S543" s="10" t="str">
        <x:v>high_intent</x:v>
      </x:c>
      <x:c r="T543" s="15" t="str">
        <x:v>explicit | page_validated | inferred</x:v>
      </x:c>
      <x:c r="U543" s="10" t="str">
        <x:v>medium</x:v>
      </x:c>
      <x:c r="V543" s="15" t="str">
        <x:v>arch_support_plantar_fasciitis_sandals</x:v>
      </x:c>
      <x:c r="W543" s="15" t="str">
        <x:v>listing_gap_review</x:v>
      </x:c>
      <x:c r="X543" s="15" t="str">
        <x:v>{"product_type":[{"value":"sandals","evidence_type":"explicit","source_span":"sandals","fact_ids":[],"rationale":"搜索词指定凉鞋品类"},{"value":"sandals","evidence_type":"page_validated","source_span":"","fact_ids":["title_womens_flip_flop"],"rationale":"该槽位与商品基准中的明示页面事实一致。"}],"capability_intent":[{"value":"arch_support","evidence_type":"explicit","source_span":"arch support","fact_ids":["arch_support"],"rationale":"页面明确声明足弓支撑"},{"value":"arch_support","evidence_type":"page_validated","source_span":"","fact_ids":["arch_support"],"rationale":"该槽位与商品基准中的明示页面事实一致。"}],"body_need_intent":[{"value":"plantar_fasciitis","evidence_type":"explicit","source_span":"plantar fasciitis","fact_ids":[],"rationale":"产品页面未声明治疗足底筋膜炎"}],"secondary_domain":[{"value":"health_household","evidence_type":"inferred","source_span":"","fact_ids":[],"rationale":"该值由搜索词整体语义推断，未作为页面明示属性。"}],"primary_domain":[{"value":"clothing_shoes_jewelry","evidence_type":"inferred","source_span":"","fact_ids":[],"rationale":"该值由搜索词整体语义推断，未作为页面明示属性。"}]}</x:v>
      </x:c>
      <x:c r="Y543" s="15" t="str"/>
      <x:c r="Z543" s="10" t="str">
        <x:v>partial_match</x:v>
      </x:c>
      <x:c r="AA543" s="15" t="str">
        <x:v>arch_support</x:v>
      </x:c>
      <x:c r="AB543" s="10" t="str">
        <x:v>needs_review</x:v>
      </x:c>
      <x:c r="AC543" s="10" t="str">
        <x:v>1.0.0</x:v>
      </x:c>
      <x:c r="AD543" s="10" t="str">
        <x:v>1.0.0</x:v>
      </x:c>
      <x:c r="AE543" s="10" t="str">
        <x:v>deepseek/deepseek-v4-pro</x:v>
      </x:c>
      <x:c r="AF543" s="10" t="str">
        <x:v>aj2-y90-20260714T234810-0bea2f52</x:v>
      </x:c>
      <x:c r="AG543" s="10" t="str">
        <x:v>full-0028</x:v>
      </x:c>
      <x:c r="AH543" s="10" t="str">
        <x:v>full</x:v>
      </x:c>
      <x:c r="AI543" s="10" t="n">
        <x:v>28</x:v>
      </x:c>
    </x:row>
    <x:row r="544" ht="34" customHeight="1">
      <x:c r="A544" s="16" t="str">
        <x:v>arch support flipflops</x:v>
      </x:c>
      <x:c r="B544" s="16" t="str">
        <x:v>arch support flipflops</x:v>
      </x:c>
      <x:c r="C544" s="13" t="str">
        <x:v>0f0c6f0daf5b4925</x:v>
      </x:c>
      <x:c r="D544" s="13" t="str">
        <x:v>keyword</x:v>
      </x:c>
      <x:c r="E544" s="13" t="str">
        <x:v>en</x:v>
      </x:c>
      <x:c r="F544" s="13" t="str">
        <x:v>clothing_shoes_jewelry</x:v>
      </x:c>
      <x:c r="G544" s="16" t="str"/>
      <x:c r="H544" s="16" t="str">
        <x:v>flip_flops</x:v>
      </x:c>
      <x:c r="I544" s="16" t="str"/>
      <x:c r="J544" s="16" t="str"/>
      <x:c r="K544" s="16" t="str">
        <x:v>arch_support</x:v>
      </x:c>
      <x:c r="L544" s="16" t="str"/>
      <x:c r="M544" s="16" t="str"/>
      <x:c r="N544" s="16" t="str"/>
      <x:c r="O544" s="16" t="str"/>
      <x:c r="P544" s="16" t="str"/>
      <x:c r="Q544" s="16" t="str"/>
      <x:c r="R544" s="16" t="str">
        <x:v>用户需要具有足弓支撑功能的夹脚拖鞋。</x:v>
      </x:c>
      <x:c r="S544" s="13" t="str">
        <x:v>high_intent</x:v>
      </x:c>
      <x:c r="T544" s="16" t="str">
        <x:v>explicit | page_validated</x:v>
      </x:c>
      <x:c r="U544" s="13" t="str">
        <x:v>high</x:v>
      </x:c>
      <x:c r="V544" s="16" t="str">
        <x:v>arch_support_flip_flops</x:v>
      </x:c>
      <x:c r="W544" s="16" t="str">
        <x:v>cluster_route</x:v>
      </x:c>
      <x:c r="X544" s="16" t="str">
        <x:v>{"product_type":[{"value":"flip_flops","evidence_type":"explicit","source_span":"flipflops","fact_ids":[],"rationale":"flipflops即夹脚拖鞋的变体拼写"},{"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capability_intent":[{"value":"arch_support","evidence_type":"explicit","source_span":"arch support","fact_ids":["arch_support"],"rationale":"页面明确声明人体工学足弓支撑"},{"value":"arch_support","evidence_type":"page_validated","source_span":"","fact_ids":["arch_support"],"rationale":"该槽位与商品基准中的明示页面事实一致。"}],"primary_domain":[{"value":"clothing_shoes_jewelry","evidence_type":"inferred","source_span":"","fact_ids":[],"rationale":"该值由搜索词整体语义推断，未作为页面明示属性。"}]}</x:v>
      </x:c>
      <x:c r="Y544" s="16" t="str"/>
      <x:c r="Z544" s="13" t="str">
        <x:v>match</x:v>
      </x:c>
      <x:c r="AA544" s="16" t="str">
        <x:v>style_flip_flop | arch_support</x:v>
      </x:c>
      <x:c r="AB544" s="13" t="str">
        <x:v>accepted</x:v>
      </x:c>
      <x:c r="AC544" s="13" t="str">
        <x:v>1.0.0</x:v>
      </x:c>
      <x:c r="AD544" s="13" t="str">
        <x:v>1.0.0</x:v>
      </x:c>
      <x:c r="AE544" s="13" t="str">
        <x:v>deepseek/deepseek-v4-pro</x:v>
      </x:c>
      <x:c r="AF544" s="13" t="str">
        <x:v>aj2-y90-20260714T234810-0bea2f52</x:v>
      </x:c>
      <x:c r="AG544" s="13" t="str">
        <x:v>full-0028</x:v>
      </x:c>
      <x:c r="AH544" s="13" t="str">
        <x:v>full</x:v>
      </x:c>
      <x:c r="AI544" s="13" t="n">
        <x:v>28</x:v>
      </x:c>
    </x:row>
    <x:row r="545" ht="34" customHeight="1">
      <x:c r="A545" s="15" t="str">
        <x:v>camping flip flops women</x:v>
      </x:c>
      <x:c r="B545" s="15" t="str">
        <x:v>camping flip flops women</x:v>
      </x:c>
      <x:c r="C545" s="10" t="str">
        <x:v>1c5da97c6eadd44b</x:v>
      </x:c>
      <x:c r="D545" s="10" t="str">
        <x:v>keyword</x:v>
      </x:c>
      <x:c r="E545" s="10" t="str">
        <x:v>en</x:v>
      </x:c>
      <x:c r="F545" s="10" t="str">
        <x:v>clothing_shoes_jewelry</x:v>
      </x:c>
      <x:c r="G545" s="15" t="str">
        <x:v>sports_outdoors</x:v>
      </x:c>
      <x:c r="H545" s="15" t="str">
        <x:v>flip_flops</x:v>
      </x:c>
      <x:c r="I545" s="15" t="str">
        <x:v>women</x:v>
      </x:c>
      <x:c r="J545" s="15" t="str"/>
      <x:c r="K545" s="15" t="str"/>
      <x:c r="L545" s="15" t="str">
        <x:v>camping</x:v>
      </x:c>
      <x:c r="M545" s="15" t="str"/>
      <x:c r="N545" s="15" t="str"/>
      <x:c r="O545" s="15" t="str"/>
      <x:c r="P545" s="15" t="str"/>
      <x:c r="Q545" s="15" t="str"/>
      <x:c r="R545" s="15" t="str">
        <x:v>一位女士需要适合露营穿着的夹脚拖鞋。</x:v>
      </x:c>
      <x:c r="S545" s="10" t="str">
        <x:v>consideration</x:v>
      </x:c>
      <x:c r="T545" s="15" t="str">
        <x:v>explicit | page_validated | inferred</x:v>
      </x:c>
      <x:c r="U545" s="10" t="str">
        <x:v>medium</x:v>
      </x:c>
      <x:c r="V545" s="15" t="str">
        <x:v>womens_camping_flip_flops</x:v>
      </x:c>
      <x:c r="W545" s="15" t="str">
        <x:v>listing_gap_review</x:v>
      </x:c>
      <x:c r="X545" s="15" t="str">
        <x:v>{"product_type":[{"value":"flip_flops","evidence_type":"explicit","source_span":"flip flops","fact_ids":[],"rationale":"搜索词直接指定产品类型"},{"value":"flip_flops","evidence_type":"page_validated","source_span":"","fact_ids":["style_flip_flop"],"rationale":"该槽位与商品基准中的明示页面事实一致。"}],"audience_intent":[{"value":"women","evidence_type":"explicit","source_span":"women","fact_ids":[],"rationale":"搜索词明确女性用户"},{"value":"women","evidence_type":"page_validated","source_span":"","fact_ids":["title_womens_flip_flop"],"rationale":"该槽位与商品基准中的明示页面事实一致。"}],"event_intent":[{"value":"camping","evidence_type":"explicit","source_span":"camping","fact_ids":["style_outdoor"],"rationale":"露营场景，产品标注户外生活方式但无露营专用声明"}],"secondary_domain":[{"value":"sports_outdoors","evidence_type":"inferred","source_span":"","fact_ids":[],"rationale":"该值由搜索词整体语义推断，未作为页面明示属性。"}],"primary_domain":[{"value":"clothing_shoes_jewelry","evidence_type":"inferred","source_span":"","fact_ids":[],"rationale":"该值由搜索词整体语义推断，未作为页面明示属性。"}]}</x:v>
      </x:c>
      <x:c r="Y545" s="15" t="str"/>
      <x:c r="Z545" s="10" t="str">
        <x:v>partial_match</x:v>
      </x:c>
      <x:c r="AA545" s="15" t="str">
        <x:v>title_womens_flip_flop | style_flip_flop | style_outdoor</x:v>
      </x:c>
      <x:c r="AB545" s="10" t="str">
        <x:v>needs_review</x:v>
      </x:c>
      <x:c r="AC545" s="10" t="str">
        <x:v>1.0.0</x:v>
      </x:c>
      <x:c r="AD545" s="10" t="str">
        <x:v>1.0.0</x:v>
      </x:c>
      <x:c r="AE545" s="10" t="str">
        <x:v>deepseek/deepseek-v4-pro</x:v>
      </x:c>
      <x:c r="AF545" s="10" t="str">
        <x:v>aj2-y90-20260714T234810-0bea2f52</x:v>
      </x:c>
      <x:c r="AG545" s="10" t="str">
        <x:v>full-0028</x:v>
      </x:c>
      <x:c r="AH545" s="10" t="str">
        <x:v>full</x:v>
      </x:c>
      <x:c r="AI545" s="10" t="n">
        <x:v>28</x:v>
      </x:c>
    </x:row>
    <x:row r="546" ht="34" customHeight="1">
      <x:c r="A546" s="16" t="str">
        <x:v>flip flops square</x:v>
      </x:c>
      <x:c r="B546" s="16" t="str">
        <x:v>flip flops square</x:v>
      </x:c>
      <x:c r="C546" s="13" t="str">
        <x:v>33f6409bab218d5e</x:v>
      </x:c>
      <x:c r="D546" s="13" t="str">
        <x:v>keyword</x:v>
      </x:c>
      <x:c r="E546" s="13" t="str">
        <x:v>en</x:v>
      </x:c>
      <x:c r="F546" s="13" t="str">
        <x:v>clothing_shoes_jewelry</x:v>
      </x:c>
      <x:c r="G546" s="16" t="str"/>
      <x:c r="H546" s="16" t="str">
        <x:v>flip_flops</x:v>
      </x:c>
      <x:c r="I546" s="16" t="str"/>
      <x:c r="J546" s="16" t="str"/>
      <x:c r="K546" s="16" t="str"/>
      <x:c r="L546" s="16" t="str"/>
      <x:c r="M546" s="16" t="str"/>
      <x:c r="N546" s="16" t="str"/>
      <x:c r="O546" s="16" t="str"/>
      <x:c r="P546" s="16" t="str"/>
      <x:c r="Q546" s="16" t="str"/>
      <x:c r="R546" s="16" t="str">
        <x:v>用户搜索方形相关的夹脚拖鞋，具体指代不明确。</x:v>
      </x:c>
      <x:c r="S546" s="13" t="str">
        <x:v>exploration</x:v>
      </x:c>
      <x:c r="T546" s="16" t="str">
        <x:v>explicit | inferred</x:v>
      </x:c>
      <x:c r="U546" s="13" t="str">
        <x:v>low</x:v>
      </x:c>
      <x:c r="V546" s="16" t="str">
        <x:v>square_flip_flops</x:v>
      </x:c>
      <x:c r="W546" s="16" t="str">
        <x:v>ambiguity_review</x:v>
      </x:c>
      <x:c r="X546" s="16" t="str">
        <x:v>{"product_type":[{"value":"flip_flops","evidence_type":"explicit","source_span":"flip flops","fact_ids":[],"rationale":"搜索词直接指定产品类型"},{"value":"flip_flops","evidence_type":"page_validated","source_span":"","fact_ids":["style_flip_flop"],"rationale":"该槽位与商品基准中的明示页面事实一致。"}],"primary_domain":[{"value":"clothing_shoes_jewelry","evidence_type":"inferred","source_span":"","fact_ids":[],"rationale":"该值由搜索词整体语义推断，未作为页面明示属性。"}]}</x:v>
      </x:c>
      <x:c r="Y546" s="16" t="str">
        <x:v>square含义不明确</x:v>
      </x:c>
      <x:c r="Z546" s="13" t="str">
        <x:v>unknown</x:v>
      </x:c>
      <x:c r="AA546" s="16" t="str"/>
      <x:c r="AB546" s="13" t="str">
        <x:v>needs_review</x:v>
      </x:c>
      <x:c r="AC546" s="13" t="str">
        <x:v>1.0.0</x:v>
      </x:c>
      <x:c r="AD546" s="13" t="str">
        <x:v>1.0.0</x:v>
      </x:c>
      <x:c r="AE546" s="13" t="str">
        <x:v>deepseek/deepseek-v4-pro</x:v>
      </x:c>
      <x:c r="AF546" s="13" t="str">
        <x:v>aj2-y90-20260714T234810-0bea2f52</x:v>
      </x:c>
      <x:c r="AG546" s="13" t="str">
        <x:v>full-0028</x:v>
      </x:c>
      <x:c r="AH546" s="13" t="str">
        <x:v>full</x:v>
      </x:c>
      <x:c r="AI546" s="13" t="n">
        <x:v>28</x:v>
      </x:c>
    </x:row>
    <x:row r="547" ht="34" customHeight="1">
      <x:c r="A547" s="15" t="str">
        <x:v>flip flops for fat feet women</x:v>
      </x:c>
      <x:c r="B547" s="15" t="str">
        <x:v>flip flops for fat feet women</x:v>
      </x:c>
      <x:c r="C547" s="10" t="str">
        <x:v>36d2d265c19fe9dc</x:v>
      </x:c>
      <x:c r="D547" s="10" t="str">
        <x:v>keyword</x:v>
      </x:c>
      <x:c r="E547" s="10" t="str">
        <x:v>en</x:v>
      </x:c>
      <x:c r="F547" s="10" t="str">
        <x:v>clothing_shoes_jewelry</x:v>
      </x:c>
      <x:c r="G547" s="15" t="str"/>
      <x:c r="H547" s="15" t="str">
        <x:v>flip_flops</x:v>
      </x:c>
      <x:c r="I547" s="15" t="str">
        <x:v>women</x:v>
      </x:c>
      <x:c r="J547" s="15" t="str"/>
      <x:c r="K547" s="15" t="str"/>
      <x:c r="L547" s="15" t="str"/>
      <x:c r="M547" s="15" t="str"/>
      <x:c r="N547" s="15" t="str">
        <x:v>wide_feet</x:v>
      </x:c>
      <x:c r="O547" s="15" t="str"/>
      <x:c r="P547" s="15" t="str"/>
      <x:c r="Q547" s="15" t="str"/>
      <x:c r="R547" s="15" t="str">
        <x:v>一位脚型偏宽的女士需要适合宽脚穿着的夹脚拖鞋。</x:v>
      </x:c>
      <x:c r="S547" s="10" t="str">
        <x:v>consideration</x:v>
      </x:c>
      <x:c r="T547" s="15" t="str">
        <x:v>explicit | page_validated | inferred</x:v>
      </x:c>
      <x:c r="U547" s="10" t="str">
        <x:v>medium</x:v>
      </x:c>
      <x:c r="V547" s="15" t="str">
        <x:v>womens_wide_feet_flip_flops</x:v>
      </x:c>
      <x:c r="W547" s="15" t="str">
        <x:v>listing_gap_review</x:v>
      </x:c>
      <x:c r="X547" s="15" t="str">
        <x:v>{"product_type":[{"value":"flip_flops","evidence_type":"explicit","source_span":"flip flops","fact_ids":[],"rationale":"搜索词直接指定产品类型"},{"value":"flip_flops","evidence_type":"page_validated","source_span":"","fact_ids":["style_flip_flop"],"rationale":"该槽位与商品基准中的明示页面事实一致。"}],"audience_intent":[{"value":"women","evidence_type":"explicit","source_span":"women","fact_ids":[],"rationale":"搜索词明确女性受众"},{"value":"women","evidence_type":"page_validated","source_span":"","fact_ids":["title_womens_flip_flop"],"rationale":"该槽位与商品基准中的明示页面事实一致。"}],"body_need_intent":[{"value":"wide_feet","evidence_type":"explicit","source_span":"fat feet","fact_ids":[],"rationale":"产品页面未声明宽脚适配设计"}],"primary_domain":[{"value":"clothing_shoes_jewelry","evidence_type":"inferred","source_span":"","fact_ids":[],"rationale":"该值由搜索词整体语义推断，未作为页面明示属性。"}]}</x:v>
      </x:c>
      <x:c r="Y547" s="15" t="str"/>
      <x:c r="Z547" s="10" t="str">
        <x:v>partial_match</x:v>
      </x:c>
      <x:c r="AA547" s="15" t="str">
        <x:v>title_womens_flip_flop | style_flip_flop</x:v>
      </x:c>
      <x:c r="AB547" s="10" t="str">
        <x:v>needs_review</x:v>
      </x:c>
      <x:c r="AC547" s="10" t="str">
        <x:v>1.0.0</x:v>
      </x:c>
      <x:c r="AD547" s="10" t="str">
        <x:v>1.0.0</x:v>
      </x:c>
      <x:c r="AE547" s="10" t="str">
        <x:v>deepseek/deepseek-v4-pro</x:v>
      </x:c>
      <x:c r="AF547" s="10" t="str">
        <x:v>aj2-y90-20260714T234810-0bea2f52</x:v>
      </x:c>
      <x:c r="AG547" s="10" t="str">
        <x:v>full-0028</x:v>
      </x:c>
      <x:c r="AH547" s="10" t="str">
        <x:v>full</x:v>
      </x:c>
      <x:c r="AI547" s="10" t="n">
        <x:v>28</x:v>
      </x:c>
    </x:row>
    <x:row r="548" ht="34" customHeight="1">
      <x:c r="A548" s="16" t="str">
        <x:v>cheap arch support flip flop for women</x:v>
      </x:c>
      <x:c r="B548" s="16" t="str">
        <x:v>cheap arch support flip flop for women</x:v>
      </x:c>
      <x:c r="C548" s="13" t="str">
        <x:v>390812d6d984f978</x:v>
      </x:c>
      <x:c r="D548" s="13" t="str">
        <x:v>keyword</x:v>
      </x:c>
      <x:c r="E548" s="13" t="str">
        <x:v>en</x:v>
      </x:c>
      <x:c r="F548" s="13" t="str">
        <x:v>clothing_shoes_jewelry</x:v>
      </x:c>
      <x:c r="G548" s="16" t="str"/>
      <x:c r="H548" s="16" t="str">
        <x:v>flip_flop</x:v>
      </x:c>
      <x:c r="I548" s="16" t="str">
        <x:v>women</x:v>
      </x:c>
      <x:c r="J548" s="16" t="str"/>
      <x:c r="K548" s="16" t="str">
        <x:v>arch_support</x:v>
      </x:c>
      <x:c r="L548" s="16" t="str"/>
      <x:c r="M548" s="16" t="str"/>
      <x:c r="N548" s="16" t="str"/>
      <x:c r="O548" s="16" t="str"/>
      <x:c r="P548" s="16" t="str"/>
      <x:c r="Q548" s="16" t="str"/>
      <x:c r="R548" s="16" t="str">
        <x:v>一位女士想要购买价格便宜且具有足弓支撑的夹脚拖鞋。</x:v>
      </x:c>
      <x:c r="S548" s="13" t="str">
        <x:v>high_intent</x:v>
      </x:c>
      <x:c r="T548" s="16" t="str">
        <x:v>explicit | page_validated | inferred</x:v>
      </x:c>
      <x:c r="U548" s="13" t="str">
        <x:v>medium</x:v>
      </x:c>
      <x:c r="V548" s="16" t="str">
        <x:v>womens_cheap_arch_support_flip_flops</x:v>
      </x:c>
      <x:c r="W548" s="16" t="str">
        <x:v>performance_observation</x:v>
      </x:c>
      <x:c r="X548" s="16" t="str">
        <x:v>{"product_type":[{"value":"flip_flop","evidence_type":"explicit","source_span":"flip flop","fact_ids":[],"rationale":"搜索词直接指定产品类型"},{"value":"flip_flop","evidence_type":"page_validated","source_span":"","fact_ids":["style_flip_flop"],"rationale":"该槽位与商品基准中的明示页面事实一致。"}],"audience_intent":[{"value":"women","evidence_type":"explicit","source_span":"women","fact_ids":[],"rationale":"搜索词明确女性受众"},{"value":"women","evidence_type":"page_validated","source_span":"","fact_ids":["title_womens_flip_flop"],"rationale":"该槽位与商品基准中的明示页面事实一致。"}],"capability_intent":[{"value":"arch_support","evidence_type":"explicit","source_span":"arch support","fact_ids":["arch_support"],"rationale":"页面声明足弓支撑"},{"value":"arch_support","evidence_type":"page_validated","source_span":"","fact_ids":["arch_support"],"rationale":"该槽位与商品基准中的明示页面事实一致。"}],"price":[{"value":"cheap","evidence_type":"explicit","source_span":"cheap","fact_ids":[],"rationale":"价格评估超出模型范围，需后续性能数据判断"}],"primary_domain":[{"value":"clothing_shoes_jewelry","evidence_type":"inferred","source_span":"","fact_ids":[],"rationale":"该值由搜索词整体语义推断，未作为页面明示属性。"}]}</x:v>
      </x:c>
      <x:c r="Y548" s="16" t="str"/>
      <x:c r="Z548" s="13" t="str">
        <x:v>match</x:v>
      </x:c>
      <x:c r="AA548" s="16" t="str">
        <x:v>title_womens_flip_flop | style_flip_flop | arch_support</x:v>
      </x:c>
      <x:c r="AB548" s="13" t="str">
        <x:v>needs_review</x:v>
      </x:c>
      <x:c r="AC548" s="13" t="str">
        <x:v>1.0.0</x:v>
      </x:c>
      <x:c r="AD548" s="13" t="str">
        <x:v>1.0.0</x:v>
      </x:c>
      <x:c r="AE548" s="13" t="str">
        <x:v>deepseek/deepseek-v4-pro</x:v>
      </x:c>
      <x:c r="AF548" s="13" t="str">
        <x:v>aj2-y90-20260714T234810-0bea2f52</x:v>
      </x:c>
      <x:c r="AG548" s="13" t="str">
        <x:v>full-0028</x:v>
      </x:c>
      <x:c r="AH548" s="13" t="str">
        <x:v>full</x:v>
      </x:c>
      <x:c r="AI548" s="13" t="n">
        <x:v>28</x:v>
      </x:c>
    </x:row>
    <x:row r="549" ht="34" customHeight="1">
      <x:c r="A549" s="15" t="str">
        <x:v>foam flip flop</x:v>
      </x:c>
      <x:c r="B549" s="15" t="str">
        <x:v>foam flip flop</x:v>
      </x:c>
      <x:c r="C549" s="10" t="str">
        <x:v>51ad382991f303a1</x:v>
      </x:c>
      <x:c r="D549" s="10" t="str">
        <x:v>keyword</x:v>
      </x:c>
      <x:c r="E549" s="10" t="str">
        <x:v>en</x:v>
      </x:c>
      <x:c r="F549" s="10" t="str">
        <x:v>clothing_shoes_jewelry</x:v>
      </x:c>
      <x:c r="G549" s="15" t="str"/>
      <x:c r="H549" s="15" t="str">
        <x:v>flip_flop</x:v>
      </x:c>
      <x:c r="I549" s="15" t="str"/>
      <x:c r="J549" s="15" t="str"/>
      <x:c r="K549" s="15" t="str"/>
      <x:c r="L549" s="15" t="str"/>
      <x:c r="M549" s="15" t="str"/>
      <x:c r="N549" s="15" t="str"/>
      <x:c r="O549" s="15" t="str"/>
      <x:c r="P549" s="15" t="str"/>
      <x:c r="Q549" s="15" t="str"/>
      <x:c r="R549" s="15" t="str">
        <x:v>用户需要泡沫材质的夹脚拖鞋。</x:v>
      </x:c>
      <x:c r="S549" s="10" t="str">
        <x:v>consideration</x:v>
      </x:c>
      <x:c r="T549" s="15" t="str">
        <x:v>explicit | page_validated | inferred</x:v>
      </x:c>
      <x:c r="U549" s="10" t="str">
        <x:v>high</x:v>
      </x:c>
      <x:c r="V549" s="15" t="str">
        <x:v>foam_flip_flops</x:v>
      </x:c>
      <x:c r="W549" s="15" t="str">
        <x:v>cluster_route</x:v>
      </x:c>
      <x:c r="X549" s="15" t="str">
        <x:v>{"product_type":[{"value":"flip_flop","evidence_type":"explicit","source_span":"flip flop","fact_ids":[],"rationale":"搜索词直接指定产品类型"},{"value":"flip_flop","evidence_type":"page_validated","source_span":"","fact_ids":["style_flip_flop"],"rationale":"该槽位与商品基准中的明示页面事实一致。"}],"material":[{"value":"foam","evidence_type":"explicit","source_span":"foam","fact_ids":["material_eva"],"rationale":"EVA材料为泡沫类材质，与foam一致"}],"primary_domain":[{"value":"clothing_shoes_jewelry","evidence_type":"inferred","source_span":"","fact_ids":[],"rationale":"该值由搜索词整体语义推断，未作为页面明示属性。"}]}</x:v>
      </x:c>
      <x:c r="Y549" s="15" t="str"/>
      <x:c r="Z549" s="10" t="str">
        <x:v>match</x:v>
      </x:c>
      <x:c r="AA549" s="15" t="str">
        <x:v>style_flip_flop | material_eva</x:v>
      </x:c>
      <x:c r="AB549" s="10" t="str">
        <x:v>accepted</x:v>
      </x:c>
      <x:c r="AC549" s="10" t="str">
        <x:v>1.0.0</x:v>
      </x:c>
      <x:c r="AD549" s="10" t="str">
        <x:v>1.0.0</x:v>
      </x:c>
      <x:c r="AE549" s="10" t="str">
        <x:v>deepseek/deepseek-v4-pro</x:v>
      </x:c>
      <x:c r="AF549" s="10" t="str">
        <x:v>aj2-y90-20260714T234810-0bea2f52</x:v>
      </x:c>
      <x:c r="AG549" s="10" t="str">
        <x:v>full-0028</x:v>
      </x:c>
      <x:c r="AH549" s="10" t="str">
        <x:v>full</x:v>
      </x:c>
      <x:c r="AI549" s="10" t="n">
        <x:v>28</x:v>
      </x:c>
    </x:row>
    <x:row r="550" ht="34" customHeight="1">
      <x:c r="A550" s="16" t="str">
        <x:v>flip flops arch support womens hot pink</x:v>
      </x:c>
      <x:c r="B550" s="16" t="str">
        <x:v>flip flops arch support womens hot pink</x:v>
      </x:c>
      <x:c r="C550" s="13" t="str">
        <x:v>5d7bcec0c53fdcc9</x:v>
      </x:c>
      <x:c r="D550" s="13" t="str">
        <x:v>keyword</x:v>
      </x:c>
      <x:c r="E550" s="13" t="str">
        <x:v>en</x:v>
      </x:c>
      <x:c r="F550" s="13" t="str">
        <x:v>clothing_shoes_jewelry</x:v>
      </x:c>
      <x:c r="G550" s="16" t="str"/>
      <x:c r="H550" s="16" t="str">
        <x:v>flip_flops</x:v>
      </x:c>
      <x:c r="I550" s="16" t="str">
        <x:v>women</x:v>
      </x:c>
      <x:c r="J550" s="16" t="str"/>
      <x:c r="K550" s="16" t="str">
        <x:v>arch_support</x:v>
      </x:c>
      <x:c r="L550" s="16" t="str"/>
      <x:c r="M550" s="16" t="str"/>
      <x:c r="N550" s="16" t="str"/>
      <x:c r="O550" s="16" t="str"/>
      <x:c r="P550" s="16" t="str"/>
      <x:c r="Q550" s="16" t="str"/>
      <x:c r="R550" s="16" t="str">
        <x:v>一位女士想要一双足弓支撑的热粉色夹脚拖鞋。</x:v>
      </x:c>
      <x:c r="S550" s="13" t="str">
        <x:v>high_intent</x:v>
      </x:c>
      <x:c r="T550" s="16" t="str">
        <x:v>explicit | page_validated</x:v>
      </x:c>
      <x:c r="U550" s="13" t="str">
        <x:v>high</x:v>
      </x:c>
      <x:c r="V550" s="16" t="str">
        <x:v>womens_arch_support_hot_pink_flip_flops</x:v>
      </x:c>
      <x:c r="W550" s="16" t="str">
        <x:v>cluster_route</x:v>
      </x:c>
      <x:c r="X550" s="16" t="str">
        <x:v>{"product_type":[{"value":"flip_flops","evidence_type":"explicit","source_span":"flip flops","fact_ids":[],"rationale":"搜索词直接指定产品类型"},{"value":"flip_flops","evidence_type":"page_validated","source_span":"","fact_ids":["style_flip_flop"],"rationale":"该槽位与商品基准中的明示页面事实一致。"}],"audience_intent":[{"value":"women","evidence_type":"explicit","source_span":"womens","fact_ids":[],"rationale":"搜索词明确女性受众"},{"value":"women","evidence_type":"page_validated","source_span":"","fact_ids":["title_womens_flip_flop"],"rationale":"该槽位与商品基准中的明示页面事实一致。"}],"capability_intent":[{"value":"arch_support","evidence_type":"explicit","source_span":"arch support","fact_ids":["arch_support"],"rationale":"页面明确声明足弓支撑"},{"value":"arch_support","evidence_type":"page_validated","source_span":"","fact_ids":["arch_support"],"rationale":"该槽位与商品基准中的明示页面事实一致。"}],"color":[{"value":"hot_pink","evidence_type":"explicit","source_span":"hot pink","fact_ids":[],"rationale":"这是搜索词中的颜色约束，但商品页面基准未确认该具体颜色。"}],"primary_domain":[{"value":"clothing_shoes_jewelry","evidence_type":"inferred","source_span":"","fact_ids":[],"rationale":"该值由搜索词整体语义推断，未作为页面明示属性。"}]}</x:v>
      </x:c>
      <x:c r="Y550" s="16" t="str"/>
      <x:c r="Z550" s="13" t="str">
        <x:v>match</x:v>
      </x:c>
      <x:c r="AA550" s="16" t="str">
        <x:v>title_womens_flip_flop | style_flip_flop | arch_support | colors_visible</x:v>
      </x:c>
      <x:c r="AB550" s="13" t="str">
        <x:v>accepted</x:v>
      </x:c>
      <x:c r="AC550" s="13" t="str">
        <x:v>1.0.0</x:v>
      </x:c>
      <x:c r="AD550" s="13" t="str">
        <x:v>1.0.0</x:v>
      </x:c>
      <x:c r="AE550" s="13" t="str">
        <x:v>deepseek/deepseek-v4-pro</x:v>
      </x:c>
      <x:c r="AF550" s="13" t="str">
        <x:v>aj2-y90-20260714T234810-0bea2f52</x:v>
      </x:c>
      <x:c r="AG550" s="13" t="str">
        <x:v>full-0028</x:v>
      </x:c>
      <x:c r="AH550" s="13" t="str">
        <x:v>full</x:v>
      </x:c>
      <x:c r="AI550" s="13" t="n">
        <x:v>28</x:v>
      </x:c>
    </x:row>
    <x:row r="551" ht="34" customHeight="1">
      <x:c r="A551" s="15" t="str">
        <x:v>orange flip flops</x:v>
      </x:c>
      <x:c r="B551" s="15" t="str">
        <x:v>orange flip flops</x:v>
      </x:c>
      <x:c r="C551" s="10" t="str">
        <x:v>6138bdd45f494ea8</x:v>
      </x:c>
      <x:c r="D551" s="10" t="str">
        <x:v>keyword</x:v>
      </x:c>
      <x:c r="E551" s="10" t="str">
        <x:v>en</x:v>
      </x:c>
      <x:c r="F551" s="10" t="str">
        <x:v>clothing_shoes_jewelry</x:v>
      </x:c>
      <x:c r="G551" s="15" t="str"/>
      <x:c r="H551" s="15" t="str">
        <x:v>flip_flops</x:v>
      </x:c>
      <x:c r="I551" s="15" t="str"/>
      <x:c r="J551" s="15" t="str"/>
      <x:c r="K551" s="15" t="str"/>
      <x:c r="L551" s="15" t="str"/>
      <x:c r="M551" s="15" t="str"/>
      <x:c r="N551" s="15" t="str"/>
      <x:c r="O551" s="15" t="str"/>
      <x:c r="P551" s="15" t="str"/>
      <x:c r="Q551" s="15" t="str"/>
      <x:c r="R551" s="15" t="str">
        <x:v>用户想购买橙色的夹脚拖鞋。</x:v>
      </x:c>
      <x:c r="S551" s="10" t="str">
        <x:v>consideration</x:v>
      </x:c>
      <x:c r="T551" s="15" t="str">
        <x:v>explicit | page_validated | inferred</x:v>
      </x:c>
      <x:c r="U551" s="10" t="str">
        <x:v>medium</x:v>
      </x:c>
      <x:c r="V551" s="15" t="str">
        <x:v>orange_flip_flops</x:v>
      </x:c>
      <x:c r="W551" s="15" t="str">
        <x:v>listing_gap_review</x:v>
      </x:c>
      <x:c r="X551" s="15" t="str">
        <x:v>{"product_type":[{"value":"flip_flops","evidence_type":"explicit","source_span":"flip flops","fact_ids":[],"rationale":"搜索词直接指定夹脚拖鞋"},{"value":"flip_flops","evidence_type":"page_validated","source_span":"","fact_ids":["style_flip_flop"],"rationale":"该槽位与商品基准中的明示页面事实一致。"}],"color":[{"value":"orange","evidence_type":"explicit","source_span":"orange","fact_ids":[],"rationale":"橙色不在产品可见颜色选项中"}],"primary_domain":[{"value":"clothing_shoes_jewelry","evidence_type":"inferred","source_span":"","fact_ids":[],"rationale":"该值由搜索词整体语义推断，未作为页面明示属性。"}]}</x:v>
      </x:c>
      <x:c r="Y551" s="15" t="str"/>
      <x:c r="Z551" s="10" t="str">
        <x:v>partial_match</x:v>
      </x:c>
      <x:c r="AA551" s="15" t="str">
        <x:v>style_flip_flop</x:v>
      </x:c>
      <x:c r="AB551" s="10" t="str">
        <x:v>needs_review</x:v>
      </x:c>
      <x:c r="AC551" s="10" t="str">
        <x:v>1.0.0</x:v>
      </x:c>
      <x:c r="AD551" s="10" t="str">
        <x:v>1.0.0</x:v>
      </x:c>
      <x:c r="AE551" s="10" t="str">
        <x:v>deepseek/deepseek-v4-pro</x:v>
      </x:c>
      <x:c r="AF551" s="10" t="str">
        <x:v>aj2-y90-20260714T234810-0bea2f52</x:v>
      </x:c>
      <x:c r="AG551" s="10" t="str">
        <x:v>full-0028</x:v>
      </x:c>
      <x:c r="AH551" s="10" t="str">
        <x:v>full</x:v>
      </x:c>
      <x:c r="AI551" s="10" t="n">
        <x:v>28</x:v>
      </x:c>
    </x:row>
    <x:row r="552" ht="34" customHeight="1">
      <x:c r="A552" s="16" t="str">
        <x:v>joomra women’s arch support flip flops</x:v>
      </x:c>
      <x:c r="B552" s="16" t="str">
        <x:v>joomra women’s arch support flip flops</x:v>
      </x:c>
      <x:c r="C552" s="13" t="str">
        <x:v>70c9ef0e6187c8e1</x:v>
      </x:c>
      <x:c r="D552" s="13" t="str">
        <x:v>keyword</x:v>
      </x:c>
      <x:c r="E552" s="13" t="str">
        <x:v>en</x:v>
      </x:c>
      <x:c r="F552" s="13" t="str">
        <x:v>clothing_shoes_jewelry</x:v>
      </x:c>
      <x:c r="G552" s="16" t="str"/>
      <x:c r="H552" s="16" t="str">
        <x:v>flip_flops</x:v>
      </x:c>
      <x:c r="I552" s="16" t="str">
        <x:v>women</x:v>
      </x:c>
      <x:c r="J552" s="16" t="str"/>
      <x:c r="K552" s="16" t="str">
        <x:v>arch_support</x:v>
      </x:c>
      <x:c r="L552" s="16" t="str"/>
      <x:c r="M552" s="16" t="str"/>
      <x:c r="N552" s="16" t="str"/>
      <x:c r="O552" s="16" t="str"/>
      <x:c r="P552" s="16" t="str"/>
      <x:c r="Q552" s="16" t="str"/>
      <x:c r="R552" s="16" t="str">
        <x:v>一位女士想要购买Joomra品牌的足弓支撑夹脚拖鞋。</x:v>
      </x:c>
      <x:c r="S552" s="13" t="str">
        <x:v>brand_harvest</x:v>
      </x:c>
      <x:c r="T552" s="16" t="str">
        <x:v>explicit | page_validated</x:v>
      </x:c>
      <x:c r="U552" s="13" t="str">
        <x:v>high</x:v>
      </x:c>
      <x:c r="V552" s="16" t="str">
        <x:v>joomra_womens_arch_support_flip_flops</x:v>
      </x:c>
      <x:c r="W552" s="16" t="str">
        <x:v>cluster_route</x:v>
      </x:c>
      <x:c r="X552" s="16" t="str">
        <x:v>{"product_type":[{"value":"flip_flops","evidence_type":"explicit","source_span":"flip flops","fact_ids":[],"rationale":"搜索词直接指定产品类型"},{"value":"flip_flops","evidence_type":"page_validated","source_span":"","fact_ids":["style_flip_flop"],"rationale":"该槽位与商品基准中的明示页面事实一致。"}],"audience_intent":[{"value":"women","evidence_type":"explicit","source_span":"women","fact_ids":[],"rationale":"搜索词明确女性受众"},{"value":"women","evidence_type":"page_validated","source_span":"","fact_ids":["title_womens_flip_flop"],"rationale":"该槽位与商品基准中的明示页面事实一致。"}],"capability_intent":[{"value":"arch_support","evidence_type":"explicit","source_span":"arch support","fact_ids":["arch_support"],"rationale":"搜索词要求足弓支撑"},{"value":"arch_support","evidence_type":"page_validated","source_span":"","fact_ids":["arch_support"],"rationale":"该槽位与商品基准中的明示页面事实一致。"}],"brand":[{"value":"joomra","evidence_type":"explicit","source_span":"joomra","fact_ids":[],"rationale":"搜索词明确包含品牌名称。"}],"primary_domain":[{"value":"clothing_shoes_jewelry","evidence_type":"inferred","source_span":"","fact_ids":[],"rationale":"该值由搜索词整体语义推断，未作为页面明示属性。"}]}</x:v>
      </x:c>
      <x:c r="Y552" s="16" t="str"/>
      <x:c r="Z552" s="13" t="str">
        <x:v>match</x:v>
      </x:c>
      <x:c r="AA552" s="16" t="str">
        <x:v>title_womens_flip_flop | style_flip_flop | arch_support | style_thong</x:v>
      </x:c>
      <x:c r="AB552" s="13" t="str">
        <x:v>accepted</x:v>
      </x:c>
      <x:c r="AC552" s="13" t="str">
        <x:v>1.0.0</x:v>
      </x:c>
      <x:c r="AD552" s="13" t="str">
        <x:v>1.0.0</x:v>
      </x:c>
      <x:c r="AE552" s="13" t="str">
        <x:v>deepseek/deepseek-v4-pro</x:v>
      </x:c>
      <x:c r="AF552" s="13" t="str">
        <x:v>aj2-y90-20260714T234810-0bea2f52</x:v>
      </x:c>
      <x:c r="AG552" s="13" t="str">
        <x:v>full-0028</x:v>
      </x:c>
      <x:c r="AH552" s="13" t="str">
        <x:v>full</x:v>
      </x:c>
      <x:c r="AI552" s="13" t="n">
        <x:v>28</x:v>
      </x:c>
    </x:row>
    <x:row r="553" ht="34" customHeight="1">
      <x:c r="A553" s="15" t="str">
        <x:v>ladies black flip flops size 9</x:v>
      </x:c>
      <x:c r="B553" s="15" t="str">
        <x:v>ladies black flip flops size 9</x:v>
      </x:c>
      <x:c r="C553" s="10" t="str">
        <x:v>736223067d8b1ebe</x:v>
      </x:c>
      <x:c r="D553" s="10" t="str">
        <x:v>keyword</x:v>
      </x:c>
      <x:c r="E553" s="10" t="str">
        <x:v>en</x:v>
      </x:c>
      <x:c r="F553" s="10" t="str">
        <x:v>clothing_shoes_jewelry</x:v>
      </x:c>
      <x:c r="G553" s="15" t="str"/>
      <x:c r="H553" s="15" t="str">
        <x:v>flip_flops</x:v>
      </x:c>
      <x:c r="I553" s="15" t="str">
        <x:v>women</x:v>
      </x:c>
      <x:c r="J553" s="15" t="str"/>
      <x:c r="K553" s="15" t="str"/>
      <x:c r="L553" s="15" t="str"/>
      <x:c r="M553" s="15" t="str"/>
      <x:c r="N553" s="15" t="str"/>
      <x:c r="O553" s="15" t="str"/>
      <x:c r="P553" s="15" t="str"/>
      <x:c r="Q553" s="15" t="str"/>
      <x:c r="R553" s="15" t="str">
        <x:v>一位女士需要一双黑色9码的夹脚拖鞋。</x:v>
      </x:c>
      <x:c r="S553" s="10" t="str">
        <x:v>high_intent</x:v>
      </x:c>
      <x:c r="T553" s="15" t="str">
        <x:v>explicit | page_validated</x:v>
      </x:c>
      <x:c r="U553" s="10" t="str">
        <x:v>high</x:v>
      </x:c>
      <x:c r="V553" s="15" t="str">
        <x:v>womens_black_flip_flops_size_9</x:v>
      </x:c>
      <x:c r="W553" s="15" t="str">
        <x:v>cluster_route</x:v>
      </x:c>
      <x:c r="X553" s="15" t="str">
        <x:v>{"product_type":[{"value":"flip_flops","evidence_type":"explicit","source_span":"flip flops","fact_ids":[],"rationale":"搜索词直接指定产品类型"},{"value":"flip_flops","evidence_type":"page_validated","source_span":"","fact_ids":["style_flip_flop"],"rationale":"该槽位与商品基准中的明示页面事实一致。"}],"audience_intent":[{"value":"women","evidence_type":"explicit","source_span":"ladies","fact_ids":[],"rationale":"ladies等同于女性受众"},{"value":"women","evidence_type":"page_validated","source_span":"","fact_ids":["title_womens_flip_flop"],"rationale":"该槽位与商品基准中的明示页面事实一致。"},{"value":"women","evidence_type":"inferred","source_span":"","fact_ids":[],"rationale":"该能力由搜索词表达的任务或问题推断；页面事实仅用于验证商品承接。"}],"color":[{"value":"black","evidence_type":"explicit","source_span":"black","fact_ids":["colors_visible"],"rationale":"该颜色在商品页面可见颜色选择中得到明确支持。"}],"size":[{"value":"9","evidence_type":"explicit","source_span":"size 9","fact_ids":["sizes_6_11"],"rationale":"9码在可见尺码范围内"}],"primary_domain":[{"value":"clothing_shoes_jewelry","evidence_type":"inferred","source_span":"","fact_ids":[],"rationale":"该值由搜索词整体语义推断，未作为页面明示属性。"}]}</x:v>
      </x:c>
      <x:c r="Y553" s="15" t="str"/>
      <x:c r="Z553" s="10" t="str">
        <x:v>match</x:v>
      </x:c>
      <x:c r="AA553" s="15" t="str">
        <x:v>title_womens_flip_flop | style_flip_flop | colors_visible | sizes_6_11</x:v>
      </x:c>
      <x:c r="AB553" s="10" t="str">
        <x:v>accepted</x:v>
      </x:c>
      <x:c r="AC553" s="10" t="str">
        <x:v>1.0.0</x:v>
      </x:c>
      <x:c r="AD553" s="10" t="str">
        <x:v>1.0.0</x:v>
      </x:c>
      <x:c r="AE553" s="10" t="str">
        <x:v>deepseek/deepseek-v4-pro</x:v>
      </x:c>
      <x:c r="AF553" s="10" t="str">
        <x:v>aj2-y90-20260714T234810-0bea2f52</x:v>
      </x:c>
      <x:c r="AG553" s="10" t="str">
        <x:v>full-0028</x:v>
      </x:c>
      <x:c r="AH553" s="10" t="str">
        <x:v>full</x:v>
      </x:c>
      <x:c r="AI553" s="10" t="n">
        <x:v>28</x:v>
      </x:c>
    </x:row>
    <x:row r="554" ht="34" customHeight="1">
      <x:c r="A554" s="16" t="str">
        <x:v>clog flip flops for women</x:v>
      </x:c>
      <x:c r="B554" s="16" t="str">
        <x:v>clog flip flops for women</x:v>
      </x:c>
      <x:c r="C554" s="13" t="str">
        <x:v>8cdfc66caf7416f6</x:v>
      </x:c>
      <x:c r="D554" s="13" t="str">
        <x:v>keyword</x:v>
      </x:c>
      <x:c r="E554" s="13" t="str">
        <x:v>en</x:v>
      </x:c>
      <x:c r="F554" s="13" t="str">
        <x:v>clothing_shoes_jewelry</x:v>
      </x:c>
      <x:c r="G554" s="16" t="str"/>
      <x:c r="H554" s="16" t="str">
        <x:v>clog | flip_flops</x:v>
      </x:c>
      <x:c r="I554" s="16" t="str">
        <x:v>women</x:v>
      </x:c>
      <x:c r="J554" s="16" t="str"/>
      <x:c r="K554" s="16" t="str"/>
      <x:c r="L554" s="16" t="str"/>
      <x:c r="M554" s="16" t="str"/>
      <x:c r="N554" s="16" t="str"/>
      <x:c r="O554" s="16" t="str"/>
      <x:c r="P554" s="16" t="str"/>
      <x:c r="Q554" s="16" t="str"/>
      <x:c r="R554" s="16" t="str">
        <x:v>一位女士想要木屐式夹脚拖鞋，但clog与flip flop为不同鞋型，需求存在冲突。</x:v>
      </x:c>
      <x:c r="S554" s="13" t="str">
        <x:v>consideration</x:v>
      </x:c>
      <x:c r="T554" s="16" t="str">
        <x:v>explicit | page_validated</x:v>
      </x:c>
      <x:c r="U554" s="13" t="str">
        <x:v>medium</x:v>
      </x:c>
      <x:c r="V554" s="16" t="str">
        <x:v>womens_clog_flip_flops</x:v>
      </x:c>
      <x:c r="W554" s="16" t="str">
        <x:v>semantic_negative_candidate</x:v>
      </x:c>
      <x:c r="X554" s="16" t="str">
        <x:v>{"product_type":[{"value":"flip_flops","evidence_type":"explicit","source_span":"flip flops","fact_ids":["style_flip_flop"],"rationale":"夹脚拖鞋有匹配"},{"value":"clog","evidence_type":"inferred","source_span":"","fact_ids":[],"rationale":"该值由搜索词整体语义推断，未作为页面明示属性。"},{"value":"flip_flops","evidence_type":"page_validated","source_span":"","fact_ids":["style_flip_flop"],"rationale":"该槽位与商品基准中的明示页面事实一致。"}],"audience_intent":[{"value":"women","evidence_type":"explicit","source_span":"women","fact_ids":[],"rationale":"搜索词明确女性受众"},{"value":"women","evidence_type":"page_validated","source_span":"","fact_ids":["title_womens_flip_flop"],"rationale":"该槽位与商品基准中的明示页面事实一致。"}],"primary_domain":[{"value":"clothing_shoes_jewelry","evidence_type":"inferred","source_span":"","fact_ids":[],"rationale":"该值由搜索词整体语义推断，未作为页面明示属性。"}]}</x:v>
      </x:c>
      <x:c r="Y554" s="16" t="str"/>
      <x:c r="Z554" s="13" t="str">
        <x:v>mismatch</x:v>
      </x:c>
      <x:c r="AA554" s="16" t="str">
        <x:v>style_flip_flop | style_thong | style_open_toe</x:v>
      </x:c>
      <x:c r="AB554" s="13" t="str">
        <x:v>needs_review</x:v>
      </x:c>
      <x:c r="AC554" s="13" t="str">
        <x:v>1.0.0</x:v>
      </x:c>
      <x:c r="AD554" s="13" t="str">
        <x:v>1.0.0</x:v>
      </x:c>
      <x:c r="AE554" s="13" t="str">
        <x:v>deepseek/deepseek-v4-pro</x:v>
      </x:c>
      <x:c r="AF554" s="13" t="str">
        <x:v>aj2-y90-20260714T234810-0bea2f52</x:v>
      </x:c>
      <x:c r="AG554" s="13" t="str">
        <x:v>full-0028</x:v>
      </x:c>
      <x:c r="AH554" s="13" t="str">
        <x:v>full</x:v>
      </x:c>
      <x:c r="AI554" s="13" t="n">
        <x:v>28</x:v>
      </x:c>
    </x:row>
    <x:row r="555" ht="34" customHeight="1">
      <x:c r="A555" s="15" t="str">
        <x:v>durable flip flops for women</x:v>
      </x:c>
      <x:c r="B555" s="15" t="str">
        <x:v>durable flip flops for women</x:v>
      </x:c>
      <x:c r="C555" s="10" t="str">
        <x:v>96dc7ef78c0c09f7</x:v>
      </x:c>
      <x:c r="D555" s="10" t="str">
        <x:v>keyword</x:v>
      </x:c>
      <x:c r="E555" s="10" t="str">
        <x:v>en</x:v>
      </x:c>
      <x:c r="F555" s="10" t="str">
        <x:v>clothing_shoes_jewelry</x:v>
      </x:c>
      <x:c r="G555" s="15" t="str"/>
      <x:c r="H555" s="15" t="str">
        <x:v>flip_flops</x:v>
      </x:c>
      <x:c r="I555" s="15" t="str">
        <x:v>women</x:v>
      </x:c>
      <x:c r="J555" s="15" t="str"/>
      <x:c r="K555" s="15" t="str">
        <x:v>durable</x:v>
      </x:c>
      <x:c r="L555" s="15" t="str"/>
      <x:c r="M555" s="15" t="str"/>
      <x:c r="N555" s="15" t="str"/>
      <x:c r="O555" s="15" t="str"/>
      <x:c r="P555" s="15" t="str"/>
      <x:c r="Q555" s="15" t="str"/>
      <x:c r="R555" s="15" t="str">
        <x:v>一位女士需要一双耐用的夹脚拖鞋，适合日常穿着。</x:v>
      </x:c>
      <x:c r="S555" s="10" t="str">
        <x:v>consideration</x:v>
      </x:c>
      <x:c r="T555" s="15" t="str">
        <x:v>explicit | page_validated | inferred</x:v>
      </x:c>
      <x:c r="U555" s="10" t="str">
        <x:v>medium</x:v>
      </x:c>
      <x:c r="V555" s="15" t="str">
        <x:v>womens_durable_flip_flops</x:v>
      </x:c>
      <x:c r="W555" s="15" t="str">
        <x:v>listing_gap_review</x:v>
      </x:c>
      <x:c r="X555" s="15" t="str">
        <x:v>{"product_type":[{"value":"flip_flops","evidence_type":"explicit","source_span":"flip flops","fact_ids":[],"rationale":"直接从搜索词中提取产品类型"},{"value":"flip_flops","evidence_type":"page_validated","source_span":"","fact_ids":["style_flip_flop"],"rationale":"该槽位与商品基准中的明示页面事实一致。"}],"audience_intent":[{"value":"women","evidence_type":"explicit","source_span":"women","fact_ids":[],"rationale":"搜索词明确指定女性用户"},{"value":"women","evidence_type":"page_validated","source_span":"","fact_ids":["title_womens_flip_flop"],"rationale":"该槽位与商品基准中的明示页面事实一致。"}],"capability_intent":[{"value":"durable","evidence_type":"explicit","source_span":"durable","fact_ids":[],"rationale":"搜索词要求耐用属性"}],"primary_domain":[{"value":"clothing_shoes_jewelry","evidence_type":"inferred","source_span":"","fact_ids":[],"rationale":"该值由搜索词整体语义推断，未作为页面明示属性。"}]}</x:v>
      </x:c>
      <x:c r="Y555" s="15" t="str"/>
      <x:c r="Z555" s="10" t="str">
        <x:v>partial_match</x:v>
      </x:c>
      <x:c r="AA555" s="15" t="str">
        <x:v>title_womens_flip_flop | style_flip_flop</x:v>
      </x:c>
      <x:c r="AB555" s="10" t="str">
        <x:v>needs_review</x:v>
      </x:c>
      <x:c r="AC555" s="10" t="str">
        <x:v>1.0.0</x:v>
      </x:c>
      <x:c r="AD555" s="10" t="str">
        <x:v>1.0.0</x:v>
      </x:c>
      <x:c r="AE555" s="10" t="str">
        <x:v>deepseek/deepseek-v4-pro</x:v>
      </x:c>
      <x:c r="AF555" s="10" t="str">
        <x:v>aj2-y90-20260714T234810-0bea2f52</x:v>
      </x:c>
      <x:c r="AG555" s="10" t="str">
        <x:v>full-0028</x:v>
      </x:c>
      <x:c r="AH555" s="10" t="str">
        <x:v>full</x:v>
      </x:c>
      <x:c r="AI555" s="10" t="n">
        <x:v>28</x:v>
      </x:c>
    </x:row>
    <x:row r="556" ht="34" customHeight="1">
      <x:c r="A556" s="16" t="str">
        <x:v>stq womens quick dry flip flops with yoga mat sole丨arch support thong sandals navy size 7</x:v>
      </x:c>
      <x:c r="B556" s="16" t="str">
        <x:v>stq womens quick dry flip flops with yoga mat sole丨arch support thong sandals navy size 7</x:v>
      </x:c>
      <x:c r="C556" s="13" t="str">
        <x:v>974da93b4d95d695</x:v>
      </x:c>
      <x:c r="D556" s="13" t="str">
        <x:v>keyword</x:v>
      </x:c>
      <x:c r="E556" s="13" t="str">
        <x:v>mixed</x:v>
      </x:c>
      <x:c r="F556" s="13" t="str">
        <x:v>clothing_shoes_jewelry</x:v>
      </x:c>
      <x:c r="G556" s="16" t="str"/>
      <x:c r="H556" s="16" t="str">
        <x:v>flip_flops | thong_sandals</x:v>
      </x:c>
      <x:c r="I556" s="16" t="str">
        <x:v>women</x:v>
      </x:c>
      <x:c r="J556" s="16" t="str"/>
      <x:c r="K556" s="16" t="str">
        <x:v>quick_dry | arch_support | yoga_mat_sole</x:v>
      </x:c>
      <x:c r="L556" s="16" t="str"/>
      <x:c r="M556" s="16" t="str"/>
      <x:c r="N556" s="16" t="str"/>
      <x:c r="O556" s="16" t="str"/>
      <x:c r="P556" s="16" t="str"/>
      <x:c r="Q556" s="16" t="str"/>
      <x:c r="R556" s="16" t="str">
        <x:v>一位女士想购买STQ品牌的快干瑜伽垫鞋底足弓支撑夹脚凉鞋，海军蓝色7码。</x:v>
      </x:c>
      <x:c r="S556" s="13" t="str">
        <x:v>brand_harvest</x:v>
      </x:c>
      <x:c r="T556" s="16" t="str">
        <x:v>explicit | page_validated | inferred</x:v>
      </x:c>
      <x:c r="U556" s="13" t="str">
        <x:v>medium</x:v>
      </x:c>
      <x:c r="V556" s="16" t="str">
        <x:v>stq_womens_quick_dry_arch_support_thong_sandals</x:v>
      </x:c>
      <x:c r="W556" s="16" t="str">
        <x:v>listing_gap_review</x:v>
      </x:c>
      <x:c r="X556" s="16" t="str">
        <x:v>{"product_type":[{"value":"thong_sandals","evidence_type":"explicit","source_span":"thong sandals","fact_ids":["style_thong"],"rationale":"页面验证为Thong款式"},{"value":"flip_flops","evidence_type":"page_validated","source_span":"","fact_ids":["style_flip_flop"],"rationale":"该槽位与商品基准中的明示页面事实一致。"},{"value":"thong_sandals","evidence_type":"page_validated","source_span":"","fact_ids":["style_thong","style_flip_flop"],"rationale":"该槽位与商品基准中的明示页面事实一致。"}],"audience_intent":[{"value":"women","evidence_type":"explicit","source_span":"womens","fact_ids":[],"rationale":"搜索词明确女性受众"},{"value":"women","evidence_type":"page_validated","source_span":"","fact_ids":["title_womens_flip_flop"],"rationale":"该槽位与商品基准中的明示页面事实一致。"}],"capability_intent":[{"value":"yoga_mat_sole","evidence_type":"explicit","source_span":"yoga mat sole","fact_ids":[],"rationale":"瑜伽垫鞋底不在产品页面描述中"},{"value":"quick_dry","evidence_type":"inferred","source_span":"","fact_ids":[],"rationale":"该值由搜索词整体语义推断，未作为页面明示属性。"},{"value":"arch_support","evidence_type":"page_validated","source_span":"","fact_ids":["arch_support"],"rationale":"该槽位与商品基准中的明示页面事实一致。"}],"brand":[{"value":"stq","evidence_type":"explicit","source_span":"stq","fact_ids":[],"rationale":"STQ为竞品品牌，非joomra"}],"color":[{"value":"navy","evidence_type":"explicit","source_span":"navy","fact_ids":[],"rationale":"海军蓝不在可见颜色选项中"}],"size":[{"value":"7","evidence_type":"explicit","source_span":"size 7","fact_ids":["sizes_6_11"],"rationale":"7码在可见尺码范围内"}],"primary_domain":[{"value":"clothing_shoes_jewelry","evidence_type":"inferred","source_span":"","fact_ids":[],"rationale":"该值由搜索词整体语义推断，未作为页面明示属性。"}]}</x:v>
      </x:c>
      <x:c r="Y556" s="16" t="str"/>
      <x:c r="Z556" s="13" t="str">
        <x:v>partial_match</x:v>
      </x:c>
      <x:c r="AA556" s="16" t="str">
        <x:v>arch_support | style_thong | style_flip_flop | sizes_6_11</x:v>
      </x:c>
      <x:c r="AB556" s="13" t="str">
        <x:v>needs_review</x:v>
      </x:c>
      <x:c r="AC556" s="13" t="str">
        <x:v>1.0.0</x:v>
      </x:c>
      <x:c r="AD556" s="13" t="str">
        <x:v>1.0.0</x:v>
      </x:c>
      <x:c r="AE556" s="13" t="str">
        <x:v>deepseek/deepseek-v4-pro</x:v>
      </x:c>
      <x:c r="AF556" s="13" t="str">
        <x:v>aj2-y90-20260714T234810-0bea2f52</x:v>
      </x:c>
      <x:c r="AG556" s="13" t="str">
        <x:v>full-0028</x:v>
      </x:c>
      <x:c r="AH556" s="13" t="str">
        <x:v>full</x:v>
      </x:c>
      <x:c r="AI556" s="13" t="n">
        <x:v>28</x:v>
      </x:c>
    </x:row>
    <x:row r="557" ht="34" customHeight="1">
      <x:c r="A557" s="15" t="str">
        <x:v>fuschia flip flops</x:v>
      </x:c>
      <x:c r="B557" s="15" t="str">
        <x:v>fuschia flip flops</x:v>
      </x:c>
      <x:c r="C557" s="10" t="str">
        <x:v>aa9fb76cce0f2aa0</x:v>
      </x:c>
      <x:c r="D557" s="10" t="str">
        <x:v>keyword</x:v>
      </x:c>
      <x:c r="E557" s="10" t="str">
        <x:v>en</x:v>
      </x:c>
      <x:c r="F557" s="10" t="str">
        <x:v>clothing_shoes_jewelry</x:v>
      </x:c>
      <x:c r="G557" s="15" t="str"/>
      <x:c r="H557" s="15" t="str">
        <x:v>flip_flops</x:v>
      </x:c>
      <x:c r="I557" s="15" t="str"/>
      <x:c r="J557" s="15" t="str"/>
      <x:c r="K557" s="15" t="str"/>
      <x:c r="L557" s="15" t="str"/>
      <x:c r="M557" s="15" t="str"/>
      <x:c r="N557" s="15" t="str"/>
      <x:c r="O557" s="15" t="str"/>
      <x:c r="P557" s="15" t="str"/>
      <x:c r="Q557" s="15" t="str"/>
      <x:c r="R557" s="15" t="str">
        <x:v>用户想要紫红色的夹脚拖鞋。</x:v>
      </x:c>
      <x:c r="S557" s="10" t="str">
        <x:v>consideration</x:v>
      </x:c>
      <x:c r="T557" s="15" t="str">
        <x:v>explicit | page_validated | inferred</x:v>
      </x:c>
      <x:c r="U557" s="10" t="str">
        <x:v>medium</x:v>
      </x:c>
      <x:c r="V557" s="15" t="str">
        <x:v>fuschia_flip_flops</x:v>
      </x:c>
      <x:c r="W557" s="15" t="str">
        <x:v>listing_gap_review</x:v>
      </x:c>
      <x:c r="X557" s="15" t="str">
        <x:v>{"product_type":[{"value":"flip_flops","evidence_type":"explicit","source_span":"flip flops","fact_ids":[],"rationale":"搜索词直接指定产品类型"},{"value":"flip_flops","evidence_type":"page_validated","source_span":"","fact_ids":["style_flip_flop"],"rationale":"该槽位与商品基准中的明示页面事实一致。"}],"color":[{"value":"fuschia","evidence_type":"explicit","source_span":"fuschia","fact_ids":[],"rationale":"紫红色不在可见颜色选项中，最接近为pink/mauve"}],"primary_domain":[{"value":"clothing_shoes_jewelry","evidence_type":"inferred","source_span":"","fact_ids":[],"rationale":"该值由搜索词整体语义推断，未作为页面明示属性。"}]}</x:v>
      </x:c>
      <x:c r="Y557" s="15" t="str"/>
      <x:c r="Z557" s="10" t="str">
        <x:v>partial_match</x:v>
      </x:c>
      <x:c r="AA557" s="15" t="str">
        <x:v>style_flip_flop</x:v>
      </x:c>
      <x:c r="AB557" s="10" t="str">
        <x:v>needs_review</x:v>
      </x:c>
      <x:c r="AC557" s="10" t="str">
        <x:v>1.0.0</x:v>
      </x:c>
      <x:c r="AD557" s="10" t="str">
        <x:v>1.0.0</x:v>
      </x:c>
      <x:c r="AE557" s="10" t="str">
        <x:v>deepseek/deepseek-v4-pro</x:v>
      </x:c>
      <x:c r="AF557" s="10" t="str">
        <x:v>aj2-y90-20260714T234810-0bea2f52</x:v>
      </x:c>
      <x:c r="AG557" s="10" t="str">
        <x:v>full-0028</x:v>
      </x:c>
      <x:c r="AH557" s="10" t="str">
        <x:v>full</x:v>
      </x:c>
      <x:c r="AI557" s="10" t="n">
        <x:v>28</x:v>
      </x:c>
    </x:row>
    <x:row r="558" ht="34" customHeight="1">
      <x:c r="A558" s="16" t="str">
        <x:v>arch support flip flops dark brown</x:v>
      </x:c>
      <x:c r="B558" s="16" t="str">
        <x:v>arch support flip flops dark brown</x:v>
      </x:c>
      <x:c r="C558" s="13" t="str">
        <x:v>bfe3df7fc2f10817</x:v>
      </x:c>
      <x:c r="D558" s="13" t="str">
        <x:v>keyword</x:v>
      </x:c>
      <x:c r="E558" s="13" t="str">
        <x:v>en</x:v>
      </x:c>
      <x:c r="F558" s="13" t="str">
        <x:v>clothing_shoes_jewelry</x:v>
      </x:c>
      <x:c r="G558" s="16" t="str"/>
      <x:c r="H558" s="16" t="str">
        <x:v>flip_flops</x:v>
      </x:c>
      <x:c r="I558" s="16" t="str"/>
      <x:c r="J558" s="16" t="str"/>
      <x:c r="K558" s="16" t="str">
        <x:v>arch_support</x:v>
      </x:c>
      <x:c r="L558" s="16" t="str"/>
      <x:c r="M558" s="16" t="str"/>
      <x:c r="N558" s="16" t="str"/>
      <x:c r="O558" s="16" t="str"/>
      <x:c r="P558" s="16" t="str"/>
      <x:c r="Q558" s="16" t="str"/>
      <x:c r="R558" s="16" t="str">
        <x:v>用户需要深棕色的足弓支撑夹脚拖鞋。</x:v>
      </x:c>
      <x:c r="S558" s="13" t="str">
        <x:v>high_intent</x:v>
      </x:c>
      <x:c r="T558" s="16" t="str">
        <x:v>explicit | page_validated</x:v>
      </x:c>
      <x:c r="U558" s="13" t="str">
        <x:v>high</x:v>
      </x:c>
      <x:c r="V558" s="16" t="str">
        <x:v>arch_support_dark_brown_flip_flops</x:v>
      </x:c>
      <x:c r="W558" s="16" t="str">
        <x:v>cluster_route</x:v>
      </x:c>
      <x:c r="X558" s="16" t="str">
        <x:v>{"product_type":[{"value":"flip_flops","evidence_type":"explicit","source_span":"flip flops","fact_ids":[],"rationale":"搜索词直接指定产品类型"},{"value":"flip_flops","evidence_type":"page_validated","source_span":"","fact_ids":["style_flip_flop"],"rationale":"该槽位与商品基准中的明示页面事实一致。"}],"capability_intent":[{"value":"arch_support","evidence_type":"explicit","source_span":"arch support","fact_ids":["arch_support"],"rationale":"页面明确声明足弓支撑"},{"value":"arch_support","evidence_type":"page_validated","source_span":"","fact_ids":["arch_support"],"rationale":"该槽位与商品基准中的明示页面事实一致。"}],"color":[{"value":"dark_brown","evidence_type":"explicit","source_span":"dark brown","fact_ids":[],"rationale":"这是搜索词中的颜色约束，但商品页面基准未确认该具体颜色。"}],"primary_domain":[{"value":"clothing_shoes_jewelry","evidence_type":"inferred","source_span":"","fact_ids":[],"rationale":"该值由搜索词整体语义推断，未作为页面明示属性。"}]}</x:v>
      </x:c>
      <x:c r="Y558" s="16" t="str"/>
      <x:c r="Z558" s="13" t="str">
        <x:v>match</x:v>
      </x:c>
      <x:c r="AA558" s="16" t="str">
        <x:v>style_flip_flop | arch_support | colors_visible</x:v>
      </x:c>
      <x:c r="AB558" s="13" t="str">
        <x:v>accepted</x:v>
      </x:c>
      <x:c r="AC558" s="13" t="str">
        <x:v>1.0.0</x:v>
      </x:c>
      <x:c r="AD558" s="13" t="str">
        <x:v>1.0.0</x:v>
      </x:c>
      <x:c r="AE558" s="13" t="str">
        <x:v>deepseek/deepseek-v4-pro</x:v>
      </x:c>
      <x:c r="AF558" s="13" t="str">
        <x:v>aj2-y90-20260714T234810-0bea2f52</x:v>
      </x:c>
      <x:c r="AG558" s="13" t="str">
        <x:v>full-0028</x:v>
      </x:c>
      <x:c r="AH558" s="13" t="str">
        <x:v>full</x:v>
      </x:c>
      <x:c r="AI558" s="13" t="n">
        <x:v>28</x:v>
      </x:c>
    </x:row>
    <x:row r="559" ht="34" customHeight="1">
      <x:c r="A559" s="15" t="str">
        <x:v>flogo flip flops women</x:v>
      </x:c>
      <x:c r="B559" s="15" t="str">
        <x:v>flogo flip flops women</x:v>
      </x:c>
      <x:c r="C559" s="10" t="str">
        <x:v>df4fcf2e3a5da712</x:v>
      </x:c>
      <x:c r="D559" s="10" t="str">
        <x:v>keyword</x:v>
      </x:c>
      <x:c r="E559" s="10" t="str">
        <x:v>en</x:v>
      </x:c>
      <x:c r="F559" s="10" t="str">
        <x:v>clothing_shoes_jewelry</x:v>
      </x:c>
      <x:c r="G559" s="15" t="str"/>
      <x:c r="H559" s="15" t="str">
        <x:v>flip_flops</x:v>
      </x:c>
      <x:c r="I559" s="15" t="str">
        <x:v>women</x:v>
      </x:c>
      <x:c r="J559" s="15" t="str"/>
      <x:c r="K559" s="15" t="str"/>
      <x:c r="L559" s="15" t="str"/>
      <x:c r="M559" s="15" t="str"/>
      <x:c r="N559" s="15" t="str"/>
      <x:c r="O559" s="15" t="str"/>
      <x:c r="P559" s="15" t="str"/>
      <x:c r="Q559" s="15" t="str"/>
      <x:c r="R559" s="15" t="str">
        <x:v>一位女士想要购买Flogo品牌的夹脚拖鞋。</x:v>
      </x:c>
      <x:c r="S559" s="10" t="str">
        <x:v>brand_harvest</x:v>
      </x:c>
      <x:c r="T559" s="15" t="str">
        <x:v>explicit | page_validated | inferred</x:v>
      </x:c>
      <x:c r="U559" s="10" t="str">
        <x:v>medium</x:v>
      </x:c>
      <x:c r="V559" s="15" t="str">
        <x:v>flogo_womens_flip_flops</x:v>
      </x:c>
      <x:c r="W559" s="15" t="str">
        <x:v>listing_gap_review</x:v>
      </x:c>
      <x:c r="X559" s="15" t="str">
        <x:v>{"product_type":[{"value":"flip_flops","evidence_type":"explicit","source_span":"flip flops","fact_ids":[],"rationale":"搜索词直接指定产品类型"},{"value":"flip_flops","evidence_type":"page_validated","source_span":"","fact_ids":["style_flip_flop"],"rationale":"该槽位与商品基准中的明示页面事实一致。"}],"audience_intent":[{"value":"women","evidence_type":"explicit","source_span":"women","fact_ids":[],"rationale":"搜索词明确女性受众"},{"value":"women","evidence_type":"page_validated","source_span":"","fact_ids":["title_womens_flip_flop"],"rationale":"该槽位与商品基准中的明示页面事实一致。"}],"brand":[{"value":"flogo","evidence_type":"explicit","source_span":"flogo","fact_ids":[],"rationale":"Flogo为竞品品牌，非joomra"}],"primary_domain":[{"value":"clothing_shoes_jewelry","evidence_type":"inferred","source_span":"","fact_ids":[],"rationale":"该值由搜索词整体语义推断，未作为页面明示属性。"}]}</x:v>
      </x:c>
      <x:c r="Y559" s="15" t="str"/>
      <x:c r="Z559" s="10" t="str">
        <x:v>partial_match</x:v>
      </x:c>
      <x:c r="AA559" s="15" t="str">
        <x:v>title_womens_flip_flop | style_flip_flop</x:v>
      </x:c>
      <x:c r="AB559" s="10" t="str">
        <x:v>needs_review</x:v>
      </x:c>
      <x:c r="AC559" s="10" t="str">
        <x:v>1.0.0</x:v>
      </x:c>
      <x:c r="AD559" s="10" t="str">
        <x:v>1.0.0</x:v>
      </x:c>
      <x:c r="AE559" s="10" t="str">
        <x:v>deepseek/deepseek-v4-pro</x:v>
      </x:c>
      <x:c r="AF559" s="10" t="str">
        <x:v>aj2-y90-20260714T234810-0bea2f52</x:v>
      </x:c>
      <x:c r="AG559" s="10" t="str">
        <x:v>full-0028</x:v>
      </x:c>
      <x:c r="AH559" s="10" t="str">
        <x:v>full</x:v>
      </x:c>
      <x:c r="AI559" s="10" t="n">
        <x:v>28</x:v>
      </x:c>
    </x:row>
    <x:row r="560" ht="34" customHeight="1">
      <x:c r="A560" s="16" t="str">
        <x:v>comfortable thong sandals for women</x:v>
      </x:c>
      <x:c r="B560" s="16" t="str">
        <x:v>comfortable thong sandals for women</x:v>
      </x:c>
      <x:c r="C560" s="13" t="str">
        <x:v>df52b36f3c227cb4</x:v>
      </x:c>
      <x:c r="D560" s="13" t="str">
        <x:v>keyword</x:v>
      </x:c>
      <x:c r="E560" s="13" t="str">
        <x:v>en</x:v>
      </x:c>
      <x:c r="F560" s="13" t="str">
        <x:v>clothing_shoes_jewelry</x:v>
      </x:c>
      <x:c r="G560" s="16" t="str"/>
      <x:c r="H560" s="16" t="str">
        <x:v>thong_sandals</x:v>
      </x:c>
      <x:c r="I560" s="16" t="str">
        <x:v>women</x:v>
      </x:c>
      <x:c r="J560" s="16" t="str">
        <x:v>comfort</x:v>
      </x:c>
      <x:c r="K560" s="16" t="str"/>
      <x:c r="L560" s="16" t="str"/>
      <x:c r="M560" s="16" t="str"/>
      <x:c r="N560" s="16" t="str"/>
      <x:c r="O560" s="16" t="str"/>
      <x:c r="P560" s="16" t="str"/>
      <x:c r="Q560" s="16" t="str"/>
      <x:c r="R560" s="16" t="str">
        <x:v>一位女士需要一双舒适的夹脚凉鞋。</x:v>
      </x:c>
      <x:c r="S560" s="13" t="str">
        <x:v>consideration</x:v>
      </x:c>
      <x:c r="T560" s="16" t="str">
        <x:v>explicit | page_validated</x:v>
      </x:c>
      <x:c r="U560" s="13" t="str">
        <x:v>high</x:v>
      </x:c>
      <x:c r="V560" s="16" t="str">
        <x:v>womens_comfortable_thong_sandals</x:v>
      </x:c>
      <x:c r="W560" s="16" t="str">
        <x:v>cluster_route</x:v>
      </x:c>
      <x:c r="X560" s="16" t="str">
        <x:v>{"product_type":[{"value":"thong_sandals","evidence_type":"explicit","source_span":"thong sandals","fact_ids":["style_thong"],"rationale":"搜索词指定夹脚凉鞋，页面验证为Thong款式"},{"value":"thong_sandals","evidence_type":"page_validated","source_span":"","fact_ids":["style_thong","style_flip_flop"],"rationale":"该槽位与商品基准中的明示页面事实一致。"}],"audience_intent":[{"value":"women","evidence_type":"explicit","source_span":"women","fact_ids":[],"rationale":"搜索词明确女性受众"},{"value":"women","evidence_type":"page_validated","source_span":"","fact_ids":["title_womens_flip_flop"],"rationale":"该槽位与商品基准中的明示页面事实一致。"}],"function_intent":[{"value":"comfort","evidence_type":"explicit","source_span":"comfortable","fact_ids":["arch_support","padded_cushioning","soft_toe_post"],"rationale":"舒适性由足弓支撑和缓冲垫等特性支持"},{"value":"comfort","evidence_type":"page_validated","source_span":"","fact_ids":["arch_support","padded_cushioning"],"rationale":"该槽位与商品基准中的明示页面事实一致。"}],"primary_domain":[{"value":"clothing_shoes_jewelry","evidence_type":"inferred","source_span":"","fact_ids":[],"rationale":"该值由搜索词整体语义推断，未作为页面明示属性。"}]}</x:v>
      </x:c>
      <x:c r="Y560" s="16" t="str"/>
      <x:c r="Z560" s="13" t="str">
        <x:v>match</x:v>
      </x:c>
      <x:c r="AA560" s="16" t="str">
        <x:v>title_womens_flip_flop | style_thong | arch_support | padded_cushioning | soft_toe_post</x:v>
      </x:c>
      <x:c r="AB560" s="13" t="str">
        <x:v>accepted</x:v>
      </x:c>
      <x:c r="AC560" s="13" t="str">
        <x:v>1.0.0</x:v>
      </x:c>
      <x:c r="AD560" s="13" t="str">
        <x:v>1.0.0</x:v>
      </x:c>
      <x:c r="AE560" s="13" t="str">
        <x:v>deepseek/deepseek-v4-pro</x:v>
      </x:c>
      <x:c r="AF560" s="13" t="str">
        <x:v>aj2-y90-20260714T234810-0bea2f52</x:v>
      </x:c>
      <x:c r="AG560" s="13" t="str">
        <x:v>full-0028</x:v>
      </x:c>
      <x:c r="AH560" s="13" t="str">
        <x:v>full</x:v>
      </x:c>
      <x:c r="AI560" s="13" t="n">
        <x:v>28</x:v>
      </x:c>
    </x:row>
    <x:row r="561" ht="34" customHeight="1">
      <x:c r="A561" s="15" t="str">
        <x:v>womens thongs sandals</x:v>
      </x:c>
      <x:c r="B561" s="15" t="str">
        <x:v>womens thongs sandals</x:v>
      </x:c>
      <x:c r="C561" s="10" t="str">
        <x:v>edf513772a44ddd3</x:v>
      </x:c>
      <x:c r="D561" s="10" t="str">
        <x:v>keyword</x:v>
      </x:c>
      <x:c r="E561" s="10" t="str">
        <x:v>en</x:v>
      </x:c>
      <x:c r="F561" s="10" t="str">
        <x:v>clothing_shoes_jewelry</x:v>
      </x:c>
      <x:c r="G561" s="15" t="str"/>
      <x:c r="H561" s="15" t="str">
        <x:v>thong_sandals</x:v>
      </x:c>
      <x:c r="I561" s="15" t="str">
        <x:v>women</x:v>
      </x:c>
      <x:c r="J561" s="15" t="str"/>
      <x:c r="K561" s="15" t="str"/>
      <x:c r="L561" s="15" t="str"/>
      <x:c r="M561" s="15" t="str"/>
      <x:c r="N561" s="15" t="str"/>
      <x:c r="O561" s="15" t="str"/>
      <x:c r="P561" s="15" t="str"/>
      <x:c r="Q561" s="15" t="str"/>
      <x:c r="R561" s="15" t="str">
        <x:v>一位女士想要夹脚款式的凉鞋。</x:v>
      </x:c>
      <x:c r="S561" s="10" t="str">
        <x:v>consideration</x:v>
      </x:c>
      <x:c r="T561" s="15" t="str">
        <x:v>explicit | page_validated</x:v>
      </x:c>
      <x:c r="U561" s="10" t="str">
        <x:v>high</x:v>
      </x:c>
      <x:c r="V561" s="15" t="str">
        <x:v>womens_thong_sandals</x:v>
      </x:c>
      <x:c r="W561" s="15" t="str">
        <x:v>cluster_route</x:v>
      </x:c>
      <x:c r="X561" s="15" t="str">
        <x:v>{"product_type":[{"value":"thong_sandals","evidence_type":"explicit","source_span":"thongs sandals","fact_ids":["style_thong"],"rationale":"thongs sandals指夹脚凉鞋，页面验证为Thong款式"},{"value":"thong_sandals","evidence_type":"page_validated","source_span":"","fact_ids":["style_thong","style_flip_flop"],"rationale":"该槽位与商品基准中的明示页面事实一致。"},{"value":"thong_sandals","evidence_type":"inferred","source_span":"","fact_ids":[],"rationale":"该能力由搜索词表达的任务或问题推断；页面事实仅用于验证商品承接。"}],"audience_intent":[{"value":"women","evidence_type":"explicit","source_span":"womens","fact_ids":[],"rationale":"搜索词明确女性受众"},{"value":"women","evidence_type":"page_validated","source_span":"","fact_ids":["title_womens_flip_flop"],"rationale":"该槽位与商品基准中的明示页面事实一致。"}],"primary_domain":[{"value":"clothing_shoes_jewelry","evidence_type":"inferred","source_span":"","fact_ids":[],"rationale":"该值由搜索词整体语义推断，未作为页面明示属性。"}]}</x:v>
      </x:c>
      <x:c r="Y561" s="15" t="str"/>
      <x:c r="Z561" s="10" t="str">
        <x:v>match</x:v>
      </x:c>
      <x:c r="AA561" s="15" t="str">
        <x:v>title_womens_flip_flop | style_thong</x:v>
      </x:c>
      <x:c r="AB561" s="10" t="str">
        <x:v>accepted</x:v>
      </x:c>
      <x:c r="AC561" s="10" t="str">
        <x:v>1.0.0</x:v>
      </x:c>
      <x:c r="AD561" s="10" t="str">
        <x:v>1.0.0</x:v>
      </x:c>
      <x:c r="AE561" s="10" t="str">
        <x:v>deepseek/deepseek-v4-pro</x:v>
      </x:c>
      <x:c r="AF561" s="10" t="str">
        <x:v>aj2-y90-20260714T234810-0bea2f52</x:v>
      </x:c>
      <x:c r="AG561" s="10" t="str">
        <x:v>full-0028</x:v>
      </x:c>
      <x:c r="AH561" s="10" t="str">
        <x:v>full</x:v>
      </x:c>
      <x:c r="AI561" s="10" t="n">
        <x:v>28</x:v>
      </x:c>
    </x:row>
    <x:row r="562" ht="34" customHeight="1">
      <x:c r="A562" s="16" t="str">
        <x:v>flip flops womens comfortable</x:v>
      </x:c>
      <x:c r="B562" s="16" t="str">
        <x:v>flip flops womens comfortable</x:v>
      </x:c>
      <x:c r="C562" s="13" t="str">
        <x:v>00924f11c62a6bbe</x:v>
      </x:c>
      <x:c r="D562" s="13" t="str">
        <x:v>keyword</x:v>
      </x:c>
      <x:c r="E562" s="13" t="str">
        <x:v>en</x:v>
      </x:c>
      <x:c r="F562" s="13" t="str">
        <x:v>clothing_shoes_jewelry</x:v>
      </x:c>
      <x:c r="G562" s="16" t="str"/>
      <x:c r="H562" s="16" t="str">
        <x:v>flip_flops</x:v>
      </x:c>
      <x:c r="I562" s="16" t="str">
        <x:v>women</x:v>
      </x:c>
      <x:c r="J562" s="16" t="str">
        <x:v>comfort</x:v>
      </x:c>
      <x:c r="K562" s="16" t="str"/>
      <x:c r="L562" s="16" t="str"/>
      <x:c r="M562" s="16" t="str"/>
      <x:c r="N562" s="16" t="str"/>
      <x:c r="O562" s="16" t="str"/>
      <x:c r="P562" s="16" t="str"/>
      <x:c r="Q562" s="16" t="str"/>
      <x:c r="R562" s="16" t="str">
        <x:v>用户想寻找穿着舒适的女性人字拖。</x:v>
      </x:c>
      <x:c r="S562" s="13" t="str">
        <x:v>consideration</x:v>
      </x:c>
      <x:c r="T562" s="16" t="str">
        <x:v>explicit | page_validated | inferred</x:v>
      </x:c>
      <x:c r="U562" s="13" t="str">
        <x:v>high</x:v>
      </x:c>
      <x:c r="V562" s="16" t="str">
        <x:v>womens_comfortable_flip_flops</x:v>
      </x:c>
      <x:c r="W562" s="16" t="str">
        <x:v>cluster_route</x:v>
      </x:c>
      <x:c r="X562" s="16" t="str">
        <x:v>{"primary_domain":[{"value":"clothing_shoes_jewelry","evidence_type":"inferred","source_span":"","fact_ids":[],"rationale":"人字拖属于鞋类。"}],"product_type":[{"value":"flip_flops","evidence_type":"explicit","source_span":"flip flops","fact_ids":[],"rationale":"搜索词明确提到flip flops。"},{"value":"flip_flops","evidence_type":"page_validated","source_span":"","fact_ids":["style_flip_flop"],"rationale":"产品页面确认为人字拖。"}],"audience_intent":[{"value":"women","evidence_type":"explicit","source_span":"womens","fact_ids":[],"rationale":"搜索词明确提到womens。"},{"value":"women","evidence_type":"page_validated","source_span":"","fact_ids":["title_womens_flip_flop"],"rationale":"产品标题定位为女款。"}],"function_intent":[{"value":"comfort","evidence_type":"explicit","source_span":"comfortable","fact_ids":[],"rationale":"搜索词明确要求舒适。"},{"value":"comfort","evidence_type":"page_validated","source_span":"","fact_ids":["arch_support","padded_cushioning","soft_toe_post"],"rationale":"足弓支撑和软垫提供舒适。"}]}</x:v>
      </x:c>
      <x:c r="Y562" s="16" t="str"/>
      <x:c r="Z562" s="13" t="str">
        <x:v>match</x:v>
      </x:c>
      <x:c r="AA562" s="16" t="str">
        <x:v>title_womens_flip_flop | style_flip_flop | arch_support | padded_cushioning | soft_toe_post</x:v>
      </x:c>
      <x:c r="AB562" s="13" t="str">
        <x:v>accepted</x:v>
      </x:c>
      <x:c r="AC562" s="13" t="str">
        <x:v>1.0.0</x:v>
      </x:c>
      <x:c r="AD562" s="13" t="str">
        <x:v>1.1.0</x:v>
      </x:c>
      <x:c r="AE562" s="13" t="str">
        <x:v>deepseek/deepseek-v4-pro</x:v>
      </x:c>
      <x:c r="AF562" s="13" t="str">
        <x:v>aj2-y90-20260714T234810-0bea2f52</x:v>
      </x:c>
      <x:c r="AG562" s="13" t="str">
        <x:v>full-0029</x:v>
      </x:c>
      <x:c r="AH562" s="13" t="str">
        <x:v>full</x:v>
      </x:c>
      <x:c r="AI562" s="13" t="n">
        <x:v>29</x:v>
      </x:c>
    </x:row>
    <x:row r="563" ht="34" customHeight="1">
      <x:c r="A563" s="15" t="str">
        <x:v>bright sandals women</x:v>
      </x:c>
      <x:c r="B563" s="15" t="str">
        <x:v>bright sandals women</x:v>
      </x:c>
      <x:c r="C563" s="10" t="str">
        <x:v>07ddb81a530a3202</x:v>
      </x:c>
      <x:c r="D563" s="10" t="str">
        <x:v>keyword</x:v>
      </x:c>
      <x:c r="E563" s="10" t="str">
        <x:v>en</x:v>
      </x:c>
      <x:c r="F563" s="10" t="str">
        <x:v>clothing_shoes_jewelry</x:v>
      </x:c>
      <x:c r="G563" s="15" t="str"/>
      <x:c r="H563" s="15" t="str">
        <x:v>sandals</x:v>
      </x:c>
      <x:c r="I563" s="15" t="str">
        <x:v>women</x:v>
      </x:c>
      <x:c r="J563" s="15" t="str">
        <x:v>bright_appearance</x:v>
      </x:c>
      <x:c r="K563" s="15" t="str"/>
      <x:c r="L563" s="15" t="str"/>
      <x:c r="M563" s="15" t="str"/>
      <x:c r="N563" s="15" t="str"/>
      <x:c r="O563" s="15" t="str"/>
      <x:c r="P563" s="15" t="str"/>
      <x:c r="Q563" s="15" t="str"/>
      <x:c r="R563" s="15" t="str">
        <x:v>用户想寻找颜色鲜亮的女士凉鞋。</x:v>
      </x:c>
      <x:c r="S563" s="10" t="str">
        <x:v>exploration</x:v>
      </x:c>
      <x:c r="T563" s="15" t="str">
        <x:v>explicit | page_validated | inferred</x:v>
      </x:c>
      <x:c r="U563" s="10" t="str">
        <x:v>medium</x:v>
      </x:c>
      <x:c r="V563" s="15" t="str">
        <x:v>bright_womens_sandals</x:v>
      </x:c>
      <x:c r="W563" s="15" t="str">
        <x:v>cluster_route</x:v>
      </x:c>
      <x:c r="X563" s="15" t="str">
        <x:v>{"primary_domain":[{"value":"clothing_shoes_jewelry","evidence_type":"inferred","source_span":"","fact_ids":[],"rationale":"凉鞋属于鞋类产品。"}],"product_type":[{"value":"sandals","evidence_type":"explicit","source_span":"sandals","fact_ids":[],"rationale":"搜索词明确提到sandals。"},{"value":"sandals","evidence_type":"page_validated","source_span":"","fact_ids":["style_flip_flop","style_open_toe"],"rationale":"人字拖为凉鞋子类。"}],"audience_intent":[{"value":"women","evidence_type":"explicit","source_span":"women","fact_ids":[],"rationale":"搜索词明确提到women。"},{"value":"women","evidence_type":"page_validated","source_span":"","fact_ids":["title_womens_flip_flop"],"rationale":"产品标题定位为女款。"}],"function_intent":[{"value":"bright_appearance","evidence_type":"explicit","source_span":"bright","fact_ids":[],"rationale":"搜索词明确要求鲜亮外观。"},{"value":"bright_appearance","evidence_type":"page_validated","source_span":"","fact_ids":["colors_visible"],"rationale":"粉紫、浅蓝等色较为鲜亮。"}]}</x:v>
      </x:c>
      <x:c r="Y563" s="15" t="str"/>
      <x:c r="Z563" s="10" t="str">
        <x:v>match</x:v>
      </x:c>
      <x:c r="AA563" s="15" t="str">
        <x:v>title_womens_flip_flop | style_flip_flop | colors_visible</x:v>
      </x:c>
      <x:c r="AB563" s="10" t="str">
        <x:v>accepted</x:v>
      </x:c>
      <x:c r="AC563" s="10" t="str">
        <x:v>1.0.0</x:v>
      </x:c>
      <x:c r="AD563" s="10" t="str">
        <x:v>1.1.0</x:v>
      </x:c>
      <x:c r="AE563" s="10" t="str">
        <x:v>deepseek/deepseek-v4-pro</x:v>
      </x:c>
      <x:c r="AF563" s="10" t="str">
        <x:v>aj2-y90-20260714T234810-0bea2f52</x:v>
      </x:c>
      <x:c r="AG563" s="10" t="str">
        <x:v>full-0029</x:v>
      </x:c>
      <x:c r="AH563" s="10" t="str">
        <x:v>full</x:v>
      </x:c>
      <x:c r="AI563" s="10" t="n">
        <x:v>29</x:v>
      </x:c>
    </x:row>
    <x:row r="564" ht="34" customHeight="1">
      <x:c r="A564" s="16" t="str">
        <x:v>non slip flip flops for pool</x:v>
      </x:c>
      <x:c r="B564" s="16" t="str">
        <x:v>non slip flip flops for pool</x:v>
      </x:c>
      <x:c r="C564" s="13" t="str">
        <x:v>29e8d268927eacd6</x:v>
      </x:c>
      <x:c r="D564" s="13" t="str">
        <x:v>keyword</x:v>
      </x:c>
      <x:c r="E564" s="13" t="str">
        <x:v>en</x:v>
      </x:c>
      <x:c r="F564" s="13" t="str">
        <x:v>clothing_shoes_jewelry</x:v>
      </x:c>
      <x:c r="G564" s="16" t="str">
        <x:v>sports_outdoors</x:v>
      </x:c>
      <x:c r="H564" s="16" t="str">
        <x:v>flip_flops</x:v>
      </x:c>
      <x:c r="I564" s="16" t="str"/>
      <x:c r="J564" s="16" t="str">
        <x:v>safety</x:v>
      </x:c>
      <x:c r="K564" s="16" t="str">
        <x:v>slip_resistant</x:v>
      </x:c>
      <x:c r="L564" s="16" t="str">
        <x:v>pool_activity</x:v>
      </x:c>
      <x:c r="M564" s="16" t="str">
        <x:v>pool</x:v>
      </x:c>
      <x:c r="N564" s="16" t="str"/>
      <x:c r="O564" s="16" t="str"/>
      <x:c r="P564" s="16" t="str"/>
      <x:c r="Q564" s="16" t="str"/>
      <x:c r="R564" s="16" t="str">
        <x:v>用户想寻找防滑的泳池用人字拖。</x:v>
      </x:c>
      <x:c r="S564" s="13" t="str">
        <x:v>consideration</x:v>
      </x:c>
      <x:c r="T564" s="16" t="str">
        <x:v>explicit | page_validated | inferred</x:v>
      </x:c>
      <x:c r="U564" s="13" t="str">
        <x:v>medium</x:v>
      </x:c>
      <x:c r="V564" s="16" t="str">
        <x:v>non_slip_pool_flip_flops</x:v>
      </x:c>
      <x:c r="W564" s="16" t="str">
        <x:v>listing_gap_review</x:v>
      </x:c>
      <x:c r="X564" s="16" t="str">
        <x:v>{"primary_domain":[{"value":"clothing_shoes_jewelry","evidence_type":"inferred","source_span":"","fact_ids":[],"rationale":"人字拖属于鞋类产品。"}],"product_type":[{"value":"flip_flops","evidence_type":"explicit","source_span":"flip flops","fact_ids":[],"rationale":"搜索词明确提到flip flops。"},{"value":"flip_flops","evidence_type":"page_validated","source_span":"","fact_ids":["style_flip_flop"],"rationale":"产品页面确认为人字拖。"}],"capability_intent":[{"value":"slip_resistant","evidence_type":"explicit","source_span":"non slip","fact_ids":[],"rationale":"搜索词明确要求防滑。"},{"value":"slip_resistant","evidence_type":"page_validated","source_span":"","fact_ids":["slip_resistant_grip"],"rationale":"页面声称防滑纹理外底。"},{"value":"slip_resistant","evidence_type":"inferred","source_span":"","fact_ids":[],"rationale":"该能力由搜索词表达的任务或问题推断；页面事实仅用于验证商品承接。"}],"location_intent":[{"value":"pool","evidence_type":"explicit","source_span":"pool","fact_ids":[],"rationale":"搜索词明确提到pool。"}],"event_intent":[{"value":"pool_activity","evidence_type":"inferred","source_span":"pool","fact_ids":[],"rationale":"泳池对应泳池活动场景。"}],"function_intent":[{"value":"safety","evidence_type":"inferred","source_span":"non slip","fact_ids":[],"rationale":"防滑需求源于安全考虑。"}],"secondary_domain":[{"value":"sports_outdoors","evidence_type":"page_validated","source_span":"","fact_ids":["style_outdoor"],"rationale":"户外定位适配泳池场景。"}]}</x:v>
      </x:c>
      <x:c r="Y564" s="16" t="str"/>
      <x:c r="Z564" s="13" t="str">
        <x:v>partial_match</x:v>
      </x:c>
      <x:c r="AA564" s="16" t="str">
        <x:v>slip_resistant_grip | style_flip_flop</x:v>
      </x:c>
      <x:c r="AB564" s="13" t="str">
        <x:v>accepted</x:v>
      </x:c>
      <x:c r="AC564" s="13" t="str">
        <x:v>1.0.0</x:v>
      </x:c>
      <x:c r="AD564" s="13" t="str">
        <x:v>1.1.0</x:v>
      </x:c>
      <x:c r="AE564" s="13" t="str">
        <x:v>deepseek/deepseek-v4-pro</x:v>
      </x:c>
      <x:c r="AF564" s="13" t="str">
        <x:v>aj2-y90-20260714T234810-0bea2f52</x:v>
      </x:c>
      <x:c r="AG564" s="13" t="str">
        <x:v>full-0029</x:v>
      </x:c>
      <x:c r="AH564" s="13" t="str">
        <x:v>full</x:v>
      </x:c>
      <x:c r="AI564" s="13" t="n">
        <x:v>29</x:v>
      </x:c>
    </x:row>
    <x:row r="565" ht="34" customHeight="1">
      <x:c r="A565" s="15" t="str">
        <x:v>home archies</x:v>
      </x:c>
      <x:c r="B565" s="15" t="str">
        <x:v>home archies</x:v>
      </x:c>
      <x:c r="C565" s="10" t="str">
        <x:v>31c4e14d6e461c02</x:v>
      </x:c>
      <x:c r="D565" s="10" t="str">
        <x:v>keyword</x:v>
      </x:c>
      <x:c r="E565" s="10" t="str">
        <x:v>en</x:v>
      </x:c>
      <x:c r="F565" s="10" t="str">
        <x:v>clothing_shoes_jewelry</x:v>
      </x:c>
      <x:c r="G565" s="15" t="str"/>
      <x:c r="H565" s="15" t="str">
        <x:v>flip_flops</x:v>
      </x:c>
      <x:c r="I565" s="15" t="str"/>
      <x:c r="J565" s="15" t="str">
        <x:v>arch_support</x:v>
      </x:c>
      <x:c r="K565" s="15" t="str">
        <x:v>arch_support</x:v>
      </x:c>
      <x:c r="L565" s="15" t="str"/>
      <x:c r="M565" s="15" t="str">
        <x:v>home_indoor</x:v>
      </x:c>
      <x:c r="N565" s="15" t="str">
        <x:v>arch_support</x:v>
      </x:c>
      <x:c r="O565" s="15" t="str"/>
      <x:c r="P565" s="15" t="str">
        <x:v>archies_brand</x:v>
      </x:c>
      <x:c r="Q565" s="15" t="str"/>
      <x:c r="R565" s="15" t="str">
        <x:v>用户想寻找类似Archies品牌、适合居家穿着的足弓支撑拖鞋。</x:v>
      </x:c>
      <x:c r="S565" s="10" t="str">
        <x:v>brand_harvest</x:v>
      </x:c>
      <x:c r="T565" s="15" t="str">
        <x:v>explicit | page_validated | inferred</x:v>
      </x:c>
      <x:c r="U565" s="10" t="str">
        <x:v>low</x:v>
      </x:c>
      <x:c r="V565" s="15" t="str">
        <x:v>archies_home_flip_flops</x:v>
      </x:c>
      <x:c r="W565" s="15" t="str">
        <x:v>ambiguity_review</x:v>
      </x:c>
      <x:c r="X565" s="15" t="str">
        <x:v>{"primary_domain":[{"value":"clothing_shoes_jewelry","evidence_type":"inferred","source_span":"","fact_ids":[],"rationale":"拖鞋属于鞋类产品。"}],"product_type":[{"value":"flip_flops","evidence_type":"page_validated","source_span":"","fact_ids":["style_flip_flop"],"rationale":"产品页面确认为人字拖。"},{"value":"flip_flops","evidence_type":"inferred","source_span":"","fact_ids":[],"rationale":"该能力由搜索词表达的任务或问题推断；页面事实仅用于验证商品承接。"}],"location_intent":[{"value":"home_indoor","evidence_type":"explicit","source_span":"home","fact_ids":[],"rationale":"搜索词明确提到home。"}],"substitute_intent":[{"value":"archies_brand","evidence_type":"explicit","source_span":"archies","fact_ids":[],"rationale":"搜索词提到Archies品牌名。"}],"capability_intent":[{"value":"arch_support","evidence_type":"page_validated","source_span":"","fact_ids":["arch_support"],"rationale":"产品具备足弓支撑能力。"},{"value":"arch_support","evidence_type":"inferred","source_span":"","fact_ids":[],"rationale":"该能力由搜索词表达的任务或问题推断；页面事实仅用于验证商品承接。"}]}</x:v>
      </x:c>
      <x:c r="Y565" s="15" t="str">
        <x:v>archies_brand_or_descriptor | home_vs_outdoor_lifestyle</x:v>
      </x:c>
      <x:c r="Z565" s="10" t="str">
        <x:v>partial_match</x:v>
      </x:c>
      <x:c r="AA565" s="15" t="str">
        <x:v>arch_support | style_flip_flop</x:v>
      </x:c>
      <x:c r="AB565" s="10" t="str">
        <x:v>accepted</x:v>
      </x:c>
      <x:c r="AC565" s="10" t="str">
        <x:v>1.0.0</x:v>
      </x:c>
      <x:c r="AD565" s="10" t="str">
        <x:v>1.1.0</x:v>
      </x:c>
      <x:c r="AE565" s="10" t="str">
        <x:v>deepseek/deepseek-v4-pro</x:v>
      </x:c>
      <x:c r="AF565" s="10" t="str">
        <x:v>aj2-y90-20260714T234810-0bea2f52</x:v>
      </x:c>
      <x:c r="AG565" s="10" t="str">
        <x:v>full-0029</x:v>
      </x:c>
      <x:c r="AH565" s="10" t="str">
        <x:v>full</x:v>
      </x:c>
      <x:c r="AI565" s="10" t="n">
        <x:v>29</x:v>
      </x:c>
    </x:row>
    <x:row r="566" ht="34" customHeight="1">
      <x:c r="A566" s="16" t="str">
        <x:v>pink sandals women</x:v>
      </x:c>
      <x:c r="B566" s="16" t="str">
        <x:v>pink sandals women</x:v>
      </x:c>
      <x:c r="C566" s="13" t="str">
        <x:v>344a9d89a32848ab</x:v>
      </x:c>
      <x:c r="D566" s="13" t="str">
        <x:v>keyword</x:v>
      </x:c>
      <x:c r="E566" s="13" t="str">
        <x:v>en</x:v>
      </x:c>
      <x:c r="F566" s="13" t="str">
        <x:v>clothing_shoes_jewelry</x:v>
      </x:c>
      <x:c r="G566" s="16" t="str"/>
      <x:c r="H566" s="16" t="str">
        <x:v>sandals</x:v>
      </x:c>
      <x:c r="I566" s="16" t="str">
        <x:v>women</x:v>
      </x:c>
      <x:c r="J566" s="16" t="str"/>
      <x:c r="K566" s="16" t="str"/>
      <x:c r="L566" s="16" t="str"/>
      <x:c r="M566" s="16" t="str"/>
      <x:c r="N566" s="16" t="str"/>
      <x:c r="O566" s="16" t="str"/>
      <x:c r="P566" s="16" t="str"/>
      <x:c r="Q566" s="16" t="str"/>
      <x:c r="R566" s="16" t="str">
        <x:v>用户想寻找粉红色的女士凉鞋。</x:v>
      </x:c>
      <x:c r="S566" s="13" t="str">
        <x:v>consideration</x:v>
      </x:c>
      <x:c r="T566" s="16" t="str">
        <x:v>explicit | page_validated | inferred</x:v>
      </x:c>
      <x:c r="U566" s="13" t="str">
        <x:v>high</x:v>
      </x:c>
      <x:c r="V566" s="16" t="str">
        <x:v>pink_womens_sandals</x:v>
      </x:c>
      <x:c r="W566" s="16" t="str">
        <x:v>cluster_route</x:v>
      </x:c>
      <x:c r="X566" s="16" t="str">
        <x:v>{"primary_domain":[{"value":"clothing_shoes_jewelry","evidence_type":"inferred","source_span":"","fact_ids":[],"rationale":"凉鞋属于鞋类产品。"}],"product_type":[{"value":"sandals","evidence_type":"explicit","source_span":"sandals","fact_ids":[],"rationale":"搜索词明确提到sandals。"},{"value":"sandals","evidence_type":"page_validated","source_span":"","fact_ids":["style_flip_flop","style_open_toe"],"rationale":"人字拖为凉鞋子类。"}],"audience_intent":[{"value":"women","evidence_type":"explicit","source_span":"women","fact_ids":[],"rationale":"搜索词明确提到women。"},{"value":"women","evidence_type":"page_validated","source_span":"","fact_ids":["title_womens_flip_flop"],"rationale":"产品标题定位为女款。"}],"color":[{"value":"pink","evidence_type":"explicit","source_span":"pink","fact_ids":[],"rationale":"该颜色在商品页面可见颜色选择中得到明确支持。"},{"value":"pink","evidence_type":"page_validated","source_span":"","fact_ids":["colors_visible"],"rationale":"该颜色在商品页面可见颜色选择中得到明确支持。"}]}</x:v>
      </x:c>
      <x:c r="Y566" s="16" t="str"/>
      <x:c r="Z566" s="13" t="str">
        <x:v>match</x:v>
      </x:c>
      <x:c r="AA566" s="16" t="str">
        <x:v>title_womens_flip_flop | style_flip_flop | colors_visible</x:v>
      </x:c>
      <x:c r="AB566" s="13" t="str">
        <x:v>accepted</x:v>
      </x:c>
      <x:c r="AC566" s="13" t="str">
        <x:v>1.0.0</x:v>
      </x:c>
      <x:c r="AD566" s="13" t="str">
        <x:v>1.1.0</x:v>
      </x:c>
      <x:c r="AE566" s="13" t="str">
        <x:v>deepseek/deepseek-v4-pro</x:v>
      </x:c>
      <x:c r="AF566" s="13" t="str">
        <x:v>aj2-y90-20260714T234810-0bea2f52</x:v>
      </x:c>
      <x:c r="AG566" s="13" t="str">
        <x:v>full-0029</x:v>
      </x:c>
      <x:c r="AH566" s="13" t="str">
        <x:v>full</x:v>
      </x:c>
      <x:c r="AI566" s="13" t="n">
        <x:v>29</x:v>
      </x:c>
    </x:row>
    <x:row r="567" ht="34" customHeight="1">
      <x:c r="A567" s="15" t="str">
        <x:v>arch flip flops for women</x:v>
      </x:c>
      <x:c r="B567" s="15" t="str">
        <x:v>arch flip flops for women</x:v>
      </x:c>
      <x:c r="C567" s="10" t="str">
        <x:v>3efb8de7ad61aacd</x:v>
      </x:c>
      <x:c r="D567" s="10" t="str">
        <x:v>keyword</x:v>
      </x:c>
      <x:c r="E567" s="10" t="str">
        <x:v>en</x:v>
      </x:c>
      <x:c r="F567" s="10" t="str">
        <x:v>clothing_shoes_jewelry</x:v>
      </x:c>
      <x:c r="G567" s="15" t="str"/>
      <x:c r="H567" s="15" t="str">
        <x:v>flip_flops</x:v>
      </x:c>
      <x:c r="I567" s="15" t="str">
        <x:v>women</x:v>
      </x:c>
      <x:c r="J567" s="15" t="str">
        <x:v>arch_support</x:v>
      </x:c>
      <x:c r="K567" s="15" t="str">
        <x:v>arch_support</x:v>
      </x:c>
      <x:c r="L567" s="15" t="str"/>
      <x:c r="M567" s="15" t="str"/>
      <x:c r="N567" s="15" t="str">
        <x:v>arch_support</x:v>
      </x:c>
      <x:c r="O567" s="15" t="str"/>
      <x:c r="P567" s="15" t="str"/>
      <x:c r="Q567" s="15" t="str"/>
      <x:c r="R567" s="15" t="str">
        <x:v>用户想寻找有足弓支撑功能的女性人字拖。</x:v>
      </x:c>
      <x:c r="S567" s="10" t="str">
        <x:v>consideration</x:v>
      </x:c>
      <x:c r="T567" s="15" t="str">
        <x:v>explicit | page_validated | inferred</x:v>
      </x:c>
      <x:c r="U567" s="10" t="str">
        <x:v>high</x:v>
      </x:c>
      <x:c r="V567" s="15" t="str">
        <x:v>womens_arch_support_flip_flops</x:v>
      </x:c>
      <x:c r="W567" s="15" t="str">
        <x:v>cluster_route</x:v>
      </x:c>
      <x:c r="X567" s="15" t="str">
        <x:v>{"primary_domain":[{"value":"clothing_shoes_jewelry","evidence_type":"inferred","source_span":"","fact_ids":[],"rationale":"人字拖属于鞋类产品。"}],"product_type":[{"value":"flip_flops","evidence_type":"explicit","source_span":"flip flops","fact_ids":[],"rationale":"搜索词明确提到flip flops。"},{"value":"flip_flops","evidence_type":"page_validated","source_span":"","fact_ids":["style_flip_flop"],"rationale":"产品页面确认为人字拖。"}],"audience_intent":[{"value":"women","evidence_type":"explicit","source_span":"women","fact_ids":[],"rationale":"搜索词明确提到women。"},{"value":"women","evidence_type":"page_validated","source_span":"","fact_ids":["title_womens_flip_flop"],"rationale":"产品标题定位为女款。"}],"capability_intent":[{"value":"arch_support","evidence_type":"explicit","source_span":"arch","fact_ids":[],"rationale":"搜索词明确要求足弓支撑。"},{"value":"arch_support","evidence_type":"page_validated","source_span":"","fact_ids":["arch_support"],"rationale":"产品具备足弓支撑能力。"},{"value":"arch_support","evidence_type":"inferred","source_span":"","fact_ids":[],"rationale":"该能力由搜索词表达的任务或问题推断；页面事实仅用于验证商品承接。"}]}</x:v>
      </x:c>
      <x:c r="Y567" s="15" t="str"/>
      <x:c r="Z567" s="10" t="str">
        <x:v>match</x:v>
      </x:c>
      <x:c r="AA567" s="15" t="str">
        <x:v>title_womens_flip_flop | style_flip_flop | arch_support</x:v>
      </x:c>
      <x:c r="AB567" s="10" t="str">
        <x:v>accepted</x:v>
      </x:c>
      <x:c r="AC567" s="10" t="str">
        <x:v>1.0.0</x:v>
      </x:c>
      <x:c r="AD567" s="10" t="str">
        <x:v>1.1.0</x:v>
      </x:c>
      <x:c r="AE567" s="10" t="str">
        <x:v>deepseek/deepseek-v4-pro</x:v>
      </x:c>
      <x:c r="AF567" s="10" t="str">
        <x:v>aj2-y90-20260714T234810-0bea2f52</x:v>
      </x:c>
      <x:c r="AG567" s="10" t="str">
        <x:v>full-0029</x:v>
      </x:c>
      <x:c r="AH567" s="10" t="str">
        <x:v>full</x:v>
      </x:c>
      <x:c r="AI567" s="10" t="n">
        <x:v>29</x:v>
      </x:c>
    </x:row>
    <x:row r="568" ht="34" customHeight="1">
      <x:c r="A568" s="16" t="str">
        <x:v>flip flops with tie</x:v>
      </x:c>
      <x:c r="B568" s="16" t="str">
        <x:v>flip flops with tie</x:v>
      </x:c>
      <x:c r="C568" s="13" t="str">
        <x:v>7fcae63778ab4ca6</x:v>
      </x:c>
      <x:c r="D568" s="13" t="str">
        <x:v>keyword</x:v>
      </x:c>
      <x:c r="E568" s="13" t="str">
        <x:v>en</x:v>
      </x:c>
      <x:c r="F568" s="13" t="str">
        <x:v>clothing_shoes_jewelry</x:v>
      </x:c>
      <x:c r="G568" s="16" t="str"/>
      <x:c r="H568" s="16" t="str">
        <x:v>flip_flops</x:v>
      </x:c>
      <x:c r="I568" s="16" t="str"/>
      <x:c r="J568" s="16" t="str"/>
      <x:c r="K568" s="16" t="str">
        <x:v>tie_closure</x:v>
      </x:c>
      <x:c r="L568" s="16" t="str"/>
      <x:c r="M568" s="16" t="str"/>
      <x:c r="N568" s="16" t="str"/>
      <x:c r="O568" s="16" t="str"/>
      <x:c r="P568" s="16" t="str"/>
      <x:c r="Q568" s="16" t="str"/>
      <x:c r="R568" s="16" t="str">
        <x:v>用户想寻找带有系带设计的人字拖。</x:v>
      </x:c>
      <x:c r="S568" s="13" t="str">
        <x:v>exploration</x:v>
      </x:c>
      <x:c r="T568" s="16" t="str">
        <x:v>explicit | inferred</x:v>
      </x:c>
      <x:c r="U568" s="13" t="str">
        <x:v>medium</x:v>
      </x:c>
      <x:c r="V568" s="16" t="str">
        <x:v>flip_flops_with_tie</x:v>
      </x:c>
      <x:c r="W568" s="16" t="str">
        <x:v>semantic_negative_candidate</x:v>
      </x:c>
      <x:c r="X568" s="16" t="str">
        <x:v>{"primary_domain":[{"value":"clothing_shoes_jewelry","evidence_type":"inferred","source_span":"","fact_ids":[],"rationale":"人字拖属于鞋类产品。"}],"product_type":[{"value":"flip_flops","evidence_type":"explicit","source_span":"flip flops","fact_ids":[],"rationale":"搜索词明确提到flip flops。"},{"value":"flip_flops","evidence_type":"page_validated","source_span":"","fact_ids":["style_flip_flop"],"rationale":"该槽位与商品基准中的明示页面事实一致。"}],"capability_intent":[{"value":"tie_closure","evidence_type":"explicit","source_span":"with tie","fact_ids":[],"rationale":"搜索词明确要求系带设计。"}]}</x:v>
      </x:c>
      <x:c r="Y568" s="16" t="str"/>
      <x:c r="Z568" s="13" t="str">
        <x:v>mismatch</x:v>
      </x:c>
      <x:c r="AA568" s="16" t="str">
        <x:v>closure_slip_on | style_flip_flop | style_thong</x:v>
      </x:c>
      <x:c r="AB568" s="13" t="str">
        <x:v>accepted</x:v>
      </x:c>
      <x:c r="AC568" s="13" t="str">
        <x:v>1.0.0</x:v>
      </x:c>
      <x:c r="AD568" s="13" t="str">
        <x:v>1.1.0</x:v>
      </x:c>
      <x:c r="AE568" s="13" t="str">
        <x:v>deepseek/deepseek-v4-pro</x:v>
      </x:c>
      <x:c r="AF568" s="13" t="str">
        <x:v>aj2-y90-20260714T234810-0bea2f52</x:v>
      </x:c>
      <x:c r="AG568" s="13" t="str">
        <x:v>full-0029</x:v>
      </x:c>
      <x:c r="AH568" s="13" t="str">
        <x:v>full</x:v>
      </x:c>
      <x:c r="AI568" s="13" t="n">
        <x:v>29</x:v>
      </x:c>
    </x:row>
    <x:row r="569" ht="34" customHeight="1">
      <x:c r="A569" s="15" t="str">
        <x:v>costa flip flops for women</x:v>
      </x:c>
      <x:c r="B569" s="15" t="str">
        <x:v>costa flip flops for women</x:v>
      </x:c>
      <x:c r="C569" s="10" t="str">
        <x:v>8251caefbb2558d2</x:v>
      </x:c>
      <x:c r="D569" s="10" t="str">
        <x:v>keyword</x:v>
      </x:c>
      <x:c r="E569" s="10" t="str">
        <x:v>en</x:v>
      </x:c>
      <x:c r="F569" s="10" t="str">
        <x:v>clothing_shoes_jewelry</x:v>
      </x:c>
      <x:c r="G569" s="15" t="str"/>
      <x:c r="H569" s="15" t="str">
        <x:v>flip_flops</x:v>
      </x:c>
      <x:c r="I569" s="15" t="str">
        <x:v>women</x:v>
      </x:c>
      <x:c r="J569" s="15" t="str"/>
      <x:c r="K569" s="15" t="str"/>
      <x:c r="L569" s="15" t="str"/>
      <x:c r="M569" s="15" t="str"/>
      <x:c r="N569" s="15" t="str"/>
      <x:c r="O569" s="15" t="str"/>
      <x:c r="P569" s="15" t="str">
        <x:v>costa_style</x:v>
      </x:c>
      <x:c r="Q569" s="15" t="str"/>
      <x:c r="R569" s="15" t="str">
        <x:v>用户想寻找Costa品牌或海岸风格的女士人字拖。</x:v>
      </x:c>
      <x:c r="S569" s="10" t="str">
        <x:v>brand_harvest</x:v>
      </x:c>
      <x:c r="T569" s="15" t="str">
        <x:v>explicit | inferred</x:v>
      </x:c>
      <x:c r="U569" s="10" t="str">
        <x:v>medium</x:v>
      </x:c>
      <x:c r="V569" s="15" t="str">
        <x:v>costa_womens_flip_flops</x:v>
      </x:c>
      <x:c r="W569" s="15" t="str">
        <x:v>ambiguity_review</x:v>
      </x:c>
      <x:c r="X569" s="15" t="str">
        <x:v>{"primary_domain":[{"value":"clothing_shoes_jewelry","evidence_type":"inferred","source_span":"","fact_ids":[],"rationale":"人字拖属于鞋类产品。"}],"product_type":[{"value":"flip_flops","evidence_type":"explicit","source_span":"flip flops","fact_ids":[],"rationale":"搜索词明确提到flip flops。"},{"value":"flip_flops","evidence_type":"page_validated","source_span":"","fact_ids":["style_flip_flop"],"rationale":"该槽位与商品基准中的明示页面事实一致。"}],"audience_intent":[{"value":"women","evidence_type":"explicit","source_span":"women","fact_ids":[],"rationale":"搜索词明确提到women。"},{"value":"women","evidence_type":"page_validated","source_span":"","fact_ids":["title_womens_flip_flop"],"rationale":"该槽位与商品基准中的明示页面事实一致。"}],"substitute_intent":[{"value":"costa_style","evidence_type":"explicit","source_span":"costa","fact_ids":[],"rationale":"costa可能指品牌或海岸风格。"}]}</x:v>
      </x:c>
      <x:c r="Y569" s="15" t="str">
        <x:v>costa_brand_or_style_descriptor</x:v>
      </x:c>
      <x:c r="Z569" s="10" t="str">
        <x:v>partial_match</x:v>
      </x:c>
      <x:c r="AA569" s="15" t="str">
        <x:v>style_flip_flop</x:v>
      </x:c>
      <x:c r="AB569" s="10" t="str">
        <x:v>accepted</x:v>
      </x:c>
      <x:c r="AC569" s="10" t="str">
        <x:v>1.0.0</x:v>
      </x:c>
      <x:c r="AD569" s="10" t="str">
        <x:v>1.1.0</x:v>
      </x:c>
      <x:c r="AE569" s="10" t="str">
        <x:v>deepseek/deepseek-v4-pro</x:v>
      </x:c>
      <x:c r="AF569" s="10" t="str">
        <x:v>aj2-y90-20260714T234810-0bea2f52</x:v>
      </x:c>
      <x:c r="AG569" s="10" t="str">
        <x:v>full-0029</x:v>
      </x:c>
      <x:c r="AH569" s="10" t="str">
        <x:v>full</x:v>
      </x:c>
      <x:c r="AI569" s="10" t="n">
        <x:v>29</x:v>
      </x:c>
    </x:row>
    <x:row r="570" ht="34" customHeight="1">
      <x:c r="A570" s="16" t="str">
        <x:v>flip flops for women wide feet</x:v>
      </x:c>
      <x:c r="B570" s="16" t="str">
        <x:v>flip flops for women wide feet</x:v>
      </x:c>
      <x:c r="C570" s="13" t="str">
        <x:v>89a0c7a80d06b358</x:v>
      </x:c>
      <x:c r="D570" s="13" t="str">
        <x:v>keyword</x:v>
      </x:c>
      <x:c r="E570" s="13" t="str">
        <x:v>en</x:v>
      </x:c>
      <x:c r="F570" s="13" t="str">
        <x:v>clothing_shoes_jewelry</x:v>
      </x:c>
      <x:c r="G570" s="16" t="str"/>
      <x:c r="H570" s="16" t="str">
        <x:v>flip_flops</x:v>
      </x:c>
      <x:c r="I570" s="16" t="str">
        <x:v>women</x:v>
      </x:c>
      <x:c r="J570" s="16" t="str">
        <x:v>wide_fit</x:v>
      </x:c>
      <x:c r="K570" s="16" t="str"/>
      <x:c r="L570" s="16" t="str"/>
      <x:c r="M570" s="16" t="str"/>
      <x:c r="N570" s="16" t="str">
        <x:v>wide_feet</x:v>
      </x:c>
      <x:c r="O570" s="16" t="str"/>
      <x:c r="P570" s="16" t="str"/>
      <x:c r="Q570" s="16" t="str"/>
      <x:c r="R570" s="16" t="str">
        <x:v>用户想寻找适合宽脚女性的人字拖。</x:v>
      </x:c>
      <x:c r="S570" s="13" t="str">
        <x:v>consideration</x:v>
      </x:c>
      <x:c r="T570" s="16" t="str">
        <x:v>explicit | inferred</x:v>
      </x:c>
      <x:c r="U570" s="13" t="str">
        <x:v>low</x:v>
      </x:c>
      <x:c r="V570" s="16" t="str">
        <x:v>womens_wide_width_flip_flops</x:v>
      </x:c>
      <x:c r="W570" s="16" t="str">
        <x:v>listing_gap_review</x:v>
      </x:c>
      <x:c r="X570" s="16" t="str">
        <x:v>{"primary_domain":[{"value":"clothing_shoes_jewelry","evidence_type":"inferred","source_span":"","fact_ids":[],"rationale":"人字拖属于鞋类。"}],"product_type":[{"value":"flip_flops","evidence_type":"explicit","source_span":"flip flops","fact_ids":[],"rationale":"搜索词明确提到flip flops。"},{"value":"flip_flops","evidence_type":"page_validated","source_span":"","fact_ids":["style_flip_flop"],"rationale":"该槽位与商品基准中的明示页面事实一致。"}],"audience_intent":[{"value":"women","evidence_type":"explicit","source_span":"women","fact_ids":[],"rationale":"搜索词明确提到women。"},{"value":"women","evidence_type":"page_validated","source_span":"","fact_ids":["title_womens_flip_flop"],"rationale":"该槽位与商品基准中的明示页面事实一致。"}],"body_need_intent":[{"value":"wide_feet","evidence_type":"explicit","source_span":"wide feet","fact_ids":[],"rationale":"搜索词明确提到wide feet。"}],"function_intent":[{"value":"wide_fit","evidence_type":"explicit","source_span":"wide feet","fact_ids":[],"rationale":"宽脚需求对应宽版适配。"}]}</x:v>
      </x:c>
      <x:c r="Y570" s="16" t="str"/>
      <x:c r="Z570" s="13" t="str">
        <x:v>partial_match</x:v>
      </x:c>
      <x:c r="AA570" s="16" t="str">
        <x:v>title_womens_flip_flop | style_flip_flop</x:v>
      </x:c>
      <x:c r="AB570" s="13" t="str">
        <x:v>accepted</x:v>
      </x:c>
      <x:c r="AC570" s="13" t="str">
        <x:v>1.0.0</x:v>
      </x:c>
      <x:c r="AD570" s="13" t="str">
        <x:v>1.1.0</x:v>
      </x:c>
      <x:c r="AE570" s="13" t="str">
        <x:v>deepseek/deepseek-v4-pro</x:v>
      </x:c>
      <x:c r="AF570" s="13" t="str">
        <x:v>aj2-y90-20260714T234810-0bea2f52</x:v>
      </x:c>
      <x:c r="AG570" s="13" t="str">
        <x:v>full-0029</x:v>
      </x:c>
      <x:c r="AH570" s="13" t="str">
        <x:v>full</x:v>
      </x:c>
      <x:c r="AI570" s="13" t="n">
        <x:v>29</x:v>
      </x:c>
    </x:row>
    <x:row r="571" ht="34" customHeight="1">
      <x:c r="A571" s="15" t="str">
        <x:v>arch support brown flip flops</x:v>
      </x:c>
      <x:c r="B571" s="15" t="str">
        <x:v>arch support brown flip flops</x:v>
      </x:c>
      <x:c r="C571" s="10" t="str">
        <x:v>8fe0f0b53a9186c3</x:v>
      </x:c>
      <x:c r="D571" s="10" t="str">
        <x:v>keyword</x:v>
      </x:c>
      <x:c r="E571" s="10" t="str">
        <x:v>en</x:v>
      </x:c>
      <x:c r="F571" s="10" t="str">
        <x:v>clothing_shoes_jewelry</x:v>
      </x:c>
      <x:c r="G571" s="15" t="str"/>
      <x:c r="H571" s="15" t="str">
        <x:v>flip_flops</x:v>
      </x:c>
      <x:c r="I571" s="15" t="str"/>
      <x:c r="J571" s="15" t="str">
        <x:v>arch_support</x:v>
      </x:c>
      <x:c r="K571" s="15" t="str">
        <x:v>arch_support</x:v>
      </x:c>
      <x:c r="L571" s="15" t="str"/>
      <x:c r="M571" s="15" t="str"/>
      <x:c r="N571" s="15" t="str">
        <x:v>arch_support</x:v>
      </x:c>
      <x:c r="O571" s="15" t="str"/>
      <x:c r="P571" s="15" t="str"/>
      <x:c r="Q571" s="15" t="str"/>
      <x:c r="R571" s="15" t="str">
        <x:v>用户想寻找棕色、具备足弓支撑功能的人字拖。</x:v>
      </x:c>
      <x:c r="S571" s="10" t="str">
        <x:v>high_intent</x:v>
      </x:c>
      <x:c r="T571" s="15" t="str">
        <x:v>explicit | page_validated | inferred</x:v>
      </x:c>
      <x:c r="U571" s="10" t="str">
        <x:v>high</x:v>
      </x:c>
      <x:c r="V571" s="15" t="str">
        <x:v>arch_support_flip_flops_color</x:v>
      </x:c>
      <x:c r="W571" s="15" t="str">
        <x:v>cluster_route</x:v>
      </x:c>
      <x:c r="X571" s="15" t="str">
        <x:v>{"primary_domain":[{"value":"clothing_shoes_jewelry","evidence_type":"inferred","source_span":"","fact_ids":[],"rationale":"人字拖属于鞋类产品。"}],"product_type":[{"value":"flip_flops","evidence_type":"explicit","source_span":"flip flops","fact_ids":[],"rationale":"搜索词明确提到flip flops。"},{"value":"flip_flops","evidence_type":"page_validated","source_span":"","fact_ids":["style_flip_flop"],"rationale":"产品页面确认为人字拖。"}],"capability_intent":[{"value":"arch_support","evidence_type":"explicit","source_span":"arch support","fact_ids":[],"rationale":"搜索词明确要求足弓支撑。"},{"value":"arch_support","evidence_type":"page_validated","source_span":"","fact_ids":["arch_support"],"rationale":"页面声称人体工学足弓支撑。"}],"color":[{"value":"brown","evidence_type":"explicit","source_span":"brown","fact_ids":[],"rationale":"该颜色在商品页面可见颜色选择中得到明确支持。"},{"value":"brown","evidence_type":"page_validated","source_span":"","fact_ids":["colors_visible"],"rationale":"该颜色在商品页面可见颜色选择中得到明确支持。"}]}</x:v>
      </x:c>
      <x:c r="Y571" s="15" t="str"/>
      <x:c r="Z571" s="10" t="str">
        <x:v>match</x:v>
      </x:c>
      <x:c r="AA571" s="15" t="str">
        <x:v>arch_support | style_flip_flop | colors_visible</x:v>
      </x:c>
      <x:c r="AB571" s="10" t="str">
        <x:v>accepted</x:v>
      </x:c>
      <x:c r="AC571" s="10" t="str">
        <x:v>1.0.0</x:v>
      </x:c>
      <x:c r="AD571" s="10" t="str">
        <x:v>1.1.0</x:v>
      </x:c>
      <x:c r="AE571" s="10" t="str">
        <x:v>deepseek/deepseek-v4-pro</x:v>
      </x:c>
      <x:c r="AF571" s="10" t="str">
        <x:v>aj2-y90-20260714T234810-0bea2f52</x:v>
      </x:c>
      <x:c r="AG571" s="10" t="str">
        <x:v>full-0029</x:v>
      </x:c>
      <x:c r="AH571" s="10" t="str">
        <x:v>full</x:v>
      </x:c>
      <x:c r="AI571" s="10" t="n">
        <x:v>29</x:v>
      </x:c>
    </x:row>
    <x:row r="572" ht="34" customHeight="1">
      <x:c r="A572" s="16" t="str">
        <x:v>koazzi flip flops</x:v>
      </x:c>
      <x:c r="B572" s="16" t="str">
        <x:v>koazzi flip flops</x:v>
      </x:c>
      <x:c r="C572" s="13" t="str">
        <x:v>901a776883e136ec</x:v>
      </x:c>
      <x:c r="D572" s="13" t="str">
        <x:v>keyword</x:v>
      </x:c>
      <x:c r="E572" s="13" t="str">
        <x:v>en</x:v>
      </x:c>
      <x:c r="F572" s="13" t="str">
        <x:v>clothing_shoes_jewelry</x:v>
      </x:c>
      <x:c r="G572" s="16" t="str"/>
      <x:c r="H572" s="16" t="str">
        <x:v>flip_flops</x:v>
      </x:c>
      <x:c r="I572" s="16" t="str"/>
      <x:c r="J572" s="16" t="str"/>
      <x:c r="K572" s="16" t="str"/>
      <x:c r="L572" s="16" t="str"/>
      <x:c r="M572" s="16" t="str"/>
      <x:c r="N572" s="16" t="str"/>
      <x:c r="O572" s="16" t="str"/>
      <x:c r="P572" s="16" t="str">
        <x:v>koazzi_brand</x:v>
      </x:c>
      <x:c r="Q572" s="16" t="str"/>
      <x:c r="R572" s="16" t="str">
        <x:v>用户想寻找Koazzi品牌的人字拖。</x:v>
      </x:c>
      <x:c r="S572" s="13" t="str">
        <x:v>brand_harvest</x:v>
      </x:c>
      <x:c r="T572" s="16" t="str">
        <x:v>explicit | inferred</x:v>
      </x:c>
      <x:c r="U572" s="13" t="str">
        <x:v>medium</x:v>
      </x:c>
      <x:c r="V572" s="16" t="str">
        <x:v>koazzi_flip_flops</x:v>
      </x:c>
      <x:c r="W572" s="16" t="str">
        <x:v>semantic_negative_candidate</x:v>
      </x:c>
      <x:c r="X572" s="16" t="str">
        <x:v>{"primary_domain":[{"value":"clothing_shoes_jewelry","evidence_type":"inferred","source_span":"","fact_ids":[],"rationale":"人字拖属于鞋类产品。"}],"product_type":[{"value":"flip_flops","evidence_type":"explicit","source_span":"flip flops","fact_ids":[],"rationale":"搜索词明确提到flip flops。"},{"value":"flip_flops","evidence_type":"page_validated","source_span":"","fact_ids":["style_flip_flop"],"rationale":"该槽位与商品基准中的明示页面事实一致。"}],"substitute_intent":[{"value":"koazzi_brand","evidence_type":"explicit","source_span":"koazzi","fact_ids":[],"rationale":"搜索词提到Koazzi品牌名。"}],"brand":[{"value":"koazzi","evidence_type":"explicit","source_span":"koazzi","fact_ids":[],"rationale":"搜索词指名Koazzi品牌。"}]}</x:v>
      </x:c>
      <x:c r="Y572" s="16" t="str"/>
      <x:c r="Z572" s="13" t="str">
        <x:v>mismatch</x:v>
      </x:c>
      <x:c r="AA572" s="16" t="str">
        <x:v>style_flip_flop</x:v>
      </x:c>
      <x:c r="AB572" s="13" t="str">
        <x:v>accepted</x:v>
      </x:c>
      <x:c r="AC572" s="13" t="str">
        <x:v>1.0.0</x:v>
      </x:c>
      <x:c r="AD572" s="13" t="str">
        <x:v>1.1.0</x:v>
      </x:c>
      <x:c r="AE572" s="13" t="str">
        <x:v>deepseek/deepseek-v4-pro</x:v>
      </x:c>
      <x:c r="AF572" s="13" t="str">
        <x:v>aj2-y90-20260714T234810-0bea2f52</x:v>
      </x:c>
      <x:c r="AG572" s="13" t="str">
        <x:v>full-0029</x:v>
      </x:c>
      <x:c r="AH572" s="13" t="str">
        <x:v>full</x:v>
      </x:c>
      <x:c r="AI572" s="13" t="n">
        <x:v>29</x:v>
      </x:c>
    </x:row>
    <x:row r="573" ht="34" customHeight="1">
      <x:c r="A573" s="15" t="str">
        <x:v>womens poolside flip flops</x:v>
      </x:c>
      <x:c r="B573" s="15" t="str">
        <x:v>womens poolside flip flops</x:v>
      </x:c>
      <x:c r="C573" s="10" t="str">
        <x:v>91e956142b633e19</x:v>
      </x:c>
      <x:c r="D573" s="10" t="str">
        <x:v>keyword</x:v>
      </x:c>
      <x:c r="E573" s="10" t="str">
        <x:v>en</x:v>
      </x:c>
      <x:c r="F573" s="10" t="str">
        <x:v>clothing_shoes_jewelry</x:v>
      </x:c>
      <x:c r="G573" s="15" t="str">
        <x:v>sports_outdoors</x:v>
      </x:c>
      <x:c r="H573" s="15" t="str">
        <x:v>flip_flops</x:v>
      </x:c>
      <x:c r="I573" s="15" t="str">
        <x:v>women</x:v>
      </x:c>
      <x:c r="J573" s="15" t="str">
        <x:v>water_ready</x:v>
      </x:c>
      <x:c r="K573" s="15" t="str"/>
      <x:c r="L573" s="15" t="str">
        <x:v>pool_activity</x:v>
      </x:c>
      <x:c r="M573" s="15" t="str">
        <x:v>poolside</x:v>
      </x:c>
      <x:c r="N573" s="15" t="str"/>
      <x:c r="O573" s="15" t="str"/>
      <x:c r="P573" s="15" t="str"/>
      <x:c r="Q573" s="15" t="str"/>
      <x:c r="R573" s="15" t="str">
        <x:v>用户想寻找适合泳池边穿着的女士人字拖。</x:v>
      </x:c>
      <x:c r="S573" s="10" t="str">
        <x:v>consideration</x:v>
      </x:c>
      <x:c r="T573" s="15" t="str">
        <x:v>explicit | page_validated | inferred</x:v>
      </x:c>
      <x:c r="U573" s="10" t="str">
        <x:v>medium</x:v>
      </x:c>
      <x:c r="V573" s="15" t="str">
        <x:v>womens_poolside_flip_flops</x:v>
      </x:c>
      <x:c r="W573" s="15" t="str">
        <x:v>listing_gap_review</x:v>
      </x:c>
      <x:c r="X573" s="15" t="str">
        <x:v>{"primary_domain":[{"value":"clothing_shoes_jewelry","evidence_type":"inferred","source_span":"","fact_ids":[],"rationale":"人字拖属于鞋类产品。"}],"product_type":[{"value":"flip_flops","evidence_type":"explicit","source_span":"flip flops","fact_ids":[],"rationale":"搜索词明确提到flip flops。"},{"value":"flip_flops","evidence_type":"page_validated","source_span":"","fact_ids":["style_flip_flop"],"rationale":"产品页面确认为人字拖。"}],"audience_intent":[{"value":"women","evidence_type":"explicit","source_span":"womens","fact_ids":[],"rationale":"搜索词明确提到womens。"},{"value":"women","evidence_type":"page_validated","source_span":"","fact_ids":["title_womens_flip_flop"],"rationale":"产品标题定位为女款。"}],"location_intent":[{"value":"poolside","evidence_type":"explicit","source_span":"poolside","fact_ids":[],"rationale":"搜索词明确提到poolside。"}],"event_intent":[{"value":"pool_activity","evidence_type":"inferred","source_span":"poolside","fact_ids":[],"rationale":"泳池边对应泳池活动场景。"}],"function_intent":[{"value":"water_ready","evidence_type":"inferred","source_span":"poolside","fact_ids":[],"rationale":"泳池环境需接触水。"}],"secondary_domain":[{"value":"sports_outdoors","evidence_type":"page_validated","source_span":"","fact_ids":["style_outdoor","easy_clean","slip_resistant_grip"],"rationale":"户外定位与易清洁防滑适配。"}]}</x:v>
      </x:c>
      <x:c r="Y573" s="15" t="str"/>
      <x:c r="Z573" s="10" t="str">
        <x:v>partial_match</x:v>
      </x:c>
      <x:c r="AA573" s="15" t="str">
        <x:v>title_womens_flip_flop | style_flip_flop | easy_clean | slip_resistant_grip</x:v>
      </x:c>
      <x:c r="AB573" s="10" t="str">
        <x:v>accepted</x:v>
      </x:c>
      <x:c r="AC573" s="10" t="str">
        <x:v>1.0.0</x:v>
      </x:c>
      <x:c r="AD573" s="10" t="str">
        <x:v>1.1.0</x:v>
      </x:c>
      <x:c r="AE573" s="10" t="str">
        <x:v>deepseek/deepseek-v4-pro</x:v>
      </x:c>
      <x:c r="AF573" s="10" t="str">
        <x:v>aj2-y90-20260714T234810-0bea2f52</x:v>
      </x:c>
      <x:c r="AG573" s="10" t="str">
        <x:v>full-0029</x:v>
      </x:c>
      <x:c r="AH573" s="10" t="str">
        <x:v>full</x:v>
      </x:c>
      <x:c r="AI573" s="10" t="n">
        <x:v>29</x:v>
      </x:c>
    </x:row>
    <x:row r="574" ht="34" customHeight="1">
      <x:c r="A574" s="16" t="str">
        <x:v>waterproof beach pool womens flip flops</x:v>
      </x:c>
      <x:c r="B574" s="16" t="str">
        <x:v>waterproof beach pool womens flip flops</x:v>
      </x:c>
      <x:c r="C574" s="13" t="str">
        <x:v>9d3714e83e98e69f</x:v>
      </x:c>
      <x:c r="D574" s="13" t="str">
        <x:v>keyword</x:v>
      </x:c>
      <x:c r="E574" s="13" t="str">
        <x:v>en</x:v>
      </x:c>
      <x:c r="F574" s="13" t="str">
        <x:v>clothing_shoes_jewelry</x:v>
      </x:c>
      <x:c r="G574" s="16" t="str">
        <x:v>sports_outdoors</x:v>
      </x:c>
      <x:c r="H574" s="16" t="str">
        <x:v>flip_flops</x:v>
      </x:c>
      <x:c r="I574" s="16" t="str">
        <x:v>women</x:v>
      </x:c>
      <x:c r="J574" s="16" t="str">
        <x:v>water_ready</x:v>
      </x:c>
      <x:c r="K574" s="16" t="str">
        <x:v>waterproof</x:v>
      </x:c>
      <x:c r="L574" s="16" t="str">
        <x:v>beach_outing | pool_activity</x:v>
      </x:c>
      <x:c r="M574" s="16" t="str">
        <x:v>beach | pool</x:v>
      </x:c>
      <x:c r="N574" s="16" t="str"/>
      <x:c r="O574" s="16" t="str"/>
      <x:c r="P574" s="16" t="str"/>
      <x:c r="Q574" s="16" t="str"/>
      <x:c r="R574" s="16" t="str">
        <x:v>用户想寻找防水、适合海滩和泳池使用的女士人字拖。</x:v>
      </x:c>
      <x:c r="S574" s="13" t="str">
        <x:v>consideration</x:v>
      </x:c>
      <x:c r="T574" s="16" t="str">
        <x:v>explicit | inferred</x:v>
      </x:c>
      <x:c r="U574" s="13" t="str">
        <x:v>medium</x:v>
      </x:c>
      <x:c r="V574" s="16" t="str">
        <x:v>waterproof_beach_pool_womens_flip_flops</x:v>
      </x:c>
      <x:c r="W574" s="16" t="str">
        <x:v>listing_gap_review</x:v>
      </x:c>
      <x:c r="X574" s="16" t="str">
        <x:v>{"primary_domain":[{"value":"clothing_shoes_jewelry","evidence_type":"inferred","source_span":"","fact_ids":[],"rationale":"人字拖属于鞋类产品。"}],"product_type":[{"value":"flip_flops","evidence_type":"explicit","source_span":"flip flops","fact_ids":[],"rationale":"搜索词明确提到flip flops。"},{"value":"flip_flops","evidence_type":"page_validated","source_span":"","fact_ids":["style_flip_flop"],"rationale":"该槽位与商品基准中的明示页面事实一致。"}],"audience_intent":[{"value":"women","evidence_type":"explicit","source_span":"womens","fact_ids":[],"rationale":"搜索词明确提到womens。"},{"value":"women","evidence_type":"page_validated","source_span":"","fact_ids":["title_womens_flip_flop"],"rationale":"该槽位与商品基准中的明示页面事实一致。"}],"capability_intent":[{"value":"waterproof","evidence_type":"explicit","source_span":"waterproof","fact_ids":[],"rationale":"搜索词明确要求防水。"}],"location_intent":[{"value":"beach","evidence_type":"explicit","source_span":"beach","fact_ids":[],"rationale":"搜索词明确提到beach。"},{"value":"pool","evidence_type":"explicit","source_span":"pool","fact_ids":[],"rationale":"搜索词明确提到pool。"}],"event_intent":[{"value":"beach_outing","evidence_type":"explicit","source_span":"beach","fact_ids":[],"rationale":"海滩对应沙滩出行。"},{"value":"pool_activity","evidence_type":"explicit","source_span":"pool","fact_ids":[],"rationale":"泳池对应泳池活动。"}],"function_intent":[{"value":"water_ready","evidence_type":"inferred","source_span":"waterproof","fact_ids":[],"rationale":"防水能力为涉水场景所需。"}],"secondary_domain":[{"value":"sports_outdoors","evidence_type":"inferred","source_span":"beach pool","fact_ids":[],"rationale":"海滩泳池属户外运动场景。"}]}</x:v>
      </x:c>
      <x:c r="Y574" s="16" t="str"/>
      <x:c r="Z574" s="13" t="str">
        <x:v>partial_match</x:v>
      </x:c>
      <x:c r="AA574" s="16" t="str">
        <x:v>title_womens_flip_flop | style_flip_flop</x:v>
      </x:c>
      <x:c r="AB574" s="13" t="str">
        <x:v>accepted</x:v>
      </x:c>
      <x:c r="AC574" s="13" t="str">
        <x:v>1.0.0</x:v>
      </x:c>
      <x:c r="AD574" s="13" t="str">
        <x:v>1.1.0</x:v>
      </x:c>
      <x:c r="AE574" s="13" t="str">
        <x:v>deepseek/deepseek-v4-pro</x:v>
      </x:c>
      <x:c r="AF574" s="13" t="str">
        <x:v>aj2-y90-20260714T234810-0bea2f52</x:v>
      </x:c>
      <x:c r="AG574" s="13" t="str">
        <x:v>full-0029</x:v>
      </x:c>
      <x:c r="AH574" s="13" t="str">
        <x:v>full</x:v>
      </x:c>
      <x:c r="AI574" s="13" t="n">
        <x:v>29</x:v>
      </x:c>
    </x:row>
    <x:row r="575" ht="34" customHeight="1">
      <x:c r="A575" s="15" t="str">
        <x:v>flip flops foam</x:v>
      </x:c>
      <x:c r="B575" s="15" t="str">
        <x:v>flip flops foam</x:v>
      </x:c>
      <x:c r="C575" s="10" t="str">
        <x:v>a0f839d6ee8b3fc5</x:v>
      </x:c>
      <x:c r="D575" s="10" t="str">
        <x:v>keyword</x:v>
      </x:c>
      <x:c r="E575" s="10" t="str">
        <x:v>en</x:v>
      </x:c>
      <x:c r="F575" s="10" t="str">
        <x:v>clothing_shoes_jewelry</x:v>
      </x:c>
      <x:c r="G575" s="15" t="str"/>
      <x:c r="H575" s="15" t="str">
        <x:v>flip_flops</x:v>
      </x:c>
      <x:c r="I575" s="15" t="str"/>
      <x:c r="J575" s="15" t="str"/>
      <x:c r="K575" s="15" t="str">
        <x:v>foam_material</x:v>
      </x:c>
      <x:c r="L575" s="15" t="str"/>
      <x:c r="M575" s="15" t="str"/>
      <x:c r="N575" s="15" t="str"/>
      <x:c r="O575" s="15" t="str"/>
      <x:c r="P575" s="15" t="str"/>
      <x:c r="Q575" s="15" t="str"/>
      <x:c r="R575" s="15" t="str">
        <x:v>用户想寻找泡沫材质的人字拖。</x:v>
      </x:c>
      <x:c r="S575" s="10" t="str">
        <x:v>consideration</x:v>
      </x:c>
      <x:c r="T575" s="15" t="str">
        <x:v>explicit | page_validated | inferred</x:v>
      </x:c>
      <x:c r="U575" s="10" t="str">
        <x:v>high</x:v>
      </x:c>
      <x:c r="V575" s="15" t="str">
        <x:v>foam_flip_flops</x:v>
      </x:c>
      <x:c r="W575" s="15" t="str">
        <x:v>cluster_route</x:v>
      </x:c>
      <x:c r="X575" s="15" t="str">
        <x:v>{"primary_domain":[{"value":"clothing_shoes_jewelry","evidence_type":"inferred","source_span":"","fact_ids":[],"rationale":"人字拖属于鞋类。"}],"product_type":[{"value":"flip_flops","evidence_type":"explicit","source_span":"flip flops","fact_ids":[],"rationale":"搜索词明确提到flip flops。"},{"value":"flip_flops","evidence_type":"page_validated","source_span":"","fact_ids":["style_flip_flop"],"rationale":"产品页面确认为人字拖。"}],"capability_intent":[{"value":"foam_material","evidence_type":"explicit","source_span":"foam","fact_ids":[],"rationale":"搜索词明确要求泡沫材质。"},{"value":"foam_material","evidence_type":"page_validated","source_span":"","fact_ids":["material_eva"],"rationale":"EVA即为泡沫材质。"}]}</x:v>
      </x:c>
      <x:c r="Y575" s="15" t="str"/>
      <x:c r="Z575" s="10" t="str">
        <x:v>match</x:v>
      </x:c>
      <x:c r="AA575" s="15" t="str">
        <x:v>style_flip_flop | material_eva</x:v>
      </x:c>
      <x:c r="AB575" s="10" t="str">
        <x:v>accepted</x:v>
      </x:c>
      <x:c r="AC575" s="10" t="str">
        <x:v>1.0.0</x:v>
      </x:c>
      <x:c r="AD575" s="10" t="str">
        <x:v>1.1.0</x:v>
      </x:c>
      <x:c r="AE575" s="10" t="str">
        <x:v>deepseek/deepseek-v4-pro</x:v>
      </x:c>
      <x:c r="AF575" s="10" t="str">
        <x:v>aj2-y90-20260714T234810-0bea2f52</x:v>
      </x:c>
      <x:c r="AG575" s="10" t="str">
        <x:v>full-0029</x:v>
      </x:c>
      <x:c r="AH575" s="10" t="str">
        <x:v>full</x:v>
      </x:c>
      <x:c r="AI575" s="10" t="n">
        <x:v>29</x:v>
      </x:c>
    </x:row>
    <x:row r="576" ht="34" customHeight="1">
      <x:c r="A576" s="16" t="str">
        <x:v>women’s beach sandals</x:v>
      </x:c>
      <x:c r="B576" s="16" t="str">
        <x:v>women’s beach sandals</x:v>
      </x:c>
      <x:c r="C576" s="13" t="str">
        <x:v>b7be6bcd62e72b70</x:v>
      </x:c>
      <x:c r="D576" s="13" t="str">
        <x:v>keyword</x:v>
      </x:c>
      <x:c r="E576" s="13" t="str">
        <x:v>en</x:v>
      </x:c>
      <x:c r="F576" s="13" t="str">
        <x:v>clothing_shoes_jewelry</x:v>
      </x:c>
      <x:c r="G576" s="16" t="str">
        <x:v>sports_outdoors</x:v>
      </x:c>
      <x:c r="H576" s="16" t="str">
        <x:v>sandals</x:v>
      </x:c>
      <x:c r="I576" s="16" t="str">
        <x:v>women</x:v>
      </x:c>
      <x:c r="J576" s="16" t="str"/>
      <x:c r="K576" s="16" t="str"/>
      <x:c r="L576" s="16" t="str">
        <x:v>beach_outing</x:v>
      </x:c>
      <x:c r="M576" s="16" t="str">
        <x:v>beach</x:v>
      </x:c>
      <x:c r="N576" s="16" t="str"/>
      <x:c r="O576" s="16" t="str"/>
      <x:c r="P576" s="16" t="str"/>
      <x:c r="Q576" s="16" t="str"/>
      <x:c r="R576" s="16" t="str">
        <x:v>用户想寻找适合海滩穿着的女士凉鞋。</x:v>
      </x:c>
      <x:c r="S576" s="13" t="str">
        <x:v>exploration</x:v>
      </x:c>
      <x:c r="T576" s="16" t="str">
        <x:v>explicit | page_validated | inferred</x:v>
      </x:c>
      <x:c r="U576" s="13" t="str">
        <x:v>high</x:v>
      </x:c>
      <x:c r="V576" s="16" t="str">
        <x:v>womens_beach_sandals</x:v>
      </x:c>
      <x:c r="W576" s="16" t="str">
        <x:v>cluster_route</x:v>
      </x:c>
      <x:c r="X576" s="16" t="str">
        <x:v>{"primary_domain":[{"value":"clothing_shoes_jewelry","evidence_type":"inferred","source_span":"","fact_ids":[],"rationale":"凉鞋属于鞋类产品。"}],"product_type":[{"value":"sandals","evidence_type":"explicit","source_span":"sandals","fact_ids":[],"rationale":"搜索词明确提到sandals。"},{"value":"sandals","evidence_type":"page_validated","source_span":"","fact_ids":["style_flip_flop","style_open_toe"],"rationale":"人字拖为凉鞋子类。"}],"audience_intent":[{"value":"women","evidence_type":"explicit","source_span":"women","fact_ids":[],"rationale":"搜索词明确提到women。"},{"value":"women","evidence_type":"page_validated","source_span":"","fact_ids":["title_womens_flip_flop"],"rationale":"产品标题定位为女款。"}],"location_intent":[{"value":"beach","evidence_type":"explicit","source_span":"beach","fact_ids":[],"rationale":"搜索词明确提到beach。"}],"event_intent":[{"value":"beach_outing","evidence_type":"explicit","source_span":"beach","fact_ids":[],"rationale":"海滩场景对应沙滩出行。"}],"secondary_domain":[{"value":"sports_outdoors","evidence_type":"page_validated","source_span":"","fact_ids":["style_outdoor"],"rationale":"产品定位为户外生活。"}]}</x:v>
      </x:c>
      <x:c r="Y576" s="16" t="str"/>
      <x:c r="Z576" s="13" t="str">
        <x:v>match</x:v>
      </x:c>
      <x:c r="AA576" s="16" t="str">
        <x:v>title_womens_flip_flop | style_flip_flop | style_outdoor | style_open_toe</x:v>
      </x:c>
      <x:c r="AB576" s="13" t="str">
        <x:v>accepted</x:v>
      </x:c>
      <x:c r="AC576" s="13" t="str">
        <x:v>1.0.0</x:v>
      </x:c>
      <x:c r="AD576" s="13" t="str">
        <x:v>1.1.0</x:v>
      </x:c>
      <x:c r="AE576" s="13" t="str">
        <x:v>deepseek/deepseek-v4-pro</x:v>
      </x:c>
      <x:c r="AF576" s="13" t="str">
        <x:v>aj2-y90-20260714T234810-0bea2f52</x:v>
      </x:c>
      <x:c r="AG576" s="13" t="str">
        <x:v>full-0029</x:v>
      </x:c>
      <x:c r="AH576" s="13" t="str">
        <x:v>full</x:v>
      </x:c>
      <x:c r="AI576" s="13" t="n">
        <x:v>29</x:v>
      </x:c>
    </x:row>
    <x:row r="577" ht="34" customHeight="1">
      <x:c r="A577" s="15" t="str">
        <x:v>womens flip flops beach comfort</x:v>
      </x:c>
      <x:c r="B577" s="15" t="str">
        <x:v>womens flip flops beach comfort</x:v>
      </x:c>
      <x:c r="C577" s="10" t="str">
        <x:v>b8de8aeb3b89ab8d</x:v>
      </x:c>
      <x:c r="D577" s="10" t="str">
        <x:v>keyword</x:v>
      </x:c>
      <x:c r="E577" s="10" t="str">
        <x:v>en</x:v>
      </x:c>
      <x:c r="F577" s="10" t="str">
        <x:v>clothing_shoes_jewelry</x:v>
      </x:c>
      <x:c r="G577" s="15" t="str">
        <x:v>sports_outdoors</x:v>
      </x:c>
      <x:c r="H577" s="15" t="str">
        <x:v>flip_flops</x:v>
      </x:c>
      <x:c r="I577" s="15" t="str">
        <x:v>women</x:v>
      </x:c>
      <x:c r="J577" s="15" t="str">
        <x:v>comfort | beach_use</x:v>
      </x:c>
      <x:c r="K577" s="15" t="str"/>
      <x:c r="L577" s="15" t="str">
        <x:v>beach_outing</x:v>
      </x:c>
      <x:c r="M577" s="15" t="str">
        <x:v>beach</x:v>
      </x:c>
      <x:c r="N577" s="15" t="str"/>
      <x:c r="O577" s="15" t="str"/>
      <x:c r="P577" s="15" t="str"/>
      <x:c r="Q577" s="15" t="str"/>
      <x:c r="R577" s="15" t="str">
        <x:v>用户想寻找适合海滩穿着且舒适的女性人字拖。</x:v>
      </x:c>
      <x:c r="S577" s="10" t="str">
        <x:v>consideration</x:v>
      </x:c>
      <x:c r="T577" s="15" t="str">
        <x:v>explicit | page_validated | inferred</x:v>
      </x:c>
      <x:c r="U577" s="10" t="str">
        <x:v>high</x:v>
      </x:c>
      <x:c r="V577" s="15" t="str">
        <x:v>womens_beach_comfort_flip_flops</x:v>
      </x:c>
      <x:c r="W577" s="15" t="str">
        <x:v>cluster_route</x:v>
      </x:c>
      <x:c r="X577" s="15" t="str">
        <x:v>{"primary_domain":[{"value":"clothing_shoes_jewelry","evidence_type":"inferred","source_span":"","fact_ids":[],"rationale":"人字拖属于鞋类产品。"}],"product_type":[{"value":"flip_flops","evidence_type":"explicit","source_span":"flip flops","fact_ids":[],"rationale":"搜索词明确提到flip flops。"},{"value":"flip_flops","evidence_type":"page_validated","source_span":"","fact_ids":["style_flip_flop"],"rationale":"产品页面确认为人字拖。"}],"audience_intent":[{"value":"women","evidence_type":"explicit","source_span":"womens","fact_ids":[],"rationale":"搜索词明确提到womens。"},{"value":"women","evidence_type":"page_validated","source_span":"","fact_ids":["title_womens_flip_flop"],"rationale":"产品标题定位为女款。"}],"location_intent":[{"value":"beach","evidence_type":"explicit","source_span":"beach","fact_ids":[],"rationale":"搜索词明确提到beach。"}],"event_intent":[{"value":"beach_outing","evidence_type":"explicit","source_span":"beach","fact_ids":[],"rationale":"海滩对应沙滩出行活动。"}],"function_intent":[{"value":"comfort","evidence_type":"explicit","source_span":"comfort","fact_ids":[],"rationale":"搜索词明确要求舒适。"},{"value":"comfort","evidence_type":"page_validated","source_span":"","fact_ids":["arch_support","padded_cushioning","soft_toe_post"],"rationale":"多项舒适功能支撑。"},{"value":"beach_use","evidence_type":"explicit","source_span":"beach","fact_ids":[],"rationale":"海滩穿着为使用场景。"}],"secondary_domain":[{"value":"sports_outdoors","evidence_type":"page_validated","source_span":"","fact_ids":["style_outdoor"],"rationale":"产品定位为户外生活。"}]}</x:v>
      </x:c>
      <x:c r="Y577" s="15" t="str"/>
      <x:c r="Z577" s="10" t="str">
        <x:v>match</x:v>
      </x:c>
      <x:c r="AA577" s="15" t="str">
        <x:v>title_womens_flip_flop | style_flip_flop | arch_support | padded_cushioning | soft_toe_post | style_outdoor</x:v>
      </x:c>
      <x:c r="AB577" s="10" t="str">
        <x:v>accepted</x:v>
      </x:c>
      <x:c r="AC577" s="10" t="str">
        <x:v>1.0.0</x:v>
      </x:c>
      <x:c r="AD577" s="10" t="str">
        <x:v>1.1.0</x:v>
      </x:c>
      <x:c r="AE577" s="10" t="str">
        <x:v>deepseek/deepseek-v4-pro</x:v>
      </x:c>
      <x:c r="AF577" s="10" t="str">
        <x:v>aj2-y90-20260714T234810-0bea2f52</x:v>
      </x:c>
      <x:c r="AG577" s="10" t="str">
        <x:v>full-0029</x:v>
      </x:c>
      <x:c r="AH577" s="10" t="str">
        <x:v>full</x:v>
      </x:c>
      <x:c r="AI577" s="10" t="n">
        <x:v>29</x:v>
      </x:c>
    </x:row>
    <x:row r="578" ht="34" customHeight="1">
      <x:c r="A578" s="16" t="str">
        <x:v>white foam flip flops women</x:v>
      </x:c>
      <x:c r="B578" s="16" t="str">
        <x:v>white foam flip flops women</x:v>
      </x:c>
      <x:c r="C578" s="13" t="str">
        <x:v>bd32ee2128ef53ae</x:v>
      </x:c>
      <x:c r="D578" s="13" t="str">
        <x:v>keyword</x:v>
      </x:c>
      <x:c r="E578" s="13" t="str">
        <x:v>en</x:v>
      </x:c>
      <x:c r="F578" s="13" t="str">
        <x:v>clothing_shoes_jewelry</x:v>
      </x:c>
      <x:c r="G578" s="16" t="str"/>
      <x:c r="H578" s="16" t="str">
        <x:v>flip_flops</x:v>
      </x:c>
      <x:c r="I578" s="16" t="str">
        <x:v>women</x:v>
      </x:c>
      <x:c r="J578" s="16" t="str"/>
      <x:c r="K578" s="16" t="str">
        <x:v>foam_material</x:v>
      </x:c>
      <x:c r="L578" s="16" t="str"/>
      <x:c r="M578" s="16" t="str"/>
      <x:c r="N578" s="16" t="str"/>
      <x:c r="O578" s="16" t="str"/>
      <x:c r="P578" s="16" t="str"/>
      <x:c r="Q578" s="16" t="str"/>
      <x:c r="R578" s="16" t="str">
        <x:v>用户想寻找白色泡沫材质的女士人字拖。</x:v>
      </x:c>
      <x:c r="S578" s="13" t="str">
        <x:v>high_intent</x:v>
      </x:c>
      <x:c r="T578" s="16" t="str">
        <x:v>explicit | page_validated | inferred</x:v>
      </x:c>
      <x:c r="U578" s="13" t="str">
        <x:v>high</x:v>
      </x:c>
      <x:c r="V578" s="16" t="str">
        <x:v>white_foam_womens_flip_flops</x:v>
      </x:c>
      <x:c r="W578" s="16" t="str">
        <x:v>cluster_route</x:v>
      </x:c>
      <x:c r="X578" s="16" t="str">
        <x:v>{"primary_domain":[{"value":"clothing_shoes_jewelry","evidence_type":"inferred","source_span":"","fact_ids":[],"rationale":"人字拖属于鞋类产品。"}],"product_type":[{"value":"flip_flops","evidence_type":"explicit","source_span":"flip flops","fact_ids":[],"rationale":"搜索词明确提到flip flops。"},{"value":"flip_flops","evidence_type":"page_validated","source_span":"","fact_ids":["style_flip_flop"],"rationale":"产品页面确认为人字拖。"}],"audience_intent":[{"value":"women","evidence_type":"explicit","source_span":"women","fact_ids":[],"rationale":"搜索词明确提到women。"},{"value":"women","evidence_type":"page_validated","source_span":"","fact_ids":["title_womens_flip_flop"],"rationale":"产品标题定位为女款。"}],"capability_intent":[{"value":"foam_material","evidence_type":"explicit","source_span":"foam","fact_ids":[],"rationale":"搜索词明确要求泡沫材质。"},{"value":"foam_material","evidence_type":"page_validated","source_span":"","fact_ids":["material_eva"],"rationale":"EVA即为泡沫材质。"}],"color":[{"value":"white","evidence_type":"explicit","source_span":"white","fact_ids":[],"rationale":"该颜色在商品页面可见颜色选择中得到明确支持。"},{"value":"white","evidence_type":"page_validated","source_span":"","fact_ids":["colors_visible"],"rationale":"该颜色在商品页面可见颜色选择中得到明确支持。"}]}</x:v>
      </x:c>
      <x:c r="Y578" s="16" t="str"/>
      <x:c r="Z578" s="13" t="str">
        <x:v>match</x:v>
      </x:c>
      <x:c r="AA578" s="16" t="str">
        <x:v>title_womens_flip_flop | style_flip_flop | material_eva | colors_visible</x:v>
      </x:c>
      <x:c r="AB578" s="13" t="str">
        <x:v>accepted</x:v>
      </x:c>
      <x:c r="AC578" s="13" t="str">
        <x:v>1.0.0</x:v>
      </x:c>
      <x:c r="AD578" s="13" t="str">
        <x:v>1.1.0</x:v>
      </x:c>
      <x:c r="AE578" s="13" t="str">
        <x:v>deepseek/deepseek-v4-pro</x:v>
      </x:c>
      <x:c r="AF578" s="13" t="str">
        <x:v>aj2-y90-20260714T234810-0bea2f52</x:v>
      </x:c>
      <x:c r="AG578" s="13" t="str">
        <x:v>full-0029</x:v>
      </x:c>
      <x:c r="AH578" s="13" t="str">
        <x:v>full</x:v>
      </x:c>
      <x:c r="AI578" s="13" t="n">
        <x:v>29</x:v>
      </x:c>
    </x:row>
    <x:row r="579" ht="34" customHeight="1">
      <x:c r="A579" s="15" t="str">
        <x:v>burgundy women flip flops size 11</x:v>
      </x:c>
      <x:c r="B579" s="15" t="str">
        <x:v>burgundy women flip flops size 11</x:v>
      </x:c>
      <x:c r="C579" s="10" t="str">
        <x:v>d5374383145d7056</x:v>
      </x:c>
      <x:c r="D579" s="10" t="str">
        <x:v>keyword</x:v>
      </x:c>
      <x:c r="E579" s="10" t="str">
        <x:v>en</x:v>
      </x:c>
      <x:c r="F579" s="10" t="str">
        <x:v>clothing_shoes_jewelry</x:v>
      </x:c>
      <x:c r="G579" s="15" t="str"/>
      <x:c r="H579" s="15" t="str">
        <x:v>flip_flops</x:v>
      </x:c>
      <x:c r="I579" s="15" t="str">
        <x:v>women</x:v>
      </x:c>
      <x:c r="J579" s="15" t="str"/>
      <x:c r="K579" s="15" t="str"/>
      <x:c r="L579" s="15" t="str"/>
      <x:c r="M579" s="15" t="str"/>
      <x:c r="N579" s="15" t="str"/>
      <x:c r="O579" s="15" t="str"/>
      <x:c r="P579" s="15" t="str"/>
      <x:c r="Q579" s="15" t="str"/>
      <x:c r="R579" s="15" t="str">
        <x:v>用户想购买一双酒红色女士人字拖，尺码需为11码。</x:v>
      </x:c>
      <x:c r="S579" s="10" t="str">
        <x:v>high_intent</x:v>
      </x:c>
      <x:c r="T579" s="15" t="str">
        <x:v>explicit | page_validated | inferred</x:v>
      </x:c>
      <x:c r="U579" s="10" t="str">
        <x:v>medium</x:v>
      </x:c>
      <x:c r="V579" s="15" t="str">
        <x:v>womens_flip_flops_color_size</x:v>
      </x:c>
      <x:c r="W579" s="15" t="str">
        <x:v>listing_gap_review</x:v>
      </x:c>
      <x:c r="X579" s="15" t="str">
        <x:v>{"primary_domain":[{"value":"clothing_shoes_jewelry","evidence_type":"inferred","source_span":"","fact_ids":[],"rationale":"人字拖属于鞋类产品。"}],"product_type":[{"value":"flip_flops","evidence_type":"explicit","source_span":"flip flops","fact_ids":[],"rationale":"搜索词明确提到flip flops。"},{"value":"flip_flops","evidence_type":"page_validated","source_span":"","fact_ids":["style_flip_flop"],"rationale":"产品页面确认为人字拖款式。"}],"audience_intent":[{"value":"women","evidence_type":"explicit","source_span":"women","fact_ids":[],"rationale":"搜索词明确提到women。"},{"value":"women","evidence_type":"page_validated","source_span":"","fact_ids":["title_womens_flip_flop"],"rationale":"产品标题定位为女款。"}],"color":[{"value":"burgundy","evidence_type":"explicit","source_span":"burgundy","fact_ids":[],"rationale":"搜索词明确要求酒红色。"}],"size":[{"value":"11","evidence_type":"explicit","source_span":"size 11","fact_ids":[],"rationale":"搜索词明确要求11码。"},{"value":"11","evidence_type":"page_validated","source_span":"","fact_ids":["sizes_6_11"],"rationale":"尺码表包含11码。"}]}</x:v>
      </x:c>
      <x:c r="Y579" s="15" t="str"/>
      <x:c r="Z579" s="10" t="str">
        <x:v>partial_match</x:v>
      </x:c>
      <x:c r="AA579" s="15" t="str">
        <x:v>title_womens_flip_flop | style_flip_flop | sizes_6_11</x:v>
      </x:c>
      <x:c r="AB579" s="10" t="str">
        <x:v>accepted</x:v>
      </x:c>
      <x:c r="AC579" s="10" t="str">
        <x:v>1.0.0</x:v>
      </x:c>
      <x:c r="AD579" s="10" t="str">
        <x:v>1.1.0</x:v>
      </x:c>
      <x:c r="AE579" s="10" t="str">
        <x:v>deepseek/deepseek-v4-pro</x:v>
      </x:c>
      <x:c r="AF579" s="10" t="str">
        <x:v>aj2-y90-20260714T234810-0bea2f52</x:v>
      </x:c>
      <x:c r="AG579" s="10" t="str">
        <x:v>full-0029</x:v>
      </x:c>
      <x:c r="AH579" s="10" t="str">
        <x:v>full</x:v>
      </x:c>
      <x:c r="AI579" s="10" t="n">
        <x:v>29</x:v>
      </x:c>
    </x:row>
    <x:row r="580" ht="34" customHeight="1">
      <x:c r="A580" s="16" t="str">
        <x:v>lightweight flipflops for women arch support</x:v>
      </x:c>
      <x:c r="B580" s="16" t="str">
        <x:v>lightweight flipflops for women arch support</x:v>
      </x:c>
      <x:c r="C580" s="13" t="str">
        <x:v>d7ebf145a0baf3e6</x:v>
      </x:c>
      <x:c r="D580" s="13" t="str">
        <x:v>keyword</x:v>
      </x:c>
      <x:c r="E580" s="13" t="str">
        <x:v>en</x:v>
      </x:c>
      <x:c r="F580" s="13" t="str">
        <x:v>clothing_shoes_jewelry</x:v>
      </x:c>
      <x:c r="G580" s="16" t="str"/>
      <x:c r="H580" s="16" t="str">
        <x:v>flip_flops</x:v>
      </x:c>
      <x:c r="I580" s="16" t="str">
        <x:v>women</x:v>
      </x:c>
      <x:c r="J580" s="16" t="str">
        <x:v>arch_support</x:v>
      </x:c>
      <x:c r="K580" s="16" t="str">
        <x:v>lightweight | arch_support</x:v>
      </x:c>
      <x:c r="L580" s="16" t="str"/>
      <x:c r="M580" s="16" t="str"/>
      <x:c r="N580" s="16" t="str">
        <x:v>arch_support</x:v>
      </x:c>
      <x:c r="O580" s="16" t="str"/>
      <x:c r="P580" s="16" t="str"/>
      <x:c r="Q580" s="16" t="str"/>
      <x:c r="R580" s="16" t="str">
        <x:v>用户想寻找轻便且具有足弓支撑功能的女性人字拖。</x:v>
      </x:c>
      <x:c r="S580" s="13" t="str">
        <x:v>consideration</x:v>
      </x:c>
      <x:c r="T580" s="16" t="str">
        <x:v>explicit | page_validated | inferred</x:v>
      </x:c>
      <x:c r="U580" s="13" t="str">
        <x:v>high</x:v>
      </x:c>
      <x:c r="V580" s="16" t="str">
        <x:v>lightweight_womens_arch_support_flip_flops</x:v>
      </x:c>
      <x:c r="W580" s="16" t="str">
        <x:v>cluster_route</x:v>
      </x:c>
      <x:c r="X580" s="16" t="str">
        <x:v>{"primary_domain":[{"value":"clothing_shoes_jewelry","evidence_type":"inferred","source_span":"","fact_ids":[],"rationale":"人字拖属于鞋类产品。"}],"product_type":[{"value":"flip_flops","evidence_type":"explicit","source_span":"flipflops","fact_ids":[],"rationale":"搜索词明确提到flipflops。"},{"value":"flip_flops","evidence_type":"page_validated","source_span":"","fact_ids":["style_flip_flop"],"rationale":"产品页面确认为人字拖。"},{"value":"flip_flops","evidence_type":"inferred","source_span":"","fact_ids":[],"rationale":"该能力由搜索词表达的任务或问题推断；页面事实仅用于验证商品承接。"}],"audience_intent":[{"value":"women","evidence_type":"explicit","source_span":"women","fact_ids":[],"rationale":"搜索词明确提到women。"},{"value":"women","evidence_type":"page_validated","source_span":"","fact_ids":["title_womens_flip_flop"],"rationale":"产品标题定位为女款。"}],"capability_intent":[{"value":"lightweight","evidence_type":"explicit","source_span":"lightweight","fact_ids":[],"rationale":"搜索词明确要求轻便。"},{"value":"lightweight","evidence_type":"page_validated","source_span":"","fact_ids":["lightweight_breathable"],"rationale":"页面声称超轻便。"},{"value":"arch_support","evidence_type":"explicit","source_span":"arch support","fact_ids":[],"rationale":"搜索词明确要求足弓支撑。"},{"value":"arch_support","evidence_type":"page_validated","source_span":"","fact_ids":["arch_support"],"rationale":"产品具备足弓支撑能力。"}]}</x:v>
      </x:c>
      <x:c r="Y580" s="16" t="str"/>
      <x:c r="Z580" s="13" t="str">
        <x:v>match</x:v>
      </x:c>
      <x:c r="AA580" s="16" t="str">
        <x:v>title_womens_flip_flop | style_flip_flop | lightweight_breathable | arch_support</x:v>
      </x:c>
      <x:c r="AB580" s="13" t="str">
        <x:v>accepted</x:v>
      </x:c>
      <x:c r="AC580" s="13" t="str">
        <x:v>1.0.0</x:v>
      </x:c>
      <x:c r="AD580" s="13" t="str">
        <x:v>1.1.0</x:v>
      </x:c>
      <x:c r="AE580" s="13" t="str">
        <x:v>deepseek/deepseek-v4-pro</x:v>
      </x:c>
      <x:c r="AF580" s="13" t="str">
        <x:v>aj2-y90-20260714T234810-0bea2f52</x:v>
      </x:c>
      <x:c r="AG580" s="13" t="str">
        <x:v>full-0029</x:v>
      </x:c>
      <x:c r="AH580" s="13" t="str">
        <x:v>full</x:v>
      </x:c>
      <x:c r="AI580" s="13" t="n">
        <x:v>29</x:v>
      </x:c>
    </x:row>
    <x:row r="581" ht="34" customHeight="1">
      <x:c r="A581" s="15" t="str">
        <x:v>woman flip flops size 7</x:v>
      </x:c>
      <x:c r="B581" s="15" t="str">
        <x:v>woman flip flops size 7</x:v>
      </x:c>
      <x:c r="C581" s="10" t="str">
        <x:v>e4a579d14ad2def1</x:v>
      </x:c>
      <x:c r="D581" s="10" t="str">
        <x:v>keyword</x:v>
      </x:c>
      <x:c r="E581" s="10" t="str">
        <x:v>en</x:v>
      </x:c>
      <x:c r="F581" s="10" t="str">
        <x:v>clothing_shoes_jewelry</x:v>
      </x:c>
      <x:c r="G581" s="15" t="str"/>
      <x:c r="H581" s="15" t="str">
        <x:v>flip_flops</x:v>
      </x:c>
      <x:c r="I581" s="15" t="str">
        <x:v>women</x:v>
      </x:c>
      <x:c r="J581" s="15" t="str"/>
      <x:c r="K581" s="15" t="str"/>
      <x:c r="L581" s="15" t="str"/>
      <x:c r="M581" s="15" t="str"/>
      <x:c r="N581" s="15" t="str"/>
      <x:c r="O581" s="15" t="str"/>
      <x:c r="P581" s="15" t="str"/>
      <x:c r="Q581" s="15" t="str"/>
      <x:c r="R581" s="15" t="str">
        <x:v>用户想购买一双女士人字拖，尺码7码。</x:v>
      </x:c>
      <x:c r="S581" s="10" t="str">
        <x:v>high_intent</x:v>
      </x:c>
      <x:c r="T581" s="15" t="str">
        <x:v>explicit | page_validated | inferred</x:v>
      </x:c>
      <x:c r="U581" s="10" t="str">
        <x:v>high</x:v>
      </x:c>
      <x:c r="V581" s="15" t="str">
        <x:v>womens_flip_flops_by_size</x:v>
      </x:c>
      <x:c r="W581" s="15" t="str">
        <x:v>cluster_route</x:v>
      </x:c>
      <x:c r="X581" s="15" t="str">
        <x:v>{"primary_domain":[{"value":"clothing_shoes_jewelry","evidence_type":"inferred","source_span":"","fact_ids":[],"rationale":"人字拖属于鞋类产品。"}],"product_type":[{"value":"flip_flops","evidence_type":"explicit","source_span":"flip flops","fact_ids":[],"rationale":"搜索词明确提到flip flops。"},{"value":"flip_flops","evidence_type":"page_validated","source_span":"","fact_ids":["style_flip_flop"],"rationale":"产品页面确认为人字拖。"}],"audience_intent":[{"value":"women","evidence_type":"explicit","source_span":"woman","fact_ids":[],"rationale":"搜索词明确提到woman。"},{"value":"women","evidence_type":"page_validated","source_span":"","fact_ids":["title_womens_flip_flop"],"rationale":"产品标题定位为女款。"},{"value":"women","evidence_type":"inferred","source_span":"","fact_ids":[],"rationale":"该能力由搜索词表达的任务或问题推断；页面事实仅用于验证商品承接。"}],"size":[{"value":"7","evidence_type":"explicit","source_span":"size 7","fact_ids":[],"rationale":"搜索词明确要求7码。"},{"value":"7","evidence_type":"page_validated","source_span":"","fact_ids":["sizes_6_11"],"rationale":"尺码表包含7码。"}]}</x:v>
      </x:c>
      <x:c r="Y581" s="15" t="str"/>
      <x:c r="Z581" s="10" t="str">
        <x:v>match</x:v>
      </x:c>
      <x:c r="AA581" s="15" t="str">
        <x:v>title_womens_flip_flop | style_flip_flop | sizes_6_11</x:v>
      </x:c>
      <x:c r="AB581" s="10" t="str">
        <x:v>accepted</x:v>
      </x:c>
      <x:c r="AC581" s="10" t="str">
        <x:v>1.0.0</x:v>
      </x:c>
      <x:c r="AD581" s="10" t="str">
        <x:v>1.1.0</x:v>
      </x:c>
      <x:c r="AE581" s="10" t="str">
        <x:v>deepseek/deepseek-v4-pro</x:v>
      </x:c>
      <x:c r="AF581" s="10" t="str">
        <x:v>aj2-y90-20260714T234810-0bea2f52</x:v>
      </x:c>
      <x:c r="AG581" s="10" t="str">
        <x:v>full-0029</x:v>
      </x:c>
      <x:c r="AH581" s="10" t="str">
        <x:v>full</x:v>
      </x:c>
      <x:c r="AI581" s="10" t="n">
        <x:v>29</x:v>
      </x:c>
    </x:row>
    <x:row r="582" ht="34" customHeight="1">
      <x:c r="A582" s="16" t="str">
        <x:v>womens comfortable flip flops</x:v>
      </x:c>
      <x:c r="B582" s="16" t="str">
        <x:v>womens comfortable flip flops</x:v>
      </x:c>
      <x:c r="C582" s="13" t="str">
        <x:v>07e7b128db1df28f</x:v>
      </x:c>
      <x:c r="D582" s="13" t="str">
        <x:v>keyword</x:v>
      </x:c>
      <x:c r="E582" s="13" t="str">
        <x:v>en</x:v>
      </x:c>
      <x:c r="F582" s="13" t="str">
        <x:v>clothing_shoes_jewelry</x:v>
      </x:c>
      <x:c r="G582" s="16" t="str"/>
      <x:c r="H582" s="16" t="str">
        <x:v>flip_flop</x:v>
      </x:c>
      <x:c r="I582" s="16" t="str">
        <x:v>women</x:v>
      </x:c>
      <x:c r="J582" s="16" t="str">
        <x:v>comfort</x:v>
      </x:c>
      <x:c r="K582" s="16" t="str">
        <x:v>cushioning | arch_support</x:v>
      </x:c>
      <x:c r="L582" s="16" t="str"/>
      <x:c r="M582" s="16" t="str"/>
      <x:c r="N582" s="16" t="str">
        <x:v>all_day_comfort</x:v>
      </x:c>
      <x:c r="O582" s="16" t="str"/>
      <x:c r="P582" s="16" t="str"/>
      <x:c r="Q582" s="16" t="str"/>
      <x:c r="R582" s="16" t="str">
        <x:v>女性用户寻找穿着舒适的人字拖，核心关注脚感柔软和支撑性，适用于日常长时间穿着。</x:v>
      </x:c>
      <x:c r="S582" s="13" t="str">
        <x:v>consideration</x:v>
      </x:c>
      <x:c r="T582" s="16" t="str">
        <x:v>explicit | page_validated</x:v>
      </x:c>
      <x:c r="U582" s="13" t="str">
        <x:v>high</x:v>
      </x:c>
      <x:c r="V582" s="16" t="str">
        <x:v>womens_flip_flops_comfort</x:v>
      </x:c>
      <x:c r="W582" s="16" t="str">
        <x:v>cluster_route</x:v>
      </x:c>
      <x:c r="X582" s="16" t="str">
        <x:v>{"primary_domain":[{"value":"clothing_shoes_jewelry","evidence_type":"explicit","source_span":"flip flops","fact_ids":[],"rationale":"人字拖属于鞋类产品"}],"product_type":[{"value":"flip_flop","evidence_type":"explicit","source_span":"flip flops","fact_ids":[],"rationale":"搜索词明确指定人字拖"},{"value":"flip_flop","evidence_type":"page_validated","source_span":"","fact_ids":["style_flip_flop"],"rationale":"该槽位与商品基准中的明示页面事实一致。"}],"audience_intent":[{"value":"women","evidence_type":"explicit","source_span":"womens","fact_ids":[],"rationale":"搜索词明确女性受众"},{"value":"women","evidence_type":"page_validated","source_span":"","fact_ids":["title_womens_flip_flop"],"rationale":"该槽位与商品基准中的明示页面事实一致。"}],"function_intent":[{"value":"comfort","evidence_type":"explicit","source_span":"comfortable","fact_ids":["arch_support","padded_cushioning","soft_toe_post"],"rationale":"舒适由足弓支撑、缓冲垫和柔软趾柱共同实现"},{"value":"comfort","evidence_type":"page_validated","source_span":"","fact_ids":["arch_support","padded_cushioning"],"rationale":"该槽位与商品基准中的明示页面事实一致。"}],"capability_intent":[{"value":"cushioning","evidence_type":"page_validated","source_span":"","fact_ids":["padded_cushioning"],"rationale":"缓冲垫为舒适提供支撑"},{"value":"arch_support","evidence_type":"page_validated","source_span":"","fact_ids":["arch_support"],"rationale":"足弓支撑提升全天舒适度"},{"value":"cushioning","evidence_type":"inferred","source_span":"","fact_ids":[],"rationale":"该能力由搜索词表达的任务或问题推断；页面事实仅用于验证商品承接。"},{"value":"arch_support","evidence_type":"inferred","source_span":"","fact_ids":[],"rationale":"该能力由搜索词表达的任务或问题推断；页面事实仅用于验证商品承接。"}],"body_need_intent":[{"value":"all_day_comfort","evidence_type":"page_validated","source_span":"","fact_ids":["arch_support"],"rationale":"产品页声称全天舒适对齐"}]}</x:v>
      </x:c>
      <x:c r="Y582" s="16" t="str"/>
      <x:c r="Z582" s="13" t="str">
        <x:v>match</x:v>
      </x:c>
      <x:c r="AA582" s="16" t="str">
        <x:v>title_womens_flip_flop | arch_support | padded_cushioning | soft_toe_post | style_flip_flop</x:v>
      </x:c>
      <x:c r="AB582" s="13" t="str">
        <x:v>accepted</x:v>
      </x:c>
      <x:c r="AC582" s="13" t="str">
        <x:v>1.0.0</x:v>
      </x:c>
      <x:c r="AD582" s="13" t="str">
        <x:v>1.0.0</x:v>
      </x:c>
      <x:c r="AE582" s="13" t="str">
        <x:v>deepseek/deepseek-v4-pro</x:v>
      </x:c>
      <x:c r="AF582" s="13" t="str">
        <x:v>aj2-y90-20260714T234810-0bea2f52</x:v>
      </x:c>
      <x:c r="AG582" s="13" t="str">
        <x:v>full-0030</x:v>
      </x:c>
      <x:c r="AH582" s="13" t="str">
        <x:v>full</x:v>
      </x:c>
      <x:c r="AI582" s="13" t="n">
        <x:v>30</x:v>
      </x:c>
    </x:row>
    <x:row r="583" ht="34" customHeight="1">
      <x:c r="A583" s="15" t="str">
        <x:v>women flip flops size 7</x:v>
      </x:c>
      <x:c r="B583" s="15" t="str">
        <x:v>women flip flops size 7</x:v>
      </x:c>
      <x:c r="C583" s="10" t="str">
        <x:v>0ff2a4d452cf5223</x:v>
      </x:c>
      <x:c r="D583" s="10" t="str">
        <x:v>keyword</x:v>
      </x:c>
      <x:c r="E583" s="10" t="str">
        <x:v>en</x:v>
      </x:c>
      <x:c r="F583" s="10" t="str">
        <x:v>clothing_shoes_jewelry</x:v>
      </x:c>
      <x:c r="G583" s="15" t="str"/>
      <x:c r="H583" s="15" t="str">
        <x:v>flip_flop</x:v>
      </x:c>
      <x:c r="I583" s="15" t="str">
        <x:v>women</x:v>
      </x:c>
      <x:c r="J583" s="15" t="str"/>
      <x:c r="K583" s="15" t="str"/>
      <x:c r="L583" s="15" t="str"/>
      <x:c r="M583" s="15" t="str"/>
      <x:c r="N583" s="15" t="str"/>
      <x:c r="O583" s="15" t="str"/>
      <x:c r="P583" s="15" t="str"/>
      <x:c r="Q583" s="15" t="str"/>
      <x:c r="R583" s="15" t="str">
        <x:v>女性用户搜索7码人字拖，产品和尺码范围完全覆盖该需求，匹配度高。</x:v>
      </x:c>
      <x:c r="S583" s="10" t="str">
        <x:v>high_intent</x:v>
      </x:c>
      <x:c r="T583" s="15" t="str">
        <x:v>explicit | page_validated</x:v>
      </x:c>
      <x:c r="U583" s="10" t="str">
        <x:v>high</x:v>
      </x:c>
      <x:c r="V583" s="15" t="str">
        <x:v>womens_flip_flops_size</x:v>
      </x:c>
      <x:c r="W583" s="15" t="str">
        <x:v>cluster_route</x:v>
      </x:c>
      <x:c r="X583" s="15" t="str">
        <x:v>{"primary_domain":[{"value":"clothing_shoes_jewelry","evidence_type":"explicit","source_span":"flip flops","fact_ids":[],"rationale":"人字拖属于鞋类"}],"product_type":[{"value":"flip_flop","evidence_type":"explicit","source_span":"flip flops","fact_ids":[],"rationale":"搜索词明确人字拖"},{"value":"flip_flop","evidence_type":"page_validated","source_span":"","fact_ids":["style_flip_flop"],"rationale":"该槽位与商品基准中的明示页面事实一致。"}],"audience_intent":[{"value":"women","evidence_type":"explicit","source_span":"women","fact_ids":[],"rationale":"搜索词指定女性"},{"value":"women","evidence_type":"page_validated","source_span":"","fact_ids":["title_womens_flip_flop"],"rationale":"该槽位与商品基准中的明示页面事实一致。"}]}</x:v>
      </x:c>
      <x:c r="Y583" s="15" t="str"/>
      <x:c r="Z583" s="10" t="str">
        <x:v>match</x:v>
      </x:c>
      <x:c r="AA583" s="15" t="str">
        <x:v>title_womens_flip_flop | style_flip_flop | sizes_6_11</x:v>
      </x:c>
      <x:c r="AB583" s="10" t="str">
        <x:v>accepted</x:v>
      </x:c>
      <x:c r="AC583" s="10" t="str">
        <x:v>1.0.0</x:v>
      </x:c>
      <x:c r="AD583" s="10" t="str">
        <x:v>1.0.0</x:v>
      </x:c>
      <x:c r="AE583" s="10" t="str">
        <x:v>deepseek/deepseek-v4-pro</x:v>
      </x:c>
      <x:c r="AF583" s="10" t="str">
        <x:v>aj2-y90-20260714T234810-0bea2f52</x:v>
      </x:c>
      <x:c r="AG583" s="10" t="str">
        <x:v>full-0030</x:v>
      </x:c>
      <x:c r="AH583" s="10" t="str">
        <x:v>full</x:v>
      </x:c>
      <x:c r="AI583" s="10" t="n">
        <x:v>30</x:v>
      </x:c>
    </x:row>
    <x:row r="584" ht="34" customHeight="1">
      <x:c r="A584" s="16" t="str">
        <x:v>orthopedic for women flip flop</x:v>
      </x:c>
      <x:c r="B584" s="16" t="str">
        <x:v>orthopedic for women flip flop</x:v>
      </x:c>
      <x:c r="C584" s="13" t="str">
        <x:v>32c927d4b349c6bf</x:v>
      </x:c>
      <x:c r="D584" s="13" t="str">
        <x:v>keyword</x:v>
      </x:c>
      <x:c r="E584" s="13" t="str">
        <x:v>en</x:v>
      </x:c>
      <x:c r="F584" s="13" t="str">
        <x:v>clothing_shoes_jewelry</x:v>
      </x:c>
      <x:c r="G584" s="16" t="str">
        <x:v>health_household</x:v>
      </x:c>
      <x:c r="H584" s="16" t="str">
        <x:v>flip_flop</x:v>
      </x:c>
      <x:c r="I584" s="16" t="str">
        <x:v>women</x:v>
      </x:c>
      <x:c r="J584" s="16" t="str">
        <x:v>orthopedic_support</x:v>
      </x:c>
      <x:c r="K584" s="16" t="str">
        <x:v>arch_support</x:v>
      </x:c>
      <x:c r="L584" s="16" t="str"/>
      <x:c r="M584" s="16" t="str"/>
      <x:c r="N584" s="16" t="str">
        <x:v>orthopedic</x:v>
      </x:c>
      <x:c r="O584" s="16" t="str"/>
      <x:c r="P584" s="16" t="str"/>
      <x:c r="Q584" s="16" t="str"/>
      <x:c r="R584" s="16" t="str">
        <x:v>女性用户寻找具有矫形功能的人字拖，产品有足弓支撑但未标注为矫形级，需进一步确认。</x:v>
      </x:c>
      <x:c r="S584" s="13" t="str">
        <x:v>high_intent</x:v>
      </x:c>
      <x:c r="T584" s="16" t="str">
        <x:v>explicit | inferred</x:v>
      </x:c>
      <x:c r="U584" s="13" t="str">
        <x:v>medium</x:v>
      </x:c>
      <x:c r="V584" s="16" t="str">
        <x:v>womens_orthopedic_flip_flops</x:v>
      </x:c>
      <x:c r="W584" s="16" t="str">
        <x:v>listing_gap_review</x:v>
      </x:c>
      <x:c r="X584" s="16" t="str">
        <x:v>{"primary_domain":[{"value":"clothing_shoes_jewelry","evidence_type":"explicit","source_span":"flip flop","fact_ids":[],"rationale":"人字拖属于鞋类"}],"secondary_domain":[{"value":"health_household","evidence_type":"explicit","source_span":"orthopedic","fact_ids":[],"rationale":"矫形关联健康护理"}],"product_type":[{"value":"flip_flop","evidence_type":"explicit","source_span":"flip flop","fact_ids":[],"rationale":"搜索词指定人字拖"},{"value":"flip_flop","evidence_type":"page_validated","source_span":"","fact_ids":["style_flip_flop"],"rationale":"该槽位与商品基准中的明示页面事实一致。"}],"audience_intent":[{"value":"women","evidence_type":"explicit","source_span":"women","fact_ids":[],"rationale":"搜索词指定女性"},{"value":"women","evidence_type":"page_validated","source_span":"","fact_ids":["title_womens_flip_flop"],"rationale":"该槽位与商品基准中的明示页面事实一致。"}],"function_intent":[{"value":"orthopedic_support","evidence_type":"explicit","source_span":"orthopedic","fact_ids":[],"rationale":"矫形需求为搜索词明确表述"}],"capability_intent":[{"value":"arch_support","evidence_type":"page_validated","source_span":"","fact_ids":["arch_support"],"rationale":"足弓支撑与矫形需求部分对齐"},{"value":"arch_support","evidence_type":"inferred","source_span":"","fact_ids":[],"rationale":"该能力由搜索词表达的任务或问题推断；页面事实仅用于验证商品承接。"}],"body_need_intent":[{"value":"orthopedic","evidence_type":"explicit","source_span":"orthopedic","fact_ids":[],"rationale":"搜索词明确矫形身体需求"}]}</x:v>
      </x:c>
      <x:c r="Y584" s="16" t="str">
        <x:v>orthopedic_claim_not_page_validated</x:v>
      </x:c>
      <x:c r="Z584" s="13" t="str">
        <x:v>partial_match</x:v>
      </x:c>
      <x:c r="AA584" s="16" t="str">
        <x:v>title_womens_flip_flop | arch_support | style_flip_flop</x:v>
      </x:c>
      <x:c r="AB584" s="13" t="str">
        <x:v>accepted</x:v>
      </x:c>
      <x:c r="AC584" s="13" t="str">
        <x:v>1.0.0</x:v>
      </x:c>
      <x:c r="AD584" s="13" t="str">
        <x:v>1.0.0</x:v>
      </x:c>
      <x:c r="AE584" s="13" t="str">
        <x:v>deepseek/deepseek-v4-pro</x:v>
      </x:c>
      <x:c r="AF584" s="13" t="str">
        <x:v>aj2-y90-20260714T234810-0bea2f52</x:v>
      </x:c>
      <x:c r="AG584" s="13" t="str">
        <x:v>full-0030</x:v>
      </x:c>
      <x:c r="AH584" s="13" t="str">
        <x:v>full</x:v>
      </x:c>
      <x:c r="AI584" s="13" t="n">
        <x:v>30</x:v>
      </x:c>
    </x:row>
    <x:row r="585" ht="34" customHeight="1">
      <x:c r="A585" s="15" t="str">
        <x:v>women's slip-on shower shoes</x:v>
      </x:c>
      <x:c r="B585" s="15" t="str">
        <x:v>women's slip-on shower shoes</x:v>
      </x:c>
      <x:c r="C585" s="10" t="str">
        <x:v>3e8e7d765c7a87aa</x:v>
      </x:c>
      <x:c r="D585" s="10" t="str">
        <x:v>keyword</x:v>
      </x:c>
      <x:c r="E585" s="10" t="str">
        <x:v>en</x:v>
      </x:c>
      <x:c r="F585" s="10" t="str">
        <x:v>clothing_shoes_jewelry</x:v>
      </x:c>
      <x:c r="G585" s="15" t="str">
        <x:v>home_kitchen</x:v>
      </x:c>
      <x:c r="H585" s="15" t="str">
        <x:v>shower_shoe</x:v>
      </x:c>
      <x:c r="I585" s="15" t="str">
        <x:v>women</x:v>
      </x:c>
      <x:c r="J585" s="15" t="str">
        <x:v>water_drainage | slip_resistance</x:v>
      </x:c>
      <x:c r="K585" s="15" t="str">
        <x:v>slip_on | slip_resistant</x:v>
      </x:c>
      <x:c r="L585" s="15" t="str"/>
      <x:c r="M585" s="15" t="str">
        <x:v>shower</x:v>
      </x:c>
      <x:c r="N585" s="15" t="str"/>
      <x:c r="O585" s="15" t="str"/>
      <x:c r="P585" s="15" t="str"/>
      <x:c r="Q585" s="15" t="str"/>
      <x:c r="R585" s="15" t="str">
        <x:v>女性用户搜索淋浴用一脚蹬鞋，需要防滑和涉水性能，但本产品为人字拖而非专用淋浴鞋且未声明防水。</x:v>
      </x:c>
      <x:c r="S585" s="10" t="str">
        <x:v>high_intent</x:v>
      </x:c>
      <x:c r="T585" s="15" t="str">
        <x:v>explicit | inferred</x:v>
      </x:c>
      <x:c r="U585" s="10" t="str">
        <x:v>medium</x:v>
      </x:c>
      <x:c r="V585" s="15" t="str">
        <x:v>womens_shower_shoes</x:v>
      </x:c>
      <x:c r="W585" s="15" t="str">
        <x:v>semantic_negative_candidate</x:v>
      </x:c>
      <x:c r="X585" s="15" t="str">
        <x:v>{"primary_domain":[{"value":"clothing_shoes_jewelry","evidence_type":"explicit","source_span":"shoes","fact_ids":[],"rationale":"鞋类属于服装鞋饰"}],"secondary_domain":[{"value":"home_kitchen","evidence_type":"inferred","source_span":"shower","fact_ids":[],"rationale":"淋浴属于家居场景"}],"product_type":[{"value":"shower_shoe","evidence_type":"explicit","source_span":"shower shoes","fact_ids":[],"rationale":"搜索词明确淋浴鞋品类"}],"audience_intent":[{"value":"women","evidence_type":"explicit","source_span":"women","fact_ids":[],"rationale":"搜索词指定女性"},{"value":"women","evidence_type":"page_validated","source_span":"","fact_ids":["title_womens_flip_flop"],"rationale":"该槽位与商品基准中的明示页面事实一致。"}],"function_intent":[{"value":"water_drainage","evidence_type":"inferred","source_span":"shower","fact_ids":[],"rationale":"淋浴场景需排水功能"},{"value":"slip_resistance","evidence_type":"inferred","source_span":"shower","fact_ids":[],"rationale":"湿滑淋浴环境需防滑"}],"capability_intent":[{"value":"slip_on","evidence_type":"explicit","source_span":"slip-on","fact_ids":["closure_slip_on"],"rationale":"搜索词要求一脚蹬闭合方式"},{"value":"slip_resistant","evidence_type":"inferred","source_span":"shower","fact_ids":[],"rationale":"产品有防滑底纹但对淋浴场景未验证"},{"value":"slip_on","evidence_type":"page_validated","source_span":"","fact_ids":["closure_slip_on"],"rationale":"该槽位与商品基准中的明示页面事实一致。"},{"value":"slip_resistant","evidence_type":"page_validated","source_span":"","fact_ids":["slip_resistant_grip"],"rationale":"该槽位与商品基准中的明示页面事实一致。"}],"location_intent":[{"value":"shower","evidence_type":"explicit","source_span":"shower","fact_ids":[],"rationale":"搜索词明确淋浴场景"}]}</x:v>
      </x:c>
      <x:c r="Y585" s="15" t="str">
        <x:v>product_type_mismatch_shower_shoe_vs_flip_flop | waterproof_not_validated</x:v>
      </x:c>
      <x:c r="Z585" s="10" t="str">
        <x:v>mismatch</x:v>
      </x:c>
      <x:c r="AA585" s="15" t="str"/>
      <x:c r="AB585" s="10" t="str">
        <x:v>accepted</x:v>
      </x:c>
      <x:c r="AC585" s="10" t="str">
        <x:v>1.0.0</x:v>
      </x:c>
      <x:c r="AD585" s="10" t="str">
        <x:v>1.0.0</x:v>
      </x:c>
      <x:c r="AE585" s="10" t="str">
        <x:v>deepseek/deepseek-v4-pro</x:v>
      </x:c>
      <x:c r="AF585" s="10" t="str">
        <x:v>aj2-y90-20260714T234810-0bea2f52</x:v>
      </x:c>
      <x:c r="AG585" s="10" t="str">
        <x:v>full-0030</x:v>
      </x:c>
      <x:c r="AH585" s="10" t="str">
        <x:v>full</x:v>
      </x:c>
      <x:c r="AI585" s="10" t="n">
        <x:v>30</x:v>
      </x:c>
    </x:row>
    <x:row r="586" ht="34" customHeight="1">
      <x:c r="A586" s="16" t="str">
        <x:v>rubber sole flip flops</x:v>
      </x:c>
      <x:c r="B586" s="16" t="str">
        <x:v>rubber sole flip flops</x:v>
      </x:c>
      <x:c r="C586" s="13" t="str">
        <x:v>67e5c8c92d596774</x:v>
      </x:c>
      <x:c r="D586" s="13" t="str">
        <x:v>keyword</x:v>
      </x:c>
      <x:c r="E586" s="13" t="str">
        <x:v>en</x:v>
      </x:c>
      <x:c r="F586" s="13" t="str">
        <x:v>clothing_shoes_jewelry</x:v>
      </x:c>
      <x:c r="G586" s="16" t="str"/>
      <x:c r="H586" s="16" t="str">
        <x:v>flip_flop</x:v>
      </x:c>
      <x:c r="I586" s="16" t="str"/>
      <x:c r="J586" s="16" t="str"/>
      <x:c r="K586" s="16" t="str"/>
      <x:c r="L586" s="16" t="str"/>
      <x:c r="M586" s="16" t="str"/>
      <x:c r="N586" s="16" t="str"/>
      <x:c r="O586" s="16" t="str"/>
      <x:c r="P586" s="16" t="str"/>
      <x:c r="Q586" s="16" t="str"/>
      <x:c r="R586" s="16" t="str">
        <x:v>用户明确要求橡胶鞋底的人字拖，但本产品外底材料为EVA而非橡胶，存在材质不匹配。</x:v>
      </x:c>
      <x:c r="S586" s="13" t="str">
        <x:v>high_intent</x:v>
      </x:c>
      <x:c r="T586" s="16" t="str">
        <x:v>explicit</x:v>
      </x:c>
      <x:c r="U586" s="13" t="str">
        <x:v>high</x:v>
      </x:c>
      <x:c r="V586" s="16" t="str">
        <x:v>flip_flops_rubber_sole</x:v>
      </x:c>
      <x:c r="W586" s="16" t="str">
        <x:v>semantic_negative_candidate</x:v>
      </x:c>
      <x:c r="X586" s="16" t="str">
        <x:v>{"primary_domain":[{"value":"clothing_shoes_jewelry","evidence_type":"explicit","source_span":"flip flops","fact_ids":[],"rationale":"人字拖属于鞋类"}],"product_type":[{"value":"flip_flop","evidence_type":"explicit","source_span":"flip flops","fact_ids":[],"rationale":"搜索词明确人字拖品类"},{"value":"flip_flop","evidence_type":"page_validated","source_span":"","fact_ids":["style_flip_flop"],"rationale":"该槽位与商品基准中的明示页面事实一致。"}]}</x:v>
      </x:c>
      <x:c r="Y586" s="16" t="str"/>
      <x:c r="Z586" s="13" t="str">
        <x:v>mismatch</x:v>
      </x:c>
      <x:c r="AA586" s="16" t="str"/>
      <x:c r="AB586" s="13" t="str">
        <x:v>accepted</x:v>
      </x:c>
      <x:c r="AC586" s="13" t="str">
        <x:v>1.0.0</x:v>
      </x:c>
      <x:c r="AD586" s="13" t="str">
        <x:v>1.0.0</x:v>
      </x:c>
      <x:c r="AE586" s="13" t="str">
        <x:v>deepseek/deepseek-v4-pro</x:v>
      </x:c>
      <x:c r="AF586" s="13" t="str">
        <x:v>aj2-y90-20260714T234810-0bea2f52</x:v>
      </x:c>
      <x:c r="AG586" s="13" t="str">
        <x:v>full-0030</x:v>
      </x:c>
      <x:c r="AH586" s="13" t="str">
        <x:v>full</x:v>
      </x:c>
      <x:c r="AI586" s="13" t="n">
        <x:v>30</x:v>
      </x:c>
    </x:row>
    <x:row r="587" ht="34" customHeight="1">
      <x:c r="A587" s="15" t="str">
        <x:v>flip-flops</x:v>
      </x:c>
      <x:c r="B587" s="15" t="str">
        <x:v>flip-flops</x:v>
      </x:c>
      <x:c r="C587" s="10" t="str">
        <x:v>693673568adaf0a5</x:v>
      </x:c>
      <x:c r="D587" s="10" t="str">
        <x:v>keyword</x:v>
      </x:c>
      <x:c r="E587" s="10" t="str">
        <x:v>en</x:v>
      </x:c>
      <x:c r="F587" s="10" t="str">
        <x:v>clothing_shoes_jewelry</x:v>
      </x:c>
      <x:c r="G587" s="15" t="str"/>
      <x:c r="H587" s="15" t="str">
        <x:v>flip_flop</x:v>
      </x:c>
      <x:c r="I587" s="15" t="str"/>
      <x:c r="J587" s="15" t="str"/>
      <x:c r="K587" s="15" t="str"/>
      <x:c r="L587" s="15" t="str"/>
      <x:c r="M587" s="15" t="str"/>
      <x:c r="N587" s="15" t="str"/>
      <x:c r="O587" s="15" t="str"/>
      <x:c r="P587" s="15" t="str"/>
      <x:c r="Q587" s="15" t="str"/>
      <x:c r="R587" s="15" t="str">
        <x:v>用户仅搜索人字拖这个品类，无其他限制条件，意图宽泛，可能在浏览或初筛。</x:v>
      </x:c>
      <x:c r="S587" s="10" t="str">
        <x:v>exploration</x:v>
      </x:c>
      <x:c r="T587" s="15" t="str">
        <x:v>explicit</x:v>
      </x:c>
      <x:c r="U587" s="10" t="str">
        <x:v>low</x:v>
      </x:c>
      <x:c r="V587" s="15" t="str">
        <x:v>flip_flops_generic</x:v>
      </x:c>
      <x:c r="W587" s="15" t="str">
        <x:v>ambiguity_review</x:v>
      </x:c>
      <x:c r="X587" s="15" t="str">
        <x:v>{"primary_domain":[{"value":"clothing_shoes_jewelry","evidence_type":"explicit","source_span":"flip-flops","fact_ids":[],"rationale":"人字拖属于鞋类产品"}],"product_type":[{"value":"flip_flop","evidence_type":"explicit","source_span":"flip-flops","fact_ids":[],"rationale":"搜索词即为品类名称"},{"value":"flip_flop","evidence_type":"page_validated","source_span":"","fact_ids":["style_flip_flop"],"rationale":"该槽位与商品基准中的明示页面事实一致。"}]}</x:v>
      </x:c>
      <x:c r="Y587" s="15" t="str">
        <x:v>single_word_broad_term | no_audience_or_constraint</x:v>
      </x:c>
      <x:c r="Z587" s="10" t="str">
        <x:v>unknown</x:v>
      </x:c>
      <x:c r="AA587" s="15" t="str"/>
      <x:c r="AB587" s="10" t="str">
        <x:v>accepted</x:v>
      </x:c>
      <x:c r="AC587" s="10" t="str">
        <x:v>1.0.0</x:v>
      </x:c>
      <x:c r="AD587" s="10" t="str">
        <x:v>1.0.0</x:v>
      </x:c>
      <x:c r="AE587" s="10" t="str">
        <x:v>deepseek/deepseek-v4-pro</x:v>
      </x:c>
      <x:c r="AF587" s="10" t="str">
        <x:v>aj2-y90-20260714T234810-0bea2f52</x:v>
      </x:c>
      <x:c r="AG587" s="10" t="str">
        <x:v>full-0030</x:v>
      </x:c>
      <x:c r="AH587" s="10" t="str">
        <x:v>full</x:v>
      </x:c>
      <x:c r="AI587" s="10" t="n">
        <x:v>30</x:v>
      </x:c>
    </x:row>
    <x:row r="588" ht="34" customHeight="1">
      <x:c r="A588" s="16" t="str">
        <x:v>black flip flop</x:v>
      </x:c>
      <x:c r="B588" s="16" t="str">
        <x:v>black flip flop</x:v>
      </x:c>
      <x:c r="C588" s="13" t="str">
        <x:v>7813f4823fc2a831</x:v>
      </x:c>
      <x:c r="D588" s="13" t="str">
        <x:v>keyword</x:v>
      </x:c>
      <x:c r="E588" s="13" t="str">
        <x:v>en</x:v>
      </x:c>
      <x:c r="F588" s="13" t="str">
        <x:v>clothing_shoes_jewelry</x:v>
      </x:c>
      <x:c r="G588" s="16" t="str"/>
      <x:c r="H588" s="16" t="str">
        <x:v>flip_flop</x:v>
      </x:c>
      <x:c r="I588" s="16" t="str"/>
      <x:c r="J588" s="16" t="str"/>
      <x:c r="K588" s="16" t="str"/>
      <x:c r="L588" s="16" t="str"/>
      <x:c r="M588" s="16" t="str"/>
      <x:c r="N588" s="16" t="str"/>
      <x:c r="O588" s="16" t="str"/>
      <x:c r="P588" s="16" t="str"/>
      <x:c r="Q588" s="16" t="str"/>
      <x:c r="R588" s="16" t="str">
        <x:v>用户搜索黑色人字拖，只指定颜色和品类，需求简洁明确，产品页有黑色可选。</x:v>
      </x:c>
      <x:c r="S588" s="13" t="str">
        <x:v>high_intent</x:v>
      </x:c>
      <x:c r="T588" s="16" t="str">
        <x:v>explicit | page_validated</x:v>
      </x:c>
      <x:c r="U588" s="13" t="str">
        <x:v>high</x:v>
      </x:c>
      <x:c r="V588" s="16" t="str">
        <x:v>flip_flops_color</x:v>
      </x:c>
      <x:c r="W588" s="16" t="str">
        <x:v>cluster_route</x:v>
      </x:c>
      <x:c r="X588" s="16" t="str">
        <x:v>{"primary_domain":[{"value":"clothing_shoes_jewelry","evidence_type":"explicit","source_span":"flip flop","fact_ids":[],"rationale":"人字拖属于鞋类"}],"product_type":[{"value":"flip_flop","evidence_type":"explicit","source_span":"flip flop","fact_ids":[],"rationale":"搜索词明确人字拖"},{"value":"flip_flop","evidence_type":"page_validated","source_span":"","fact_ids":["style_flip_flop"],"rationale":"该槽位与商品基准中的明示页面事实一致。"}]}</x:v>
      </x:c>
      <x:c r="Y588" s="16" t="str"/>
      <x:c r="Z588" s="13" t="str">
        <x:v>match</x:v>
      </x:c>
      <x:c r="AA588" s="16" t="str">
        <x:v>style_flip_flop | colors_visible</x:v>
      </x:c>
      <x:c r="AB588" s="13" t="str">
        <x:v>accepted</x:v>
      </x:c>
      <x:c r="AC588" s="13" t="str">
        <x:v>1.0.0</x:v>
      </x:c>
      <x:c r="AD588" s="13" t="str">
        <x:v>1.0.0</x:v>
      </x:c>
      <x:c r="AE588" s="13" t="str">
        <x:v>deepseek/deepseek-v4-pro</x:v>
      </x:c>
      <x:c r="AF588" s="13" t="str">
        <x:v>aj2-y90-20260714T234810-0bea2f52</x:v>
      </x:c>
      <x:c r="AG588" s="13" t="str">
        <x:v>full-0030</x:v>
      </x:c>
      <x:c r="AH588" s="13" t="str">
        <x:v>full</x:v>
      </x:c>
      <x:c r="AI588" s="13" t="n">
        <x:v>30</x:v>
      </x:c>
    </x:row>
    <x:row r="589" ht="34" customHeight="1">
      <x:c r="A589" s="15" t="str">
        <x:v>totes flip flops for women brown</x:v>
      </x:c>
      <x:c r="B589" s="15" t="str">
        <x:v>totes flip flops for women brown</x:v>
      </x:c>
      <x:c r="C589" s="10" t="str">
        <x:v>7cd2f6265acaa26a</x:v>
      </x:c>
      <x:c r="D589" s="10" t="str">
        <x:v>keyword</x:v>
      </x:c>
      <x:c r="E589" s="10" t="str">
        <x:v>en</x:v>
      </x:c>
      <x:c r="F589" s="10" t="str">
        <x:v>clothing_shoes_jewelry</x:v>
      </x:c>
      <x:c r="G589" s="15" t="str"/>
      <x:c r="H589" s="15" t="str">
        <x:v>flip_flop</x:v>
      </x:c>
      <x:c r="I589" s="15" t="str">
        <x:v>women</x:v>
      </x:c>
      <x:c r="J589" s="15" t="str"/>
      <x:c r="K589" s="15" t="str"/>
      <x:c r="L589" s="15" t="str"/>
      <x:c r="M589" s="15" t="str"/>
      <x:c r="N589" s="15" t="str"/>
      <x:c r="O589" s="15" t="str"/>
      <x:c r="P589" s="15" t="str"/>
      <x:c r="Q589" s="15" t="str"/>
      <x:c r="R589" s="15" t="str">
        <x:v>用户搜索Totes品牌的棕色女性人字拖，对颜色和品牌有明确偏好，寻找该品牌产品或对应替代。</x:v>
      </x:c>
      <x:c r="S589" s="10" t="str">
        <x:v>brand_harvest</x:v>
      </x:c>
      <x:c r="T589" s="15" t="str">
        <x:v>explicit | page_validated</x:v>
      </x:c>
      <x:c r="U589" s="10" t="str">
        <x:v>medium</x:v>
      </x:c>
      <x:c r="V589" s="15" t="str">
        <x:v>womens_flip_flops_color_branded</x:v>
      </x:c>
      <x:c r="W589" s="15" t="str">
        <x:v>cluster_route</x:v>
      </x:c>
      <x:c r="X589" s="15" t="str">
        <x:v>{"primary_domain":[{"value":"clothing_shoes_jewelry","evidence_type":"explicit","source_span":"flip flops","fact_ids":[],"rationale":"人字拖属于鞋类产品"}],"product_type":[{"value":"flip_flop","evidence_type":"explicit","source_span":"flip flops","fact_ids":[],"rationale":"搜索词明确指定人字拖品类"},{"value":"flip_flop","evidence_type":"page_validated","source_span":"","fact_ids":["style_flip_flop"],"rationale":"该槽位与商品基准中的明示页面事实一致。"}],"audience_intent":[{"value":"women","evidence_type":"explicit","source_span":"women","fact_ids":[],"rationale":"搜索词明确指定女性"},{"value":"women","evidence_type":"page_validated","source_span":"","fact_ids":["title_womens_flip_flop"],"rationale":"该槽位与商品基准中的明示页面事实一致。"}]}</x:v>
      </x:c>
      <x:c r="Y589" s="15" t="str"/>
      <x:c r="Z589" s="10" t="str">
        <x:v>partial_match</x:v>
      </x:c>
      <x:c r="AA589" s="15" t="str">
        <x:v>title_womens_flip_flop | style_flip_flop | colors_visible</x:v>
      </x:c>
      <x:c r="AB589" s="10" t="str">
        <x:v>accepted</x:v>
      </x:c>
      <x:c r="AC589" s="10" t="str">
        <x:v>1.0.0</x:v>
      </x:c>
      <x:c r="AD589" s="10" t="str">
        <x:v>1.0.0</x:v>
      </x:c>
      <x:c r="AE589" s="10" t="str">
        <x:v>deepseek/deepseek-v4-pro</x:v>
      </x:c>
      <x:c r="AF589" s="10" t="str">
        <x:v>aj2-y90-20260714T234810-0bea2f52</x:v>
      </x:c>
      <x:c r="AG589" s="10" t="str">
        <x:v>full-0030</x:v>
      </x:c>
      <x:c r="AH589" s="10" t="str">
        <x:v>full</x:v>
      </x:c>
      <x:c r="AI589" s="10" t="n">
        <x:v>30</x:v>
      </x:c>
    </x:row>
    <x:row r="590" ht="34" customHeight="1">
      <x:c r="A590" s="16" t="str">
        <x:v>womens flip flops for garden</x:v>
      </x:c>
      <x:c r="B590" s="16" t="str">
        <x:v>womens flip flops for garden</x:v>
      </x:c>
      <x:c r="C590" s="13" t="str">
        <x:v>9424cad7317beed7</x:v>
      </x:c>
      <x:c r="D590" s="13" t="str">
        <x:v>keyword</x:v>
      </x:c>
      <x:c r="E590" s="13" t="str">
        <x:v>en</x:v>
      </x:c>
      <x:c r="F590" s="13" t="str">
        <x:v>clothing_shoes_jewelry</x:v>
      </x:c>
      <x:c r="G590" s="16" t="str">
        <x:v>patio_lawn_garden</x:v>
      </x:c>
      <x:c r="H590" s="16" t="str">
        <x:v>flip_flop</x:v>
      </x:c>
      <x:c r="I590" s="16" t="str">
        <x:v>women</x:v>
      </x:c>
      <x:c r="J590" s="16" t="str"/>
      <x:c r="K590" s="16" t="str">
        <x:v>easy_clean</x:v>
      </x:c>
      <x:c r="L590" s="16" t="str"/>
      <x:c r="M590" s="16" t="str">
        <x:v>garden</x:v>
      </x:c>
      <x:c r="N590" s="16" t="str"/>
      <x:c r="O590" s="16" t="str"/>
      <x:c r="P590" s="16" t="str"/>
      <x:c r="Q590" s="16" t="str"/>
      <x:c r="R590" s="16" t="str">
        <x:v>女性用户需要适合花园穿着的户外人字拖，产品定位为户外生活且易清洁，场景匹配度较高。</x:v>
      </x:c>
      <x:c r="S590" s="13" t="str">
        <x:v>consideration</x:v>
      </x:c>
      <x:c r="T590" s="16" t="str">
        <x:v>explicit | page_validated</x:v>
      </x:c>
      <x:c r="U590" s="13" t="str">
        <x:v>high</x:v>
      </x:c>
      <x:c r="V590" s="16" t="str">
        <x:v>womens_garden_flip_flops</x:v>
      </x:c>
      <x:c r="W590" s="16" t="str">
        <x:v>cluster_route</x:v>
      </x:c>
      <x:c r="X590" s="16" t="str">
        <x:v>{"primary_domain":[{"value":"clothing_shoes_jewelry","evidence_type":"explicit","source_span":"flip flops","fact_ids":[],"rationale":"人字拖属于鞋类"}],"secondary_domain":[{"value":"patio_lawn_garden","evidence_type":"explicit","source_span":"garden","fact_ids":[],"rationale":"花园属于庭院园艺场景"}],"product_type":[{"value":"flip_flop","evidence_type":"explicit","source_span":"flip flops","fact_ids":[],"rationale":"搜索词明确人字拖"},{"value":"flip_flop","evidence_type":"page_validated","source_span":"","fact_ids":["style_flip_flop"],"rationale":"该槽位与商品基准中的明示页面事实一致。"}],"audience_intent":[{"value":"women","evidence_type":"explicit","source_span":"womens","fact_ids":[],"rationale":"搜索词指定女性"},{"value":"women","evidence_type":"page_validated","source_span":"","fact_ids":["title_womens_flip_flop"],"rationale":"该槽位与商品基准中的明示页面事实一致。"}],"capability_intent":[{"value":"easy_clean","evidence_type":"page_validated","source_span":"","fact_ids":["easy_clean"],"rationale":"花园场景需易清洁属性"},{"value":"easy_clean","evidence_type":"inferred","source_span":"","fact_ids":[],"rationale":"该能力由搜索词表达的任务或问题推断；页面事实仅用于验证商品承接。"}],"location_intent":[{"value":"garden","evidence_type":"explicit","source_span":"garden","fact_ids":[],"rationale":"搜索词明确花园场景"}]}</x:v>
      </x:c>
      <x:c r="Y590" s="16" t="str"/>
      <x:c r="Z590" s="13" t="str">
        <x:v>match</x:v>
      </x:c>
      <x:c r="AA590" s="16" t="str">
        <x:v>title_womens_flip_flop | style_flip_flop | style_outdoor | easy_clean</x:v>
      </x:c>
      <x:c r="AB590" s="13" t="str">
        <x:v>accepted</x:v>
      </x:c>
      <x:c r="AC590" s="13" t="str">
        <x:v>1.0.0</x:v>
      </x:c>
      <x:c r="AD590" s="13" t="str">
        <x:v>1.0.0</x:v>
      </x:c>
      <x:c r="AE590" s="13" t="str">
        <x:v>deepseek/deepseek-v4-pro</x:v>
      </x:c>
      <x:c r="AF590" s="13" t="str">
        <x:v>aj2-y90-20260714T234810-0bea2f52</x:v>
      </x:c>
      <x:c r="AG590" s="13" t="str">
        <x:v>full-0030</x:v>
      </x:c>
      <x:c r="AH590" s="13" t="str">
        <x:v>full</x:v>
      </x:c>
      <x:c r="AI590" s="13" t="n">
        <x:v>30</x:v>
      </x:c>
    </x:row>
    <x:row r="591" ht="34" customHeight="1">
      <x:c r="A591" s="15" t="str">
        <x:v>supportive flip flops</x:v>
      </x:c>
      <x:c r="B591" s="15" t="str">
        <x:v>supportive flip flops</x:v>
      </x:c>
      <x:c r="C591" s="10" t="str">
        <x:v>962c1f95e1a4ae2f</x:v>
      </x:c>
      <x:c r="D591" s="10" t="str">
        <x:v>keyword</x:v>
      </x:c>
      <x:c r="E591" s="10" t="str">
        <x:v>en</x:v>
      </x:c>
      <x:c r="F591" s="10" t="str">
        <x:v>clothing_shoes_jewelry</x:v>
      </x:c>
      <x:c r="G591" s="15" t="str"/>
      <x:c r="H591" s="15" t="str">
        <x:v>flip_flop</x:v>
      </x:c>
      <x:c r="I591" s="15" t="str"/>
      <x:c r="J591" s="15" t="str">
        <x:v>support</x:v>
      </x:c>
      <x:c r="K591" s="15" t="str">
        <x:v>arch_support</x:v>
      </x:c>
      <x:c r="L591" s="15" t="str"/>
      <x:c r="M591" s="15" t="str"/>
      <x:c r="N591" s="15" t="str">
        <x:v>arch_support</x:v>
      </x:c>
      <x:c r="O591" s="15" t="str"/>
      <x:c r="P591" s="15" t="str"/>
      <x:c r="Q591" s="15" t="str"/>
      <x:c r="R591" s="15" t="str">
        <x:v>用户搜索具有支撑性的人字拖，核心关注足弓支撑功能，产品页已验证该特性。</x:v>
      </x:c>
      <x:c r="S591" s="10" t="str">
        <x:v>consideration</x:v>
      </x:c>
      <x:c r="T591" s="15" t="str">
        <x:v>explicit | page_validated</x:v>
      </x:c>
      <x:c r="U591" s="10" t="str">
        <x:v>high</x:v>
      </x:c>
      <x:c r="V591" s="15" t="str">
        <x:v>supportive_flip_flops</x:v>
      </x:c>
      <x:c r="W591" s="15" t="str">
        <x:v>cluster_route</x:v>
      </x:c>
      <x:c r="X591" s="15" t="str">
        <x:v>{"primary_domain":[{"value":"clothing_shoes_jewelry","evidence_type":"explicit","source_span":"flip flops","fact_ids":[],"rationale":"人字拖属于鞋类"}],"product_type":[{"value":"flip_flop","evidence_type":"explicit","source_span":"flip flops","fact_ids":[],"rationale":"搜索词指定人字拖"},{"value":"flip_flop","evidence_type":"page_validated","source_span":"","fact_ids":["style_flip_flop"],"rationale":"该槽位与商品基准中的明示页面事实一致。"}],"function_intent":[{"value":"support","evidence_type":"explicit","source_span":"supportive","fact_ids":["arch_support"],"rationale":"支撑性需求与产品足弓支撑对齐"}],"capability_intent":[{"value":"arch_support","evidence_type":"page_validated","source_span":"","fact_ids":["arch_support"],"rationale":"产品页验证足弓支撑"},{"value":"arch_support","evidence_type":"inferred","source_span":"","fact_ids":[],"rationale":"该能力由搜索词表达的任务或问题推断；页面事实仅用于验证商品承接。"}]}</x:v>
      </x:c>
      <x:c r="Y591" s="15" t="str"/>
      <x:c r="Z591" s="10" t="str">
        <x:v>match</x:v>
      </x:c>
      <x:c r="AA591" s="15" t="str">
        <x:v>style_flip_flop | arch_support</x:v>
      </x:c>
      <x:c r="AB591" s="10" t="str">
        <x:v>accepted</x:v>
      </x:c>
      <x:c r="AC591" s="10" t="str">
        <x:v>1.0.0</x:v>
      </x:c>
      <x:c r="AD591" s="10" t="str">
        <x:v>1.0.0</x:v>
      </x:c>
      <x:c r="AE591" s="10" t="str">
        <x:v>deepseek/deepseek-v4-pro</x:v>
      </x:c>
      <x:c r="AF591" s="10" t="str">
        <x:v>aj2-y90-20260714T234810-0bea2f52</x:v>
      </x:c>
      <x:c r="AG591" s="10" t="str">
        <x:v>full-0030</x:v>
      </x:c>
      <x:c r="AH591" s="10" t="str">
        <x:v>full</x:v>
      </x:c>
      <x:c r="AI591" s="10" t="n">
        <x:v>30</x:v>
      </x:c>
    </x:row>
    <x:row r="592" ht="34" customHeight="1">
      <x:c r="A592" s="16" t="str">
        <x:v>women's orthopedic flip flop fasciitis</x:v>
      </x:c>
      <x:c r="B592" s="16" t="str">
        <x:v>women's orthopedic flip flop fasciitis</x:v>
      </x:c>
      <x:c r="C592" s="13" t="str">
        <x:v>9bd7e5aed8e3b078</x:v>
      </x:c>
      <x:c r="D592" s="13" t="str">
        <x:v>keyword</x:v>
      </x:c>
      <x:c r="E592" s="13" t="str">
        <x:v>en</x:v>
      </x:c>
      <x:c r="F592" s="13" t="str">
        <x:v>clothing_shoes_jewelry</x:v>
      </x:c>
      <x:c r="G592" s="16" t="str">
        <x:v>health_household</x:v>
      </x:c>
      <x:c r="H592" s="16" t="str">
        <x:v>flip_flop</x:v>
      </x:c>
      <x:c r="I592" s="16" t="str">
        <x:v>women</x:v>
      </x:c>
      <x:c r="J592" s="16" t="str">
        <x:v>orthopedic_support | pain_relief</x:v>
      </x:c>
      <x:c r="K592" s="16" t="str">
        <x:v>arch_support</x:v>
      </x:c>
      <x:c r="L592" s="16" t="str"/>
      <x:c r="M592" s="16" t="str"/>
      <x:c r="N592" s="16" t="str">
        <x:v>plantar_fasciitis | orthopedic</x:v>
      </x:c>
      <x:c r="O592" s="16" t="str"/>
      <x:c r="P592" s="16" t="str"/>
      <x:c r="Q592" s="16" t="str"/>
      <x:c r="R592" s="16" t="str">
        <x:v>女性用户寻找适用于足底筋膜炎的矫形人字拖，需求医学级支撑和疼痛缓解，但产品页未声明治疗功效。</x:v>
      </x:c>
      <x:c r="S592" s="13" t="str">
        <x:v>high_intent</x:v>
      </x:c>
      <x:c r="T592" s="16" t="str">
        <x:v>explicit | inferred</x:v>
      </x:c>
      <x:c r="U592" s="13" t="str">
        <x:v>medium</x:v>
      </x:c>
      <x:c r="V592" s="16" t="str">
        <x:v>womens_orthopedic_flip_flops_fasciitis</x:v>
      </x:c>
      <x:c r="W592" s="16" t="str">
        <x:v>listing_gap_review</x:v>
      </x:c>
      <x:c r="X592" s="16" t="str">
        <x:v>{"primary_domain":[{"value":"clothing_shoes_jewelry","evidence_type":"explicit","source_span":"flip flop","fact_ids":[],"rationale":"人字拖属于鞋类产品"}],"secondary_domain":[{"value":"health_household","evidence_type":"explicit","source_span":"orthopedic","fact_ids":[],"rationale":"矫形指向健康护理领域"}],"product_type":[{"value":"flip_flop","evidence_type":"explicit","source_span":"flip flop","fact_ids":[],"rationale":"搜索词明确人字拖品类"},{"value":"flip_flop","evidence_type":"page_validated","source_span":"","fact_ids":["style_flip_flop"],"rationale":"该槽位与商品基准中的明示页面事实一致。"}],"audience_intent":[{"value":"women","evidence_type":"explicit","source_span":"women","fact_ids":[],"rationale":"搜索词指定女性受众"},{"value":"women","evidence_type":"page_validated","source_span":"","fact_ids":["title_womens_flip_flop"],"rationale":"该槽位与商品基准中的明示页面事实一致。"}],"function_intent":[{"value":"orthopedic_support","evidence_type":"explicit","source_span":"orthopedic","fact_ids":[],"rationale":"矫形需求为搜索词明确表述"},{"value":"pain_relief","evidence_type":"explicit","source_span":"fasciitis","fact_ids":[],"rationale":"筋膜炎关联疼痛缓解意图"}],"capability_intent":[{"value":"arch_support","evidence_type":"page_validated","source_span":"","fact_ids":["arch_support"],"rationale":"足弓支撑对矫形需求有支持作用"},{"value":"arch_support","evidence_type":"inferred","source_span":"","fact_ids":[],"rationale":"该能力由搜索词表达的任务或问题推断；页面事实仅用于验证商品承接。"}],"body_need_intent":[{"value":"plantar_fasciitis","evidence_type":"explicit","source_span":"fasciitis","fact_ids":[],"rationale":"搜索词直接提到筋膜炎"},{"value":"orthopedic","evidence_type":"explicit","source_span":"orthopedic","fact_ids":[],"rationale":"矫形需求明确"}]}</x:v>
      </x:c>
      <x:c r="Y592" s="16" t="str">
        <x:v>medical_treatment_claim_not_validated</x:v>
      </x:c>
      <x:c r="Z592" s="13" t="str">
        <x:v>partial_match</x:v>
      </x:c>
      <x:c r="AA592" s="16" t="str">
        <x:v>title_womens_flip_flop | arch_support | style_flip_flop</x:v>
      </x:c>
      <x:c r="AB592" s="13" t="str">
        <x:v>accepted</x:v>
      </x:c>
      <x:c r="AC592" s="13" t="str">
        <x:v>1.0.0</x:v>
      </x:c>
      <x:c r="AD592" s="13" t="str">
        <x:v>1.0.0</x:v>
      </x:c>
      <x:c r="AE592" s="13" t="str">
        <x:v>deepseek/deepseek-v4-pro</x:v>
      </x:c>
      <x:c r="AF592" s="13" t="str">
        <x:v>aj2-y90-20260714T234810-0bea2f52</x:v>
      </x:c>
      <x:c r="AG592" s="13" t="str">
        <x:v>full-0030</x:v>
      </x:c>
      <x:c r="AH592" s="13" t="str">
        <x:v>full</x:v>
      </x:c>
      <x:c r="AI592" s="13" t="n">
        <x:v>30</x:v>
      </x:c>
    </x:row>
    <x:row r="593" ht="34" customHeight="1">
      <x:c r="A593" s="15" t="str">
        <x:v>archies footwear women</x:v>
      </x:c>
      <x:c r="B593" s="15" t="str">
        <x:v>archies footwear women</x:v>
      </x:c>
      <x:c r="C593" s="10" t="str">
        <x:v>a7297df4b385bb34</x:v>
      </x:c>
      <x:c r="D593" s="10" t="str">
        <x:v>keyword</x:v>
      </x:c>
      <x:c r="E593" s="10" t="str">
        <x:v>en</x:v>
      </x:c>
      <x:c r="F593" s="10" t="str">
        <x:v>clothing_shoes_jewelry</x:v>
      </x:c>
      <x:c r="G593" s="15" t="str"/>
      <x:c r="H593" s="15" t="str">
        <x:v>flip_flop | sandal</x:v>
      </x:c>
      <x:c r="I593" s="15" t="str">
        <x:v>women</x:v>
      </x:c>
      <x:c r="J593" s="15" t="str">
        <x:v>arch_support</x:v>
      </x:c>
      <x:c r="K593" s="15" t="str">
        <x:v>arch_support</x:v>
      </x:c>
      <x:c r="L593" s="15" t="str"/>
      <x:c r="M593" s="15" t="str"/>
      <x:c r="N593" s="15" t="str">
        <x:v>arch_support</x:v>
      </x:c>
      <x:c r="O593" s="15" t="str"/>
      <x:c r="P593" s="15" t="str"/>
      <x:c r="Q593" s="15" t="str"/>
      <x:c r="R593" s="15" t="str">
        <x:v>女性用户搜索Archies品牌的人字拖类鞋履，核心需求是足弓支撑功能，希望找到该品牌或功能相近的替代产品。</x:v>
      </x:c>
      <x:c r="S593" s="10" t="str">
        <x:v>brand_harvest</x:v>
      </x:c>
      <x:c r="T593" s="15" t="str">
        <x:v>explicit | inferred</x:v>
      </x:c>
      <x:c r="U593" s="10" t="str">
        <x:v>medium</x:v>
      </x:c>
      <x:c r="V593" s="15" t="str">
        <x:v>womens_arch_support_flip_flops_branded</x:v>
      </x:c>
      <x:c r="W593" s="15" t="str">
        <x:v>cluster_route</x:v>
      </x:c>
      <x:c r="X593" s="15" t="str">
        <x:v>{"primary_domain":[{"value":"clothing_shoes_jewelry","evidence_type":"explicit","source_span":"footwear","fact_ids":[],"rationale":"footwear已明确指鞋类产品域"}],"product_type":[{"value":"flip_flop","evidence_type":"inferred","source_span":"footwear","fact_ids":[],"rationale":"Archies品牌以人字拖为主打产品"},{"value":"sandal","evidence_type":"inferred","source_span":"footwear","fact_ids":[],"rationale":"人字拖属于凉鞋大类"},{"value":"flip_flop","evidence_type":"page_validated","source_span":"","fact_ids":["style_flip_flop"],"rationale":"该槽位与商品基准中的明示页面事实一致。"}],"audience_intent":[{"value":"women","evidence_type":"explicit","source_span":"women","fact_ids":[],"rationale":"搜索词明确指定女性受众"},{"value":"women","evidence_type":"page_validated","source_span":"","fact_ids":["title_womens_flip_flop"],"rationale":"该槽位与商品基准中的明示页面事实一致。"}],"capability_intent":[{"value":"arch_support","evidence_type":"inferred","source_span":"archies","fact_ids":[],"rationale":"品牌关联足弓支撑功能"},{"value":"arch_support","evidence_type":"page_validated","source_span":"","fact_ids":["arch_support"],"rationale":"该槽位与商品基准中的明示页面事实一致。"}]}</x:v>
      </x:c>
      <x:c r="Y593" s="15" t="str"/>
      <x:c r="Z593" s="10" t="str">
        <x:v>partial_match</x:v>
      </x:c>
      <x:c r="AA593" s="15" t="str">
        <x:v>title_womens_flip_flop | arch_support | style_flip_flop</x:v>
      </x:c>
      <x:c r="AB593" s="10" t="str">
        <x:v>accepted</x:v>
      </x:c>
      <x:c r="AC593" s="10" t="str">
        <x:v>1.0.0</x:v>
      </x:c>
      <x:c r="AD593" s="10" t="str">
        <x:v>1.0.0</x:v>
      </x:c>
      <x:c r="AE593" s="10" t="str">
        <x:v>deepseek/deepseek-v4-pro</x:v>
      </x:c>
      <x:c r="AF593" s="10" t="str">
        <x:v>aj2-y90-20260714T234810-0bea2f52</x:v>
      </x:c>
      <x:c r="AG593" s="10" t="str">
        <x:v>full-0030</x:v>
      </x:c>
      <x:c r="AH593" s="10" t="str">
        <x:v>full</x:v>
      </x:c>
      <x:c r="AI593" s="10" t="n">
        <x:v>30</x:v>
      </x:c>
    </x:row>
    <x:row r="594" ht="34" customHeight="1">
      <x:c r="A594" s="16" t="str">
        <x:v>black flip flops sparkly</x:v>
      </x:c>
      <x:c r="B594" s="16" t="str">
        <x:v>black flip flops sparkly</x:v>
      </x:c>
      <x:c r="C594" s="13" t="str">
        <x:v>b6c00cef40f0ecea</x:v>
      </x:c>
      <x:c r="D594" s="13" t="str">
        <x:v>keyword</x:v>
      </x:c>
      <x:c r="E594" s="13" t="str">
        <x:v>en</x:v>
      </x:c>
      <x:c r="F594" s="13" t="str">
        <x:v>clothing_shoes_jewelry</x:v>
      </x:c>
      <x:c r="G594" s="16" t="str"/>
      <x:c r="H594" s="16" t="str">
        <x:v>flip_flop</x:v>
      </x:c>
      <x:c r="I594" s="16" t="str"/>
      <x:c r="J594" s="16" t="str"/>
      <x:c r="K594" s="16" t="str"/>
      <x:c r="L594" s="16" t="str"/>
      <x:c r="M594" s="16" t="str"/>
      <x:c r="N594" s="16" t="str"/>
      <x:c r="O594" s="16" t="str"/>
      <x:c r="P594" s="16" t="str"/>
      <x:c r="Q594" s="16" t="str"/>
      <x:c r="R594" s="16" t="str">
        <x:v>用户搜索黑色闪亮人字拖，要求装饰性外观，但产品页未声明闪粉或亮片等装饰属性。</x:v>
      </x:c>
      <x:c r="S594" s="13" t="str">
        <x:v>high_intent</x:v>
      </x:c>
      <x:c r="T594" s="16" t="str">
        <x:v>explicit | page_validated</x:v>
      </x:c>
      <x:c r="U594" s="13" t="str">
        <x:v>medium</x:v>
      </x:c>
      <x:c r="V594" s="16" t="str">
        <x:v>flip_flops_color_aesthetic</x:v>
      </x:c>
      <x:c r="W594" s="16" t="str">
        <x:v>listing_gap_review</x:v>
      </x:c>
      <x:c r="X594" s="16" t="str">
        <x:v>{"primary_domain":[{"value":"clothing_shoes_jewelry","evidence_type":"explicit","source_span":"flip flops","fact_ids":[],"rationale":"人字拖属于鞋类"}],"product_type":[{"value":"flip_flop","evidence_type":"explicit","source_span":"flip flops","fact_ids":[],"rationale":"搜索词明确人字拖"},{"value":"flip_flop","evidence_type":"page_validated","source_span":"","fact_ids":["style_flip_flop"],"rationale":"该槽位与商品基准中的明示页面事实一致。"}]}</x:v>
      </x:c>
      <x:c r="Y594" s="16" t="str">
        <x:v>aesthetic_feature_not_validated</x:v>
      </x:c>
      <x:c r="Z594" s="13" t="str">
        <x:v>partial_match</x:v>
      </x:c>
      <x:c r="AA594" s="16" t="str">
        <x:v>style_flip_flop | colors_visible</x:v>
      </x:c>
      <x:c r="AB594" s="13" t="str">
        <x:v>accepted</x:v>
      </x:c>
      <x:c r="AC594" s="13" t="str">
        <x:v>1.0.0</x:v>
      </x:c>
      <x:c r="AD594" s="13" t="str">
        <x:v>1.0.0</x:v>
      </x:c>
      <x:c r="AE594" s="13" t="str">
        <x:v>deepseek/deepseek-v4-pro</x:v>
      </x:c>
      <x:c r="AF594" s="13" t="str">
        <x:v>aj2-y90-20260714T234810-0bea2f52</x:v>
      </x:c>
      <x:c r="AG594" s="13" t="str">
        <x:v>full-0030</x:v>
      </x:c>
      <x:c r="AH594" s="13" t="str">
        <x:v>full</x:v>
      </x:c>
      <x:c r="AI594" s="13" t="n">
        <x:v>30</x:v>
      </x:c>
    </x:row>
    <x:row r="595" ht="34" customHeight="1">
      <x:c r="A595" s="15" t="str">
        <x:v>archies arch support flip flops women</x:v>
      </x:c>
      <x:c r="B595" s="15" t="str">
        <x:v>archies arch support flip flops women</x:v>
      </x:c>
      <x:c r="C595" s="10" t="str">
        <x:v>ba7bdd4df1b1bede</x:v>
      </x:c>
      <x:c r="D595" s="10" t="str">
        <x:v>keyword</x:v>
      </x:c>
      <x:c r="E595" s="10" t="str">
        <x:v>en</x:v>
      </x:c>
      <x:c r="F595" s="10" t="str">
        <x:v>clothing_shoes_jewelry</x:v>
      </x:c>
      <x:c r="G595" s="15" t="str"/>
      <x:c r="H595" s="15" t="str">
        <x:v>flip_flop</x:v>
      </x:c>
      <x:c r="I595" s="15" t="str">
        <x:v>women</x:v>
      </x:c>
      <x:c r="J595" s="15" t="str">
        <x:v>arch_support</x:v>
      </x:c>
      <x:c r="K595" s="15" t="str">
        <x:v>arch_support</x:v>
      </x:c>
      <x:c r="L595" s="15" t="str"/>
      <x:c r="M595" s="15" t="str"/>
      <x:c r="N595" s="15" t="str">
        <x:v>arch_support</x:v>
      </x:c>
      <x:c r="O595" s="15" t="str"/>
      <x:c r="P595" s="15" t="str"/>
      <x:c r="Q595" s="15" t="str"/>
      <x:c r="R595" s="15" t="str">
        <x:v>女性用户搜索Archies品牌带足弓支撑功能的人字拖，明确同时要求品牌和功能属性。</x:v>
      </x:c>
      <x:c r="S595" s="10" t="str">
        <x:v>brand_harvest</x:v>
      </x:c>
      <x:c r="T595" s="15" t="str">
        <x:v>explicit | page_validated</x:v>
      </x:c>
      <x:c r="U595" s="10" t="str">
        <x:v>medium</x:v>
      </x:c>
      <x:c r="V595" s="15" t="str">
        <x:v>womens_arch_support_flip_flops_branded</x:v>
      </x:c>
      <x:c r="W595" s="15" t="str">
        <x:v>cluster_route</x:v>
      </x:c>
      <x:c r="X595" s="15" t="str">
        <x:v>{"primary_domain":[{"value":"clothing_shoes_jewelry","evidence_type":"explicit","source_span":"flip flops","fact_ids":[],"rationale":"人字拖明确属于鞋类"}],"product_type":[{"value":"flip_flop","evidence_type":"explicit","source_span":"flip flops","fact_ids":[],"rationale":"搜索词明确指定人字拖"},{"value":"flip_flop","evidence_type":"page_validated","source_span":"","fact_ids":["style_flip_flop"],"rationale":"该槽位与商品基准中的明示页面事实一致。"}],"audience_intent":[{"value":"women","evidence_type":"explicit","source_span":"women","fact_ids":[],"rationale":"搜索词明确女性受众"},{"value":"women","evidence_type":"page_validated","source_span":"","fact_ids":["title_womens_flip_flop"],"rationale":"该槽位与商品基准中的明示页面事实一致。"}],"capability_intent":[{"value":"arch_support","evidence_type":"explicit","source_span":"arch support","fact_ids":["arch_support"],"rationale":"产品页已验证足弓支撑功能"},{"value":"arch_support","evidence_type":"page_validated","source_span":"","fact_ids":["arch_support"],"rationale":"该槽位与商品基准中的明示页面事实一致。"}]}</x:v>
      </x:c>
      <x:c r="Y595" s="15" t="str"/>
      <x:c r="Z595" s="10" t="str">
        <x:v>partial_match</x:v>
      </x:c>
      <x:c r="AA595" s="15" t="str">
        <x:v>title_womens_flip_flop | arch_support | style_flip_flop</x:v>
      </x:c>
      <x:c r="AB595" s="10" t="str">
        <x:v>accepted</x:v>
      </x:c>
      <x:c r="AC595" s="10" t="str">
        <x:v>1.0.0</x:v>
      </x:c>
      <x:c r="AD595" s="10" t="str">
        <x:v>1.0.0</x:v>
      </x:c>
      <x:c r="AE595" s="10" t="str">
        <x:v>deepseek/deepseek-v4-pro</x:v>
      </x:c>
      <x:c r="AF595" s="10" t="str">
        <x:v>aj2-y90-20260714T234810-0bea2f52</x:v>
      </x:c>
      <x:c r="AG595" s="10" t="str">
        <x:v>full-0030</x:v>
      </x:c>
      <x:c r="AH595" s="10" t="str">
        <x:v>full</x:v>
      </x:c>
      <x:c r="AI595" s="10" t="n">
        <x:v>30</x:v>
      </x:c>
    </x:row>
    <x:row r="596" ht="34" customHeight="1">
      <x:c r="A596" s="16" t="str">
        <x:v>hot pink arch support flip flops</x:v>
      </x:c>
      <x:c r="B596" s="16" t="str">
        <x:v>hot pink arch support flip flops</x:v>
      </x:c>
      <x:c r="C596" s="13" t="str">
        <x:v>c2a139db39f1c0bf</x:v>
      </x:c>
      <x:c r="D596" s="13" t="str">
        <x:v>keyword</x:v>
      </x:c>
      <x:c r="E596" s="13" t="str">
        <x:v>en</x:v>
      </x:c>
      <x:c r="F596" s="13" t="str">
        <x:v>clothing_shoes_jewelry</x:v>
      </x:c>
      <x:c r="G596" s="16" t="str"/>
      <x:c r="H596" s="16" t="str">
        <x:v>flip_flop</x:v>
      </x:c>
      <x:c r="I596" s="16" t="str"/>
      <x:c r="J596" s="16" t="str">
        <x:v>arch_support</x:v>
      </x:c>
      <x:c r="K596" s="16" t="str">
        <x:v>arch_support</x:v>
      </x:c>
      <x:c r="L596" s="16" t="str"/>
      <x:c r="M596" s="16" t="str"/>
      <x:c r="N596" s="16" t="str">
        <x:v>arch_support</x:v>
      </x:c>
      <x:c r="O596" s="16" t="str"/>
      <x:c r="P596" s="16" t="str"/>
      <x:c r="Q596" s="16" t="str"/>
      <x:c r="R596" s="16" t="str">
        <x:v>用户搜索亮粉色带足弓支撑的人字拖，产品页有粉色/浅紫色可选，颜色和功能基本匹配。</x:v>
      </x:c>
      <x:c r="S596" s="13" t="str">
        <x:v>high_intent</x:v>
      </x:c>
      <x:c r="T596" s="16" t="str">
        <x:v>explicit | page_validated</x:v>
      </x:c>
      <x:c r="U596" s="13" t="str">
        <x:v>high</x:v>
      </x:c>
      <x:c r="V596" s="16" t="str">
        <x:v>arch_support_flip_flops_color</x:v>
      </x:c>
      <x:c r="W596" s="16" t="str">
        <x:v>cluster_route</x:v>
      </x:c>
      <x:c r="X596" s="16" t="str">
        <x:v>{"primary_domain":[{"value":"clothing_shoes_jewelry","evidence_type":"explicit","source_span":"flip flops","fact_ids":[],"rationale":"人字拖属于鞋类"}],"product_type":[{"value":"flip_flop","evidence_type":"explicit","source_span":"flip flops","fact_ids":[],"rationale":"搜索词明确指定人字拖"},{"value":"flip_flop","evidence_type":"page_validated","source_span":"","fact_ids":["style_flip_flop"],"rationale":"该槽位与商品基准中的明示页面事实一致。"}],"capability_intent":[{"value":"arch_support","evidence_type":"page_validated","source_span":"","fact_ids":["arch_support"],"rationale":"产品页验证足弓支撑功能"}]}</x:v>
      </x:c>
      <x:c r="Y596" s="16" t="str"/>
      <x:c r="Z596" s="13" t="str">
        <x:v>match</x:v>
      </x:c>
      <x:c r="AA596" s="16" t="str">
        <x:v>style_flip_flop | arch_support | colors_visible</x:v>
      </x:c>
      <x:c r="AB596" s="13" t="str">
        <x:v>accepted</x:v>
      </x:c>
      <x:c r="AC596" s="13" t="str">
        <x:v>1.0.0</x:v>
      </x:c>
      <x:c r="AD596" s="13" t="str">
        <x:v>1.0.0</x:v>
      </x:c>
      <x:c r="AE596" s="13" t="str">
        <x:v>deepseek/deepseek-v4-pro</x:v>
      </x:c>
      <x:c r="AF596" s="13" t="str">
        <x:v>aj2-y90-20260714T234810-0bea2f52</x:v>
      </x:c>
      <x:c r="AG596" s="13" t="str">
        <x:v>full-0030</x:v>
      </x:c>
      <x:c r="AH596" s="13" t="str">
        <x:v>full</x:v>
      </x:c>
      <x:c r="AI596" s="13" t="n">
        <x:v>30</x:v>
      </x:c>
    </x:row>
    <x:row r="597" ht="34" customHeight="1">
      <x:c r="A597" s="15" t="str">
        <x:v>slender flip flop with arch support</x:v>
      </x:c>
      <x:c r="B597" s="15" t="str">
        <x:v>slender flip flop with arch support</x:v>
      </x:c>
      <x:c r="C597" s="10" t="str">
        <x:v>dfc15ae6f2c5e625</x:v>
      </x:c>
      <x:c r="D597" s="10" t="str">
        <x:v>keyword</x:v>
      </x:c>
      <x:c r="E597" s="10" t="str">
        <x:v>en</x:v>
      </x:c>
      <x:c r="F597" s="10" t="str">
        <x:v>clothing_shoes_jewelry</x:v>
      </x:c>
      <x:c r="G597" s="15" t="str"/>
      <x:c r="H597" s="15" t="str">
        <x:v>flip_flop</x:v>
      </x:c>
      <x:c r="I597" s="15" t="str"/>
      <x:c r="J597" s="15" t="str">
        <x:v>arch_support</x:v>
      </x:c>
      <x:c r="K597" s="15" t="str">
        <x:v>arch_support</x:v>
      </x:c>
      <x:c r="L597" s="15" t="str"/>
      <x:c r="M597" s="15" t="str"/>
      <x:c r="N597" s="15" t="str">
        <x:v>arch_support | narrow_fit</x:v>
      </x:c>
      <x:c r="O597" s="15" t="str"/>
      <x:c r="P597" s="15" t="str"/>
      <x:c r="Q597" s="15" t="str"/>
      <x:c r="R597" s="15" t="str">
        <x:v>用户搜索修身窄版且带足弓支撑的人字拖，足弓支撑匹配但产品页未声明窄版或修身设计。</x:v>
      </x:c>
      <x:c r="S597" s="10" t="str">
        <x:v>high_intent</x:v>
      </x:c>
      <x:c r="T597" s="15" t="str">
        <x:v>explicit | page_validated</x:v>
      </x:c>
      <x:c r="U597" s="10" t="str">
        <x:v>medium</x:v>
      </x:c>
      <x:c r="V597" s="15" t="str">
        <x:v>slim_arch_support_flip_flops</x:v>
      </x:c>
      <x:c r="W597" s="15" t="str">
        <x:v>listing_gap_review</x:v>
      </x:c>
      <x:c r="X597" s="15" t="str">
        <x:v>{"primary_domain":[{"value":"clothing_shoes_jewelry","evidence_type":"explicit","source_span":"flip flop","fact_ids":[],"rationale":"人字拖属于鞋类"}],"product_type":[{"value":"flip_flop","evidence_type":"explicit","source_span":"flip flop","fact_ids":[],"rationale":"搜索词指定人字拖"},{"value":"flip_flop","evidence_type":"page_validated","source_span":"","fact_ids":["style_flip_flop"],"rationale":"该槽位与商品基准中的明示页面事实一致。"}],"capability_intent":[{"value":"arch_support","evidence_type":"page_validated","source_span":"","fact_ids":["arch_support"],"rationale":"产品页已验证足弓支撑"}],"body_need_intent":[{"value":"narrow_fit","evidence_type":"explicit","source_span":"slender","fact_ids":[],"rationale":"slender要求窄版鞋型"}]}</x:v>
      </x:c>
      <x:c r="Y597" s="15" t="str">
        <x:v>slender_narrow_fit_not_page_validated</x:v>
      </x:c>
      <x:c r="Z597" s="10" t="str">
        <x:v>partial_match</x:v>
      </x:c>
      <x:c r="AA597" s="15" t="str">
        <x:v>style_flip_flop | arch_support</x:v>
      </x:c>
      <x:c r="AB597" s="10" t="str">
        <x:v>accepted</x:v>
      </x:c>
      <x:c r="AC597" s="10" t="str">
        <x:v>1.0.0</x:v>
      </x:c>
      <x:c r="AD597" s="10" t="str">
        <x:v>1.0.0</x:v>
      </x:c>
      <x:c r="AE597" s="10" t="str">
        <x:v>deepseek/deepseek-v4-pro</x:v>
      </x:c>
      <x:c r="AF597" s="10" t="str">
        <x:v>aj2-y90-20260714T234810-0bea2f52</x:v>
      </x:c>
      <x:c r="AG597" s="10" t="str">
        <x:v>full-0030</x:v>
      </x:c>
      <x:c r="AH597" s="10" t="str">
        <x:v>full</x:v>
      </x:c>
      <x:c r="AI597" s="10" t="n">
        <x:v>30</x:v>
      </x:c>
    </x:row>
    <x:row r="598" ht="34" customHeight="1">
      <x:c r="A598" s="16" t="str">
        <x:v>thong flip flops for women rubber</x:v>
      </x:c>
      <x:c r="B598" s="16" t="str">
        <x:v>thong flip flops for women rubber</x:v>
      </x:c>
      <x:c r="C598" s="13" t="str">
        <x:v>e56ae9297eccc53e</x:v>
      </x:c>
      <x:c r="D598" s="13" t="str">
        <x:v>keyword</x:v>
      </x:c>
      <x:c r="E598" s="13" t="str">
        <x:v>en</x:v>
      </x:c>
      <x:c r="F598" s="13" t="str">
        <x:v>clothing_shoes_jewelry</x:v>
      </x:c>
      <x:c r="G598" s="16" t="str"/>
      <x:c r="H598" s="16" t="str">
        <x:v>flip_flop</x:v>
      </x:c>
      <x:c r="I598" s="16" t="str">
        <x:v>women</x:v>
      </x:c>
      <x:c r="J598" s="16" t="str"/>
      <x:c r="K598" s="16" t="str"/>
      <x:c r="L598" s="16" t="str"/>
      <x:c r="M598" s="16" t="str"/>
      <x:c r="N598" s="16" t="str"/>
      <x:c r="O598" s="16" t="str"/>
      <x:c r="P598" s="16" t="str"/>
      <x:c r="Q598" s="16" t="str"/>
      <x:c r="R598" s="16" t="str">
        <x:v>女性用户搜索橡胶材质夹脚人字拖，产品为EVA材质而非橡胶，但夹脚带型和女性受众均匹配。</x:v>
      </x:c>
      <x:c r="S598" s="13" t="str">
        <x:v>high_intent</x:v>
      </x:c>
      <x:c r="T598" s="16" t="str">
        <x:v>explicit | page_validated</x:v>
      </x:c>
      <x:c r="U598" s="13" t="str">
        <x:v>medium</x:v>
      </x:c>
      <x:c r="V598" s="16" t="str">
        <x:v>womens_thong_flip_flops_rubber</x:v>
      </x:c>
      <x:c r="W598" s="16" t="str">
        <x:v>listing_gap_review</x:v>
      </x:c>
      <x:c r="X598" s="16" t="str">
        <x:v>{"primary_domain":[{"value":"clothing_shoes_jewelry","evidence_type":"explicit","source_span":"flip flops","fact_ids":[],"rationale":"人字拖属于鞋类"}],"product_type":[{"value":"flip_flop","evidence_type":"explicit","source_span":"flip flops","fact_ids":[],"rationale":"搜索词明确人字拖"},{"value":"flip_flop","evidence_type":"page_validated","source_span":"","fact_ids":["style_flip_flop"],"rationale":"该槽位与商品基准中的明示页面事实一致。"}],"audience_intent":[{"value":"women","evidence_type":"explicit","source_span":"women","fact_ids":[],"rationale":"搜索词明确女性"},{"value":"women","evidence_type":"page_validated","source_span":"","fact_ids":["title_womens_flip_flop"],"rationale":"该槽位与商品基准中的明示页面事实一致。"}]}</x:v>
      </x:c>
      <x:c r="Y598" s="16" t="str">
        <x:v>material_rubber_not_eva</x:v>
      </x:c>
      <x:c r="Z598" s="13" t="str">
        <x:v>partial_match</x:v>
      </x:c>
      <x:c r="AA598" s="16" t="str">
        <x:v>title_womens_flip_flop | style_flip_flop | style_thong</x:v>
      </x:c>
      <x:c r="AB598" s="13" t="str">
        <x:v>accepted</x:v>
      </x:c>
      <x:c r="AC598" s="13" t="str">
        <x:v>1.0.0</x:v>
      </x:c>
      <x:c r="AD598" s="13" t="str">
        <x:v>1.0.0</x:v>
      </x:c>
      <x:c r="AE598" s="13" t="str">
        <x:v>deepseek/deepseek-v4-pro</x:v>
      </x:c>
      <x:c r="AF598" s="13" t="str">
        <x:v>aj2-y90-20260714T234810-0bea2f52</x:v>
      </x:c>
      <x:c r="AG598" s="13" t="str">
        <x:v>full-0030</x:v>
      </x:c>
      <x:c r="AH598" s="13" t="str">
        <x:v>full</x:v>
      </x:c>
      <x:c r="AI598" s="13" t="n">
        <x:v>30</x:v>
      </x:c>
    </x:row>
    <x:row r="599" ht="34" customHeight="1">
      <x:c r="A599" s="15" t="str">
        <x:v>beige arch support sandals</x:v>
      </x:c>
      <x:c r="B599" s="15" t="str">
        <x:v>beige arch support sandals</x:v>
      </x:c>
      <x:c r="C599" s="10" t="str">
        <x:v>e56dffa708696283</x:v>
      </x:c>
      <x:c r="D599" s="10" t="str">
        <x:v>keyword</x:v>
      </x:c>
      <x:c r="E599" s="10" t="str">
        <x:v>en</x:v>
      </x:c>
      <x:c r="F599" s="10" t="str">
        <x:v>clothing_shoes_jewelry</x:v>
      </x:c>
      <x:c r="G599" s="15" t="str"/>
      <x:c r="H599" s="15" t="str">
        <x:v>sandal</x:v>
      </x:c>
      <x:c r="I599" s="15" t="str"/>
      <x:c r="J599" s="15" t="str">
        <x:v>arch_support</x:v>
      </x:c>
      <x:c r="K599" s="15" t="str">
        <x:v>arch_support</x:v>
      </x:c>
      <x:c r="L599" s="15" t="str"/>
      <x:c r="M599" s="15" t="str"/>
      <x:c r="N599" s="15" t="str">
        <x:v>arch_support</x:v>
      </x:c>
      <x:c r="O599" s="15" t="str"/>
      <x:c r="P599" s="15" t="str"/>
      <x:c r="Q599" s="15" t="str"/>
      <x:c r="R599" s="15" t="str">
        <x:v>用户搜索米色带足弓支撑的凉鞋，颜色有特定要求但产品页仅列出黑、粉、棕、深灰、浅蓝和白色。</x:v>
      </x:c>
      <x:c r="S599" s="10" t="str">
        <x:v>high_intent</x:v>
      </x:c>
      <x:c r="T599" s="15" t="str">
        <x:v>explicit | page_validated | inferred</x:v>
      </x:c>
      <x:c r="U599" s="10" t="str">
        <x:v>medium</x:v>
      </x:c>
      <x:c r="V599" s="15" t="str">
        <x:v>arch_support_sandals_color</x:v>
      </x:c>
      <x:c r="W599" s="15" t="str">
        <x:v>listing_gap_review</x:v>
      </x:c>
      <x:c r="X599" s="15" t="str">
        <x:v>{"primary_domain":[{"value":"clothing_shoes_jewelry","evidence_type":"explicit","source_span":"sandals","fact_ids":[],"rationale":"凉鞋属于鞋类产品"}],"product_type":[{"value":"sandal","evidence_type":"explicit","source_span":"sandals","fact_ids":[],"rationale":"搜索词明确凉鞋品类"}],"capability_intent":[{"value":"arch_support","evidence_type":"explicit","source_span":"arch support","fact_ids":["arch_support"],"rationale":"产品已具备足弓支撑功能"},{"value":"arch_support","evidence_type":"page_validated","source_span":"","fact_ids":["arch_support"],"rationale":"该槽位与商品基准中的明示页面事实一致。"}]}</x:v>
      </x:c>
      <x:c r="Y599" s="15" t="str">
        <x:v>color_beige_not_in_selector</x:v>
      </x:c>
      <x:c r="Z599" s="10" t="str">
        <x:v>partial_match</x:v>
      </x:c>
      <x:c r="AA599" s="15" t="str">
        <x:v>arch_support | style_flip_flop</x:v>
      </x:c>
      <x:c r="AB599" s="10" t="str">
        <x:v>accepted</x:v>
      </x:c>
      <x:c r="AC599" s="10" t="str">
        <x:v>1.0.0</x:v>
      </x:c>
      <x:c r="AD599" s="10" t="str">
        <x:v>1.0.0</x:v>
      </x:c>
      <x:c r="AE599" s="10" t="str">
        <x:v>deepseek/deepseek-v4-pro</x:v>
      </x:c>
      <x:c r="AF599" s="10" t="str">
        <x:v>aj2-y90-20260714T234810-0bea2f52</x:v>
      </x:c>
      <x:c r="AG599" s="10" t="str">
        <x:v>full-0030</x:v>
      </x:c>
      <x:c r="AH599" s="10" t="str">
        <x:v>full</x:v>
      </x:c>
      <x:c r="AI599" s="10" t="n">
        <x:v>30</x:v>
      </x:c>
    </x:row>
    <x:row r="600" ht="34" customHeight="1">
      <x:c r="A600" s="16" t="str">
        <x:v>pool sandals woman</x:v>
      </x:c>
      <x:c r="B600" s="16" t="str">
        <x:v>pool sandals woman</x:v>
      </x:c>
      <x:c r="C600" s="13" t="str">
        <x:v>f52d56211e9046c3</x:v>
      </x:c>
      <x:c r="D600" s="13" t="str">
        <x:v>keyword</x:v>
      </x:c>
      <x:c r="E600" s="13" t="str">
        <x:v>en</x:v>
      </x:c>
      <x:c r="F600" s="13" t="str">
        <x:v>clothing_shoes_jewelry</x:v>
      </x:c>
      <x:c r="G600" s="16" t="str">
        <x:v>sports_outdoors</x:v>
      </x:c>
      <x:c r="H600" s="16" t="str">
        <x:v>sandal</x:v>
      </x:c>
      <x:c r="I600" s="16" t="str">
        <x:v>women</x:v>
      </x:c>
      <x:c r="J600" s="16" t="str">
        <x:v>water_friendly</x:v>
      </x:c>
      <x:c r="K600" s="16" t="str">
        <x:v>slip_resistant</x:v>
      </x:c>
      <x:c r="L600" s="16" t="str"/>
      <x:c r="M600" s="16" t="str">
        <x:v>pool</x:v>
      </x:c>
      <x:c r="N600" s="16" t="str"/>
      <x:c r="O600" s="16" t="str"/>
      <x:c r="P600" s="16" t="str"/>
      <x:c r="Q600" s="16" t="str"/>
      <x:c r="R600" s="16" t="str">
        <x:v>女性用户需要适合泳池环境穿着的凉鞋，要求涉水适用且防滑，但产品未声明防水或速干属性。</x:v>
      </x:c>
      <x:c r="S600" s="13" t="str">
        <x:v>consideration</x:v>
      </x:c>
      <x:c r="T600" s="16" t="str">
        <x:v>explicit | inferred</x:v>
      </x:c>
      <x:c r="U600" s="13" t="str">
        <x:v>medium</x:v>
      </x:c>
      <x:c r="V600" s="16" t="str">
        <x:v>womens_pool_sandals</x:v>
      </x:c>
      <x:c r="W600" s="16" t="str">
        <x:v>listing_gap_review</x:v>
      </x:c>
      <x:c r="X600" s="16" t="str">
        <x:v>{"primary_domain":[{"value":"clothing_shoes_jewelry","evidence_type":"explicit","source_span":"sandals","fact_ids":[],"rationale":"凉鞋属于鞋类"}],"secondary_domain":[{"value":"sports_outdoors","evidence_type":"inferred","source_span":"pool","fact_ids":[],"rationale":"泳池活动属于户外运动场景"}],"product_type":[{"value":"sandal","evidence_type":"explicit","source_span":"sandals","fact_ids":[],"rationale":"搜索词明确凉鞋品类"}],"audience_intent":[{"value":"women","evidence_type":"explicit","source_span":"woman","fact_ids":[],"rationale":"搜索词指定女性"},{"value":"women","evidence_type":"page_validated","source_span":"","fact_ids":["title_womens_flip_flop"],"rationale":"该槽位与商品基准中的明示页面事实一致。"},{"value":"women","evidence_type":"inferred","source_span":"","fact_ids":[],"rationale":"该能力由搜索词表达的任务或问题推断；页面事实仅用于验证商品承接。"}],"function_intent":[{"value":"water_friendly","evidence_type":"inferred","source_span":"pool","fact_ids":[],"rationale":"泳池环境隐含涉水需求"}],"capability_intent":[{"value":"slip_resistant","evidence_type":"inferred","source_span":"pool","fact_ids":[],"rationale":"湿滑池边需要防滑性能"},{"value":"slip_resistant","evidence_type":"page_validated","source_span":"","fact_ids":["slip_resistant_grip"],"rationale":"该槽位与商品基准中的明示页面事实一致。"}],"location_intent":[{"value":"pool","evidence_type":"explicit","source_span":"pool","fact_ids":[],"rationale":"搜索词明确泳池使用场景"}]}</x:v>
      </x:c>
      <x:c r="Y600" s="16" t="str">
        <x:v>waterproof_not_validated_on_page</x:v>
      </x:c>
      <x:c r="Z600" s="13" t="str">
        <x:v>partial_match</x:v>
      </x:c>
      <x:c r="AA600" s="16" t="str">
        <x:v>style_flip_flop | slip_resistant_grip</x:v>
      </x:c>
      <x:c r="AB600" s="13" t="str">
        <x:v>accepted</x:v>
      </x:c>
      <x:c r="AC600" s="13" t="str">
        <x:v>1.0.0</x:v>
      </x:c>
      <x:c r="AD600" s="13" t="str">
        <x:v>1.0.0</x:v>
      </x:c>
      <x:c r="AE600" s="13" t="str">
        <x:v>deepseek/deepseek-v4-pro</x:v>
      </x:c>
      <x:c r="AF600" s="13" t="str">
        <x:v>aj2-y90-20260714T234810-0bea2f52</x:v>
      </x:c>
      <x:c r="AG600" s="13" t="str">
        <x:v>full-0030</x:v>
      </x:c>
      <x:c r="AH600" s="13" t="str">
        <x:v>full</x:v>
      </x:c>
      <x:c r="AI600" s="13" t="n">
        <x:v>30</x:v>
      </x:c>
    </x:row>
    <x:row r="601" ht="34" customHeight="1">
      <x:c r="A601" s="15" t="str">
        <x:v>white flipflops</x:v>
      </x:c>
      <x:c r="B601" s="15" t="str">
        <x:v>white flipflops</x:v>
      </x:c>
      <x:c r="C601" s="10" t="str">
        <x:v>f739efe262be848b</x:v>
      </x:c>
      <x:c r="D601" s="10" t="str">
        <x:v>keyword</x:v>
      </x:c>
      <x:c r="E601" s="10" t="str">
        <x:v>en</x:v>
      </x:c>
      <x:c r="F601" s="10" t="str">
        <x:v>clothing_shoes_jewelry</x:v>
      </x:c>
      <x:c r="G601" s="15" t="str"/>
      <x:c r="H601" s="15" t="str">
        <x:v>flip_flop</x:v>
      </x:c>
      <x:c r="I601" s="15" t="str"/>
      <x:c r="J601" s="15" t="str"/>
      <x:c r="K601" s="15" t="str"/>
      <x:c r="L601" s="15" t="str"/>
      <x:c r="M601" s="15" t="str"/>
      <x:c r="N601" s="15" t="str"/>
      <x:c r="O601" s="15" t="str"/>
      <x:c r="P601" s="15" t="str"/>
      <x:c r="Q601" s="15" t="str"/>
      <x:c r="R601" s="15" t="str">
        <x:v>用户搜索白色人字拖，仅指定颜色和产品类型，无其他功能或受众约束。</x:v>
      </x:c>
      <x:c r="S601" s="10" t="str">
        <x:v>high_intent</x:v>
      </x:c>
      <x:c r="T601" s="15" t="str">
        <x:v>explicit | page_validated</x:v>
      </x:c>
      <x:c r="U601" s="10" t="str">
        <x:v>high</x:v>
      </x:c>
      <x:c r="V601" s="15" t="str">
        <x:v>flip_flops_color</x:v>
      </x:c>
      <x:c r="W601" s="15" t="str">
        <x:v>cluster_route</x:v>
      </x:c>
      <x:c r="X601" s="15" t="str">
        <x:v>{"primary_domain":[{"value":"clothing_shoes_jewelry","evidence_type":"explicit","source_span":"flipflops","fact_ids":[],"rationale":"人字拖属于鞋类"}],"product_type":[{"value":"flip_flop","evidence_type":"explicit","source_span":"flipflops","fact_ids":[],"rationale":"搜索词直接指定人字拖"},{"value":"flip_flop","evidence_type":"page_validated","source_span":"","fact_ids":["style_flip_flop"],"rationale":"该槽位与商品基准中的明示页面事实一致。"},{"value":"flip_flop","evidence_type":"inferred","source_span":"","fact_ids":[],"rationale":"该能力由搜索词表达的任务或问题推断；页面事实仅用于验证商品承接。"}]}</x:v>
      </x:c>
      <x:c r="Y601" s="15" t="str"/>
      <x:c r="Z601" s="10" t="str">
        <x:v>match</x:v>
      </x:c>
      <x:c r="AA601" s="15" t="str">
        <x:v>style_flip_flop | colors_visible</x:v>
      </x:c>
      <x:c r="AB601" s="10" t="str">
        <x:v>accepted</x:v>
      </x:c>
      <x:c r="AC601" s="10" t="str">
        <x:v>1.0.0</x:v>
      </x:c>
      <x:c r="AD601" s="10" t="str">
        <x:v>1.0.0</x:v>
      </x:c>
      <x:c r="AE601" s="10" t="str">
        <x:v>deepseek/deepseek-v4-pro</x:v>
      </x:c>
      <x:c r="AF601" s="10" t="str">
        <x:v>aj2-y90-20260714T234810-0bea2f52</x:v>
      </x:c>
      <x:c r="AG601" s="10" t="str">
        <x:v>full-0030</x:v>
      </x:c>
      <x:c r="AH601" s="10" t="str">
        <x:v>full</x:v>
      </x:c>
      <x:c r="AI601" s="10" t="n">
        <x:v>30</x:v>
      </x:c>
    </x:row>
    <x:row r="602" ht="34" customHeight="1">
      <x:c r="A602" s="16" t="str">
        <x:v>womens size 9.5 flip flops black memory foam arch</x:v>
      </x:c>
      <x:c r="B602" s="16" t="str">
        <x:v>womens size 9.5 flip flops black memory foam arch</x:v>
      </x:c>
      <x:c r="C602" s="13" t="str">
        <x:v>0bf59ae1c78ca796</x:v>
      </x:c>
      <x:c r="D602" s="13" t="str">
        <x:v>keyword</x:v>
      </x:c>
      <x:c r="E602" s="13" t="str">
        <x:v>en</x:v>
      </x:c>
      <x:c r="F602" s="13" t="str">
        <x:v>clothing_shoes_jewelry</x:v>
      </x:c>
      <x:c r="G602" s="16" t="str"/>
      <x:c r="H602" s="16" t="str">
        <x:v>flip_flop</x:v>
      </x:c>
      <x:c r="I602" s="16" t="str">
        <x:v>women</x:v>
      </x:c>
      <x:c r="J602" s="16" t="str"/>
      <x:c r="K602" s="16" t="str">
        <x:v>arch_support | memory_foam | black | size_9_5</x:v>
      </x:c>
      <x:c r="L602" s="16" t="str"/>
      <x:c r="M602" s="16" t="str"/>
      <x:c r="N602" s="16" t="str"/>
      <x:c r="O602" s="16" t="str"/>
      <x:c r="P602" s="16" t="str"/>
      <x:c r="Q602" s="16" t="str"/>
      <x:c r="R602" s="16" t="str">
        <x:v>女性用户寻找黑色9.5码带记忆棉足弓支撑的拖鞋。</x:v>
      </x:c>
      <x:c r="S602" s="13" t="str">
        <x:v>high_intent</x:v>
      </x:c>
      <x:c r="T602" s="16" t="str">
        <x:v>explicit | page_validated | inferred</x:v>
      </x:c>
      <x:c r="U602" s="13" t="str">
        <x:v>high</x:v>
      </x:c>
      <x:c r="V602" s="16" t="str">
        <x:v>womens_memory_foam_flip_flops</x:v>
      </x:c>
      <x:c r="W602" s="16" t="str">
        <x:v>listing_gap_review</x:v>
      </x:c>
      <x:c r="X602" s="16" t="str">
        <x:v>{"product_type":[{"value":"flip_flop","evidence_type":"explicit","source_span":"flip flops","fact_ids":[],"rationale":""},{"value":"flip_flop","evidence_type":"page_validated","source_span":"","fact_ids":["style_flip_flop"],"rationale":"该槽位与商品基准中的明示页面事实一致。"}],"audience_intent":[{"value":"women","evidence_type":"explicit","source_span":"womens","fact_ids":[],"rationale":""},{"value":"women","evidence_type":"page_validated","source_span":"","fact_ids":["title_womens_flip_flop"],"rationale":"该槽位与商品基准中的明示页面事实一致。"}],"capability_intent":[{"value":"arch_support","evidence_type":"page_validated","source_span":"","fact_ids":["arch_support"],"rationale":""},{"value":"memory_foam","evidence_type":"explicit","source_span":"memory foam","fact_ids":[],"rationale":""},{"value":"black","evidence_type":"explicit","source_span":"black","fact_ids":["colors_visible"],"rationale":""},{"value":"size_9_5","evidence_type":"explicit","source_span":"size 9.5","fact_ids":["sizes_6_11"],"rationale":""},{"value":"arch_suppor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602" s="16" t="str"/>
      <x:c r="Z602" s="13" t="str">
        <x:v>partial_match</x:v>
      </x:c>
      <x:c r="AA602" s="16" t="str">
        <x:v>title_womens_flip_flop | arch_support | sizes_6_11 | colors_visible | padded_cushioning</x:v>
      </x:c>
      <x:c r="AB602" s="13" t="str">
        <x:v>accepted</x:v>
      </x:c>
      <x:c r="AC602" s="13" t="str">
        <x:v>1.0.0</x:v>
      </x:c>
      <x:c r="AD602" s="13" t="str">
        <x:v>1.0.0</x:v>
      </x:c>
      <x:c r="AE602" s="13" t="str">
        <x:v>deepseek/deepseek-v4-pro</x:v>
      </x:c>
      <x:c r="AF602" s="13" t="str">
        <x:v>aj2-y90-20260714T234810-0bea2f52</x:v>
      </x:c>
      <x:c r="AG602" s="13" t="str">
        <x:v>full-0031</x:v>
      </x:c>
      <x:c r="AH602" s="13" t="str">
        <x:v>full</x:v>
      </x:c>
      <x:c r="AI602" s="13" t="n">
        <x:v>31</x:v>
      </x:c>
    </x:row>
    <x:row r="603" ht="34" customHeight="1">
      <x:c r="A603" s="15" t="str">
        <x:v>womens flip flops waterproof white</x:v>
      </x:c>
      <x:c r="B603" s="15" t="str">
        <x:v>womens flip flops waterproof white</x:v>
      </x:c>
      <x:c r="C603" s="10" t="str">
        <x:v>3fb7f5e91928de94</x:v>
      </x:c>
      <x:c r="D603" s="10" t="str">
        <x:v>keyword</x:v>
      </x:c>
      <x:c r="E603" s="10" t="str">
        <x:v>en</x:v>
      </x:c>
      <x:c r="F603" s="10" t="str">
        <x:v>clothing_shoes_jewelry</x:v>
      </x:c>
      <x:c r="G603" s="15" t="str"/>
      <x:c r="H603" s="15" t="str">
        <x:v>flip_flop</x:v>
      </x:c>
      <x:c r="I603" s="15" t="str">
        <x:v>women</x:v>
      </x:c>
      <x:c r="J603" s="15" t="str"/>
      <x:c r="K603" s="15" t="str">
        <x:v>waterproof | white</x:v>
      </x:c>
      <x:c r="L603" s="15" t="str"/>
      <x:c r="M603" s="15" t="str"/>
      <x:c r="N603" s="15" t="str"/>
      <x:c r="O603" s="15" t="str"/>
      <x:c r="P603" s="15" t="str"/>
      <x:c r="Q603" s="15" t="str"/>
      <x:c r="R603" s="15" t="str">
        <x:v>女性用户寻找白色防水拖鞋。</x:v>
      </x:c>
      <x:c r="S603" s="10" t="str">
        <x:v>high_intent</x:v>
      </x:c>
      <x:c r="T603" s="15" t="str">
        <x:v>explicit | page_validated</x:v>
      </x:c>
      <x:c r="U603" s="10" t="str">
        <x:v>high</x:v>
      </x:c>
      <x:c r="V603" s="15" t="str">
        <x:v>womens_waterproof_flip_flops</x:v>
      </x:c>
      <x:c r="W603" s="15" t="str">
        <x:v>semantic_negative_candidate</x:v>
      </x:c>
      <x:c r="X603" s="15" t="str">
        <x:v>{"product_type":[{"value":"flip_flop","evidence_type":"explicit","source_span":"flip flops","fact_ids":[],"rationale":""},{"value":"flip_flop","evidence_type":"page_validated","source_span":"","fact_ids":["style_flip_flop"],"rationale":"该槽位与商品基准中的明示页面事实一致。"}],"audience_intent":[{"value":"women","evidence_type":"explicit","source_span":"womens","fact_ids":[],"rationale":""},{"value":"women","evidence_type":"page_validated","source_span":"","fact_ids":["title_womens_flip_flop"],"rationale":"该槽位与商品基准中的明示页面事实一致。"}],"capability_intent":[{"value":"waterproof","evidence_type":"explicit","source_span":"waterproof","fact_ids":[],"rationale":""},{"value":"white","evidence_type":"explicit","source_span":"white","fact_ids":["colors_visible"],"rationale":""}],"primary_domain":[{"value":"clothing_shoes_jewelry","evidence_type":"inferred","source_span":"","fact_ids":[],"rationale":"该值由搜索词整体语义推断，未作为页面明示属性。"}]}</x:v>
      </x:c>
      <x:c r="Y603" s="15" t="str"/>
      <x:c r="Z603" s="10" t="str">
        <x:v>mismatch</x:v>
      </x:c>
      <x:c r="AA603" s="15" t="str">
        <x:v>title_womens_flip_flop | style_flip_flop</x:v>
      </x:c>
      <x:c r="AB603" s="10" t="str">
        <x:v>accepted</x:v>
      </x:c>
      <x:c r="AC603" s="10" t="str">
        <x:v>1.0.0</x:v>
      </x:c>
      <x:c r="AD603" s="10" t="str">
        <x:v>1.0.0</x:v>
      </x:c>
      <x:c r="AE603" s="10" t="str">
        <x:v>deepseek/deepseek-v4-pro</x:v>
      </x:c>
      <x:c r="AF603" s="10" t="str">
        <x:v>aj2-y90-20260714T234810-0bea2f52</x:v>
      </x:c>
      <x:c r="AG603" s="10" t="str">
        <x:v>full-0031</x:v>
      </x:c>
      <x:c r="AH603" s="10" t="str">
        <x:v>full</x:v>
      </x:c>
      <x:c r="AI603" s="10" t="n">
        <x:v>31</x:v>
      </x:c>
    </x:row>
    <x:row r="604" ht="34" customHeight="1">
      <x:c r="A604" s="16" t="str">
        <x:v>brown walking flip flops</x:v>
      </x:c>
      <x:c r="B604" s="16" t="str">
        <x:v>brown walking flip flops</x:v>
      </x:c>
      <x:c r="C604" s="13" t="str">
        <x:v>4e6d604a82c43ca3</x:v>
      </x:c>
      <x:c r="D604" s="13" t="str">
        <x:v>keyword</x:v>
      </x:c>
      <x:c r="E604" s="13" t="str">
        <x:v>en</x:v>
      </x:c>
      <x:c r="F604" s="13" t="str">
        <x:v>clothing_shoes_jewelry</x:v>
      </x:c>
      <x:c r="G604" s="16" t="str"/>
      <x:c r="H604" s="16" t="str">
        <x:v>flip_flop</x:v>
      </x:c>
      <x:c r="I604" s="16" t="str"/>
      <x:c r="J604" s="16" t="str"/>
      <x:c r="K604" s="16" t="str">
        <x:v>brown</x:v>
      </x:c>
      <x:c r="L604" s="16" t="str">
        <x:v>walking</x:v>
      </x:c>
      <x:c r="M604" s="16" t="str"/>
      <x:c r="N604" s="16" t="str"/>
      <x:c r="O604" s="16" t="str"/>
      <x:c r="P604" s="16" t="str"/>
      <x:c r="Q604" s="16" t="str"/>
      <x:c r="R604" s="16" t="str">
        <x:v>用户寻找棕色适合步行的拖鞋。</x:v>
      </x:c>
      <x:c r="S604" s="13" t="str">
        <x:v>consideration</x:v>
      </x:c>
      <x:c r="T604" s="16" t="str">
        <x:v>explicit | page_validated</x:v>
      </x:c>
      <x:c r="U604" s="13" t="str">
        <x:v>high</x:v>
      </x:c>
      <x:c r="V604" s="16" t="str">
        <x:v>walking_flip_flops</x:v>
      </x:c>
      <x:c r="W604" s="16" t="str">
        <x:v>cluster_route</x:v>
      </x:c>
      <x:c r="X604" s="16" t="str">
        <x:v>{"product_type":[{"value":"flip_flop","evidence_type":"explicit","source_span":"flip flops","fact_ids":[],"rationale":""},{"value":"flip_flop","evidence_type":"page_validated","source_span":"","fact_ids":["style_flip_flop"],"rationale":"该槽位与商品基准中的明示页面事实一致。"}],"capability_intent":[{"value":"brown","evidence_type":"explicit","source_span":"brown","fact_ids":["colors_visible"],"rationale":""}],"event_intent":[{"value":"walking","evidence_type":"explicit","source_span":"walking","fact_ids":[],"rationale":""}],"primary_domain":[{"value":"clothing_shoes_jewelry","evidence_type":"inferred","source_span":"","fact_ids":[],"rationale":"该值由搜索词整体语义推断，未作为页面明示属性。"}]}</x:v>
      </x:c>
      <x:c r="Y604" s="16" t="str"/>
      <x:c r="Z604" s="13" t="str">
        <x:v>match</x:v>
      </x:c>
      <x:c r="AA604" s="16" t="str">
        <x:v>title_womens_flip_flop | style_flip_flop | style_outdoor | slip_resistant_grip | arch_support | colors_visible</x:v>
      </x:c>
      <x:c r="AB604" s="13" t="str">
        <x:v>accepted</x:v>
      </x:c>
      <x:c r="AC604" s="13" t="str">
        <x:v>1.0.0</x:v>
      </x:c>
      <x:c r="AD604" s="13" t="str">
        <x:v>1.0.0</x:v>
      </x:c>
      <x:c r="AE604" s="13" t="str">
        <x:v>deepseek/deepseek-v4-pro</x:v>
      </x:c>
      <x:c r="AF604" s="13" t="str">
        <x:v>aj2-y90-20260714T234810-0bea2f52</x:v>
      </x:c>
      <x:c r="AG604" s="13" t="str">
        <x:v>full-0031</x:v>
      </x:c>
      <x:c r="AH604" s="13" t="str">
        <x:v>full</x:v>
      </x:c>
      <x:c r="AI604" s="13" t="n">
        <x:v>31</x:v>
      </x:c>
    </x:row>
    <x:row r="605" ht="34" customHeight="1">
      <x:c r="A605" s="15" t="str">
        <x:v>burgundy flip flops for women</x:v>
      </x:c>
      <x:c r="B605" s="15" t="str">
        <x:v>burgundy flip flops for women</x:v>
      </x:c>
      <x:c r="C605" s="10" t="str">
        <x:v>505fd7648f824f92</x:v>
      </x:c>
      <x:c r="D605" s="10" t="str">
        <x:v>keyword</x:v>
      </x:c>
      <x:c r="E605" s="10" t="str">
        <x:v>en</x:v>
      </x:c>
      <x:c r="F605" s="10" t="str">
        <x:v>clothing_shoes_jewelry</x:v>
      </x:c>
      <x:c r="G605" s="15" t="str"/>
      <x:c r="H605" s="15" t="str">
        <x:v>flip_flop</x:v>
      </x:c>
      <x:c r="I605" s="15" t="str">
        <x:v>women</x:v>
      </x:c>
      <x:c r="J605" s="15" t="str"/>
      <x:c r="K605" s="15" t="str">
        <x:v>burgundy</x:v>
      </x:c>
      <x:c r="L605" s="15" t="str"/>
      <x:c r="M605" s="15" t="str"/>
      <x:c r="N605" s="15" t="str"/>
      <x:c r="O605" s="15" t="str"/>
      <x:c r="P605" s="15" t="str"/>
      <x:c r="Q605" s="15" t="str"/>
      <x:c r="R605" s="15" t="str">
        <x:v>女性用户寻找酒红色拖鞋。</x:v>
      </x:c>
      <x:c r="S605" s="10" t="str">
        <x:v>consideration</x:v>
      </x:c>
      <x:c r="T605" s="15" t="str">
        <x:v>explicit | page_validated</x:v>
      </x:c>
      <x:c r="U605" s="10" t="str">
        <x:v>high</x:v>
      </x:c>
      <x:c r="V605" s="15" t="str">
        <x:v>womens_colored_flip_flops</x:v>
      </x:c>
      <x:c r="W605" s="15" t="str">
        <x:v>listing_gap_review</x:v>
      </x:c>
      <x:c r="X605" s="15" t="str">
        <x:v>{"product_type":[{"value":"flip_flop","evidence_type":"explicit","source_span":"flip flops","fact_ids":[],"rationale":""},{"value":"flip_flop","evidence_type":"page_validated","source_span":"","fact_ids":["style_flip_flop"],"rationale":"该槽位与商品基准中的明示页面事实一致。"}],"audience_intent":[{"value":"women","evidence_type":"explicit","source_span":"for women","fact_ids":[],"rationale":""},{"value":"women","evidence_type":"page_validated","source_span":"","fact_ids":["title_womens_flip_flop"],"rationale":"该槽位与商品基准中的明示页面事实一致。"}],"capability_intent":[{"value":"burgundy","evidence_type":"explicit","source_span":"burgundy","fact_ids":["colors_visible"],"rationale":""}],"primary_domain":[{"value":"clothing_shoes_jewelry","evidence_type":"inferred","source_span":"","fact_ids":[],"rationale":"该值由搜索词整体语义推断，未作为页面明示属性。"}]}</x:v>
      </x:c>
      <x:c r="Y605" s="15" t="str"/>
      <x:c r="Z605" s="10" t="str">
        <x:v>partial_match</x:v>
      </x:c>
      <x:c r="AA605" s="15" t="str">
        <x:v>title_womens_flip_flop | style_flip_flop | colors_visible</x:v>
      </x:c>
      <x:c r="AB605" s="10" t="str">
        <x:v>accepted</x:v>
      </x:c>
      <x:c r="AC605" s="10" t="str">
        <x:v>1.0.0</x:v>
      </x:c>
      <x:c r="AD605" s="10" t="str">
        <x:v>1.0.0</x:v>
      </x:c>
      <x:c r="AE605" s="10" t="str">
        <x:v>deepseek/deepseek-v4-pro</x:v>
      </x:c>
      <x:c r="AF605" s="10" t="str">
        <x:v>aj2-y90-20260714T234810-0bea2f52</x:v>
      </x:c>
      <x:c r="AG605" s="10" t="str">
        <x:v>full-0031</x:v>
      </x:c>
      <x:c r="AH605" s="10" t="str">
        <x:v>full</x:v>
      </x:c>
      <x:c r="AI605" s="10" t="n">
        <x:v>31</x:v>
      </x:c>
    </x:row>
    <x:row r="606" ht="34" customHeight="1">
      <x:c r="A606" s="16" t="str">
        <x:v>turquoise flip flops for women</x:v>
      </x:c>
      <x:c r="B606" s="16" t="str">
        <x:v>turquoise flip flops for women</x:v>
      </x:c>
      <x:c r="C606" s="13" t="str">
        <x:v>52529c9c2adbb67c</x:v>
      </x:c>
      <x:c r="D606" s="13" t="str">
        <x:v>keyword</x:v>
      </x:c>
      <x:c r="E606" s="13" t="str">
        <x:v>en</x:v>
      </x:c>
      <x:c r="F606" s="13" t="str">
        <x:v>clothing_shoes_jewelry</x:v>
      </x:c>
      <x:c r="G606" s="16" t="str"/>
      <x:c r="H606" s="16" t="str">
        <x:v>flip_flop</x:v>
      </x:c>
      <x:c r="I606" s="16" t="str">
        <x:v>women</x:v>
      </x:c>
      <x:c r="J606" s="16" t="str"/>
      <x:c r="K606" s="16" t="str">
        <x:v>turquoise</x:v>
      </x:c>
      <x:c r="L606" s="16" t="str"/>
      <x:c r="M606" s="16" t="str"/>
      <x:c r="N606" s="16" t="str"/>
      <x:c r="O606" s="16" t="str"/>
      <x:c r="P606" s="16" t="str"/>
      <x:c r="Q606" s="16" t="str"/>
      <x:c r="R606" s="16" t="str">
        <x:v>女性用户寻找蓝绿色拖鞋。</x:v>
      </x:c>
      <x:c r="S606" s="13" t="str">
        <x:v>consideration</x:v>
      </x:c>
      <x:c r="T606" s="16" t="str">
        <x:v>explicit | page_validated</x:v>
      </x:c>
      <x:c r="U606" s="13" t="str">
        <x:v>high</x:v>
      </x:c>
      <x:c r="V606" s="16" t="str">
        <x:v>womens_colored_flip_flops</x:v>
      </x:c>
      <x:c r="W606" s="16" t="str">
        <x:v>listing_gap_review</x:v>
      </x:c>
      <x:c r="X606" s="16" t="str">
        <x:v>{"product_type":[{"value":"flip_flop","evidence_type":"explicit","source_span":"flip flops","fact_ids":[],"rationale":""},{"value":"flip_flop","evidence_type":"page_validated","source_span":"","fact_ids":["style_flip_flop"],"rationale":"该槽位与商品基准中的明示页面事实一致。"}],"audience_intent":[{"value":"women","evidence_type":"explicit","source_span":"for women","fact_ids":[],"rationale":""},{"value":"women","evidence_type":"page_validated","source_span":"","fact_ids":["title_womens_flip_flop"],"rationale":"该槽位与商品基准中的明示页面事实一致。"}],"capability_intent":[{"value":"turquoise","evidence_type":"explicit","source_span":"turquoise","fact_ids":["colors_visible"],"rationale":""}],"primary_domain":[{"value":"clothing_shoes_jewelry","evidence_type":"inferred","source_span":"","fact_ids":[],"rationale":"该值由搜索词整体语义推断，未作为页面明示属性。"}]}</x:v>
      </x:c>
      <x:c r="Y606" s="16" t="str"/>
      <x:c r="Z606" s="13" t="str">
        <x:v>partial_match</x:v>
      </x:c>
      <x:c r="AA606" s="16" t="str">
        <x:v>title_womens_flip_flop | style_flip_flop | colors_visible</x:v>
      </x:c>
      <x:c r="AB606" s="13" t="str">
        <x:v>accepted</x:v>
      </x:c>
      <x:c r="AC606" s="13" t="str">
        <x:v>1.0.0</x:v>
      </x:c>
      <x:c r="AD606" s="13" t="str">
        <x:v>1.0.0</x:v>
      </x:c>
      <x:c r="AE606" s="13" t="str">
        <x:v>deepseek/deepseek-v4-pro</x:v>
      </x:c>
      <x:c r="AF606" s="13" t="str">
        <x:v>aj2-y90-20260714T234810-0bea2f52</x:v>
      </x:c>
      <x:c r="AG606" s="13" t="str">
        <x:v>full-0031</x:v>
      </x:c>
      <x:c r="AH606" s="13" t="str">
        <x:v>full</x:v>
      </x:c>
      <x:c r="AI606" s="13" t="n">
        <x:v>31</x:v>
      </x:c>
    </x:row>
    <x:row r="607" ht="34" customHeight="1">
      <x:c r="A607" s="15" t="str">
        <x:v>arch support flip flops for women water proof</x:v>
      </x:c>
      <x:c r="B607" s="15" t="str">
        <x:v>arch support flip flops for women water proof</x:v>
      </x:c>
      <x:c r="C607" s="10" t="str">
        <x:v>5e35bb3faa9a00dd</x:v>
      </x:c>
      <x:c r="D607" s="10" t="str">
        <x:v>keyword</x:v>
      </x:c>
      <x:c r="E607" s="10" t="str">
        <x:v>en</x:v>
      </x:c>
      <x:c r="F607" s="10" t="str">
        <x:v>clothing_shoes_jewelry</x:v>
      </x:c>
      <x:c r="G607" s="15" t="str"/>
      <x:c r="H607" s="15" t="str">
        <x:v>flip_flop</x:v>
      </x:c>
      <x:c r="I607" s="15" t="str">
        <x:v>women</x:v>
      </x:c>
      <x:c r="J607" s="15" t="str"/>
      <x:c r="K607" s="15" t="str">
        <x:v>arch_support | waterproof</x:v>
      </x:c>
      <x:c r="L607" s="15" t="str"/>
      <x:c r="M607" s="15" t="str"/>
      <x:c r="N607" s="15" t="str"/>
      <x:c r="O607" s="15" t="str"/>
      <x:c r="P607" s="15" t="str"/>
      <x:c r="Q607" s="15" t="str"/>
      <x:c r="R607" s="15" t="str">
        <x:v>女性用户寻找防水且带足弓支撑的拖鞋。</x:v>
      </x:c>
      <x:c r="S607" s="10" t="str">
        <x:v>high_intent</x:v>
      </x:c>
      <x:c r="T607" s="15" t="str">
        <x:v>explicit | page_validated</x:v>
      </x:c>
      <x:c r="U607" s="10" t="str">
        <x:v>high</x:v>
      </x:c>
      <x:c r="V607" s="15" t="str">
        <x:v>womens_waterproof_arch_flip_flops</x:v>
      </x:c>
      <x:c r="W607" s="15" t="str">
        <x:v>semantic_negative_candidate</x:v>
      </x:c>
      <x:c r="X607" s="15" t="str">
        <x:v>{"product_type":[{"value":"flip_flop","evidence_type":"explicit","source_span":"flip flops","fact_ids":[],"rationale":""},{"value":"flip_flop","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capability_intent":[{"value":"arch_support","evidence_type":"page_validated","source_span":"","fact_ids":["arch_support"],"rationale":""},{"value":"waterproof","evidence_type":"explicit","source_span":"water proof","fact_ids":[],"rationale":""}],"primary_domain":[{"value":"clothing_shoes_jewelry","evidence_type":"inferred","source_span":"","fact_ids":[],"rationale":"该值由搜索词整体语义推断，未作为页面明示属性。"}]}</x:v>
      </x:c>
      <x:c r="Y607" s="15" t="str"/>
      <x:c r="Z607" s="10" t="str">
        <x:v>mismatch</x:v>
      </x:c>
      <x:c r="AA607" s="15" t="str">
        <x:v>arch_support | title_womens_flip_flop</x:v>
      </x:c>
      <x:c r="AB607" s="10" t="str">
        <x:v>accepted</x:v>
      </x:c>
      <x:c r="AC607" s="10" t="str">
        <x:v>1.0.0</x:v>
      </x:c>
      <x:c r="AD607" s="10" t="str">
        <x:v>1.0.0</x:v>
      </x:c>
      <x:c r="AE607" s="10" t="str">
        <x:v>deepseek/deepseek-v4-pro</x:v>
      </x:c>
      <x:c r="AF607" s="10" t="str">
        <x:v>aj2-y90-20260714T234810-0bea2f52</x:v>
      </x:c>
      <x:c r="AG607" s="10" t="str">
        <x:v>full-0031</x:v>
      </x:c>
      <x:c r="AH607" s="10" t="str">
        <x:v>full</x:v>
      </x:c>
      <x:c r="AI607" s="10" t="n">
        <x:v>31</x:v>
      </x:c>
    </x:row>
    <x:row r="608" ht="34" customHeight="1">
      <x:c r="A608" s="16" t="str">
        <x:v>best arch support flip flops for women</x:v>
      </x:c>
      <x:c r="B608" s="16" t="str">
        <x:v>best arch support flip flops for women</x:v>
      </x:c>
      <x:c r="C608" s="13" t="str">
        <x:v>68c697391ec222a6</x:v>
      </x:c>
      <x:c r="D608" s="13" t="str">
        <x:v>keyword</x:v>
      </x:c>
      <x:c r="E608" s="13" t="str">
        <x:v>en</x:v>
      </x:c>
      <x:c r="F608" s="13" t="str">
        <x:v>clothing_shoes_jewelry</x:v>
      </x:c>
      <x:c r="G608" s="16" t="str"/>
      <x:c r="H608" s="16" t="str">
        <x:v>flip_flop</x:v>
      </x:c>
      <x:c r="I608" s="16" t="str">
        <x:v>women</x:v>
      </x:c>
      <x:c r="J608" s="16" t="str"/>
      <x:c r="K608" s="16" t="str">
        <x:v>arch_support</x:v>
      </x:c>
      <x:c r="L608" s="16" t="str"/>
      <x:c r="M608" s="16" t="str"/>
      <x:c r="N608" s="16" t="str"/>
      <x:c r="O608" s="16" t="str"/>
      <x:c r="P608" s="16" t="str"/>
      <x:c r="Q608" s="16" t="str"/>
      <x:c r="R608" s="16" t="str">
        <x:v>女性用户寻找最好的足弓支撑拖鞋。</x:v>
      </x:c>
      <x:c r="S608" s="13" t="str">
        <x:v>consideration</x:v>
      </x:c>
      <x:c r="T608" s="16" t="str">
        <x:v>explicit | page_validated</x:v>
      </x:c>
      <x:c r="U608" s="13" t="str">
        <x:v>high</x:v>
      </x:c>
      <x:c r="V608" s="16" t="str">
        <x:v>womens_arch_support_flip_flops</x:v>
      </x:c>
      <x:c r="W608" s="16" t="str">
        <x:v>cluster_route</x:v>
      </x:c>
      <x:c r="X608" s="16" t="str">
        <x:v>{"product_type":[{"value":"flip_flop","evidence_type":"explicit","source_span":"flip flops","fact_ids":[],"rationale":""},{"value":"flip_flop","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capability_intent":[{"value":"arch_support","evidence_type":"page_validated","source_span":"","fact_ids":["arch_support"],"rationale":""}],"primary_domain":[{"value":"clothing_shoes_jewelry","evidence_type":"inferred","source_span":"","fact_ids":[],"rationale":"该值由搜索词整体语义推断，未作为页面明示属性。"}]}</x:v>
      </x:c>
      <x:c r="Y608" s="16" t="str"/>
      <x:c r="Z608" s="13" t="str">
        <x:v>match</x:v>
      </x:c>
      <x:c r="AA608" s="16" t="str">
        <x:v>title_womens_flip_flop | style_flip_flop | arch_support</x:v>
      </x:c>
      <x:c r="AB608" s="13" t="str">
        <x:v>accepted</x:v>
      </x:c>
      <x:c r="AC608" s="13" t="str">
        <x:v>1.0.0</x:v>
      </x:c>
      <x:c r="AD608" s="13" t="str">
        <x:v>1.0.0</x:v>
      </x:c>
      <x:c r="AE608" s="13" t="str">
        <x:v>deepseek/deepseek-v4-pro</x:v>
      </x:c>
      <x:c r="AF608" s="13" t="str">
        <x:v>aj2-y90-20260714T234810-0bea2f52</x:v>
      </x:c>
      <x:c r="AG608" s="13" t="str">
        <x:v>full-0031</x:v>
      </x:c>
      <x:c r="AH608" s="13" t="str">
        <x:v>full</x:v>
      </x:c>
      <x:c r="AI608" s="13" t="n">
        <x:v>31</x:v>
      </x:c>
    </x:row>
    <x:row r="609" ht="34" customHeight="1">
      <x:c r="A609" s="15" t="str">
        <x:v>chancletas hawaianas de mujer</x:v>
      </x:c>
      <x:c r="B609" s="15" t="str">
        <x:v>chancletas hawaianas de mujer</x:v>
      </x:c>
      <x:c r="C609" s="10" t="str">
        <x:v>69697e4c5f583b4f</x:v>
      </x:c>
      <x:c r="D609" s="10" t="str">
        <x:v>keyword</x:v>
      </x:c>
      <x:c r="E609" s="10" t="str">
        <x:v>es</x:v>
      </x:c>
      <x:c r="F609" s="10" t="str">
        <x:v>clothing_shoes_jewelry</x:v>
      </x:c>
      <x:c r="G609" s="15" t="str"/>
      <x:c r="H609" s="15" t="str">
        <x:v>flip_flop</x:v>
      </x:c>
      <x:c r="I609" s="15" t="str">
        <x:v>women</x:v>
      </x:c>
      <x:c r="J609" s="15" t="str"/>
      <x:c r="K609" s="15" t="str">
        <x:v>hawaiian_style</x:v>
      </x:c>
      <x:c r="L609" s="15" t="str"/>
      <x:c r="M609" s="15" t="str"/>
      <x:c r="N609" s="15" t="str"/>
      <x:c r="O609" s="15" t="str"/>
      <x:c r="P609" s="15" t="str"/>
      <x:c r="Q609" s="15" t="str"/>
      <x:c r="R609" s="15" t="str">
        <x:v>女性用户寻找夏威夷风格的人字拖鞋。</x:v>
      </x:c>
      <x:c r="S609" s="10" t="str">
        <x:v>consideration</x:v>
      </x:c>
      <x:c r="T609" s="15" t="str">
        <x:v>inferred | page_validated</x:v>
      </x:c>
      <x:c r="U609" s="10" t="str">
        <x:v>medium</x:v>
      </x:c>
      <x:c r="V609" s="15" t="str">
        <x:v>womens_flip_flops</x:v>
      </x:c>
      <x:c r="W609" s="15" t="str">
        <x:v>cluster_route</x:v>
      </x:c>
      <x:c r="X609" s="15" t="str">
        <x:v>{"product_type":[{"value":"flip_flop","evidence_type":"inferred","source_span":"","fact_ids":[],"rationale":"chancletas在西班牙语中意为拖鞋"},{"value":"flip_flop","evidence_type":"page_validated","source_span":"","fact_ids":["style_flip_flop"],"rationale":"该槽位与商品基准中的明示页面事实一致。"}],"audience_intent":[{"value":"women","evidence_type":"inferred","source_span":"","fact_ids":[],"rationale":"de mujer在西班牙语中意为女性"},{"value":"women","evidence_type":"page_validated","source_span":"","fact_ids":["title_womens_flip_flop"],"rationale":"该槽位与商品基准中的明示页面事实一致。"}],"capability_intent":[{"value":"hawaiian_style","evidence_type":"inferred","source_span":"","fact_ids":[],"rationale":"hawaianas指夏威夷风格或泛指人字拖"}],"primary_domain":[{"value":"clothing_shoes_jewelry","evidence_type":"inferred","source_span":"","fact_ids":[],"rationale":"该值由搜索词整体语义推断，未作为页面明示属性。"}]}</x:v>
      </x:c>
      <x:c r="Y609" s="15" t="str">
        <x:v>hawaianas_ambiguous</x:v>
      </x:c>
      <x:c r="Z609" s="10" t="str">
        <x:v>match</x:v>
      </x:c>
      <x:c r="AA609" s="15" t="str">
        <x:v>title_womens_flip_flop | style_flip_flop</x:v>
      </x:c>
      <x:c r="AB609" s="10" t="str">
        <x:v>accepted</x:v>
      </x:c>
      <x:c r="AC609" s="10" t="str">
        <x:v>1.0.0</x:v>
      </x:c>
      <x:c r="AD609" s="10" t="str">
        <x:v>1.0.0</x:v>
      </x:c>
      <x:c r="AE609" s="10" t="str">
        <x:v>deepseek/deepseek-v4-pro</x:v>
      </x:c>
      <x:c r="AF609" s="10" t="str">
        <x:v>aj2-y90-20260714T234810-0bea2f52</x:v>
      </x:c>
      <x:c r="AG609" s="10" t="str">
        <x:v>full-0031</x:v>
      </x:c>
      <x:c r="AH609" s="10" t="str">
        <x:v>full</x:v>
      </x:c>
      <x:c r="AI609" s="10" t="n">
        <x:v>31</x:v>
      </x:c>
    </x:row>
    <x:row r="610" ht="34" customHeight="1">
      <x:c r="A610" s="16" t="str">
        <x:v>flip flop for leg pain</x:v>
      </x:c>
      <x:c r="B610" s="16" t="str">
        <x:v>flip flop for leg pain</x:v>
      </x:c>
      <x:c r="C610" s="13" t="str">
        <x:v>7b286f8b3bee9874</x:v>
      </x:c>
      <x:c r="D610" s="13" t="str">
        <x:v>keyword</x:v>
      </x:c>
      <x:c r="E610" s="13" t="str">
        <x:v>en</x:v>
      </x:c>
      <x:c r="F610" s="13" t="str">
        <x:v>clothing_shoes_jewelry</x:v>
      </x:c>
      <x:c r="G610" s="16" t="str">
        <x:v>health_household</x:v>
      </x:c>
      <x:c r="H610" s="16" t="str">
        <x:v>flip_flop</x:v>
      </x:c>
      <x:c r="I610" s="16" t="str"/>
      <x:c r="J610" s="16" t="str">
        <x:v>pain_relief</x:v>
      </x:c>
      <x:c r="K610" s="16" t="str"/>
      <x:c r="L610" s="16" t="str"/>
      <x:c r="M610" s="16" t="str"/>
      <x:c r="N610" s="16" t="str">
        <x:v>leg_pain</x:v>
      </x:c>
      <x:c r="O610" s="16" t="str"/>
      <x:c r="P610" s="16" t="str"/>
      <x:c r="Q610" s="16" t="str"/>
      <x:c r="R610" s="16" t="str">
        <x:v>用户因腿部疼痛寻找有支撑缓痛功能的拖鞋。</x:v>
      </x:c>
      <x:c r="S610" s="13" t="str">
        <x:v>consideration</x:v>
      </x:c>
      <x:c r="T610" s="16" t="str">
        <x:v>explicit | page_validated | inferred</x:v>
      </x:c>
      <x:c r="U610" s="13" t="str">
        <x:v>medium</x:v>
      </x:c>
      <x:c r="V610" s="16" t="str">
        <x:v>flip_flop_leg_pain</x:v>
      </x:c>
      <x:c r="W610" s="16" t="str">
        <x:v>listing_gap_review</x:v>
      </x:c>
      <x:c r="X610" s="16" t="str">
        <x:v>{"product_type":[{"value":"flip_flop","evidence_type":"explicit","source_span":"flip flop","fact_ids":[],"rationale":""},{"value":"flip_flop","evidence_type":"page_validated","source_span":"","fact_ids":["style_flip_flop"],"rationale":"该槽位与商品基准中的明示页面事实一致。"}],"function_intent":[{"value":"pain_relief","evidence_type":"explicit","source_span":"leg pain","fact_ids":[],"rationale":""}],"body_need_intent":[{"value":"leg_pain","evidence_type":"explicit","source_span":"leg pain","fact_ids":[],"rationale":""}],"secondary_domain":[{"value":"health_household","evidence_type":"inferred","source_span":"","fact_ids":[],"rationale":"腿部疼痛属于健康相关需求"}],"primary_domain":[{"value":"clothing_shoes_jewelry","evidence_type":"inferred","source_span":"","fact_ids":[],"rationale":"该值由搜索词整体语义推断，未作为页面明示属性。"}]}</x:v>
      </x:c>
      <x:c r="Y610" s="16" t="str"/>
      <x:c r="Z610" s="13" t="str">
        <x:v>partial_match</x:v>
      </x:c>
      <x:c r="AA610" s="16" t="str">
        <x:v>title_womens_flip_flop | style_flip_flop | arch_support | padded_cushioning</x:v>
      </x:c>
      <x:c r="AB610" s="13" t="str">
        <x:v>accepted</x:v>
      </x:c>
      <x:c r="AC610" s="13" t="str">
        <x:v>1.0.0</x:v>
      </x:c>
      <x:c r="AD610" s="13" t="str">
        <x:v>1.0.0</x:v>
      </x:c>
      <x:c r="AE610" s="13" t="str">
        <x:v>deepseek/deepseek-v4-pro</x:v>
      </x:c>
      <x:c r="AF610" s="13" t="str">
        <x:v>aj2-y90-20260714T234810-0bea2f52</x:v>
      </x:c>
      <x:c r="AG610" s="13" t="str">
        <x:v>full-0031</x:v>
      </x:c>
      <x:c r="AH610" s="13" t="str">
        <x:v>full</x:v>
      </x:c>
      <x:c r="AI610" s="13" t="n">
        <x:v>31</x:v>
      </x:c>
    </x:row>
    <x:row r="611" ht="34" customHeight="1">
      <x:c r="A611" s="15" t="str">
        <x:v>white womens flip flops size 5</x:v>
      </x:c>
      <x:c r="B611" s="15" t="str">
        <x:v>white womens flip flops size 5</x:v>
      </x:c>
      <x:c r="C611" s="10" t="str">
        <x:v>7e5e5cfb8e5ad153</x:v>
      </x:c>
      <x:c r="D611" s="10" t="str">
        <x:v>keyword</x:v>
      </x:c>
      <x:c r="E611" s="10" t="str">
        <x:v>en</x:v>
      </x:c>
      <x:c r="F611" s="10" t="str">
        <x:v>clothing_shoes_jewelry</x:v>
      </x:c>
      <x:c r="G611" s="15" t="str"/>
      <x:c r="H611" s="15" t="str">
        <x:v>flip_flop</x:v>
      </x:c>
      <x:c r="I611" s="15" t="str">
        <x:v>women</x:v>
      </x:c>
      <x:c r="J611" s="15" t="str"/>
      <x:c r="K611" s="15" t="str">
        <x:v>white | size_5</x:v>
      </x:c>
      <x:c r="L611" s="15" t="str"/>
      <x:c r="M611" s="15" t="str"/>
      <x:c r="N611" s="15" t="str"/>
      <x:c r="O611" s="15" t="str"/>
      <x:c r="P611" s="15" t="str"/>
      <x:c r="Q611" s="15" t="str"/>
      <x:c r="R611" s="15" t="str">
        <x:v>女性用户寻找白色5码拖鞋。</x:v>
      </x:c>
      <x:c r="S611" s="10" t="str">
        <x:v>high_intent</x:v>
      </x:c>
      <x:c r="T611" s="15" t="str">
        <x:v>explicit | page_validated</x:v>
      </x:c>
      <x:c r="U611" s="10" t="str">
        <x:v>high</x:v>
      </x:c>
      <x:c r="V611" s="15" t="str">
        <x:v>womens_sized_flip_flops</x:v>
      </x:c>
      <x:c r="W611" s="15" t="str">
        <x:v>listing_gap_review</x:v>
      </x:c>
      <x:c r="X611" s="15" t="str">
        <x:v>{"product_type":[{"value":"flip_flop","evidence_type":"explicit","source_span":"flip flops","fact_ids":[],"rationale":""},{"value":"flip_flop","evidence_type":"page_validated","source_span":"","fact_ids":["style_flip_flop"],"rationale":"该槽位与商品基准中的明示页面事实一致。"}],"audience_intent":[{"value":"women","evidence_type":"explicit","source_span":"womens","fact_ids":[],"rationale":""},{"value":"women","evidence_type":"page_validated","source_span":"","fact_ids":["title_womens_flip_flop"],"rationale":"该槽位与商品基准中的明示页面事实一致。"}],"capability_intent":[{"value":"white","evidence_type":"explicit","source_span":"white","fact_ids":["colors_visible"],"rationale":""},{"value":"size_5","evidence_type":"explicit","source_span":"size 5","fact_ids":["sizes_6_11"],"rationale":""}],"primary_domain":[{"value":"clothing_shoes_jewelry","evidence_type":"inferred","source_span":"","fact_ids":[],"rationale":"该值由搜索词整体语义推断，未作为页面明示属性。"}]}</x:v>
      </x:c>
      <x:c r="Y611" s="15" t="str"/>
      <x:c r="Z611" s="10" t="str">
        <x:v>partial_match</x:v>
      </x:c>
      <x:c r="AA611" s="15" t="str">
        <x:v>title_womens_flip_flop | style_flip_flop | colors_visible | sizes_6_11</x:v>
      </x:c>
      <x:c r="AB611" s="10" t="str">
        <x:v>accepted</x:v>
      </x:c>
      <x:c r="AC611" s="10" t="str">
        <x:v>1.0.0</x:v>
      </x:c>
      <x:c r="AD611" s="10" t="str">
        <x:v>1.0.0</x:v>
      </x:c>
      <x:c r="AE611" s="10" t="str">
        <x:v>deepseek/deepseek-v4-pro</x:v>
      </x:c>
      <x:c r="AF611" s="10" t="str">
        <x:v>aj2-y90-20260714T234810-0bea2f52</x:v>
      </x:c>
      <x:c r="AG611" s="10" t="str">
        <x:v>full-0031</x:v>
      </x:c>
      <x:c r="AH611" s="10" t="str">
        <x:v>full</x:v>
      </x:c>
      <x:c r="AI611" s="10" t="n">
        <x:v>31</x:v>
      </x:c>
    </x:row>
    <x:row r="612" ht="34" customHeight="1">
      <x:c r="A612" s="16" t="str">
        <x:v>prime day deals flipflops</x:v>
      </x:c>
      <x:c r="B612" s="16" t="str">
        <x:v>prime day deals flipflops</x:v>
      </x:c>
      <x:c r="C612" s="13" t="str">
        <x:v>89186ec5e2ade880</x:v>
      </x:c>
      <x:c r="D612" s="13" t="str">
        <x:v>keyword</x:v>
      </x:c>
      <x:c r="E612" s="13" t="str">
        <x:v>en</x:v>
      </x:c>
      <x:c r="F612" s="13" t="str">
        <x:v>clothing_shoes_jewelry</x:v>
      </x:c>
      <x:c r="G612" s="16" t="str"/>
      <x:c r="H612" s="16" t="str">
        <x:v>flip_flop</x:v>
      </x:c>
      <x:c r="I612" s="16" t="str"/>
      <x:c r="J612" s="16" t="str">
        <x:v>deal_seeking</x:v>
      </x:c>
      <x:c r="K612" s="16" t="str"/>
      <x:c r="L612" s="16" t="str">
        <x:v>prime_day</x:v>
      </x:c>
      <x:c r="M612" s="16" t="str"/>
      <x:c r="N612" s="16" t="str"/>
      <x:c r="O612" s="16" t="str"/>
      <x:c r="P612" s="16" t="str"/>
      <x:c r="Q612" s="16" t="str"/>
      <x:c r="R612" s="16" t="str">
        <x:v>用户想在Prime Day促销期间购买打折拖鞋。</x:v>
      </x:c>
      <x:c r="S612" s="13" t="str">
        <x:v>consideration</x:v>
      </x:c>
      <x:c r="T612" s="16" t="str">
        <x:v>explicit | inferred</x:v>
      </x:c>
      <x:c r="U612" s="13" t="str">
        <x:v>medium</x:v>
      </x:c>
      <x:c r="V612" s="16" t="str">
        <x:v>prime_day_flip_flops</x:v>
      </x:c>
      <x:c r="W612" s="16" t="str">
        <x:v>performance_observation</x:v>
      </x:c>
      <x:c r="X612" s="16" t="str">
        <x:v>{"product_type":[{"value":"flip_flop","evidence_type":"explicit","source_span":"flipflops","fact_ids":[],"rationale":""},{"value":"flip_flop","evidence_type":"page_validated","source_span":"","fact_ids":["style_flip_flop"],"rationale":"该槽位与商品基准中的明示页面事实一致。"},{"value":"flip_flop","evidence_type":"inferred","source_span":"","fact_ids":[],"rationale":"该能力由搜索词表达的任务或问题推断；页面事实仅用于验证商品承接。"}],"event_intent":[{"value":"prime_day","evidence_type":"explicit","source_span":"prime day","fact_ids":[],"rationale":""}],"function_intent":[{"value":"deal_seeking","evidence_type":"inferred","source_span":"","fact_ids":[],"rationale":"deals表明用户寻求折扣促销"}],"primary_domain":[{"value":"clothing_shoes_jewelry","evidence_type":"inferred","source_span":"","fact_ids":[],"rationale":"该值由搜索词整体语义推断，未作为页面明示属性。"}]}</x:v>
      </x:c>
      <x:c r="Y612" s="16" t="str"/>
      <x:c r="Z612" s="13" t="str">
        <x:v>partial_match</x:v>
      </x:c>
      <x:c r="AA612" s="16" t="str">
        <x:v>title_womens_flip_flop | style_flip_flop</x:v>
      </x:c>
      <x:c r="AB612" s="13" t="str">
        <x:v>accepted</x:v>
      </x:c>
      <x:c r="AC612" s="13" t="str">
        <x:v>1.0.0</x:v>
      </x:c>
      <x:c r="AD612" s="13" t="str">
        <x:v>1.0.0</x:v>
      </x:c>
      <x:c r="AE612" s="13" t="str">
        <x:v>deepseek/deepseek-v4-pro</x:v>
      </x:c>
      <x:c r="AF612" s="13" t="str">
        <x:v>aj2-y90-20260714T234810-0bea2f52</x:v>
      </x:c>
      <x:c r="AG612" s="13" t="str">
        <x:v>full-0031</x:v>
      </x:c>
      <x:c r="AH612" s="13" t="str">
        <x:v>full</x:v>
      </x:c>
      <x:c r="AI612" s="13" t="n">
        <x:v>31</x:v>
      </x:c>
    </x:row>
    <x:row r="613" ht="34" customHeight="1">
      <x:c r="A613" s="15" t="str">
        <x:v>comfy flip flops</x:v>
      </x:c>
      <x:c r="B613" s="15" t="str">
        <x:v>comfy flip flops</x:v>
      </x:c>
      <x:c r="C613" s="10" t="str">
        <x:v>aa21b62c20c46d68</x:v>
      </x:c>
      <x:c r="D613" s="10" t="str">
        <x:v>keyword</x:v>
      </x:c>
      <x:c r="E613" s="10" t="str">
        <x:v>en</x:v>
      </x:c>
      <x:c r="F613" s="10" t="str">
        <x:v>clothing_shoes_jewelry</x:v>
      </x:c>
      <x:c r="G613" s="15" t="str"/>
      <x:c r="H613" s="15" t="str">
        <x:v>flip_flop</x:v>
      </x:c>
      <x:c r="I613" s="15" t="str"/>
      <x:c r="J613" s="15" t="str"/>
      <x:c r="K613" s="15" t="str">
        <x:v>comfort</x:v>
      </x:c>
      <x:c r="L613" s="15" t="str"/>
      <x:c r="M613" s="15" t="str"/>
      <x:c r="N613" s="15" t="str"/>
      <x:c r="O613" s="15" t="str"/>
      <x:c r="P613" s="15" t="str"/>
      <x:c r="Q613" s="15" t="str"/>
      <x:c r="R613" s="15" t="str">
        <x:v>用户寻找穿着舒适的拖鞋。</x:v>
      </x:c>
      <x:c r="S613" s="10" t="str">
        <x:v>exploration</x:v>
      </x:c>
      <x:c r="T613" s="15" t="str">
        <x:v>explicit | page_validated</x:v>
      </x:c>
      <x:c r="U613" s="10" t="str">
        <x:v>medium</x:v>
      </x:c>
      <x:c r="V613" s="15" t="str">
        <x:v>comfy_flip_flops</x:v>
      </x:c>
      <x:c r="W613" s="15" t="str">
        <x:v>cluster_route</x:v>
      </x:c>
      <x:c r="X613" s="15" t="str">
        <x:v>{"product_type":[{"value":"flip_flop","evidence_type":"explicit","source_span":"flip flops","fact_ids":[],"rationale":""},{"value":"flip_flop","evidence_type":"page_validated","source_span":"","fact_ids":["style_flip_flop"],"rationale":"该槽位与商品基准中的明示页面事实一致。"}],"capability_intent":[{"value":"comfort","evidence_type":"explicit","source_span":"comfy","fact_ids":[],"rationale":""},{"value":"comfort","evidence_type":"page_validated","source_span":"","fact_ids":["arch_support","padded_cushioning"],"rationale":"该槽位与商品基准中的明示页面事实一致。"},{"value":"comfor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613" s="15" t="str"/>
      <x:c r="Z613" s="10" t="str">
        <x:v>match</x:v>
      </x:c>
      <x:c r="AA613" s="15" t="str">
        <x:v>title_womens_flip_flop | style_flip_flop | arch_support | padded_cushioning | soft_toe_post</x:v>
      </x:c>
      <x:c r="AB613" s="10" t="str">
        <x:v>accepted</x:v>
      </x:c>
      <x:c r="AC613" s="10" t="str">
        <x:v>1.0.0</x:v>
      </x:c>
      <x:c r="AD613" s="10" t="str">
        <x:v>1.0.0</x:v>
      </x:c>
      <x:c r="AE613" s="10" t="str">
        <x:v>deepseek/deepseek-v4-pro</x:v>
      </x:c>
      <x:c r="AF613" s="10" t="str">
        <x:v>aj2-y90-20260714T234810-0bea2f52</x:v>
      </x:c>
      <x:c r="AG613" s="10" t="str">
        <x:v>full-0031</x:v>
      </x:c>
      <x:c r="AH613" s="10" t="str">
        <x:v>full</x:v>
      </x:c>
      <x:c r="AI613" s="10" t="n">
        <x:v>31</x:v>
      </x:c>
    </x:row>
    <x:row r="614" ht="34" customHeight="1">
      <x:c r="A614" s="16" t="str">
        <x:v>flip flops to be in the house</x:v>
      </x:c>
      <x:c r="B614" s="16" t="str">
        <x:v>flip flops to be in the house</x:v>
      </x:c>
      <x:c r="C614" s="13" t="str">
        <x:v>ae872505b543ffc9</x:v>
      </x:c>
      <x:c r="D614" s="13" t="str">
        <x:v>keyword</x:v>
      </x:c>
      <x:c r="E614" s="13" t="str">
        <x:v>en</x:v>
      </x:c>
      <x:c r="F614" s="13" t="str">
        <x:v>clothing_shoes_jewelry</x:v>
      </x:c>
      <x:c r="G614" s="16" t="str"/>
      <x:c r="H614" s="16" t="str">
        <x:v>flip_flop</x:v>
      </x:c>
      <x:c r="I614" s="16" t="str"/>
      <x:c r="J614" s="16" t="str">
        <x:v>indoor_use</x:v>
      </x:c>
      <x:c r="K614" s="16" t="str"/>
      <x:c r="L614" s="16" t="str"/>
      <x:c r="M614" s="16" t="str">
        <x:v>indoor | house</x:v>
      </x:c>
      <x:c r="N614" s="16" t="str"/>
      <x:c r="O614" s="16" t="str"/>
      <x:c r="P614" s="16" t="str"/>
      <x:c r="Q614" s="16" t="str"/>
      <x:c r="R614" s="16" t="str">
        <x:v>用户寻找适合在家中室内穿着的拖鞋。</x:v>
      </x:c>
      <x:c r="S614" s="13" t="str">
        <x:v>consideration</x:v>
      </x:c>
      <x:c r="T614" s="16" t="str">
        <x:v>explicit | inferred</x:v>
      </x:c>
      <x:c r="U614" s="13" t="str">
        <x:v>high</x:v>
      </x:c>
      <x:c r="V614" s="16" t="str">
        <x:v>flip_flops_indoor</x:v>
      </x:c>
      <x:c r="W614" s="16" t="str">
        <x:v>cluster_route</x:v>
      </x:c>
      <x:c r="X614" s="16" t="str">
        <x:v>{"product_type":[{"value":"flip_flop","evidence_type":"explicit","source_span":"flip flops","fact_ids":[],"rationale":""},{"value":"flip_flop","evidence_type":"page_validated","source_span":"","fact_ids":["style_flip_flop"],"rationale":"该槽位与商品基准中的明示页面事实一致。"}],"location_intent":[{"value":"indoor","evidence_type":"explicit","source_span":"in the house","fact_ids":[],"rationale":""},{"value":"house","evidence_type":"explicit","source_span":"in the house","fact_ids":[],"rationale":""}],"function_intent":[{"value":"indoor_use","evidence_type":"inferred","source_span":"","fact_ids":[],"rationale":"家中穿用推导为室内使用场景"}],"primary_domain":[{"value":"clothing_shoes_jewelry","evidence_type":"inferred","source_span":"","fact_ids":[],"rationale":"该值由搜索词整体语义推断，未作为页面明示属性。"}]}</x:v>
      </x:c>
      <x:c r="Y614" s="16" t="str"/>
      <x:c r="Z614" s="13" t="str">
        <x:v>match</x:v>
      </x:c>
      <x:c r="AA614" s="16" t="str">
        <x:v>title_womens_flip_flop | style_flip_flop</x:v>
      </x:c>
      <x:c r="AB614" s="13" t="str">
        <x:v>accepted</x:v>
      </x:c>
      <x:c r="AC614" s="13" t="str">
        <x:v>1.0.0</x:v>
      </x:c>
      <x:c r="AD614" s="13" t="str">
        <x:v>1.0.0</x:v>
      </x:c>
      <x:c r="AE614" s="13" t="str">
        <x:v>deepseek/deepseek-v4-pro</x:v>
      </x:c>
      <x:c r="AF614" s="13" t="str">
        <x:v>aj2-y90-20260714T234810-0bea2f52</x:v>
      </x:c>
      <x:c r="AG614" s="13" t="str">
        <x:v>full-0031</x:v>
      </x:c>
      <x:c r="AH614" s="13" t="str">
        <x:v>full</x:v>
      </x:c>
      <x:c r="AI614" s="13" t="n">
        <x:v>31</x:v>
      </x:c>
    </x:row>
    <x:row r="615" ht="34" customHeight="1">
      <x:c r="A615" s="15" t="str">
        <x:v>womens black flip flops with arch support</x:v>
      </x:c>
      <x:c r="B615" s="15" t="str">
        <x:v>womens black flip flops with arch support</x:v>
      </x:c>
      <x:c r="C615" s="10" t="str">
        <x:v>bbc3e1a20c4ff0c1</x:v>
      </x:c>
      <x:c r="D615" s="10" t="str">
        <x:v>keyword</x:v>
      </x:c>
      <x:c r="E615" s="10" t="str">
        <x:v>en</x:v>
      </x:c>
      <x:c r="F615" s="10" t="str">
        <x:v>clothing_shoes_jewelry</x:v>
      </x:c>
      <x:c r="G615" s="15" t="str"/>
      <x:c r="H615" s="15" t="str">
        <x:v>flip_flop</x:v>
      </x:c>
      <x:c r="I615" s="15" t="str">
        <x:v>women</x:v>
      </x:c>
      <x:c r="J615" s="15" t="str"/>
      <x:c r="K615" s="15" t="str">
        <x:v>arch_support | black</x:v>
      </x:c>
      <x:c r="L615" s="15" t="str"/>
      <x:c r="M615" s="15" t="str"/>
      <x:c r="N615" s="15" t="str"/>
      <x:c r="O615" s="15" t="str"/>
      <x:c r="P615" s="15" t="str"/>
      <x:c r="Q615" s="15" t="str"/>
      <x:c r="R615" s="15" t="str">
        <x:v>女性用户寻找黑色带足弓支撑的拖鞋。</x:v>
      </x:c>
      <x:c r="S615" s="10" t="str">
        <x:v>high_intent</x:v>
      </x:c>
      <x:c r="T615" s="15" t="str">
        <x:v>explicit | page_validated</x:v>
      </x:c>
      <x:c r="U615" s="10" t="str">
        <x:v>high</x:v>
      </x:c>
      <x:c r="V615" s="15" t="str">
        <x:v>womens_arch_support_flip_flops</x:v>
      </x:c>
      <x:c r="W615" s="15" t="str">
        <x:v>cluster_route</x:v>
      </x:c>
      <x:c r="X615" s="15" t="str">
        <x:v>{"product_type":[{"value":"flip_flop","evidence_type":"explicit","source_span":"flip flops","fact_ids":[],"rationale":""},{"value":"flip_flop","evidence_type":"page_validated","source_span":"","fact_ids":["style_flip_flop"],"rationale":"该槽位与商品基准中的明示页面事实一致。"}],"audience_intent":[{"value":"women","evidence_type":"explicit","source_span":"womens","fact_ids":[],"rationale":""},{"value":"women","evidence_type":"page_validated","source_span":"","fact_ids":["title_womens_flip_flop"],"rationale":"该槽位与商品基准中的明示页面事实一致。"}],"capability_intent":[{"value":"arch_support","evidence_type":"page_validated","source_span":"","fact_ids":["arch_support"],"rationale":""},{"value":"black","evidence_type":"explicit","source_span":"black","fact_ids":["colors_visible"],"rationale":""}],"primary_domain":[{"value":"clothing_shoes_jewelry","evidence_type":"inferred","source_span":"","fact_ids":[],"rationale":"该值由搜索词整体语义推断，未作为页面明示属性。"}]}</x:v>
      </x:c>
      <x:c r="Y615" s="15" t="str"/>
      <x:c r="Z615" s="10" t="str">
        <x:v>match</x:v>
      </x:c>
      <x:c r="AA615" s="15" t="str">
        <x:v>title_womens_flip_flop | style_flip_flop | arch_support | colors_visible</x:v>
      </x:c>
      <x:c r="AB615" s="10" t="str">
        <x:v>accepted</x:v>
      </x:c>
      <x:c r="AC615" s="10" t="str">
        <x:v>1.0.0</x:v>
      </x:c>
      <x:c r="AD615" s="10" t="str">
        <x:v>1.0.0</x:v>
      </x:c>
      <x:c r="AE615" s="10" t="str">
        <x:v>deepseek/deepseek-v4-pro</x:v>
      </x:c>
      <x:c r="AF615" s="10" t="str">
        <x:v>aj2-y90-20260714T234810-0bea2f52</x:v>
      </x:c>
      <x:c r="AG615" s="10" t="str">
        <x:v>full-0031</x:v>
      </x:c>
      <x:c r="AH615" s="10" t="str">
        <x:v>full</x:v>
      </x:c>
      <x:c r="AI615" s="10" t="n">
        <x:v>31</x:v>
      </x:c>
    </x:row>
    <x:row r="616" ht="34" customHeight="1">
      <x:c r="A616" s="16" t="str">
        <x:v>womens water flip flops</x:v>
      </x:c>
      <x:c r="B616" s="16" t="str">
        <x:v>womens water flip flops</x:v>
      </x:c>
      <x:c r="C616" s="13" t="str">
        <x:v>dbabd727686b6d54</x:v>
      </x:c>
      <x:c r="D616" s="13" t="str">
        <x:v>keyword</x:v>
      </x:c>
      <x:c r="E616" s="13" t="str">
        <x:v>en</x:v>
      </x:c>
      <x:c r="F616" s="13" t="str">
        <x:v>clothing_shoes_jewelry</x:v>
      </x:c>
      <x:c r="G616" s="16" t="str">
        <x:v>sports_outdoors</x:v>
      </x:c>
      <x:c r="H616" s="16" t="str">
        <x:v>flip_flop</x:v>
      </x:c>
      <x:c r="I616" s="16" t="str">
        <x:v>women</x:v>
      </x:c>
      <x:c r="J616" s="16" t="str"/>
      <x:c r="K616" s="16" t="str">
        <x:v>water_use</x:v>
      </x:c>
      <x:c r="L616" s="16" t="str">
        <x:v>water_activities</x:v>
      </x:c>
      <x:c r="M616" s="16" t="str"/>
      <x:c r="N616" s="16" t="str"/>
      <x:c r="O616" s="16" t="str"/>
      <x:c r="P616" s="16" t="str"/>
      <x:c r="Q616" s="16" t="str"/>
      <x:c r="R616" s="16" t="str">
        <x:v>女性用户寻找适合水中或水边穿着的拖鞋。</x:v>
      </x:c>
      <x:c r="S616" s="13" t="str">
        <x:v>consideration</x:v>
      </x:c>
      <x:c r="T616" s="16" t="str">
        <x:v>explicit | inferred</x:v>
      </x:c>
      <x:c r="U616" s="13" t="str">
        <x:v>medium</x:v>
      </x:c>
      <x:c r="V616" s="16" t="str">
        <x:v>womens_water_flip_flops</x:v>
      </x:c>
      <x:c r="W616" s="16" t="str">
        <x:v>listing_gap_review</x:v>
      </x:c>
      <x:c r="X616" s="16" t="str">
        <x:v>{"product_type":[{"value":"flip_flop","evidence_type":"explicit","source_span":"flip flops","fact_ids":[],"rationale":""},{"value":"flip_flop","evidence_type":"page_validated","source_span":"","fact_ids":["style_flip_flop"],"rationale":"该槽位与商品基准中的明示页面事实一致。"}],"audience_intent":[{"value":"women","evidence_type":"explicit","source_span":"womens","fact_ids":[],"rationale":""},{"value":"women","evidence_type":"page_validated","source_span":"","fact_ids":["title_womens_flip_flop"],"rationale":"该槽位与商品基准中的明示页面事实一致。"}],"capability_intent":[{"value":"water_use","evidence_type":"explicit","source_span":"water","fact_ids":[],"rationale":""}],"event_intent":[{"value":"water_activities","evidence_type":"inferred","source_span":"","fact_ids":[],"rationale":"水上使用场景推导为水上活动"}],"secondary_domain":[{"value":"sports_outdoors","evidence_type":"inferred","source_span":"","fact_ids":[],"rationale":"该值由搜索词整体语义推断，未作为页面明示属性。"}],"primary_domain":[{"value":"clothing_shoes_jewelry","evidence_type":"inferred","source_span":"","fact_ids":[],"rationale":"该值由搜索词整体语义推断，未作为页面明示属性。"}]}</x:v>
      </x:c>
      <x:c r="Y616" s="16" t="str">
        <x:v>water_ambiguous</x:v>
      </x:c>
      <x:c r="Z616" s="13" t="str">
        <x:v>partial_match</x:v>
      </x:c>
      <x:c r="AA616" s="16" t="str">
        <x:v>title_womens_flip_flop | style_flip_flop</x:v>
      </x:c>
      <x:c r="AB616" s="13" t="str">
        <x:v>accepted</x:v>
      </x:c>
      <x:c r="AC616" s="13" t="str">
        <x:v>1.0.0</x:v>
      </x:c>
      <x:c r="AD616" s="13" t="str">
        <x:v>1.0.0</x:v>
      </x:c>
      <x:c r="AE616" s="13" t="str">
        <x:v>deepseek/deepseek-v4-pro</x:v>
      </x:c>
      <x:c r="AF616" s="13" t="str">
        <x:v>aj2-y90-20260714T234810-0bea2f52</x:v>
      </x:c>
      <x:c r="AG616" s="13" t="str">
        <x:v>full-0031</x:v>
      </x:c>
      <x:c r="AH616" s="13" t="str">
        <x:v>full</x:v>
      </x:c>
      <x:c r="AI616" s="13" t="n">
        <x:v>31</x:v>
      </x:c>
    </x:row>
    <x:row r="617" ht="34" customHeight="1">
      <x:c r="A617" s="15" t="str">
        <x:v>white sandals fancy flip flop</x:v>
      </x:c>
      <x:c r="B617" s="15" t="str">
        <x:v>white sandals fancy flip flop</x:v>
      </x:c>
      <x:c r="C617" s="10" t="str">
        <x:v>ded996ccdef06d70</x:v>
      </x:c>
      <x:c r="D617" s="10" t="str">
        <x:v>keyword</x:v>
      </x:c>
      <x:c r="E617" s="10" t="str">
        <x:v>en</x:v>
      </x:c>
      <x:c r="F617" s="10" t="str">
        <x:v>clothing_shoes_jewelry</x:v>
      </x:c>
      <x:c r="G617" s="15" t="str"/>
      <x:c r="H617" s="15" t="str">
        <x:v>sandal | flip_flop</x:v>
      </x:c>
      <x:c r="I617" s="15" t="str"/>
      <x:c r="J617" s="15" t="str"/>
      <x:c r="K617" s="15" t="str">
        <x:v>fancy | white</x:v>
      </x:c>
      <x:c r="L617" s="15" t="str"/>
      <x:c r="M617" s="15" t="str"/>
      <x:c r="N617" s="15" t="str"/>
      <x:c r="O617" s="15" t="str"/>
      <x:c r="P617" s="15" t="str"/>
      <x:c r="Q617" s="15" t="str"/>
      <x:c r="R617" s="15" t="str">
        <x:v>用户寻找白色精致时尚的凉鞋或拖鞋。</x:v>
      </x:c>
      <x:c r="S617" s="10" t="str">
        <x:v>consideration</x:v>
      </x:c>
      <x:c r="T617" s="15" t="str">
        <x:v>explicit | page_validated</x:v>
      </x:c>
      <x:c r="U617" s="10" t="str">
        <x:v>medium</x:v>
      </x:c>
      <x:c r="V617" s="15" t="str">
        <x:v>fancy_white_flip_flops</x:v>
      </x:c>
      <x:c r="W617" s="15" t="str">
        <x:v>listing_gap_review</x:v>
      </x:c>
      <x:c r="X617" s="15" t="str">
        <x:v>{"product_type":[{"value":"sandal","evidence_type":"explicit","source_span":"sandals","fact_ids":[],"rationale":""},{"value":"flip_flop","evidence_type":"explicit","source_span":"flip flop","fact_ids":[],"rationale":""},{"value":"flip_flop","evidence_type":"page_validated","source_span":"","fact_ids":["style_flip_flop"],"rationale":"该槽位与商品基准中的明示页面事实一致。"}],"capability_intent":[{"value":"fancy","evidence_type":"explicit","source_span":"fancy","fact_ids":[],"rationale":""},{"value":"white","evidence_type":"explicit","source_span":"white","fact_ids":["colors_visible"],"rationale":""}],"primary_domain":[{"value":"clothing_shoes_jewelry","evidence_type":"inferred","source_span":"","fact_ids":[],"rationale":"该值由搜索词整体语义推断，未作为页面明示属性。"}]}</x:v>
      </x:c>
      <x:c r="Y617" s="15" t="str"/>
      <x:c r="Z617" s="10" t="str">
        <x:v>partial_match</x:v>
      </x:c>
      <x:c r="AA617" s="15" t="str">
        <x:v>title_womens_flip_flop | style_flip_flop | colors_visible</x:v>
      </x:c>
      <x:c r="AB617" s="10" t="str">
        <x:v>accepted</x:v>
      </x:c>
      <x:c r="AC617" s="10" t="str">
        <x:v>1.0.0</x:v>
      </x:c>
      <x:c r="AD617" s="10" t="str">
        <x:v>1.0.0</x:v>
      </x:c>
      <x:c r="AE617" s="10" t="str">
        <x:v>deepseek/deepseek-v4-pro</x:v>
      </x:c>
      <x:c r="AF617" s="10" t="str">
        <x:v>aj2-y90-20260714T234810-0bea2f52</x:v>
      </x:c>
      <x:c r="AG617" s="10" t="str">
        <x:v>full-0031</x:v>
      </x:c>
      <x:c r="AH617" s="10" t="str">
        <x:v>full</x:v>
      </x:c>
      <x:c r="AI617" s="10" t="n">
        <x:v>31</x:v>
      </x:c>
    </x:row>
    <x:row r="618" ht="34" customHeight="1">
      <x:c r="A618" s="16" t="str">
        <x:v>flip flops round toe</x:v>
      </x:c>
      <x:c r="B618" s="16" t="str">
        <x:v>flip flops round toe</x:v>
      </x:c>
      <x:c r="C618" s="13" t="str">
        <x:v>dfaca86860c2461f</x:v>
      </x:c>
      <x:c r="D618" s="13" t="str">
        <x:v>keyword</x:v>
      </x:c>
      <x:c r="E618" s="13" t="str">
        <x:v>en</x:v>
      </x:c>
      <x:c r="F618" s="13" t="str">
        <x:v>clothing_shoes_jewelry</x:v>
      </x:c>
      <x:c r="G618" s="16" t="str"/>
      <x:c r="H618" s="16" t="str">
        <x:v>flip_flop</x:v>
      </x:c>
      <x:c r="I618" s="16" t="str"/>
      <x:c r="J618" s="16" t="str"/>
      <x:c r="K618" s="16" t="str">
        <x:v>round_toe</x:v>
      </x:c>
      <x:c r="L618" s="16" t="str"/>
      <x:c r="M618" s="16" t="str"/>
      <x:c r="N618" s="16" t="str"/>
      <x:c r="O618" s="16" t="str"/>
      <x:c r="P618" s="16" t="str"/>
      <x:c r="Q618" s="16" t="str"/>
      <x:c r="R618" s="16" t="str">
        <x:v>用户寻找圆头款式的拖鞋。</x:v>
      </x:c>
      <x:c r="S618" s="13" t="str">
        <x:v>consideration</x:v>
      </x:c>
      <x:c r="T618" s="16" t="str">
        <x:v>explicit | page_validated</x:v>
      </x:c>
      <x:c r="U618" s="13" t="str">
        <x:v>high</x:v>
      </x:c>
      <x:c r="V618" s="16" t="str">
        <x:v>round_toe_flip_flops</x:v>
      </x:c>
      <x:c r="W618" s="16" t="str">
        <x:v>semantic_negative_candidate</x:v>
      </x:c>
      <x:c r="X618" s="16" t="str">
        <x:v>{"product_type":[{"value":"flip_flop","evidence_type":"explicit","source_span":"flip flops","fact_ids":[],"rationale":""},{"value":"flip_flop","evidence_type":"page_validated","source_span":"","fact_ids":["style_flip_flop"],"rationale":"该槽位与商品基准中的明示页面事实一致。"}],"capability_intent":[{"value":"round_toe","evidence_type":"explicit","source_span":"round toe","fact_ids":[],"rationale":""}],"primary_domain":[{"value":"clothing_shoes_jewelry","evidence_type":"inferred","source_span":"","fact_ids":[],"rationale":"该值由搜索词整体语义推断，未作为页面明示属性。"}]}</x:v>
      </x:c>
      <x:c r="Y618" s="16" t="str"/>
      <x:c r="Z618" s="13" t="str">
        <x:v>mismatch</x:v>
      </x:c>
      <x:c r="AA618" s="16" t="str">
        <x:v>style_open_toe | style_flip_flop</x:v>
      </x:c>
      <x:c r="AB618" s="13" t="str">
        <x:v>accepted</x:v>
      </x:c>
      <x:c r="AC618" s="13" t="str">
        <x:v>1.0.0</x:v>
      </x:c>
      <x:c r="AD618" s="13" t="str">
        <x:v>1.0.0</x:v>
      </x:c>
      <x:c r="AE618" s="13" t="str">
        <x:v>deepseek/deepseek-v4-pro</x:v>
      </x:c>
      <x:c r="AF618" s="13" t="str">
        <x:v>aj2-y90-20260714T234810-0bea2f52</x:v>
      </x:c>
      <x:c r="AG618" s="13" t="str">
        <x:v>full-0031</x:v>
      </x:c>
      <x:c r="AH618" s="13" t="str">
        <x:v>full</x:v>
      </x:c>
      <x:c r="AI618" s="13" t="n">
        <x:v>31</x:v>
      </x:c>
    </x:row>
    <x:row r="619" ht="34" customHeight="1">
      <x:c r="A619" s="15" t="str">
        <x:v>archies footwear</x:v>
      </x:c>
      <x:c r="B619" s="15" t="str">
        <x:v>archies footwear</x:v>
      </x:c>
      <x:c r="C619" s="10" t="str">
        <x:v>e100683b255c9e1d</x:v>
      </x:c>
      <x:c r="D619" s="10" t="str">
        <x:v>keyword</x:v>
      </x:c>
      <x:c r="E619" s="10" t="str">
        <x:v>en</x:v>
      </x:c>
      <x:c r="F619" s="10" t="str">
        <x:v>clothing_shoes_jewelry</x:v>
      </x:c>
      <x:c r="G619" s="15" t="str"/>
      <x:c r="H619" s="15" t="str">
        <x:v>footwear</x:v>
      </x:c>
      <x:c r="I619" s="15" t="str"/>
      <x:c r="J619" s="15" t="str"/>
      <x:c r="K619" s="15" t="str"/>
      <x:c r="L619" s="15" t="str"/>
      <x:c r="M619" s="15" t="str"/>
      <x:c r="N619" s="15" t="str"/>
      <x:c r="O619" s="15" t="str"/>
      <x:c r="P619" s="15" t="str"/>
      <x:c r="Q619" s="15" t="str"/>
      <x:c r="R619" s="15" t="str">
        <x:v>用户搜索Archies品牌的鞋类产品。</x:v>
      </x:c>
      <x:c r="S619" s="10" t="str">
        <x:v>brand_harvest</x:v>
      </x:c>
      <x:c r="T619" s="15" t="str">
        <x:v>explicit | page_validated</x:v>
      </x:c>
      <x:c r="U619" s="10" t="str">
        <x:v>high</x:v>
      </x:c>
      <x:c r="V619" s="15" t="str">
        <x:v>archies_brand_footwear</x:v>
      </x:c>
      <x:c r="W619" s="15" t="str">
        <x:v>semantic_negative_candidate</x:v>
      </x:c>
      <x:c r="X619" s="15" t="str">
        <x:v>{"product_type":[{"value":"footwear","evidence_type":"explicit","source_span":"footwear","fact_ids":[],"rationale":""}],"primary_domain":[{"value":"clothing_shoes_jewelry","evidence_type":"inferred","source_span":"","fact_ids":[],"rationale":"该值由搜索词整体语义推断，未作为页面明示属性。"}]}</x:v>
      </x:c>
      <x:c r="Y619" s="15" t="str"/>
      <x:c r="Z619" s="10" t="str">
        <x:v>mismatch</x:v>
      </x:c>
      <x:c r="AA619" s="15" t="str">
        <x:v>title_womens_flip_flop</x:v>
      </x:c>
      <x:c r="AB619" s="10" t="str">
        <x:v>accepted</x:v>
      </x:c>
      <x:c r="AC619" s="10" t="str">
        <x:v>1.0.0</x:v>
      </x:c>
      <x:c r="AD619" s="10" t="str">
        <x:v>1.0.0</x:v>
      </x:c>
      <x:c r="AE619" s="10" t="str">
        <x:v>deepseek/deepseek-v4-pro</x:v>
      </x:c>
      <x:c r="AF619" s="10" t="str">
        <x:v>aj2-y90-20260714T234810-0bea2f52</x:v>
      </x:c>
      <x:c r="AG619" s="10" t="str">
        <x:v>full-0031</x:v>
      </x:c>
      <x:c r="AH619" s="10" t="str">
        <x:v>full</x:v>
      </x:c>
      <x:c r="AI619" s="10" t="n">
        <x:v>31</x:v>
      </x:c>
    </x:row>
    <x:row r="620" ht="34" customHeight="1">
      <x:c r="A620" s="16" t="str">
        <x:v>flip flops plantar fasciitis women</x:v>
      </x:c>
      <x:c r="B620" s="16" t="str">
        <x:v>flip flops plantar fasciitis women</x:v>
      </x:c>
      <x:c r="C620" s="13" t="str">
        <x:v>eede91a94f34e381</x:v>
      </x:c>
      <x:c r="D620" s="13" t="str">
        <x:v>keyword</x:v>
      </x:c>
      <x:c r="E620" s="13" t="str">
        <x:v>en</x:v>
      </x:c>
      <x:c r="F620" s="13" t="str">
        <x:v>clothing_shoes_jewelry</x:v>
      </x:c>
      <x:c r="G620" s="16" t="str">
        <x:v>health_household</x:v>
      </x:c>
      <x:c r="H620" s="16" t="str">
        <x:v>flip_flop</x:v>
      </x:c>
      <x:c r="I620" s="16" t="str">
        <x:v>women</x:v>
      </x:c>
      <x:c r="J620" s="16" t="str"/>
      <x:c r="K620" s="16" t="str"/>
      <x:c r="L620" s="16" t="str"/>
      <x:c r="M620" s="16" t="str"/>
      <x:c r="N620" s="16" t="str">
        <x:v>plantar_fasciitis</x:v>
      </x:c>
      <x:c r="O620" s="16" t="str"/>
      <x:c r="P620" s="16" t="str"/>
      <x:c r="Q620" s="16" t="str"/>
      <x:c r="R620" s="16" t="str">
        <x:v>女性足底筋膜炎患者寻找适合穿着的拖鞋。</x:v>
      </x:c>
      <x:c r="S620" s="13" t="str">
        <x:v>consideration</x:v>
      </x:c>
      <x:c r="T620" s="16" t="str">
        <x:v>explicit | page_validated | inferred</x:v>
      </x:c>
      <x:c r="U620" s="13" t="str">
        <x:v>medium</x:v>
      </x:c>
      <x:c r="V620" s="16" t="str">
        <x:v>flip_flops_plantar_fasciitis</x:v>
      </x:c>
      <x:c r="W620" s="16" t="str">
        <x:v>listing_gap_review</x:v>
      </x:c>
      <x:c r="X620" s="16" t="str">
        <x:v>{"product_type":[{"value":"flip_flop","evidence_type":"explicit","source_span":"flip flops","fact_ids":[],"rationale":""},{"value":"flip_flop","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body_need_intent":[{"value":"plantar_fasciitis","evidence_type":"explicit","source_span":"plantar fasciitis","fact_ids":[],"rationale":""}],"secondary_domain":[{"value":"health_household","evidence_type":"inferred","source_span":"","fact_ids":[],"rationale":"足底筋膜炎属于健康相关需求"}],"primary_domain":[{"value":"clothing_shoes_jewelry","evidence_type":"inferred","source_span":"","fact_ids":[],"rationale":"该值由搜索词整体语义推断，未作为页面明示属性。"}]}</x:v>
      </x:c>
      <x:c r="Y620" s="16" t="str"/>
      <x:c r="Z620" s="13" t="str">
        <x:v>partial_match</x:v>
      </x:c>
      <x:c r="AA620" s="16" t="str">
        <x:v>title_womens_flip_flop | style_flip_flop | arch_support</x:v>
      </x:c>
      <x:c r="AB620" s="13" t="str">
        <x:v>accepted</x:v>
      </x:c>
      <x:c r="AC620" s="13" t="str">
        <x:v>1.0.0</x:v>
      </x:c>
      <x:c r="AD620" s="13" t="str">
        <x:v>1.0.0</x:v>
      </x:c>
      <x:c r="AE620" s="13" t="str">
        <x:v>deepseek/deepseek-v4-pro</x:v>
      </x:c>
      <x:c r="AF620" s="13" t="str">
        <x:v>aj2-y90-20260714T234810-0bea2f52</x:v>
      </x:c>
      <x:c r="AG620" s="13" t="str">
        <x:v>full-0031</x:v>
      </x:c>
      <x:c r="AH620" s="13" t="str">
        <x:v>full</x:v>
      </x:c>
      <x:c r="AI620" s="13" t="n">
        <x:v>31</x:v>
      </x:c>
    </x:row>
    <x:row r="621" ht="34" customHeight="1">
      <x:c r="A621" s="15" t="str">
        <x:v>swim sandals women non slip size5</x:v>
      </x:c>
      <x:c r="B621" s="15" t="str">
        <x:v>swim sandals women non slip size5</x:v>
      </x:c>
      <x:c r="C621" s="10" t="str">
        <x:v>fac6657059d61a1b</x:v>
      </x:c>
      <x:c r="D621" s="10" t="str">
        <x:v>keyword</x:v>
      </x:c>
      <x:c r="E621" s="10" t="str">
        <x:v>en</x:v>
      </x:c>
      <x:c r="F621" s="10" t="str">
        <x:v>clothing_shoes_jewelry</x:v>
      </x:c>
      <x:c r="G621" s="15" t="str">
        <x:v>sports_outdoors</x:v>
      </x:c>
      <x:c r="H621" s="15" t="str">
        <x:v>sandal</x:v>
      </x:c>
      <x:c r="I621" s="15" t="str">
        <x:v>women</x:v>
      </x:c>
      <x:c r="J621" s="15" t="str"/>
      <x:c r="K621" s="15" t="str">
        <x:v>non_slip | size_5</x:v>
      </x:c>
      <x:c r="L621" s="15" t="str">
        <x:v>swimming</x:v>
      </x:c>
      <x:c r="M621" s="15" t="str"/>
      <x:c r="N621" s="15" t="str"/>
      <x:c r="O621" s="15" t="str"/>
      <x:c r="P621" s="15" t="str"/>
      <x:c r="Q621" s="15" t="str"/>
      <x:c r="R621" s="15" t="str">
        <x:v>女性用户寻找5码防滑游泳凉鞋。</x:v>
      </x:c>
      <x:c r="S621" s="10" t="str">
        <x:v>high_intent</x:v>
      </x:c>
      <x:c r="T621" s="15" t="str">
        <x:v>explicit | page_validated | inferred</x:v>
      </x:c>
      <x:c r="U621" s="10" t="str">
        <x:v>high</x:v>
      </x:c>
      <x:c r="V621" s="15" t="str">
        <x:v>swim_sandals_women</x:v>
      </x:c>
      <x:c r="W621" s="15" t="str">
        <x:v>listing_gap_review</x:v>
      </x:c>
      <x:c r="X621" s="15" t="str">
        <x:v>{"product_type":[{"value":"sandal","evidence_type":"explicit","source_span":"sandals","fact_ids":[],"rationale":""}],"audience_intent":[{"value":"women","evidence_type":"explicit","source_span":"women","fact_ids":[],"rationale":""},{"value":"women","evidence_type":"page_validated","source_span":"","fact_ids":["title_womens_flip_flop"],"rationale":"该槽位与商品基准中的明示页面事实一致。"}],"capability_intent":[{"value":"non_slip","evidence_type":"page_validated","source_span":"","fact_ids":["slip_resistant_grip"],"rationale":""},{"value":"size_5","evidence_type":"explicit","source_span":"size5","fact_ids":["sizes_6_11"],"rationale":""}],"event_intent":[{"value":"swimming","evidence_type":"explicit","source_span":"swim","fact_ids":[],"rationale":""}],"secondary_domain":[{"value":"sports_outdoors","evidence_type":"inferred","source_span":"","fact_ids":[],"rationale":"游泳属于运动户外场景"}],"primary_domain":[{"value":"clothing_shoes_jewelry","evidence_type":"inferred","source_span":"","fact_ids":[],"rationale":"该值由搜索词整体语义推断，未作为页面明示属性。"}]}</x:v>
      </x:c>
      <x:c r="Y621" s="15" t="str"/>
      <x:c r="Z621" s="10" t="str">
        <x:v>partial_match</x:v>
      </x:c>
      <x:c r="AA621" s="15" t="str">
        <x:v>title_womens_flip_flop | slip_resistant_grip | sizes_6_11</x:v>
      </x:c>
      <x:c r="AB621" s="10" t="str">
        <x:v>accepted</x:v>
      </x:c>
      <x:c r="AC621" s="10" t="str">
        <x:v>1.0.0</x:v>
      </x:c>
      <x:c r="AD621" s="10" t="str">
        <x:v>1.0.0</x:v>
      </x:c>
      <x:c r="AE621" s="10" t="str">
        <x:v>deepseek/deepseek-v4-pro</x:v>
      </x:c>
      <x:c r="AF621" s="10" t="str">
        <x:v>aj2-y90-20260714T234810-0bea2f52</x:v>
      </x:c>
      <x:c r="AG621" s="10" t="str">
        <x:v>full-0031</x:v>
      </x:c>
      <x:c r="AH621" s="10" t="str">
        <x:v>full</x:v>
      </x:c>
      <x:c r="AI621" s="10" t="n">
        <x:v>31</x:v>
      </x:c>
    </x:row>
    <x:row r="622" ht="34" customHeight="1">
      <x:c r="A622" s="16" t="str">
        <x:v>comfortable walking flip flops black</x:v>
      </x:c>
      <x:c r="B622" s="16" t="str">
        <x:v>comfortable walking flip flops black</x:v>
      </x:c>
      <x:c r="C622" s="13" t="str">
        <x:v>052b2e9e7df4230f</x:v>
      </x:c>
      <x:c r="D622" s="13" t="str">
        <x:v>keyword</x:v>
      </x:c>
      <x:c r="E622" s="13" t="str">
        <x:v>en</x:v>
      </x:c>
      <x:c r="F622" s="13" t="str">
        <x:v>clothing_shoes_jewelry</x:v>
      </x:c>
      <x:c r="G622" s="16" t="str"/>
      <x:c r="H622" s="16" t="str">
        <x:v>flip_flop</x:v>
      </x:c>
      <x:c r="I622" s="16" t="str"/>
      <x:c r="J622" s="16" t="str">
        <x:v>all_day_comfort</x:v>
      </x:c>
      <x:c r="K622" s="16" t="str">
        <x:v>comfortable</x:v>
      </x:c>
      <x:c r="L622" s="16" t="str">
        <x:v>walking</x:v>
      </x:c>
      <x:c r="M622" s="16" t="str"/>
      <x:c r="N622" s="16" t="str"/>
      <x:c r="O622" s="16" t="str"/>
      <x:c r="P622" s="16" t="str"/>
      <x:c r="Q622" s="16" t="str"/>
      <x:c r="R622" s="16" t="str">
        <x:v>用户搜索黑色舒适人字拖，用于日常行走活动，需要轻便透气且提供缓震支撑。</x:v>
      </x:c>
      <x:c r="S622" s="13" t="str">
        <x:v>consideration</x:v>
      </x:c>
      <x:c r="T622" s="16" t="str">
        <x:v>explicit | page_validated | inferred</x:v>
      </x:c>
      <x:c r="U622" s="13" t="str">
        <x:v>high</x:v>
      </x:c>
      <x:c r="V622" s="16" t="str">
        <x:v>comfortable_walking_flip_flops</x:v>
      </x:c>
      <x:c r="W622" s="16" t="str">
        <x:v>cluster_route</x:v>
      </x:c>
      <x:c r="X622" s="16" t="str">
        <x:v>{"product_type":[{"value":"flip_flop","evidence_type":"explicit","source_span":"flip flops","fact_ids":[],"rationale":"搜索词直接指明产品类型。"},{"value":"flip_flop","evidence_type":"page_validated","source_span":"","fact_ids":["title_womens_flip_flop"],"rationale":"产品页面确认为人字拖。"}],"capability_intent":[{"value":"comfortable","evidence_type":"explicit","source_span":"comfortable","fact_ids":[],"rationale":"搜索词明确要求舒适。"}],"function_intent":[{"value":"all_day_comfort","evidence_type":"page_validated","source_span":"","fact_ids":["arch_support","padded_cushioning","lightweight_breathable"],"rationale":"产品具备全天舒适所需的支撑与缓震。"}],"event_intent":[{"value":"walking","evidence_type":"explicit","source_span":"walking","fact_ids":[],"rationale":"搜索词指明行走场景。"}],"color":[{"value":"black","evidence_type":"explicit","source_span":"black","fact_ids":[],"rationale":"该颜色在商品页面可见颜色选择中得到明确支持。"},{"value":"black","evidence_type":"page_validated","source_span":"","fact_ids":["colors_visible"],"rationale":"该颜色在商品页面可见颜色选择中得到明确支持。"}],"primary_domain":[{"value":"clothing_shoes_jewelry","evidence_type":"inferred","source_span":"","fact_ids":[],"rationale":"该值由搜索词整体语义推断，未作为页面明示属性。"}]}</x:v>
      </x:c>
      <x:c r="Y622" s="16" t="str"/>
      <x:c r="Z622" s="13" t="str">
        <x:v>match</x:v>
      </x:c>
      <x:c r="AA622" s="16" t="str">
        <x:v>title_womens_flip_flop | lightweight_breathable | arch_support | padded_cushioning | colors_visible</x:v>
      </x:c>
      <x:c r="AB622" s="13" t="str">
        <x:v>accepted</x:v>
      </x:c>
      <x:c r="AC622" s="13" t="str">
        <x:v>1.0.0</x:v>
      </x:c>
      <x:c r="AD622" s="13" t="str">
        <x:v>1.1.0</x:v>
      </x:c>
      <x:c r="AE622" s="13" t="str">
        <x:v>deepseek/deepseek-v4-pro</x:v>
      </x:c>
      <x:c r="AF622" s="13" t="str">
        <x:v>aj2-y90-20260714T234810-0bea2f52</x:v>
      </x:c>
      <x:c r="AG622" s="13" t="str">
        <x:v>full-0032</x:v>
      </x:c>
      <x:c r="AH622" s="13" t="str">
        <x:v>full</x:v>
      </x:c>
      <x:c r="AI622" s="13" t="n">
        <x:v>32</x:v>
      </x:c>
    </x:row>
    <x:row r="623" ht="34" customHeight="1">
      <x:c r="A623" s="15" t="str">
        <x:v>women beach flip flops</x:v>
      </x:c>
      <x:c r="B623" s="15" t="str">
        <x:v>women beach flip flops</x:v>
      </x:c>
      <x:c r="C623" s="10" t="str">
        <x:v>1db46f25e02c3be3</x:v>
      </x:c>
      <x:c r="D623" s="10" t="str">
        <x:v>keyword</x:v>
      </x:c>
      <x:c r="E623" s="10" t="str">
        <x:v>en</x:v>
      </x:c>
      <x:c r="F623" s="10" t="str">
        <x:v>clothing_shoes_jewelry</x:v>
      </x:c>
      <x:c r="G623" s="15" t="str">
        <x:v>sports_outdoors</x:v>
      </x:c>
      <x:c r="H623" s="15" t="str">
        <x:v>flip_flop</x:v>
      </x:c>
      <x:c r="I623" s="15" t="str">
        <x:v>women</x:v>
      </x:c>
      <x:c r="J623" s="15" t="str"/>
      <x:c r="K623" s="15" t="str"/>
      <x:c r="L623" s="15" t="str">
        <x:v>beach_outing</x:v>
      </x:c>
      <x:c r="M623" s="15" t="str">
        <x:v>beach</x:v>
      </x:c>
      <x:c r="N623" s="15" t="str"/>
      <x:c r="O623" s="15" t="str"/>
      <x:c r="P623" s="15" t="str"/>
      <x:c r="Q623" s="15" t="str"/>
      <x:c r="R623" s="15" t="str">
        <x:v>用户搜索女性海滩人字拖，用于沙滩度假或海边休闲活动。</x:v>
      </x:c>
      <x:c r="S623" s="10" t="str">
        <x:v>consideration</x:v>
      </x:c>
      <x:c r="T623" s="15" t="str">
        <x:v>explicit | page_validated | inferred</x:v>
      </x:c>
      <x:c r="U623" s="10" t="str">
        <x:v>medium</x:v>
      </x:c>
      <x:c r="V623" s="15" t="str">
        <x:v>womens_beach_flip_flops</x:v>
      </x:c>
      <x:c r="W623" s="15" t="str">
        <x:v>listing_gap_review</x:v>
      </x:c>
      <x:c r="X623" s="15" t="str">
        <x:v>{"product_type":[{"value":"flip_flop","evidence_type":"explicit","source_span":"flip flops","fact_ids":[],"rationale":"搜索词直接指明产品类型。"},{"value":"flip_flop","evidence_type":"page_validated","source_span":"","fact_ids":["title_womens_flip_flop"],"rationale":"产品页面确认为女款人字拖。"}],"audience_intent":[{"value":"women","evidence_type":"explicit","source_span":"women","fact_ids":[],"rationale":"搜索词明确指定女性用户。"},{"value":"women","evidence_type":"page_validated","source_span":"","fact_ids":["title_womens_flip_flop"],"rationale":"该槽位与商品基准中的明示页面事实一致。"}],"location_intent":[{"value":"beach","evidence_type":"explicit","source_span":"beach","fact_ids":[],"rationale":"搜索词指明海滩使用场景。"}],"event_intent":[{"value":"beach_outing","evidence_type":"inferred","source_span":"","fact_ids":[],"rationale":"海滩场景推断为沙滩出行活动。"}],"secondary_domain":[{"value":"sports_outdoors","evidence_type":"inferred","source_span":"","fact_ids":[],"rationale":"该值由搜索词整体语义推断，未作为页面明示属性。"}],"primary_domain":[{"value":"clothing_shoes_jewelry","evidence_type":"inferred","source_span":"","fact_ids":[],"rationale":"该值由搜索词整体语义推断，未作为页面明示属性。"}]}</x:v>
      </x:c>
      <x:c r="Y623" s="15" t="str"/>
      <x:c r="Z623" s="10" t="str">
        <x:v>partial_match</x:v>
      </x:c>
      <x:c r="AA623" s="15" t="str">
        <x:v>title_womens_flip_flop | style_outdoor</x:v>
      </x:c>
      <x:c r="AB623" s="10" t="str">
        <x:v>accepted</x:v>
      </x:c>
      <x:c r="AC623" s="10" t="str">
        <x:v>1.0.0</x:v>
      </x:c>
      <x:c r="AD623" s="10" t="str">
        <x:v>1.1.0</x:v>
      </x:c>
      <x:c r="AE623" s="10" t="str">
        <x:v>deepseek/deepseek-v4-pro</x:v>
      </x:c>
      <x:c r="AF623" s="10" t="str">
        <x:v>aj2-y90-20260714T234810-0bea2f52</x:v>
      </x:c>
      <x:c r="AG623" s="10" t="str">
        <x:v>full-0032</x:v>
      </x:c>
      <x:c r="AH623" s="10" t="str">
        <x:v>full</x:v>
      </x:c>
      <x:c r="AI623" s="10" t="n">
        <x:v>32</x:v>
      </x:c>
    </x:row>
    <x:row r="624" ht="34" customHeight="1">
      <x:c r="A624" s="16" t="str">
        <x:v>narrow width womens flip flops</x:v>
      </x:c>
      <x:c r="B624" s="16" t="str">
        <x:v>narrow width womens flip flops</x:v>
      </x:c>
      <x:c r="C624" s="13" t="str">
        <x:v>2cad04e991fce84f</x:v>
      </x:c>
      <x:c r="D624" s="13" t="str">
        <x:v>keyword</x:v>
      </x:c>
      <x:c r="E624" s="13" t="str">
        <x:v>en</x:v>
      </x:c>
      <x:c r="F624" s="13" t="str">
        <x:v>clothing_shoes_jewelry</x:v>
      </x:c>
      <x:c r="G624" s="16" t="str"/>
      <x:c r="H624" s="16" t="str">
        <x:v>flip_flop</x:v>
      </x:c>
      <x:c r="I624" s="16" t="str">
        <x:v>women</x:v>
      </x:c>
      <x:c r="J624" s="16" t="str"/>
      <x:c r="K624" s="16" t="str"/>
      <x:c r="L624" s="16" t="str"/>
      <x:c r="M624" s="16" t="str"/>
      <x:c r="N624" s="16" t="str">
        <x:v>narrow_width</x:v>
      </x:c>
      <x:c r="O624" s="16" t="str"/>
      <x:c r="P624" s="16" t="str"/>
      <x:c r="Q624" s="16" t="str"/>
      <x:c r="R624" s="16" t="str">
        <x:v>用户搜索窄版宽度的女款人字拖，需要鞋型较窄以适配瘦脚。</x:v>
      </x:c>
      <x:c r="S624" s="13" t="str">
        <x:v>high_intent</x:v>
      </x:c>
      <x:c r="T624" s="16" t="str">
        <x:v>explicit | inferred</x:v>
      </x:c>
      <x:c r="U624" s="13" t="str">
        <x:v>high</x:v>
      </x:c>
      <x:c r="V624" s="16" t="str">
        <x:v>narrow_width_womens_flip_flops</x:v>
      </x:c>
      <x:c r="W624" s="16" t="str">
        <x:v>semantic_negative_candidate</x:v>
      </x:c>
      <x:c r="X624" s="16" t="str">
        <x:v>{"product_type":[{"value":"flip_flop","evidence_type":"explicit","source_span":"flip flops","fact_ids":[],"rationale":"搜索词直接指明产品类型。"},{"value":"flip_flop","evidence_type":"page_validated","source_span":"","fact_ids":["style_flip_flop"],"rationale":"该槽位与商品基准中的明示页面事实一致。"}],"audience_intent":[{"value":"women","evidence_type":"explicit","source_span":"womens","fact_ids":[],"rationale":"搜索词明确指定女性用户。"},{"value":"women","evidence_type":"page_validated","source_span":"","fact_ids":["title_womens_flip_flop"],"rationale":"该槽位与商品基准中的明示页面事实一致。"}],"body_need_intent":[{"value":"narrow_width","evidence_type":"explicit","source_span":"narrow width","fact_ids":[],"rationale":"搜索词明确要求窄版宽度。"}],"primary_domain":[{"value":"clothing_shoes_jewelry","evidence_type":"inferred","source_span":"","fact_ids":[],"rationale":"该值由搜索词整体语义推断，未作为页面明示属性。"}]}</x:v>
      </x:c>
      <x:c r="Y624" s="16" t="str"/>
      <x:c r="Z624" s="13" t="str">
        <x:v>mismatch</x:v>
      </x:c>
      <x:c r="AA624" s="16" t="str">
        <x:v>sizes_6_11</x:v>
      </x:c>
      <x:c r="AB624" s="13" t="str">
        <x:v>accepted</x:v>
      </x:c>
      <x:c r="AC624" s="13" t="str">
        <x:v>1.0.0</x:v>
      </x:c>
      <x:c r="AD624" s="13" t="str">
        <x:v>1.1.0</x:v>
      </x:c>
      <x:c r="AE624" s="13" t="str">
        <x:v>deepseek/deepseek-v4-pro</x:v>
      </x:c>
      <x:c r="AF624" s="13" t="str">
        <x:v>aj2-y90-20260714T234810-0bea2f52</x:v>
      </x:c>
      <x:c r="AG624" s="13" t="str">
        <x:v>full-0032</x:v>
      </x:c>
      <x:c r="AH624" s="13" t="str">
        <x:v>full</x:v>
      </x:c>
      <x:c r="AI624" s="13" t="n">
        <x:v>32</x:v>
      </x:c>
    </x:row>
    <x:row r="625" ht="34" customHeight="1">
      <x:c r="A625" s="15" t="str">
        <x:v>tommy hilfiger flip flops women</x:v>
      </x:c>
      <x:c r="B625" s="15" t="str">
        <x:v>tommy hilfiger flip flops women</x:v>
      </x:c>
      <x:c r="C625" s="10" t="str">
        <x:v>3d9bd29b53275af2</x:v>
      </x:c>
      <x:c r="D625" s="10" t="str">
        <x:v>keyword</x:v>
      </x:c>
      <x:c r="E625" s="10" t="str">
        <x:v>en</x:v>
      </x:c>
      <x:c r="F625" s="10" t="str">
        <x:v>clothing_shoes_jewelry</x:v>
      </x:c>
      <x:c r="G625" s="15" t="str"/>
      <x:c r="H625" s="15" t="str">
        <x:v>flip_flop</x:v>
      </x:c>
      <x:c r="I625" s="15" t="str">
        <x:v>women</x:v>
      </x:c>
      <x:c r="J625" s="15" t="str"/>
      <x:c r="K625" s="15" t="str"/>
      <x:c r="L625" s="15" t="str"/>
      <x:c r="M625" s="15" t="str"/>
      <x:c r="N625" s="15" t="str"/>
      <x:c r="O625" s="15" t="str"/>
      <x:c r="P625" s="15" t="str"/>
      <x:c r="Q625" s="15" t="str"/>
      <x:c r="R625" s="15" t="str">
        <x:v>用户搜索Tommy Hilfiger品牌的女款人字拖，属于竞品品牌搜索。</x:v>
      </x:c>
      <x:c r="S625" s="10" t="str">
        <x:v>brand_harvest</x:v>
      </x:c>
      <x:c r="T625" s="15" t="str">
        <x:v>explicit | inferred</x:v>
      </x:c>
      <x:c r="U625" s="10" t="str">
        <x:v>high</x:v>
      </x:c>
      <x:c r="V625" s="15" t="str">
        <x:v>tommy_hilfiger_womens_flip_flops</x:v>
      </x:c>
      <x:c r="W625" s="15" t="str">
        <x:v>semantic_negative_candidate</x:v>
      </x:c>
      <x:c r="X625" s="15" t="str">
        <x:v>{"product_type":[{"value":"flip_flop","evidence_type":"explicit","source_span":"flip flops","fact_ids":[],"rationale":"搜索词直接指明产品类型。"},{"value":"flip_flop","evidence_type":"page_validated","source_span":"","fact_ids":["style_flip_flop"],"rationale":"该槽位与商品基准中的明示页面事实一致。"}],"audience_intent":[{"value":"women","evidence_type":"explicit","source_span":"women","fact_ids":[],"rationale":"搜索词明确指定女性用户。"},{"value":"women","evidence_type":"page_validated","source_span":"","fact_ids":["title_womens_flip_flop"],"rationale":"该槽位与商品基准中的明示页面事实一致。"}],"brand":[{"value":"tommy_hilfiger","evidence_type":"explicit","source_span":"tommy hilfiger","fact_ids":[],"rationale":"搜索词指定竞品品牌，与当前产品品牌不匹配。"}],"primary_domain":[{"value":"clothing_shoes_jewelry","evidence_type":"inferred","source_span":"","fact_ids":[],"rationale":"该值由搜索词整体语义推断，未作为页面明示属性。"}]}</x:v>
      </x:c>
      <x:c r="Y625" s="15" t="str"/>
      <x:c r="Z625" s="10" t="str">
        <x:v>mismatch</x:v>
      </x:c>
      <x:c r="AA625" s="15" t="str">
        <x:v>title_womens_flip_flop</x:v>
      </x:c>
      <x:c r="AB625" s="10" t="str">
        <x:v>accepted</x:v>
      </x:c>
      <x:c r="AC625" s="10" t="str">
        <x:v>1.0.0</x:v>
      </x:c>
      <x:c r="AD625" s="10" t="str">
        <x:v>1.1.0</x:v>
      </x:c>
      <x:c r="AE625" s="10" t="str">
        <x:v>deepseek/deepseek-v4-pro</x:v>
      </x:c>
      <x:c r="AF625" s="10" t="str">
        <x:v>aj2-y90-20260714T234810-0bea2f52</x:v>
      </x:c>
      <x:c r="AG625" s="10" t="str">
        <x:v>full-0032</x:v>
      </x:c>
      <x:c r="AH625" s="10" t="str">
        <x:v>full</x:v>
      </x:c>
      <x:c r="AI625" s="10" t="n">
        <x:v>32</x:v>
      </x:c>
    </x:row>
    <x:row r="626" ht="34" customHeight="1">
      <x:c r="A626" s="16" t="str">
        <x:v>flip flops for women clearance sale</x:v>
      </x:c>
      <x:c r="B626" s="16" t="str">
        <x:v>flip flops for women clearance sale</x:v>
      </x:c>
      <x:c r="C626" s="13" t="str">
        <x:v>40131fba31d6c83f</x:v>
      </x:c>
      <x:c r="D626" s="13" t="str">
        <x:v>keyword</x:v>
      </x:c>
      <x:c r="E626" s="13" t="str">
        <x:v>en</x:v>
      </x:c>
      <x:c r="F626" s="13" t="str">
        <x:v>clothing_shoes_jewelry</x:v>
      </x:c>
      <x:c r="G626" s="16" t="str"/>
      <x:c r="H626" s="16" t="str">
        <x:v>flip_flop</x:v>
      </x:c>
      <x:c r="I626" s="16" t="str">
        <x:v>women</x:v>
      </x:c>
      <x:c r="J626" s="16" t="str"/>
      <x:c r="K626" s="16" t="str"/>
      <x:c r="L626" s="16" t="str"/>
      <x:c r="M626" s="16" t="str"/>
      <x:c r="N626" s="16" t="str"/>
      <x:c r="O626" s="16" t="str">
        <x:v>clearance_sale</x:v>
      </x:c>
      <x:c r="P626" s="16" t="str"/>
      <x:c r="Q626" s="16" t="str"/>
      <x:c r="R626" s="16" t="str">
        <x:v>用户搜索清仓折扣的女款人字拖，以低价购买为目的。</x:v>
      </x:c>
      <x:c r="S626" s="13" t="str">
        <x:v>high_intent</x:v>
      </x:c>
      <x:c r="T626" s="16" t="str">
        <x:v>explicit | inferred</x:v>
      </x:c>
      <x:c r="U626" s="13" t="str">
        <x:v>high</x:v>
      </x:c>
      <x:c r="V626" s="16" t="str">
        <x:v>womens_flip_flops_clearance</x:v>
      </x:c>
      <x:c r="W626" s="16" t="str">
        <x:v>performance_observation</x:v>
      </x:c>
      <x:c r="X626" s="16" t="str">
        <x:v>{"product_type":[{"value":"flip_flop","evidence_type":"explicit","source_span":"flip flops","fact_ids":[],"rationale":"搜索词直接指明产品类型。"},{"value":"flip_flop","evidence_type":"page_validated","source_span":"","fact_ids":["title_womens_flip_flop"],"rationale":"产品页面确认为女款人字拖。"}],"audience_intent":[{"value":"women","evidence_type":"explicit","source_span":"women","fact_ids":[],"rationale":"搜索词明确指定女性用户。"},{"value":"women","evidence_type":"page_validated","source_span":"","fact_ids":["title_womens_flip_flop"],"rationale":"该槽位与商品基准中的明示页面事实一致。"}],"time_intent":[{"value":"clearance_sale","evidence_type":"explicit","source_span":"clearance sale","fact_ids":[],"rationale":"搜索词明确要求清仓促销。"}],"primary_domain":[{"value":"clothing_shoes_jewelry","evidence_type":"inferred","source_span":"","fact_ids":[],"rationale":"该值由搜索词整体语义推断，未作为页面明示属性。"}]}</x:v>
      </x:c>
      <x:c r="Y626" s="16" t="str"/>
      <x:c r="Z626" s="13" t="str">
        <x:v>partial_match</x:v>
      </x:c>
      <x:c r="AA626" s="16" t="str">
        <x:v>title_womens_flip_flop</x:v>
      </x:c>
      <x:c r="AB626" s="13" t="str">
        <x:v>accepted</x:v>
      </x:c>
      <x:c r="AC626" s="13" t="str">
        <x:v>1.0.0</x:v>
      </x:c>
      <x:c r="AD626" s="13" t="str">
        <x:v>1.1.0</x:v>
      </x:c>
      <x:c r="AE626" s="13" t="str">
        <x:v>deepseek/deepseek-v4-pro</x:v>
      </x:c>
      <x:c r="AF626" s="13" t="str">
        <x:v>aj2-y90-20260714T234810-0bea2f52</x:v>
      </x:c>
      <x:c r="AG626" s="13" t="str">
        <x:v>full-0032</x:v>
      </x:c>
      <x:c r="AH626" s="13" t="str">
        <x:v>full</x:v>
      </x:c>
      <x:c r="AI626" s="13" t="n">
        <x:v>32</x:v>
      </x:c>
    </x:row>
    <x:row r="627" ht="34" customHeight="1">
      <x:c r="A627" s="15" t="str">
        <x:v>ultra soft womens flip flops</x:v>
      </x:c>
      <x:c r="B627" s="15" t="str">
        <x:v>ultra soft womens flip flops</x:v>
      </x:c>
      <x:c r="C627" s="10" t="str">
        <x:v>5107068eb5a1478e</x:v>
      </x:c>
      <x:c r="D627" s="10" t="str">
        <x:v>keyword</x:v>
      </x:c>
      <x:c r="E627" s="10" t="str">
        <x:v>en</x:v>
      </x:c>
      <x:c r="F627" s="10" t="str">
        <x:v>clothing_shoes_jewelry</x:v>
      </x:c>
      <x:c r="G627" s="15" t="str"/>
      <x:c r="H627" s="15" t="str">
        <x:v>flip_flop</x:v>
      </x:c>
      <x:c r="I627" s="15" t="str">
        <x:v>women</x:v>
      </x:c>
      <x:c r="J627" s="15" t="str"/>
      <x:c r="K627" s="15" t="str">
        <x:v>soft</x:v>
      </x:c>
      <x:c r="L627" s="15" t="str"/>
      <x:c r="M627" s="15" t="str"/>
      <x:c r="N627" s="15" t="str"/>
      <x:c r="O627" s="15" t="str"/>
      <x:c r="P627" s="15" t="str"/>
      <x:c r="Q627" s="15" t="str"/>
      <x:c r="R627" s="15" t="str">
        <x:v>用户搜索女款超软人字拖，追求极致柔软的穿着体验。</x:v>
      </x:c>
      <x:c r="S627" s="10" t="str">
        <x:v>consideration</x:v>
      </x:c>
      <x:c r="T627" s="15" t="str">
        <x:v>explicit | page_validated | inferred</x:v>
      </x:c>
      <x:c r="U627" s="10" t="str">
        <x:v>medium</x:v>
      </x:c>
      <x:c r="V627" s="15" t="str">
        <x:v>soft_womens_flip_flops</x:v>
      </x:c>
      <x:c r="W627" s="15" t="str">
        <x:v>listing_gap_review</x:v>
      </x:c>
      <x:c r="X627" s="15" t="str">
        <x:v>{"product_type":[{"value":"flip_flop","evidence_type":"explicit","source_span":"flip flops","fact_ids":[],"rationale":"搜索词直接指明产品类型。"},{"value":"flip_flop","evidence_type":"page_validated","source_span":"","fact_ids":["title_womens_flip_flop"],"rationale":"产品页面确认为女款人字拖。"}],"audience_intent":[{"value":"women","evidence_type":"explicit","source_span":"womens","fact_ids":[],"rationale":"搜索词明确指定女性用户。"},{"value":"women","evidence_type":"page_validated","source_span":"","fact_ids":["title_womens_flip_flop"],"rationale":"产品标题标注为女款。"}],"capability_intent":[{"value":"soft","evidence_type":"explicit","source_span":"ultra soft","fact_ids":[],"rationale":"搜索词要求超软特性。"},{"value":"soft","evidence_type":"page_validated","source_span":"","fact_ids":["soft_toe_post","padded_cushioning"],"rationale":"产品有软趾柱和缓冲垫但未声称超软。"}],"primary_domain":[{"value":"clothing_shoes_jewelry","evidence_type":"inferred","source_span":"","fact_ids":[],"rationale":"该值由搜索词整体语义推断，未作为页面明示属性。"}]}</x:v>
      </x:c>
      <x:c r="Y627" s="15" t="str"/>
      <x:c r="Z627" s="10" t="str">
        <x:v>partial_match</x:v>
      </x:c>
      <x:c r="AA627" s="15" t="str">
        <x:v>title_womens_flip_flop | soft_toe_post | padded_cushioning</x:v>
      </x:c>
      <x:c r="AB627" s="10" t="str">
        <x:v>accepted</x:v>
      </x:c>
      <x:c r="AC627" s="10" t="str">
        <x:v>1.0.0</x:v>
      </x:c>
      <x:c r="AD627" s="10" t="str">
        <x:v>1.1.0</x:v>
      </x:c>
      <x:c r="AE627" s="10" t="str">
        <x:v>deepseek/deepseek-v4-pro</x:v>
      </x:c>
      <x:c r="AF627" s="10" t="str">
        <x:v>aj2-y90-20260714T234810-0bea2f52</x:v>
      </x:c>
      <x:c r="AG627" s="10" t="str">
        <x:v>full-0032</x:v>
      </x:c>
      <x:c r="AH627" s="10" t="str">
        <x:v>full</x:v>
      </x:c>
      <x:c r="AI627" s="10" t="n">
        <x:v>32</x:v>
      </x:c>
    </x:row>
    <x:row r="628" ht="34" customHeight="1">
      <x:c r="A628" s="16" t="str">
        <x:v>archie sandals</x:v>
      </x:c>
      <x:c r="B628" s="16" t="str">
        <x:v>archie sandals</x:v>
      </x:c>
      <x:c r="C628" s="13" t="str">
        <x:v>53c07247566340da</x:v>
      </x:c>
      <x:c r="D628" s="13" t="str">
        <x:v>keyword</x:v>
      </x:c>
      <x:c r="E628" s="13" t="str">
        <x:v>en</x:v>
      </x:c>
      <x:c r="F628" s="13" t="str">
        <x:v>clothing_shoes_jewelry</x:v>
      </x:c>
      <x:c r="G628" s="16" t="str"/>
      <x:c r="H628" s="16" t="str">
        <x:v>sandals</x:v>
      </x:c>
      <x:c r="I628" s="16" t="str"/>
      <x:c r="J628" s="16" t="str"/>
      <x:c r="K628" s="16" t="str"/>
      <x:c r="L628" s="16" t="str"/>
      <x:c r="M628" s="16" t="str"/>
      <x:c r="N628" s="16" t="str"/>
      <x:c r="O628" s="16" t="str"/>
      <x:c r="P628" s="16" t="str"/>
      <x:c r="Q628" s="16" t="str"/>
      <x:c r="R628" s="16" t="str">
        <x:v>用户搜索archie凉鞋，archie可能为品牌名或足弓相关描述，意图需进一步判断。</x:v>
      </x:c>
      <x:c r="S628" s="13" t="str">
        <x:v>unknown</x:v>
      </x:c>
      <x:c r="T628" s="16" t="str">
        <x:v>explicit</x:v>
      </x:c>
      <x:c r="U628" s="13" t="str">
        <x:v>low</x:v>
      </x:c>
      <x:c r="V628" s="16" t="str">
        <x:v>unclassified</x:v>
      </x:c>
      <x:c r="W628" s="16" t="str">
        <x:v>ambiguity_review</x:v>
      </x:c>
      <x:c r="X628" s="16" t="str">
        <x:v>{"product_type":[{"value":"sandals","evidence_type":"explicit","source_span":"sandals","fact_ids":[],"rationale":"搜索词指明凉鞋品类。"},{"value":"sandals","evidence_type":"page_validated","source_span":"","fact_ids":["title_womens_flip_flop"],"rationale":"该槽位与商品基准中的明示页面事实一致。"}],"primary_domain":[{"value":"clothing_shoes_jewelry","evidence_type":"inferred","source_span":"","fact_ids":[],"rationale":"该值由搜索词整体语义推断，未作为页面明示属性。"}]}</x:v>
      </x:c>
      <x:c r="Y628" s="16" t="str">
        <x:v>ambiguous_brand_or_attribute_archie</x:v>
      </x:c>
      <x:c r="Z628" s="13" t="str">
        <x:v>unknown</x:v>
      </x:c>
      <x:c r="AA628" s="16" t="str"/>
      <x:c r="AB628" s="13" t="str">
        <x:v>needs_review</x:v>
      </x:c>
      <x:c r="AC628" s="13" t="str">
        <x:v>1.0.0</x:v>
      </x:c>
      <x:c r="AD628" s="13" t="str">
        <x:v>1.1.0</x:v>
      </x:c>
      <x:c r="AE628" s="13" t="str">
        <x:v>deepseek/deepseek-v4-pro</x:v>
      </x:c>
      <x:c r="AF628" s="13" t="str">
        <x:v>aj2-y90-20260714T234810-0bea2f52</x:v>
      </x:c>
      <x:c r="AG628" s="13" t="str">
        <x:v>full-0032</x:v>
      </x:c>
      <x:c r="AH628" s="13" t="str">
        <x:v>full</x:v>
      </x:c>
      <x:c r="AI628" s="13" t="n">
        <x:v>32</x:v>
      </x:c>
    </x:row>
    <x:row r="629" ht="34" customHeight="1">
      <x:c r="A629" s="15" t="str">
        <x:v>dream pairs flip flops for women</x:v>
      </x:c>
      <x:c r="B629" s="15" t="str">
        <x:v>dream pairs flip flops for women</x:v>
      </x:c>
      <x:c r="C629" s="10" t="str">
        <x:v>751226d089832301</x:v>
      </x:c>
      <x:c r="D629" s="10" t="str">
        <x:v>keyword</x:v>
      </x:c>
      <x:c r="E629" s="10" t="str">
        <x:v>en</x:v>
      </x:c>
      <x:c r="F629" s="10" t="str">
        <x:v>clothing_shoes_jewelry</x:v>
      </x:c>
      <x:c r="G629" s="15" t="str"/>
      <x:c r="H629" s="15" t="str">
        <x:v>flip_flop</x:v>
      </x:c>
      <x:c r="I629" s="15" t="str">
        <x:v>women</x:v>
      </x:c>
      <x:c r="J629" s="15" t="str"/>
      <x:c r="K629" s="15" t="str"/>
      <x:c r="L629" s="15" t="str"/>
      <x:c r="M629" s="15" t="str"/>
      <x:c r="N629" s="15" t="str"/>
      <x:c r="O629" s="15" t="str"/>
      <x:c r="P629" s="15" t="str"/>
      <x:c r="Q629" s="15" t="str"/>
      <x:c r="R629" s="15" t="str">
        <x:v>用户搜索Dream Pairs品牌的女款人字拖，属于竞品品牌搜索。</x:v>
      </x:c>
      <x:c r="S629" s="10" t="str">
        <x:v>brand_harvest</x:v>
      </x:c>
      <x:c r="T629" s="15" t="str">
        <x:v>explicit | inferred</x:v>
      </x:c>
      <x:c r="U629" s="10" t="str">
        <x:v>high</x:v>
      </x:c>
      <x:c r="V629" s="15" t="str">
        <x:v>dream_pairs_womens_flip_flops</x:v>
      </x:c>
      <x:c r="W629" s="15" t="str">
        <x:v>semantic_negative_candidate</x:v>
      </x:c>
      <x:c r="X629" s="15" t="str">
        <x:v>{"product_type":[{"value":"flip_flop","evidence_type":"explicit","source_span":"flip flops","fact_ids":[],"rationale":"搜索词直接指明产品类型。"},{"value":"flip_flop","evidence_type":"page_validated","source_span":"","fact_ids":["style_flip_flop"],"rationale":"该槽位与商品基准中的明示页面事实一致。"}],"audience_intent":[{"value":"women","evidence_type":"explicit","source_span":"women","fact_ids":[],"rationale":"搜索词明确指定女性用户。"},{"value":"women","evidence_type":"page_validated","source_span":"","fact_ids":["title_womens_flip_flop"],"rationale":"该槽位与商品基准中的明示页面事实一致。"}],"brand":[{"value":"dream_pairs","evidence_type":"explicit","source_span":"dream pairs","fact_ids":[],"rationale":"搜索词指定竞品品牌，与当前产品品牌不匹配。"}],"primary_domain":[{"value":"clothing_shoes_jewelry","evidence_type":"inferred","source_span":"","fact_ids":[],"rationale":"该值由搜索词整体语义推断，未作为页面明示属性。"}]}</x:v>
      </x:c>
      <x:c r="Y629" s="15" t="str"/>
      <x:c r="Z629" s="10" t="str">
        <x:v>mismatch</x:v>
      </x:c>
      <x:c r="AA629" s="15" t="str">
        <x:v>title_womens_flip_flop</x:v>
      </x:c>
      <x:c r="AB629" s="10" t="str">
        <x:v>accepted</x:v>
      </x:c>
      <x:c r="AC629" s="10" t="str">
        <x:v>1.0.0</x:v>
      </x:c>
      <x:c r="AD629" s="10" t="str">
        <x:v>1.1.0</x:v>
      </x:c>
      <x:c r="AE629" s="10" t="str">
        <x:v>deepseek/deepseek-v4-pro</x:v>
      </x:c>
      <x:c r="AF629" s="10" t="str">
        <x:v>aj2-y90-20260714T234810-0bea2f52</x:v>
      </x:c>
      <x:c r="AG629" s="10" t="str">
        <x:v>full-0032</x:v>
      </x:c>
      <x:c r="AH629" s="10" t="str">
        <x:v>full</x:v>
      </x:c>
      <x:c r="AI629" s="10" t="n">
        <x:v>32</x:v>
      </x:c>
    </x:row>
    <x:row r="630" ht="34" customHeight="1">
      <x:c r="A630" s="16" t="str">
        <x:v>orthotic flip flops with arch support blue</x:v>
      </x:c>
      <x:c r="B630" s="16" t="str">
        <x:v>orthotic flip flops with arch support blue</x:v>
      </x:c>
      <x:c r="C630" s="13" t="str">
        <x:v>753942a5f12463bd</x:v>
      </x:c>
      <x:c r="D630" s="13" t="str">
        <x:v>keyword</x:v>
      </x:c>
      <x:c r="E630" s="13" t="str">
        <x:v>en</x:v>
      </x:c>
      <x:c r="F630" s="13" t="str">
        <x:v>clothing_shoes_jewelry</x:v>
      </x:c>
      <x:c r="G630" s="16" t="str"/>
      <x:c r="H630" s="16" t="str">
        <x:v>flip_flop</x:v>
      </x:c>
      <x:c r="I630" s="16" t="str"/>
      <x:c r="J630" s="16" t="str">
        <x:v>arch_support | orthotic_support</x:v>
      </x:c>
      <x:c r="K630" s="16" t="str"/>
      <x:c r="L630" s="16" t="str"/>
      <x:c r="M630" s="16" t="str"/>
      <x:c r="N630" s="16" t="str"/>
      <x:c r="O630" s="16" t="str"/>
      <x:c r="P630" s="16" t="str"/>
      <x:c r="Q630" s="16" t="str"/>
      <x:c r="R630" s="16" t="str">
        <x:v>用户搜索蓝色带足弓支撑的矫形人字拖，用于足部矫正或治疗需求。</x:v>
      </x:c>
      <x:c r="S630" s="13" t="str">
        <x:v>high_intent</x:v>
      </x:c>
      <x:c r="T630" s="16" t="str">
        <x:v>explicit | page_validated | inferred</x:v>
      </x:c>
      <x:c r="U630" s="13" t="str">
        <x:v>medium</x:v>
      </x:c>
      <x:c r="V630" s="16" t="str">
        <x:v>orthotic_arch_support_flip_flops</x:v>
      </x:c>
      <x:c r="W630" s="16" t="str">
        <x:v>listing_gap_review</x:v>
      </x:c>
      <x:c r="X630" s="16" t="str">
        <x:v>{"product_type":[{"value":"flip_flop","evidence_type":"explicit","source_span":"flip flops","fact_ids":[],"rationale":"搜索词直接指明产品类型。"},{"value":"flip_flop","evidence_type":"page_validated","source_span":"","fact_ids":["title_womens_flip_flop"],"rationale":"产品页面确认为人字拖。"}],"function_intent":[{"value":"arch_support","evidence_type":"explicit","source_span":"arch support","fact_ids":[],"rationale":"搜索词明确要求足弓支撑。"},{"value":"arch_support","evidence_type":"page_validated","source_span":"","fact_ids":["arch_support"],"rationale":"产品页面确认具备足弓支撑。"},{"value":"orthotic_support","evidence_type":"explicit","source_span":"orthotic","fact_ids":[],"rationale":"搜索词要求矫形级支撑，页面无此声明。"}],"color":[{"value":"blue","evidence_type":"explicit","source_span":"blue","fact_ids":[],"rationale":"搜索词指定蓝色，但页面可选颜色仅含浅蓝。"}],"primary_domain":[{"value":"clothing_shoes_jewelry","evidence_type":"inferred","source_span":"","fact_ids":[],"rationale":"该值由搜索词整体语义推断，未作为页面明示属性。"}]}</x:v>
      </x:c>
      <x:c r="Y630" s="16" t="str"/>
      <x:c r="Z630" s="13" t="str">
        <x:v>partial_match</x:v>
      </x:c>
      <x:c r="AA630" s="16" t="str">
        <x:v>arch_support</x:v>
      </x:c>
      <x:c r="AB630" s="13" t="str">
        <x:v>accepted</x:v>
      </x:c>
      <x:c r="AC630" s="13" t="str">
        <x:v>1.0.0</x:v>
      </x:c>
      <x:c r="AD630" s="13" t="str">
        <x:v>1.1.0</x:v>
      </x:c>
      <x:c r="AE630" s="13" t="str">
        <x:v>deepseek/deepseek-v4-pro</x:v>
      </x:c>
      <x:c r="AF630" s="13" t="str">
        <x:v>aj2-y90-20260714T234810-0bea2f52</x:v>
      </x:c>
      <x:c r="AG630" s="13" t="str">
        <x:v>full-0032</x:v>
      </x:c>
      <x:c r="AH630" s="13" t="str">
        <x:v>full</x:v>
      </x:c>
      <x:c r="AI630" s="13" t="n">
        <x:v>32</x:v>
      </x:c>
    </x:row>
    <x:row r="631" ht="34" customHeight="1">
      <x:c r="A631" s="15" t="str">
        <x:v>womens flip flop beach</x:v>
      </x:c>
      <x:c r="B631" s="15" t="str">
        <x:v>womens flip flop beach</x:v>
      </x:c>
      <x:c r="C631" s="10" t="str">
        <x:v>7ac41426aefc47aa</x:v>
      </x:c>
      <x:c r="D631" s="10" t="str">
        <x:v>keyword</x:v>
      </x:c>
      <x:c r="E631" s="10" t="str">
        <x:v>en</x:v>
      </x:c>
      <x:c r="F631" s="10" t="str">
        <x:v>clothing_shoes_jewelry</x:v>
      </x:c>
      <x:c r="G631" s="15" t="str">
        <x:v>sports_outdoors</x:v>
      </x:c>
      <x:c r="H631" s="15" t="str">
        <x:v>flip_flop</x:v>
      </x:c>
      <x:c r="I631" s="15" t="str">
        <x:v>women</x:v>
      </x:c>
      <x:c r="J631" s="15" t="str"/>
      <x:c r="K631" s="15" t="str"/>
      <x:c r="L631" s="15" t="str">
        <x:v>beach_outing</x:v>
      </x:c>
      <x:c r="M631" s="15" t="str">
        <x:v>beach</x:v>
      </x:c>
      <x:c r="N631" s="15" t="str"/>
      <x:c r="O631" s="15" t="str"/>
      <x:c r="P631" s="15" t="str"/>
      <x:c r="Q631" s="15" t="str"/>
      <x:c r="R631" s="15" t="str">
        <x:v>用户搜索女款人字拖用于海滩场景，需要适合沙滩环境的凉鞋。</x:v>
      </x:c>
      <x:c r="S631" s="10" t="str">
        <x:v>consideration</x:v>
      </x:c>
      <x:c r="T631" s="15" t="str">
        <x:v>explicit | page_validated | inferred</x:v>
      </x:c>
      <x:c r="U631" s="10" t="str">
        <x:v>medium</x:v>
      </x:c>
      <x:c r="V631" s="15" t="str">
        <x:v>womens_beach_flip_flops</x:v>
      </x:c>
      <x:c r="W631" s="15" t="str">
        <x:v>listing_gap_review</x:v>
      </x:c>
      <x:c r="X631" s="15" t="str">
        <x:v>{"product_type":[{"value":"flip_flop","evidence_type":"explicit","source_span":"flip flop","fact_ids":[],"rationale":"搜索词直接指明产品类型。"},{"value":"flip_flop","evidence_type":"page_validated","source_span":"","fact_ids":["title_womens_flip_flop"],"rationale":"产品页面确认为女款人字拖。"}],"audience_intent":[{"value":"women","evidence_type":"explicit","source_span":"womens","fact_ids":[],"rationale":"搜索词明确指定女性用户。"},{"value":"women","evidence_type":"page_validated","source_span":"","fact_ids":["title_womens_flip_flop"],"rationale":"产品标题标注为女款。"}],"location_intent":[{"value":"beach","evidence_type":"explicit","source_span":"beach","fact_ids":[],"rationale":"搜索词指明海滩使用场景。"}],"event_intent":[{"value":"beach_outing","evidence_type":"inferred","source_span":"","fact_ids":[],"rationale":"海滩场景推断为沙滩出行活动。"}],"secondary_domain":[{"value":"sports_outdoors","evidence_type":"inferred","source_span":"","fact_ids":[],"rationale":"该值由搜索词整体语义推断，未作为页面明示属性。"}],"primary_domain":[{"value":"clothing_shoes_jewelry","evidence_type":"inferred","source_span":"","fact_ids":[],"rationale":"该值由搜索词整体语义推断，未作为页面明示属性。"}]}</x:v>
      </x:c>
      <x:c r="Y631" s="15" t="str"/>
      <x:c r="Z631" s="10" t="str">
        <x:v>partial_match</x:v>
      </x:c>
      <x:c r="AA631" s="15" t="str">
        <x:v>title_womens_flip_flop | style_outdoor</x:v>
      </x:c>
      <x:c r="AB631" s="10" t="str">
        <x:v>accepted</x:v>
      </x:c>
      <x:c r="AC631" s="10" t="str">
        <x:v>1.0.0</x:v>
      </x:c>
      <x:c r="AD631" s="10" t="str">
        <x:v>1.1.0</x:v>
      </x:c>
      <x:c r="AE631" s="10" t="str">
        <x:v>deepseek/deepseek-v4-pro</x:v>
      </x:c>
      <x:c r="AF631" s="10" t="str">
        <x:v>aj2-y90-20260714T234810-0bea2f52</x:v>
      </x:c>
      <x:c r="AG631" s="10" t="str">
        <x:v>full-0032</x:v>
      </x:c>
      <x:c r="AH631" s="10" t="str">
        <x:v>full</x:v>
      </x:c>
      <x:c r="AI631" s="10" t="n">
        <x:v>32</x:v>
      </x:c>
    </x:row>
    <x:row r="632" ht="34" customHeight="1">
      <x:c r="A632" s="16" t="str">
        <x:v>womens flip flips</x:v>
      </x:c>
      <x:c r="B632" s="16" t="str">
        <x:v>womens flip flips</x:v>
      </x:c>
      <x:c r="C632" s="13" t="str">
        <x:v>84d8457809e8f746</x:v>
      </x:c>
      <x:c r="D632" s="13" t="str">
        <x:v>keyword</x:v>
      </x:c>
      <x:c r="E632" s="13" t="str">
        <x:v>en</x:v>
      </x:c>
      <x:c r="F632" s="13" t="str">
        <x:v>clothing_shoes_jewelry</x:v>
      </x:c>
      <x:c r="G632" s="16" t="str"/>
      <x:c r="H632" s="16" t="str">
        <x:v>flip_flop</x:v>
      </x:c>
      <x:c r="I632" s="16" t="str">
        <x:v>women</x:v>
      </x:c>
      <x:c r="J632" s="16" t="str"/>
      <x:c r="K632" s="16" t="str"/>
      <x:c r="L632" s="16" t="str"/>
      <x:c r="M632" s="16" t="str"/>
      <x:c r="N632" s="16" t="str"/>
      <x:c r="O632" s="16" t="str"/>
      <x:c r="P632" s="16" t="str"/>
      <x:c r="Q632" s="16" t="str"/>
      <x:c r="R632" s="16" t="str">
        <x:v>用户搜索女款人字拖，为宽泛的品类浏览需求。</x:v>
      </x:c>
      <x:c r="S632" s="13" t="str">
        <x:v>exploration</x:v>
      </x:c>
      <x:c r="T632" s="16" t="str">
        <x:v>explicit | page_validated</x:v>
      </x:c>
      <x:c r="U632" s="13" t="str">
        <x:v>high</x:v>
      </x:c>
      <x:c r="V632" s="16" t="str">
        <x:v>womens_flip_flops</x:v>
      </x:c>
      <x:c r="W632" s="16" t="str">
        <x:v>cluster_route</x:v>
      </x:c>
      <x:c r="X632" s="16" t="str">
        <x:v>{"product_type":[{"value":"flip_flop","evidence_type":"explicit","source_span":"flip flips","fact_ids":[],"rationale":"搜索词指明人字拖品类（flips为flops拼写变体）。"},{"value":"flip_flop","evidence_type":"page_validated","source_span":"","fact_ids":["title_womens_flip_flop"],"rationale":"产品页面确认为女款人字拖。"},{"value":"flip_flop","evidence_type":"inferred","source_span":"","fact_ids":[],"rationale":"该能力由搜索词表达的任务或问题推断；页面事实仅用于验证商品承接。"}],"audience_intent":[{"value":"women","evidence_type":"explicit","source_span":"womens","fact_ids":[],"rationale":"搜索词明确指定女性用户。"},{"value":"women","evidence_type":"page_validated","source_span":"","fact_ids":["title_womens_flip_flop"],"rationale":"产品标题标注为女款。"}],"primary_domain":[{"value":"clothing_shoes_jewelry","evidence_type":"inferred","source_span":"","fact_ids":[],"rationale":"该值由搜索词整体语义推断，未作为页面明示属性。"}]}</x:v>
      </x:c>
      <x:c r="Y632" s="16" t="str"/>
      <x:c r="Z632" s="13" t="str">
        <x:v>match</x:v>
      </x:c>
      <x:c r="AA632" s="16" t="str">
        <x:v>title_womens_flip_flop</x:v>
      </x:c>
      <x:c r="AB632" s="13" t="str">
        <x:v>accepted</x:v>
      </x:c>
      <x:c r="AC632" s="13" t="str">
        <x:v>1.0.0</x:v>
      </x:c>
      <x:c r="AD632" s="13" t="str">
        <x:v>1.1.0</x:v>
      </x:c>
      <x:c r="AE632" s="13" t="str">
        <x:v>deepseek/deepseek-v4-pro</x:v>
      </x:c>
      <x:c r="AF632" s="13" t="str">
        <x:v>aj2-y90-20260714T234810-0bea2f52</x:v>
      </x:c>
      <x:c r="AG632" s="13" t="str">
        <x:v>full-0032</x:v>
      </x:c>
      <x:c r="AH632" s="13" t="str">
        <x:v>full</x:v>
      </x:c>
      <x:c r="AI632" s="13" t="n">
        <x:v>32</x:v>
      </x:c>
    </x:row>
    <x:row r="633" ht="34" customHeight="1">
      <x:c r="A633" s="15" t="str">
        <x:v>unique flipflops</x:v>
      </x:c>
      <x:c r="B633" s="15" t="str">
        <x:v>unique flipflops</x:v>
      </x:c>
      <x:c r="C633" s="10" t="str">
        <x:v>8de52f752a509079</x:v>
      </x:c>
      <x:c r="D633" s="10" t="str">
        <x:v>keyword</x:v>
      </x:c>
      <x:c r="E633" s="10" t="str">
        <x:v>en</x:v>
      </x:c>
      <x:c r="F633" s="10" t="str">
        <x:v>clothing_shoes_jewelry</x:v>
      </x:c>
      <x:c r="G633" s="15" t="str"/>
      <x:c r="H633" s="15" t="str">
        <x:v>flip_flop</x:v>
      </x:c>
      <x:c r="I633" s="15" t="str"/>
      <x:c r="J633" s="15" t="str"/>
      <x:c r="K633" s="15" t="str">
        <x:v>unique</x:v>
      </x:c>
      <x:c r="L633" s="15" t="str"/>
      <x:c r="M633" s="15" t="str"/>
      <x:c r="N633" s="15" t="str"/>
      <x:c r="O633" s="15" t="str"/>
      <x:c r="P633" s="15" t="str"/>
      <x:c r="Q633" s="15" t="str"/>
      <x:c r="R633" s="15" t="str">
        <x:v>用户搜索独特设计的人字拖，期望外观或功能与常规款式不同。</x:v>
      </x:c>
      <x:c r="S633" s="10" t="str">
        <x:v>exploration</x:v>
      </x:c>
      <x:c r="T633" s="15" t="str">
        <x:v>explicit | inferred</x:v>
      </x:c>
      <x:c r="U633" s="10" t="str">
        <x:v>low</x:v>
      </x:c>
      <x:c r="V633" s="15" t="str">
        <x:v>unique_flip_flops</x:v>
      </x:c>
      <x:c r="W633" s="15" t="str">
        <x:v>ambiguity_review</x:v>
      </x:c>
      <x:c r="X633" s="15" t="str">
        <x:v>{"product_type":[{"value":"flip_flop","evidence_type":"explicit","source_span":"flipflops","fact_ids":[],"rationale":"搜索词指明人字拖品类。"},{"value":"flip_flop","evidence_type":"page_validated","source_span":"","fact_ids":["style_flip_flop"],"rationale":"该槽位与商品基准中的明示页面事实一致。"},{"value":"flip_flop","evidence_type":"inferred","source_span":"","fact_ids":[],"rationale":"该能力由搜索词表达的任务或问题推断；页面事实仅用于验证商品承接。"}],"capability_intent":[{"value":"unique","evidence_type":"explicit","source_span":"unique","fact_ids":[],"rationale":"搜索词要求独特属性，具体含义不明确。"}],"primary_domain":[{"value":"clothing_shoes_jewelry","evidence_type":"inferred","source_span":"","fact_ids":[],"rationale":"该值由搜索词整体语义推断，未作为页面明示属性。"}]}</x:v>
      </x:c>
      <x:c r="Y633" s="15" t="str">
        <x:v>subjective_qualifier_unique</x:v>
      </x:c>
      <x:c r="Z633" s="10" t="str">
        <x:v>unknown</x:v>
      </x:c>
      <x:c r="AA633" s="15" t="str"/>
      <x:c r="AB633" s="10" t="str">
        <x:v>needs_review</x:v>
      </x:c>
      <x:c r="AC633" s="10" t="str">
        <x:v>1.0.0</x:v>
      </x:c>
      <x:c r="AD633" s="10" t="str">
        <x:v>1.1.0</x:v>
      </x:c>
      <x:c r="AE633" s="10" t="str">
        <x:v>deepseek/deepseek-v4-pro</x:v>
      </x:c>
      <x:c r="AF633" s="10" t="str">
        <x:v>aj2-y90-20260714T234810-0bea2f52</x:v>
      </x:c>
      <x:c r="AG633" s="10" t="str">
        <x:v>full-0032</x:v>
      </x:c>
      <x:c r="AH633" s="10" t="str">
        <x:v>full</x:v>
      </x:c>
      <x:c r="AI633" s="10" t="n">
        <x:v>32</x:v>
      </x:c>
    </x:row>
    <x:row r="634" ht="34" customHeight="1">
      <x:c r="A634" s="16" t="str">
        <x:v>wage flip flops for women</x:v>
      </x:c>
      <x:c r="B634" s="16" t="str">
        <x:v>wage flip flops for women</x:v>
      </x:c>
      <x:c r="C634" s="13" t="str">
        <x:v>9b86bc6e66b901d8</x:v>
      </x:c>
      <x:c r="D634" s="13" t="str">
        <x:v>keyword</x:v>
      </x:c>
      <x:c r="E634" s="13" t="str">
        <x:v>en</x:v>
      </x:c>
      <x:c r="F634" s="13" t="str">
        <x:v>clothing_shoes_jewelry</x:v>
      </x:c>
      <x:c r="G634" s="16" t="str"/>
      <x:c r="H634" s="16" t="str">
        <x:v>flip_flop</x:v>
      </x:c>
      <x:c r="I634" s="16" t="str">
        <x:v>women</x:v>
      </x:c>
      <x:c r="J634" s="16" t="str"/>
      <x:c r="K634" s="16" t="str"/>
      <x:c r="L634" s="16" t="str"/>
      <x:c r="M634" s="16" t="str"/>
      <x:c r="N634" s="16" t="str"/>
      <x:c r="O634" s="16" t="str"/>
      <x:c r="P634" s="16" t="str"/>
      <x:c r="Q634" s="16" t="str"/>
      <x:c r="R634" s="16" t="str">
        <x:v>用户搜索女款人字拖，搜索词中wage含义不明确，可能为拼写错误。</x:v>
      </x:c>
      <x:c r="S634" s="13" t="str">
        <x:v>unknown</x:v>
      </x:c>
      <x:c r="T634" s="16" t="str">
        <x:v>explicit | inferred</x:v>
      </x:c>
      <x:c r="U634" s="13" t="str">
        <x:v>low</x:v>
      </x:c>
      <x:c r="V634" s="16" t="str">
        <x:v>unclassified</x:v>
      </x:c>
      <x:c r="W634" s="16" t="str">
        <x:v>ambiguity_review</x:v>
      </x:c>
      <x:c r="X634" s="16" t="str">
        <x:v>{"product_type":[{"value":"flip_flop","evidence_type":"explicit","source_span":"flip flops","fact_ids":[],"rationale":"搜索词直接指明产品类型。"},{"value":"flip_flop","evidence_type":"page_validated","source_span":"","fact_ids":["style_flip_flop"],"rationale":"该槽位与商品基准中的明示页面事实一致。"}],"audience_intent":[{"value":"women","evidence_type":"explicit","source_span":"women","fact_ids":[],"rationale":"搜索词明确指定女性用户。"},{"value":"women","evidence_type":"page_validated","source_span":"","fact_ids":["title_womens_flip_flop"],"rationale":"该槽位与商品基准中的明示页面事实一致。"}],"primary_domain":[{"value":"clothing_shoes_jewelry","evidence_type":"inferred","source_span":"","fact_ids":[],"rationale":"该值由搜索词整体语义推断，未作为页面明示属性。"}]}</x:v>
      </x:c>
      <x:c r="Y634" s="16" t="str">
        <x:v>possible_typo_wage</x:v>
      </x:c>
      <x:c r="Z634" s="13" t="str">
        <x:v>unknown</x:v>
      </x:c>
      <x:c r="AA634" s="16" t="str"/>
      <x:c r="AB634" s="13" t="str">
        <x:v>needs_review</x:v>
      </x:c>
      <x:c r="AC634" s="13" t="str">
        <x:v>1.0.0</x:v>
      </x:c>
      <x:c r="AD634" s="13" t="str">
        <x:v>1.1.0</x:v>
      </x:c>
      <x:c r="AE634" s="13" t="str">
        <x:v>deepseek/deepseek-v4-pro</x:v>
      </x:c>
      <x:c r="AF634" s="13" t="str">
        <x:v>aj2-y90-20260714T234810-0bea2f52</x:v>
      </x:c>
      <x:c r="AG634" s="13" t="str">
        <x:v>full-0032</x:v>
      </x:c>
      <x:c r="AH634" s="13" t="str">
        <x:v>full</x:v>
      </x:c>
      <x:c r="AI634" s="13" t="n">
        <x:v>32</x:v>
      </x:c>
    </x:row>
    <x:row r="635" ht="34" customHeight="1">
      <x:c r="A635" s="15" t="str">
        <x:v>flip flops for narrow feet womens</x:v>
      </x:c>
      <x:c r="B635" s="15" t="str">
        <x:v>flip flops for narrow feet womens</x:v>
      </x:c>
      <x:c r="C635" s="10" t="str">
        <x:v>a84e6656a7ffb1f1</x:v>
      </x:c>
      <x:c r="D635" s="10" t="str">
        <x:v>keyword</x:v>
      </x:c>
      <x:c r="E635" s="10" t="str">
        <x:v>en</x:v>
      </x:c>
      <x:c r="F635" s="10" t="str">
        <x:v>clothing_shoes_jewelry</x:v>
      </x:c>
      <x:c r="G635" s="15" t="str"/>
      <x:c r="H635" s="15" t="str">
        <x:v>flip_flop</x:v>
      </x:c>
      <x:c r="I635" s="15" t="str">
        <x:v>women</x:v>
      </x:c>
      <x:c r="J635" s="15" t="str"/>
      <x:c r="K635" s="15" t="str"/>
      <x:c r="L635" s="15" t="str"/>
      <x:c r="M635" s="15" t="str"/>
      <x:c r="N635" s="15" t="str">
        <x:v>narrow_feet</x:v>
      </x:c>
      <x:c r="O635" s="15" t="str"/>
      <x:c r="P635" s="15" t="str"/>
      <x:c r="Q635" s="15" t="str"/>
      <x:c r="R635" s="15" t="str">
        <x:v>用户搜索适合窄脚女性的专用人字拖，需要窄版鞋型以贴合脚部。</x:v>
      </x:c>
      <x:c r="S635" s="10" t="str">
        <x:v>high_intent</x:v>
      </x:c>
      <x:c r="T635" s="15" t="str">
        <x:v>explicit | inferred</x:v>
      </x:c>
      <x:c r="U635" s="10" t="str">
        <x:v>high</x:v>
      </x:c>
      <x:c r="V635" s="15" t="str">
        <x:v>narrow_feet_womens_flip_flops</x:v>
      </x:c>
      <x:c r="W635" s="15" t="str">
        <x:v>semantic_negative_candidate</x:v>
      </x:c>
      <x:c r="X635" s="15" t="str">
        <x:v>{"product_type":[{"value":"flip_flop","evidence_type":"explicit","source_span":"flip flops","fact_ids":[],"rationale":"搜索词直接指明产品类型。"},{"value":"flip_flop","evidence_type":"page_validated","source_span":"","fact_ids":["style_flip_flop"],"rationale":"该槽位与商品基准中的明示页面事实一致。"}],"audience_intent":[{"value":"women","evidence_type":"explicit","source_span":"womens","fact_ids":[],"rationale":"搜索词明确指定女性用户。"},{"value":"women","evidence_type":"page_validated","source_span":"","fact_ids":["title_womens_flip_flop"],"rationale":"该槽位与商品基准中的明示页面事实一致。"}],"body_need_intent":[{"value":"narrow_feet","evidence_type":"explicit","source_span":"narrow feet","fact_ids":[],"rationale":"搜索词明确要求适配窄脚。"}],"primary_domain":[{"value":"clothing_shoes_jewelry","evidence_type":"inferred","source_span":"","fact_ids":[],"rationale":"该值由搜索词整体语义推断，未作为页面明示属性。"}]}</x:v>
      </x:c>
      <x:c r="Y635" s="15" t="str"/>
      <x:c r="Z635" s="10" t="str">
        <x:v>mismatch</x:v>
      </x:c>
      <x:c r="AA635" s="15" t="str">
        <x:v>sizes_6_11</x:v>
      </x:c>
      <x:c r="AB635" s="10" t="str">
        <x:v>accepted</x:v>
      </x:c>
      <x:c r="AC635" s="10" t="str">
        <x:v>1.0.0</x:v>
      </x:c>
      <x:c r="AD635" s="10" t="str">
        <x:v>1.1.0</x:v>
      </x:c>
      <x:c r="AE635" s="10" t="str">
        <x:v>deepseek/deepseek-v4-pro</x:v>
      </x:c>
      <x:c r="AF635" s="10" t="str">
        <x:v>aj2-y90-20260714T234810-0bea2f52</x:v>
      </x:c>
      <x:c r="AG635" s="10" t="str">
        <x:v>full-0032</x:v>
      </x:c>
      <x:c r="AH635" s="10" t="str">
        <x:v>full</x:v>
      </x:c>
      <x:c r="AI635" s="10" t="n">
        <x:v>32</x:v>
      </x:c>
    </x:row>
    <x:row r="636" ht="34" customHeight="1">
      <x:c r="A636" s="16" t="str">
        <x:v>arch flip flops brown</x:v>
      </x:c>
      <x:c r="B636" s="16" t="str">
        <x:v>arch flip flops brown</x:v>
      </x:c>
      <x:c r="C636" s="13" t="str">
        <x:v>abc8695e06b69000</x:v>
      </x:c>
      <x:c r="D636" s="13" t="str">
        <x:v>keyword</x:v>
      </x:c>
      <x:c r="E636" s="13" t="str">
        <x:v>en</x:v>
      </x:c>
      <x:c r="F636" s="13" t="str">
        <x:v>clothing_shoes_jewelry</x:v>
      </x:c>
      <x:c r="G636" s="16" t="str"/>
      <x:c r="H636" s="16" t="str">
        <x:v>flip_flop</x:v>
      </x:c>
      <x:c r="I636" s="16" t="str"/>
      <x:c r="J636" s="16" t="str">
        <x:v>arch_support</x:v>
      </x:c>
      <x:c r="K636" s="16" t="str"/>
      <x:c r="L636" s="16" t="str"/>
      <x:c r="M636" s="16" t="str"/>
      <x:c r="N636" s="16" t="str"/>
      <x:c r="O636" s="16" t="str"/>
      <x:c r="P636" s="16" t="str"/>
      <x:c r="Q636" s="16" t="str"/>
      <x:c r="R636" s="16" t="str">
        <x:v>用户搜索棕色带足弓支撑的人字拖，用于日常穿着时的足弓需求。</x:v>
      </x:c>
      <x:c r="S636" s="13" t="str">
        <x:v>high_intent</x:v>
      </x:c>
      <x:c r="T636" s="16" t="str">
        <x:v>explicit | page_validated</x:v>
      </x:c>
      <x:c r="U636" s="13" t="str">
        <x:v>high</x:v>
      </x:c>
      <x:c r="V636" s="16" t="str">
        <x:v>arch_support_flip_flops_brown</x:v>
      </x:c>
      <x:c r="W636" s="16" t="str">
        <x:v>cluster_route</x:v>
      </x:c>
      <x:c r="X636" s="16" t="str">
        <x:v>{"product_type":[{"value":"flip_flop","evidence_type":"explicit","source_span":"flip flops","fact_ids":[],"rationale":"搜索词直接指明产品类型。"},{"value":"flip_flop","evidence_type":"page_validated","source_span":"","fact_ids":["title_womens_flip_flop"],"rationale":"产品页面确认为人字拖。"}],"function_intent":[{"value":"arch_support","evidence_type":"explicit","source_span":"arch","fact_ids":[],"rationale":"搜索词arch指代足弓支撑需求。"},{"value":"arch_support","evidence_type":"page_validated","source_span":"","fact_ids":["arch_support"],"rationale":"产品页面确认具备足弓支撑。"},{"value":"arch_support","evidence_type":"inferred","source_span":"","fact_ids":[],"rationale":"该能力由搜索词表达的任务或问题推断；页面事实仅用于验证商品承接。"}],"color":[{"value":"brown","evidence_type":"explicit","source_span":"brown","fact_ids":[],"rationale":"该颜色在商品页面可见颜色选择中得到明确支持。"},{"value":"brown","evidence_type":"page_validated","source_span":"","fact_ids":["colors_visible"],"rationale":"该颜色在商品页面可见颜色选择中得到明确支持。"}],"primary_domain":[{"value":"clothing_shoes_jewelry","evidence_type":"inferred","source_span":"","fact_ids":[],"rationale":"该值由搜索词整体语义推断，未作为页面明示属性。"}]}</x:v>
      </x:c>
      <x:c r="Y636" s="16" t="str"/>
      <x:c r="Z636" s="13" t="str">
        <x:v>match</x:v>
      </x:c>
      <x:c r="AA636" s="16" t="str">
        <x:v>arch_support | colors_visible | title_womens_flip_flop</x:v>
      </x:c>
      <x:c r="AB636" s="13" t="str">
        <x:v>accepted</x:v>
      </x:c>
      <x:c r="AC636" s="13" t="str">
        <x:v>1.0.0</x:v>
      </x:c>
      <x:c r="AD636" s="13" t="str">
        <x:v>1.1.0</x:v>
      </x:c>
      <x:c r="AE636" s="13" t="str">
        <x:v>deepseek/deepseek-v4-pro</x:v>
      </x:c>
      <x:c r="AF636" s="13" t="str">
        <x:v>aj2-y90-20260714T234810-0bea2f52</x:v>
      </x:c>
      <x:c r="AG636" s="13" t="str">
        <x:v>full-0032</x:v>
      </x:c>
      <x:c r="AH636" s="13" t="str">
        <x:v>full</x:v>
      </x:c>
      <x:c r="AI636" s="13" t="n">
        <x:v>32</x:v>
      </x:c>
    </x:row>
    <x:row r="637" ht="34" customHeight="1">
      <x:c r="A637" s="15" t="str">
        <x:v>flip flop barefoot</x:v>
      </x:c>
      <x:c r="B637" s="15" t="str">
        <x:v>flip flop barefoot</x:v>
      </x:c>
      <x:c r="C637" s="10" t="str">
        <x:v>af69ad090a6138dc</x:v>
      </x:c>
      <x:c r="D637" s="10" t="str">
        <x:v>keyword</x:v>
      </x:c>
      <x:c r="E637" s="10" t="str">
        <x:v>en</x:v>
      </x:c>
      <x:c r="F637" s="10" t="str">
        <x:v>clothing_shoes_jewelry</x:v>
      </x:c>
      <x:c r="G637" s="15" t="str"/>
      <x:c r="H637" s="15" t="str">
        <x:v>flip_flop</x:v>
      </x:c>
      <x:c r="I637" s="15" t="str"/>
      <x:c r="J637" s="15" t="str"/>
      <x:c r="K637" s="15" t="str"/>
      <x:c r="L637" s="15" t="str"/>
      <x:c r="M637" s="15" t="str"/>
      <x:c r="N637" s="15" t="str">
        <x:v>barefoot_feel</x:v>
      </x:c>
      <x:c r="O637" s="15" t="str"/>
      <x:c r="P637" s="15" t="str"/>
      <x:c r="Q637" s="15" t="str"/>
      <x:c r="R637" s="15" t="str">
        <x:v>用户搜索赤足感的人字拖，追求极简薄底接近赤脚的穿着体验。</x:v>
      </x:c>
      <x:c r="S637" s="10" t="str">
        <x:v>consideration</x:v>
      </x:c>
      <x:c r="T637" s="15" t="str">
        <x:v>explicit | inferred</x:v>
      </x:c>
      <x:c r="U637" s="10" t="str">
        <x:v>medium</x:v>
      </x:c>
      <x:c r="V637" s="15" t="str">
        <x:v>barefoot_flip_flops</x:v>
      </x:c>
      <x:c r="W637" s="15" t="str">
        <x:v>semantic_negative_candidate</x:v>
      </x:c>
      <x:c r="X637" s="15" t="str">
        <x:v>{"product_type":[{"value":"flip_flop","evidence_type":"explicit","source_span":"flip flop","fact_ids":[],"rationale":"搜索词直接指明产品类型。"},{"value":"flip_flop","evidence_type":"page_validated","source_span":"","fact_ids":["style_flip_flop"],"rationale":"该槽位与商品基准中的明示页面事实一致。"}],"body_need_intent":[{"value":"barefoot_feel","evidence_type":"explicit","source_span":"barefoot","fact_ids":[],"rationale":"搜索词明确要求赤足体验。"}],"primary_domain":[{"value":"clothing_shoes_jewelry","evidence_type":"inferred","source_span":"","fact_ids":[],"rationale":"该值由搜索词整体语义推断，未作为页面明示属性。"}]}</x:v>
      </x:c>
      <x:c r="Y637" s="15" t="str"/>
      <x:c r="Z637" s="10" t="str">
        <x:v>mismatch</x:v>
      </x:c>
      <x:c r="AA637" s="15" t="str">
        <x:v>arch_support | padded_cushioning | slip_resistant_grip</x:v>
      </x:c>
      <x:c r="AB637" s="10" t="str">
        <x:v>accepted</x:v>
      </x:c>
      <x:c r="AC637" s="10" t="str">
        <x:v>1.0.0</x:v>
      </x:c>
      <x:c r="AD637" s="10" t="str">
        <x:v>1.1.0</x:v>
      </x:c>
      <x:c r="AE637" s="10" t="str">
        <x:v>deepseek/deepseek-v4-pro</x:v>
      </x:c>
      <x:c r="AF637" s="10" t="str">
        <x:v>aj2-y90-20260714T234810-0bea2f52</x:v>
      </x:c>
      <x:c r="AG637" s="10" t="str">
        <x:v>full-0032</x:v>
      </x:c>
      <x:c r="AH637" s="10" t="str">
        <x:v>full</x:v>
      </x:c>
      <x:c r="AI637" s="10" t="n">
        <x:v>32</x:v>
      </x:c>
    </x:row>
    <x:row r="638" ht="34" customHeight="1">
      <x:c r="A638" s="16" t="str">
        <x:v>flip flop with arch support joomra</x:v>
      </x:c>
      <x:c r="B638" s="16" t="str">
        <x:v>flip flop with arch support joomra</x:v>
      </x:c>
      <x:c r="C638" s="13" t="str">
        <x:v>bbdfd39cc80edba3</x:v>
      </x:c>
      <x:c r="D638" s="13" t="str">
        <x:v>keyword</x:v>
      </x:c>
      <x:c r="E638" s="13" t="str">
        <x:v>en</x:v>
      </x:c>
      <x:c r="F638" s="13" t="str">
        <x:v>clothing_shoes_jewelry</x:v>
      </x:c>
      <x:c r="G638" s="16" t="str"/>
      <x:c r="H638" s="16" t="str">
        <x:v>flip_flop</x:v>
      </x:c>
      <x:c r="I638" s="16" t="str">
        <x:v>women</x:v>
      </x:c>
      <x:c r="J638" s="16" t="str">
        <x:v>arch_support</x:v>
      </x:c>
      <x:c r="K638" s="16" t="str"/>
      <x:c r="L638" s="16" t="str"/>
      <x:c r="M638" s="16" t="str"/>
      <x:c r="N638" s="16" t="str"/>
      <x:c r="O638" s="16" t="str"/>
      <x:c r="P638" s="16" t="str"/>
      <x:c r="Q638" s="16" t="str"/>
      <x:c r="R638" s="16" t="str">
        <x:v>用户搜索joomra品牌带足弓支撑的人字拖，用于日常穿着时的足部支撑需求。</x:v>
      </x:c>
      <x:c r="S638" s="13" t="str">
        <x:v>brand_harvest</x:v>
      </x:c>
      <x:c r="T638" s="16" t="str">
        <x:v>explicit | page_validated | inferred</x:v>
      </x:c>
      <x:c r="U638" s="13" t="str">
        <x:v>high</x:v>
      </x:c>
      <x:c r="V638" s="16" t="str">
        <x:v>brand_arch_support_flip_flops</x:v>
      </x:c>
      <x:c r="W638" s="16" t="str">
        <x:v>cluster_route</x:v>
      </x:c>
      <x:c r="X638" s="16" t="str">
        <x:v>{"product_type":[{"value":"flip_flop","evidence_type":"explicit","source_span":"flip flop","fact_ids":[],"rationale":"搜索词直接指明产品为人字拖。"},{"value":"flip_flop","evidence_type":"page_validated","source_span":"","fact_ids":["title_womens_flip_flop"],"rationale":"产品页面确认为人字拖。"}],"audience_intent":[{"value":"women","evidence_type":"page_validated","source_span":"","fact_ids":["title_womens_flip_flop"],"rationale":"产品标题标注为女款。"},{"value":"women","evidence_type":"inferred","source_span":"","fact_ids":[],"rationale":"该能力由搜索词表达的任务或问题推断；页面事实仅用于验证商品承接。"}],"function_intent":[{"value":"arch_support","evidence_type":"explicit","source_span":"arch support","fact_ids":[],"rationale":"搜索词明确要求足弓支撑。"},{"value":"arch_support","evidence_type":"page_validated","source_span":"","fact_ids":["arch_support"],"rationale":"产品页面确认具备足弓支撑。"}],"brand":[{"value":"joomra","evidence_type":"explicit","source_span":"joomra","fact_ids":[],"rationale":"搜索词明确包含品牌名称。"}],"intent_stage":[{"value":"brand_harvest","evidence_type":"explicit","source_span":"joomra","fact_ids":[],"rationale":"搜索词含品牌名，属品牌收割阶段。"}],"primary_domain":[{"value":"clothing_shoes_jewelry","evidence_type":"inferred","source_span":"","fact_ids":[],"rationale":"该值由搜索词整体语义推断，未作为页面明示属性。"}]}</x:v>
      </x:c>
      <x:c r="Y638" s="16" t="str"/>
      <x:c r="Z638" s="13" t="str">
        <x:v>match</x:v>
      </x:c>
      <x:c r="AA638" s="16" t="str">
        <x:v>title_womens_flip_flop | arch_support</x:v>
      </x:c>
      <x:c r="AB638" s="13" t="str">
        <x:v>accepted</x:v>
      </x:c>
      <x:c r="AC638" s="13" t="str">
        <x:v>1.0.0</x:v>
      </x:c>
      <x:c r="AD638" s="13" t="str">
        <x:v>1.1.0</x:v>
      </x:c>
      <x:c r="AE638" s="13" t="str">
        <x:v>deepseek/deepseek-v4-pro</x:v>
      </x:c>
      <x:c r="AF638" s="13" t="str">
        <x:v>aj2-y90-20260714T234810-0bea2f52</x:v>
      </x:c>
      <x:c r="AG638" s="13" t="str">
        <x:v>full-0032</x:v>
      </x:c>
      <x:c r="AH638" s="13" t="str">
        <x:v>full</x:v>
      </x:c>
      <x:c r="AI638" s="13" t="n">
        <x:v>32</x:v>
      </x:c>
    </x:row>
    <x:row r="639" ht="34" customHeight="1">
      <x:c r="A639" s="15" t="str">
        <x:v>waterproof women's flip flops</x:v>
      </x:c>
      <x:c r="B639" s="15" t="str">
        <x:v>waterproof women's flip flops</x:v>
      </x:c>
      <x:c r="C639" s="10" t="str">
        <x:v>c2d57cbfe41ecf98</x:v>
      </x:c>
      <x:c r="D639" s="10" t="str">
        <x:v>keyword</x:v>
      </x:c>
      <x:c r="E639" s="10" t="str">
        <x:v>en</x:v>
      </x:c>
      <x:c r="F639" s="10" t="str">
        <x:v>clothing_shoes_jewelry</x:v>
      </x:c>
      <x:c r="G639" s="15" t="str"/>
      <x:c r="H639" s="15" t="str">
        <x:v>flip_flop</x:v>
      </x:c>
      <x:c r="I639" s="15" t="str">
        <x:v>women</x:v>
      </x:c>
      <x:c r="J639" s="15" t="str"/>
      <x:c r="K639" s="15" t="str">
        <x:v>waterproof</x:v>
      </x:c>
      <x:c r="L639" s="15" t="str"/>
      <x:c r="M639" s="15" t="str"/>
      <x:c r="N639" s="15" t="str"/>
      <x:c r="O639" s="15" t="str"/>
      <x:c r="P639" s="15" t="str"/>
      <x:c r="Q639" s="15" t="str"/>
      <x:c r="R639" s="15" t="str">
        <x:v>用户搜索防水女款人字拖，用于涉水或潮湿环境穿着。</x:v>
      </x:c>
      <x:c r="S639" s="10" t="str">
        <x:v>high_intent</x:v>
      </x:c>
      <x:c r="T639" s="15" t="str">
        <x:v>explicit | inferred</x:v>
      </x:c>
      <x:c r="U639" s="10" t="str">
        <x:v>high</x:v>
      </x:c>
      <x:c r="V639" s="15" t="str">
        <x:v>waterproof_womens_flip_flops</x:v>
      </x:c>
      <x:c r="W639" s="15" t="str">
        <x:v>semantic_negative_candidate</x:v>
      </x:c>
      <x:c r="X639" s="15" t="str">
        <x:v>{"product_type":[{"value":"flip_flop","evidence_type":"explicit","source_span":"flip flops","fact_ids":[],"rationale":"搜索词直接指明产品类型。"},{"value":"flip_flop","evidence_type":"page_validated","source_span":"","fact_ids":["style_flip_flop"],"rationale":"该槽位与商品基准中的明示页面事实一致。"}],"audience_intent":[{"value":"women","evidence_type":"explicit","source_span":"women's","fact_ids":[],"rationale":"搜索词明确指定女性用户。"},{"value":"women","evidence_type":"page_validated","source_span":"","fact_ids":["title_womens_flip_flop"],"rationale":"该槽位与商品基准中的明示页面事实一致。"}],"capability_intent":[{"value":"waterproof","evidence_type":"explicit","source_span":"waterproof","fact_ids":[],"rationale":"搜索词要求防水功能，产品未声明此特性。"}],"primary_domain":[{"value":"clothing_shoes_jewelry","evidence_type":"inferred","source_span":"","fact_ids":[],"rationale":"该值由搜索词整体语义推断，未作为页面明示属性。"}]}</x:v>
      </x:c>
      <x:c r="Y639" s="15" t="str"/>
      <x:c r="Z639" s="10" t="str">
        <x:v>mismatch</x:v>
      </x:c>
      <x:c r="AA639" s="15" t="str"/>
      <x:c r="AB639" s="10" t="str">
        <x:v>accepted</x:v>
      </x:c>
      <x:c r="AC639" s="10" t="str">
        <x:v>1.0.0</x:v>
      </x:c>
      <x:c r="AD639" s="10" t="str">
        <x:v>1.1.0</x:v>
      </x:c>
      <x:c r="AE639" s="10" t="str">
        <x:v>deepseek/deepseek-v4-pro</x:v>
      </x:c>
      <x:c r="AF639" s="10" t="str">
        <x:v>aj2-y90-20260714T234810-0bea2f52</x:v>
      </x:c>
      <x:c r="AG639" s="10" t="str">
        <x:v>full-0032</x:v>
      </x:c>
      <x:c r="AH639" s="10" t="str">
        <x:v>full</x:v>
      </x:c>
      <x:c r="AI639" s="10" t="n">
        <x:v>32</x:v>
      </x:c>
    </x:row>
    <x:row r="640" ht="34" customHeight="1">
      <x:c r="A640" s="16" t="str">
        <x:v>foot support flip flops</x:v>
      </x:c>
      <x:c r="B640" s="16" t="str">
        <x:v>foot support flip flops</x:v>
      </x:c>
      <x:c r="C640" s="13" t="str">
        <x:v>c8c033a5df3a262a</x:v>
      </x:c>
      <x:c r="D640" s="13" t="str">
        <x:v>keyword</x:v>
      </x:c>
      <x:c r="E640" s="13" t="str">
        <x:v>en</x:v>
      </x:c>
      <x:c r="F640" s="13" t="str">
        <x:v>clothing_shoes_jewelry</x:v>
      </x:c>
      <x:c r="G640" s="16" t="str"/>
      <x:c r="H640" s="16" t="str">
        <x:v>flip_flop</x:v>
      </x:c>
      <x:c r="I640" s="16" t="str"/>
      <x:c r="J640" s="16" t="str">
        <x:v>foot_support</x:v>
      </x:c>
      <x:c r="K640" s="16" t="str"/>
      <x:c r="L640" s="16" t="str"/>
      <x:c r="M640" s="16" t="str"/>
      <x:c r="N640" s="16" t="str"/>
      <x:c r="O640" s="16" t="str"/>
      <x:c r="P640" s="16" t="str"/>
      <x:c r="Q640" s="16" t="str"/>
      <x:c r="R640" s="16" t="str">
        <x:v>用户搜索提供足部支撑的人字拖，用于缓解行走时的足部疲劳。</x:v>
      </x:c>
      <x:c r="S640" s="13" t="str">
        <x:v>high_intent</x:v>
      </x:c>
      <x:c r="T640" s="16" t="str">
        <x:v>explicit | page_validated</x:v>
      </x:c>
      <x:c r="U640" s="13" t="str">
        <x:v>high</x:v>
      </x:c>
      <x:c r="V640" s="16" t="str">
        <x:v>foot_support_flip_flops</x:v>
      </x:c>
      <x:c r="W640" s="16" t="str">
        <x:v>cluster_route</x:v>
      </x:c>
      <x:c r="X640" s="16" t="str">
        <x:v>{"product_type":[{"value":"flip_flop","evidence_type":"explicit","source_span":"flip flops","fact_ids":[],"rationale":"搜索词直接指明产品类型。"},{"value":"flip_flop","evidence_type":"page_validated","source_span":"","fact_ids":["title_womens_flip_flop"],"rationale":"产品页面确认为人字拖。"}],"function_intent":[{"value":"foot_support","evidence_type":"explicit","source_span":"foot support","fact_ids":[],"rationale":"搜索词明确要求足部支撑。"},{"value":"foot_support","evidence_type":"page_validated","source_span":"","fact_ids":["arch_support","padded_cushioning"],"rationale":"产品具备足弓支撑和缓冲垫提供足部支撑。"}],"primary_domain":[{"value":"clothing_shoes_jewelry","evidence_type":"inferred","source_span":"","fact_ids":[],"rationale":"该值由搜索词整体语义推断，未作为页面明示属性。"}]}</x:v>
      </x:c>
      <x:c r="Y640" s="16" t="str"/>
      <x:c r="Z640" s="13" t="str">
        <x:v>match</x:v>
      </x:c>
      <x:c r="AA640" s="16" t="str">
        <x:v>arch_support | padded_cushioning | title_womens_flip_flop</x:v>
      </x:c>
      <x:c r="AB640" s="13" t="str">
        <x:v>accepted</x:v>
      </x:c>
      <x:c r="AC640" s="13" t="str">
        <x:v>1.0.0</x:v>
      </x:c>
      <x:c r="AD640" s="13" t="str">
        <x:v>1.1.0</x:v>
      </x:c>
      <x:c r="AE640" s="13" t="str">
        <x:v>deepseek/deepseek-v4-pro</x:v>
      </x:c>
      <x:c r="AF640" s="13" t="str">
        <x:v>aj2-y90-20260714T234810-0bea2f52</x:v>
      </x:c>
      <x:c r="AG640" s="13" t="str">
        <x:v>full-0032</x:v>
      </x:c>
      <x:c r="AH640" s="13" t="str">
        <x:v>full</x:v>
      </x:c>
      <x:c r="AI640" s="13" t="n">
        <x:v>32</x:v>
      </x:c>
    </x:row>
    <x:row r="641" ht="34" customHeight="1">
      <x:c r="A641" s="15" t="str">
        <x:v>arch support black flip flops</x:v>
      </x:c>
      <x:c r="B641" s="15" t="str">
        <x:v>arch support black flip flops</x:v>
      </x:c>
      <x:c r="C641" s="10" t="str">
        <x:v>ee6ef5dc1e00954d</x:v>
      </x:c>
      <x:c r="D641" s="10" t="str">
        <x:v>keyword</x:v>
      </x:c>
      <x:c r="E641" s="10" t="str">
        <x:v>en</x:v>
      </x:c>
      <x:c r="F641" s="10" t="str">
        <x:v>clothing_shoes_jewelry</x:v>
      </x:c>
      <x:c r="G641" s="15" t="str"/>
      <x:c r="H641" s="15" t="str">
        <x:v>flip_flop</x:v>
      </x:c>
      <x:c r="I641" s="15" t="str"/>
      <x:c r="J641" s="15" t="str">
        <x:v>arch_support</x:v>
      </x:c>
      <x:c r="K641" s="15" t="str"/>
      <x:c r="L641" s="15" t="str"/>
      <x:c r="M641" s="15" t="str"/>
      <x:c r="N641" s="15" t="str"/>
      <x:c r="O641" s="15" t="str"/>
      <x:c r="P641" s="15" t="str"/>
      <x:c r="Q641" s="15" t="str"/>
      <x:c r="R641" s="15" t="str">
        <x:v>用户搜索黑色带足弓支撑的人字拖，用于日常穿着缓解足弓压力。</x:v>
      </x:c>
      <x:c r="S641" s="10" t="str">
        <x:v>high_intent</x:v>
      </x:c>
      <x:c r="T641" s="15" t="str">
        <x:v>explicit | page_validated</x:v>
      </x:c>
      <x:c r="U641" s="10" t="str">
        <x:v>high</x:v>
      </x:c>
      <x:c r="V641" s="15" t="str">
        <x:v>arch_support_flip_flops_black</x:v>
      </x:c>
      <x:c r="W641" s="15" t="str">
        <x:v>cluster_route</x:v>
      </x:c>
      <x:c r="X641" s="15" t="str">
        <x:v>{"product_type":[{"value":"flip_flop","evidence_type":"explicit","source_span":"flip flops","fact_ids":[],"rationale":"搜索词直接指明产品类型。"},{"value":"flip_flop","evidence_type":"page_validated","source_span":"","fact_ids":["title_womens_flip_flop"],"rationale":"产品页面确认为人字拖。"}],"function_intent":[{"value":"arch_support","evidence_type":"explicit","source_span":"arch support","fact_ids":[],"rationale":"搜索词明确要求足弓支撑。"},{"value":"arch_support","evidence_type":"page_validated","source_span":"","fact_ids":["arch_support"],"rationale":"产品页面确认具备足弓支撑。"}],"color":[{"value":"black","evidence_type":"explicit","source_span":"black","fact_ids":[],"rationale":"该颜色在商品页面可见颜色选择中得到明确支持。"},{"value":"black","evidence_type":"page_validated","source_span":"","fact_ids":["colors_visible"],"rationale":"该颜色在商品页面可见颜色选择中得到明确支持。"}],"primary_domain":[{"value":"clothing_shoes_jewelry","evidence_type":"inferred","source_span":"","fact_ids":[],"rationale":"该值由搜索词整体语义推断，未作为页面明示属性。"}]}</x:v>
      </x:c>
      <x:c r="Y641" s="15" t="str"/>
      <x:c r="Z641" s="10" t="str">
        <x:v>match</x:v>
      </x:c>
      <x:c r="AA641" s="15" t="str">
        <x:v>arch_support | colors_visible | title_womens_flip_flop</x:v>
      </x:c>
      <x:c r="AB641" s="10" t="str">
        <x:v>accepted</x:v>
      </x:c>
      <x:c r="AC641" s="10" t="str">
        <x:v>1.0.0</x:v>
      </x:c>
      <x:c r="AD641" s="10" t="str">
        <x:v>1.1.0</x:v>
      </x:c>
      <x:c r="AE641" s="10" t="str">
        <x:v>deepseek/deepseek-v4-pro</x:v>
      </x:c>
      <x:c r="AF641" s="10" t="str">
        <x:v>aj2-y90-20260714T234810-0bea2f52</x:v>
      </x:c>
      <x:c r="AG641" s="10" t="str">
        <x:v>full-0032</x:v>
      </x:c>
      <x:c r="AH641" s="10" t="str">
        <x:v>full</x:v>
      </x:c>
      <x:c r="AI641" s="10" t="n">
        <x:v>32</x:v>
      </x:c>
    </x:row>
    <x:row r="642" ht="34" customHeight="1">
      <x:c r="A642" s="16" t="str">
        <x:v>womens gray flip flops arch support</x:v>
      </x:c>
      <x:c r="B642" s="16" t="str">
        <x:v>womens gray flip flops arch support</x:v>
      </x:c>
      <x:c r="C642" s="13" t="str">
        <x:v>0281a84e291c41f7</x:v>
      </x:c>
      <x:c r="D642" s="13" t="str">
        <x:v>keyword</x:v>
      </x:c>
      <x:c r="E642" s="13" t="str">
        <x:v>en</x:v>
      </x:c>
      <x:c r="F642" s="13" t="str">
        <x:v>clothing_shoes_jewelry</x:v>
      </x:c>
      <x:c r="G642" s="16" t="str"/>
      <x:c r="H642" s="16" t="str">
        <x:v>flip_flops</x:v>
      </x:c>
      <x:c r="I642" s="16" t="str">
        <x:v>women</x:v>
      </x:c>
      <x:c r="J642" s="16" t="str"/>
      <x:c r="K642" s="16" t="str">
        <x:v>gray_color | arch_support</x:v>
      </x:c>
      <x:c r="L642" s="16" t="str"/>
      <x:c r="M642" s="16" t="str"/>
      <x:c r="N642" s="16" t="str">
        <x:v>arch_support</x:v>
      </x:c>
      <x:c r="O642" s="16" t="str"/>
      <x:c r="P642" s="16" t="str"/>
      <x:c r="Q642" s="16" t="str"/>
      <x:c r="R642" s="16" t="str">
        <x:v>用户寻找灰色足弓支撑女士人字拖鞋</x:v>
      </x:c>
      <x:c r="S642" s="13" t="str">
        <x:v>high_intent</x:v>
      </x:c>
      <x:c r="T642" s="16" t="str">
        <x:v>explicit | page_validated</x:v>
      </x:c>
      <x:c r="U642" s="13" t="str">
        <x:v>high</x:v>
      </x:c>
      <x:c r="V642" s="16" t="str">
        <x:v>womens_gray_flip_flops_arch_support</x:v>
      </x:c>
      <x:c r="W642" s="16" t="str">
        <x:v>cluster_route</x:v>
      </x:c>
      <x:c r="X642" s="16" t="str">
        <x:v>{"product_type":[{"value":"flip_flops","evidence_type":"explicit","source_span":"flip flops","fact_ids":[],"rationale":"搜索词要求人字拖鞋"},{"value":"flip_flops","evidence_type":"page_validated","source_span":"","fact_ids":["style_flip_flop","title_womens_flip_flop"],"rationale":"产品为女士人字拖鞋"}],"audience_intent":[{"value":"women","evidence_type":"explicit","source_span":"womens","fact_ids":[],"rationale":"搜索词指定女性受众"},{"value":"women","evidence_type":"page_validated","source_span":"","fact_ids":["title_womens_flip_flop"],"rationale":"该槽位与商品基准中的明示页面事实一致。"}],"capability_intent":[{"value":"gray_color","evidence_type":"explicit","source_span":"gray","fact_ids":[],"rationale":"搜索词要求灰色"},{"value":"gray_color","evidence_type":"page_validated","source_span":"","fact_ids":["colors_visible"],"rationale":"颜色选择器含dark gray，匹配gray需求"},{"value":"arch_support","evidence_type":"explicit","source_span":"arch support","fact_ids":[],"rationale":"搜索词明确要求足弓支撑"},{"value":"arch_support","evidence_type":"page_validated","source_span":"","fact_ids":["arch_support"],"rationale":"页面声明ergonomic arch support"}],"primary_domain":[{"value":"clothing_shoes_jewelry","evidence_type":"inferred","source_span":"","fact_ids":[],"rationale":"该值由搜索词整体语义推断，未作为页面明示属性。"}]}</x:v>
      </x:c>
      <x:c r="Y642" s="16" t="str"/>
      <x:c r="Z642" s="13" t="str">
        <x:v>match</x:v>
      </x:c>
      <x:c r="AA642" s="16" t="str">
        <x:v>colors_visible | arch_support | title_womens_flip_flop | style_flip_flop</x:v>
      </x:c>
      <x:c r="AB642" s="13" t="str">
        <x:v>accepted</x:v>
      </x:c>
      <x:c r="AC642" s="13" t="str">
        <x:v>1.0.0</x:v>
      </x:c>
      <x:c r="AD642" s="13" t="str">
        <x:v>1.1.0</x:v>
      </x:c>
      <x:c r="AE642" s="13" t="str">
        <x:v>deepseek/deepseek-v4-pro</x:v>
      </x:c>
      <x:c r="AF642" s="13" t="str">
        <x:v>aj2-y90-20260714T234810-0bea2f52</x:v>
      </x:c>
      <x:c r="AG642" s="13" t="str">
        <x:v>full-0033</x:v>
      </x:c>
      <x:c r="AH642" s="13" t="str">
        <x:v>full</x:v>
      </x:c>
      <x:c r="AI642" s="13" t="n">
        <x:v>33</x:v>
      </x:c>
    </x:row>
    <x:row r="643" ht="34" customHeight="1">
      <x:c r="A643" s="15" t="str">
        <x:v>soft unisex flip flops</x:v>
      </x:c>
      <x:c r="B643" s="15" t="str">
        <x:v>soft unisex flip flops</x:v>
      </x:c>
      <x:c r="C643" s="10" t="str">
        <x:v>03faa46c9308c79c</x:v>
      </x:c>
      <x:c r="D643" s="10" t="str">
        <x:v>keyword</x:v>
      </x:c>
      <x:c r="E643" s="10" t="str">
        <x:v>en</x:v>
      </x:c>
      <x:c r="F643" s="10" t="str">
        <x:v>clothing_shoes_jewelry</x:v>
      </x:c>
      <x:c r="G643" s="15" t="str"/>
      <x:c r="H643" s="15" t="str">
        <x:v>flip_flops</x:v>
      </x:c>
      <x:c r="I643" s="15" t="str">
        <x:v>unisex</x:v>
      </x:c>
      <x:c r="J643" s="15" t="str"/>
      <x:c r="K643" s="15" t="str">
        <x:v>soft_material</x:v>
      </x:c>
      <x:c r="L643" s="15" t="str"/>
      <x:c r="M643" s="15" t="str"/>
      <x:c r="N643" s="15" t="str"/>
      <x:c r="O643" s="15" t="str"/>
      <x:c r="P643" s="15" t="str"/>
      <x:c r="Q643" s="15" t="str"/>
      <x:c r="R643" s="15" t="str">
        <x:v>用户寻找柔软材质的中性款人字拖鞋</x:v>
      </x:c>
      <x:c r="S643" s="10" t="str">
        <x:v>high_intent</x:v>
      </x:c>
      <x:c r="T643" s="15" t="str">
        <x:v>explicit | page_validated</x:v>
      </x:c>
      <x:c r="U643" s="10" t="str">
        <x:v>high</x:v>
      </x:c>
      <x:c r="V643" s="15" t="str">
        <x:v>soft_unisex_flip_flops</x:v>
      </x:c>
      <x:c r="W643" s="15" t="str">
        <x:v>semantic_negative_candidate</x:v>
      </x:c>
      <x:c r="X643" s="15" t="str">
        <x:v>{"product_type":[{"value":"flip_flops","evidence_type":"explicit","source_span":"flip flops","fact_ids":[],"rationale":"搜索词要求人字拖鞋"},{"value":"flip_flops","evidence_type":"page_validated","source_span":"","fact_ids":["style_flip_flop","title_womens_flip_flop"],"rationale":"产品为人字拖鞋但定位女士专用"}],"audience_intent":[{"value":"unisex","evidence_type":"explicit","source_span":"unisex","fact_ids":[],"rationale":"搜索词要求中性款；产品标题及定位为女士款"}],"capability_intent":[{"value":"soft_material","evidence_type":"explicit","source_span":"soft","fact_ids":[],"rationale":"搜索词要求柔软材质"},{"value":"soft_material","evidence_type":"page_validated","source_span":"","fact_ids":["soft_toe_post","padded_cushioning","material_eva"],"rationale":"页面声明柔软趾柱、缓冲垫和EVA材质"}],"primary_domain":[{"value":"clothing_shoes_jewelry","evidence_type":"inferred","source_span":"","fact_ids":[],"rationale":"该值由搜索词整体语义推断，未作为页面明示属性。"}]}</x:v>
      </x:c>
      <x:c r="Y643" s="15" t="str"/>
      <x:c r="Z643" s="10" t="str">
        <x:v>mismatch</x:v>
      </x:c>
      <x:c r="AA643" s="15" t="str">
        <x:v>soft_toe_post | padded_cushioning | title_womens_flip_flop</x:v>
      </x:c>
      <x:c r="AB643" s="10" t="str">
        <x:v>accepted</x:v>
      </x:c>
      <x:c r="AC643" s="10" t="str">
        <x:v>1.0.0</x:v>
      </x:c>
      <x:c r="AD643" s="10" t="str">
        <x:v>1.1.0</x:v>
      </x:c>
      <x:c r="AE643" s="10" t="str">
        <x:v>deepseek/deepseek-v4-pro</x:v>
      </x:c>
      <x:c r="AF643" s="10" t="str">
        <x:v>aj2-y90-20260714T234810-0bea2f52</x:v>
      </x:c>
      <x:c r="AG643" s="10" t="str">
        <x:v>full-0033</x:v>
      </x:c>
      <x:c r="AH643" s="10" t="str">
        <x:v>full</x:v>
      </x:c>
      <x:c r="AI643" s="10" t="n">
        <x:v>33</x:v>
      </x:c>
    </x:row>
    <x:row r="644" ht="34" customHeight="1">
      <x:c r="A644" s="16" t="str">
        <x:v>white flip flops women comfortable</x:v>
      </x:c>
      <x:c r="B644" s="16" t="str">
        <x:v>white flip flops women comfortable</x:v>
      </x:c>
      <x:c r="C644" s="13" t="str">
        <x:v>07064fe21cb81543</x:v>
      </x:c>
      <x:c r="D644" s="13" t="str">
        <x:v>keyword</x:v>
      </x:c>
      <x:c r="E644" s="13" t="str">
        <x:v>en</x:v>
      </x:c>
      <x:c r="F644" s="13" t="str">
        <x:v>clothing_shoes_jewelry</x:v>
      </x:c>
      <x:c r="G644" s="16" t="str"/>
      <x:c r="H644" s="16" t="str">
        <x:v>flip_flops</x:v>
      </x:c>
      <x:c r="I644" s="16" t="str">
        <x:v>women</x:v>
      </x:c>
      <x:c r="J644" s="16" t="str">
        <x:v>comfort</x:v>
      </x:c>
      <x:c r="K644" s="16" t="str">
        <x:v>white_color</x:v>
      </x:c>
      <x:c r="L644" s="16" t="str"/>
      <x:c r="M644" s="16" t="str"/>
      <x:c r="N644" s="16" t="str"/>
      <x:c r="O644" s="16" t="str"/>
      <x:c r="P644" s="16" t="str"/>
      <x:c r="Q644" s="16" t="str"/>
      <x:c r="R644" s="16" t="str">
        <x:v>用户寻找白色舒适女士人字拖鞋，注重全天穿着体验</x:v>
      </x:c>
      <x:c r="S644" s="13" t="str">
        <x:v>high_intent</x:v>
      </x:c>
      <x:c r="T644" s="16" t="str">
        <x:v>explicit | page_validated</x:v>
      </x:c>
      <x:c r="U644" s="13" t="str">
        <x:v>high</x:v>
      </x:c>
      <x:c r="V644" s="16" t="str">
        <x:v>white_comfortable_flip_flops_women</x:v>
      </x:c>
      <x:c r="W644" s="16" t="str">
        <x:v>cluster_route</x:v>
      </x:c>
      <x:c r="X644" s="16" t="str">
        <x:v>{"product_type":[{"value":"flip_flops","evidence_type":"explicit","source_span":"flip flops","fact_ids":[],"rationale":"搜索词要求人字拖鞋"},{"value":"flip_flops","evidence_type":"page_validated","source_span":"","fact_ids":["style_flip_flop","title_womens_flip_flop"],"rationale":"产品为人字拖鞋"}],"audience_intent":[{"value":"women","evidence_type":"explicit","source_span":"women","fact_ids":[],"rationale":"搜索词指定女性受众"},{"value":"women","evidence_type":"page_validated","source_span":"","fact_ids":["title_womens_flip_flop"],"rationale":"该槽位与商品基准中的明示页面事实一致。"}],"function_intent":[{"value":"comfort","evidence_type":"explicit","source_span":"comfortable","fact_ids":[],"rationale":"搜索词要求舒适性"},{"value":"comfort","evidence_type":"page_validated","source_span":"","fact_ids":["arch_support","padded_cushioning","soft_toe_post","lightweight_breathable"],"rationale":"页面多项特征支撑全天舒适体验"}],"capability_intent":[{"value":"white_color","evidence_type":"explicit","source_span":"white","fact_ids":[],"rationale":"搜索词要求白色"},{"value":"white_color","evidence_type":"page_validated","source_span":"","fact_ids":["colors_visible"],"rationale":"页面颜色选择器含白色"}],"primary_domain":[{"value":"clothing_shoes_jewelry","evidence_type":"inferred","source_span":"","fact_ids":[],"rationale":"该值由搜索词整体语义推断，未作为页面明示属性。"}]}</x:v>
      </x:c>
      <x:c r="Y644" s="16" t="str"/>
      <x:c r="Z644" s="13" t="str">
        <x:v>match</x:v>
      </x:c>
      <x:c r="AA644" s="16" t="str">
        <x:v>colors_visible | arch_support | padded_cushioning | soft_toe_post | title_womens_flip_flop</x:v>
      </x:c>
      <x:c r="AB644" s="13" t="str">
        <x:v>accepted</x:v>
      </x:c>
      <x:c r="AC644" s="13" t="str">
        <x:v>1.0.0</x:v>
      </x:c>
      <x:c r="AD644" s="13" t="str">
        <x:v>1.1.0</x:v>
      </x:c>
      <x:c r="AE644" s="13" t="str">
        <x:v>deepseek/deepseek-v4-pro</x:v>
      </x:c>
      <x:c r="AF644" s="13" t="str">
        <x:v>aj2-y90-20260714T234810-0bea2f52</x:v>
      </x:c>
      <x:c r="AG644" s="13" t="str">
        <x:v>full-0033</x:v>
      </x:c>
      <x:c r="AH644" s="13" t="str">
        <x:v>full</x:v>
      </x:c>
      <x:c r="AI644" s="13" t="n">
        <x:v>33</x:v>
      </x:c>
    </x:row>
    <x:row r="645" ht="34" customHeight="1">
      <x:c r="A645" s="15" t="str">
        <x:v>women waterproof flip flops</x:v>
      </x:c>
      <x:c r="B645" s="15" t="str">
        <x:v>women waterproof flip flops</x:v>
      </x:c>
      <x:c r="C645" s="10" t="str">
        <x:v>10cc0dadbdf43234</x:v>
      </x:c>
      <x:c r="D645" s="10" t="str">
        <x:v>keyword</x:v>
      </x:c>
      <x:c r="E645" s="10" t="str">
        <x:v>en</x:v>
      </x:c>
      <x:c r="F645" s="10" t="str">
        <x:v>clothing_shoes_jewelry</x:v>
      </x:c>
      <x:c r="G645" s="15" t="str"/>
      <x:c r="H645" s="15" t="str">
        <x:v>flip_flops</x:v>
      </x:c>
      <x:c r="I645" s="15" t="str">
        <x:v>women</x:v>
      </x:c>
      <x:c r="J645" s="15" t="str"/>
      <x:c r="K645" s="15" t="str">
        <x:v>waterproof</x:v>
      </x:c>
      <x:c r="L645" s="15" t="str"/>
      <x:c r="M645" s="15" t="str"/>
      <x:c r="N645" s="15" t="str"/>
      <x:c r="O645" s="15" t="str"/>
      <x:c r="P645" s="15" t="str"/>
      <x:c r="Q645" s="15" t="str"/>
      <x:c r="R645" s="15" t="str">
        <x:v>用户寻找女士防水人字拖鞋</x:v>
      </x:c>
      <x:c r="S645" s="10" t="str">
        <x:v>high_intent</x:v>
      </x:c>
      <x:c r="T645" s="15" t="str">
        <x:v>explicit | page_validated</x:v>
      </x:c>
      <x:c r="U645" s="10" t="str">
        <x:v>high</x:v>
      </x:c>
      <x:c r="V645" s="15" t="str">
        <x:v>women_waterproof_flip_flops</x:v>
      </x:c>
      <x:c r="W645" s="15" t="str">
        <x:v>semantic_negative_candidate</x:v>
      </x:c>
      <x:c r="X645" s="15" t="str">
        <x:v>{"product_type":[{"value":"flip_flops","evidence_type":"explicit","source_span":"flip flops","fact_ids":[],"rationale":"搜索词要求人字拖鞋"},{"value":"flip_flops","evidence_type":"page_validated","source_span":"","fact_ids":["style_flip_flop","title_womens_flip_flop"],"rationale":"产品为女士人字拖鞋"}],"audience_intent":[{"value":"women","evidence_type":"explicit","source_span":"women","fact_ids":[],"rationale":"搜索词指定女性受众"},{"value":"women","evidence_type":"page_validated","source_span":"","fact_ids":["title_womens_flip_flop"],"rationale":"该槽位与商品基准中的明示页面事实一致。"}],"capability_intent":[{"value":"waterproof","evidence_type":"explicit","source_span":"waterproof","fact_ids":[],"rationale":"搜索词要求防水；页面不声明防水性能，EVA材料不可推断防水"}],"primary_domain":[{"value":"clothing_shoes_jewelry","evidence_type":"inferred","source_span":"","fact_ids":[],"rationale":"该值由搜索词整体语义推断，未作为页面明示属性。"}]}</x:v>
      </x:c>
      <x:c r="Y645" s="15" t="str"/>
      <x:c r="Z645" s="10" t="str">
        <x:v>mismatch</x:v>
      </x:c>
      <x:c r="AA645" s="15" t="str">
        <x:v>title_womens_flip_flop | style_flip_flop</x:v>
      </x:c>
      <x:c r="AB645" s="10" t="str">
        <x:v>accepted</x:v>
      </x:c>
      <x:c r="AC645" s="10" t="str">
        <x:v>1.0.0</x:v>
      </x:c>
      <x:c r="AD645" s="10" t="str">
        <x:v>1.1.0</x:v>
      </x:c>
      <x:c r="AE645" s="10" t="str">
        <x:v>deepseek/deepseek-v4-pro</x:v>
      </x:c>
      <x:c r="AF645" s="10" t="str">
        <x:v>aj2-y90-20260714T234810-0bea2f52</x:v>
      </x:c>
      <x:c r="AG645" s="10" t="str">
        <x:v>full-0033</x:v>
      </x:c>
      <x:c r="AH645" s="10" t="str">
        <x:v>full</x:v>
      </x:c>
      <x:c r="AI645" s="10" t="n">
        <x:v>33</x:v>
      </x:c>
    </x:row>
    <x:row r="646" ht="34" customHeight="1">
      <x:c r="A646" s="16" t="str">
        <x:v>beach sandals</x:v>
      </x:c>
      <x:c r="B646" s="16" t="str">
        <x:v>beach sandals</x:v>
      </x:c>
      <x:c r="C646" s="13" t="str">
        <x:v>2f408d55f649018d</x:v>
      </x:c>
      <x:c r="D646" s="13" t="str">
        <x:v>keyword</x:v>
      </x:c>
      <x:c r="E646" s="13" t="str">
        <x:v>en</x:v>
      </x:c>
      <x:c r="F646" s="13" t="str">
        <x:v>clothing_shoes_jewelry</x:v>
      </x:c>
      <x:c r="G646" s="16" t="str">
        <x:v>sports_outdoors</x:v>
      </x:c>
      <x:c r="H646" s="16" t="str">
        <x:v>sandals</x:v>
      </x:c>
      <x:c r="I646" s="16" t="str"/>
      <x:c r="J646" s="16" t="str"/>
      <x:c r="K646" s="16" t="str"/>
      <x:c r="L646" s="16" t="str"/>
      <x:c r="M646" s="16" t="str">
        <x:v>beach</x:v>
      </x:c>
      <x:c r="N646" s="16" t="str"/>
      <x:c r="O646" s="16" t="str"/>
      <x:c r="P646" s="16" t="str"/>
      <x:c r="Q646" s="16" t="str"/>
      <x:c r="R646" s="16" t="str">
        <x:v>用户正在浏览沙滩凉鞋品类，无特定品牌或属性偏好</x:v>
      </x:c>
      <x:c r="S646" s="13" t="str">
        <x:v>exploration</x:v>
      </x:c>
      <x:c r="T646" s="16" t="str">
        <x:v>explicit | page_validated</x:v>
      </x:c>
      <x:c r="U646" s="13" t="str">
        <x:v>high</x:v>
      </x:c>
      <x:c r="V646" s="16" t="str">
        <x:v>beach_sandals</x:v>
      </x:c>
      <x:c r="W646" s="16" t="str">
        <x:v>cluster_route</x:v>
      </x:c>
      <x:c r="X646" s="16" t="str">
        <x:v>{"product_type":[{"value":"sandals","evidence_type":"explicit","source_span":"sandals","fact_ids":[],"rationale":"搜索词要求凉鞋"},{"value":"sandals","evidence_type":"page_validated","source_span":"","fact_ids":["title_womens_flip_flop","style_flip_flop"],"rationale":"人字拖属于凉鞋，产品页确认"}],"location_intent":[{"value":"beach","evidence_type":"explicit","source_span":"beach","fact_ids":[],"rationale":"搜索词指定沙滩场景"},{"value":"beach","evidence_type":"page_validated","source_span":"","fact_ids":["style_outdoor"],"rationale":"产品定位户外生活，沙滩为典型户外场景"}],"secondary_domain":[{"value":"sports_outdoors","evidence_type":"inferred","source_span":"","fact_ids":[],"rationale":"该值由搜索词整体语义推断，未作为页面明示属性。"}],"primary_domain":[{"value":"clothing_shoes_jewelry","evidence_type":"inferred","source_span":"","fact_ids":[],"rationale":"该值由搜索词整体语义推断，未作为页面明示属性。"}]}</x:v>
      </x:c>
      <x:c r="Y646" s="16" t="str"/>
      <x:c r="Z646" s="13" t="str">
        <x:v>match</x:v>
      </x:c>
      <x:c r="AA646" s="16" t="str">
        <x:v>style_outdoor | title_womens_flip_flop | style_flip_flop</x:v>
      </x:c>
      <x:c r="AB646" s="13" t="str">
        <x:v>accepted</x:v>
      </x:c>
      <x:c r="AC646" s="13" t="str">
        <x:v>1.0.0</x:v>
      </x:c>
      <x:c r="AD646" s="13" t="str">
        <x:v>1.1.0</x:v>
      </x:c>
      <x:c r="AE646" s="13" t="str">
        <x:v>deepseek/deepseek-v4-pro</x:v>
      </x:c>
      <x:c r="AF646" s="13" t="str">
        <x:v>aj2-y90-20260714T234810-0bea2f52</x:v>
      </x:c>
      <x:c r="AG646" s="13" t="str">
        <x:v>full-0033</x:v>
      </x:c>
      <x:c r="AH646" s="13" t="str">
        <x:v>full</x:v>
      </x:c>
      <x:c r="AI646" s="13" t="n">
        <x:v>33</x:v>
      </x:c>
    </x:row>
    <x:row r="647" ht="34" customHeight="1">
      <x:c r="A647" s="15" t="str">
        <x:v>fit flops sale</x:v>
      </x:c>
      <x:c r="B647" s="15" t="str">
        <x:v>fit flops sale</x:v>
      </x:c>
      <x:c r="C647" s="10" t="str">
        <x:v>3b55a9c26560c36c</x:v>
      </x:c>
      <x:c r="D647" s="10" t="str">
        <x:v>keyword</x:v>
      </x:c>
      <x:c r="E647" s="10" t="str">
        <x:v>en</x:v>
      </x:c>
      <x:c r="F647" s="10" t="str">
        <x:v>clothing_shoes_jewelry</x:v>
      </x:c>
      <x:c r="G647" s="15" t="str"/>
      <x:c r="H647" s="15" t="str">
        <x:v>flip_flops</x:v>
      </x:c>
      <x:c r="I647" s="15" t="str"/>
      <x:c r="J647" s="15" t="str">
        <x:v>deal_seeking</x:v>
      </x:c>
      <x:c r="K647" s="15" t="str"/>
      <x:c r="L647" s="15" t="str"/>
      <x:c r="M647" s="15" t="str"/>
      <x:c r="N647" s="15" t="str"/>
      <x:c r="O647" s="15" t="str"/>
      <x:c r="P647" s="15" t="str"/>
      <x:c r="Q647" s="15" t="str"/>
      <x:c r="R647" s="15" t="str">
        <x:v>用户想以促销价购买人字拖鞋，可能为拼写错误或指FitFlop品牌</x:v>
      </x:c>
      <x:c r="S647" s="10" t="str">
        <x:v>consideration</x:v>
      </x:c>
      <x:c r="T647" s="15" t="str">
        <x:v>explicit | inferred</x:v>
      </x:c>
      <x:c r="U647" s="10" t="str">
        <x:v>medium</x:v>
      </x:c>
      <x:c r="V647" s="15" t="str">
        <x:v>flip_flops_sale</x:v>
      </x:c>
      <x:c r="W647" s="15" t="str">
        <x:v>ambiguity_review</x:v>
      </x:c>
      <x:c r="X647" s="15" t="str">
        <x:v>{"product_type":[{"value":"flip_flops","evidence_type":"page_validated","source_span":"","fact_ids":["style_flip_flop"],"rationale":"产品为人字拖鞋"},{"value":"flip_flops","evidence_type":"inferred","source_span":"","fact_ids":[],"rationale":"该能力由搜索词表达的任务或问题推断；页面事实仅用于验证商品承接。"}],"function_intent":[{"value":"deal_seeking","evidence_type":"explicit","source_span":"sale","fact_ids":[],"rationale":"搜索词含sale表明折扣比价意图；价格不在模型范围内"}],"primary_domain":[{"value":"clothing_shoes_jewelry","evidence_type":"inferred","source_span":"","fact_ids":[],"rationale":"该值由搜索词整体语义推断，未作为页面明示属性。"}]}</x:v>
      </x:c>
      <x:c r="Y647" s="15" t="str">
        <x:v>possible_typo_fit_flops | possible_brand_fitflop</x:v>
      </x:c>
      <x:c r="Z647" s="10" t="str">
        <x:v>partial_match</x:v>
      </x:c>
      <x:c r="AA647" s="15" t="str">
        <x:v>style_flip_flop | title_womens_flip_flop</x:v>
      </x:c>
      <x:c r="AB647" s="10" t="str">
        <x:v>accepted</x:v>
      </x:c>
      <x:c r="AC647" s="10" t="str">
        <x:v>1.0.0</x:v>
      </x:c>
      <x:c r="AD647" s="10" t="str">
        <x:v>1.1.0</x:v>
      </x:c>
      <x:c r="AE647" s="10" t="str">
        <x:v>deepseek/deepseek-v4-pro</x:v>
      </x:c>
      <x:c r="AF647" s="10" t="str">
        <x:v>aj2-y90-20260714T234810-0bea2f52</x:v>
      </x:c>
      <x:c r="AG647" s="10" t="str">
        <x:v>full-0033</x:v>
      </x:c>
      <x:c r="AH647" s="10" t="str">
        <x:v>full</x:v>
      </x:c>
      <x:c r="AI647" s="10" t="n">
        <x:v>33</x:v>
      </x:c>
    </x:row>
    <x:row r="648" ht="34" customHeight="1">
      <x:c r="A648" s="16" t="str">
        <x:v>women's flip flops orthopedic</x:v>
      </x:c>
      <x:c r="B648" s="16" t="str">
        <x:v>women's flip flops orthopedic</x:v>
      </x:c>
      <x:c r="C648" s="13" t="str">
        <x:v>3ebeedbbf5320c66</x:v>
      </x:c>
      <x:c r="D648" s="13" t="str">
        <x:v>keyword</x:v>
      </x:c>
      <x:c r="E648" s="13" t="str">
        <x:v>en</x:v>
      </x:c>
      <x:c r="F648" s="13" t="str">
        <x:v>clothing_shoes_jewelry</x:v>
      </x:c>
      <x:c r="G648" s="16" t="str"/>
      <x:c r="H648" s="16" t="str">
        <x:v>flip_flops</x:v>
      </x:c>
      <x:c r="I648" s="16" t="str">
        <x:v>women</x:v>
      </x:c>
      <x:c r="J648" s="16" t="str"/>
      <x:c r="K648" s="16" t="str">
        <x:v>orthopedic_support</x:v>
      </x:c>
      <x:c r="L648" s="16" t="str"/>
      <x:c r="M648" s="16" t="str"/>
      <x:c r="N648" s="16" t="str">
        <x:v>arch_support | foot_pain_relief</x:v>
      </x:c>
      <x:c r="O648" s="16" t="str"/>
      <x:c r="P648" s="16" t="str"/>
      <x:c r="Q648" s="16" t="str"/>
      <x:c r="R648" s="16" t="str">
        <x:v>用户为女性寻找矫形人字拖鞋，以缓解足部不适或脚型问题</x:v>
      </x:c>
      <x:c r="S648" s="13" t="str">
        <x:v>high_intent</x:v>
      </x:c>
      <x:c r="T648" s="16" t="str">
        <x:v>explicit | page_validated | inferred</x:v>
      </x:c>
      <x:c r="U648" s="13" t="str">
        <x:v>medium</x:v>
      </x:c>
      <x:c r="V648" s="16" t="str">
        <x:v>womens_orthopedic_flip_flops</x:v>
      </x:c>
      <x:c r="W648" s="16" t="str">
        <x:v>listing_gap_review</x:v>
      </x:c>
      <x:c r="X648" s="16" t="str">
        <x:v>{"product_type":[{"value":"flip_flops","evidence_type":"explicit","source_span":"flip flops","fact_ids":[],"rationale":"搜索词要求人字拖鞋"},{"value":"flip_flops","evidence_type":"page_validated","source_span":"","fact_ids":["style_flip_flop","title_womens_flip_flop"],"rationale":"产品为女士人字拖鞋"}],"audience_intent":[{"value":"women","evidence_type":"explicit","source_span":"women's","fact_ids":[],"rationale":"搜索词指定女性受众"},{"value":"women","evidence_type":"page_validated","source_span":"","fact_ids":["title_womens_flip_flop"],"rationale":"该槽位与商品基准中的明示页面事实一致。"}],"capability_intent":[{"value":"orthopedic_support","evidence_type":"explicit","source_span":"orthopedic","fact_ids":[],"rationale":"搜索词要求矫形功能；页面不声明医疗矫形功效"},{"value":"arch_support","evidence_type":"page_validated","source_span":"","fact_ids":["arch_support"],"rationale":"该槽位与商品基准中的明示页面事实一致。"},{"value":"arch_support","evidence_type":"inferred","source_span":"","fact_ids":[],"rationale":"该能力由搜索词表达的任务或问题推断；页面事实仅用于验证商品承接。"}],"body_need_intent":[{"value":"foot_pain_relief","evidence_type":"inferred","source_span":"orthopedic","fact_ids":[],"rationale":"矫形鞋通常缓解脚痛，产品具备支撑缓冲"}],"primary_domain":[{"value":"clothing_shoes_jewelry","evidence_type":"inferred","source_span":"","fact_ids":[],"rationale":"该值由搜索词整体语义推断，未作为页面明示属性。"}]}</x:v>
      </x:c>
      <x:c r="Y648" s="16" t="str"/>
      <x:c r="Z648" s="13" t="str">
        <x:v>partial_match</x:v>
      </x:c>
      <x:c r="AA648" s="16" t="str">
        <x:v>arch_support | padded_cushioning | title_womens_flip_flop | style_flip_flop</x:v>
      </x:c>
      <x:c r="AB648" s="13" t="str">
        <x:v>accepted</x:v>
      </x:c>
      <x:c r="AC648" s="13" t="str">
        <x:v>1.0.0</x:v>
      </x:c>
      <x:c r="AD648" s="13" t="str">
        <x:v>1.1.0</x:v>
      </x:c>
      <x:c r="AE648" s="13" t="str">
        <x:v>deepseek/deepseek-v4-pro</x:v>
      </x:c>
      <x:c r="AF648" s="13" t="str">
        <x:v>aj2-y90-20260714T234810-0bea2f52</x:v>
      </x:c>
      <x:c r="AG648" s="13" t="str">
        <x:v>full-0033</x:v>
      </x:c>
      <x:c r="AH648" s="13" t="str">
        <x:v>full</x:v>
      </x:c>
      <x:c r="AI648" s="13" t="n">
        <x:v>33</x:v>
      </x:c>
    </x:row>
    <x:row r="649" ht="34" customHeight="1">
      <x:c r="A649" s="15" t="str">
        <x:v>textured flip flops for women</x:v>
      </x:c>
      <x:c r="B649" s="15" t="str">
        <x:v>textured flip flops for women</x:v>
      </x:c>
      <x:c r="C649" s="10" t="str">
        <x:v>465813d1096b1776</x:v>
      </x:c>
      <x:c r="D649" s="10" t="str">
        <x:v>keyword</x:v>
      </x:c>
      <x:c r="E649" s="10" t="str">
        <x:v>en</x:v>
      </x:c>
      <x:c r="F649" s="10" t="str">
        <x:v>clothing_shoes_jewelry</x:v>
      </x:c>
      <x:c r="G649" s="15" t="str"/>
      <x:c r="H649" s="15" t="str">
        <x:v>flip_flops</x:v>
      </x:c>
      <x:c r="I649" s="15" t="str">
        <x:v>women</x:v>
      </x:c>
      <x:c r="J649" s="15" t="str"/>
      <x:c r="K649" s="15" t="str">
        <x:v>textured_sole</x:v>
      </x:c>
      <x:c r="L649" s="15" t="str"/>
      <x:c r="M649" s="15" t="str"/>
      <x:c r="N649" s="15" t="str"/>
      <x:c r="O649" s="15" t="str"/>
      <x:c r="P649" s="15" t="str"/>
      <x:c r="Q649" s="15" t="str"/>
      <x:c r="R649" s="15" t="str">
        <x:v>用户为女性寻找鞋底带纹理的人字拖鞋，以获得防滑抓地力</x:v>
      </x:c>
      <x:c r="S649" s="10" t="str">
        <x:v>high_intent</x:v>
      </x:c>
      <x:c r="T649" s="15" t="str">
        <x:v>explicit | page_validated</x:v>
      </x:c>
      <x:c r="U649" s="10" t="str">
        <x:v>high</x:v>
      </x:c>
      <x:c r="V649" s="15" t="str">
        <x:v>textured_flip_flops_women</x:v>
      </x:c>
      <x:c r="W649" s="15" t="str">
        <x:v>cluster_route</x:v>
      </x:c>
      <x:c r="X649" s="15" t="str">
        <x:v>{"product_type":[{"value":"flip_flops","evidence_type":"explicit","source_span":"flip flops","fact_ids":[],"rationale":"搜索词明确要求人字拖鞋品类"},{"value":"flip_flops","evidence_type":"page_validated","source_span":"","fact_ids":["style_flip_flop","title_womens_flip_flop"],"rationale":"产品页面确认为人字拖鞋女士款"}],"audience_intent":[{"value":"women","evidence_type":"explicit","source_span":"for women","fact_ids":[],"rationale":"搜索词直接指定女性受众"},{"value":"women","evidence_type":"page_validated","source_span":"","fact_ids":["title_womens_flip_flop"],"rationale":"该槽位与商品基准中的明示页面事实一致。"}],"capability_intent":[{"value":"textured_sole","evidence_type":"explicit","source_span":"textured","fact_ids":[],"rationale":"搜索词要求纹理鞋底"},{"value":"textured_sole","evidence_type":"page_validated","source_span":"","fact_ids":["slip_resistant_grip"],"rationale":"页面声称深纹理格纹外底提供防滑抓地力"}],"primary_domain":[{"value":"clothing_shoes_jewelry","evidence_type":"inferred","source_span":"","fact_ids":[],"rationale":"该值由搜索词整体语义推断，未作为页面明示属性。"}]}</x:v>
      </x:c>
      <x:c r="Y649" s="15" t="str"/>
      <x:c r="Z649" s="10" t="str">
        <x:v>match</x:v>
      </x:c>
      <x:c r="AA649" s="15" t="str">
        <x:v>slip_resistant_grip | title_womens_flip_flop | style_flip_flop</x:v>
      </x:c>
      <x:c r="AB649" s="10" t="str">
        <x:v>accepted</x:v>
      </x:c>
      <x:c r="AC649" s="10" t="str">
        <x:v>1.0.0</x:v>
      </x:c>
      <x:c r="AD649" s="10" t="str">
        <x:v>1.1.0</x:v>
      </x:c>
      <x:c r="AE649" s="10" t="str">
        <x:v>deepseek/deepseek-v4-pro</x:v>
      </x:c>
      <x:c r="AF649" s="10" t="str">
        <x:v>aj2-y90-20260714T234810-0bea2f52</x:v>
      </x:c>
      <x:c r="AG649" s="10" t="str">
        <x:v>full-0033</x:v>
      </x:c>
      <x:c r="AH649" s="10" t="str">
        <x:v>full</x:v>
      </x:c>
      <x:c r="AI649" s="10" t="n">
        <x:v>33</x:v>
      </x:c>
    </x:row>
    <x:row r="650" ht="34" customHeight="1">
      <x:c r="A650" s="16" t="str">
        <x:v>woman flip flops size 11</x:v>
      </x:c>
      <x:c r="B650" s="16" t="str">
        <x:v>woman flip flops size 11</x:v>
      </x:c>
      <x:c r="C650" s="13" t="str">
        <x:v>5649042d0ad19c42</x:v>
      </x:c>
      <x:c r="D650" s="13" t="str">
        <x:v>keyword</x:v>
      </x:c>
      <x:c r="E650" s="13" t="str">
        <x:v>en</x:v>
      </x:c>
      <x:c r="F650" s="13" t="str">
        <x:v>clothing_shoes_jewelry</x:v>
      </x:c>
      <x:c r="G650" s="16" t="str"/>
      <x:c r="H650" s="16" t="str">
        <x:v>flip_flops</x:v>
      </x:c>
      <x:c r="I650" s="16" t="str">
        <x:v>women</x:v>
      </x:c>
      <x:c r="J650" s="16" t="str"/>
      <x:c r="K650" s="16" t="str">
        <x:v>size_11</x:v>
      </x:c>
      <x:c r="L650" s="16" t="str"/>
      <x:c r="M650" s="16" t="str"/>
      <x:c r="N650" s="16" t="str"/>
      <x:c r="O650" s="16" t="str"/>
      <x:c r="P650" s="16" t="str"/>
      <x:c r="Q650" s="16" t="str"/>
      <x:c r="R650" s="16" t="str">
        <x:v>用户寻找11码女式人字拖鞋</x:v>
      </x:c>
      <x:c r="S650" s="13" t="str">
        <x:v>high_intent</x:v>
      </x:c>
      <x:c r="T650" s="16" t="str">
        <x:v>explicit | page_validated</x:v>
      </x:c>
      <x:c r="U650" s="13" t="str">
        <x:v>high</x:v>
      </x:c>
      <x:c r="V650" s="16" t="str">
        <x:v>woman_flip_flops_size_11</x:v>
      </x:c>
      <x:c r="W650" s="16" t="str">
        <x:v>cluster_route</x:v>
      </x:c>
      <x:c r="X650" s="16" t="str">
        <x:v>{"product_type":[{"value":"flip_flops","evidence_type":"explicit","source_span":"flip flops","fact_ids":[],"rationale":"搜索词要求人字拖鞋"},{"value":"flip_flops","evidence_type":"page_validated","source_span":"","fact_ids":["style_flip_flop","title_womens_flip_flop"],"rationale":"产品页面确认人字拖鞋"}],"audience_intent":[{"value":"women","evidence_type":"explicit","source_span":"woman","fact_ids":[],"rationale":"搜索词指定女性受众"},{"value":"women","evidence_type":"page_validated","source_span":"","fact_ids":["title_womens_flip_flop"],"rationale":"该槽位与商品基准中的明示页面事实一致。"},{"value":"women","evidence_type":"inferred","source_span":"","fact_ids":[],"rationale":"该能力由搜索词表达的任务或问题推断；页面事实仅用于验证商品承接。"}],"capability_intent":[{"value":"size_11","evidence_type":"explicit","source_span":"size 11","fact_ids":[],"rationale":"搜索词要求11码"},{"value":"size_11","evidence_type":"page_validated","source_span":"","fact_ids":["sizes_6_11"],"rationale":"页面尺码选择器含US 6-11"}],"primary_domain":[{"value":"clothing_shoes_jewelry","evidence_type":"inferred","source_span":"","fact_ids":[],"rationale":"该值由搜索词整体语义推断，未作为页面明示属性。"}]}</x:v>
      </x:c>
      <x:c r="Y650" s="16" t="str"/>
      <x:c r="Z650" s="13" t="str">
        <x:v>match</x:v>
      </x:c>
      <x:c r="AA650" s="16" t="str">
        <x:v>sizes_6_11 | title_womens_flip_flop | style_flip_flop</x:v>
      </x:c>
      <x:c r="AB650" s="13" t="str">
        <x:v>accepted</x:v>
      </x:c>
      <x:c r="AC650" s="13" t="str">
        <x:v>1.0.0</x:v>
      </x:c>
      <x:c r="AD650" s="13" t="str">
        <x:v>1.1.0</x:v>
      </x:c>
      <x:c r="AE650" s="13" t="str">
        <x:v>deepseek/deepseek-v4-pro</x:v>
      </x:c>
      <x:c r="AF650" s="13" t="str">
        <x:v>aj2-y90-20260714T234810-0bea2f52</x:v>
      </x:c>
      <x:c r="AG650" s="13" t="str">
        <x:v>full-0033</x:v>
      </x:c>
      <x:c r="AH650" s="13" t="str">
        <x:v>full</x:v>
      </x:c>
      <x:c r="AI650" s="13" t="n">
        <x:v>33</x:v>
      </x:c>
    </x:row>
    <x:row r="651" ht="34" customHeight="1">
      <x:c r="A651" s="15" t="str">
        <x:v>women's flip flops rubber</x:v>
      </x:c>
      <x:c r="B651" s="15" t="str">
        <x:v>women's flip flops rubber</x:v>
      </x:c>
      <x:c r="C651" s="10" t="str">
        <x:v>61205cf9feb48d19</x:v>
      </x:c>
      <x:c r="D651" s="10" t="str">
        <x:v>keyword</x:v>
      </x:c>
      <x:c r="E651" s="10" t="str">
        <x:v>en</x:v>
      </x:c>
      <x:c r="F651" s="10" t="str">
        <x:v>clothing_shoes_jewelry</x:v>
      </x:c>
      <x:c r="G651" s="15" t="str"/>
      <x:c r="H651" s="15" t="str">
        <x:v>flip_flops</x:v>
      </x:c>
      <x:c r="I651" s="15" t="str">
        <x:v>women</x:v>
      </x:c>
      <x:c r="J651" s="15" t="str"/>
      <x:c r="K651" s="15" t="str">
        <x:v>rubber_material</x:v>
      </x:c>
      <x:c r="L651" s="15" t="str"/>
      <x:c r="M651" s="15" t="str"/>
      <x:c r="N651" s="15" t="str"/>
      <x:c r="O651" s="15" t="str"/>
      <x:c r="P651" s="15" t="str"/>
      <x:c r="Q651" s="15" t="str"/>
      <x:c r="R651" s="15" t="str">
        <x:v>用户寻找橡胶材质女士人字拖鞋</x:v>
      </x:c>
      <x:c r="S651" s="10" t="str">
        <x:v>high_intent</x:v>
      </x:c>
      <x:c r="T651" s="15" t="str">
        <x:v>explicit | page_validated</x:v>
      </x:c>
      <x:c r="U651" s="10" t="str">
        <x:v>high</x:v>
      </x:c>
      <x:c r="V651" s="15" t="str">
        <x:v>womens_flip_flops_rubber</x:v>
      </x:c>
      <x:c r="W651" s="15" t="str">
        <x:v>semantic_negative_candidate</x:v>
      </x:c>
      <x:c r="X651" s="15" t="str">
        <x:v>{"product_type":[{"value":"flip_flops","evidence_type":"explicit","source_span":"flip flops","fact_ids":[],"rationale":"搜索词要求人字拖鞋"},{"value":"flip_flops","evidence_type":"page_validated","source_span":"","fact_ids":["style_flip_flop","title_womens_flip_flop"],"rationale":"产品为人字拖鞋"}],"audience_intent":[{"value":"women","evidence_type":"explicit","source_span":"women's","fact_ids":[],"rationale":"搜索词指定女性受众"},{"value":"women","evidence_type":"page_validated","source_span":"","fact_ids":["title_womens_flip_flop"],"rationale":"该槽位与商品基准中的明示页面事实一致。"}],"capability_intent":[{"value":"rubber_material","evidence_type":"explicit","source_span":"rubber","fact_ids":[],"rationale":"搜索词要求橡胶材质；页面材质为EVA，非橡胶"}],"primary_domain":[{"value":"clothing_shoes_jewelry","evidence_type":"inferred","source_span":"","fact_ids":[],"rationale":"该值由搜索词整体语义推断，未作为页面明示属性。"}]}</x:v>
      </x:c>
      <x:c r="Y651" s="15" t="str"/>
      <x:c r="Z651" s="10" t="str">
        <x:v>mismatch</x:v>
      </x:c>
      <x:c r="AA651" s="15" t="str">
        <x:v>material_eva | title_womens_flip_flop | style_flip_flop</x:v>
      </x:c>
      <x:c r="AB651" s="10" t="str">
        <x:v>accepted</x:v>
      </x:c>
      <x:c r="AC651" s="10" t="str">
        <x:v>1.0.0</x:v>
      </x:c>
      <x:c r="AD651" s="10" t="str">
        <x:v>1.1.0</x:v>
      </x:c>
      <x:c r="AE651" s="10" t="str">
        <x:v>deepseek/deepseek-v4-pro</x:v>
      </x:c>
      <x:c r="AF651" s="10" t="str">
        <x:v>aj2-y90-20260714T234810-0bea2f52</x:v>
      </x:c>
      <x:c r="AG651" s="10" t="str">
        <x:v>full-0033</x:v>
      </x:c>
      <x:c r="AH651" s="10" t="str">
        <x:v>full</x:v>
      </x:c>
      <x:c r="AI651" s="10" t="n">
        <x:v>33</x:v>
      </x:c>
    </x:row>
    <x:row r="652" ht="34" customHeight="1">
      <x:c r="A652" s="16" t="str">
        <x:v>support flip flops brown</x:v>
      </x:c>
      <x:c r="B652" s="16" t="str">
        <x:v>support flip flops brown</x:v>
      </x:c>
      <x:c r="C652" s="13" t="str">
        <x:v>73f2a31005b8d18a</x:v>
      </x:c>
      <x:c r="D652" s="13" t="str">
        <x:v>keyword</x:v>
      </x:c>
      <x:c r="E652" s="13" t="str">
        <x:v>en</x:v>
      </x:c>
      <x:c r="F652" s="13" t="str">
        <x:v>clothing_shoes_jewelry</x:v>
      </x:c>
      <x:c r="G652" s="16" t="str"/>
      <x:c r="H652" s="16" t="str">
        <x:v>flip_flops</x:v>
      </x:c>
      <x:c r="I652" s="16" t="str"/>
      <x:c r="J652" s="16" t="str"/>
      <x:c r="K652" s="16" t="str">
        <x:v>arch_support | brown_color</x:v>
      </x:c>
      <x:c r="L652" s="16" t="str"/>
      <x:c r="M652" s="16" t="str"/>
      <x:c r="N652" s="16" t="str">
        <x:v>arch_support</x:v>
      </x:c>
      <x:c r="O652" s="16" t="str"/>
      <x:c r="P652" s="16" t="str"/>
      <x:c r="Q652" s="16" t="str"/>
      <x:c r="R652" s="16" t="str">
        <x:v>用户寻找棕色足弓支撑人字拖鞋</x:v>
      </x:c>
      <x:c r="S652" s="13" t="str">
        <x:v>high_intent</x:v>
      </x:c>
      <x:c r="T652" s="16" t="str">
        <x:v>explicit | page_validated</x:v>
      </x:c>
      <x:c r="U652" s="13" t="str">
        <x:v>high</x:v>
      </x:c>
      <x:c r="V652" s="16" t="str">
        <x:v>support_flip_flops_brown</x:v>
      </x:c>
      <x:c r="W652" s="16" t="str">
        <x:v>cluster_route</x:v>
      </x:c>
      <x:c r="X652" s="16" t="str">
        <x:v>{"product_type":[{"value":"flip_flops","evidence_type":"explicit","source_span":"flip flops","fact_ids":[],"rationale":"搜索词要求人字拖鞋"},{"value":"flip_flops","evidence_type":"page_validated","source_span":"","fact_ids":["style_flip_flop"],"rationale":"产品为人字拖鞋"}],"capability_intent":[{"value":"arch_support","evidence_type":"explicit","source_span":"support","fact_ids":[],"rationale":"搜索词要求支撑功能"},{"value":"arch_support","evidence_type":"page_validated","source_span":"","fact_ids":["arch_support"],"rationale":"页面声明ergonomic arch support及全天舒适对齐"},{"value":"brown_color","evidence_type":"explicit","source_span":"brown","fact_ids":[],"rationale":"搜索词要求棕色"},{"value":"brown_color","evidence_type":"page_validated","source_span":"","fact_ids":["colors_visible"],"rationale":"颜色选择器含棕色"},{"value":"arch_suppor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652" s="16" t="str"/>
      <x:c r="Z652" s="13" t="str">
        <x:v>match</x:v>
      </x:c>
      <x:c r="AA652" s="16" t="str">
        <x:v>arch_support | colors_visible | style_flip_flop</x:v>
      </x:c>
      <x:c r="AB652" s="13" t="str">
        <x:v>accepted</x:v>
      </x:c>
      <x:c r="AC652" s="13" t="str">
        <x:v>1.0.0</x:v>
      </x:c>
      <x:c r="AD652" s="13" t="str">
        <x:v>1.1.0</x:v>
      </x:c>
      <x:c r="AE652" s="13" t="str">
        <x:v>deepseek/deepseek-v4-pro</x:v>
      </x:c>
      <x:c r="AF652" s="13" t="str">
        <x:v>aj2-y90-20260714T234810-0bea2f52</x:v>
      </x:c>
      <x:c r="AG652" s="13" t="str">
        <x:v>full-0033</x:v>
      </x:c>
      <x:c r="AH652" s="13" t="str">
        <x:v>full</x:v>
      </x:c>
      <x:c r="AI652" s="13" t="n">
        <x:v>33</x:v>
      </x:c>
    </x:row>
    <x:row r="653" ht="34" customHeight="1">
      <x:c r="A653" s="15" t="str">
        <x:v>taupe flip flops</x:v>
      </x:c>
      <x:c r="B653" s="15" t="str">
        <x:v>taupe flip flops</x:v>
      </x:c>
      <x:c r="C653" s="10" t="str">
        <x:v>76a57e6d0e32a83f</x:v>
      </x:c>
      <x:c r="D653" s="10" t="str">
        <x:v>keyword</x:v>
      </x:c>
      <x:c r="E653" s="10" t="str">
        <x:v>en</x:v>
      </x:c>
      <x:c r="F653" s="10" t="str">
        <x:v>clothing_shoes_jewelry</x:v>
      </x:c>
      <x:c r="G653" s="15" t="str"/>
      <x:c r="H653" s="15" t="str">
        <x:v>flip_flops</x:v>
      </x:c>
      <x:c r="I653" s="15" t="str"/>
      <x:c r="J653" s="15" t="str"/>
      <x:c r="K653" s="15" t="str">
        <x:v>taupe_color</x:v>
      </x:c>
      <x:c r="L653" s="15" t="str"/>
      <x:c r="M653" s="15" t="str"/>
      <x:c r="N653" s="15" t="str"/>
      <x:c r="O653" s="15" t="str"/>
      <x:c r="P653" s="15" t="str"/>
      <x:c r="Q653" s="15" t="str"/>
      <x:c r="R653" s="15" t="str">
        <x:v>用户寻找灰褐色人字拖鞋</x:v>
      </x:c>
      <x:c r="S653" s="10" t="str">
        <x:v>high_intent</x:v>
      </x:c>
      <x:c r="T653" s="15" t="str">
        <x:v>explicit | page_validated</x:v>
      </x:c>
      <x:c r="U653" s="10" t="str">
        <x:v>high</x:v>
      </x:c>
      <x:c r="V653" s="15" t="str">
        <x:v>taupe_flip_flops</x:v>
      </x:c>
      <x:c r="W653" s="15" t="str">
        <x:v>semantic_negative_candidate</x:v>
      </x:c>
      <x:c r="X653" s="15" t="str">
        <x:v>{"product_type":[{"value":"flip_flops","evidence_type":"explicit","source_span":"flip flops","fact_ids":[],"rationale":"搜索词要求人字拖鞋"},{"value":"flip_flops","evidence_type":"page_validated","source_span":"","fact_ids":["style_flip_flop"],"rationale":"产品为人字拖鞋"}],"capability_intent":[{"value":"taupe_color","evidence_type":"explicit","source_span":"taupe","fact_ids":[],"rationale":"搜索词要求灰褐色；页面可选颜色不含taupe"}],"primary_domain":[{"value":"clothing_shoes_jewelry","evidence_type":"inferred","source_span":"","fact_ids":[],"rationale":"该值由搜索词整体语义推断，未作为页面明示属性。"}]}</x:v>
      </x:c>
      <x:c r="Y653" s="15" t="str"/>
      <x:c r="Z653" s="10" t="str">
        <x:v>mismatch</x:v>
      </x:c>
      <x:c r="AA653" s="15" t="str">
        <x:v>colors_visible | style_flip_flop</x:v>
      </x:c>
      <x:c r="AB653" s="10" t="str">
        <x:v>accepted</x:v>
      </x:c>
      <x:c r="AC653" s="10" t="str">
        <x:v>1.0.0</x:v>
      </x:c>
      <x:c r="AD653" s="10" t="str">
        <x:v>1.1.0</x:v>
      </x:c>
      <x:c r="AE653" s="10" t="str">
        <x:v>deepseek/deepseek-v4-pro</x:v>
      </x:c>
      <x:c r="AF653" s="10" t="str">
        <x:v>aj2-y90-20260714T234810-0bea2f52</x:v>
      </x:c>
      <x:c r="AG653" s="10" t="str">
        <x:v>full-0033</x:v>
      </x:c>
      <x:c r="AH653" s="10" t="str">
        <x:v>full</x:v>
      </x:c>
      <x:c r="AI653" s="10" t="n">
        <x:v>33</x:v>
      </x:c>
    </x:row>
    <x:row r="654" ht="34" customHeight="1">
      <x:c r="A654" s="16" t="str">
        <x:v>arch support flip flops white</x:v>
      </x:c>
      <x:c r="B654" s="16" t="str">
        <x:v>arch support flip flops white</x:v>
      </x:c>
      <x:c r="C654" s="13" t="str">
        <x:v>86675020f0620a82</x:v>
      </x:c>
      <x:c r="D654" s="13" t="str">
        <x:v>keyword</x:v>
      </x:c>
      <x:c r="E654" s="13" t="str">
        <x:v>en</x:v>
      </x:c>
      <x:c r="F654" s="13" t="str">
        <x:v>clothing_shoes_jewelry</x:v>
      </x:c>
      <x:c r="G654" s="16" t="str"/>
      <x:c r="H654" s="16" t="str">
        <x:v>flip_flops</x:v>
      </x:c>
      <x:c r="I654" s="16" t="str"/>
      <x:c r="J654" s="16" t="str"/>
      <x:c r="K654" s="16" t="str">
        <x:v>arch_support | white_color</x:v>
      </x:c>
      <x:c r="L654" s="16" t="str"/>
      <x:c r="M654" s="16" t="str"/>
      <x:c r="N654" s="16" t="str">
        <x:v>arch_support</x:v>
      </x:c>
      <x:c r="O654" s="16" t="str"/>
      <x:c r="P654" s="16" t="str"/>
      <x:c r="Q654" s="16" t="str"/>
      <x:c r="R654" s="16" t="str">
        <x:v>用户寻找白色足弓支撑人字拖鞋</x:v>
      </x:c>
      <x:c r="S654" s="13" t="str">
        <x:v>high_intent</x:v>
      </x:c>
      <x:c r="T654" s="16" t="str">
        <x:v>explicit | page_validated</x:v>
      </x:c>
      <x:c r="U654" s="13" t="str">
        <x:v>high</x:v>
      </x:c>
      <x:c r="V654" s="16" t="str">
        <x:v>arch_support_flip_flops_white</x:v>
      </x:c>
      <x:c r="W654" s="16" t="str">
        <x:v>cluster_route</x:v>
      </x:c>
      <x:c r="X654" s="16" t="str">
        <x:v>{"product_type":[{"value":"flip_flops","evidence_type":"explicit","source_span":"flip flops","fact_ids":[],"rationale":"搜索词要求人字拖鞋"},{"value":"flip_flops","evidence_type":"page_validated","source_span":"","fact_ids":["style_flip_flop"],"rationale":"产品为人字拖鞋"}],"capability_intent":[{"value":"arch_support","evidence_type":"explicit","source_span":"arch support","fact_ids":[],"rationale":"搜索词明确要求足弓支撑"},{"value":"arch_support","evidence_type":"page_validated","source_span":"","fact_ids":["arch_support"],"rationale":"页面声明ergonomic arch support"},{"value":"white_color","evidence_type":"explicit","source_span":"white","fact_ids":[],"rationale":"搜索词要求白色"},{"value":"white_color","evidence_type":"page_validated","source_span":"","fact_ids":["colors_visible"],"rationale":"颜色选择器含白色"}],"primary_domain":[{"value":"clothing_shoes_jewelry","evidence_type":"inferred","source_span":"","fact_ids":[],"rationale":"该值由搜索词整体语义推断，未作为页面明示属性。"}]}</x:v>
      </x:c>
      <x:c r="Y654" s="16" t="str"/>
      <x:c r="Z654" s="13" t="str">
        <x:v>match</x:v>
      </x:c>
      <x:c r="AA654" s="16" t="str">
        <x:v>arch_support | colors_visible | style_flip_flop</x:v>
      </x:c>
      <x:c r="AB654" s="13" t="str">
        <x:v>accepted</x:v>
      </x:c>
      <x:c r="AC654" s="13" t="str">
        <x:v>1.0.0</x:v>
      </x:c>
      <x:c r="AD654" s="13" t="str">
        <x:v>1.1.0</x:v>
      </x:c>
      <x:c r="AE654" s="13" t="str">
        <x:v>deepseek/deepseek-v4-pro</x:v>
      </x:c>
      <x:c r="AF654" s="13" t="str">
        <x:v>aj2-y90-20260714T234810-0bea2f52</x:v>
      </x:c>
      <x:c r="AG654" s="13" t="str">
        <x:v>full-0033</x:v>
      </x:c>
      <x:c r="AH654" s="13" t="str">
        <x:v>full</x:v>
      </x:c>
      <x:c r="AI654" s="13" t="n">
        <x:v>33</x:v>
      </x:c>
    </x:row>
    <x:row r="655" ht="34" customHeight="1">
      <x:c r="A655" s="15" t="str">
        <x:v>flip flops for women size 9.5</x:v>
      </x:c>
      <x:c r="B655" s="15" t="str">
        <x:v>flip flops for women size 9.5</x:v>
      </x:c>
      <x:c r="C655" s="10" t="str">
        <x:v>a7cbe5bbb4b94e77</x:v>
      </x:c>
      <x:c r="D655" s="10" t="str">
        <x:v>keyword</x:v>
      </x:c>
      <x:c r="E655" s="10" t="str">
        <x:v>en</x:v>
      </x:c>
      <x:c r="F655" s="10" t="str">
        <x:v>clothing_shoes_jewelry</x:v>
      </x:c>
      <x:c r="G655" s="15" t="str"/>
      <x:c r="H655" s="15" t="str">
        <x:v>flip_flops</x:v>
      </x:c>
      <x:c r="I655" s="15" t="str">
        <x:v>women</x:v>
      </x:c>
      <x:c r="J655" s="15" t="str"/>
      <x:c r="K655" s="15" t="str">
        <x:v>size_9_5</x:v>
      </x:c>
      <x:c r="L655" s="15" t="str"/>
      <x:c r="M655" s="15" t="str"/>
      <x:c r="N655" s="15" t="str"/>
      <x:c r="O655" s="15" t="str"/>
      <x:c r="P655" s="15" t="str"/>
      <x:c r="Q655" s="15" t="str"/>
      <x:c r="R655" s="15" t="str">
        <x:v>用户寻找9.5码女士人字拖鞋</x:v>
      </x:c>
      <x:c r="S655" s="10" t="str">
        <x:v>high_intent</x:v>
      </x:c>
      <x:c r="T655" s="15" t="str">
        <x:v>explicit | page_validated</x:v>
      </x:c>
      <x:c r="U655" s="10" t="str">
        <x:v>medium</x:v>
      </x:c>
      <x:c r="V655" s="15" t="str">
        <x:v>women_flip_flops_size_9_5</x:v>
      </x:c>
      <x:c r="W655" s="15" t="str">
        <x:v>listing_gap_review</x:v>
      </x:c>
      <x:c r="X655" s="15" t="str">
        <x:v>{"product_type":[{"value":"flip_flops","evidence_type":"explicit","source_span":"flip flops","fact_ids":[],"rationale":"搜索词要求人字拖鞋"},{"value":"flip_flops","evidence_type":"page_validated","source_span":"","fact_ids":["style_flip_flop","title_womens_flip_flop"],"rationale":"产品为人字拖鞋"}],"audience_intent":[{"value":"women","evidence_type":"explicit","source_span":"for women","fact_ids":[],"rationale":"搜索词指定女性受众"},{"value":"women","evidence_type":"page_validated","source_span":"","fact_ids":["title_womens_flip_flop"],"rationale":"该槽位与商品基准中的明示页面事实一致。"}],"capability_intent":[{"value":"size_9_5","evidence_type":"explicit","source_span":"size 9.5","fact_ids":[],"rationale":"搜索词要求9.5半码；页面显示整码6-11，半码未被明确列出"}],"primary_domain":[{"value":"clothing_shoes_jewelry","evidence_type":"inferred","source_span":"","fact_ids":[],"rationale":"该值由搜索词整体语义推断，未作为页面明示属性。"}]}</x:v>
      </x:c>
      <x:c r="Y655" s="15" t="str"/>
      <x:c r="Z655" s="10" t="str">
        <x:v>partial_match</x:v>
      </x:c>
      <x:c r="AA655" s="15" t="str">
        <x:v>sizes_6_11 | title_womens_flip_flop | style_flip_flop</x:v>
      </x:c>
      <x:c r="AB655" s="10" t="str">
        <x:v>accepted</x:v>
      </x:c>
      <x:c r="AC655" s="10" t="str">
        <x:v>1.0.0</x:v>
      </x:c>
      <x:c r="AD655" s="10" t="str">
        <x:v>1.1.0</x:v>
      </x:c>
      <x:c r="AE655" s="10" t="str">
        <x:v>deepseek/deepseek-v4-pro</x:v>
      </x:c>
      <x:c r="AF655" s="10" t="str">
        <x:v>aj2-y90-20260714T234810-0bea2f52</x:v>
      </x:c>
      <x:c r="AG655" s="10" t="str">
        <x:v>full-0033</x:v>
      </x:c>
      <x:c r="AH655" s="10" t="str">
        <x:v>full</x:v>
      </x:c>
      <x:c r="AI655" s="10" t="n">
        <x:v>33</x:v>
      </x:c>
    </x:row>
    <x:row r="656" ht="34" customHeight="1">
      <x:c r="A656" s="16" t="str">
        <x:v>flip-flops for women</x:v>
      </x:c>
      <x:c r="B656" s="16" t="str">
        <x:v>flip-flops for women</x:v>
      </x:c>
      <x:c r="C656" s="13" t="str">
        <x:v>ba5bc9ca0cccbb30</x:v>
      </x:c>
      <x:c r="D656" s="13" t="str">
        <x:v>keyword</x:v>
      </x:c>
      <x:c r="E656" s="13" t="str">
        <x:v>en</x:v>
      </x:c>
      <x:c r="F656" s="13" t="str">
        <x:v>clothing_shoes_jewelry</x:v>
      </x:c>
      <x:c r="G656" s="16" t="str"/>
      <x:c r="H656" s="16" t="str">
        <x:v>flip_flops</x:v>
      </x:c>
      <x:c r="I656" s="16" t="str">
        <x:v>women</x:v>
      </x:c>
      <x:c r="J656" s="16" t="str"/>
      <x:c r="K656" s="16" t="str"/>
      <x:c r="L656" s="16" t="str"/>
      <x:c r="M656" s="16" t="str"/>
      <x:c r="N656" s="16" t="str"/>
      <x:c r="O656" s="16" t="str"/>
      <x:c r="P656" s="16" t="str"/>
      <x:c r="Q656" s="16" t="str"/>
      <x:c r="R656" s="16" t="str">
        <x:v>用户正在浏览女士人字拖鞋品类</x:v>
      </x:c>
      <x:c r="S656" s="13" t="str">
        <x:v>exploration</x:v>
      </x:c>
      <x:c r="T656" s="16" t="str">
        <x:v>explicit | page_validated</x:v>
      </x:c>
      <x:c r="U656" s="13" t="str">
        <x:v>high</x:v>
      </x:c>
      <x:c r="V656" s="16" t="str">
        <x:v>flip_flops_women</x:v>
      </x:c>
      <x:c r="W656" s="16" t="str">
        <x:v>cluster_route</x:v>
      </x:c>
      <x:c r="X656" s="16" t="str">
        <x:v>{"product_type":[{"value":"flip_flops","evidence_type":"explicit","source_span":"flip-flops","fact_ids":[],"rationale":"搜索词要求人字拖鞋"},{"value":"flip_flops","evidence_type":"page_validated","source_span":"","fact_ids":["style_flip_flop","title_womens_flip_flop"],"rationale":"产品页面确认为女士人字拖鞋"}],"audience_intent":[{"value":"women","evidence_type":"explicit","source_span":"for women","fact_ids":[],"rationale":"搜索词指定女性受众"},{"value":"women","evidence_type":"page_validated","source_span":"","fact_ids":["title_womens_flip_flop"],"rationale":"该槽位与商品基准中的明示页面事实一致。"}],"primary_domain":[{"value":"clothing_shoes_jewelry","evidence_type":"inferred","source_span":"","fact_ids":[],"rationale":"该值由搜索词整体语义推断，未作为页面明示属性。"}]}</x:v>
      </x:c>
      <x:c r="Y656" s="16" t="str"/>
      <x:c r="Z656" s="13" t="str">
        <x:v>match</x:v>
      </x:c>
      <x:c r="AA656" s="16" t="str">
        <x:v>title_womens_flip_flop | style_flip_flop</x:v>
      </x:c>
      <x:c r="AB656" s="13" t="str">
        <x:v>accepted</x:v>
      </x:c>
      <x:c r="AC656" s="13" t="str">
        <x:v>1.0.0</x:v>
      </x:c>
      <x:c r="AD656" s="13" t="str">
        <x:v>1.1.0</x:v>
      </x:c>
      <x:c r="AE656" s="13" t="str">
        <x:v>deepseek/deepseek-v4-pro</x:v>
      </x:c>
      <x:c r="AF656" s="13" t="str">
        <x:v>aj2-y90-20260714T234810-0bea2f52</x:v>
      </x:c>
      <x:c r="AG656" s="13" t="str">
        <x:v>full-0033</x:v>
      </x:c>
      <x:c r="AH656" s="13" t="str">
        <x:v>full</x:v>
      </x:c>
      <x:c r="AI656" s="13" t="n">
        <x:v>33</x:v>
      </x:c>
    </x:row>
    <x:row r="657" ht="34" customHeight="1">
      <x:c r="A657" s="15" t="str">
        <x:v>orange flip flops for women</x:v>
      </x:c>
      <x:c r="B657" s="15" t="str">
        <x:v>orange flip flops for women</x:v>
      </x:c>
      <x:c r="C657" s="10" t="str">
        <x:v>e840b6b2b815fa76</x:v>
      </x:c>
      <x:c r="D657" s="10" t="str">
        <x:v>keyword</x:v>
      </x:c>
      <x:c r="E657" s="10" t="str">
        <x:v>en</x:v>
      </x:c>
      <x:c r="F657" s="10" t="str">
        <x:v>clothing_shoes_jewelry</x:v>
      </x:c>
      <x:c r="G657" s="15" t="str"/>
      <x:c r="H657" s="15" t="str">
        <x:v>flip_flops</x:v>
      </x:c>
      <x:c r="I657" s="15" t="str">
        <x:v>women</x:v>
      </x:c>
      <x:c r="J657" s="15" t="str"/>
      <x:c r="K657" s="15" t="str">
        <x:v>orange_color</x:v>
      </x:c>
      <x:c r="L657" s="15" t="str"/>
      <x:c r="M657" s="15" t="str"/>
      <x:c r="N657" s="15" t="str"/>
      <x:c r="O657" s="15" t="str"/>
      <x:c r="P657" s="15" t="str"/>
      <x:c r="Q657" s="15" t="str"/>
      <x:c r="R657" s="15" t="str">
        <x:v>用户想购买橙色女士人字拖鞋</x:v>
      </x:c>
      <x:c r="S657" s="10" t="str">
        <x:v>high_intent</x:v>
      </x:c>
      <x:c r="T657" s="15" t="str">
        <x:v>explicit | page_validated</x:v>
      </x:c>
      <x:c r="U657" s="10" t="str">
        <x:v>high</x:v>
      </x:c>
      <x:c r="V657" s="15" t="str">
        <x:v>orange_flip_flops_women</x:v>
      </x:c>
      <x:c r="W657" s="15" t="str">
        <x:v>semantic_negative_candidate</x:v>
      </x:c>
      <x:c r="X657" s="15" t="str">
        <x:v>{"product_type":[{"value":"flip_flops","evidence_type":"explicit","source_span":"flip flops","fact_ids":[],"rationale":"搜索词要求人字拖鞋"},{"value":"flip_flops","evidence_type":"page_validated","source_span":"","fact_ids":["style_flip_flop","title_womens_flip_flop"],"rationale":"产品为人字拖鞋"}],"audience_intent":[{"value":"women","evidence_type":"explicit","source_span":"for women","fact_ids":[],"rationale":"搜索词指定女性受众"},{"value":"women","evidence_type":"page_validated","source_span":"","fact_ids":["title_womens_flip_flop"],"rationale":"该槽位与商品基准中的明示页面事实一致。"}],"capability_intent":[{"value":"orange_color","evidence_type":"explicit","source_span":"orange","fact_ids":[],"rationale":"搜索词指定橙色；页面可选颜色不含橙色"}],"primary_domain":[{"value":"clothing_shoes_jewelry","evidence_type":"inferred","source_span":"","fact_ids":[],"rationale":"该值由搜索词整体语义推断，未作为页面明示属性。"}]}</x:v>
      </x:c>
      <x:c r="Y657" s="15" t="str"/>
      <x:c r="Z657" s="10" t="str">
        <x:v>mismatch</x:v>
      </x:c>
      <x:c r="AA657" s="15" t="str">
        <x:v>colors_visible | title_womens_flip_flop | style_flip_flop</x:v>
      </x:c>
      <x:c r="AB657" s="10" t="str">
        <x:v>accepted</x:v>
      </x:c>
      <x:c r="AC657" s="10" t="str">
        <x:v>1.0.0</x:v>
      </x:c>
      <x:c r="AD657" s="10" t="str">
        <x:v>1.1.0</x:v>
      </x:c>
      <x:c r="AE657" s="10" t="str">
        <x:v>deepseek/deepseek-v4-pro</x:v>
      </x:c>
      <x:c r="AF657" s="10" t="str">
        <x:v>aj2-y90-20260714T234810-0bea2f52</x:v>
      </x:c>
      <x:c r="AG657" s="10" t="str">
        <x:v>full-0033</x:v>
      </x:c>
      <x:c r="AH657" s="10" t="str">
        <x:v>full</x:v>
      </x:c>
      <x:c r="AI657" s="10" t="n">
        <x:v>33</x:v>
      </x:c>
    </x:row>
    <x:row r="658" ht="34" customHeight="1">
      <x:c r="A658" s="16" t="str">
        <x:v>womens beach sandals thick strap</x:v>
      </x:c>
      <x:c r="B658" s="16" t="str">
        <x:v>womens beach sandals thick strap</x:v>
      </x:c>
      <x:c r="C658" s="13" t="str">
        <x:v>efeaed85d1b8fc65</x:v>
      </x:c>
      <x:c r="D658" s="13" t="str">
        <x:v>keyword</x:v>
      </x:c>
      <x:c r="E658" s="13" t="str">
        <x:v>en</x:v>
      </x:c>
      <x:c r="F658" s="13" t="str">
        <x:v>clothing_shoes_jewelry</x:v>
      </x:c>
      <x:c r="G658" s="16" t="str">
        <x:v>sports_outdoors</x:v>
      </x:c>
      <x:c r="H658" s="16" t="str">
        <x:v>sandals</x:v>
      </x:c>
      <x:c r="I658" s="16" t="str">
        <x:v>women</x:v>
      </x:c>
      <x:c r="J658" s="16" t="str"/>
      <x:c r="K658" s="16" t="str">
        <x:v>thick_strap</x:v>
      </x:c>
      <x:c r="L658" s="16" t="str"/>
      <x:c r="M658" s="16" t="str">
        <x:v>beach</x:v>
      </x:c>
      <x:c r="N658" s="16" t="str"/>
      <x:c r="O658" s="16" t="str"/>
      <x:c r="P658" s="16" t="str"/>
      <x:c r="Q658" s="16" t="str"/>
      <x:c r="R658" s="16" t="str">
        <x:v>用户寻找适合海滩穿着的女士厚带凉鞋</x:v>
      </x:c>
      <x:c r="S658" s="13" t="str">
        <x:v>high_intent</x:v>
      </x:c>
      <x:c r="T658" s="16" t="str">
        <x:v>explicit | page_validated</x:v>
      </x:c>
      <x:c r="U658" s="13" t="str">
        <x:v>medium</x:v>
      </x:c>
      <x:c r="V658" s="16" t="str">
        <x:v>womens_beach_sandals_thick_strap</x:v>
      </x:c>
      <x:c r="W658" s="16" t="str">
        <x:v>listing_gap_review</x:v>
      </x:c>
      <x:c r="X658" s="16" t="str">
        <x:v>{"product_type":[{"value":"sandals","evidence_type":"explicit","source_span":"sandals","fact_ids":[],"rationale":"搜索词要求凉鞋"},{"value":"sandals","evidence_type":"page_validated","source_span":"","fact_ids":["title_womens_flip_flop","style_flip_flop"],"rationale":"产品为人字拖凉鞋，属凉鞋子类"}],"audience_intent":[{"value":"women","evidence_type":"explicit","source_span":"womens","fact_ids":[],"rationale":"搜索词指定女性受众"},{"value":"women","evidence_type":"page_validated","source_span":"","fact_ids":["title_womens_flip_flop"],"rationale":"该槽位与商品基准中的明示页面事实一致。"}],"capability_intent":[{"value":"thick_strap","evidence_type":"explicit","source_span":"thick strap","fact_ids":[],"rationale":"搜索词要求厚带设计；页面为细带人字拖，未声明厚带"}],"location_intent":[{"value":"beach","evidence_type":"explicit","source_span":"beach","fact_ids":[],"rationale":"搜索词指定沙滩使用场景"},{"value":"beach","evidence_type":"page_validated","source_span":"","fact_ids":["style_outdoor"],"rationale":"产品定位户外生活场景，沙滩属户外场景"}],"secondary_domain":[{"value":"sports_outdoors","evidence_type":"inferred","source_span":"","fact_ids":[],"rationale":"该值由搜索词整体语义推断，未作为页面明示属性。"}],"primary_domain":[{"value":"clothing_shoes_jewelry","evidence_type":"inferred","source_span":"","fact_ids":[],"rationale":"该值由搜索词整体语义推断，未作为页面明示属性。"}]}</x:v>
      </x:c>
      <x:c r="Y658" s="16" t="str"/>
      <x:c r="Z658" s="13" t="str">
        <x:v>partial_match</x:v>
      </x:c>
      <x:c r="AA658" s="16" t="str">
        <x:v>title_womens_flip_flop | style_outdoor | style_thong</x:v>
      </x:c>
      <x:c r="AB658" s="13" t="str">
        <x:v>accepted</x:v>
      </x:c>
      <x:c r="AC658" s="13" t="str">
        <x:v>1.0.0</x:v>
      </x:c>
      <x:c r="AD658" s="13" t="str">
        <x:v>1.1.0</x:v>
      </x:c>
      <x:c r="AE658" s="13" t="str">
        <x:v>deepseek/deepseek-v4-pro</x:v>
      </x:c>
      <x:c r="AF658" s="13" t="str">
        <x:v>aj2-y90-20260714T234810-0bea2f52</x:v>
      </x:c>
      <x:c r="AG658" s="13" t="str">
        <x:v>full-0033</x:v>
      </x:c>
      <x:c r="AH658" s="13" t="str">
        <x:v>full</x:v>
      </x:c>
      <x:c r="AI658" s="13" t="n">
        <x:v>33</x:v>
      </x:c>
    </x:row>
    <x:row r="659" ht="34" customHeight="1">
      <x:c r="A659" s="15" t="str">
        <x:v>light blue orthopedic sandals for women</x:v>
      </x:c>
      <x:c r="B659" s="15" t="str">
        <x:v>light blue orthopedic sandals for women</x:v>
      </x:c>
      <x:c r="C659" s="10" t="str">
        <x:v>f32d941f8995d24d</x:v>
      </x:c>
      <x:c r="D659" s="10" t="str">
        <x:v>keyword</x:v>
      </x:c>
      <x:c r="E659" s="10" t="str">
        <x:v>en</x:v>
      </x:c>
      <x:c r="F659" s="10" t="str">
        <x:v>clothing_shoes_jewelry</x:v>
      </x:c>
      <x:c r="G659" s="15" t="str"/>
      <x:c r="H659" s="15" t="str">
        <x:v>sandals</x:v>
      </x:c>
      <x:c r="I659" s="15" t="str">
        <x:v>women</x:v>
      </x:c>
      <x:c r="J659" s="15" t="str"/>
      <x:c r="K659" s="15" t="str">
        <x:v>light_blue_color | orthopedic_support</x:v>
      </x:c>
      <x:c r="L659" s="15" t="str"/>
      <x:c r="M659" s="15" t="str"/>
      <x:c r="N659" s="15" t="str">
        <x:v>arch_support | foot_pain_relief</x:v>
      </x:c>
      <x:c r="O659" s="15" t="str"/>
      <x:c r="P659" s="15" t="str"/>
      <x:c r="Q659" s="15" t="str"/>
      <x:c r="R659" s="15" t="str">
        <x:v>用户为女性寻找浅蓝色矫形凉鞋，需要足弓支撑以缓解脚部不适</x:v>
      </x:c>
      <x:c r="S659" s="10" t="str">
        <x:v>high_intent</x:v>
      </x:c>
      <x:c r="T659" s="15" t="str">
        <x:v>explicit | page_validated</x:v>
      </x:c>
      <x:c r="U659" s="10" t="str">
        <x:v>medium</x:v>
      </x:c>
      <x:c r="V659" s="15" t="str">
        <x:v>light_blue_orthopedic_sandals_women</x:v>
      </x:c>
      <x:c r="W659" s="15" t="str">
        <x:v>listing_gap_review</x:v>
      </x:c>
      <x:c r="X659" s="15" t="str">
        <x:v>{"product_type":[{"value":"sandals","evidence_type":"explicit","source_span":"sandals","fact_ids":[],"rationale":"搜索词要求凉鞋"},{"value":"sandals","evidence_type":"page_validated","source_span":"","fact_ids":["title_womens_flip_flop","style_flip_flop"],"rationale":"产品为人字拖凉鞋"}],"audience_intent":[{"value":"women","evidence_type":"explicit","source_span":"for women","fact_ids":[],"rationale":"搜索词指定女性受众"},{"value":"women","evidence_type":"page_validated","source_span":"","fact_ids":["title_womens_flip_flop"],"rationale":"该槽位与商品基准中的明示页面事实一致。"}],"capability_intent":[{"value":"light_blue_color","evidence_type":"explicit","source_span":"light blue","fact_ids":[],"rationale":"搜索词要求浅蓝色"},{"value":"light_blue_color","evidence_type":"page_validated","source_span":"","fact_ids":["colors_visible"],"rationale":"页面颜色选择器含浅蓝色"},{"value":"orthopedic_support","evidence_type":"explicit","source_span":"orthopedic","fact_ids":[],"rationale":"搜索词要求矫形功能；页面有足弓支撑但非医疗矫形声明"},{"value":"arch_support","evidence_type":"page_validated","source_span":"","fact_ids":["arch_support"],"rationale":"该槽位与商品基准中的明示页面事实一致。"},{"value":"arch_support","evidence_type":"inferred","source_span":"","fact_ids":[],"rationale":"该能力由搜索词表达的任务或问题推断；页面事实仅用于验证商品承接。"}],"body_need_intent":[{"value":"foot_pain_relief","evidence_type":"inferred","source_span":"orthopedic","fact_ids":[],"rationale":"矫形鞋通常用于缓解脚部不适，产品有支撑和缓冲"}],"primary_domain":[{"value":"clothing_shoes_jewelry","evidence_type":"inferred","source_span":"","fact_ids":[],"rationale":"该值由搜索词整体语义推断，未作为页面明示属性。"}]}</x:v>
      </x:c>
      <x:c r="Y659" s="15" t="str"/>
      <x:c r="Z659" s="10" t="str">
        <x:v>partial_match</x:v>
      </x:c>
      <x:c r="AA659" s="15" t="str">
        <x:v>colors_visible | arch_support | padded_cushioning | title_womens_flip_flop</x:v>
      </x:c>
      <x:c r="AB659" s="10" t="str">
        <x:v>accepted</x:v>
      </x:c>
      <x:c r="AC659" s="10" t="str">
        <x:v>1.0.0</x:v>
      </x:c>
      <x:c r="AD659" s="10" t="str">
        <x:v>1.1.0</x:v>
      </x:c>
      <x:c r="AE659" s="10" t="str">
        <x:v>deepseek/deepseek-v4-pro</x:v>
      </x:c>
      <x:c r="AF659" s="10" t="str">
        <x:v>aj2-y90-20260714T234810-0bea2f52</x:v>
      </x:c>
      <x:c r="AG659" s="10" t="str">
        <x:v>full-0033</x:v>
      </x:c>
      <x:c r="AH659" s="10" t="str">
        <x:v>full</x:v>
      </x:c>
      <x:c r="AI659" s="10" t="n">
        <x:v>33</x:v>
      </x:c>
    </x:row>
    <x:row r="660" ht="34" customHeight="1">
      <x:c r="A660" s="16" t="str">
        <x:v>women flip flop sandals size 11</x:v>
      </x:c>
      <x:c r="B660" s="16" t="str">
        <x:v>women flip flop sandals size 11</x:v>
      </x:c>
      <x:c r="C660" s="13" t="str">
        <x:v>f75465d21438d224</x:v>
      </x:c>
      <x:c r="D660" s="13" t="str">
        <x:v>keyword</x:v>
      </x:c>
      <x:c r="E660" s="13" t="str">
        <x:v>en</x:v>
      </x:c>
      <x:c r="F660" s="13" t="str">
        <x:v>clothing_shoes_jewelry</x:v>
      </x:c>
      <x:c r="G660" s="16" t="str"/>
      <x:c r="H660" s="16" t="str">
        <x:v>flip_flops | sandals</x:v>
      </x:c>
      <x:c r="I660" s="16" t="str">
        <x:v>women</x:v>
      </x:c>
      <x:c r="J660" s="16" t="str"/>
      <x:c r="K660" s="16" t="str">
        <x:v>size_11</x:v>
      </x:c>
      <x:c r="L660" s="16" t="str"/>
      <x:c r="M660" s="16" t="str"/>
      <x:c r="N660" s="16" t="str"/>
      <x:c r="O660" s="16" t="str"/>
      <x:c r="P660" s="16" t="str"/>
      <x:c r="Q660" s="16" t="str"/>
      <x:c r="R660" s="16" t="str">
        <x:v>用户寻找11码女士人字拖鞋</x:v>
      </x:c>
      <x:c r="S660" s="13" t="str">
        <x:v>high_intent</x:v>
      </x:c>
      <x:c r="T660" s="16" t="str">
        <x:v>explicit | page_validated</x:v>
      </x:c>
      <x:c r="U660" s="13" t="str">
        <x:v>high</x:v>
      </x:c>
      <x:c r="V660" s="16" t="str">
        <x:v>women_flip_flops_size_11</x:v>
      </x:c>
      <x:c r="W660" s="16" t="str">
        <x:v>cluster_route</x:v>
      </x:c>
      <x:c r="X660" s="16" t="str">
        <x:v>{"product_type":[{"value":"flip_flops","evidence_type":"explicit","source_span":"flip flop","fact_ids":[],"rationale":"搜索词要求人字拖鞋"},{"value":"flip_flops","evidence_type":"page_validated","source_span":"","fact_ids":["style_flip_flop","title_womens_flip_flop"],"rationale":"产品页面确认人字拖鞋"},{"value":"sandals","evidence_type":"explicit","source_span":"sandals","fact_ids":[],"rationale":"搜索词提及凉鞋，与人字拖属于同类"},{"value":"flip_flops","evidence_type":"inferred","source_span":"","fact_ids":[],"rationale":"该能力由搜索词表达的任务或问题推断；页面事实仅用于验证商品承接。"},{"value":"sandals","evidence_type":"page_validated","source_span":"","fact_ids":["title_womens_flip_flop"],"rationale":"该槽位与商品基准中的明示页面事实一致。"}],"audience_intent":[{"value":"women","evidence_type":"explicit","source_span":"women","fact_ids":[],"rationale":"搜索词指定女性受众"},{"value":"women","evidence_type":"page_validated","source_span":"","fact_ids":["title_womens_flip_flop"],"rationale":"该槽位与商品基准中的明示页面事实一致。"}],"capability_intent":[{"value":"size_11","evidence_type":"explicit","source_span":"size 11","fact_ids":[],"rationale":"搜索词要求11码"},{"value":"size_11","evidence_type":"page_validated","source_span":"","fact_ids":["sizes_6_11"],"rationale":"页面尺码选择器包含US 6至11码"}],"primary_domain":[{"value":"clothing_shoes_jewelry","evidence_type":"inferred","source_span":"","fact_ids":[],"rationale":"该值由搜索词整体语义推断，未作为页面明示属性。"}]}</x:v>
      </x:c>
      <x:c r="Y660" s="16" t="str"/>
      <x:c r="Z660" s="13" t="str">
        <x:v>match</x:v>
      </x:c>
      <x:c r="AA660" s="16" t="str">
        <x:v>sizes_6_11 | title_womens_flip_flop | style_flip_flop</x:v>
      </x:c>
      <x:c r="AB660" s="13" t="str">
        <x:v>accepted</x:v>
      </x:c>
      <x:c r="AC660" s="13" t="str">
        <x:v>1.0.0</x:v>
      </x:c>
      <x:c r="AD660" s="13" t="str">
        <x:v>1.1.0</x:v>
      </x:c>
      <x:c r="AE660" s="13" t="str">
        <x:v>deepseek/deepseek-v4-pro</x:v>
      </x:c>
      <x:c r="AF660" s="13" t="str">
        <x:v>aj2-y90-20260714T234810-0bea2f52</x:v>
      </x:c>
      <x:c r="AG660" s="13" t="str">
        <x:v>full-0033</x:v>
      </x:c>
      <x:c r="AH660" s="13" t="str">
        <x:v>full</x:v>
      </x:c>
      <x:c r="AI660" s="13" t="n">
        <x:v>33</x:v>
      </x:c>
    </x:row>
    <x:row r="661" ht="34" customHeight="1">
      <x:c r="A661" s="15" t="str">
        <x:v>black flip flips for women</x:v>
      </x:c>
      <x:c r="B661" s="15" t="str">
        <x:v>black flip flips for women</x:v>
      </x:c>
      <x:c r="C661" s="10" t="str">
        <x:v>f7930b101b9e88b3</x:v>
      </x:c>
      <x:c r="D661" s="10" t="str">
        <x:v>keyword</x:v>
      </x:c>
      <x:c r="E661" s="10" t="str">
        <x:v>en</x:v>
      </x:c>
      <x:c r="F661" s="10" t="str">
        <x:v>clothing_shoes_jewelry</x:v>
      </x:c>
      <x:c r="G661" s="15" t="str"/>
      <x:c r="H661" s="15" t="str">
        <x:v>flip_flops</x:v>
      </x:c>
      <x:c r="I661" s="15" t="str">
        <x:v>women</x:v>
      </x:c>
      <x:c r="J661" s="15" t="str"/>
      <x:c r="K661" s="15" t="str">
        <x:v>black_color</x:v>
      </x:c>
      <x:c r="L661" s="15" t="str"/>
      <x:c r="M661" s="15" t="str"/>
      <x:c r="N661" s="15" t="str"/>
      <x:c r="O661" s="15" t="str"/>
      <x:c r="P661" s="15" t="str"/>
      <x:c r="Q661" s="15" t="str"/>
      <x:c r="R661" s="15" t="str">
        <x:v>用户寻找黑色女士人字拖鞋</x:v>
      </x:c>
      <x:c r="S661" s="10" t="str">
        <x:v>high_intent</x:v>
      </x:c>
      <x:c r="T661" s="15" t="str">
        <x:v>explicit | page_validated</x:v>
      </x:c>
      <x:c r="U661" s="10" t="str">
        <x:v>high</x:v>
      </x:c>
      <x:c r="V661" s="15" t="str">
        <x:v>black_flip_flops_women</x:v>
      </x:c>
      <x:c r="W661" s="15" t="str">
        <x:v>cluster_route</x:v>
      </x:c>
      <x:c r="X661" s="15" t="str">
        <x:v>{"product_type":[{"value":"flip_flops","evidence_type":"explicit","source_span":"flip flips","fact_ids":[],"rationale":"flip flips为flip flops拼写变体"},{"value":"flip_flops","evidence_type":"page_validated","source_span":"","fact_ids":["style_flip_flop","title_womens_flip_flop"],"rationale":"产品确认为人字拖鞋"},{"value":"flip_flops","evidence_type":"inferred","source_span":"","fact_ids":[],"rationale":"该能力由搜索词表达的任务或问题推断；页面事实仅用于验证商品承接。"}],"audience_intent":[{"value":"women","evidence_type":"explicit","source_span":"for women","fact_ids":[],"rationale":"搜索词指定女性受众"},{"value":"women","evidence_type":"page_validated","source_span":"","fact_ids":["title_womens_flip_flop"],"rationale":"该槽位与商品基准中的明示页面事实一致。"}],"capability_intent":[{"value":"black_color","evidence_type":"explicit","source_span":"black","fact_ids":[],"rationale":"搜索词要求黑色"},{"value":"black_color","evidence_type":"page_validated","source_span":"","fact_ids":["colors_visible"],"rationale":"页面颜色选择器含黑色"}],"primary_domain":[{"value":"clothing_shoes_jewelry","evidence_type":"inferred","source_span":"","fact_ids":[],"rationale":"该值由搜索词整体语义推断，未作为页面明示属性。"}]}</x:v>
      </x:c>
      <x:c r="Y661" s="15" t="str"/>
      <x:c r="Z661" s="10" t="str">
        <x:v>match</x:v>
      </x:c>
      <x:c r="AA661" s="15" t="str">
        <x:v>colors_visible | title_womens_flip_flop | style_flip_flop</x:v>
      </x:c>
      <x:c r="AB661" s="10" t="str">
        <x:v>accepted</x:v>
      </x:c>
      <x:c r="AC661" s="10" t="str">
        <x:v>1.0.0</x:v>
      </x:c>
      <x:c r="AD661" s="10" t="str">
        <x:v>1.1.0</x:v>
      </x:c>
      <x:c r="AE661" s="10" t="str">
        <x:v>deepseek/deepseek-v4-pro</x:v>
      </x:c>
      <x:c r="AF661" s="10" t="str">
        <x:v>aj2-y90-20260714T234810-0bea2f52</x:v>
      </x:c>
      <x:c r="AG661" s="10" t="str">
        <x:v>full-0033</x:v>
      </x:c>
      <x:c r="AH661" s="10" t="str">
        <x:v>full</x:v>
      </x:c>
      <x:c r="AI661" s="10" t="n">
        <x:v>33</x:v>
      </x:c>
    </x:row>
    <x:row r="662" ht="34" customHeight="1">
      <x:c r="A662" s="16" t="str">
        <x:v>womens flip flops beach</x:v>
      </x:c>
      <x:c r="B662" s="16" t="str">
        <x:v>womens flip flops beach</x:v>
      </x:c>
      <x:c r="C662" s="13" t="str">
        <x:v>0ba6e84451cb982b</x:v>
      </x:c>
      <x:c r="D662" s="13" t="str">
        <x:v>keyword</x:v>
      </x:c>
      <x:c r="E662" s="13" t="str">
        <x:v>en</x:v>
      </x:c>
      <x:c r="F662" s="13" t="str">
        <x:v>clothing_shoes_jewelry</x:v>
      </x:c>
      <x:c r="G662" s="16" t="str">
        <x:v>sports_outdoors</x:v>
      </x:c>
      <x:c r="H662" s="16" t="str">
        <x:v>flip_flops</x:v>
      </x:c>
      <x:c r="I662" s="16" t="str">
        <x:v>women</x:v>
      </x:c>
      <x:c r="J662" s="16" t="str"/>
      <x:c r="K662" s="16" t="str"/>
      <x:c r="L662" s="16" t="str">
        <x:v>beach_outing</x:v>
      </x:c>
      <x:c r="M662" s="16" t="str">
        <x:v>beach</x:v>
      </x:c>
      <x:c r="N662" s="16" t="str"/>
      <x:c r="O662" s="16" t="str"/>
      <x:c r="P662" s="16" t="str"/>
      <x:c r="Q662" s="16" t="str"/>
      <x:c r="R662" s="16" t="str">
        <x:v>女性用户需要一双适合海滩穿着的人字拖。</x:v>
      </x:c>
      <x:c r="S662" s="13" t="str">
        <x:v>consideration</x:v>
      </x:c>
      <x:c r="T662" s="16" t="str">
        <x:v>explicit | page_validated | inferred</x:v>
      </x:c>
      <x:c r="U662" s="13" t="str">
        <x:v>high</x:v>
      </x:c>
      <x:c r="V662" s="16" t="str">
        <x:v>womens_beach_flip_flops</x:v>
      </x:c>
      <x:c r="W662" s="16" t="str">
        <x:v>cluster_route</x:v>
      </x:c>
      <x:c r="X662" s="16" t="str">
        <x:v>{"product_type":[{"value":"flip_flops","evidence_type":"explicit","source_span":"flip flops","fact_ids":[],"rationale":""},{"value":"flip_flops","evidence_type":"page_validated","source_span":"","fact_ids":["style_flip_flop"],"rationale":""}],"audience_intent":[{"value":"women","evidence_type":"explicit","source_span":"womens","fact_ids":[],"rationale":""},{"value":"women","evidence_type":"page_validated","source_span":"","fact_ids":["title_womens_flip_flop"],"rationale":""}],"location_intent":[{"value":"beach","evidence_type":"explicit","source_span":"beach","fact_ids":[],"rationale":""}],"event_intent":[{"value":"beach_outing","evidence_type":"inferred","source_span":"beach","fact_ids":[],"rationale":"海滩场景推断户外休闲活动"}],"secondary_domain":[{"value":"sports_outdoors","evidence_type":"inferred","source_span":"","fact_ids":[],"rationale":"该值由搜索词整体语义推断，未作为页面明示属性。"}],"primary_domain":[{"value":"clothing_shoes_jewelry","evidence_type":"inferred","source_span":"","fact_ids":[],"rationale":"该值由搜索词整体语义推断，未作为页面明示属性。"}]}</x:v>
      </x:c>
      <x:c r="Y662" s="16" t="str"/>
      <x:c r="Z662" s="13" t="str">
        <x:v>match</x:v>
      </x:c>
      <x:c r="AA662" s="16" t="str">
        <x:v>title_womens_flip_flop | style_outdoor | style_flip_flop</x:v>
      </x:c>
      <x:c r="AB662" s="13" t="str">
        <x:v>accepted</x:v>
      </x:c>
      <x:c r="AC662" s="13" t="str">
        <x:v>1.0.0</x:v>
      </x:c>
      <x:c r="AD662" s="13" t="str">
        <x:v>1.1.0</x:v>
      </x:c>
      <x:c r="AE662" s="13" t="str">
        <x:v>deepseek/deepseek-v4-pro</x:v>
      </x:c>
      <x:c r="AF662" s="13" t="str">
        <x:v>aj2-y90-20260714T234810-0bea2f52</x:v>
      </x:c>
      <x:c r="AG662" s="13" t="str">
        <x:v>full-0034</x:v>
      </x:c>
      <x:c r="AH662" s="13" t="str">
        <x:v>full</x:v>
      </x:c>
      <x:c r="AI662" s="13" t="n">
        <x:v>34</x:v>
      </x:c>
    </x:row>
    <x:row r="663" ht="34" customHeight="1">
      <x:c r="A663" s="15" t="str">
        <x:v>black flip flops women arch support</x:v>
      </x:c>
      <x:c r="B663" s="15" t="str">
        <x:v>black flip flops women arch support</x:v>
      </x:c>
      <x:c r="C663" s="10" t="str">
        <x:v>2ff89993cbbc39f4</x:v>
      </x:c>
      <x:c r="D663" s="10" t="str">
        <x:v>keyword</x:v>
      </x:c>
      <x:c r="E663" s="10" t="str">
        <x:v>en</x:v>
      </x:c>
      <x:c r="F663" s="10" t="str">
        <x:v>clothing_shoes_jewelry</x:v>
      </x:c>
      <x:c r="G663" s="15" t="str"/>
      <x:c r="H663" s="15" t="str">
        <x:v>flip_flops</x:v>
      </x:c>
      <x:c r="I663" s="15" t="str">
        <x:v>women</x:v>
      </x:c>
      <x:c r="J663" s="15" t="str">
        <x:v>arch_support</x:v>
      </x:c>
      <x:c r="K663" s="15" t="str">
        <x:v>arch_support</x:v>
      </x:c>
      <x:c r="L663" s="15" t="str"/>
      <x:c r="M663" s="15" t="str"/>
      <x:c r="N663" s="15" t="str">
        <x:v>arch_support</x:v>
      </x:c>
      <x:c r="O663" s="15" t="str"/>
      <x:c r="P663" s="15" t="str"/>
      <x:c r="Q663" s="15" t="str"/>
      <x:c r="R663" s="15" t="str">
        <x:v>女性用户需要一双黑色足弓支撑人字拖，用于日常缓解足部压力。</x:v>
      </x:c>
      <x:c r="S663" s="10" t="str">
        <x:v>high_intent</x:v>
      </x:c>
      <x:c r="T663" s="15" t="str">
        <x:v>explicit | page_validated</x:v>
      </x:c>
      <x:c r="U663" s="10" t="str">
        <x:v>high</x:v>
      </x:c>
      <x:c r="V663" s="15" t="str">
        <x:v>womens_black_arch_support_flip_flops</x:v>
      </x:c>
      <x:c r="W663" s="15" t="str">
        <x:v>cluster_route</x:v>
      </x:c>
      <x:c r="X663" s="15" t="str">
        <x:v>{"product_type":[{"value":"flip_flops","evidence_type":"explicit","source_span":"flip flops","fact_ids":[],"rationale":""},{"value":"flip_flops","evidence_type":"page_validated","source_span":"","fact_ids":["style_flip_flop"],"rationale":""}],"audience_intent":[{"value":"women","evidence_type":"explicit","source_span":"women","fact_ids":[],"rationale":""},{"value":"women","evidence_type":"page_validated","source_span":"","fact_ids":["title_womens_flip_flop"],"rationale":""}],"capability_intent":[{"value":"arch_support","evidence_type":"page_validated","source_span":"","fact_ids":["arch_support"],"rationale":""}],"color":[{"value":"black","evidence_type":"explicit","source_span":"black","fact_ids":[],"rationale":"该颜色在商品页面可见颜色选择中得到明确支持。"},{"value":"black","evidence_type":"page_validated","source_span":"","fact_ids":["colors_visible"],"rationale":"该颜色在商品页面可见颜色选择中得到明确支持。"}],"primary_domain":[{"value":"clothing_shoes_jewelry","evidence_type":"inferred","source_span":"","fact_ids":[],"rationale":"该值由搜索词整体语义推断，未作为页面明示属性。"}]}</x:v>
      </x:c>
      <x:c r="Y663" s="15" t="str"/>
      <x:c r="Z663" s="10" t="str">
        <x:v>match</x:v>
      </x:c>
      <x:c r="AA663" s="15" t="str">
        <x:v>title_womens_flip_flop | arch_support | colors_visible | style_flip_flop</x:v>
      </x:c>
      <x:c r="AB663" s="10" t="str">
        <x:v>accepted</x:v>
      </x:c>
      <x:c r="AC663" s="10" t="str">
        <x:v>1.0.0</x:v>
      </x:c>
      <x:c r="AD663" s="10" t="str">
        <x:v>1.1.0</x:v>
      </x:c>
      <x:c r="AE663" s="10" t="str">
        <x:v>deepseek/deepseek-v4-pro</x:v>
      </x:c>
      <x:c r="AF663" s="10" t="str">
        <x:v>aj2-y90-20260714T234810-0bea2f52</x:v>
      </x:c>
      <x:c r="AG663" s="10" t="str">
        <x:v>full-0034</x:v>
      </x:c>
      <x:c r="AH663" s="10" t="str">
        <x:v>full</x:v>
      </x:c>
      <x:c r="AI663" s="10" t="n">
        <x:v>34</x:v>
      </x:c>
    </x:row>
    <x:row r="664" ht="34" customHeight="1">
      <x:c r="A664" s="16" t="str">
        <x:v>poolside flip flops for women</x:v>
      </x:c>
      <x:c r="B664" s="16" t="str">
        <x:v>poolside flip flops for women</x:v>
      </x:c>
      <x:c r="C664" s="13" t="str">
        <x:v>3ec69c2c4114c97d</x:v>
      </x:c>
      <x:c r="D664" s="13" t="str">
        <x:v>keyword</x:v>
      </x:c>
      <x:c r="E664" s="13" t="str">
        <x:v>en</x:v>
      </x:c>
      <x:c r="F664" s="13" t="str">
        <x:v>clothing_shoes_jewelry</x:v>
      </x:c>
      <x:c r="G664" s="16" t="str">
        <x:v>sports_outdoors</x:v>
      </x:c>
      <x:c r="H664" s="16" t="str">
        <x:v>flip_flops</x:v>
      </x:c>
      <x:c r="I664" s="16" t="str">
        <x:v>women</x:v>
      </x:c>
      <x:c r="J664" s="16" t="str"/>
      <x:c r="K664" s="16" t="str"/>
      <x:c r="L664" s="16" t="str">
        <x:v>poolside_leisure</x:v>
      </x:c>
      <x:c r="M664" s="16" t="str">
        <x:v>poolside</x:v>
      </x:c>
      <x:c r="N664" s="16" t="str"/>
      <x:c r="O664" s="16" t="str"/>
      <x:c r="P664" s="16" t="str"/>
      <x:c r="Q664" s="16" t="str"/>
      <x:c r="R664" s="16" t="str">
        <x:v>女性用户需要一双适合在泳池边穿着的人字拖。</x:v>
      </x:c>
      <x:c r="S664" s="13" t="str">
        <x:v>consideration</x:v>
      </x:c>
      <x:c r="T664" s="16" t="str">
        <x:v>explicit | page_validated | inferred</x:v>
      </x:c>
      <x:c r="U664" s="13" t="str">
        <x:v>medium</x:v>
      </x:c>
      <x:c r="V664" s="16" t="str">
        <x:v>womens_poolside_flip_flops</x:v>
      </x:c>
      <x:c r="W664" s="16" t="str">
        <x:v>listing_gap_review</x:v>
      </x:c>
      <x:c r="X664" s="16" t="str">
        <x:v>{"product_type":[{"value":"flip_flops","evidence_type":"explicit","source_span":"flip flops","fact_ids":[],"rationale":""},{"value":"flip_flops","evidence_type":"page_validated","source_span":"","fact_ids":["style_flip_flop"],"rationale":""}],"audience_intent":[{"value":"women","evidence_type":"explicit","source_span":"women","fact_ids":[],"rationale":""},{"value":"women","evidence_type":"page_validated","source_span":"","fact_ids":["title_womens_flip_flop"],"rationale":""}],"location_intent":[{"value":"poolside","evidence_type":"explicit","source_span":"poolside","fact_ids":[],"rationale":""}],"event_intent":[{"value":"poolside_leisure","evidence_type":"inferred","source_span":"poolside","fact_ids":[],"rationale":"泳池边场景推断休闲活动"}],"secondary_domain":[{"value":"sports_outdoors","evidence_type":"inferred","source_span":"","fact_ids":[],"rationale":"该值由搜索词整体语义推断，未作为页面明示属性。"}],"primary_domain":[{"value":"clothing_shoes_jewelry","evidence_type":"inferred","source_span":"","fact_ids":[],"rationale":"该值由搜索词整体语义推断，未作为页面明示属性。"}]}</x:v>
      </x:c>
      <x:c r="Y664" s="16" t="str">
        <x:v>poolside_water_exposure_not_addressed</x:v>
      </x:c>
      <x:c r="Z664" s="13" t="str">
        <x:v>partial_match</x:v>
      </x:c>
      <x:c r="AA664" s="16" t="str">
        <x:v>title_womens_flip_flop | style_outdoor | easy_clean | style_flip_flop</x:v>
      </x:c>
      <x:c r="AB664" s="13" t="str">
        <x:v>accepted</x:v>
      </x:c>
      <x:c r="AC664" s="13" t="str">
        <x:v>1.0.0</x:v>
      </x:c>
      <x:c r="AD664" s="13" t="str">
        <x:v>1.1.0</x:v>
      </x:c>
      <x:c r="AE664" s="13" t="str">
        <x:v>deepseek/deepseek-v4-pro</x:v>
      </x:c>
      <x:c r="AF664" s="13" t="str">
        <x:v>aj2-y90-20260714T234810-0bea2f52</x:v>
      </x:c>
      <x:c r="AG664" s="13" t="str">
        <x:v>full-0034</x:v>
      </x:c>
      <x:c r="AH664" s="13" t="str">
        <x:v>full</x:v>
      </x:c>
      <x:c r="AI664" s="13" t="n">
        <x:v>34</x:v>
      </x:c>
    </x:row>
    <x:row r="665" ht="34" customHeight="1">
      <x:c r="A665" s="15" t="str">
        <x:v>womens flips flops size 7.5 white</x:v>
      </x:c>
      <x:c r="B665" s="15" t="str">
        <x:v>womens flips flops size 7.5 white</x:v>
      </x:c>
      <x:c r="C665" s="10" t="str">
        <x:v>3ee8b5331810390a</x:v>
      </x:c>
      <x:c r="D665" s="10" t="str">
        <x:v>keyword</x:v>
      </x:c>
      <x:c r="E665" s="10" t="str">
        <x:v>en</x:v>
      </x:c>
      <x:c r="F665" s="10" t="str">
        <x:v>clothing_shoes_jewelry</x:v>
      </x:c>
      <x:c r="G665" s="15" t="str"/>
      <x:c r="H665" s="15" t="str">
        <x:v>flip_flops</x:v>
      </x:c>
      <x:c r="I665" s="15" t="str">
        <x:v>women</x:v>
      </x:c>
      <x:c r="J665" s="15" t="str"/>
      <x:c r="K665" s="15" t="str"/>
      <x:c r="L665" s="15" t="str"/>
      <x:c r="M665" s="15" t="str"/>
      <x:c r="N665" s="15" t="str"/>
      <x:c r="O665" s="15" t="str"/>
      <x:c r="P665" s="15" t="str"/>
      <x:c r="Q665" s="15" t="str"/>
      <x:c r="R665" s="15" t="str">
        <x:v>女性用户需要一双白色7.5码的人字拖。</x:v>
      </x:c>
      <x:c r="S665" s="10" t="str">
        <x:v>high_intent</x:v>
      </x:c>
      <x:c r="T665" s="15" t="str">
        <x:v>explicit | page_validated</x:v>
      </x:c>
      <x:c r="U665" s="10" t="str">
        <x:v>high</x:v>
      </x:c>
      <x:c r="V665" s="15" t="str">
        <x:v>womens_white_sized_flip_flops</x:v>
      </x:c>
      <x:c r="W665" s="15" t="str">
        <x:v>cluster_route</x:v>
      </x:c>
      <x:c r="X665" s="15" t="str">
        <x:v>{"product_type":[{"value":"flip_flops","evidence_type":"explicit","source_span":"flips flops","fact_ids":[],"rationale":""},{"value":"flip_flops","evidence_type":"page_validated","source_span":"","fact_ids":["style_flip_flop"],"rationale":""},{"value":"flip_flops","evidence_type":"inferred","source_span":"","fact_ids":[],"rationale":"该能力由搜索词表达的任务或问题推断；页面事实仅用于验证商品承接。"}],"audience_intent":[{"value":"women","evidence_type":"explicit","source_span":"womens","fact_ids":[],"rationale":""},{"value":"women","evidence_type":"page_validated","source_span":"","fact_ids":["title_womens_flip_flop"],"rationale":""}],"color":[{"value":"white","evidence_type":"explicit","source_span":"white","fact_ids":[],"rationale":"该颜色在商品页面可见颜色选择中得到明确支持。"},{"value":"white","evidence_type":"page_validated","source_span":"","fact_ids":["colors_visible"],"rationale":"该颜色在商品页面可见颜色选择中得到明确支持。"}],"size":[{"value":"7.5","evidence_type":"explicit","source_span":"7.5","fact_ids":[],"rationale":""},{"value":"7.5","evidence_type":"page_validated","source_span":"","fact_ids":["sizes_6_11"],"rationale":""}],"primary_domain":[{"value":"clothing_shoes_jewelry","evidence_type":"inferred","source_span":"","fact_ids":[],"rationale":"该值由搜索词整体语义推断，未作为页面明示属性。"}]}</x:v>
      </x:c>
      <x:c r="Y665" s="15" t="str"/>
      <x:c r="Z665" s="10" t="str">
        <x:v>match</x:v>
      </x:c>
      <x:c r="AA665" s="15" t="str">
        <x:v>title_womens_flip_flop | sizes_6_11 | colors_visible | style_flip_flop</x:v>
      </x:c>
      <x:c r="AB665" s="10" t="str">
        <x:v>accepted</x:v>
      </x:c>
      <x:c r="AC665" s="10" t="str">
        <x:v>1.0.0</x:v>
      </x:c>
      <x:c r="AD665" s="10" t="str">
        <x:v>1.1.0</x:v>
      </x:c>
      <x:c r="AE665" s="10" t="str">
        <x:v>deepseek/deepseek-v4-pro</x:v>
      </x:c>
      <x:c r="AF665" s="10" t="str">
        <x:v>aj2-y90-20260714T234810-0bea2f52</x:v>
      </x:c>
      <x:c r="AG665" s="10" t="str">
        <x:v>full-0034</x:v>
      </x:c>
      <x:c r="AH665" s="10" t="str">
        <x:v>full</x:v>
      </x:c>
      <x:c r="AI665" s="10" t="n">
        <x:v>34</x:v>
      </x:c>
    </x:row>
    <x:row r="666" ht="34" customHeight="1">
      <x:c r="A666" s="16" t="str">
        <x:v>high arch flip flops womens</x:v>
      </x:c>
      <x:c r="B666" s="16" t="str">
        <x:v>high arch flip flops womens</x:v>
      </x:c>
      <x:c r="C666" s="13" t="str">
        <x:v>43587dba062b3a8a</x:v>
      </x:c>
      <x:c r="D666" s="13" t="str">
        <x:v>keyword</x:v>
      </x:c>
      <x:c r="E666" s="13" t="str">
        <x:v>en</x:v>
      </x:c>
      <x:c r="F666" s="13" t="str">
        <x:v>clothing_shoes_jewelry</x:v>
      </x:c>
      <x:c r="G666" s="16" t="str"/>
      <x:c r="H666" s="16" t="str">
        <x:v>flip_flops</x:v>
      </x:c>
      <x:c r="I666" s="16" t="str">
        <x:v>women</x:v>
      </x:c>
      <x:c r="J666" s="16" t="str">
        <x:v>high_arch_support</x:v>
      </x:c>
      <x:c r="K666" s="16" t="str"/>
      <x:c r="L666" s="16" t="str"/>
      <x:c r="M666" s="16" t="str"/>
      <x:c r="N666" s="16" t="str">
        <x:v>high_arches</x:v>
      </x:c>
      <x:c r="O666" s="16" t="str"/>
      <x:c r="P666" s="16" t="str"/>
      <x:c r="Q666" s="16" t="str"/>
      <x:c r="R666" s="16" t="str">
        <x:v>高足弓的女性用户需要一双能支撑高弓足的人字拖。</x:v>
      </x:c>
      <x:c r="S666" s="13" t="str">
        <x:v>consideration</x:v>
      </x:c>
      <x:c r="T666" s="16" t="str">
        <x:v>explicit | page_validated | inferred</x:v>
      </x:c>
      <x:c r="U666" s="13" t="str">
        <x:v>medium</x:v>
      </x:c>
      <x:c r="V666" s="16" t="str">
        <x:v>womens_high_arch_flip_flops</x:v>
      </x:c>
      <x:c r="W666" s="16" t="str">
        <x:v>listing_gap_review</x:v>
      </x:c>
      <x:c r="X666" s="16" t="str">
        <x:v>{"product_type":[{"value":"flip_flops","evidence_type":"explicit","source_span":"flip flops","fact_ids":[],"rationale":""},{"value":"flip_flops","evidence_type":"page_validated","source_span":"","fact_ids":["style_flip_flop"],"rationale":""}],"audience_intent":[{"value":"women","evidence_type":"explicit","source_span":"womens","fact_ids":[],"rationale":""},{"value":"women","evidence_type":"page_validated","source_span":"","fact_ids":["title_womens_flip_flop"],"rationale":""}],"function_intent":[{"value":"high_arch_support","evidence_type":"explicit","source_span":"high arch","fact_ids":[],"rationale":""}],"body_need_intent":[{"value":"high_arches","evidence_type":"explicit","source_span":"high arch","fact_ids":[],"rationale":""}],"primary_domain":[{"value":"clothing_shoes_jewelry","evidence_type":"inferred","source_span":"","fact_ids":[],"rationale":"该值由搜索词整体语义推断，未作为页面明示属性。"}]}</x:v>
      </x:c>
      <x:c r="Y666" s="16" t="str">
        <x:v>high_arch_specificity_not_claimed</x:v>
      </x:c>
      <x:c r="Z666" s="13" t="str">
        <x:v>partial_match</x:v>
      </x:c>
      <x:c r="AA666" s="16" t="str">
        <x:v>title_womens_flip_flop | arch_support | style_flip_flop</x:v>
      </x:c>
      <x:c r="AB666" s="13" t="str">
        <x:v>accepted</x:v>
      </x:c>
      <x:c r="AC666" s="13" t="str">
        <x:v>1.0.0</x:v>
      </x:c>
      <x:c r="AD666" s="13" t="str">
        <x:v>1.1.0</x:v>
      </x:c>
      <x:c r="AE666" s="13" t="str">
        <x:v>deepseek/deepseek-v4-pro</x:v>
      </x:c>
      <x:c r="AF666" s="13" t="str">
        <x:v>aj2-y90-20260714T234810-0bea2f52</x:v>
      </x:c>
      <x:c r="AG666" s="13" t="str">
        <x:v>full-0034</x:v>
      </x:c>
      <x:c r="AH666" s="13" t="str">
        <x:v>full</x:v>
      </x:c>
      <x:c r="AI666" s="13" t="n">
        <x:v>34</x:v>
      </x:c>
    </x:row>
    <x:row r="667" ht="34" customHeight="1">
      <x:c r="A667" s="15" t="str">
        <x:v>thong sandals women plastic</x:v>
      </x:c>
      <x:c r="B667" s="15" t="str">
        <x:v>thong sandals women plastic</x:v>
      </x:c>
      <x:c r="C667" s="10" t="str">
        <x:v>4407632f2377f0fc</x:v>
      </x:c>
      <x:c r="D667" s="10" t="str">
        <x:v>keyword</x:v>
      </x:c>
      <x:c r="E667" s="10" t="str">
        <x:v>en</x:v>
      </x:c>
      <x:c r="F667" s="10" t="str">
        <x:v>clothing_shoes_jewelry</x:v>
      </x:c>
      <x:c r="G667" s="15" t="str"/>
      <x:c r="H667" s="15" t="str">
        <x:v>thong_sandals</x:v>
      </x:c>
      <x:c r="I667" s="15" t="str">
        <x:v>women</x:v>
      </x:c>
      <x:c r="J667" s="15" t="str"/>
      <x:c r="K667" s="15" t="str"/>
      <x:c r="L667" s="15" t="str"/>
      <x:c r="M667" s="15" t="str"/>
      <x:c r="N667" s="15" t="str"/>
      <x:c r="O667" s="15" t="str"/>
      <x:c r="P667" s="15" t="str"/>
      <x:c r="Q667" s="15" t="str"/>
      <x:c r="R667" s="15" t="str">
        <x:v>女性用户需要一双塑料材质的夹趾凉鞋。</x:v>
      </x:c>
      <x:c r="S667" s="10" t="str">
        <x:v>consideration</x:v>
      </x:c>
      <x:c r="T667" s="15" t="str">
        <x:v>explicit | page_validated | inferred</x:v>
      </x:c>
      <x:c r="U667" s="10" t="str">
        <x:v>medium</x:v>
      </x:c>
      <x:c r="V667" s="15" t="str">
        <x:v>womens_plastic_thong_sandals</x:v>
      </x:c>
      <x:c r="W667" s="15" t="str">
        <x:v>listing_gap_review</x:v>
      </x:c>
      <x:c r="X667" s="15" t="str">
        <x:v>{"product_type":[{"value":"thong_sandals","evidence_type":"explicit","source_span":"thong sandals","fact_ids":[],"rationale":""},{"value":"thong_sandals","evidence_type":"page_validated","source_span":"","fact_ids":["style_thong"],"rationale":""}],"audience_intent":[{"value":"women","evidence_type":"explicit","source_span":"women","fact_ids":[],"rationale":""},{"value":"women","evidence_type":"page_validated","source_span":"","fact_ids":["title_womens_flip_flop"],"rationale":""}],"material":[{"value":"plastic","evidence_type":"explicit","source_span":"plastic","fact_ids":[],"rationale":""}],"primary_domain":[{"value":"clothing_shoes_jewelry","evidence_type":"inferred","source_span":"","fact_ids":[],"rationale":"该值由搜索词整体语义推断，未作为页面明示属性。"}]}</x:v>
      </x:c>
      <x:c r="Y667" s="15" t="str">
        <x:v>eva_not_conventional_plastic</x:v>
      </x:c>
      <x:c r="Z667" s="10" t="str">
        <x:v>partial_match</x:v>
      </x:c>
      <x:c r="AA667" s="15" t="str">
        <x:v>title_womens_flip_flop | material_eva | style_thong</x:v>
      </x:c>
      <x:c r="AB667" s="10" t="str">
        <x:v>accepted</x:v>
      </x:c>
      <x:c r="AC667" s="10" t="str">
        <x:v>1.0.0</x:v>
      </x:c>
      <x:c r="AD667" s="10" t="str">
        <x:v>1.1.0</x:v>
      </x:c>
      <x:c r="AE667" s="10" t="str">
        <x:v>deepseek/deepseek-v4-pro</x:v>
      </x:c>
      <x:c r="AF667" s="10" t="str">
        <x:v>aj2-y90-20260714T234810-0bea2f52</x:v>
      </x:c>
      <x:c r="AG667" s="10" t="str">
        <x:v>full-0034</x:v>
      </x:c>
      <x:c r="AH667" s="10" t="str">
        <x:v>full</x:v>
      </x:c>
      <x:c r="AI667" s="10" t="n">
        <x:v>34</x:v>
      </x:c>
    </x:row>
    <x:row r="668" ht="34" customHeight="1">
      <x:c r="A668" s="16" t="str">
        <x:v>flip flops for women comfy beach</x:v>
      </x:c>
      <x:c r="B668" s="16" t="str">
        <x:v>flip flops for women comfy beach</x:v>
      </x:c>
      <x:c r="C668" s="13" t="str">
        <x:v>4f987cf13ef93eba</x:v>
      </x:c>
      <x:c r="D668" s="13" t="str">
        <x:v>keyword</x:v>
      </x:c>
      <x:c r="E668" s="13" t="str">
        <x:v>en</x:v>
      </x:c>
      <x:c r="F668" s="13" t="str">
        <x:v>clothing_shoes_jewelry</x:v>
      </x:c>
      <x:c r="G668" s="16" t="str">
        <x:v>sports_outdoors</x:v>
      </x:c>
      <x:c r="H668" s="16" t="str">
        <x:v>flip_flops</x:v>
      </x:c>
      <x:c r="I668" s="16" t="str">
        <x:v>women</x:v>
      </x:c>
      <x:c r="J668" s="16" t="str"/>
      <x:c r="K668" s="16" t="str">
        <x:v>comfort</x:v>
      </x:c>
      <x:c r="L668" s="16" t="str">
        <x:v>beach_outing</x:v>
      </x:c>
      <x:c r="M668" s="16" t="str">
        <x:v>beach</x:v>
      </x:c>
      <x:c r="N668" s="16" t="str"/>
      <x:c r="O668" s="16" t="str"/>
      <x:c r="P668" s="16" t="str"/>
      <x:c r="Q668" s="16" t="str"/>
      <x:c r="R668" s="16" t="str">
        <x:v>女性用户需要一双舒适的人字拖，用于海滩休闲活动。</x:v>
      </x:c>
      <x:c r="S668" s="13" t="str">
        <x:v>consideration</x:v>
      </x:c>
      <x:c r="T668" s="16" t="str">
        <x:v>explicit | page_validated | inferred</x:v>
      </x:c>
      <x:c r="U668" s="13" t="str">
        <x:v>high</x:v>
      </x:c>
      <x:c r="V668" s="16" t="str">
        <x:v>womens_comfy_beach_flip_flops</x:v>
      </x:c>
      <x:c r="W668" s="16" t="str">
        <x:v>cluster_route</x:v>
      </x:c>
      <x:c r="X668" s="16" t="str">
        <x:v>{"product_type":[{"value":"flip_flops","evidence_type":"explicit","source_span":"flip flops","fact_ids":[],"rationale":""},{"value":"flip_flops","evidence_type":"page_validated","source_span":"","fact_ids":["style_flip_flop"],"rationale":""}],"audience_intent":[{"value":"women","evidence_type":"explicit","source_span":"women","fact_ids":[],"rationale":""},{"value":"women","evidence_type":"page_validated","source_span":"","fact_ids":["title_womens_flip_flop"],"rationale":""}],"capability_intent":[{"value":"comfort","evidence_type":"page_validated","source_span":"","fact_ids":["arch_support","padded_cushioning"],"rationale":""},{"value":"comfort","evidence_type":"inferred","source_span":"","fact_ids":[],"rationale":"该能力由搜索词表达的任务或问题推断；页面事实仅用于验证商品承接。"}],"location_intent":[{"value":"beach","evidence_type":"explicit","source_span":"beach","fact_ids":[],"rationale":""}],"event_intent":[{"value":"beach_outing","evidence_type":"inferred","source_span":"beach","fact_ids":[],"rationale":"海滩场景推断休闲出行活动"}],"secondary_domain":[{"value":"sports_outdoors","evidence_type":"inferred","source_span":"","fact_ids":[],"rationale":"该值由搜索词整体语义推断，未作为页面明示属性。"}],"primary_domain":[{"value":"clothing_shoes_jewelry","evidence_type":"inferred","source_span":"","fact_ids":[],"rationale":"该值由搜索词整体语义推断，未作为页面明示属性。"}]}</x:v>
      </x:c>
      <x:c r="Y668" s="16" t="str"/>
      <x:c r="Z668" s="13" t="str">
        <x:v>match</x:v>
      </x:c>
      <x:c r="AA668" s="16" t="str">
        <x:v>title_womens_flip_flop | arch_support | padded_cushioning | lightweight_breathable | style_outdoor | style_flip_flop</x:v>
      </x:c>
      <x:c r="AB668" s="13" t="str">
        <x:v>accepted</x:v>
      </x:c>
      <x:c r="AC668" s="13" t="str">
        <x:v>1.0.0</x:v>
      </x:c>
      <x:c r="AD668" s="13" t="str">
        <x:v>1.1.0</x:v>
      </x:c>
      <x:c r="AE668" s="13" t="str">
        <x:v>deepseek/deepseek-v4-pro</x:v>
      </x:c>
      <x:c r="AF668" s="13" t="str">
        <x:v>aj2-y90-20260714T234810-0bea2f52</x:v>
      </x:c>
      <x:c r="AG668" s="13" t="str">
        <x:v>full-0034</x:v>
      </x:c>
      <x:c r="AH668" s="13" t="str">
        <x:v>full</x:v>
      </x:c>
      <x:c r="AI668" s="13" t="n">
        <x:v>34</x:v>
      </x:c>
    </x:row>
    <x:row r="669" ht="34" customHeight="1">
      <x:c r="A669" s="15" t="str">
        <x:v>flip flops flip flops with bow</x:v>
      </x:c>
      <x:c r="B669" s="15" t="str">
        <x:v>flip flops flip flops with bow</x:v>
      </x:c>
      <x:c r="C669" s="10" t="str">
        <x:v>591245ba7e12e85b</x:v>
      </x:c>
      <x:c r="D669" s="10" t="str">
        <x:v>keyword</x:v>
      </x:c>
      <x:c r="E669" s="10" t="str">
        <x:v>en</x:v>
      </x:c>
      <x:c r="F669" s="10" t="str">
        <x:v>clothing_shoes_jewelry</x:v>
      </x:c>
      <x:c r="G669" s="15" t="str"/>
      <x:c r="H669" s="15" t="str">
        <x:v>flip_flops</x:v>
      </x:c>
      <x:c r="I669" s="15" t="str"/>
      <x:c r="J669" s="15" t="str"/>
      <x:c r="K669" s="15" t="str"/>
      <x:c r="L669" s="15" t="str"/>
      <x:c r="M669" s="15" t="str"/>
      <x:c r="N669" s="15" t="str"/>
      <x:c r="O669" s="15" t="str"/>
      <x:c r="P669" s="15" t="str"/>
      <x:c r="Q669" s="15" t="str"/>
      <x:c r="R669" s="15" t="str">
        <x:v>用户需要一双带有蝴蝶结装饰的人字拖。</x:v>
      </x:c>
      <x:c r="S669" s="10" t="str">
        <x:v>consideration</x:v>
      </x:c>
      <x:c r="T669" s="15" t="str">
        <x:v>explicit | page_validated | inferred</x:v>
      </x:c>
      <x:c r="U669" s="10" t="str">
        <x:v>medium</x:v>
      </x:c>
      <x:c r="V669" s="15" t="str">
        <x:v>flip_flops_with_bow</x:v>
      </x:c>
      <x:c r="W669" s="15" t="str">
        <x:v>listing_gap_review</x:v>
      </x:c>
      <x:c r="X669" s="15" t="str">
        <x:v>{"product_type":[{"value":"flip_flops","evidence_type":"explicit","source_span":"flip flops","fact_ids":[],"rationale":""},{"value":"flip_flops","evidence_type":"page_validated","source_span":"","fact_ids":["style_flip_flop"],"rationale":""}],"primary_domain":[{"value":"clothing_shoes_jewelry","evidence_type":"inferred","source_span":"","fact_ids":[],"rationale":"该值由搜索词整体语义推断，未作为页面明示属性。"}]}</x:v>
      </x:c>
      <x:c r="Y669" s="15" t="str">
        <x:v>bow_decoration_not_on_page | no_audience_specified</x:v>
      </x:c>
      <x:c r="Z669" s="10" t="str">
        <x:v>partial_match</x:v>
      </x:c>
      <x:c r="AA669" s="15" t="str">
        <x:v>style_flip_flop</x:v>
      </x:c>
      <x:c r="AB669" s="10" t="str">
        <x:v>accepted</x:v>
      </x:c>
      <x:c r="AC669" s="10" t="str">
        <x:v>1.0.0</x:v>
      </x:c>
      <x:c r="AD669" s="10" t="str">
        <x:v>1.1.0</x:v>
      </x:c>
      <x:c r="AE669" s="10" t="str">
        <x:v>deepseek/deepseek-v4-pro</x:v>
      </x:c>
      <x:c r="AF669" s="10" t="str">
        <x:v>aj2-y90-20260714T234810-0bea2f52</x:v>
      </x:c>
      <x:c r="AG669" s="10" t="str">
        <x:v>full-0034</x:v>
      </x:c>
      <x:c r="AH669" s="10" t="str">
        <x:v>full</x:v>
      </x:c>
      <x:c r="AI669" s="10" t="n">
        <x:v>34</x:v>
      </x:c>
    </x:row>
    <x:row r="670" ht="34" customHeight="1">
      <x:c r="A670" s="16" t="str">
        <x:v>orthopedic sandals for women</x:v>
      </x:c>
      <x:c r="B670" s="16" t="str">
        <x:v>orthopedic sandals for women</x:v>
      </x:c>
      <x:c r="C670" s="13" t="str">
        <x:v>8762eac0b26f8a94</x:v>
      </x:c>
      <x:c r="D670" s="13" t="str">
        <x:v>keyword</x:v>
      </x:c>
      <x:c r="E670" s="13" t="str">
        <x:v>en</x:v>
      </x:c>
      <x:c r="F670" s="13" t="str">
        <x:v>clothing_shoes_jewelry</x:v>
      </x:c>
      <x:c r="G670" s="16" t="str"/>
      <x:c r="H670" s="16" t="str">
        <x:v>sandals</x:v>
      </x:c>
      <x:c r="I670" s="16" t="str">
        <x:v>women</x:v>
      </x:c>
      <x:c r="J670" s="16" t="str">
        <x:v>orthopedic_support</x:v>
      </x:c>
      <x:c r="K670" s="16" t="str"/>
      <x:c r="L670" s="16" t="str"/>
      <x:c r="M670" s="16" t="str"/>
      <x:c r="N670" s="16" t="str">
        <x:v>foot_condition</x:v>
      </x:c>
      <x:c r="O670" s="16" t="str"/>
      <x:c r="P670" s="16" t="str"/>
      <x:c r="Q670" s="16" t="str"/>
      <x:c r="R670" s="16" t="str">
        <x:v>有足部问题的女性用户需要一双具有矫形支撑功能的凉鞋。</x:v>
      </x:c>
      <x:c r="S670" s="13" t="str">
        <x:v>consideration</x:v>
      </x:c>
      <x:c r="T670" s="16" t="str">
        <x:v>explicit | page_validated | inferred</x:v>
      </x:c>
      <x:c r="U670" s="13" t="str">
        <x:v>medium</x:v>
      </x:c>
      <x:c r="V670" s="16" t="str">
        <x:v>womens_orthopedic_sandals</x:v>
      </x:c>
      <x:c r="W670" s="16" t="str">
        <x:v>listing_gap_review</x:v>
      </x:c>
      <x:c r="X670" s="16" t="str">
        <x:v>{"product_type":[{"value":"sandals","evidence_type":"explicit","source_span":"sandals","fact_ids":[],"rationale":""},{"value":"sandals","evidence_type":"page_validated","source_span":"","fact_ids":["style_flip_flop"],"rationale":""}],"audience_intent":[{"value":"women","evidence_type":"explicit","source_span":"women","fact_ids":[],"rationale":""},{"value":"women","evidence_type":"page_validated","source_span":"","fact_ids":["title_womens_flip_flop"],"rationale":""}],"function_intent":[{"value":"orthopedic_support","evidence_type":"explicit","source_span":"orthopedic","fact_ids":[],"rationale":""}],"body_need_intent":[{"value":"foot_condition","evidence_type":"inferred","source_span":"orthopedic","fact_ids":[],"rationale":"矫形需求推断用户存在足部问题"}],"primary_domain":[{"value":"clothing_shoes_jewelry","evidence_type":"inferred","source_span":"","fact_ids":[],"rationale":"该值由搜索词整体语义推断，未作为页面明示属性。"}]}</x:v>
      </x:c>
      <x:c r="Y670" s="16" t="str">
        <x:v>orthopedic_grade_not_claimed</x:v>
      </x:c>
      <x:c r="Z670" s="13" t="str">
        <x:v>partial_match</x:v>
      </x:c>
      <x:c r="AA670" s="16" t="str">
        <x:v>title_womens_flip_flop | arch_support | padded_cushioning</x:v>
      </x:c>
      <x:c r="AB670" s="13" t="str">
        <x:v>accepted</x:v>
      </x:c>
      <x:c r="AC670" s="13" t="str">
        <x:v>1.0.0</x:v>
      </x:c>
      <x:c r="AD670" s="13" t="str">
        <x:v>1.1.0</x:v>
      </x:c>
      <x:c r="AE670" s="13" t="str">
        <x:v>deepseek/deepseek-v4-pro</x:v>
      </x:c>
      <x:c r="AF670" s="13" t="str">
        <x:v>aj2-y90-20260714T234810-0bea2f52</x:v>
      </x:c>
      <x:c r="AG670" s="13" t="str">
        <x:v>full-0034</x:v>
      </x:c>
      <x:c r="AH670" s="13" t="str">
        <x:v>full</x:v>
      </x:c>
      <x:c r="AI670" s="13" t="n">
        <x:v>34</x:v>
      </x:c>
    </x:row>
    <x:row r="671" ht="34" customHeight="1">
      <x:c r="A671" s="15" t="str">
        <x:v>blue sandal</x:v>
      </x:c>
      <x:c r="B671" s="15" t="str">
        <x:v>blue sandal</x:v>
      </x:c>
      <x:c r="C671" s="10" t="str">
        <x:v>8806c366532f922e</x:v>
      </x:c>
      <x:c r="D671" s="10" t="str">
        <x:v>keyword</x:v>
      </x:c>
      <x:c r="E671" s="10" t="str">
        <x:v>en</x:v>
      </x:c>
      <x:c r="F671" s="10" t="str">
        <x:v>clothing_shoes_jewelry</x:v>
      </x:c>
      <x:c r="G671" s="15" t="str"/>
      <x:c r="H671" s="15" t="str">
        <x:v>sandals</x:v>
      </x:c>
      <x:c r="I671" s="15" t="str"/>
      <x:c r="J671" s="15" t="str"/>
      <x:c r="K671" s="15" t="str"/>
      <x:c r="L671" s="15" t="str"/>
      <x:c r="M671" s="15" t="str"/>
      <x:c r="N671" s="15" t="str"/>
      <x:c r="O671" s="15" t="str"/>
      <x:c r="P671" s="15" t="str"/>
      <x:c r="Q671" s="15" t="str"/>
      <x:c r="R671" s="15" t="str">
        <x:v>用户需要一双蓝色凉鞋，但未明确性别、款式和使用场景。</x:v>
      </x:c>
      <x:c r="S671" s="10" t="str">
        <x:v>exploration</x:v>
      </x:c>
      <x:c r="T671" s="15" t="str">
        <x:v>explicit | page_validated | inferred</x:v>
      </x:c>
      <x:c r="U671" s="10" t="str">
        <x:v>low</x:v>
      </x:c>
      <x:c r="V671" s="15" t="str">
        <x:v>unclassified</x:v>
      </x:c>
      <x:c r="W671" s="15" t="str">
        <x:v>ambiguity_review</x:v>
      </x:c>
      <x:c r="X671" s="15" t="str">
        <x:v>{"product_type":[{"value":"sandals","evidence_type":"explicit","source_span":"sandal","fact_ids":[],"rationale":""},{"value":"sandals","evidence_type":"page_validated","source_span":"","fact_ids":["style_flip_flop"],"rationale":""},{"value":"sandals","evidence_type":"inferred","source_span":"","fact_ids":[],"rationale":"该能力由搜索词表达的任务或问题推断；页面事实仅用于验证商品承接。"}],"color":[{"value":"blue","evidence_type":"explicit","source_span":"blue","fact_ids":[],"rationale":""}],"primary_domain":[{"value":"clothing_shoes_jewelry","evidence_type":"inferred","source_span":"","fact_ids":[],"rationale":"该值由搜索词整体语义推断，未作为页面明示属性。"}]}</x:v>
      </x:c>
      <x:c r="Y671" s="15" t="str">
        <x:v>no_audience_specified | blue_not_exact_color_match</x:v>
      </x:c>
      <x:c r="Z671" s="10" t="str">
        <x:v>partial_match</x:v>
      </x:c>
      <x:c r="AA671" s="15" t="str">
        <x:v>colors_visible | style_flip_flop</x:v>
      </x:c>
      <x:c r="AB671" s="10" t="str">
        <x:v>accepted</x:v>
      </x:c>
      <x:c r="AC671" s="10" t="str">
        <x:v>1.0.0</x:v>
      </x:c>
      <x:c r="AD671" s="10" t="str">
        <x:v>1.1.0</x:v>
      </x:c>
      <x:c r="AE671" s="10" t="str">
        <x:v>deepseek/deepseek-v4-pro</x:v>
      </x:c>
      <x:c r="AF671" s="10" t="str">
        <x:v>aj2-y90-20260714T234810-0bea2f52</x:v>
      </x:c>
      <x:c r="AG671" s="10" t="str">
        <x:v>full-0034</x:v>
      </x:c>
      <x:c r="AH671" s="10" t="str">
        <x:v>full</x:v>
      </x:c>
      <x:c r="AI671" s="10" t="n">
        <x:v>34</x:v>
      </x:c>
    </x:row>
    <x:row r="672" ht="34" customHeight="1">
      <x:c r="A672" s="16" t="str">
        <x:v>white narrow flip flops women</x:v>
      </x:c>
      <x:c r="B672" s="16" t="str">
        <x:v>white narrow flip flops women</x:v>
      </x:c>
      <x:c r="C672" s="13" t="str">
        <x:v>a0c8493f92619b05</x:v>
      </x:c>
      <x:c r="D672" s="13" t="str">
        <x:v>keyword</x:v>
      </x:c>
      <x:c r="E672" s="13" t="str">
        <x:v>en</x:v>
      </x:c>
      <x:c r="F672" s="13" t="str">
        <x:v>clothing_shoes_jewelry</x:v>
      </x:c>
      <x:c r="G672" s="16" t="str"/>
      <x:c r="H672" s="16" t="str">
        <x:v>flip_flops</x:v>
      </x:c>
      <x:c r="I672" s="16" t="str">
        <x:v>women</x:v>
      </x:c>
      <x:c r="J672" s="16" t="str">
        <x:v>narrow_fit</x:v>
      </x:c>
      <x:c r="K672" s="16" t="str"/>
      <x:c r="L672" s="16" t="str"/>
      <x:c r="M672" s="16" t="str"/>
      <x:c r="N672" s="16" t="str">
        <x:v>narrow_feet</x:v>
      </x:c>
      <x:c r="O672" s="16" t="str"/>
      <x:c r="P672" s="16" t="str"/>
      <x:c r="Q672" s="16" t="str"/>
      <x:c r="R672" s="16" t="str">
        <x:v>女性用户需要一双白色窄版人字拖，以满足较窄脚型的合脚需求。</x:v>
      </x:c>
      <x:c r="S672" s="13" t="str">
        <x:v>consideration</x:v>
      </x:c>
      <x:c r="T672" s="16" t="str">
        <x:v>explicit | page_validated | inferred</x:v>
      </x:c>
      <x:c r="U672" s="13" t="str">
        <x:v>medium</x:v>
      </x:c>
      <x:c r="V672" s="16" t="str">
        <x:v>womens_narrow_flip_flops</x:v>
      </x:c>
      <x:c r="W672" s="16" t="str">
        <x:v>listing_gap_review</x:v>
      </x:c>
      <x:c r="X672" s="16" t="str">
        <x:v>{"product_type":[{"value":"flip_flops","evidence_type":"explicit","source_span":"flip flops","fact_ids":[],"rationale":""},{"value":"flip_flops","evidence_type":"page_validated","source_span":"","fact_ids":["style_flip_flop"],"rationale":""}],"audience_intent":[{"value":"women","evidence_type":"explicit","source_span":"women","fact_ids":[],"rationale":""},{"value":"women","evidence_type":"page_validated","source_span":"","fact_ids":["title_womens_flip_flop"],"rationale":""}],"function_intent":[{"value":"narrow_fit","evidence_type":"explicit","source_span":"narrow","fact_ids":[],"rationale":""}],"body_need_intent":[{"value":"narrow_feet","evidence_type":"inferred","source_span":"narrow","fact_ids":[],"rationale":"用户搜索窄版暗示脚型偏窄"}],"color":[{"value":"white","evidence_type":"explicit","source_span":"white","fact_ids":[],"rationale":"该颜色在商品页面可见颜色选择中得到明确支持。"},{"value":"white","evidence_type":"page_validated","source_span":"","fact_ids":["colors_visible"],"rationale":"该颜色在商品页面可见颜色选择中得到明确支持。"}],"primary_domain":[{"value":"clothing_shoes_jewelry","evidence_type":"inferred","source_span":"","fact_ids":[],"rationale":"该值由搜索词整体语义推断，未作为页面明示属性。"}]}</x:v>
      </x:c>
      <x:c r="Y672" s="16" t="str">
        <x:v>narrow_width_not_listed</x:v>
      </x:c>
      <x:c r="Z672" s="13" t="str">
        <x:v>partial_match</x:v>
      </x:c>
      <x:c r="AA672" s="16" t="str">
        <x:v>title_womens_flip_flop | colors_visible | style_flip_flop</x:v>
      </x:c>
      <x:c r="AB672" s="13" t="str">
        <x:v>accepted</x:v>
      </x:c>
      <x:c r="AC672" s="13" t="str">
        <x:v>1.0.0</x:v>
      </x:c>
      <x:c r="AD672" s="13" t="str">
        <x:v>1.1.0</x:v>
      </x:c>
      <x:c r="AE672" s="13" t="str">
        <x:v>deepseek/deepseek-v4-pro</x:v>
      </x:c>
      <x:c r="AF672" s="13" t="str">
        <x:v>aj2-y90-20260714T234810-0bea2f52</x:v>
      </x:c>
      <x:c r="AG672" s="13" t="str">
        <x:v>full-0034</x:v>
      </x:c>
      <x:c r="AH672" s="13" t="str">
        <x:v>full</x:v>
      </x:c>
      <x:c r="AI672" s="13" t="n">
        <x:v>34</x:v>
      </x:c>
    </x:row>
    <x:row r="673" ht="34" customHeight="1">
      <x:c r="A673" s="15" t="str">
        <x:v>women flip flop sale</x:v>
      </x:c>
      <x:c r="B673" s="15" t="str">
        <x:v>women flip flop sale</x:v>
      </x:c>
      <x:c r="C673" s="10" t="str">
        <x:v>a74c8bb977eee985</x:v>
      </x:c>
      <x:c r="D673" s="10" t="str">
        <x:v>keyword</x:v>
      </x:c>
      <x:c r="E673" s="10" t="str">
        <x:v>en</x:v>
      </x:c>
      <x:c r="F673" s="10" t="str">
        <x:v>clothing_shoes_jewelry</x:v>
      </x:c>
      <x:c r="G673" s="15" t="str"/>
      <x:c r="H673" s="15" t="str">
        <x:v>flip_flops</x:v>
      </x:c>
      <x:c r="I673" s="15" t="str">
        <x:v>women</x:v>
      </x:c>
      <x:c r="J673" s="15" t="str"/>
      <x:c r="K673" s="15" t="str"/>
      <x:c r="L673" s="15" t="str"/>
      <x:c r="M673" s="15" t="str"/>
      <x:c r="N673" s="15" t="str"/>
      <x:c r="O673" s="15" t="str"/>
      <x:c r="P673" s="15" t="str"/>
      <x:c r="Q673" s="15" t="str"/>
      <x:c r="R673" s="15" t="str">
        <x:v>女性用户希望购买正在打折的人字拖。</x:v>
      </x:c>
      <x:c r="S673" s="10" t="str">
        <x:v>high_intent</x:v>
      </x:c>
      <x:c r="T673" s="15" t="str">
        <x:v>explicit | page_validated</x:v>
      </x:c>
      <x:c r="U673" s="10" t="str">
        <x:v>high</x:v>
      </x:c>
      <x:c r="V673" s="15" t="str">
        <x:v>womens_flip_flops</x:v>
      </x:c>
      <x:c r="W673" s="15" t="str">
        <x:v>cluster_route</x:v>
      </x:c>
      <x:c r="X673" s="15" t="str">
        <x:v>{"product_type":[{"value":"flip_flops","evidence_type":"explicit","source_span":"flip flop","fact_ids":[],"rationale":""},{"value":"flip_flops","evidence_type":"page_validated","source_span":"","fact_ids":["style_flip_flop"],"rationale":""},{"value":"flip_flops","evidence_type":"inferred","source_span":"","fact_ids":[],"rationale":"该能力由搜索词表达的任务或问题推断；页面事实仅用于验证商品承接。"}],"audience_intent":[{"value":"women","evidence_type":"explicit","source_span":"women","fact_ids":[],"rationale":""},{"value":"women","evidence_type":"page_validated","source_span":"","fact_ids":["title_womens_flip_flop"],"rationale":""}],"primary_domain":[{"value":"clothing_shoes_jewelry","evidence_type":"inferred","source_span":"","fact_ids":[],"rationale":"该值由搜索词整体语义推断，未作为页面明示属性。"}]}</x:v>
      </x:c>
      <x:c r="Y673" s="15" t="str">
        <x:v>sale_price_excluded_from_model</x:v>
      </x:c>
      <x:c r="Z673" s="10" t="str">
        <x:v>match</x:v>
      </x:c>
      <x:c r="AA673" s="15" t="str">
        <x:v>title_womens_flip_flop | style_flip_flop</x:v>
      </x:c>
      <x:c r="AB673" s="10" t="str">
        <x:v>accepted</x:v>
      </x:c>
      <x:c r="AC673" s="10" t="str">
        <x:v>1.0.0</x:v>
      </x:c>
      <x:c r="AD673" s="10" t="str">
        <x:v>1.1.0</x:v>
      </x:c>
      <x:c r="AE673" s="10" t="str">
        <x:v>deepseek/deepseek-v4-pro</x:v>
      </x:c>
      <x:c r="AF673" s="10" t="str">
        <x:v>aj2-y90-20260714T234810-0bea2f52</x:v>
      </x:c>
      <x:c r="AG673" s="10" t="str">
        <x:v>full-0034</x:v>
      </x:c>
      <x:c r="AH673" s="10" t="str">
        <x:v>full</x:v>
      </x:c>
      <x:c r="AI673" s="10" t="n">
        <x:v>34</x:v>
      </x:c>
    </x:row>
    <x:row r="674" ht="34" customHeight="1">
      <x:c r="A674" s="16" t="str">
        <x:v>black thong sandals women</x:v>
      </x:c>
      <x:c r="B674" s="16" t="str">
        <x:v>black thong sandals women</x:v>
      </x:c>
      <x:c r="C674" s="13" t="str">
        <x:v>abbba2034ce12f19</x:v>
      </x:c>
      <x:c r="D674" s="13" t="str">
        <x:v>keyword</x:v>
      </x:c>
      <x:c r="E674" s="13" t="str">
        <x:v>en</x:v>
      </x:c>
      <x:c r="F674" s="13" t="str">
        <x:v>clothing_shoes_jewelry</x:v>
      </x:c>
      <x:c r="G674" s="16" t="str"/>
      <x:c r="H674" s="16" t="str">
        <x:v>thong_sandals</x:v>
      </x:c>
      <x:c r="I674" s="16" t="str">
        <x:v>women</x:v>
      </x:c>
      <x:c r="J674" s="16" t="str"/>
      <x:c r="K674" s="16" t="str"/>
      <x:c r="L674" s="16" t="str"/>
      <x:c r="M674" s="16" t="str"/>
      <x:c r="N674" s="16" t="str"/>
      <x:c r="O674" s="16" t="str"/>
      <x:c r="P674" s="16" t="str"/>
      <x:c r="Q674" s="16" t="str"/>
      <x:c r="R674" s="16" t="str">
        <x:v>女性用户需要一双黑色夹趾凉鞋用于日常穿着。</x:v>
      </x:c>
      <x:c r="S674" s="13" t="str">
        <x:v>high_intent</x:v>
      </x:c>
      <x:c r="T674" s="16" t="str">
        <x:v>explicit | page_validated</x:v>
      </x:c>
      <x:c r="U674" s="13" t="str">
        <x:v>high</x:v>
      </x:c>
      <x:c r="V674" s="16" t="str">
        <x:v>womens_black_thong_sandals</x:v>
      </x:c>
      <x:c r="W674" s="16" t="str">
        <x:v>cluster_route</x:v>
      </x:c>
      <x:c r="X674" s="16" t="str">
        <x:v>{"product_type":[{"value":"thong_sandals","evidence_type":"explicit","source_span":"thong sandals","fact_ids":[],"rationale":""},{"value":"thong_sandals","evidence_type":"page_validated","source_span":"","fact_ids":["style_thong"],"rationale":""}],"audience_intent":[{"value":"women","evidence_type":"explicit","source_span":"women","fact_ids":[],"rationale":""},{"value":"women","evidence_type":"page_validated","source_span":"","fact_ids":["title_womens_flip_flop"],"rationale":""}],"color":[{"value":"black","evidence_type":"explicit","source_span":"black","fact_ids":[],"rationale":"该颜色在商品页面可见颜色选择中得到明确支持。"},{"value":"black","evidence_type":"page_validated","source_span":"","fact_ids":["colors_visible"],"rationale":"该颜色在商品页面可见颜色选择中得到明确支持。"}],"primary_domain":[{"value":"clothing_shoes_jewelry","evidence_type":"inferred","source_span":"","fact_ids":[],"rationale":"该值由搜索词整体语义推断，未作为页面明示属性。"}]}</x:v>
      </x:c>
      <x:c r="Y674" s="16" t="str"/>
      <x:c r="Z674" s="13" t="str">
        <x:v>match</x:v>
      </x:c>
      <x:c r="AA674" s="16" t="str">
        <x:v>title_womens_flip_flop | colors_visible | style_thong</x:v>
      </x:c>
      <x:c r="AB674" s="13" t="str">
        <x:v>accepted</x:v>
      </x:c>
      <x:c r="AC674" s="13" t="str">
        <x:v>1.0.0</x:v>
      </x:c>
      <x:c r="AD674" s="13" t="str">
        <x:v>1.1.0</x:v>
      </x:c>
      <x:c r="AE674" s="13" t="str">
        <x:v>deepseek/deepseek-v4-pro</x:v>
      </x:c>
      <x:c r="AF674" s="13" t="str">
        <x:v>aj2-y90-20260714T234810-0bea2f52</x:v>
      </x:c>
      <x:c r="AG674" s="13" t="str">
        <x:v>full-0034</x:v>
      </x:c>
      <x:c r="AH674" s="13" t="str">
        <x:v>full</x:v>
      </x:c>
      <x:c r="AI674" s="13" t="n">
        <x:v>34</x:v>
      </x:c>
    </x:row>
    <x:row r="675" ht="34" customHeight="1">
      <x:c r="A675" s="15" t="str">
        <x:v>supportive womens flip flops</x:v>
      </x:c>
      <x:c r="B675" s="15" t="str">
        <x:v>supportive womens flip flops</x:v>
      </x:c>
      <x:c r="C675" s="10" t="str">
        <x:v>bfd749e8301065d4</x:v>
      </x:c>
      <x:c r="D675" s="10" t="str">
        <x:v>keyword</x:v>
      </x:c>
      <x:c r="E675" s="10" t="str">
        <x:v>en</x:v>
      </x:c>
      <x:c r="F675" s="10" t="str">
        <x:v>clothing_shoes_jewelry</x:v>
      </x:c>
      <x:c r="G675" s="15" t="str"/>
      <x:c r="H675" s="15" t="str">
        <x:v>flip_flops</x:v>
      </x:c>
      <x:c r="I675" s="15" t="str">
        <x:v>women</x:v>
      </x:c>
      <x:c r="J675" s="15" t="str">
        <x:v>foot_support</x:v>
      </x:c>
      <x:c r="K675" s="15" t="str">
        <x:v>arch_support</x:v>
      </x:c>
      <x:c r="L675" s="15" t="str"/>
      <x:c r="M675" s="15" t="str"/>
      <x:c r="N675" s="15" t="str"/>
      <x:c r="O675" s="15" t="str"/>
      <x:c r="P675" s="15" t="str"/>
      <x:c r="Q675" s="15" t="str"/>
      <x:c r="R675" s="15" t="str">
        <x:v>女性用户需要一双具有支撑功能的人字拖，用于日常舒适行走。</x:v>
      </x:c>
      <x:c r="S675" s="10" t="str">
        <x:v>consideration</x:v>
      </x:c>
      <x:c r="T675" s="15" t="str">
        <x:v>explicit | page_validated</x:v>
      </x:c>
      <x:c r="U675" s="10" t="str">
        <x:v>high</x:v>
      </x:c>
      <x:c r="V675" s="15" t="str">
        <x:v>womens_supportive_flip_flops</x:v>
      </x:c>
      <x:c r="W675" s="15" t="str">
        <x:v>cluster_route</x:v>
      </x:c>
      <x:c r="X675" s="15" t="str">
        <x:v>{"product_type":[{"value":"flip_flops","evidence_type":"explicit","source_span":"flip flops","fact_ids":[],"rationale":""},{"value":"flip_flops","evidence_type":"page_validated","source_span":"","fact_ids":["style_flip_flop"],"rationale":""}],"audience_intent":[{"value":"women","evidence_type":"explicit","source_span":"womens","fact_ids":[],"rationale":""},{"value":"women","evidence_type":"page_validated","source_span":"","fact_ids":["title_womens_flip_flop"],"rationale":""}],"function_intent":[{"value":"foot_support","evidence_type":"inferred","source_span":"supportive","fact_ids":[],"rationale":"支撑性需求推断为足部支撑功能"},{"value":"foot_support","evidence_type":"page_validated","source_span":"","fact_ids":["arch_support"],"rationale":"该槽位与商品基准中的明示页面事实一致。"}],"capability_intent":[{"value":"arch_support","evidence_type":"page_validated","source_span":"","fact_ids":["arch_support"],"rationale":""},{"value":"arch_suppor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675" s="15" t="str"/>
      <x:c r="Z675" s="10" t="str">
        <x:v>match</x:v>
      </x:c>
      <x:c r="AA675" s="15" t="str">
        <x:v>title_womens_flip_flop | arch_support | style_flip_flop</x:v>
      </x:c>
      <x:c r="AB675" s="10" t="str">
        <x:v>accepted</x:v>
      </x:c>
      <x:c r="AC675" s="10" t="str">
        <x:v>1.0.0</x:v>
      </x:c>
      <x:c r="AD675" s="10" t="str">
        <x:v>1.1.0</x:v>
      </x:c>
      <x:c r="AE675" s="10" t="str">
        <x:v>deepseek/deepseek-v4-pro</x:v>
      </x:c>
      <x:c r="AF675" s="10" t="str">
        <x:v>aj2-y90-20260714T234810-0bea2f52</x:v>
      </x:c>
      <x:c r="AG675" s="10" t="str">
        <x:v>full-0034</x:v>
      </x:c>
      <x:c r="AH675" s="10" t="str">
        <x:v>full</x:v>
      </x:c>
      <x:c r="AI675" s="10" t="n">
        <x:v>34</x:v>
      </x:c>
    </x:row>
    <x:row r="676" ht="34" customHeight="1">
      <x:c r="A676" s="16" t="str">
        <x:v>waterproof nonslip flop sandals</x:v>
      </x:c>
      <x:c r="B676" s="16" t="str">
        <x:v>waterproof nonslip flop sandals</x:v>
      </x:c>
      <x:c r="C676" s="13" t="str">
        <x:v>c3aa2ed0a1a2eadf</x:v>
      </x:c>
      <x:c r="D676" s="13" t="str">
        <x:v>keyword</x:v>
      </x:c>
      <x:c r="E676" s="13" t="str">
        <x:v>en</x:v>
      </x:c>
      <x:c r="F676" s="13" t="str">
        <x:v>clothing_shoes_jewelry</x:v>
      </x:c>
      <x:c r="G676" s="16" t="str"/>
      <x:c r="H676" s="16" t="str">
        <x:v>flip_flops | sandals</x:v>
      </x:c>
      <x:c r="I676" s="16" t="str"/>
      <x:c r="J676" s="16" t="str">
        <x:v>waterproofing | slip_prevention</x:v>
      </x:c>
      <x:c r="K676" s="16" t="str">
        <x:v>waterproof | slip_resistance</x:v>
      </x:c>
      <x:c r="L676" s="16" t="str"/>
      <x:c r="M676" s="16" t="str"/>
      <x:c r="N676" s="16" t="str"/>
      <x:c r="O676" s="16" t="str"/>
      <x:c r="P676" s="16" t="str"/>
      <x:c r="Q676" s="16" t="str"/>
      <x:c r="R676" s="16" t="str">
        <x:v>用户需要一双防水防滑的人字拖或凉鞋，用于湿滑环境。</x:v>
      </x:c>
      <x:c r="S676" s="13" t="str">
        <x:v>consideration</x:v>
      </x:c>
      <x:c r="T676" s="16" t="str">
        <x:v>explicit | page_validated | inferred</x:v>
      </x:c>
      <x:c r="U676" s="13" t="str">
        <x:v>medium</x:v>
      </x:c>
      <x:c r="V676" s="16" t="str">
        <x:v>waterproof_nonslip_flip_flops</x:v>
      </x:c>
      <x:c r="W676" s="16" t="str">
        <x:v>listing_gap_review</x:v>
      </x:c>
      <x:c r="X676" s="16" t="str">
        <x:v>{"product_type":[{"value":"flip_flops","evidence_type":"explicit","source_span":"flop","fact_ids":[],"rationale":""},{"value":"sandals","evidence_type":"explicit","source_span":"sandals","fact_ids":[],"rationale":""},{"value":"flip_flops","evidence_type":"page_validated","source_span":"","fact_ids":["style_flip_flop"],"rationale":""},{"value":"flip_flops","evidence_type":"inferred","source_span":"","fact_ids":[],"rationale":"该能力由搜索词表达的任务或问题推断；页面事实仅用于验证商品承接。"},{"value":"sandals","evidence_type":"page_validated","source_span":"","fact_ids":["title_womens_flip_flop"],"rationale":"该槽位与商品基准中的明示页面事实一致。"}],"function_intent":[{"value":"waterproofing","evidence_type":"explicit","source_span":"waterproof","fact_ids":[],"rationale":""},{"value":"slip_prevention","evidence_type":"explicit","source_span":"nonslip","fact_ids":[],"rationale":""}],"capability_intent":[{"value":"slip_resistance","evidence_type":"page_validated","source_span":"","fact_ids":["slip_resistant_grip"],"rationale":""},{"value":"waterproof","evidence_type":"inferred","source_span":"waterproof","fact_ids":[],"rationale":"防水需求未在产品页面上得到验证"}],"primary_domain":[{"value":"clothing_shoes_jewelry","evidence_type":"inferred","source_span":"","fact_ids":[],"rationale":"该值由搜索词整体语义推断，未作为页面明示属性。"}]}</x:v>
      </x:c>
      <x:c r="Y676" s="16" t="str">
        <x:v>waterproof_not_claimed | no_audience_specified</x:v>
      </x:c>
      <x:c r="Z676" s="13" t="str">
        <x:v>partial_match</x:v>
      </x:c>
      <x:c r="AA676" s="16" t="str">
        <x:v>slip_resistant_grip | style_flip_flop</x:v>
      </x:c>
      <x:c r="AB676" s="13" t="str">
        <x:v>accepted</x:v>
      </x:c>
      <x:c r="AC676" s="13" t="str">
        <x:v>1.0.0</x:v>
      </x:c>
      <x:c r="AD676" s="13" t="str">
        <x:v>1.1.0</x:v>
      </x:c>
      <x:c r="AE676" s="13" t="str">
        <x:v>deepseek/deepseek-v4-pro</x:v>
      </x:c>
      <x:c r="AF676" s="13" t="str">
        <x:v>aj2-y90-20260714T234810-0bea2f52</x:v>
      </x:c>
      <x:c r="AG676" s="13" t="str">
        <x:v>full-0034</x:v>
      </x:c>
      <x:c r="AH676" s="13" t="str">
        <x:v>full</x:v>
      </x:c>
      <x:c r="AI676" s="13" t="n">
        <x:v>34</x:v>
      </x:c>
    </x:row>
    <x:row r="677" ht="34" customHeight="1">
      <x:c r="A677" s="15" t="str">
        <x:v>best plantar fasciitis women's flip flop</x:v>
      </x:c>
      <x:c r="B677" s="15" t="str">
        <x:v>best plantar fasciitis women's flip flop</x:v>
      </x:c>
      <x:c r="C677" s="10" t="str">
        <x:v>cd6bda00eab58340</x:v>
      </x:c>
      <x:c r="D677" s="10" t="str">
        <x:v>keyword</x:v>
      </x:c>
      <x:c r="E677" s="10" t="str">
        <x:v>en</x:v>
      </x:c>
      <x:c r="F677" s="10" t="str">
        <x:v>clothing_shoes_jewelry</x:v>
      </x:c>
      <x:c r="G677" s="15" t="str"/>
      <x:c r="H677" s="15" t="str">
        <x:v>flip_flops</x:v>
      </x:c>
      <x:c r="I677" s="15" t="str">
        <x:v>women</x:v>
      </x:c>
      <x:c r="J677" s="15" t="str">
        <x:v>plantar_fasciitis_relief</x:v>
      </x:c>
      <x:c r="K677" s="15" t="str"/>
      <x:c r="L677" s="15" t="str"/>
      <x:c r="M677" s="15" t="str"/>
      <x:c r="N677" s="15" t="str">
        <x:v>plantar_fasciitis</x:v>
      </x:c>
      <x:c r="O677" s="15" t="str"/>
      <x:c r="P677" s="15" t="str"/>
      <x:c r="Q677" s="15" t="str"/>
      <x:c r="R677" s="15" t="str">
        <x:v>患有足底筋膜炎的女性用户需要一双能缓解足底疼痛的人字拖。</x:v>
      </x:c>
      <x:c r="S677" s="10" t="str">
        <x:v>consideration</x:v>
      </x:c>
      <x:c r="T677" s="15" t="str">
        <x:v>explicit | page_validated | inferred</x:v>
      </x:c>
      <x:c r="U677" s="10" t="str">
        <x:v>medium</x:v>
      </x:c>
      <x:c r="V677" s="15" t="str">
        <x:v>womens_plantar_fasciitis_flip_flops</x:v>
      </x:c>
      <x:c r="W677" s="15" t="str">
        <x:v>listing_gap_review</x:v>
      </x:c>
      <x:c r="X677" s="15" t="str">
        <x:v>{"product_type":[{"value":"flip_flops","evidence_type":"explicit","source_span":"flip flop","fact_ids":[],"rationale":""},{"value":"flip_flops","evidence_type":"page_validated","source_span":"","fact_ids":["style_flip_flop"],"rationale":""},{"value":"flip_flops","evidence_type":"inferred","source_span":"","fact_ids":[],"rationale":"该能力由搜索词表达的任务或问题推断；页面事实仅用于验证商品承接。"}],"audience_intent":[{"value":"women","evidence_type":"explicit","source_span":"women","fact_ids":[],"rationale":""},{"value":"women","evidence_type":"page_validated","source_span":"","fact_ids":["title_womens_flip_flop"],"rationale":""}],"function_intent":[{"value":"plantar_fasciitis_relief","evidence_type":"explicit","source_span":"plantar fasciitis","fact_ids":[],"rationale":""}],"body_need_intent":[{"value":"plantar_fasciitis","evidence_type":"explicit","source_span":"plantar fasciitis","fact_ids":[],"rationale":""}],"primary_domain":[{"value":"clothing_shoes_jewelry","evidence_type":"inferred","source_span":"","fact_ids":[],"rationale":"该值由搜索词整体语义推断，未作为页面明示属性。"}]}</x:v>
      </x:c>
      <x:c r="Y677" s="15" t="str">
        <x:v>plantar_fasciitis_treatment_excluded_claim</x:v>
      </x:c>
      <x:c r="Z677" s="10" t="str">
        <x:v>partial_match</x:v>
      </x:c>
      <x:c r="AA677" s="15" t="str">
        <x:v>title_womens_flip_flop | arch_support | style_flip_flop</x:v>
      </x:c>
      <x:c r="AB677" s="10" t="str">
        <x:v>accepted</x:v>
      </x:c>
      <x:c r="AC677" s="10" t="str">
        <x:v>1.0.0</x:v>
      </x:c>
      <x:c r="AD677" s="10" t="str">
        <x:v>1.1.0</x:v>
      </x:c>
      <x:c r="AE677" s="10" t="str">
        <x:v>deepseek/deepseek-v4-pro</x:v>
      </x:c>
      <x:c r="AF677" s="10" t="str">
        <x:v>aj2-y90-20260714T234810-0bea2f52</x:v>
      </x:c>
      <x:c r="AG677" s="10" t="str">
        <x:v>full-0034</x:v>
      </x:c>
      <x:c r="AH677" s="10" t="str">
        <x:v>full</x:v>
      </x:c>
      <x:c r="AI677" s="10" t="n">
        <x:v>34</x:v>
      </x:c>
    </x:row>
    <x:row r="678" ht="34" customHeight="1">
      <x:c r="A678" s="16" t="str">
        <x:v>womens black flip flops size 8</x:v>
      </x:c>
      <x:c r="B678" s="16" t="str">
        <x:v>womens black flip flops size 8</x:v>
      </x:c>
      <x:c r="C678" s="13" t="str">
        <x:v>d52faeb270b5c233</x:v>
      </x:c>
      <x:c r="D678" s="13" t="str">
        <x:v>keyword</x:v>
      </x:c>
      <x:c r="E678" s="13" t="str">
        <x:v>en</x:v>
      </x:c>
      <x:c r="F678" s="13" t="str">
        <x:v>clothing_shoes_jewelry</x:v>
      </x:c>
      <x:c r="G678" s="16" t="str"/>
      <x:c r="H678" s="16" t="str">
        <x:v>flip_flops</x:v>
      </x:c>
      <x:c r="I678" s="16" t="str">
        <x:v>women</x:v>
      </x:c>
      <x:c r="J678" s="16" t="str"/>
      <x:c r="K678" s="16" t="str"/>
      <x:c r="L678" s="16" t="str"/>
      <x:c r="M678" s="16" t="str"/>
      <x:c r="N678" s="16" t="str"/>
      <x:c r="O678" s="16" t="str"/>
      <x:c r="P678" s="16" t="str"/>
      <x:c r="Q678" s="16" t="str"/>
      <x:c r="R678" s="16" t="str">
        <x:v>女性用户需要一双黑色8码的人字拖。</x:v>
      </x:c>
      <x:c r="S678" s="13" t="str">
        <x:v>high_intent</x:v>
      </x:c>
      <x:c r="T678" s="16" t="str">
        <x:v>explicit | page_validated</x:v>
      </x:c>
      <x:c r="U678" s="13" t="str">
        <x:v>high</x:v>
      </x:c>
      <x:c r="V678" s="16" t="str">
        <x:v>womens_black_sized_flip_flops</x:v>
      </x:c>
      <x:c r="W678" s="16" t="str">
        <x:v>cluster_route</x:v>
      </x:c>
      <x:c r="X678" s="16" t="str">
        <x:v>{"product_type":[{"value":"flip_flops","evidence_type":"explicit","source_span":"flip flops","fact_ids":[],"rationale":""},{"value":"flip_flops","evidence_type":"page_validated","source_span":"","fact_ids":["style_flip_flop"],"rationale":""}],"audience_intent":[{"value":"women","evidence_type":"explicit","source_span":"womens","fact_ids":[],"rationale":""},{"value":"women","evidence_type":"page_validated","source_span":"","fact_ids":["title_womens_flip_flop"],"rationale":""}],"color":[{"value":"black","evidence_type":"explicit","source_span":"black","fact_ids":[],"rationale":"该颜色在商品页面可见颜色选择中得到明确支持。"},{"value":"black","evidence_type":"page_validated","source_span":"","fact_ids":["colors_visible"],"rationale":"该颜色在商品页面可见颜色选择中得到明确支持。"}],"size":[{"value":"8","evidence_type":"explicit","source_span":"size 8","fact_ids":[],"rationale":""},{"value":"8","evidence_type":"page_validated","source_span":"","fact_ids":["sizes_6_11"],"rationale":""}],"primary_domain":[{"value":"clothing_shoes_jewelry","evidence_type":"inferred","source_span":"","fact_ids":[],"rationale":"该值由搜索词整体语义推断，未作为页面明示属性。"}]}</x:v>
      </x:c>
      <x:c r="Y678" s="16" t="str"/>
      <x:c r="Z678" s="13" t="str">
        <x:v>match</x:v>
      </x:c>
      <x:c r="AA678" s="16" t="str">
        <x:v>title_womens_flip_flop | sizes_6_11 | colors_visible | style_flip_flop</x:v>
      </x:c>
      <x:c r="AB678" s="13" t="str">
        <x:v>accepted</x:v>
      </x:c>
      <x:c r="AC678" s="13" t="str">
        <x:v>1.0.0</x:v>
      </x:c>
      <x:c r="AD678" s="13" t="str">
        <x:v>1.1.0</x:v>
      </x:c>
      <x:c r="AE678" s="13" t="str">
        <x:v>deepseek/deepseek-v4-pro</x:v>
      </x:c>
      <x:c r="AF678" s="13" t="str">
        <x:v>aj2-y90-20260714T234810-0bea2f52</x:v>
      </x:c>
      <x:c r="AG678" s="13" t="str">
        <x:v>full-0034</x:v>
      </x:c>
      <x:c r="AH678" s="13" t="str">
        <x:v>full</x:v>
      </x:c>
      <x:c r="AI678" s="13" t="n">
        <x:v>34</x:v>
      </x:c>
    </x:row>
    <x:row r="679" ht="34" customHeight="1">
      <x:c r="A679" s="15" t="str">
        <x:v>rubber flip flops for women shower</x:v>
      </x:c>
      <x:c r="B679" s="15" t="str">
        <x:v>rubber flip flops for women shower</x:v>
      </x:c>
      <x:c r="C679" s="10" t="str">
        <x:v>d85ea4f2a401470a</x:v>
      </x:c>
      <x:c r="D679" s="10" t="str">
        <x:v>keyword</x:v>
      </x:c>
      <x:c r="E679" s="10" t="str">
        <x:v>en</x:v>
      </x:c>
      <x:c r="F679" s="10" t="str">
        <x:v>clothing_shoes_jewelry</x:v>
      </x:c>
      <x:c r="G679" s="15" t="str"/>
      <x:c r="H679" s="15" t="str">
        <x:v>flip_flops</x:v>
      </x:c>
      <x:c r="I679" s="15" t="str">
        <x:v>women</x:v>
      </x:c>
      <x:c r="J679" s="15" t="str">
        <x:v>shower_use</x:v>
      </x:c>
      <x:c r="K679" s="15" t="str"/>
      <x:c r="L679" s="15" t="str"/>
      <x:c r="M679" s="15" t="str">
        <x:v>shower</x:v>
      </x:c>
      <x:c r="N679" s="15" t="str"/>
      <x:c r="O679" s="15" t="str"/>
      <x:c r="P679" s="15" t="str"/>
      <x:c r="Q679" s="15" t="str"/>
      <x:c r="R679" s="15" t="str">
        <x:v>女性用户需要一双可在淋浴时穿着的橡胶人字拖。</x:v>
      </x:c>
      <x:c r="S679" s="10" t="str">
        <x:v>consideration</x:v>
      </x:c>
      <x:c r="T679" s="15" t="str">
        <x:v>explicit | page_validated</x:v>
      </x:c>
      <x:c r="U679" s="10" t="str">
        <x:v>high</x:v>
      </x:c>
      <x:c r="V679" s="15" t="str">
        <x:v>womens_shower_flip_flops</x:v>
      </x:c>
      <x:c r="W679" s="15" t="str">
        <x:v>semantic_negative_candidate</x:v>
      </x:c>
      <x:c r="X679" s="15" t="str">
        <x:v>{"product_type":[{"value":"flip_flops","evidence_type":"explicit","source_span":"flip flops","fact_ids":[],"rationale":""},{"value":"flip_flops","evidence_type":"page_validated","source_span":"","fact_ids":["style_flip_flop"],"rationale":""}],"audience_intent":[{"value":"women","evidence_type":"explicit","source_span":"women","fact_ids":[],"rationale":""},{"value":"women","evidence_type":"page_validated","source_span":"","fact_ids":["title_womens_flip_flop"],"rationale":""}],"function_intent":[{"value":"shower_use","evidence_type":"explicit","source_span":"shower","fact_ids":[],"rationale":""}],"location_intent":[{"value":"shower","evidence_type":"explicit","source_span":"shower","fact_ids":[],"rationale":""}],"material":[{"value":"rubber","evidence_type":"explicit","source_span":"rubber","fact_ids":[],"rationale":""}],"primary_domain":[{"value":"clothing_shoes_jewelry","evidence_type":"inferred","source_span":"","fact_ids":[],"rationale":"该值由搜索词整体语义推断，未作为页面明示属性。"}]}</x:v>
      </x:c>
      <x:c r="Y679" s="15" t="str">
        <x:v>eva_not_rubber | shower_waterproof_not_supported</x:v>
      </x:c>
      <x:c r="Z679" s="10" t="str">
        <x:v>mismatch</x:v>
      </x:c>
      <x:c r="AA679" s="15" t="str">
        <x:v>title_womens_flip_flop | material_eva | style_flip_flop</x:v>
      </x:c>
      <x:c r="AB679" s="10" t="str">
        <x:v>accepted</x:v>
      </x:c>
      <x:c r="AC679" s="10" t="str">
        <x:v>1.0.0</x:v>
      </x:c>
      <x:c r="AD679" s="10" t="str">
        <x:v>1.1.0</x:v>
      </x:c>
      <x:c r="AE679" s="10" t="str">
        <x:v>deepseek/deepseek-v4-pro</x:v>
      </x:c>
      <x:c r="AF679" s="10" t="str">
        <x:v>aj2-y90-20260714T234810-0bea2f52</x:v>
      </x:c>
      <x:c r="AG679" s="10" t="str">
        <x:v>full-0034</x:v>
      </x:c>
      <x:c r="AH679" s="10" t="str">
        <x:v>full</x:v>
      </x:c>
      <x:c r="AI679" s="10" t="n">
        <x:v>34</x:v>
      </x:c>
    </x:row>
    <x:row r="680" ht="34" customHeight="1">
      <x:c r="A680" s="16" t="str">
        <x:v>white rubber flip flops women</x:v>
      </x:c>
      <x:c r="B680" s="16" t="str">
        <x:v>white rubber flip flops women</x:v>
      </x:c>
      <x:c r="C680" s="13" t="str">
        <x:v>da24eb7586a884c2</x:v>
      </x:c>
      <x:c r="D680" s="13" t="str">
        <x:v>keyword</x:v>
      </x:c>
      <x:c r="E680" s="13" t="str">
        <x:v>en</x:v>
      </x:c>
      <x:c r="F680" s="13" t="str">
        <x:v>clothing_shoes_jewelry</x:v>
      </x:c>
      <x:c r="G680" s="16" t="str"/>
      <x:c r="H680" s="16" t="str">
        <x:v>flip_flops</x:v>
      </x:c>
      <x:c r="I680" s="16" t="str">
        <x:v>women</x:v>
      </x:c>
      <x:c r="J680" s="16" t="str"/>
      <x:c r="K680" s="16" t="str"/>
      <x:c r="L680" s="16" t="str"/>
      <x:c r="M680" s="16" t="str"/>
      <x:c r="N680" s="16" t="str"/>
      <x:c r="O680" s="16" t="str"/>
      <x:c r="P680" s="16" t="str"/>
      <x:c r="Q680" s="16" t="str"/>
      <x:c r="R680" s="16" t="str">
        <x:v>女性用户需要一双白色橡胶材质的人字拖。</x:v>
      </x:c>
      <x:c r="S680" s="13" t="str">
        <x:v>high_intent</x:v>
      </x:c>
      <x:c r="T680" s="16" t="str">
        <x:v>explicit | page_validated</x:v>
      </x:c>
      <x:c r="U680" s="13" t="str">
        <x:v>high</x:v>
      </x:c>
      <x:c r="V680" s="16" t="str">
        <x:v>womens_rubber_flip_flops</x:v>
      </x:c>
      <x:c r="W680" s="16" t="str">
        <x:v>semantic_negative_candidate</x:v>
      </x:c>
      <x:c r="X680" s="16" t="str">
        <x:v>{"product_type":[{"value":"flip_flops","evidence_type":"explicit","source_span":"flip flops","fact_ids":[],"rationale":""},{"value":"flip_flops","evidence_type":"page_validated","source_span":"","fact_ids":["style_flip_flop"],"rationale":""}],"audience_intent":[{"value":"women","evidence_type":"explicit","source_span":"women","fact_ids":[],"rationale":""},{"value":"women","evidence_type":"page_validated","source_span":"","fact_ids":["title_womens_flip_flop"],"rationale":""}],"color":[{"value":"white","evidence_type":"explicit","source_span":"white","fact_ids":[],"rationale":"该颜色在商品页面可见颜色选择中得到明确支持。"},{"value":"white","evidence_type":"page_validated","source_span":"","fact_ids":["colors_visible"],"rationale":"该颜色在商品页面可见颜色选择中得到明确支持。"}],"material":[{"value":"rubber","evidence_type":"explicit","source_span":"rubber","fact_ids":[],"rationale":""}],"primary_domain":[{"value":"clothing_shoes_jewelry","evidence_type":"inferred","source_span":"","fact_ids":[],"rationale":"该值由搜索词整体语义推断，未作为页面明示属性。"}]}</x:v>
      </x:c>
      <x:c r="Y680" s="16" t="str">
        <x:v>eva_not_rubber</x:v>
      </x:c>
      <x:c r="Z680" s="13" t="str">
        <x:v>mismatch</x:v>
      </x:c>
      <x:c r="AA680" s="16" t="str">
        <x:v>title_womens_flip_flop | material_eva | colors_visible | style_flip_flop</x:v>
      </x:c>
      <x:c r="AB680" s="13" t="str">
        <x:v>accepted</x:v>
      </x:c>
      <x:c r="AC680" s="13" t="str">
        <x:v>1.0.0</x:v>
      </x:c>
      <x:c r="AD680" s="13" t="str">
        <x:v>1.1.0</x:v>
      </x:c>
      <x:c r="AE680" s="13" t="str">
        <x:v>deepseek/deepseek-v4-pro</x:v>
      </x:c>
      <x:c r="AF680" s="13" t="str">
        <x:v>aj2-y90-20260714T234810-0bea2f52</x:v>
      </x:c>
      <x:c r="AG680" s="13" t="str">
        <x:v>full-0034</x:v>
      </x:c>
      <x:c r="AH680" s="13" t="str">
        <x:v>full</x:v>
      </x:c>
      <x:c r="AI680" s="13" t="n">
        <x:v>34</x:v>
      </x:c>
    </x:row>
    <x:row r="681" ht="34" customHeight="1">
      <x:c r="A681" s="15" t="str">
        <x:v>black arch support flip flops women</x:v>
      </x:c>
      <x:c r="B681" s="15" t="str">
        <x:v>black arch support flip flops women</x:v>
      </x:c>
      <x:c r="C681" s="10" t="str">
        <x:v>f3476d25205651b7</x:v>
      </x:c>
      <x:c r="D681" s="10" t="str">
        <x:v>keyword</x:v>
      </x:c>
      <x:c r="E681" s="10" t="str">
        <x:v>en</x:v>
      </x:c>
      <x:c r="F681" s="10" t="str">
        <x:v>clothing_shoes_jewelry</x:v>
      </x:c>
      <x:c r="G681" s="15" t="str"/>
      <x:c r="H681" s="15" t="str">
        <x:v>flip_flops</x:v>
      </x:c>
      <x:c r="I681" s="15" t="str">
        <x:v>women</x:v>
      </x:c>
      <x:c r="J681" s="15" t="str">
        <x:v>arch_support</x:v>
      </x:c>
      <x:c r="K681" s="15" t="str">
        <x:v>arch_support</x:v>
      </x:c>
      <x:c r="L681" s="15" t="str"/>
      <x:c r="M681" s="15" t="str"/>
      <x:c r="N681" s="15" t="str">
        <x:v>arch_support</x:v>
      </x:c>
      <x:c r="O681" s="15" t="str"/>
      <x:c r="P681" s="15" t="str"/>
      <x:c r="Q681" s="15" t="str"/>
      <x:c r="R681" s="15" t="str">
        <x:v>女性用户需要一双黑色足弓支撑人字拖，用于日常步行缓解足弓压力。</x:v>
      </x:c>
      <x:c r="S681" s="10" t="str">
        <x:v>high_intent</x:v>
      </x:c>
      <x:c r="T681" s="15" t="str">
        <x:v>explicit | page_validated</x:v>
      </x:c>
      <x:c r="U681" s="10" t="str">
        <x:v>high</x:v>
      </x:c>
      <x:c r="V681" s="15" t="str">
        <x:v>womens_black_arch_support_flip_flops</x:v>
      </x:c>
      <x:c r="W681" s="15" t="str">
        <x:v>cluster_route</x:v>
      </x:c>
      <x:c r="X681" s="15" t="str">
        <x:v>{"product_type":[{"value":"flip_flops","evidence_type":"explicit","source_span":"flip flops","fact_ids":[],"rationale":""},{"value":"flip_flops","evidence_type":"page_validated","source_span":"","fact_ids":["style_flip_flop"],"rationale":""}],"audience_intent":[{"value":"women","evidence_type":"explicit","source_span":"women","fact_ids":[],"rationale":""},{"value":"women","evidence_type":"page_validated","source_span":"","fact_ids":["title_womens_flip_flop"],"rationale":""}],"capability_intent":[{"value":"arch_support","evidence_type":"page_validated","source_span":"","fact_ids":["arch_support"],"rationale":""}],"color":[{"value":"black","evidence_type":"explicit","source_span":"black","fact_ids":[],"rationale":"该颜色在商品页面可见颜色选择中得到明确支持。"},{"value":"black","evidence_type":"page_validated","source_span":"","fact_ids":["colors_visible"],"rationale":"该颜色在商品页面可见颜色选择中得到明确支持。"}],"primary_domain":[{"value":"clothing_shoes_jewelry","evidence_type":"inferred","source_span":"","fact_ids":[],"rationale":"该值由搜索词整体语义推断，未作为页面明示属性。"}]}</x:v>
      </x:c>
      <x:c r="Y681" s="15" t="str"/>
      <x:c r="Z681" s="10" t="str">
        <x:v>match</x:v>
      </x:c>
      <x:c r="AA681" s="15" t="str">
        <x:v>title_womens_flip_flop | arch_support | colors_visible | style_flip_flop</x:v>
      </x:c>
      <x:c r="AB681" s="10" t="str">
        <x:v>accepted</x:v>
      </x:c>
      <x:c r="AC681" s="10" t="str">
        <x:v>1.0.0</x:v>
      </x:c>
      <x:c r="AD681" s="10" t="str">
        <x:v>1.1.0</x:v>
      </x:c>
      <x:c r="AE681" s="10" t="str">
        <x:v>deepseek/deepseek-v4-pro</x:v>
      </x:c>
      <x:c r="AF681" s="10" t="str">
        <x:v>aj2-y90-20260714T234810-0bea2f52</x:v>
      </x:c>
      <x:c r="AG681" s="10" t="str">
        <x:v>full-0034</x:v>
      </x:c>
      <x:c r="AH681" s="10" t="str">
        <x:v>full</x:v>
      </x:c>
      <x:c r="AI681" s="10" t="n">
        <x:v>34</x:v>
      </x:c>
    </x:row>
    <x:row r="682" ht="34" customHeight="1">
      <x:c r="A682" s="16" t="str">
        <x:v>flip flops womens size 8</x:v>
      </x:c>
      <x:c r="B682" s="16" t="str">
        <x:v>flip flops womens size 8</x:v>
      </x:c>
      <x:c r="C682" s="13" t="str">
        <x:v>075feacd23992d6e</x:v>
      </x:c>
      <x:c r="D682" s="13" t="str">
        <x:v>keyword</x:v>
      </x:c>
      <x:c r="E682" s="13" t="str">
        <x:v>en</x:v>
      </x:c>
      <x:c r="F682" s="13" t="str">
        <x:v>clothing_shoes_jewelry</x:v>
      </x:c>
      <x:c r="G682" s="16" t="str"/>
      <x:c r="H682" s="16" t="str">
        <x:v>flip_flops</x:v>
      </x:c>
      <x:c r="I682" s="16" t="str">
        <x:v>women</x:v>
      </x:c>
      <x:c r="J682" s="16" t="str"/>
      <x:c r="K682" s="16" t="str"/>
      <x:c r="L682" s="16" t="str"/>
      <x:c r="M682" s="16" t="str"/>
      <x:c r="N682" s="16" t="str"/>
      <x:c r="O682" s="16" t="str"/>
      <x:c r="P682" s="16" t="str"/>
      <x:c r="Q682" s="16" t="str"/>
      <x:c r="R682" s="16" t="str">
        <x:v>女性用户需要一双8码的拖鞋，产品尺码范围涵盖8码且为女款，完全匹配。</x:v>
      </x:c>
      <x:c r="S682" s="13" t="str">
        <x:v>high_intent</x:v>
      </x:c>
      <x:c r="T682" s="16" t="str">
        <x:v>explicit | page_validated</x:v>
      </x:c>
      <x:c r="U682" s="13" t="str">
        <x:v>high</x:v>
      </x:c>
      <x:c r="V682" s="16" t="str">
        <x:v>womens_flip_flops_size_8</x:v>
      </x:c>
      <x:c r="W682" s="16" t="str">
        <x:v>cluster_route</x:v>
      </x:c>
      <x:c r="X682" s="16" t="str">
        <x:v>{"product_type":[{"value":"flip_flops","evidence_type":"explicit","source_span":"flip flops","fact_ids":["style_flip_flop"],"rationale":""},{"value":"flip_flops","evidence_type":"page_validated","source_span":"","fact_ids":["style_flip_flop"],"rationale":"该槽位与商品基准中的明示页面事实一致。"}],"audience_intent":[{"value":"women","evidence_type":"explicit","source_span":"womens","fact_ids":["title_womens_flip_flop"],"rationale":""},{"value":"women","evidence_type":"page_validated","source_span":"","fact_ids":["title_womens_flip_flop"],"rationale":"该槽位与商品基准中的明示页面事实一致。"}],"size":[{"value":"8","evidence_type":"page_validated","source_span":"","fact_ids":["sizes_6_11"],"rationale":"尺码8在6-11范围内"}],"primary_domain":[{"value":"clothing_shoes_jewelry","evidence_type":"inferred","source_span":"","fact_ids":[],"rationale":"该值由搜索词整体语义推断，未作为页面明示属性。"}]}</x:v>
      </x:c>
      <x:c r="Y682" s="16" t="str"/>
      <x:c r="Z682" s="13" t="str">
        <x:v>match</x:v>
      </x:c>
      <x:c r="AA682" s="16" t="str">
        <x:v>title_womens_flip_flop | style_flip_flop | sizes_6_11</x:v>
      </x:c>
      <x:c r="AB682" s="13" t="str">
        <x:v>accepted</x:v>
      </x:c>
      <x:c r="AC682" s="13" t="str">
        <x:v>1.0.0</x:v>
      </x:c>
      <x:c r="AD682" s="13" t="str">
        <x:v>1.1.0</x:v>
      </x:c>
      <x:c r="AE682" s="13" t="str">
        <x:v>deepseek/deepseek-v4-pro</x:v>
      </x:c>
      <x:c r="AF682" s="13" t="str">
        <x:v>aj2-y90-20260714T234810-0bea2f52</x:v>
      </x:c>
      <x:c r="AG682" s="13" t="str">
        <x:v>full-0035</x:v>
      </x:c>
      <x:c r="AH682" s="13" t="str">
        <x:v>full</x:v>
      </x:c>
      <x:c r="AI682" s="13" t="n">
        <x:v>35</x:v>
      </x:c>
    </x:row>
    <x:row r="683" ht="34" customHeight="1">
      <x:c r="A683" s="15" t="str">
        <x:v>brown plastic flip flops women</x:v>
      </x:c>
      <x:c r="B683" s="15" t="str">
        <x:v>brown plastic flip flops women</x:v>
      </x:c>
      <x:c r="C683" s="10" t="str">
        <x:v>11d0373c2f7fd3ae</x:v>
      </x:c>
      <x:c r="D683" s="10" t="str">
        <x:v>keyword</x:v>
      </x:c>
      <x:c r="E683" s="10" t="str">
        <x:v>en</x:v>
      </x:c>
      <x:c r="F683" s="10" t="str">
        <x:v>clothing_shoes_jewelry</x:v>
      </x:c>
      <x:c r="G683" s="15" t="str"/>
      <x:c r="H683" s="15" t="str">
        <x:v>flip_flops</x:v>
      </x:c>
      <x:c r="I683" s="15" t="str">
        <x:v>women</x:v>
      </x:c>
      <x:c r="J683" s="15" t="str"/>
      <x:c r="K683" s="15" t="str"/>
      <x:c r="L683" s="15" t="str"/>
      <x:c r="M683" s="15" t="str"/>
      <x:c r="N683" s="15" t="str"/>
      <x:c r="O683" s="15" t="str"/>
      <x:c r="P683" s="15" t="str"/>
      <x:c r="Q683" s="15" t="str"/>
      <x:c r="R683" s="15" t="str">
        <x:v>女性用户寻找棕色塑料拖鞋，EVA属塑料材质且产品有棕色选项，匹配良好。</x:v>
      </x:c>
      <x:c r="S683" s="10" t="str">
        <x:v>high_intent</x:v>
      </x:c>
      <x:c r="T683" s="15" t="str">
        <x:v>explicit | page_validated | inferred</x:v>
      </x:c>
      <x:c r="U683" s="10" t="str">
        <x:v>high</x:v>
      </x:c>
      <x:c r="V683" s="15" t="str">
        <x:v>brown_plastic_womens_flip_flops</x:v>
      </x:c>
      <x:c r="W683" s="15" t="str">
        <x:v>cluster_route</x:v>
      </x:c>
      <x:c r="X683" s="15" t="str">
        <x:v>{"product_type":[{"value":"flip_flops","evidence_type":"explicit","source_span":"flip flops","fact_ids":["style_flip_flop"],"rationale":""},{"value":"flip_flops","evidence_type":"page_validated","source_span":"","fact_ids":["style_flip_flop"],"rationale":"该槽位与商品基准中的明示页面事实一致。"}],"audience_intent":[{"value":"women","evidence_type":"explicit","source_span":"women","fact_ids":["title_womens_flip_flop"],"rationale":""},{"value":"women","evidence_type":"page_validated","source_span":"","fact_ids":["title_womens_flip_flop"],"rationale":"该槽位与商品基准中的明示页面事实一致。"}],"color":[{"value":"brown","evidence_type":"page_validated","source_span":"","fact_ids":["colors_visible"],"rationale":"该颜色在商品页面可见颜色选择中得到明确支持。"}],"material":[{"value":"plastic","evidence_type":"page_validated","source_span":"","fact_ids":["material_eva"],"rationale":"EVA即乙烯醋酸乙烯酯，属于塑料"}],"primary_domain":[{"value":"clothing_shoes_jewelry","evidence_type":"inferred","source_span":"","fact_ids":[],"rationale":"该值由搜索词整体语义推断，未作为页面明示属性。"}]}</x:v>
      </x:c>
      <x:c r="Y683" s="15" t="str"/>
      <x:c r="Z683" s="10" t="str">
        <x:v>match</x:v>
      </x:c>
      <x:c r="AA683" s="15" t="str">
        <x:v>title_womens_flip_flop | style_flip_flop | colors_visible | material_eva</x:v>
      </x:c>
      <x:c r="AB683" s="10" t="str">
        <x:v>accepted</x:v>
      </x:c>
      <x:c r="AC683" s="10" t="str">
        <x:v>1.0.0</x:v>
      </x:c>
      <x:c r="AD683" s="10" t="str">
        <x:v>1.1.0</x:v>
      </x:c>
      <x:c r="AE683" s="10" t="str">
        <x:v>deepseek/deepseek-v4-pro</x:v>
      </x:c>
      <x:c r="AF683" s="10" t="str">
        <x:v>aj2-y90-20260714T234810-0bea2f52</x:v>
      </x:c>
      <x:c r="AG683" s="10" t="str">
        <x:v>full-0035</x:v>
      </x:c>
      <x:c r="AH683" s="10" t="str">
        <x:v>full</x:v>
      </x:c>
      <x:c r="AI683" s="10" t="n">
        <x:v>35</x:v>
      </x:c>
    </x:row>
    <x:row r="684" ht="34" customHeight="1">
      <x:c r="A684" s="16" t="str">
        <x:v>beach sandals brown</x:v>
      </x:c>
      <x:c r="B684" s="16" t="str">
        <x:v>beach sandals brown</x:v>
      </x:c>
      <x:c r="C684" s="13" t="str">
        <x:v>146208e8d41cfd33</x:v>
      </x:c>
      <x:c r="D684" s="13" t="str">
        <x:v>keyword</x:v>
      </x:c>
      <x:c r="E684" s="13" t="str">
        <x:v>en</x:v>
      </x:c>
      <x:c r="F684" s="13" t="str">
        <x:v>clothing_shoes_jewelry</x:v>
      </x:c>
      <x:c r="G684" s="16" t="str">
        <x:v>sports_outdoors</x:v>
      </x:c>
      <x:c r="H684" s="16" t="str">
        <x:v>sandals</x:v>
      </x:c>
      <x:c r="I684" s="16" t="str"/>
      <x:c r="J684" s="16" t="str"/>
      <x:c r="K684" s="16" t="str"/>
      <x:c r="L684" s="16" t="str">
        <x:v>beach_outing</x:v>
      </x:c>
      <x:c r="M684" s="16" t="str">
        <x:v>beach</x:v>
      </x:c>
      <x:c r="N684" s="16" t="str"/>
      <x:c r="O684" s="16" t="str"/>
      <x:c r="P684" s="16" t="str"/>
      <x:c r="Q684" s="16" t="str"/>
      <x:c r="R684" s="16" t="str">
        <x:v>用户寻找棕色沙滩凉鞋，产品有棕色选项且定位户外，匹配良好。</x:v>
      </x:c>
      <x:c r="S684" s="13" t="str">
        <x:v>high_intent</x:v>
      </x:c>
      <x:c r="T684" s="16" t="str">
        <x:v>explicit | page_validated</x:v>
      </x:c>
      <x:c r="U684" s="13" t="str">
        <x:v>high</x:v>
      </x:c>
      <x:c r="V684" s="16" t="str">
        <x:v>brown_beach_sandals</x:v>
      </x:c>
      <x:c r="W684" s="16" t="str">
        <x:v>cluster_route</x:v>
      </x:c>
      <x:c r="X684" s="16" t="str">
        <x:v>{"product_type":[{"value":"sandals","evidence_type":"explicit","source_span":"sandals","fact_ids":[],"rationale":""},{"value":"sandals","evidence_type":"page_validated","source_span":"","fact_ids":["title_womens_flip_flop"],"rationale":"该槽位与商品基准中的明示页面事实一致。"}],"location_intent":[{"value":"beach","evidence_type":"explicit","source_span":"beach","fact_ids":[],"rationale":""}],"color":[{"value":"brown","evidence_type":"page_validated","source_span":"","fact_ids":["colors_visible"],"rationale":"该颜色在商品页面可见颜色选择中得到明确支持。"}],"event_intent":[{"value":"beach_outing","evidence_type":"inferred","source_span":"beach","fact_ids":[],"rationale":"海滩活动属户外场景"}],"primary_domain":[{"value":"clothing_shoes_jewelry","evidence_type":"inferred","source_span":"","fact_ids":[],"rationale":"该值由搜索词整体语义推断，未作为页面明示属性。"}],"secondary_domain":[{"value":"sports_outdoors","evidence_type":"inferred","source_span":"","fact_ids":[],"rationale":"该值由搜索词整体语义推断，未作为页面明示属性。"}]}</x:v>
      </x:c>
      <x:c r="Y684" s="16" t="str"/>
      <x:c r="Z684" s="13" t="str">
        <x:v>match</x:v>
      </x:c>
      <x:c r="AA684" s="16" t="str">
        <x:v>style_outdoor | colors_visible</x:v>
      </x:c>
      <x:c r="AB684" s="13" t="str">
        <x:v>accepted</x:v>
      </x:c>
      <x:c r="AC684" s="13" t="str">
        <x:v>1.0.0</x:v>
      </x:c>
      <x:c r="AD684" s="13" t="str">
        <x:v>1.1.0</x:v>
      </x:c>
      <x:c r="AE684" s="13" t="str">
        <x:v>deepseek/deepseek-v4-pro</x:v>
      </x:c>
      <x:c r="AF684" s="13" t="str">
        <x:v>aj2-y90-20260714T234810-0bea2f52</x:v>
      </x:c>
      <x:c r="AG684" s="13" t="str">
        <x:v>full-0035</x:v>
      </x:c>
      <x:c r="AH684" s="13" t="str">
        <x:v>full</x:v>
      </x:c>
      <x:c r="AI684" s="13" t="n">
        <x:v>35</x:v>
      </x:c>
    </x:row>
    <x:row r="685" ht="34" customHeight="1">
      <x:c r="A685" s="15" t="str">
        <x:v>women's rubber flip flops waterproof</x:v>
      </x:c>
      <x:c r="B685" s="15" t="str">
        <x:v>women's rubber flip flops waterproof</x:v>
      </x:c>
      <x:c r="C685" s="10" t="str">
        <x:v>14cf56490971f45f</x:v>
      </x:c>
      <x:c r="D685" s="10" t="str">
        <x:v>keyword</x:v>
      </x:c>
      <x:c r="E685" s="10" t="str">
        <x:v>en</x:v>
      </x:c>
      <x:c r="F685" s="10" t="str">
        <x:v>clothing_shoes_jewelry</x:v>
      </x:c>
      <x:c r="G685" s="15" t="str"/>
      <x:c r="H685" s="15" t="str">
        <x:v>flip_flops</x:v>
      </x:c>
      <x:c r="I685" s="15" t="str">
        <x:v>women</x:v>
      </x:c>
      <x:c r="J685" s="15" t="str"/>
      <x:c r="K685" s="15" t="str">
        <x:v>waterproof</x:v>
      </x:c>
      <x:c r="L685" s="15" t="str"/>
      <x:c r="M685" s="15" t="str"/>
      <x:c r="N685" s="15" t="str"/>
      <x:c r="O685" s="15" t="str"/>
      <x:c r="P685" s="15" t="str"/>
      <x:c r="Q685" s="15" t="str"/>
      <x:c r="R685" s="15" t="str">
        <x:v>女性用户搜索橡胶材质防水拖鞋，产品为EVA材质且未宣称防水，两项需求均无页面证据。</x:v>
      </x:c>
      <x:c r="S685" s="10" t="str">
        <x:v>consideration</x:v>
      </x:c>
      <x:c r="T685" s="15" t="str">
        <x:v>explicit | inferred</x:v>
      </x:c>
      <x:c r="U685" s="10" t="str">
        <x:v>medium</x:v>
      </x:c>
      <x:c r="V685" s="15" t="str">
        <x:v>rubber_waterproof_womens_flip_flops</x:v>
      </x:c>
      <x:c r="W685" s="15" t="str">
        <x:v>listing_gap_review</x:v>
      </x:c>
      <x:c r="X685" s="15" t="str">
        <x:v>{"product_type":[{"value":"flip_flops","evidence_type":"explicit","source_span":"flip flops","fact_ids":["style_flip_flop"],"rationale":""},{"value":"flip_flops","evidence_type":"page_validated","source_span":"","fact_ids":["style_flip_flop"],"rationale":"该槽位与商品基准中的明示页面事实一致。"}],"audience_intent":[{"value":"women","evidence_type":"explicit","source_span":"women's","fact_ids":["title_womens_flip_flop"],"rationale":""},{"value":"women","evidence_type":"page_validated","source_span":"","fact_ids":["title_womens_flip_flop"],"rationale":"该槽位与商品基准中的明示页面事实一致。"}],"capability_intent":[{"value":"waterproof","evidence_type":"explicit","source_span":"waterproof","fact_ids":[],"rationale":"页面未宣称防水功能"}],"material":[{"value":"rubber","evidence_type":"explicit","source_span":"rubber","fact_ids":["material_eva"],"rationale":"产品为EVA非橡胶"}],"primary_domain":[{"value":"clothing_shoes_jewelry","evidence_type":"inferred","source_span":"","fact_ids":[],"rationale":"该值由搜索词整体语义推断，未作为页面明示属性。"}]}</x:v>
      </x:c>
      <x:c r="Y685" s="15" t="str">
        <x:v>unsupported_capability | material_mismatch</x:v>
      </x:c>
      <x:c r="Z685" s="10" t="str">
        <x:v>partial_match</x:v>
      </x:c>
      <x:c r="AA685" s="15" t="str">
        <x:v>title_womens_flip_flop | style_flip_flop | material_eva</x:v>
      </x:c>
      <x:c r="AB685" s="10" t="str">
        <x:v>accepted</x:v>
      </x:c>
      <x:c r="AC685" s="10" t="str">
        <x:v>1.0.0</x:v>
      </x:c>
      <x:c r="AD685" s="10" t="str">
        <x:v>1.1.0</x:v>
      </x:c>
      <x:c r="AE685" s="10" t="str">
        <x:v>deepseek/deepseek-v4-pro</x:v>
      </x:c>
      <x:c r="AF685" s="10" t="str">
        <x:v>aj2-y90-20260714T234810-0bea2f52</x:v>
      </x:c>
      <x:c r="AG685" s="10" t="str">
        <x:v>full-0035</x:v>
      </x:c>
      <x:c r="AH685" s="10" t="str">
        <x:v>full</x:v>
      </x:c>
      <x:c r="AI685" s="10" t="n">
        <x:v>35</x:v>
      </x:c>
    </x:row>
    <x:row r="686" ht="34" customHeight="1">
      <x:c r="A686" s="16" t="str">
        <x:v>flip flops beach</x:v>
      </x:c>
      <x:c r="B686" s="16" t="str">
        <x:v>flip flops beach</x:v>
      </x:c>
      <x:c r="C686" s="13" t="str">
        <x:v>29384a21cda49989</x:v>
      </x:c>
      <x:c r="D686" s="13" t="str">
        <x:v>keyword</x:v>
      </x:c>
      <x:c r="E686" s="13" t="str">
        <x:v>en</x:v>
      </x:c>
      <x:c r="F686" s="13" t="str">
        <x:v>clothing_shoes_jewelry</x:v>
      </x:c>
      <x:c r="G686" s="16" t="str">
        <x:v>sports_outdoors</x:v>
      </x:c>
      <x:c r="H686" s="16" t="str">
        <x:v>flip_flops</x:v>
      </x:c>
      <x:c r="I686" s="16" t="str"/>
      <x:c r="J686" s="16" t="str"/>
      <x:c r="K686" s="16" t="str"/>
      <x:c r="L686" s="16" t="str">
        <x:v>beach_outing</x:v>
      </x:c>
      <x:c r="M686" s="16" t="str">
        <x:v>beach</x:v>
      </x:c>
      <x:c r="N686" s="16" t="str"/>
      <x:c r="O686" s="16" t="str"/>
      <x:c r="P686" s="16" t="str"/>
      <x:c r="Q686" s="16" t="str"/>
      <x:c r="R686" s="16" t="str">
        <x:v>用户需要适合海滩穿着的拖鞋，产品定位户外场景与之匹配。</x:v>
      </x:c>
      <x:c r="S686" s="13" t="str">
        <x:v>consideration</x:v>
      </x:c>
      <x:c r="T686" s="16" t="str">
        <x:v>explicit | page_validated</x:v>
      </x:c>
      <x:c r="U686" s="13" t="str">
        <x:v>high</x:v>
      </x:c>
      <x:c r="V686" s="16" t="str">
        <x:v>beach_flip_flops</x:v>
      </x:c>
      <x:c r="W686" s="16" t="str">
        <x:v>cluster_route</x:v>
      </x:c>
      <x:c r="X686" s="16" t="str">
        <x:v>{"product_type":[{"value":"flip_flops","evidence_type":"explicit","source_span":"flip flops","fact_ids":["style_flip_flop"],"rationale":""},{"value":"flip_flops","evidence_type":"page_validated","source_span":"","fact_ids":["style_flip_flop"],"rationale":"该槽位与商品基准中的明示页面事实一致。"}],"location_intent":[{"value":"beach","evidence_type":"explicit","source_span":"beach","fact_ids":[],"rationale":""}],"event_intent":[{"value":"beach_outing","evidence_type":"inferred","source_span":"beach","fact_ids":[],"rationale":"海滩活动属于户外场景"}],"primary_domain":[{"value":"clothing_shoes_jewelry","evidence_type":"inferred","source_span":"","fact_ids":[],"rationale":"该值由搜索词整体语义推断，未作为页面明示属性。"}],"secondary_domain":[{"value":"sports_outdoors","evidence_type":"inferred","source_span":"","fact_ids":[],"rationale":"该值由搜索词整体语义推断，未作为页面明示属性。"}]}</x:v>
      </x:c>
      <x:c r="Y686" s="16" t="str"/>
      <x:c r="Z686" s="13" t="str">
        <x:v>match</x:v>
      </x:c>
      <x:c r="AA686" s="16" t="str">
        <x:v>style_flip_flop | style_outdoor</x:v>
      </x:c>
      <x:c r="AB686" s="13" t="str">
        <x:v>accepted</x:v>
      </x:c>
      <x:c r="AC686" s="13" t="str">
        <x:v>1.0.0</x:v>
      </x:c>
      <x:c r="AD686" s="13" t="str">
        <x:v>1.1.0</x:v>
      </x:c>
      <x:c r="AE686" s="13" t="str">
        <x:v>deepseek/deepseek-v4-pro</x:v>
      </x:c>
      <x:c r="AF686" s="13" t="str">
        <x:v>aj2-y90-20260714T234810-0bea2f52</x:v>
      </x:c>
      <x:c r="AG686" s="13" t="str">
        <x:v>full-0035</x:v>
      </x:c>
      <x:c r="AH686" s="13" t="str">
        <x:v>full</x:v>
      </x:c>
      <x:c r="AI686" s="13" t="n">
        <x:v>35</x:v>
      </x:c>
    </x:row>
    <x:row r="687" ht="34" customHeight="1">
      <x:c r="A687" s="15" t="str">
        <x:v>white mountain flip flops for women</x:v>
      </x:c>
      <x:c r="B687" s="15" t="str">
        <x:v>white mountain flip flops for women</x:v>
      </x:c>
      <x:c r="C687" s="10" t="str">
        <x:v>326eb68b535a4964</x:v>
      </x:c>
      <x:c r="D687" s="10" t="str">
        <x:v>keyword</x:v>
      </x:c>
      <x:c r="E687" s="10" t="str">
        <x:v>en</x:v>
      </x:c>
      <x:c r="F687" s="10" t="str">
        <x:v>clothing_shoes_jewelry</x:v>
      </x:c>
      <x:c r="G687" s="15" t="str"/>
      <x:c r="H687" s="15" t="str">
        <x:v>flip_flops</x:v>
      </x:c>
      <x:c r="I687" s="15" t="str">
        <x:v>women</x:v>
      </x:c>
      <x:c r="J687" s="15" t="str"/>
      <x:c r="K687" s="15" t="str"/>
      <x:c r="L687" s="15" t="str"/>
      <x:c r="M687" s="15" t="str"/>
      <x:c r="N687" s="15" t="str"/>
      <x:c r="O687" s="15" t="str"/>
      <x:c r="P687" s="15" t="str">
        <x:v>alternative_brand</x:v>
      </x:c>
      <x:c r="Q687" s="15" t="str"/>
      <x:c r="R687" s="15" t="str">
        <x:v>用户搜索White Mountain品牌女式拖鞋，明确指向竞品品牌，当前产品不匹配。</x:v>
      </x:c>
      <x:c r="S687" s="10" t="str">
        <x:v>brand_harvest</x:v>
      </x:c>
      <x:c r="T687" s="15" t="str">
        <x:v>explicit | inferred</x:v>
      </x:c>
      <x:c r="U687" s="10" t="str">
        <x:v>high</x:v>
      </x:c>
      <x:c r="V687" s="15" t="str">
        <x:v>brand_competitor_white_mountain_womens_flip_flops</x:v>
      </x:c>
      <x:c r="W687" s="15" t="str">
        <x:v>semantic_negative_candidate</x:v>
      </x:c>
      <x:c r="X687" s="15" t="str">
        <x:v>{"product_type":[{"value":"flip_flops","evidence_type":"explicit","source_span":"flip flops","fact_ids":["style_flip_flop"],"rationale":""},{"value":"flip_flops","evidence_type":"page_validated","source_span":"","fact_ids":["style_flip_flop"],"rationale":"该槽位与商品基准中的明示页面事实一致。"}],"audience_intent":[{"value":"women","evidence_type":"explicit","source_span":"women","fact_ids":["title_womens_flip_flop"],"rationale":""},{"value":"women","evidence_type":"page_validated","source_span":"","fact_ids":["title_womens_flip_flop"],"rationale":"该槽位与商品基准中的明示页面事实一致。"}],"substitute_intent":[{"value":"alternative_brand","evidence_type":"inferred","source_span":"white mountain","fact_ids":[],"rationale":"White Mountain为竞品鞋履品牌"}],"brand":[{"value":"white_mountain","evidence_type":"inferred","source_span":"white mountain","fact_ids":[],"rationale":"竞品品牌名称"}],"primary_domain":[{"value":"clothing_shoes_jewelry","evidence_type":"inferred","source_span":"","fact_ids":[],"rationale":"该值由搜索词整体语义推断，未作为页面明示属性。"}]}</x:v>
      </x:c>
      <x:c r="Y687" s="15" t="str">
        <x:v>competitor_brand</x:v>
      </x:c>
      <x:c r="Z687" s="10" t="str">
        <x:v>mismatch</x:v>
      </x:c>
      <x:c r="AA687" s="15" t="str"/>
      <x:c r="AB687" s="10" t="str">
        <x:v>accepted</x:v>
      </x:c>
      <x:c r="AC687" s="10" t="str">
        <x:v>1.0.0</x:v>
      </x:c>
      <x:c r="AD687" s="10" t="str">
        <x:v>1.1.0</x:v>
      </x:c>
      <x:c r="AE687" s="10" t="str">
        <x:v>deepseek/deepseek-v4-pro</x:v>
      </x:c>
      <x:c r="AF687" s="10" t="str">
        <x:v>aj2-y90-20260714T234810-0bea2f52</x:v>
      </x:c>
      <x:c r="AG687" s="10" t="str">
        <x:v>full-0035</x:v>
      </x:c>
      <x:c r="AH687" s="10" t="str">
        <x:v>full</x:v>
      </x:c>
      <x:c r="AI687" s="10" t="n">
        <x:v>35</x:v>
      </x:c>
    </x:row>
    <x:row r="688" ht="34" customHeight="1">
      <x:c r="A688" s="16" t="str">
        <x:v>archie's</x:v>
      </x:c>
      <x:c r="B688" s="16" t="str">
        <x:v>archie's</x:v>
      </x:c>
      <x:c r="C688" s="13" t="str">
        <x:v>33ca29c8f90343da</x:v>
      </x:c>
      <x:c r="D688" s="13" t="str">
        <x:v>keyword</x:v>
      </x:c>
      <x:c r="E688" s="13" t="str">
        <x:v>en</x:v>
      </x:c>
      <x:c r="F688" s="13" t="str">
        <x:v>clothing_shoes_jewelry</x:v>
      </x:c>
      <x:c r="G688" s="16" t="str"/>
      <x:c r="H688" s="16" t="str">
        <x:v>flip_flops</x:v>
      </x:c>
      <x:c r="I688" s="16" t="str"/>
      <x:c r="J688" s="16" t="str"/>
      <x:c r="K688" s="16" t="str"/>
      <x:c r="L688" s="16" t="str"/>
      <x:c r="M688" s="16" t="str"/>
      <x:c r="N688" s="16" t="str">
        <x:v>arch_support</x:v>
      </x:c>
      <x:c r="O688" s="16" t="str"/>
      <x:c r="P688" s="16" t="str">
        <x:v>alternative_brand</x:v>
      </x:c>
      <x:c r="Q688" s="16" t="str"/>
      <x:c r="R688" s="16" t="str">
        <x:v>用户搜索Archies品牌拖鞋，该品牌以足弓支撑拖鞋闻名，当前产品品牌不符。</x:v>
      </x:c>
      <x:c r="S688" s="13" t="str">
        <x:v>brand_harvest</x:v>
      </x:c>
      <x:c r="T688" s="16" t="str">
        <x:v>inferred</x:v>
      </x:c>
      <x:c r="U688" s="13" t="str">
        <x:v>medium</x:v>
      </x:c>
      <x:c r="V688" s="16" t="str">
        <x:v>brand_competitor_archies</x:v>
      </x:c>
      <x:c r="W688" s="16" t="str">
        <x:v>semantic_negative_candidate</x:v>
      </x:c>
      <x:c r="X688" s="16" t="str">
        <x:v>{"product_type":[{"value":"flip_flops","evidence_type":"inferred","source_span":"archie's","fact_ids":[],"rationale":"Archies是知名足弓支撑拖鞋品牌"},{"value":"flip_flops","evidence_type":"page_validated","source_span":"","fact_ids":["style_flip_flop"],"rationale":"该槽位与商品基准中的明示页面事实一致。"}],"substitute_intent":[{"value":"alternative_brand","evidence_type":"inferred","source_span":"archie's","fact_ids":[],"rationale":"查询为竞品品牌名称"}],"brand":[{"value":"archies","evidence_type":"inferred","source_span":"archie's","fact_ids":[],"rationale":"竞品拖鞋品牌"}],"capability_intent":[{"value":"arch_support","evidence_type":"page_validated","source_span":"","fact_ids":["arch_support"],"rationale":"该槽位与商品基准中的明示页面事实一致。"},{"value":"arch_suppor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688" s="16" t="str">
        <x:v>brand_only_query | single_token</x:v>
      </x:c>
      <x:c r="Z688" s="13" t="str">
        <x:v>mismatch</x:v>
      </x:c>
      <x:c r="AA688" s="16" t="str"/>
      <x:c r="AB688" s="13" t="str">
        <x:v>accepted</x:v>
      </x:c>
      <x:c r="AC688" s="13" t="str">
        <x:v>1.0.0</x:v>
      </x:c>
      <x:c r="AD688" s="13" t="str">
        <x:v>1.1.0</x:v>
      </x:c>
      <x:c r="AE688" s="13" t="str">
        <x:v>deepseek/deepseek-v4-pro</x:v>
      </x:c>
      <x:c r="AF688" s="13" t="str">
        <x:v>aj2-y90-20260714T234810-0bea2f52</x:v>
      </x:c>
      <x:c r="AG688" s="13" t="str">
        <x:v>full-0035</x:v>
      </x:c>
      <x:c r="AH688" s="13" t="str">
        <x:v>full</x:v>
      </x:c>
      <x:c r="AI688" s="13" t="n">
        <x:v>35</x:v>
      </x:c>
    </x:row>
    <x:row r="689" ht="34" customHeight="1">
      <x:c r="A689" s="15" t="str">
        <x:v>white sandals for women</x:v>
      </x:c>
      <x:c r="B689" s="15" t="str">
        <x:v>white sandals for women</x:v>
      </x:c>
      <x:c r="C689" s="10" t="str">
        <x:v>52e1203d8c109774</x:v>
      </x:c>
      <x:c r="D689" s="10" t="str">
        <x:v>keyword</x:v>
      </x:c>
      <x:c r="E689" s="10" t="str">
        <x:v>en</x:v>
      </x:c>
      <x:c r="F689" s="10" t="str">
        <x:v>clothing_shoes_jewelry</x:v>
      </x:c>
      <x:c r="G689" s="15" t="str"/>
      <x:c r="H689" s="15" t="str">
        <x:v>sandals</x:v>
      </x:c>
      <x:c r="I689" s="15" t="str">
        <x:v>women</x:v>
      </x:c>
      <x:c r="J689" s="15" t="str"/>
      <x:c r="K689" s="15" t="str"/>
      <x:c r="L689" s="15" t="str"/>
      <x:c r="M689" s="15" t="str"/>
      <x:c r="N689" s="15" t="str"/>
      <x:c r="O689" s="15" t="str"/>
      <x:c r="P689" s="15" t="str"/>
      <x:c r="Q689" s="15" t="str"/>
      <x:c r="R689" s="15" t="str">
        <x:v>女性用户寻找白色凉鞋，产品有白色选项且为女款，完全匹配。</x:v>
      </x:c>
      <x:c r="S689" s="10" t="str">
        <x:v>high_intent</x:v>
      </x:c>
      <x:c r="T689" s="15" t="str">
        <x:v>explicit | page_validated</x:v>
      </x:c>
      <x:c r="U689" s="10" t="str">
        <x:v>high</x:v>
      </x:c>
      <x:c r="V689" s="15" t="str">
        <x:v>white_womens_sandals</x:v>
      </x:c>
      <x:c r="W689" s="15" t="str">
        <x:v>cluster_route</x:v>
      </x:c>
      <x:c r="X689" s="15" t="str">
        <x:v>{"product_type":[{"value":"sandals","evidence_type":"explicit","source_span":"sandals","fact_ids":[],"rationale":""},{"value":"sandals","evidence_type":"page_validated","source_span":"","fact_ids":["title_womens_flip_flop"],"rationale":"该槽位与商品基准中的明示页面事实一致。"}],"audience_intent":[{"value":"women","evidence_type":"explicit","source_span":"women","fact_ids":["title_womens_flip_flop"],"rationale":""},{"value":"women","evidence_type":"page_validated","source_span":"","fact_ids":["title_womens_flip_flop"],"rationale":"该槽位与商品基准中的明示页面事实一致。"}],"color":[{"value":"white","evidence_type":"page_validated","source_span":"","fact_ids":["colors_visible"],"rationale":"该颜色在商品页面可见颜色选择中得到明确支持。"}],"primary_domain":[{"value":"clothing_shoes_jewelry","evidence_type":"inferred","source_span":"","fact_ids":[],"rationale":"该值由搜索词整体语义推断，未作为页面明示属性。"}]}</x:v>
      </x:c>
      <x:c r="Y689" s="15" t="str"/>
      <x:c r="Z689" s="10" t="str">
        <x:v>match</x:v>
      </x:c>
      <x:c r="AA689" s="15" t="str">
        <x:v>title_womens_flip_flop | colors_visible</x:v>
      </x:c>
      <x:c r="AB689" s="10" t="str">
        <x:v>accepted</x:v>
      </x:c>
      <x:c r="AC689" s="10" t="str">
        <x:v>1.0.0</x:v>
      </x:c>
      <x:c r="AD689" s="10" t="str">
        <x:v>1.1.0</x:v>
      </x:c>
      <x:c r="AE689" s="10" t="str">
        <x:v>deepseek/deepseek-v4-pro</x:v>
      </x:c>
      <x:c r="AF689" s="10" t="str">
        <x:v>aj2-y90-20260714T234810-0bea2f52</x:v>
      </x:c>
      <x:c r="AG689" s="10" t="str">
        <x:v>full-0035</x:v>
      </x:c>
      <x:c r="AH689" s="10" t="str">
        <x:v>full</x:v>
      </x:c>
      <x:c r="AI689" s="10" t="n">
        <x:v>35</x:v>
      </x:c>
    </x:row>
    <x:row r="690" ht="34" customHeight="1">
      <x:c r="A690" s="16" t="str">
        <x:v>hey dide flip flops</x:v>
      </x:c>
      <x:c r="B690" s="16" t="str">
        <x:v>hey dide flip flops</x:v>
      </x:c>
      <x:c r="C690" s="13" t="str">
        <x:v>55a6ec285ede4c8a</x:v>
      </x:c>
      <x:c r="D690" s="13" t="str">
        <x:v>keyword</x:v>
      </x:c>
      <x:c r="E690" s="13" t="str">
        <x:v>en</x:v>
      </x:c>
      <x:c r="F690" s="13" t="str">
        <x:v>clothing_shoes_jewelry</x:v>
      </x:c>
      <x:c r="G690" s="16" t="str"/>
      <x:c r="H690" s="16" t="str">
        <x:v>flip_flops</x:v>
      </x:c>
      <x:c r="I690" s="16" t="str"/>
      <x:c r="J690" s="16" t="str"/>
      <x:c r="K690" s="16" t="str"/>
      <x:c r="L690" s="16" t="str"/>
      <x:c r="M690" s="16" t="str"/>
      <x:c r="N690" s="16" t="str"/>
      <x:c r="O690" s="16" t="str"/>
      <x:c r="P690" s="16" t="str">
        <x:v>alternative_brand</x:v>
      </x:c>
      <x:c r="Q690" s="16" t="str"/>
      <x:c r="R690" s="16" t="str">
        <x:v>用户搜索Hey Dude品牌的拖鞋，希望找到该竞品品牌的替代产品。</x:v>
      </x:c>
      <x:c r="S690" s="13" t="str">
        <x:v>brand_harvest</x:v>
      </x:c>
      <x:c r="T690" s="16" t="str">
        <x:v>explicit | inferred</x:v>
      </x:c>
      <x:c r="U690" s="13" t="str">
        <x:v>high</x:v>
      </x:c>
      <x:c r="V690" s="16" t="str">
        <x:v>brand_competitor_hey_dude_flip_flops</x:v>
      </x:c>
      <x:c r="W690" s="16" t="str">
        <x:v>semantic_negative_candidate</x:v>
      </x:c>
      <x:c r="X690" s="16" t="str">
        <x:v>{"product_type":[{"value":"flip_flops","evidence_type":"explicit","source_span":"flip flops","fact_ids":["style_flip_flop"],"rationale":""},{"value":"flip_flops","evidence_type":"page_validated","source_span":"","fact_ids":["style_flip_flop"],"rationale":"该槽位与商品基准中的明示页面事实一致。"}],"substitute_intent":[{"value":"alternative_brand","evidence_type":"inferred","source_span":"hey dide","fact_ids":[],"rationale":"hey dide为Hey Dude品牌拼写变体"}],"brand":[{"value":"hey_dude","evidence_type":"inferred","source_span":"hey dide","fact_ids":[],"rationale":"拼写近似知名拖鞋品牌Hey Dude"}],"primary_domain":[{"value":"clothing_shoes_jewelry","evidence_type":"inferred","source_span":"","fact_ids":[],"rationale":"该值由搜索词整体语义推断，未作为页面明示属性。"}]}</x:v>
      </x:c>
      <x:c r="Y690" s="16" t="str">
        <x:v>misspelled_brand</x:v>
      </x:c>
      <x:c r="Z690" s="13" t="str">
        <x:v>mismatch</x:v>
      </x:c>
      <x:c r="AA690" s="16" t="str"/>
      <x:c r="AB690" s="13" t="str">
        <x:v>accepted</x:v>
      </x:c>
      <x:c r="AC690" s="13" t="str">
        <x:v>1.0.0</x:v>
      </x:c>
      <x:c r="AD690" s="13" t="str">
        <x:v>1.1.0</x:v>
      </x:c>
      <x:c r="AE690" s="13" t="str">
        <x:v>deepseek/deepseek-v4-pro</x:v>
      </x:c>
      <x:c r="AF690" s="13" t="str">
        <x:v>aj2-y90-20260714T234810-0bea2f52</x:v>
      </x:c>
      <x:c r="AG690" s="13" t="str">
        <x:v>full-0035</x:v>
      </x:c>
      <x:c r="AH690" s="13" t="str">
        <x:v>full</x:v>
      </x:c>
      <x:c r="AI690" s="13" t="n">
        <x:v>35</x:v>
      </x:c>
    </x:row>
    <x:row r="691" ht="34" customHeight="1">
      <x:c r="A691" s="15" t="str">
        <x:v>navy flip flops</x:v>
      </x:c>
      <x:c r="B691" s="15" t="str">
        <x:v>navy flip flops</x:v>
      </x:c>
      <x:c r="C691" s="10" t="str">
        <x:v>673d42f437520266</x:v>
      </x:c>
      <x:c r="D691" s="10" t="str">
        <x:v>keyword</x:v>
      </x:c>
      <x:c r="E691" s="10" t="str">
        <x:v>en</x:v>
      </x:c>
      <x:c r="F691" s="10" t="str">
        <x:v>clothing_shoes_jewelry</x:v>
      </x:c>
      <x:c r="G691" s="15" t="str"/>
      <x:c r="H691" s="15" t="str">
        <x:v>flip_flops</x:v>
      </x:c>
      <x:c r="I691" s="15" t="str"/>
      <x:c r="J691" s="15" t="str"/>
      <x:c r="K691" s="15" t="str"/>
      <x:c r="L691" s="15" t="str"/>
      <x:c r="M691" s="15" t="str"/>
      <x:c r="N691" s="15" t="str"/>
      <x:c r="O691" s="15" t="str"/>
      <x:c r="P691" s="15" t="str"/>
      <x:c r="Q691" s="15" t="str"/>
      <x:c r="R691" s="15" t="str">
        <x:v>用户寻找海军蓝色拖鞋，当前可选颜色无此精确色，需审核是否有近似替代色。</x:v>
      </x:c>
      <x:c r="S691" s="10" t="str">
        <x:v>consideration</x:v>
      </x:c>
      <x:c r="T691" s="15" t="str">
        <x:v>explicit | page_validated | inferred</x:v>
      </x:c>
      <x:c r="U691" s="10" t="str">
        <x:v>medium</x:v>
      </x:c>
      <x:c r="V691" s="15" t="str">
        <x:v>navy_flip_flops</x:v>
      </x:c>
      <x:c r="W691" s="15" t="str">
        <x:v>listing_gap_review</x:v>
      </x:c>
      <x:c r="X691" s="15" t="str">
        <x:v>{"product_type":[{"value":"flip_flops","evidence_type":"explicit","source_span":"flip flops","fact_ids":["style_flip_flop"],"rationale":""},{"value":"flip_flops","evidence_type":"page_validated","source_span":"","fact_ids":["style_flip_flop"],"rationale":"该槽位与商品基准中的明示页面事实一致。"}],"color":[{"value":"navy","evidence_type":"explicit","source_span":"navy","fact_ids":[],"rationale":"这是搜索词中的颜色约束，但商品页面基准未确认该具体颜色。"}],"primary_domain":[{"value":"clothing_shoes_jewelry","evidence_type":"inferred","source_span":"","fact_ids":[],"rationale":"该值由搜索词整体语义推断，未作为页面明示属性。"}]}</x:v>
      </x:c>
      <x:c r="Y691" s="15" t="str">
        <x:v>color_not_exact_match</x:v>
      </x:c>
      <x:c r="Z691" s="10" t="str">
        <x:v>partial_match</x:v>
      </x:c>
      <x:c r="AA691" s="15" t="str">
        <x:v>style_flip_flop | colors_visible</x:v>
      </x:c>
      <x:c r="AB691" s="10" t="str">
        <x:v>accepted</x:v>
      </x:c>
      <x:c r="AC691" s="10" t="str">
        <x:v>1.0.0</x:v>
      </x:c>
      <x:c r="AD691" s="10" t="str">
        <x:v>1.1.0</x:v>
      </x:c>
      <x:c r="AE691" s="10" t="str">
        <x:v>deepseek/deepseek-v4-pro</x:v>
      </x:c>
      <x:c r="AF691" s="10" t="str">
        <x:v>aj2-y90-20260714T234810-0bea2f52</x:v>
      </x:c>
      <x:c r="AG691" s="10" t="str">
        <x:v>full-0035</x:v>
      </x:c>
      <x:c r="AH691" s="10" t="str">
        <x:v>full</x:v>
      </x:c>
      <x:c r="AI691" s="10" t="n">
        <x:v>35</x:v>
      </x:c>
    </x:row>
    <x:row r="692" ht="34" customHeight="1">
      <x:c r="A692" s="16" t="str">
        <x:v>so comfy flip flops</x:v>
      </x:c>
      <x:c r="B692" s="16" t="str">
        <x:v>so comfy flip flops</x:v>
      </x:c>
      <x:c r="C692" s="13" t="str">
        <x:v>6efea73f10e37a6a</x:v>
      </x:c>
      <x:c r="D692" s="13" t="str">
        <x:v>keyword</x:v>
      </x:c>
      <x:c r="E692" s="13" t="str">
        <x:v>en</x:v>
      </x:c>
      <x:c r="F692" s="13" t="str">
        <x:v>clothing_shoes_jewelry</x:v>
      </x:c>
      <x:c r="G692" s="16" t="str"/>
      <x:c r="H692" s="16" t="str">
        <x:v>flip_flops</x:v>
      </x:c>
      <x:c r="I692" s="16" t="str"/>
      <x:c r="J692" s="16" t="str">
        <x:v>comfort</x:v>
      </x:c>
      <x:c r="K692" s="16" t="str"/>
      <x:c r="L692" s="16" t="str"/>
      <x:c r="M692" s="16" t="str"/>
      <x:c r="N692" s="16" t="str">
        <x:v>all_day_comfort</x:v>
      </x:c>
      <x:c r="O692" s="16" t="str"/>
      <x:c r="P692" s="16" t="str"/>
      <x:c r="Q692" s="16" t="str"/>
      <x:c r="R692" s="16" t="str">
        <x:v>用户想要非常舒适的拖鞋，产品的足弓支撑与缓冲软垫满足全天舒适需求。</x:v>
      </x:c>
      <x:c r="S692" s="13" t="str">
        <x:v>consideration</x:v>
      </x:c>
      <x:c r="T692" s="16" t="str">
        <x:v>explicit | page_validated | inferred</x:v>
      </x:c>
      <x:c r="U692" s="13" t="str">
        <x:v>high</x:v>
      </x:c>
      <x:c r="V692" s="16" t="str">
        <x:v>comfort_flip_flops</x:v>
      </x:c>
      <x:c r="W692" s="16" t="str">
        <x:v>cluster_route</x:v>
      </x:c>
      <x:c r="X692" s="16" t="str">
        <x:v>{"product_type":[{"value":"flip_flops","evidence_type":"explicit","source_span":"flip flops","fact_ids":["style_flip_flop"],"rationale":""},{"value":"flip_flops","evidence_type":"page_validated","source_span":"","fact_ids":["style_flip_flop"],"rationale":"该槽位与商品基准中的明示页面事实一致。"}],"function_intent":[{"value":"comfort","evidence_type":"explicit","source_span":"so comfy","fact_ids":[],"rationale":""},{"value":"comfort","evidence_type":"page_validated","source_span":"","fact_ids":["arch_support","padded_cushioning"],"rationale":"该槽位与商品基准中的明示页面事实一致。"},{"value":"comfort","evidence_type":"inferred","source_span":"","fact_ids":[],"rationale":"该能力由搜索词表达的任务或问题推断；页面事实仅用于验证商品承接。"}],"body_need_intent":[{"value":"all_day_comfort","evidence_type":"inferred","source_span":"so comfy","fact_ids":[],"rationale":"足弓支撑和缓冲垫提供持久舒适"}],"primary_domain":[{"value":"clothing_shoes_jewelry","evidence_type":"inferred","source_span":"","fact_ids":[],"rationale":"该值由搜索词整体语义推断，未作为页面明示属性。"}]}</x:v>
      </x:c>
      <x:c r="Y692" s="16" t="str"/>
      <x:c r="Z692" s="13" t="str">
        <x:v>match</x:v>
      </x:c>
      <x:c r="AA692" s="16" t="str">
        <x:v>style_flip_flop | arch_support | padded_cushioning | soft_toe_post</x:v>
      </x:c>
      <x:c r="AB692" s="13" t="str">
        <x:v>accepted</x:v>
      </x:c>
      <x:c r="AC692" s="13" t="str">
        <x:v>1.0.0</x:v>
      </x:c>
      <x:c r="AD692" s="13" t="str">
        <x:v>1.1.0</x:v>
      </x:c>
      <x:c r="AE692" s="13" t="str">
        <x:v>deepseek/deepseek-v4-pro</x:v>
      </x:c>
      <x:c r="AF692" s="13" t="str">
        <x:v>aj2-y90-20260714T234810-0bea2f52</x:v>
      </x:c>
      <x:c r="AG692" s="13" t="str">
        <x:v>full-0035</x:v>
      </x:c>
      <x:c r="AH692" s="13" t="str">
        <x:v>full</x:v>
      </x:c>
      <x:c r="AI692" s="13" t="n">
        <x:v>35</x:v>
      </x:c>
    </x:row>
    <x:row r="693" ht="34" customHeight="1">
      <x:c r="A693" s="15" t="str">
        <x:v>womens black support flip flops</x:v>
      </x:c>
      <x:c r="B693" s="15" t="str">
        <x:v>womens black support flip flops</x:v>
      </x:c>
      <x:c r="C693" s="10" t="str">
        <x:v>7f251a99052f44f7</x:v>
      </x:c>
      <x:c r="D693" s="10" t="str">
        <x:v>keyword</x:v>
      </x:c>
      <x:c r="E693" s="10" t="str">
        <x:v>en</x:v>
      </x:c>
      <x:c r="F693" s="10" t="str">
        <x:v>clothing_shoes_jewelry</x:v>
      </x:c>
      <x:c r="G693" s="15" t="str"/>
      <x:c r="H693" s="15" t="str">
        <x:v>flip_flops</x:v>
      </x:c>
      <x:c r="I693" s="15" t="str">
        <x:v>women</x:v>
      </x:c>
      <x:c r="J693" s="15" t="str">
        <x:v>support</x:v>
      </x:c>
      <x:c r="K693" s="15" t="str"/>
      <x:c r="L693" s="15" t="str"/>
      <x:c r="M693" s="15" t="str"/>
      <x:c r="N693" s="15" t="str">
        <x:v>arch_support</x:v>
      </x:c>
      <x:c r="O693" s="15" t="str"/>
      <x:c r="P693" s="15" t="str"/>
      <x:c r="Q693" s="15" t="str"/>
      <x:c r="R693" s="15" t="str">
        <x:v>女性用户寻找具有支撑功能的黑色拖鞋，产品有黑色且具备足弓支撑，完全匹配。</x:v>
      </x:c>
      <x:c r="S693" s="10" t="str">
        <x:v>high_intent</x:v>
      </x:c>
      <x:c r="T693" s="15" t="str">
        <x:v>explicit | page_validated</x:v>
      </x:c>
      <x:c r="U693" s="10" t="str">
        <x:v>high</x:v>
      </x:c>
      <x:c r="V693" s="15" t="str">
        <x:v>black_support_womens_flip_flops</x:v>
      </x:c>
      <x:c r="W693" s="15" t="str">
        <x:v>cluster_route</x:v>
      </x:c>
      <x:c r="X693" s="15" t="str">
        <x:v>{"product_type":[{"value":"flip_flops","evidence_type":"explicit","source_span":"flip flops","fact_ids":["style_flip_flop"],"rationale":""},{"value":"flip_flops","evidence_type":"page_validated","source_span":"","fact_ids":["style_flip_flop"],"rationale":"该槽位与商品基准中的明示页面事实一致。"}],"audience_intent":[{"value":"women","evidence_type":"explicit","source_span":"womens","fact_ids":["title_womens_flip_flop"],"rationale":""},{"value":"women","evidence_type":"page_validated","source_span":"","fact_ids":["title_womens_flip_flop"],"rationale":"该槽位与商品基准中的明示页面事实一致。"}],"function_intent":[{"value":"support","evidence_type":"explicit","source_span":"support","fact_ids":["arch_support"],"rationale":""}],"color":[{"value":"black","evidence_type":"page_validated","source_span":"","fact_ids":["colors_visible"],"rationale":"该颜色在商品页面可见颜色选择中得到明确支持。"}],"capability_intent":[{"value":"arch_support","evidence_type":"page_validated","source_span":"","fact_ids":["arch_support"],"rationale":"该槽位与商品基准中的明示页面事实一致。"},{"value":"arch_suppor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693" s="15" t="str"/>
      <x:c r="Z693" s="10" t="str">
        <x:v>match</x:v>
      </x:c>
      <x:c r="AA693" s="15" t="str">
        <x:v>title_womens_flip_flop | style_flip_flop | colors_visible | arch_support</x:v>
      </x:c>
      <x:c r="AB693" s="10" t="str">
        <x:v>accepted</x:v>
      </x:c>
      <x:c r="AC693" s="10" t="str">
        <x:v>1.0.0</x:v>
      </x:c>
      <x:c r="AD693" s="10" t="str">
        <x:v>1.1.0</x:v>
      </x:c>
      <x:c r="AE693" s="10" t="str">
        <x:v>deepseek/deepseek-v4-pro</x:v>
      </x:c>
      <x:c r="AF693" s="10" t="str">
        <x:v>aj2-y90-20260714T234810-0bea2f52</x:v>
      </x:c>
      <x:c r="AG693" s="10" t="str">
        <x:v>full-0035</x:v>
      </x:c>
      <x:c r="AH693" s="10" t="str">
        <x:v>full</x:v>
      </x:c>
      <x:c r="AI693" s="10" t="n">
        <x:v>35</x:v>
      </x:c>
    </x:row>
    <x:row r="694" ht="34" customHeight="1">
      <x:c r="A694" s="16" t="str">
        <x:v>non slip flip flops women with arch support</x:v>
      </x:c>
      <x:c r="B694" s="16" t="str">
        <x:v>non slip flip flops women with arch support</x:v>
      </x:c>
      <x:c r="C694" s="13" t="str">
        <x:v>ca9ad3a17c516004</x:v>
      </x:c>
      <x:c r="D694" s="13" t="str">
        <x:v>keyword</x:v>
      </x:c>
      <x:c r="E694" s="13" t="str">
        <x:v>en</x:v>
      </x:c>
      <x:c r="F694" s="13" t="str">
        <x:v>clothing_shoes_jewelry</x:v>
      </x:c>
      <x:c r="G694" s="16" t="str"/>
      <x:c r="H694" s="16" t="str">
        <x:v>flip_flops</x:v>
      </x:c>
      <x:c r="I694" s="16" t="str">
        <x:v>women</x:v>
      </x:c>
      <x:c r="J694" s="16" t="str">
        <x:v>support</x:v>
      </x:c>
      <x:c r="K694" s="16" t="str">
        <x:v>non_slip | arch_support</x:v>
      </x:c>
      <x:c r="L694" s="16" t="str"/>
      <x:c r="M694" s="16" t="str"/>
      <x:c r="N694" s="16" t="str">
        <x:v>arch_support</x:v>
      </x:c>
      <x:c r="O694" s="16" t="str"/>
      <x:c r="P694" s="16" t="str"/>
      <x:c r="Q694" s="16" t="str"/>
      <x:c r="R694" s="16" t="str">
        <x:v>女性用户寻找防滑且具足弓支撑的拖鞋，产品的防滑外底和足弓支撑设计完全满足需求。</x:v>
      </x:c>
      <x:c r="S694" s="13" t="str">
        <x:v>high_intent</x:v>
      </x:c>
      <x:c r="T694" s="16" t="str">
        <x:v>explicit | page_validated</x:v>
      </x:c>
      <x:c r="U694" s="13" t="str">
        <x:v>high</x:v>
      </x:c>
      <x:c r="V694" s="16" t="str">
        <x:v>nonslip_arch_support_womens_flip_flops</x:v>
      </x:c>
      <x:c r="W694" s="16" t="str">
        <x:v>cluster_route</x:v>
      </x:c>
      <x:c r="X694" s="16" t="str">
        <x:v>{"product_type":[{"value":"flip_flops","evidence_type":"explicit","source_span":"flip flops","fact_ids":["style_flip_flop"],"rationale":""},{"value":"flip_flops","evidence_type":"page_validated","source_span":"","fact_ids":["style_flip_flop"],"rationale":"该槽位与商品基准中的明示页面事实一致。"}],"audience_intent":[{"value":"women","evidence_type":"explicit","source_span":"women","fact_ids":["title_womens_flip_flop"],"rationale":""},{"value":"women","evidence_type":"page_validated","source_span":"","fact_ids":["title_womens_flip_flop"],"rationale":"该槽位与商品基准中的明示页面事实一致。"}],"capability_intent":[{"value":"non_slip","evidence_type":"page_validated","source_span":"","fact_ids":["slip_resistant_grip"],"rationale":"页面宣称防滑纹理外底"},{"value":"arch_support","evidence_type":"page_validated","source_span":"","fact_ids":["arch_support"],"rationale":"页面宣称人体工学足弓支撑"}],"function_intent":[{"value":"support","evidence_type":"explicit","source_span":"support","fact_ids":[],"rationale":""}],"primary_domain":[{"value":"clothing_shoes_jewelry","evidence_type":"inferred","source_span":"","fact_ids":[],"rationale":"该值由搜索词整体语义推断，未作为页面明示属性。"}]}</x:v>
      </x:c>
      <x:c r="Y694" s="16" t="str"/>
      <x:c r="Z694" s="13" t="str">
        <x:v>match</x:v>
      </x:c>
      <x:c r="AA694" s="16" t="str">
        <x:v>title_womens_flip_flop | style_flip_flop | slip_resistant_grip | arch_support</x:v>
      </x:c>
      <x:c r="AB694" s="13" t="str">
        <x:v>accepted</x:v>
      </x:c>
      <x:c r="AC694" s="13" t="str">
        <x:v>1.0.0</x:v>
      </x:c>
      <x:c r="AD694" s="13" t="str">
        <x:v>1.1.0</x:v>
      </x:c>
      <x:c r="AE694" s="13" t="str">
        <x:v>deepseek/deepseek-v4-pro</x:v>
      </x:c>
      <x:c r="AF694" s="13" t="str">
        <x:v>aj2-y90-20260714T234810-0bea2f52</x:v>
      </x:c>
      <x:c r="AG694" s="13" t="str">
        <x:v>full-0035</x:v>
      </x:c>
      <x:c r="AH694" s="13" t="str">
        <x:v>full</x:v>
      </x:c>
      <x:c r="AI694" s="13" t="n">
        <x:v>35</x:v>
      </x:c>
    </x:row>
    <x:row r="695" ht="34" customHeight="1">
      <x:c r="A695" s="15" t="str">
        <x:v>flip flop women pool 11</x:v>
      </x:c>
      <x:c r="B695" s="15" t="str">
        <x:v>flip flop women pool 11</x:v>
      </x:c>
      <x:c r="C695" s="10" t="str">
        <x:v>d7742f263197d4df</x:v>
      </x:c>
      <x:c r="D695" s="10" t="str">
        <x:v>keyword</x:v>
      </x:c>
      <x:c r="E695" s="10" t="str">
        <x:v>en</x:v>
      </x:c>
      <x:c r="F695" s="10" t="str">
        <x:v>clothing_shoes_jewelry</x:v>
      </x:c>
      <x:c r="G695" s="15" t="str">
        <x:v>sports_outdoors</x:v>
      </x:c>
      <x:c r="H695" s="15" t="str">
        <x:v>flip_flops</x:v>
      </x:c>
      <x:c r="I695" s="15" t="str">
        <x:v>women</x:v>
      </x:c>
      <x:c r="J695" s="15" t="str"/>
      <x:c r="K695" s="15" t="str"/>
      <x:c r="L695" s="15" t="str"/>
      <x:c r="M695" s="15" t="str">
        <x:v>pool</x:v>
      </x:c>
      <x:c r="N695" s="15" t="str"/>
      <x:c r="O695" s="15" t="str"/>
      <x:c r="P695" s="15" t="str"/>
      <x:c r="Q695" s="15" t="str"/>
      <x:c r="R695" s="15" t="str">
        <x:v>女性用户需要一双11码的泳池拖鞋，产品尺码含11码且适合户外使用，匹配。</x:v>
      </x:c>
      <x:c r="S695" s="10" t="str">
        <x:v>high_intent</x:v>
      </x:c>
      <x:c r="T695" s="15" t="str">
        <x:v>explicit | page_validated</x:v>
      </x:c>
      <x:c r="U695" s="10" t="str">
        <x:v>high</x:v>
      </x:c>
      <x:c r="V695" s="15" t="str">
        <x:v>womens_pool_flip_flops_size_11</x:v>
      </x:c>
      <x:c r="W695" s="15" t="str">
        <x:v>cluster_route</x:v>
      </x:c>
      <x:c r="X695" s="15" t="str">
        <x:v>{"product_type":[{"value":"flip_flops","evidence_type":"explicit","source_span":"flip flop","fact_ids":["style_flip_flop"],"rationale":""},{"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audience_intent":[{"value":"women","evidence_type":"explicit","source_span":"women","fact_ids":["title_womens_flip_flop"],"rationale":""},{"value":"women","evidence_type":"page_validated","source_span":"","fact_ids":["title_womens_flip_flop"],"rationale":"该槽位与商品基准中的明示页面事实一致。"}],"location_intent":[{"value":"pool","evidence_type":"explicit","source_span":"pool","fact_ids":[],"rationale":""}],"size":[{"value":"11","evidence_type":"page_validated","source_span":"","fact_ids":["sizes_6_11"],"rationale":"尺码11在6-11范围内"}],"primary_domain":[{"value":"clothing_shoes_jewelry","evidence_type":"inferred","source_span":"","fact_ids":[],"rationale":"该值由搜索词整体语义推断，未作为页面明示属性。"}],"secondary_domain":[{"value":"sports_outdoors","evidence_type":"inferred","source_span":"","fact_ids":[],"rationale":"该值由搜索词整体语义推断，未作为页面明示属性。"}]}</x:v>
      </x:c>
      <x:c r="Y695" s="15" t="str"/>
      <x:c r="Z695" s="10" t="str">
        <x:v>match</x:v>
      </x:c>
      <x:c r="AA695" s="15" t="str">
        <x:v>title_womens_flip_flop | style_flip_flop | sizes_6_11 | style_outdoor</x:v>
      </x:c>
      <x:c r="AB695" s="10" t="str">
        <x:v>accepted</x:v>
      </x:c>
      <x:c r="AC695" s="10" t="str">
        <x:v>1.0.0</x:v>
      </x:c>
      <x:c r="AD695" s="10" t="str">
        <x:v>1.1.0</x:v>
      </x:c>
      <x:c r="AE695" s="10" t="str">
        <x:v>deepseek/deepseek-v4-pro</x:v>
      </x:c>
      <x:c r="AF695" s="10" t="str">
        <x:v>aj2-y90-20260714T234810-0bea2f52</x:v>
      </x:c>
      <x:c r="AG695" s="10" t="str">
        <x:v>full-0035</x:v>
      </x:c>
      <x:c r="AH695" s="10" t="str">
        <x:v>full</x:v>
      </x:c>
      <x:c r="AI695" s="10" t="n">
        <x:v>35</x:v>
      </x:c>
    </x:row>
    <x:row r="696" ht="34" customHeight="1">
      <x:c r="A696" s="16" t="str">
        <x:v>womens light grey flip flops</x:v>
      </x:c>
      <x:c r="B696" s="16" t="str">
        <x:v>womens light grey flip flops</x:v>
      </x:c>
      <x:c r="C696" s="13" t="str">
        <x:v>dd015ef2dd8a9962</x:v>
      </x:c>
      <x:c r="D696" s="13" t="str">
        <x:v>keyword</x:v>
      </x:c>
      <x:c r="E696" s="13" t="str">
        <x:v>en</x:v>
      </x:c>
      <x:c r="F696" s="13" t="str">
        <x:v>clothing_shoes_jewelry</x:v>
      </x:c>
      <x:c r="G696" s="16" t="str"/>
      <x:c r="H696" s="16" t="str">
        <x:v>flip_flops</x:v>
      </x:c>
      <x:c r="I696" s="16" t="str">
        <x:v>women</x:v>
      </x:c>
      <x:c r="J696" s="16" t="str"/>
      <x:c r="K696" s="16" t="str"/>
      <x:c r="L696" s="16" t="str"/>
      <x:c r="M696" s="16" t="str"/>
      <x:c r="N696" s="16" t="str"/>
      <x:c r="O696" s="16" t="str"/>
      <x:c r="P696" s="16" t="str"/>
      <x:c r="Q696" s="16" t="str"/>
      <x:c r="R696" s="16" t="str">
        <x:v>女性用户寻找浅灰色拖鞋，产品仅有深灰色可选，颜色不完全匹配需审核。</x:v>
      </x:c>
      <x:c r="S696" s="13" t="str">
        <x:v>consideration</x:v>
      </x:c>
      <x:c r="T696" s="16" t="str">
        <x:v>explicit | page_validated | inferred</x:v>
      </x:c>
      <x:c r="U696" s="13" t="str">
        <x:v>medium</x:v>
      </x:c>
      <x:c r="V696" s="16" t="str">
        <x:v>light_grey_womens_flip_flops</x:v>
      </x:c>
      <x:c r="W696" s="16" t="str">
        <x:v>listing_gap_review</x:v>
      </x:c>
      <x:c r="X696" s="16" t="str">
        <x:v>{"product_type":[{"value":"flip_flops","evidence_type":"explicit","source_span":"flip flops","fact_ids":["style_flip_flop"],"rationale":""},{"value":"flip_flops","evidence_type":"page_validated","source_span":"","fact_ids":["style_flip_flop"],"rationale":"该槽位与商品基准中的明示页面事实一致。"}],"audience_intent":[{"value":"women","evidence_type":"explicit","source_span":"womens","fact_ids":["title_womens_flip_flop"],"rationale":""},{"value":"women","evidence_type":"page_validated","source_span":"","fact_ids":["title_womens_flip_flop"],"rationale":"该槽位与商品基准中的明示页面事实一致。"}],"color":[{"value":"light_grey","evidence_type":"explicit","source_span":"light grey","fact_ids":[],"rationale":"这是搜索词中的颜色约束，但商品页面基准未确认该具体颜色。"}],"primary_domain":[{"value":"clothing_shoes_jewelry","evidence_type":"inferred","source_span":"","fact_ids":[],"rationale":"该值由搜索词整体语义推断，未作为页面明示属性。"}]}</x:v>
      </x:c>
      <x:c r="Y696" s="16" t="str">
        <x:v>color_not_exact_match</x:v>
      </x:c>
      <x:c r="Z696" s="13" t="str">
        <x:v>partial_match</x:v>
      </x:c>
      <x:c r="AA696" s="16" t="str">
        <x:v>title_womens_flip_flop | style_flip_flop | colors_visible</x:v>
      </x:c>
      <x:c r="AB696" s="13" t="str">
        <x:v>accepted</x:v>
      </x:c>
      <x:c r="AC696" s="13" t="str">
        <x:v>1.0.0</x:v>
      </x:c>
      <x:c r="AD696" s="13" t="str">
        <x:v>1.1.0</x:v>
      </x:c>
      <x:c r="AE696" s="13" t="str">
        <x:v>deepseek/deepseek-v4-pro</x:v>
      </x:c>
      <x:c r="AF696" s="13" t="str">
        <x:v>aj2-y90-20260714T234810-0bea2f52</x:v>
      </x:c>
      <x:c r="AG696" s="13" t="str">
        <x:v>full-0035</x:v>
      </x:c>
      <x:c r="AH696" s="13" t="str">
        <x:v>full</x:v>
      </x:c>
      <x:c r="AI696" s="13" t="n">
        <x:v>35</x:v>
      </x:c>
    </x:row>
    <x:row r="697" ht="34" customHeight="1">
      <x:c r="A697" s="15" t="str">
        <x:v>tmaza womens flip flops</x:v>
      </x:c>
      <x:c r="B697" s="15" t="str">
        <x:v>tmaza womens flip flops</x:v>
      </x:c>
      <x:c r="C697" s="10" t="str">
        <x:v>dd17eb6b23594284</x:v>
      </x:c>
      <x:c r="D697" s="10" t="str">
        <x:v>keyword</x:v>
      </x:c>
      <x:c r="E697" s="10" t="str">
        <x:v>en</x:v>
      </x:c>
      <x:c r="F697" s="10" t="str">
        <x:v>clothing_shoes_jewelry</x:v>
      </x:c>
      <x:c r="G697" s="15" t="str"/>
      <x:c r="H697" s="15" t="str">
        <x:v>flip_flops</x:v>
      </x:c>
      <x:c r="I697" s="15" t="str">
        <x:v>women</x:v>
      </x:c>
      <x:c r="J697" s="15" t="str"/>
      <x:c r="K697" s="15" t="str"/>
      <x:c r="L697" s="15" t="str"/>
      <x:c r="M697" s="15" t="str"/>
      <x:c r="N697" s="15" t="str"/>
      <x:c r="O697" s="15" t="str"/>
      <x:c r="P697" s="15" t="str">
        <x:v>alternative_brand</x:v>
      </x:c>
      <x:c r="Q697" s="15" t="str"/>
      <x:c r="R697" s="15" t="str">
        <x:v>用户搜索Tmaza品牌女式拖鞋，明确指向竞品品牌，当前产品品牌不符。</x:v>
      </x:c>
      <x:c r="S697" s="10" t="str">
        <x:v>brand_harvest</x:v>
      </x:c>
      <x:c r="T697" s="15" t="str">
        <x:v>explicit | inferred</x:v>
      </x:c>
      <x:c r="U697" s="10" t="str">
        <x:v>high</x:v>
      </x:c>
      <x:c r="V697" s="15" t="str">
        <x:v>brand_competitor_tmaza_womens_flip_flops</x:v>
      </x:c>
      <x:c r="W697" s="15" t="str">
        <x:v>semantic_negative_candidate</x:v>
      </x:c>
      <x:c r="X697" s="15" t="str">
        <x:v>{"product_type":[{"value":"flip_flops","evidence_type":"explicit","source_span":"flip flops","fact_ids":["style_flip_flop"],"rationale":""},{"value":"flip_flops","evidence_type":"page_validated","source_span":"","fact_ids":["style_flip_flop"],"rationale":"该槽位与商品基准中的明示页面事实一致。"}],"audience_intent":[{"value":"women","evidence_type":"explicit","source_span":"womens","fact_ids":["title_womens_flip_flop"],"rationale":""},{"value":"women","evidence_type":"page_validated","source_span":"","fact_ids":["title_womens_flip_flop"],"rationale":"该槽位与商品基准中的明示页面事实一致。"}],"substitute_intent":[{"value":"alternative_brand","evidence_type":"inferred","source_span":"tmaza","fact_ids":[],"rationale":"tmaza为竞品拖鞋品牌"}],"brand":[{"value":"tmaza","evidence_type":"inferred","source_span":"tmaza","fact_ids":[],"rationale":"竞品品牌名称"}],"primary_domain":[{"value":"clothing_shoes_jewelry","evidence_type":"inferred","source_span":"","fact_ids":[],"rationale":"该值由搜索词整体语义推断，未作为页面明示属性。"}]}</x:v>
      </x:c>
      <x:c r="Y697" s="15" t="str">
        <x:v>competitor_brand</x:v>
      </x:c>
      <x:c r="Z697" s="10" t="str">
        <x:v>mismatch</x:v>
      </x:c>
      <x:c r="AA697" s="15" t="str"/>
      <x:c r="AB697" s="10" t="str">
        <x:v>accepted</x:v>
      </x:c>
      <x:c r="AC697" s="10" t="str">
        <x:v>1.0.0</x:v>
      </x:c>
      <x:c r="AD697" s="10" t="str">
        <x:v>1.1.0</x:v>
      </x:c>
      <x:c r="AE697" s="10" t="str">
        <x:v>deepseek/deepseek-v4-pro</x:v>
      </x:c>
      <x:c r="AF697" s="10" t="str">
        <x:v>aj2-y90-20260714T234810-0bea2f52</x:v>
      </x:c>
      <x:c r="AG697" s="10" t="str">
        <x:v>full-0035</x:v>
      </x:c>
      <x:c r="AH697" s="10" t="str">
        <x:v>full</x:v>
      </x:c>
      <x:c r="AI697" s="10" t="n">
        <x:v>35</x:v>
      </x:c>
    </x:row>
    <x:row r="698" ht="34" customHeight="1">
      <x:c r="A698" s="16" t="str">
        <x:v>rubber wome sandals</x:v>
      </x:c>
      <x:c r="B698" s="16" t="str">
        <x:v>rubber wome sandals</x:v>
      </x:c>
      <x:c r="C698" s="13" t="str">
        <x:v>e1155acf667f3d91</x:v>
      </x:c>
      <x:c r="D698" s="13" t="str">
        <x:v>keyword</x:v>
      </x:c>
      <x:c r="E698" s="13" t="str">
        <x:v>en</x:v>
      </x:c>
      <x:c r="F698" s="13" t="str">
        <x:v>clothing_shoes_jewelry</x:v>
      </x:c>
      <x:c r="G698" s="16" t="str"/>
      <x:c r="H698" s="16" t="str">
        <x:v>sandals</x:v>
      </x:c>
      <x:c r="I698" s="16" t="str">
        <x:v>women</x:v>
      </x:c>
      <x:c r="J698" s="16" t="str"/>
      <x:c r="K698" s="16" t="str"/>
      <x:c r="L698" s="16" t="str"/>
      <x:c r="M698" s="16" t="str"/>
      <x:c r="N698" s="16" t="str"/>
      <x:c r="O698" s="16" t="str"/>
      <x:c r="P698" s="16" t="str"/>
      <x:c r="Q698" s="16" t="str"/>
      <x:c r="R698" s="16" t="str">
        <x:v>用户寻找橡胶材质的女性凉鞋，产品为EVA材质而非橡胶，材质需求存在差异。</x:v>
      </x:c>
      <x:c r="S698" s="13" t="str">
        <x:v>consideration</x:v>
      </x:c>
      <x:c r="T698" s="16" t="str">
        <x:v>explicit | inferred</x:v>
      </x:c>
      <x:c r="U698" s="13" t="str">
        <x:v>medium</x:v>
      </x:c>
      <x:c r="V698" s="16" t="str">
        <x:v>rubber_womens_sandals</x:v>
      </x:c>
      <x:c r="W698" s="16" t="str">
        <x:v>listing_gap_review</x:v>
      </x:c>
      <x:c r="X698" s="16" t="str">
        <x:v>{"product_type":[{"value":"sandals","evidence_type":"explicit","source_span":"sandals","fact_ids":[],"rationale":""},{"value":"sandals","evidence_type":"page_validated","source_span":"","fact_ids":["title_womens_flip_flop"],"rationale":"该槽位与商品基准中的明示页面事实一致。"}],"audience_intent":[{"value":"women","evidence_type":"explicit","source_span":"wome","fact_ids":["title_womens_flip_flop"],"rationale":"wome为women拼写错误"},{"value":"women","evidence_type":"page_validated","source_span":"","fact_ids":["title_womens_flip_flop"],"rationale":"该槽位与商品基准中的明示页面事实一致。"},{"value":"women","evidence_type":"inferred","source_span":"","fact_ids":[],"rationale":"该能力由搜索词表达的任务或问题推断；页面事实仅用于验证商品承接。"}],"material":[{"value":"rubber","evidence_type":"explicit","source_span":"rubber","fact_ids":["material_eva"],"rationale":"产品为EVA材质，非橡胶"}],"primary_domain":[{"value":"clothing_shoes_jewelry","evidence_type":"inferred","source_span":"","fact_ids":[],"rationale":"该值由搜索词整体语义推断，未作为页面明示属性。"}]}</x:v>
      </x:c>
      <x:c r="Y698" s="16" t="str">
        <x:v>misspelled_term | material_mismatch</x:v>
      </x:c>
      <x:c r="Z698" s="13" t="str">
        <x:v>partial_match</x:v>
      </x:c>
      <x:c r="AA698" s="16" t="str">
        <x:v>title_womens_flip_flop | material_eva</x:v>
      </x:c>
      <x:c r="AB698" s="13" t="str">
        <x:v>accepted</x:v>
      </x:c>
      <x:c r="AC698" s="13" t="str">
        <x:v>1.0.0</x:v>
      </x:c>
      <x:c r="AD698" s="13" t="str">
        <x:v>1.1.0</x:v>
      </x:c>
      <x:c r="AE698" s="13" t="str">
        <x:v>deepseek/deepseek-v4-pro</x:v>
      </x:c>
      <x:c r="AF698" s="13" t="str">
        <x:v>aj2-y90-20260714T234810-0bea2f52</x:v>
      </x:c>
      <x:c r="AG698" s="13" t="str">
        <x:v>full-0035</x:v>
      </x:c>
      <x:c r="AH698" s="13" t="str">
        <x:v>full</x:v>
      </x:c>
      <x:c r="AI698" s="13" t="n">
        <x:v>35</x:v>
      </x:c>
    </x:row>
    <x:row r="699" ht="34" customHeight="1">
      <x:c r="A699" s="15" t="str">
        <x:v>white flip flop</x:v>
      </x:c>
      <x:c r="B699" s="15" t="str">
        <x:v>white flip flop</x:v>
      </x:c>
      <x:c r="C699" s="10" t="str">
        <x:v>f772ee00bbd72c3e</x:v>
      </x:c>
      <x:c r="D699" s="10" t="str">
        <x:v>keyword</x:v>
      </x:c>
      <x:c r="E699" s="10" t="str">
        <x:v>en</x:v>
      </x:c>
      <x:c r="F699" s="10" t="str">
        <x:v>clothing_shoes_jewelry</x:v>
      </x:c>
      <x:c r="G699" s="15" t="str"/>
      <x:c r="H699" s="15" t="str">
        <x:v>flip_flops</x:v>
      </x:c>
      <x:c r="I699" s="15" t="str"/>
      <x:c r="J699" s="15" t="str"/>
      <x:c r="K699" s="15" t="str"/>
      <x:c r="L699" s="15" t="str"/>
      <x:c r="M699" s="15" t="str"/>
      <x:c r="N699" s="15" t="str"/>
      <x:c r="O699" s="15" t="str"/>
      <x:c r="P699" s="15" t="str"/>
      <x:c r="Q699" s="15" t="str"/>
      <x:c r="R699" s="15" t="str">
        <x:v>用户搜索白色拖鞋，产品有白色选项，完全匹配。</x:v>
      </x:c>
      <x:c r="S699" s="10" t="str">
        <x:v>high_intent</x:v>
      </x:c>
      <x:c r="T699" s="15" t="str">
        <x:v>explicit | page_validated</x:v>
      </x:c>
      <x:c r="U699" s="10" t="str">
        <x:v>high</x:v>
      </x:c>
      <x:c r="V699" s="15" t="str">
        <x:v>white_flip_flops</x:v>
      </x:c>
      <x:c r="W699" s="15" t="str">
        <x:v>cluster_route</x:v>
      </x:c>
      <x:c r="X699" s="15" t="str">
        <x:v>{"product_type":[{"value":"flip_flops","evidence_type":"explicit","source_span":"flip flop","fact_ids":["style_flip_flop"],"rationale":""},{"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color":[{"value":"white","evidence_type":"page_validated","source_span":"","fact_ids":["colors_visible"],"rationale":"该颜色在商品页面可见颜色选择中得到明确支持。"}],"primary_domain":[{"value":"clothing_shoes_jewelry","evidence_type":"inferred","source_span":"","fact_ids":[],"rationale":"该值由搜索词整体语义推断，未作为页面明示属性。"}]}</x:v>
      </x:c>
      <x:c r="Y699" s="15" t="str"/>
      <x:c r="Z699" s="10" t="str">
        <x:v>match</x:v>
      </x:c>
      <x:c r="AA699" s="15" t="str">
        <x:v>style_flip_flop | colors_visible</x:v>
      </x:c>
      <x:c r="AB699" s="10" t="str">
        <x:v>accepted</x:v>
      </x:c>
      <x:c r="AC699" s="10" t="str">
        <x:v>1.0.0</x:v>
      </x:c>
      <x:c r="AD699" s="10" t="str">
        <x:v>1.1.0</x:v>
      </x:c>
      <x:c r="AE699" s="10" t="str">
        <x:v>deepseek/deepseek-v4-pro</x:v>
      </x:c>
      <x:c r="AF699" s="10" t="str">
        <x:v>aj2-y90-20260714T234810-0bea2f52</x:v>
      </x:c>
      <x:c r="AG699" s="10" t="str">
        <x:v>full-0035</x:v>
      </x:c>
      <x:c r="AH699" s="10" t="str">
        <x:v>full</x:v>
      </x:c>
      <x:c r="AI699" s="10" t="n">
        <x:v>35</x:v>
      </x:c>
    </x:row>
    <x:row r="700" ht="34" customHeight="1">
      <x:c r="A700" s="16" t="str">
        <x:v>cute waterproof sandals for women</x:v>
      </x:c>
      <x:c r="B700" s="16" t="str">
        <x:v>cute waterproof sandals for women</x:v>
      </x:c>
      <x:c r="C700" s="13" t="str">
        <x:v>f7be0ad7dd31a5f8</x:v>
      </x:c>
      <x:c r="D700" s="13" t="str">
        <x:v>keyword</x:v>
      </x:c>
      <x:c r="E700" s="13" t="str">
        <x:v>en</x:v>
      </x:c>
      <x:c r="F700" s="13" t="str">
        <x:v>clothing_shoes_jewelry</x:v>
      </x:c>
      <x:c r="G700" s="16" t="str"/>
      <x:c r="H700" s="16" t="str">
        <x:v>sandals</x:v>
      </x:c>
      <x:c r="I700" s="16" t="str">
        <x:v>women</x:v>
      </x:c>
      <x:c r="J700" s="16" t="str"/>
      <x:c r="K700" s="16" t="str">
        <x:v>waterproof</x:v>
      </x:c>
      <x:c r="L700" s="16" t="str"/>
      <x:c r="M700" s="16" t="str"/>
      <x:c r="N700" s="16" t="str"/>
      <x:c r="O700" s="16" t="str"/>
      <x:c r="P700" s="16" t="str"/>
      <x:c r="Q700" s="16" t="str"/>
      <x:c r="R700" s="16" t="str">
        <x:v>女性用户寻找可爱防水凉鞋，产品为女款但未宣称防水功能，存在功能缺口。</x:v>
      </x:c>
      <x:c r="S700" s="13" t="str">
        <x:v>consideration</x:v>
      </x:c>
      <x:c r="T700" s="16" t="str">
        <x:v>explicit | page_validated | inferred</x:v>
      </x:c>
      <x:c r="U700" s="13" t="str">
        <x:v>medium</x:v>
      </x:c>
      <x:c r="V700" s="16" t="str">
        <x:v>cute_waterproof_womens_sandals</x:v>
      </x:c>
      <x:c r="W700" s="16" t="str">
        <x:v>listing_gap_review</x:v>
      </x:c>
      <x:c r="X700" s="16" t="str">
        <x:v>{"product_type":[{"value":"sandals","evidence_type":"explicit","source_span":"sandals","fact_ids":[],"rationale":""},{"value":"sandals","evidence_type":"page_validated","source_span":"","fact_ids":["title_womens_flip_flop"],"rationale":"该槽位与商品基准中的明示页面事实一致。"}],"audience_intent":[{"value":"women","evidence_type":"explicit","source_span":"women","fact_ids":["title_womens_flip_flop"],"rationale":""},{"value":"women","evidence_type":"page_validated","source_span":"","fact_ids":["title_womens_flip_flop"],"rationale":"该槽位与商品基准中的明示页面事实一致。"}],"capability_intent":[{"value":"waterproof","evidence_type":"explicit","source_span":"waterproof","fact_ids":[],"rationale":"页面未宣称防水功能"}],"primary_domain":[{"value":"clothing_shoes_jewelry","evidence_type":"inferred","source_span":"","fact_ids":[],"rationale":"该值由搜索词整体语义推断，未作为页面明示属性。"}]}</x:v>
      </x:c>
      <x:c r="Y700" s="16" t="str">
        <x:v>unsupported_capability</x:v>
      </x:c>
      <x:c r="Z700" s="13" t="str">
        <x:v>partial_match</x:v>
      </x:c>
      <x:c r="AA700" s="16" t="str">
        <x:v>title_womens_flip_flop</x:v>
      </x:c>
      <x:c r="AB700" s="13" t="str">
        <x:v>accepted</x:v>
      </x:c>
      <x:c r="AC700" s="13" t="str">
        <x:v>1.0.0</x:v>
      </x:c>
      <x:c r="AD700" s="13" t="str">
        <x:v>1.1.0</x:v>
      </x:c>
      <x:c r="AE700" s="13" t="str">
        <x:v>deepseek/deepseek-v4-pro</x:v>
      </x:c>
      <x:c r="AF700" s="13" t="str">
        <x:v>aj2-y90-20260714T234810-0bea2f52</x:v>
      </x:c>
      <x:c r="AG700" s="13" t="str">
        <x:v>full-0035</x:v>
      </x:c>
      <x:c r="AH700" s="13" t="str">
        <x:v>full</x:v>
      </x:c>
      <x:c r="AI700" s="13" t="n">
        <x:v>35</x:v>
      </x:c>
    </x:row>
    <x:row r="701" ht="34" customHeight="1">
      <x:c r="A701" s="15" t="str">
        <x:v>womens flip flop black</x:v>
      </x:c>
      <x:c r="B701" s="15" t="str">
        <x:v>womens flip flop black</x:v>
      </x:c>
      <x:c r="C701" s="10" t="str">
        <x:v>fe5b4183733faed8</x:v>
      </x:c>
      <x:c r="D701" s="10" t="str">
        <x:v>keyword</x:v>
      </x:c>
      <x:c r="E701" s="10" t="str">
        <x:v>en</x:v>
      </x:c>
      <x:c r="F701" s="10" t="str">
        <x:v>clothing_shoes_jewelry</x:v>
      </x:c>
      <x:c r="G701" s="15" t="str"/>
      <x:c r="H701" s="15" t="str">
        <x:v>flip_flops</x:v>
      </x:c>
      <x:c r="I701" s="15" t="str">
        <x:v>women</x:v>
      </x:c>
      <x:c r="J701" s="15" t="str"/>
      <x:c r="K701" s="15" t="str"/>
      <x:c r="L701" s="15" t="str"/>
      <x:c r="M701" s="15" t="str"/>
      <x:c r="N701" s="15" t="str"/>
      <x:c r="O701" s="15" t="str"/>
      <x:c r="P701" s="15" t="str"/>
      <x:c r="Q701" s="15" t="str"/>
      <x:c r="R701" s="15" t="str">
        <x:v>女性用户搜索黑色拖鞋，产品有黑色女款选项，完全匹配。</x:v>
      </x:c>
      <x:c r="S701" s="10" t="str">
        <x:v>high_intent</x:v>
      </x:c>
      <x:c r="T701" s="15" t="str">
        <x:v>explicit | page_validated</x:v>
      </x:c>
      <x:c r="U701" s="10" t="str">
        <x:v>high</x:v>
      </x:c>
      <x:c r="V701" s="15" t="str">
        <x:v>black_womens_flip_flops</x:v>
      </x:c>
      <x:c r="W701" s="15" t="str">
        <x:v>cluster_route</x:v>
      </x:c>
      <x:c r="X701" s="15" t="str">
        <x:v>{"product_type":[{"value":"flip_flops","evidence_type":"explicit","source_span":"flip flop","fact_ids":["style_flip_flop"],"rationale":""},{"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audience_intent":[{"value":"women","evidence_type":"explicit","source_span":"womens","fact_ids":["title_womens_flip_flop"],"rationale":""},{"value":"women","evidence_type":"page_validated","source_span":"","fact_ids":["title_womens_flip_flop"],"rationale":"该槽位与商品基准中的明示页面事实一致。"}],"color":[{"value":"black","evidence_type":"page_validated","source_span":"","fact_ids":["colors_visible"],"rationale":"该颜色在商品页面可见颜色选择中得到明确支持。"}],"primary_domain":[{"value":"clothing_shoes_jewelry","evidence_type":"inferred","source_span":"","fact_ids":[],"rationale":"该值由搜索词整体语义推断，未作为页面明示属性。"}]}</x:v>
      </x:c>
      <x:c r="Y701" s="15" t="str"/>
      <x:c r="Z701" s="10" t="str">
        <x:v>match</x:v>
      </x:c>
      <x:c r="AA701" s="15" t="str">
        <x:v>title_womens_flip_flop | style_flip_flop | colors_visible</x:v>
      </x:c>
      <x:c r="AB701" s="10" t="str">
        <x:v>accepted</x:v>
      </x:c>
      <x:c r="AC701" s="10" t="str">
        <x:v>1.0.0</x:v>
      </x:c>
      <x:c r="AD701" s="10" t="str">
        <x:v>1.1.0</x:v>
      </x:c>
      <x:c r="AE701" s="10" t="str">
        <x:v>deepseek/deepseek-v4-pro</x:v>
      </x:c>
      <x:c r="AF701" s="10" t="str">
        <x:v>aj2-y90-20260714T234810-0bea2f52</x:v>
      </x:c>
      <x:c r="AG701" s="10" t="str">
        <x:v>full-0035</x:v>
      </x:c>
      <x:c r="AH701" s="10" t="str">
        <x:v>full</x:v>
      </x:c>
      <x:c r="AI701" s="10" t="n">
        <x:v>35</x:v>
      </x:c>
    </x:row>
    <x:row r="702" ht="34" customHeight="1">
      <x:c r="A702" s="16" t="str">
        <x:v>tsh flip flop</x:v>
      </x:c>
      <x:c r="B702" s="16" t="str">
        <x:v>tsh flip flop</x:v>
      </x:c>
      <x:c r="C702" s="13" t="str">
        <x:v>0101a1b1f7db9e29</x:v>
      </x:c>
      <x:c r="D702" s="13" t="str">
        <x:v>keyword</x:v>
      </x:c>
      <x:c r="E702" s="13" t="str">
        <x:v>en</x:v>
      </x:c>
      <x:c r="F702" s="13" t="str">
        <x:v>clothing_shoes_jewelry</x:v>
      </x:c>
      <x:c r="G702" s="16" t="str"/>
      <x:c r="H702" s="16" t="str">
        <x:v>flip_flops</x:v>
      </x:c>
      <x:c r="I702" s="16" t="str"/>
      <x:c r="J702" s="16" t="str">
        <x:v>casual_wear</x:v>
      </x:c>
      <x:c r="K702" s="16" t="str"/>
      <x:c r="L702" s="16" t="str"/>
      <x:c r="M702" s="16" t="str"/>
      <x:c r="N702" s="16" t="str"/>
      <x:c r="O702" s="16" t="str"/>
      <x:c r="P702" s="16" t="str"/>
      <x:c r="Q702" s="16" t="str"/>
      <x:c r="R702" s="16" t="str">
        <x:v>消费者搜索'tsh'相关的夹脚拖鞋，该词含义不明确，可能为品牌缩写或拼写变体。</x:v>
      </x:c>
      <x:c r="S702" s="13" t="str">
        <x:v>exploration</x:v>
      </x:c>
      <x:c r="T702" s="16" t="str">
        <x:v>explicit | inferred</x:v>
      </x:c>
      <x:c r="U702" s="13" t="str">
        <x:v>low</x:v>
      </x:c>
      <x:c r="V702" s="16" t="str">
        <x:v>unclassified</x:v>
      </x:c>
      <x:c r="W702" s="16" t="str">
        <x:v>ambiguity_review</x:v>
      </x:c>
      <x:c r="X702" s="16" t="str">
        <x:v>{"product_type":[{"value":"flip_flops","evidence_type":"explicit","source_span":"flip flop","fact_ids":[],"rationale":""},{"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brand":[{"value":"tsh","evidence_type":"explicit","source_span":"tsh","fact_ids":[],"rationale":""}],"function_intent":[{"value":"casual_wear","evidence_type":"inferred","source_span":"","fact_ids":[],"rationale":"夹脚拖鞋基本用途"}],"latent_task":[{"value":"消费者搜索'tsh'相关的夹脚拖鞋，该词含义不明确，可能为品牌缩写或拼写变体。","evidence_type":"inferred","source_span":"","fact_ids":[],"rationale":"tsh含义不明无法确定真实意图"}],"primary_domain":[{"value":"clothing_shoes_jewelry","evidence_type":"inferred","source_span":"","fact_ids":[],"rationale":"该值由搜索词整体语义推断，未作为页面明示属性。"}]}</x:v>
      </x:c>
      <x:c r="Y702" s="16" t="str">
        <x:v>unclear_brand_or_typo</x:v>
      </x:c>
      <x:c r="Z702" s="13" t="str">
        <x:v>unknown</x:v>
      </x:c>
      <x:c r="AA702" s="16" t="str"/>
      <x:c r="AB702" s="13" t="str">
        <x:v>accepted</x:v>
      </x:c>
      <x:c r="AC702" s="13" t="str">
        <x:v>1.0.0</x:v>
      </x:c>
      <x:c r="AD702" s="13" t="str">
        <x:v>1.1.0</x:v>
      </x:c>
      <x:c r="AE702" s="13" t="str">
        <x:v>deepseek/deepseek-v4-pro</x:v>
      </x:c>
      <x:c r="AF702" s="13" t="str">
        <x:v>aj2-y90-20260714T234810-0bea2f52</x:v>
      </x:c>
      <x:c r="AG702" s="13" t="str">
        <x:v>full-0036</x:v>
      </x:c>
      <x:c r="AH702" s="13" t="str">
        <x:v>full</x:v>
      </x:c>
      <x:c r="AI702" s="13" t="n">
        <x:v>36</x:v>
      </x:c>
    </x:row>
    <x:row r="703" ht="34" customHeight="1">
      <x:c r="A703" s="15" t="str">
        <x:v>flip flop womens</x:v>
      </x:c>
      <x:c r="B703" s="15" t="str">
        <x:v>flip flop womens</x:v>
      </x:c>
      <x:c r="C703" s="10" t="str">
        <x:v>03ef033f3f237f73</x:v>
      </x:c>
      <x:c r="D703" s="10" t="str">
        <x:v>keyword</x:v>
      </x:c>
      <x:c r="E703" s="10" t="str">
        <x:v>en</x:v>
      </x:c>
      <x:c r="F703" s="10" t="str">
        <x:v>clothing_shoes_jewelry</x:v>
      </x:c>
      <x:c r="G703" s="15" t="str"/>
      <x:c r="H703" s="15" t="str">
        <x:v>flip_flops</x:v>
      </x:c>
      <x:c r="I703" s="15" t="str">
        <x:v>women</x:v>
      </x:c>
      <x:c r="J703" s="15" t="str">
        <x:v>casual_wear</x:v>
      </x:c>
      <x:c r="K703" s="15" t="str"/>
      <x:c r="L703" s="15" t="str"/>
      <x:c r="M703" s="15" t="str"/>
      <x:c r="N703" s="15" t="str"/>
      <x:c r="O703" s="15" t="str"/>
      <x:c r="P703" s="15" t="str"/>
      <x:c r="Q703" s="15" t="str"/>
      <x:c r="R703" s="15" t="str">
        <x:v>消费者搜索女士夹脚拖鞋，处于广泛浏览阶段。</x:v>
      </x:c>
      <x:c r="S703" s="10" t="str">
        <x:v>exploration</x:v>
      </x:c>
      <x:c r="T703" s="15" t="str">
        <x:v>explicit | inferred</x:v>
      </x:c>
      <x:c r="U703" s="10" t="str">
        <x:v>high</x:v>
      </x:c>
      <x:c r="V703" s="15" t="str">
        <x:v>womens_flip_flops</x:v>
      </x:c>
      <x:c r="W703" s="15" t="str">
        <x:v>cluster_route</x:v>
      </x:c>
      <x:c r="X703" s="15" t="str">
        <x:v>{"product_type":[{"value":"flip_flops","evidence_type":"explicit","source_span":"flip flop","fact_ids":[],"rationale":""},{"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audience_intent":[{"value":"women","evidence_type":"explicit","source_span":"womens","fact_ids":[],"rationale":""},{"value":"women","evidence_type":"page_validated","source_span":"","fact_ids":["title_womens_flip_flop"],"rationale":"该槽位与商品基准中的明示页面事实一致。"}],"function_intent":[{"value":"casual_wear","evidence_type":"inferred","source_span":"","fact_ids":[],"rationale":"夹脚拖鞋默认日常休闲场景"}],"latent_task":[{"value":"消费者搜索女士夹脚拖鞋，处于广泛浏览阶段。","evidence_type":"inferred","source_span":"","fact_ids":[],"rationale":"无额外修饰语表明探索意图"}],"primary_domain":[{"value":"clothing_shoes_jewelry","evidence_type":"inferred","source_span":"","fact_ids":[],"rationale":"该值由搜索词整体语义推断，未作为页面明示属性。"}]}</x:v>
      </x:c>
      <x:c r="Y703" s="15" t="str"/>
      <x:c r="Z703" s="10" t="str">
        <x:v>match</x:v>
      </x:c>
      <x:c r="AA703" s="15" t="str">
        <x:v>title_womens_flip_flop | style_flip_flop</x:v>
      </x:c>
      <x:c r="AB703" s="10" t="str">
        <x:v>accepted</x:v>
      </x:c>
      <x:c r="AC703" s="10" t="str">
        <x:v>1.0.0</x:v>
      </x:c>
      <x:c r="AD703" s="10" t="str">
        <x:v>1.1.0</x:v>
      </x:c>
      <x:c r="AE703" s="10" t="str">
        <x:v>deepseek/deepseek-v4-pro</x:v>
      </x:c>
      <x:c r="AF703" s="10" t="str">
        <x:v>aj2-y90-20260714T234810-0bea2f52</x:v>
      </x:c>
      <x:c r="AG703" s="10" t="str">
        <x:v>full-0036</x:v>
      </x:c>
      <x:c r="AH703" s="10" t="str">
        <x:v>full</x:v>
      </x:c>
      <x:c r="AI703" s="10" t="n">
        <x:v>36</x:v>
      </x:c>
    </x:row>
    <x:row r="704" ht="34" customHeight="1">
      <x:c r="A704" s="16" t="str">
        <x:v>vovea flip flops for women</x:v>
      </x:c>
      <x:c r="B704" s="16" t="str">
        <x:v>vovea flip flops for women</x:v>
      </x:c>
      <x:c r="C704" s="13" t="str">
        <x:v>084a6725e39c95b3</x:v>
      </x:c>
      <x:c r="D704" s="13" t="str">
        <x:v>keyword</x:v>
      </x:c>
      <x:c r="E704" s="13" t="str">
        <x:v>en</x:v>
      </x:c>
      <x:c r="F704" s="13" t="str">
        <x:v>clothing_shoes_jewelry</x:v>
      </x:c>
      <x:c r="G704" s="16" t="str"/>
      <x:c r="H704" s="16" t="str">
        <x:v>flip_flops</x:v>
      </x:c>
      <x:c r="I704" s="16" t="str">
        <x:v>women</x:v>
      </x:c>
      <x:c r="J704" s="16" t="str">
        <x:v>casual_wear</x:v>
      </x:c>
      <x:c r="K704" s="16" t="str"/>
      <x:c r="L704" s="16" t="str"/>
      <x:c r="M704" s="16" t="str"/>
      <x:c r="N704" s="16" t="str"/>
      <x:c r="O704" s="16" t="str"/>
      <x:c r="P704" s="16" t="str"/>
      <x:c r="Q704" s="16" t="str"/>
      <x:c r="R704" s="16" t="str">
        <x:v>女性消费者搜索Vovea品牌的夹脚拖鞋，该品牌为竞品品牌。</x:v>
      </x:c>
      <x:c r="S704" s="13" t="str">
        <x:v>consideration</x:v>
      </x:c>
      <x:c r="T704" s="16" t="str">
        <x:v>explicit | inferred</x:v>
      </x:c>
      <x:c r="U704" s="13" t="str">
        <x:v>high</x:v>
      </x:c>
      <x:c r="V704" s="16" t="str">
        <x:v>competitor_brand_flip_flops</x:v>
      </x:c>
      <x:c r="W704" s="16" t="str">
        <x:v>semantic_negative_candidate</x:v>
      </x:c>
      <x:c r="X704" s="16" t="str">
        <x:v>{"product_type":[{"value":"flip_flops","evidence_type":"explicit","source_span":"flip flops","fact_ids":[],"rationale":""},{"value":"flip_flops","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brand":[{"value":"vovea","evidence_type":"explicit","source_span":"vovea","fact_ids":[],"rationale":""}],"function_intent":[{"value":"casual_wear","evidence_type":"inferred","source_span":"","fact_ids":[],"rationale":"夹脚拖鞋基本用途"}],"latent_task":[{"value":"女性消费者搜索Vovea品牌的夹脚拖鞋，该品牌为竞品品牌。","evidence_type":"inferred","source_span":"","fact_ids":[],"rationale":"竞品品牌搜索"}],"primary_domain":[{"value":"clothing_shoes_jewelry","evidence_type":"inferred","source_span":"","fact_ids":[],"rationale":"该值由搜索词整体语义推断，未作为页面明示属性。"}]}</x:v>
      </x:c>
      <x:c r="Y704" s="16" t="str"/>
      <x:c r="Z704" s="13" t="str">
        <x:v>mismatch</x:v>
      </x:c>
      <x:c r="AA704" s="16" t="str">
        <x:v>title_womens_flip_flop | style_flip_flop</x:v>
      </x:c>
      <x:c r="AB704" s="13" t="str">
        <x:v>accepted</x:v>
      </x:c>
      <x:c r="AC704" s="13" t="str">
        <x:v>1.0.0</x:v>
      </x:c>
      <x:c r="AD704" s="13" t="str">
        <x:v>1.1.0</x:v>
      </x:c>
      <x:c r="AE704" s="13" t="str">
        <x:v>deepseek/deepseek-v4-pro</x:v>
      </x:c>
      <x:c r="AF704" s="13" t="str">
        <x:v>aj2-y90-20260714T234810-0bea2f52</x:v>
      </x:c>
      <x:c r="AG704" s="13" t="str">
        <x:v>full-0036</x:v>
      </x:c>
      <x:c r="AH704" s="13" t="str">
        <x:v>full</x:v>
      </x:c>
      <x:c r="AI704" s="13" t="n">
        <x:v>36</x:v>
      </x:c>
    </x:row>
    <x:row r="705" ht="34" customHeight="1">
      <x:c r="A705" s="15" t="str">
        <x:v>flip flops ladies</x:v>
      </x:c>
      <x:c r="B705" s="15" t="str">
        <x:v>flip flops ladies</x:v>
      </x:c>
      <x:c r="C705" s="10" t="str">
        <x:v>096a7acff063bf24</x:v>
      </x:c>
      <x:c r="D705" s="10" t="str">
        <x:v>keyword</x:v>
      </x:c>
      <x:c r="E705" s="10" t="str">
        <x:v>en</x:v>
      </x:c>
      <x:c r="F705" s="10" t="str">
        <x:v>clothing_shoes_jewelry</x:v>
      </x:c>
      <x:c r="G705" s="15" t="str"/>
      <x:c r="H705" s="15" t="str">
        <x:v>flip_flops</x:v>
      </x:c>
      <x:c r="I705" s="15" t="str">
        <x:v>women</x:v>
      </x:c>
      <x:c r="J705" s="15" t="str">
        <x:v>casual_wear</x:v>
      </x:c>
      <x:c r="K705" s="15" t="str"/>
      <x:c r="L705" s="15" t="str"/>
      <x:c r="M705" s="15" t="str"/>
      <x:c r="N705" s="15" t="str"/>
      <x:c r="O705" s="15" t="str"/>
      <x:c r="P705" s="15" t="str"/>
      <x:c r="Q705" s="15" t="str"/>
      <x:c r="R705" s="15" t="str">
        <x:v>消费者搜索女士夹脚拖鞋，表达方式较为口语化。</x:v>
      </x:c>
      <x:c r="S705" s="10" t="str">
        <x:v>exploration</x:v>
      </x:c>
      <x:c r="T705" s="15" t="str">
        <x:v>explicit | inferred</x:v>
      </x:c>
      <x:c r="U705" s="10" t="str">
        <x:v>high</x:v>
      </x:c>
      <x:c r="V705" s="15" t="str">
        <x:v>womens_flip_flops</x:v>
      </x:c>
      <x:c r="W705" s="15" t="str">
        <x:v>cluster_route</x:v>
      </x:c>
      <x:c r="X705" s="15" t="str">
        <x:v>{"product_type":[{"value":"flip_flops","evidence_type":"explicit","source_span":"flip flops","fact_ids":[],"rationale":""},{"value":"flip_flops","evidence_type":"page_validated","source_span":"","fact_ids":["style_flip_flop"],"rationale":"该槽位与商品基准中的明示页面事实一致。"}],"audience_intent":[{"value":"women","evidence_type":"explicit","source_span":"ladies","fact_ids":[],"rationale":""},{"value":"women","evidence_type":"page_validated","source_span":"","fact_ids":["title_womens_flip_flop"],"rationale":"该槽位与商品基准中的明示页面事实一致。"},{"value":"women","evidence_type":"inferred","source_span":"","fact_ids":[],"rationale":"该能力由搜索词表达的任务或问题推断；页面事实仅用于验证商品承接。"}],"function_intent":[{"value":"casual_wear","evidence_type":"inferred","source_span":"","fact_ids":[],"rationale":"夹脚拖鞋默认休闲场景"}],"latent_task":[{"value":"消费者搜索女士夹脚拖鞋，表达方式较为口语化。","evidence_type":"inferred","source_span":"","fact_ids":[],"rationale":"ladies为women的口语化表达"}],"primary_domain":[{"value":"clothing_shoes_jewelry","evidence_type":"inferred","source_span":"","fact_ids":[],"rationale":"该值由搜索词整体语义推断，未作为页面明示属性。"}]}</x:v>
      </x:c>
      <x:c r="Y705" s="15" t="str"/>
      <x:c r="Z705" s="10" t="str">
        <x:v>match</x:v>
      </x:c>
      <x:c r="AA705" s="15" t="str">
        <x:v>title_womens_flip_flop | style_flip_flop</x:v>
      </x:c>
      <x:c r="AB705" s="10" t="str">
        <x:v>accepted</x:v>
      </x:c>
      <x:c r="AC705" s="10" t="str">
        <x:v>1.0.0</x:v>
      </x:c>
      <x:c r="AD705" s="10" t="str">
        <x:v>1.1.0</x:v>
      </x:c>
      <x:c r="AE705" s="10" t="str">
        <x:v>deepseek/deepseek-v4-pro</x:v>
      </x:c>
      <x:c r="AF705" s="10" t="str">
        <x:v>aj2-y90-20260714T234810-0bea2f52</x:v>
      </x:c>
      <x:c r="AG705" s="10" t="str">
        <x:v>full-0036</x:v>
      </x:c>
      <x:c r="AH705" s="10" t="str">
        <x:v>full</x:v>
      </x:c>
      <x:c r="AI705" s="10" t="n">
        <x:v>36</x:v>
      </x:c>
    </x:row>
    <x:row r="706" ht="34" customHeight="1">
      <x:c r="A706" s="16" t="str">
        <x:v>flipflop</x:v>
      </x:c>
      <x:c r="B706" s="16" t="str">
        <x:v>flipflop</x:v>
      </x:c>
      <x:c r="C706" s="13" t="str">
        <x:v>0b24c35b4dbaa028</x:v>
      </x:c>
      <x:c r="D706" s="13" t="str">
        <x:v>keyword</x:v>
      </x:c>
      <x:c r="E706" s="13" t="str">
        <x:v>en</x:v>
      </x:c>
      <x:c r="F706" s="13" t="str">
        <x:v>clothing_shoes_jewelry</x:v>
      </x:c>
      <x:c r="G706" s="16" t="str"/>
      <x:c r="H706" s="16" t="str">
        <x:v>flip_flops</x:v>
      </x:c>
      <x:c r="I706" s="16" t="str"/>
      <x:c r="J706" s="16" t="str">
        <x:v>casual_wear</x:v>
      </x:c>
      <x:c r="K706" s="16" t="str"/>
      <x:c r="L706" s="16" t="str"/>
      <x:c r="M706" s="16" t="str"/>
      <x:c r="N706" s="16" t="str"/>
      <x:c r="O706" s="16" t="str"/>
      <x:c r="P706" s="16" t="str"/>
      <x:c r="Q706" s="16" t="str"/>
      <x:c r="R706" s="16" t="str">
        <x:v>消费者在初步浏览夹脚拖类产品，尚未明确具体需求和约束条件。</x:v>
      </x:c>
      <x:c r="S706" s="13" t="str">
        <x:v>exploration</x:v>
      </x:c>
      <x:c r="T706" s="16" t="str">
        <x:v>explicit | inferred</x:v>
      </x:c>
      <x:c r="U706" s="13" t="str">
        <x:v>medium</x:v>
      </x:c>
      <x:c r="V706" s="16" t="str">
        <x:v>flip_flops</x:v>
      </x:c>
      <x:c r="W706" s="16" t="str">
        <x:v>cluster_route</x:v>
      </x:c>
      <x:c r="X706" s="16" t="str">
        <x:v>{"product_type":[{"value":"flip_flops","evidence_type":"explicit","source_span":"flipflop","fact_ids":[],"rationale":""},{"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function_intent":[{"value":"casual_wear","evidence_type":"inferred","source_span":"","fact_ids":[],"rationale":"夹脚拖默认用于休闲穿着"}],"latent_task":[{"value":"消费者在初步浏览夹脚拖类产品，尚未明确具体需求和约束条件。","evidence_type":"inferred","source_span":"","fact_ids":[],"rationale":"搜索词极简，无修饰语"}],"primary_domain":[{"value":"clothing_shoes_jewelry","evidence_type":"inferred","source_span":"","fact_ids":[],"rationale":"该值由搜索词整体语义推断，未作为页面明示属性。"}]}</x:v>
      </x:c>
      <x:c r="Y706" s="16" t="str"/>
      <x:c r="Z706" s="13" t="str">
        <x:v>match</x:v>
      </x:c>
      <x:c r="AA706" s="16" t="str">
        <x:v>style_flip_flop | title_womens_flip_flop</x:v>
      </x:c>
      <x:c r="AB706" s="13" t="str">
        <x:v>accepted</x:v>
      </x:c>
      <x:c r="AC706" s="13" t="str">
        <x:v>1.0.0</x:v>
      </x:c>
      <x:c r="AD706" s="13" t="str">
        <x:v>1.1.0</x:v>
      </x:c>
      <x:c r="AE706" s="13" t="str">
        <x:v>deepseek/deepseek-v4-pro</x:v>
      </x:c>
      <x:c r="AF706" s="13" t="str">
        <x:v>aj2-y90-20260714T234810-0bea2f52</x:v>
      </x:c>
      <x:c r="AG706" s="13" t="str">
        <x:v>full-0036</x:v>
      </x:c>
      <x:c r="AH706" s="13" t="str">
        <x:v>full</x:v>
      </x:c>
      <x:c r="AI706" s="13" t="n">
        <x:v>36</x:v>
      </x:c>
    </x:row>
    <x:row r="707" ht="34" customHeight="1">
      <x:c r="A707" s="15" t="str">
        <x:v>flip flops for women anti slip</x:v>
      </x:c>
      <x:c r="B707" s="15" t="str">
        <x:v>flip flops for women anti slip</x:v>
      </x:c>
      <x:c r="C707" s="10" t="str">
        <x:v>0bed336942856157</x:v>
      </x:c>
      <x:c r="D707" s="10" t="str">
        <x:v>keyword</x:v>
      </x:c>
      <x:c r="E707" s="10" t="str">
        <x:v>en</x:v>
      </x:c>
      <x:c r="F707" s="10" t="str">
        <x:v>clothing_shoes_jewelry</x:v>
      </x:c>
      <x:c r="G707" s="15" t="str"/>
      <x:c r="H707" s="15" t="str">
        <x:v>flip_flops</x:v>
      </x:c>
      <x:c r="I707" s="15" t="str">
        <x:v>women</x:v>
      </x:c>
      <x:c r="J707" s="15" t="str">
        <x:v>safe_walking</x:v>
      </x:c>
      <x:c r="K707" s="15" t="str">
        <x:v>slip_resistance</x:v>
      </x:c>
      <x:c r="L707" s="15" t="str"/>
      <x:c r="M707" s="15" t="str"/>
      <x:c r="N707" s="15" t="str"/>
      <x:c r="O707" s="15" t="str"/>
      <x:c r="P707" s="15" t="str"/>
      <x:c r="Q707" s="15" t="str"/>
      <x:c r="R707" s="15" t="str">
        <x:v>女性消费者寻找具有防滑功能的夹脚拖鞋，注重行走安全性。</x:v>
      </x:c>
      <x:c r="S707" s="10" t="str">
        <x:v>consideration</x:v>
      </x:c>
      <x:c r="T707" s="15" t="str">
        <x:v>explicit | page_validated | inferred</x:v>
      </x:c>
      <x:c r="U707" s="10" t="str">
        <x:v>high</x:v>
      </x:c>
      <x:c r="V707" s="15" t="str">
        <x:v>anti_slip_flip_flops</x:v>
      </x:c>
      <x:c r="W707" s="15" t="str">
        <x:v>cluster_route</x:v>
      </x:c>
      <x:c r="X707" s="15" t="str">
        <x:v>{"product_type":[{"value":"flip_flops","evidence_type":"explicit","source_span":"flip flops","fact_ids":[],"rationale":""},{"value":"flip_flops","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function_intent":[{"value":"safe_walking","evidence_type":"inferred","source_span":"","fact_ids":[],"rationale":"防滑功能服务于行走安全"}],"capability_intent":[{"value":"slip_resistance","evidence_type":"explicit","source_span":"anti slip","fact_ids":[],"rationale":""},{"value":"slip_resistance","evidence_type":"page_validated","source_span":"","fact_ids":["slip_resistant_grip"],"rationale":""}],"latent_task":[{"value":"女性消费者寻找具有防滑功能的夹脚拖鞋，注重行走安全性。","evidence_type":"inferred","source_span":"","fact_ids":[],"rationale":"防滑需求推断安全导向"}],"primary_domain":[{"value":"clothing_shoes_jewelry","evidence_type":"inferred","source_span":"","fact_ids":[],"rationale":"该值由搜索词整体语义推断，未作为页面明示属性。"}]}</x:v>
      </x:c>
      <x:c r="Y707" s="15" t="str"/>
      <x:c r="Z707" s="10" t="str">
        <x:v>match</x:v>
      </x:c>
      <x:c r="AA707" s="15" t="str">
        <x:v>title_womens_flip_flop | style_flip_flop | slip_resistant_grip</x:v>
      </x:c>
      <x:c r="AB707" s="10" t="str">
        <x:v>accepted</x:v>
      </x:c>
      <x:c r="AC707" s="10" t="str">
        <x:v>1.0.0</x:v>
      </x:c>
      <x:c r="AD707" s="10" t="str">
        <x:v>1.1.0</x:v>
      </x:c>
      <x:c r="AE707" s="10" t="str">
        <x:v>deepseek/deepseek-v4-pro</x:v>
      </x:c>
      <x:c r="AF707" s="10" t="str">
        <x:v>aj2-y90-20260714T234810-0bea2f52</x:v>
      </x:c>
      <x:c r="AG707" s="10" t="str">
        <x:v>full-0036</x:v>
      </x:c>
      <x:c r="AH707" s="10" t="str">
        <x:v>full</x:v>
      </x:c>
      <x:c r="AI707" s="10" t="n">
        <x:v>36</x:v>
      </x:c>
    </x:row>
    <x:row r="708" ht="34" customHeight="1">
      <x:c r="A708" s="16" t="str">
        <x:v>pool sandals women</x:v>
      </x:c>
      <x:c r="B708" s="16" t="str">
        <x:v>pool sandals women</x:v>
      </x:c>
      <x:c r="C708" s="13" t="str">
        <x:v>0c819669fb9a8f7e</x:v>
      </x:c>
      <x:c r="D708" s="13" t="str">
        <x:v>keyword</x:v>
      </x:c>
      <x:c r="E708" s="13" t="str">
        <x:v>en</x:v>
      </x:c>
      <x:c r="F708" s="13" t="str">
        <x:v>clothing_shoes_jewelry</x:v>
      </x:c>
      <x:c r="G708" s="16" t="str">
        <x:v>sports_outdoors</x:v>
      </x:c>
      <x:c r="H708" s="16" t="str">
        <x:v>sandals | pool_sandals</x:v>
      </x:c>
      <x:c r="I708" s="16" t="str">
        <x:v>women</x:v>
      </x:c>
      <x:c r="J708" s="16" t="str">
        <x:v>pool_use</x:v>
      </x:c>
      <x:c r="K708" s="16" t="str">
        <x:v>water_resistance | slip_resistance</x:v>
      </x:c>
      <x:c r="L708" s="16" t="str">
        <x:v>swimming</x:v>
      </x:c>
      <x:c r="M708" s="16" t="str">
        <x:v>pool</x:v>
      </x:c>
      <x:c r="N708" s="16" t="str"/>
      <x:c r="O708" s="16" t="str"/>
      <x:c r="P708" s="16" t="str"/>
      <x:c r="Q708" s="16" t="str"/>
      <x:c r="R708" s="16" t="str">
        <x:v>女性消费者寻找适合泳池穿着的凉鞋，需要耐水防滑的功能特性。</x:v>
      </x:c>
      <x:c r="S708" s="13" t="str">
        <x:v>consideration</x:v>
      </x:c>
      <x:c r="T708" s="16" t="str">
        <x:v>explicit | inferred</x:v>
      </x:c>
      <x:c r="U708" s="13" t="str">
        <x:v>medium</x:v>
      </x:c>
      <x:c r="V708" s="16" t="str">
        <x:v>pool_beach_footwear</x:v>
      </x:c>
      <x:c r="W708" s="16" t="str">
        <x:v>listing_gap_review</x:v>
      </x:c>
      <x:c r="X708" s="16" t="str">
        <x:v>{"product_type":[{"value":"sandals","evidence_type":"explicit","source_span":"sandals","fact_ids":[],"rationale":""},{"value":"pool_sandals","evidence_type":"explicit","source_span":"pool sandals","fact_ids":[],"rationale":""},{"value":"sandals","evidence_type":"page_validated","source_span":"","fact_ids":["title_womens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function_intent":[{"value":"pool_use","evidence_type":"explicit","source_span":"pool","fact_ids":[],"rationale":""}],"capability_intent":[{"value":"water_resistance","evidence_type":"inferred","source_span":"","fact_ids":[],"rationale":"泳池场景需要耐水性能"},{"value":"slip_resistance","evidence_type":"inferred","source_span":"","fact_ids":[],"rationale":"泳池地面湿滑需要防滑"}],"event_intent":[{"value":"swimming","evidence_type":"inferred","source_span":"","fact_ids":[],"rationale":"泳池关联游泳活动"}],"location_intent":[{"value":"pool","evidence_type":"explicit","source_span":"pool","fact_ids":[],"rationale":""}],"latent_task":[{"value":"女性消费者寻找适合泳池穿着的凉鞋，需要耐水防滑的功能特性。","evidence_type":"inferred","source_span":"","fact_ids":[],"rationale":"泳池场景综合推断需求"}],"primary_domain":[{"value":"clothing_shoes_jewelry","evidence_type":"inferred","source_span":"","fact_ids":[],"rationale":"该值由搜索词整体语义推断，未作为页面明示属性。"}],"secondary_domain":[{"value":"sports_outdoors","evidence_type":"inferred","source_span":"","fact_ids":[],"rationale":"该值由搜索词整体语义推断，未作为页面明示属性。"}]}</x:v>
      </x:c>
      <x:c r="Y708" s="16" t="str"/>
      <x:c r="Z708" s="13" t="str">
        <x:v>partial_match</x:v>
      </x:c>
      <x:c r="AA708" s="16" t="str">
        <x:v>title_womens_flip_flop | style_flip_flop | slip_resistant_grip</x:v>
      </x:c>
      <x:c r="AB708" s="13" t="str">
        <x:v>accepted</x:v>
      </x:c>
      <x:c r="AC708" s="13" t="str">
        <x:v>1.0.0</x:v>
      </x:c>
      <x:c r="AD708" s="13" t="str">
        <x:v>1.1.0</x:v>
      </x:c>
      <x:c r="AE708" s="13" t="str">
        <x:v>deepseek/deepseek-v4-pro</x:v>
      </x:c>
      <x:c r="AF708" s="13" t="str">
        <x:v>aj2-y90-20260714T234810-0bea2f52</x:v>
      </x:c>
      <x:c r="AG708" s="13" t="str">
        <x:v>full-0036</x:v>
      </x:c>
      <x:c r="AH708" s="13" t="str">
        <x:v>full</x:v>
      </x:c>
      <x:c r="AI708" s="13" t="n">
        <x:v>36</x:v>
      </x:c>
    </x:row>
    <x:row r="709" ht="34" customHeight="1">
      <x:c r="A709" s="15" t="str">
        <x:v>black flat flip flops</x:v>
      </x:c>
      <x:c r="B709" s="15" t="str">
        <x:v>black flat flip flops</x:v>
      </x:c>
      <x:c r="C709" s="10" t="str">
        <x:v>0f80acf3c0c702fc</x:v>
      </x:c>
      <x:c r="D709" s="10" t="str">
        <x:v>keyword</x:v>
      </x:c>
      <x:c r="E709" s="10" t="str">
        <x:v>en</x:v>
      </x:c>
      <x:c r="F709" s="10" t="str">
        <x:v>clothing_shoes_jewelry</x:v>
      </x:c>
      <x:c r="G709" s="15" t="str"/>
      <x:c r="H709" s="15" t="str">
        <x:v>flip_flops</x:v>
      </x:c>
      <x:c r="I709" s="15" t="str"/>
      <x:c r="J709" s="15" t="str">
        <x:v>casual_wear</x:v>
      </x:c>
      <x:c r="K709" s="15" t="str"/>
      <x:c r="L709" s="15" t="str"/>
      <x:c r="M709" s="15" t="str"/>
      <x:c r="N709" s="15" t="str"/>
      <x:c r="O709" s="15" t="str"/>
      <x:c r="P709" s="15" t="str"/>
      <x:c r="Q709" s="15" t="str"/>
      <x:c r="R709" s="15" t="str">
        <x:v>消费者寻找黑色平底夹脚拖鞋，偏好简约经典款式。</x:v>
      </x:c>
      <x:c r="S709" s="10" t="str">
        <x:v>high_intent</x:v>
      </x:c>
      <x:c r="T709" s="15" t="str">
        <x:v>explicit | page_validated | inferred</x:v>
      </x:c>
      <x:c r="U709" s="10" t="str">
        <x:v>high</x:v>
      </x:c>
      <x:c r="V709" s="15" t="str">
        <x:v>color_specific_flip_flops</x:v>
      </x:c>
      <x:c r="W709" s="15" t="str">
        <x:v>cluster_route</x:v>
      </x:c>
      <x:c r="X709" s="15" t="str">
        <x:v>{"product_type":[{"value":"flip_flops","evidence_type":"explicit","source_span":"flip flops","fact_ids":[],"rationale":""},{"value":"flip_flops","evidence_type":"page_validated","source_span":"","fact_ids":["style_flip_flop"],"rationale":"该槽位与商品基准中的明示页面事实一致。"}],"color":[{"value":"black","evidence_type":"explicit","source_span":"black","fact_ids":[],"rationale":"该颜色在商品页面可见颜色选择中得到明确支持。"},{"value":"black","evidence_type":"page_validated","source_span":"","fact_ids":["colors_visible"],"rationale":"该颜色在商品页面可见颜色选择中得到明确支持。"}],"function_intent":[{"value":"casual_wear","evidence_type":"inferred","source_span":"","fact_ids":[],"rationale":"平底夹脚拖适合日常休闲"}],"latent_task":[{"value":"消费者寻找黑色平底夹脚拖鞋，偏好简约经典款式。","evidence_type":"inferred","source_span":"","fact_ids":[],"rationale":"黑色平底组合暗示简约风格偏好"}],"primary_domain":[{"value":"clothing_shoes_jewelry","evidence_type":"inferred","source_span":"","fact_ids":[],"rationale":"该值由搜索词整体语义推断，未作为页面明示属性。"}]}</x:v>
      </x:c>
      <x:c r="Y709" s="15" t="str"/>
      <x:c r="Z709" s="10" t="str">
        <x:v>match</x:v>
      </x:c>
      <x:c r="AA709" s="15" t="str">
        <x:v>style_flip_flop | style_flat | colors_visible</x:v>
      </x:c>
      <x:c r="AB709" s="10" t="str">
        <x:v>accepted</x:v>
      </x:c>
      <x:c r="AC709" s="10" t="str">
        <x:v>1.0.0</x:v>
      </x:c>
      <x:c r="AD709" s="10" t="str">
        <x:v>1.1.0</x:v>
      </x:c>
      <x:c r="AE709" s="10" t="str">
        <x:v>deepseek/deepseek-v4-pro</x:v>
      </x:c>
      <x:c r="AF709" s="10" t="str">
        <x:v>aj2-y90-20260714T234810-0bea2f52</x:v>
      </x:c>
      <x:c r="AG709" s="10" t="str">
        <x:v>full-0036</x:v>
      </x:c>
      <x:c r="AH709" s="10" t="str">
        <x:v>full</x:v>
      </x:c>
      <x:c r="AI709" s="10" t="n">
        <x:v>36</x:v>
      </x:c>
    </x:row>
    <x:row r="710" ht="34" customHeight="1">
      <x:c r="A710" s="16" t="str">
        <x:v>narrow flip-flops women</x:v>
      </x:c>
      <x:c r="B710" s="16" t="str">
        <x:v>narrow flip-flops women</x:v>
      </x:c>
      <x:c r="C710" s="13" t="str">
        <x:v>1fc4a7fa09201728</x:v>
      </x:c>
      <x:c r="D710" s="13" t="str">
        <x:v>keyword</x:v>
      </x:c>
      <x:c r="E710" s="13" t="str">
        <x:v>en</x:v>
      </x:c>
      <x:c r="F710" s="13" t="str">
        <x:v>clothing_shoes_jewelry</x:v>
      </x:c>
      <x:c r="G710" s="16" t="str"/>
      <x:c r="H710" s="16" t="str">
        <x:v>flip_flops</x:v>
      </x:c>
      <x:c r="I710" s="16" t="str">
        <x:v>women</x:v>
      </x:c>
      <x:c r="J710" s="16" t="str">
        <x:v>proper_fit</x:v>
      </x:c>
      <x:c r="K710" s="16" t="str"/>
      <x:c r="L710" s="16" t="str"/>
      <x:c r="M710" s="16" t="str"/>
      <x:c r="N710" s="16" t="str">
        <x:v>narrow_feet</x:v>
      </x:c>
      <x:c r="O710" s="16" t="str"/>
      <x:c r="P710" s="16" t="str"/>
      <x:c r="Q710" s="16" t="str"/>
      <x:c r="R710" s="16" t="str">
        <x:v>女性消费者寻找窄版夹脚拖鞋，关注鞋型宽度对瘦脚的适配性。</x:v>
      </x:c>
      <x:c r="S710" s="13" t="str">
        <x:v>consideration</x:v>
      </x:c>
      <x:c r="T710" s="16" t="str">
        <x:v>explicit | inferred</x:v>
      </x:c>
      <x:c r="U710" s="13" t="str">
        <x:v>medium</x:v>
      </x:c>
      <x:c r="V710" s="16" t="str">
        <x:v>narrow_fit_flip_flops</x:v>
      </x:c>
      <x:c r="W710" s="16" t="str">
        <x:v>listing_gap_review</x:v>
      </x:c>
      <x:c r="X710" s="16" t="str">
        <x:v>{"product_type":[{"value":"flip_flops","evidence_type":"explicit","source_span":"flip-flops","fact_ids":[],"rationale":""},{"value":"flip_flops","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function_intent":[{"value":"proper_fit","evidence_type":"inferred","source_span":"","fact_ids":[],"rationale":"窄版需求指向合脚性关注"}],"body_need_intent":[{"value":"narrow_feet","evidence_type":"explicit","source_span":"narrow","fact_ids":[],"rationale":""}],"latent_task":[{"value":"女性消费者寻找窄版夹脚拖鞋，关注鞋型宽度对瘦脚的适配性。","evidence_type":"inferred","source_span":"","fact_ids":[],"rationale":"窄版宽度需求推断瘦脚人群"}],"primary_domain":[{"value":"clothing_shoes_jewelry","evidence_type":"inferred","source_span":"","fact_ids":[],"rationale":"该值由搜索词整体语义推断，未作为页面明示属性。"}]}</x:v>
      </x:c>
      <x:c r="Y710" s="16" t="str"/>
      <x:c r="Z710" s="13" t="str">
        <x:v>partial_match</x:v>
      </x:c>
      <x:c r="AA710" s="16" t="str">
        <x:v>title_womens_flip_flop | style_flip_flop</x:v>
      </x:c>
      <x:c r="AB710" s="13" t="str">
        <x:v>accepted</x:v>
      </x:c>
      <x:c r="AC710" s="13" t="str">
        <x:v>1.0.0</x:v>
      </x:c>
      <x:c r="AD710" s="13" t="str">
        <x:v>1.1.0</x:v>
      </x:c>
      <x:c r="AE710" s="13" t="str">
        <x:v>deepseek/deepseek-v4-pro</x:v>
      </x:c>
      <x:c r="AF710" s="13" t="str">
        <x:v>aj2-y90-20260714T234810-0bea2f52</x:v>
      </x:c>
      <x:c r="AG710" s="13" t="str">
        <x:v>full-0036</x:v>
      </x:c>
      <x:c r="AH710" s="13" t="str">
        <x:v>full</x:v>
      </x:c>
      <x:c r="AI710" s="13" t="n">
        <x:v>36</x:v>
      </x:c>
    </x:row>
    <x:row r="711" ht="34" customHeight="1">
      <x:c r="A711" s="15" t="str">
        <x:v>womens white flip flops size 9</x:v>
      </x:c>
      <x:c r="B711" s="15" t="str">
        <x:v>womens white flip flops size 9</x:v>
      </x:c>
      <x:c r="C711" s="10" t="str">
        <x:v>36e9c4c6ce4fc787</x:v>
      </x:c>
      <x:c r="D711" s="10" t="str">
        <x:v>keyword</x:v>
      </x:c>
      <x:c r="E711" s="10" t="str">
        <x:v>en</x:v>
      </x:c>
      <x:c r="F711" s="10" t="str">
        <x:v>clothing_shoes_jewelry</x:v>
      </x:c>
      <x:c r="G711" s="15" t="str"/>
      <x:c r="H711" s="15" t="str">
        <x:v>flip_flops</x:v>
      </x:c>
      <x:c r="I711" s="15" t="str">
        <x:v>women</x:v>
      </x:c>
      <x:c r="J711" s="15" t="str">
        <x:v>casual_wear</x:v>
      </x:c>
      <x:c r="K711" s="15" t="str"/>
      <x:c r="L711" s="15" t="str"/>
      <x:c r="M711" s="15" t="str"/>
      <x:c r="N711" s="15" t="str"/>
      <x:c r="O711" s="15" t="str"/>
      <x:c r="P711" s="15" t="str"/>
      <x:c r="Q711" s="15" t="str"/>
      <x:c r="R711" s="15" t="str">
        <x:v>女性消费者明确需要白色9码的夹脚拖鞋，颜色和尺码需求具体。</x:v>
      </x:c>
      <x:c r="S711" s="10" t="str">
        <x:v>high_intent</x:v>
      </x:c>
      <x:c r="T711" s="15" t="str">
        <x:v>explicit | page_validated | inferred</x:v>
      </x:c>
      <x:c r="U711" s="10" t="str">
        <x:v>high</x:v>
      </x:c>
      <x:c r="V711" s="15" t="str">
        <x:v>womens_specific_flip_flops</x:v>
      </x:c>
      <x:c r="W711" s="15" t="str">
        <x:v>cluster_route</x:v>
      </x:c>
      <x:c r="X711" s="15" t="str">
        <x:v>{"product_type":[{"value":"flip_flops","evidence_type":"explicit","source_span":"flip flops","fact_ids":[],"rationale":""},{"value":"flip_flops","evidence_type":"page_validated","source_span":"","fact_ids":["style_flip_flop"],"rationale":"该槽位与商品基准中的明示页面事实一致。"}],"audience_intent":[{"value":"women","evidence_type":"explicit","source_span":"womens","fact_ids":[],"rationale":""},{"value":"women","evidence_type":"page_validated","source_span":"","fact_ids":["title_womens_flip_flop"],"rationale":"该槽位与商品基准中的明示页面事实一致。"}],"color":[{"value":"white","evidence_type":"explicit","source_span":"white","fact_ids":[],"rationale":"该颜色在商品页面可见颜色选择中得到明确支持。"},{"value":"white","evidence_type":"page_validated","source_span":"","fact_ids":["colors_visible"],"rationale":"该颜色在商品页面可见颜色选择中得到明确支持。"}],"size":[{"value":"9","evidence_type":"explicit","source_span":"size 9","fact_ids":[],"rationale":""},{"value":"9","evidence_type":"page_validated","source_span":"","fact_ids":["sizes_6_11"],"rationale":""}],"function_intent":[{"value":"casual_wear","evidence_type":"inferred","source_span":"","fact_ids":[],"rationale":"夹脚拖鞋用于日常穿着"}],"latent_task":[{"value":"女性消费者明确需要白色9码的夹脚拖鞋，颜色和尺码需求具体。","evidence_type":"inferred","source_span":"","fact_ids":[],"rationale":"颜色和尺码双重约束表明明确需求"}],"primary_domain":[{"value":"clothing_shoes_jewelry","evidence_type":"inferred","source_span":"","fact_ids":[],"rationale":"该值由搜索词整体语义推断，未作为页面明示属性。"}]}</x:v>
      </x:c>
      <x:c r="Y711" s="15" t="str"/>
      <x:c r="Z711" s="10" t="str">
        <x:v>match</x:v>
      </x:c>
      <x:c r="AA711" s="15" t="str">
        <x:v>title_womens_flip_flop | style_flip_flop | colors_visible | sizes_6_11</x:v>
      </x:c>
      <x:c r="AB711" s="10" t="str">
        <x:v>accepted</x:v>
      </x:c>
      <x:c r="AC711" s="10" t="str">
        <x:v>1.0.0</x:v>
      </x:c>
      <x:c r="AD711" s="10" t="str">
        <x:v>1.1.0</x:v>
      </x:c>
      <x:c r="AE711" s="10" t="str">
        <x:v>deepseek/deepseek-v4-pro</x:v>
      </x:c>
      <x:c r="AF711" s="10" t="str">
        <x:v>aj2-y90-20260714T234810-0bea2f52</x:v>
      </x:c>
      <x:c r="AG711" s="10" t="str">
        <x:v>full-0036</x:v>
      </x:c>
      <x:c r="AH711" s="10" t="str">
        <x:v>full</x:v>
      </x:c>
      <x:c r="AI711" s="10" t="n">
        <x:v>36</x:v>
      </x:c>
    </x:row>
    <x:row r="712" ht="34" customHeight="1">
      <x:c r="A712" s="16" t="str">
        <x:v>womens body glove flip flops</x:v>
      </x:c>
      <x:c r="B712" s="16" t="str">
        <x:v>womens body glove flip flops</x:v>
      </x:c>
      <x:c r="C712" s="13" t="str">
        <x:v>4bb2d7722bf5f60b</x:v>
      </x:c>
      <x:c r="D712" s="13" t="str">
        <x:v>keyword</x:v>
      </x:c>
      <x:c r="E712" s="13" t="str">
        <x:v>en</x:v>
      </x:c>
      <x:c r="F712" s="13" t="str">
        <x:v>clothing_shoes_jewelry</x:v>
      </x:c>
      <x:c r="G712" s="16" t="str"/>
      <x:c r="H712" s="16" t="str">
        <x:v>flip_flops</x:v>
      </x:c>
      <x:c r="I712" s="16" t="str">
        <x:v>women</x:v>
      </x:c>
      <x:c r="J712" s="16" t="str">
        <x:v>casual_wear</x:v>
      </x:c>
      <x:c r="K712" s="16" t="str"/>
      <x:c r="L712" s="16" t="str"/>
      <x:c r="M712" s="16" t="str"/>
      <x:c r="N712" s="16" t="str"/>
      <x:c r="O712" s="16" t="str"/>
      <x:c r="P712" s="16" t="str"/>
      <x:c r="Q712" s="16" t="str"/>
      <x:c r="R712" s="16" t="str">
        <x:v>女性消费者搜索Body Glove品牌的夹脚拖鞋，该品牌非本产品所属品牌。</x:v>
      </x:c>
      <x:c r="S712" s="13" t="str">
        <x:v>consideration</x:v>
      </x:c>
      <x:c r="T712" s="16" t="str">
        <x:v>explicit | inferred</x:v>
      </x:c>
      <x:c r="U712" s="13" t="str">
        <x:v>high</x:v>
      </x:c>
      <x:c r="V712" s="16" t="str">
        <x:v>competitor_brand_flip_flops</x:v>
      </x:c>
      <x:c r="W712" s="16" t="str">
        <x:v>semantic_negative_candidate</x:v>
      </x:c>
      <x:c r="X712" s="16" t="str">
        <x:v>{"product_type":[{"value":"flip_flops","evidence_type":"explicit","source_span":"flip flops","fact_ids":[],"rationale":""},{"value":"flip_flops","evidence_type":"page_validated","source_span":"","fact_ids":["style_flip_flop"],"rationale":"该槽位与商品基准中的明示页面事实一致。"}],"audience_intent":[{"value":"women","evidence_type":"explicit","source_span":"womens","fact_ids":[],"rationale":""},{"value":"women","evidence_type":"page_validated","source_span":"","fact_ids":["title_womens_flip_flop"],"rationale":"该槽位与商品基准中的明示页面事实一致。"}],"brand":[{"value":"body_glove","evidence_type":"explicit","source_span":"body glove","fact_ids":[],"rationale":""}],"function_intent":[{"value":"casual_wear","evidence_type":"inferred","source_span":"","fact_ids":[],"rationale":"夹脚拖鞋用于日常休闲"}],"latent_task":[{"value":"女性消费者搜索Body Glove品牌的夹脚拖鞋，该品牌非本产品所属品牌。","evidence_type":"inferred","source_span":"","fact_ids":[],"rationale":"竞品品牌搜索"}],"primary_domain":[{"value":"clothing_shoes_jewelry","evidence_type":"inferred","source_span":"","fact_ids":[],"rationale":"该值由搜索词整体语义推断，未作为页面明示属性。"}]}</x:v>
      </x:c>
      <x:c r="Y712" s="16" t="str"/>
      <x:c r="Z712" s="13" t="str">
        <x:v>mismatch</x:v>
      </x:c>
      <x:c r="AA712" s="16" t="str">
        <x:v>title_womens_flip_flop | style_flip_flop</x:v>
      </x:c>
      <x:c r="AB712" s="13" t="str">
        <x:v>accepted</x:v>
      </x:c>
      <x:c r="AC712" s="13" t="str">
        <x:v>1.0.0</x:v>
      </x:c>
      <x:c r="AD712" s="13" t="str">
        <x:v>1.1.0</x:v>
      </x:c>
      <x:c r="AE712" s="13" t="str">
        <x:v>deepseek/deepseek-v4-pro</x:v>
      </x:c>
      <x:c r="AF712" s="13" t="str">
        <x:v>aj2-y90-20260714T234810-0bea2f52</x:v>
      </x:c>
      <x:c r="AG712" s="13" t="str">
        <x:v>full-0036</x:v>
      </x:c>
      <x:c r="AH712" s="13" t="str">
        <x:v>full</x:v>
      </x:c>
      <x:c r="AI712" s="13" t="n">
        <x:v>36</x:v>
      </x:c>
    </x:row>
    <x:row r="713" ht="34" customHeight="1">
      <x:c r="A713" s="15" t="str">
        <x:v>plastic women's flip flops</x:v>
      </x:c>
      <x:c r="B713" s="15" t="str">
        <x:v>plastic women's flip flops</x:v>
      </x:c>
      <x:c r="C713" s="10" t="str">
        <x:v>58ef05d9b79973d6</x:v>
      </x:c>
      <x:c r="D713" s="10" t="str">
        <x:v>keyword</x:v>
      </x:c>
      <x:c r="E713" s="10" t="str">
        <x:v>en</x:v>
      </x:c>
      <x:c r="F713" s="10" t="str">
        <x:v>clothing_shoes_jewelry</x:v>
      </x:c>
      <x:c r="G713" s="15" t="str"/>
      <x:c r="H713" s="15" t="str">
        <x:v>flip_flops</x:v>
      </x:c>
      <x:c r="I713" s="15" t="str">
        <x:v>women</x:v>
      </x:c>
      <x:c r="J713" s="15" t="str">
        <x:v>casual_wear</x:v>
      </x:c>
      <x:c r="K713" s="15" t="str">
        <x:v>lightweight | easy_cleaning</x:v>
      </x:c>
      <x:c r="L713" s="15" t="str"/>
      <x:c r="M713" s="15" t="str"/>
      <x:c r="N713" s="15" t="str"/>
      <x:c r="O713" s="15" t="str"/>
      <x:c r="P713" s="15" t="str"/>
      <x:c r="Q713" s="15" t="str"/>
      <x:c r="R713" s="15" t="str">
        <x:v>女性消费者寻找塑料材质的夹脚拖鞋，关注轻便和易清洁的特性。</x:v>
      </x:c>
      <x:c r="S713" s="10" t="str">
        <x:v>consideration</x:v>
      </x:c>
      <x:c r="T713" s="15" t="str">
        <x:v>explicit | page_validated | inferred</x:v>
      </x:c>
      <x:c r="U713" s="10" t="str">
        <x:v>high</x:v>
      </x:c>
      <x:c r="V713" s="15" t="str">
        <x:v>womens_flip_flops</x:v>
      </x:c>
      <x:c r="W713" s="15" t="str">
        <x:v>cluster_route</x:v>
      </x:c>
      <x:c r="X713" s="15" t="str">
        <x:v>{"product_type":[{"value":"flip_flops","evidence_type":"explicit","source_span":"flip flops","fact_ids":[],"rationale":""},{"value":"flip_flops","evidence_type":"page_validated","source_span":"","fact_ids":["style_flip_flop"],"rationale":"该槽位与商品基准中的明示页面事实一致。"}],"audience_intent":[{"value":"women","evidence_type":"explicit","source_span":"women's","fact_ids":[],"rationale":""},{"value":"women","evidence_type":"page_validated","source_span":"","fact_ids":["title_womens_flip_flop"],"rationale":"该槽位与商品基准中的明示页面事实一致。"}],"material":[{"value":"plastic","evidence_type":"explicit","source_span":"plastic","fact_ids":[],"rationale":""},{"value":"plastic","evidence_type":"page_validated","source_span":"","fact_ids":["material_eva"],"rationale":"EVA属于塑料类材料"}],"function_intent":[{"value":"casual_wear","evidence_type":"inferred","source_span":"","fact_ids":[],"rationale":"夹脚拖鞋用于日常休闲"}],"capability_intent":[{"value":"lightweight","evidence_type":"page_validated","source_span":"","fact_ids":["lightweight_breathable"],"rationale":""},{"value":"easy_cleaning","evidence_type":"page_validated","source_span":"","fact_ids":["easy_clean"],"rationale":""},{"value":"lightweight","evidence_type":"inferred","source_span":"","fact_ids":[],"rationale":"该能力由搜索词表达的任务或问题推断；页面事实仅用于验证商品承接。"}],"latent_task":[{"value":"女性消费者寻找塑料材质的夹脚拖鞋，关注轻便和易清洁的特性。","evidence_type":"inferred","source_span":"","fact_ids":[],"rationale":"塑料材质关联轻便易清洁"}],"primary_domain":[{"value":"clothing_shoes_jewelry","evidence_type":"inferred","source_span":"","fact_ids":[],"rationale":"该值由搜索词整体语义推断，未作为页面明示属性。"}]}</x:v>
      </x:c>
      <x:c r="Y713" s="15" t="str"/>
      <x:c r="Z713" s="10" t="str">
        <x:v>match</x:v>
      </x:c>
      <x:c r="AA713" s="15" t="str">
        <x:v>title_womens_flip_flop | material_eva | style_flip_flop | lightweight_breathable | easy_clean</x:v>
      </x:c>
      <x:c r="AB713" s="10" t="str">
        <x:v>accepted</x:v>
      </x:c>
      <x:c r="AC713" s="10" t="str">
        <x:v>1.0.0</x:v>
      </x:c>
      <x:c r="AD713" s="10" t="str">
        <x:v>1.1.0</x:v>
      </x:c>
      <x:c r="AE713" s="10" t="str">
        <x:v>deepseek/deepseek-v4-pro</x:v>
      </x:c>
      <x:c r="AF713" s="10" t="str">
        <x:v>aj2-y90-20260714T234810-0bea2f52</x:v>
      </x:c>
      <x:c r="AG713" s="10" t="str">
        <x:v>full-0036</x:v>
      </x:c>
      <x:c r="AH713" s="10" t="str">
        <x:v>full</x:v>
      </x:c>
      <x:c r="AI713" s="10" t="n">
        <x:v>36</x:v>
      </x:c>
    </x:row>
    <x:row r="714" ht="34" customHeight="1">
      <x:c r="A714" s="16" t="str">
        <x:v>visit the joomra storejoomra women's arch support flip flops orthopedic plantar fasciitis thong</x:v>
      </x:c>
      <x:c r="B714" s="16" t="str">
        <x:v>visit the joomra storejoomra women's arch support flip flops orthopedic plantar fasciitis thong</x:v>
      </x:c>
      <x:c r="C714" s="13" t="str">
        <x:v>7a6d0b32368d6ddb</x:v>
      </x:c>
      <x:c r="D714" s="13" t="str">
        <x:v>keyword</x:v>
      </x:c>
      <x:c r="E714" s="13" t="str">
        <x:v>en</x:v>
      </x:c>
      <x:c r="F714" s="13" t="str">
        <x:v>clothing_shoes_jewelry</x:v>
      </x:c>
      <x:c r="G714" s="16" t="str"/>
      <x:c r="H714" s="16" t="str">
        <x:v>flip_flops | thong_sandals</x:v>
      </x:c>
      <x:c r="I714" s="16" t="str">
        <x:v>women</x:v>
      </x:c>
      <x:c r="J714" s="16" t="str">
        <x:v>foot_pain_relief</x:v>
      </x:c>
      <x:c r="K714" s="16" t="str">
        <x:v>arch_support | orthopedic_support</x:v>
      </x:c>
      <x:c r="L714" s="16" t="str"/>
      <x:c r="M714" s="16" t="str"/>
      <x:c r="N714" s="16" t="str">
        <x:v>arch_pain | plantar_fasciitis</x:v>
      </x:c>
      <x:c r="O714" s="16" t="str"/>
      <x:c r="P714" s="16" t="str"/>
      <x:c r="Q714" s="16" t="str"/>
      <x:c r="R714" s="16" t="str">
        <x:v>消费者通过品牌名精确搜索Joomra女士足弓支撑夹脚拖鞋，关注其对足底筋膜炎的缓解作用。</x:v>
      </x:c>
      <x:c r="S714" s="13" t="str">
        <x:v>brand_harvest</x:v>
      </x:c>
      <x:c r="T714" s="16" t="str">
        <x:v>explicit | page_validated | inferred</x:v>
      </x:c>
      <x:c r="U714" s="13" t="str">
        <x:v>high</x:v>
      </x:c>
      <x:c r="V714" s="16" t="str">
        <x:v>branded_arch_support_flip_flops</x:v>
      </x:c>
      <x:c r="W714" s="16" t="str">
        <x:v>cluster_route</x:v>
      </x:c>
      <x:c r="X714" s="16" t="str">
        <x:v>{"product_type":[{"value":"flip_flops","evidence_type":"explicit","source_span":"flip flops","fact_ids":[],"rationale":""},{"value":"thong_sandals","evidence_type":"explicit","source_span":"thong","fact_ids":[],"rationale":""},{"value":"flip_flops","evidence_type":"page_validated","source_span":"","fact_ids":["style_flip_flop"],"rationale":"该槽位与商品基准中的明示页面事实一致。"},{"value":"thong_sandals","evidence_type":"page_validated","source_span":"","fact_ids":["style_thong","style_flip_flop"],"rationale":"该槽位与商品基准中的明示页面事实一致。"},{"value":"thong_sandals","evidence_type":"inferred","source_span":"","fact_ids":[],"rationale":"该能力由搜索词表达的任务或问题推断；页面事实仅用于验证商品承接。"}],"audience_intent":[{"value":"women","evidence_type":"explicit","source_span":"women's","fact_ids":[],"rationale":""},{"value":"women","evidence_type":"page_validated","source_span":"","fact_ids":["title_womens_flip_flop"],"rationale":"该槽位与商品基准中的明示页面事实一致。"}],"brand":[{"value":"joomra","evidence_type":"explicit","source_span":"joomra","fact_ids":[],"rationale":"搜索词明确包含品牌名称。"}],"function_intent":[{"value":"foot_pain_relief","evidence_type":"inferred","source_span":"","fact_ids":[],"rationale":"足底筋膜炎搜索暗示缓解需求"}],"capability_intent":[{"value":"arch_support","evidence_type":"explicit","source_span":"arch support","fact_ids":[],"rationale":""},{"value":"arch_support","evidence_type":"page_validated","source_span":"","fact_ids":["arch_support"],"rationale":""},{"value":"orthopedic_support","evidence_type":"explicit","source_span":"orthopedic","fact_ids":[],"rationale":""}],"body_need_intent":[{"value":"arch_pain","evidence_type":"inferred","source_span":"","fact_ids":[],"rationale":"足弓支撑关联足弓不适"},{"value":"plantar_fasciitis","evidence_type":"explicit","source_span":"plantar fasciitis","fact_ids":[],"rationale":""}],"latent_task":[{"value":"消费者通过品牌名精确搜索Joomra女士足弓支撑夹脚拖鞋，关注其对足底筋膜炎的缓解作用。","evidence_type":"inferred","source_span":"","fact_ids":[],"rationale":"品牌词加功能词组合推断高意向"}],"primary_domain":[{"value":"clothing_shoes_jewelry","evidence_type":"inferred","source_span":"","fact_ids":[],"rationale":"该值由搜索词整体语义推断，未作为页面明示属性。"}]}</x:v>
      </x:c>
      <x:c r="Y714" s="16" t="str"/>
      <x:c r="Z714" s="13" t="str">
        <x:v>match</x:v>
      </x:c>
      <x:c r="AA714" s="16" t="str">
        <x:v>title_womens_flip_flop | arch_support | padded_cushioning | style_thong</x:v>
      </x:c>
      <x:c r="AB714" s="13" t="str">
        <x:v>accepted</x:v>
      </x:c>
      <x:c r="AC714" s="13" t="str">
        <x:v>1.0.0</x:v>
      </x:c>
      <x:c r="AD714" s="13" t="str">
        <x:v>1.1.0</x:v>
      </x:c>
      <x:c r="AE714" s="13" t="str">
        <x:v>deepseek/deepseek-v4-pro</x:v>
      </x:c>
      <x:c r="AF714" s="13" t="str">
        <x:v>aj2-y90-20260714T234810-0bea2f52</x:v>
      </x:c>
      <x:c r="AG714" s="13" t="str">
        <x:v>full-0036</x:v>
      </x:c>
      <x:c r="AH714" s="13" t="str">
        <x:v>full</x:v>
      </x:c>
      <x:c r="AI714" s="13" t="n">
        <x:v>36</x:v>
      </x:c>
    </x:row>
    <x:row r="715" ht="34" customHeight="1">
      <x:c r="A715" s="15" t="str">
        <x:v>black orthopedic flip flops</x:v>
      </x:c>
      <x:c r="B715" s="15" t="str">
        <x:v>black orthopedic flip flops</x:v>
      </x:c>
      <x:c r="C715" s="10" t="str">
        <x:v>8bc07beefc4a7012</x:v>
      </x:c>
      <x:c r="D715" s="10" t="str">
        <x:v>keyword</x:v>
      </x:c>
      <x:c r="E715" s="10" t="str">
        <x:v>en</x:v>
      </x:c>
      <x:c r="F715" s="10" t="str">
        <x:v>clothing_shoes_jewelry</x:v>
      </x:c>
      <x:c r="G715" s="15" t="str"/>
      <x:c r="H715" s="15" t="str">
        <x:v>flip_flops</x:v>
      </x:c>
      <x:c r="I715" s="15" t="str"/>
      <x:c r="J715" s="15" t="str">
        <x:v>foot_pain_relief</x:v>
      </x:c>
      <x:c r="K715" s="15" t="str">
        <x:v>orthopedic_support | arch_support</x:v>
      </x:c>
      <x:c r="L715" s="15" t="str"/>
      <x:c r="M715" s="15" t="str"/>
      <x:c r="N715" s="15" t="str">
        <x:v>foot_pain | arch_pain</x:v>
      </x:c>
      <x:c r="O715" s="15" t="str"/>
      <x:c r="P715" s="15" t="str"/>
      <x:c r="Q715" s="15" t="str"/>
      <x:c r="R715" s="15" t="str">
        <x:v>消费者寻找黑色的具有矫形足弓支撑功能的夹脚拖鞋，用于缓解足部疼痛不适。</x:v>
      </x:c>
      <x:c r="S715" s="10" t="str">
        <x:v>consideration</x:v>
      </x:c>
      <x:c r="T715" s="15" t="str">
        <x:v>explicit | page_validated | inferred</x:v>
      </x:c>
      <x:c r="U715" s="10" t="str">
        <x:v>medium</x:v>
      </x:c>
      <x:c r="V715" s="15" t="str">
        <x:v>orthopedic_flip_flops</x:v>
      </x:c>
      <x:c r="W715" s="15" t="str">
        <x:v>listing_gap_review</x:v>
      </x:c>
      <x:c r="X715" s="15" t="str">
        <x:v>{"product_type":[{"value":"flip_flops","evidence_type":"explicit","source_span":"flip flops","fact_ids":[],"rationale":""},{"value":"flip_flops","evidence_type":"page_validated","source_span":"","fact_ids":["style_flip_flop"],"rationale":"该槽位与商品基准中的明示页面事实一致。"}],"color":[{"value":"black","evidence_type":"explicit","source_span":"black","fact_ids":[],"rationale":"该颜色在商品页面可见颜色选择中得到明确支持。"},{"value":"black","evidence_type":"page_validated","source_span":"","fact_ids":["colors_visible"],"rationale":"该颜色在商品页面可见颜色选择中得到明确支持。"}],"function_intent":[{"value":"foot_pain_relief","evidence_type":"inferred","source_span":"","fact_ids":[],"rationale":"orthopedic暗示缓解足部不适"}],"capability_intent":[{"value":"orthopedic_support","evidence_type":"explicit","source_span":"orthopedic","fact_ids":[],"rationale":""},{"value":"arch_support","evidence_type":"page_validated","source_span":"","fact_ids":["arch_support"],"rationale":""},{"value":"arch_support","evidence_type":"inferred","source_span":"","fact_ids":[],"rationale":"该能力由搜索词表达的任务或问题推断；页面事实仅用于验证商品承接。"}],"body_need_intent":[{"value":"foot_pain","evidence_type":"inferred","source_span":"","fact_ids":[],"rationale":"矫形鞋通常用于足部问题"},{"value":"arch_pain","evidence_type":"inferred","source_span":"","fact_ids":[],"rationale":"足弓支撑关联足弓疼痛需求"}],"latent_task":[{"value":"消费者寻找黑色的具有矫形足弓支撑功能的夹脚拖鞋，用于缓解足部疼痛不适。","evidence_type":"inferred","source_span":"","fact_ids":[],"rationale":"综合颜色和功能需求推断"}],"primary_domain":[{"value":"clothing_shoes_jewelry","evidence_type":"inferred","source_span":"","fact_ids":[],"rationale":"该值由搜索词整体语义推断，未作为页面明示属性。"}]}</x:v>
      </x:c>
      <x:c r="Y715" s="15" t="str"/>
      <x:c r="Z715" s="10" t="str">
        <x:v>partial_match</x:v>
      </x:c>
      <x:c r="AA715" s="15" t="str">
        <x:v>arch_support | padded_cushioning | colors_visible</x:v>
      </x:c>
      <x:c r="AB715" s="10" t="str">
        <x:v>accepted</x:v>
      </x:c>
      <x:c r="AC715" s="10" t="str">
        <x:v>1.0.0</x:v>
      </x:c>
      <x:c r="AD715" s="10" t="str">
        <x:v>1.1.0</x:v>
      </x:c>
      <x:c r="AE715" s="10" t="str">
        <x:v>deepseek/deepseek-v4-pro</x:v>
      </x:c>
      <x:c r="AF715" s="10" t="str">
        <x:v>aj2-y90-20260714T234810-0bea2f52</x:v>
      </x:c>
      <x:c r="AG715" s="10" t="str">
        <x:v>full-0036</x:v>
      </x:c>
      <x:c r="AH715" s="10" t="str">
        <x:v>full</x:v>
      </x:c>
      <x:c r="AI715" s="10" t="n">
        <x:v>36</x:v>
      </x:c>
    </x:row>
    <x:row r="716" ht="34" customHeight="1">
      <x:c r="A716" s="16" t="str">
        <x:v>womens flip flops black</x:v>
      </x:c>
      <x:c r="B716" s="16" t="str">
        <x:v>womens flip flops black</x:v>
      </x:c>
      <x:c r="C716" s="13" t="str">
        <x:v>94ff32a91b8672b0</x:v>
      </x:c>
      <x:c r="D716" s="13" t="str">
        <x:v>keyword</x:v>
      </x:c>
      <x:c r="E716" s="13" t="str">
        <x:v>en</x:v>
      </x:c>
      <x:c r="F716" s="13" t="str">
        <x:v>clothing_shoes_jewelry</x:v>
      </x:c>
      <x:c r="G716" s="16" t="str"/>
      <x:c r="H716" s="16" t="str">
        <x:v>flip_flops</x:v>
      </x:c>
      <x:c r="I716" s="16" t="str">
        <x:v>women</x:v>
      </x:c>
      <x:c r="J716" s="16" t="str">
        <x:v>casual_wear</x:v>
      </x:c>
      <x:c r="K716" s="16" t="str"/>
      <x:c r="L716" s="16" t="str"/>
      <x:c r="M716" s="16" t="str"/>
      <x:c r="N716" s="16" t="str"/>
      <x:c r="O716" s="16" t="str"/>
      <x:c r="P716" s="16" t="str"/>
      <x:c r="Q716" s="16" t="str"/>
      <x:c r="R716" s="16" t="str">
        <x:v>女性消费者明确寻找黑色夹脚拖鞋，颜色偏好清晰。</x:v>
      </x:c>
      <x:c r="S716" s="13" t="str">
        <x:v>high_intent</x:v>
      </x:c>
      <x:c r="T716" s="16" t="str">
        <x:v>explicit | page_validated | inferred</x:v>
      </x:c>
      <x:c r="U716" s="13" t="str">
        <x:v>high</x:v>
      </x:c>
      <x:c r="V716" s="16" t="str">
        <x:v>womens_color_flip_flops</x:v>
      </x:c>
      <x:c r="W716" s="16" t="str">
        <x:v>cluster_route</x:v>
      </x:c>
      <x:c r="X716" s="16" t="str">
        <x:v>{"product_type":[{"value":"flip_flops","evidence_type":"explicit","source_span":"flip flops","fact_ids":[],"rationale":""},{"value":"flip_flops","evidence_type":"page_validated","source_span":"","fact_ids":["style_flip_flop"],"rationale":"该槽位与商品基准中的明示页面事实一致。"}],"audience_intent":[{"value":"women","evidence_type":"explicit","source_span":"womens","fact_ids":[],"rationale":""},{"value":"women","evidence_type":"page_validated","source_span":"","fact_ids":["title_womens_flip_flop"],"rationale":"该槽位与商品基准中的明示页面事实一致。"}],"color":[{"value":"black","evidence_type":"explicit","source_span":"black","fact_ids":[],"rationale":"该颜色在商品页面可见颜色选择中得到明确支持。"},{"value":"black","evidence_type":"page_validated","source_span":"","fact_ids":["colors_visible"],"rationale":"该颜色在商品页面可见颜色选择中得到明确支持。"}],"function_intent":[{"value":"casual_wear","evidence_type":"inferred","source_span":"","fact_ids":[],"rationale":"夹脚拖鞋基本用途"}],"latent_task":[{"value":"女性消费者明确寻找黑色夹脚拖鞋，颜色偏好清晰。","evidence_type":"inferred","source_span":"","fact_ids":[],"rationale":"颜色加受众组合表明明确需求"}],"primary_domain":[{"value":"clothing_shoes_jewelry","evidence_type":"inferred","source_span":"","fact_ids":[],"rationale":"该值由搜索词整体语义推断，未作为页面明示属性。"}]}</x:v>
      </x:c>
      <x:c r="Y716" s="16" t="str"/>
      <x:c r="Z716" s="13" t="str">
        <x:v>match</x:v>
      </x:c>
      <x:c r="AA716" s="16" t="str">
        <x:v>title_womens_flip_flop | style_flip_flop | colors_visible</x:v>
      </x:c>
      <x:c r="AB716" s="13" t="str">
        <x:v>accepted</x:v>
      </x:c>
      <x:c r="AC716" s="13" t="str">
        <x:v>1.0.0</x:v>
      </x:c>
      <x:c r="AD716" s="13" t="str">
        <x:v>1.1.0</x:v>
      </x:c>
      <x:c r="AE716" s="13" t="str">
        <x:v>deepseek/deepseek-v4-pro</x:v>
      </x:c>
      <x:c r="AF716" s="13" t="str">
        <x:v>aj2-y90-20260714T234810-0bea2f52</x:v>
      </x:c>
      <x:c r="AG716" s="13" t="str">
        <x:v>full-0036</x:v>
      </x:c>
      <x:c r="AH716" s="13" t="str">
        <x:v>full</x:v>
      </x:c>
      <x:c r="AI716" s="13" t="n">
        <x:v>36</x:v>
      </x:c>
    </x:row>
    <x:row r="717" ht="34" customHeight="1">
      <x:c r="A717" s="15" t="str">
        <x:v>black flip flop arch support women</x:v>
      </x:c>
      <x:c r="B717" s="15" t="str">
        <x:v>black flip flop arch support women</x:v>
      </x:c>
      <x:c r="C717" s="10" t="str">
        <x:v>9f68d744e89b6706</x:v>
      </x:c>
      <x:c r="D717" s="10" t="str">
        <x:v>keyword</x:v>
      </x:c>
      <x:c r="E717" s="10" t="str">
        <x:v>en</x:v>
      </x:c>
      <x:c r="F717" s="10" t="str">
        <x:v>clothing_shoes_jewelry</x:v>
      </x:c>
      <x:c r="G717" s="15" t="str"/>
      <x:c r="H717" s="15" t="str">
        <x:v>flip_flops</x:v>
      </x:c>
      <x:c r="I717" s="15" t="str">
        <x:v>women</x:v>
      </x:c>
      <x:c r="J717" s="15" t="str">
        <x:v>foot_comfort</x:v>
      </x:c>
      <x:c r="K717" s="15" t="str">
        <x:v>arch_support</x:v>
      </x:c>
      <x:c r="L717" s="15" t="str"/>
      <x:c r="M717" s="15" t="str"/>
      <x:c r="N717" s="15" t="str">
        <x:v>arch_pain</x:v>
      </x:c>
      <x:c r="O717" s="15" t="str"/>
      <x:c r="P717" s="15" t="str"/>
      <x:c r="Q717" s="15" t="str"/>
      <x:c r="R717" s="15" t="str">
        <x:v>女性消费者明确寻找黑色且具有足弓支撑功能的夹脚拖鞋，兼顾颜色与功能性。</x:v>
      </x:c>
      <x:c r="S717" s="10" t="str">
        <x:v>high_intent</x:v>
      </x:c>
      <x:c r="T717" s="15" t="str">
        <x:v>explicit | page_validated | inferred</x:v>
      </x:c>
      <x:c r="U717" s="10" t="str">
        <x:v>high</x:v>
      </x:c>
      <x:c r="V717" s="15" t="str">
        <x:v>arch_support_flip_flops</x:v>
      </x:c>
      <x:c r="W717" s="15" t="str">
        <x:v>cluster_route</x:v>
      </x:c>
      <x:c r="X717" s="15" t="str">
        <x:v>{"product_type":[{"value":"flip_flops","evidence_type":"explicit","source_span":"flip flop","fact_ids":[],"rationale":""},{"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audience_intent":[{"value":"women","evidence_type":"explicit","source_span":"women","fact_ids":[],"rationale":""},{"value":"women","evidence_type":"page_validated","source_span":"","fact_ids":["title_womens_flip_flop"],"rationale":"该槽位与商品基准中的明示页面事实一致。"}],"color":[{"value":"black","evidence_type":"explicit","source_span":"black","fact_ids":[],"rationale":"该颜色在商品页面可见颜色选择中得到明确支持。"},{"value":"black","evidence_type":"page_validated","source_span":"","fact_ids":["colors_visible"],"rationale":"该颜色在商品页面可见颜色选择中得到明确支持。"}],"function_intent":[{"value":"foot_comfort","evidence_type":"inferred","source_span":"","fact_ids":[],"rationale":"足弓支撑服务于足部舒适"},{"value":"foot_comfort","evidence_type":"page_validated","source_span":"","fact_ids":["arch_support","padded_cushioning"],"rationale":"该槽位与商品基准中的明示页面事实一致。"}],"capability_intent":[{"value":"arch_support","evidence_type":"explicit","source_span":"arch support","fact_ids":[],"rationale":""},{"value":"arch_support","evidence_type":"page_validated","source_span":"","fact_ids":["arch_support"],"rationale":""}],"body_need_intent":[{"value":"arch_pain","evidence_type":"inferred","source_span":"","fact_ids":[],"rationale":"足弓支撑需求暗示足弓不适"}],"latent_task":[{"value":"女性消费者明确寻找黑色且具有足弓支撑功能的夹脚拖鞋，兼顾颜色与功能性。","evidence_type":"inferred","source_span":"","fact_ids":[],"rationale":"颜色和功能双重约束表明明确需求"}],"primary_domain":[{"value":"clothing_shoes_jewelry","evidence_type":"inferred","source_span":"","fact_ids":[],"rationale":"该值由搜索词整体语义推断，未作为页面明示属性。"}]}</x:v>
      </x:c>
      <x:c r="Y717" s="15" t="str"/>
      <x:c r="Z717" s="10" t="str">
        <x:v>match</x:v>
      </x:c>
      <x:c r="AA717" s="15" t="str">
        <x:v>title_womens_flip_flop | style_flip_flop | arch_support | colors_visible</x:v>
      </x:c>
      <x:c r="AB717" s="10" t="str">
        <x:v>accepted</x:v>
      </x:c>
      <x:c r="AC717" s="10" t="str">
        <x:v>1.0.0</x:v>
      </x:c>
      <x:c r="AD717" s="10" t="str">
        <x:v>1.1.0</x:v>
      </x:c>
      <x:c r="AE717" s="10" t="str">
        <x:v>deepseek/deepseek-v4-pro</x:v>
      </x:c>
      <x:c r="AF717" s="10" t="str">
        <x:v>aj2-y90-20260714T234810-0bea2f52</x:v>
      </x:c>
      <x:c r="AG717" s="10" t="str">
        <x:v>full-0036</x:v>
      </x:c>
      <x:c r="AH717" s="10" t="str">
        <x:v>full</x:v>
      </x:c>
      <x:c r="AI717" s="10" t="n">
        <x:v>36</x:v>
      </x:c>
    </x:row>
    <x:row r="718" ht="34" customHeight="1">
      <x:c r="A718" s="16" t="str">
        <x:v>blue sandals $10</x:v>
      </x:c>
      <x:c r="B718" s="16" t="str">
        <x:v>blue sandals $10</x:v>
      </x:c>
      <x:c r="C718" s="13" t="str">
        <x:v>ce719da2a45447d3</x:v>
      </x:c>
      <x:c r="D718" s="13" t="str">
        <x:v>keyword</x:v>
      </x:c>
      <x:c r="E718" s="13" t="str">
        <x:v>en</x:v>
      </x:c>
      <x:c r="F718" s="13" t="str">
        <x:v>clothing_shoes_jewelry</x:v>
      </x:c>
      <x:c r="G718" s="16" t="str"/>
      <x:c r="H718" s="16" t="str">
        <x:v>sandals</x:v>
      </x:c>
      <x:c r="I718" s="16" t="str"/>
      <x:c r="J718" s="16" t="str">
        <x:v>casual_wear</x:v>
      </x:c>
      <x:c r="K718" s="16" t="str"/>
      <x:c r="L718" s="16" t="str"/>
      <x:c r="M718" s="16" t="str"/>
      <x:c r="N718" s="16" t="str"/>
      <x:c r="O718" s="16" t="str"/>
      <x:c r="P718" s="16" t="str"/>
      <x:c r="Q718" s="16" t="str"/>
      <x:c r="R718" s="16" t="str">
        <x:v>消费者寻找蓝色凉鞋且预算约为10美元，价格敏感度较高。</x:v>
      </x:c>
      <x:c r="S718" s="13" t="str">
        <x:v>high_intent</x:v>
      </x:c>
      <x:c r="T718" s="16" t="str">
        <x:v>explicit | inferred</x:v>
      </x:c>
      <x:c r="U718" s="13" t="str">
        <x:v>medium</x:v>
      </x:c>
      <x:c r="V718" s="16" t="str">
        <x:v>budget_sandals</x:v>
      </x:c>
      <x:c r="W718" s="16" t="str">
        <x:v>listing_gap_review</x:v>
      </x:c>
      <x:c r="X718" s="16" t="str">
        <x:v>{"product_type":[{"value":"sandals","evidence_type":"explicit","source_span":"sandals","fact_ids":[],"rationale":""},{"value":"sandals","evidence_type":"page_validated","source_span":"","fact_ids":["title_womens_flip_flop"],"rationale":"该槽位与商品基准中的明示页面事实一致。"}],"color":[{"value":"blue","evidence_type":"explicit","source_span":"blue","fact_ids":[],"rationale":""}],"function_intent":[{"value":"casual_wear","evidence_type":"inferred","source_span":"","fact_ids":[],"rationale":"凉鞋用于日常穿着"}],"latent_task":[{"value":"消费者寻找蓝色凉鞋且预算约为10美元，价格敏感度较高。","evidence_type":"inferred","source_span":"","fact_ids":[],"rationale":"颜色和价格双重约束推断预算导向"}],"primary_domain":[{"value":"clothing_shoes_jewelry","evidence_type":"inferred","source_span":"","fact_ids":[],"rationale":"该值由搜索词整体语义推断，未作为页面明示属性。"}]}</x:v>
      </x:c>
      <x:c r="Y718" s="16" t="str">
        <x:v>price_filter_unverifiable</x:v>
      </x:c>
      <x:c r="Z718" s="13" t="str">
        <x:v>partial_match</x:v>
      </x:c>
      <x:c r="AA718" s="16" t="str">
        <x:v>style_flip_flop | style_open_toe</x:v>
      </x:c>
      <x:c r="AB718" s="13" t="str">
        <x:v>accepted</x:v>
      </x:c>
      <x:c r="AC718" s="13" t="str">
        <x:v>1.0.0</x:v>
      </x:c>
      <x:c r="AD718" s="13" t="str">
        <x:v>1.1.0</x:v>
      </x:c>
      <x:c r="AE718" s="13" t="str">
        <x:v>deepseek/deepseek-v4-pro</x:v>
      </x:c>
      <x:c r="AF718" s="13" t="str">
        <x:v>aj2-y90-20260714T234810-0bea2f52</x:v>
      </x:c>
      <x:c r="AG718" s="13" t="str">
        <x:v>full-0036</x:v>
      </x:c>
      <x:c r="AH718" s="13" t="str">
        <x:v>full</x:v>
      </x:c>
      <x:c r="AI718" s="13" t="n">
        <x:v>36</x:v>
      </x:c>
    </x:row>
    <x:row r="719" ht="34" customHeight="1">
      <x:c r="A719" s="15" t="str">
        <x:v>beige flip flops</x:v>
      </x:c>
      <x:c r="B719" s="15" t="str">
        <x:v>beige flip flops</x:v>
      </x:c>
      <x:c r="C719" s="10" t="str">
        <x:v>e30c92a0501a0489</x:v>
      </x:c>
      <x:c r="D719" s="10" t="str">
        <x:v>keyword</x:v>
      </x:c>
      <x:c r="E719" s="10" t="str">
        <x:v>en</x:v>
      </x:c>
      <x:c r="F719" s="10" t="str">
        <x:v>clothing_shoes_jewelry</x:v>
      </x:c>
      <x:c r="G719" s="15" t="str"/>
      <x:c r="H719" s="15" t="str">
        <x:v>flip_flops</x:v>
      </x:c>
      <x:c r="I719" s="15" t="str"/>
      <x:c r="J719" s="15" t="str">
        <x:v>casual_wear</x:v>
      </x:c>
      <x:c r="K719" s="15" t="str"/>
      <x:c r="L719" s="15" t="str"/>
      <x:c r="M719" s="15" t="str"/>
      <x:c r="N719" s="15" t="str"/>
      <x:c r="O719" s="15" t="str"/>
      <x:c r="P719" s="15" t="str"/>
      <x:c r="Q719" s="15" t="str"/>
      <x:c r="R719" s="15" t="str">
        <x:v>消费者寻找米色/裸色系的夹脚拖鞋，关注特定颜色选择。</x:v>
      </x:c>
      <x:c r="S719" s="10" t="str">
        <x:v>consideration</x:v>
      </x:c>
      <x:c r="T719" s="15" t="str">
        <x:v>explicit | inferred</x:v>
      </x:c>
      <x:c r="U719" s="10" t="str">
        <x:v>medium</x:v>
      </x:c>
      <x:c r="V719" s="15" t="str">
        <x:v>color_specific_flip_flops</x:v>
      </x:c>
      <x:c r="W719" s="15" t="str">
        <x:v>listing_gap_review</x:v>
      </x:c>
      <x:c r="X719" s="15" t="str">
        <x:v>{"product_type":[{"value":"flip_flops","evidence_type":"explicit","source_span":"flip flops","fact_ids":[],"rationale":""},{"value":"flip_flops","evidence_type":"page_validated","source_span":"","fact_ids":["style_flip_flop"],"rationale":"该槽位与商品基准中的明示页面事实一致。"}],"color":[{"value":"beige","evidence_type":"explicit","source_span":"beige","fact_ids":[],"rationale":""}],"function_intent":[{"value":"casual_wear","evidence_type":"inferred","source_span":"","fact_ids":[],"rationale":"夹脚拖鞋基本用途"}],"latent_task":[{"value":"消费者寻找米色/裸色系的夹脚拖鞋，关注特定颜色选择。","evidence_type":"inferred","source_span":"","fact_ids":[],"rationale":"米色颜色偏好驱动搜索"}],"primary_domain":[{"value":"clothing_shoes_jewelry","evidence_type":"inferred","source_span":"","fact_ids":[],"rationale":"该值由搜索词整体语义推断，未作为页面明示属性。"}]}</x:v>
      </x:c>
      <x:c r="Y719" s="15" t="str"/>
      <x:c r="Z719" s="10" t="str">
        <x:v>partial_match</x:v>
      </x:c>
      <x:c r="AA719" s="15" t="str">
        <x:v>style_flip_flop</x:v>
      </x:c>
      <x:c r="AB719" s="10" t="str">
        <x:v>accepted</x:v>
      </x:c>
      <x:c r="AC719" s="10" t="str">
        <x:v>1.0.0</x:v>
      </x:c>
      <x:c r="AD719" s="10" t="str">
        <x:v>1.1.0</x:v>
      </x:c>
      <x:c r="AE719" s="10" t="str">
        <x:v>deepseek/deepseek-v4-pro</x:v>
      </x:c>
      <x:c r="AF719" s="10" t="str">
        <x:v>aj2-y90-20260714T234810-0bea2f52</x:v>
      </x:c>
      <x:c r="AG719" s="10" t="str">
        <x:v>full-0036</x:v>
      </x:c>
      <x:c r="AH719" s="10" t="str">
        <x:v>full</x:v>
      </x:c>
      <x:c r="AI719" s="10" t="n">
        <x:v>36</x:v>
      </x:c>
    </x:row>
    <x:row r="720" ht="34" customHeight="1">
      <x:c r="A720" s="16" t="str">
        <x:v>completely rubber flip flips for women</x:v>
      </x:c>
      <x:c r="B720" s="16" t="str">
        <x:v>completely rubber flip flips for women</x:v>
      </x:c>
      <x:c r="C720" s="13" t="str">
        <x:v>e62c04e060fc452e</x:v>
      </x:c>
      <x:c r="D720" s="13" t="str">
        <x:v>keyword</x:v>
      </x:c>
      <x:c r="E720" s="13" t="str">
        <x:v>en</x:v>
      </x:c>
      <x:c r="F720" s="13" t="str">
        <x:v>clothing_shoes_jewelry</x:v>
      </x:c>
      <x:c r="G720" s="16" t="str"/>
      <x:c r="H720" s="16" t="str">
        <x:v>flip_flops</x:v>
      </x:c>
      <x:c r="I720" s="16" t="str">
        <x:v>women</x:v>
      </x:c>
      <x:c r="J720" s="16" t="str">
        <x:v>water_friendly_use</x:v>
      </x:c>
      <x:c r="K720" s="16" t="str">
        <x:v>rubber_material</x:v>
      </x:c>
      <x:c r="L720" s="16" t="str"/>
      <x:c r="M720" s="16" t="str"/>
      <x:c r="N720" s="16" t="str"/>
      <x:c r="O720" s="16" t="str"/>
      <x:c r="P720" s="16" t="str"/>
      <x:c r="Q720" s="16" t="str"/>
      <x:c r="R720" s="16" t="str">
        <x:v>女性消费者明确要求全橡胶材质的夹脚拖鞋，可能用于涉水或潮湿环境使用。</x:v>
      </x:c>
      <x:c r="S720" s="13" t="str">
        <x:v>consideration</x:v>
      </x:c>
      <x:c r="T720" s="16" t="str">
        <x:v>explicit | inferred</x:v>
      </x:c>
      <x:c r="U720" s="13" t="str">
        <x:v>high</x:v>
      </x:c>
      <x:c r="V720" s="16" t="str">
        <x:v>competitor_material_flip_flops</x:v>
      </x:c>
      <x:c r="W720" s="16" t="str">
        <x:v>semantic_negative_candidate</x:v>
      </x:c>
      <x:c r="X720" s="16" t="str">
        <x:v>{"product_type":[{"value":"flip_flops","evidence_type":"explicit","source_span":"flip flips","fact_ids":[],"rationale":""},{"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audience_intent":[{"value":"women","evidence_type":"explicit","source_span":"women","fact_ids":[],"rationale":""},{"value":"women","evidence_type":"page_validated","source_span":"","fact_ids":["title_womens_flip_flop"],"rationale":"该槽位与商品基准中的明示页面事实一致。"}],"material":[{"value":"rubber","evidence_type":"explicit","source_span":"completely rubber","fact_ids":[],"rationale":""}],"function_intent":[{"value":"water_friendly_use","evidence_type":"inferred","source_span":"","fact_ids":[],"rationale":"橡胶材质常用于涉水场景"}],"capability_intent":[{"value":"rubber_material","evidence_type":"explicit","source_span":"completely rubber","fact_ids":[],"rationale":""}],"latent_task":[{"value":"女性消费者明确要求全橡胶材质的夹脚拖鞋，可能用于涉水或潮湿环境使用。","evidence_type":"inferred","source_span":"","fact_ids":[],"rationale":"全橡胶材质暗示防水需求"}],"primary_domain":[{"value":"clothing_shoes_jewelry","evidence_type":"inferred","source_span":"","fact_ids":[],"rationale":"该值由搜索词整体语义推断，未作为页面明示属性。"}]}</x:v>
      </x:c>
      <x:c r="Y720" s="16" t="str"/>
      <x:c r="Z720" s="13" t="str">
        <x:v>mismatch</x:v>
      </x:c>
      <x:c r="AA720" s="16" t="str">
        <x:v>material_eva</x:v>
      </x:c>
      <x:c r="AB720" s="13" t="str">
        <x:v>accepted</x:v>
      </x:c>
      <x:c r="AC720" s="13" t="str">
        <x:v>1.0.0</x:v>
      </x:c>
      <x:c r="AD720" s="13" t="str">
        <x:v>1.1.0</x:v>
      </x:c>
      <x:c r="AE720" s="13" t="str">
        <x:v>deepseek/deepseek-v4-pro</x:v>
      </x:c>
      <x:c r="AF720" s="13" t="str">
        <x:v>aj2-y90-20260714T234810-0bea2f52</x:v>
      </x:c>
      <x:c r="AG720" s="13" t="str">
        <x:v>full-0036</x:v>
      </x:c>
      <x:c r="AH720" s="13" t="str">
        <x:v>full</x:v>
      </x:c>
      <x:c r="AI720" s="13" t="n">
        <x:v>36</x:v>
      </x:c>
    </x:row>
    <x:row r="721" ht="34" customHeight="1">
      <x:c r="A721" s="15" t="str">
        <x:v>hawaiian flip flops women</x:v>
      </x:c>
      <x:c r="B721" s="15" t="str">
        <x:v>hawaiian flip flops women</x:v>
      </x:c>
      <x:c r="C721" s="10" t="str">
        <x:v>f4be5ab44cc3e0b8</x:v>
      </x:c>
      <x:c r="D721" s="10" t="str">
        <x:v>keyword</x:v>
      </x:c>
      <x:c r="E721" s="10" t="str">
        <x:v>en</x:v>
      </x:c>
      <x:c r="F721" s="10" t="str">
        <x:v>clothing_shoes_jewelry</x:v>
      </x:c>
      <x:c r="G721" s="15" t="str">
        <x:v>sports_outdoors</x:v>
      </x:c>
      <x:c r="H721" s="15" t="str">
        <x:v>flip_flops</x:v>
      </x:c>
      <x:c r="I721" s="15" t="str">
        <x:v>women</x:v>
      </x:c>
      <x:c r="J721" s="15" t="str">
        <x:v>casual_wear</x:v>
      </x:c>
      <x:c r="K721" s="15" t="str"/>
      <x:c r="L721" s="15" t="str">
        <x:v>vacation | beach_outing</x:v>
      </x:c>
      <x:c r="M721" s="15" t="str">
        <x:v>beach</x:v>
      </x:c>
      <x:c r="N721" s="15" t="str"/>
      <x:c r="O721" s="15" t="str"/>
      <x:c r="P721" s="15" t="str"/>
      <x:c r="Q721" s="15" t="str"/>
      <x:c r="R721" s="15" t="str">
        <x:v>女性消费者寻找具有夏威夷风格的夹脚拖鞋，用于度假或海滩休闲穿着。</x:v>
      </x:c>
      <x:c r="S721" s="10" t="str">
        <x:v>consideration</x:v>
      </x:c>
      <x:c r="T721" s="15" t="str">
        <x:v>explicit | page_validated | inferred</x:v>
      </x:c>
      <x:c r="U721" s="10" t="str">
        <x:v>medium</x:v>
      </x:c>
      <x:c r="V721" s="15" t="str">
        <x:v>womens_flip_flops</x:v>
      </x:c>
      <x:c r="W721" s="15" t="str">
        <x:v>listing_gap_review</x:v>
      </x:c>
      <x:c r="X721" s="15" t="str">
        <x:v>{"product_type":[{"value":"flip_flops","evidence_type":"explicit","source_span":"flip flops","fact_ids":[],"rationale":""},{"value":"flip_flops","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function_intent":[{"value":"casual_wear","evidence_type":"inferred","source_span":"","fact_ids":[],"rationale":"夹脚拖鞋通常用于日常休闲"}],"event_intent":[{"value":"vacation","evidence_type":"inferred","source_span":"","fact_ids":[],"rationale":"夏威夷风格关联度假场景"},{"value":"beach_outing","evidence_type":"inferred","source_span":"","fact_ids":[],"rationale":"夏威夷风格暗示海滩活动"}],"location_intent":[{"value":"beach","evidence_type":"inferred","source_span":"","fact_ids":[],"rationale":"夏威夷风格暗示海滩环境"}],"latent_task":[{"value":"女性消费者寻找具有夏威夷风格的夹脚拖鞋，用于度假或海滩休闲穿着。","evidence_type":"inferred","source_span":"","fact_ids":[],"rationale":"综合搜索词各元素推断"}],"primary_domain":[{"value":"clothing_shoes_jewelry","evidence_type":"inferred","source_span":"","fact_ids":[],"rationale":"该值由搜索词整体语义推断，未作为页面明示属性。"}],"secondary_domain":[{"value":"sports_outdoors","evidence_type":"inferred","source_span":"","fact_ids":[],"rationale":"该值由搜索词整体语义推断，未作为页面明示属性。"}]}</x:v>
      </x:c>
      <x:c r="Y721" s="15" t="str"/>
      <x:c r="Z721" s="10" t="str">
        <x:v>partial_match</x:v>
      </x:c>
      <x:c r="AA721" s="15" t="str">
        <x:v>title_womens_flip_flop | style_flip_flop</x:v>
      </x:c>
      <x:c r="AB721" s="10" t="str">
        <x:v>accepted</x:v>
      </x:c>
      <x:c r="AC721" s="10" t="str">
        <x:v>1.0.0</x:v>
      </x:c>
      <x:c r="AD721" s="10" t="str">
        <x:v>1.1.0</x:v>
      </x:c>
      <x:c r="AE721" s="10" t="str">
        <x:v>deepseek/deepseek-v4-pro</x:v>
      </x:c>
      <x:c r="AF721" s="10" t="str">
        <x:v>aj2-y90-20260714T234810-0bea2f52</x:v>
      </x:c>
      <x:c r="AG721" s="10" t="str">
        <x:v>full-0036</x:v>
      </x:c>
      <x:c r="AH721" s="10" t="str">
        <x:v>full</x:v>
      </x:c>
      <x:c r="AI721" s="10" t="n">
        <x:v>36</x:v>
      </x:c>
    </x:row>
    <x:row r="722" ht="34" customHeight="1">
      <x:c r="A722" s="16" t="str">
        <x:v>pool flip flops nonslip high arch</x:v>
      </x:c>
      <x:c r="B722" s="16" t="str">
        <x:v>pool flip flops nonslip high arch</x:v>
      </x:c>
      <x:c r="C722" s="13" t="str">
        <x:v>2fb6ce2ecd920df6</x:v>
      </x:c>
      <x:c r="D722" s="13" t="str">
        <x:v>keyword</x:v>
      </x:c>
      <x:c r="E722" s="13" t="str">
        <x:v>en</x:v>
      </x:c>
      <x:c r="F722" s="13" t="str">
        <x:v>clothing_shoes_jewelry</x:v>
      </x:c>
      <x:c r="G722" s="16" t="str">
        <x:v>sports_outdoors</x:v>
      </x:c>
      <x:c r="H722" s="16" t="str">
        <x:v>flip_flops</x:v>
      </x:c>
      <x:c r="I722" s="16" t="str"/>
      <x:c r="J722" s="16" t="str">
        <x:v>high_arch_support</x:v>
      </x:c>
      <x:c r="K722" s="16" t="str">
        <x:v>slip_resistant</x:v>
      </x:c>
      <x:c r="L722" s="16" t="str">
        <x:v>pool_activities</x:v>
      </x:c>
      <x:c r="M722" s="16" t="str">
        <x:v>pool</x:v>
      </x:c>
      <x:c r="N722" s="16" t="str">
        <x:v>high_arch</x:v>
      </x:c>
      <x:c r="O722" s="16" t="str"/>
      <x:c r="P722" s="16" t="str"/>
      <x:c r="Q722" s="16" t="str"/>
      <x:c r="R722" s="16" t="str">
        <x:v>用户寻找泳池使用的防滑高足弓夹脚拖鞋。</x:v>
      </x:c>
      <x:c r="S722" s="13" t="str">
        <x:v>consideration</x:v>
      </x:c>
      <x:c r="T722" s="16" t="str">
        <x:v>explicit | page_validated</x:v>
      </x:c>
      <x:c r="U722" s="13" t="str">
        <x:v>medium</x:v>
      </x:c>
      <x:c r="V722" s="16" t="str">
        <x:v>pool_nonslip_high_arch_flip_flop</x:v>
      </x:c>
      <x:c r="W722" s="16" t="str">
        <x:v>listing_gap_review</x:v>
      </x:c>
      <x:c r="X722" s="16" t="str">
        <x:v>{"product_type":[{"value":"flip_flops","evidence_type":"explicit","source_span":"flip flops","fact_ids":[],"rationale":"搜索词直接指定flip flops。"},{"value":"flip_flops","evidence_type":"page_validated","source_span":"","fact_ids":["style_flip_flop"],"rationale":"产品为夹脚拖鞋。"}],"function_intent":[{"value":"high_arch_support","evidence_type":"explicit","source_span":"high arch","fact_ids":[],"rationale":"搜索词要求高足弓支撑。"},{"value":"high_arch_support","evidence_type":"page_validated","source_span":"","fact_ids":["arch_support"],"rationale":"产品具备人体工学足弓支撑可适配高足弓。"}],"capability_intent":[{"value":"slip_resistant","evidence_type":"explicit","source_span":"nonslip","fact_ids":[],"rationale":"搜索词明确要求防滑。"},{"value":"slip_resistant","evidence_type":"page_validated","source_span":"","fact_ids":["slip_resistant_grip"],"rationale":"产品防滑格纹外底提供抓地力。"},{"value":"slip_resistant","evidence_type":"inferred","source_span":"","fact_ids":[],"rationale":"该能力由搜索词表达的任务或问题推断；页面事实仅用于验证商品承接。"}],"location_intent":[{"value":"pool","evidence_type":"explicit","source_span":"pool","fact_ids":[],"rationale":"搜索词指定泳池场景。"}],"event_intent":[{"value":"pool_activities","evidence_type":"inferred","source_span":"pool","fact_ids":[],"rationale":"泳池场景关联游泳或休闲活动。"}],"body_need_intent":[{"value":"high_arch","evidence_type":"explicit","source_span":"high arch","fact_ids":[],"rationale":"高足弓为特定足部形态需求。"}],"primary_domain":[{"value":"clothing_shoes_jewelry","evidence_type":"inferred","source_span":"","fact_ids":[],"rationale":"该值由搜索词整体语义推断，未作为页面明示属性。"}],"secondary_domain":[{"value":"sports_outdoors","evidence_type":"inferred","source_span":"","fact_ids":[],"rationale":"该值由搜索词整体语义推断，未作为页面明示属性。"}]}</x:v>
      </x:c>
      <x:c r="Y722" s="16" t="str"/>
      <x:c r="Z722" s="13" t="str">
        <x:v>partial_match</x:v>
      </x:c>
      <x:c r="AA722" s="16" t="str">
        <x:v>style_flip_flop | slip_resistant_grip | arch_support</x:v>
      </x:c>
      <x:c r="AB722" s="13" t="str">
        <x:v>accepted</x:v>
      </x:c>
      <x:c r="AC722" s="13" t="str">
        <x:v>1.0.0</x:v>
      </x:c>
      <x:c r="AD722" s="13" t="str">
        <x:v>1.1.0</x:v>
      </x:c>
      <x:c r="AE722" s="13" t="str">
        <x:v>deepseek/deepseek-v4-pro</x:v>
      </x:c>
      <x:c r="AF722" s="13" t="str">
        <x:v>aj2-y90-20260714T234810-0bea2f52</x:v>
      </x:c>
      <x:c r="AG722" s="13" t="str">
        <x:v>full-0037</x:v>
      </x:c>
      <x:c r="AH722" s="13" t="str">
        <x:v>full</x:v>
      </x:c>
      <x:c r="AI722" s="13" t="n">
        <x:v>37</x:v>
      </x:c>
    </x:row>
    <x:row r="723" ht="34" customHeight="1">
      <x:c r="A723" s="15" t="str">
        <x:v>waterproof flip flops arch support womens</x:v>
      </x:c>
      <x:c r="B723" s="15" t="str">
        <x:v>waterproof flip flops arch support womens</x:v>
      </x:c>
      <x:c r="C723" s="10" t="str">
        <x:v>2ff1943acacab74e</x:v>
      </x:c>
      <x:c r="D723" s="10" t="str">
        <x:v>keyword</x:v>
      </x:c>
      <x:c r="E723" s="10" t="str">
        <x:v>en</x:v>
      </x:c>
      <x:c r="F723" s="10" t="str">
        <x:v>clothing_shoes_jewelry</x:v>
      </x:c>
      <x:c r="G723" s="15" t="str">
        <x:v>sports_outdoors</x:v>
      </x:c>
      <x:c r="H723" s="15" t="str">
        <x:v>flip_flops</x:v>
      </x:c>
      <x:c r="I723" s="15" t="str">
        <x:v>women</x:v>
      </x:c>
      <x:c r="J723" s="15" t="str">
        <x:v>arch_support</x:v>
      </x:c>
      <x:c r="K723" s="15" t="str">
        <x:v>waterproof</x:v>
      </x:c>
      <x:c r="L723" s="15" t="str"/>
      <x:c r="M723" s="15" t="str"/>
      <x:c r="N723" s="15" t="str">
        <x:v>arch_support</x:v>
      </x:c>
      <x:c r="O723" s="15" t="str"/>
      <x:c r="P723" s="15" t="str"/>
      <x:c r="Q723" s="15" t="str"/>
      <x:c r="R723" s="15" t="str">
        <x:v>女性用户寻找具备足弓支撑功能的防水夹脚拖鞋。</x:v>
      </x:c>
      <x:c r="S723" s="10" t="str">
        <x:v>consideration</x:v>
      </x:c>
      <x:c r="T723" s="15" t="str">
        <x:v>explicit | page_validated</x:v>
      </x:c>
      <x:c r="U723" s="10" t="str">
        <x:v>medium</x:v>
      </x:c>
      <x:c r="V723" s="15" t="str">
        <x:v>waterproof_arch_support_flip_flop_women</x:v>
      </x:c>
      <x:c r="W723" s="15" t="str">
        <x:v>listing_gap_review</x:v>
      </x:c>
      <x:c r="X723" s="15" t="str">
        <x:v>{"product_type":[{"value":"flip_flops","evidence_type":"explicit","source_span":"flip flops","fact_ids":[],"rationale":"搜索词直接指定flip flops。"},{"value":"flip_flops","evidence_type":"page_validated","source_span":"","fact_ids":["style_flip_flop","title_womens_flip_flop"],"rationale":"产品为女士夹脚拖鞋。"}],"audience_intent":[{"value":"women","evidence_type":"explicit","source_span":"womens","fact_ids":[],"rationale":"搜索词明确指定女性。"},{"value":"women","evidence_type":"page_validated","source_span":"","fact_ids":["title_womens_flip_flop"],"rationale":"产品为女士款。"}],"capability_intent":[{"value":"waterproof","evidence_type":"explicit","source_span":"waterproof","fact_ids":[],"rationale":"搜索词明确要求防水功能。"},{"value":"arch_support","evidence_type":"page_validated","source_span":"","fact_ids":["arch_support"],"rationale":"该槽位与商品基准中的明示页面事实一致。"}],"primary_domain":[{"value":"clothing_shoes_jewelry","evidence_type":"inferred","source_span":"","fact_ids":[],"rationale":"该值由搜索词整体语义推断，未作为页面明示属性。"}],"secondary_domain":[{"value":"sports_outdoors","evidence_type":"inferred","source_span":"","fact_ids":[],"rationale":"该值由搜索词整体语义推断，未作为页面明示属性。"}]}</x:v>
      </x:c>
      <x:c r="Y723" s="15" t="str"/>
      <x:c r="Z723" s="10" t="str">
        <x:v>partial_match</x:v>
      </x:c>
      <x:c r="AA723" s="15" t="str">
        <x:v>title_womens_flip_flop | style_flip_flop | arch_support</x:v>
      </x:c>
      <x:c r="AB723" s="10" t="str">
        <x:v>accepted</x:v>
      </x:c>
      <x:c r="AC723" s="10" t="str">
        <x:v>1.0.0</x:v>
      </x:c>
      <x:c r="AD723" s="10" t="str">
        <x:v>1.1.0</x:v>
      </x:c>
      <x:c r="AE723" s="10" t="str">
        <x:v>deepseek/deepseek-v4-pro</x:v>
      </x:c>
      <x:c r="AF723" s="10" t="str">
        <x:v>aj2-y90-20260714T234810-0bea2f52</x:v>
      </x:c>
      <x:c r="AG723" s="10" t="str">
        <x:v>full-0037</x:v>
      </x:c>
      <x:c r="AH723" s="10" t="str">
        <x:v>full</x:v>
      </x:c>
      <x:c r="AI723" s="10" t="n">
        <x:v>37</x:v>
      </x:c>
    </x:row>
    <x:row r="724" ht="34" customHeight="1">
      <x:c r="A724" s="16" t="str">
        <x:v>women orthopedic flip flops</x:v>
      </x:c>
      <x:c r="B724" s="16" t="str">
        <x:v>women orthopedic flip flops</x:v>
      </x:c>
      <x:c r="C724" s="13" t="str">
        <x:v>306a22194c5ef396</x:v>
      </x:c>
      <x:c r="D724" s="13" t="str">
        <x:v>keyword</x:v>
      </x:c>
      <x:c r="E724" s="13" t="str">
        <x:v>en</x:v>
      </x:c>
      <x:c r="F724" s="13" t="str">
        <x:v>clothing_shoes_jewelry</x:v>
      </x:c>
      <x:c r="G724" s="16" t="str">
        <x:v>health_household</x:v>
      </x:c>
      <x:c r="H724" s="16" t="str">
        <x:v>orthopedic_flip_flops</x:v>
      </x:c>
      <x:c r="I724" s="16" t="str">
        <x:v>women</x:v>
      </x:c>
      <x:c r="J724" s="16" t="str">
        <x:v>orthopedic_support</x:v>
      </x:c>
      <x:c r="K724" s="16" t="str"/>
      <x:c r="L724" s="16" t="str"/>
      <x:c r="M724" s="16" t="str"/>
      <x:c r="N724" s="16" t="str">
        <x:v>foot_condition</x:v>
      </x:c>
      <x:c r="O724" s="16" t="str"/>
      <x:c r="P724" s="16" t="str"/>
      <x:c r="Q724" s="16" t="str"/>
      <x:c r="R724" s="16" t="str">
        <x:v>女性用户寻找具有矫形支撑功能的夹脚拖鞋。</x:v>
      </x:c>
      <x:c r="S724" s="13" t="str">
        <x:v>consideration</x:v>
      </x:c>
      <x:c r="T724" s="16" t="str">
        <x:v>explicit | inferred | page_validated</x:v>
      </x:c>
      <x:c r="U724" s="13" t="str">
        <x:v>medium</x:v>
      </x:c>
      <x:c r="V724" s="16" t="str">
        <x:v>women_orthopedic_flip_flop</x:v>
      </x:c>
      <x:c r="W724" s="16" t="str">
        <x:v>listing_gap_review</x:v>
      </x:c>
      <x:c r="X724" s="16" t="str">
        <x:v>{"product_type":[{"value":"orthopedic_flip_flops","evidence_type":"explicit","source_span":"orthopedic flip flops","fact_ids":[],"rationale":"搜索词明确要求矫形夹脚拖鞋。"}],"audience_intent":[{"value":"women","evidence_type":"explicit","source_span":"women","fact_ids":[],"rationale":"搜索词明确指定女性。"},{"value":"women","evidence_type":"page_validated","source_span":"","fact_ids":["title_womens_flip_flop"],"rationale":"产品标题为女士款。"}],"function_intent":[{"value":"orthopedic_support","evidence_type":"explicit","source_span":"orthopedic","fact_ids":[],"rationale":"搜索词要求矫形功能。"}],"body_need_intent":[{"value":"foot_condition","evidence_type":"inferred","source_span":"orthopedic","fact_ids":[],"rationale":"矫形需求暗示足部不适或病症。"}],"primary_domain":[{"value":"clothing_shoes_jewelry","evidence_type":"inferred","source_span":"","fact_ids":[],"rationale":"该值由搜索词整体语义推断，未作为页面明示属性。"}],"secondary_domain":[{"value":"health_household","evidence_type":"inferred","source_span":"","fact_ids":[],"rationale":"该值由搜索词整体语义推断，未作为页面明示属性。"}]}</x:v>
      </x:c>
      <x:c r="Y724" s="16" t="str"/>
      <x:c r="Z724" s="13" t="str">
        <x:v>partial_match</x:v>
      </x:c>
      <x:c r="AA724" s="16" t="str">
        <x:v>title_womens_flip_flop | arch_support | padded_cushioning</x:v>
      </x:c>
      <x:c r="AB724" s="13" t="str">
        <x:v>accepted</x:v>
      </x:c>
      <x:c r="AC724" s="13" t="str">
        <x:v>1.0.0</x:v>
      </x:c>
      <x:c r="AD724" s="13" t="str">
        <x:v>1.1.0</x:v>
      </x:c>
      <x:c r="AE724" s="13" t="str">
        <x:v>deepseek/deepseek-v4-pro</x:v>
      </x:c>
      <x:c r="AF724" s="13" t="str">
        <x:v>aj2-y90-20260714T234810-0bea2f52</x:v>
      </x:c>
      <x:c r="AG724" s="13" t="str">
        <x:v>full-0037</x:v>
      </x:c>
      <x:c r="AH724" s="13" t="str">
        <x:v>full</x:v>
      </x:c>
      <x:c r="AI724" s="13" t="n">
        <x:v>37</x:v>
      </x:c>
    </x:row>
    <x:row r="725" ht="34" customHeight="1">
      <x:c r="A725" s="15" t="str">
        <x:v>yellow box flip flops cushioned footbed women</x:v>
      </x:c>
      <x:c r="B725" s="15" t="str">
        <x:v>yellow box flip flops cushioned footbed women</x:v>
      </x:c>
      <x:c r="C725" s="10" t="str">
        <x:v>3256d7938edf289c</x:v>
      </x:c>
      <x:c r="D725" s="10" t="str">
        <x:v>keyword</x:v>
      </x:c>
      <x:c r="E725" s="10" t="str">
        <x:v>en</x:v>
      </x:c>
      <x:c r="F725" s="10" t="str">
        <x:v>clothing_shoes_jewelry</x:v>
      </x:c>
      <x:c r="G725" s="15" t="str"/>
      <x:c r="H725" s="15" t="str">
        <x:v>flip_flops</x:v>
      </x:c>
      <x:c r="I725" s="15" t="str">
        <x:v>women</x:v>
      </x:c>
      <x:c r="J725" s="15" t="str">
        <x:v>cushioning</x:v>
      </x:c>
      <x:c r="K725" s="15" t="str"/>
      <x:c r="L725" s="15" t="str"/>
      <x:c r="M725" s="15" t="str"/>
      <x:c r="N725" s="15" t="str"/>
      <x:c r="O725" s="15" t="str"/>
      <x:c r="P725" s="15" t="str">
        <x:v>substitute_brand</x:v>
      </x:c>
      <x:c r="Q725" s="15" t="str"/>
      <x:c r="R725" s="15" t="str">
        <x:v>女性用户寻找Yellow Box品牌缓震鞋床夹脚拖鞋。</x:v>
      </x:c>
      <x:c r="S725" s="10" t="str">
        <x:v>brand_harvest</x:v>
      </x:c>
      <x:c r="T725" s="15" t="str">
        <x:v>explicit | page_validated | inferred</x:v>
      </x:c>
      <x:c r="U725" s="10" t="str">
        <x:v>high</x:v>
      </x:c>
      <x:c r="V725" s="15" t="str">
        <x:v>yellow_box_cushioned_flip_flop_women</x:v>
      </x:c>
      <x:c r="W725" s="15" t="str">
        <x:v>cluster_route</x:v>
      </x:c>
      <x:c r="X725" s="15" t="str">
        <x:v>{"product_type":[{"value":"flip_flops","evidence_type":"explicit","source_span":"flip flops","fact_ids":[],"rationale":"搜索词明确指定flip flops。"},{"value":"flip_flops","evidence_type":"page_validated","source_span":"","fact_ids":["style_flip_flop"],"rationale":"产品为夹脚拖鞋可作替代。"}],"audience_intent":[{"value":"women","evidence_type":"explicit","source_span":"women","fact_ids":[],"rationale":"搜索词指定女性用户。"},{"value":"women","evidence_type":"page_validated","source_span":"","fact_ids":["title_womens_flip_flop"],"rationale":"该槽位与商品基准中的明示页面事实一致。"}],"function_intent":[{"value":"cushioning","evidence_type":"explicit","source_span":"cushioned footbed","fact_ids":[],"rationale":"搜索词明确要求缓震鞋床。"},{"value":"cushioning","evidence_type":"page_validated","source_span":"","fact_ids":["padded_cushioning"],"rationale":"产品具备填充缓震特性。"},{"value":"cushioning","evidence_type":"inferred","source_span":"","fact_ids":[],"rationale":"该能力由搜索词表达的任务或问题推断；页面事实仅用于验证商品承接。"}],"substitute_intent":[{"value":"substitute_brand","evidence_type":"inferred","source_span":"yellow box","fact_ids":[],"rationale":"搜索Yellow Box品牌但joomra可作替代。"}],"brand":[{"value":"yellow_box","evidence_type":"explicit","source_span":"yellow box","fact_ids":[],"rationale":"搜索词包含品牌名Yellow Box。"}],"primary_domain":[{"value":"clothing_shoes_jewelry","evidence_type":"inferred","source_span":"","fact_ids":[],"rationale":"该值由搜索词整体语义推断，未作为页面明示属性。"}]}</x:v>
      </x:c>
      <x:c r="Y725" s="15" t="str"/>
      <x:c r="Z725" s="10" t="str">
        <x:v>partial_match</x:v>
      </x:c>
      <x:c r="AA725" s="15" t="str">
        <x:v>style_flip_flop | padded_cushioning</x:v>
      </x:c>
      <x:c r="AB725" s="10" t="str">
        <x:v>accepted</x:v>
      </x:c>
      <x:c r="AC725" s="10" t="str">
        <x:v>1.0.0</x:v>
      </x:c>
      <x:c r="AD725" s="10" t="str">
        <x:v>1.1.0</x:v>
      </x:c>
      <x:c r="AE725" s="10" t="str">
        <x:v>deepseek/deepseek-v4-pro</x:v>
      </x:c>
      <x:c r="AF725" s="10" t="str">
        <x:v>aj2-y90-20260714T234810-0bea2f52</x:v>
      </x:c>
      <x:c r="AG725" s="10" t="str">
        <x:v>full-0037</x:v>
      </x:c>
      <x:c r="AH725" s="10" t="str">
        <x:v>full</x:v>
      </x:c>
      <x:c r="AI725" s="10" t="n">
        <x:v>37</x:v>
      </x:c>
    </x:row>
    <x:row r="726" ht="34" customHeight="1">
      <x:c r="A726" s="16" t="str">
        <x:v>non-slip pool flip flops for women</x:v>
      </x:c>
      <x:c r="B726" s="16" t="str">
        <x:v>non-slip pool flip flops for women</x:v>
      </x:c>
      <x:c r="C726" s="13" t="str">
        <x:v>47fb72b12a4ea8ba</x:v>
      </x:c>
      <x:c r="D726" s="13" t="str">
        <x:v>keyword</x:v>
      </x:c>
      <x:c r="E726" s="13" t="str">
        <x:v>en</x:v>
      </x:c>
      <x:c r="F726" s="13" t="str">
        <x:v>clothing_shoes_jewelry</x:v>
      </x:c>
      <x:c r="G726" s="16" t="str">
        <x:v>sports_outdoors</x:v>
      </x:c>
      <x:c r="H726" s="16" t="str">
        <x:v>flip_flops</x:v>
      </x:c>
      <x:c r="I726" s="16" t="str">
        <x:v>women</x:v>
      </x:c>
      <x:c r="J726" s="16" t="str"/>
      <x:c r="K726" s="16" t="str">
        <x:v>slip_resistant</x:v>
      </x:c>
      <x:c r="L726" s="16" t="str">
        <x:v>pool_activities</x:v>
      </x:c>
      <x:c r="M726" s="16" t="str">
        <x:v>pool</x:v>
      </x:c>
      <x:c r="N726" s="16" t="str"/>
      <x:c r="O726" s="16" t="str"/>
      <x:c r="P726" s="16" t="str"/>
      <x:c r="Q726" s="16" t="str"/>
      <x:c r="R726" s="16" t="str">
        <x:v>女性用户寻找泳池使用的防滑夹脚拖鞋。</x:v>
      </x:c>
      <x:c r="S726" s="13" t="str">
        <x:v>consideration</x:v>
      </x:c>
      <x:c r="T726" s="16" t="str">
        <x:v>explicit | inferred | page_validated</x:v>
      </x:c>
      <x:c r="U726" s="13" t="str">
        <x:v>medium</x:v>
      </x:c>
      <x:c r="V726" s="16" t="str">
        <x:v>women_pool_nonslip_flip_flop</x:v>
      </x:c>
      <x:c r="W726" s="16" t="str">
        <x:v>listing_gap_review</x:v>
      </x:c>
      <x:c r="X726" s="16" t="str">
        <x:v>{"product_type":[{"value":"flip_flops","evidence_type":"explicit","source_span":"flip flops","fact_ids":[],"rationale":"搜索词直接指定flip flops。"},{"value":"flip_flops","evidence_type":"page_validated","source_span":"","fact_ids":["style_flip_flop","title_womens_flip_flop"],"rationale":"产品为女士夹脚拖鞋。"}],"audience_intent":[{"value":"women","evidence_type":"explicit","source_span":"women","fact_ids":[],"rationale":"搜索词明确指定女性。"},{"value":"women","evidence_type":"page_validated","source_span":"","fact_ids":["title_womens_flip_flop"],"rationale":"产品标题标注女士款。"}],"capability_intent":[{"value":"slip_resistant","evidence_type":"explicit","source_span":"non-slip","fact_ids":[],"rationale":"搜索词明确要求防滑。"},{"value":"slip_resistant","evidence_type":"page_validated","source_span":"","fact_ids":["slip_resistant_grip"],"rationale":"产品防滑格纹外底提供抓地力。"},{"value":"slip_resistant","evidence_type":"inferred","source_span":"","fact_ids":[],"rationale":"该能力由搜索词表达的任务或问题推断；页面事实仅用于验证商品承接。"}],"location_intent":[{"value":"pool","evidence_type":"explicit","source_span":"pool","fact_ids":[],"rationale":"搜索词指定泳池场景。"}],"event_intent":[{"value":"pool_activities","evidence_type":"inferred","source_span":"pool","fact_ids":[],"rationale":"泳池场景关联水上休闲活动。"}],"primary_domain":[{"value":"clothing_shoes_jewelry","evidence_type":"inferred","source_span":"","fact_ids":[],"rationale":"该值由搜索词整体语义推断，未作为页面明示属性。"}],"secondary_domain":[{"value":"sports_outdoors","evidence_type":"inferred","source_span":"","fact_ids":[],"rationale":"该值由搜索词整体语义推断，未作为页面明示属性。"}]}</x:v>
      </x:c>
      <x:c r="Y726" s="16" t="str"/>
      <x:c r="Z726" s="13" t="str">
        <x:v>partial_match</x:v>
      </x:c>
      <x:c r="AA726" s="16" t="str">
        <x:v>title_womens_flip_flop | style_flip_flop | slip_resistant_grip</x:v>
      </x:c>
      <x:c r="AB726" s="13" t="str">
        <x:v>accepted</x:v>
      </x:c>
      <x:c r="AC726" s="13" t="str">
        <x:v>1.0.0</x:v>
      </x:c>
      <x:c r="AD726" s="13" t="str">
        <x:v>1.1.0</x:v>
      </x:c>
      <x:c r="AE726" s="13" t="str">
        <x:v>deepseek/deepseek-v4-pro</x:v>
      </x:c>
      <x:c r="AF726" s="13" t="str">
        <x:v>aj2-y90-20260714T234810-0bea2f52</x:v>
      </x:c>
      <x:c r="AG726" s="13" t="str">
        <x:v>full-0037</x:v>
      </x:c>
      <x:c r="AH726" s="13" t="str">
        <x:v>full</x:v>
      </x:c>
      <x:c r="AI726" s="13" t="n">
        <x:v>37</x:v>
      </x:c>
    </x:row>
    <x:row r="727" ht="34" customHeight="1">
      <x:c r="A727" s="15" t="str">
        <x:v>womens flip flops with arch support</x:v>
      </x:c>
      <x:c r="B727" s="15" t="str">
        <x:v>womens flip flops with arch support</x:v>
      </x:c>
      <x:c r="C727" s="10" t="str">
        <x:v>482f053fc5682612</x:v>
      </x:c>
      <x:c r="D727" s="10" t="str">
        <x:v>keyword</x:v>
      </x:c>
      <x:c r="E727" s="10" t="str">
        <x:v>en</x:v>
      </x:c>
      <x:c r="F727" s="10" t="str">
        <x:v>clothing_shoes_jewelry</x:v>
      </x:c>
      <x:c r="G727" s="15" t="str"/>
      <x:c r="H727" s="15" t="str">
        <x:v>flip_flops</x:v>
      </x:c>
      <x:c r="I727" s="15" t="str">
        <x:v>women</x:v>
      </x:c>
      <x:c r="J727" s="15" t="str">
        <x:v>arch_support</x:v>
      </x:c>
      <x:c r="K727" s="15" t="str"/>
      <x:c r="L727" s="15" t="str"/>
      <x:c r="M727" s="15" t="str"/>
      <x:c r="N727" s="15" t="str">
        <x:v>arch_support</x:v>
      </x:c>
      <x:c r="O727" s="15" t="str"/>
      <x:c r="P727" s="15" t="str"/>
      <x:c r="Q727" s="15" t="str"/>
      <x:c r="R727" s="15" t="str">
        <x:v>女性用户寻找具备足弓支撑功能的夹脚拖鞋。</x:v>
      </x:c>
      <x:c r="S727" s="10" t="str">
        <x:v>consideration</x:v>
      </x:c>
      <x:c r="T727" s="15" t="str">
        <x:v>explicit | page_validated</x:v>
      </x:c>
      <x:c r="U727" s="10" t="str">
        <x:v>high</x:v>
      </x:c>
      <x:c r="V727" s="15" t="str">
        <x:v>women_arch_support_flip_flop</x:v>
      </x:c>
      <x:c r="W727" s="15" t="str">
        <x:v>cluster_route</x:v>
      </x:c>
      <x:c r="X727" s="15" t="str">
        <x:v>{"product_type":[{"value":"flip_flops","evidence_type":"explicit","source_span":"flip flops","fact_ids":[],"rationale":"搜索词直接指定flip flops。"},{"value":"flip_flops","evidence_type":"page_validated","source_span":"","fact_ids":["style_flip_flop","title_womens_flip_flop"],"rationale":"产品为女士夹脚拖鞋。"}],"audience_intent":[{"value":"women","evidence_type":"explicit","source_span":"womens","fact_ids":[],"rationale":"搜索词明确指定女性。"},{"value":"women","evidence_type":"page_validated","source_span":"","fact_ids":["title_womens_flip_flop"],"rationale":"产品标题标注女士款。"}],"capability_intent":[{"value":"arch_support","evidence_type":"page_validated","source_span":"","fact_ids":["arch_support"],"rationale":"该槽位与商品基准中的明示页面事实一致。"}],"primary_domain":[{"value":"clothing_shoes_jewelry","evidence_type":"inferred","source_span":"","fact_ids":[],"rationale":"该值由搜索词整体语义推断，未作为页面明示属性。"}]}</x:v>
      </x:c>
      <x:c r="Y727" s="15" t="str"/>
      <x:c r="Z727" s="10" t="str">
        <x:v>match</x:v>
      </x:c>
      <x:c r="AA727" s="15" t="str">
        <x:v>title_womens_flip_flop | style_flip_flop | arch_support</x:v>
      </x:c>
      <x:c r="AB727" s="10" t="str">
        <x:v>accepted</x:v>
      </x:c>
      <x:c r="AC727" s="10" t="str">
        <x:v>1.0.0</x:v>
      </x:c>
      <x:c r="AD727" s="10" t="str">
        <x:v>1.1.0</x:v>
      </x:c>
      <x:c r="AE727" s="10" t="str">
        <x:v>deepseek/deepseek-v4-pro</x:v>
      </x:c>
      <x:c r="AF727" s="10" t="str">
        <x:v>aj2-y90-20260714T234810-0bea2f52</x:v>
      </x:c>
      <x:c r="AG727" s="10" t="str">
        <x:v>full-0037</x:v>
      </x:c>
      <x:c r="AH727" s="10" t="str">
        <x:v>full</x:v>
      </x:c>
      <x:c r="AI727" s="10" t="n">
        <x:v>37</x:v>
      </x:c>
    </x:row>
    <x:row r="728" ht="34" customHeight="1">
      <x:c r="A728" s="16" t="str">
        <x:v>dark brown arch support flip flops</x:v>
      </x:c>
      <x:c r="B728" s="16" t="str">
        <x:v>dark brown arch support flip flops</x:v>
      </x:c>
      <x:c r="C728" s="13" t="str">
        <x:v>54ff46acaa2657e7</x:v>
      </x:c>
      <x:c r="D728" s="13" t="str">
        <x:v>keyword</x:v>
      </x:c>
      <x:c r="E728" s="13" t="str">
        <x:v>en</x:v>
      </x:c>
      <x:c r="F728" s="13" t="str">
        <x:v>clothing_shoes_jewelry</x:v>
      </x:c>
      <x:c r="G728" s="16" t="str"/>
      <x:c r="H728" s="16" t="str">
        <x:v>flip_flops</x:v>
      </x:c>
      <x:c r="I728" s="16" t="str"/>
      <x:c r="J728" s="16" t="str">
        <x:v>arch_support</x:v>
      </x:c>
      <x:c r="K728" s="16" t="str"/>
      <x:c r="L728" s="16" t="str"/>
      <x:c r="M728" s="16" t="str"/>
      <x:c r="N728" s="16" t="str">
        <x:v>arch_support</x:v>
      </x:c>
      <x:c r="O728" s="16" t="str"/>
      <x:c r="P728" s="16" t="str"/>
      <x:c r="Q728" s="16" t="str"/>
      <x:c r="R728" s="16" t="str">
        <x:v>用户寻找深棕色足弓支撑夹脚拖鞋。</x:v>
      </x:c>
      <x:c r="S728" s="13" t="str">
        <x:v>consideration</x:v>
      </x:c>
      <x:c r="T728" s="16" t="str">
        <x:v>explicit | page_validated</x:v>
      </x:c>
      <x:c r="U728" s="13" t="str">
        <x:v>high</x:v>
      </x:c>
      <x:c r="V728" s="16" t="str">
        <x:v>dark_brown_arch_support_flip_flop</x:v>
      </x:c>
      <x:c r="W728" s="16" t="str">
        <x:v>cluster_route</x:v>
      </x:c>
      <x:c r="X728" s="16" t="str">
        <x:v>{"product_type":[{"value":"flip_flops","evidence_type":"explicit","source_span":"flip flops","fact_ids":[],"rationale":"搜索词直接指定flip flops。"},{"value":"flip_flops","evidence_type":"page_validated","source_span":"","fact_ids":["style_flip_flop"],"rationale":"产品为夹脚拖鞋。"}],"color":[{"value":"dark_brown","evidence_type":"explicit","source_span":"dark brown","fact_ids":[],"rationale":"搜索词指定深棕色。"},{"value":"dark_brown","evidence_type":"inferred","source_span":"","fact_ids":[],"rationale":"这是搜索词中的颜色约束，但商品页面基准未确认该具体颜色。"}],"capability_intent":[{"value":"arch_support","evidence_type":"page_validated","source_span":"","fact_ids":["arch_support"],"rationale":"该槽位与商品基准中的明示页面事实一致。"}],"primary_domain":[{"value":"clothing_shoes_jewelry","evidence_type":"inferred","source_span":"","fact_ids":[],"rationale":"该值由搜索词整体语义推断，未作为页面明示属性。"}]}</x:v>
      </x:c>
      <x:c r="Y728" s="16" t="str"/>
      <x:c r="Z728" s="13" t="str">
        <x:v>match</x:v>
      </x:c>
      <x:c r="AA728" s="16" t="str">
        <x:v>style_flip_flop | arch_support | colors_visible</x:v>
      </x:c>
      <x:c r="AB728" s="13" t="str">
        <x:v>accepted</x:v>
      </x:c>
      <x:c r="AC728" s="13" t="str">
        <x:v>1.0.0</x:v>
      </x:c>
      <x:c r="AD728" s="13" t="str">
        <x:v>1.1.0</x:v>
      </x:c>
      <x:c r="AE728" s="13" t="str">
        <x:v>deepseek/deepseek-v4-pro</x:v>
      </x:c>
      <x:c r="AF728" s="13" t="str">
        <x:v>aj2-y90-20260714T234810-0bea2f52</x:v>
      </x:c>
      <x:c r="AG728" s="13" t="str">
        <x:v>full-0037</x:v>
      </x:c>
      <x:c r="AH728" s="13" t="str">
        <x:v>full</x:v>
      </x:c>
      <x:c r="AI728" s="13" t="n">
        <x:v>37</x:v>
      </x:c>
    </x:row>
    <x:row r="729" ht="34" customHeight="1">
      <x:c r="A729" s="15" t="str">
        <x:v>black flip flops women cheap</x:v>
      </x:c>
      <x:c r="B729" s="15" t="str">
        <x:v>black flip flops women cheap</x:v>
      </x:c>
      <x:c r="C729" s="10" t="str">
        <x:v>761c582728ce947d</x:v>
      </x:c>
      <x:c r="D729" s="10" t="str">
        <x:v>keyword</x:v>
      </x:c>
      <x:c r="E729" s="10" t="str">
        <x:v>en</x:v>
      </x:c>
      <x:c r="F729" s="10" t="str">
        <x:v>clothing_shoes_jewelry</x:v>
      </x:c>
      <x:c r="G729" s="15" t="str"/>
      <x:c r="H729" s="15" t="str">
        <x:v>flip_flops</x:v>
      </x:c>
      <x:c r="I729" s="15" t="str">
        <x:v>women</x:v>
      </x:c>
      <x:c r="J729" s="15" t="str"/>
      <x:c r="K729" s="15" t="str"/>
      <x:c r="L729" s="15" t="str"/>
      <x:c r="M729" s="15" t="str"/>
      <x:c r="N729" s="15" t="str"/>
      <x:c r="O729" s="15" t="str"/>
      <x:c r="P729" s="15" t="str"/>
      <x:c r="Q729" s="15" t="str"/>
      <x:c r="R729" s="15" t="str">
        <x:v>女性用户寻找价格实惠的黑色夹脚拖鞋。</x:v>
      </x:c>
      <x:c r="S729" s="10" t="str">
        <x:v>consideration</x:v>
      </x:c>
      <x:c r="T729" s="15" t="str">
        <x:v>explicit | page_validated</x:v>
      </x:c>
      <x:c r="U729" s="10" t="str">
        <x:v>high</x:v>
      </x:c>
      <x:c r="V729" s="15" t="str">
        <x:v>women_black_cheap_flip_flop</x:v>
      </x:c>
      <x:c r="W729" s="15" t="str">
        <x:v>cluster_route</x:v>
      </x:c>
      <x:c r="X729" s="15" t="str">
        <x:v>{"product_type":[{"value":"flip_flops","evidence_type":"explicit","source_span":"flip flops","fact_ids":[],"rationale":"搜索词直接指定flip flops。"},{"value":"flip_flops","evidence_type":"page_validated","source_span":"","fact_ids":["style_flip_flop","title_womens_flip_flop"],"rationale":"产品为女士夹脚拖鞋。"}],"audience_intent":[{"value":"women","evidence_type":"explicit","source_span":"women","fact_ids":[],"rationale":"搜索词明确指定女性。"},{"value":"women","evidence_type":"page_validated","source_span":"","fact_ids":["title_womens_flip_flop"],"rationale":"产品标题标注女士款。"}],"color":[{"value":"black","evidence_type":"explicit","source_span":"black","fact_ids":[],"rationale":"该颜色在商品页面可见颜色选择中得到明确支持。"},{"value":"black","evidence_type":"page_validated","source_span":"","fact_ids":["colors_visible"],"rationale":"该颜色在商品页面可见颜色选择中得到明确支持。"}],"primary_domain":[{"value":"clothing_shoes_jewelry","evidence_type":"inferred","source_span":"","fact_ids":[],"rationale":"该值由搜索词整体语义推断，未作为页面明示属性。"}]}</x:v>
      </x:c>
      <x:c r="Y729" s="15" t="str"/>
      <x:c r="Z729" s="10" t="str">
        <x:v>match</x:v>
      </x:c>
      <x:c r="AA729" s="15" t="str">
        <x:v>title_womens_flip_flop | style_flip_flop | colors_visible</x:v>
      </x:c>
      <x:c r="AB729" s="10" t="str">
        <x:v>accepted</x:v>
      </x:c>
      <x:c r="AC729" s="10" t="str">
        <x:v>1.0.0</x:v>
      </x:c>
      <x:c r="AD729" s="10" t="str">
        <x:v>1.1.0</x:v>
      </x:c>
      <x:c r="AE729" s="10" t="str">
        <x:v>deepseek/deepseek-v4-pro</x:v>
      </x:c>
      <x:c r="AF729" s="10" t="str">
        <x:v>aj2-y90-20260714T234810-0bea2f52</x:v>
      </x:c>
      <x:c r="AG729" s="10" t="str">
        <x:v>full-0037</x:v>
      </x:c>
      <x:c r="AH729" s="10" t="str">
        <x:v>full</x:v>
      </x:c>
      <x:c r="AI729" s="10" t="n">
        <x:v>37</x:v>
      </x:c>
    </x:row>
    <x:row r="730" ht="34" customHeight="1">
      <x:c r="A730" s="16" t="str">
        <x:v>archies brown</x:v>
      </x:c>
      <x:c r="B730" s="16" t="str">
        <x:v>archies brown</x:v>
      </x:c>
      <x:c r="C730" s="13" t="str">
        <x:v>951e80094255523d</x:v>
      </x:c>
      <x:c r="D730" s="13" t="str">
        <x:v>keyword</x:v>
      </x:c>
      <x:c r="E730" s="13" t="str">
        <x:v>en</x:v>
      </x:c>
      <x:c r="F730" s="13" t="str">
        <x:v>clothing_shoes_jewelry</x:v>
      </x:c>
      <x:c r="G730" s="16" t="str"/>
      <x:c r="H730" s="16" t="str">
        <x:v>flip_flops</x:v>
      </x:c>
      <x:c r="I730" s="16" t="str"/>
      <x:c r="J730" s="16" t="str">
        <x:v>arch_support</x:v>
      </x:c>
      <x:c r="K730" s="16" t="str"/>
      <x:c r="L730" s="16" t="str"/>
      <x:c r="M730" s="16" t="str"/>
      <x:c r="N730" s="16" t="str">
        <x:v>arch_support</x:v>
      </x:c>
      <x:c r="O730" s="16" t="str"/>
      <x:c r="P730" s="16" t="str">
        <x:v>substitute_brand</x:v>
      </x:c>
      <x:c r="Q730" s="16" t="str"/>
      <x:c r="R730" s="16" t="str">
        <x:v>用户搜索Archies品牌棕色足弓支撑夹脚拖鞋。</x:v>
      </x:c>
      <x:c r="S730" s="13" t="str">
        <x:v>brand_harvest</x:v>
      </x:c>
      <x:c r="T730" s="16" t="str">
        <x:v>explicit | inferred | page_validated</x:v>
      </x:c>
      <x:c r="U730" s="13" t="str">
        <x:v>medium</x:v>
      </x:c>
      <x:c r="V730" s="16" t="str">
        <x:v>archies_brand_brown_flip_flop</x:v>
      </x:c>
      <x:c r="W730" s="16" t="str">
        <x:v>cluster_route</x:v>
      </x:c>
      <x:c r="X730" s="16" t="str">
        <x:v>{"product_type":[{"value":"flip_flops","evidence_type":"page_validated","source_span":"","fact_ids":["style_flip_flop"],"rationale":"产品为夹脚拖鞋可作替代品。"},{"value":"flip_flops","evidence_type":"inferred","source_span":"","fact_ids":[],"rationale":"该能力由搜索词表达的任务或问题推断；页面事实仅用于验证商品承接。"}],"substitute_intent":[{"value":"substitute_brand","evidence_type":"inferred","source_span":"archies","fact_ids":[],"rationale":"搜索Archies品牌但本产品为joomra可替代。"}],"color":[{"value":"brown","evidence_type":"explicit","source_span":"brown","fact_ids":[],"rationale":"该颜色在商品页面可见颜色选择中得到明确支持。"},{"value":"brown","evidence_type":"page_validated","source_span":"","fact_ids":["colors_visible"],"rationale":"该颜色在商品页面可见颜色选择中得到明确支持。"}],"brand":[{"value":"archies","evidence_type":"explicit","source_span":"archies","fact_ids":[],"rationale":"搜索词为Archies品牌名称。"}],"capability_intent":[{"value":"arch_support","evidence_type":"page_validated","source_span":"","fact_ids":["arch_support"],"rationale":"该槽位与商品基准中的明示页面事实一致。"},{"value":"arch_suppor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730" s="16" t="str">
        <x:v>archies_may_be_arch_support_abbreviation_or_brand</x:v>
      </x:c>
      <x:c r="Z730" s="13" t="str">
        <x:v>partial_match</x:v>
      </x:c>
      <x:c r="AA730" s="16" t="str">
        <x:v>style_flip_flop | arch_support | colors_visible</x:v>
      </x:c>
      <x:c r="AB730" s="13" t="str">
        <x:v>accepted</x:v>
      </x:c>
      <x:c r="AC730" s="13" t="str">
        <x:v>1.0.0</x:v>
      </x:c>
      <x:c r="AD730" s="13" t="str">
        <x:v>1.1.0</x:v>
      </x:c>
      <x:c r="AE730" s="13" t="str">
        <x:v>deepseek/deepseek-v4-pro</x:v>
      </x:c>
      <x:c r="AF730" s="13" t="str">
        <x:v>aj2-y90-20260714T234810-0bea2f52</x:v>
      </x:c>
      <x:c r="AG730" s="13" t="str">
        <x:v>full-0037</x:v>
      </x:c>
      <x:c r="AH730" s="13" t="str">
        <x:v>full</x:v>
      </x:c>
      <x:c r="AI730" s="13" t="n">
        <x:v>37</x:v>
      </x:c>
    </x:row>
    <x:row r="731" ht="34" customHeight="1">
      <x:c r="A731" s="15" t="str">
        <x:v>dude flip flop</x:v>
      </x:c>
      <x:c r="B731" s="15" t="str">
        <x:v>dude flip flop</x:v>
      </x:c>
      <x:c r="C731" s="10" t="str">
        <x:v>b242b331684fccb2</x:v>
      </x:c>
      <x:c r="D731" s="10" t="str">
        <x:v>keyword</x:v>
      </x:c>
      <x:c r="E731" s="10" t="str">
        <x:v>en</x:v>
      </x:c>
      <x:c r="F731" s="10" t="str">
        <x:v>clothing_shoes_jewelry</x:v>
      </x:c>
      <x:c r="G731" s="15" t="str"/>
      <x:c r="H731" s="15" t="str">
        <x:v>flip_flops</x:v>
      </x:c>
      <x:c r="I731" s="15" t="str">
        <x:v>men</x:v>
      </x:c>
      <x:c r="J731" s="15" t="str"/>
      <x:c r="K731" s="15" t="str"/>
      <x:c r="L731" s="15" t="str"/>
      <x:c r="M731" s="15" t="str"/>
      <x:c r="N731" s="15" t="str"/>
      <x:c r="O731" s="15" t="str"/>
      <x:c r="P731" s="15" t="str"/>
      <x:c r="Q731" s="15" t="str"/>
      <x:c r="R731" s="15" t="str">
        <x:v>男性用户寻找夹脚拖鞋。</x:v>
      </x:c>
      <x:c r="S731" s="10" t="str">
        <x:v>exploration</x:v>
      </x:c>
      <x:c r="T731" s="15" t="str">
        <x:v>explicit | inferred</x:v>
      </x:c>
      <x:c r="U731" s="10" t="str">
        <x:v>high</x:v>
      </x:c>
      <x:c r="V731" s="15" t="str">
        <x:v>men_flip_flop</x:v>
      </x:c>
      <x:c r="W731" s="15" t="str">
        <x:v>semantic_negative_candidate</x:v>
      </x:c>
      <x:c r="X731" s="15" t="str">
        <x:v>{"product_type":[{"value":"flip_flops","evidence_type":"explicit","source_span":"flip flop","fact_ids":[],"rationale":"搜索词直接指定flip flop。"},{"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audience_intent":[{"value":"men","evidence_type":"inferred","source_span":"dude","fact_ids":[],"rationale":"dude为男性口语称呼指向男性用户。"}],"primary_domain":[{"value":"clothing_shoes_jewelry","evidence_type":"inferred","source_span":"","fact_ids":[],"rationale":"该值由搜索词整体语义推断，未作为页面明示属性。"}]}</x:v>
      </x:c>
      <x:c r="Y731" s="15" t="str">
        <x:v>dude_may_be_brand_name</x:v>
      </x:c>
      <x:c r="Z731" s="10" t="str">
        <x:v>mismatch</x:v>
      </x:c>
      <x:c r="AA731" s="15" t="str"/>
      <x:c r="AB731" s="10" t="str">
        <x:v>accepted</x:v>
      </x:c>
      <x:c r="AC731" s="10" t="str">
        <x:v>1.0.0</x:v>
      </x:c>
      <x:c r="AD731" s="10" t="str">
        <x:v>1.1.0</x:v>
      </x:c>
      <x:c r="AE731" s="10" t="str">
        <x:v>deepseek/deepseek-v4-pro</x:v>
      </x:c>
      <x:c r="AF731" s="10" t="str">
        <x:v>aj2-y90-20260714T234810-0bea2f52</x:v>
      </x:c>
      <x:c r="AG731" s="10" t="str">
        <x:v>full-0037</x:v>
      </x:c>
      <x:c r="AH731" s="10" t="str">
        <x:v>full</x:v>
      </x:c>
      <x:c r="AI731" s="10" t="n">
        <x:v>37</x:v>
      </x:c>
    </x:row>
    <x:row r="732" ht="34" customHeight="1">
      <x:c r="A732" s="16" t="str">
        <x:v>flip flops for women for water</x:v>
      </x:c>
      <x:c r="B732" s="16" t="str">
        <x:v>flip flops for women for water</x:v>
      </x:c>
      <x:c r="C732" s="13" t="str">
        <x:v>b44ee0dfdc629132</x:v>
      </x:c>
      <x:c r="D732" s="13" t="str">
        <x:v>keyword</x:v>
      </x:c>
      <x:c r="E732" s="13" t="str">
        <x:v>en</x:v>
      </x:c>
      <x:c r="F732" s="13" t="str">
        <x:v>clothing_shoes_jewelry</x:v>
      </x:c>
      <x:c r="G732" s="16" t="str">
        <x:v>sports_outdoors</x:v>
      </x:c>
      <x:c r="H732" s="16" t="str">
        <x:v>flip_flops</x:v>
      </x:c>
      <x:c r="I732" s="16" t="str">
        <x:v>women</x:v>
      </x:c>
      <x:c r="J732" s="16" t="str"/>
      <x:c r="K732" s="16" t="str">
        <x:v>water_ready</x:v>
      </x:c>
      <x:c r="L732" s="16" t="str">
        <x:v>water_activities</x:v>
      </x:c>
      <x:c r="M732" s="16" t="str">
        <x:v>water_environment</x:v>
      </x:c>
      <x:c r="N732" s="16" t="str"/>
      <x:c r="O732" s="16" t="str"/>
      <x:c r="P732" s="16" t="str"/>
      <x:c r="Q732" s="16" t="str"/>
      <x:c r="R732" s="16" t="str">
        <x:v>女性用户寻找适合涉水环境穿着的夹脚拖鞋。</x:v>
      </x:c>
      <x:c r="S732" s="13" t="str">
        <x:v>consideration</x:v>
      </x:c>
      <x:c r="T732" s="16" t="str">
        <x:v>explicit | inferred | page_validated</x:v>
      </x:c>
      <x:c r="U732" s="13" t="str">
        <x:v>medium</x:v>
      </x:c>
      <x:c r="V732" s="16" t="str">
        <x:v>women_flip_flop_water_use</x:v>
      </x:c>
      <x:c r="W732" s="16" t="str">
        <x:v>listing_gap_review</x:v>
      </x:c>
      <x:c r="X732" s="16" t="str">
        <x:v>{"product_type":[{"value":"flip_flops","evidence_type":"explicit","source_span":"flip flops","fact_ids":[],"rationale":"搜索词直接要求flip flops品类。"},{"value":"flip_flops","evidence_type":"page_validated","source_span":"","fact_ids":["style_flip_flop","title_womens_flip_flop"],"rationale":"产品页面确认为女士夹脚拖鞋。"}],"audience_intent":[{"value":"women","evidence_type":"explicit","source_span":"women","fact_ids":[],"rationale":"搜索词明确指定女性用户。"},{"value":"women","evidence_type":"page_validated","source_span":"","fact_ids":["title_womens_flip_flop"],"rationale":"产品标题确认为女士拖鞋。"}],"location_intent":[{"value":"water_environment","evidence_type":"explicit","source_span":"water","fact_ids":[],"rationale":"搜索词明确指定涉水使用场景。"}],"capability_intent":[{"value":"water_ready","evidence_type":"inferred","source_span":"water","fact_ids":[],"rationale":"涉水场景隐含防水或快干需求。"}],"event_intent":[{"value":"water_activities","evidence_type":"inferred","source_span":"water","fact_ids":[],"rationale":"涉水场景关联游泳或海滩活动。"}],"primary_domain":[{"value":"clothing_shoes_jewelry","evidence_type":"inferred","source_span":"","fact_ids":[],"rationale":"该值由搜索词整体语义推断，未作为页面明示属性。"}],"secondary_domain":[{"value":"sports_outdoors","evidence_type":"inferred","source_span":"","fact_ids":[],"rationale":"该值由搜索词整体语义推断，未作为页面明示属性。"}]}</x:v>
      </x:c>
      <x:c r="Y732" s="16" t="str"/>
      <x:c r="Z732" s="13" t="str">
        <x:v>partial_match</x:v>
      </x:c>
      <x:c r="AA732" s="16" t="str">
        <x:v>title_womens_flip_flop | style_flip_flop</x:v>
      </x:c>
      <x:c r="AB732" s="13" t="str">
        <x:v>accepted</x:v>
      </x:c>
      <x:c r="AC732" s="13" t="str">
        <x:v>1.0.0</x:v>
      </x:c>
      <x:c r="AD732" s="13" t="str">
        <x:v>1.1.0</x:v>
      </x:c>
      <x:c r="AE732" s="13" t="str">
        <x:v>deepseek/deepseek-v4-pro</x:v>
      </x:c>
      <x:c r="AF732" s="13" t="str">
        <x:v>aj2-y90-20260714T234810-0bea2f52</x:v>
      </x:c>
      <x:c r="AG732" s="13" t="str">
        <x:v>full-0037</x:v>
      </x:c>
      <x:c r="AH732" s="13" t="str">
        <x:v>full</x:v>
      </x:c>
      <x:c r="AI732" s="13" t="n">
        <x:v>37</x:v>
      </x:c>
    </x:row>
    <x:row r="733" ht="34" customHeight="1">
      <x:c r="A733" s="15" t="str">
        <x:v>womens flipflops with arch support</x:v>
      </x:c>
      <x:c r="B733" s="15" t="str">
        <x:v>womens flipflops with arch support</x:v>
      </x:c>
      <x:c r="C733" s="10" t="str">
        <x:v>c96861c95f1bef55</x:v>
      </x:c>
      <x:c r="D733" s="10" t="str">
        <x:v>keyword</x:v>
      </x:c>
      <x:c r="E733" s="10" t="str">
        <x:v>en</x:v>
      </x:c>
      <x:c r="F733" s="10" t="str">
        <x:v>clothing_shoes_jewelry</x:v>
      </x:c>
      <x:c r="G733" s="15" t="str"/>
      <x:c r="H733" s="15" t="str">
        <x:v>flip_flops</x:v>
      </x:c>
      <x:c r="I733" s="15" t="str">
        <x:v>women</x:v>
      </x:c>
      <x:c r="J733" s="15" t="str">
        <x:v>arch_support</x:v>
      </x:c>
      <x:c r="K733" s="15" t="str"/>
      <x:c r="L733" s="15" t="str"/>
      <x:c r="M733" s="15" t="str"/>
      <x:c r="N733" s="15" t="str">
        <x:v>arch_support</x:v>
      </x:c>
      <x:c r="O733" s="15" t="str"/>
      <x:c r="P733" s="15" t="str"/>
      <x:c r="Q733" s="15" t="str"/>
      <x:c r="R733" s="15" t="str">
        <x:v>女性用户寻找具备足弓支撑功能的夹脚拖鞋。</x:v>
      </x:c>
      <x:c r="S733" s="10" t="str">
        <x:v>consideration</x:v>
      </x:c>
      <x:c r="T733" s="15" t="str">
        <x:v>explicit | page_validated</x:v>
      </x:c>
      <x:c r="U733" s="10" t="str">
        <x:v>high</x:v>
      </x:c>
      <x:c r="V733" s="15" t="str">
        <x:v>women_arch_support_flip_flop</x:v>
      </x:c>
      <x:c r="W733" s="15" t="str">
        <x:v>cluster_route</x:v>
      </x:c>
      <x:c r="X733" s="15" t="str">
        <x:v>{"product_type":[{"value":"flip_flops","evidence_type":"explicit","source_span":"flipflops","fact_ids":[],"rationale":"搜索词直接指定flipflops。"},{"value":"flip_flops","evidence_type":"page_validated","source_span":"","fact_ids":["style_flip_flop","title_womens_flip_flop"],"rationale":"产品为女士夹脚拖鞋。"},{"value":"flip_flops","evidence_type":"inferred","source_span":"","fact_ids":[],"rationale":"该能力由搜索词表达的任务或问题推断；页面事实仅用于验证商品承接。"}],"audience_intent":[{"value":"women","evidence_type":"explicit","source_span":"womens","fact_ids":[],"rationale":"搜索词明确指定女性。"},{"value":"women","evidence_type":"page_validated","source_span":"","fact_ids":["title_womens_flip_flop"],"rationale":"产品标题标注女士款。"}],"capability_intent":[{"value":"arch_support","evidence_type":"page_validated","source_span":"","fact_ids":["arch_support"],"rationale":"该槽位与商品基准中的明示页面事实一致。"}],"primary_domain":[{"value":"clothing_shoes_jewelry","evidence_type":"inferred","source_span":"","fact_ids":[],"rationale":"该值由搜索词整体语义推断，未作为页面明示属性。"}]}</x:v>
      </x:c>
      <x:c r="Y733" s="15" t="str"/>
      <x:c r="Z733" s="10" t="str">
        <x:v>match</x:v>
      </x:c>
      <x:c r="AA733" s="15" t="str">
        <x:v>title_womens_flip_flop | style_flip_flop | arch_support</x:v>
      </x:c>
      <x:c r="AB733" s="10" t="str">
        <x:v>accepted</x:v>
      </x:c>
      <x:c r="AC733" s="10" t="str">
        <x:v>1.0.0</x:v>
      </x:c>
      <x:c r="AD733" s="10" t="str">
        <x:v>1.1.0</x:v>
      </x:c>
      <x:c r="AE733" s="10" t="str">
        <x:v>deepseek/deepseek-v4-pro</x:v>
      </x:c>
      <x:c r="AF733" s="10" t="str">
        <x:v>aj2-y90-20260714T234810-0bea2f52</x:v>
      </x:c>
      <x:c r="AG733" s="10" t="str">
        <x:v>full-0037</x:v>
      </x:c>
      <x:c r="AH733" s="10" t="str">
        <x:v>full</x:v>
      </x:c>
      <x:c r="AI733" s="10" t="n">
        <x:v>37</x:v>
      </x:c>
    </x:row>
    <x:row r="734" ht="34" customHeight="1">
      <x:c r="A734" s="16" t="str">
        <x:v>orange arch support flip flops</x:v>
      </x:c>
      <x:c r="B734" s="16" t="str">
        <x:v>orange arch support flip flops</x:v>
      </x:c>
      <x:c r="C734" s="13" t="str">
        <x:v>cb5be3fced362c05</x:v>
      </x:c>
      <x:c r="D734" s="13" t="str">
        <x:v>keyword</x:v>
      </x:c>
      <x:c r="E734" s="13" t="str">
        <x:v>en</x:v>
      </x:c>
      <x:c r="F734" s="13" t="str">
        <x:v>clothing_shoes_jewelry</x:v>
      </x:c>
      <x:c r="G734" s="16" t="str"/>
      <x:c r="H734" s="16" t="str">
        <x:v>flip_flops</x:v>
      </x:c>
      <x:c r="I734" s="16" t="str"/>
      <x:c r="J734" s="16" t="str">
        <x:v>arch_support</x:v>
      </x:c>
      <x:c r="K734" s="16" t="str"/>
      <x:c r="L734" s="16" t="str"/>
      <x:c r="M734" s="16" t="str"/>
      <x:c r="N734" s="16" t="str">
        <x:v>arch_support</x:v>
      </x:c>
      <x:c r="O734" s="16" t="str"/>
      <x:c r="P734" s="16" t="str"/>
      <x:c r="Q734" s="16" t="str"/>
      <x:c r="R734" s="16" t="str">
        <x:v>用户寻找橙色足弓支撑夹脚拖鞋。</x:v>
      </x:c>
      <x:c r="S734" s="13" t="str">
        <x:v>consideration</x:v>
      </x:c>
      <x:c r="T734" s="16" t="str">
        <x:v>explicit | page_validated</x:v>
      </x:c>
      <x:c r="U734" s="13" t="str">
        <x:v>medium</x:v>
      </x:c>
      <x:c r="V734" s="16" t="str">
        <x:v>orange_arch_support_flip_flop</x:v>
      </x:c>
      <x:c r="W734" s="16" t="str">
        <x:v>listing_gap_review</x:v>
      </x:c>
      <x:c r="X734" s="16" t="str">
        <x:v>{"product_type":[{"value":"flip_flops","evidence_type":"explicit","source_span":"flip flops","fact_ids":[],"rationale":"搜索词直接指定flip flops。"},{"value":"flip_flops","evidence_type":"page_validated","source_span":"","fact_ids":["style_flip_flop"],"rationale":"产品为夹脚拖鞋。"}],"color":[{"value":"orange","evidence_type":"explicit","source_span":"orange","fact_ids":[],"rationale":"搜索词指定橙色。"}],"capability_intent":[{"value":"arch_support","evidence_type":"page_validated","source_span":"","fact_ids":["arch_support"],"rationale":"该槽位与商品基准中的明示页面事实一致。"}],"primary_domain":[{"value":"clothing_shoes_jewelry","evidence_type":"inferred","source_span":"","fact_ids":[],"rationale":"该值由搜索词整体语义推断，未作为页面明示属性。"}]}</x:v>
      </x:c>
      <x:c r="Y734" s="16" t="str"/>
      <x:c r="Z734" s="13" t="str">
        <x:v>partial_match</x:v>
      </x:c>
      <x:c r="AA734" s="16" t="str">
        <x:v>style_flip_flop | arch_support</x:v>
      </x:c>
      <x:c r="AB734" s="13" t="str">
        <x:v>accepted</x:v>
      </x:c>
      <x:c r="AC734" s="13" t="str">
        <x:v>1.0.0</x:v>
      </x:c>
      <x:c r="AD734" s="13" t="str">
        <x:v>1.1.0</x:v>
      </x:c>
      <x:c r="AE734" s="13" t="str">
        <x:v>deepseek/deepseek-v4-pro</x:v>
      </x:c>
      <x:c r="AF734" s="13" t="str">
        <x:v>aj2-y90-20260714T234810-0bea2f52</x:v>
      </x:c>
      <x:c r="AG734" s="13" t="str">
        <x:v>full-0037</x:v>
      </x:c>
      <x:c r="AH734" s="13" t="str">
        <x:v>full</x:v>
      </x:c>
      <x:c r="AI734" s="13" t="n">
        <x:v>37</x:v>
      </x:c>
    </x:row>
    <x:row r="735" ht="34" customHeight="1">
      <x:c r="A735" s="15" t="str">
        <x:v>brown comfortable flip flops women</x:v>
      </x:c>
      <x:c r="B735" s="15" t="str">
        <x:v>brown comfortable flip flops women</x:v>
      </x:c>
      <x:c r="C735" s="10" t="str">
        <x:v>ccf09dd292ece79a</x:v>
      </x:c>
      <x:c r="D735" s="10" t="str">
        <x:v>keyword</x:v>
      </x:c>
      <x:c r="E735" s="10" t="str">
        <x:v>en</x:v>
      </x:c>
      <x:c r="F735" s="10" t="str">
        <x:v>clothing_shoes_jewelry</x:v>
      </x:c>
      <x:c r="G735" s="15" t="str"/>
      <x:c r="H735" s="15" t="str">
        <x:v>flip_flops</x:v>
      </x:c>
      <x:c r="I735" s="15" t="str">
        <x:v>women</x:v>
      </x:c>
      <x:c r="J735" s="15" t="str">
        <x:v>comfort</x:v>
      </x:c>
      <x:c r="K735" s="15" t="str"/>
      <x:c r="L735" s="15" t="str"/>
      <x:c r="M735" s="15" t="str"/>
      <x:c r="N735" s="15" t="str"/>
      <x:c r="O735" s="15" t="str"/>
      <x:c r="P735" s="15" t="str"/>
      <x:c r="Q735" s="15" t="str"/>
      <x:c r="R735" s="15" t="str">
        <x:v>女性用户寻找棕色舒适夹脚拖鞋。</x:v>
      </x:c>
      <x:c r="S735" s="10" t="str">
        <x:v>consideration</x:v>
      </x:c>
      <x:c r="T735" s="15" t="str">
        <x:v>explicit | page_validated</x:v>
      </x:c>
      <x:c r="U735" s="10" t="str">
        <x:v>high</x:v>
      </x:c>
      <x:c r="V735" s="15" t="str">
        <x:v>women_brown_comfortable_flip_flop</x:v>
      </x:c>
      <x:c r="W735" s="15" t="str">
        <x:v>cluster_route</x:v>
      </x:c>
      <x:c r="X735" s="15" t="str">
        <x:v>{"product_type":[{"value":"flip_flops","evidence_type":"explicit","source_span":"flip flops","fact_ids":[],"rationale":"搜索词直接指定flip flops。"},{"value":"flip_flops","evidence_type":"page_validated","source_span":"","fact_ids":["style_flip_flop","title_womens_flip_flop"],"rationale":"产品为女士夹脚拖鞋。"}],"audience_intent":[{"value":"women","evidence_type":"explicit","source_span":"women","fact_ids":[],"rationale":"搜索词明确指定女性。"},{"value":"women","evidence_type":"page_validated","source_span":"","fact_ids":["title_womens_flip_flop"],"rationale":"产品标题标注女士款。"}],"function_intent":[{"value":"comfort","evidence_type":"explicit","source_span":"comfortable","fact_ids":[],"rationale":"搜索词明确要求舒适。"},{"value":"comfort","evidence_type":"page_validated","source_span":"","fact_ids":["arch_support","padded_cushioning","soft_toe_post"],"rationale":"足弓支撑、缓震和柔软趾柱提供舒适。"}],"color":[{"value":"brown","evidence_type":"explicit","source_span":"brown","fact_ids":[],"rationale":"该颜色在商品页面可见颜色选择中得到明确支持。"},{"value":"brown","evidence_type":"page_validated","source_span":"","fact_ids":["colors_visible"],"rationale":"该颜色在商品页面可见颜色选择中得到明确支持。"}],"primary_domain":[{"value":"clothing_shoes_jewelry","evidence_type":"inferred","source_span":"","fact_ids":[],"rationale":"该值由搜索词整体语义推断，未作为页面明示属性。"}]}</x:v>
      </x:c>
      <x:c r="Y735" s="15" t="str"/>
      <x:c r="Z735" s="10" t="str">
        <x:v>match</x:v>
      </x:c>
      <x:c r="AA735" s="15" t="str">
        <x:v>title_womens_flip_flop | style_flip_flop | arch_support | padded_cushioning | colors_visible</x:v>
      </x:c>
      <x:c r="AB735" s="10" t="str">
        <x:v>accepted</x:v>
      </x:c>
      <x:c r="AC735" s="10" t="str">
        <x:v>1.0.0</x:v>
      </x:c>
      <x:c r="AD735" s="10" t="str">
        <x:v>1.1.0</x:v>
      </x:c>
      <x:c r="AE735" s="10" t="str">
        <x:v>deepseek/deepseek-v4-pro</x:v>
      </x:c>
      <x:c r="AF735" s="10" t="str">
        <x:v>aj2-y90-20260714T234810-0bea2f52</x:v>
      </x:c>
      <x:c r="AG735" s="10" t="str">
        <x:v>full-0037</x:v>
      </x:c>
      <x:c r="AH735" s="10" t="str">
        <x:v>full</x:v>
      </x:c>
      <x:c r="AI735" s="10" t="n">
        <x:v>37</x:v>
      </x:c>
    </x:row>
    <x:row r="736" ht="34" customHeight="1">
      <x:c r="A736" s="16" t="str">
        <x:v>pink archies dupe</x:v>
      </x:c>
      <x:c r="B736" s="16" t="str">
        <x:v>pink archies dupe</x:v>
      </x:c>
      <x:c r="C736" s="13" t="str">
        <x:v>ce56bda77e2973cc</x:v>
      </x:c>
      <x:c r="D736" s="13" t="str">
        <x:v>keyword</x:v>
      </x:c>
      <x:c r="E736" s="13" t="str">
        <x:v>en</x:v>
      </x:c>
      <x:c r="F736" s="13" t="str">
        <x:v>clothing_shoes_jewelry</x:v>
      </x:c>
      <x:c r="G736" s="16" t="str"/>
      <x:c r="H736" s="16" t="str">
        <x:v>flip_flops</x:v>
      </x:c>
      <x:c r="I736" s="16" t="str">
        <x:v>women</x:v>
      </x:c>
      <x:c r="J736" s="16" t="str">
        <x:v>arch_support</x:v>
      </x:c>
      <x:c r="K736" s="16" t="str"/>
      <x:c r="L736" s="16" t="str"/>
      <x:c r="M736" s="16" t="str"/>
      <x:c r="N736" s="16" t="str">
        <x:v>arch_support</x:v>
      </x:c>
      <x:c r="O736" s="16" t="str"/>
      <x:c r="P736" s="16" t="str">
        <x:v>substitute_brand | budget_alternative</x:v>
      </x:c>
      <x:c r="Q736" s="16" t="str"/>
      <x:c r="R736" s="16" t="str">
        <x:v>用户寻找Archies品牌粉色足弓支撑夹脚拖鞋的平价替代品。</x:v>
      </x:c>
      <x:c r="S736" s="13" t="str">
        <x:v>brand_harvest</x:v>
      </x:c>
      <x:c r="T736" s="16" t="str">
        <x:v>explicit | inferred | page_validated</x:v>
      </x:c>
      <x:c r="U736" s="13" t="str">
        <x:v>high</x:v>
      </x:c>
      <x:c r="V736" s="16" t="str">
        <x:v>pink_archies_dupe_flip_flop</x:v>
      </x:c>
      <x:c r="W736" s="16" t="str">
        <x:v>cluster_route</x:v>
      </x:c>
      <x:c r="X736" s="16" t="str">
        <x:v>{"product_type":[{"value":"flip_flops","evidence_type":"page_validated","source_span":"","fact_ids":["style_flip_flop"],"rationale":"产品为夹脚拖鞋可作替代品。"},{"value":"flip_flops","evidence_type":"inferred","source_span":"","fact_ids":[],"rationale":"该能力由搜索词表达的任务或问题推断；页面事实仅用于验证商品承接。"}],"audience_intent":[{"value":"women","evidence_type":"inferred","source_span":"archies","fact_ids":[],"rationale":"Archies品牌主打女性夹脚拖鞋。"},{"value":"women","evidence_type":"page_validated","source_span":"","fact_ids":["title_womens_flip_flop"],"rationale":"该槽位与商品基准中的明示页面事实一致。"}],"substitute_intent":[{"value":"substitute_brand","evidence_type":"inferred","source_span":"dupe","fact_ids":[],"rationale":"dupe意为寻找品牌替代品。"},{"value":"budget_alternative","evidence_type":"inferred","source_span":"dupe","fact_ids":[],"rationale":"dupe通常指向更便宜的替代方案。"}],"color":[{"value":"pink","evidence_type":"explicit","source_span":"pink","fact_ids":[],"rationale":"该颜色在商品页面可见颜色选择中得到明确支持。"},{"value":"pink","evidence_type":"page_validated","source_span":"","fact_ids":["colors_visible"],"rationale":"该颜色在商品页面可见颜色选择中得到明确支持。"}],"brand":[{"value":"archies","evidence_type":"explicit","source_span":"archies","fact_ids":[],"rationale":"搜索词包含Archies品牌名称。"}],"capability_intent":[{"value":"arch_support","evidence_type":"page_validated","source_span":"","fact_ids":["arch_support"],"rationale":"该槽位与商品基准中的明示页面事实一致。"},{"value":"arch_suppor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736" s="16" t="str"/>
      <x:c r="Z736" s="13" t="str">
        <x:v>partial_match</x:v>
      </x:c>
      <x:c r="AA736" s="16" t="str">
        <x:v>style_flip_flop | arch_support | colors_visible</x:v>
      </x:c>
      <x:c r="AB736" s="13" t="str">
        <x:v>accepted</x:v>
      </x:c>
      <x:c r="AC736" s="13" t="str">
        <x:v>1.0.0</x:v>
      </x:c>
      <x:c r="AD736" s="13" t="str">
        <x:v>1.1.0</x:v>
      </x:c>
      <x:c r="AE736" s="13" t="str">
        <x:v>deepseek/deepseek-v4-pro</x:v>
      </x:c>
      <x:c r="AF736" s="13" t="str">
        <x:v>aj2-y90-20260714T234810-0bea2f52</x:v>
      </x:c>
      <x:c r="AG736" s="13" t="str">
        <x:v>full-0037</x:v>
      </x:c>
      <x:c r="AH736" s="13" t="str">
        <x:v>full</x:v>
      </x:c>
      <x:c r="AI736" s="13" t="n">
        <x:v>37</x:v>
      </x:c>
    </x:row>
    <x:row r="737" ht="34" customHeight="1">
      <x:c r="A737" s="15" t="str">
        <x:v>walking flip flops</x:v>
      </x:c>
      <x:c r="B737" s="15" t="str">
        <x:v>walking flip flops</x:v>
      </x:c>
      <x:c r="C737" s="10" t="str">
        <x:v>d5e4f64dde615aaf</x:v>
      </x:c>
      <x:c r="D737" s="10" t="str">
        <x:v>keyword</x:v>
      </x:c>
      <x:c r="E737" s="10" t="str">
        <x:v>en</x:v>
      </x:c>
      <x:c r="F737" s="10" t="str">
        <x:v>clothing_shoes_jewelry</x:v>
      </x:c>
      <x:c r="G737" s="15" t="str">
        <x:v>sports_outdoors</x:v>
      </x:c>
      <x:c r="H737" s="15" t="str">
        <x:v>flip_flops</x:v>
      </x:c>
      <x:c r="I737" s="15" t="str"/>
      <x:c r="J737" s="15" t="str">
        <x:v>comfort</x:v>
      </x:c>
      <x:c r="K737" s="15" t="str"/>
      <x:c r="L737" s="15" t="str">
        <x:v>walking</x:v>
      </x:c>
      <x:c r="M737" s="15" t="str"/>
      <x:c r="N737" s="15" t="str"/>
      <x:c r="O737" s="15" t="str"/>
      <x:c r="P737" s="15" t="str"/>
      <x:c r="Q737" s="15" t="str"/>
      <x:c r="R737" s="15" t="str">
        <x:v>用户寻找适合长时间步行的舒适夹脚拖鞋。</x:v>
      </x:c>
      <x:c r="S737" s="10" t="str">
        <x:v>exploration</x:v>
      </x:c>
      <x:c r="T737" s="15" t="str">
        <x:v>explicit | inferred | page_validated</x:v>
      </x:c>
      <x:c r="U737" s="10" t="str">
        <x:v>high</x:v>
      </x:c>
      <x:c r="V737" s="15" t="str">
        <x:v>walking_flip_flop</x:v>
      </x:c>
      <x:c r="W737" s="15" t="str">
        <x:v>cluster_route</x:v>
      </x:c>
      <x:c r="X737" s="15" t="str">
        <x:v>{"product_type":[{"value":"flip_flops","evidence_type":"explicit","source_span":"flip flops","fact_ids":[],"rationale":"搜索词直接指定flip flops。"},{"value":"flip_flops","evidence_type":"page_validated","source_span":"","fact_ids":["style_flip_flop","style_outdoor"],"rationale":"产品为户外夹脚拖鞋。"}],"function_intent":[{"value":"comfort","evidence_type":"page_validated","source_span":"","fact_ids":["arch_support","padded_cushioning"],"rationale":"足弓支撑和缓震提供全天舒适。"},{"value":"comfort","evidence_type":"inferred","source_span":"","fact_ids":[],"rationale":"该能力由搜索词表达的任务或问题推断；页面事实仅用于验证商品承接。"}],"event_intent":[{"value":"walking","evidence_type":"explicit","source_span":"walking","fact_ids":[],"rationale":"搜索词明确指定步行活动。"}],"primary_domain":[{"value":"clothing_shoes_jewelry","evidence_type":"inferred","source_span":"","fact_ids":[],"rationale":"该值由搜索词整体语义推断，未作为页面明示属性。"}],"secondary_domain":[{"value":"sports_outdoors","evidence_type":"inferred","source_span":"","fact_ids":[],"rationale":"该值由搜索词整体语义推断，未作为页面明示属性。"}]}</x:v>
      </x:c>
      <x:c r="Y737" s="15" t="str"/>
      <x:c r="Z737" s="10" t="str">
        <x:v>match</x:v>
      </x:c>
      <x:c r="AA737" s="15" t="str">
        <x:v>style_flip_flop | arch_support | padded_cushioning | style_outdoor</x:v>
      </x:c>
      <x:c r="AB737" s="10" t="str">
        <x:v>accepted</x:v>
      </x:c>
      <x:c r="AC737" s="10" t="str">
        <x:v>1.0.0</x:v>
      </x:c>
      <x:c r="AD737" s="10" t="str">
        <x:v>1.1.0</x:v>
      </x:c>
      <x:c r="AE737" s="10" t="str">
        <x:v>deepseek/deepseek-v4-pro</x:v>
      </x:c>
      <x:c r="AF737" s="10" t="str">
        <x:v>aj2-y90-20260714T234810-0bea2f52</x:v>
      </x:c>
      <x:c r="AG737" s="10" t="str">
        <x:v>full-0037</x:v>
      </x:c>
      <x:c r="AH737" s="10" t="str">
        <x:v>full</x:v>
      </x:c>
      <x:c r="AI737" s="10" t="n">
        <x:v>37</x:v>
      </x:c>
    </x:row>
    <x:row r="738" ht="34" customHeight="1">
      <x:c r="A738" s="16" t="str">
        <x:v>neuropathy flip flops for women</x:v>
      </x:c>
      <x:c r="B738" s="16" t="str">
        <x:v>neuropathy flip flops for women</x:v>
      </x:c>
      <x:c r="C738" s="13" t="str">
        <x:v>dc16a35a53f935e1</x:v>
      </x:c>
      <x:c r="D738" s="13" t="str">
        <x:v>keyword</x:v>
      </x:c>
      <x:c r="E738" s="13" t="str">
        <x:v>en</x:v>
      </x:c>
      <x:c r="F738" s="13" t="str">
        <x:v>clothing_shoes_jewelry</x:v>
      </x:c>
      <x:c r="G738" s="16" t="str">
        <x:v>health_household</x:v>
      </x:c>
      <x:c r="H738" s="16" t="str">
        <x:v>flip_flops</x:v>
      </x:c>
      <x:c r="I738" s="16" t="str">
        <x:v>women</x:v>
      </x:c>
      <x:c r="J738" s="16" t="str">
        <x:v>pain_relief</x:v>
      </x:c>
      <x:c r="K738" s="16" t="str"/>
      <x:c r="L738" s="16" t="str"/>
      <x:c r="M738" s="16" t="str"/>
      <x:c r="N738" s="16" t="str">
        <x:v>neuropathy</x:v>
      </x:c>
      <x:c r="O738" s="16" t="str"/>
      <x:c r="P738" s="16" t="str"/>
      <x:c r="Q738" s="16" t="str"/>
      <x:c r="R738" s="16" t="str">
        <x:v>女性神经病变患者寻找适合穿着的夹脚拖鞋。</x:v>
      </x:c>
      <x:c r="S738" s="13" t="str">
        <x:v>consideration</x:v>
      </x:c>
      <x:c r="T738" s="16" t="str">
        <x:v>explicit</x:v>
      </x:c>
      <x:c r="U738" s="13" t="str">
        <x:v>high</x:v>
      </x:c>
      <x:c r="V738" s="16" t="str">
        <x:v>neuropathy_flip_flop_women</x:v>
      </x:c>
      <x:c r="W738" s="16" t="str">
        <x:v>semantic_negative_candidate</x:v>
      </x:c>
      <x:c r="X738" s="16" t="str">
        <x:v>{"product_type":[{"value":"flip_flops","evidence_type":"explicit","source_span":"flip flops","fact_ids":[],"rationale":"搜索词直接指定flip flops。"},{"value":"flip_flops","evidence_type":"page_validated","source_span":"","fact_ids":["style_flip_flop"],"rationale":"该槽位与商品基准中的明示页面事实一致。"}],"audience_intent":[{"value":"women","evidence_type":"explicit","source_span":"women","fact_ids":[],"rationale":"搜索词指定女性用户。"},{"value":"women","evidence_type":"page_validated","source_span":"","fact_ids":["title_womens_flip_flop"],"rationale":"该槽位与商品基准中的明示页面事实一致。"}],"function_intent":[{"value":"pain_relief","evidence_type":"inferred","source_span":"neuropathy","fact_ids":[],"rationale":"神经病变患者需要缓解足部疼痛。"}],"body_need_intent":[{"value":"neuropathy","evidence_type":"explicit","source_span":"neuropathy","fact_ids":[],"rationale":"搜索词明确指向神经病变需求。"}],"primary_domain":[{"value":"clothing_shoes_jewelry","evidence_type":"inferred","source_span":"","fact_ids":[],"rationale":"该值由搜索词整体语义推断，未作为页面明示属性。"}],"secondary_domain":[{"value":"health_household","evidence_type":"inferred","source_span":"","fact_ids":[],"rationale":"该值由搜索词整体语义推断，未作为页面明示属性。"}]}</x:v>
      </x:c>
      <x:c r="Y738" s="16" t="str"/>
      <x:c r="Z738" s="13" t="str">
        <x:v>mismatch</x:v>
      </x:c>
      <x:c r="AA738" s="16" t="str"/>
      <x:c r="AB738" s="13" t="str">
        <x:v>accepted</x:v>
      </x:c>
      <x:c r="AC738" s="13" t="str">
        <x:v>1.0.0</x:v>
      </x:c>
      <x:c r="AD738" s="13" t="str">
        <x:v>1.1.0</x:v>
      </x:c>
      <x:c r="AE738" s="13" t="str">
        <x:v>deepseek/deepseek-v4-pro</x:v>
      </x:c>
      <x:c r="AF738" s="13" t="str">
        <x:v>aj2-y90-20260714T234810-0bea2f52</x:v>
      </x:c>
      <x:c r="AG738" s="13" t="str">
        <x:v>full-0037</x:v>
      </x:c>
      <x:c r="AH738" s="13" t="str">
        <x:v>full</x:v>
      </x:c>
      <x:c r="AI738" s="13" t="n">
        <x:v>37</x:v>
      </x:c>
    </x:row>
    <x:row r="739" ht="34" customHeight="1">
      <x:c r="A739" s="15" t="str">
        <x:v>womens black flipflops</x:v>
      </x:c>
      <x:c r="B739" s="15" t="str">
        <x:v>womens black flipflops</x:v>
      </x:c>
      <x:c r="C739" s="10" t="str">
        <x:v>e012a1a382881ab7</x:v>
      </x:c>
      <x:c r="D739" s="10" t="str">
        <x:v>keyword</x:v>
      </x:c>
      <x:c r="E739" s="10" t="str">
        <x:v>en</x:v>
      </x:c>
      <x:c r="F739" s="10" t="str">
        <x:v>clothing_shoes_jewelry</x:v>
      </x:c>
      <x:c r="G739" s="15" t="str"/>
      <x:c r="H739" s="15" t="str">
        <x:v>flip_flops</x:v>
      </x:c>
      <x:c r="I739" s="15" t="str">
        <x:v>women</x:v>
      </x:c>
      <x:c r="J739" s="15" t="str"/>
      <x:c r="K739" s="15" t="str"/>
      <x:c r="L739" s="15" t="str"/>
      <x:c r="M739" s="15" t="str"/>
      <x:c r="N739" s="15" t="str"/>
      <x:c r="O739" s="15" t="str"/>
      <x:c r="P739" s="15" t="str"/>
      <x:c r="Q739" s="15" t="str"/>
      <x:c r="R739" s="15" t="str">
        <x:v>女性用户寻找黑色夹脚拖鞋。</x:v>
      </x:c>
      <x:c r="S739" s="10" t="str">
        <x:v>consideration</x:v>
      </x:c>
      <x:c r="T739" s="15" t="str">
        <x:v>explicit | page_validated</x:v>
      </x:c>
      <x:c r="U739" s="10" t="str">
        <x:v>high</x:v>
      </x:c>
      <x:c r="V739" s="15" t="str">
        <x:v>women_black_flip_flop</x:v>
      </x:c>
      <x:c r="W739" s="15" t="str">
        <x:v>cluster_route</x:v>
      </x:c>
      <x:c r="X739" s="15" t="str">
        <x:v>{"product_type":[{"value":"flip_flops","evidence_type":"explicit","source_span":"flipflops","fact_ids":[],"rationale":"搜索词直接指定flipflops。"},{"value":"flip_flops","evidence_type":"page_validated","source_span":"","fact_ids":["style_flip_flop","title_womens_flip_flop"],"rationale":"产品为女士夹脚拖鞋。"},{"value":"flip_flops","evidence_type":"inferred","source_span":"","fact_ids":[],"rationale":"该能力由搜索词表达的任务或问题推断；页面事实仅用于验证商品承接。"}],"audience_intent":[{"value":"women","evidence_type":"explicit","source_span":"womens","fact_ids":[],"rationale":"搜索词明确指定女性。"},{"value":"women","evidence_type":"page_validated","source_span":"","fact_ids":["title_womens_flip_flop"],"rationale":"产品标题标注女士款。"}],"color":[{"value":"black","evidence_type":"explicit","source_span":"black","fact_ids":[],"rationale":"该颜色在商品页面可见颜色选择中得到明确支持。"},{"value":"black","evidence_type":"page_validated","source_span":"","fact_ids":["colors_visible"],"rationale":"该颜色在商品页面可见颜色选择中得到明确支持。"}],"primary_domain":[{"value":"clothing_shoes_jewelry","evidence_type":"inferred","source_span":"","fact_ids":[],"rationale":"该值由搜索词整体语义推断，未作为页面明示属性。"}]}</x:v>
      </x:c>
      <x:c r="Y739" s="15" t="str"/>
      <x:c r="Z739" s="10" t="str">
        <x:v>match</x:v>
      </x:c>
      <x:c r="AA739" s="15" t="str">
        <x:v>title_womens_flip_flop | style_flip_flop | colors_visible</x:v>
      </x:c>
      <x:c r="AB739" s="10" t="str">
        <x:v>accepted</x:v>
      </x:c>
      <x:c r="AC739" s="10" t="str">
        <x:v>1.0.0</x:v>
      </x:c>
      <x:c r="AD739" s="10" t="str">
        <x:v>1.1.0</x:v>
      </x:c>
      <x:c r="AE739" s="10" t="str">
        <x:v>deepseek/deepseek-v4-pro</x:v>
      </x:c>
      <x:c r="AF739" s="10" t="str">
        <x:v>aj2-y90-20260714T234810-0bea2f52</x:v>
      </x:c>
      <x:c r="AG739" s="10" t="str">
        <x:v>full-0037</x:v>
      </x:c>
      <x:c r="AH739" s="10" t="str">
        <x:v>full</x:v>
      </x:c>
      <x:c r="AI739" s="10" t="n">
        <x:v>37</x:v>
      </x:c>
    </x:row>
    <x:row r="740" ht="34" customHeight="1">
      <x:c r="A740" s="16" t="str">
        <x:v>women navy blue slides</x:v>
      </x:c>
      <x:c r="B740" s="16" t="str">
        <x:v>women navy blue slides</x:v>
      </x:c>
      <x:c r="C740" s="13" t="str">
        <x:v>e6c05d2a4097174a</x:v>
      </x:c>
      <x:c r="D740" s="13" t="str">
        <x:v>keyword</x:v>
      </x:c>
      <x:c r="E740" s="13" t="str">
        <x:v>en</x:v>
      </x:c>
      <x:c r="F740" s="13" t="str">
        <x:v>clothing_shoes_jewelry</x:v>
      </x:c>
      <x:c r="G740" s="16" t="str"/>
      <x:c r="H740" s="16" t="str">
        <x:v>slides</x:v>
      </x:c>
      <x:c r="I740" s="16" t="str">
        <x:v>women</x:v>
      </x:c>
      <x:c r="J740" s="16" t="str"/>
      <x:c r="K740" s="16" t="str"/>
      <x:c r="L740" s="16" t="str"/>
      <x:c r="M740" s="16" t="str"/>
      <x:c r="N740" s="16" t="str"/>
      <x:c r="O740" s="16" t="str"/>
      <x:c r="P740" s="16" t="str"/>
      <x:c r="Q740" s="16" t="str"/>
      <x:c r="R740" s="16" t="str">
        <x:v>女性用户寻找深蓝色一字拖款式凉鞋。</x:v>
      </x:c>
      <x:c r="S740" s="13" t="str">
        <x:v>consideration</x:v>
      </x:c>
      <x:c r="T740" s="16" t="str">
        <x:v>explicit</x:v>
      </x:c>
      <x:c r="U740" s="13" t="str">
        <x:v>high</x:v>
      </x:c>
      <x:c r="V740" s="16" t="str">
        <x:v>women_slides_navy_blue</x:v>
      </x:c>
      <x:c r="W740" s="16" t="str">
        <x:v>semantic_negative_candidate</x:v>
      </x:c>
      <x:c r="X740" s="16" t="str">
        <x:v>{"product_type":[{"value":"slides","evidence_type":"explicit","source_span":"slides","fact_ids":[],"rationale":"搜索词明确指定slides款式而非flip flops。"}],"audience_intent":[{"value":"women","evidence_type":"explicit","source_span":"women","fact_ids":[],"rationale":"搜索词明确指定女性用户。"},{"value":"women","evidence_type":"page_validated","source_span":"","fact_ids":["title_womens_flip_flop"],"rationale":"该槽位与商品基准中的明示页面事实一致。"}],"color":[{"value":"navy_blue","evidence_type":"explicit","source_span":"navy blue","fact_ids":[],"rationale":"搜索词指定深蓝色。"}],"primary_domain":[{"value":"clothing_shoes_jewelry","evidence_type":"inferred","source_span":"","fact_ids":[],"rationale":"该值由搜索词整体语义推断，未作为页面明示属性。"}]}</x:v>
      </x:c>
      <x:c r="Y740" s="16" t="str"/>
      <x:c r="Z740" s="13" t="str">
        <x:v>mismatch</x:v>
      </x:c>
      <x:c r="AA740" s="16" t="str"/>
      <x:c r="AB740" s="13" t="str">
        <x:v>accepted</x:v>
      </x:c>
      <x:c r="AC740" s="13" t="str">
        <x:v>1.0.0</x:v>
      </x:c>
      <x:c r="AD740" s="13" t="str">
        <x:v>1.1.0</x:v>
      </x:c>
      <x:c r="AE740" s="13" t="str">
        <x:v>deepseek/deepseek-v4-pro</x:v>
      </x:c>
      <x:c r="AF740" s="13" t="str">
        <x:v>aj2-y90-20260714T234810-0bea2f52</x:v>
      </x:c>
      <x:c r="AG740" s="13" t="str">
        <x:v>full-0037</x:v>
      </x:c>
      <x:c r="AH740" s="13" t="str">
        <x:v>full</x:v>
      </x:c>
      <x:c r="AI740" s="13" t="n">
        <x:v>37</x:v>
      </x:c>
    </x:row>
    <x:row r="741" ht="34" customHeight="1">
      <x:c r="A741" s="15" t="str">
        <x:v>flip flops women size 11 arch support</x:v>
      </x:c>
      <x:c r="B741" s="15" t="str">
        <x:v>flip flops women size 11 arch support</x:v>
      </x:c>
      <x:c r="C741" s="10" t="str">
        <x:v>e742f34be64924d7</x:v>
      </x:c>
      <x:c r="D741" s="10" t="str">
        <x:v>keyword</x:v>
      </x:c>
      <x:c r="E741" s="10" t="str">
        <x:v>en</x:v>
      </x:c>
      <x:c r="F741" s="10" t="str">
        <x:v>clothing_shoes_jewelry</x:v>
      </x:c>
      <x:c r="G741" s="15" t="str"/>
      <x:c r="H741" s="15" t="str">
        <x:v>flip_flops</x:v>
      </x:c>
      <x:c r="I741" s="15" t="str">
        <x:v>women</x:v>
      </x:c>
      <x:c r="J741" s="15" t="str">
        <x:v>arch_support</x:v>
      </x:c>
      <x:c r="K741" s="15" t="str"/>
      <x:c r="L741" s="15" t="str"/>
      <x:c r="M741" s="15" t="str"/>
      <x:c r="N741" s="15" t="str">
        <x:v>arch_support</x:v>
      </x:c>
      <x:c r="O741" s="15" t="str"/>
      <x:c r="P741" s="15" t="str"/>
      <x:c r="Q741" s="15" t="str"/>
      <x:c r="R741" s="15" t="str">
        <x:v>女性用户寻找11码具备足弓支撑功能的夹脚拖鞋。</x:v>
      </x:c>
      <x:c r="S741" s="10" t="str">
        <x:v>high_intent</x:v>
      </x:c>
      <x:c r="T741" s="15" t="str">
        <x:v>explicit | page_validated</x:v>
      </x:c>
      <x:c r="U741" s="10" t="str">
        <x:v>high</x:v>
      </x:c>
      <x:c r="V741" s="15" t="str">
        <x:v>women_size11_arch_support_flip_flop</x:v>
      </x:c>
      <x:c r="W741" s="15" t="str">
        <x:v>cluster_route</x:v>
      </x:c>
      <x:c r="X741" s="15" t="str">
        <x:v>{"product_type":[{"value":"flip_flops","evidence_type":"explicit","source_span":"flip flops","fact_ids":[],"rationale":"搜索词直接指定flip flops。"},{"value":"flip_flops","evidence_type":"page_validated","source_span":"","fact_ids":["style_flip_flop","title_womens_flip_flop"],"rationale":"产品为女士夹脚拖鞋。"}],"audience_intent":[{"value":"women","evidence_type":"explicit","source_span":"women","fact_ids":[],"rationale":"搜索词明确指定女性。"},{"value":"women","evidence_type":"page_validated","source_span":"","fact_ids":["title_womens_flip_flop"],"rationale":"产品标题为女士款。"}],"size":[{"value":"11","evidence_type":"explicit","source_span":"size 11","fact_ids":[],"rationale":"搜索词指定US 11码。"},{"value":"11","evidence_type":"page_validated","source_span":"","fact_ids":["sizes_6_11"],"rationale":"产品尺码范围6-11包含11码。"}],"capability_intent":[{"value":"arch_support","evidence_type":"page_validated","source_span":"","fact_ids":["arch_support"],"rationale":"该槽位与商品基准中的明示页面事实一致。"}],"primary_domain":[{"value":"clothing_shoes_jewelry","evidence_type":"inferred","source_span":"","fact_ids":[],"rationale":"该值由搜索词整体语义推断，未作为页面明示属性。"}]}</x:v>
      </x:c>
      <x:c r="Y741" s="15" t="str"/>
      <x:c r="Z741" s="10" t="str">
        <x:v>match</x:v>
      </x:c>
      <x:c r="AA741" s="15" t="str">
        <x:v>title_womens_flip_flop | style_flip_flop | arch_support | sizes_6_11</x:v>
      </x:c>
      <x:c r="AB741" s="10" t="str">
        <x:v>accepted</x:v>
      </x:c>
      <x:c r="AC741" s="10" t="str">
        <x:v>1.0.0</x:v>
      </x:c>
      <x:c r="AD741" s="10" t="str">
        <x:v>1.1.0</x:v>
      </x:c>
      <x:c r="AE741" s="10" t="str">
        <x:v>deepseek/deepseek-v4-pro</x:v>
      </x:c>
      <x:c r="AF741" s="10" t="str">
        <x:v>aj2-y90-20260714T234810-0bea2f52</x:v>
      </x:c>
      <x:c r="AG741" s="10" t="str">
        <x:v>full-0037</x:v>
      </x:c>
      <x:c r="AH741" s="10" t="str">
        <x:v>full</x:v>
      </x:c>
      <x:c r="AI741" s="10" t="n">
        <x:v>37</x:v>
      </x:c>
    </x:row>
    <x:row r="742" ht="34" customHeight="1">
      <x:c r="A742" s="16" t="str">
        <x:v>women flip flips on sale</x:v>
      </x:c>
      <x:c r="B742" s="16" t="str">
        <x:v>women flip flips on sale</x:v>
      </x:c>
      <x:c r="C742" s="13" t="str">
        <x:v>0821de08ed615f64</x:v>
      </x:c>
      <x:c r="D742" s="13" t="str">
        <x:v>keyword</x:v>
      </x:c>
      <x:c r="E742" s="13" t="str">
        <x:v>en</x:v>
      </x:c>
      <x:c r="F742" s="13" t="str">
        <x:v>clothing_shoes_jewelry</x:v>
      </x:c>
      <x:c r="G742" s="16" t="str"/>
      <x:c r="H742" s="16" t="str">
        <x:v>flip_flop</x:v>
      </x:c>
      <x:c r="I742" s="16" t="str">
        <x:v>women</x:v>
      </x:c>
      <x:c r="J742" s="16" t="str"/>
      <x:c r="K742" s="16" t="str"/>
      <x:c r="L742" s="16" t="str"/>
      <x:c r="M742" s="16" t="str"/>
      <x:c r="N742" s="16" t="str"/>
      <x:c r="O742" s="16" t="str"/>
      <x:c r="P742" s="16" t="str"/>
      <x:c r="Q742" s="16" t="str"/>
      <x:c r="R742" s="16" t="str">
        <x:v>女性用户寻找打折促销的夹脚拖鞋。</x:v>
      </x:c>
      <x:c r="S742" s="13" t="str">
        <x:v>high_intent</x:v>
      </x:c>
      <x:c r="T742" s="16" t="str">
        <x:v>explicit | inferred</x:v>
      </x:c>
      <x:c r="U742" s="13" t="str">
        <x:v>medium</x:v>
      </x:c>
      <x:c r="V742" s="16" t="str">
        <x:v>womens_flip_flops_sale</x:v>
      </x:c>
      <x:c r="W742" s="16" t="str">
        <x:v>performance_observation</x:v>
      </x:c>
      <x:c r="X742" s="16" t="str">
        <x:v>{"product_type":[{"value":"flip_flop","evidence_type":"explicit","source_span":"flip flips","fact_ids":[],"rationale":"搜索词flip flips为flip flops拼写变体"},{"value":"flip_flop","evidence_type":"page_validated","source_span":"","fact_ids":["style_flip_flop"],"rationale":"该槽位与商品基准中的明示页面事实一致。"},{"value":"flip_flop","evidence_type":"inferred","source_span":"","fact_ids":[],"rationale":"该能力由搜索词表达的任务或问题推断；页面事实仅用于验证商品承接。"}],"audience_intent":[{"value":"women","evidence_type":"explicit","source_span":"women","fact_ids":[],"rationale":"搜索词指定女性"},{"value":"women","evidence_type":"page_validated","source_span":"","fact_ids":["title_womens_flip_flop"],"rationale":"该槽位与商品基准中的明示页面事实一致。"}],"price":[{"value":"on_sale","evidence_type":"explicit","source_span":"on sale","fact_ids":[],"rationale":"搜索词要求促销折扣，但价格属于排除声明"}],"primary_domain":[{"value":"clothing_shoes_jewelry","evidence_type":"inferred","source_span":"","fact_ids":[],"rationale":"该值由搜索词整体语义推断，未作为页面明示属性。"}]}</x:v>
      </x:c>
      <x:c r="Y742" s="16" t="str">
        <x:v>typo_flip_flips</x:v>
      </x:c>
      <x:c r="Z742" s="13" t="str">
        <x:v>partial_match</x:v>
      </x:c>
      <x:c r="AA742" s="16" t="str">
        <x:v>title_womens_flip_flop | style_flip_flop</x:v>
      </x:c>
      <x:c r="AB742" s="13" t="str">
        <x:v>accepted</x:v>
      </x:c>
      <x:c r="AC742" s="13" t="str">
        <x:v>1.0.0</x:v>
      </x:c>
      <x:c r="AD742" s="13" t="str">
        <x:v>1.1.0</x:v>
      </x:c>
      <x:c r="AE742" s="13" t="str">
        <x:v>deepseek/deepseek-v4-pro</x:v>
      </x:c>
      <x:c r="AF742" s="13" t="str">
        <x:v>aj2-y90-20260714T234810-0bea2f52</x:v>
      </x:c>
      <x:c r="AG742" s="13" t="str">
        <x:v>full-0038</x:v>
      </x:c>
      <x:c r="AH742" s="13" t="str">
        <x:v>full</x:v>
      </x:c>
      <x:c r="AI742" s="13" t="n">
        <x:v>38</x:v>
      </x:c>
    </x:row>
    <x:row r="743" ht="34" customHeight="1">
      <x:c r="A743" s="15" t="str">
        <x:v>white flip flop with arch support</x:v>
      </x:c>
      <x:c r="B743" s="15" t="str">
        <x:v>white flip flop with arch support</x:v>
      </x:c>
      <x:c r="C743" s="10" t="str">
        <x:v>1cede1733de4b482</x:v>
      </x:c>
      <x:c r="D743" s="10" t="str">
        <x:v>keyword</x:v>
      </x:c>
      <x:c r="E743" s="10" t="str">
        <x:v>en</x:v>
      </x:c>
      <x:c r="F743" s="10" t="str">
        <x:v>clothing_shoes_jewelry</x:v>
      </x:c>
      <x:c r="G743" s="15" t="str"/>
      <x:c r="H743" s="15" t="str">
        <x:v>flip_flop</x:v>
      </x:c>
      <x:c r="I743" s="15" t="str"/>
      <x:c r="J743" s="15" t="str">
        <x:v>arch_support</x:v>
      </x:c>
      <x:c r="K743" s="15" t="str"/>
      <x:c r="L743" s="15" t="str"/>
      <x:c r="M743" s="15" t="str"/>
      <x:c r="N743" s="15" t="str"/>
      <x:c r="O743" s="15" t="str"/>
      <x:c r="P743" s="15" t="str"/>
      <x:c r="Q743" s="15" t="str"/>
      <x:c r="R743" s="15" t="str">
        <x:v>用户寻找白色且具备足弓支撑的夹脚拖鞋。</x:v>
      </x:c>
      <x:c r="S743" s="10" t="str">
        <x:v>high_intent</x:v>
      </x:c>
      <x:c r="T743" s="15" t="str">
        <x:v>explicit | page_validated</x:v>
      </x:c>
      <x:c r="U743" s="10" t="str">
        <x:v>high</x:v>
      </x:c>
      <x:c r="V743" s="15" t="str">
        <x:v>white_arch_support_flip_flops</x:v>
      </x:c>
      <x:c r="W743" s="15" t="str">
        <x:v>cluster_route</x:v>
      </x:c>
      <x:c r="X743" s="15" t="str">
        <x:v>{"product_type":[{"value":"flip_flop","evidence_type":"explicit","source_span":"flip flop","fact_ids":[],"rationale":"搜索词明确产品类型"},{"value":"flip_flop","evidence_type":"page_validated","source_span":"","fact_ids":["style_flip_flop"],"rationale":"该槽位与商品基准中的明示页面事实一致。"}],"function_intent":[{"value":"arch_support","evidence_type":"page_validated","source_span":"","fact_ids":["arch_support"],"rationale":"页面声明人体工学足弓支撑"}],"color":[{"value":"white","evidence_type":"page_validated","source_span":"","fact_ids":["colors_visible"],"rationale":"该颜色在商品页面可见颜色选择中得到明确支持。"}],"primary_domain":[{"value":"clothing_shoes_jewelry","evidence_type":"inferred","source_span":"","fact_ids":[],"rationale":"该值由搜索词整体语义推断，未作为页面明示属性。"}]}</x:v>
      </x:c>
      <x:c r="Y743" s="15" t="str"/>
      <x:c r="Z743" s="10" t="str">
        <x:v>match</x:v>
      </x:c>
      <x:c r="AA743" s="15" t="str">
        <x:v>arch_support | colors_visible | style_flip_flop</x:v>
      </x:c>
      <x:c r="AB743" s="10" t="str">
        <x:v>accepted</x:v>
      </x:c>
      <x:c r="AC743" s="10" t="str">
        <x:v>1.0.0</x:v>
      </x:c>
      <x:c r="AD743" s="10" t="str">
        <x:v>1.1.0</x:v>
      </x:c>
      <x:c r="AE743" s="10" t="str">
        <x:v>deepseek/deepseek-v4-pro</x:v>
      </x:c>
      <x:c r="AF743" s="10" t="str">
        <x:v>aj2-y90-20260714T234810-0bea2f52</x:v>
      </x:c>
      <x:c r="AG743" s="10" t="str">
        <x:v>full-0038</x:v>
      </x:c>
      <x:c r="AH743" s="10" t="str">
        <x:v>full</x:v>
      </x:c>
      <x:c r="AI743" s="10" t="n">
        <x:v>38</x:v>
      </x:c>
    </x:row>
    <x:row r="744" ht="34" customHeight="1">
      <x:c r="A744" s="16" t="str">
        <x:v>beach sandal women waterproof</x:v>
      </x:c>
      <x:c r="B744" s="16" t="str">
        <x:v>beach sandal women waterproof</x:v>
      </x:c>
      <x:c r="C744" s="13" t="str">
        <x:v>251b81c4bf52468a</x:v>
      </x:c>
      <x:c r="D744" s="13" t="str">
        <x:v>keyword</x:v>
      </x:c>
      <x:c r="E744" s="13" t="str">
        <x:v>en</x:v>
      </x:c>
      <x:c r="F744" s="13" t="str">
        <x:v>clothing_shoes_jewelry</x:v>
      </x:c>
      <x:c r="G744" s="16" t="str">
        <x:v>sports_outdoors</x:v>
      </x:c>
      <x:c r="H744" s="16" t="str">
        <x:v>sandal</x:v>
      </x:c>
      <x:c r="I744" s="16" t="str">
        <x:v>women</x:v>
      </x:c>
      <x:c r="J744" s="16" t="str">
        <x:v>waterproof</x:v>
      </x:c>
      <x:c r="K744" s="16" t="str">
        <x:v>waterproof</x:v>
      </x:c>
      <x:c r="L744" s="16" t="str">
        <x:v>beach_outing</x:v>
      </x:c>
      <x:c r="M744" s="16" t="str">
        <x:v>beach</x:v>
      </x:c>
      <x:c r="N744" s="16" t="str"/>
      <x:c r="O744" s="16" t="str"/>
      <x:c r="P744" s="16" t="str"/>
      <x:c r="Q744" s="16" t="str"/>
      <x:c r="R744" s="16" t="str">
        <x:v>女性用户寻找防水沙滩凉鞋。</x:v>
      </x:c>
      <x:c r="S744" s="13" t="str">
        <x:v>high_intent</x:v>
      </x:c>
      <x:c r="T744" s="16" t="str">
        <x:v>explicit | inferred</x:v>
      </x:c>
      <x:c r="U744" s="13" t="str">
        <x:v>high</x:v>
      </x:c>
      <x:c r="V744" s="16" t="str">
        <x:v>waterproof_beach_sandals</x:v>
      </x:c>
      <x:c r="W744" s="16" t="str">
        <x:v>semantic_negative_candidate</x:v>
      </x:c>
      <x:c r="X744" s="16" t="str">
        <x:v>{"product_type":[{"value":"sandal","evidence_type":"explicit","source_span":"sandal","fact_ids":[],"rationale":"搜索词明确凉鞋品类"}],"audience_intent":[{"value":"women","evidence_type":"explicit","source_span":"women","fact_ids":[],"rationale":"搜索词指定女性"},{"value":"women","evidence_type":"page_validated","source_span":"","fact_ids":["title_womens_flip_flop"],"rationale":"该槽位与商品基准中的明示页面事实一致。"}],"location_intent":[{"value":"beach","evidence_type":"explicit","source_span":"beach","fact_ids":[],"rationale":"搜索词明确沙滩场景"}],"capability_intent":[{"value":"waterproof","evidence_type":"explicit","source_span":"waterproof","fact_ids":[],"rationale":"搜索词明确防水需求"}],"negation":[{"value":"waterproof_excluded","evidence_type":"inferred","source_span":"","fact_ids":[],"rationale":"页面排除防水/快干声明"}],"event_intent":[{"value":"beach_outing","evidence_type":"inferred","source_span":"","fact_ids":[],"rationale":"该值由搜索词整体语义推断，未作为页面明示属性。"}],"function_intent":[{"value":"waterproof","evidence_type":"inferred","source_span":"","fact_ids":[],"rationale":"该值由搜索词整体语义推断，未作为页面明示属性。"}],"primary_domain":[{"value":"clothing_shoes_jewelry","evidence_type":"inferred","source_span":"","fact_ids":[],"rationale":"该值由搜索词整体语义推断，未作为页面明示属性。"}],"secondary_domain":[{"value":"sports_outdoors","evidence_type":"inferred","source_span":"","fact_ids":[],"rationale":"该值由搜索词整体语义推断，未作为页面明示属性。"}]}</x:v>
      </x:c>
      <x:c r="Y744" s="16" t="str"/>
      <x:c r="Z744" s="13" t="str">
        <x:v>mismatch</x:v>
      </x:c>
      <x:c r="AA744" s="16" t="str"/>
      <x:c r="AB744" s="13" t="str">
        <x:v>accepted</x:v>
      </x:c>
      <x:c r="AC744" s="13" t="str">
        <x:v>1.0.0</x:v>
      </x:c>
      <x:c r="AD744" s="13" t="str">
        <x:v>1.1.0</x:v>
      </x:c>
      <x:c r="AE744" s="13" t="str">
        <x:v>deepseek/deepseek-v4-pro</x:v>
      </x:c>
      <x:c r="AF744" s="13" t="str">
        <x:v>aj2-y90-20260714T234810-0bea2f52</x:v>
      </x:c>
      <x:c r="AG744" s="13" t="str">
        <x:v>full-0038</x:v>
      </x:c>
      <x:c r="AH744" s="13" t="str">
        <x:v>full</x:v>
      </x:c>
      <x:c r="AI744" s="13" t="n">
        <x:v>38</x:v>
      </x:c>
    </x:row>
    <x:row r="745" ht="34" customHeight="1">
      <x:c r="A745" s="15" t="str">
        <x:v>chocolate brown flip flops women</x:v>
      </x:c>
      <x:c r="B745" s="15" t="str">
        <x:v>chocolate brown flip flops women</x:v>
      </x:c>
      <x:c r="C745" s="10" t="str">
        <x:v>2a0f9d2b9761a07e</x:v>
      </x:c>
      <x:c r="D745" s="10" t="str">
        <x:v>keyword</x:v>
      </x:c>
      <x:c r="E745" s="10" t="str">
        <x:v>en</x:v>
      </x:c>
      <x:c r="F745" s="10" t="str">
        <x:v>clothing_shoes_jewelry</x:v>
      </x:c>
      <x:c r="G745" s="15" t="str"/>
      <x:c r="H745" s="15" t="str">
        <x:v>flip_flop</x:v>
      </x:c>
      <x:c r="I745" s="15" t="str">
        <x:v>women</x:v>
      </x:c>
      <x:c r="J745" s="15" t="str"/>
      <x:c r="K745" s="15" t="str"/>
      <x:c r="L745" s="15" t="str"/>
      <x:c r="M745" s="15" t="str"/>
      <x:c r="N745" s="15" t="str"/>
      <x:c r="O745" s="15" t="str"/>
      <x:c r="P745" s="15" t="str"/>
      <x:c r="Q745" s="15" t="str"/>
      <x:c r="R745" s="15" t="str">
        <x:v>女性用户寻找巧克力棕色夹脚拖鞋。</x:v>
      </x:c>
      <x:c r="S745" s="10" t="str">
        <x:v>high_intent</x:v>
      </x:c>
      <x:c r="T745" s="15" t="str">
        <x:v>explicit | page_validated</x:v>
      </x:c>
      <x:c r="U745" s="10" t="str">
        <x:v>high</x:v>
      </x:c>
      <x:c r="V745" s="15" t="str">
        <x:v>brown_womens_flip_flops</x:v>
      </x:c>
      <x:c r="W745" s="15" t="str">
        <x:v>cluster_route</x:v>
      </x:c>
      <x:c r="X745" s="15" t="str">
        <x:v>{"product_type":[{"value":"flip_flop","evidence_type":"explicit","source_span":"flip flops","fact_ids":[],"rationale":"搜索词明确产品类型"},{"value":"flip_flop","evidence_type":"page_validated","source_span":"","fact_ids":["style_flip_flop"],"rationale":"该槽位与商品基准中的明示页面事实一致。"}],"audience_intent":[{"value":"women","evidence_type":"explicit","source_span":"women","fact_ids":[],"rationale":"搜索词指定女性"},{"value":"women","evidence_type":"page_validated","source_span":"","fact_ids":["title_womens_flip_flop"],"rationale":"该槽位与商品基准中的明示页面事实一致。"}],"color":[{"value":"chocolate_brown","evidence_type":"inferred","source_span":"","fact_ids":[],"rationale":"这是搜索词中的颜色约束，但商品页面基准未确认该具体颜色。"}],"primary_domain":[{"value":"clothing_shoes_jewelry","evidence_type":"inferred","source_span":"","fact_ids":[],"rationale":"该值由搜索词整体语义推断，未作为页面明示属性。"}]}</x:v>
      </x:c>
      <x:c r="Y745" s="15" t="str"/>
      <x:c r="Z745" s="10" t="str">
        <x:v>match</x:v>
      </x:c>
      <x:c r="AA745" s="15" t="str">
        <x:v>colors_visible | style_flip_flop | title_womens_flip_flop</x:v>
      </x:c>
      <x:c r="AB745" s="10" t="str">
        <x:v>accepted</x:v>
      </x:c>
      <x:c r="AC745" s="10" t="str">
        <x:v>1.0.0</x:v>
      </x:c>
      <x:c r="AD745" s="10" t="str">
        <x:v>1.1.0</x:v>
      </x:c>
      <x:c r="AE745" s="10" t="str">
        <x:v>deepseek/deepseek-v4-pro</x:v>
      </x:c>
      <x:c r="AF745" s="10" t="str">
        <x:v>aj2-y90-20260714T234810-0bea2f52</x:v>
      </x:c>
      <x:c r="AG745" s="10" t="str">
        <x:v>full-0038</x:v>
      </x:c>
      <x:c r="AH745" s="10" t="str">
        <x:v>full</x:v>
      </x:c>
      <x:c r="AI745" s="10" t="n">
        <x:v>38</x:v>
      </x:c>
    </x:row>
    <x:row r="746" ht="34" customHeight="1">
      <x:c r="A746" s="16" t="str">
        <x:v>indoor flip flops</x:v>
      </x:c>
      <x:c r="B746" s="16" t="str">
        <x:v>indoor flip flops</x:v>
      </x:c>
      <x:c r="C746" s="13" t="str">
        <x:v>2f2f4dcabbced64c</x:v>
      </x:c>
      <x:c r="D746" s="13" t="str">
        <x:v>keyword</x:v>
      </x:c>
      <x:c r="E746" s="13" t="str">
        <x:v>en</x:v>
      </x:c>
      <x:c r="F746" s="13" t="str">
        <x:v>clothing_shoes_jewelry</x:v>
      </x:c>
      <x:c r="G746" s="16" t="str">
        <x:v>home_kitchen</x:v>
      </x:c>
      <x:c r="H746" s="16" t="str">
        <x:v>flip_flop</x:v>
      </x:c>
      <x:c r="I746" s="16" t="str"/>
      <x:c r="J746" s="16" t="str"/>
      <x:c r="K746" s="16" t="str"/>
      <x:c r="L746" s="16" t="str"/>
      <x:c r="M746" s="16" t="str">
        <x:v>indoor</x:v>
      </x:c>
      <x:c r="N746" s="16" t="str"/>
      <x:c r="O746" s="16" t="str"/>
      <x:c r="P746" s="16" t="str"/>
      <x:c r="Q746" s="16" t="str"/>
      <x:c r="R746" s="16" t="str">
        <x:v>用户寻找适合室内穿着的夹脚拖鞋。</x:v>
      </x:c>
      <x:c r="S746" s="13" t="str">
        <x:v>consideration</x:v>
      </x:c>
      <x:c r="T746" s="16" t="str">
        <x:v>explicit | inferred</x:v>
      </x:c>
      <x:c r="U746" s="13" t="str">
        <x:v>high</x:v>
      </x:c>
      <x:c r="V746" s="16" t="str">
        <x:v>indoor_flip_flops</x:v>
      </x:c>
      <x:c r="W746" s="16" t="str">
        <x:v>semantic_negative_candidate</x:v>
      </x:c>
      <x:c r="X746" s="16" t="str">
        <x:v>{"product_type":[{"value":"flip_flop","evidence_type":"explicit","source_span":"flip flops","fact_ids":[],"rationale":"搜索词明确产品类型"},{"value":"flip_flop","evidence_type":"page_validated","source_span":"","fact_ids":["style_flip_flop"],"rationale":"该槽位与商品基准中的明示页面事实一致。"}],"location_intent":[{"value":"indoor","evidence_type":"explicit","source_span":"indoor","fact_ids":[],"rationale":"搜索词明确室内场景"}],"negation":[{"value":"style_outdoor_conflict","evidence_type":"inferred","source_span":"","fact_ids":[],"rationale":"页面定位户外生活方式，与室内需求冲突"}],"primary_domain":[{"value":"clothing_shoes_jewelry","evidence_type":"inferred","source_span":"","fact_ids":[],"rationale":"该值由搜索词整体语义推断，未作为页面明示属性。"}],"secondary_domain":[{"value":"home_kitchen","evidence_type":"inferred","source_span":"","fact_ids":[],"rationale":"该值由搜索词整体语义推断，未作为页面明示属性。"}]}</x:v>
      </x:c>
      <x:c r="Y746" s="16" t="str"/>
      <x:c r="Z746" s="13" t="str">
        <x:v>mismatch</x:v>
      </x:c>
      <x:c r="AA746" s="16" t="str"/>
      <x:c r="AB746" s="13" t="str">
        <x:v>accepted</x:v>
      </x:c>
      <x:c r="AC746" s="13" t="str">
        <x:v>1.0.0</x:v>
      </x:c>
      <x:c r="AD746" s="13" t="str">
        <x:v>1.1.0</x:v>
      </x:c>
      <x:c r="AE746" s="13" t="str">
        <x:v>deepseek/deepseek-v4-pro</x:v>
      </x:c>
      <x:c r="AF746" s="13" t="str">
        <x:v>aj2-y90-20260714T234810-0bea2f52</x:v>
      </x:c>
      <x:c r="AG746" s="13" t="str">
        <x:v>full-0038</x:v>
      </x:c>
      <x:c r="AH746" s="13" t="str">
        <x:v>full</x:v>
      </x:c>
      <x:c r="AI746" s="13" t="n">
        <x:v>38</x:v>
      </x:c>
    </x:row>
    <x:row r="747" ht="34" customHeight="1">
      <x:c r="A747" s="15" t="str">
        <x:v>flip flops with memory foam for women</x:v>
      </x:c>
      <x:c r="B747" s="15" t="str">
        <x:v>flip flops with memory foam for women</x:v>
      </x:c>
      <x:c r="C747" s="10" t="str">
        <x:v>3fe69d755f687bbc</x:v>
      </x:c>
      <x:c r="D747" s="10" t="str">
        <x:v>keyword</x:v>
      </x:c>
      <x:c r="E747" s="10" t="str">
        <x:v>en</x:v>
      </x:c>
      <x:c r="F747" s="10" t="str">
        <x:v>clothing_shoes_jewelry</x:v>
      </x:c>
      <x:c r="G747" s="15" t="str"/>
      <x:c r="H747" s="15" t="str">
        <x:v>flip_flop</x:v>
      </x:c>
      <x:c r="I747" s="15" t="str">
        <x:v>women</x:v>
      </x:c>
      <x:c r="J747" s="15" t="str">
        <x:v>cushioning</x:v>
      </x:c>
      <x:c r="K747" s="15" t="str">
        <x:v>memory_foam</x:v>
      </x:c>
      <x:c r="L747" s="15" t="str"/>
      <x:c r="M747" s="15" t="str"/>
      <x:c r="N747" s="15" t="str"/>
      <x:c r="O747" s="15" t="str"/>
      <x:c r="P747" s="15" t="str"/>
      <x:c r="Q747" s="15" t="str"/>
      <x:c r="R747" s="15" t="str">
        <x:v>女性用户寻找带记忆棉鞋床的夹脚拖鞋以获得更佳贴合缓震。</x:v>
      </x:c>
      <x:c r="S747" s="10" t="str">
        <x:v>high_intent</x:v>
      </x:c>
      <x:c r="T747" s="15" t="str">
        <x:v>explicit | page_validated | inferred</x:v>
      </x:c>
      <x:c r="U747" s="10" t="str">
        <x:v>medium</x:v>
      </x:c>
      <x:c r="V747" s="15" t="str">
        <x:v>memory_foam_flip_flops</x:v>
      </x:c>
      <x:c r="W747" s="15" t="str">
        <x:v>listing_gap_review</x:v>
      </x:c>
      <x:c r="X747" s="15" t="str">
        <x:v>{"product_type":[{"value":"flip_flop","evidence_type":"explicit","source_span":"flip flops","fact_ids":[],"rationale":"搜索词明确产品类型"},{"value":"flip_flop","evidence_type":"page_validated","source_span":"","fact_ids":["style_flip_flop"],"rationale":"该槽位与商品基准中的明示页面事实一致。"}],"audience_intent":[{"value":"women","evidence_type":"explicit","source_span":"for women","fact_ids":[],"rationale":"搜索词指定女性"},{"value":"women","evidence_type":"page_validated","source_span":"","fact_ids":["title_womens_flip_flop"],"rationale":"该槽位与商品基准中的明示页面事实一致。"}],"capability_intent":[{"value":"memory_foam","evidence_type":"explicit","source_span":"memory foam","fact_ids":[],"rationale":"搜索词明确记忆棉材质"}],"function_intent":[{"value":"cushioning","evidence_type":"page_validated","source_span":"","fact_ids":["padded_cushioning"],"rationale":"页面有加厚缓震，但未声明记忆棉"},{"value":"cushioning","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747" s="15" t="str"/>
      <x:c r="Z747" s="10" t="str">
        <x:v>partial_match</x:v>
      </x:c>
      <x:c r="AA747" s="15" t="str">
        <x:v>padded_cushioning | title_womens_flip_flop | style_flip_flop</x:v>
      </x:c>
      <x:c r="AB747" s="10" t="str">
        <x:v>accepted</x:v>
      </x:c>
      <x:c r="AC747" s="10" t="str">
        <x:v>1.0.0</x:v>
      </x:c>
      <x:c r="AD747" s="10" t="str">
        <x:v>1.1.0</x:v>
      </x:c>
      <x:c r="AE747" s="10" t="str">
        <x:v>deepseek/deepseek-v4-pro</x:v>
      </x:c>
      <x:c r="AF747" s="10" t="str">
        <x:v>aj2-y90-20260714T234810-0bea2f52</x:v>
      </x:c>
      <x:c r="AG747" s="10" t="str">
        <x:v>full-0038</x:v>
      </x:c>
      <x:c r="AH747" s="10" t="str">
        <x:v>full</x:v>
      </x:c>
      <x:c r="AI747" s="10" t="n">
        <x:v>38</x:v>
      </x:c>
    </x:row>
    <x:row r="748" ht="34" customHeight="1">
      <x:c r="A748" s="16" t="str">
        <x:v>women flip flos for the water</x:v>
      </x:c>
      <x:c r="B748" s="16" t="str">
        <x:v>women flip flos for the water</x:v>
      </x:c>
      <x:c r="C748" s="13" t="str">
        <x:v>4ee88dfb59d85dee</x:v>
      </x:c>
      <x:c r="D748" s="13" t="str">
        <x:v>keyword</x:v>
      </x:c>
      <x:c r="E748" s="13" t="str">
        <x:v>en</x:v>
      </x:c>
      <x:c r="F748" s="13" t="str">
        <x:v>clothing_shoes_jewelry</x:v>
      </x:c>
      <x:c r="G748" s="16" t="str">
        <x:v>sports_outdoors</x:v>
      </x:c>
      <x:c r="H748" s="16" t="str">
        <x:v>flip_flop</x:v>
      </x:c>
      <x:c r="I748" s="16" t="str">
        <x:v>women</x:v>
      </x:c>
      <x:c r="J748" s="16" t="str">
        <x:v>water_use</x:v>
      </x:c>
      <x:c r="K748" s="16" t="str">
        <x:v>water_resistant</x:v>
      </x:c>
      <x:c r="L748" s="16" t="str">
        <x:v>water_activity</x:v>
      </x:c>
      <x:c r="M748" s="16" t="str">
        <x:v>beach | pool</x:v>
      </x:c>
      <x:c r="N748" s="16" t="str"/>
      <x:c r="O748" s="16" t="str"/>
      <x:c r="P748" s="16" t="str"/>
      <x:c r="Q748" s="16" t="str"/>
      <x:c r="R748" s="16" t="str">
        <x:v>女性用户需要适合涉水穿着的夹脚拖鞋，要求防水或快干功能。</x:v>
      </x:c>
      <x:c r="S748" s="13" t="str">
        <x:v>high_intent</x:v>
      </x:c>
      <x:c r="T748" s="16" t="str">
        <x:v>explicit | inferred</x:v>
      </x:c>
      <x:c r="U748" s="13" t="str">
        <x:v>high</x:v>
      </x:c>
      <x:c r="V748" s="16" t="str">
        <x:v>water_flip_flops_women</x:v>
      </x:c>
      <x:c r="W748" s="16" t="str">
        <x:v>semantic_negative_candidate</x:v>
      </x:c>
      <x:c r="X748" s="16" t="str">
        <x:v>{"product_type":[{"value":"flip_flop","evidence_type":"explicit","source_span":"flip flos","fact_ids":[],"rationale":"搜索词flip flos为flip flops拼写变体"},{"value":"flip_flop","evidence_type":"page_validated","source_span":"","fact_ids":["style_flip_flop"],"rationale":"该槽位与商品基准中的明示页面事实一致。"},{"value":"flip_flop","evidence_type":"inferred","source_span":"","fact_ids":[],"rationale":"该能力由搜索词表达的任务或问题推断；页面事实仅用于验证商品承接。"}],"audience_intent":[{"value":"women","evidence_type":"explicit","source_span":"women","fact_ids":[],"rationale":"搜索词指定女性"},{"value":"women","evidence_type":"page_validated","source_span":"","fact_ids":["title_womens_flip_flop"],"rationale":"该槽位与商品基准中的明示页面事实一致。"}],"function_intent":[{"value":"water_use","evidence_type":"explicit","source_span":"for the water","fact_ids":[],"rationale":"搜索词明确涉水用途"}],"location_intent":[{"value":"beach","evidence_type":"inferred","source_span":"water","fact_ids":[],"rationale":"涉水场景常关联海滩"},{"value":"pool","evidence_type":"inferred","source_span":"water","fact_ids":[],"rationale":"涉水场景常关联泳池"}],"negation":[{"value":"waterproof_excluded","evidence_type":"inferred","source_span":"","fact_ids":[],"rationale":"页面排除防水/快干声明，无法满足涉水需求"}],"capability_intent":[{"value":"water_resistant","evidence_type":"inferred","source_span":"","fact_ids":[],"rationale":"该值由搜索词整体语义推断，未作为页面明示属性。"}],"event_intent":[{"value":"water_activity","evidence_type":"inferred","source_span":"","fact_ids":[],"rationale":"该值由搜索词整体语义推断，未作为页面明示属性。"}],"primary_domain":[{"value":"clothing_shoes_jewelry","evidence_type":"inferred","source_span":"","fact_ids":[],"rationale":"该值由搜索词整体语义推断，未作为页面明示属性。"}],"secondary_domain":[{"value":"sports_outdoors","evidence_type":"inferred","source_span":"","fact_ids":[],"rationale":"该值由搜索词整体语义推断，未作为页面明示属性。"}]}</x:v>
      </x:c>
      <x:c r="Y748" s="16" t="str">
        <x:v>typo_flip_flos</x:v>
      </x:c>
      <x:c r="Z748" s="13" t="str">
        <x:v>mismatch</x:v>
      </x:c>
      <x:c r="AA748" s="16" t="str"/>
      <x:c r="AB748" s="13" t="str">
        <x:v>accepted</x:v>
      </x:c>
      <x:c r="AC748" s="13" t="str">
        <x:v>1.0.0</x:v>
      </x:c>
      <x:c r="AD748" s="13" t="str">
        <x:v>1.1.0</x:v>
      </x:c>
      <x:c r="AE748" s="13" t="str">
        <x:v>deepseek/deepseek-v4-pro</x:v>
      </x:c>
      <x:c r="AF748" s="13" t="str">
        <x:v>aj2-y90-20260714T234810-0bea2f52</x:v>
      </x:c>
      <x:c r="AG748" s="13" t="str">
        <x:v>full-0038</x:v>
      </x:c>
      <x:c r="AH748" s="13" t="str">
        <x:v>full</x:v>
      </x:c>
      <x:c r="AI748" s="13" t="n">
        <x:v>38</x:v>
      </x:c>
    </x:row>
    <x:row r="749" ht="34" customHeight="1">
      <x:c r="A749" s="15" t="str">
        <x:v>flip flops for neuropathy</x:v>
      </x:c>
      <x:c r="B749" s="15" t="str">
        <x:v>flip flops for neuropathy</x:v>
      </x:c>
      <x:c r="C749" s="10" t="str">
        <x:v>61c1933df469ecfc</x:v>
      </x:c>
      <x:c r="D749" s="10" t="str">
        <x:v>keyword</x:v>
      </x:c>
      <x:c r="E749" s="10" t="str">
        <x:v>en</x:v>
      </x:c>
      <x:c r="F749" s="10" t="str">
        <x:v>clothing_shoes_jewelry</x:v>
      </x:c>
      <x:c r="G749" s="15" t="str">
        <x:v>health_household</x:v>
      </x:c>
      <x:c r="H749" s="15" t="str">
        <x:v>flip_flop</x:v>
      </x:c>
      <x:c r="I749" s="15" t="str"/>
      <x:c r="J749" s="15" t="str">
        <x:v>pain_relief</x:v>
      </x:c>
      <x:c r="K749" s="15" t="str">
        <x:v>cushioning | soft</x:v>
      </x:c>
      <x:c r="L749" s="15" t="str"/>
      <x:c r="M749" s="15" t="str"/>
      <x:c r="N749" s="15" t="str">
        <x:v>neuropathy</x:v>
      </x:c>
      <x:c r="O749" s="15" t="str"/>
      <x:c r="P749" s="15" t="str"/>
      <x:c r="Q749" s="15" t="str"/>
      <x:c r="R749" s="15" t="str">
        <x:v>神经病变患者寻找柔软缓震、不刺激足部的夹脚拖鞋以缓解行走不适。</x:v>
      </x:c>
      <x:c r="S749" s="10" t="str">
        <x:v>high_intent</x:v>
      </x:c>
      <x:c r="T749" s="15" t="str">
        <x:v>explicit | page_validated | inferred</x:v>
      </x:c>
      <x:c r="U749" s="10" t="str">
        <x:v>low</x:v>
      </x:c>
      <x:c r="V749" s="15" t="str">
        <x:v>neuropathy_footwear</x:v>
      </x:c>
      <x:c r="W749" s="15" t="str">
        <x:v>listing_gap_review</x:v>
      </x:c>
      <x:c r="X749" s="15" t="str">
        <x:v>{"product_type":[{"value":"flip_flop","evidence_type":"explicit","source_span":"flip flops","fact_ids":[],"rationale":"搜索词明确产品类型"},{"value":"flip_flop","evidence_type":"page_validated","source_span":"","fact_ids":["style_flip_flop"],"rationale":"该槽位与商品基准中的明示页面事实一致。"}],"body_need_intent":[{"value":"neuropathy","evidence_type":"explicit","source_span":"neuropathy","fact_ids":[],"rationale":"搜索词指定神经病变足部状况"}],"capability_intent":[{"value":"cushioning","evidence_type":"page_validated","source_span":"","fact_ids":["padded_cushioning"],"rationale":"加厚缓震可减轻足底压力"},{"value":"soft","evidence_type":"page_validated","source_span":"","fact_ids":["soft_toe_post"],"rationale":"柔软趾柱减少摩擦刺激"},{"value":"cushioning","evidence_type":"inferred","source_span":"","fact_ids":[],"rationale":"该能力由搜索词表达的任务或问题推断；页面事实仅用于验证商品承接。"}],"function_intent":[{"value":"pain_relief","evidence_type":"inferred","source_span":"neuropathy","fact_ids":[],"rationale":"神经病变患者通常寻求缓解行走疼痛"}],"primary_domain":[{"value":"clothing_shoes_jewelry","evidence_type":"inferred","source_span":"","fact_ids":[],"rationale":"该值由搜索词整体语义推断，未作为页面明示属性。"}],"secondary_domain":[{"value":"health_household","evidence_type":"inferred","source_span":"","fact_ids":[],"rationale":"该值由搜索词整体语义推断，未作为页面明示属性。"}]}</x:v>
      </x:c>
      <x:c r="Y749" s="15" t="str"/>
      <x:c r="Z749" s="10" t="str">
        <x:v>partial_match</x:v>
      </x:c>
      <x:c r="AA749" s="15" t="str">
        <x:v>padded_cushioning | soft_toe_post | arch_support</x:v>
      </x:c>
      <x:c r="AB749" s="10" t="str">
        <x:v>accepted</x:v>
      </x:c>
      <x:c r="AC749" s="10" t="str">
        <x:v>1.0.0</x:v>
      </x:c>
      <x:c r="AD749" s="10" t="str">
        <x:v>1.1.0</x:v>
      </x:c>
      <x:c r="AE749" s="10" t="str">
        <x:v>deepseek/deepseek-v4-pro</x:v>
      </x:c>
      <x:c r="AF749" s="10" t="str">
        <x:v>aj2-y90-20260714T234810-0bea2f52</x:v>
      </x:c>
      <x:c r="AG749" s="10" t="str">
        <x:v>full-0038</x:v>
      </x:c>
      <x:c r="AH749" s="10" t="str">
        <x:v>full</x:v>
      </x:c>
      <x:c r="AI749" s="10" t="n">
        <x:v>38</x:v>
      </x:c>
    </x:row>
    <x:row r="750" ht="34" customHeight="1">
      <x:c r="A750" s="16" t="str">
        <x:v>womens flip flops size 8 rubber</x:v>
      </x:c>
      <x:c r="B750" s="16" t="str">
        <x:v>womens flip flops size 8 rubber</x:v>
      </x:c>
      <x:c r="C750" s="13" t="str">
        <x:v>696ae86361967995</x:v>
      </x:c>
      <x:c r="D750" s="13" t="str">
        <x:v>keyword</x:v>
      </x:c>
      <x:c r="E750" s="13" t="str">
        <x:v>en</x:v>
      </x:c>
      <x:c r="F750" s="13" t="str">
        <x:v>clothing_shoes_jewelry</x:v>
      </x:c>
      <x:c r="G750" s="16" t="str"/>
      <x:c r="H750" s="16" t="str">
        <x:v>flip_flop</x:v>
      </x:c>
      <x:c r="I750" s="16" t="str">
        <x:v>women</x:v>
      </x:c>
      <x:c r="J750" s="16" t="str"/>
      <x:c r="K750" s="16" t="str"/>
      <x:c r="L750" s="16" t="str"/>
      <x:c r="M750" s="16" t="str"/>
      <x:c r="N750" s="16" t="str"/>
      <x:c r="O750" s="16" t="str"/>
      <x:c r="P750" s="16" t="str"/>
      <x:c r="Q750" s="16" t="str"/>
      <x:c r="R750" s="16" t="str">
        <x:v>女性用户寻找8码橡胶材质夹脚拖鞋。</x:v>
      </x:c>
      <x:c r="S750" s="13" t="str">
        <x:v>high_intent</x:v>
      </x:c>
      <x:c r="T750" s="16" t="str">
        <x:v>explicit | page_validated | inferred</x:v>
      </x:c>
      <x:c r="U750" s="13" t="str">
        <x:v>medium</x:v>
      </x:c>
      <x:c r="V750" s="16" t="str">
        <x:v>womens_rubber_flip_flops</x:v>
      </x:c>
      <x:c r="W750" s="16" t="str">
        <x:v>listing_gap_review</x:v>
      </x:c>
      <x:c r="X750" s="16" t="str">
        <x:v>{"product_type":[{"value":"flip_flop","evidence_type":"explicit","source_span":"flip flops","fact_ids":[],"rationale":"搜索词明确产品类型"},{"value":"flip_flop","evidence_type":"page_validated","source_span":"","fact_ids":["style_flip_flop"],"rationale":"该槽位与商品基准中的明示页面事实一致。"}],"audience_intent":[{"value":"women","evidence_type":"explicit","source_span":"womens","fact_ids":[],"rationale":"搜索词指定女性"},{"value":"women","evidence_type":"page_validated","source_span":"","fact_ids":["title_womens_flip_flop"],"rationale":"该槽位与商品基准中的明示页面事实一致。"}],"size":[{"value":"us_8","evidence_type":"page_validated","source_span":"","fact_ids":["sizes_6_11"],"rationale":"页面尺码范围6-11含8码"}],"material":[{"value":"rubber","evidence_type":"explicit","source_span":"rubber","fact_ids":[],"rationale":"搜索词指定橡胶材质"},{"value":"eva_not_rubber","evidence_type":"inferred","source_span":"","fact_ids":[],"rationale":"页面材质为EVA，非橡胶"}],"primary_domain":[{"value":"clothing_shoes_jewelry","evidence_type":"inferred","source_span":"","fact_ids":[],"rationale":"该值由搜索词整体语义推断，未作为页面明示属性。"}]}</x:v>
      </x:c>
      <x:c r="Y750" s="16" t="str"/>
      <x:c r="Z750" s="13" t="str">
        <x:v>partial_match</x:v>
      </x:c>
      <x:c r="AA750" s="16" t="str">
        <x:v>title_womens_flip_flop | sizes_6_11 | style_flip_flop</x:v>
      </x:c>
      <x:c r="AB750" s="13" t="str">
        <x:v>accepted</x:v>
      </x:c>
      <x:c r="AC750" s="13" t="str">
        <x:v>1.0.0</x:v>
      </x:c>
      <x:c r="AD750" s="13" t="str">
        <x:v>1.1.0</x:v>
      </x:c>
      <x:c r="AE750" s="13" t="str">
        <x:v>deepseek/deepseek-v4-pro</x:v>
      </x:c>
      <x:c r="AF750" s="13" t="str">
        <x:v>aj2-y90-20260714T234810-0bea2f52</x:v>
      </x:c>
      <x:c r="AG750" s="13" t="str">
        <x:v>full-0038</x:v>
      </x:c>
      <x:c r="AH750" s="13" t="str">
        <x:v>full</x:v>
      </x:c>
      <x:c r="AI750" s="13" t="n">
        <x:v>38</x:v>
      </x:c>
    </x:row>
    <x:row r="751" ht="34" customHeight="1">
      <x:c r="A751" s="15" t="str">
        <x:v>flip flops for outdoor women</x:v>
      </x:c>
      <x:c r="B751" s="15" t="str">
        <x:v>flip flops for outdoor women</x:v>
      </x:c>
      <x:c r="C751" s="10" t="str">
        <x:v>b6519ef76317219a</x:v>
      </x:c>
      <x:c r="D751" s="10" t="str">
        <x:v>keyword</x:v>
      </x:c>
      <x:c r="E751" s="10" t="str">
        <x:v>en</x:v>
      </x:c>
      <x:c r="F751" s="10" t="str">
        <x:v>clothing_shoes_jewelry</x:v>
      </x:c>
      <x:c r="G751" s="15" t="str">
        <x:v>sports_outdoors</x:v>
      </x:c>
      <x:c r="H751" s="15" t="str">
        <x:v>flip_flop</x:v>
      </x:c>
      <x:c r="I751" s="15" t="str">
        <x:v>women</x:v>
      </x:c>
      <x:c r="J751" s="15" t="str"/>
      <x:c r="K751" s="15" t="str">
        <x:v>slip_resistant</x:v>
      </x:c>
      <x:c r="L751" s="15" t="str"/>
      <x:c r="M751" s="15" t="str">
        <x:v>outdoor</x:v>
      </x:c>
      <x:c r="N751" s="15" t="str"/>
      <x:c r="O751" s="15" t="str"/>
      <x:c r="P751" s="15" t="str"/>
      <x:c r="Q751" s="15" t="str"/>
      <x:c r="R751" s="15" t="str">
        <x:v>女性用户寻找适合户外穿着的夹脚拖鞋，要求防滑耐穿。</x:v>
      </x:c>
      <x:c r="S751" s="10" t="str">
        <x:v>consideration</x:v>
      </x:c>
      <x:c r="T751" s="15" t="str">
        <x:v>explicit | page_validated</x:v>
      </x:c>
      <x:c r="U751" s="10" t="str">
        <x:v>high</x:v>
      </x:c>
      <x:c r="V751" s="15" t="str">
        <x:v>womens_outdoor_flip_flops</x:v>
      </x:c>
      <x:c r="W751" s="15" t="str">
        <x:v>cluster_route</x:v>
      </x:c>
      <x:c r="X751" s="15" t="str">
        <x:v>{"product_type":[{"value":"flip_flop","evidence_type":"explicit","source_span":"flip flops","fact_ids":[],"rationale":"搜索词明确产品类型"},{"value":"flip_flop","evidence_type":"page_validated","source_span":"","fact_ids":["style_flip_flop"],"rationale":"该槽位与商品基准中的明示页面事实一致。"}],"audience_intent":[{"value":"women","evidence_type":"explicit","source_span":"women","fact_ids":[],"rationale":"搜索词指定女性"},{"value":"women","evidence_type":"page_validated","source_span":"","fact_ids":["title_womens_flip_flop"],"rationale":"该槽位与商品基准中的明示页面事实一致。"}],"location_intent":[{"value":"outdoor","evidence_type":"page_validated","source_span":"","fact_ids":["style_outdoor"],"rationale":"页面标注户外生活方式"}],"capability_intent":[{"value":"slip_resistant","evidence_type":"page_validated","source_span":"","fact_ids":["slip_resistant_grip"],"rationale":"页面声明防滑抓地外底"},{"value":"slip_resistan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secondary_domain":[{"value":"sports_outdoors","evidence_type":"inferred","source_span":"","fact_ids":[],"rationale":"该值由搜索词整体语义推断，未作为页面明示属性。"}]}</x:v>
      </x:c>
      <x:c r="Y751" s="15" t="str"/>
      <x:c r="Z751" s="10" t="str">
        <x:v>match</x:v>
      </x:c>
      <x:c r="AA751" s="15" t="str">
        <x:v>style_outdoor | title_womens_flip_flop | style_flip_flop | slip_resistant_grip</x:v>
      </x:c>
      <x:c r="AB751" s="10" t="str">
        <x:v>accepted</x:v>
      </x:c>
      <x:c r="AC751" s="10" t="str">
        <x:v>1.0.0</x:v>
      </x:c>
      <x:c r="AD751" s="10" t="str">
        <x:v>1.1.0</x:v>
      </x:c>
      <x:c r="AE751" s="10" t="str">
        <x:v>deepseek/deepseek-v4-pro</x:v>
      </x:c>
      <x:c r="AF751" s="10" t="str">
        <x:v>aj2-y90-20260714T234810-0bea2f52</x:v>
      </x:c>
      <x:c r="AG751" s="10" t="str">
        <x:v>full-0038</x:v>
      </x:c>
      <x:c r="AH751" s="10" t="str">
        <x:v>full</x:v>
      </x:c>
      <x:c r="AI751" s="10" t="n">
        <x:v>38</x:v>
      </x:c>
    </x:row>
    <x:row r="752" ht="34" customHeight="1">
      <x:c r="A752" s="16" t="str">
        <x:v>arch support flip flop women</x:v>
      </x:c>
      <x:c r="B752" s="16" t="str">
        <x:v>arch support flip flop women</x:v>
      </x:c>
      <x:c r="C752" s="13" t="str">
        <x:v>c2497fc5de347bc3</x:v>
      </x:c>
      <x:c r="D752" s="13" t="str">
        <x:v>keyword</x:v>
      </x:c>
      <x:c r="E752" s="13" t="str">
        <x:v>en</x:v>
      </x:c>
      <x:c r="F752" s="13" t="str">
        <x:v>clothing_shoes_jewelry</x:v>
      </x:c>
      <x:c r="G752" s="16" t="str"/>
      <x:c r="H752" s="16" t="str">
        <x:v>flip_flop</x:v>
      </x:c>
      <x:c r="I752" s="16" t="str">
        <x:v>women</x:v>
      </x:c>
      <x:c r="J752" s="16" t="str">
        <x:v>arch_support</x:v>
      </x:c>
      <x:c r="K752" s="16" t="str"/>
      <x:c r="L752" s="16" t="str"/>
      <x:c r="M752" s="16" t="str"/>
      <x:c r="N752" s="16" t="str"/>
      <x:c r="O752" s="16" t="str"/>
      <x:c r="P752" s="16" t="str"/>
      <x:c r="Q752" s="16" t="str"/>
      <x:c r="R752" s="16" t="str">
        <x:v>女性用户寻找具备足弓支撑功能的夹脚拖鞋。</x:v>
      </x:c>
      <x:c r="S752" s="13" t="str">
        <x:v>high_intent</x:v>
      </x:c>
      <x:c r="T752" s="16" t="str">
        <x:v>explicit | page_validated</x:v>
      </x:c>
      <x:c r="U752" s="13" t="str">
        <x:v>high</x:v>
      </x:c>
      <x:c r="V752" s="16" t="str">
        <x:v>womens_arch_support_flip_flops</x:v>
      </x:c>
      <x:c r="W752" s="16" t="str">
        <x:v>cluster_route</x:v>
      </x:c>
      <x:c r="X752" s="16" t="str">
        <x:v>{"product_type":[{"value":"flip_flop","evidence_type":"explicit","source_span":"flip flop","fact_ids":[],"rationale":"搜索词明确产品类型"},{"value":"flip_flop","evidence_type":"page_validated","source_span":"","fact_ids":["style_flip_flop"],"rationale":"该槽位与商品基准中的明示页面事实一致。"}],"audience_intent":[{"value":"women","evidence_type":"explicit","source_span":"women","fact_ids":[],"rationale":"搜索词指定女性"},{"value":"women","evidence_type":"page_validated","source_span":"","fact_ids":["title_womens_flip_flop"],"rationale":"该槽位与商品基准中的明示页面事实一致。"}],"function_intent":[{"value":"arch_support","evidence_type":"page_validated","source_span":"","fact_ids":["arch_support"],"rationale":"页面声明人体工学足弓支撑"}],"primary_domain":[{"value":"clothing_shoes_jewelry","evidence_type":"inferred","source_span":"","fact_ids":[],"rationale":"该值由搜索词整体语义推断，未作为页面明示属性。"}]}</x:v>
      </x:c>
      <x:c r="Y752" s="16" t="str"/>
      <x:c r="Z752" s="13" t="str">
        <x:v>match</x:v>
      </x:c>
      <x:c r="AA752" s="16" t="str">
        <x:v>arch_support | title_womens_flip_flop | style_flip_flop</x:v>
      </x:c>
      <x:c r="AB752" s="13" t="str">
        <x:v>accepted</x:v>
      </x:c>
      <x:c r="AC752" s="13" t="str">
        <x:v>1.0.0</x:v>
      </x:c>
      <x:c r="AD752" s="13" t="str">
        <x:v>1.1.0</x:v>
      </x:c>
      <x:c r="AE752" s="13" t="str">
        <x:v>deepseek/deepseek-v4-pro</x:v>
      </x:c>
      <x:c r="AF752" s="13" t="str">
        <x:v>aj2-y90-20260714T234810-0bea2f52</x:v>
      </x:c>
      <x:c r="AG752" s="13" t="str">
        <x:v>full-0038</x:v>
      </x:c>
      <x:c r="AH752" s="13" t="str">
        <x:v>full</x:v>
      </x:c>
      <x:c r="AI752" s="13" t="n">
        <x:v>38</x:v>
      </x:c>
    </x:row>
    <x:row r="753" ht="34" customHeight="1">
      <x:c r="A753" s="15" t="str">
        <x:v>flip flops support women not noisy</x:v>
      </x:c>
      <x:c r="B753" s="15" t="str">
        <x:v>flip flops support women not noisy</x:v>
      </x:c>
      <x:c r="C753" s="10" t="str">
        <x:v>c2a5a4a32f21333e</x:v>
      </x:c>
      <x:c r="D753" s="10" t="str">
        <x:v>keyword</x:v>
      </x:c>
      <x:c r="E753" s="10" t="str">
        <x:v>en</x:v>
      </x:c>
      <x:c r="F753" s="10" t="str">
        <x:v>clothing_shoes_jewelry</x:v>
      </x:c>
      <x:c r="G753" s="15" t="str"/>
      <x:c r="H753" s="15" t="str">
        <x:v>flip_flop</x:v>
      </x:c>
      <x:c r="I753" s="15" t="str">
        <x:v>women</x:v>
      </x:c>
      <x:c r="J753" s="15" t="str">
        <x:v>arch_support</x:v>
      </x:c>
      <x:c r="K753" s="15" t="str">
        <x:v>quiet</x:v>
      </x:c>
      <x:c r="L753" s="15" t="str"/>
      <x:c r="M753" s="15" t="str"/>
      <x:c r="N753" s="15" t="str"/>
      <x:c r="O753" s="15" t="str"/>
      <x:c r="P753" s="15" t="str"/>
      <x:c r="Q753" s="15" t="str"/>
      <x:c r="R753" s="15" t="str">
        <x:v>女性用户寻求有足弓支撑且走路不发出噪音的夹脚拖鞋。</x:v>
      </x:c>
      <x:c r="S753" s="10" t="str">
        <x:v>high_intent</x:v>
      </x:c>
      <x:c r="T753" s="15" t="str">
        <x:v>explicit | page_validated | inferred</x:v>
      </x:c>
      <x:c r="U753" s="10" t="str">
        <x:v>medium</x:v>
      </x:c>
      <x:c r="V753" s="15" t="str">
        <x:v>quiet_arch_support_flip_flops</x:v>
      </x:c>
      <x:c r="W753" s="15" t="str">
        <x:v>listing_gap_review</x:v>
      </x:c>
      <x:c r="X753" s="15" t="str">
        <x:v>{"product_type":[{"value":"flip_flop","evidence_type":"explicit","source_span":"flip flops","fact_ids":[],"rationale":"搜索词明确产品类型"},{"value":"flip_flop","evidence_type":"page_validated","source_span":"","fact_ids":["style_flip_flop"],"rationale":"该槽位与商品基准中的明示页面事实一致。"}],"audience_intent":[{"value":"women","evidence_type":"explicit","source_span":"women","fact_ids":[],"rationale":"搜索词指定女性"},{"value":"women","evidence_type":"page_validated","source_span":"","fact_ids":["title_womens_flip_flop"],"rationale":"该槽位与商品基准中的明示页面事实一致。"}],"function_intent":[{"value":"arch_support","evidence_type":"page_validated","source_span":"","fact_ids":["arch_support"],"rationale":"搜索词support对应页面足弓支撑声明"},{"value":"arch_support","evidence_type":"inferred","source_span":"","fact_ids":[],"rationale":"该能力由搜索词表达的任务或问题推断；页面事实仅用于验证商品承接。"}],"capability_intent":[{"value":"quiet","evidence_type":"inferred","source_span":"not noisy","fact_ids":[],"rationale":"EVA材质通常静音，但页面未明确声明无噪音行走"}],"negation":[{"value":"not_noisy","evidence_type":"explicit","source_span":"not noisy","fact_ids":[],"rationale":"搜索词否定噪音"}],"primary_domain":[{"value":"clothing_shoes_jewelry","evidence_type":"inferred","source_span":"","fact_ids":[],"rationale":"该值由搜索词整体语义推断，未作为页面明示属性。"}]}</x:v>
      </x:c>
      <x:c r="Y753" s="15" t="str"/>
      <x:c r="Z753" s="10" t="str">
        <x:v>partial_match</x:v>
      </x:c>
      <x:c r="AA753" s="15" t="str">
        <x:v>arch_support | title_womens_flip_flop | style_flip_flop</x:v>
      </x:c>
      <x:c r="AB753" s="10" t="str">
        <x:v>accepted</x:v>
      </x:c>
      <x:c r="AC753" s="10" t="str">
        <x:v>1.0.0</x:v>
      </x:c>
      <x:c r="AD753" s="10" t="str">
        <x:v>1.1.0</x:v>
      </x:c>
      <x:c r="AE753" s="10" t="str">
        <x:v>deepseek/deepseek-v4-pro</x:v>
      </x:c>
      <x:c r="AF753" s="10" t="str">
        <x:v>aj2-y90-20260714T234810-0bea2f52</x:v>
      </x:c>
      <x:c r="AG753" s="10" t="str">
        <x:v>full-0038</x:v>
      </x:c>
      <x:c r="AH753" s="10" t="str">
        <x:v>full</x:v>
      </x:c>
      <x:c r="AI753" s="10" t="n">
        <x:v>38</x:v>
      </x:c>
    </x:row>
    <x:row r="754" ht="34" customHeight="1">
      <x:c r="A754" s="16" t="str">
        <x:v>womens flip flops with soft bottoms all rubber</x:v>
      </x:c>
      <x:c r="B754" s="16" t="str">
        <x:v>womens flip flops with soft bottoms all rubber</x:v>
      </x:c>
      <x:c r="C754" s="13" t="str">
        <x:v>c7eba7de0acabd0d</x:v>
      </x:c>
      <x:c r="D754" s="13" t="str">
        <x:v>keyword</x:v>
      </x:c>
      <x:c r="E754" s="13" t="str">
        <x:v>en</x:v>
      </x:c>
      <x:c r="F754" s="13" t="str">
        <x:v>clothing_shoes_jewelry</x:v>
      </x:c>
      <x:c r="G754" s="16" t="str"/>
      <x:c r="H754" s="16" t="str">
        <x:v>flip_flop</x:v>
      </x:c>
      <x:c r="I754" s="16" t="str">
        <x:v>women</x:v>
      </x:c>
      <x:c r="J754" s="16" t="str">
        <x:v>cushioning</x:v>
      </x:c>
      <x:c r="K754" s="16" t="str">
        <x:v>soft</x:v>
      </x:c>
      <x:c r="L754" s="16" t="str"/>
      <x:c r="M754" s="16" t="str"/>
      <x:c r="N754" s="16" t="str"/>
      <x:c r="O754" s="16" t="str"/>
      <x:c r="P754" s="16" t="str"/>
      <x:c r="Q754" s="16" t="str"/>
      <x:c r="R754" s="16" t="str">
        <x:v>女性用户寻找底部柔软且整体为橡胶材质的夹脚拖鞋。</x:v>
      </x:c>
      <x:c r="S754" s="13" t="str">
        <x:v>high_intent</x:v>
      </x:c>
      <x:c r="T754" s="16" t="str">
        <x:v>explicit | page_validated | inferred</x:v>
      </x:c>
      <x:c r="U754" s="13" t="str">
        <x:v>medium</x:v>
      </x:c>
      <x:c r="V754" s="16" t="str">
        <x:v>soft_rubber_flip_flops</x:v>
      </x:c>
      <x:c r="W754" s="16" t="str">
        <x:v>listing_gap_review</x:v>
      </x:c>
      <x:c r="X754" s="16" t="str">
        <x:v>{"product_type":[{"value":"flip_flop","evidence_type":"explicit","source_span":"flip flops","fact_ids":[],"rationale":"搜索词明确产品类型"},{"value":"flip_flop","evidence_type":"page_validated","source_span":"","fact_ids":["style_flip_flop"],"rationale":"该槽位与商品基准中的明示页面事实一致。"}],"audience_intent":[{"value":"women","evidence_type":"explicit","source_span":"womens","fact_ids":[],"rationale":"搜索词指定女性"},{"value":"women","evidence_type":"page_validated","source_span":"","fact_ids":["title_womens_flip_flop"],"rationale":"该槽位与商品基准中的明示页面事实一致。"}],"capability_intent":[{"value":"soft","evidence_type":"page_validated","source_span":"","fact_ids":["padded_cushioning","soft_toe_post"],"rationale":"页面声明加厚缓震与柔软趾柱"}],"material":[{"value":"rubber","evidence_type":"explicit","source_span":"all rubber","fact_ids":[],"rationale":"搜索词指定全橡胶材质"},{"value":"eva_not_rubber","evidence_type":"inferred","source_span":"","fact_ids":[],"rationale":"页面材质为EVA，非橡胶"}],"function_intent":[{"value":"cushioning","evidence_type":"page_validated","source_span":"","fact_ids":["padded_cushioning"],"rationale":"该槽位与商品基准中的明示页面事实一致。"},{"value":"cushioning","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754" s="16" t="str"/>
      <x:c r="Z754" s="13" t="str">
        <x:v>partial_match</x:v>
      </x:c>
      <x:c r="AA754" s="16" t="str">
        <x:v>padded_cushioning | soft_toe_post | title_womens_flip_flop | style_flip_flop</x:v>
      </x:c>
      <x:c r="AB754" s="13" t="str">
        <x:v>accepted</x:v>
      </x:c>
      <x:c r="AC754" s="13" t="str">
        <x:v>1.0.0</x:v>
      </x:c>
      <x:c r="AD754" s="13" t="str">
        <x:v>1.1.0</x:v>
      </x:c>
      <x:c r="AE754" s="13" t="str">
        <x:v>deepseek/deepseek-v4-pro</x:v>
      </x:c>
      <x:c r="AF754" s="13" t="str">
        <x:v>aj2-y90-20260714T234810-0bea2f52</x:v>
      </x:c>
      <x:c r="AG754" s="13" t="str">
        <x:v>full-0038</x:v>
      </x:c>
      <x:c r="AH754" s="13" t="str">
        <x:v>full</x:v>
      </x:c>
      <x:c r="AI754" s="13" t="n">
        <x:v>38</x:v>
      </x:c>
    </x:row>
    <x:row r="755" ht="34" customHeight="1">
      <x:c r="A755" s="15" t="str">
        <x:v>supportive sandals</x:v>
      </x:c>
      <x:c r="B755" s="15" t="str">
        <x:v>supportive sandals</x:v>
      </x:c>
      <x:c r="C755" s="10" t="str">
        <x:v>d561fec7fc41acfc</x:v>
      </x:c>
      <x:c r="D755" s="10" t="str">
        <x:v>keyword</x:v>
      </x:c>
      <x:c r="E755" s="10" t="str">
        <x:v>en</x:v>
      </x:c>
      <x:c r="F755" s="10" t="str">
        <x:v>clothing_shoes_jewelry</x:v>
      </x:c>
      <x:c r="G755" s="15" t="str"/>
      <x:c r="H755" s="15" t="str">
        <x:v>sandal</x:v>
      </x:c>
      <x:c r="I755" s="15" t="str"/>
      <x:c r="J755" s="15" t="str">
        <x:v>arch_support | cushioning</x:v>
      </x:c>
      <x:c r="K755" s="15" t="str"/>
      <x:c r="L755" s="15" t="str"/>
      <x:c r="M755" s="15" t="str"/>
      <x:c r="N755" s="15" t="str"/>
      <x:c r="O755" s="15" t="str"/>
      <x:c r="P755" s="15" t="str"/>
      <x:c r="Q755" s="15" t="str"/>
      <x:c r="R755" s="15" t="str">
        <x:v>用户寻找具有支撑和缓震功能的凉鞋。</x:v>
      </x:c>
      <x:c r="S755" s="10" t="str">
        <x:v>exploration</x:v>
      </x:c>
      <x:c r="T755" s="15" t="str">
        <x:v>explicit | page_validated</x:v>
      </x:c>
      <x:c r="U755" s="10" t="str">
        <x:v>high</x:v>
      </x:c>
      <x:c r="V755" s="15" t="str">
        <x:v>supportive_sandals</x:v>
      </x:c>
      <x:c r="W755" s="15" t="str">
        <x:v>cluster_route</x:v>
      </x:c>
      <x:c r="X755" s="15" t="str">
        <x:v>{"product_type":[{"value":"sandal","evidence_type":"explicit","source_span":"sandals","fact_ids":[],"rationale":"搜索词明确凉鞋品类"}],"function_intent":[{"value":"arch_support","evidence_type":"page_validated","source_span":"","fact_ids":["arch_support"],"rationale":"页面人体工学足弓支撑对应supportive需求"},{"value":"cushioning","evidence_type":"page_validated","source_span":"","fact_ids":["padded_cushioning"],"rationale":"页面加厚缓震提供额外支撑"},{"value":"arch_support","evidence_type":"inferred","source_span":"","fact_ids":[],"rationale":"该能力由搜索词表达的任务或问题推断；页面事实仅用于验证商品承接。"},{"value":"cushioning","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755" s="15" t="str"/>
      <x:c r="Z755" s="10" t="str">
        <x:v>match</x:v>
      </x:c>
      <x:c r="AA755" s="15" t="str">
        <x:v>arch_support | padded_cushioning | style_flip_flop</x:v>
      </x:c>
      <x:c r="AB755" s="10" t="str">
        <x:v>accepted</x:v>
      </x:c>
      <x:c r="AC755" s="10" t="str">
        <x:v>1.0.0</x:v>
      </x:c>
      <x:c r="AD755" s="10" t="str">
        <x:v>1.1.0</x:v>
      </x:c>
      <x:c r="AE755" s="10" t="str">
        <x:v>deepseek/deepseek-v4-pro</x:v>
      </x:c>
      <x:c r="AF755" s="10" t="str">
        <x:v>aj2-y90-20260714T234810-0bea2f52</x:v>
      </x:c>
      <x:c r="AG755" s="10" t="str">
        <x:v>full-0038</x:v>
      </x:c>
      <x:c r="AH755" s="10" t="str">
        <x:v>full</x:v>
      </x:c>
      <x:c r="AI755" s="10" t="n">
        <x:v>38</x:v>
      </x:c>
    </x:row>
    <x:row r="756" ht="34" customHeight="1">
      <x:c r="A756" s="16" t="str">
        <x:v>white sleeper sandals</x:v>
      </x:c>
      <x:c r="B756" s="16" t="str">
        <x:v>white sleeper sandals</x:v>
      </x:c>
      <x:c r="C756" s="13" t="str">
        <x:v>e8cc26ada3c071d3</x:v>
      </x:c>
      <x:c r="D756" s="13" t="str">
        <x:v>keyword</x:v>
      </x:c>
      <x:c r="E756" s="13" t="str">
        <x:v>en</x:v>
      </x:c>
      <x:c r="F756" s="13" t="str">
        <x:v>clothing_shoes_jewelry</x:v>
      </x:c>
      <x:c r="G756" s="16" t="str"/>
      <x:c r="H756" s="16" t="str">
        <x:v>sandal</x:v>
      </x:c>
      <x:c r="I756" s="16" t="str"/>
      <x:c r="J756" s="16" t="str">
        <x:v>comfort</x:v>
      </x:c>
      <x:c r="K756" s="16" t="str">
        <x:v>cushioning | soft</x:v>
      </x:c>
      <x:c r="L756" s="16" t="str"/>
      <x:c r="M756" s="16" t="str">
        <x:v>indoor</x:v>
      </x:c>
      <x:c r="N756" s="16" t="str"/>
      <x:c r="O756" s="16" t="str"/>
      <x:c r="P756" s="16" t="str"/>
      <x:c r="Q756" s="16" t="str"/>
      <x:c r="R756" s="16" t="str">
        <x:v>用户寻找白色超舒适凉鞋，侧重居家放松穿着，要求柔软缓震。</x:v>
      </x:c>
      <x:c r="S756" s="13" t="str">
        <x:v>consideration</x:v>
      </x:c>
      <x:c r="T756" s="16" t="str">
        <x:v>explicit | page_validated | inferred</x:v>
      </x:c>
      <x:c r="U756" s="13" t="str">
        <x:v>medium</x:v>
      </x:c>
      <x:c r="V756" s="16" t="str">
        <x:v>comfortable_indoor_sandals</x:v>
      </x:c>
      <x:c r="W756" s="16" t="str">
        <x:v>listing_gap_review</x:v>
      </x:c>
      <x:c r="X756" s="16" t="str">
        <x:v>{"product_type":[{"value":"sandal","evidence_type":"explicit","source_span":"sandals","fact_ids":[],"rationale":"搜索词明确包含sandal品类"}],"color":[{"value":"white","evidence_type":"explicit","source_span":"white","fact_ids":[],"rationale":"该颜色在商品页面可见颜色选择中得到明确支持。"}],"function_intent":[{"value":"comfort","evidence_type":"inferred","source_span":"sleeper","fact_ids":[],"rationale":"sleeper暗示极致舒适，如睡眠般放松"},{"value":"comfort","evidence_type":"page_validated","source_span":"","fact_ids":["arch_support","padded_cushioning"],"rationale":"该槽位与商品基准中的明示页面事实一致。"}],"location_intent":[{"value":"indoor","evidence_type":"inferred","source_span":"sleeper","fact_ids":[],"rationale":"sleeper联想睡眠场景，推断室内使用"}],"capability_intent":[{"value":"cushioning","evidence_type":"page_validated","source_span":"","fact_ids":["padded_cushioning"],"rationale":"页面标注加厚缓震"},{"value":"soft","evidence_type":"page_validated","source_span":"","fact_ids":["soft_toe_post"],"rationale":"页面标注柔软趾柱"},{"value":"cushioning","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756" s="16" t="str"/>
      <x:c r="Z756" s="13" t="str">
        <x:v>partial_match</x:v>
      </x:c>
      <x:c r="AA756" s="16" t="str">
        <x:v>colors_visible | padded_cushioning | soft_toe_post</x:v>
      </x:c>
      <x:c r="AB756" s="13" t="str">
        <x:v>accepted</x:v>
      </x:c>
      <x:c r="AC756" s="13" t="str">
        <x:v>1.0.0</x:v>
      </x:c>
      <x:c r="AD756" s="13" t="str">
        <x:v>1.1.0</x:v>
      </x:c>
      <x:c r="AE756" s="13" t="str">
        <x:v>deepseek/deepseek-v4-pro</x:v>
      </x:c>
      <x:c r="AF756" s="13" t="str">
        <x:v>aj2-y90-20260714T234810-0bea2f52</x:v>
      </x:c>
      <x:c r="AG756" s="13" t="str">
        <x:v>full-0038</x:v>
      </x:c>
      <x:c r="AH756" s="13" t="str">
        <x:v>full</x:v>
      </x:c>
      <x:c r="AI756" s="13" t="n">
        <x:v>38</x:v>
      </x:c>
    </x:row>
    <x:row r="757" ht="34" customHeight="1">
      <x:c r="A757" s="15" t="str">
        <x:v>op brand flip flops for women</x:v>
      </x:c>
      <x:c r="B757" s="15" t="str">
        <x:v>op brand flip flops for women</x:v>
      </x:c>
      <x:c r="C757" s="10" t="str">
        <x:v>ece1287883772a90</x:v>
      </x:c>
      <x:c r="D757" s="10" t="str">
        <x:v>keyword</x:v>
      </x:c>
      <x:c r="E757" s="10" t="str">
        <x:v>en</x:v>
      </x:c>
      <x:c r="F757" s="10" t="str">
        <x:v>clothing_shoes_jewelry</x:v>
      </x:c>
      <x:c r="G757" s="15" t="str"/>
      <x:c r="H757" s="15" t="str">
        <x:v>flip_flop</x:v>
      </x:c>
      <x:c r="I757" s="15" t="str">
        <x:v>women</x:v>
      </x:c>
      <x:c r="J757" s="15" t="str"/>
      <x:c r="K757" s="15" t="str"/>
      <x:c r="L757" s="15" t="str"/>
      <x:c r="M757" s="15" t="str"/>
      <x:c r="N757" s="15" t="str"/>
      <x:c r="O757" s="15" t="str"/>
      <x:c r="P757" s="15" t="str"/>
      <x:c r="Q757" s="15" t="str"/>
      <x:c r="R757" s="15" t="str">
        <x:v>女性用户搜索OP品牌夹脚拖鞋。</x:v>
      </x:c>
      <x:c r="S757" s="10" t="str">
        <x:v>brand_harvest</x:v>
      </x:c>
      <x:c r="T757" s="15" t="str">
        <x:v>explicit | inferred</x:v>
      </x:c>
      <x:c r="U757" s="10" t="str">
        <x:v>high</x:v>
      </x:c>
      <x:c r="V757" s="15" t="str">
        <x:v>brand_op_flip_flops</x:v>
      </x:c>
      <x:c r="W757" s="15" t="str">
        <x:v>semantic_negative_candidate</x:v>
      </x:c>
      <x:c r="X757" s="15" t="str">
        <x:v>{"product_type":[{"value":"flip_flop","evidence_type":"explicit","source_span":"flip flops","fact_ids":[],"rationale":"搜索词明确产品类型"},{"value":"flip_flop","evidence_type":"page_validated","source_span":"","fact_ids":["style_flip_flop"],"rationale":"该槽位与商品基准中的明示页面事实一致。"}],"audience_intent":[{"value":"women","evidence_type":"explicit","source_span":"women","fact_ids":[],"rationale":"搜索词指定女性"},{"value":"women","evidence_type":"page_validated","source_span":"","fact_ids":["title_womens_flip_flop"],"rationale":"该槽位与商品基准中的明示页面事实一致。"}],"brand":[{"value":"op","evidence_type":"explicit","source_span":"op brand","fact_ids":[],"rationale":"搜索词指定OP品牌"},{"value":"brand_mismatch","evidence_type":"inferred","source_span":"","fact_ids":[],"rationale":"页面品牌为joomra，非OP"}],"primary_domain":[{"value":"clothing_shoes_jewelry","evidence_type":"inferred","source_span":"","fact_ids":[],"rationale":"该值由搜索词整体语义推断，未作为页面明示属性。"}]}</x:v>
      </x:c>
      <x:c r="Y757" s="15" t="str"/>
      <x:c r="Z757" s="10" t="str">
        <x:v>mismatch</x:v>
      </x:c>
      <x:c r="AA757" s="15" t="str"/>
      <x:c r="AB757" s="10" t="str">
        <x:v>accepted</x:v>
      </x:c>
      <x:c r="AC757" s="10" t="str">
        <x:v>1.0.0</x:v>
      </x:c>
      <x:c r="AD757" s="10" t="str">
        <x:v>1.1.0</x:v>
      </x:c>
      <x:c r="AE757" s="10" t="str">
        <x:v>deepseek/deepseek-v4-pro</x:v>
      </x:c>
      <x:c r="AF757" s="10" t="str">
        <x:v>aj2-y90-20260714T234810-0bea2f52</x:v>
      </x:c>
      <x:c r="AG757" s="10" t="str">
        <x:v>full-0038</x:v>
      </x:c>
      <x:c r="AH757" s="10" t="str">
        <x:v>full</x:v>
      </x:c>
      <x:c r="AI757" s="10" t="n">
        <x:v>38</x:v>
      </x:c>
    </x:row>
    <x:row r="758" ht="34" customHeight="1">
      <x:c r="A758" s="16" t="str">
        <x:v>baseball flip-flops</x:v>
      </x:c>
      <x:c r="B758" s="16" t="str">
        <x:v>baseball flip-flops</x:v>
      </x:c>
      <x:c r="C758" s="13" t="str">
        <x:v>ed0774cfe2b83519</x:v>
      </x:c>
      <x:c r="D758" s="13" t="str">
        <x:v>keyword</x:v>
      </x:c>
      <x:c r="E758" s="13" t="str">
        <x:v>en</x:v>
      </x:c>
      <x:c r="F758" s="13" t="str">
        <x:v>clothing_shoes_jewelry</x:v>
      </x:c>
      <x:c r="G758" s="16" t="str">
        <x:v>sports_outdoors</x:v>
      </x:c>
      <x:c r="H758" s="16" t="str">
        <x:v>flip_flop</x:v>
      </x:c>
      <x:c r="I758" s="16" t="str"/>
      <x:c r="J758" s="16" t="str"/>
      <x:c r="K758" s="16" t="str"/>
      <x:c r="L758" s="16" t="str">
        <x:v>baseball_game</x:v>
      </x:c>
      <x:c r="M758" s="16" t="str"/>
      <x:c r="N758" s="16" t="str"/>
      <x:c r="O758" s="16" t="str"/>
      <x:c r="P758" s="16" t="str"/>
      <x:c r="Q758" s="16" t="str"/>
      <x:c r="R758" s="16" t="str">
        <x:v>用户寻找棒球主题或适合观看棒球比赛穿着的夹脚拖鞋。</x:v>
      </x:c>
      <x:c r="S758" s="13" t="str">
        <x:v>consideration</x:v>
      </x:c>
      <x:c r="T758" s="16" t="str">
        <x:v>explicit | inferred</x:v>
      </x:c>
      <x:c r="U758" s="13" t="str">
        <x:v>medium</x:v>
      </x:c>
      <x:c r="V758" s="16" t="str">
        <x:v>baseball_theme_flip_flops</x:v>
      </x:c>
      <x:c r="W758" s="16" t="str">
        <x:v>listing_gap_review</x:v>
      </x:c>
      <x:c r="X758" s="16" t="str">
        <x:v>{"product_type":[{"value":"flip_flop","evidence_type":"explicit","source_span":"flip-flops","fact_ids":[],"rationale":"搜索词明确产品类型"},{"value":"flip_flop","evidence_type":"page_validated","source_span":"","fact_ids":["style_flip_flop"],"rationale":"该槽位与商品基准中的明示页面事实一致。"}],"event_intent":[{"value":"baseball_game","evidence_type":"inferred","source_span":"baseball","fact_ids":[],"rationale":"baseball可能指棒球主题设计或观赛场景"}],"primary_domain":[{"value":"clothing_shoes_jewelry","evidence_type":"inferred","source_span":"","fact_ids":[],"rationale":"该值由搜索词整体语义推断，未作为页面明示属性。"}],"secondary_domain":[{"value":"sports_outdoors","evidence_type":"inferred","source_span":"","fact_ids":[],"rationale":"该值由搜索词整体语义推断，未作为页面明示属性。"}]}</x:v>
      </x:c>
      <x:c r="Y758" s="16" t="str"/>
      <x:c r="Z758" s="13" t="str">
        <x:v>partial_match</x:v>
      </x:c>
      <x:c r="AA758" s="16" t="str">
        <x:v>style_flip_flop</x:v>
      </x:c>
      <x:c r="AB758" s="13" t="str">
        <x:v>accepted</x:v>
      </x:c>
      <x:c r="AC758" s="13" t="str">
        <x:v>1.0.0</x:v>
      </x:c>
      <x:c r="AD758" s="13" t="str">
        <x:v>1.1.0</x:v>
      </x:c>
      <x:c r="AE758" s="13" t="str">
        <x:v>deepseek/deepseek-v4-pro</x:v>
      </x:c>
      <x:c r="AF758" s="13" t="str">
        <x:v>aj2-y90-20260714T234810-0bea2f52</x:v>
      </x:c>
      <x:c r="AG758" s="13" t="str">
        <x:v>full-0038</x:v>
      </x:c>
      <x:c r="AH758" s="13" t="str">
        <x:v>full</x:v>
      </x:c>
      <x:c r="AI758" s="13" t="n">
        <x:v>38</x:v>
      </x:c>
    </x:row>
    <x:row r="759" ht="34" customHeight="1">
      <x:c r="A759" s="15" t="str">
        <x:v>beach slippers</x:v>
      </x:c>
      <x:c r="B759" s="15" t="str">
        <x:v>beach slippers</x:v>
      </x:c>
      <x:c r="C759" s="10" t="str">
        <x:v>f36d8a23e02894db</x:v>
      </x:c>
      <x:c r="D759" s="10" t="str">
        <x:v>keyword</x:v>
      </x:c>
      <x:c r="E759" s="10" t="str">
        <x:v>en</x:v>
      </x:c>
      <x:c r="F759" s="10" t="str">
        <x:v>clothing_shoes_jewelry</x:v>
      </x:c>
      <x:c r="G759" s="15" t="str">
        <x:v>sports_outdoors</x:v>
      </x:c>
      <x:c r="H759" s="15" t="str">
        <x:v>flip_flop | slipper</x:v>
      </x:c>
      <x:c r="I759" s="15" t="str"/>
      <x:c r="J759" s="15" t="str"/>
      <x:c r="K759" s="15" t="str">
        <x:v>easy_clean | slip_resistant</x:v>
      </x:c>
      <x:c r="L759" s="15" t="str">
        <x:v>beach_outing</x:v>
      </x:c>
      <x:c r="M759" s="15" t="str">
        <x:v>beach</x:v>
      </x:c>
      <x:c r="N759" s="15" t="str"/>
      <x:c r="O759" s="15" t="str"/>
      <x:c r="P759" s="15" t="str"/>
      <x:c r="Q759" s="15" t="str"/>
      <x:c r="R759" s="15" t="str">
        <x:v>用户寻找适合沙滩穿着的拖鞋，需易清洁且防滑。</x:v>
      </x:c>
      <x:c r="S759" s="10" t="str">
        <x:v>exploration</x:v>
      </x:c>
      <x:c r="T759" s="15" t="str">
        <x:v>explicit | page_validated | inferred</x:v>
      </x:c>
      <x:c r="U759" s="10" t="str">
        <x:v>medium</x:v>
      </x:c>
      <x:c r="V759" s="15" t="str">
        <x:v>beach_slippers</x:v>
      </x:c>
      <x:c r="W759" s="15" t="str">
        <x:v>performance_observation</x:v>
      </x:c>
      <x:c r="X759" s="15" t="str">
        <x:v>{"product_type":[{"value":"flip_flop","evidence_type":"inferred","source_span":"slippers","fact_ids":[],"rationale":"沙滩语境下slippers常指夹脚拖鞋"},{"value":"slipper","evidence_type":"explicit","source_span":"slippers","fact_ids":[],"rationale":"搜索词使用slippers"},{"value":"flip_flop","evidence_type":"page_validated","source_span":"","fact_ids":["style_flip_flop"],"rationale":"该槽位与商品基准中的明示页面事实一致。"}],"location_intent":[{"value":"beach","evidence_type":"explicit","source_span":"beach","fact_ids":[],"rationale":"搜索词明确沙滩场景"}],"capability_intent":[{"value":"easy_clean","evidence_type":"page_validated","source_span":"","fact_ids":["easy_clean"],"rationale":"EVA无缝结构易清洁适合沙滩"},{"value":"slip_resistant","evidence_type":"page_validated","source_span":"","fact_ids":["slip_resistant_grip"],"rationale":"防滑外底适合湿滑沙滩环境"},{"value":"easy_clean","evidence_type":"inferred","source_span":"","fact_ids":[],"rationale":"该能力由搜索词表达的任务或问题推断；页面事实仅用于验证商品承接。"},{"value":"slip_resistant","evidence_type":"inferred","source_span":"","fact_ids":[],"rationale":"该能力由搜索词表达的任务或问题推断；页面事实仅用于验证商品承接。"}],"event_intent":[{"value":"beach_outing","evidence_type":"inferred","source_span":"","fact_ids":[],"rationale":"该值由搜索词整体语义推断，未作为页面明示属性。"}],"primary_domain":[{"value":"clothing_shoes_jewelry","evidence_type":"inferred","source_span":"","fact_ids":[],"rationale":"该值由搜索词整体语义推断，未作为页面明示属性。"}],"secondary_domain":[{"value":"sports_outdoors","evidence_type":"inferred","source_span":"","fact_ids":[],"rationale":"该值由搜索词整体语义推断，未作为页面明示属性。"}]}</x:v>
      </x:c>
      <x:c r="Y759" s="15" t="str"/>
      <x:c r="Z759" s="10" t="str">
        <x:v>partial_match</x:v>
      </x:c>
      <x:c r="AA759" s="15" t="str">
        <x:v>easy_clean | slip_resistant_grip | style_flip_flop | style_outdoor</x:v>
      </x:c>
      <x:c r="AB759" s="10" t="str">
        <x:v>accepted</x:v>
      </x:c>
      <x:c r="AC759" s="10" t="str">
        <x:v>1.0.0</x:v>
      </x:c>
      <x:c r="AD759" s="10" t="str">
        <x:v>1.1.0</x:v>
      </x:c>
      <x:c r="AE759" s="10" t="str">
        <x:v>deepseek/deepseek-v4-pro</x:v>
      </x:c>
      <x:c r="AF759" s="10" t="str">
        <x:v>aj2-y90-20260714T234810-0bea2f52</x:v>
      </x:c>
      <x:c r="AG759" s="10" t="str">
        <x:v>full-0038</x:v>
      </x:c>
      <x:c r="AH759" s="10" t="str">
        <x:v>full</x:v>
      </x:c>
      <x:c r="AI759" s="10" t="n">
        <x:v>38</x:v>
      </x:c>
    </x:row>
    <x:row r="760" ht="34" customHeight="1">
      <x:c r="A760" s="16" t="str">
        <x:v>womens size 6 flip flops</x:v>
      </x:c>
      <x:c r="B760" s="16" t="str">
        <x:v>womens size 6 flip flops</x:v>
      </x:c>
      <x:c r="C760" s="13" t="str">
        <x:v>f553f9df82b644c0</x:v>
      </x:c>
      <x:c r="D760" s="13" t="str">
        <x:v>keyword</x:v>
      </x:c>
      <x:c r="E760" s="13" t="str">
        <x:v>en</x:v>
      </x:c>
      <x:c r="F760" s="13" t="str">
        <x:v>clothing_shoes_jewelry</x:v>
      </x:c>
      <x:c r="G760" s="16" t="str"/>
      <x:c r="H760" s="16" t="str">
        <x:v>flip_flop</x:v>
      </x:c>
      <x:c r="I760" s="16" t="str">
        <x:v>women</x:v>
      </x:c>
      <x:c r="J760" s="16" t="str"/>
      <x:c r="K760" s="16" t="str"/>
      <x:c r="L760" s="16" t="str"/>
      <x:c r="M760" s="16" t="str"/>
      <x:c r="N760" s="16" t="str"/>
      <x:c r="O760" s="16" t="str"/>
      <x:c r="P760" s="16" t="str"/>
      <x:c r="Q760" s="16" t="str"/>
      <x:c r="R760" s="16" t="str">
        <x:v>女性用户寻找6码夹脚拖鞋。</x:v>
      </x:c>
      <x:c r="S760" s="13" t="str">
        <x:v>high_intent</x:v>
      </x:c>
      <x:c r="T760" s="16" t="str">
        <x:v>explicit | page_validated</x:v>
      </x:c>
      <x:c r="U760" s="13" t="str">
        <x:v>high</x:v>
      </x:c>
      <x:c r="V760" s="16" t="str">
        <x:v>womens_size6_flip_flops</x:v>
      </x:c>
      <x:c r="W760" s="16" t="str">
        <x:v>cluster_route</x:v>
      </x:c>
      <x:c r="X760" s="16" t="str">
        <x:v>{"product_type":[{"value":"flip_flop","evidence_type":"explicit","source_span":"flip flops","fact_ids":[],"rationale":"搜索词明确产品类型"},{"value":"flip_flop","evidence_type":"page_validated","source_span":"","fact_ids":["style_flip_flop"],"rationale":"该槽位与商品基准中的明示页面事实一致。"}],"audience_intent":[{"value":"women","evidence_type":"explicit","source_span":"womens","fact_ids":[],"rationale":"搜索词指定女性"},{"value":"women","evidence_type":"page_validated","source_span":"","fact_ids":["title_womens_flip_flop"],"rationale":"该槽位与商品基准中的明示页面事实一致。"}],"size":[{"value":"us_6","evidence_type":"page_validated","source_span":"","fact_ids":["sizes_6_11"],"rationale":"页面尺码范围6-11含6码"}],"primary_domain":[{"value":"clothing_shoes_jewelry","evidence_type":"inferred","source_span":"","fact_ids":[],"rationale":"该值由搜索词整体语义推断，未作为页面明示属性。"}]}</x:v>
      </x:c>
      <x:c r="Y760" s="16" t="str"/>
      <x:c r="Z760" s="13" t="str">
        <x:v>match</x:v>
      </x:c>
      <x:c r="AA760" s="16" t="str">
        <x:v>title_womens_flip_flop | sizes_6_11 | style_flip_flop</x:v>
      </x:c>
      <x:c r="AB760" s="13" t="str">
        <x:v>accepted</x:v>
      </x:c>
      <x:c r="AC760" s="13" t="str">
        <x:v>1.0.0</x:v>
      </x:c>
      <x:c r="AD760" s="13" t="str">
        <x:v>1.1.0</x:v>
      </x:c>
      <x:c r="AE760" s="13" t="str">
        <x:v>deepseek/deepseek-v4-pro</x:v>
      </x:c>
      <x:c r="AF760" s="13" t="str">
        <x:v>aj2-y90-20260714T234810-0bea2f52</x:v>
      </x:c>
      <x:c r="AG760" s="13" t="str">
        <x:v>full-0038</x:v>
      </x:c>
      <x:c r="AH760" s="13" t="str">
        <x:v>full</x:v>
      </x:c>
      <x:c r="AI760" s="13" t="n">
        <x:v>38</x:v>
      </x:c>
    </x:row>
    <x:row r="761" ht="34" customHeight="1">
      <x:c r="A761" s="15" t="str">
        <x:v>women flip flops same day</x:v>
      </x:c>
      <x:c r="B761" s="15" t="str">
        <x:v>women flip flops same day</x:v>
      </x:c>
      <x:c r="C761" s="10" t="str">
        <x:v>f81187b6038229ac</x:v>
      </x:c>
      <x:c r="D761" s="10" t="str">
        <x:v>keyword</x:v>
      </x:c>
      <x:c r="E761" s="10" t="str">
        <x:v>en</x:v>
      </x:c>
      <x:c r="F761" s="10" t="str">
        <x:v>clothing_shoes_jewelry</x:v>
      </x:c>
      <x:c r="G761" s="15" t="str"/>
      <x:c r="H761" s="15" t="str">
        <x:v>flip_flop</x:v>
      </x:c>
      <x:c r="I761" s="15" t="str">
        <x:v>women</x:v>
      </x:c>
      <x:c r="J761" s="15" t="str"/>
      <x:c r="K761" s="15" t="str"/>
      <x:c r="L761" s="15" t="str"/>
      <x:c r="M761" s="15" t="str"/>
      <x:c r="N761" s="15" t="str"/>
      <x:c r="O761" s="15" t="str">
        <x:v>same_day_delivery</x:v>
      </x:c>
      <x:c r="P761" s="15" t="str"/>
      <x:c r="Q761" s="15" t="str"/>
      <x:c r="R761" s="15" t="str">
        <x:v>女性用户寻找可当日送达的夹脚拖鞋。</x:v>
      </x:c>
      <x:c r="S761" s="10" t="str">
        <x:v>high_intent</x:v>
      </x:c>
      <x:c r="T761" s="15" t="str">
        <x:v>explicit | inferred</x:v>
      </x:c>
      <x:c r="U761" s="10" t="str">
        <x:v>medium</x:v>
      </x:c>
      <x:c r="V761" s="15" t="str">
        <x:v>womens_flip_flops_fast_delivery</x:v>
      </x:c>
      <x:c r="W761" s="15" t="str">
        <x:v>performance_observation</x:v>
      </x:c>
      <x:c r="X761" s="15" t="str">
        <x:v>{"product_type":[{"value":"flip_flop","evidence_type":"explicit","source_span":"flip flops","fact_ids":[],"rationale":"搜索词明确产品类型"},{"value":"flip_flop","evidence_type":"page_validated","source_span":"","fact_ids":["style_flip_flop"],"rationale":"该槽位与商品基准中的明示页面事实一致。"}],"audience_intent":[{"value":"women","evidence_type":"explicit","source_span":"women","fact_ids":[],"rationale":"搜索词指定女性"},{"value":"women","evidence_type":"page_validated","source_span":"","fact_ids":["title_womens_flip_flop"],"rationale":"该槽位与商品基准中的明示页面事实一致。"}],"time_intent":[{"value":"same_day_delivery","evidence_type":"explicit","source_span":"same day","fact_ids":[],"rationale":"搜索词要求当日达，配送信息属于排除声明"}],"primary_domain":[{"value":"clothing_shoes_jewelry","evidence_type":"inferred","source_span":"","fact_ids":[],"rationale":"该值由搜索词整体语义推断，未作为页面明示属性。"}]}</x:v>
      </x:c>
      <x:c r="Y761" s="15" t="str"/>
      <x:c r="Z761" s="10" t="str">
        <x:v>partial_match</x:v>
      </x:c>
      <x:c r="AA761" s="15" t="str">
        <x:v>title_womens_flip_flop | style_flip_flop</x:v>
      </x:c>
      <x:c r="AB761" s="10" t="str">
        <x:v>accepted</x:v>
      </x:c>
      <x:c r="AC761" s="10" t="str">
        <x:v>1.0.0</x:v>
      </x:c>
      <x:c r="AD761" s="10" t="str">
        <x:v>1.1.0</x:v>
      </x:c>
      <x:c r="AE761" s="10" t="str">
        <x:v>deepseek/deepseek-v4-pro</x:v>
      </x:c>
      <x:c r="AF761" s="10" t="str">
        <x:v>aj2-y90-20260714T234810-0bea2f52</x:v>
      </x:c>
      <x:c r="AG761" s="10" t="str">
        <x:v>full-0038</x:v>
      </x:c>
      <x:c r="AH761" s="10" t="str">
        <x:v>full</x:v>
      </x:c>
      <x:c r="AI761" s="10" t="n">
        <x:v>38</x:v>
      </x:c>
    </x:row>
    <x:row r="762" ht="34" customHeight="1">
      <x:c r="A762" s="16" t="str">
        <x:v>chancletas de mujer para la playa</x:v>
      </x:c>
      <x:c r="B762" s="16" t="str">
        <x:v>chancletas de mujer para la playa</x:v>
      </x:c>
      <x:c r="C762" s="13" t="str">
        <x:v>120810e8a3206458</x:v>
      </x:c>
      <x:c r="D762" s="13" t="str">
        <x:v>keyword</x:v>
      </x:c>
      <x:c r="E762" s="13" t="str">
        <x:v>es</x:v>
      </x:c>
      <x:c r="F762" s="13" t="str">
        <x:v>clothing_shoes_jewelry</x:v>
      </x:c>
      <x:c r="G762" s="16" t="str">
        <x:v>sports_outdoors</x:v>
      </x:c>
      <x:c r="H762" s="16" t="str">
        <x:v>flip_flop | sandal</x:v>
      </x:c>
      <x:c r="I762" s="16" t="str">
        <x:v>women</x:v>
      </x:c>
      <x:c r="J762" s="16" t="str"/>
      <x:c r="K762" s="16" t="str">
        <x:v>beach_appropriate</x:v>
      </x:c>
      <x:c r="L762" s="16" t="str">
        <x:v>beach_outing</x:v>
      </x:c>
      <x:c r="M762" s="16" t="str">
        <x:v>beach</x:v>
      </x:c>
      <x:c r="N762" s="16" t="str"/>
      <x:c r="O762" s="16" t="str">
        <x:v>summer</x:v>
      </x:c>
      <x:c r="P762" s="16" t="str"/>
      <x:c r="Q762" s="16" t="str"/>
      <x:c r="R762" s="16" t="str">
        <x:v>一位女性用户想找适合在海滩穿的凉拖鞋。</x:v>
      </x:c>
      <x:c r="S762" s="13" t="str">
        <x:v>consideration</x:v>
      </x:c>
      <x:c r="T762" s="16" t="str">
        <x:v>explicit | page_validated | inferred</x:v>
      </x:c>
      <x:c r="U762" s="13" t="str">
        <x:v>medium</x:v>
      </x:c>
      <x:c r="V762" s="16" t="str">
        <x:v>beach_womens_flip_flops</x:v>
      </x:c>
      <x:c r="W762" s="16" t="str">
        <x:v>listing_gap_review</x:v>
      </x:c>
      <x:c r="X762" s="16" t="str">
        <x:v>{"primary_domain":[{"value":"clothing_shoes_jewelry","evidence_type":"inferred","source_span":"chancletas","fact_ids":[],"rationale":"凉拖鞋归属鞋服品类"}],"secondary_domain":[{"value":"sports_outdoors","evidence_type":"inferred","source_span":"playa","fact_ids":[],"rationale":"海滩属于户外运动场景"}],"product_type":[{"value":"flip_flop","evidence_type":"page_validated","source_span":"","fact_ids":["style_flip_flop","title_womens_flip_flop"],"rationale":""},{"value":"sandal","evidence_type":"inferred","source_span":"chancletas","fact_ids":[],"rationale":"西语chancletas泛指凉拖鞋"},{"value":"flip_flop","evidence_type":"inferred","source_span":"","fact_ids":[],"rationale":"该能力由搜索词表达的任务或问题推断；页面事实仅用于验证商品承接。"}],"audience_intent":[{"value":"women","evidence_type":"explicit","source_span":"mujer","fact_ids":[],"rationale":""},{"value":"women","evidence_type":"page_validated","source_span":"","fact_ids":["title_womens_flip_flop"],"rationale":"该槽位与商品基准中的明示页面事实一致。"},{"value":"women","evidence_type":"inferred","source_span":"","fact_ids":[],"rationale":"该能力由搜索词表达的任务或问题推断；页面事实仅用于验证商品承接。"}],"capability_intent":[{"value":"beach_appropriate","evidence_type":"inferred","source_span":"playa","fact_ids":[],"rationale":"海滩需要耐沙易清洗的鞋"}],"event_intent":[{"value":"beach_outing","evidence_type":"explicit","source_span":"playa","fact_ids":[],"rationale":""}],"location_intent":[{"value":"beach","evidence_type":"explicit","source_span":"playa","fact_ids":[],"rationale":""}],"time_intent":[{"value":"summer","evidence_type":"inferred","source_span":"playa","fact_ids":[],"rationale":"海滩活动通常在夏季"}]}</x:v>
      </x:c>
      <x:c r="Y762" s="16" t="str"/>
      <x:c r="Z762" s="13" t="str">
        <x:v>partial_match</x:v>
      </x:c>
      <x:c r="AA762" s="16" t="str">
        <x:v>title_womens_flip_flop | style_flip_flop | style_outdoor | easy_clean | slip_resistant_grip</x:v>
      </x:c>
      <x:c r="AB762" s="13" t="str">
        <x:v>accepted</x:v>
      </x:c>
      <x:c r="AC762" s="13" t="str">
        <x:v>1.0.0</x:v>
      </x:c>
      <x:c r="AD762" s="13" t="str">
        <x:v>1.1.0</x:v>
      </x:c>
      <x:c r="AE762" s="13" t="str">
        <x:v>deepseek/deepseek-v4-pro</x:v>
      </x:c>
      <x:c r="AF762" s="13" t="str">
        <x:v>aj2-y90-20260714T234810-0bea2f52</x:v>
      </x:c>
      <x:c r="AG762" s="13" t="str">
        <x:v>full-0039</x:v>
      </x:c>
      <x:c r="AH762" s="13" t="str">
        <x:v>full</x:v>
      </x:c>
      <x:c r="AI762" s="13" t="n">
        <x:v>39</x:v>
      </x:c>
    </x:row>
    <x:row r="763" ht="34" customHeight="1">
      <x:c r="A763" s="15" t="str">
        <x:v>orthopedic flip flops for plantar fasciitis women</x:v>
      </x:c>
      <x:c r="B763" s="15" t="str">
        <x:v>orthopedic flip flops for plantar fasciitis women</x:v>
      </x:c>
      <x:c r="C763" s="10" t="str">
        <x:v>25beb8f1d3132901</x:v>
      </x:c>
      <x:c r="D763" s="10" t="str">
        <x:v>keyword</x:v>
      </x:c>
      <x:c r="E763" s="10" t="str">
        <x:v>en</x:v>
      </x:c>
      <x:c r="F763" s="10" t="str">
        <x:v>clothing_shoes_jewelry</x:v>
      </x:c>
      <x:c r="G763" s="15" t="str">
        <x:v>health_household</x:v>
      </x:c>
      <x:c r="H763" s="15" t="str">
        <x:v>flip_flop | sandal | orthopedic_footwear</x:v>
      </x:c>
      <x:c r="I763" s="15" t="str">
        <x:v>women</x:v>
      </x:c>
      <x:c r="J763" s="15" t="str">
        <x:v>pain_relief | foot_support</x:v>
      </x:c>
      <x:c r="K763" s="15" t="str">
        <x:v>arch_support | cushioning</x:v>
      </x:c>
      <x:c r="L763" s="15" t="str"/>
      <x:c r="M763" s="15" t="str"/>
      <x:c r="N763" s="15" t="str">
        <x:v>plantar_fasciitis | foot_pain</x:v>
      </x:c>
      <x:c r="O763" s="15" t="str"/>
      <x:c r="P763" s="15" t="str"/>
      <x:c r="Q763" s="15" t="str"/>
      <x:c r="R763" s="15" t="str">
        <x:v>一位患有足底筋膜炎的女性用户想找具有骨科矫形功能的人字拖来缓解足部疼痛。</x:v>
      </x:c>
      <x:c r="S763" s="10" t="str">
        <x:v>high_intent</x:v>
      </x:c>
      <x:c r="T763" s="15" t="str">
        <x:v>explicit | page_validated | inferred</x:v>
      </x:c>
      <x:c r="U763" s="10" t="str">
        <x:v>medium</x:v>
      </x:c>
      <x:c r="V763" s="15" t="str">
        <x:v>orthopedic_plantar_fasciitis_flip_flops</x:v>
      </x:c>
      <x:c r="W763" s="15" t="str">
        <x:v>listing_gap_review</x:v>
      </x:c>
      <x:c r="X763" s="15" t="str">
        <x:v>{"primary_domain":[{"value":"clothing_shoes_jewelry","evidence_type":"inferred","source_span":"flip flops","fact_ids":[],"rationale":"人字拖归属鞋服品类"}],"secondary_domain":[{"value":"health_household","evidence_type":"inferred","source_span":"plantar fasciitis","fact_ids":[],"rationale":"足底筋膜炎涉及健康护理领域"}],"product_type":[{"value":"flip_flop","evidence_type":"explicit","source_span":"flip flops","fact_ids":[],"rationale":""},{"value":"sandal","evidence_type":"page_validated","source_span":"","fact_ids":["title_womens_flip_flop"],"rationale":""},{"value":"orthopedic_footwear","evidence_type":"inferred","source_span":"orthopedic","fact_ids":[],"rationale":"骨科鞋履是一种功能分类"},{"value":"flip_flop","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function_intent":[{"value":"pain_relief","evidence_type":"inferred","source_span":"plantar fasciitis","fact_ids":[],"rationale":"足底筋膜炎患者需要缓解疼痛"},{"value":"foot_support","evidence_type":"explicit","source_span":"orthopedic","fact_ids":[],"rationale":""},{"value":"foot_support","evidence_type":"page_validated","source_span":"","fact_ids":["arch_support"],"rationale":"该槽位与商品基准中的明示页面事实一致。"},{"value":"foot_support","evidence_type":"inferred","source_span":"","fact_ids":[],"rationale":"该能力由搜索词表达的任务或问题推断；页面事实仅用于验证商品承接。"}],"capability_intent":[{"value":"arch_support","evidence_type":"page_validated","source_span":"","fact_ids":["arch_support"],"rationale":""},{"value":"cushioning","evidence_type":"page_validated","source_span":"","fact_ids":["padded_cushioning"],"rationale":""},{"value":"arch_support","evidence_type":"inferred","source_span":"","fact_ids":[],"rationale":"该能力由搜索词表达的任务或问题推断；页面事实仅用于验证商品承接。"},{"value":"cushioning","evidence_type":"inferred","source_span":"","fact_ids":[],"rationale":"该能力由搜索词表达的任务或问题推断；页面事实仅用于验证商品承接。"}],"body_need_intent":[{"value":"plantar_fasciitis","evidence_type":"explicit","source_span":"plantar fasciitis","fact_ids":[],"rationale":""},{"value":"foot_pain","evidence_type":"inferred","source_span":"plantar fasciitis","fact_ids":[],"rationale":"足底筋膜炎导致足部疼痛"}]}</x:v>
      </x:c>
      <x:c r="Y763" s="15" t="str">
        <x:v>plantar_fasciitis_treatment_not_claimed</x:v>
      </x:c>
      <x:c r="Z763" s="10" t="str">
        <x:v>partial_match</x:v>
      </x:c>
      <x:c r="AA763" s="15" t="str">
        <x:v>title_womens_flip_flop | style_flip_flop | arch_support | padded_cushioning</x:v>
      </x:c>
      <x:c r="AB763" s="10" t="str">
        <x:v>accepted</x:v>
      </x:c>
      <x:c r="AC763" s="10" t="str">
        <x:v>1.0.0</x:v>
      </x:c>
      <x:c r="AD763" s="10" t="str">
        <x:v>1.1.0</x:v>
      </x:c>
      <x:c r="AE763" s="10" t="str">
        <x:v>deepseek/deepseek-v4-pro</x:v>
      </x:c>
      <x:c r="AF763" s="10" t="str">
        <x:v>aj2-y90-20260714T234810-0bea2f52</x:v>
      </x:c>
      <x:c r="AG763" s="10" t="str">
        <x:v>full-0039</x:v>
      </x:c>
      <x:c r="AH763" s="10" t="str">
        <x:v>full</x:v>
      </x:c>
      <x:c r="AI763" s="10" t="n">
        <x:v>39</x:v>
      </x:c>
    </x:row>
    <x:row r="764" ht="34" customHeight="1">
      <x:c r="A764" s="16" t="str">
        <x:v>womens plastic free flipflops</x:v>
      </x:c>
      <x:c r="B764" s="16" t="str">
        <x:v>womens plastic free flipflops</x:v>
      </x:c>
      <x:c r="C764" s="13" t="str">
        <x:v>36b49ab144793e25</x:v>
      </x:c>
      <x:c r="D764" s="13" t="str">
        <x:v>keyword</x:v>
      </x:c>
      <x:c r="E764" s="13" t="str">
        <x:v>en</x:v>
      </x:c>
      <x:c r="F764" s="13" t="str">
        <x:v>clothing_shoes_jewelry</x:v>
      </x:c>
      <x:c r="G764" s="16" t="str"/>
      <x:c r="H764" s="16" t="str">
        <x:v>flip_flop</x:v>
      </x:c>
      <x:c r="I764" s="16" t="str">
        <x:v>women</x:v>
      </x:c>
      <x:c r="J764" s="16" t="str">
        <x:v>eco_conscious</x:v>
      </x:c>
      <x:c r="K764" s="16" t="str">
        <x:v>plastic_free_material</x:v>
      </x:c>
      <x:c r="L764" s="16" t="str"/>
      <x:c r="M764" s="16" t="str"/>
      <x:c r="N764" s="16" t="str"/>
      <x:c r="O764" s="16" t="str"/>
      <x:c r="P764" s="16" t="str"/>
      <x:c r="Q764" s="16" t="str"/>
      <x:c r="R764" s="16" t="str">
        <x:v>一位女性用户想找不含塑料材质的人字拖。</x:v>
      </x:c>
      <x:c r="S764" s="13" t="str">
        <x:v>consideration</x:v>
      </x:c>
      <x:c r="T764" s="16" t="str">
        <x:v>explicit | page_validated</x:v>
      </x:c>
      <x:c r="U764" s="13" t="str">
        <x:v>high</x:v>
      </x:c>
      <x:c r="V764" s="16" t="str">
        <x:v>plastic_free_womens_flip_flops</x:v>
      </x:c>
      <x:c r="W764" s="16" t="str">
        <x:v>semantic_negative_candidate</x:v>
      </x:c>
      <x:c r="X764" s="16" t="str">
        <x:v>{"primary_domain":[{"value":"clothing_shoes_jewelry","evidence_type":"inferred","source_span":"flipflops","fact_ids":[],"rationale":"人字拖归属鞋服品类"}],"product_type":[{"value":"flip_flop","evidence_type":"explicit","source_span":"flipflops","fact_ids":[],"rationale":""},{"value":"flip_flop","evidence_type":"page_validated","source_span":"","fact_ids":["style_flip_flop"],"rationale":"该槽位与商品基准中的明示页面事实一致。"},{"value":"flip_flop","evidence_type":"inferred","source_span":"","fact_ids":[],"rationale":"该能力由搜索词表达的任务或问题推断；页面事实仅用于验证商品承接。"}],"audience_intent":[{"value":"women","evidence_type":"explicit","source_span":"womens","fact_ids":[],"rationale":""},{"value":"women","evidence_type":"page_validated","source_span":"","fact_ids":["title_womens_flip_flop"],"rationale":"该槽位与商品基准中的明示页面事实一致。"}],"function_intent":[{"value":"eco_conscious","evidence_type":"inferred","source_span":"plastic free","fact_ids":[],"rationale":"无塑料诉求通常出于环保意识"}],"capability_intent":[{"value":"plastic_free_material","evidence_type":"explicit","source_span":"plastic free","fact_ids":[],"rationale":""}]}</x:v>
      </x:c>
      <x:c r="Y764" s="16" t="str"/>
      <x:c r="Z764" s="13" t="str">
        <x:v>mismatch</x:v>
      </x:c>
      <x:c r="AA764" s="16" t="str">
        <x:v>style_flip_flop | material_eva</x:v>
      </x:c>
      <x:c r="AB764" s="13" t="str">
        <x:v>accepted</x:v>
      </x:c>
      <x:c r="AC764" s="13" t="str">
        <x:v>1.0.0</x:v>
      </x:c>
      <x:c r="AD764" s="13" t="str">
        <x:v>1.1.0</x:v>
      </x:c>
      <x:c r="AE764" s="13" t="str">
        <x:v>deepseek/deepseek-v4-pro</x:v>
      </x:c>
      <x:c r="AF764" s="13" t="str">
        <x:v>aj2-y90-20260714T234810-0bea2f52</x:v>
      </x:c>
      <x:c r="AG764" s="13" t="str">
        <x:v>full-0039</x:v>
      </x:c>
      <x:c r="AH764" s="13" t="str">
        <x:v>full</x:v>
      </x:c>
      <x:c r="AI764" s="13" t="n">
        <x:v>39</x:v>
      </x:c>
    </x:row>
    <x:row r="765" ht="34" customHeight="1">
      <x:c r="A765" s="15" t="str">
        <x:v>beige flip flops women comfort</x:v>
      </x:c>
      <x:c r="B765" s="15" t="str">
        <x:v>beige flip flops women comfort</x:v>
      </x:c>
      <x:c r="C765" s="10" t="str">
        <x:v>38aac5d00381c640</x:v>
      </x:c>
      <x:c r="D765" s="10" t="str">
        <x:v>keyword</x:v>
      </x:c>
      <x:c r="E765" s="10" t="str">
        <x:v>en</x:v>
      </x:c>
      <x:c r="F765" s="10" t="str">
        <x:v>clothing_shoes_jewelry</x:v>
      </x:c>
      <x:c r="G765" s="15" t="str"/>
      <x:c r="H765" s="15" t="str">
        <x:v>flip_flop | sandal</x:v>
      </x:c>
      <x:c r="I765" s="15" t="str">
        <x:v>women</x:v>
      </x:c>
      <x:c r="J765" s="15" t="str">
        <x:v>comfort</x:v>
      </x:c>
      <x:c r="K765" s="15" t="str">
        <x:v>beige_color | cushioning</x:v>
      </x:c>
      <x:c r="L765" s="15" t="str"/>
      <x:c r="M765" s="15" t="str"/>
      <x:c r="N765" s="15" t="str"/>
      <x:c r="O765" s="15" t="str"/>
      <x:c r="P765" s="15" t="str"/>
      <x:c r="Q765" s="15" t="str"/>
      <x:c r="R765" s="15" t="str">
        <x:v>一位女性用户想找一双米色舒适的人字拖。</x:v>
      </x:c>
      <x:c r="S765" s="10" t="str">
        <x:v>consideration</x:v>
      </x:c>
      <x:c r="T765" s="15" t="str">
        <x:v>explicit | page_validated</x:v>
      </x:c>
      <x:c r="U765" s="10" t="str">
        <x:v>medium</x:v>
      </x:c>
      <x:c r="V765" s="15" t="str">
        <x:v>beige_womens_comfort_flip_flops</x:v>
      </x:c>
      <x:c r="W765" s="15" t="str">
        <x:v>listing_gap_review</x:v>
      </x:c>
      <x:c r="X765" s="15" t="str">
        <x:v>{"primary_domain":[{"value":"clothing_shoes_jewelry","evidence_type":"inferred","source_span":"flip flops","fact_ids":[],"rationale":"人字拖归属鞋服品类"}],"product_type":[{"value":"flip_flop","evidence_type":"explicit","source_span":"flip flops","fact_ids":[],"rationale":""},{"value":"sandal","evidence_type":"page_validated","source_span":"","fact_ids":["title_womens_flip_flop","style_flip_flop"],"rationale":""},{"value":"flip_flop","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function_intent":[{"value":"comfort","evidence_type":"explicit","source_span":"comfort","fact_ids":[],"rationale":""},{"value":"comfort","evidence_type":"page_validated","source_span":"","fact_ids":["arch_support","padded_cushioning"],"rationale":"该槽位与商品基准中的明示页面事实一致。"}],"capability_intent":[{"value":"beige_color","evidence_type":"explicit","source_span":"beige","fact_ids":[],"rationale":""},{"value":"cushioning","evidence_type":"page_validated","source_span":"","fact_ids":["padded_cushioning","arch_support"],"rationale":""},{"value":"cushioning","evidence_type":"inferred","source_span":"","fact_ids":[],"rationale":"该能力由搜索词表达的任务或问题推断；页面事实仅用于验证商品承接。"}]}</x:v>
      </x:c>
      <x:c r="Y765" s="15" t="str">
        <x:v>beige_not_in_visible_colors</x:v>
      </x:c>
      <x:c r="Z765" s="10" t="str">
        <x:v>partial_match</x:v>
      </x:c>
      <x:c r="AA765" s="15" t="str">
        <x:v>title_womens_flip_flop | style_flip_flop | padded_cushioning | arch_support | colors_visible</x:v>
      </x:c>
      <x:c r="AB765" s="10" t="str">
        <x:v>accepted</x:v>
      </x:c>
      <x:c r="AC765" s="10" t="str">
        <x:v>1.0.0</x:v>
      </x:c>
      <x:c r="AD765" s="10" t="str">
        <x:v>1.1.0</x:v>
      </x:c>
      <x:c r="AE765" s="10" t="str">
        <x:v>deepseek/deepseek-v4-pro</x:v>
      </x:c>
      <x:c r="AF765" s="10" t="str">
        <x:v>aj2-y90-20260714T234810-0bea2f52</x:v>
      </x:c>
      <x:c r="AG765" s="10" t="str">
        <x:v>full-0039</x:v>
      </x:c>
      <x:c r="AH765" s="10" t="str">
        <x:v>full</x:v>
      </x:c>
      <x:c r="AI765" s="10" t="n">
        <x:v>39</x:v>
      </x:c>
    </x:row>
    <x:row r="766" ht="34" customHeight="1">
      <x:c r="A766" s="16" t="str">
        <x:v>black woman flip flops</x:v>
      </x:c>
      <x:c r="B766" s="16" t="str">
        <x:v>black woman flip flops</x:v>
      </x:c>
      <x:c r="C766" s="13" t="str">
        <x:v>40a7b7b5c3f6f7e8</x:v>
      </x:c>
      <x:c r="D766" s="13" t="str">
        <x:v>keyword</x:v>
      </x:c>
      <x:c r="E766" s="13" t="str">
        <x:v>en</x:v>
      </x:c>
      <x:c r="F766" s="13" t="str">
        <x:v>clothing_shoes_jewelry</x:v>
      </x:c>
      <x:c r="G766" s="16" t="str"/>
      <x:c r="H766" s="16" t="str">
        <x:v>flip_flop | sandal</x:v>
      </x:c>
      <x:c r="I766" s="16" t="str">
        <x:v>women</x:v>
      </x:c>
      <x:c r="J766" s="16" t="str"/>
      <x:c r="K766" s="16" t="str">
        <x:v>black_color</x:v>
      </x:c>
      <x:c r="L766" s="16" t="str"/>
      <x:c r="M766" s="16" t="str"/>
      <x:c r="N766" s="16" t="str"/>
      <x:c r="O766" s="16" t="str"/>
      <x:c r="P766" s="16" t="str"/>
      <x:c r="Q766" s="16" t="str"/>
      <x:c r="R766" s="16" t="str">
        <x:v>一位女性用户想找一双黑色的人字拖。</x:v>
      </x:c>
      <x:c r="S766" s="13" t="str">
        <x:v>consideration</x:v>
      </x:c>
      <x:c r="T766" s="16" t="str">
        <x:v>explicit | page_validated</x:v>
      </x:c>
      <x:c r="U766" s="13" t="str">
        <x:v>high</x:v>
      </x:c>
      <x:c r="V766" s="16" t="str">
        <x:v>black_womens_flip_flops</x:v>
      </x:c>
      <x:c r="W766" s="16" t="str">
        <x:v>cluster_route</x:v>
      </x:c>
      <x:c r="X766" s="16" t="str">
        <x:v>{"primary_domain":[{"value":"clothing_shoes_jewelry","evidence_type":"inferred","source_span":"flip flops","fact_ids":[],"rationale":"人字拖归属鞋服品类"}],"product_type":[{"value":"flip_flop","evidence_type":"explicit","source_span":"flip flops","fact_ids":[],"rationale":""},{"value":"sandal","evidence_type":"page_validated","source_span":"","fact_ids":["title_womens_flip_flop","style_flip_flop"],"rationale":""},{"value":"flip_flop","evidence_type":"page_validated","source_span":"","fact_ids":["style_flip_flop"],"rationale":"该槽位与商品基准中的明示页面事实一致。"}],"audience_intent":[{"value":"women","evidence_type":"explicit","source_span":"woman","fact_ids":[],"rationale":""},{"value":"women","evidence_type":"page_validated","source_span":"","fact_ids":["title_womens_flip_flop"],"rationale":"该槽位与商品基准中的明示页面事实一致。"},{"value":"women","evidence_type":"inferred","source_span":"","fact_ids":[],"rationale":"该能力由搜索词表达的任务或问题推断；页面事实仅用于验证商品承接。"}],"capability_intent":[{"value":"black_color","evidence_type":"explicit","source_span":"black","fact_ids":[],"rationale":""}]}</x:v>
      </x:c>
      <x:c r="Y766" s="16" t="str"/>
      <x:c r="Z766" s="13" t="str">
        <x:v>match</x:v>
      </x:c>
      <x:c r="AA766" s="16" t="str">
        <x:v>title_womens_flip_flop | style_flip_flop | colors_visible</x:v>
      </x:c>
      <x:c r="AB766" s="13" t="str">
        <x:v>accepted</x:v>
      </x:c>
      <x:c r="AC766" s="13" t="str">
        <x:v>1.0.0</x:v>
      </x:c>
      <x:c r="AD766" s="13" t="str">
        <x:v>1.1.0</x:v>
      </x:c>
      <x:c r="AE766" s="13" t="str">
        <x:v>deepseek/deepseek-v4-pro</x:v>
      </x:c>
      <x:c r="AF766" s="13" t="str">
        <x:v>aj2-y90-20260714T234810-0bea2f52</x:v>
      </x:c>
      <x:c r="AG766" s="13" t="str">
        <x:v>full-0039</x:v>
      </x:c>
      <x:c r="AH766" s="13" t="str">
        <x:v>full</x:v>
      </x:c>
      <x:c r="AI766" s="13" t="n">
        <x:v>39</x:v>
      </x:c>
    </x:row>
    <x:row r="767" ht="34" customHeight="1">
      <x:c r="A767" s="15" t="str">
        <x:v>generic+flip+flops</x:v>
      </x:c>
      <x:c r="B767" s="15" t="str">
        <x:v>generic+flip+flops</x:v>
      </x:c>
      <x:c r="C767" s="10" t="str">
        <x:v>581e87959fe5a558</x:v>
      </x:c>
      <x:c r="D767" s="10" t="str">
        <x:v>keyword</x:v>
      </x:c>
      <x:c r="E767" s="10" t="str">
        <x:v>en</x:v>
      </x:c>
      <x:c r="F767" s="10" t="str">
        <x:v>clothing_shoes_jewelry</x:v>
      </x:c>
      <x:c r="G767" s="15" t="str"/>
      <x:c r="H767" s="15" t="str">
        <x:v>flip_flop</x:v>
      </x:c>
      <x:c r="I767" s="15" t="str"/>
      <x:c r="J767" s="15" t="str"/>
      <x:c r="K767" s="15" t="str"/>
      <x:c r="L767" s="15" t="str"/>
      <x:c r="M767" s="15" t="str"/>
      <x:c r="N767" s="15" t="str"/>
      <x:c r="O767" s="15" t="str"/>
      <x:c r="P767" s="15" t="str"/>
      <x:c r="Q767" s="15" t="str"/>
      <x:c r="R767" s="15" t="str">
        <x:v>用户想找无品牌或通用款式的人字拖。</x:v>
      </x:c>
      <x:c r="S767" s="10" t="str">
        <x:v>exploration</x:v>
      </x:c>
      <x:c r="T767" s="15" t="str">
        <x:v>explicit | page_validated | inferred</x:v>
      </x:c>
      <x:c r="U767" s="10" t="str">
        <x:v>medium</x:v>
      </x:c>
      <x:c r="V767" s="15" t="str">
        <x:v>generic_flip_flops</x:v>
      </x:c>
      <x:c r="W767" s="15" t="str">
        <x:v>cluster_route</x:v>
      </x:c>
      <x:c r="X767" s="15" t="str">
        <x:v>{"primary_domain":[{"value":"clothing_shoes_jewelry","evidence_type":"inferred","source_span":"flip flops","fact_ids":[],"rationale":"人字拖归属鞋服品类"}],"product_type":[{"value":"flip_flop","evidence_type":"explicit","source_span":"flip+flops","fact_ids":[],"rationale":""},{"value":"flip_flop","evidence_type":"page_validated","source_span":"","fact_ids":["style_flip_flop"],"rationale":"该槽位与商品基准中的明示页面事实一致。"},{"value":"flip_flop","evidence_type":"inferred","source_span":"","fact_ids":[],"rationale":"该能力由搜索词表达的任务或问题推断；页面事实仅用于验证商品承接。"}]}</x:v>
      </x:c>
      <x:c r="Y767" s="15" t="str">
        <x:v>generic_meaning_ambiguous</x:v>
      </x:c>
      <x:c r="Z767" s="10" t="str">
        <x:v>match</x:v>
      </x:c>
      <x:c r="AA767" s="15" t="str">
        <x:v>style_flip_flop</x:v>
      </x:c>
      <x:c r="AB767" s="10" t="str">
        <x:v>accepted</x:v>
      </x:c>
      <x:c r="AC767" s="10" t="str">
        <x:v>1.0.0</x:v>
      </x:c>
      <x:c r="AD767" s="10" t="str">
        <x:v>1.1.0</x:v>
      </x:c>
      <x:c r="AE767" s="10" t="str">
        <x:v>deepseek/deepseek-v4-pro</x:v>
      </x:c>
      <x:c r="AF767" s="10" t="str">
        <x:v>aj2-y90-20260714T234810-0bea2f52</x:v>
      </x:c>
      <x:c r="AG767" s="10" t="str">
        <x:v>full-0039</x:v>
      </x:c>
      <x:c r="AH767" s="10" t="str">
        <x:v>full</x:v>
      </x:c>
      <x:c r="AI767" s="10" t="n">
        <x:v>39</x:v>
      </x:c>
    </x:row>
    <x:row r="768" ht="34" customHeight="1">
      <x:c r="A768" s="16" t="str">
        <x:v>kaiulu flip flops women</x:v>
      </x:c>
      <x:c r="B768" s="16" t="str">
        <x:v>kaiulu flip flops women</x:v>
      </x:c>
      <x:c r="C768" s="13" t="str">
        <x:v>5b1dcc3b3e6c1c86</x:v>
      </x:c>
      <x:c r="D768" s="13" t="str">
        <x:v>keyword</x:v>
      </x:c>
      <x:c r="E768" s="13" t="str">
        <x:v>en</x:v>
      </x:c>
      <x:c r="F768" s="13" t="str">
        <x:v>clothing_shoes_jewelry</x:v>
      </x:c>
      <x:c r="G768" s="16" t="str"/>
      <x:c r="H768" s="16" t="str">
        <x:v>flip_flop | sandal</x:v>
      </x:c>
      <x:c r="I768" s="16" t="str">
        <x:v>women</x:v>
      </x:c>
      <x:c r="J768" s="16" t="str"/>
      <x:c r="K768" s="16" t="str"/>
      <x:c r="L768" s="16" t="str"/>
      <x:c r="M768" s="16" t="str"/>
      <x:c r="N768" s="16" t="str"/>
      <x:c r="O768" s="16" t="str"/>
      <x:c r="P768" s="16" t="str"/>
      <x:c r="Q768" s="16" t="str"/>
      <x:c r="R768" s="16" t="str">
        <x:v>用户想购买 kaiulu 品牌的女款人字拖。</x:v>
      </x:c>
      <x:c r="S768" s="13" t="str">
        <x:v>brand_harvest</x:v>
      </x:c>
      <x:c r="T768" s="16" t="str">
        <x:v>explicit | page_validated</x:v>
      </x:c>
      <x:c r="U768" s="13" t="str">
        <x:v>high</x:v>
      </x:c>
      <x:c r="V768" s="16" t="str">
        <x:v>branded_kaiulu_womens_flip_flops</x:v>
      </x:c>
      <x:c r="W768" s="16" t="str">
        <x:v>semantic_negative_candidate</x:v>
      </x:c>
      <x:c r="X768" s="16" t="str">
        <x:v>{"primary_domain":[{"value":"clothing_shoes_jewelry","evidence_type":"inferred","source_span":"flip flops","fact_ids":[],"rationale":"人字拖归属鞋服品类"}],"product_type":[{"value":"flip_flop","evidence_type":"explicit","source_span":"flip flops","fact_ids":[],"rationale":""},{"value":"sandal","evidence_type":"page_validated","source_span":"","fact_ids":["title_womens_flip_flop"],"rationale":""},{"value":"flip_flop","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x:v>
      </x:c>
      <x:c r="Y768" s="16" t="str"/>
      <x:c r="Z768" s="13" t="str">
        <x:v>mismatch</x:v>
      </x:c>
      <x:c r="AA768" s="16" t="str">
        <x:v>title_womens_flip_flop | style_flip_flop</x:v>
      </x:c>
      <x:c r="AB768" s="13" t="str">
        <x:v>accepted</x:v>
      </x:c>
      <x:c r="AC768" s="13" t="str">
        <x:v>1.0.0</x:v>
      </x:c>
      <x:c r="AD768" s="13" t="str">
        <x:v>1.1.0</x:v>
      </x:c>
      <x:c r="AE768" s="13" t="str">
        <x:v>deepseek/deepseek-v4-pro</x:v>
      </x:c>
      <x:c r="AF768" s="13" t="str">
        <x:v>aj2-y90-20260714T234810-0bea2f52</x:v>
      </x:c>
      <x:c r="AG768" s="13" t="str">
        <x:v>full-0039</x:v>
      </x:c>
      <x:c r="AH768" s="13" t="str">
        <x:v>full</x:v>
      </x:c>
      <x:c r="AI768" s="13" t="n">
        <x:v>39</x:v>
      </x:c>
    </x:row>
    <x:row r="769" ht="34" customHeight="1">
      <x:c r="A769" s="15" t="str">
        <x:v>white soft flip flops for women</x:v>
      </x:c>
      <x:c r="B769" s="15" t="str">
        <x:v>white soft flip flops for women</x:v>
      </x:c>
      <x:c r="C769" s="10" t="str">
        <x:v>79cbc6f78aff73b8</x:v>
      </x:c>
      <x:c r="D769" s="10" t="str">
        <x:v>keyword</x:v>
      </x:c>
      <x:c r="E769" s="10" t="str">
        <x:v>en</x:v>
      </x:c>
      <x:c r="F769" s="10" t="str">
        <x:v>clothing_shoes_jewelry</x:v>
      </x:c>
      <x:c r="G769" s="15" t="str"/>
      <x:c r="H769" s="15" t="str">
        <x:v>flip_flop | sandal</x:v>
      </x:c>
      <x:c r="I769" s="15" t="str">
        <x:v>women</x:v>
      </x:c>
      <x:c r="J769" s="15" t="str">
        <x:v>comfort</x:v>
      </x:c>
      <x:c r="K769" s="15" t="str">
        <x:v>white_color | soft_material</x:v>
      </x:c>
      <x:c r="L769" s="15" t="str"/>
      <x:c r="M769" s="15" t="str"/>
      <x:c r="N769" s="15" t="str"/>
      <x:c r="O769" s="15" t="str"/>
      <x:c r="P769" s="15" t="str"/>
      <x:c r="Q769" s="15" t="str"/>
      <x:c r="R769" s="15" t="str">
        <x:v>一位女性用户想找一双白色柔软的人字拖。</x:v>
      </x:c>
      <x:c r="S769" s="10" t="str">
        <x:v>consideration</x:v>
      </x:c>
      <x:c r="T769" s="15" t="str">
        <x:v>explicit | page_validated</x:v>
      </x:c>
      <x:c r="U769" s="10" t="str">
        <x:v>high</x:v>
      </x:c>
      <x:c r="V769" s="15" t="str">
        <x:v>white_soft_womens_flip_flops</x:v>
      </x:c>
      <x:c r="W769" s="15" t="str">
        <x:v>cluster_route</x:v>
      </x:c>
      <x:c r="X769" s="15" t="str">
        <x:v>{"primary_domain":[{"value":"clothing_shoes_jewelry","evidence_type":"inferred","source_span":"flip flops","fact_ids":[],"rationale":"人字拖归属鞋服品类"}],"product_type":[{"value":"flip_flop","evidence_type":"explicit","source_span":"flip flops","fact_ids":[],"rationale":""},{"value":"sandal","evidence_type":"page_validated","source_span":"","fact_ids":["title_womens_flip_flop","style_flip_flop"],"rationale":""},{"value":"flip_flop","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function_intent":[{"value":"comfort","evidence_type":"inferred","source_span":"soft","fact_ids":[],"rationale":"柔软材质提升穿着舒适度"},{"value":"comfort","evidence_type":"page_validated","source_span":"","fact_ids":["arch_support","padded_cushioning"],"rationale":"该槽位与商品基准中的明示页面事实一致。"}],"capability_intent":[{"value":"white_color","evidence_type":"explicit","source_span":"white","fact_ids":[],"rationale":""},{"value":"soft_material","evidence_type":"explicit","source_span":"soft","fact_ids":[],"rationale":""}]}</x:v>
      </x:c>
      <x:c r="Y769" s="15" t="str"/>
      <x:c r="Z769" s="10" t="str">
        <x:v>match</x:v>
      </x:c>
      <x:c r="AA769" s="15" t="str">
        <x:v>title_womens_flip_flop | style_flip_flop | colors_visible | soft_toe_post | padded_cushioning</x:v>
      </x:c>
      <x:c r="AB769" s="10" t="str">
        <x:v>accepted</x:v>
      </x:c>
      <x:c r="AC769" s="10" t="str">
        <x:v>1.0.0</x:v>
      </x:c>
      <x:c r="AD769" s="10" t="str">
        <x:v>1.1.0</x:v>
      </x:c>
      <x:c r="AE769" s="10" t="str">
        <x:v>deepseek/deepseek-v4-pro</x:v>
      </x:c>
      <x:c r="AF769" s="10" t="str">
        <x:v>aj2-y90-20260714T234810-0bea2f52</x:v>
      </x:c>
      <x:c r="AG769" s="10" t="str">
        <x:v>full-0039</x:v>
      </x:c>
      <x:c r="AH769" s="10" t="str">
        <x:v>full</x:v>
      </x:c>
      <x:c r="AI769" s="10" t="n">
        <x:v>39</x:v>
      </x:c>
    </x:row>
    <x:row r="770" ht="34" customHeight="1">
      <x:c r="A770" s="16" t="str">
        <x:v>women flip flops soft</x:v>
      </x:c>
      <x:c r="B770" s="16" t="str">
        <x:v>women flip flops soft</x:v>
      </x:c>
      <x:c r="C770" s="13" t="str">
        <x:v>7a212fde32bc7abf</x:v>
      </x:c>
      <x:c r="D770" s="13" t="str">
        <x:v>keyword</x:v>
      </x:c>
      <x:c r="E770" s="13" t="str">
        <x:v>en</x:v>
      </x:c>
      <x:c r="F770" s="13" t="str">
        <x:v>clothing_shoes_jewelry</x:v>
      </x:c>
      <x:c r="G770" s="16" t="str"/>
      <x:c r="H770" s="16" t="str">
        <x:v>flip_flop | sandal</x:v>
      </x:c>
      <x:c r="I770" s="16" t="str">
        <x:v>women</x:v>
      </x:c>
      <x:c r="J770" s="16" t="str">
        <x:v>comfort</x:v>
      </x:c>
      <x:c r="K770" s="16" t="str">
        <x:v>soft_material</x:v>
      </x:c>
      <x:c r="L770" s="16" t="str"/>
      <x:c r="M770" s="16" t="str"/>
      <x:c r="N770" s="16" t="str"/>
      <x:c r="O770" s="16" t="str"/>
      <x:c r="P770" s="16" t="str"/>
      <x:c r="Q770" s="16" t="str"/>
      <x:c r="R770" s="16" t="str">
        <x:v>一位女性用户想找一双柔软舒适的人字拖。</x:v>
      </x:c>
      <x:c r="S770" s="13" t="str">
        <x:v>consideration</x:v>
      </x:c>
      <x:c r="T770" s="16" t="str">
        <x:v>explicit | page_validated</x:v>
      </x:c>
      <x:c r="U770" s="13" t="str">
        <x:v>high</x:v>
      </x:c>
      <x:c r="V770" s="16" t="str">
        <x:v>womens_soft_flip_flops</x:v>
      </x:c>
      <x:c r="W770" s="16" t="str">
        <x:v>cluster_route</x:v>
      </x:c>
      <x:c r="X770" s="16" t="str">
        <x:v>{"primary_domain":[{"value":"clothing_shoes_jewelry","evidence_type":"inferred","source_span":"flip flops","fact_ids":[],"rationale":"人字拖归属鞋服品类"}],"product_type":[{"value":"flip_flop","evidence_type":"explicit","source_span":"flip flops","fact_ids":[],"rationale":""},{"value":"sandal","evidence_type":"page_validated","source_span":"","fact_ids":["title_womens_flip_flop","style_flip_flop"],"rationale":""},{"value":"flip_flop","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function_intent":[{"value":"comfort","evidence_type":"inferred","source_span":"soft","fact_ids":[],"rationale":"柔软材质带来舒适穿着体验"},{"value":"comfort","evidence_type":"page_validated","source_span":"","fact_ids":["arch_support","padded_cushioning"],"rationale":"该槽位与商品基准中的明示页面事实一致。"}],"capability_intent":[{"value":"soft_material","evidence_type":"explicit","source_span":"soft","fact_ids":[],"rationale":""}]}</x:v>
      </x:c>
      <x:c r="Y770" s="16" t="str"/>
      <x:c r="Z770" s="13" t="str">
        <x:v>match</x:v>
      </x:c>
      <x:c r="AA770" s="16" t="str">
        <x:v>title_womens_flip_flop | style_flip_flop | soft_toe_post | padded_cushioning</x:v>
      </x:c>
      <x:c r="AB770" s="13" t="str">
        <x:v>accepted</x:v>
      </x:c>
      <x:c r="AC770" s="13" t="str">
        <x:v>1.0.0</x:v>
      </x:c>
      <x:c r="AD770" s="13" t="str">
        <x:v>1.1.0</x:v>
      </x:c>
      <x:c r="AE770" s="13" t="str">
        <x:v>deepseek/deepseek-v4-pro</x:v>
      </x:c>
      <x:c r="AF770" s="13" t="str">
        <x:v>aj2-y90-20260714T234810-0bea2f52</x:v>
      </x:c>
      <x:c r="AG770" s="13" t="str">
        <x:v>full-0039</x:v>
      </x:c>
      <x:c r="AH770" s="13" t="str">
        <x:v>full</x:v>
      </x:c>
      <x:c r="AI770" s="13" t="n">
        <x:v>39</x:v>
      </x:c>
    </x:row>
    <x:row r="771" ht="34" customHeight="1">
      <x:c r="A771" s="15" t="str">
        <x:v>aire cushion rubber flip flops women</x:v>
      </x:c>
      <x:c r="B771" s="15" t="str">
        <x:v>aire cushion rubber flip flops women</x:v>
      </x:c>
      <x:c r="C771" s="10" t="str">
        <x:v>804922fe60966aba</x:v>
      </x:c>
      <x:c r="D771" s="10" t="str">
        <x:v>keyword</x:v>
      </x:c>
      <x:c r="E771" s="10" t="str">
        <x:v>en</x:v>
      </x:c>
      <x:c r="F771" s="10" t="str">
        <x:v>clothing_shoes_jewelry</x:v>
      </x:c>
      <x:c r="G771" s="15" t="str"/>
      <x:c r="H771" s="15" t="str">
        <x:v>flip_flop | sandal</x:v>
      </x:c>
      <x:c r="I771" s="15" t="str">
        <x:v>women</x:v>
      </x:c>
      <x:c r="J771" s="15" t="str">
        <x:v>cushioning</x:v>
      </x:c>
      <x:c r="K771" s="15" t="str">
        <x:v>cushioning | rubber_material</x:v>
      </x:c>
      <x:c r="L771" s="15" t="str"/>
      <x:c r="M771" s="15" t="str"/>
      <x:c r="N771" s="15" t="str"/>
      <x:c r="O771" s="15" t="str"/>
      <x:c r="P771" s="15" t="str"/>
      <x:c r="Q771" s="15" t="str"/>
      <x:c r="R771" s="15" t="str">
        <x:v>一位女性用户想找一双带有气垫缓震功能的橡胶人字拖。</x:v>
      </x:c>
      <x:c r="S771" s="10" t="str">
        <x:v>consideration</x:v>
      </x:c>
      <x:c r="T771" s="15" t="str">
        <x:v>explicit | page_validated | inferred</x:v>
      </x:c>
      <x:c r="U771" s="10" t="str">
        <x:v>medium</x:v>
      </x:c>
      <x:c r="V771" s="15" t="str">
        <x:v>womens_cushion_rubber_flip_flops</x:v>
      </x:c>
      <x:c r="W771" s="15" t="str">
        <x:v>listing_gap_review</x:v>
      </x:c>
      <x:c r="X771" s="15" t="str">
        <x:v>{"primary_domain":[{"value":"clothing_shoes_jewelry","evidence_type":"inferred","source_span":"flip flops","fact_ids":[],"rationale":"人字拖归属鞋服品类"}],"product_type":[{"value":"flip_flop","evidence_type":"explicit","source_span":"flip flops","fact_ids":[],"rationale":""},{"value":"sandal","evidence_type":"page_validated","source_span":"","fact_ids":["title_womens_flip_flop"],"rationale":""},{"value":"flip_flop","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function_intent":[{"value":"cushioning","evidence_type":"explicit","source_span":"cushion","fact_ids":[],"rationale":""},{"value":"cushioning","evidence_type":"page_validated","source_span":"","fact_ids":["padded_cushioning"],"rationale":"该槽位与商品基准中的明示页面事实一致。"},{"value":"cushioning","evidence_type":"inferred","source_span":"","fact_ids":[],"rationale":"该能力由搜索词表达的任务或问题推断；页面事实仅用于验证商品承接。"}],"capability_intent":[{"value":"cushioning","evidence_type":"explicit","source_span":"cushion","fact_ids":[],"rationale":""},{"value":"rubber_material","evidence_type":"explicit","source_span":"rubber","fact_ids":[],"rationale":""},{"value":"cushioning","evidence_type":"page_validated","source_span":"","fact_ids":["padded_cushioning"],"rationale":"该槽位与商品基准中的明示页面事实一致。"},{"value":"cushioning","evidence_type":"inferred","source_span":"","fact_ids":[],"rationale":"该能力由搜索词表达的任务或问题推断；页面事实仅用于验证商品承接。"}]}</x:v>
      </x:c>
      <x:c r="Y771" s="15" t="str">
        <x:v>aire_ambiguous_brand_or_misspelling</x:v>
      </x:c>
      <x:c r="Z771" s="10" t="str">
        <x:v>partial_match</x:v>
      </x:c>
      <x:c r="AA771" s="15" t="str">
        <x:v>title_womens_flip_flop | style_flip_flop | padded_cushioning | material_eva</x:v>
      </x:c>
      <x:c r="AB771" s="10" t="str">
        <x:v>accepted</x:v>
      </x:c>
      <x:c r="AC771" s="10" t="str">
        <x:v>1.0.0</x:v>
      </x:c>
      <x:c r="AD771" s="10" t="str">
        <x:v>1.1.0</x:v>
      </x:c>
      <x:c r="AE771" s="10" t="str">
        <x:v>deepseek/deepseek-v4-pro</x:v>
      </x:c>
      <x:c r="AF771" s="10" t="str">
        <x:v>aj2-y90-20260714T234810-0bea2f52</x:v>
      </x:c>
      <x:c r="AG771" s="10" t="str">
        <x:v>full-0039</x:v>
      </x:c>
      <x:c r="AH771" s="10" t="str">
        <x:v>full</x:v>
      </x:c>
      <x:c r="AI771" s="10" t="n">
        <x:v>39</x:v>
      </x:c>
    </x:row>
    <x:row r="772" ht="34" customHeight="1">
      <x:c r="A772" s="16" t="str">
        <x:v>flip flop pool</x:v>
      </x:c>
      <x:c r="B772" s="16" t="str">
        <x:v>flip flop pool</x:v>
      </x:c>
      <x:c r="C772" s="13" t="str">
        <x:v>827d88315b8ee147</x:v>
      </x:c>
      <x:c r="D772" s="13" t="str">
        <x:v>keyword</x:v>
      </x:c>
      <x:c r="E772" s="13" t="str">
        <x:v>en</x:v>
      </x:c>
      <x:c r="F772" s="13" t="str">
        <x:v>clothing_shoes_jewelry</x:v>
      </x:c>
      <x:c r="G772" s="16" t="str">
        <x:v>sports_outdoors</x:v>
      </x:c>
      <x:c r="H772" s="16" t="str">
        <x:v>flip_flop</x:v>
      </x:c>
      <x:c r="I772" s="16" t="str"/>
      <x:c r="J772" s="16" t="str"/>
      <x:c r="K772" s="16" t="str">
        <x:v>pool_appropriate</x:v>
      </x:c>
      <x:c r="L772" s="16" t="str">
        <x:v>swimming</x:v>
      </x:c>
      <x:c r="M772" s="16" t="str">
        <x:v>pool</x:v>
      </x:c>
      <x:c r="N772" s="16" t="str"/>
      <x:c r="O772" s="16" t="str"/>
      <x:c r="P772" s="16" t="str"/>
      <x:c r="Q772" s="16" t="str"/>
      <x:c r="R772" s="16" t="str">
        <x:v>用户想找适合在泳池穿的人字拖。</x:v>
      </x:c>
      <x:c r="S772" s="13" t="str">
        <x:v>consideration</x:v>
      </x:c>
      <x:c r="T772" s="16" t="str">
        <x:v>explicit | inferred</x:v>
      </x:c>
      <x:c r="U772" s="13" t="str">
        <x:v>medium</x:v>
      </x:c>
      <x:c r="V772" s="16" t="str">
        <x:v>pool_flip_flops</x:v>
      </x:c>
      <x:c r="W772" s="16" t="str">
        <x:v>listing_gap_review</x:v>
      </x:c>
      <x:c r="X772" s="16" t="str">
        <x:v>{"primary_domain":[{"value":"clothing_shoes_jewelry","evidence_type":"inferred","source_span":"flip flop","fact_ids":[],"rationale":"人字拖归属鞋服品类"}],"secondary_domain":[{"value":"sports_outdoors","evidence_type":"inferred","source_span":"pool","fact_ids":[],"rationale":"泳池属于户外运动场景"}],"product_type":[{"value":"flip_flop","evidence_type":"explicit","source_span":"flip flop","fact_ids":[],"rationale":""},{"value":"flip_flop","evidence_type":"page_validated","source_span":"","fact_ids":["style_flip_flop"],"rationale":"该槽位与商品基准中的明示页面事实一致。"}],"capability_intent":[{"value":"pool_appropriate","evidence_type":"inferred","source_span":"pool","fact_ids":[],"rationale":"泳池环境需要防滑易排水鞋履"}],"event_intent":[{"value":"swimming","evidence_type":"inferred","source_span":"pool","fact_ids":[],"rationale":"泳池场景通常与游泳活动关联"}],"location_intent":[{"value":"pool","evidence_type":"explicit","source_span":"pool","fact_ids":[],"rationale":""}]}</x:v>
      </x:c>
      <x:c r="Y772" s="16" t="str"/>
      <x:c r="Z772" s="13" t="str">
        <x:v>partial_match</x:v>
      </x:c>
      <x:c r="AA772" s="16" t="str">
        <x:v>style_flip_flop | easy_clean | slip_resistant_grip | style_outdoor</x:v>
      </x:c>
      <x:c r="AB772" s="13" t="str">
        <x:v>accepted</x:v>
      </x:c>
      <x:c r="AC772" s="13" t="str">
        <x:v>1.0.0</x:v>
      </x:c>
      <x:c r="AD772" s="13" t="str">
        <x:v>1.1.0</x:v>
      </x:c>
      <x:c r="AE772" s="13" t="str">
        <x:v>deepseek/deepseek-v4-pro</x:v>
      </x:c>
      <x:c r="AF772" s="13" t="str">
        <x:v>aj2-y90-20260714T234810-0bea2f52</x:v>
      </x:c>
      <x:c r="AG772" s="13" t="str">
        <x:v>full-0039</x:v>
      </x:c>
      <x:c r="AH772" s="13" t="str">
        <x:v>full</x:v>
      </x:c>
      <x:c r="AI772" s="13" t="n">
        <x:v>39</x:v>
      </x:c>
    </x:row>
    <x:row r="773" ht="34" customHeight="1">
      <x:c r="A773" s="15" t="str">
        <x:v>cheap flip flop</x:v>
      </x:c>
      <x:c r="B773" s="15" t="str">
        <x:v>cheap flip flop</x:v>
      </x:c>
      <x:c r="C773" s="10" t="str">
        <x:v>922defc46bbccce7</x:v>
      </x:c>
      <x:c r="D773" s="10" t="str">
        <x:v>keyword</x:v>
      </x:c>
      <x:c r="E773" s="10" t="str">
        <x:v>en</x:v>
      </x:c>
      <x:c r="F773" s="10" t="str">
        <x:v>clothing_shoes_jewelry</x:v>
      </x:c>
      <x:c r="G773" s="15" t="str"/>
      <x:c r="H773" s="15" t="str">
        <x:v>flip_flop</x:v>
      </x:c>
      <x:c r="I773" s="15" t="str"/>
      <x:c r="J773" s="15" t="str">
        <x:v>affordability</x:v>
      </x:c>
      <x:c r="K773" s="15" t="str"/>
      <x:c r="L773" s="15" t="str"/>
      <x:c r="M773" s="15" t="str"/>
      <x:c r="N773" s="15" t="str"/>
      <x:c r="O773" s="15" t="str"/>
      <x:c r="P773" s="15" t="str"/>
      <x:c r="Q773" s="15" t="str"/>
      <x:c r="R773" s="15" t="str">
        <x:v>用户想找价格便宜的人字拖。</x:v>
      </x:c>
      <x:c r="S773" s="10" t="str">
        <x:v>exploration</x:v>
      </x:c>
      <x:c r="T773" s="15" t="str">
        <x:v>explicit | page_validated</x:v>
      </x:c>
      <x:c r="U773" s="10" t="str">
        <x:v>medium</x:v>
      </x:c>
      <x:c r="V773" s="15" t="str">
        <x:v>cheap_flip_flops</x:v>
      </x:c>
      <x:c r="W773" s="15" t="str">
        <x:v>cluster_route</x:v>
      </x:c>
      <x:c r="X773" s="15" t="str">
        <x:v>{"primary_domain":[{"value":"clothing_shoes_jewelry","evidence_type":"inferred","source_span":"flip flop","fact_ids":[],"rationale":"人字拖归属鞋服品类"}],"product_type":[{"value":"flip_flop","evidence_type":"explicit","source_span":"flip flop","fact_ids":[],"rationale":""},{"value":"flip_flop","evidence_type":"page_validated","source_span":"","fact_ids":["style_flip_flop"],"rationale":"该槽位与商品基准中的明示页面事实一致。"}],"function_intent":[{"value":"affordability","evidence_type":"explicit","source_span":"cheap","fact_ids":[],"rationale":""}]}</x:v>
      </x:c>
      <x:c r="Y773" s="15" t="str">
        <x:v>price_not_page_validated</x:v>
      </x:c>
      <x:c r="Z773" s="10" t="str">
        <x:v>match</x:v>
      </x:c>
      <x:c r="AA773" s="15" t="str">
        <x:v>style_flip_flop</x:v>
      </x:c>
      <x:c r="AB773" s="10" t="str">
        <x:v>accepted</x:v>
      </x:c>
      <x:c r="AC773" s="10" t="str">
        <x:v>1.0.0</x:v>
      </x:c>
      <x:c r="AD773" s="10" t="str">
        <x:v>1.1.0</x:v>
      </x:c>
      <x:c r="AE773" s="10" t="str">
        <x:v>deepseek/deepseek-v4-pro</x:v>
      </x:c>
      <x:c r="AF773" s="10" t="str">
        <x:v>aj2-y90-20260714T234810-0bea2f52</x:v>
      </x:c>
      <x:c r="AG773" s="10" t="str">
        <x:v>full-0039</x:v>
      </x:c>
      <x:c r="AH773" s="10" t="str">
        <x:v>full</x:v>
      </x:c>
      <x:c r="AI773" s="10" t="n">
        <x:v>39</x:v>
      </x:c>
    </x:row>
    <x:row r="774" ht="34" customHeight="1">
      <x:c r="A774" s="16" t="str">
        <x:v>comfy black flip flops women</x:v>
      </x:c>
      <x:c r="B774" s="16" t="str">
        <x:v>comfy black flip flops women</x:v>
      </x:c>
      <x:c r="C774" s="13" t="str">
        <x:v>93334da991664d8d</x:v>
      </x:c>
      <x:c r="D774" s="13" t="str">
        <x:v>keyword</x:v>
      </x:c>
      <x:c r="E774" s="13" t="str">
        <x:v>en</x:v>
      </x:c>
      <x:c r="F774" s="13" t="str">
        <x:v>clothing_shoes_jewelry</x:v>
      </x:c>
      <x:c r="G774" s="16" t="str"/>
      <x:c r="H774" s="16" t="str">
        <x:v>flip_flop | sandal</x:v>
      </x:c>
      <x:c r="I774" s="16" t="str">
        <x:v>women</x:v>
      </x:c>
      <x:c r="J774" s="16" t="str">
        <x:v>comfort</x:v>
      </x:c>
      <x:c r="K774" s="16" t="str">
        <x:v>black_color | cushioning</x:v>
      </x:c>
      <x:c r="L774" s="16" t="str"/>
      <x:c r="M774" s="16" t="str"/>
      <x:c r="N774" s="16" t="str"/>
      <x:c r="O774" s="16" t="str"/>
      <x:c r="P774" s="16" t="str"/>
      <x:c r="Q774" s="16" t="str"/>
      <x:c r="R774" s="16" t="str">
        <x:v>一位女性用户想找一双黑色舒适的人字拖。</x:v>
      </x:c>
      <x:c r="S774" s="13" t="str">
        <x:v>consideration</x:v>
      </x:c>
      <x:c r="T774" s="16" t="str">
        <x:v>explicit | page_validated</x:v>
      </x:c>
      <x:c r="U774" s="13" t="str">
        <x:v>high</x:v>
      </x:c>
      <x:c r="V774" s="16" t="str">
        <x:v>comfy_black_womens_flip_flops</x:v>
      </x:c>
      <x:c r="W774" s="16" t="str">
        <x:v>cluster_route</x:v>
      </x:c>
      <x:c r="X774" s="16" t="str">
        <x:v>{"primary_domain":[{"value":"clothing_shoes_jewelry","evidence_type":"inferred","source_span":"flip flops","fact_ids":[],"rationale":"人字拖归属鞋服品类"}],"product_type":[{"value":"flip_flop","evidence_type":"explicit","source_span":"flip flops","fact_ids":[],"rationale":""},{"value":"sandal","evidence_type":"page_validated","source_span":"","fact_ids":["title_womens_flip_flop","style_flip_flop"],"rationale":""},{"value":"flip_flop","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function_intent":[{"value":"comfort","evidence_type":"explicit","source_span":"comfy","fact_ids":[],"rationale":""},{"value":"comfort","evidence_type":"page_validated","source_span":"","fact_ids":["arch_support","padded_cushioning"],"rationale":"该槽位与商品基准中的明示页面事实一致。"},{"value":"comfort","evidence_type":"inferred","source_span":"","fact_ids":[],"rationale":"该能力由搜索词表达的任务或问题推断；页面事实仅用于验证商品承接。"}],"capability_intent":[{"value":"black_color","evidence_type":"explicit","source_span":"black","fact_ids":[],"rationale":""},{"value":"cushioning","evidence_type":"page_validated","source_span":"","fact_ids":["padded_cushioning","arch_support","soft_toe_post"],"rationale":""},{"value":"cushioning","evidence_type":"inferred","source_span":"","fact_ids":[],"rationale":"该能力由搜索词表达的任务或问题推断；页面事实仅用于验证商品承接。"}]}</x:v>
      </x:c>
      <x:c r="Y774" s="16" t="str"/>
      <x:c r="Z774" s="13" t="str">
        <x:v>match</x:v>
      </x:c>
      <x:c r="AA774" s="16" t="str">
        <x:v>title_womens_flip_flop | style_flip_flop | colors_visible | padded_cushioning | arch_support | soft_toe_post</x:v>
      </x:c>
      <x:c r="AB774" s="13" t="str">
        <x:v>accepted</x:v>
      </x:c>
      <x:c r="AC774" s="13" t="str">
        <x:v>1.0.0</x:v>
      </x:c>
      <x:c r="AD774" s="13" t="str">
        <x:v>1.1.0</x:v>
      </x:c>
      <x:c r="AE774" s="13" t="str">
        <x:v>deepseek/deepseek-v4-pro</x:v>
      </x:c>
      <x:c r="AF774" s="13" t="str">
        <x:v>aj2-y90-20260714T234810-0bea2f52</x:v>
      </x:c>
      <x:c r="AG774" s="13" t="str">
        <x:v>full-0039</x:v>
      </x:c>
      <x:c r="AH774" s="13" t="str">
        <x:v>full</x:v>
      </x:c>
      <x:c r="AI774" s="13" t="n">
        <x:v>39</x:v>
      </x:c>
    </x:row>
    <x:row r="775" ht="34" customHeight="1">
      <x:c r="A775" s="15" t="str">
        <x:v>flip flop for hurting feet</x:v>
      </x:c>
      <x:c r="B775" s="15" t="str">
        <x:v>flip flop for hurting feet</x:v>
      </x:c>
      <x:c r="C775" s="10" t="str">
        <x:v>93fe45f42db69a0c</x:v>
      </x:c>
      <x:c r="D775" s="10" t="str">
        <x:v>keyword</x:v>
      </x:c>
      <x:c r="E775" s="10" t="str">
        <x:v>en</x:v>
      </x:c>
      <x:c r="F775" s="10" t="str">
        <x:v>clothing_shoes_jewelry</x:v>
      </x:c>
      <x:c r="G775" s="15" t="str">
        <x:v>health_household</x:v>
      </x:c>
      <x:c r="H775" s="15" t="str">
        <x:v>flip_flop | sandal</x:v>
      </x:c>
      <x:c r="I775" s="15" t="str"/>
      <x:c r="J775" s="15" t="str">
        <x:v>pain_relief</x:v>
      </x:c>
      <x:c r="K775" s="15" t="str">
        <x:v>cushioning | arch_support</x:v>
      </x:c>
      <x:c r="L775" s="15" t="str"/>
      <x:c r="M775" s="15" t="str"/>
      <x:c r="N775" s="15" t="str">
        <x:v>foot_pain</x:v>
      </x:c>
      <x:c r="O775" s="15" t="str"/>
      <x:c r="P775" s="15" t="str"/>
      <x:c r="Q775" s="15" t="str"/>
      <x:c r="R775" s="15" t="str">
        <x:v>用户想找一双能缓解足部疼痛的人字拖。</x:v>
      </x:c>
      <x:c r="S775" s="10" t="str">
        <x:v>high_intent</x:v>
      </x:c>
      <x:c r="T775" s="15" t="str">
        <x:v>explicit | page_validated | inferred</x:v>
      </x:c>
      <x:c r="U775" s="10" t="str">
        <x:v>medium</x:v>
      </x:c>
      <x:c r="V775" s="15" t="str">
        <x:v>foot_pain_relief_flip_flops</x:v>
      </x:c>
      <x:c r="W775" s="15" t="str">
        <x:v>cluster_route</x:v>
      </x:c>
      <x:c r="X775" s="15" t="str">
        <x:v>{"primary_domain":[{"value":"clothing_shoes_jewelry","evidence_type":"inferred","source_span":"flip flop","fact_ids":[],"rationale":"人字拖归属鞋服品类"}],"secondary_domain":[{"value":"health_household","evidence_type":"inferred","source_span":"hurting feet","fact_ids":[],"rationale":"足部疼痛涉及健康护理领域"}],"product_type":[{"value":"flip_flop","evidence_type":"explicit","source_span":"flip flop","fact_ids":[],"rationale":""},{"value":"sandal","evidence_type":"page_validated","source_span":"","fact_ids":["style_flip_flop","title_womens_flip_flop"],"rationale":""},{"value":"flip_flop","evidence_type":"page_validated","source_span":"","fact_ids":["style_flip_flop"],"rationale":"该槽位与商品基准中的明示页面事实一致。"}],"function_intent":[{"value":"pain_relief","evidence_type":"explicit","source_span":"hurting feet","fact_ids":[],"rationale":""}],"capability_intent":[{"value":"cushioning","evidence_type":"page_validated","source_span":"","fact_ids":["padded_cushioning"],"rationale":""},{"value":"arch_support","evidence_type":"page_validated","source_span":"","fact_ids":["arch_support"],"rationale":""},{"value":"cushioning","evidence_type":"inferred","source_span":"","fact_ids":[],"rationale":"该能力由搜索词表达的任务或问题推断；页面事实仅用于验证商品承接。"},{"value":"arch_support","evidence_type":"inferred","source_span":"","fact_ids":[],"rationale":"该能力由搜索词表达的任务或问题推断；页面事实仅用于验证商品承接。"}],"body_need_intent":[{"value":"foot_pain","evidence_type":"explicit","source_span":"hurting feet","fact_ids":[],"rationale":""}]}</x:v>
      </x:c>
      <x:c r="Y775" s="15" t="str"/>
      <x:c r="Z775" s="10" t="str">
        <x:v>match</x:v>
      </x:c>
      <x:c r="AA775" s="15" t="str">
        <x:v>style_flip_flop | arch_support | padded_cushioning | soft_toe_post</x:v>
      </x:c>
      <x:c r="AB775" s="10" t="str">
        <x:v>accepted</x:v>
      </x:c>
      <x:c r="AC775" s="10" t="str">
        <x:v>1.0.0</x:v>
      </x:c>
      <x:c r="AD775" s="10" t="str">
        <x:v>1.1.0</x:v>
      </x:c>
      <x:c r="AE775" s="10" t="str">
        <x:v>deepseek/deepseek-v4-pro</x:v>
      </x:c>
      <x:c r="AF775" s="10" t="str">
        <x:v>aj2-y90-20260714T234810-0bea2f52</x:v>
      </x:c>
      <x:c r="AG775" s="10" t="str">
        <x:v>full-0039</x:v>
      </x:c>
      <x:c r="AH775" s="10" t="str">
        <x:v>full</x:v>
      </x:c>
      <x:c r="AI775" s="10" t="n">
        <x:v>39</x:v>
      </x:c>
    </x:row>
    <x:row r="776" ht="34" customHeight="1">
      <x:c r="A776" s="16" t="str">
        <x:v>womens flip the look inning kk km</x:v>
      </x:c>
      <x:c r="B776" s="16" t="str">
        <x:v>womens flip the look inning kk km</x:v>
      </x:c>
      <x:c r="C776" s="13" t="str">
        <x:v>a50cd61f9c2b846b</x:v>
      </x:c>
      <x:c r="D776" s="13" t="str">
        <x:v>keyword</x:v>
      </x:c>
      <x:c r="E776" s="13" t="str">
        <x:v>en</x:v>
      </x:c>
      <x:c r="F776" s="13" t="str">
        <x:v>clothing_shoes_jewelry</x:v>
      </x:c>
      <x:c r="G776" s="16" t="str"/>
      <x:c r="H776" s="16" t="str"/>
      <x:c r="I776" s="16" t="str">
        <x:v>women</x:v>
      </x:c>
      <x:c r="J776" s="16" t="str"/>
      <x:c r="K776" s="16" t="str"/>
      <x:c r="L776" s="16" t="str"/>
      <x:c r="M776" s="16" t="str"/>
      <x:c r="N776" s="16" t="str"/>
      <x:c r="O776" s="16" t="str"/>
      <x:c r="P776" s="16" t="str"/>
      <x:c r="Q776" s="16" t="str"/>
      <x:c r="R776" s="16" t="str">
        <x:v>用户搜索意图不明，关键词组合无清晰语义。</x:v>
      </x:c>
      <x:c r="S776" s="13" t="str">
        <x:v>unknown</x:v>
      </x:c>
      <x:c r="T776" s="16" t="str">
        <x:v>explicit</x:v>
      </x:c>
      <x:c r="U776" s="13" t="str">
        <x:v>low</x:v>
      </x:c>
      <x:c r="V776" s="16" t="str">
        <x:v>unclassified</x:v>
      </x:c>
      <x:c r="W776" s="16" t="str">
        <x:v>ambiguity_review</x:v>
      </x:c>
      <x:c r="X776" s="16" t="str">
        <x:v>{"primary_domain":[{"value":"clothing_shoes_jewelry","evidence_type":"inferred","source_span":"flip","fact_ids":[],"rationale":"flip可能暗示人字拖但无法确定"}],"audience_intent":[{"value":"women","evidence_type":"explicit","source_span":"womens","fact_ids":[],"rationale":""},{"value":"women","evidence_type":"page_validated","source_span":"","fact_ids":["title_womens_flip_flop"],"rationale":"该槽位与商品基准中的明示页面事实一致。"}]}</x:v>
      </x:c>
      <x:c r="Y776" s="16" t="str">
        <x:v>garbled_query | unk_terms_kk_km | inning_ambiguous | no_clear_product</x:v>
      </x:c>
      <x:c r="Z776" s="13" t="str">
        <x:v>unknown</x:v>
      </x:c>
      <x:c r="AA776" s="16" t="str"/>
      <x:c r="AB776" s="13" t="str">
        <x:v>accepted</x:v>
      </x:c>
      <x:c r="AC776" s="13" t="str">
        <x:v>1.0.0</x:v>
      </x:c>
      <x:c r="AD776" s="13" t="str">
        <x:v>1.1.0</x:v>
      </x:c>
      <x:c r="AE776" s="13" t="str">
        <x:v>deepseek/deepseek-v4-pro</x:v>
      </x:c>
      <x:c r="AF776" s="13" t="str">
        <x:v>aj2-y90-20260714T234810-0bea2f52</x:v>
      </x:c>
      <x:c r="AG776" s="13" t="str">
        <x:v>full-0039</x:v>
      </x:c>
      <x:c r="AH776" s="13" t="str">
        <x:v>full</x:v>
      </x:c>
      <x:c r="AI776" s="13" t="n">
        <x:v>39</x:v>
      </x:c>
    </x:row>
    <x:row r="777" ht="34" customHeight="1">
      <x:c r="A777" s="15" t="str">
        <x:v>black pool sandals</x:v>
      </x:c>
      <x:c r="B777" s="15" t="str">
        <x:v>black pool sandals</x:v>
      </x:c>
      <x:c r="C777" s="10" t="str">
        <x:v>a5f3c24149341a45</x:v>
      </x:c>
      <x:c r="D777" s="10" t="str">
        <x:v>keyword</x:v>
      </x:c>
      <x:c r="E777" s="10" t="str">
        <x:v>en</x:v>
      </x:c>
      <x:c r="F777" s="10" t="str">
        <x:v>clothing_shoes_jewelry</x:v>
      </x:c>
      <x:c r="G777" s="15" t="str">
        <x:v>sports_outdoors</x:v>
      </x:c>
      <x:c r="H777" s="15" t="str">
        <x:v>sandal | flip_flop</x:v>
      </x:c>
      <x:c r="I777" s="15" t="str"/>
      <x:c r="J777" s="15" t="str"/>
      <x:c r="K777" s="15" t="str">
        <x:v>black_color | pool_appropriate</x:v>
      </x:c>
      <x:c r="L777" s="15" t="str"/>
      <x:c r="M777" s="15" t="str">
        <x:v>pool</x:v>
      </x:c>
      <x:c r="N777" s="15" t="str"/>
      <x:c r="O777" s="15" t="str"/>
      <x:c r="P777" s="15" t="str"/>
      <x:c r="Q777" s="15" t="str"/>
      <x:c r="R777" s="15" t="str">
        <x:v>用户想找一双黑色的适合在泳池穿的凉鞋或拖鞋。</x:v>
      </x:c>
      <x:c r="S777" s="10" t="str">
        <x:v>consideration</x:v>
      </x:c>
      <x:c r="T777" s="15" t="str">
        <x:v>explicit | page_validated | inferred</x:v>
      </x:c>
      <x:c r="U777" s="10" t="str">
        <x:v>medium</x:v>
      </x:c>
      <x:c r="V777" s="15" t="str">
        <x:v>black_pool_sandals</x:v>
      </x:c>
      <x:c r="W777" s="15" t="str">
        <x:v>listing_gap_review</x:v>
      </x:c>
      <x:c r="X777" s="15" t="str">
        <x:v>{"primary_domain":[{"value":"clothing_shoes_jewelry","evidence_type":"inferred","source_span":"sandals","fact_ids":[],"rationale":"凉鞋归属鞋服品类"}],"secondary_domain":[{"value":"sports_outdoors","evidence_type":"inferred","source_span":"pool","fact_ids":[],"rationale":"泳池场景涉及户外运动领域"}],"product_type":[{"value":"sandal","evidence_type":"explicit","source_span":"sandals","fact_ids":[],"rationale":""},{"value":"flip_flop","evidence_type":"page_validated","source_span":"","fact_ids":["style_flip_flop","title_womens_flip_flop"],"rationale":""},{"value":"flip_flop","evidence_type":"inferred","source_span":"","fact_ids":[],"rationale":"该能力由搜索词表达的任务或问题推断；页面事实仅用于验证商品承接。"}],"capability_intent":[{"value":"black_color","evidence_type":"explicit","source_span":"black","fact_ids":[],"rationale":""},{"value":"pool_appropriate","evidence_type":"inferred","source_span":"pool","fact_ids":[],"rationale":"泳池环境需要防滑且易清洁的鞋"}],"location_intent":[{"value":"pool","evidence_type":"explicit","source_span":"pool","fact_ids":[],"rationale":""}]}</x:v>
      </x:c>
      <x:c r="Y777" s="15" t="str"/>
      <x:c r="Z777" s="10" t="str">
        <x:v>partial_match</x:v>
      </x:c>
      <x:c r="AA777" s="15" t="str">
        <x:v>colors_visible | style_flip_flop | easy_clean | slip_resistant_grip | style_outdoor</x:v>
      </x:c>
      <x:c r="AB777" s="10" t="str">
        <x:v>accepted</x:v>
      </x:c>
      <x:c r="AC777" s="10" t="str">
        <x:v>1.0.0</x:v>
      </x:c>
      <x:c r="AD777" s="10" t="str">
        <x:v>1.1.0</x:v>
      </x:c>
      <x:c r="AE777" s="10" t="str">
        <x:v>deepseek/deepseek-v4-pro</x:v>
      </x:c>
      <x:c r="AF777" s="10" t="str">
        <x:v>aj2-y90-20260714T234810-0bea2f52</x:v>
      </x:c>
      <x:c r="AG777" s="10" t="str">
        <x:v>full-0039</x:v>
      </x:c>
      <x:c r="AH777" s="10" t="str">
        <x:v>full</x:v>
      </x:c>
      <x:c r="AI777" s="10" t="n">
        <x:v>39</x:v>
      </x:c>
    </x:row>
    <x:row r="778" ht="34" customHeight="1">
      <x:c r="A778" s="16" t="str">
        <x:v>buckle flip flops</x:v>
      </x:c>
      <x:c r="B778" s="16" t="str">
        <x:v>buckle flip flops</x:v>
      </x:c>
      <x:c r="C778" s="13" t="str">
        <x:v>e3fdb2f88f51494b</x:v>
      </x:c>
      <x:c r="D778" s="13" t="str">
        <x:v>keyword</x:v>
      </x:c>
      <x:c r="E778" s="13" t="str">
        <x:v>en</x:v>
      </x:c>
      <x:c r="F778" s="13" t="str">
        <x:v>clothing_shoes_jewelry</x:v>
      </x:c>
      <x:c r="G778" s="16" t="str"/>
      <x:c r="H778" s="16" t="str">
        <x:v>flip_flop</x:v>
      </x:c>
      <x:c r="I778" s="16" t="str"/>
      <x:c r="J778" s="16" t="str"/>
      <x:c r="K778" s="16" t="str">
        <x:v>buckle_closure</x:v>
      </x:c>
      <x:c r="L778" s="16" t="str"/>
      <x:c r="M778" s="16" t="str"/>
      <x:c r="N778" s="16" t="str"/>
      <x:c r="O778" s="16" t="str"/>
      <x:c r="P778" s="16" t="str"/>
      <x:c r="Q778" s="16" t="str"/>
      <x:c r="R778" s="16" t="str">
        <x:v>用户想找带搭扣款式的人字拖。</x:v>
      </x:c>
      <x:c r="S778" s="13" t="str">
        <x:v>consideration</x:v>
      </x:c>
      <x:c r="T778" s="16" t="str">
        <x:v>explicit | page_validated</x:v>
      </x:c>
      <x:c r="U778" s="13" t="str">
        <x:v>high</x:v>
      </x:c>
      <x:c r="V778" s="16" t="str">
        <x:v>buckle_flip_flops</x:v>
      </x:c>
      <x:c r="W778" s="16" t="str">
        <x:v>semantic_negative_candidate</x:v>
      </x:c>
      <x:c r="X778" s="16" t="str">
        <x:v>{"primary_domain":[{"value":"clothing_shoes_jewelry","evidence_type":"inferred","source_span":"flip flops","fact_ids":[],"rationale":"人字拖归属鞋服品类"}],"product_type":[{"value":"flip_flop","evidence_type":"explicit","source_span":"flip flops","fact_ids":[],"rationale":""},{"value":"flip_flop","evidence_type":"page_validated","source_span":"","fact_ids":["style_flip_flop"],"rationale":"该槽位与商品基准中的明示页面事实一致。"}],"capability_intent":[{"value":"buckle_closure","evidence_type":"explicit","source_span":"buckle","fact_ids":[],"rationale":""}]}</x:v>
      </x:c>
      <x:c r="Y778" s="16" t="str"/>
      <x:c r="Z778" s="13" t="str">
        <x:v>mismatch</x:v>
      </x:c>
      <x:c r="AA778" s="16" t="str">
        <x:v>style_flip_flop | closure_slip_on</x:v>
      </x:c>
      <x:c r="AB778" s="13" t="str">
        <x:v>accepted</x:v>
      </x:c>
      <x:c r="AC778" s="13" t="str">
        <x:v>1.0.0</x:v>
      </x:c>
      <x:c r="AD778" s="13" t="str">
        <x:v>1.1.0</x:v>
      </x:c>
      <x:c r="AE778" s="13" t="str">
        <x:v>deepseek/deepseek-v4-pro</x:v>
      </x:c>
      <x:c r="AF778" s="13" t="str">
        <x:v>aj2-y90-20260714T234810-0bea2f52</x:v>
      </x:c>
      <x:c r="AG778" s="13" t="str">
        <x:v>full-0039</x:v>
      </x:c>
      <x:c r="AH778" s="13" t="str">
        <x:v>full</x:v>
      </x:c>
      <x:c r="AI778" s="13" t="n">
        <x:v>39</x:v>
      </x:c>
    </x:row>
    <x:row r="779" ht="34" customHeight="1">
      <x:c r="A779" s="15" t="str">
        <x:v>womens gray color flip flops</x:v>
      </x:c>
      <x:c r="B779" s="15" t="str">
        <x:v>womens gray color flip flops</x:v>
      </x:c>
      <x:c r="C779" s="10" t="str">
        <x:v>ed018043901f8c41</x:v>
      </x:c>
      <x:c r="D779" s="10" t="str">
        <x:v>keyword</x:v>
      </x:c>
      <x:c r="E779" s="10" t="str">
        <x:v>en</x:v>
      </x:c>
      <x:c r="F779" s="10" t="str">
        <x:v>clothing_shoes_jewelry</x:v>
      </x:c>
      <x:c r="G779" s="15" t="str"/>
      <x:c r="H779" s="15" t="str">
        <x:v>flip_flop | sandal</x:v>
      </x:c>
      <x:c r="I779" s="15" t="str">
        <x:v>women</x:v>
      </x:c>
      <x:c r="J779" s="15" t="str"/>
      <x:c r="K779" s="15" t="str">
        <x:v>gray_color</x:v>
      </x:c>
      <x:c r="L779" s="15" t="str"/>
      <x:c r="M779" s="15" t="str"/>
      <x:c r="N779" s="15" t="str"/>
      <x:c r="O779" s="15" t="str"/>
      <x:c r="P779" s="15" t="str"/>
      <x:c r="Q779" s="15" t="str"/>
      <x:c r="R779" s="15" t="str">
        <x:v>一位女性用户想找一双灰色的人字拖。</x:v>
      </x:c>
      <x:c r="S779" s="10" t="str">
        <x:v>consideration</x:v>
      </x:c>
      <x:c r="T779" s="15" t="str">
        <x:v>explicit | page_validated</x:v>
      </x:c>
      <x:c r="U779" s="10" t="str">
        <x:v>high</x:v>
      </x:c>
      <x:c r="V779" s="15" t="str">
        <x:v>gray_womens_flip_flops</x:v>
      </x:c>
      <x:c r="W779" s="15" t="str">
        <x:v>cluster_route</x:v>
      </x:c>
      <x:c r="X779" s="15" t="str">
        <x:v>{"primary_domain":[{"value":"clothing_shoes_jewelry","evidence_type":"inferred","source_span":"flip flops","fact_ids":[],"rationale":"人字拖归属鞋服品类"}],"product_type":[{"value":"flip_flop","evidence_type":"explicit","source_span":"flip flops","fact_ids":[],"rationale":""},{"value":"sandal","evidence_type":"page_validated","source_span":"","fact_ids":["title_womens_flip_flop","style_flip_flop"],"rationale":""},{"value":"flip_flop","evidence_type":"page_validated","source_span":"","fact_ids":["style_flip_flop"],"rationale":"该槽位与商品基准中的明示页面事实一致。"}],"audience_intent":[{"value":"women","evidence_type":"explicit","source_span":"womens","fact_ids":[],"rationale":""},{"value":"women","evidence_type":"page_validated","source_span":"","fact_ids":["title_womens_flip_flop"],"rationale":"该槽位与商品基准中的明示页面事实一致。"}],"capability_intent":[{"value":"gray_color","evidence_type":"explicit","source_span":"gray","fact_ids":[],"rationale":""}]}</x:v>
      </x:c>
      <x:c r="Y779" s="15" t="str"/>
      <x:c r="Z779" s="10" t="str">
        <x:v>match</x:v>
      </x:c>
      <x:c r="AA779" s="15" t="str">
        <x:v>title_womens_flip_flop | style_flip_flop | colors_visible</x:v>
      </x:c>
      <x:c r="AB779" s="10" t="str">
        <x:v>accepted</x:v>
      </x:c>
      <x:c r="AC779" s="10" t="str">
        <x:v>1.0.0</x:v>
      </x:c>
      <x:c r="AD779" s="10" t="str">
        <x:v>1.1.0</x:v>
      </x:c>
      <x:c r="AE779" s="10" t="str">
        <x:v>deepseek/deepseek-v4-pro</x:v>
      </x:c>
      <x:c r="AF779" s="10" t="str">
        <x:v>aj2-y90-20260714T234810-0bea2f52</x:v>
      </x:c>
      <x:c r="AG779" s="10" t="str">
        <x:v>full-0039</x:v>
      </x:c>
      <x:c r="AH779" s="10" t="str">
        <x:v>full</x:v>
      </x:c>
      <x:c r="AI779" s="10" t="n">
        <x:v>39</x:v>
      </x:c>
    </x:row>
    <x:row r="780" ht="34" customHeight="1">
      <x:c r="A780" s="16" t="str">
        <x:v>orthotic flip flops women</x:v>
      </x:c>
      <x:c r="B780" s="16" t="str">
        <x:v>orthotic flip flops women</x:v>
      </x:c>
      <x:c r="C780" s="13" t="str">
        <x:v>f6ed5462f91b2461</x:v>
      </x:c>
      <x:c r="D780" s="13" t="str">
        <x:v>keyword</x:v>
      </x:c>
      <x:c r="E780" s="13" t="str">
        <x:v>en</x:v>
      </x:c>
      <x:c r="F780" s="13" t="str">
        <x:v>clothing_shoes_jewelry</x:v>
      </x:c>
      <x:c r="G780" s="16" t="str"/>
      <x:c r="H780" s="16" t="str">
        <x:v>flip_flop | sandal</x:v>
      </x:c>
      <x:c r="I780" s="16" t="str">
        <x:v>women</x:v>
      </x:c>
      <x:c r="J780" s="16" t="str">
        <x:v>orthotic_support</x:v>
      </x:c>
      <x:c r="K780" s="16" t="str">
        <x:v>arch_support</x:v>
      </x:c>
      <x:c r="L780" s="16" t="str"/>
      <x:c r="M780" s="16" t="str"/>
      <x:c r="N780" s="16" t="str">
        <x:v>orthotic_need</x:v>
      </x:c>
      <x:c r="O780" s="16" t="str"/>
      <x:c r="P780" s="16" t="str"/>
      <x:c r="Q780" s="16" t="str"/>
      <x:c r="R780" s="16" t="str">
        <x:v>一位女性用户想找具有矫形支撑功能的人字拖来缓解足部不适。</x:v>
      </x:c>
      <x:c r="S780" s="13" t="str">
        <x:v>high_intent</x:v>
      </x:c>
      <x:c r="T780" s="16" t="str">
        <x:v>explicit | page_validated | inferred</x:v>
      </x:c>
      <x:c r="U780" s="13" t="str">
        <x:v>medium</x:v>
      </x:c>
      <x:c r="V780" s="16" t="str">
        <x:v>orthotic_womens_flip_flops</x:v>
      </x:c>
      <x:c r="W780" s="16" t="str">
        <x:v>listing_gap_review</x:v>
      </x:c>
      <x:c r="X780" s="16" t="str">
        <x:v>{"primary_domain":[{"value":"clothing_shoes_jewelry","evidence_type":"inferred","source_span":"flip flops","fact_ids":[],"rationale":"人字拖归属鞋服品类"}],"product_type":[{"value":"flip_flop","evidence_type":"explicit","source_span":"flip flops","fact_ids":[],"rationale":""},{"value":"sandal","evidence_type":"page_validated","source_span":"","fact_ids":["title_womens_flip_flop"],"rationale":""},{"value":"flip_flop","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function_intent":[{"value":"orthotic_support","evidence_type":"explicit","source_span":"orthotic","fact_ids":[],"rationale":""}],"capability_intent":[{"value":"arch_support","evidence_type":"page_validated","source_span":"","fact_ids":["arch_support"],"rationale":""},{"value":"arch_support","evidence_type":"inferred","source_span":"","fact_ids":[],"rationale":"该能力由搜索词表达的任务或问题推断；页面事实仅用于验证商品承接。"}],"body_need_intent":[{"value":"orthotic_need","evidence_type":"explicit","source_span":"orthotic","fact_ids":[],"rationale":""}]}</x:v>
      </x:c>
      <x:c r="Y780" s="16" t="str">
        <x:v>orthotic_vs_arch_support_gap</x:v>
      </x:c>
      <x:c r="Z780" s="13" t="str">
        <x:v>partial_match</x:v>
      </x:c>
      <x:c r="AA780" s="16" t="str">
        <x:v>title_womens_flip_flop | style_flip_flop | arch_support | padded_cushioning</x:v>
      </x:c>
      <x:c r="AB780" s="13" t="str">
        <x:v>accepted</x:v>
      </x:c>
      <x:c r="AC780" s="13" t="str">
        <x:v>1.0.0</x:v>
      </x:c>
      <x:c r="AD780" s="13" t="str">
        <x:v>1.1.0</x:v>
      </x:c>
      <x:c r="AE780" s="13" t="str">
        <x:v>deepseek/deepseek-v4-pro</x:v>
      </x:c>
      <x:c r="AF780" s="13" t="str">
        <x:v>aj2-y90-20260714T234810-0bea2f52</x:v>
      </x:c>
      <x:c r="AG780" s="13" t="str">
        <x:v>full-0039</x:v>
      </x:c>
      <x:c r="AH780" s="13" t="str">
        <x:v>full</x:v>
      </x:c>
      <x:c r="AI780" s="13" t="n">
        <x:v>39</x:v>
      </x:c>
    </x:row>
    <x:row r="781" ht="34" customHeight="1">
      <x:c r="A781" s="15" t="str">
        <x:v>soft flip flops for women waterproof</x:v>
      </x:c>
      <x:c r="B781" s="15" t="str">
        <x:v>soft flip flops for women waterproof</x:v>
      </x:c>
      <x:c r="C781" s="10" t="str">
        <x:v>f827cb864b225777</x:v>
      </x:c>
      <x:c r="D781" s="10" t="str">
        <x:v>keyword</x:v>
      </x:c>
      <x:c r="E781" s="10" t="str">
        <x:v>en</x:v>
      </x:c>
      <x:c r="F781" s="10" t="str">
        <x:v>clothing_shoes_jewelry</x:v>
      </x:c>
      <x:c r="G781" s="15" t="str">
        <x:v>sports_outdoors</x:v>
      </x:c>
      <x:c r="H781" s="15" t="str">
        <x:v>flip_flop | sandal</x:v>
      </x:c>
      <x:c r="I781" s="15" t="str">
        <x:v>women</x:v>
      </x:c>
      <x:c r="J781" s="15" t="str">
        <x:v>comfort | water_protection</x:v>
      </x:c>
      <x:c r="K781" s="15" t="str">
        <x:v>soft_material | waterproof</x:v>
      </x:c>
      <x:c r="L781" s="15" t="str"/>
      <x:c r="M781" s="15" t="str">
        <x:v>outdoor</x:v>
      </x:c>
      <x:c r="N781" s="15" t="str"/>
      <x:c r="O781" s="15" t="str"/>
      <x:c r="P781" s="15" t="str"/>
      <x:c r="Q781" s="15" t="str"/>
      <x:c r="R781" s="15" t="str">
        <x:v>一位女性用户想找柔软且防水的户外人字拖。</x:v>
      </x:c>
      <x:c r="S781" s="10" t="str">
        <x:v>consideration</x:v>
      </x:c>
      <x:c r="T781" s="15" t="str">
        <x:v>explicit | page_validated</x:v>
      </x:c>
      <x:c r="U781" s="10" t="str">
        <x:v>medium</x:v>
      </x:c>
      <x:c r="V781" s="15" t="str">
        <x:v>waterproof_soft_womens_flip_flops</x:v>
      </x:c>
      <x:c r="W781" s="15" t="str">
        <x:v>listing_gap_review</x:v>
      </x:c>
      <x:c r="X781" s="15" t="str">
        <x:v>{"primary_domain":[{"value":"clothing_shoes_jewelry","evidence_type":"inferred","source_span":"flip flops","fact_ids":[],"rationale":"人字拖归属鞋服品类"}],"secondary_domain":[{"value":"sports_outdoors","evidence_type":"inferred","source_span":"waterproof","fact_ids":[],"rationale":"防水需求常见于户外运动场景"}],"product_type":[{"value":"flip_flop","evidence_type":"explicit","source_span":"flip flops","fact_ids":[],"rationale":""},{"value":"sandal","evidence_type":"page_validated","source_span":"","fact_ids":["title_womens_flip_flop"],"rationale":""},{"value":"flip_flop","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function_intent":[{"value":"comfort","evidence_type":"inferred","source_span":"soft","fact_ids":[],"rationale":"柔软材质提升舒适度"},{"value":"water_protection","evidence_type":"explicit","source_span":"waterproof","fact_ids":[],"rationale":""},{"value":"comfort","evidence_type":"page_validated","source_span":"","fact_ids":["arch_support","padded_cushioning"],"rationale":"该槽位与商品基准中的明示页面事实一致。"}],"capability_intent":[{"value":"soft_material","evidence_type":"explicit","source_span":"soft","fact_ids":[],"rationale":""},{"value":"waterproof","evidence_type":"explicit","source_span":"waterproof","fact_ids":[],"rationale":""}],"location_intent":[{"value":"outdoor","evidence_type":"page_validated","source_span":"","fact_ids":["style_outdoor"],"rationale":"该槽位与商品基准中的明示页面事实一致。"},{"value":"outdoor","evidence_type":"inferred","source_span":"","fact_ids":[],"rationale":"该能力由搜索词表达的任务或问题推断；页面事实仅用于验证商品承接。"}]}</x:v>
      </x:c>
      <x:c r="Y781" s="15" t="str">
        <x:v>waterproof_not_page_validated</x:v>
      </x:c>
      <x:c r="Z781" s="10" t="str">
        <x:v>partial_match</x:v>
      </x:c>
      <x:c r="AA781" s="15" t="str">
        <x:v>title_womens_flip_flop | style_flip_flop | soft_toe_post | padded_cushioning | style_outdoor</x:v>
      </x:c>
      <x:c r="AB781" s="10" t="str">
        <x:v>accepted</x:v>
      </x:c>
      <x:c r="AC781" s="10" t="str">
        <x:v>1.0.0</x:v>
      </x:c>
      <x:c r="AD781" s="10" t="str">
        <x:v>1.1.0</x:v>
      </x:c>
      <x:c r="AE781" s="10" t="str">
        <x:v>deepseek/deepseek-v4-pro</x:v>
      </x:c>
      <x:c r="AF781" s="10" t="str">
        <x:v>aj2-y90-20260714T234810-0bea2f52</x:v>
      </x:c>
      <x:c r="AG781" s="10" t="str">
        <x:v>full-0039</x:v>
      </x:c>
      <x:c r="AH781" s="10" t="str">
        <x:v>full</x:v>
      </x:c>
      <x:c r="AI781" s="10" t="n">
        <x:v>39</x:v>
      </x:c>
    </x:row>
    <x:row r="782" ht="34" customHeight="1">
      <x:c r="A782" s="16" t="str">
        <x:v>recovery flip flops for women</x:v>
      </x:c>
      <x:c r="B782" s="16" t="str">
        <x:v>recovery flip flops for women</x:v>
      </x:c>
      <x:c r="C782" s="13" t="str">
        <x:v>052e85c908f94fdb</x:v>
      </x:c>
      <x:c r="D782" s="13" t="str">
        <x:v>keyword</x:v>
      </x:c>
      <x:c r="E782" s="13" t="str">
        <x:v>en</x:v>
      </x:c>
      <x:c r="F782" s="13" t="str">
        <x:v>clothing_shoes_jewelry</x:v>
      </x:c>
      <x:c r="G782" s="16" t="str">
        <x:v>sports_outdoors</x:v>
      </x:c>
      <x:c r="H782" s="16" t="str">
        <x:v>flip_flops</x:v>
      </x:c>
      <x:c r="I782" s="16" t="str">
        <x:v>women</x:v>
      </x:c>
      <x:c r="J782" s="16" t="str">
        <x:v>recovery</x:v>
      </x:c>
      <x:c r="K782" s="16" t="str">
        <x:v>cushioning | arch_support</x:v>
      </x:c>
      <x:c r="L782" s="16" t="str"/>
      <x:c r="M782" s="16" t="str"/>
      <x:c r="N782" s="16" t="str">
        <x:v>foot_fatigue_relief</x:v>
      </x:c>
      <x:c r="O782" s="16" t="str"/>
      <x:c r="P782" s="16" t="str"/>
      <x:c r="Q782" s="16" t="str"/>
      <x:c r="R782" s="16" t="str">
        <x:v>女性用户需要一双有助于运动后足部恢复的人字拖，期望具备缓冲和足弓支撑功能。</x:v>
      </x:c>
      <x:c r="S782" s="13" t="str">
        <x:v>consideration</x:v>
      </x:c>
      <x:c r="T782" s="16" t="str">
        <x:v>explicit | page_validated | inferred</x:v>
      </x:c>
      <x:c r="U782" s="13" t="str">
        <x:v>medium</x:v>
      </x:c>
      <x:c r="V782" s="16" t="str">
        <x:v>recovery_flip_flops_women</x:v>
      </x:c>
      <x:c r="W782" s="16" t="str">
        <x:v>listing_gap_review</x:v>
      </x:c>
      <x:c r="X782" s="16" t="str">
        <x:v>{"product_type":[{"value":"flip_flops","evidence_type":"explicit","source_span":"flip flops","fact_ids":[],"rationale":"搜索词明确指定人字拖品类"},{"value":"flip_flops","evidence_type":"page_validated","source_span":"","fact_ids":["style_flip_flop"],"rationale":"产品页面标识为人字拖"}],"audience_intent":[{"value":"women","evidence_type":"explicit","source_span":"women","fact_ids":[],"rationale":"搜索词明确指定女性"},{"value":"women","evidence_type":"page_validated","source_span":"","fact_ids":["title_womens_flip_flop"],"rationale":"产品标题标识为女式"}],"function_intent":[{"value":"recovery","evidence_type":"explicit","source_span":"recovery","fact_ids":[],"rationale":"搜索词明确表达恢复需求"}],"capability_intent":[{"value":"cushioning","evidence_type":"page_validated","source_span":"","fact_ids":["padded_cushioning"],"rationale":"缓冲功能有助于恢复穿着体验"},{"value":"arch_support","evidence_type":"page_validated","source_span":"","fact_ids":["arch_support"],"rationale":"足弓支撑有助于恢复穿着体验"},{"value":"cushioning","evidence_type":"inferred","source_span":"","fact_ids":[],"rationale":"该能力由搜索词表达的任务或问题推断；页面事实仅用于验证商品承接。"},{"value":"arch_support","evidence_type":"inferred","source_span":"","fact_ids":[],"rationale":"该能力由搜索词表达的任务或问题推断；页面事实仅用于验证商品承接。"}],"body_need_intent":[{"value":"foot_fatigue_relief","evidence_type":"inferred","source_span":"","fact_ids":[],"rationale":"该值由搜索词整体语义推断，未作为页面明示属性。"}],"primary_domain":[{"value":"clothing_shoes_jewelry","evidence_type":"inferred","source_span":"","fact_ids":[],"rationale":"该值由搜索词整体语义推断，未作为页面明示属性。"}],"secondary_domain":[{"value":"sports_outdoors","evidence_type":"inferred","source_span":"","fact_ids":[],"rationale":"该值由搜索词整体语义推断，未作为页面明示属性。"}]}</x:v>
      </x:c>
      <x:c r="Y782" s="16" t="str"/>
      <x:c r="Z782" s="13" t="str">
        <x:v>partial_match</x:v>
      </x:c>
      <x:c r="AA782" s="16" t="str">
        <x:v>title_womens_flip_flop | style_flip_flop | arch_support | padded_cushioning</x:v>
      </x:c>
      <x:c r="AB782" s="13" t="str">
        <x:v>accepted</x:v>
      </x:c>
      <x:c r="AC782" s="13" t="str">
        <x:v>1.0.0</x:v>
      </x:c>
      <x:c r="AD782" s="13" t="str">
        <x:v>1.1.0</x:v>
      </x:c>
      <x:c r="AE782" s="13" t="str">
        <x:v>deepseek/deepseek-v4-pro</x:v>
      </x:c>
      <x:c r="AF782" s="13" t="str">
        <x:v>aj2-y90-20260714T234810-0bea2f52</x:v>
      </x:c>
      <x:c r="AG782" s="13" t="str">
        <x:v>full-0040</x:v>
      </x:c>
      <x:c r="AH782" s="13" t="str">
        <x:v>full</x:v>
      </x:c>
      <x:c r="AI782" s="13" t="n">
        <x:v>40</x:v>
      </x:c>
    </x:row>
    <x:row r="783" ht="34" customHeight="1">
      <x:c r="A783" s="15" t="str">
        <x:v>navy flipflops women</x:v>
      </x:c>
      <x:c r="B783" s="15" t="str">
        <x:v>navy flipflops women</x:v>
      </x:c>
      <x:c r="C783" s="10" t="str">
        <x:v>1ec10a01818165cf</x:v>
      </x:c>
      <x:c r="D783" s="10" t="str">
        <x:v>keyword</x:v>
      </x:c>
      <x:c r="E783" s="10" t="str">
        <x:v>en</x:v>
      </x:c>
      <x:c r="F783" s="10" t="str">
        <x:v>clothing_shoes_jewelry</x:v>
      </x:c>
      <x:c r="G783" s="15" t="str"/>
      <x:c r="H783" s="15" t="str">
        <x:v>flip_flops</x:v>
      </x:c>
      <x:c r="I783" s="15" t="str">
        <x:v>women</x:v>
      </x:c>
      <x:c r="J783" s="15" t="str"/>
      <x:c r="K783" s="15" t="str"/>
      <x:c r="L783" s="15" t="str"/>
      <x:c r="M783" s="15" t="str"/>
      <x:c r="N783" s="15" t="str"/>
      <x:c r="O783" s="15" t="str"/>
      <x:c r="P783" s="15" t="str"/>
      <x:c r="Q783" s="15" t="str"/>
      <x:c r="R783" s="15" t="str">
        <x:v>女性消费者寻找海军蓝色人字拖，但产品可选颜色中无海军蓝。</x:v>
      </x:c>
      <x:c r="S783" s="10" t="str">
        <x:v>high_intent</x:v>
      </x:c>
      <x:c r="T783" s="15" t="str">
        <x:v>explicit | page_validated | inferred</x:v>
      </x:c>
      <x:c r="U783" s="10" t="str">
        <x:v>high</x:v>
      </x:c>
      <x:c r="V783" s="15" t="str">
        <x:v>women_flip_flops_color_navy</x:v>
      </x:c>
      <x:c r="W783" s="15" t="str">
        <x:v>listing_gap_review</x:v>
      </x:c>
      <x:c r="X783" s="15" t="str">
        <x:v>{"product_type":[{"value":"flip_flops","evidence_type":"explicit","source_span":"flipflops","fact_ids":[],"rationale":"搜索词明确指定人字拖品类"},{"value":"flip_flops","evidence_type":"page_validated","source_span":"","fact_ids":["style_flip_flop"],"rationale":"产品页面标识为人字拖"},{"value":"flip_flops","evidence_type":"inferred","source_span":"","fact_ids":[],"rationale":"该能力由搜索词表达的任务或问题推断；页面事实仅用于验证商品承接。"}],"audience_intent":[{"value":"women","evidence_type":"explicit","source_span":"women","fact_ids":[],"rationale":"搜索词明确指定女性"},{"value":"women","evidence_type":"page_validated","source_span":"","fact_ids":["title_womens_flip_flop"],"rationale":"产品标题标识为女式"}],"aux_color":[{"value":"navy","evidence_type":"explicit","source_span":"navy","fact_ids":[],"rationale":"搜索词指定海军蓝色"}],"primary_domain":[{"value":"clothing_shoes_jewelry","evidence_type":"inferred","source_span":"","fact_ids":[],"rationale":"该值由搜索词整体语义推断，未作为页面明示属性。"}]}</x:v>
      </x:c>
      <x:c r="Y783" s="15" t="str"/>
      <x:c r="Z783" s="10" t="str">
        <x:v>partial_match</x:v>
      </x:c>
      <x:c r="AA783" s="15" t="str">
        <x:v>title_womens_flip_flop | style_flip_flop</x:v>
      </x:c>
      <x:c r="AB783" s="10" t="str">
        <x:v>accepted</x:v>
      </x:c>
      <x:c r="AC783" s="10" t="str">
        <x:v>1.0.0</x:v>
      </x:c>
      <x:c r="AD783" s="10" t="str">
        <x:v>1.1.0</x:v>
      </x:c>
      <x:c r="AE783" s="10" t="str">
        <x:v>deepseek/deepseek-v4-pro</x:v>
      </x:c>
      <x:c r="AF783" s="10" t="str">
        <x:v>aj2-y90-20260714T234810-0bea2f52</x:v>
      </x:c>
      <x:c r="AG783" s="10" t="str">
        <x:v>full-0040</x:v>
      </x:c>
      <x:c r="AH783" s="10" t="str">
        <x:v>full</x:v>
      </x:c>
      <x:c r="AI783" s="10" t="n">
        <x:v>40</x:v>
      </x:c>
    </x:row>
    <x:row r="784" ht="34" customHeight="1">
      <x:c r="A784" s="16" t="str">
        <x:v>flip flops cushioned</x:v>
      </x:c>
      <x:c r="B784" s="16" t="str">
        <x:v>flip flops cushioned</x:v>
      </x:c>
      <x:c r="C784" s="13" t="str">
        <x:v>1fd99d67e3d22f5d</x:v>
      </x:c>
      <x:c r="D784" s="13" t="str">
        <x:v>keyword</x:v>
      </x:c>
      <x:c r="E784" s="13" t="str">
        <x:v>en</x:v>
      </x:c>
      <x:c r="F784" s="13" t="str">
        <x:v>clothing_shoes_jewelry</x:v>
      </x:c>
      <x:c r="G784" s="16" t="str"/>
      <x:c r="H784" s="16" t="str">
        <x:v>flip_flops</x:v>
      </x:c>
      <x:c r="I784" s="16" t="str"/>
      <x:c r="J784" s="16" t="str">
        <x:v>comfort</x:v>
      </x:c>
      <x:c r="K784" s="16" t="str">
        <x:v>cushioning</x:v>
      </x:c>
      <x:c r="L784" s="16" t="str"/>
      <x:c r="M784" s="16" t="str"/>
      <x:c r="N784" s="16" t="str">
        <x:v>foot_comfort</x:v>
      </x:c>
      <x:c r="O784" s="16" t="str"/>
      <x:c r="P784" s="16" t="str"/>
      <x:c r="Q784" s="16" t="str"/>
      <x:c r="R784" s="16" t="str">
        <x:v>用户寻找带有缓冲功能的人字拖，注重穿着柔软舒适。</x:v>
      </x:c>
      <x:c r="S784" s="13" t="str">
        <x:v>high_intent</x:v>
      </x:c>
      <x:c r="T784" s="16" t="str">
        <x:v>explicit | page_validated | inferred</x:v>
      </x:c>
      <x:c r="U784" s="13" t="str">
        <x:v>high</x:v>
      </x:c>
      <x:c r="V784" s="16" t="str">
        <x:v>cushioned_flip_flops</x:v>
      </x:c>
      <x:c r="W784" s="16" t="str">
        <x:v>cluster_route</x:v>
      </x:c>
      <x:c r="X784" s="16" t="str">
        <x:v>{"product_type":[{"value":"flip_flops","evidence_type":"explicit","source_span":"flip flops","fact_ids":[],"rationale":"搜索词明确指定人字拖品类"},{"value":"flip_flops","evidence_type":"page_validated","source_span":"","fact_ids":["style_flip_flop"],"rationale":"产品页面标识为人字拖"}],"capability_intent":[{"value":"cushioning","evidence_type":"explicit","source_span":"cushioned","fact_ids":[],"rationale":"搜索词明确要求缓冲功能"},{"value":"cushioning","evidence_type":"page_validated","source_span":"","fact_ids":["padded_cushioning"],"rationale":"产品特殊功能含缓冲垫层"},{"value":"cushioning","evidence_type":"inferred","source_span":"","fact_ids":[],"rationale":"该能力由搜索词表达的任务或问题推断；页面事实仅用于验证商品承接。"}],"function_intent":[{"value":"comfort","evidence_type":"page_validated","source_span":"","fact_ids":["arch_support","padded_cushioning"],"rationale":"该槽位与商品基准中的明示页面事实一致。"},{"value":"comfort","evidence_type":"inferred","source_span":"","fact_ids":[],"rationale":"该能力由搜索词表达的任务或问题推断；页面事实仅用于验证商品承接。"}],"body_need_intent":[{"value":"foot_comfort","evidence_type":"page_validated","source_span":"","fact_ids":["arch_support","padded_cushioning"],"rationale":"该槽位与商品基准中的明示页面事实一致。"},{"value":"foot_comfor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784" s="16" t="str"/>
      <x:c r="Z784" s="13" t="str">
        <x:v>match</x:v>
      </x:c>
      <x:c r="AA784" s="16" t="str">
        <x:v>style_flip_flop | padded_cushioning</x:v>
      </x:c>
      <x:c r="AB784" s="13" t="str">
        <x:v>accepted</x:v>
      </x:c>
      <x:c r="AC784" s="13" t="str">
        <x:v>1.0.0</x:v>
      </x:c>
      <x:c r="AD784" s="13" t="str">
        <x:v>1.1.0</x:v>
      </x:c>
      <x:c r="AE784" s="13" t="str">
        <x:v>deepseek/deepseek-v4-pro</x:v>
      </x:c>
      <x:c r="AF784" s="13" t="str">
        <x:v>aj2-y90-20260714T234810-0bea2f52</x:v>
      </x:c>
      <x:c r="AG784" s="13" t="str">
        <x:v>full-0040</x:v>
      </x:c>
      <x:c r="AH784" s="13" t="str">
        <x:v>full</x:v>
      </x:c>
      <x:c r="AI784" s="13" t="n">
        <x:v>40</x:v>
      </x:c>
    </x:row>
    <x:row r="785" ht="34" customHeight="1">
      <x:c r="A785" s="15" t="str">
        <x:v>white flip flops women beach</x:v>
      </x:c>
      <x:c r="B785" s="15" t="str">
        <x:v>white flip flops women beach</x:v>
      </x:c>
      <x:c r="C785" s="10" t="str">
        <x:v>2585812ba5b0d7d9</x:v>
      </x:c>
      <x:c r="D785" s="10" t="str">
        <x:v>keyword</x:v>
      </x:c>
      <x:c r="E785" s="10" t="str">
        <x:v>en</x:v>
      </x:c>
      <x:c r="F785" s="10" t="str">
        <x:v>clothing_shoes_jewelry</x:v>
      </x:c>
      <x:c r="G785" s="15" t="str">
        <x:v>sports_outdoors</x:v>
      </x:c>
      <x:c r="H785" s="15" t="str">
        <x:v>flip_flops</x:v>
      </x:c>
      <x:c r="I785" s="15" t="str">
        <x:v>women</x:v>
      </x:c>
      <x:c r="J785" s="15" t="str"/>
      <x:c r="K785" s="15" t="str"/>
      <x:c r="L785" s="15" t="str">
        <x:v>beach_outing</x:v>
      </x:c>
      <x:c r="M785" s="15" t="str">
        <x:v>beach</x:v>
      </x:c>
      <x:c r="N785" s="15" t="str"/>
      <x:c r="O785" s="15" t="str"/>
      <x:c r="P785" s="15" t="str"/>
      <x:c r="Q785" s="15" t="str"/>
      <x:c r="R785" s="15" t="str">
        <x:v>女性用户寻找白色人字拖用于海滩穿着，产品有白色可选且适合户外。</x:v>
      </x:c>
      <x:c r="S785" s="10" t="str">
        <x:v>high_intent</x:v>
      </x:c>
      <x:c r="T785" s="15" t="str">
        <x:v>explicit | page_validated | inferred</x:v>
      </x:c>
      <x:c r="U785" s="10" t="str">
        <x:v>high</x:v>
      </x:c>
      <x:c r="V785" s="15" t="str">
        <x:v>women_white_beach_flip_flops</x:v>
      </x:c>
      <x:c r="W785" s="15" t="str">
        <x:v>cluster_route</x:v>
      </x:c>
      <x:c r="X785" s="15" t="str">
        <x:v>{"product_type":[{"value":"flip_flops","evidence_type":"explicit","source_span":"flip flops","fact_ids":[],"rationale":"搜索词明确指定人字拖品类"},{"value":"flip_flops","evidence_type":"page_validated","source_span":"","fact_ids":["style_flip_flop"],"rationale":"产品页面标识为人字拖"}],"audience_intent":[{"value":"women","evidence_type":"explicit","source_span":"women","fact_ids":[],"rationale":"搜索词明确指定女性"},{"value":"women","evidence_type":"page_validated","source_span":"","fact_ids":["title_womens_flip_flop"],"rationale":"产品标题标识为女式"}],"location_intent":[{"value":"beach","evidence_type":"explicit","source_span":"beach","fact_ids":[],"rationale":"搜索词明确指定海滩场景"},{"value":"beach","evidence_type":"page_validated","source_span":"","fact_ids":["style_outdoor"],"rationale":"产品定位户外生活场景含海滩"}],"aux_color":[{"value":"white","evidence_type":"explicit","source_span":"white","fact_ids":[],"rationale":"搜索词指定白色"},{"value":"white","evidence_type":"page_validated","source_span":"","fact_ids":["colors_visible"],"rationale":"产品可选颜色含白色"}],"event_intent":[{"value":"beach_outing","evidence_type":"inferred","source_span":"","fact_ids":[],"rationale":"该值由搜索词整体语义推断，未作为页面明示属性。"}],"primary_domain":[{"value":"clothing_shoes_jewelry","evidence_type":"inferred","source_span":"","fact_ids":[],"rationale":"该值由搜索词整体语义推断，未作为页面明示属性。"}],"secondary_domain":[{"value":"sports_outdoors","evidence_type":"inferred","source_span":"","fact_ids":[],"rationale":"该值由搜索词整体语义推断，未作为页面明示属性。"}]}</x:v>
      </x:c>
      <x:c r="Y785" s="15" t="str"/>
      <x:c r="Z785" s="10" t="str">
        <x:v>match</x:v>
      </x:c>
      <x:c r="AA785" s="15" t="str">
        <x:v>title_womens_flip_flop | style_flip_flop | colors_visible | style_outdoor</x:v>
      </x:c>
      <x:c r="AB785" s="10" t="str">
        <x:v>accepted</x:v>
      </x:c>
      <x:c r="AC785" s="10" t="str">
        <x:v>1.0.0</x:v>
      </x:c>
      <x:c r="AD785" s="10" t="str">
        <x:v>1.1.0</x:v>
      </x:c>
      <x:c r="AE785" s="10" t="str">
        <x:v>deepseek/deepseek-v4-pro</x:v>
      </x:c>
      <x:c r="AF785" s="10" t="str">
        <x:v>aj2-y90-20260714T234810-0bea2f52</x:v>
      </x:c>
      <x:c r="AG785" s="10" t="str">
        <x:v>full-0040</x:v>
      </x:c>
      <x:c r="AH785" s="10" t="str">
        <x:v>full</x:v>
      </x:c>
      <x:c r="AI785" s="10" t="n">
        <x:v>40</x:v>
      </x:c>
    </x:row>
    <x:row r="786" ht="34" customHeight="1">
      <x:c r="A786" s="16" t="str">
        <x:v>lightweight arch support flip flops</x:v>
      </x:c>
      <x:c r="B786" s="16" t="str">
        <x:v>lightweight arch support flip flops</x:v>
      </x:c>
      <x:c r="C786" s="13" t="str">
        <x:v>29ff5c36559c26ca</x:v>
      </x:c>
      <x:c r="D786" s="13" t="str">
        <x:v>keyword</x:v>
      </x:c>
      <x:c r="E786" s="13" t="str">
        <x:v>en</x:v>
      </x:c>
      <x:c r="F786" s="13" t="str">
        <x:v>clothing_shoes_jewelry</x:v>
      </x:c>
      <x:c r="G786" s="16" t="str"/>
      <x:c r="H786" s="16" t="str">
        <x:v>flip_flops</x:v>
      </x:c>
      <x:c r="I786" s="16" t="str"/>
      <x:c r="J786" s="16" t="str">
        <x:v>comfort | support</x:v>
      </x:c>
      <x:c r="K786" s="16" t="str">
        <x:v>lightweight | arch_support</x:v>
      </x:c>
      <x:c r="L786" s="16" t="str"/>
      <x:c r="M786" s="16" t="str"/>
      <x:c r="N786" s="16" t="str">
        <x:v>foot_support</x:v>
      </x:c>
      <x:c r="O786" s="16" t="str"/>
      <x:c r="P786" s="16" t="str"/>
      <x:c r="Q786" s="16" t="str"/>
      <x:c r="R786" s="16" t="str">
        <x:v>用户寻找轻便且具备足弓支撑功能的人字拖，注重穿着轻便与足部支撑。</x:v>
      </x:c>
      <x:c r="S786" s="13" t="str">
        <x:v>high_intent</x:v>
      </x:c>
      <x:c r="T786" s="16" t="str">
        <x:v>explicit | page_validated | inferred</x:v>
      </x:c>
      <x:c r="U786" s="13" t="str">
        <x:v>high</x:v>
      </x:c>
      <x:c r="V786" s="16" t="str">
        <x:v>lightweight_arch_support_flip_flops</x:v>
      </x:c>
      <x:c r="W786" s="16" t="str">
        <x:v>cluster_route</x:v>
      </x:c>
      <x:c r="X786" s="16" t="str">
        <x:v>{"product_type":[{"value":"flip_flops","evidence_type":"explicit","source_span":"flip flops","fact_ids":[],"rationale":"搜索词明确指定人字拖品类"},{"value":"flip_flops","evidence_type":"page_validated","source_span":"","fact_ids":["style_flip_flop"],"rationale":"产品页面标识为人字拖"}],"capability_intent":[{"value":"lightweight","evidence_type":"explicit","source_span":"lightweight","fact_ids":[],"rationale":"搜索词明确要求轻便特性"},{"value":"lightweight","evidence_type":"page_validated","source_span":"","fact_ids":["lightweight_breathable"],"rationale":"产品页面标注超轻便透气"},{"value":"arch_support","evidence_type":"explicit","source_span":"arch support","fact_ids":[],"rationale":"搜索词明确要求足弓支撑"},{"value":"arch_support","evidence_type":"page_validated","source_span":"","fact_ids":["arch_support"],"rationale":"产品页面标注人体工学足弓支撑"}],"function_intent":[{"value":"comfort","evidence_type":"page_validated","source_span":"","fact_ids":["arch_support","padded_cushioning"],"rationale":"该槽位与商品基准中的明示页面事实一致。"},{"value":"comfort","evidence_type":"inferred","source_span":"","fact_ids":[],"rationale":"该能力由搜索词表达的任务或问题推断；页面事实仅用于验证商品承接。"},{"value":"support","evidence_type":"inferred","source_span":"","fact_ids":[],"rationale":"该值由搜索词整体语义推断，未作为页面明示属性。"}],"body_need_intent":[{"value":"foot_support","evidence_type":"page_validated","source_span":"","fact_ids":["arch_support"],"rationale":"该槽位与商品基准中的明示页面事实一致。"},{"value":"foot_suppor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786" s="16" t="str"/>
      <x:c r="Z786" s="13" t="str">
        <x:v>match</x:v>
      </x:c>
      <x:c r="AA786" s="16" t="str">
        <x:v>style_flip_flop | lightweight_breathable | arch_support</x:v>
      </x:c>
      <x:c r="AB786" s="13" t="str">
        <x:v>accepted</x:v>
      </x:c>
      <x:c r="AC786" s="13" t="str">
        <x:v>1.0.0</x:v>
      </x:c>
      <x:c r="AD786" s="13" t="str">
        <x:v>1.1.0</x:v>
      </x:c>
      <x:c r="AE786" s="13" t="str">
        <x:v>deepseek/deepseek-v4-pro</x:v>
      </x:c>
      <x:c r="AF786" s="13" t="str">
        <x:v>aj2-y90-20260714T234810-0bea2f52</x:v>
      </x:c>
      <x:c r="AG786" s="13" t="str">
        <x:v>full-0040</x:v>
      </x:c>
      <x:c r="AH786" s="13" t="str">
        <x:v>full</x:v>
      </x:c>
      <x:c r="AI786" s="13" t="n">
        <x:v>40</x:v>
      </x:c>
    </x:row>
    <x:row r="787" ht="34" customHeight="1">
      <x:c r="A787" s="15" t="str">
        <x:v>womens sandals support thin sole</x:v>
      </x:c>
      <x:c r="B787" s="15" t="str">
        <x:v>womens sandals support thin sole</x:v>
      </x:c>
      <x:c r="C787" s="10" t="str">
        <x:v>3d1ed363b01fbb29</x:v>
      </x:c>
      <x:c r="D787" s="10" t="str">
        <x:v>keyword</x:v>
      </x:c>
      <x:c r="E787" s="10" t="str">
        <x:v>en</x:v>
      </x:c>
      <x:c r="F787" s="10" t="str">
        <x:v>clothing_shoes_jewelry</x:v>
      </x:c>
      <x:c r="G787" s="15" t="str"/>
      <x:c r="H787" s="15" t="str">
        <x:v>sandals</x:v>
      </x:c>
      <x:c r="I787" s="15" t="str">
        <x:v>women</x:v>
      </x:c>
      <x:c r="J787" s="15" t="str">
        <x:v>support</x:v>
      </x:c>
      <x:c r="K787" s="15" t="str">
        <x:v>thin_sole</x:v>
      </x:c>
      <x:c r="L787" s="15" t="str"/>
      <x:c r="M787" s="15" t="str"/>
      <x:c r="N787" s="15" t="str">
        <x:v>foot_support</x:v>
      </x:c>
      <x:c r="O787" s="15" t="str"/>
      <x:c r="P787" s="15" t="str"/>
      <x:c r="Q787" s="15" t="str"/>
      <x:c r="R787" s="15" t="str">
        <x:v>女性用户寻找薄底支撑凉鞋，产品有足弓支撑但含缓冲层可能偏厚。</x:v>
      </x:c>
      <x:c r="S787" s="10" t="str">
        <x:v>consideration</x:v>
      </x:c>
      <x:c r="T787" s="15" t="str">
        <x:v>explicit | page_validated | inferred</x:v>
      </x:c>
      <x:c r="U787" s="10" t="str">
        <x:v>medium</x:v>
      </x:c>
      <x:c r="V787" s="15" t="str">
        <x:v>women_support_sandals_thin_sole</x:v>
      </x:c>
      <x:c r="W787" s="15" t="str">
        <x:v>listing_gap_review</x:v>
      </x:c>
      <x:c r="X787" s="15" t="str">
        <x:v>{"product_type":[{"value":"sandals","evidence_type":"explicit","source_span":"sandals","fact_ids":[],"rationale":"搜索词明确指定凉鞋品类"},{"value":"sandals","evidence_type":"page_validated","source_span":"","fact_ids":["title_womens_flip_flop"],"rationale":"产品标题含thong sandal属凉鞋子类"}],"audience_intent":[{"value":"women","evidence_type":"explicit","source_span":"womens","fact_ids":[],"rationale":"搜索词明确指定女性"},{"value":"women","evidence_type":"page_validated","source_span":"","fact_ids":["title_womens_flip_flop"],"rationale":"产品标题标识为女式"}],"function_intent":[{"value":"support","evidence_type":"explicit","source_span":"support","fact_ids":[],"rationale":"搜索词明确要求支撑功能"},{"value":"support","evidence_type":"page_validated","source_span":"","fact_ids":["arch_support"],"rationale":"产品具备人体工学足弓支撑"}],"capability_intent":[{"value":"thin_sole","evidence_type":"explicit","source_span":"thin sole","fact_ids":[],"rationale":"搜索词明确要求薄底"}],"body_need_intent":[{"value":"foot_support","evidence_type":"page_validated","source_span":"","fact_ids":["arch_support"],"rationale":"该槽位与商品基准中的明示页面事实一致。"},{"value":"foot_suppor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787" s="15" t="str">
        <x:v>thin_sole_cushioning_tradeoff</x:v>
      </x:c>
      <x:c r="Z787" s="10" t="str">
        <x:v>partial_match</x:v>
      </x:c>
      <x:c r="AA787" s="15" t="str">
        <x:v>title_womens_flip_flop | arch_support</x:v>
      </x:c>
      <x:c r="AB787" s="10" t="str">
        <x:v>accepted</x:v>
      </x:c>
      <x:c r="AC787" s="10" t="str">
        <x:v>1.0.0</x:v>
      </x:c>
      <x:c r="AD787" s="10" t="str">
        <x:v>1.1.0</x:v>
      </x:c>
      <x:c r="AE787" s="10" t="str">
        <x:v>deepseek/deepseek-v4-pro</x:v>
      </x:c>
      <x:c r="AF787" s="10" t="str">
        <x:v>aj2-y90-20260714T234810-0bea2f52</x:v>
      </x:c>
      <x:c r="AG787" s="10" t="str">
        <x:v>full-0040</x:v>
      </x:c>
      <x:c r="AH787" s="10" t="str">
        <x:v>full</x:v>
      </x:c>
      <x:c r="AI787" s="10" t="n">
        <x:v>40</x:v>
      </x:c>
    </x:row>
    <x:row r="788" ht="34" customHeight="1">
      <x:c r="A788" s="16" t="str">
        <x:v>light blue womens flip flops</x:v>
      </x:c>
      <x:c r="B788" s="16" t="str">
        <x:v>light blue womens flip flops</x:v>
      </x:c>
      <x:c r="C788" s="13" t="str">
        <x:v>4cc723d1b8fc58de</x:v>
      </x:c>
      <x:c r="D788" s="13" t="str">
        <x:v>keyword</x:v>
      </x:c>
      <x:c r="E788" s="13" t="str">
        <x:v>en</x:v>
      </x:c>
      <x:c r="F788" s="13" t="str">
        <x:v>clothing_shoes_jewelry</x:v>
      </x:c>
      <x:c r="G788" s="16" t="str"/>
      <x:c r="H788" s="16" t="str">
        <x:v>flip_flops</x:v>
      </x:c>
      <x:c r="I788" s="16" t="str">
        <x:v>women</x:v>
      </x:c>
      <x:c r="J788" s="16" t="str"/>
      <x:c r="K788" s="16" t="str"/>
      <x:c r="L788" s="16" t="str"/>
      <x:c r="M788" s="16" t="str"/>
      <x:c r="N788" s="16" t="str"/>
      <x:c r="O788" s="16" t="str"/>
      <x:c r="P788" s="16" t="str"/>
      <x:c r="Q788" s="16" t="str"/>
      <x:c r="R788" s="16" t="str">
        <x:v>女性消费者寻找浅蓝色人字拖，产品可选颜色中含浅蓝色。</x:v>
      </x:c>
      <x:c r="S788" s="13" t="str">
        <x:v>high_intent</x:v>
      </x:c>
      <x:c r="T788" s="16" t="str">
        <x:v>explicit | page_validated | inferred</x:v>
      </x:c>
      <x:c r="U788" s="13" t="str">
        <x:v>high</x:v>
      </x:c>
      <x:c r="V788" s="16" t="str">
        <x:v>women_flip_flops_light_blue</x:v>
      </x:c>
      <x:c r="W788" s="16" t="str">
        <x:v>cluster_route</x:v>
      </x:c>
      <x:c r="X788" s="16" t="str">
        <x:v>{"product_type":[{"value":"flip_flops","evidence_type":"explicit","source_span":"flip flops","fact_ids":[],"rationale":"搜索词明确指定人字拖品类"},{"value":"flip_flops","evidence_type":"page_validated","source_span":"","fact_ids":["style_flip_flop"],"rationale":"产品页面标识为人字拖"}],"audience_intent":[{"value":"women","evidence_type":"explicit","source_span":"womens","fact_ids":[],"rationale":"搜索词明确指定女性"},{"value":"women","evidence_type":"page_validated","source_span":"","fact_ids":["title_womens_flip_flop"],"rationale":"产品标题标识为女式"}],"aux_color":[{"value":"light_blue","evidence_type":"explicit","source_span":"light blue","fact_ids":[],"rationale":"搜索词指定浅蓝色"},{"value":"light_blue","evidence_type":"page_validated","source_span":"","fact_ids":["colors_visible"],"rationale":"产品可选颜色含浅蓝色"}],"primary_domain":[{"value":"clothing_shoes_jewelry","evidence_type":"inferred","source_span":"","fact_ids":[],"rationale":"该值由搜索词整体语义推断，未作为页面明示属性。"}]}</x:v>
      </x:c>
      <x:c r="Y788" s="16" t="str"/>
      <x:c r="Z788" s="13" t="str">
        <x:v>match</x:v>
      </x:c>
      <x:c r="AA788" s="16" t="str">
        <x:v>title_womens_flip_flop | style_flip_flop | colors_visible</x:v>
      </x:c>
      <x:c r="AB788" s="13" t="str">
        <x:v>accepted</x:v>
      </x:c>
      <x:c r="AC788" s="13" t="str">
        <x:v>1.0.0</x:v>
      </x:c>
      <x:c r="AD788" s="13" t="str">
        <x:v>1.1.0</x:v>
      </x:c>
      <x:c r="AE788" s="13" t="str">
        <x:v>deepseek/deepseek-v4-pro</x:v>
      </x:c>
      <x:c r="AF788" s="13" t="str">
        <x:v>aj2-y90-20260714T234810-0bea2f52</x:v>
      </x:c>
      <x:c r="AG788" s="13" t="str">
        <x:v>full-0040</x:v>
      </x:c>
      <x:c r="AH788" s="13" t="str">
        <x:v>full</x:v>
      </x:c>
      <x:c r="AI788" s="13" t="n">
        <x:v>40</x:v>
      </x:c>
    </x:row>
    <x:row r="789" ht="34" customHeight="1">
      <x:c r="A789" s="15" t="str">
        <x:v>women beach sandals waterproof</x:v>
      </x:c>
      <x:c r="B789" s="15" t="str">
        <x:v>women beach sandals waterproof</x:v>
      </x:c>
      <x:c r="C789" s="10" t="str">
        <x:v>5d07127acb59b208</x:v>
      </x:c>
      <x:c r="D789" s="10" t="str">
        <x:v>keyword</x:v>
      </x:c>
      <x:c r="E789" s="10" t="str">
        <x:v>en</x:v>
      </x:c>
      <x:c r="F789" s="10" t="str">
        <x:v>clothing_shoes_jewelry</x:v>
      </x:c>
      <x:c r="G789" s="15" t="str">
        <x:v>sports_outdoors</x:v>
      </x:c>
      <x:c r="H789" s="15" t="str">
        <x:v>sandals</x:v>
      </x:c>
      <x:c r="I789" s="15" t="str">
        <x:v>women</x:v>
      </x:c>
      <x:c r="J789" s="15" t="str"/>
      <x:c r="K789" s="15" t="str">
        <x:v>waterproof</x:v>
      </x:c>
      <x:c r="L789" s="15" t="str">
        <x:v>beach_outing</x:v>
      </x:c>
      <x:c r="M789" s="15" t="str">
        <x:v>beach</x:v>
      </x:c>
      <x:c r="N789" s="15" t="str"/>
      <x:c r="O789" s="15" t="str"/>
      <x:c r="P789" s="15" t="str"/>
      <x:c r="Q789" s="15" t="str"/>
      <x:c r="R789" s="15" t="str">
        <x:v>女性用户寻找适合海滩的防水凉鞋，产品不宣称防水功能。</x:v>
      </x:c>
      <x:c r="S789" s="10" t="str">
        <x:v>consideration</x:v>
      </x:c>
      <x:c r="T789" s="15" t="str">
        <x:v>explicit | page_validated | inferred</x:v>
      </x:c>
      <x:c r="U789" s="10" t="str">
        <x:v>medium</x:v>
      </x:c>
      <x:c r="V789" s="15" t="str">
        <x:v>women_waterproof_beach_sandals</x:v>
      </x:c>
      <x:c r="W789" s="15" t="str">
        <x:v>listing_gap_review</x:v>
      </x:c>
      <x:c r="X789" s="15" t="str">
        <x:v>{"product_type":[{"value":"sandals","evidence_type":"explicit","source_span":"sandals","fact_ids":[],"rationale":"搜索词明确指定凉鞋品类"},{"value":"sandals","evidence_type":"page_validated","source_span":"","fact_ids":["title_womens_flip_flop"],"rationale":"产品标题含thong sandal属凉鞋子类"}],"audience_intent":[{"value":"women","evidence_type":"explicit","source_span":"women","fact_ids":[],"rationale":"搜索词明确指定女性"},{"value":"women","evidence_type":"page_validated","source_span":"","fact_ids":["title_womens_flip_flop"],"rationale":"产品标题标识为女式"}],"location_intent":[{"value":"beach","evidence_type":"explicit","source_span":"beach","fact_ids":[],"rationale":"搜索词明确指定海滩场景"},{"value":"beach","evidence_type":"page_validated","source_span":"","fact_ids":["style_outdoor"],"rationale":"产品定位户外含海滩场景"}],"capability_intent":[{"value":"waterproof","evidence_type":"explicit","source_span":"waterproof","fact_ids":[],"rationale":"搜索词明确要求防水功能"}],"event_intent":[{"value":"beach_outing","evidence_type":"inferred","source_span":"","fact_ids":[],"rationale":"该值由搜索词整体语义推断，未作为页面明示属性。"}],"primary_domain":[{"value":"clothing_shoes_jewelry","evidence_type":"inferred","source_span":"","fact_ids":[],"rationale":"该值由搜索词整体语义推断，未作为页面明示属性。"}],"secondary_domain":[{"value":"sports_outdoors","evidence_type":"inferred","source_span":"","fact_ids":[],"rationale":"该值由搜索词整体语义推断，未作为页面明示属性。"}]}</x:v>
      </x:c>
      <x:c r="Y789" s="15" t="str">
        <x:v>waterproof_not_page_validated</x:v>
      </x:c>
      <x:c r="Z789" s="10" t="str">
        <x:v>partial_match</x:v>
      </x:c>
      <x:c r="AA789" s="15" t="str">
        <x:v>title_womens_flip_flop | style_outdoor</x:v>
      </x:c>
      <x:c r="AB789" s="10" t="str">
        <x:v>accepted</x:v>
      </x:c>
      <x:c r="AC789" s="10" t="str">
        <x:v>1.0.0</x:v>
      </x:c>
      <x:c r="AD789" s="10" t="str">
        <x:v>1.1.0</x:v>
      </x:c>
      <x:c r="AE789" s="10" t="str">
        <x:v>deepseek/deepseek-v4-pro</x:v>
      </x:c>
      <x:c r="AF789" s="10" t="str">
        <x:v>aj2-y90-20260714T234810-0bea2f52</x:v>
      </x:c>
      <x:c r="AG789" s="10" t="str">
        <x:v>full-0040</x:v>
      </x:c>
      <x:c r="AH789" s="10" t="str">
        <x:v>full</x:v>
      </x:c>
      <x:c r="AI789" s="10" t="n">
        <x:v>40</x:v>
      </x:c>
    </x:row>
    <x:row r="790" ht="34" customHeight="1">
      <x:c r="A790" s="16" t="str">
        <x:v>womens comfy flip flops</x:v>
      </x:c>
      <x:c r="B790" s="16" t="str">
        <x:v>womens comfy flip flops</x:v>
      </x:c>
      <x:c r="C790" s="13" t="str">
        <x:v>664aaafd97dc43ea</x:v>
      </x:c>
      <x:c r="D790" s="13" t="str">
        <x:v>keyword</x:v>
      </x:c>
      <x:c r="E790" s="13" t="str">
        <x:v>en</x:v>
      </x:c>
      <x:c r="F790" s="13" t="str">
        <x:v>clothing_shoes_jewelry</x:v>
      </x:c>
      <x:c r="G790" s="16" t="str"/>
      <x:c r="H790" s="16" t="str">
        <x:v>flip_flops</x:v>
      </x:c>
      <x:c r="I790" s="16" t="str">
        <x:v>women</x:v>
      </x:c>
      <x:c r="J790" s="16" t="str">
        <x:v>comfort</x:v>
      </x:c>
      <x:c r="K790" s="16" t="str">
        <x:v>cushioning | arch_support | lightweight</x:v>
      </x:c>
      <x:c r="L790" s="16" t="str"/>
      <x:c r="M790" s="16" t="str"/>
      <x:c r="N790" s="16" t="str">
        <x:v>all_day_comfort</x:v>
      </x:c>
      <x:c r="O790" s="16" t="str"/>
      <x:c r="P790" s="16" t="str"/>
      <x:c r="Q790" s="16" t="str"/>
      <x:c r="R790" s="16" t="str">
        <x:v>女性用户寻找穿着舒适的人字拖，重视缓冲、足弓支撑和轻便体验。</x:v>
      </x:c>
      <x:c r="S790" s="13" t="str">
        <x:v>consideration</x:v>
      </x:c>
      <x:c r="T790" s="16" t="str">
        <x:v>explicit | page_validated | inferred</x:v>
      </x:c>
      <x:c r="U790" s="13" t="str">
        <x:v>high</x:v>
      </x:c>
      <x:c r="V790" s="16" t="str">
        <x:v>women_comfort_flip_flops</x:v>
      </x:c>
      <x:c r="W790" s="16" t="str">
        <x:v>cluster_route</x:v>
      </x:c>
      <x:c r="X790" s="16" t="str">
        <x:v>{"product_type":[{"value":"flip_flops","evidence_type":"explicit","source_span":"flip flops","fact_ids":[],"rationale":"搜索词明确指定人字拖品类"},{"value":"flip_flops","evidence_type":"page_validated","source_span":"","fact_ids":["style_flip_flop"],"rationale":"产品页面标识为人字拖"}],"audience_intent":[{"value":"women","evidence_type":"explicit","source_span":"womens","fact_ids":[],"rationale":"搜索词明确指定女性"},{"value":"women","evidence_type":"page_validated","source_span":"","fact_ids":["title_womens_flip_flop"],"rationale":"产品标题标识为女式"}],"function_intent":[{"value":"comfort","evidence_type":"explicit","source_span":"comfy","fact_ids":[],"rationale":"comfy直接表达舒适需求"},{"value":"comfort","evidence_type":"page_validated","source_span":"","fact_ids":["arch_support","padded_cushioning","soft_toe_post","lightweight_breathable"],"rationale":"足弓支撑、缓冲、软趾柱和轻便共同提供舒适感"},{"value":"comfort","evidence_type":"inferred","source_span":"","fact_ids":[],"rationale":"该能力由搜索词表达的任务或问题推断；页面事实仅用于验证商品承接。"}],"capability_intent":[{"value":"cushioning","evidence_type":"page_validated","source_span":"","fact_ids":["padded_cushioning"],"rationale":"该槽位与商品基准中的明示页面事实一致。"},{"value":"cushioning","evidence_type":"inferred","source_span":"","fact_ids":[],"rationale":"该能力由搜索词表达的任务或问题推断；页面事实仅用于验证商品承接。"},{"value":"arch_support","evidence_type":"page_validated","source_span":"","fact_ids":["arch_support"],"rationale":"该槽位与商品基准中的明示页面事实一致。"},{"value":"arch_support","evidence_type":"inferred","source_span":"","fact_ids":[],"rationale":"该能力由搜索词表达的任务或问题推断；页面事实仅用于验证商品承接。"},{"value":"lightweight","evidence_type":"page_validated","source_span":"","fact_ids":["lightweight_breathable"],"rationale":"该槽位与商品基准中的明示页面事实一致。"},{"value":"lightweight","evidence_type":"inferred","source_span":"","fact_ids":[],"rationale":"该能力由搜索词表达的任务或问题推断；页面事实仅用于验证商品承接。"}],"body_need_intent":[{"value":"all_day_comfort","evidence_type":"inferred","source_span":"","fact_ids":[],"rationale":"该值由搜索词整体语义推断，未作为页面明示属性。"}],"primary_domain":[{"value":"clothing_shoes_jewelry","evidence_type":"inferred","source_span":"","fact_ids":[],"rationale":"该值由搜索词整体语义推断，未作为页面明示属性。"}]}</x:v>
      </x:c>
      <x:c r="Y790" s="16" t="str"/>
      <x:c r="Z790" s="13" t="str">
        <x:v>match</x:v>
      </x:c>
      <x:c r="AA790" s="16" t="str">
        <x:v>title_womens_flip_flop | style_flip_flop | arch_support | padded_cushioning | soft_toe_post | lightweight_breathable</x:v>
      </x:c>
      <x:c r="AB790" s="13" t="str">
        <x:v>accepted</x:v>
      </x:c>
      <x:c r="AC790" s="13" t="str">
        <x:v>1.0.0</x:v>
      </x:c>
      <x:c r="AD790" s="13" t="str">
        <x:v>1.1.0</x:v>
      </x:c>
      <x:c r="AE790" s="13" t="str">
        <x:v>deepseek/deepseek-v4-pro</x:v>
      </x:c>
      <x:c r="AF790" s="13" t="str">
        <x:v>aj2-y90-20260714T234810-0bea2f52</x:v>
      </x:c>
      <x:c r="AG790" s="13" t="str">
        <x:v>full-0040</x:v>
      </x:c>
      <x:c r="AH790" s="13" t="str">
        <x:v>full</x:v>
      </x:c>
      <x:c r="AI790" s="13" t="n">
        <x:v>40</x:v>
      </x:c>
    </x:row>
    <x:row r="791" ht="34" customHeight="1">
      <x:c r="A791" s="15" t="str">
        <x:v>thong flip flops for women</x:v>
      </x:c>
      <x:c r="B791" s="15" t="str">
        <x:v>thong flip flops for women</x:v>
      </x:c>
      <x:c r="C791" s="10" t="str">
        <x:v>71b0fe3cec36e4e1</x:v>
      </x:c>
      <x:c r="D791" s="10" t="str">
        <x:v>keyword</x:v>
      </x:c>
      <x:c r="E791" s="10" t="str">
        <x:v>en</x:v>
      </x:c>
      <x:c r="F791" s="10" t="str">
        <x:v>clothing_shoes_jewelry</x:v>
      </x:c>
      <x:c r="G791" s="15" t="str"/>
      <x:c r="H791" s="15" t="str">
        <x:v>flip_flops</x:v>
      </x:c>
      <x:c r="I791" s="15" t="str">
        <x:v>women</x:v>
      </x:c>
      <x:c r="J791" s="15" t="str"/>
      <x:c r="K791" s="15" t="str"/>
      <x:c r="L791" s="15" t="str"/>
      <x:c r="M791" s="15" t="str"/>
      <x:c r="N791" s="15" t="str"/>
      <x:c r="O791" s="15" t="str"/>
      <x:c r="P791" s="15" t="str"/>
      <x:c r="Q791" s="15" t="str"/>
      <x:c r="R791" s="15" t="str">
        <x:v>女性用户寻找夹趾款人字拖，产品为夹趾带设计。</x:v>
      </x:c>
      <x:c r="S791" s="10" t="str">
        <x:v>high_intent</x:v>
      </x:c>
      <x:c r="T791" s="15" t="str">
        <x:v>explicit | page_validated | inferred</x:v>
      </x:c>
      <x:c r="U791" s="10" t="str">
        <x:v>high</x:v>
      </x:c>
      <x:c r="V791" s="15" t="str">
        <x:v>women_thong_flip_flops</x:v>
      </x:c>
      <x:c r="W791" s="15" t="str">
        <x:v>cluster_route</x:v>
      </x:c>
      <x:c r="X791" s="15" t="str">
        <x:v>{"product_type":[{"value":"flip_flops","evidence_type":"explicit","source_span":"flip flops","fact_ids":[],"rationale":"搜索词明确指定人字拖品类"},{"value":"flip_flops","evidence_type":"page_validated","source_span":"","fact_ids":["style_flip_flop"],"rationale":"产品页面标识为人字拖"}],"audience_intent":[{"value":"women","evidence_type":"explicit","source_span":"women","fact_ids":[],"rationale":"搜索词明确指定女性"},{"value":"women","evidence_type":"page_validated","source_span":"","fact_ids":["title_womens_flip_flop"],"rationale":"产品标题标识为女式"}],"aux_style":[{"value":"thong","evidence_type":"explicit","source_span":"thong","fact_ids":[],"rationale":"搜索词明确指定夹趾款"},{"value":"thong","evidence_type":"page_validated","source_span":"","fact_ids":["style_thong"],"rationale":"产品带型为夹趾款"}],"primary_domain":[{"value":"clothing_shoes_jewelry","evidence_type":"inferred","source_span":"","fact_ids":[],"rationale":"该值由搜索词整体语义推断，未作为页面明示属性。"}]}</x:v>
      </x:c>
      <x:c r="Y791" s="15" t="str"/>
      <x:c r="Z791" s="10" t="str">
        <x:v>match</x:v>
      </x:c>
      <x:c r="AA791" s="15" t="str">
        <x:v>title_womens_flip_flop | style_flip_flop | style_thong</x:v>
      </x:c>
      <x:c r="AB791" s="10" t="str">
        <x:v>accepted</x:v>
      </x:c>
      <x:c r="AC791" s="10" t="str">
        <x:v>1.0.0</x:v>
      </x:c>
      <x:c r="AD791" s="10" t="str">
        <x:v>1.1.0</x:v>
      </x:c>
      <x:c r="AE791" s="10" t="str">
        <x:v>deepseek/deepseek-v4-pro</x:v>
      </x:c>
      <x:c r="AF791" s="10" t="str">
        <x:v>aj2-y90-20260714T234810-0bea2f52</x:v>
      </x:c>
      <x:c r="AG791" s="10" t="str">
        <x:v>full-0040</x:v>
      </x:c>
      <x:c r="AH791" s="10" t="str">
        <x:v>full</x:v>
      </x:c>
      <x:c r="AI791" s="10" t="n">
        <x:v>40</x:v>
      </x:c>
    </x:row>
    <x:row r="792" ht="34" customHeight="1">
      <x:c r="A792" s="16" t="str">
        <x:v>blue waterproof flip flops</x:v>
      </x:c>
      <x:c r="B792" s="16" t="str">
        <x:v>blue waterproof flip flops</x:v>
      </x:c>
      <x:c r="C792" s="13" t="str">
        <x:v>759ba7cf5cc48c6c</x:v>
      </x:c>
      <x:c r="D792" s="13" t="str">
        <x:v>keyword</x:v>
      </x:c>
      <x:c r="E792" s="13" t="str">
        <x:v>en</x:v>
      </x:c>
      <x:c r="F792" s="13" t="str">
        <x:v>clothing_shoes_jewelry</x:v>
      </x:c>
      <x:c r="G792" s="16" t="str">
        <x:v>sports_outdoors</x:v>
      </x:c>
      <x:c r="H792" s="16" t="str">
        <x:v>flip_flops</x:v>
      </x:c>
      <x:c r="I792" s="16" t="str"/>
      <x:c r="J792" s="16" t="str"/>
      <x:c r="K792" s="16" t="str">
        <x:v>waterproof</x:v>
      </x:c>
      <x:c r="L792" s="16" t="str"/>
      <x:c r="M792" s="16" t="str"/>
      <x:c r="N792" s="16" t="str"/>
      <x:c r="O792" s="16" t="str"/>
      <x:c r="P792" s="16" t="str"/>
      <x:c r="Q792" s="16" t="str"/>
      <x:c r="R792" s="16" t="str">
        <x:v>用户寻找蓝色防水人字拖，产品不宣称防水功能且蓝色选项有限。</x:v>
      </x:c>
      <x:c r="S792" s="13" t="str">
        <x:v>consideration</x:v>
      </x:c>
      <x:c r="T792" s="16" t="str">
        <x:v>explicit | inferred</x:v>
      </x:c>
      <x:c r="U792" s="13" t="str">
        <x:v>medium</x:v>
      </x:c>
      <x:c r="V792" s="16" t="str">
        <x:v>waterproof_flip_flops</x:v>
      </x:c>
      <x:c r="W792" s="16" t="str">
        <x:v>listing_gap_review</x:v>
      </x:c>
      <x:c r="X792" s="16" t="str">
        <x:v>{"product_type":[{"value":"flip_flops","evidence_type":"explicit","source_span":"flip flops","fact_ids":[],"rationale":"搜索词明确指定人字拖品类"},{"value":"flip_flops","evidence_type":"page_validated","source_span":"","fact_ids":["style_flip_flop"],"rationale":"产品页面标识为人字拖"}],"capability_intent":[{"value":"waterproof","evidence_type":"explicit","source_span":"waterproof","fact_ids":[],"rationale":"搜索词明确要求防水功能"}],"aux_color":[{"value":"blue","evidence_type":"explicit","source_span":"blue","fact_ids":[],"rationale":"搜索词指定蓝色"}],"primary_domain":[{"value":"clothing_shoes_jewelry","evidence_type":"inferred","source_span":"","fact_ids":[],"rationale":"该值由搜索词整体语义推断，未作为页面明示属性。"}],"secondary_domain":[{"value":"sports_outdoors","evidence_type":"inferred","source_span":"","fact_ids":[],"rationale":"该值由搜索词整体语义推断，未作为页面明示属性。"}]}</x:v>
      </x:c>
      <x:c r="Y792" s="16" t="str">
        <x:v>waterproof_not_page_validated | blue_color_ambiguity</x:v>
      </x:c>
      <x:c r="Z792" s="13" t="str">
        <x:v>partial_match</x:v>
      </x:c>
      <x:c r="AA792" s="16" t="str">
        <x:v>style_flip_flop</x:v>
      </x:c>
      <x:c r="AB792" s="13" t="str">
        <x:v>accepted</x:v>
      </x:c>
      <x:c r="AC792" s="13" t="str">
        <x:v>1.0.0</x:v>
      </x:c>
      <x:c r="AD792" s="13" t="str">
        <x:v>1.1.0</x:v>
      </x:c>
      <x:c r="AE792" s="13" t="str">
        <x:v>deepseek/deepseek-v4-pro</x:v>
      </x:c>
      <x:c r="AF792" s="13" t="str">
        <x:v>aj2-y90-20260714T234810-0bea2f52</x:v>
      </x:c>
      <x:c r="AG792" s="13" t="str">
        <x:v>full-0040</x:v>
      </x:c>
      <x:c r="AH792" s="13" t="str">
        <x:v>full</x:v>
      </x:c>
      <x:c r="AI792" s="13" t="n">
        <x:v>40</x:v>
      </x:c>
    </x:row>
    <x:row r="793" ht="34" customHeight="1">
      <x:c r="A793" s="15" t="str">
        <x:v>kuailu flip flops for women</x:v>
      </x:c>
      <x:c r="B793" s="15" t="str">
        <x:v>kuailu flip flops for women</x:v>
      </x:c>
      <x:c r="C793" s="10" t="str">
        <x:v>800f9a11c81cecbd</x:v>
      </x:c>
      <x:c r="D793" s="10" t="str">
        <x:v>keyword</x:v>
      </x:c>
      <x:c r="E793" s="10" t="str">
        <x:v>en</x:v>
      </x:c>
      <x:c r="F793" s="10" t="str">
        <x:v>clothing_shoes_jewelry</x:v>
      </x:c>
      <x:c r="G793" s="15" t="str"/>
      <x:c r="H793" s="15" t="str">
        <x:v>flip_flops</x:v>
      </x:c>
      <x:c r="I793" s="15" t="str">
        <x:v>women</x:v>
      </x:c>
      <x:c r="J793" s="15" t="str"/>
      <x:c r="K793" s="15" t="str"/>
      <x:c r="L793" s="15" t="str"/>
      <x:c r="M793" s="15" t="str"/>
      <x:c r="N793" s="15" t="str"/>
      <x:c r="O793" s="15" t="str"/>
      <x:c r="P793" s="15" t="str">
        <x:v>competitor_brand</x:v>
      </x:c>
      <x:c r="Q793" s="15" t="str"/>
      <x:c r="R793" s="15" t="str">
        <x:v>用户搜索竞品品牌Kuailu的女式人字拖，当前产品品牌为Joomra。</x:v>
      </x:c>
      <x:c r="S793" s="10" t="str">
        <x:v>brand_harvest</x:v>
      </x:c>
      <x:c r="T793" s="15" t="str">
        <x:v>explicit | inferred</x:v>
      </x:c>
      <x:c r="U793" s="10" t="str">
        <x:v>high</x:v>
      </x:c>
      <x:c r="V793" s="15" t="str">
        <x:v>competitor_brand_flip_flops</x:v>
      </x:c>
      <x:c r="W793" s="15" t="str">
        <x:v>semantic_negative_candidate</x:v>
      </x:c>
      <x:c r="X793" s="15" t="str">
        <x:v>{"product_type":[{"value":"flip_flops","evidence_type":"explicit","source_span":"flip flops","fact_ids":[],"rationale":"搜索词明确指定人字拖品类"},{"value":"flip_flops","evidence_type":"page_validated","source_span":"","fact_ids":["style_flip_flop"],"rationale":"该槽位与商品基准中的明示页面事实一致。"}],"audience_intent":[{"value":"women","evidence_type":"explicit","source_span":"women","fact_ids":[],"rationale":"搜索词明确指定女性"},{"value":"women","evidence_type":"page_validated","source_span":"","fact_ids":["title_womens_flip_flop"],"rationale":"该槽位与商品基准中的明示页面事实一致。"}],"substitute_intent":[{"value":"competitor_brand","evidence_type":"explicit","source_span":"kuailu","fact_ids":[],"rationale":"搜索词指定竞品品牌Kuailu"}],"primary_domain":[{"value":"clothing_shoes_jewelry","evidence_type":"inferred","source_span":"","fact_ids":[],"rationale":"该值由搜索词整体语义推断，未作为页面明示属性。"}]}</x:v>
      </x:c>
      <x:c r="Y793" s="15" t="str"/>
      <x:c r="Z793" s="10" t="str">
        <x:v>mismatch</x:v>
      </x:c>
      <x:c r="AA793" s="15" t="str"/>
      <x:c r="AB793" s="10" t="str">
        <x:v>accepted</x:v>
      </x:c>
      <x:c r="AC793" s="10" t="str">
        <x:v>1.0.0</x:v>
      </x:c>
      <x:c r="AD793" s="10" t="str">
        <x:v>1.1.0</x:v>
      </x:c>
      <x:c r="AE793" s="10" t="str">
        <x:v>deepseek/deepseek-v4-pro</x:v>
      </x:c>
      <x:c r="AF793" s="10" t="str">
        <x:v>aj2-y90-20260714T234810-0bea2f52</x:v>
      </x:c>
      <x:c r="AG793" s="10" t="str">
        <x:v>full-0040</x:v>
      </x:c>
      <x:c r="AH793" s="10" t="str">
        <x:v>full</x:v>
      </x:c>
      <x:c r="AI793" s="10" t="n">
        <x:v>40</x:v>
      </x:c>
    </x:row>
    <x:row r="794" ht="34" customHeight="1">
      <x:c r="A794" s="16" t="str">
        <x:v>flip flops for women beach or pool</x:v>
      </x:c>
      <x:c r="B794" s="16" t="str">
        <x:v>flip flops for women beach or pool</x:v>
      </x:c>
      <x:c r="C794" s="13" t="str">
        <x:v>8af0f8d778f36809</x:v>
      </x:c>
      <x:c r="D794" s="13" t="str">
        <x:v>keyword</x:v>
      </x:c>
      <x:c r="E794" s="13" t="str">
        <x:v>en</x:v>
      </x:c>
      <x:c r="F794" s="13" t="str">
        <x:v>clothing_shoes_jewelry</x:v>
      </x:c>
      <x:c r="G794" s="16" t="str">
        <x:v>sports_outdoors</x:v>
      </x:c>
      <x:c r="H794" s="16" t="str">
        <x:v>flip_flops</x:v>
      </x:c>
      <x:c r="I794" s="16" t="str">
        <x:v>women</x:v>
      </x:c>
      <x:c r="J794" s="16" t="str"/>
      <x:c r="K794" s="16" t="str">
        <x:v>slip_resistant | water_friendly</x:v>
      </x:c>
      <x:c r="L794" s="16" t="str">
        <x:v>beach_outing | pool_outing</x:v>
      </x:c>
      <x:c r="M794" s="16" t="str">
        <x:v>beach | pool</x:v>
      </x:c>
      <x:c r="N794" s="16" t="str"/>
      <x:c r="O794" s="16" t="str"/>
      <x:c r="P794" s="16" t="str"/>
      <x:c r="Q794" s="16" t="str"/>
      <x:c r="R794" s="16" t="str">
        <x:v>女性用户需要适合海滩或泳池场景的人字拖，注重防滑和耐水特性。</x:v>
      </x:c>
      <x:c r="S794" s="13" t="str">
        <x:v>consideration</x:v>
      </x:c>
      <x:c r="T794" s="16" t="str">
        <x:v>explicit | page_validated | inferred</x:v>
      </x:c>
      <x:c r="U794" s="13" t="str">
        <x:v>high</x:v>
      </x:c>
      <x:c r="V794" s="16" t="str">
        <x:v>women_beach_pool_flip_flops</x:v>
      </x:c>
      <x:c r="W794" s="16" t="str">
        <x:v>cluster_route</x:v>
      </x:c>
      <x:c r="X794" s="16" t="str">
        <x:v>{"product_type":[{"value":"flip_flops","evidence_type":"explicit","source_span":"flip flops","fact_ids":[],"rationale":"搜索词明确指定人字拖品类"},{"value":"flip_flops","evidence_type":"page_validated","source_span":"","fact_ids":["style_flip_flop"],"rationale":"产品页面标识为人字拖"}],"audience_intent":[{"value":"women","evidence_type":"explicit","source_span":"women","fact_ids":[],"rationale":"搜索词明确指定女性"},{"value":"women","evidence_type":"page_validated","source_span":"","fact_ids":["title_womens_flip_flop"],"rationale":"产品标题标识为女式"}],"location_intent":[{"value":"beach","evidence_type":"explicit","source_span":"beach","fact_ids":[],"rationale":"搜索词明确指定海滩场景"},{"value":"pool","evidence_type":"explicit","source_span":"pool","fact_ids":[],"rationale":"搜索词明确指定泳池场景"},{"value":"beach","evidence_type":"page_validated","source_span":"","fact_ids":["style_outdoor"],"rationale":"产品定位户外含海滩场景"}],"capability_intent":[{"value":"slip_resistant","evidence_type":"page_validated","source_span":"","fact_ids":["slip_resistant_grip"],"rationale":"海滩泳池湿滑需防滑功能"},{"value":"water_friendly","evidence_type":"page_validated","source_span":"","fact_ids":["easy_clean","material_eva"],"rationale":"EVA材质易清洁适合涉水场景"},{"value":"slip_resistant","evidence_type":"inferred","source_span":"","fact_ids":[],"rationale":"该能力由搜索词表达的任务或问题推断；页面事实仅用于验证商品承接。"}],"event_intent":[{"value":"beach_outing","evidence_type":"inferred","source_span":"","fact_ids":[],"rationale":"该值由搜索词整体语义推断，未作为页面明示属性。"},{"value":"pool_outing","evidence_type":"inferred","source_span":"","fact_ids":[],"rationale":"该值由搜索词整体语义推断，未作为页面明示属性。"}],"primary_domain":[{"value":"clothing_shoes_jewelry","evidence_type":"inferred","source_span":"","fact_ids":[],"rationale":"该值由搜索词整体语义推断，未作为页面明示属性。"}],"secondary_domain":[{"value":"sports_outdoors","evidence_type":"inferred","source_span":"","fact_ids":[],"rationale":"该值由搜索词整体语义推断，未作为页面明示属性。"}]}</x:v>
      </x:c>
      <x:c r="Y794" s="16" t="str"/>
      <x:c r="Z794" s="13" t="str">
        <x:v>match</x:v>
      </x:c>
      <x:c r="AA794" s="16" t="str">
        <x:v>title_womens_flip_flop | style_flip_flop | style_outdoor | slip_resistant_grip | easy_clean</x:v>
      </x:c>
      <x:c r="AB794" s="13" t="str">
        <x:v>accepted</x:v>
      </x:c>
      <x:c r="AC794" s="13" t="str">
        <x:v>1.0.0</x:v>
      </x:c>
      <x:c r="AD794" s="13" t="str">
        <x:v>1.1.0</x:v>
      </x:c>
      <x:c r="AE794" s="13" t="str">
        <x:v>deepseek/deepseek-v4-pro</x:v>
      </x:c>
      <x:c r="AF794" s="13" t="str">
        <x:v>aj2-y90-20260714T234810-0bea2f52</x:v>
      </x:c>
      <x:c r="AG794" s="13" t="str">
        <x:v>full-0040</x:v>
      </x:c>
      <x:c r="AH794" s="13" t="str">
        <x:v>full</x:v>
      </x:c>
      <x:c r="AI794" s="13" t="n">
        <x:v>40</x:v>
      </x:c>
    </x:row>
    <x:row r="795" ht="34" customHeight="1">
      <x:c r="A795" s="15" t="str">
        <x:v>white archies flip flops arch support womens</x:v>
      </x:c>
      <x:c r="B795" s="15" t="str">
        <x:v>white archies flip flops arch support womens</x:v>
      </x:c>
      <x:c r="C795" s="10" t="str">
        <x:v>af310ae705ca2497</x:v>
      </x:c>
      <x:c r="D795" s="10" t="str">
        <x:v>keyword</x:v>
      </x:c>
      <x:c r="E795" s="10" t="str">
        <x:v>en</x:v>
      </x:c>
      <x:c r="F795" s="10" t="str">
        <x:v>clothing_shoes_jewelry</x:v>
      </x:c>
      <x:c r="G795" s="15" t="str"/>
      <x:c r="H795" s="15" t="str">
        <x:v>flip_flops</x:v>
      </x:c>
      <x:c r="I795" s="15" t="str">
        <x:v>women</x:v>
      </x:c>
      <x:c r="J795" s="15" t="str">
        <x:v>support</x:v>
      </x:c>
      <x:c r="K795" s="15" t="str">
        <x:v>arch_support</x:v>
      </x:c>
      <x:c r="L795" s="15" t="str"/>
      <x:c r="M795" s="15" t="str"/>
      <x:c r="N795" s="15" t="str">
        <x:v>foot_support</x:v>
      </x:c>
      <x:c r="O795" s="15" t="str"/>
      <x:c r="P795" s="15" t="str">
        <x:v>brand_specific</x:v>
      </x:c>
      <x:c r="Q795" s="15" t="str"/>
      <x:c r="R795" s="15" t="str">
        <x:v>用户搜索白色Archies品牌女式足弓支撑人字拖，功能匹配但品牌为Joomra不匹配。</x:v>
      </x:c>
      <x:c r="S795" s="10" t="str">
        <x:v>brand_harvest</x:v>
      </x:c>
      <x:c r="T795" s="15" t="str">
        <x:v>explicit | page_validated | inferred</x:v>
      </x:c>
      <x:c r="U795" s="10" t="str">
        <x:v>high</x:v>
      </x:c>
      <x:c r="V795" s="15" t="str">
        <x:v>archies_brand_arch_support_flip_flops</x:v>
      </x:c>
      <x:c r="W795" s="15" t="str">
        <x:v>semantic_negative_candidate</x:v>
      </x:c>
      <x:c r="X795" s="15" t="str">
        <x:v>{"product_type":[{"value":"flip_flops","evidence_type":"explicit","source_span":"flip flops","fact_ids":[],"rationale":"搜索词明确指定人字拖品类"},{"value":"flip_flops","evidence_type":"page_validated","source_span":"","fact_ids":["style_flip_flop"],"rationale":"产品页面标识为人字拖"}],"audience_intent":[{"value":"women","evidence_type":"explicit","source_span":"womens","fact_ids":[],"rationale":"搜索词明确指定女性"},{"value":"women","evidence_type":"page_validated","source_span":"","fact_ids":["title_womens_flip_flop"],"rationale":"产品标题标识为女式"}],"capability_intent":[{"value":"arch_support","evidence_type":"explicit","source_span":"arch support","fact_ids":[],"rationale":"搜索词明确要求足弓支撑"},{"value":"arch_support","evidence_type":"page_validated","source_span":"","fact_ids":["arch_support"],"rationale":"产品具备人体工学足弓支撑"}],"substitute_intent":[{"value":"brand_specific","evidence_type":"explicit","source_span":"archies","fact_ids":[],"rationale":"搜索词指定Archies品牌"}],"aux_color":[{"value":"white","evidence_type":"explicit","source_span":"white","fact_ids":[],"rationale":"搜索词指定白色"},{"value":"white","evidence_type":"page_validated","source_span":"","fact_ids":["colors_visible"],"rationale":"产品可选颜色含白色"}],"function_intent":[{"value":"support","evidence_type":"inferred","source_span":"","fact_ids":[],"rationale":"该值由搜索词整体语义推断，未作为页面明示属性。"}],"body_need_intent":[{"value":"foot_support","evidence_type":"page_validated","source_span":"","fact_ids":["arch_support"],"rationale":"该槽位与商品基准中的明示页面事实一致。"},{"value":"foot_suppor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795" s="15" t="str"/>
      <x:c r="Z795" s="10" t="str">
        <x:v>mismatch</x:v>
      </x:c>
      <x:c r="AA795" s="15" t="str"/>
      <x:c r="AB795" s="10" t="str">
        <x:v>accepted</x:v>
      </x:c>
      <x:c r="AC795" s="10" t="str">
        <x:v>1.0.0</x:v>
      </x:c>
      <x:c r="AD795" s="10" t="str">
        <x:v>1.1.0</x:v>
      </x:c>
      <x:c r="AE795" s="10" t="str">
        <x:v>deepseek/deepseek-v4-pro</x:v>
      </x:c>
      <x:c r="AF795" s="10" t="str">
        <x:v>aj2-y90-20260714T234810-0bea2f52</x:v>
      </x:c>
      <x:c r="AG795" s="10" t="str">
        <x:v>full-0040</x:v>
      </x:c>
      <x:c r="AH795" s="10" t="str">
        <x:v>full</x:v>
      </x:c>
      <x:c r="AI795" s="10" t="n">
        <x:v>40</x:v>
      </x:c>
    </x:row>
    <x:row r="796" ht="34" customHeight="1">
      <x:c r="A796" s="16" t="str">
        <x:v>flip flops archies</x:v>
      </x:c>
      <x:c r="B796" s="16" t="str">
        <x:v>flip flops archies</x:v>
      </x:c>
      <x:c r="C796" s="13" t="str">
        <x:v>af908de5a0393629</x:v>
      </x:c>
      <x:c r="D796" s="13" t="str">
        <x:v>keyword</x:v>
      </x:c>
      <x:c r="E796" s="13" t="str">
        <x:v>en</x:v>
      </x:c>
      <x:c r="F796" s="13" t="str">
        <x:v>clothing_shoes_jewelry</x:v>
      </x:c>
      <x:c r="G796" s="16" t="str"/>
      <x:c r="H796" s="16" t="str">
        <x:v>flip_flops</x:v>
      </x:c>
      <x:c r="I796" s="16" t="str"/>
      <x:c r="J796" s="16" t="str"/>
      <x:c r="K796" s="16" t="str"/>
      <x:c r="L796" s="16" t="str"/>
      <x:c r="M796" s="16" t="str"/>
      <x:c r="N796" s="16" t="str"/>
      <x:c r="O796" s="16" t="str"/>
      <x:c r="P796" s="16" t="str">
        <x:v>brand_specific</x:v>
      </x:c>
      <x:c r="Q796" s="16" t="str"/>
      <x:c r="R796" s="16" t="str">
        <x:v>用户搜索Archies品牌人字拖，当前产品为Joomra品牌。</x:v>
      </x:c>
      <x:c r="S796" s="13" t="str">
        <x:v>brand_harvest</x:v>
      </x:c>
      <x:c r="T796" s="16" t="str">
        <x:v>explicit | inferred</x:v>
      </x:c>
      <x:c r="U796" s="13" t="str">
        <x:v>high</x:v>
      </x:c>
      <x:c r="V796" s="16" t="str">
        <x:v>archies_brand_flip_flops</x:v>
      </x:c>
      <x:c r="W796" s="16" t="str">
        <x:v>semantic_negative_candidate</x:v>
      </x:c>
      <x:c r="X796" s="16" t="str">
        <x:v>{"product_type":[{"value":"flip_flops","evidence_type":"explicit","source_span":"flip flops","fact_ids":[],"rationale":"搜索词明确指定人字拖品类"},{"value":"flip_flops","evidence_type":"page_validated","source_span":"","fact_ids":["style_flip_flop"],"rationale":"该槽位与商品基准中的明示页面事实一致。"}],"substitute_intent":[{"value":"brand_specific","evidence_type":"explicit","source_span":"archies","fact_ids":[],"rationale":"Archies为知名人字拖品牌"}],"primary_domain":[{"value":"clothing_shoes_jewelry","evidence_type":"inferred","source_span":"","fact_ids":[],"rationale":"该值由搜索词整体语义推断，未作为页面明示属性。"}]}</x:v>
      </x:c>
      <x:c r="Y796" s="16" t="str"/>
      <x:c r="Z796" s="13" t="str">
        <x:v>mismatch</x:v>
      </x:c>
      <x:c r="AA796" s="16" t="str"/>
      <x:c r="AB796" s="13" t="str">
        <x:v>accepted</x:v>
      </x:c>
      <x:c r="AC796" s="13" t="str">
        <x:v>1.0.0</x:v>
      </x:c>
      <x:c r="AD796" s="13" t="str">
        <x:v>1.1.0</x:v>
      </x:c>
      <x:c r="AE796" s="13" t="str">
        <x:v>deepseek/deepseek-v4-pro</x:v>
      </x:c>
      <x:c r="AF796" s="13" t="str">
        <x:v>aj2-y90-20260714T234810-0bea2f52</x:v>
      </x:c>
      <x:c r="AG796" s="13" t="str">
        <x:v>full-0040</x:v>
      </x:c>
      <x:c r="AH796" s="13" t="str">
        <x:v>full</x:v>
      </x:c>
      <x:c r="AI796" s="13" t="n">
        <x:v>40</x:v>
      </x:c>
    </x:row>
    <x:row r="797" ht="34" customHeight="1">
      <x:c r="A797" s="15" t="str">
        <x:v>beach flip flops for woman</x:v>
      </x:c>
      <x:c r="B797" s="15" t="str">
        <x:v>beach flip flops for woman</x:v>
      </x:c>
      <x:c r="C797" s="10" t="str">
        <x:v>b429e9e176f5c9f3</x:v>
      </x:c>
      <x:c r="D797" s="10" t="str">
        <x:v>keyword</x:v>
      </x:c>
      <x:c r="E797" s="10" t="str">
        <x:v>en</x:v>
      </x:c>
      <x:c r="F797" s="10" t="str">
        <x:v>clothing_shoes_jewelry</x:v>
      </x:c>
      <x:c r="G797" s="15" t="str">
        <x:v>sports_outdoors</x:v>
      </x:c>
      <x:c r="H797" s="15" t="str">
        <x:v>flip_flops</x:v>
      </x:c>
      <x:c r="I797" s="15" t="str">
        <x:v>women</x:v>
      </x:c>
      <x:c r="J797" s="15" t="str"/>
      <x:c r="K797" s="15" t="str">
        <x:v>slip_resistant</x:v>
      </x:c>
      <x:c r="L797" s="15" t="str">
        <x:v>beach_outing</x:v>
      </x:c>
      <x:c r="M797" s="15" t="str">
        <x:v>beach</x:v>
      </x:c>
      <x:c r="N797" s="15" t="str"/>
      <x:c r="O797" s="15" t="str"/>
      <x:c r="P797" s="15" t="str"/>
      <x:c r="Q797" s="15" t="str"/>
      <x:c r="R797" s="15" t="str">
        <x:v>女性用户需要适合海滩穿着的人字拖，注重防滑和易清洁特性。</x:v>
      </x:c>
      <x:c r="S797" s="10" t="str">
        <x:v>consideration</x:v>
      </x:c>
      <x:c r="T797" s="15" t="str">
        <x:v>explicit | page_validated | inferred</x:v>
      </x:c>
      <x:c r="U797" s="10" t="str">
        <x:v>high</x:v>
      </x:c>
      <x:c r="V797" s="15" t="str">
        <x:v>women_beach_flip_flops</x:v>
      </x:c>
      <x:c r="W797" s="15" t="str">
        <x:v>cluster_route</x:v>
      </x:c>
      <x:c r="X797" s="15" t="str">
        <x:v>{"product_type":[{"value":"flip_flops","evidence_type":"explicit","source_span":"flip flops","fact_ids":[],"rationale":"搜索词明确指定人字拖品类"},{"value":"flip_flops","evidence_type":"page_validated","source_span":"","fact_ids":["style_flip_flop"],"rationale":"产品页面标识为人字拖"}],"audience_intent":[{"value":"women","evidence_type":"explicit","source_span":"woman","fact_ids":[],"rationale":"搜索词明确指定女性"},{"value":"women","evidence_type":"page_validated","source_span":"","fact_ids":["title_womens_flip_flop"],"rationale":"产品标题标识为女式"},{"value":"women","evidence_type":"inferred","source_span":"","fact_ids":[],"rationale":"该能力由搜索词表达的任务或问题推断；页面事实仅用于验证商品承接。"}],"location_intent":[{"value":"beach","evidence_type":"explicit","source_span":"beach","fact_ids":[],"rationale":"搜索词明确指定海滩场景"},{"value":"beach","evidence_type":"page_validated","source_span":"","fact_ids":["style_outdoor"],"rationale":"产品定位户外生活场景含海滩使用"}],"capability_intent":[{"value":"slip_resistant","evidence_type":"page_validated","source_span":"","fact_ids":["slip_resistant_grip"],"rationale":"海滩湿滑环境需防滑功能"},{"value":"slip_resistant","evidence_type":"inferred","source_span":"","fact_ids":[],"rationale":"该能力由搜索词表达的任务或问题推断；页面事实仅用于验证商品承接。"}],"event_intent":[{"value":"beach_outing","evidence_type":"inferred","source_span":"","fact_ids":[],"rationale":"该值由搜索词整体语义推断，未作为页面明示属性。"}],"primary_domain":[{"value":"clothing_shoes_jewelry","evidence_type":"inferred","source_span":"","fact_ids":[],"rationale":"该值由搜索词整体语义推断，未作为页面明示属性。"}],"secondary_domain":[{"value":"sports_outdoors","evidence_type":"inferred","source_span":"","fact_ids":[],"rationale":"该值由搜索词整体语义推断，未作为页面明示属性。"}]}</x:v>
      </x:c>
      <x:c r="Y797" s="15" t="str"/>
      <x:c r="Z797" s="10" t="str">
        <x:v>match</x:v>
      </x:c>
      <x:c r="AA797" s="15" t="str">
        <x:v>title_womens_flip_flop | style_flip_flop | style_outdoor | slip_resistant_grip | easy_clean</x:v>
      </x:c>
      <x:c r="AB797" s="10" t="str">
        <x:v>accepted</x:v>
      </x:c>
      <x:c r="AC797" s="10" t="str">
        <x:v>1.0.0</x:v>
      </x:c>
      <x:c r="AD797" s="10" t="str">
        <x:v>1.1.0</x:v>
      </x:c>
      <x:c r="AE797" s="10" t="str">
        <x:v>deepseek/deepseek-v4-pro</x:v>
      </x:c>
      <x:c r="AF797" s="10" t="str">
        <x:v>aj2-y90-20260714T234810-0bea2f52</x:v>
      </x:c>
      <x:c r="AG797" s="10" t="str">
        <x:v>full-0040</x:v>
      </x:c>
      <x:c r="AH797" s="10" t="str">
        <x:v>full</x:v>
      </x:c>
      <x:c r="AI797" s="10" t="n">
        <x:v>40</x:v>
      </x:c>
    </x:row>
    <x:row r="798" ht="34" customHeight="1">
      <x:c r="A798" s="16" t="str">
        <x:v>women's beach flip flops</x:v>
      </x:c>
      <x:c r="B798" s="16" t="str">
        <x:v>women's beach flip flops</x:v>
      </x:c>
      <x:c r="C798" s="13" t="str">
        <x:v>b57655210a3686ea</x:v>
      </x:c>
      <x:c r="D798" s="13" t="str">
        <x:v>keyword</x:v>
      </x:c>
      <x:c r="E798" s="13" t="str">
        <x:v>en</x:v>
      </x:c>
      <x:c r="F798" s="13" t="str">
        <x:v>clothing_shoes_jewelry</x:v>
      </x:c>
      <x:c r="G798" s="16" t="str">
        <x:v>sports_outdoors</x:v>
      </x:c>
      <x:c r="H798" s="16" t="str">
        <x:v>flip_flops</x:v>
      </x:c>
      <x:c r="I798" s="16" t="str">
        <x:v>women</x:v>
      </x:c>
      <x:c r="J798" s="16" t="str"/>
      <x:c r="K798" s="16" t="str">
        <x:v>slip_resistant</x:v>
      </x:c>
      <x:c r="L798" s="16" t="str">
        <x:v>beach_outing</x:v>
      </x:c>
      <x:c r="M798" s="16" t="str">
        <x:v>beach</x:v>
      </x:c>
      <x:c r="N798" s="16" t="str"/>
      <x:c r="O798" s="16" t="str"/>
      <x:c r="P798" s="16" t="str"/>
      <x:c r="Q798" s="16" t="str"/>
      <x:c r="R798" s="16" t="str">
        <x:v>女性用户需要适合海滩穿着的人字拖，注重防滑和户外适用性。</x:v>
      </x:c>
      <x:c r="S798" s="13" t="str">
        <x:v>consideration</x:v>
      </x:c>
      <x:c r="T798" s="16" t="str">
        <x:v>explicit | page_validated | inferred</x:v>
      </x:c>
      <x:c r="U798" s="13" t="str">
        <x:v>high</x:v>
      </x:c>
      <x:c r="V798" s="16" t="str">
        <x:v>women_beach_flip_flops</x:v>
      </x:c>
      <x:c r="W798" s="16" t="str">
        <x:v>cluster_route</x:v>
      </x:c>
      <x:c r="X798" s="16" t="str">
        <x:v>{"product_type":[{"value":"flip_flops","evidence_type":"explicit","source_span":"flip flops","fact_ids":[],"rationale":"搜索词明确指定人字拖品类"},{"value":"flip_flops","evidence_type":"page_validated","source_span":"","fact_ids":["style_flip_flop"],"rationale":"产品页面标识为人字拖"}],"audience_intent":[{"value":"women","evidence_type":"explicit","source_span":"women's","fact_ids":[],"rationale":"搜索词明确指定女性"},{"value":"women","evidence_type":"page_validated","source_span":"","fact_ids":["title_womens_flip_flop"],"rationale":"产品标题标识为女式"}],"location_intent":[{"value":"beach","evidence_type":"explicit","source_span":"beach","fact_ids":[],"rationale":"搜索词明确指定海滩场景"},{"value":"beach","evidence_type":"page_validated","source_span":"","fact_ids":["style_outdoor"],"rationale":"产品定位户外生活场景含海滩"}],"capability_intent":[{"value":"slip_resistant","evidence_type":"page_validated","source_span":"","fact_ids":["slip_resistant_grip"],"rationale":"该槽位与商品基准中的明示页面事实一致。"},{"value":"slip_resistant","evidence_type":"inferred","source_span":"","fact_ids":[],"rationale":"该能力由搜索词表达的任务或问题推断；页面事实仅用于验证商品承接。"}],"event_intent":[{"value":"beach_outing","evidence_type":"inferred","source_span":"","fact_ids":[],"rationale":"该值由搜索词整体语义推断，未作为页面明示属性。"}],"primary_domain":[{"value":"clothing_shoes_jewelry","evidence_type":"inferred","source_span":"","fact_ids":[],"rationale":"该值由搜索词整体语义推断，未作为页面明示属性。"}],"secondary_domain":[{"value":"sports_outdoors","evidence_type":"inferred","source_span":"","fact_ids":[],"rationale":"该值由搜索词整体语义推断，未作为页面明示属性。"}]}</x:v>
      </x:c>
      <x:c r="Y798" s="16" t="str"/>
      <x:c r="Z798" s="13" t="str">
        <x:v>match</x:v>
      </x:c>
      <x:c r="AA798" s="16" t="str">
        <x:v>title_womens_flip_flop | style_flip_flop | style_outdoor | slip_resistant_grip</x:v>
      </x:c>
      <x:c r="AB798" s="13" t="str">
        <x:v>accepted</x:v>
      </x:c>
      <x:c r="AC798" s="13" t="str">
        <x:v>1.0.0</x:v>
      </x:c>
      <x:c r="AD798" s="13" t="str">
        <x:v>1.1.0</x:v>
      </x:c>
      <x:c r="AE798" s="13" t="str">
        <x:v>deepseek/deepseek-v4-pro</x:v>
      </x:c>
      <x:c r="AF798" s="13" t="str">
        <x:v>aj2-y90-20260714T234810-0bea2f52</x:v>
      </x:c>
      <x:c r="AG798" s="13" t="str">
        <x:v>full-0040</x:v>
      </x:c>
      <x:c r="AH798" s="13" t="str">
        <x:v>full</x:v>
      </x:c>
      <x:c r="AI798" s="13" t="n">
        <x:v>40</x:v>
      </x:c>
    </x:row>
    <x:row r="799" ht="34" customHeight="1">
      <x:c r="A799" s="15" t="str">
        <x:v>embellished flip flops for women blue</x:v>
      </x:c>
      <x:c r="B799" s="15" t="str">
        <x:v>embellished flip flops for women blue</x:v>
      </x:c>
      <x:c r="C799" s="10" t="str">
        <x:v>e361cddfe372ec38</x:v>
      </x:c>
      <x:c r="D799" s="10" t="str">
        <x:v>keyword</x:v>
      </x:c>
      <x:c r="E799" s="10" t="str">
        <x:v>en</x:v>
      </x:c>
      <x:c r="F799" s="10" t="str">
        <x:v>clothing_shoes_jewelry</x:v>
      </x:c>
      <x:c r="G799" s="15" t="str"/>
      <x:c r="H799" s="15" t="str">
        <x:v>flip_flops</x:v>
      </x:c>
      <x:c r="I799" s="15" t="str">
        <x:v>women</x:v>
      </x:c>
      <x:c r="J799" s="15" t="str"/>
      <x:c r="K799" s="15" t="str"/>
      <x:c r="L799" s="15" t="str"/>
      <x:c r="M799" s="15" t="str"/>
      <x:c r="N799" s="15" t="str"/>
      <x:c r="O799" s="15" t="str"/>
      <x:c r="P799" s="15" t="str"/>
      <x:c r="Q799" s="15" t="str"/>
      <x:c r="R799" s="15" t="str">
        <x:v>女性用户寻找蓝色带装饰的人字拖，产品为简约EVA款式无装饰设计。</x:v>
      </x:c>
      <x:c r="S799" s="10" t="str">
        <x:v>consideration</x:v>
      </x:c>
      <x:c r="T799" s="15" t="str">
        <x:v>explicit | inferred</x:v>
      </x:c>
      <x:c r="U799" s="10" t="str">
        <x:v>medium</x:v>
      </x:c>
      <x:c r="V799" s="15" t="str">
        <x:v>embellished_flip_flops_women</x:v>
      </x:c>
      <x:c r="W799" s="15" t="str">
        <x:v>listing_gap_review</x:v>
      </x:c>
      <x:c r="X799" s="15" t="str">
        <x:v>{"product_type":[{"value":"flip_flops","evidence_type":"explicit","source_span":"flip flops","fact_ids":[],"rationale":"搜索词明确指定人字拖品类"},{"value":"flip_flops","evidence_type":"page_validated","source_span":"","fact_ids":["style_flip_flop"],"rationale":"产品页面标识为人字拖"}],"audience_intent":[{"value":"women","evidence_type":"explicit","source_span":"women","fact_ids":[],"rationale":"搜索词明确指定女性"},{"value":"women","evidence_type":"page_validated","source_span":"","fact_ids":["title_womens_flip_flop"],"rationale":"产品标题标识为女式"}],"aux_style":[{"value":"embellished","evidence_type":"explicit","source_span":"embellished","fact_ids":[],"rationale":"搜索词要求带装饰设计"}],"aux_color":[{"value":"blue","evidence_type":"explicit","source_span":"blue","fact_ids":[],"rationale":"搜索词指定蓝色"}],"primary_domain":[{"value":"clothing_shoes_jewelry","evidence_type":"inferred","source_span":"","fact_ids":[],"rationale":"该值由搜索词整体语义推断，未作为页面明示属性。"}]}</x:v>
      </x:c>
      <x:c r="Y799" s="15" t="str">
        <x:v>embellished_not_page_validated</x:v>
      </x:c>
      <x:c r="Z799" s="10" t="str">
        <x:v>partial_match</x:v>
      </x:c>
      <x:c r="AA799" s="15" t="str">
        <x:v>title_womens_flip_flop | style_flip_flop</x:v>
      </x:c>
      <x:c r="AB799" s="10" t="str">
        <x:v>accepted</x:v>
      </x:c>
      <x:c r="AC799" s="10" t="str">
        <x:v>1.0.0</x:v>
      </x:c>
      <x:c r="AD799" s="10" t="str">
        <x:v>1.1.0</x:v>
      </x:c>
      <x:c r="AE799" s="10" t="str">
        <x:v>deepseek/deepseek-v4-pro</x:v>
      </x:c>
      <x:c r="AF799" s="10" t="str">
        <x:v>aj2-y90-20260714T234810-0bea2f52</x:v>
      </x:c>
      <x:c r="AG799" s="10" t="str">
        <x:v>full-0040</x:v>
      </x:c>
      <x:c r="AH799" s="10" t="str">
        <x:v>full</x:v>
      </x:c>
      <x:c r="AI799" s="10" t="n">
        <x:v>40</x:v>
      </x:c>
    </x:row>
    <x:row r="800" ht="34" customHeight="1">
      <x:c r="A800" s="16" t="str">
        <x:v>orthopedic sandals for women brown</x:v>
      </x:c>
      <x:c r="B800" s="16" t="str">
        <x:v>orthopedic sandals for women brown</x:v>
      </x:c>
      <x:c r="C800" s="13" t="str">
        <x:v>ea42e2ddecf17e64</x:v>
      </x:c>
      <x:c r="D800" s="13" t="str">
        <x:v>keyword</x:v>
      </x:c>
      <x:c r="E800" s="13" t="str">
        <x:v>en</x:v>
      </x:c>
      <x:c r="F800" s="13" t="str">
        <x:v>clothing_shoes_jewelry</x:v>
      </x:c>
      <x:c r="G800" s="16" t="str">
        <x:v>health_household</x:v>
      </x:c>
      <x:c r="H800" s="16" t="str">
        <x:v>sandals</x:v>
      </x:c>
      <x:c r="I800" s="16" t="str">
        <x:v>women</x:v>
      </x:c>
      <x:c r="J800" s="16" t="str">
        <x:v>orthopedic_support</x:v>
      </x:c>
      <x:c r="K800" s="16" t="str">
        <x:v>arch_support</x:v>
      </x:c>
      <x:c r="L800" s="16" t="str"/>
      <x:c r="M800" s="16" t="str"/>
      <x:c r="N800" s="16" t="str">
        <x:v>foot_support</x:v>
      </x:c>
      <x:c r="O800" s="16" t="str"/>
      <x:c r="P800" s="16" t="str"/>
      <x:c r="Q800" s="16" t="str"/>
      <x:c r="R800" s="16" t="str">
        <x:v>女性用户寻找棕色矫形凉鞋，需要专业足部支撑但产品未宣称矫形医疗功能。</x:v>
      </x:c>
      <x:c r="S800" s="13" t="str">
        <x:v>consideration</x:v>
      </x:c>
      <x:c r="T800" s="16" t="str">
        <x:v>explicit | page_validated | inferred</x:v>
      </x:c>
      <x:c r="U800" s="13" t="str">
        <x:v>medium</x:v>
      </x:c>
      <x:c r="V800" s="16" t="str">
        <x:v>orthopedic_sandals_women</x:v>
      </x:c>
      <x:c r="W800" s="16" t="str">
        <x:v>listing_gap_review</x:v>
      </x:c>
      <x:c r="X800" s="16" t="str">
        <x:v>{"product_type":[{"value":"sandals","evidence_type":"explicit","source_span":"sandals","fact_ids":[],"rationale":"搜索词明确指定凉鞋品类"},{"value":"sandals","evidence_type":"page_validated","source_span":"","fact_ids":["title_womens_flip_flop"],"rationale":"产品标题含thong sandal属凉鞋子类"}],"audience_intent":[{"value":"women","evidence_type":"explicit","source_span":"women","fact_ids":[],"rationale":"搜索词明确指定女性"},{"value":"women","evidence_type":"page_validated","source_span":"","fact_ids":["title_womens_flip_flop"],"rationale":"产品标题标识为女式"}],"function_intent":[{"value":"orthopedic_support","evidence_type":"explicit","source_span":"orthopedic","fact_ids":[],"rationale":"搜索词明确表达矫形需求"}],"aux_color":[{"value":"brown","evidence_type":"explicit","source_span":"brown","fact_ids":[],"rationale":"搜索词指定棕色"},{"value":"brown","evidence_type":"page_validated","source_span":"","fact_ids":["colors_visible"],"rationale":"产品可选颜色含棕色"}],"capability_intent":[{"value":"arch_support","evidence_type":"page_validated","source_span":"","fact_ids":["arch_support"],"rationale":"该槽位与商品基准中的明示页面事实一致。"},{"value":"arch_support","evidence_type":"inferred","source_span":"","fact_ids":[],"rationale":"该能力由搜索词表达的任务或问题推断；页面事实仅用于验证商品承接。"}],"body_need_intent":[{"value":"foot_support","evidence_type":"page_validated","source_span":"","fact_ids":["arch_support"],"rationale":"该槽位与商品基准中的明示页面事实一致。"},{"value":"foot_suppor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secondary_domain":[{"value":"health_household","evidence_type":"inferred","source_span":"","fact_ids":[],"rationale":"该值由搜索词整体语义推断，未作为页面明示属性。"}]}</x:v>
      </x:c>
      <x:c r="Y800" s="16" t="str">
        <x:v>orthopedic_claim_not_page_validated</x:v>
      </x:c>
      <x:c r="Z800" s="13" t="str">
        <x:v>partial_match</x:v>
      </x:c>
      <x:c r="AA800" s="16" t="str">
        <x:v>title_womens_flip_flop | arch_support | colors_visible</x:v>
      </x:c>
      <x:c r="AB800" s="13" t="str">
        <x:v>accepted</x:v>
      </x:c>
      <x:c r="AC800" s="13" t="str">
        <x:v>1.0.0</x:v>
      </x:c>
      <x:c r="AD800" s="13" t="str">
        <x:v>1.1.0</x:v>
      </x:c>
      <x:c r="AE800" s="13" t="str">
        <x:v>deepseek/deepseek-v4-pro</x:v>
      </x:c>
      <x:c r="AF800" s="13" t="str">
        <x:v>aj2-y90-20260714T234810-0bea2f52</x:v>
      </x:c>
      <x:c r="AG800" s="13" t="str">
        <x:v>full-0040</x:v>
      </x:c>
      <x:c r="AH800" s="13" t="str">
        <x:v>full</x:v>
      </x:c>
      <x:c r="AI800" s="13" t="n">
        <x:v>40</x:v>
      </x:c>
    </x:row>
    <x:row r="801" ht="34" customHeight="1">
      <x:c r="A801" s="15" t="str">
        <x:v>women's size 11 flipflops</x:v>
      </x:c>
      <x:c r="B801" s="15" t="str">
        <x:v>women's size 11 flipflops</x:v>
      </x:c>
      <x:c r="C801" s="10" t="str">
        <x:v>fbd7a9b866b9f3c7</x:v>
      </x:c>
      <x:c r="D801" s="10" t="str">
        <x:v>keyword</x:v>
      </x:c>
      <x:c r="E801" s="10" t="str">
        <x:v>en</x:v>
      </x:c>
      <x:c r="F801" s="10" t="str">
        <x:v>clothing_shoes_jewelry</x:v>
      </x:c>
      <x:c r="G801" s="15" t="str"/>
      <x:c r="H801" s="15" t="str">
        <x:v>flip_flops</x:v>
      </x:c>
      <x:c r="I801" s="15" t="str">
        <x:v>women</x:v>
      </x:c>
      <x:c r="J801" s="15" t="str"/>
      <x:c r="K801" s="15" t="str"/>
      <x:c r="L801" s="15" t="str"/>
      <x:c r="M801" s="15" t="str"/>
      <x:c r="N801" s="15" t="str"/>
      <x:c r="O801" s="15" t="str"/>
      <x:c r="P801" s="15" t="str"/>
      <x:c r="Q801" s="15" t="str"/>
      <x:c r="R801" s="15" t="str">
        <x:v>女性消费者需要一双美国尺码11号的人字拖，注重尺码的精准匹配。</x:v>
      </x:c>
      <x:c r="S801" s="10" t="str">
        <x:v>high_intent</x:v>
      </x:c>
      <x:c r="T801" s="15" t="str">
        <x:v>explicit | page_validated | inferred</x:v>
      </x:c>
      <x:c r="U801" s="10" t="str">
        <x:v>high</x:v>
      </x:c>
      <x:c r="V801" s="15" t="str">
        <x:v>women_flip_flops_size_specific</x:v>
      </x:c>
      <x:c r="W801" s="15" t="str">
        <x:v>cluster_route</x:v>
      </x:c>
      <x:c r="X801" s="15" t="str">
        <x:v>{"product_type":[{"value":"flip_flops","evidence_type":"explicit","source_span":"flipflops","fact_ids":[],"rationale":"搜索词明确指定人字拖品类"},{"value":"flip_flops","evidence_type":"page_validated","source_span":"","fact_ids":["style_flip_flop"],"rationale":"产品页面标识为人字拖"},{"value":"flip_flops","evidence_type":"inferred","source_span":"","fact_ids":[],"rationale":"该能力由搜索词表达的任务或问题推断；页面事实仅用于验证商品承接。"}],"audience_intent":[{"value":"women","evidence_type":"explicit","source_span":"women's","fact_ids":[],"rationale":"搜索词明确指定女性群体"},{"value":"women","evidence_type":"page_validated","source_span":"","fact_ids":["title_womens_flip_flop"],"rationale":"产品标题标识为女式人字拖"}],"aux_size":[{"value":"us_11","evidence_type":"explicit","source_span":"size 11","fact_ids":[],"rationale":"搜索词指定尺码11"},{"value":"us_11","evidence_type":"page_validated","source_span":"","fact_ids":["sizes_6_11"],"rationale":"产品尺码范围覆盖6至11"}],"primary_domain":[{"value":"clothing_shoes_jewelry","evidence_type":"inferred","source_span":"","fact_ids":[],"rationale":"该值由搜索词整体语义推断，未作为页面明示属性。"}]}</x:v>
      </x:c>
      <x:c r="Y801" s="15" t="str"/>
      <x:c r="Z801" s="10" t="str">
        <x:v>match</x:v>
      </x:c>
      <x:c r="AA801" s="15" t="str">
        <x:v>title_womens_flip_flop | style_flip_flop | sizes_6_11</x:v>
      </x:c>
      <x:c r="AB801" s="10" t="str">
        <x:v>accepted</x:v>
      </x:c>
      <x:c r="AC801" s="10" t="str">
        <x:v>1.0.0</x:v>
      </x:c>
      <x:c r="AD801" s="10" t="str">
        <x:v>1.1.0</x:v>
      </x:c>
      <x:c r="AE801" s="10" t="str">
        <x:v>deepseek/deepseek-v4-pro</x:v>
      </x:c>
      <x:c r="AF801" s="10" t="str">
        <x:v>aj2-y90-20260714T234810-0bea2f52</x:v>
      </x:c>
      <x:c r="AG801" s="10" t="str">
        <x:v>full-0040</x:v>
      </x:c>
      <x:c r="AH801" s="10" t="str">
        <x:v>full</x:v>
      </x:c>
      <x:c r="AI801" s="10" t="n">
        <x:v>40</x:v>
      </x:c>
    </x:row>
    <x:row r="802" ht="34" customHeight="1">
      <x:c r="A802" s="16" t="str">
        <x:v>cheap flip flops for women</x:v>
      </x:c>
      <x:c r="B802" s="16" t="str">
        <x:v>cheap flip flops for women</x:v>
      </x:c>
      <x:c r="C802" s="13" t="str">
        <x:v>07495622504f4a07</x:v>
      </x:c>
      <x:c r="D802" s="13" t="str">
        <x:v>keyword</x:v>
      </x:c>
      <x:c r="E802" s="13" t="str">
        <x:v>en</x:v>
      </x:c>
      <x:c r="F802" s="13" t="str">
        <x:v>clothing_shoes_jewelry</x:v>
      </x:c>
      <x:c r="G802" s="16" t="str"/>
      <x:c r="H802" s="16" t="str">
        <x:v>flip_flops</x:v>
      </x:c>
      <x:c r="I802" s="16" t="str">
        <x:v>women</x:v>
      </x:c>
      <x:c r="J802" s="16" t="str"/>
      <x:c r="K802" s="16" t="str"/>
      <x:c r="L802" s="16" t="str"/>
      <x:c r="M802" s="16" t="str"/>
      <x:c r="N802" s="16" t="str"/>
      <x:c r="O802" s="16" t="str"/>
      <x:c r="P802" s="16" t="str"/>
      <x:c r="Q802" s="16" t="str"/>
      <x:c r="R802" s="16" t="str">
        <x:v>用户想找一双价格便宜的女士人字拖。</x:v>
      </x:c>
      <x:c r="S802" s="13" t="str">
        <x:v>consideration</x:v>
      </x:c>
      <x:c r="T802" s="16" t="str">
        <x:v>explicit | page_validated</x:v>
      </x:c>
      <x:c r="U802" s="13" t="str">
        <x:v>medium</x:v>
      </x:c>
      <x:c r="V802" s="16" t="str">
        <x:v>womens_affordable_flip_flops</x:v>
      </x:c>
      <x:c r="W802" s="16" t="str">
        <x:v>performance_observation</x:v>
      </x:c>
      <x:c r="X802" s="16" t="str">
        <x:v>{"audience_intent":[{"value":"women","evidence_type":"explicit","source_span":"women","fact_ids":[],"rationale":""},{"value":"women","evidence_type":"page_validated","source_span":"","fact_ids":["title_womens_flip_flop"],"rationale":"该槽位与商品基准中的明示页面事实一致。"}],"product_type":[{"value":"flip_flops","evidence_type":"explicit","source_span":"flip flops","fact_ids":[],"rationale":""},{"value":"flip_flops","evidence_type":"page_validated","source_span":"","fact_ids":["style_flip_flop"],"rationale":"该槽位与商品基准中的明示页面事实一致。"}],"price":[{"value":"cheap","evidence_type":"explicit","source_span":"cheap","fact_ids":[],"rationale":"价格因素无法通过页面事实验证"}],"primary_domain":[{"value":"clothing_shoes_jewelry","evidence_type":"inferred","source_span":"","fact_ids":[],"rationale":"该值由搜索词整体语义推断，未作为页面明示属性。"}]}</x:v>
      </x:c>
      <x:c r="Y802" s="16" t="str">
        <x:v>price_not_validated</x:v>
      </x:c>
      <x:c r="Z802" s="13" t="str">
        <x:v>partial_match</x:v>
      </x:c>
      <x:c r="AA802" s="16" t="str">
        <x:v>title_womens_flip_flop | style_flip_flop</x:v>
      </x:c>
      <x:c r="AB802" s="13" t="str">
        <x:v>accepted</x:v>
      </x:c>
      <x:c r="AC802" s="13" t="str">
        <x:v>1.0.0</x:v>
      </x:c>
      <x:c r="AD802" s="13" t="str">
        <x:v>1.1.0</x:v>
      </x:c>
      <x:c r="AE802" s="13" t="str">
        <x:v>deepseek/deepseek-v4-pro</x:v>
      </x:c>
      <x:c r="AF802" s="13" t="str">
        <x:v>aj2-y90-20260714T234810-0bea2f52</x:v>
      </x:c>
      <x:c r="AG802" s="13" t="str">
        <x:v>full-0041</x:v>
      </x:c>
      <x:c r="AH802" s="13" t="str">
        <x:v>full</x:v>
      </x:c>
      <x:c r="AI802" s="13" t="n">
        <x:v>41</x:v>
      </x:c>
    </x:row>
    <x:row r="803" ht="34" customHeight="1">
      <x:c r="A803" s="15" t="str">
        <x:v>beach sandals for women waterproof</x:v>
      </x:c>
      <x:c r="B803" s="15" t="str">
        <x:v>beach sandals for women waterproof</x:v>
      </x:c>
      <x:c r="C803" s="10" t="str">
        <x:v>095a2faa49d2e915</x:v>
      </x:c>
      <x:c r="D803" s="10" t="str">
        <x:v>keyword</x:v>
      </x:c>
      <x:c r="E803" s="10" t="str">
        <x:v>en</x:v>
      </x:c>
      <x:c r="F803" s="10" t="str">
        <x:v>clothing_shoes_jewelry</x:v>
      </x:c>
      <x:c r="G803" s="15" t="str">
        <x:v>sports_outdoors</x:v>
      </x:c>
      <x:c r="H803" s="15" t="str">
        <x:v>beach_sandals</x:v>
      </x:c>
      <x:c r="I803" s="15" t="str">
        <x:v>women</x:v>
      </x:c>
      <x:c r="J803" s="15" t="str">
        <x:v>beach_wear</x:v>
      </x:c>
      <x:c r="K803" s="15" t="str">
        <x:v>waterproof</x:v>
      </x:c>
      <x:c r="L803" s="15" t="str">
        <x:v>beach_outing</x:v>
      </x:c>
      <x:c r="M803" s="15" t="str">
        <x:v>beach</x:v>
      </x:c>
      <x:c r="N803" s="15" t="str"/>
      <x:c r="O803" s="15" t="str"/>
      <x:c r="P803" s="15" t="str"/>
      <x:c r="Q803" s="15" t="str"/>
      <x:c r="R803" s="15" t="str">
        <x:v>用户希望找到一双适合在海滩穿着的女士防水凉鞋。</x:v>
      </x:c>
      <x:c r="S803" s="10" t="str">
        <x:v>consideration</x:v>
      </x:c>
      <x:c r="T803" s="15" t="str">
        <x:v>explicit | page_validated | inferred</x:v>
      </x:c>
      <x:c r="U803" s="10" t="str">
        <x:v>high</x:v>
      </x:c>
      <x:c r="V803" s="15" t="str">
        <x:v>waterproof_beach_sandals</x:v>
      </x:c>
      <x:c r="W803" s="15" t="str">
        <x:v>listing_gap_review</x:v>
      </x:c>
      <x:c r="X803" s="15" t="str">
        <x:v>{"audience_intent":[{"value":"women","evidence_type":"explicit","source_span":"women","fact_ids":[],"rationale":""},{"value":"women","evidence_type":"page_validated","source_span":"","fact_ids":["title_womens_flip_flop"],"rationale":"该槽位与商品基准中的明示页面事实一致。"}],"location_intent":[{"value":"beach","evidence_type":"explicit","source_span":"beach","fact_ids":[],"rationale":""}],"capability_intent":[{"value":"waterproof","evidence_type":"explicit","source_span":"waterproof","fact_ids":[],"rationale":""}],"product_type":[{"value":"beach_sandals","evidence_type":"explicit","source_span":"beach sandals","fact_ids":[],"rationale":""}],"function_intent":[{"value":"beach_wear","evidence_type":"inferred","source_span":"beach","fact_ids":[],"rationale":"沙滩凉鞋用于海滩活动穿着"}],"event_intent":[{"value":"beach_outing","evidence_type":"inferred","source_span":"beach","fact_ids":[],"rationale":"沙滩场景暗示出游活动"}],"primary_domain":[{"value":"clothing_shoes_jewelry","evidence_type":"inferred","source_span":"","fact_ids":[],"rationale":"该值由搜索词整体语义推断，未作为页面明示属性。"}],"secondary_domain":[{"value":"sports_outdoors","evidence_type":"inferred","source_span":"","fact_ids":[],"rationale":"该值由搜索词整体语义推断，未作为页面明示属性。"}]}</x:v>
      </x:c>
      <x:c r="Y803" s="15" t="str"/>
      <x:c r="Z803" s="10" t="str">
        <x:v>partial_match</x:v>
      </x:c>
      <x:c r="AA803" s="15" t="str">
        <x:v>title_womens_flip_flop | style_flip_flop | style_outdoor | material_eva</x:v>
      </x:c>
      <x:c r="AB803" s="10" t="str">
        <x:v>accepted</x:v>
      </x:c>
      <x:c r="AC803" s="10" t="str">
        <x:v>1.0.0</x:v>
      </x:c>
      <x:c r="AD803" s="10" t="str">
        <x:v>1.1.0</x:v>
      </x:c>
      <x:c r="AE803" s="10" t="str">
        <x:v>deepseek/deepseek-v4-pro</x:v>
      </x:c>
      <x:c r="AF803" s="10" t="str">
        <x:v>aj2-y90-20260714T234810-0bea2f52</x:v>
      </x:c>
      <x:c r="AG803" s="10" t="str">
        <x:v>full-0041</x:v>
      </x:c>
      <x:c r="AH803" s="10" t="str">
        <x:v>full</x:v>
      </x:c>
      <x:c r="AI803" s="10" t="n">
        <x:v>41</x:v>
      </x:c>
    </x:row>
    <x:row r="804" ht="34" customHeight="1">
      <x:c r="A804" s="16" t="str">
        <x:v>taupe women's 8.5 eva flip flops</x:v>
      </x:c>
      <x:c r="B804" s="16" t="str">
        <x:v>taupe women's 8.5 eva flip flops</x:v>
      </x:c>
      <x:c r="C804" s="13" t="str">
        <x:v>09dff8eb4ba84567</x:v>
      </x:c>
      <x:c r="D804" s="13" t="str">
        <x:v>keyword</x:v>
      </x:c>
      <x:c r="E804" s="13" t="str">
        <x:v>en</x:v>
      </x:c>
      <x:c r="F804" s="13" t="str">
        <x:v>clothing_shoes_jewelry</x:v>
      </x:c>
      <x:c r="G804" s="16" t="str"/>
      <x:c r="H804" s="16" t="str">
        <x:v>flip_flops</x:v>
      </x:c>
      <x:c r="I804" s="16" t="str">
        <x:v>women</x:v>
      </x:c>
      <x:c r="J804" s="16" t="str"/>
      <x:c r="K804" s="16" t="str"/>
      <x:c r="L804" s="16" t="str"/>
      <x:c r="M804" s="16" t="str"/>
      <x:c r="N804" s="16" t="str"/>
      <x:c r="O804" s="16" t="str"/>
      <x:c r="P804" s="16" t="str"/>
      <x:c r="Q804" s="16" t="str"/>
      <x:c r="R804" s="16" t="str">
        <x:v>用户想找一双灰棕色女士EVA材质人字拖，尺码为8.5码。</x:v>
      </x:c>
      <x:c r="S804" s="13" t="str">
        <x:v>high_intent</x:v>
      </x:c>
      <x:c r="T804" s="16" t="str">
        <x:v>explicit | page_validated</x:v>
      </x:c>
      <x:c r="U804" s="13" t="str">
        <x:v>high</x:v>
      </x:c>
      <x:c r="V804" s="16" t="str">
        <x:v>womens_eva_flip_flops</x:v>
      </x:c>
      <x:c r="W804" s="16" t="str">
        <x:v>cluster_route</x:v>
      </x:c>
      <x:c r="X804" s="16" t="str">
        <x:v>{"audience_intent":[{"value":"women","evidence_type":"explicit","source_span":"women","fact_ids":[],"rationale":""},{"value":"women","evidence_type":"page_validated","source_span":"","fact_ids":["title_womens_flip_flop"],"rationale":"该槽位与商品基准中的明示页面事实一致。"}],"product_type":[{"value":"flip_flops","evidence_type":"explicit","source_span":"flip flops","fact_ids":[],"rationale":""},{"value":"flip_flops","evidence_type":"page_validated","source_span":"","fact_ids":["style_flip_flop"],"rationale":"该槽位与商品基准中的明示页面事实一致。"}],"color":[{"value":"taupe","evidence_type":"explicit","source_span":"taupe","fact_ids":[],"rationale":"这是搜索词中的颜色约束，但商品页面基准未确认该具体颜色。"}],"size":[{"value":"8.5","evidence_type":"explicit","source_span":"8.5","fact_ids":["sizes_6_11"],"rationale":"8.5在页面尺码范围内"}],"material":[{"value":"eva","evidence_type":"explicit","source_span":"eva","fact_ids":["material_eva"],"rationale":""}],"primary_domain":[{"value":"clothing_shoes_jewelry","evidence_type":"inferred","source_span":"","fact_ids":[],"rationale":"该值由搜索词整体语义推断，未作为页面明示属性。"}]}</x:v>
      </x:c>
      <x:c r="Y804" s="16" t="str"/>
      <x:c r="Z804" s="13" t="str">
        <x:v>match</x:v>
      </x:c>
      <x:c r="AA804" s="16" t="str">
        <x:v>title_womens_flip_flop | style_flip_flop | material_eva | sizes_6_11 | colors_visible</x:v>
      </x:c>
      <x:c r="AB804" s="13" t="str">
        <x:v>accepted</x:v>
      </x:c>
      <x:c r="AC804" s="13" t="str">
        <x:v>1.0.0</x:v>
      </x:c>
      <x:c r="AD804" s="13" t="str">
        <x:v>1.1.0</x:v>
      </x:c>
      <x:c r="AE804" s="13" t="str">
        <x:v>deepseek/deepseek-v4-pro</x:v>
      </x:c>
      <x:c r="AF804" s="13" t="str">
        <x:v>aj2-y90-20260714T234810-0bea2f52</x:v>
      </x:c>
      <x:c r="AG804" s="13" t="str">
        <x:v>full-0041</x:v>
      </x:c>
      <x:c r="AH804" s="13" t="str">
        <x:v>full</x:v>
      </x:c>
      <x:c r="AI804" s="13" t="n">
        <x:v>41</x:v>
      </x:c>
    </x:row>
    <x:row r="805" ht="34" customHeight="1">
      <x:c r="A805" s="15" t="str">
        <x:v>women</x:v>
      </x:c>
      <x:c r="B805" s="15" t="str">
        <x:v>women</x:v>
      </x:c>
      <x:c r="C805" s="10" t="str">
        <x:v>0ef49a3c92f37310</x:v>
      </x:c>
      <x:c r="D805" s="10" t="str">
        <x:v>keyword</x:v>
      </x:c>
      <x:c r="E805" s="10" t="str">
        <x:v>en</x:v>
      </x:c>
      <x:c r="F805" s="10" t="str">
        <x:v>clothing_shoes_jewelry</x:v>
      </x:c>
      <x:c r="G805" s="15" t="str"/>
      <x:c r="H805" s="15" t="str"/>
      <x:c r="I805" s="15" t="str">
        <x:v>women</x:v>
      </x:c>
      <x:c r="J805" s="15" t="str"/>
      <x:c r="K805" s="15" t="str"/>
      <x:c r="L805" s="15" t="str"/>
      <x:c r="M805" s="15" t="str"/>
      <x:c r="N805" s="15" t="str"/>
      <x:c r="O805" s="15" t="str"/>
      <x:c r="P805" s="15" t="str"/>
      <x:c r="Q805" s="15" t="str"/>
      <x:c r="R805" s="15" t="str">
        <x:v>用户仅输入了宽泛的女性受众词，意图极度模糊，无法确定具体品类。</x:v>
      </x:c>
      <x:c r="S805" s="10" t="str">
        <x:v>exploration</x:v>
      </x:c>
      <x:c r="T805" s="15" t="str">
        <x:v>explicit</x:v>
      </x:c>
      <x:c r="U805" s="10" t="str">
        <x:v>low</x:v>
      </x:c>
      <x:c r="V805" s="15" t="str">
        <x:v>unclassified</x:v>
      </x:c>
      <x:c r="W805" s="15" t="str">
        <x:v>ambiguity_review</x:v>
      </x:c>
      <x:c r="X805" s="15" t="str">
        <x:v>{"audience_intent":[{"value":"women","evidence_type":"explicit","source_span":"women","fact_ids":[],"rationale":""},{"value":"women","evidence_type":"page_validated","source_span":"","fact_ids":["title_womens_flip_flop"],"rationale":"该槽位与商品基准中的明示页面事实一致。"}],"primary_domain":[{"value":"clothing_shoes_jewelry","evidence_type":"inferred","source_span":"","fact_ids":[],"rationale":"该值由搜索词整体语义推断，未作为页面明示属性。"}]}</x:v>
      </x:c>
      <x:c r="Y805" s="15" t="str">
        <x:v>single_generic_term | no_product_type</x:v>
      </x:c>
      <x:c r="Z805" s="10" t="str">
        <x:v>unknown</x:v>
      </x:c>
      <x:c r="AA805" s="15" t="str"/>
      <x:c r="AB805" s="10" t="str">
        <x:v>accepted</x:v>
      </x:c>
      <x:c r="AC805" s="10" t="str">
        <x:v>1.0.0</x:v>
      </x:c>
      <x:c r="AD805" s="10" t="str">
        <x:v>1.1.0</x:v>
      </x:c>
      <x:c r="AE805" s="10" t="str">
        <x:v>deepseek/deepseek-v4-pro</x:v>
      </x:c>
      <x:c r="AF805" s="10" t="str">
        <x:v>aj2-y90-20260714T234810-0bea2f52</x:v>
      </x:c>
      <x:c r="AG805" s="10" t="str">
        <x:v>full-0041</x:v>
      </x:c>
      <x:c r="AH805" s="10" t="str">
        <x:v>full</x:v>
      </x:c>
      <x:c r="AI805" s="10" t="n">
        <x:v>41</x:v>
      </x:c>
    </x:row>
    <x:row r="806" ht="34" customHeight="1">
      <x:c r="A806" s="16" t="str">
        <x:v>square flip flops</x:v>
      </x:c>
      <x:c r="B806" s="16" t="str">
        <x:v>square flip flops</x:v>
      </x:c>
      <x:c r="C806" s="13" t="str">
        <x:v>19d398d45d68e204</x:v>
      </x:c>
      <x:c r="D806" s="13" t="str">
        <x:v>keyword</x:v>
      </x:c>
      <x:c r="E806" s="13" t="str">
        <x:v>en</x:v>
      </x:c>
      <x:c r="F806" s="13" t="str">
        <x:v>clothing_shoes_jewelry</x:v>
      </x:c>
      <x:c r="G806" s="16" t="str"/>
      <x:c r="H806" s="16" t="str">
        <x:v>flip_flops</x:v>
      </x:c>
      <x:c r="I806" s="16" t="str"/>
      <x:c r="J806" s="16" t="str"/>
      <x:c r="K806" s="16" t="str"/>
      <x:c r="L806" s="16" t="str"/>
      <x:c r="M806" s="16" t="str"/>
      <x:c r="N806" s="16" t="str"/>
      <x:c r="O806" s="16" t="str"/>
      <x:c r="P806" s="16" t="str"/>
      <x:c r="Q806" s="16" t="str"/>
      <x:c r="R806" s="16" t="str">
        <x:v>用户想找一双方头款式的人字拖。</x:v>
      </x:c>
      <x:c r="S806" s="13" t="str">
        <x:v>consideration</x:v>
      </x:c>
      <x:c r="T806" s="16" t="str">
        <x:v>explicit</x:v>
      </x:c>
      <x:c r="U806" s="13" t="str">
        <x:v>medium</x:v>
      </x:c>
      <x:c r="V806" s="16" t="str">
        <x:v>square_toe_flip_flops</x:v>
      </x:c>
      <x:c r="W806" s="16" t="str">
        <x:v>semantic_negative_candidate</x:v>
      </x:c>
      <x:c r="X806" s="16" t="str">
        <x:v>{"product_type":[{"value":"flip_flops","evidence_type":"explicit","source_span":"flip flops","fact_ids":[],"rationale":""},{"value":"flip_flops","evidence_type":"page_validated","source_span":"","fact_ids":["style_flip_flop"],"rationale":"该槽位与商品基准中的明示页面事实一致。"}],"style":[{"value":"square","evidence_type":"explicit","source_span":"square","fact_ids":[],"rationale":"页面为开放式圆头设计，无方头款式"}],"primary_domain":[{"value":"clothing_shoes_jewelry","evidence_type":"inferred","source_span":"","fact_ids":[],"rationale":"该值由搜索词整体语义推断，未作为页面明示属性。"}]}</x:v>
      </x:c>
      <x:c r="Y806" s="16" t="str">
        <x:v>style_not_available</x:v>
      </x:c>
      <x:c r="Z806" s="13" t="str">
        <x:v>mismatch</x:v>
      </x:c>
      <x:c r="AA806" s="16" t="str">
        <x:v>style_flip_flop | style_open_toe</x:v>
      </x:c>
      <x:c r="AB806" s="13" t="str">
        <x:v>accepted</x:v>
      </x:c>
      <x:c r="AC806" s="13" t="str">
        <x:v>1.0.0</x:v>
      </x:c>
      <x:c r="AD806" s="13" t="str">
        <x:v>1.1.0</x:v>
      </x:c>
      <x:c r="AE806" s="13" t="str">
        <x:v>deepseek/deepseek-v4-pro</x:v>
      </x:c>
      <x:c r="AF806" s="13" t="str">
        <x:v>aj2-y90-20260714T234810-0bea2f52</x:v>
      </x:c>
      <x:c r="AG806" s="13" t="str">
        <x:v>full-0041</x:v>
      </x:c>
      <x:c r="AH806" s="13" t="str">
        <x:v>full</x:v>
      </x:c>
      <x:c r="AI806" s="13" t="n">
        <x:v>41</x:v>
      </x:c>
    </x:row>
    <x:row r="807" ht="34" customHeight="1">
      <x:c r="A807" s="15" t="str">
        <x:v>beach flip flops women</x:v>
      </x:c>
      <x:c r="B807" s="15" t="str">
        <x:v>beach flip flops women</x:v>
      </x:c>
      <x:c r="C807" s="10" t="str">
        <x:v>210bd10859b9da60</x:v>
      </x:c>
      <x:c r="D807" s="10" t="str">
        <x:v>keyword</x:v>
      </x:c>
      <x:c r="E807" s="10" t="str">
        <x:v>en</x:v>
      </x:c>
      <x:c r="F807" s="10" t="str">
        <x:v>clothing_shoes_jewelry</x:v>
      </x:c>
      <x:c r="G807" s="15" t="str">
        <x:v>sports_outdoors</x:v>
      </x:c>
      <x:c r="H807" s="15" t="str">
        <x:v>flip_flops</x:v>
      </x:c>
      <x:c r="I807" s="15" t="str">
        <x:v>women</x:v>
      </x:c>
      <x:c r="J807" s="15" t="str">
        <x:v>beach_wear</x:v>
      </x:c>
      <x:c r="K807" s="15" t="str"/>
      <x:c r="L807" s="15" t="str">
        <x:v>beach_outing</x:v>
      </x:c>
      <x:c r="M807" s="15" t="str">
        <x:v>beach</x:v>
      </x:c>
      <x:c r="N807" s="15" t="str"/>
      <x:c r="O807" s="15" t="str"/>
      <x:c r="P807" s="15" t="str"/>
      <x:c r="Q807" s="15" t="str"/>
      <x:c r="R807" s="15" t="str">
        <x:v>用户想找一双适合海滩穿着的女士人字拖。</x:v>
      </x:c>
      <x:c r="S807" s="10" t="str">
        <x:v>consideration</x:v>
      </x:c>
      <x:c r="T807" s="15" t="str">
        <x:v>explicit | page_validated | inferred</x:v>
      </x:c>
      <x:c r="U807" s="10" t="str">
        <x:v>high</x:v>
      </x:c>
      <x:c r="V807" s="15" t="str">
        <x:v>womens_beach_flip_flops</x:v>
      </x:c>
      <x:c r="W807" s="15" t="str">
        <x:v>cluster_route</x:v>
      </x:c>
      <x:c r="X807" s="15" t="str">
        <x:v>{"audience_intent":[{"value":"women","evidence_type":"explicit","source_span":"women","fact_ids":[],"rationale":""},{"value":"women","evidence_type":"page_validated","source_span":"","fact_ids":["title_womens_flip_flop"],"rationale":"该槽位与商品基准中的明示页面事实一致。"}],"product_type":[{"value":"flip_flops","evidence_type":"explicit","source_span":"flip flops","fact_ids":[],"rationale":""},{"value":"flip_flops","evidence_type":"page_validated","source_span":"","fact_ids":["style_flip_flop"],"rationale":"该槽位与商品基准中的明示页面事实一致。"}],"location_intent":[{"value":"beach","evidence_type":"explicit","source_span":"beach","fact_ids":[],"rationale":""}],"function_intent":[{"value":"beach_wear","evidence_type":"inferred","source_span":"beach","fact_ids":[],"rationale":"沙滩人字拖用于海滩活动"}],"event_intent":[{"value":"beach_outing","evidence_type":"inferred","source_span":"beach","fact_ids":[],"rationale":"海滩暗示出游"}],"primary_domain":[{"value":"clothing_shoes_jewelry","evidence_type":"inferred","source_span":"","fact_ids":[],"rationale":"该值由搜索词整体语义推断，未作为页面明示属性。"}],"secondary_domain":[{"value":"sports_outdoors","evidence_type":"inferred","source_span":"","fact_ids":[],"rationale":"该值由搜索词整体语义推断，未作为页面明示属性。"}]}</x:v>
      </x:c>
      <x:c r="Y807" s="15" t="str"/>
      <x:c r="Z807" s="10" t="str">
        <x:v>match</x:v>
      </x:c>
      <x:c r="AA807" s="15" t="str">
        <x:v>title_womens_flip_flop | style_flip_flop | style_outdoor</x:v>
      </x:c>
      <x:c r="AB807" s="10" t="str">
        <x:v>accepted</x:v>
      </x:c>
      <x:c r="AC807" s="10" t="str">
        <x:v>1.0.0</x:v>
      </x:c>
      <x:c r="AD807" s="10" t="str">
        <x:v>1.1.0</x:v>
      </x:c>
      <x:c r="AE807" s="10" t="str">
        <x:v>deepseek/deepseek-v4-pro</x:v>
      </x:c>
      <x:c r="AF807" s="10" t="str">
        <x:v>aj2-y90-20260714T234810-0bea2f52</x:v>
      </x:c>
      <x:c r="AG807" s="10" t="str">
        <x:v>full-0041</x:v>
      </x:c>
      <x:c r="AH807" s="10" t="str">
        <x:v>full</x:v>
      </x:c>
      <x:c r="AI807" s="10" t="n">
        <x:v>41</x:v>
      </x:c>
    </x:row>
    <x:row r="808" ht="34" customHeight="1">
      <x:c r="A808" s="16" t="str">
        <x:v>womens gardening sandals</x:v>
      </x:c>
      <x:c r="B808" s="16" t="str">
        <x:v>womens gardening sandals</x:v>
      </x:c>
      <x:c r="C808" s="13" t="str">
        <x:v>278fc0c322bb25e7</x:v>
      </x:c>
      <x:c r="D808" s="13" t="str">
        <x:v>keyword</x:v>
      </x:c>
      <x:c r="E808" s="13" t="str">
        <x:v>en</x:v>
      </x:c>
      <x:c r="F808" s="13" t="str">
        <x:v>clothing_shoes_jewelry</x:v>
      </x:c>
      <x:c r="G808" s="16" t="str">
        <x:v>patio_lawn_garden</x:v>
      </x:c>
      <x:c r="H808" s="16" t="str">
        <x:v>sandals</x:v>
      </x:c>
      <x:c r="I808" s="16" t="str">
        <x:v>women</x:v>
      </x:c>
      <x:c r="J808" s="16" t="str">
        <x:v>gardening</x:v>
      </x:c>
      <x:c r="K808" s="16" t="str"/>
      <x:c r="L808" s="16" t="str">
        <x:v>gardening</x:v>
      </x:c>
      <x:c r="M808" s="16" t="str">
        <x:v>garden</x:v>
      </x:c>
      <x:c r="N808" s="16" t="str"/>
      <x:c r="O808" s="16" t="str"/>
      <x:c r="P808" s="16" t="str"/>
      <x:c r="Q808" s="16" t="str"/>
      <x:c r="R808" s="16" t="str">
        <x:v>用户想找一双女士园艺劳作时穿着的凉鞋。</x:v>
      </x:c>
      <x:c r="S808" s="13" t="str">
        <x:v>consideration</x:v>
      </x:c>
      <x:c r="T808" s="16" t="str">
        <x:v>explicit | page_validated | inferred</x:v>
      </x:c>
      <x:c r="U808" s="13" t="str">
        <x:v>medium</x:v>
      </x:c>
      <x:c r="V808" s="16" t="str">
        <x:v>womens_gardening_sandals</x:v>
      </x:c>
      <x:c r="W808" s="16" t="str">
        <x:v>listing_gap_review</x:v>
      </x:c>
      <x:c r="X808" s="16" t="str">
        <x:v>{"audience_intent":[{"value":"women","evidence_type":"explicit","source_span":"womens","fact_ids":[],"rationale":""},{"value":"women","evidence_type":"page_validated","source_span":"","fact_ids":["title_womens_flip_flop"],"rationale":"该槽位与商品基准中的明示页面事实一致。"}],"product_type":[{"value":"sandals","evidence_type":"explicit","source_span":"sandals","fact_ids":[],"rationale":""},{"value":"sandals","evidence_type":"page_validated","source_span":"","fact_ids":["title_womens_flip_flop"],"rationale":"该槽位与商品基准中的明示页面事实一致。"}],"event_intent":[{"value":"gardening","evidence_type":"explicit","source_span":"gardening","fact_ids":[],"rationale":""}],"location_intent":[{"value":"garden","evidence_type":"inferred","source_span":"gardening","fact_ids":[],"rationale":"园艺活动通常发生在花园"}],"function_intent":[{"value":"gardening","evidence_type":"inferred","source_span":"gardening","fact_ids":[],"rationale":"园艺凉鞋用于园艺劳作"}],"primary_domain":[{"value":"clothing_shoes_jewelry","evidence_type":"inferred","source_span":"","fact_ids":[],"rationale":"该值由搜索词整体语义推断，未作为页面明示属性。"}],"secondary_domain":[{"value":"patio_lawn_garden","evidence_type":"inferred","source_span":"","fact_ids":[],"rationale":"该值由搜索词整体语义推断，未作为页面明示属性。"}]}</x:v>
      </x:c>
      <x:c r="Y808" s="16" t="str">
        <x:v>open_toe_safety_concern</x:v>
      </x:c>
      <x:c r="Z808" s="13" t="str">
        <x:v>partial_match</x:v>
      </x:c>
      <x:c r="AA808" s="16" t="str">
        <x:v>title_womens_flip_flop | style_outdoor | slip_resistant_grip | easy_clean | style_open_toe</x:v>
      </x:c>
      <x:c r="AB808" s="13" t="str">
        <x:v>accepted</x:v>
      </x:c>
      <x:c r="AC808" s="13" t="str">
        <x:v>1.0.0</x:v>
      </x:c>
      <x:c r="AD808" s="13" t="str">
        <x:v>1.1.0</x:v>
      </x:c>
      <x:c r="AE808" s="13" t="str">
        <x:v>deepseek/deepseek-v4-pro</x:v>
      </x:c>
      <x:c r="AF808" s="13" t="str">
        <x:v>aj2-y90-20260714T234810-0bea2f52</x:v>
      </x:c>
      <x:c r="AG808" s="13" t="str">
        <x:v>full-0041</x:v>
      </x:c>
      <x:c r="AH808" s="13" t="str">
        <x:v>full</x:v>
      </x:c>
      <x:c r="AI808" s="13" t="n">
        <x:v>41</x:v>
      </x:c>
    </x:row>
    <x:row r="809" ht="34" customHeight="1">
      <x:c r="A809" s="15" t="str">
        <x:v>flip flops women arch support</x:v>
      </x:c>
      <x:c r="B809" s="15" t="str">
        <x:v>flip flops women arch support</x:v>
      </x:c>
      <x:c r="C809" s="10" t="str">
        <x:v>47269380c4f96308</x:v>
      </x:c>
      <x:c r="D809" s="10" t="str">
        <x:v>keyword</x:v>
      </x:c>
      <x:c r="E809" s="10" t="str">
        <x:v>en</x:v>
      </x:c>
      <x:c r="F809" s="10" t="str">
        <x:v>clothing_shoes_jewelry</x:v>
      </x:c>
      <x:c r="G809" s="15" t="str"/>
      <x:c r="H809" s="15" t="str">
        <x:v>flip_flops</x:v>
      </x:c>
      <x:c r="I809" s="15" t="str">
        <x:v>women</x:v>
      </x:c>
      <x:c r="J809" s="15" t="str"/>
      <x:c r="K809" s="15" t="str"/>
      <x:c r="L809" s="15" t="str"/>
      <x:c r="M809" s="15" t="str"/>
      <x:c r="N809" s="15" t="str">
        <x:v>arch_support</x:v>
      </x:c>
      <x:c r="O809" s="15" t="str"/>
      <x:c r="P809" s="15" t="str"/>
      <x:c r="Q809" s="15" t="str"/>
      <x:c r="R809" s="15" t="str">
        <x:v>用户想找一双有足弓支撑功能的女士人字拖。</x:v>
      </x:c>
      <x:c r="S809" s="10" t="str">
        <x:v>high_intent</x:v>
      </x:c>
      <x:c r="T809" s="15" t="str">
        <x:v>explicit | page_validated</x:v>
      </x:c>
      <x:c r="U809" s="10" t="str">
        <x:v>high</x:v>
      </x:c>
      <x:c r="V809" s="15" t="str">
        <x:v>womens_arch_support_flip_flops</x:v>
      </x:c>
      <x:c r="W809" s="15" t="str">
        <x:v>cluster_route</x:v>
      </x:c>
      <x:c r="X809" s="15" t="str">
        <x:v>{"audience_intent":[{"value":"women","evidence_type":"explicit","source_span":"women","fact_ids":[],"rationale":""},{"value":"women","evidence_type":"page_validated","source_span":"","fact_ids":["title_womens_flip_flop"],"rationale":"该槽位与商品基准中的明示页面事实一致。"}],"product_type":[{"value":"flip_flops","evidence_type":"explicit","source_span":"flip flops","fact_ids":[],"rationale":""},{"value":"flip_flops","evidence_type":"page_validated","source_span":"","fact_ids":["style_flip_flop"],"rationale":"该槽位与商品基准中的明示页面事实一致。"}],"capability_intent":[{"value":"arch_support","evidence_type":"page_validated","source_span":"","fact_ids":["arch_support"],"rationale":"该槽位与商品基准中的明示页面事实一致。"}],"primary_domain":[{"value":"clothing_shoes_jewelry","evidence_type":"inferred","source_span":"","fact_ids":[],"rationale":"该值由搜索词整体语义推断，未作为页面明示属性。"}]}</x:v>
      </x:c>
      <x:c r="Y809" s="15" t="str"/>
      <x:c r="Z809" s="10" t="str">
        <x:v>match</x:v>
      </x:c>
      <x:c r="AA809" s="15" t="str">
        <x:v>title_womens_flip_flop | style_flip_flop | arch_support</x:v>
      </x:c>
      <x:c r="AB809" s="10" t="str">
        <x:v>accepted</x:v>
      </x:c>
      <x:c r="AC809" s="10" t="str">
        <x:v>1.0.0</x:v>
      </x:c>
      <x:c r="AD809" s="10" t="str">
        <x:v>1.1.0</x:v>
      </x:c>
      <x:c r="AE809" s="10" t="str">
        <x:v>deepseek/deepseek-v4-pro</x:v>
      </x:c>
      <x:c r="AF809" s="10" t="str">
        <x:v>aj2-y90-20260714T234810-0bea2f52</x:v>
      </x:c>
      <x:c r="AG809" s="10" t="str">
        <x:v>full-0041</x:v>
      </x:c>
      <x:c r="AH809" s="10" t="str">
        <x:v>full</x:v>
      </x:c>
      <x:c r="AI809" s="10" t="n">
        <x:v>41</x:v>
      </x:c>
    </x:row>
    <x:row r="810" ht="34" customHeight="1">
      <x:c r="A810" s="16" t="str">
        <x:v>ladies sandals on sale clearance</x:v>
      </x:c>
      <x:c r="B810" s="16" t="str">
        <x:v>ladies sandals on sale clearance</x:v>
      </x:c>
      <x:c r="C810" s="13" t="str">
        <x:v>5c5dcce3e80faa2a</x:v>
      </x:c>
      <x:c r="D810" s="13" t="str">
        <x:v>keyword</x:v>
      </x:c>
      <x:c r="E810" s="13" t="str">
        <x:v>en</x:v>
      </x:c>
      <x:c r="F810" s="13" t="str">
        <x:v>clothing_shoes_jewelry</x:v>
      </x:c>
      <x:c r="G810" s="16" t="str"/>
      <x:c r="H810" s="16" t="str">
        <x:v>sandals</x:v>
      </x:c>
      <x:c r="I810" s="16" t="str">
        <x:v>women</x:v>
      </x:c>
      <x:c r="J810" s="16" t="str"/>
      <x:c r="K810" s="16" t="str"/>
      <x:c r="L810" s="16" t="str"/>
      <x:c r="M810" s="16" t="str"/>
      <x:c r="N810" s="16" t="str"/>
      <x:c r="O810" s="16" t="str"/>
      <x:c r="P810" s="16" t="str"/>
      <x:c r="Q810" s="16" t="str"/>
      <x:c r="R810" s="16" t="str">
        <x:v>用户想找正在打折清仓处理的女士凉鞋。</x:v>
      </x:c>
      <x:c r="S810" s="13" t="str">
        <x:v>consideration</x:v>
      </x:c>
      <x:c r="T810" s="16" t="str">
        <x:v>explicit | page_validated</x:v>
      </x:c>
      <x:c r="U810" s="13" t="str">
        <x:v>medium</x:v>
      </x:c>
      <x:c r="V810" s="16" t="str">
        <x:v>womens_sale_sandals</x:v>
      </x:c>
      <x:c r="W810" s="16" t="str">
        <x:v>performance_observation</x:v>
      </x:c>
      <x:c r="X810" s="16" t="str">
        <x:v>{"audience_intent":[{"value":"women","evidence_type":"explicit","source_span":"ladies","fact_ids":[],"rationale":""},{"value":"women","evidence_type":"page_validated","source_span":"","fact_ids":["title_womens_flip_flop"],"rationale":"该槽位与商品基准中的明示页面事实一致。"},{"value":"women","evidence_type":"inferred","source_span":"","fact_ids":[],"rationale":"该能力由搜索词表达的任务或问题推断；页面事实仅用于验证商品承接。"}],"product_type":[{"value":"sandals","evidence_type":"explicit","source_span":"sandals","fact_ids":[],"rationale":""},{"value":"sandals","evidence_type":"page_validated","source_span":"","fact_ids":["title_womens_flip_flop"],"rationale":"该槽位与商品基准中的明示页面事实一致。"}],"price":[{"value":"sale_clearance","evidence_type":"explicit","source_span":"on sale clearance","fact_ids":[],"rationale":"促销状态无法通过页面事实验证"}],"primary_domain":[{"value":"clothing_shoes_jewelry","evidence_type":"inferred","source_span":"","fact_ids":[],"rationale":"该值由搜索词整体语义推断，未作为页面明示属性。"}]}</x:v>
      </x:c>
      <x:c r="Y810" s="16" t="str">
        <x:v>price_not_validated</x:v>
      </x:c>
      <x:c r="Z810" s="13" t="str">
        <x:v>partial_match</x:v>
      </x:c>
      <x:c r="AA810" s="16" t="str">
        <x:v>title_womens_flip_flop | style_flip_flop</x:v>
      </x:c>
      <x:c r="AB810" s="13" t="str">
        <x:v>accepted</x:v>
      </x:c>
      <x:c r="AC810" s="13" t="str">
        <x:v>1.0.0</x:v>
      </x:c>
      <x:c r="AD810" s="13" t="str">
        <x:v>1.1.0</x:v>
      </x:c>
      <x:c r="AE810" s="13" t="str">
        <x:v>deepseek/deepseek-v4-pro</x:v>
      </x:c>
      <x:c r="AF810" s="13" t="str">
        <x:v>aj2-y90-20260714T234810-0bea2f52</x:v>
      </x:c>
      <x:c r="AG810" s="13" t="str">
        <x:v>full-0041</x:v>
      </x:c>
      <x:c r="AH810" s="13" t="str">
        <x:v>full</x:v>
      </x:c>
      <x:c r="AI810" s="13" t="n">
        <x:v>41</x:v>
      </x:c>
    </x:row>
    <x:row r="811" ht="34" customHeight="1">
      <x:c r="A811" s="15" t="str">
        <x:v>adult flip flops for beach</x:v>
      </x:c>
      <x:c r="B811" s="15" t="str">
        <x:v>adult flip flops for beach</x:v>
      </x:c>
      <x:c r="C811" s="10" t="str">
        <x:v>5f382b8e7ff1f3be</x:v>
      </x:c>
      <x:c r="D811" s="10" t="str">
        <x:v>keyword</x:v>
      </x:c>
      <x:c r="E811" s="10" t="str">
        <x:v>en</x:v>
      </x:c>
      <x:c r="F811" s="10" t="str">
        <x:v>clothing_shoes_jewelry</x:v>
      </x:c>
      <x:c r="G811" s="15" t="str">
        <x:v>sports_outdoors</x:v>
      </x:c>
      <x:c r="H811" s="15" t="str">
        <x:v>flip_flops</x:v>
      </x:c>
      <x:c r="I811" s="15" t="str">
        <x:v>adult</x:v>
      </x:c>
      <x:c r="J811" s="15" t="str">
        <x:v>beach_wear</x:v>
      </x:c>
      <x:c r="K811" s="15" t="str"/>
      <x:c r="L811" s="15" t="str">
        <x:v>beach_outing</x:v>
      </x:c>
      <x:c r="M811" s="15" t="str">
        <x:v>beach</x:v>
      </x:c>
      <x:c r="N811" s="15" t="str"/>
      <x:c r="O811" s="15" t="str"/>
      <x:c r="P811" s="15" t="str"/>
      <x:c r="Q811" s="15" t="str"/>
      <x:c r="R811" s="15" t="str">
        <x:v>用户想找一双适合成人海滩穿着的人字拖。</x:v>
      </x:c>
      <x:c r="S811" s="10" t="str">
        <x:v>consideration</x:v>
      </x:c>
      <x:c r="T811" s="15" t="str">
        <x:v>explicit | page_validated | inferred</x:v>
      </x:c>
      <x:c r="U811" s="10" t="str">
        <x:v>medium</x:v>
      </x:c>
      <x:c r="V811" s="15" t="str">
        <x:v>adult_beach_flip_flops</x:v>
      </x:c>
      <x:c r="W811" s="15" t="str">
        <x:v>listing_gap_review</x:v>
      </x:c>
      <x:c r="X811" s="15" t="str">
        <x:v>{"product_type":[{"value":"flip_flops","evidence_type":"explicit","source_span":"flip flops","fact_ids":[],"rationale":""},{"value":"flip_flops","evidence_type":"page_validated","source_span":"","fact_ids":["style_flip_flop"],"rationale":"该槽位与商品基准中的明示页面事实一致。"}],"audience_intent":[{"value":"adult","evidence_type":"explicit","source_span":"adult","fact_ids":[],"rationale":""}],"location_intent":[{"value":"beach","evidence_type":"explicit","source_span":"beach","fact_ids":[],"rationale":""}],"function_intent":[{"value":"beach_wear","evidence_type":"inferred","source_span":"beach","fact_ids":[],"rationale":"沙滩人字拖用于海滩活动"}],"event_intent":[{"value":"beach_outing","evidence_type":"inferred","source_span":"beach","fact_ids":[],"rationale":"海滩暗示出游场景"}],"primary_domain":[{"value":"clothing_shoes_jewelry","evidence_type":"inferred","source_span":"","fact_ids":[],"rationale":"该值由搜索词整体语义推断，未作为页面明示属性。"}],"secondary_domain":[{"value":"sports_outdoors","evidence_type":"inferred","source_span":"","fact_ids":[],"rationale":"该值由搜索词整体语义推断，未作为页面明示属性。"}]}</x:v>
      </x:c>
      <x:c r="Y811" s="15" t="str">
        <x:v>adult_broader_than_womens</x:v>
      </x:c>
      <x:c r="Z811" s="10" t="str">
        <x:v>partial_match</x:v>
      </x:c>
      <x:c r="AA811" s="15" t="str">
        <x:v>style_flip_flop | style_outdoor | title_womens_flip_flop</x:v>
      </x:c>
      <x:c r="AB811" s="10" t="str">
        <x:v>accepted</x:v>
      </x:c>
      <x:c r="AC811" s="10" t="str">
        <x:v>1.0.0</x:v>
      </x:c>
      <x:c r="AD811" s="10" t="str">
        <x:v>1.1.0</x:v>
      </x:c>
      <x:c r="AE811" s="10" t="str">
        <x:v>deepseek/deepseek-v4-pro</x:v>
      </x:c>
      <x:c r="AF811" s="10" t="str">
        <x:v>aj2-y90-20260714T234810-0bea2f52</x:v>
      </x:c>
      <x:c r="AG811" s="10" t="str">
        <x:v>full-0041</x:v>
      </x:c>
      <x:c r="AH811" s="10" t="str">
        <x:v>full</x:v>
      </x:c>
      <x:c r="AI811" s="10" t="n">
        <x:v>41</x:v>
      </x:c>
    </x:row>
    <x:row r="812" ht="34" customHeight="1">
      <x:c r="A812" s="16" t="str">
        <x:v>water resistant flip flops women</x:v>
      </x:c>
      <x:c r="B812" s="16" t="str">
        <x:v>water resistant flip flops women</x:v>
      </x:c>
      <x:c r="C812" s="13" t="str">
        <x:v>60100a45fd936e6a</x:v>
      </x:c>
      <x:c r="D812" s="13" t="str">
        <x:v>keyword</x:v>
      </x:c>
      <x:c r="E812" s="13" t="str">
        <x:v>en</x:v>
      </x:c>
      <x:c r="F812" s="13" t="str">
        <x:v>clothing_shoes_jewelry</x:v>
      </x:c>
      <x:c r="G812" s="16" t="str"/>
      <x:c r="H812" s="16" t="str">
        <x:v>flip_flops</x:v>
      </x:c>
      <x:c r="I812" s="16" t="str">
        <x:v>women</x:v>
      </x:c>
      <x:c r="J812" s="16" t="str"/>
      <x:c r="K812" s="16" t="str">
        <x:v>water_resistant</x:v>
      </x:c>
      <x:c r="L812" s="16" t="str"/>
      <x:c r="M812" s="16" t="str"/>
      <x:c r="N812" s="16" t="str"/>
      <x:c r="O812" s="16" t="str"/>
      <x:c r="P812" s="16" t="str"/>
      <x:c r="Q812" s="16" t="str"/>
      <x:c r="R812" s="16" t="str">
        <x:v>用户想找一双女士防泼水的人字拖。</x:v>
      </x:c>
      <x:c r="S812" s="13" t="str">
        <x:v>consideration</x:v>
      </x:c>
      <x:c r="T812" s="16" t="str">
        <x:v>explicit | page_validated</x:v>
      </x:c>
      <x:c r="U812" s="13" t="str">
        <x:v>high</x:v>
      </x:c>
      <x:c r="V812" s="16" t="str">
        <x:v>water_resistant_womens_flip_flops</x:v>
      </x:c>
      <x:c r="W812" s="16" t="str">
        <x:v>listing_gap_review</x:v>
      </x:c>
      <x:c r="X812" s="16" t="str">
        <x:v>{"audience_intent":[{"value":"women","evidence_type":"explicit","source_span":"women","fact_ids":[],"rationale":""},{"value":"women","evidence_type":"page_validated","source_span":"","fact_ids":["title_womens_flip_flop"],"rationale":"该槽位与商品基准中的明示页面事实一致。"}],"product_type":[{"value":"flip_flops","evidence_type":"explicit","source_span":"flip flops","fact_ids":[],"rationale":""},{"value":"flip_flops","evidence_type":"page_validated","source_span":"","fact_ids":["style_flip_flop"],"rationale":"该槽位与商品基准中的明示页面事实一致。"}],"capability_intent":[{"value":"water_resistant","evidence_type":"explicit","source_span":"water resistant","fact_ids":[],"rationale":""}],"primary_domain":[{"value":"clothing_shoes_jewelry","evidence_type":"inferred","source_span":"","fact_ids":[],"rationale":"该值由搜索词整体语义推断，未作为页面明示属性。"}]}</x:v>
      </x:c>
      <x:c r="Y812" s="16" t="str"/>
      <x:c r="Z812" s="13" t="str">
        <x:v>partial_match</x:v>
      </x:c>
      <x:c r="AA812" s="16" t="str">
        <x:v>title_womens_flip_flop | style_flip_flop | material_eva</x:v>
      </x:c>
      <x:c r="AB812" s="13" t="str">
        <x:v>accepted</x:v>
      </x:c>
      <x:c r="AC812" s="13" t="str">
        <x:v>1.0.0</x:v>
      </x:c>
      <x:c r="AD812" s="13" t="str">
        <x:v>1.1.0</x:v>
      </x:c>
      <x:c r="AE812" s="13" t="str">
        <x:v>deepseek/deepseek-v4-pro</x:v>
      </x:c>
      <x:c r="AF812" s="13" t="str">
        <x:v>aj2-y90-20260714T234810-0bea2f52</x:v>
      </x:c>
      <x:c r="AG812" s="13" t="str">
        <x:v>full-0041</x:v>
      </x:c>
      <x:c r="AH812" s="13" t="str">
        <x:v>full</x:v>
      </x:c>
      <x:c r="AI812" s="13" t="n">
        <x:v>41</x:v>
      </x:c>
    </x:row>
    <x:row r="813" ht="34" customHeight="1">
      <x:c r="A813" s="15" t="str">
        <x:v>puffed thong sandals</x:v>
      </x:c>
      <x:c r="B813" s="15" t="str">
        <x:v>puffed thong sandals</x:v>
      </x:c>
      <x:c r="C813" s="10" t="str">
        <x:v>7dc16dab1de71658</x:v>
      </x:c>
      <x:c r="D813" s="10" t="str">
        <x:v>keyword</x:v>
      </x:c>
      <x:c r="E813" s="10" t="str">
        <x:v>en</x:v>
      </x:c>
      <x:c r="F813" s="10" t="str">
        <x:v>clothing_shoes_jewelry</x:v>
      </x:c>
      <x:c r="G813" s="15" t="str"/>
      <x:c r="H813" s="15" t="str">
        <x:v>thong_sandals</x:v>
      </x:c>
      <x:c r="I813" s="15" t="str"/>
      <x:c r="J813" s="15" t="str"/>
      <x:c r="K813" s="15" t="str"/>
      <x:c r="L813" s="15" t="str"/>
      <x:c r="M813" s="15" t="str"/>
      <x:c r="N813" s="15" t="str"/>
      <x:c r="O813" s="15" t="str"/>
      <x:c r="P813" s="15" t="str"/>
      <x:c r="Q813" s="15" t="str"/>
      <x:c r="R813" s="15" t="str">
        <x:v>用户想找一双带有蓬松加厚设计的丁字夹脚凉鞋。</x:v>
      </x:c>
      <x:c r="S813" s="10" t="str">
        <x:v>consideration</x:v>
      </x:c>
      <x:c r="T813" s="15" t="str">
        <x:v>explicit | page_validated | inferred</x:v>
      </x:c>
      <x:c r="U813" s="10" t="str">
        <x:v>medium</x:v>
      </x:c>
      <x:c r="V813" s="15" t="str">
        <x:v>padded_thong_sandals</x:v>
      </x:c>
      <x:c r="W813" s="15" t="str">
        <x:v>listing_gap_review</x:v>
      </x:c>
      <x:c r="X813" s="15" t="str">
        <x:v>{"product_type":[{"value":"thong_sandals","evidence_type":"explicit","source_span":"thong sandals","fact_ids":[],"rationale":""},{"value":"thong_sandals","evidence_type":"page_validated","source_span":"","fact_ids":["style_thong","style_flip_flop"],"rationale":"该槽位与商品基准中的明示页面事实一致。"}],"style":[{"value":"puffed","evidence_type":"explicit","source_span":"puffed","fact_ids":["padded_cushioning"],"rationale":"蓬松设计与页面加厚垫层可能存在关联"}],"primary_domain":[{"value":"clothing_shoes_jewelry","evidence_type":"inferred","source_span":"","fact_ids":[],"rationale":"该值由搜索词整体语义推断，未作为页面明示属性。"}]}</x:v>
      </x:c>
      <x:c r="Y813" s="15" t="str">
        <x:v>puffed_design_unclear</x:v>
      </x:c>
      <x:c r="Z813" s="10" t="str">
        <x:v>partial_match</x:v>
      </x:c>
      <x:c r="AA813" s="15" t="str">
        <x:v>style_thong | padded_cushioning | style_open_toe</x:v>
      </x:c>
      <x:c r="AB813" s="10" t="str">
        <x:v>accepted</x:v>
      </x:c>
      <x:c r="AC813" s="10" t="str">
        <x:v>1.0.0</x:v>
      </x:c>
      <x:c r="AD813" s="10" t="str">
        <x:v>1.1.0</x:v>
      </x:c>
      <x:c r="AE813" s="10" t="str">
        <x:v>deepseek/deepseek-v4-pro</x:v>
      </x:c>
      <x:c r="AF813" s="10" t="str">
        <x:v>aj2-y90-20260714T234810-0bea2f52</x:v>
      </x:c>
      <x:c r="AG813" s="10" t="str">
        <x:v>full-0041</x:v>
      </x:c>
      <x:c r="AH813" s="10" t="str">
        <x:v>full</x:v>
      </x:c>
      <x:c r="AI813" s="10" t="n">
        <x:v>41</x:v>
      </x:c>
    </x:row>
    <x:row r="814" ht="34" customHeight="1">
      <x:c r="A814" s="16" t="str">
        <x:v>flip flops for women with flat feet</x:v>
      </x:c>
      <x:c r="B814" s="16" t="str">
        <x:v>flip flops for women with flat feet</x:v>
      </x:c>
      <x:c r="C814" s="13" t="str">
        <x:v>8bee2790289fe43e</x:v>
      </x:c>
      <x:c r="D814" s="13" t="str">
        <x:v>keyword</x:v>
      </x:c>
      <x:c r="E814" s="13" t="str">
        <x:v>en</x:v>
      </x:c>
      <x:c r="F814" s="13" t="str">
        <x:v>clothing_shoes_jewelry</x:v>
      </x:c>
      <x:c r="G814" s="16" t="str"/>
      <x:c r="H814" s="16" t="str">
        <x:v>flip_flops</x:v>
      </x:c>
      <x:c r="I814" s="16" t="str">
        <x:v>women</x:v>
      </x:c>
      <x:c r="J814" s="16" t="str"/>
      <x:c r="K814" s="16" t="str"/>
      <x:c r="L814" s="16" t="str"/>
      <x:c r="M814" s="16" t="str"/>
      <x:c r="N814" s="16" t="str">
        <x:v>flat_feet</x:v>
      </x:c>
      <x:c r="O814" s="16" t="str"/>
      <x:c r="P814" s="16" t="str"/>
      <x:c r="Q814" s="16" t="str"/>
      <x:c r="R814" s="16" t="str">
        <x:v>用户需要一双适合扁平足女士的人字拖。</x:v>
      </x:c>
      <x:c r="S814" s="13" t="str">
        <x:v>consideration</x:v>
      </x:c>
      <x:c r="T814" s="16" t="str">
        <x:v>explicit | page_validated | inferred</x:v>
      </x:c>
      <x:c r="U814" s="13" t="str">
        <x:v>medium</x:v>
      </x:c>
      <x:c r="V814" s="16" t="str">
        <x:v>womens_arch_support_flip_flops</x:v>
      </x:c>
      <x:c r="W814" s="16" t="str">
        <x:v>listing_gap_review</x:v>
      </x:c>
      <x:c r="X814" s="16" t="str">
        <x:v>{"audience_intent":[{"value":"women","evidence_type":"explicit","source_span":"women","fact_ids":[],"rationale":""},{"value":"women","evidence_type":"page_validated","source_span":"","fact_ids":["title_womens_flip_flop"],"rationale":"该槽位与商品基准中的明示页面事实一致。"}],"product_type":[{"value":"flip_flops","evidence_type":"explicit","source_span":"flip flops","fact_ids":[],"rationale":""},{"value":"flip_flops","evidence_type":"page_validated","source_span":"","fact_ids":["style_flip_flop"],"rationale":"该槽位与商品基准中的明示页面事实一致。"}],"body_need_intent":[{"value":"flat_feet","evidence_type":"explicit","source_span":"flat feet","fact_ids":[],"rationale":""}],"primary_domain":[{"value":"clothing_shoes_jewelry","evidence_type":"inferred","source_span":"","fact_ids":[],"rationale":"该值由搜索词整体语义推断，未作为页面明示属性。"}]}</x:v>
      </x:c>
      <x:c r="Y814" s="16" t="str"/>
      <x:c r="Z814" s="13" t="str">
        <x:v>partial_match</x:v>
      </x:c>
      <x:c r="AA814" s="16" t="str">
        <x:v>title_womens_flip_flop | style_flip_flop | arch_support</x:v>
      </x:c>
      <x:c r="AB814" s="13" t="str">
        <x:v>accepted</x:v>
      </x:c>
      <x:c r="AC814" s="13" t="str">
        <x:v>1.0.0</x:v>
      </x:c>
      <x:c r="AD814" s="13" t="str">
        <x:v>1.1.0</x:v>
      </x:c>
      <x:c r="AE814" s="13" t="str">
        <x:v>deepseek/deepseek-v4-pro</x:v>
      </x:c>
      <x:c r="AF814" s="13" t="str">
        <x:v>aj2-y90-20260714T234810-0bea2f52</x:v>
      </x:c>
      <x:c r="AG814" s="13" t="str">
        <x:v>full-0041</x:v>
      </x:c>
      <x:c r="AH814" s="13" t="str">
        <x:v>full</x:v>
      </x:c>
      <x:c r="AI814" s="13" t="n">
        <x:v>41</x:v>
      </x:c>
    </x:row>
    <x:row r="815" ht="34" customHeight="1">
      <x:c r="A815" s="15" t="str">
        <x:v>non slip flip flops for women</x:v>
      </x:c>
      <x:c r="B815" s="15" t="str">
        <x:v>non slip flip flops for women</x:v>
      </x:c>
      <x:c r="C815" s="10" t="str">
        <x:v>92b7a1dd23712a9f</x:v>
      </x:c>
      <x:c r="D815" s="10" t="str">
        <x:v>keyword</x:v>
      </x:c>
      <x:c r="E815" s="10" t="str">
        <x:v>en</x:v>
      </x:c>
      <x:c r="F815" s="10" t="str">
        <x:v>clothing_shoes_jewelry</x:v>
      </x:c>
      <x:c r="G815" s="15" t="str"/>
      <x:c r="H815" s="15" t="str">
        <x:v>flip_flops</x:v>
      </x:c>
      <x:c r="I815" s="15" t="str">
        <x:v>women</x:v>
      </x:c>
      <x:c r="J815" s="15" t="str"/>
      <x:c r="K815" s="15" t="str">
        <x:v>non_slip</x:v>
      </x:c>
      <x:c r="L815" s="15" t="str"/>
      <x:c r="M815" s="15" t="str"/>
      <x:c r="N815" s="15" t="str"/>
      <x:c r="O815" s="15" t="str"/>
      <x:c r="P815" s="15" t="str"/>
      <x:c r="Q815" s="15" t="str"/>
      <x:c r="R815" s="15" t="str">
        <x:v>用户想找一双防滑的女士人字拖。</x:v>
      </x:c>
      <x:c r="S815" s="10" t="str">
        <x:v>consideration</x:v>
      </x:c>
      <x:c r="T815" s="15" t="str">
        <x:v>explicit | page_validated</x:v>
      </x:c>
      <x:c r="U815" s="10" t="str">
        <x:v>high</x:v>
      </x:c>
      <x:c r="V815" s="15" t="str">
        <x:v>womens_non_slip_flip_flops</x:v>
      </x:c>
      <x:c r="W815" s="15" t="str">
        <x:v>cluster_route</x:v>
      </x:c>
      <x:c r="X815" s="15" t="str">
        <x:v>{"audience_intent":[{"value":"women","evidence_type":"explicit","source_span":"women","fact_ids":[],"rationale":""},{"value":"women","evidence_type":"page_validated","source_span":"","fact_ids":["title_womens_flip_flop"],"rationale":"该槽位与商品基准中的明示页面事实一致。"}],"product_type":[{"value":"flip_flops","evidence_type":"explicit","source_span":"flip flops","fact_ids":[],"rationale":""},{"value":"flip_flops","evidence_type":"page_validated","source_span":"","fact_ids":["style_flip_flop"],"rationale":"该槽位与商品基准中的明示页面事实一致。"}],"capability_intent":[{"value":"non_slip","evidence_type":"explicit","source_span":"non slip","fact_ids":["slip_resistant_grip"],"rationale":""},{"value":"non_slip","evidence_type":"page_validated","source_span":"","fact_ids":["slip_resistant_grip"],"rationale":"该槽位与商品基准中的明示页面事实一致。"}],"primary_domain":[{"value":"clothing_shoes_jewelry","evidence_type":"inferred","source_span":"","fact_ids":[],"rationale":"该值由搜索词整体语义推断，未作为页面明示属性。"}]}</x:v>
      </x:c>
      <x:c r="Y815" s="15" t="str"/>
      <x:c r="Z815" s="10" t="str">
        <x:v>match</x:v>
      </x:c>
      <x:c r="AA815" s="15" t="str">
        <x:v>title_womens_flip_flop | style_flip_flop | slip_resistant_grip</x:v>
      </x:c>
      <x:c r="AB815" s="10" t="str">
        <x:v>accepted</x:v>
      </x:c>
      <x:c r="AC815" s="10" t="str">
        <x:v>1.0.0</x:v>
      </x:c>
      <x:c r="AD815" s="10" t="str">
        <x:v>1.1.0</x:v>
      </x:c>
      <x:c r="AE815" s="10" t="str">
        <x:v>deepseek/deepseek-v4-pro</x:v>
      </x:c>
      <x:c r="AF815" s="10" t="str">
        <x:v>aj2-y90-20260714T234810-0bea2f52</x:v>
      </x:c>
      <x:c r="AG815" s="10" t="str">
        <x:v>full-0041</x:v>
      </x:c>
      <x:c r="AH815" s="10" t="str">
        <x:v>full</x:v>
      </x:c>
      <x:c r="AI815" s="10" t="n">
        <x:v>41</x:v>
      </x:c>
    </x:row>
    <x:row r="816" ht="34" customHeight="1">
      <x:c r="A816" s="16" t="str">
        <x:v>black comfortable flip flops</x:v>
      </x:c>
      <x:c r="B816" s="16" t="str">
        <x:v>black comfortable flip flops</x:v>
      </x:c>
      <x:c r="C816" s="13" t="str">
        <x:v>95a6202ca3a496f6</x:v>
      </x:c>
      <x:c r="D816" s="13" t="str">
        <x:v>keyword</x:v>
      </x:c>
      <x:c r="E816" s="13" t="str">
        <x:v>en</x:v>
      </x:c>
      <x:c r="F816" s="13" t="str">
        <x:v>clothing_shoes_jewelry</x:v>
      </x:c>
      <x:c r="G816" s="16" t="str"/>
      <x:c r="H816" s="16" t="str">
        <x:v>flip_flops</x:v>
      </x:c>
      <x:c r="I816" s="16" t="str"/>
      <x:c r="J816" s="16" t="str"/>
      <x:c r="K816" s="16" t="str">
        <x:v>comfort</x:v>
      </x:c>
      <x:c r="L816" s="16" t="str"/>
      <x:c r="M816" s="16" t="str"/>
      <x:c r="N816" s="16" t="str"/>
      <x:c r="O816" s="16" t="str"/>
      <x:c r="P816" s="16" t="str"/>
      <x:c r="Q816" s="16" t="str"/>
      <x:c r="R816" s="16" t="str">
        <x:v>用户想找一双黑色的舒适人字拖。</x:v>
      </x:c>
      <x:c r="S816" s="13" t="str">
        <x:v>consideration</x:v>
      </x:c>
      <x:c r="T816" s="16" t="str">
        <x:v>explicit | page_validated</x:v>
      </x:c>
      <x:c r="U816" s="13" t="str">
        <x:v>high</x:v>
      </x:c>
      <x:c r="V816" s="16" t="str">
        <x:v>comfortable_flip_flops</x:v>
      </x:c>
      <x:c r="W816" s="16" t="str">
        <x:v>cluster_route</x:v>
      </x:c>
      <x:c r="X816" s="16" t="str">
        <x:v>{"product_type":[{"value":"flip_flops","evidence_type":"explicit","source_span":"flip flops","fact_ids":[],"rationale":""},{"value":"flip_flops","evidence_type":"page_validated","source_span":"","fact_ids":["style_flip_flop"],"rationale":"该槽位与商品基准中的明示页面事实一致。"}],"capability_intent":[{"value":"comfort","evidence_type":"explicit","source_span":"comfortable","fact_ids":[],"rationale":""},{"value":"comfort","evidence_type":"page_validated","source_span":"","fact_ids":["arch_support","padded_cushioning"],"rationale":"该槽位与商品基准中的明示页面事实一致。"}],"color":[{"value":"black","evidence_type":"explicit","source_span":"black","fact_ids":["colors_visible"],"rationale":"该颜色在商品页面可见颜色选择中得到明确支持。"}],"primary_domain":[{"value":"clothing_shoes_jewelry","evidence_type":"inferred","source_span":"","fact_ids":[],"rationale":"该值由搜索词整体语义推断，未作为页面明示属性。"}]}</x:v>
      </x:c>
      <x:c r="Y816" s="16" t="str"/>
      <x:c r="Z816" s="13" t="str">
        <x:v>match</x:v>
      </x:c>
      <x:c r="AA816" s="16" t="str">
        <x:v>style_flip_flop | arch_support | padded_cushioning | soft_toe_post | colors_visible</x:v>
      </x:c>
      <x:c r="AB816" s="13" t="str">
        <x:v>accepted</x:v>
      </x:c>
      <x:c r="AC816" s="13" t="str">
        <x:v>1.0.0</x:v>
      </x:c>
      <x:c r="AD816" s="13" t="str">
        <x:v>1.1.0</x:v>
      </x:c>
      <x:c r="AE816" s="13" t="str">
        <x:v>deepseek/deepseek-v4-pro</x:v>
      </x:c>
      <x:c r="AF816" s="13" t="str">
        <x:v>aj2-y90-20260714T234810-0bea2f52</x:v>
      </x:c>
      <x:c r="AG816" s="13" t="str">
        <x:v>full-0041</x:v>
      </x:c>
      <x:c r="AH816" s="13" t="str">
        <x:v>full</x:v>
      </x:c>
      <x:c r="AI816" s="13" t="n">
        <x:v>41</x:v>
      </x:c>
    </x:row>
    <x:row r="817" ht="34" customHeight="1">
      <x:c r="A817" s="15" t="str">
        <x:v>chicken flip flops for women</x:v>
      </x:c>
      <x:c r="B817" s="15" t="str">
        <x:v>chicken flip flops for women</x:v>
      </x:c>
      <x:c r="C817" s="10" t="str">
        <x:v>984b40a1f77892db</x:v>
      </x:c>
      <x:c r="D817" s="10" t="str">
        <x:v>keyword</x:v>
      </x:c>
      <x:c r="E817" s="10" t="str">
        <x:v>en</x:v>
      </x:c>
      <x:c r="F817" s="10" t="str">
        <x:v>clothing_shoes_jewelry</x:v>
      </x:c>
      <x:c r="G817" s="15" t="str"/>
      <x:c r="H817" s="15" t="str">
        <x:v>flip_flops</x:v>
      </x:c>
      <x:c r="I817" s="15" t="str">
        <x:v>women</x:v>
      </x:c>
      <x:c r="J817" s="15" t="str"/>
      <x:c r="K817" s="15" t="str"/>
      <x:c r="L817" s="15" t="str"/>
      <x:c r="M817" s="15" t="str"/>
      <x:c r="N817" s="15" t="str"/>
      <x:c r="O817" s="15" t="str"/>
      <x:c r="P817" s="15" t="str"/>
      <x:c r="Q817" s="15" t="str"/>
      <x:c r="R817" s="15" t="str">
        <x:v>用户想找一双带有小鸡图案的女士人字拖。</x:v>
      </x:c>
      <x:c r="S817" s="10" t="str">
        <x:v>high_intent</x:v>
      </x:c>
      <x:c r="T817" s="15" t="str">
        <x:v>explicit | page_validated</x:v>
      </x:c>
      <x:c r="U817" s="10" t="str">
        <x:v>high</x:v>
      </x:c>
      <x:c r="V817" s="15" t="str">
        <x:v>novelty_pattern_flip_flops</x:v>
      </x:c>
      <x:c r="W817" s="15" t="str">
        <x:v>semantic_negative_candidate</x:v>
      </x:c>
      <x:c r="X817" s="15" t="str">
        <x:v>{"audience_intent":[{"value":"women","evidence_type":"explicit","source_span":"women","fact_ids":[],"rationale":""},{"value":"women","evidence_type":"page_validated","source_span":"","fact_ids":["title_womens_flip_flop"],"rationale":"该槽位与商品基准中的明示页面事实一致。"}],"product_type":[{"value":"flip_flops","evidence_type":"explicit","source_span":"flip flops","fact_ids":[],"rationale":""},{"value":"flip_flops","evidence_type":"page_validated","source_span":"","fact_ids":["style_flip_flop"],"rationale":"该槽位与商品基准中的明示页面事实一致。"}],"pattern":[{"value":"chicken","evidence_type":"explicit","source_span":"chicken","fact_ids":[],"rationale":"页面无该图案"}],"primary_domain":[{"value":"clothing_shoes_jewelry","evidence_type":"inferred","source_span":"","fact_ids":[],"rationale":"该值由搜索词整体语义推断，未作为页面明示属性。"}]}</x:v>
      </x:c>
      <x:c r="Y817" s="15" t="str">
        <x:v>pattern_not_available</x:v>
      </x:c>
      <x:c r="Z817" s="10" t="str">
        <x:v>mismatch</x:v>
      </x:c>
      <x:c r="AA817" s="15" t="str">
        <x:v>title_womens_flip_flop | style_flip_flop</x:v>
      </x:c>
      <x:c r="AB817" s="10" t="str">
        <x:v>accepted</x:v>
      </x:c>
      <x:c r="AC817" s="10" t="str">
        <x:v>1.0.0</x:v>
      </x:c>
      <x:c r="AD817" s="10" t="str">
        <x:v>1.1.0</x:v>
      </x:c>
      <x:c r="AE817" s="10" t="str">
        <x:v>deepseek/deepseek-v4-pro</x:v>
      </x:c>
      <x:c r="AF817" s="10" t="str">
        <x:v>aj2-y90-20260714T234810-0bea2f52</x:v>
      </x:c>
      <x:c r="AG817" s="10" t="str">
        <x:v>full-0041</x:v>
      </x:c>
      <x:c r="AH817" s="10" t="str">
        <x:v>full</x:v>
      </x:c>
      <x:c r="AI817" s="10" t="n">
        <x:v>41</x:v>
      </x:c>
    </x:row>
    <x:row r="818" ht="34" customHeight="1">
      <x:c r="A818" s="16" t="str">
        <x:v>womens orthopedic flip flop non sweat</x:v>
      </x:c>
      <x:c r="B818" s="16" t="str">
        <x:v>womens orthopedic flip flop non sweat</x:v>
      </x:c>
      <x:c r="C818" s="13" t="str">
        <x:v>ba07263e5fa26f1e</x:v>
      </x:c>
      <x:c r="D818" s="13" t="str">
        <x:v>keyword</x:v>
      </x:c>
      <x:c r="E818" s="13" t="str">
        <x:v>en</x:v>
      </x:c>
      <x:c r="F818" s="13" t="str">
        <x:v>clothing_shoes_jewelry</x:v>
      </x:c>
      <x:c r="G818" s="16" t="str"/>
      <x:c r="H818" s="16" t="str">
        <x:v>flip_flop</x:v>
      </x:c>
      <x:c r="I818" s="16" t="str">
        <x:v>women</x:v>
      </x:c>
      <x:c r="J818" s="16" t="str"/>
      <x:c r="K818" s="16" t="str">
        <x:v>breathable</x:v>
      </x:c>
      <x:c r="L818" s="16" t="str"/>
      <x:c r="M818" s="16" t="str"/>
      <x:c r="N818" s="16" t="str">
        <x:v>orthopedic</x:v>
      </x:c>
      <x:c r="O818" s="16" t="str"/>
      <x:c r="P818" s="16" t="str"/>
      <x:c r="Q818" s="16" t="str"/>
      <x:c r="R818" s="16" t="str">
        <x:v>用户想找一双女士矫形人字拖，要求透气不闷汗。</x:v>
      </x:c>
      <x:c r="S818" s="13" t="str">
        <x:v>consideration</x:v>
      </x:c>
      <x:c r="T818" s="16" t="str">
        <x:v>explicit | page_validated | inferred</x:v>
      </x:c>
      <x:c r="U818" s="13" t="str">
        <x:v>medium</x:v>
      </x:c>
      <x:c r="V818" s="16" t="str">
        <x:v>womens_orthopedic_flip_flops</x:v>
      </x:c>
      <x:c r="W818" s="16" t="str">
        <x:v>listing_gap_review</x:v>
      </x:c>
      <x:c r="X818" s="16" t="str">
        <x:v>{"audience_intent":[{"value":"women","evidence_type":"explicit","source_span":"womens","fact_ids":[],"rationale":""},{"value":"women","evidence_type":"page_validated","source_span":"","fact_ids":["title_womens_flip_flop"],"rationale":"该槽位与商品基准中的明示页面事实一致。"}],"product_type":[{"value":"flip_flop","evidence_type":"explicit","source_span":"flip flop","fact_ids":[],"rationale":""},{"value":"flip_flop","evidence_type":"page_validated","source_span":"","fact_ids":["style_flip_flop"],"rationale":"该槽位与商品基准中的明示页面事实一致。"}],"body_need_intent":[{"value":"orthopedic","evidence_type":"explicit","source_span":"orthopedic","fact_ids":[],"rationale":""}],"capability_intent":[{"value":"breathable","evidence_type":"inferred","source_span":"non sweat","fact_ids":[],"rationale":"non sweat暗示透气需求，页面标注透气"},{"value":"breathable","evidence_type":"page_validated","source_span":"","fact_ids":["lightweight_breathable"],"rationale":"该槽位与商品基准中的明示页面事实一致。"}],"primary_domain":[{"value":"clothing_shoes_jewelry","evidence_type":"inferred","source_span":"","fact_ids":[],"rationale":"该值由搜索词整体语义推断，未作为页面明示属性。"}]}</x:v>
      </x:c>
      <x:c r="Y818" s="16" t="str"/>
      <x:c r="Z818" s="13" t="str">
        <x:v>partial_match</x:v>
      </x:c>
      <x:c r="AA818" s="16" t="str">
        <x:v>title_womens_flip_flop | style_flip_flop | arch_support | lightweight_breathable</x:v>
      </x:c>
      <x:c r="AB818" s="13" t="str">
        <x:v>accepted</x:v>
      </x:c>
      <x:c r="AC818" s="13" t="str">
        <x:v>1.0.0</x:v>
      </x:c>
      <x:c r="AD818" s="13" t="str">
        <x:v>1.1.0</x:v>
      </x:c>
      <x:c r="AE818" s="13" t="str">
        <x:v>deepseek/deepseek-v4-pro</x:v>
      </x:c>
      <x:c r="AF818" s="13" t="str">
        <x:v>aj2-y90-20260714T234810-0bea2f52</x:v>
      </x:c>
      <x:c r="AG818" s="13" t="str">
        <x:v>full-0041</x:v>
      </x:c>
      <x:c r="AH818" s="13" t="str">
        <x:v>full</x:v>
      </x:c>
      <x:c r="AI818" s="13" t="n">
        <x:v>41</x:v>
      </x:c>
    </x:row>
    <x:row r="819" ht="34" customHeight="1">
      <x:c r="A819" s="15" t="str">
        <x:v>indoor slipper for women</x:v>
      </x:c>
      <x:c r="B819" s="15" t="str">
        <x:v>indoor slipper for women</x:v>
      </x:c>
      <x:c r="C819" s="10" t="str">
        <x:v>bf0694fe6362e20d</x:v>
      </x:c>
      <x:c r="D819" s="10" t="str">
        <x:v>keyword</x:v>
      </x:c>
      <x:c r="E819" s="10" t="str">
        <x:v>en</x:v>
      </x:c>
      <x:c r="F819" s="10" t="str">
        <x:v>clothing_shoes_jewelry</x:v>
      </x:c>
      <x:c r="G819" s="15" t="str"/>
      <x:c r="H819" s="15" t="str">
        <x:v>slipper</x:v>
      </x:c>
      <x:c r="I819" s="15" t="str">
        <x:v>women</x:v>
      </x:c>
      <x:c r="J819" s="15" t="str"/>
      <x:c r="K819" s="15" t="str"/>
      <x:c r="L819" s="15" t="str"/>
      <x:c r="M819" s="15" t="str">
        <x:v>indoor</x:v>
      </x:c>
      <x:c r="N819" s="15" t="str"/>
      <x:c r="O819" s="15" t="str"/>
      <x:c r="P819" s="15" t="str"/>
      <x:c r="Q819" s="15" t="str"/>
      <x:c r="R819" s="15" t="str">
        <x:v>用户想找一双女士室内拖鞋。</x:v>
      </x:c>
      <x:c r="S819" s="10" t="str">
        <x:v>consideration</x:v>
      </x:c>
      <x:c r="T819" s="15" t="str">
        <x:v>explicit</x:v>
      </x:c>
      <x:c r="U819" s="10" t="str">
        <x:v>high</x:v>
      </x:c>
      <x:c r="V819" s="15" t="str">
        <x:v>womens_indoor_slippers</x:v>
      </x:c>
      <x:c r="W819" s="15" t="str">
        <x:v>semantic_negative_candidate</x:v>
      </x:c>
      <x:c r="X819" s="15" t="str">
        <x:v>{"audience_intent":[{"value":"women","evidence_type":"explicit","source_span":"women","fact_ids":[],"rationale":""},{"value":"women","evidence_type":"page_validated","source_span":"","fact_ids":["title_womens_flip_flop"],"rationale":"该槽位与商品基准中的明示页面事实一致。"}],"product_type":[{"value":"slipper","evidence_type":"explicit","source_span":"slipper","fact_ids":[],"rationale":""}],"location_intent":[{"value":"indoor","evidence_type":"explicit","source_span":"indoor","fact_ids":[],"rationale":""}],"primary_domain":[{"value":"clothing_shoes_jewelry","evidence_type":"inferred","source_span":"","fact_ids":[],"rationale":"该值由搜索词整体语义推断，未作为页面明示属性。"}]}</x:v>
      </x:c>
      <x:c r="Y819" s="15" t="str"/>
      <x:c r="Z819" s="10" t="str">
        <x:v>mismatch</x:v>
      </x:c>
      <x:c r="AA819" s="15" t="str">
        <x:v>style_outdoor | style_flip_flop | style_open_toe</x:v>
      </x:c>
      <x:c r="AB819" s="10" t="str">
        <x:v>accepted</x:v>
      </x:c>
      <x:c r="AC819" s="10" t="str">
        <x:v>1.0.0</x:v>
      </x:c>
      <x:c r="AD819" s="10" t="str">
        <x:v>1.1.0</x:v>
      </x:c>
      <x:c r="AE819" s="10" t="str">
        <x:v>deepseek/deepseek-v4-pro</x:v>
      </x:c>
      <x:c r="AF819" s="10" t="str">
        <x:v>aj2-y90-20260714T234810-0bea2f52</x:v>
      </x:c>
      <x:c r="AG819" s="10" t="str">
        <x:v>full-0041</x:v>
      </x:c>
      <x:c r="AH819" s="10" t="str">
        <x:v>full</x:v>
      </x:c>
      <x:c r="AI819" s="10" t="n">
        <x:v>41</x:v>
      </x:c>
    </x:row>
    <x:row r="820" ht="34" customHeight="1">
      <x:c r="A820" s="16" t="str">
        <x:v>brown flip flops women's</x:v>
      </x:c>
      <x:c r="B820" s="16" t="str">
        <x:v>brown flip flops women's</x:v>
      </x:c>
      <x:c r="C820" s="13" t="str">
        <x:v>f04b3af22f40f61e</x:v>
      </x:c>
      <x:c r="D820" s="13" t="str">
        <x:v>keyword</x:v>
      </x:c>
      <x:c r="E820" s="13" t="str">
        <x:v>en</x:v>
      </x:c>
      <x:c r="F820" s="13" t="str">
        <x:v>clothing_shoes_jewelry</x:v>
      </x:c>
      <x:c r="G820" s="16" t="str"/>
      <x:c r="H820" s="16" t="str">
        <x:v>flip_flops</x:v>
      </x:c>
      <x:c r="I820" s="16" t="str">
        <x:v>women</x:v>
      </x:c>
      <x:c r="J820" s="16" t="str"/>
      <x:c r="K820" s="16" t="str"/>
      <x:c r="L820" s="16" t="str"/>
      <x:c r="M820" s="16" t="str"/>
      <x:c r="N820" s="16" t="str"/>
      <x:c r="O820" s="16" t="str"/>
      <x:c r="P820" s="16" t="str"/>
      <x:c r="Q820" s="16" t="str"/>
      <x:c r="R820" s="16" t="str">
        <x:v>用户想找一双棕色女士人字拖。</x:v>
      </x:c>
      <x:c r="S820" s="13" t="str">
        <x:v>high_intent</x:v>
      </x:c>
      <x:c r="T820" s="16" t="str">
        <x:v>explicit | page_validated</x:v>
      </x:c>
      <x:c r="U820" s="13" t="str">
        <x:v>high</x:v>
      </x:c>
      <x:c r="V820" s="16" t="str">
        <x:v>womens_brown_flip_flops</x:v>
      </x:c>
      <x:c r="W820" s="16" t="str">
        <x:v>cluster_route</x:v>
      </x:c>
      <x:c r="X820" s="16" t="str">
        <x:v>{"audience_intent":[{"value":"women","evidence_type":"explicit","source_span":"women","fact_ids":[],"rationale":""},{"value":"women","evidence_type":"page_validated","source_span":"","fact_ids":["title_womens_flip_flop"],"rationale":"该槽位与商品基准中的明示页面事实一致。"}],"product_type":[{"value":"flip_flops","evidence_type":"explicit","source_span":"flip flops","fact_ids":[],"rationale":""},{"value":"flip_flops","evidence_type":"page_validated","source_span":"","fact_ids":["style_flip_flop"],"rationale":"该槽位与商品基准中的明示页面事实一致。"}],"color":[{"value":"brown","evidence_type":"explicit","source_span":"brown","fact_ids":["colors_visible"],"rationale":"该颜色在商品页面可见颜色选择中得到明确支持。"}],"primary_domain":[{"value":"clothing_shoes_jewelry","evidence_type":"inferred","source_span":"","fact_ids":[],"rationale":"该值由搜索词整体语义推断，未作为页面明示属性。"}]}</x:v>
      </x:c>
      <x:c r="Y820" s="16" t="str"/>
      <x:c r="Z820" s="13" t="str">
        <x:v>match</x:v>
      </x:c>
      <x:c r="AA820" s="16" t="str">
        <x:v>title_womens_flip_flop | style_flip_flop | colors_visible</x:v>
      </x:c>
      <x:c r="AB820" s="13" t="str">
        <x:v>accepted</x:v>
      </x:c>
      <x:c r="AC820" s="13" t="str">
        <x:v>1.0.0</x:v>
      </x:c>
      <x:c r="AD820" s="13" t="str">
        <x:v>1.1.0</x:v>
      </x:c>
      <x:c r="AE820" s="13" t="str">
        <x:v>deepseek/deepseek-v4-pro</x:v>
      </x:c>
      <x:c r="AF820" s="13" t="str">
        <x:v>aj2-y90-20260714T234810-0bea2f52</x:v>
      </x:c>
      <x:c r="AG820" s="13" t="str">
        <x:v>full-0041</x:v>
      </x:c>
      <x:c r="AH820" s="13" t="str">
        <x:v>full</x:v>
      </x:c>
      <x:c r="AI820" s="13" t="n">
        <x:v>41</x:v>
      </x:c>
    </x:row>
    <x:row r="821" ht="34" customHeight="1">
      <x:c r="A821" s="15" t="str">
        <x:v>arch support flip flops for women waterproof</x:v>
      </x:c>
      <x:c r="B821" s="15" t="str">
        <x:v>arch support flip flops for women waterproof</x:v>
      </x:c>
      <x:c r="C821" s="10" t="str">
        <x:v>f3f54e5554ca1aee</x:v>
      </x:c>
      <x:c r="D821" s="10" t="str">
        <x:v>keyword</x:v>
      </x:c>
      <x:c r="E821" s="10" t="str">
        <x:v>en</x:v>
      </x:c>
      <x:c r="F821" s="10" t="str">
        <x:v>clothing_shoes_jewelry</x:v>
      </x:c>
      <x:c r="G821" s="15" t="str"/>
      <x:c r="H821" s="15" t="str">
        <x:v>flip_flops</x:v>
      </x:c>
      <x:c r="I821" s="15" t="str">
        <x:v>women</x:v>
      </x:c>
      <x:c r="J821" s="15" t="str"/>
      <x:c r="K821" s="15" t="str">
        <x:v>waterproof</x:v>
      </x:c>
      <x:c r="L821" s="15" t="str"/>
      <x:c r="M821" s="15" t="str"/>
      <x:c r="N821" s="15" t="str">
        <x:v>arch_support</x:v>
      </x:c>
      <x:c r="O821" s="15" t="str"/>
      <x:c r="P821" s="15" t="str"/>
      <x:c r="Q821" s="15" t="str"/>
      <x:c r="R821" s="15" t="str">
        <x:v>用户想找一双兼具足弓支撑与防水功能的女士人字拖。</x:v>
      </x:c>
      <x:c r="S821" s="10" t="str">
        <x:v>high_intent</x:v>
      </x:c>
      <x:c r="T821" s="15" t="str">
        <x:v>explicit | page_validated</x:v>
      </x:c>
      <x:c r="U821" s="10" t="str">
        <x:v>high</x:v>
      </x:c>
      <x:c r="V821" s="15" t="str">
        <x:v>arch_support_waterproof_flip_flops</x:v>
      </x:c>
      <x:c r="W821" s="15" t="str">
        <x:v>listing_gap_review</x:v>
      </x:c>
      <x:c r="X821" s="15" t="str">
        <x:v>{"audience_intent":[{"value":"women","evidence_type":"explicit","source_span":"women","fact_ids":[],"rationale":""},{"value":"women","evidence_type":"page_validated","source_span":"","fact_ids":["title_womens_flip_flop"],"rationale":"该槽位与商品基准中的明示页面事实一致。"}],"product_type":[{"value":"flip_flops","evidence_type":"explicit","source_span":"flip flops","fact_ids":[],"rationale":""},{"value":"flip_flops","evidence_type":"page_validated","source_span":"","fact_ids":["style_flip_flop"],"rationale":"该槽位与商品基准中的明示页面事实一致。"}],"capability_intent":[{"value":"waterproof","evidence_type":"explicit","source_span":"waterproof","fact_ids":[],"rationale":""},{"value":"arch_support","evidence_type":"page_validated","source_span":"","fact_ids":["arch_support"],"rationale":"该槽位与商品基准中的明示页面事实一致。"}],"primary_domain":[{"value":"clothing_shoes_jewelry","evidence_type":"inferred","source_span":"","fact_ids":[],"rationale":"该值由搜索词整体语义推断，未作为页面明示属性。"}]}</x:v>
      </x:c>
      <x:c r="Y821" s="15" t="str"/>
      <x:c r="Z821" s="10" t="str">
        <x:v>partial_match</x:v>
      </x:c>
      <x:c r="AA821" s="15" t="str">
        <x:v>title_womens_flip_flop | style_flip_flop | arch_support | material_eva</x:v>
      </x:c>
      <x:c r="AB821" s="10" t="str">
        <x:v>accepted</x:v>
      </x:c>
      <x:c r="AC821" s="10" t="str">
        <x:v>1.0.0</x:v>
      </x:c>
      <x:c r="AD821" s="10" t="str">
        <x:v>1.1.0</x:v>
      </x:c>
      <x:c r="AE821" s="10" t="str">
        <x:v>deepseek/deepseek-v4-pro</x:v>
      </x:c>
      <x:c r="AF821" s="10" t="str">
        <x:v>aj2-y90-20260714T234810-0bea2f52</x:v>
      </x:c>
      <x:c r="AG821" s="10" t="str">
        <x:v>full-0041</x:v>
      </x:c>
      <x:c r="AH821" s="10" t="str">
        <x:v>full</x:v>
      </x:c>
      <x:c r="AI821" s="10" t="n">
        <x:v>41</x:v>
      </x:c>
    </x:row>
    <x:row r="822" ht="34" customHeight="1">
      <x:c r="A822" s="16" t="str">
        <x:v>womens flip flops quick dry</x:v>
      </x:c>
      <x:c r="B822" s="16" t="str">
        <x:v>womens flip flops quick dry</x:v>
      </x:c>
      <x:c r="C822" s="13" t="str">
        <x:v>0ab1188f8b297f39</x:v>
      </x:c>
      <x:c r="D822" s="13" t="str">
        <x:v>keyword</x:v>
      </x:c>
      <x:c r="E822" s="13" t="str">
        <x:v>en</x:v>
      </x:c>
      <x:c r="F822" s="13" t="str">
        <x:v>clothing_shoes_jewelry</x:v>
      </x:c>
      <x:c r="G822" s="16" t="str">
        <x:v>sports_outdoors</x:v>
      </x:c>
      <x:c r="H822" s="16" t="str">
        <x:v>flip_flop</x:v>
      </x:c>
      <x:c r="I822" s="16" t="str">
        <x:v>women</x:v>
      </x:c>
      <x:c r="J822" s="16" t="str">
        <x:v>water_use</x:v>
      </x:c>
      <x:c r="K822" s="16" t="str">
        <x:v>quick_dry</x:v>
      </x:c>
      <x:c r="L822" s="16" t="str"/>
      <x:c r="M822" s="16" t="str"/>
      <x:c r="N822" s="16" t="str"/>
      <x:c r="O822" s="16" t="str"/>
      <x:c r="P822" s="16" t="str"/>
      <x:c r="Q822" s="16" t="str"/>
      <x:c r="R822" s="16" t="str">
        <x:v>女性用户需要具有快干功能的人字拖，适合涉水或潮湿环境。</x:v>
      </x:c>
      <x:c r="S822" s="13" t="str">
        <x:v>consideration</x:v>
      </x:c>
      <x:c r="T822" s="16" t="str">
        <x:v>explicit | inferred</x:v>
      </x:c>
      <x:c r="U822" s="13" t="str">
        <x:v>medium</x:v>
      </x:c>
      <x:c r="V822" s="16" t="str">
        <x:v>quick_dry_flip_flops</x:v>
      </x:c>
      <x:c r="W822" s="16" t="str">
        <x:v>listing_gap_review</x:v>
      </x:c>
      <x:c r="X822" s="16" t="str">
        <x:v>{"product_type":[{"value":"flip_flop","evidence_type":"explicit","source_span":"flip flops","fact_ids":[],"rationale":"Term explicitly requests flip flops."},{"value":"flip_flop","evidence_type":"page_validated","source_span":"","fact_ids":["style_flip_flop"],"rationale":"该槽位与商品基准中的明示页面事实一致。"}],"audience_intent":[{"value":"women","evidence_type":"explicit","source_span":"womens","fact_ids":[],"rationale":"Term explicitly targets women."},{"value":"women","evidence_type":"page_validated","source_span":"","fact_ids":["title_womens_flip_flop"],"rationale":"该槽位与商品基准中的明示页面事实一致。"}],"function_intent":[{"value":"water_use","evidence_type":"inferred","source_span":"","fact_ids":[],"rationale":"Quick-dry need implies water exposure context."}],"capability_intent":[{"value":"quick_dry","evidence_type":"explicit","source_span":"quick dry","fact_ids":[],"rationale":"Term explicitly requests quick-dry capability."}],"primary_domain":[{"value":"clothing_shoes_jewelry","evidence_type":"inferred","source_span":"","fact_ids":[],"rationale":"该值由搜索词整体语义推断，未作为页面明示属性。"}],"secondary_domain":[{"value":"sports_outdoors","evidence_type":"inferred","source_span":"","fact_ids":[],"rationale":"该值由搜索词整体语义推断，未作为页面明示属性。"}]}</x:v>
      </x:c>
      <x:c r="Y822" s="16" t="str">
        <x:v>quick_dry_not_claimed</x:v>
      </x:c>
      <x:c r="Z822" s="13" t="str">
        <x:v>partial_match</x:v>
      </x:c>
      <x:c r="AA822" s="16" t="str">
        <x:v>title_womens_flip_flop | style_flip_flop | lightweight_breathable | easy_clean</x:v>
      </x:c>
      <x:c r="AB822" s="13" t="str">
        <x:v>accepted</x:v>
      </x:c>
      <x:c r="AC822" s="13" t="str">
        <x:v>1.0.0</x:v>
      </x:c>
      <x:c r="AD822" s="13" t="str">
        <x:v>1.0.0</x:v>
      </x:c>
      <x:c r="AE822" s="13" t="str">
        <x:v>deepseek/deepseek-v4-pro</x:v>
      </x:c>
      <x:c r="AF822" s="13" t="str">
        <x:v>aj2-y90-20260714T234810-0bea2f52</x:v>
      </x:c>
      <x:c r="AG822" s="13" t="str">
        <x:v>full-0042</x:v>
      </x:c>
      <x:c r="AH822" s="13" t="str">
        <x:v>full</x:v>
      </x:c>
      <x:c r="AI822" s="13" t="n">
        <x:v>42</x:v>
      </x:c>
    </x:row>
    <x:row r="823" ht="34" customHeight="1">
      <x:c r="A823" s="15" t="str">
        <x:v>tan flip flops for women</x:v>
      </x:c>
      <x:c r="B823" s="15" t="str">
        <x:v>tan flip flops for women</x:v>
      </x:c>
      <x:c r="C823" s="10" t="str">
        <x:v>262b30dc81ecfb7c</x:v>
      </x:c>
      <x:c r="D823" s="10" t="str">
        <x:v>keyword</x:v>
      </x:c>
      <x:c r="E823" s="10" t="str">
        <x:v>en</x:v>
      </x:c>
      <x:c r="F823" s="10" t="str">
        <x:v>clothing_shoes_jewelry</x:v>
      </x:c>
      <x:c r="G823" s="15" t="str"/>
      <x:c r="H823" s="15" t="str">
        <x:v>flip_flop</x:v>
      </x:c>
      <x:c r="I823" s="15" t="str">
        <x:v>women</x:v>
      </x:c>
      <x:c r="J823" s="15" t="str"/>
      <x:c r="K823" s="15" t="str"/>
      <x:c r="L823" s="15" t="str"/>
      <x:c r="M823" s="15" t="str"/>
      <x:c r="N823" s="15" t="str"/>
      <x:c r="O823" s="15" t="str"/>
      <x:c r="P823" s="15" t="str"/>
      <x:c r="Q823" s="15" t="str"/>
      <x:c r="R823" s="15" t="str">
        <x:v>女性用户需要棕褐色人字拖。</x:v>
      </x:c>
      <x:c r="S823" s="10" t="str">
        <x:v>high_intent</x:v>
      </x:c>
      <x:c r="T823" s="15" t="str">
        <x:v>explicit | page_validated</x:v>
      </x:c>
      <x:c r="U823" s="10" t="str">
        <x:v>high</x:v>
      </x:c>
      <x:c r="V823" s="15" t="str">
        <x:v>colored_flip_flops_women</x:v>
      </x:c>
      <x:c r="W823" s="15" t="str">
        <x:v>cluster_route</x:v>
      </x:c>
      <x:c r="X823" s="15" t="str">
        <x:v>{"product_type":[{"value":"flip_flop","evidence_type":"explicit","source_span":"flip flops","fact_ids":[],"rationale":"Term explicitly requests flip flops."},{"value":"flip_flop","evidence_type":"page_validated","source_span":"","fact_ids":["title_womens_flip_flop","style_flip_flop"],"rationale":"Product is a women's flip flop."}],"audience_intent":[{"value":"women","evidence_type":"explicit","source_span":"women","fact_ids":[],"rationale":"Term explicitly targets women."},{"value":"women","evidence_type":"page_validated","source_span":"","fact_ids":["title_womens_flip_flop"],"rationale":"该槽位与商品基准中的明示页面事实一致。"}],"color":[{"value":"tan","evidence_type":"explicit","source_span":"tan","fact_ids":[],"rationale":"这是搜索词中的颜色约束，但商品页面基准未确认该具体颜色。"}],"primary_domain":[{"value":"clothing_shoes_jewelry","evidence_type":"inferred","source_span":"","fact_ids":[],"rationale":"该值由搜索词整体语义推断，未作为页面明示属性。"}]}</x:v>
      </x:c>
      <x:c r="Y823" s="15" t="str"/>
      <x:c r="Z823" s="10" t="str">
        <x:v>match</x:v>
      </x:c>
      <x:c r="AA823" s="15" t="str">
        <x:v>title_womens_flip_flop | style_flip_flop | colors_visible</x:v>
      </x:c>
      <x:c r="AB823" s="10" t="str">
        <x:v>accepted</x:v>
      </x:c>
      <x:c r="AC823" s="10" t="str">
        <x:v>1.0.0</x:v>
      </x:c>
      <x:c r="AD823" s="10" t="str">
        <x:v>1.0.0</x:v>
      </x:c>
      <x:c r="AE823" s="10" t="str">
        <x:v>deepseek/deepseek-v4-pro</x:v>
      </x:c>
      <x:c r="AF823" s="10" t="str">
        <x:v>aj2-y90-20260714T234810-0bea2f52</x:v>
      </x:c>
      <x:c r="AG823" s="10" t="str">
        <x:v>full-0042</x:v>
      </x:c>
      <x:c r="AH823" s="10" t="str">
        <x:v>full</x:v>
      </x:c>
      <x:c r="AI823" s="10" t="n">
        <x:v>42</x:v>
      </x:c>
    </x:row>
    <x:row r="824" ht="34" customHeight="1">
      <x:c r="A824" s="16" t="str">
        <x:v>light blue flip flops women</x:v>
      </x:c>
      <x:c r="B824" s="16" t="str">
        <x:v>light blue flip flops women</x:v>
      </x:c>
      <x:c r="C824" s="13" t="str">
        <x:v>3a73590fd8c30ed4</x:v>
      </x:c>
      <x:c r="D824" s="13" t="str">
        <x:v>keyword</x:v>
      </x:c>
      <x:c r="E824" s="13" t="str">
        <x:v>en</x:v>
      </x:c>
      <x:c r="F824" s="13" t="str">
        <x:v>clothing_shoes_jewelry</x:v>
      </x:c>
      <x:c r="G824" s="16" t="str"/>
      <x:c r="H824" s="16" t="str">
        <x:v>flip_flop</x:v>
      </x:c>
      <x:c r="I824" s="16" t="str">
        <x:v>women</x:v>
      </x:c>
      <x:c r="J824" s="16" t="str"/>
      <x:c r="K824" s="16" t="str"/>
      <x:c r="L824" s="16" t="str"/>
      <x:c r="M824" s="16" t="str"/>
      <x:c r="N824" s="16" t="str"/>
      <x:c r="O824" s="16" t="str"/>
      <x:c r="P824" s="16" t="str"/>
      <x:c r="Q824" s="16" t="str"/>
      <x:c r="R824" s="16" t="str">
        <x:v>女性用户需要浅蓝色人字拖。</x:v>
      </x:c>
      <x:c r="S824" s="13" t="str">
        <x:v>high_intent</x:v>
      </x:c>
      <x:c r="T824" s="16" t="str">
        <x:v>explicit | page_validated</x:v>
      </x:c>
      <x:c r="U824" s="13" t="str">
        <x:v>high</x:v>
      </x:c>
      <x:c r="V824" s="16" t="str">
        <x:v>colored_flip_flops_women</x:v>
      </x:c>
      <x:c r="W824" s="16" t="str">
        <x:v>cluster_route</x:v>
      </x:c>
      <x:c r="X824" s="16" t="str">
        <x:v>{"product_type":[{"value":"flip_flop","evidence_type":"explicit","source_span":"flip flops","fact_ids":[],"rationale":"Term explicitly requests flip flops."},{"value":"flip_flop","evidence_type":"page_validated","source_span":"","fact_ids":["title_womens_flip_flop","style_flip_flop"],"rationale":"Product is a women's flip flop."}],"audience_intent":[{"value":"women","evidence_type":"explicit","source_span":"women","fact_ids":[],"rationale":"Term explicitly targets women."},{"value":"women","evidence_type":"page_validated","source_span":"","fact_ids":["title_womens_flip_flop"],"rationale":"该槽位与商品基准中的明示页面事实一致。"}],"color":[{"value":"light_blue","evidence_type":"explicit","source_span":"light blue","fact_ids":["colors_visible"],"rationale":"该颜色在商品页面可见颜色选择中得到明确支持。"}],"primary_domain":[{"value":"clothing_shoes_jewelry","evidence_type":"inferred","source_span":"","fact_ids":[],"rationale":"该值由搜索词整体语义推断，未作为页面明示属性。"}]}</x:v>
      </x:c>
      <x:c r="Y824" s="16" t="str"/>
      <x:c r="Z824" s="13" t="str">
        <x:v>match</x:v>
      </x:c>
      <x:c r="AA824" s="16" t="str">
        <x:v>title_womens_flip_flop | style_flip_flop | colors_visible</x:v>
      </x:c>
      <x:c r="AB824" s="13" t="str">
        <x:v>accepted</x:v>
      </x:c>
      <x:c r="AC824" s="13" t="str">
        <x:v>1.0.0</x:v>
      </x:c>
      <x:c r="AD824" s="13" t="str">
        <x:v>1.0.0</x:v>
      </x:c>
      <x:c r="AE824" s="13" t="str">
        <x:v>deepseek/deepseek-v4-pro</x:v>
      </x:c>
      <x:c r="AF824" s="13" t="str">
        <x:v>aj2-y90-20260714T234810-0bea2f52</x:v>
      </x:c>
      <x:c r="AG824" s="13" t="str">
        <x:v>full-0042</x:v>
      </x:c>
      <x:c r="AH824" s="13" t="str">
        <x:v>full</x:v>
      </x:c>
      <x:c r="AI824" s="13" t="n">
        <x:v>42</x:v>
      </x:c>
    </x:row>
    <x:row r="825" ht="34" customHeight="1">
      <x:c r="A825" s="15" t="str">
        <x:v>beach sandals for women</x:v>
      </x:c>
      <x:c r="B825" s="15" t="str">
        <x:v>beach sandals for women</x:v>
      </x:c>
      <x:c r="C825" s="10" t="str">
        <x:v>43dd05dfa2477d05</x:v>
      </x:c>
      <x:c r="D825" s="10" t="str">
        <x:v>keyword</x:v>
      </x:c>
      <x:c r="E825" s="10" t="str">
        <x:v>en</x:v>
      </x:c>
      <x:c r="F825" s="10" t="str">
        <x:v>clothing_shoes_jewelry</x:v>
      </x:c>
      <x:c r="G825" s="15" t="str">
        <x:v>sports_outdoors</x:v>
      </x:c>
      <x:c r="H825" s="15" t="str">
        <x:v>sandal | flip_flop</x:v>
      </x:c>
      <x:c r="I825" s="15" t="str">
        <x:v>women</x:v>
      </x:c>
      <x:c r="J825" s="15" t="str">
        <x:v>beach_use</x:v>
      </x:c>
      <x:c r="K825" s="15" t="str"/>
      <x:c r="L825" s="15" t="str"/>
      <x:c r="M825" s="15" t="str">
        <x:v>beach</x:v>
      </x:c>
      <x:c r="N825" s="15" t="str"/>
      <x:c r="O825" s="15" t="str"/>
      <x:c r="P825" s="15" t="str"/>
      <x:c r="Q825" s="15" t="str"/>
      <x:c r="R825" s="15" t="str">
        <x:v>女性用户需要适合海滩穿着的凉鞋。</x:v>
      </x:c>
      <x:c r="S825" s="10" t="str">
        <x:v>exploration</x:v>
      </x:c>
      <x:c r="T825" s="15" t="str">
        <x:v>explicit | page_validated</x:v>
      </x:c>
      <x:c r="U825" s="10" t="str">
        <x:v>high</x:v>
      </x:c>
      <x:c r="V825" s="15" t="str">
        <x:v>beach_sandals_women</x:v>
      </x:c>
      <x:c r="W825" s="15" t="str">
        <x:v>cluster_route</x:v>
      </x:c>
      <x:c r="X825" s="15" t="str">
        <x:v>{"product_type":[{"value":"sandal","evidence_type":"explicit","source_span":"sandals","fact_ids":[],"rationale":"Term explicitly requests sandals."},{"value":"flip_flop","evidence_type":"page_validated","source_span":"","fact_ids":["style_flip_flop","title_womens_flip_flop"],"rationale":"Product is a women's flip flop suitable as beach sandal."},{"value":"flip_flop","evidence_type":"inferred","source_span":"","fact_ids":[],"rationale":"该能力由搜索词表达的任务或问题推断；页面事实仅用于验证商品承接。"}],"audience_intent":[{"value":"women","evidence_type":"explicit","source_span":"women","fact_ids":[],"rationale":"Term explicitly targets women."},{"value":"women","evidence_type":"page_validated","source_span":"","fact_ids":["title_womens_flip_flop"],"rationale":"Product is a women's sandal."}],"function_intent":[{"value":"beach_use","evidence_type":"inferred","source_span":"","fact_ids":[],"rationale":"Beach context implies need for sand-friendly outdoor footwear."}],"location_intent":[{"value":"beach","evidence_type":"explicit","source_span":"beach","fact_ids":[],"rationale":"Term explicitly specifies beach location."}],"primary_domain":[{"value":"clothing_shoes_jewelry","evidence_type":"inferred","source_span":"","fact_ids":[],"rationale":"该值由搜索词整体语义推断，未作为页面明示属性。"}],"secondary_domain":[{"value":"sports_outdoors","evidence_type":"inferred","source_span":"","fact_ids":[],"rationale":"该值由搜索词整体语义推断，未作为页面明示属性。"}]}</x:v>
      </x:c>
      <x:c r="Y825" s="15" t="str"/>
      <x:c r="Z825" s="10" t="str">
        <x:v>match</x:v>
      </x:c>
      <x:c r="AA825" s="15" t="str">
        <x:v>title_womens_flip_flop | style_flip_flop | style_outdoor | easy_clean | slip_resistant_grip | lightweight_breathable</x:v>
      </x:c>
      <x:c r="AB825" s="10" t="str">
        <x:v>accepted</x:v>
      </x:c>
      <x:c r="AC825" s="10" t="str">
        <x:v>1.0.0</x:v>
      </x:c>
      <x:c r="AD825" s="10" t="str">
        <x:v>1.0.0</x:v>
      </x:c>
      <x:c r="AE825" s="10" t="str">
        <x:v>deepseek/deepseek-v4-pro</x:v>
      </x:c>
      <x:c r="AF825" s="10" t="str">
        <x:v>aj2-y90-20260714T234810-0bea2f52</x:v>
      </x:c>
      <x:c r="AG825" s="10" t="str">
        <x:v>full-0042</x:v>
      </x:c>
      <x:c r="AH825" s="10" t="str">
        <x:v>full</x:v>
      </x:c>
      <x:c r="AI825" s="10" t="n">
        <x:v>42</x:v>
      </x:c>
    </x:row>
    <x:row r="826" ht="34" customHeight="1">
      <x:c r="A826" s="16" t="str">
        <x:v>flip flops for women on sale</x:v>
      </x:c>
      <x:c r="B826" s="16" t="str">
        <x:v>flip flops for women on sale</x:v>
      </x:c>
      <x:c r="C826" s="13" t="str">
        <x:v>4417dc83a728eab5</x:v>
      </x:c>
      <x:c r="D826" s="13" t="str">
        <x:v>keyword</x:v>
      </x:c>
      <x:c r="E826" s="13" t="str">
        <x:v>en</x:v>
      </x:c>
      <x:c r="F826" s="13" t="str">
        <x:v>clothing_shoes_jewelry</x:v>
      </x:c>
      <x:c r="G826" s="16" t="str"/>
      <x:c r="H826" s="16" t="str">
        <x:v>flip_flop</x:v>
      </x:c>
      <x:c r="I826" s="16" t="str">
        <x:v>women</x:v>
      </x:c>
      <x:c r="J826" s="16" t="str"/>
      <x:c r="K826" s="16" t="str"/>
      <x:c r="L826" s="16" t="str"/>
      <x:c r="M826" s="16" t="str"/>
      <x:c r="N826" s="16" t="str"/>
      <x:c r="O826" s="16" t="str"/>
      <x:c r="P826" s="16" t="str"/>
      <x:c r="Q826" s="16" t="str"/>
      <x:c r="R826" s="16" t="str">
        <x:v>女性用户寻找正在促销打折的人字拖。</x:v>
      </x:c>
      <x:c r="S826" s="13" t="str">
        <x:v>consideration</x:v>
      </x:c>
      <x:c r="T826" s="16" t="str">
        <x:v>explicit | inferred</x:v>
      </x:c>
      <x:c r="U826" s="13" t="str">
        <x:v>low</x:v>
      </x:c>
      <x:c r="V826" s="16" t="str">
        <x:v>sale_flip_flops_women</x:v>
      </x:c>
      <x:c r="W826" s="16" t="str">
        <x:v>performance_observation</x:v>
      </x:c>
      <x:c r="X826" s="16" t="str">
        <x:v>{"product_type":[{"value":"flip_flop","evidence_type":"explicit","source_span":"flip flops","fact_ids":[],"rationale":"Term explicitly requests flip flops."},{"value":"flip_flop","evidence_type":"page_validated","source_span":"","fact_ids":["style_flip_flop"],"rationale":"该槽位与商品基准中的明示页面事实一致。"}],"audience_intent":[{"value":"women","evidence_type":"explicit","source_span":"women","fact_ids":[],"rationale":"Term explicitly targets women."},{"value":"women","evidence_type":"page_validated","source_span":"","fact_ids":["title_womens_flip_flop"],"rationale":"该槽位与商品基准中的明示页面事实一致。"}],"price":[{"value":"on_sale","evidence_type":"explicit","source_span":"on sale","fact_ids":[],"rationale":"Term requests discounted pricing not verifiable in baseline."}],"primary_domain":[{"value":"clothing_shoes_jewelry","evidence_type":"inferred","source_span":"","fact_ids":[],"rationale":"该值由搜索词整体语义推断，未作为页面明示属性。"}]}</x:v>
      </x:c>
      <x:c r="Y826" s="16" t="str">
        <x:v>price_not_validatable</x:v>
      </x:c>
      <x:c r="Z826" s="13" t="str">
        <x:v>unknown</x:v>
      </x:c>
      <x:c r="AA826" s="16" t="str"/>
      <x:c r="AB826" s="13" t="str">
        <x:v>accepted</x:v>
      </x:c>
      <x:c r="AC826" s="13" t="str">
        <x:v>1.0.0</x:v>
      </x:c>
      <x:c r="AD826" s="13" t="str">
        <x:v>1.0.0</x:v>
      </x:c>
      <x:c r="AE826" s="13" t="str">
        <x:v>deepseek/deepseek-v4-pro</x:v>
      </x:c>
      <x:c r="AF826" s="13" t="str">
        <x:v>aj2-y90-20260714T234810-0bea2f52</x:v>
      </x:c>
      <x:c r="AG826" s="13" t="str">
        <x:v>full-0042</x:v>
      </x:c>
      <x:c r="AH826" s="13" t="str">
        <x:v>full</x:v>
      </x:c>
      <x:c r="AI826" s="13" t="n">
        <x:v>42</x:v>
      </x:c>
    </x:row>
    <x:row r="827" ht="34" customHeight="1">
      <x:c r="A827" s="15" t="str">
        <x:v>pink flip flops for plantar fasciitis</x:v>
      </x:c>
      <x:c r="B827" s="15" t="str">
        <x:v>pink flip flops for plantar fasciitis</x:v>
      </x:c>
      <x:c r="C827" s="10" t="str">
        <x:v>444eb05478cc1ee6</x:v>
      </x:c>
      <x:c r="D827" s="10" t="str">
        <x:v>keyword</x:v>
      </x:c>
      <x:c r="E827" s="10" t="str">
        <x:v>en</x:v>
      </x:c>
      <x:c r="F827" s="10" t="str">
        <x:v>clothing_shoes_jewelry</x:v>
      </x:c>
      <x:c r="G827" s="15" t="str">
        <x:v>health_household</x:v>
      </x:c>
      <x:c r="H827" s="15" t="str">
        <x:v>flip_flop</x:v>
      </x:c>
      <x:c r="I827" s="15" t="str">
        <x:v>women</x:v>
      </x:c>
      <x:c r="J827" s="15" t="str">
        <x:v>foot_pain_relief</x:v>
      </x:c>
      <x:c r="K827" s="15" t="str">
        <x:v>arch_support</x:v>
      </x:c>
      <x:c r="L827" s="15" t="str"/>
      <x:c r="M827" s="15" t="str"/>
      <x:c r="N827" s="15" t="str">
        <x:v>plantar_fasciitis</x:v>
      </x:c>
      <x:c r="O827" s="15" t="str"/>
      <x:c r="P827" s="15" t="str"/>
      <x:c r="Q827" s="15" t="str"/>
      <x:c r="R827" s="15" t="str">
        <x:v>用户寻找粉色人字拖以缓解足底筋膜炎带来的足部疼痛。</x:v>
      </x:c>
      <x:c r="S827" s="10" t="str">
        <x:v>consideration</x:v>
      </x:c>
      <x:c r="T827" s="15" t="str">
        <x:v>explicit | page_validated | inferred</x:v>
      </x:c>
      <x:c r="U827" s="10" t="str">
        <x:v>medium</x:v>
      </x:c>
      <x:c r="V827" s="15" t="str">
        <x:v>plantar_fasciitis_flip_flops</x:v>
      </x:c>
      <x:c r="W827" s="15" t="str">
        <x:v>listing_gap_review</x:v>
      </x:c>
      <x:c r="X827" s="15" t="str">
        <x:v>{"product_type":[{"value":"flip_flop","evidence_type":"explicit","source_span":"flip flops","fact_ids":[],"rationale":"Term explicitly requests flip flops."},{"value":"flip_flop","evidence_type":"page_validated","source_span":"","fact_ids":["style_flip_flop","title_womens_flip_flop"],"rationale":"Product is a women's flip flop sandal."}],"audience_intent":[{"value":"women","evidence_type":"page_validated","source_span":"","fact_ids":["title_womens_flip_flop"],"rationale":"Product is explicitly a women's flip flop."},{"value":"women","evidence_type":"inferred","source_span":"","fact_ids":[],"rationale":"该能力由搜索词表达的任务或问题推断；页面事实仅用于验证商品承接。"}],"function_intent":[{"value":"foot_pain_relief","evidence_type":"inferred","source_span":"","fact_ids":[],"rationale":"Plantar fasciitis implies foot pain relief need."}],"capability_intent":[{"value":"arch_support","evidence_type":"inferred","source_span":"","fact_ids":[],"rationale":"Arch support is commonly sought for plantar fasciitis."},{"value":"arch_support","evidence_type":"page_validated","source_span":"","fact_ids":["arch_support"],"rationale":"该槽位与商品基准中的明示页面事实一致。"}],"body_need_intent":[{"value":"plantar_fasciitis","evidence_type":"explicit","source_span":"plantar fasciitis","fact_ids":[],"rationale":"Term explicitly mentions plantar fasciitis."}],"color":[{"value":"pink","evidence_type":"explicit","source_span":"pink","fact_ids":["colors_visible"],"rationale":"该颜色在商品页面可见颜色选择中得到明确支持。"}],"primary_domain":[{"value":"clothing_shoes_jewelry","evidence_type":"inferred","source_span":"","fact_ids":[],"rationale":"该值由搜索词整体语义推断，未作为页面明示属性。"}],"secondary_domain":[{"value":"health_household","evidence_type":"inferred","source_span":"","fact_ids":[],"rationale":"该值由搜索词整体语义推断，未作为页面明示属性。"}]}</x:v>
      </x:c>
      <x:c r="Y827" s="15" t="str"/>
      <x:c r="Z827" s="10" t="str">
        <x:v>partial_match</x:v>
      </x:c>
      <x:c r="AA827" s="15" t="str">
        <x:v>title_womens_flip_flop | style_flip_flop | arch_support | padded_cushioning | colors_visible</x:v>
      </x:c>
      <x:c r="AB827" s="10" t="str">
        <x:v>accepted</x:v>
      </x:c>
      <x:c r="AC827" s="10" t="str">
        <x:v>1.0.0</x:v>
      </x:c>
      <x:c r="AD827" s="10" t="str">
        <x:v>1.0.0</x:v>
      </x:c>
      <x:c r="AE827" s="10" t="str">
        <x:v>deepseek/deepseek-v4-pro</x:v>
      </x:c>
      <x:c r="AF827" s="10" t="str">
        <x:v>aj2-y90-20260714T234810-0bea2f52</x:v>
      </x:c>
      <x:c r="AG827" s="10" t="str">
        <x:v>full-0042</x:v>
      </x:c>
      <x:c r="AH827" s="10" t="str">
        <x:v>full</x:v>
      </x:c>
      <x:c r="AI827" s="10" t="n">
        <x:v>42</x:v>
      </x:c>
    </x:row>
    <x:row r="828" ht="34" customHeight="1">
      <x:c r="A828" s="16" t="str">
        <x:v>luxurious flip flops</x:v>
      </x:c>
      <x:c r="B828" s="16" t="str">
        <x:v>luxurious flip flops</x:v>
      </x:c>
      <x:c r="C828" s="13" t="str">
        <x:v>44738c099963c64a</x:v>
      </x:c>
      <x:c r="D828" s="13" t="str">
        <x:v>keyword</x:v>
      </x:c>
      <x:c r="E828" s="13" t="str">
        <x:v>en</x:v>
      </x:c>
      <x:c r="F828" s="13" t="str">
        <x:v>clothing_shoes_jewelry</x:v>
      </x:c>
      <x:c r="G828" s="16" t="str"/>
      <x:c r="H828" s="16" t="str">
        <x:v>flip_flop</x:v>
      </x:c>
      <x:c r="I828" s="16" t="str"/>
      <x:c r="J828" s="16" t="str">
        <x:v>luxury_fashion</x:v>
      </x:c>
      <x:c r="K828" s="16" t="str"/>
      <x:c r="L828" s="16" t="str"/>
      <x:c r="M828" s="16" t="str"/>
      <x:c r="N828" s="16" t="str"/>
      <x:c r="O828" s="16" t="str"/>
      <x:c r="P828" s="16" t="str"/>
      <x:c r="Q828" s="16" t="str"/>
      <x:c r="R828" s="16" t="str">
        <x:v>用户寻找高档奢华风格的人字拖，注重外观与材质的高级感。</x:v>
      </x:c>
      <x:c r="S828" s="13" t="str">
        <x:v>exploration</x:v>
      </x:c>
      <x:c r="T828" s="16" t="str">
        <x:v>explicit | inferred</x:v>
      </x:c>
      <x:c r="U828" s="13" t="str">
        <x:v>low</x:v>
      </x:c>
      <x:c r="V828" s="16" t="str">
        <x:v>luxury_flip_flops</x:v>
      </x:c>
      <x:c r="W828" s="16" t="str">
        <x:v>semantic_negative_candidate</x:v>
      </x:c>
      <x:c r="X828" s="16" t="str">
        <x:v>{"product_type":[{"value":"flip_flop","evidence_type":"explicit","source_span":"flip flops","fact_ids":[],"rationale":"Term explicitly requests flip flops."},{"value":"flip_flop","evidence_type":"page_validated","source_span":"","fact_ids":["style_flip_flop"],"rationale":"该槽位与商品基准中的明示页面事实一致。"}],"function_intent":[{"value":"luxury_fashion","evidence_type":"explicit","source_span":"luxurious","fact_ids":[],"rationale":"Term explicitly conveys luxury expectation."}],"primary_domain":[{"value":"clothing_shoes_jewelry","evidence_type":"inferred","source_span":"","fact_ids":[],"rationale":"该值由搜索词整体语义推断，未作为页面明示属性。"}]}</x:v>
      </x:c>
      <x:c r="Y828" s="16" t="str">
        <x:v>luxury_quality_subjective</x:v>
      </x:c>
      <x:c r="Z828" s="13" t="str">
        <x:v>mismatch</x:v>
      </x:c>
      <x:c r="AA828" s="16" t="str"/>
      <x:c r="AB828" s="13" t="str">
        <x:v>accepted</x:v>
      </x:c>
      <x:c r="AC828" s="13" t="str">
        <x:v>1.0.0</x:v>
      </x:c>
      <x:c r="AD828" s="13" t="str">
        <x:v>1.0.0</x:v>
      </x:c>
      <x:c r="AE828" s="13" t="str">
        <x:v>deepseek/deepseek-v4-pro</x:v>
      </x:c>
      <x:c r="AF828" s="13" t="str">
        <x:v>aj2-y90-20260714T234810-0bea2f52</x:v>
      </x:c>
      <x:c r="AG828" s="13" t="str">
        <x:v>full-0042</x:v>
      </x:c>
      <x:c r="AH828" s="13" t="str">
        <x:v>full</x:v>
      </x:c>
      <x:c r="AI828" s="13" t="n">
        <x:v>42</x:v>
      </x:c>
    </x:row>
    <x:row r="829" ht="34" customHeight="1">
      <x:c r="A829" s="15" t="str">
        <x:v>women indoor ortho flip flops for home</x:v>
      </x:c>
      <x:c r="B829" s="15" t="str">
        <x:v>women indoor ortho flip flops for home</x:v>
      </x:c>
      <x:c r="C829" s="10" t="str">
        <x:v>6437f043357e34ed</x:v>
      </x:c>
      <x:c r="D829" s="10" t="str">
        <x:v>keyword</x:v>
      </x:c>
      <x:c r="E829" s="10" t="str">
        <x:v>en</x:v>
      </x:c>
      <x:c r="F829" s="10" t="str">
        <x:v>clothing_shoes_jewelry</x:v>
      </x:c>
      <x:c r="G829" s="15" t="str">
        <x:v>health_household</x:v>
      </x:c>
      <x:c r="H829" s="15" t="str">
        <x:v>flip_flop</x:v>
      </x:c>
      <x:c r="I829" s="15" t="str">
        <x:v>women</x:v>
      </x:c>
      <x:c r="J829" s="15" t="str">
        <x:v>orthopedic_support | indoor_use</x:v>
      </x:c>
      <x:c r="K829" s="15" t="str">
        <x:v>arch_support</x:v>
      </x:c>
      <x:c r="L829" s="15" t="str"/>
      <x:c r="M829" s="15" t="str">
        <x:v>indoor | home</x:v>
      </x:c>
      <x:c r="N829" s="15" t="str">
        <x:v>orthopedic</x:v>
      </x:c>
      <x:c r="O829" s="15" t="str"/>
      <x:c r="P829" s="15" t="str"/>
      <x:c r="Q829" s="15" t="str"/>
      <x:c r="R829" s="15" t="str">
        <x:v>女性用户需要适合居家室内穿着的矫形支撑人字拖。</x:v>
      </x:c>
      <x:c r="S829" s="10" t="str">
        <x:v>consideration</x:v>
      </x:c>
      <x:c r="T829" s="15" t="str">
        <x:v>explicit | page_validated | inferred</x:v>
      </x:c>
      <x:c r="U829" s="10" t="str">
        <x:v>medium</x:v>
      </x:c>
      <x:c r="V829" s="15" t="str">
        <x:v>indoor_orthopedic_flip_flops</x:v>
      </x:c>
      <x:c r="W829" s="15" t="str">
        <x:v>listing_gap_review</x:v>
      </x:c>
      <x:c r="X829" s="15" t="str">
        <x:v>{"product_type":[{"value":"flip_flop","evidence_type":"explicit","source_span":"flip flops","fact_ids":[],"rationale":"Term explicitly requests flip flops."},{"value":"flip_flop","evidence_type":"page_validated","source_span":"","fact_ids":["style_flip_flop"],"rationale":"该槽位与商品基准中的明示页面事实一致。"}],"audience_intent":[{"value":"women","evidence_type":"explicit","source_span":"women","fact_ids":[],"rationale":"Term explicitly targets women."},{"value":"women","evidence_type":"page_validated","source_span":"","fact_ids":["title_womens_flip_flop"],"rationale":"该槽位与商品基准中的明示页面事实一致。"}],"function_intent":[{"value":"orthopedic_support","evidence_type":"inferred","source_span":"","fact_ids":[],"rationale":"Ortho prefix implies orthopedic support need."},{"value":"indoor_use","evidence_type":"explicit","source_span":"indoor","fact_ids":[],"rationale":"Term explicitly specifies indoor use."}],"capability_intent":[{"value":"arch_support","evidence_type":"page_validated","source_span":"","fact_ids":["arch_support"],"rationale":"Product has ergonomic arch support relevant to orthopedic need."},{"value":"arch_support","evidence_type":"inferred","source_span":"","fact_ids":[],"rationale":"该能力由搜索词表达的任务或问题推断；页面事实仅用于验证商品承接。"}],"location_intent":[{"value":"indoor","evidence_type":"explicit","source_span":"indoor","fact_ids":[],"rationale":"Term explicitly specifies indoor."},{"value":"home","evidence_type":"explicit","source_span":"home","fact_ids":[],"rationale":"Term explicitly specifies home."}],"body_need_intent":[{"value":"orthopedic","evidence_type":"explicit","source_span":"ortho","fact_ids":[],"rationale":"Term explicitly mentions ortho need."}],"primary_domain":[{"value":"clothing_shoes_jewelry","evidence_type":"inferred","source_span":"","fact_ids":[],"rationale":"该值由搜索词整体语义推断，未作为页面明示属性。"}],"secondary_domain":[{"value":"health_household","evidence_type":"inferred","source_span":"","fact_ids":[],"rationale":"该值由搜索词整体语义推断，未作为页面明示属性。"}]}</x:v>
      </x:c>
      <x:c r="Y829" s="15" t="str">
        <x:v>indoor_vs_outdoor_product_positioning</x:v>
      </x:c>
      <x:c r="Z829" s="10" t="str">
        <x:v>partial_match</x:v>
      </x:c>
      <x:c r="AA829" s="15" t="str">
        <x:v>title_womens_flip_flop | style_flip_flop | arch_support | padded_cushioning</x:v>
      </x:c>
      <x:c r="AB829" s="10" t="str">
        <x:v>accepted</x:v>
      </x:c>
      <x:c r="AC829" s="10" t="str">
        <x:v>1.0.0</x:v>
      </x:c>
      <x:c r="AD829" s="10" t="str">
        <x:v>1.0.0</x:v>
      </x:c>
      <x:c r="AE829" s="10" t="str">
        <x:v>deepseek/deepseek-v4-pro</x:v>
      </x:c>
      <x:c r="AF829" s="10" t="str">
        <x:v>aj2-y90-20260714T234810-0bea2f52</x:v>
      </x:c>
      <x:c r="AG829" s="10" t="str">
        <x:v>full-0042</x:v>
      </x:c>
      <x:c r="AH829" s="10" t="str">
        <x:v>full</x:v>
      </x:c>
      <x:c r="AI829" s="10" t="n">
        <x:v>42</x:v>
      </x:c>
    </x:row>
    <x:row r="830" ht="34" customHeight="1">
      <x:c r="A830" s="16" t="str">
        <x:v>womens arch support flip flops</x:v>
      </x:c>
      <x:c r="B830" s="16" t="str">
        <x:v>womens arch support flip flops</x:v>
      </x:c>
      <x:c r="C830" s="13" t="str">
        <x:v>7c359101032e6164</x:v>
      </x:c>
      <x:c r="D830" s="13" t="str">
        <x:v>keyword</x:v>
      </x:c>
      <x:c r="E830" s="13" t="str">
        <x:v>en</x:v>
      </x:c>
      <x:c r="F830" s="13" t="str">
        <x:v>clothing_shoes_jewelry</x:v>
      </x:c>
      <x:c r="G830" s="16" t="str"/>
      <x:c r="H830" s="16" t="str">
        <x:v>flip_flop</x:v>
      </x:c>
      <x:c r="I830" s="16" t="str">
        <x:v>women</x:v>
      </x:c>
      <x:c r="J830" s="16" t="str">
        <x:v>foot_comfort</x:v>
      </x:c>
      <x:c r="K830" s="16" t="str">
        <x:v>arch_support</x:v>
      </x:c>
      <x:c r="L830" s="16" t="str"/>
      <x:c r="M830" s="16" t="str"/>
      <x:c r="N830" s="16" t="str"/>
      <x:c r="O830" s="16" t="str"/>
      <x:c r="P830" s="16" t="str"/>
      <x:c r="Q830" s="16" t="str"/>
      <x:c r="R830" s="16" t="str">
        <x:v>女性用户需要具有足弓支撑功能的人字拖以提升日常穿着舒适度。</x:v>
      </x:c>
      <x:c r="S830" s="13" t="str">
        <x:v>high_intent</x:v>
      </x:c>
      <x:c r="T830" s="16" t="str">
        <x:v>explicit | page_validated</x:v>
      </x:c>
      <x:c r="U830" s="13" t="str">
        <x:v>high</x:v>
      </x:c>
      <x:c r="V830" s="16" t="str">
        <x:v>arch_support_flip_flops_women</x:v>
      </x:c>
      <x:c r="W830" s="16" t="str">
        <x:v>cluster_route</x:v>
      </x:c>
      <x:c r="X830" s="16" t="str">
        <x:v>{"product_type":[{"value":"flip_flop","evidence_type":"explicit","source_span":"flip flops","fact_ids":[],"rationale":"Term explicitly requests flip flops."},{"value":"flip_flop","evidence_type":"page_validated","source_span":"","fact_ids":["title_womens_flip_flop","style_flip_flop"],"rationale":"Product is a women's flip flop."}],"audience_intent":[{"value":"women","evidence_type":"explicit","source_span":"womens","fact_ids":[],"rationale":"Term explicitly targets women."},{"value":"women","evidence_type":"page_validated","source_span":"","fact_ids":["title_womens_flip_flop"],"rationale":"该槽位与商品基准中的明示页面事实一致。"}],"capability_intent":[{"value":"arch_support","evidence_type":"explicit","source_span":"arch support","fact_ids":[],"rationale":"Term explicitly requests arch support."},{"value":"arch_support","evidence_type":"page_validated","source_span":"","fact_ids":["arch_support"],"rationale":"Product features ergonomic arch support."}],"function_intent":[{"value":"foot_comfort","evidence_type":"page_validated","source_span":"","fact_ids":["arch_support","padded_cushioning"],"rationale":"该槽位与商品基准中的明示页面事实一致。"},{"value":"foot_comfor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830" s="16" t="str"/>
      <x:c r="Z830" s="13" t="str">
        <x:v>match</x:v>
      </x:c>
      <x:c r="AA830" s="16" t="str">
        <x:v>title_womens_flip_flop | style_flip_flop | arch_support | padded_cushioning</x:v>
      </x:c>
      <x:c r="AB830" s="13" t="str">
        <x:v>accepted</x:v>
      </x:c>
      <x:c r="AC830" s="13" t="str">
        <x:v>1.0.0</x:v>
      </x:c>
      <x:c r="AD830" s="13" t="str">
        <x:v>1.0.0</x:v>
      </x:c>
      <x:c r="AE830" s="13" t="str">
        <x:v>deepseek/deepseek-v4-pro</x:v>
      </x:c>
      <x:c r="AF830" s="13" t="str">
        <x:v>aj2-y90-20260714T234810-0bea2f52</x:v>
      </x:c>
      <x:c r="AG830" s="13" t="str">
        <x:v>full-0042</x:v>
      </x:c>
      <x:c r="AH830" s="13" t="str">
        <x:v>full</x:v>
      </x:c>
      <x:c r="AI830" s="13" t="n">
        <x:v>42</x:v>
      </x:c>
    </x:row>
    <x:row r="831" ht="34" customHeight="1">
      <x:c r="A831" s="15" t="str">
        <x:v>flip flops for women water non slip</x:v>
      </x:c>
      <x:c r="B831" s="15" t="str">
        <x:v>flip flops for women water non slip</x:v>
      </x:c>
      <x:c r="C831" s="10" t="str">
        <x:v>9b126eaa9d27e86a</x:v>
      </x:c>
      <x:c r="D831" s="10" t="str">
        <x:v>keyword</x:v>
      </x:c>
      <x:c r="E831" s="10" t="str">
        <x:v>en</x:v>
      </x:c>
      <x:c r="F831" s="10" t="str">
        <x:v>clothing_shoes_jewelry</x:v>
      </x:c>
      <x:c r="G831" s="15" t="str">
        <x:v>sports_outdoors</x:v>
      </x:c>
      <x:c r="H831" s="15" t="str">
        <x:v>flip_flop</x:v>
      </x:c>
      <x:c r="I831" s="15" t="str">
        <x:v>women</x:v>
      </x:c>
      <x:c r="J831" s="15" t="str">
        <x:v>water_use</x:v>
      </x:c>
      <x:c r="K831" s="15" t="str">
        <x:v>non_slip</x:v>
      </x:c>
      <x:c r="L831" s="15" t="str"/>
      <x:c r="M831" s="15" t="str">
        <x:v>water</x:v>
      </x:c>
      <x:c r="N831" s="15" t="str"/>
      <x:c r="O831" s="15" t="str"/>
      <x:c r="P831" s="15" t="str"/>
      <x:c r="Q831" s="15" t="str"/>
      <x:c r="R831" s="15" t="str">
        <x:v>女性用户需要涉水环境下防滑的人字拖。</x:v>
      </x:c>
      <x:c r="S831" s="10" t="str">
        <x:v>consideration</x:v>
      </x:c>
      <x:c r="T831" s="15" t="str">
        <x:v>explicit | page_validated | inferred</x:v>
      </x:c>
      <x:c r="U831" s="10" t="str">
        <x:v>medium</x:v>
      </x:c>
      <x:c r="V831" s="15" t="str">
        <x:v>water_non_slip_flip_flops</x:v>
      </x:c>
      <x:c r="W831" s="15" t="str">
        <x:v>listing_gap_review</x:v>
      </x:c>
      <x:c r="X831" s="15" t="str">
        <x:v>{"product_type":[{"value":"flip_flop","evidence_type":"explicit","source_span":"flip flops","fact_ids":[],"rationale":"Term explicitly requests flip flops."},{"value":"flip_flop","evidence_type":"page_validated","source_span":"","fact_ids":["style_flip_flop"],"rationale":"该槽位与商品基准中的明示页面事实一致。"}],"audience_intent":[{"value":"women","evidence_type":"explicit","source_span":"women","fact_ids":[],"rationale":"Term explicitly targets women."},{"value":"women","evidence_type":"page_validated","source_span":"","fact_ids":["title_womens_flip_flop"],"rationale":"该槽位与商品基准中的明示页面事实一致。"}],"function_intent":[{"value":"water_use","evidence_type":"explicit","source_span":"water","fact_ids":[],"rationale":"Term explicitly mentions water use."}],"capability_intent":[{"value":"non_slip","evidence_type":"explicit","source_span":"non slip","fact_ids":[],"rationale":"Term explicitly requests non-slip."},{"value":"non_slip","evidence_type":"page_validated","source_span":"","fact_ids":["slip_resistant_grip"],"rationale":"Product has slip-resistant lattice outsole."}],"location_intent":[{"value":"water","evidence_type":"explicit","source_span":"water","fact_ids":[],"rationale":"Term explicitly specifies water environment."}],"primary_domain":[{"value":"clothing_shoes_jewelry","evidence_type":"inferred","source_span":"","fact_ids":[],"rationale":"该值由搜索词整体语义推断，未作为页面明示属性。"}],"secondary_domain":[{"value":"sports_outdoors","evidence_type":"inferred","source_span":"","fact_ids":[],"rationale":"该值由搜索词整体语义推断，未作为页面明示属性。"}]}</x:v>
      </x:c>
      <x:c r="Y831" s="15" t="str">
        <x:v>waterproof_not_claimed</x:v>
      </x:c>
      <x:c r="Z831" s="10" t="str">
        <x:v>partial_match</x:v>
      </x:c>
      <x:c r="AA831" s="15" t="str">
        <x:v>title_womens_flip_flop | style_flip_flop | slip_resistant_grip | easy_clean</x:v>
      </x:c>
      <x:c r="AB831" s="10" t="str">
        <x:v>accepted</x:v>
      </x:c>
      <x:c r="AC831" s="10" t="str">
        <x:v>1.0.0</x:v>
      </x:c>
      <x:c r="AD831" s="10" t="str">
        <x:v>1.0.0</x:v>
      </x:c>
      <x:c r="AE831" s="10" t="str">
        <x:v>deepseek/deepseek-v4-pro</x:v>
      </x:c>
      <x:c r="AF831" s="10" t="str">
        <x:v>aj2-y90-20260714T234810-0bea2f52</x:v>
      </x:c>
      <x:c r="AG831" s="10" t="str">
        <x:v>full-0042</x:v>
      </x:c>
      <x:c r="AH831" s="10" t="str">
        <x:v>full</x:v>
      </x:c>
      <x:c r="AI831" s="10" t="n">
        <x:v>42</x:v>
      </x:c>
    </x:row>
    <x:row r="832" ht="34" customHeight="1">
      <x:c r="A832" s="16" t="str">
        <x:v>flipflops with support</x:v>
      </x:c>
      <x:c r="B832" s="16" t="str">
        <x:v>flipflops with support</x:v>
      </x:c>
      <x:c r="C832" s="13" t="str">
        <x:v>9b9e3743f71dd18b</x:v>
      </x:c>
      <x:c r="D832" s="13" t="str">
        <x:v>keyword</x:v>
      </x:c>
      <x:c r="E832" s="13" t="str">
        <x:v>en</x:v>
      </x:c>
      <x:c r="F832" s="13" t="str">
        <x:v>clothing_shoes_jewelry</x:v>
      </x:c>
      <x:c r="G832" s="16" t="str"/>
      <x:c r="H832" s="16" t="str">
        <x:v>flip_flop</x:v>
      </x:c>
      <x:c r="I832" s="16" t="str"/>
      <x:c r="J832" s="16" t="str">
        <x:v>foot_support</x:v>
      </x:c>
      <x:c r="K832" s="16" t="str">
        <x:v>arch_support</x:v>
      </x:c>
      <x:c r="L832" s="16" t="str"/>
      <x:c r="M832" s="16" t="str"/>
      <x:c r="N832" s="16" t="str"/>
      <x:c r="O832" s="16" t="str"/>
      <x:c r="P832" s="16" t="str"/>
      <x:c r="Q832" s="16" t="str"/>
      <x:c r="R832" s="16" t="str">
        <x:v>用户需要具有足部支撑功能的人字拖以提升舒适度。</x:v>
      </x:c>
      <x:c r="S832" s="13" t="str">
        <x:v>exploration</x:v>
      </x:c>
      <x:c r="T832" s="16" t="str">
        <x:v>explicit | page_validated</x:v>
      </x:c>
      <x:c r="U832" s="13" t="str">
        <x:v>high</x:v>
      </x:c>
      <x:c r="V832" s="16" t="str">
        <x:v>support_flip_flops</x:v>
      </x:c>
      <x:c r="W832" s="16" t="str">
        <x:v>cluster_route</x:v>
      </x:c>
      <x:c r="X832" s="16" t="str">
        <x:v>{"product_type":[{"value":"flip_flop","evidence_type":"explicit","source_span":"flipflops","fact_ids":[],"rationale":"Term explicitly requests flip flops."},{"value":"flip_flop","evidence_type":"page_validated","source_span":"","fact_ids":["style_flip_flop"],"rationale":"Product is a flip flop."},{"value":"flip_flop","evidence_type":"inferred","source_span":"","fact_ids":[],"rationale":"该能力由搜索词表达的任务或问题推断；页面事实仅用于验证商品承接。"}],"function_intent":[{"value":"foot_support","evidence_type":"explicit","source_span":"support","fact_ids":[],"rationale":"Term explicitly requests support."},{"value":"foot_support","evidence_type":"page_validated","source_span":"","fact_ids":["arch_support"],"rationale":"该槽位与商品基准中的明示页面事实一致。"},{"value":"foot_support","evidence_type":"inferred","source_span":"","fact_ids":[],"rationale":"该能力由搜索词表达的任务或问题推断；页面事实仅用于验证商品承接。"}],"capability_intent":[{"value":"arch_support","evidence_type":"page_validated","source_span":"","fact_ids":["arch_support","padded_cushioning"],"rationale":"Product provides arch support and padded cushioning."},{"value":"arch_suppor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832" s="16" t="str"/>
      <x:c r="Z832" s="13" t="str">
        <x:v>match</x:v>
      </x:c>
      <x:c r="AA832" s="16" t="str">
        <x:v>style_flip_flop | arch_support | padded_cushioning</x:v>
      </x:c>
      <x:c r="AB832" s="13" t="str">
        <x:v>accepted</x:v>
      </x:c>
      <x:c r="AC832" s="13" t="str">
        <x:v>1.0.0</x:v>
      </x:c>
      <x:c r="AD832" s="13" t="str">
        <x:v>1.0.0</x:v>
      </x:c>
      <x:c r="AE832" s="13" t="str">
        <x:v>deepseek/deepseek-v4-pro</x:v>
      </x:c>
      <x:c r="AF832" s="13" t="str">
        <x:v>aj2-y90-20260714T234810-0bea2f52</x:v>
      </x:c>
      <x:c r="AG832" s="13" t="str">
        <x:v>full-0042</x:v>
      </x:c>
      <x:c r="AH832" s="13" t="str">
        <x:v>full</x:v>
      </x:c>
      <x:c r="AI832" s="13" t="n">
        <x:v>42</x:v>
      </x:c>
    </x:row>
    <x:row r="833" ht="34" customHeight="1">
      <x:c r="A833" s="15" t="str">
        <x:v>flip flops like archies</x:v>
      </x:c>
      <x:c r="B833" s="15" t="str">
        <x:v>flip flops like archies</x:v>
      </x:c>
      <x:c r="C833" s="10" t="str">
        <x:v>b09c891678f13331</x:v>
      </x:c>
      <x:c r="D833" s="10" t="str">
        <x:v>keyword</x:v>
      </x:c>
      <x:c r="E833" s="10" t="str">
        <x:v>en</x:v>
      </x:c>
      <x:c r="F833" s="10" t="str">
        <x:v>clothing_shoes_jewelry</x:v>
      </x:c>
      <x:c r="G833" s="15" t="str"/>
      <x:c r="H833" s="15" t="str">
        <x:v>flip_flop</x:v>
      </x:c>
      <x:c r="I833" s="15" t="str"/>
      <x:c r="J833" s="15" t="str">
        <x:v>arch_support_alternative</x:v>
      </x:c>
      <x:c r="K833" s="15" t="str">
        <x:v>arch_support</x:v>
      </x:c>
      <x:c r="L833" s="15" t="str"/>
      <x:c r="M833" s="15" t="str"/>
      <x:c r="N833" s="15" t="str"/>
      <x:c r="O833" s="15" t="str"/>
      <x:c r="P833" s="15" t="str">
        <x:v>archies_flip_flops</x:v>
      </x:c>
      <x:c r="Q833" s="15" t="str"/>
      <x:c r="R833" s="15" t="str">
        <x:v>用户寻找类似Archies品牌具有足弓支撑功能的人字拖替代品。</x:v>
      </x:c>
      <x:c r="S833" s="10" t="str">
        <x:v>consideration</x:v>
      </x:c>
      <x:c r="T833" s="15" t="str">
        <x:v>explicit | page_validated | inferred</x:v>
      </x:c>
      <x:c r="U833" s="10" t="str">
        <x:v>medium</x:v>
      </x:c>
      <x:c r="V833" s="15" t="str">
        <x:v>archies_alternative_flip_flops</x:v>
      </x:c>
      <x:c r="W833" s="15" t="str">
        <x:v>cluster_route</x:v>
      </x:c>
      <x:c r="X833" s="15" t="str">
        <x:v>{"product_type":[{"value":"flip_flop","evidence_type":"explicit","source_span":"flip flops","fact_ids":[],"rationale":"Term explicitly requests flip flops."},{"value":"flip_flop","evidence_type":"page_validated","source_span":"","fact_ids":["style_flip_flop"],"rationale":"Product is a flip flop."}],"function_intent":[{"value":"arch_support_alternative","evidence_type":"inferred","source_span":"","fact_ids":[],"rationale":"Archies is known for arch support; seeking similar product."}],"capability_intent":[{"value":"arch_support","evidence_type":"page_validated","source_span":"","fact_ids":["arch_support"],"rationale":"Product features ergonomic arch support like Archies."},{"value":"arch_support","evidence_type":"inferred","source_span":"","fact_ids":[],"rationale":"该能力由搜索词表达的任务或问题推断；页面事实仅用于验证商品承接。"}],"substitute_intent":[{"value":"archies_flip_flops","evidence_type":"explicit","source_span":"like archies","fact_ids":[],"rationale":"Term explicitly names Archies as a reference product."}],"primary_domain":[{"value":"clothing_shoes_jewelry","evidence_type":"inferred","source_span":"","fact_ids":[],"rationale":"该值由搜索词整体语义推断，未作为页面明示属性。"}]}</x:v>
      </x:c>
      <x:c r="Y833" s="15" t="str"/>
      <x:c r="Z833" s="10" t="str">
        <x:v>match</x:v>
      </x:c>
      <x:c r="AA833" s="15" t="str">
        <x:v>style_flip_flop | arch_support | material_eva | lightweight_breathable</x:v>
      </x:c>
      <x:c r="AB833" s="10" t="str">
        <x:v>accepted</x:v>
      </x:c>
      <x:c r="AC833" s="10" t="str">
        <x:v>1.0.0</x:v>
      </x:c>
      <x:c r="AD833" s="10" t="str">
        <x:v>1.0.0</x:v>
      </x:c>
      <x:c r="AE833" s="10" t="str">
        <x:v>deepseek/deepseek-v4-pro</x:v>
      </x:c>
      <x:c r="AF833" s="10" t="str">
        <x:v>aj2-y90-20260714T234810-0bea2f52</x:v>
      </x:c>
      <x:c r="AG833" s="10" t="str">
        <x:v>full-0042</x:v>
      </x:c>
      <x:c r="AH833" s="10" t="str">
        <x:v>full</x:v>
      </x:c>
      <x:c r="AI833" s="10" t="n">
        <x:v>42</x:v>
      </x:c>
    </x:row>
    <x:row r="834" ht="34" customHeight="1">
      <x:c r="A834" s="16" t="str">
        <x:v>flip flips for pool</x:v>
      </x:c>
      <x:c r="B834" s="16" t="str">
        <x:v>flip flips for pool</x:v>
      </x:c>
      <x:c r="C834" s="13" t="str">
        <x:v>c68d0a2f313b40ec</x:v>
      </x:c>
      <x:c r="D834" s="13" t="str">
        <x:v>keyword</x:v>
      </x:c>
      <x:c r="E834" s="13" t="str">
        <x:v>en</x:v>
      </x:c>
      <x:c r="F834" s="13" t="str">
        <x:v>clothing_shoes_jewelry</x:v>
      </x:c>
      <x:c r="G834" s="16" t="str">
        <x:v>sports_outdoors</x:v>
      </x:c>
      <x:c r="H834" s="16" t="str">
        <x:v>flip_flop</x:v>
      </x:c>
      <x:c r="I834" s="16" t="str"/>
      <x:c r="J834" s="16" t="str">
        <x:v>pool_use</x:v>
      </x:c>
      <x:c r="K834" s="16" t="str">
        <x:v>non_slip</x:v>
      </x:c>
      <x:c r="L834" s="16" t="str"/>
      <x:c r="M834" s="16" t="str">
        <x:v>pool</x:v>
      </x:c>
      <x:c r="N834" s="16" t="str"/>
      <x:c r="O834" s="16" t="str"/>
      <x:c r="P834" s="16" t="str"/>
      <x:c r="Q834" s="16" t="str"/>
      <x:c r="R834" s="16" t="str">
        <x:v>用户需要适合泳池边使用的人字拖，注重防滑和耐水性能。</x:v>
      </x:c>
      <x:c r="S834" s="13" t="str">
        <x:v>exploration</x:v>
      </x:c>
      <x:c r="T834" s="16" t="str">
        <x:v>explicit | page_validated | inferred</x:v>
      </x:c>
      <x:c r="U834" s="13" t="str">
        <x:v>medium</x:v>
      </x:c>
      <x:c r="V834" s="16" t="str">
        <x:v>pool_flip_flops</x:v>
      </x:c>
      <x:c r="W834" s="16" t="str">
        <x:v>listing_gap_review</x:v>
      </x:c>
      <x:c r="X834" s="16" t="str">
        <x:v>{"product_type":[{"value":"flip_flop","evidence_type":"explicit","source_span":"flip flips","fact_ids":[],"rationale":"Term explicitly requests flip flops despite typo."},{"value":"flip_flop","evidence_type":"page_validated","source_span":"","fact_ids":["style_flip_flop"],"rationale":"该槽位与商品基准中的明示页面事实一致。"},{"value":"flip_flop","evidence_type":"inferred","source_span":"","fact_ids":[],"rationale":"该能力由搜索词表达的任务或问题推断；页面事实仅用于验证商品承接。"}],"function_intent":[{"value":"pool_use","evidence_type":"inferred","source_span":"","fact_ids":[],"rationale":"Pool context implies need for wet-area footwear."}],"capability_intent":[{"value":"non_slip","evidence_type":"page_validated","source_span":"","fact_ids":["slip_resistant_grip"],"rationale":"Product has slip-resistant outsole."},{"value":"non_slip","evidence_type":"inferred","source_span":"","fact_ids":[],"rationale":"该能力由搜索词表达的任务或问题推断；页面事实仅用于验证商品承接。"}],"location_intent":[{"value":"pool","evidence_type":"explicit","source_span":"pool","fact_ids":[],"rationale":"Term explicitly specifies pool location."}],"primary_domain":[{"value":"clothing_shoes_jewelry","evidence_type":"inferred","source_span":"","fact_ids":[],"rationale":"该值由搜索词整体语义推断，未作为页面明示属性。"}],"secondary_domain":[{"value":"sports_outdoors","evidence_type":"inferred","source_span":"","fact_ids":[],"rationale":"该值由搜索词整体语义推断，未作为页面明示属性。"}]}</x:v>
      </x:c>
      <x:c r="Y834" s="16" t="str">
        <x:v>typo_flip_flips | waterproof_not_claimed</x:v>
      </x:c>
      <x:c r="Z834" s="13" t="str">
        <x:v>partial_match</x:v>
      </x:c>
      <x:c r="AA834" s="16" t="str">
        <x:v>style_flip_flop | slip_resistant_grip | easy_clean</x:v>
      </x:c>
      <x:c r="AB834" s="13" t="str">
        <x:v>accepted</x:v>
      </x:c>
      <x:c r="AC834" s="13" t="str">
        <x:v>1.0.0</x:v>
      </x:c>
      <x:c r="AD834" s="13" t="str">
        <x:v>1.0.0</x:v>
      </x:c>
      <x:c r="AE834" s="13" t="str">
        <x:v>deepseek/deepseek-v4-pro</x:v>
      </x:c>
      <x:c r="AF834" s="13" t="str">
        <x:v>aj2-y90-20260714T234810-0bea2f52</x:v>
      </x:c>
      <x:c r="AG834" s="13" t="str">
        <x:v>full-0042</x:v>
      </x:c>
      <x:c r="AH834" s="13" t="str">
        <x:v>full</x:v>
      </x:c>
      <x:c r="AI834" s="13" t="n">
        <x:v>42</x:v>
      </x:c>
    </x:row>
    <x:row r="835" ht="34" customHeight="1">
      <x:c r="A835" s="15" t="str">
        <x:v>black thong flip flops</x:v>
      </x:c>
      <x:c r="B835" s="15" t="str">
        <x:v>black thong flip flops</x:v>
      </x:c>
      <x:c r="C835" s="10" t="str">
        <x:v>c6984fdba1dacab9</x:v>
      </x:c>
      <x:c r="D835" s="10" t="str">
        <x:v>keyword</x:v>
      </x:c>
      <x:c r="E835" s="10" t="str">
        <x:v>en</x:v>
      </x:c>
      <x:c r="F835" s="10" t="str">
        <x:v>clothing_shoes_jewelry</x:v>
      </x:c>
      <x:c r="G835" s="15" t="str"/>
      <x:c r="H835" s="15" t="str">
        <x:v>flip_flop</x:v>
      </x:c>
      <x:c r="I835" s="15" t="str"/>
      <x:c r="J835" s="15" t="str"/>
      <x:c r="K835" s="15" t="str"/>
      <x:c r="L835" s="15" t="str"/>
      <x:c r="M835" s="15" t="str"/>
      <x:c r="N835" s="15" t="str"/>
      <x:c r="O835" s="15" t="str"/>
      <x:c r="P835" s="15" t="str"/>
      <x:c r="Q835" s="15" t="str"/>
      <x:c r="R835" s="15" t="str">
        <x:v>用户寻找黑色夹趾款式的人字拖。</x:v>
      </x:c>
      <x:c r="S835" s="10" t="str">
        <x:v>high_intent</x:v>
      </x:c>
      <x:c r="T835" s="15" t="str">
        <x:v>explicit | page_validated</x:v>
      </x:c>
      <x:c r="U835" s="10" t="str">
        <x:v>high</x:v>
      </x:c>
      <x:c r="V835" s="15" t="str">
        <x:v>thong_flip_flops_color</x:v>
      </x:c>
      <x:c r="W835" s="15" t="str">
        <x:v>cluster_route</x:v>
      </x:c>
      <x:c r="X835" s="15" t="str">
        <x:v>{"product_type":[{"value":"flip_flop","evidence_type":"explicit","source_span":"flip flops","fact_ids":[],"rationale":"Term explicitly requests flip flops."},{"value":"flip_flop","evidence_type":"page_validated","source_span":"","fact_ids":["style_flip_flop","style_thong"],"rationale":"Product is a thong-style flip flop."}],"color":[{"value":"black","evidence_type":"explicit","source_span":"black","fact_ids":["colors_visible"],"rationale":"该颜色在商品页面可见颜色选择中得到明确支持。"}],"primary_domain":[{"value":"clothing_shoes_jewelry","evidence_type":"inferred","source_span":"","fact_ids":[],"rationale":"该值由搜索词整体语义推断，未作为页面明示属性。"}]}</x:v>
      </x:c>
      <x:c r="Y835" s="15" t="str"/>
      <x:c r="Z835" s="10" t="str">
        <x:v>match</x:v>
      </x:c>
      <x:c r="AA835" s="15" t="str">
        <x:v>style_flip_flop | style_thong | colors_visible</x:v>
      </x:c>
      <x:c r="AB835" s="10" t="str">
        <x:v>accepted</x:v>
      </x:c>
      <x:c r="AC835" s="10" t="str">
        <x:v>1.0.0</x:v>
      </x:c>
      <x:c r="AD835" s="10" t="str">
        <x:v>1.0.0</x:v>
      </x:c>
      <x:c r="AE835" s="10" t="str">
        <x:v>deepseek/deepseek-v4-pro</x:v>
      </x:c>
      <x:c r="AF835" s="10" t="str">
        <x:v>aj2-y90-20260714T234810-0bea2f52</x:v>
      </x:c>
      <x:c r="AG835" s="10" t="str">
        <x:v>full-0042</x:v>
      </x:c>
      <x:c r="AH835" s="10" t="str">
        <x:v>full</x:v>
      </x:c>
      <x:c r="AI835" s="10" t="n">
        <x:v>42</x:v>
      </x:c>
    </x:row>
    <x:row r="836" ht="34" customHeight="1">
      <x:c r="A836" s="16" t="str">
        <x:v>flip flops joomra</x:v>
      </x:c>
      <x:c r="B836" s="16" t="str">
        <x:v>flip flops joomra</x:v>
      </x:c>
      <x:c r="C836" s="13" t="str">
        <x:v>d05051b52e7c17cb</x:v>
      </x:c>
      <x:c r="D836" s="13" t="str">
        <x:v>keyword</x:v>
      </x:c>
      <x:c r="E836" s="13" t="str">
        <x:v>en</x:v>
      </x:c>
      <x:c r="F836" s="13" t="str">
        <x:v>clothing_shoes_jewelry</x:v>
      </x:c>
      <x:c r="G836" s="16" t="str"/>
      <x:c r="H836" s="16" t="str">
        <x:v>flip_flop</x:v>
      </x:c>
      <x:c r="I836" s="16" t="str">
        <x:v>women</x:v>
      </x:c>
      <x:c r="J836" s="16" t="str"/>
      <x:c r="K836" s="16" t="str"/>
      <x:c r="L836" s="16" t="str"/>
      <x:c r="M836" s="16" t="str"/>
      <x:c r="N836" s="16" t="str"/>
      <x:c r="O836" s="16" t="str"/>
      <x:c r="P836" s="16" t="str"/>
      <x:c r="Q836" s="16" t="str"/>
      <x:c r="R836" s="16" t="str">
        <x:v>用户搜索Joomra品牌的人字拖产品。</x:v>
      </x:c>
      <x:c r="S836" s="13" t="str">
        <x:v>brand_harvest</x:v>
      </x:c>
      <x:c r="T836" s="16" t="str">
        <x:v>explicit | page_validated</x:v>
      </x:c>
      <x:c r="U836" s="13" t="str">
        <x:v>high</x:v>
      </x:c>
      <x:c r="V836" s="16" t="str">
        <x:v>brand_joomra_flip_flops</x:v>
      </x:c>
      <x:c r="W836" s="16" t="str">
        <x:v>cluster_route</x:v>
      </x:c>
      <x:c r="X836" s="16" t="str">
        <x:v>{"product_type":[{"value":"flip_flop","evidence_type":"explicit","source_span":"flip flops","fact_ids":[],"rationale":"Term explicitly requests flip flops."},{"value":"flip_flop","evidence_type":"page_validated","source_span":"","fact_ids":["title_womens_flip_flop","style_flip_flop"],"rationale":"Product is a flip flop."}],"audience_intent":[{"value":"women","evidence_type":"page_validated","source_span":"","fact_ids":["title_womens_flip_flop"],"rationale":"Product is a women's flip flop."},{"value":"women","evidence_type":"inferred","source_span":"","fact_ids":[],"rationale":"该能力由搜索词表达的任务或问题推断；页面事实仅用于验证商品承接。"}],"brand":[{"value":"joomra","evidence_type":"explicit","source_span":"joomra","fact_ids":[],"rationale":"搜索词明确包含品牌名称。"}],"primary_domain":[{"value":"clothing_shoes_jewelry","evidence_type":"inferred","source_span":"","fact_ids":[],"rationale":"该值由搜索词整体语义推断，未作为页面明示属性。"}]}</x:v>
      </x:c>
      <x:c r="Y836" s="16" t="str"/>
      <x:c r="Z836" s="13" t="str">
        <x:v>match</x:v>
      </x:c>
      <x:c r="AA836" s="16" t="str">
        <x:v>title_womens_flip_flop | style_flip_flop</x:v>
      </x:c>
      <x:c r="AB836" s="13" t="str">
        <x:v>accepted</x:v>
      </x:c>
      <x:c r="AC836" s="13" t="str">
        <x:v>1.0.0</x:v>
      </x:c>
      <x:c r="AD836" s="13" t="str">
        <x:v>1.0.0</x:v>
      </x:c>
      <x:c r="AE836" s="13" t="str">
        <x:v>deepseek/deepseek-v4-pro</x:v>
      </x:c>
      <x:c r="AF836" s="13" t="str">
        <x:v>aj2-y90-20260714T234810-0bea2f52</x:v>
      </x:c>
      <x:c r="AG836" s="13" t="str">
        <x:v>full-0042</x:v>
      </x:c>
      <x:c r="AH836" s="13" t="str">
        <x:v>full</x:v>
      </x:c>
      <x:c r="AI836" s="13" t="n">
        <x:v>42</x:v>
      </x:c>
    </x:row>
    <x:row r="837" ht="34" customHeight="1">
      <x:c r="A837" s="15" t="str">
        <x:v>lymco white flip flops</x:v>
      </x:c>
      <x:c r="B837" s="15" t="str">
        <x:v>lymco white flip flops</x:v>
      </x:c>
      <x:c r="C837" s="10" t="str">
        <x:v>d286be71b2b29e20</x:v>
      </x:c>
      <x:c r="D837" s="10" t="str">
        <x:v>keyword</x:v>
      </x:c>
      <x:c r="E837" s="10" t="str">
        <x:v>en</x:v>
      </x:c>
      <x:c r="F837" s="10" t="str">
        <x:v>clothing_shoes_jewelry</x:v>
      </x:c>
      <x:c r="G837" s="15" t="str"/>
      <x:c r="H837" s="15" t="str">
        <x:v>flip_flop</x:v>
      </x:c>
      <x:c r="I837" s="15" t="str"/>
      <x:c r="J837" s="15" t="str"/>
      <x:c r="K837" s="15" t="str"/>
      <x:c r="L837" s="15" t="str"/>
      <x:c r="M837" s="15" t="str"/>
      <x:c r="N837" s="15" t="str"/>
      <x:c r="O837" s="15" t="str"/>
      <x:c r="P837" s="15" t="str">
        <x:v>lymco_flip_flops</x:v>
      </x:c>
      <x:c r="Q837" s="15" t="str"/>
      <x:c r="R837" s="15" t="str">
        <x:v>用户搜索Lymco品牌的白色人字拖，可能为竞品对比或品牌替代。</x:v>
      </x:c>
      <x:c r="S837" s="10" t="str">
        <x:v>high_intent</x:v>
      </x:c>
      <x:c r="T837" s="15" t="str">
        <x:v>explicit | page_validated | inferred</x:v>
      </x:c>
      <x:c r="U837" s="10" t="str">
        <x:v>low</x:v>
      </x:c>
      <x:c r="V837" s="15" t="str">
        <x:v>competitor_brand_flip_flops</x:v>
      </x:c>
      <x:c r="W837" s="15" t="str">
        <x:v>semantic_negative_candidate</x:v>
      </x:c>
      <x:c r="X837" s="15" t="str">
        <x:v>{"product_type":[{"value":"flip_flop","evidence_type":"explicit","source_span":"flip flops","fact_ids":[],"rationale":"Term explicitly requests flip flops."},{"value":"flip_flop","evidence_type":"page_validated","source_span":"","fact_ids":["style_flip_flop"],"rationale":"该槽位与商品基准中的明示页面事实一致。"}],"substitute_intent":[{"value":"lymco_flip_flops","evidence_type":"inferred","source_span":"","fact_ids":[],"rationale":"Searching a competing brand implies substitute intent."}],"brand":[{"value":"lymco","evidence_type":"explicit","source_span":"lymco","fact_ids":[],"rationale":"Brand name explicitly in term; not joomra."}],"color":[{"value":"white","evidence_type":"explicit","source_span":"white","fact_ids":["colors_visible"],"rationale":"该颜色在商品页面可见颜色选择中得到明确支持。"}],"primary_domain":[{"value":"clothing_shoes_jewelry","evidence_type":"inferred","source_span":"","fact_ids":[],"rationale":"该值由搜索词整体语义推断，未作为页面明示属性。"}]}</x:v>
      </x:c>
      <x:c r="Y837" s="15" t="str"/>
      <x:c r="Z837" s="10" t="str">
        <x:v>mismatch</x:v>
      </x:c>
      <x:c r="AA837" s="15" t="str"/>
      <x:c r="AB837" s="10" t="str">
        <x:v>accepted</x:v>
      </x:c>
      <x:c r="AC837" s="10" t="str">
        <x:v>1.0.0</x:v>
      </x:c>
      <x:c r="AD837" s="10" t="str">
        <x:v>1.0.0</x:v>
      </x:c>
      <x:c r="AE837" s="10" t="str">
        <x:v>deepseek/deepseek-v4-pro</x:v>
      </x:c>
      <x:c r="AF837" s="10" t="str">
        <x:v>aj2-y90-20260714T234810-0bea2f52</x:v>
      </x:c>
      <x:c r="AG837" s="10" t="str">
        <x:v>full-0042</x:v>
      </x:c>
      <x:c r="AH837" s="10" t="str">
        <x:v>full</x:v>
      </x:c>
      <x:c r="AI837" s="10" t="n">
        <x:v>42</x:v>
      </x:c>
    </x:row>
    <x:row r="838" ht="34" customHeight="1">
      <x:c r="A838" s="16" t="str">
        <x:v>brown flip flops women arch support</x:v>
      </x:c>
      <x:c r="B838" s="16" t="str">
        <x:v>brown flip flops women arch support</x:v>
      </x:c>
      <x:c r="C838" s="13" t="str">
        <x:v>d4c80d3d954ebbe7</x:v>
      </x:c>
      <x:c r="D838" s="13" t="str">
        <x:v>keyword</x:v>
      </x:c>
      <x:c r="E838" s="13" t="str">
        <x:v>en</x:v>
      </x:c>
      <x:c r="F838" s="13" t="str">
        <x:v>clothing_shoes_jewelry</x:v>
      </x:c>
      <x:c r="G838" s="16" t="str"/>
      <x:c r="H838" s="16" t="str">
        <x:v>flip_flop</x:v>
      </x:c>
      <x:c r="I838" s="16" t="str">
        <x:v>women</x:v>
      </x:c>
      <x:c r="J838" s="16" t="str">
        <x:v>foot_comfort</x:v>
      </x:c>
      <x:c r="K838" s="16" t="str">
        <x:v>arch_support</x:v>
      </x:c>
      <x:c r="L838" s="16" t="str"/>
      <x:c r="M838" s="16" t="str"/>
      <x:c r="N838" s="16" t="str"/>
      <x:c r="O838" s="16" t="str"/>
      <x:c r="P838" s="16" t="str"/>
      <x:c r="Q838" s="16" t="str"/>
      <x:c r="R838" s="16" t="str">
        <x:v>女性用户需要棕色且具有足弓支撑功能的人字拖以提升日常穿着舒适度。</x:v>
      </x:c>
      <x:c r="S838" s="13" t="str">
        <x:v>high_intent</x:v>
      </x:c>
      <x:c r="T838" s="16" t="str">
        <x:v>explicit | page_validated</x:v>
      </x:c>
      <x:c r="U838" s="13" t="str">
        <x:v>high</x:v>
      </x:c>
      <x:c r="V838" s="16" t="str">
        <x:v>arch_support_flip_flops_women</x:v>
      </x:c>
      <x:c r="W838" s="16" t="str">
        <x:v>cluster_route</x:v>
      </x:c>
      <x:c r="X838" s="16" t="str">
        <x:v>{"product_type":[{"value":"flip_flop","evidence_type":"explicit","source_span":"flip flops","fact_ids":[],"rationale":"Term explicitly requests flip flops."},{"value":"flip_flop","evidence_type":"page_validated","source_span":"","fact_ids":["style_flip_flop","title_womens_flip_flop"],"rationale":"Product is a women's flip flop."}],"audience_intent":[{"value":"women","evidence_type":"explicit","source_span":"women","fact_ids":[],"rationale":"Term explicitly targets women."},{"value":"women","evidence_type":"page_validated","source_span":"","fact_ids":["title_womens_flip_flop"],"rationale":"该槽位与商品基准中的明示页面事实一致。"}],"capability_intent":[{"value":"arch_support","evidence_type":"explicit","source_span":"arch support","fact_ids":[],"rationale":"Term explicitly requests arch support."},{"value":"arch_support","evidence_type":"page_validated","source_span":"","fact_ids":["arch_support"],"rationale":"Product features ergonomic arch support."}],"color":[{"value":"brown","evidence_type":"explicit","source_span":"brown","fact_ids":["colors_visible"],"rationale":"该颜色在商品页面可见颜色选择中得到明确支持。"}],"function_intent":[{"value":"foot_comfort","evidence_type":"page_validated","source_span":"","fact_ids":["arch_support","padded_cushioning"],"rationale":"该槽位与商品基准中的明示页面事实一致。"},{"value":"foot_comfor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838" s="16" t="str"/>
      <x:c r="Z838" s="13" t="str">
        <x:v>match</x:v>
      </x:c>
      <x:c r="AA838" s="16" t="str">
        <x:v>title_womens_flip_flop | style_flip_flop | arch_support | colors_visible</x:v>
      </x:c>
      <x:c r="AB838" s="13" t="str">
        <x:v>accepted</x:v>
      </x:c>
      <x:c r="AC838" s="13" t="str">
        <x:v>1.0.0</x:v>
      </x:c>
      <x:c r="AD838" s="13" t="str">
        <x:v>1.0.0</x:v>
      </x:c>
      <x:c r="AE838" s="13" t="str">
        <x:v>deepseek/deepseek-v4-pro</x:v>
      </x:c>
      <x:c r="AF838" s="13" t="str">
        <x:v>aj2-y90-20260714T234810-0bea2f52</x:v>
      </x:c>
      <x:c r="AG838" s="13" t="str">
        <x:v>full-0042</x:v>
      </x:c>
      <x:c r="AH838" s="13" t="str">
        <x:v>full</x:v>
      </x:c>
      <x:c r="AI838" s="13" t="n">
        <x:v>42</x:v>
      </x:c>
    </x:row>
    <x:row r="839" ht="34" customHeight="1">
      <x:c r="A839" s="15" t="str">
        <x:v>best flip flops for leg support</x:v>
      </x:c>
      <x:c r="B839" s="15" t="str">
        <x:v>best flip flops for leg support</x:v>
      </x:c>
      <x:c r="C839" s="10" t="str">
        <x:v>e74592a2e903038c</x:v>
      </x:c>
      <x:c r="D839" s="10" t="str">
        <x:v>keyword</x:v>
      </x:c>
      <x:c r="E839" s="10" t="str">
        <x:v>en</x:v>
      </x:c>
      <x:c r="F839" s="10" t="str">
        <x:v>clothing_shoes_jewelry</x:v>
      </x:c>
      <x:c r="G839" s="15" t="str">
        <x:v>health_household</x:v>
      </x:c>
      <x:c r="H839" s="15" t="str">
        <x:v>flip_flop</x:v>
      </x:c>
      <x:c r="I839" s="15" t="str"/>
      <x:c r="J839" s="15" t="str">
        <x:v>leg_support</x:v>
      </x:c>
      <x:c r="K839" s="15" t="str">
        <x:v>arch_support | alignment</x:v>
      </x:c>
      <x:c r="L839" s="15" t="str"/>
      <x:c r="M839" s="15" t="str"/>
      <x:c r="N839" s="15" t="str"/>
      <x:c r="O839" s="15" t="str"/>
      <x:c r="P839" s="15" t="str"/>
      <x:c r="Q839" s="15" t="str"/>
      <x:c r="R839" s="15" t="str">
        <x:v>用户寻找能提供腿部支撑和身体对齐效果的最佳人字拖。</x:v>
      </x:c>
      <x:c r="S839" s="10" t="str">
        <x:v>consideration</x:v>
      </x:c>
      <x:c r="T839" s="15" t="str">
        <x:v>explicit | page_validated | inferred</x:v>
      </x:c>
      <x:c r="U839" s="10" t="str">
        <x:v>medium</x:v>
      </x:c>
      <x:c r="V839" s="15" t="str">
        <x:v>leg_support_flip_flops</x:v>
      </x:c>
      <x:c r="W839" s="15" t="str">
        <x:v>listing_gap_review</x:v>
      </x:c>
      <x:c r="X839" s="15" t="str">
        <x:v>{"product_type":[{"value":"flip_flop","evidence_type":"explicit","source_span":"flip flops","fact_ids":[],"rationale":"Term explicitly requests flip flops."},{"value":"flip_flop","evidence_type":"page_validated","source_span":"","fact_ids":["style_flip_flop"],"rationale":"该槽位与商品基准中的明示页面事实一致。"}],"function_intent":[{"value":"leg_support","evidence_type":"explicit","source_span":"leg support","fact_ids":[],"rationale":"Term explicitly mentions leg support."}],"capability_intent":[{"value":"arch_support","evidence_type":"page_validated","source_span":"","fact_ids":["arch_support"],"rationale":"Arch support contributes to lower-leg alignment."},{"value":"alignment","evidence_type":"inferred","source_span":"","fact_ids":[],"rationale":"Proper alignment claim suggests leg support benefit."},{"value":"arch_suppor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secondary_domain":[{"value":"health_household","evidence_type":"inferred","source_span":"","fact_ids":[],"rationale":"该值由搜索词整体语义推断，未作为页面明示属性。"}]}</x:v>
      </x:c>
      <x:c r="Y839" s="15" t="str">
        <x:v>leg_support_scope_ambiguous</x:v>
      </x:c>
      <x:c r="Z839" s="10" t="str">
        <x:v>partial_match</x:v>
      </x:c>
      <x:c r="AA839" s="15" t="str">
        <x:v>title_womens_flip_flop | style_flip_flop | arch_support</x:v>
      </x:c>
      <x:c r="AB839" s="10" t="str">
        <x:v>accepted</x:v>
      </x:c>
      <x:c r="AC839" s="10" t="str">
        <x:v>1.0.0</x:v>
      </x:c>
      <x:c r="AD839" s="10" t="str">
        <x:v>1.0.0</x:v>
      </x:c>
      <x:c r="AE839" s="10" t="str">
        <x:v>deepseek/deepseek-v4-pro</x:v>
      </x:c>
      <x:c r="AF839" s="10" t="str">
        <x:v>aj2-y90-20260714T234810-0bea2f52</x:v>
      </x:c>
      <x:c r="AG839" s="10" t="str">
        <x:v>full-0042</x:v>
      </x:c>
      <x:c r="AH839" s="10" t="str">
        <x:v>full</x:v>
      </x:c>
      <x:c r="AI839" s="10" t="n">
        <x:v>42</x:v>
      </x:c>
    </x:row>
    <x:row r="840" ht="34" customHeight="1">
      <x:c r="A840" s="16" t="str">
        <x:v>flip flop for mother of bride</x:v>
      </x:c>
      <x:c r="B840" s="16" t="str">
        <x:v>flip flop for mother of bride</x:v>
      </x:c>
      <x:c r="C840" s="13" t="str">
        <x:v>ef079a233d300d97</x:v>
      </x:c>
      <x:c r="D840" s="13" t="str">
        <x:v>keyword</x:v>
      </x:c>
      <x:c r="E840" s="13" t="str">
        <x:v>en</x:v>
      </x:c>
      <x:c r="F840" s="13" t="str">
        <x:v>clothing_shoes_jewelry</x:v>
      </x:c>
      <x:c r="G840" s="16" t="str"/>
      <x:c r="H840" s="16" t="str">
        <x:v>flip_flop</x:v>
      </x:c>
      <x:c r="I840" s="16" t="str">
        <x:v>mother_of_bride</x:v>
      </x:c>
      <x:c r="J840" s="16" t="str">
        <x:v>formal_occasion_comfort</x:v>
      </x:c>
      <x:c r="K840" s="16" t="str"/>
      <x:c r="L840" s="16" t="str">
        <x:v>wedding</x:v>
      </x:c>
      <x:c r="M840" s="16" t="str"/>
      <x:c r="N840" s="16" t="str"/>
      <x:c r="O840" s="16" t="str"/>
      <x:c r="P840" s="16" t="str"/>
      <x:c r="Q840" s="16" t="str"/>
      <x:c r="R840" s="16" t="str">
        <x:v>新娘母亲需要适合婚礼场合穿着的正式风格舒适人字拖。</x:v>
      </x:c>
      <x:c r="S840" s="13" t="str">
        <x:v>consideration</x:v>
      </x:c>
      <x:c r="T840" s="16" t="str">
        <x:v>explicit | inferred</x:v>
      </x:c>
      <x:c r="U840" s="13" t="str">
        <x:v>low</x:v>
      </x:c>
      <x:c r="V840" s="16" t="str">
        <x:v>wedding_occasion_flip_flops</x:v>
      </x:c>
      <x:c r="W840" s="16" t="str">
        <x:v>semantic_negative_candidate</x:v>
      </x:c>
      <x:c r="X840" s="16" t="str">
        <x:v>{"product_type":[{"value":"flip_flop","evidence_type":"explicit","source_span":"flip flop","fact_ids":[],"rationale":"Term explicitly requests a flip flop."},{"value":"flip_flop","evidence_type":"page_validated","source_span":"","fact_ids":["style_flip_flop"],"rationale":"该槽位与商品基准中的明示页面事实一致。"}],"audience_intent":[{"value":"mother_of_bride","evidence_type":"explicit","source_span":"mother of bride","fact_ids":[],"rationale":"Term explicitly targets mother of the bride."}],"function_intent":[{"value":"formal_occasion_comfort","evidence_type":"inferred","source_span":"","fact_ids":[],"rationale":"Wedding role implies need for formal yet comfortable footwear."}],"event_intent":[{"value":"wedding","evidence_type":"inferred","source_span":"","fact_ids":[],"rationale":"Mother of bride role implies wedding event context."}],"primary_domain":[{"value":"clothing_shoes_jewelry","evidence_type":"inferred","source_span":"","fact_ids":[],"rationale":"该值由搜索词整体语义推断，未作为页面明示属性。"}]}</x:v>
      </x:c>
      <x:c r="Y840" s="16" t="str"/>
      <x:c r="Z840" s="13" t="str">
        <x:v>mismatch</x:v>
      </x:c>
      <x:c r="AA840" s="16" t="str"/>
      <x:c r="AB840" s="13" t="str">
        <x:v>accepted</x:v>
      </x:c>
      <x:c r="AC840" s="13" t="str">
        <x:v>1.0.0</x:v>
      </x:c>
      <x:c r="AD840" s="13" t="str">
        <x:v>1.0.0</x:v>
      </x:c>
      <x:c r="AE840" s="13" t="str">
        <x:v>deepseek/deepseek-v4-pro</x:v>
      </x:c>
      <x:c r="AF840" s="13" t="str">
        <x:v>aj2-y90-20260714T234810-0bea2f52</x:v>
      </x:c>
      <x:c r="AG840" s="13" t="str">
        <x:v>full-0042</x:v>
      </x:c>
      <x:c r="AH840" s="13" t="str">
        <x:v>full</x:v>
      </x:c>
      <x:c r="AI840" s="13" t="n">
        <x:v>42</x:v>
      </x:c>
    </x:row>
    <x:row r="841" ht="34" customHeight="1">
      <x:c r="A841" s="15" t="str">
        <x:v>flip flop non-slip</x:v>
      </x:c>
      <x:c r="B841" s="15" t="str">
        <x:v>flip flop non-slip</x:v>
      </x:c>
      <x:c r="C841" s="10" t="str">
        <x:v>f1d77c5a61c69bca</x:v>
      </x:c>
      <x:c r="D841" s="10" t="str">
        <x:v>keyword</x:v>
      </x:c>
      <x:c r="E841" s="10" t="str">
        <x:v>en</x:v>
      </x:c>
      <x:c r="F841" s="10" t="str">
        <x:v>clothing_shoes_jewelry</x:v>
      </x:c>
      <x:c r="G841" s="15" t="str"/>
      <x:c r="H841" s="15" t="str">
        <x:v>flip_flop</x:v>
      </x:c>
      <x:c r="I841" s="15" t="str"/>
      <x:c r="J841" s="15" t="str">
        <x:v>slip_prevention</x:v>
      </x:c>
      <x:c r="K841" s="15" t="str">
        <x:v>non_slip</x:v>
      </x:c>
      <x:c r="L841" s="15" t="str"/>
      <x:c r="M841" s="15" t="str"/>
      <x:c r="N841" s="15" t="str"/>
      <x:c r="O841" s="15" t="str"/>
      <x:c r="P841" s="15" t="str"/>
      <x:c r="Q841" s="15" t="str"/>
      <x:c r="R841" s="15" t="str">
        <x:v>用户需要具有防滑功能的人字拖以确保行走安全。</x:v>
      </x:c>
      <x:c r="S841" s="10" t="str">
        <x:v>high_intent</x:v>
      </x:c>
      <x:c r="T841" s="15" t="str">
        <x:v>explicit | page_validated</x:v>
      </x:c>
      <x:c r="U841" s="10" t="str">
        <x:v>high</x:v>
      </x:c>
      <x:c r="V841" s="15" t="str">
        <x:v>non_slip_flip_flops</x:v>
      </x:c>
      <x:c r="W841" s="15" t="str">
        <x:v>cluster_route</x:v>
      </x:c>
      <x:c r="X841" s="15" t="str">
        <x:v>{"product_type":[{"value":"flip_flop","evidence_type":"explicit","source_span":"flip flop","fact_ids":[],"rationale":"Term explicitly requests a flip flop."},{"value":"flip_flop","evidence_type":"page_validated","source_span":"","fact_ids":["style_flip_flop"],"rationale":"Product is a flip flop."}],"capability_intent":[{"value":"non_slip","evidence_type":"explicit","source_span":"non-slip","fact_ids":[],"rationale":"Term explicitly requests non-slip."},{"value":"non_slip","evidence_type":"page_validated","source_span":"","fact_ids":["slip_resistant_grip"],"rationale":"Product has deep textured lattice outsole for grip."}],"function_intent":[{"value":"slip_prevention","evidence_type":"inferred","source_span":"","fact_ids":[],"rationale":"该值由搜索词整体语义推断，未作为页面明示属性。"}],"primary_domain":[{"value":"clothing_shoes_jewelry","evidence_type":"inferred","source_span":"","fact_ids":[],"rationale":"该值由搜索词整体语义推断，未作为页面明示属性。"}]}</x:v>
      </x:c>
      <x:c r="Y841" s="15" t="str"/>
      <x:c r="Z841" s="10" t="str">
        <x:v>match</x:v>
      </x:c>
      <x:c r="AA841" s="15" t="str">
        <x:v>style_flip_flop | slip_resistant_grip</x:v>
      </x:c>
      <x:c r="AB841" s="10" t="str">
        <x:v>accepted</x:v>
      </x:c>
      <x:c r="AC841" s="10" t="str">
        <x:v>1.0.0</x:v>
      </x:c>
      <x:c r="AD841" s="10" t="str">
        <x:v>1.0.0</x:v>
      </x:c>
      <x:c r="AE841" s="10" t="str">
        <x:v>deepseek/deepseek-v4-pro</x:v>
      </x:c>
      <x:c r="AF841" s="10" t="str">
        <x:v>aj2-y90-20260714T234810-0bea2f52</x:v>
      </x:c>
      <x:c r="AG841" s="10" t="str">
        <x:v>full-0042</x:v>
      </x:c>
      <x:c r="AH841" s="10" t="str">
        <x:v>full</x:v>
      </x:c>
      <x:c r="AI841" s="10" t="n">
        <x:v>42</x:v>
      </x:c>
    </x:row>
    <x:row r="842" ht="34" customHeight="1">
      <x:c r="A842" s="16" t="str">
        <x:v>black memory foam flip flops for woman</x:v>
      </x:c>
      <x:c r="B842" s="16" t="str">
        <x:v>black memory foam flip flops for woman</x:v>
      </x:c>
      <x:c r="C842" s="13" t="str">
        <x:v>10b23824855c254e</x:v>
      </x:c>
      <x:c r="D842" s="13" t="str">
        <x:v>keyword</x:v>
      </x:c>
      <x:c r="E842" s="13" t="str">
        <x:v>en</x:v>
      </x:c>
      <x:c r="F842" s="13" t="str">
        <x:v>clothing_shoes_jewelry</x:v>
      </x:c>
      <x:c r="G842" s="16" t="str"/>
      <x:c r="H842" s="16" t="str">
        <x:v>flip_flop</x:v>
      </x:c>
      <x:c r="I842" s="16" t="str">
        <x:v>women</x:v>
      </x:c>
      <x:c r="J842" s="16" t="str"/>
      <x:c r="K842" s="16" t="str">
        <x:v>memory_foam | cushioning</x:v>
      </x:c>
      <x:c r="L842" s="16" t="str"/>
      <x:c r="M842" s="16" t="str"/>
      <x:c r="N842" s="16" t="str"/>
      <x:c r="O842" s="16" t="str"/>
      <x:c r="P842" s="16" t="str"/>
      <x:c r="Q842" s="16" t="str"/>
      <x:c r="R842" s="16" t="str">
        <x:v>用户寻找黑色女士记忆棉人字拖，产品有黑色但为EVA材质非记忆棉。</x:v>
      </x:c>
      <x:c r="S842" s="13" t="str">
        <x:v>high_intent</x:v>
      </x:c>
      <x:c r="T842" s="16" t="str">
        <x:v>explicit | inferred</x:v>
      </x:c>
      <x:c r="U842" s="13" t="str">
        <x:v>high</x:v>
      </x:c>
      <x:c r="V842" s="16" t="str">
        <x:v>memory_foam_flip_flops_women_black</x:v>
      </x:c>
      <x:c r="W842" s="16" t="str">
        <x:v>listing_gap_review</x:v>
      </x:c>
      <x:c r="X842" s="16" t="str">
        <x:v>{"product_type":[{"value":"flip_flop","evidence_type":"explicit","source_span":"flip flops","fact_ids":[],"rationale":"词面直接写出flip flops"},{"value":"flip_flop","evidence_type":"page_validated","source_span":"","fact_ids":["style_flip_flop"],"rationale":"该槽位与商品基准中的明示页面事实一致。"}],"audience_intent":[{"value":"women","evidence_type":"explicit","source_span":"woman","fact_ids":[],"rationale":"词面明确写出woman"},{"value":"women","evidence_type":"page_validated","source_span":"","fact_ids":["title_womens_flip_flop"],"rationale":"该槽位与商品基准中的明示页面事实一致。"},{"value":"women","evidence_type":"inferred","source_span":"","fact_ids":[],"rationale":"该能力由搜索词表达的任务或问题推断；页面事实仅用于验证商品承接。"}],"capability_intent":[{"value":"memory_foam","evidence_type":"explicit","source_span":"memory foam","fact_ids":[],"rationale":"词面明确写出memory foam"},{"value":"cushioning","evidence_type":"inferred","source_span":"memory foam","fact_ids":[],"rationale":"记忆棉本质上提供缓冲功能"},{"value":"cushioning","evidence_type":"page_validated","source_span":"","fact_ids":["padded_cushioning"],"rationale":"该槽位与商品基准中的明示页面事实一致。"}],"primary_domain":[{"value":"clothing_shoes_jewelry","evidence_type":"inferred","source_span":"","fact_ids":[],"rationale":"该值由搜索词整体语义推断，未作为页面明示属性。"}]}</x:v>
      </x:c>
      <x:c r="Y842" s="16" t="str"/>
      <x:c r="Z842" s="13" t="str">
        <x:v>partial_match</x:v>
      </x:c>
      <x:c r="AA842" s="16" t="str">
        <x:v>title_womens_flip_flop | style_flip_flop | colors_visible</x:v>
      </x:c>
      <x:c r="AB842" s="13" t="str">
        <x:v>accepted</x:v>
      </x:c>
      <x:c r="AC842" s="13" t="str">
        <x:v>1.0.0</x:v>
      </x:c>
      <x:c r="AD842" s="13" t="str">
        <x:v>1.1.0</x:v>
      </x:c>
      <x:c r="AE842" s="13" t="str">
        <x:v>deepseek/deepseek-v4-pro</x:v>
      </x:c>
      <x:c r="AF842" s="13" t="str">
        <x:v>aj2-y90-20260714T234810-0bea2f52</x:v>
      </x:c>
      <x:c r="AG842" s="13" t="str">
        <x:v>full-0043</x:v>
      </x:c>
      <x:c r="AH842" s="13" t="str">
        <x:v>full</x:v>
      </x:c>
      <x:c r="AI842" s="13" t="n">
        <x:v>43</x:v>
      </x:c>
    </x:row>
    <x:row r="843" ht="34" customHeight="1">
      <x:c r="A843" s="15" t="str">
        <x:v>blue flip flop</x:v>
      </x:c>
      <x:c r="B843" s="15" t="str">
        <x:v>blue flip flop</x:v>
      </x:c>
      <x:c r="C843" s="10" t="str">
        <x:v>1a290a669ae3a414</x:v>
      </x:c>
      <x:c r="D843" s="10" t="str">
        <x:v>keyword</x:v>
      </x:c>
      <x:c r="E843" s="10" t="str">
        <x:v>en</x:v>
      </x:c>
      <x:c r="F843" s="10" t="str">
        <x:v>clothing_shoes_jewelry</x:v>
      </x:c>
      <x:c r="G843" s="15" t="str"/>
      <x:c r="H843" s="15" t="str">
        <x:v>flip_flop</x:v>
      </x:c>
      <x:c r="I843" s="15" t="str"/>
      <x:c r="J843" s="15" t="str"/>
      <x:c r="K843" s="15" t="str"/>
      <x:c r="L843" s="15" t="str"/>
      <x:c r="M843" s="15" t="str"/>
      <x:c r="N843" s="15" t="str"/>
      <x:c r="O843" s="15" t="str"/>
      <x:c r="P843" s="15" t="str"/>
      <x:c r="Q843" s="15" t="str"/>
      <x:c r="R843" s="15" t="str">
        <x:v>用户想找一双蓝色人字拖，可能用于日常休闲穿着。</x:v>
      </x:c>
      <x:c r="S843" s="10" t="str">
        <x:v>exploration</x:v>
      </x:c>
      <x:c r="T843" s="15" t="str">
        <x:v>explicit | page_validated | inferred</x:v>
      </x:c>
      <x:c r="U843" s="10" t="str">
        <x:v>high</x:v>
      </x:c>
      <x:c r="V843" s="15" t="str">
        <x:v>color_flip_flop</x:v>
      </x:c>
      <x:c r="W843" s="15" t="str">
        <x:v>cluster_route</x:v>
      </x:c>
      <x:c r="X843" s="15" t="str">
        <x:v>{"primary_domain":[{"value":"clothing_shoes_jewelry","evidence_type":"inferred","source_span":"flip flop","fact_ids":[],"rationale":"人字拖属于鞋类服饰品类"}],"product_type":[{"value":"flip_flop","evidence_type":"explicit","source_span":"flip flop","fact_ids":[],"rationale":"词面直接写出flip flop"},{"value":"flip_flop","evidence_type":"page_validated","source_span":"","fact_ids":["style_flip_flop"],"rationale":"该槽位与商品基准中的明示页面事实一致。"}]}</x:v>
      </x:c>
      <x:c r="Y843" s="15" t="str"/>
      <x:c r="Z843" s="10" t="str">
        <x:v>match</x:v>
      </x:c>
      <x:c r="AA843" s="15" t="str">
        <x:v>style_flip_flop | colors_visible</x:v>
      </x:c>
      <x:c r="AB843" s="10" t="str">
        <x:v>accepted</x:v>
      </x:c>
      <x:c r="AC843" s="10" t="str">
        <x:v>1.0.0</x:v>
      </x:c>
      <x:c r="AD843" s="10" t="str">
        <x:v>1.1.0</x:v>
      </x:c>
      <x:c r="AE843" s="10" t="str">
        <x:v>deepseek/deepseek-v4-pro</x:v>
      </x:c>
      <x:c r="AF843" s="10" t="str">
        <x:v>aj2-y90-20260714T234810-0bea2f52</x:v>
      </x:c>
      <x:c r="AG843" s="10" t="str">
        <x:v>full-0043</x:v>
      </x:c>
      <x:c r="AH843" s="10" t="str">
        <x:v>full</x:v>
      </x:c>
      <x:c r="AI843" s="10" t="n">
        <x:v>43</x:v>
      </x:c>
    </x:row>
    <x:row r="844" ht="34" customHeight="1">
      <x:c r="A844" s="16" t="str">
        <x:v>women's eva sandals thong</x:v>
      </x:c>
      <x:c r="B844" s="16" t="str">
        <x:v>women's eva sandals thong</x:v>
      </x:c>
      <x:c r="C844" s="13" t="str">
        <x:v>1aa2a59a8adbd4a3</x:v>
      </x:c>
      <x:c r="D844" s="13" t="str">
        <x:v>keyword</x:v>
      </x:c>
      <x:c r="E844" s="13" t="str">
        <x:v>en</x:v>
      </x:c>
      <x:c r="F844" s="13" t="str">
        <x:v>clothing_shoes_jewelry</x:v>
      </x:c>
      <x:c r="G844" s="16" t="str"/>
      <x:c r="H844" s="16" t="str">
        <x:v>sandals | thong_sandal</x:v>
      </x:c>
      <x:c r="I844" s="16" t="str">
        <x:v>women</x:v>
      </x:c>
      <x:c r="J844" s="16" t="str"/>
      <x:c r="K844" s="16" t="str">
        <x:v>eva_material</x:v>
      </x:c>
      <x:c r="L844" s="16" t="str"/>
      <x:c r="M844" s="16" t="str"/>
      <x:c r="N844" s="16" t="str"/>
      <x:c r="O844" s="16" t="str"/>
      <x:c r="P844" s="16" t="str"/>
      <x:c r="Q844" s="16" t="str"/>
      <x:c r="R844" s="16" t="str">
        <x:v>用户寻找女士EVA材质丁字凉鞋，产品完全匹配。</x:v>
      </x:c>
      <x:c r="S844" s="13" t="str">
        <x:v>high_intent</x:v>
      </x:c>
      <x:c r="T844" s="16" t="str">
        <x:v>explicit | page_validated</x:v>
      </x:c>
      <x:c r="U844" s="13" t="str">
        <x:v>high</x:v>
      </x:c>
      <x:c r="V844" s="16" t="str">
        <x:v>eva_thong_sandals_women</x:v>
      </x:c>
      <x:c r="W844" s="16" t="str">
        <x:v>cluster_route</x:v>
      </x:c>
      <x:c r="X844" s="16" t="str">
        <x:v>{"product_type":[{"value":"sandals","evidence_type":"explicit","source_span":"sandals","fact_ids":[],"rationale":"词面直接写出sandals"},{"value":"thong_sandal","evidence_type":"explicit","source_span":"thong","fact_ids":[],"rationale":"词面直接写出thong"},{"value":"sandals","evidence_type":"page_validated","source_span":"","fact_ids":["title_womens_flip_flop"],"rationale":"该槽位与商品基准中的明示页面事实一致。"},{"value":"thong_sandal","evidence_type":"page_validated","source_span":"","fact_ids":["style_thong","style_flip_flop"],"rationale":"该槽位与商品基准中的明示页面事实一致。"},{"value":"thong_sandal","evidence_type":"inferred","source_span":"","fact_ids":[],"rationale":"该能力由搜索词表达的任务或问题推断；页面事实仅用于验证商品承接。"}],"audience_intent":[{"value":"women","evidence_type":"explicit","source_span":"women","fact_ids":[],"rationale":"词面明确写出women"},{"value":"women","evidence_type":"page_validated","source_span":"","fact_ids":["title_womens_flip_flop"],"rationale":"该槽位与商品基准中的明示页面事实一致。"}],"capability_intent":[{"value":"eva_material","evidence_type":"explicit","source_span":"eva","fact_ids":[],"rationale":"词面明确写出eva"}],"primary_domain":[{"value":"clothing_shoes_jewelry","evidence_type":"inferred","source_span":"","fact_ids":[],"rationale":"该值由搜索词整体语义推断，未作为页面明示属性。"}]}</x:v>
      </x:c>
      <x:c r="Y844" s="16" t="str"/>
      <x:c r="Z844" s="13" t="str">
        <x:v>match</x:v>
      </x:c>
      <x:c r="AA844" s="16" t="str">
        <x:v>title_womens_flip_flop | material_eva | style_flip_flop | style_thong</x:v>
      </x:c>
      <x:c r="AB844" s="13" t="str">
        <x:v>accepted</x:v>
      </x:c>
      <x:c r="AC844" s="13" t="str">
        <x:v>1.0.0</x:v>
      </x:c>
      <x:c r="AD844" s="13" t="str">
        <x:v>1.1.0</x:v>
      </x:c>
      <x:c r="AE844" s="13" t="str">
        <x:v>deepseek/deepseek-v4-pro</x:v>
      </x:c>
      <x:c r="AF844" s="13" t="str">
        <x:v>aj2-y90-20260714T234810-0bea2f52</x:v>
      </x:c>
      <x:c r="AG844" s="13" t="str">
        <x:v>full-0043</x:v>
      </x:c>
      <x:c r="AH844" s="13" t="str">
        <x:v>full</x:v>
      </x:c>
      <x:c r="AI844" s="13" t="n">
        <x:v>43</x:v>
      </x:c>
    </x:row>
    <x:row r="845" ht="34" customHeight="1">
      <x:c r="A845" s="15" t="str">
        <x:v>womens flip flops with good arch support</x:v>
      </x:c>
      <x:c r="B845" s="15" t="str">
        <x:v>womens flip flops with good arch support</x:v>
      </x:c>
      <x:c r="C845" s="10" t="str">
        <x:v>37821d5e6fdd7c15</x:v>
      </x:c>
      <x:c r="D845" s="10" t="str">
        <x:v>keyword</x:v>
      </x:c>
      <x:c r="E845" s="10" t="str">
        <x:v>en</x:v>
      </x:c>
      <x:c r="F845" s="10" t="str">
        <x:v>clothing_shoes_jewelry</x:v>
      </x:c>
      <x:c r="G845" s="15" t="str"/>
      <x:c r="H845" s="15" t="str">
        <x:v>flip_flop</x:v>
      </x:c>
      <x:c r="I845" s="15" t="str">
        <x:v>women</x:v>
      </x:c>
      <x:c r="J845" s="15" t="str"/>
      <x:c r="K845" s="15" t="str">
        <x:v>arch_support</x:v>
      </x:c>
      <x:c r="L845" s="15" t="str"/>
      <x:c r="M845" s="15" t="str"/>
      <x:c r="N845" s="15" t="str">
        <x:v>arch_support</x:v>
      </x:c>
      <x:c r="O845" s="15" t="str"/>
      <x:c r="P845" s="15" t="str"/>
      <x:c r="Q845" s="15" t="str"/>
      <x:c r="R845" s="15" t="str">
        <x:v>用户寻找有良好足弓支撑的女士人字拖，产品核心卖点完全匹配。</x:v>
      </x:c>
      <x:c r="S845" s="10" t="str">
        <x:v>high_intent</x:v>
      </x:c>
      <x:c r="T845" s="15" t="str">
        <x:v>explicit | page_validated</x:v>
      </x:c>
      <x:c r="U845" s="10" t="str">
        <x:v>high</x:v>
      </x:c>
      <x:c r="V845" s="15" t="str">
        <x:v>arch_support_flip_flops_women</x:v>
      </x:c>
      <x:c r="W845" s="15" t="str">
        <x:v>cluster_route</x:v>
      </x:c>
      <x:c r="X845" s="15" t="str">
        <x:v>{"product_type":[{"value":"flip_flop","evidence_type":"explicit","source_span":"flip flops","fact_ids":[],"rationale":"词面直接写出flip flops"},{"value":"flip_flop","evidence_type":"page_validated","source_span":"","fact_ids":["style_flip_flop"],"rationale":"该槽位与商品基准中的明示页面事实一致。"}],"audience_intent":[{"value":"women","evidence_type":"explicit","source_span":"womens","fact_ids":[],"rationale":"词面明确写出womens"},{"value":"women","evidence_type":"page_validated","source_span":"","fact_ids":["title_womens_flip_flop"],"rationale":"该槽位与商品基准中的明示页面事实一致。"}],"capability_intent":[{"value":"arch_support","evidence_type":"explicit","source_span":"arch support","fact_ids":[],"rationale":"词面明确写出arch support"},{"value":"arch_support","evidence_type":"page_validated","source_span":"","fact_ids":["arch_support"],"rationale":"该槽位与商品基准中的明示页面事实一致。"}],"primary_domain":[{"value":"clothing_shoes_jewelry","evidence_type":"inferred","source_span":"","fact_ids":[],"rationale":"该值由搜索词整体语义推断，未作为页面明示属性。"}]}</x:v>
      </x:c>
      <x:c r="Y845" s="15" t="str"/>
      <x:c r="Z845" s="10" t="str">
        <x:v>match</x:v>
      </x:c>
      <x:c r="AA845" s="15" t="str">
        <x:v>title_womens_flip_flop | arch_support | style_flip_flop</x:v>
      </x:c>
      <x:c r="AB845" s="10" t="str">
        <x:v>accepted</x:v>
      </x:c>
      <x:c r="AC845" s="10" t="str">
        <x:v>1.0.0</x:v>
      </x:c>
      <x:c r="AD845" s="10" t="str">
        <x:v>1.1.0</x:v>
      </x:c>
      <x:c r="AE845" s="10" t="str">
        <x:v>deepseek/deepseek-v4-pro</x:v>
      </x:c>
      <x:c r="AF845" s="10" t="str">
        <x:v>aj2-y90-20260714T234810-0bea2f52</x:v>
      </x:c>
      <x:c r="AG845" s="10" t="str">
        <x:v>full-0043</x:v>
      </x:c>
      <x:c r="AH845" s="10" t="str">
        <x:v>full</x:v>
      </x:c>
      <x:c r="AI845" s="10" t="n">
        <x:v>43</x:v>
      </x:c>
    </x:row>
    <x:row r="846" ht="34" customHeight="1">
      <x:c r="A846" s="16" t="str">
        <x:v>blue sandals for women</x:v>
      </x:c>
      <x:c r="B846" s="16" t="str">
        <x:v>blue sandals for women</x:v>
      </x:c>
      <x:c r="C846" s="13" t="str">
        <x:v>3889a282ff0bd955</x:v>
      </x:c>
      <x:c r="D846" s="13" t="str">
        <x:v>keyword</x:v>
      </x:c>
      <x:c r="E846" s="13" t="str">
        <x:v>en</x:v>
      </x:c>
      <x:c r="F846" s="13" t="str">
        <x:v>clothing_shoes_jewelry</x:v>
      </x:c>
      <x:c r="G846" s="16" t="str"/>
      <x:c r="H846" s="16" t="str">
        <x:v>sandals</x:v>
      </x:c>
      <x:c r="I846" s="16" t="str">
        <x:v>women</x:v>
      </x:c>
      <x:c r="J846" s="16" t="str"/>
      <x:c r="K846" s="16" t="str"/>
      <x:c r="L846" s="16" t="str"/>
      <x:c r="M846" s="16" t="str"/>
      <x:c r="N846" s="16" t="str"/>
      <x:c r="O846" s="16" t="str"/>
      <x:c r="P846" s="16" t="str"/>
      <x:c r="Q846" s="16" t="str"/>
      <x:c r="R846" s="16" t="str">
        <x:v>用户寻找女士蓝色凉鞋，产品蓝色系人字拖凉鞋可满足需求。</x:v>
      </x:c>
      <x:c r="S846" s="13" t="str">
        <x:v>exploration</x:v>
      </x:c>
      <x:c r="T846" s="16" t="str">
        <x:v>explicit | page_validated</x:v>
      </x:c>
      <x:c r="U846" s="13" t="str">
        <x:v>high</x:v>
      </x:c>
      <x:c r="V846" s="16" t="str">
        <x:v>blue_sandals_women</x:v>
      </x:c>
      <x:c r="W846" s="16" t="str">
        <x:v>cluster_route</x:v>
      </x:c>
      <x:c r="X846" s="16" t="str">
        <x:v>{"product_type":[{"value":"sandals","evidence_type":"explicit","source_span":"sandals","fact_ids":[],"rationale":"词面直接写出sandals"},{"value":"sandals","evidence_type":"page_validated","source_span":"","fact_ids":["title_womens_flip_flop"],"rationale":"该槽位与商品基准中的明示页面事实一致。"}],"audience_intent":[{"value":"women","evidence_type":"explicit","source_span":"women","fact_ids":[],"rationale":"词面明确写出women"},{"value":"women","evidence_type":"page_validated","source_span":"","fact_ids":["title_womens_flip_flop"],"rationale":"该槽位与商品基准中的明示页面事实一致。"}],"primary_domain":[{"value":"clothing_shoes_jewelry","evidence_type":"inferred","source_span":"","fact_ids":[],"rationale":"该值由搜索词整体语义推断，未作为页面明示属性。"}]}</x:v>
      </x:c>
      <x:c r="Y846" s="16" t="str"/>
      <x:c r="Z846" s="13" t="str">
        <x:v>match</x:v>
      </x:c>
      <x:c r="AA846" s="16" t="str">
        <x:v>title_womens_flip_flop | style_flip_flop | colors_visible</x:v>
      </x:c>
      <x:c r="AB846" s="13" t="str">
        <x:v>accepted</x:v>
      </x:c>
      <x:c r="AC846" s="13" t="str">
        <x:v>1.0.0</x:v>
      </x:c>
      <x:c r="AD846" s="13" t="str">
        <x:v>1.1.0</x:v>
      </x:c>
      <x:c r="AE846" s="13" t="str">
        <x:v>deepseek/deepseek-v4-pro</x:v>
      </x:c>
      <x:c r="AF846" s="13" t="str">
        <x:v>aj2-y90-20260714T234810-0bea2f52</x:v>
      </x:c>
      <x:c r="AG846" s="13" t="str">
        <x:v>full-0043</x:v>
      </x:c>
      <x:c r="AH846" s="13" t="str">
        <x:v>full</x:v>
      </x:c>
      <x:c r="AI846" s="13" t="n">
        <x:v>43</x:v>
      </x:c>
    </x:row>
    <x:row r="847" ht="34" customHeight="1">
      <x:c r="A847" s="15" t="str">
        <x:v>joomra women's arch support flip flops orthopedic plantar fasciitis thong sandals 200+ bought in past month 7+ hear the highlights 1:39</x:v>
      </x:c>
      <x:c r="B847" s="15" t="str">
        <x:v>joomra women's arch support flip flops orthopedic plantar fasciitis thong sandals 200+ bought in past month 7+ hear the highlights 1:39</x:v>
      </x:c>
      <x:c r="C847" s="10" t="str">
        <x:v>3953433afa7bc05c</x:v>
      </x:c>
      <x:c r="D847" s="10" t="str">
        <x:v>keyword</x:v>
      </x:c>
      <x:c r="E847" s="10" t="str">
        <x:v>en</x:v>
      </x:c>
      <x:c r="F847" s="10" t="str">
        <x:v>clothing_shoes_jewelry</x:v>
      </x:c>
      <x:c r="G847" s="15" t="str"/>
      <x:c r="H847" s="15" t="str">
        <x:v>flip_flop | thong_sandal</x:v>
      </x:c>
      <x:c r="I847" s="15" t="str">
        <x:v>women</x:v>
      </x:c>
      <x:c r="J847" s="15" t="str"/>
      <x:c r="K847" s="15" t="str">
        <x:v>arch_support</x:v>
      </x:c>
      <x:c r="L847" s="15" t="str"/>
      <x:c r="M847" s="15" t="str"/>
      <x:c r="N847" s="15" t="str">
        <x:v>arch_support | plantar_fasciitis</x:v>
      </x:c>
      <x:c r="O847" s="15" t="str"/>
      <x:c r="P847" s="15" t="str"/>
      <x:c r="Q847" s="15" t="str"/>
      <x:c r="R847" s="15" t="str">
        <x:v>用户精准搜索Joomra品牌女士足弓支撑人字拖，并关联足底筋膜炎需求。</x:v>
      </x:c>
      <x:c r="S847" s="10" t="str">
        <x:v>brand_harvest</x:v>
      </x:c>
      <x:c r="T847" s="15" t="str">
        <x:v>explicit | page_validated</x:v>
      </x:c>
      <x:c r="U847" s="10" t="str">
        <x:v>high</x:v>
      </x:c>
      <x:c r="V847" s="15" t="str">
        <x:v>joomra_arch_support_flip_flop_brand</x:v>
      </x:c>
      <x:c r="W847" s="15" t="str">
        <x:v>cluster_route</x:v>
      </x:c>
      <x:c r="X847" s="15" t="str">
        <x:v>{"product_type":[{"value":"flip_flop","evidence_type":"explicit","source_span":"flip flops","fact_ids":[],"rationale":"词面直接写出flip flops"},{"value":"thong_sandal","evidence_type":"explicit","source_span":"thong sandals","fact_ids":[],"rationale":"词面直接写出thong sandals"},{"value":"flip_flop","evidence_type":"page_validated","source_span":"","fact_ids":["style_flip_flop"],"rationale":"该槽位与商品基准中的明示页面事实一致。"},{"value":"thong_sandal","evidence_type":"page_validated","source_span":"","fact_ids":["style_thong","style_flip_flop"],"rationale":"该槽位与商品基准中的明示页面事实一致。"}],"audience_intent":[{"value":"women","evidence_type":"explicit","source_span":"women","fact_ids":[],"rationale":"词面明确写出women"},{"value":"women","evidence_type":"page_validated","source_span":"","fact_ids":["title_womens_flip_flop"],"rationale":"该槽位与商品基准中的明示页面事实一致。"}],"capability_intent":[{"value":"arch_support","evidence_type":"explicit","source_span":"arch support","fact_ids":[],"rationale":"词面明确写出arch support"},{"value":"arch_support","evidence_type":"page_validated","source_span":"","fact_ids":["arch_support"],"rationale":"该槽位与商品基准中的明示页面事实一致。"}],"body_need_intent":[{"value":"plantar_fasciitis","evidence_type":"explicit","source_span":"plantar fasciitis","fact_ids":[],"rationale":"词面明确写出plantar fasciitis"}],"primary_domain":[{"value":"clothing_shoes_jewelry","evidence_type":"inferred","source_span":"","fact_ids":[],"rationale":"该值由搜索词整体语义推断，未作为页面明示属性。"}],"brand":[{"value":"joomra","evidence_type":"explicit","source_span":"joomra","fact_ids":[],"rationale":"搜索词明确包含品牌名称。"}]}</x:v>
      </x:c>
      <x:c r="Y847" s="15" t="str">
        <x:v>plantar_fasciitis_claim_not_page_validated</x:v>
      </x:c>
      <x:c r="Z847" s="10" t="str">
        <x:v>match</x:v>
      </x:c>
      <x:c r="AA847" s="15" t="str">
        <x:v>title_womens_flip_flop | arch_support | style_flip_flop | style_thong</x:v>
      </x:c>
      <x:c r="AB847" s="10" t="str">
        <x:v>accepted</x:v>
      </x:c>
      <x:c r="AC847" s="10" t="str">
        <x:v>1.0.0</x:v>
      </x:c>
      <x:c r="AD847" s="10" t="str">
        <x:v>1.1.0</x:v>
      </x:c>
      <x:c r="AE847" s="10" t="str">
        <x:v>deepseek/deepseek-v4-pro</x:v>
      </x:c>
      <x:c r="AF847" s="10" t="str">
        <x:v>aj2-y90-20260714T234810-0bea2f52</x:v>
      </x:c>
      <x:c r="AG847" s="10" t="str">
        <x:v>full-0043</x:v>
      </x:c>
      <x:c r="AH847" s="10" t="str">
        <x:v>full</x:v>
      </x:c>
      <x:c r="AI847" s="10" t="n">
        <x:v>43</x:v>
      </x:c>
    </x:row>
    <x:row r="848" ht="34" customHeight="1">
      <x:c r="A848" s="16" t="str">
        <x:v>litfun recovery slides</x:v>
      </x:c>
      <x:c r="B848" s="16" t="str">
        <x:v>litfun recovery slides</x:v>
      </x:c>
      <x:c r="C848" s="13" t="str">
        <x:v>3e198ea2991ff405</x:v>
      </x:c>
      <x:c r="D848" s="13" t="str">
        <x:v>keyword</x:v>
      </x:c>
      <x:c r="E848" s="13" t="str">
        <x:v>en</x:v>
      </x:c>
      <x:c r="F848" s="13" t="str">
        <x:v>clothing_shoes_jewelry</x:v>
      </x:c>
      <x:c r="G848" s="16" t="str"/>
      <x:c r="H848" s="16" t="str">
        <x:v>slides</x:v>
      </x:c>
      <x:c r="I848" s="16" t="str"/>
      <x:c r="J848" s="16" t="str">
        <x:v>recovery</x:v>
      </x:c>
      <x:c r="K848" s="16" t="str"/>
      <x:c r="L848" s="16" t="str"/>
      <x:c r="M848" s="16" t="str"/>
      <x:c r="N848" s="16" t="str">
        <x:v>recovery</x:v>
      </x:c>
      <x:c r="O848" s="16" t="str"/>
      <x:c r="P848" s="16" t="str"/>
      <x:c r="Q848" s="16" t="str"/>
      <x:c r="R848" s="16" t="str">
        <x:v>用户搜索Litfun品牌恢复拖鞋，与人字拖是不同的鞋型品类。</x:v>
      </x:c>
      <x:c r="S848" s="13" t="str">
        <x:v>consideration</x:v>
      </x:c>
      <x:c r="T848" s="16" t="str">
        <x:v>explicit | inferred</x:v>
      </x:c>
      <x:c r="U848" s="13" t="str">
        <x:v>high</x:v>
      </x:c>
      <x:c r="V848" s="16" t="str">
        <x:v>litfun_recovery_slides</x:v>
      </x:c>
      <x:c r="W848" s="16" t="str">
        <x:v>semantic_negative_candidate</x:v>
      </x:c>
      <x:c r="X848" s="16" t="str">
        <x:v>{"product_type":[{"value":"slides","evidence_type":"explicit","source_span":"slides","fact_ids":[],"rationale":"词面直接写出slides"}],"function_intent":[{"value":"recovery","evidence_type":"explicit","source_span":"recovery","fact_ids":[],"rationale":"词面明确写出recovery"}],"body_need_intent":[{"value":"recovery","evidence_type":"explicit","source_span":"recovery","fact_ids":[],"rationale":"恢复是明确的脚部需求"}],"primary_domain":[{"value":"clothing_shoes_jewelry","evidence_type":"inferred","source_span":"","fact_ids":[],"rationale":"该值由搜索词整体语义推断，未作为页面明示属性。"}]}</x:v>
      </x:c>
      <x:c r="Y848" s="16" t="str"/>
      <x:c r="Z848" s="13" t="str">
        <x:v>mismatch</x:v>
      </x:c>
      <x:c r="AA848" s="16" t="str">
        <x:v>style_flip_flop | style_thong</x:v>
      </x:c>
      <x:c r="AB848" s="13" t="str">
        <x:v>accepted</x:v>
      </x:c>
      <x:c r="AC848" s="13" t="str">
        <x:v>1.0.0</x:v>
      </x:c>
      <x:c r="AD848" s="13" t="str">
        <x:v>1.1.0</x:v>
      </x:c>
      <x:c r="AE848" s="13" t="str">
        <x:v>deepseek/deepseek-v4-pro</x:v>
      </x:c>
      <x:c r="AF848" s="13" t="str">
        <x:v>aj2-y90-20260714T234810-0bea2f52</x:v>
      </x:c>
      <x:c r="AG848" s="13" t="str">
        <x:v>full-0043</x:v>
      </x:c>
      <x:c r="AH848" s="13" t="str">
        <x:v>full</x:v>
      </x:c>
      <x:c r="AI848" s="13" t="n">
        <x:v>43</x:v>
      </x:c>
    </x:row>
    <x:row r="849" ht="34" customHeight="1">
      <x:c r="A849" s="15" t="str">
        <x:v>walking flip flops for women with arch support</x:v>
      </x:c>
      <x:c r="B849" s="15" t="str">
        <x:v>walking flip flops for women with arch support</x:v>
      </x:c>
      <x:c r="C849" s="10" t="str">
        <x:v>5737897755f81b2b</x:v>
      </x:c>
      <x:c r="D849" s="10" t="str">
        <x:v>keyword</x:v>
      </x:c>
      <x:c r="E849" s="10" t="str">
        <x:v>en</x:v>
      </x:c>
      <x:c r="F849" s="10" t="str">
        <x:v>clothing_shoes_jewelry</x:v>
      </x:c>
      <x:c r="G849" s="15" t="str">
        <x:v>sports_outdoors</x:v>
      </x:c>
      <x:c r="H849" s="15" t="str">
        <x:v>flip_flop</x:v>
      </x:c>
      <x:c r="I849" s="15" t="str">
        <x:v>women</x:v>
      </x:c>
      <x:c r="J849" s="15" t="str">
        <x:v>walking</x:v>
      </x:c>
      <x:c r="K849" s="15" t="str">
        <x:v>arch_support</x:v>
      </x:c>
      <x:c r="L849" s="15" t="str"/>
      <x:c r="M849" s="15" t="str"/>
      <x:c r="N849" s="15" t="str">
        <x:v>arch_support</x:v>
      </x:c>
      <x:c r="O849" s="15" t="str"/>
      <x:c r="P849" s="15" t="str"/>
      <x:c r="Q849" s="15" t="str"/>
      <x:c r="R849" s="15" t="str">
        <x:v>用户需要一双适合女性走路且提供足弓支撑的人字拖，兼顾舒适与功能。</x:v>
      </x:c>
      <x:c r="S849" s="10" t="str">
        <x:v>high_intent</x:v>
      </x:c>
      <x:c r="T849" s="15" t="str">
        <x:v>explicit | page_validated</x:v>
      </x:c>
      <x:c r="U849" s="10" t="str">
        <x:v>high</x:v>
      </x:c>
      <x:c r="V849" s="15" t="str">
        <x:v>walking_arch_support_flip_flop_women</x:v>
      </x:c>
      <x:c r="W849" s="15" t="str">
        <x:v>cluster_route</x:v>
      </x:c>
      <x:c r="X849" s="15" t="str">
        <x:v>{"product_type":[{"value":"flip_flop","evidence_type":"explicit","source_span":"flip flops","fact_ids":[],"rationale":"词面直接写出flip flops"},{"value":"flip_flop","evidence_type":"page_validated","source_span":"","fact_ids":["style_flip_flop"],"rationale":"该槽位与商品基准中的明示页面事实一致。"}],"audience_intent":[{"value":"women","evidence_type":"explicit","source_span":"women","fact_ids":[],"rationale":"词面明确写出women"},{"value":"women","evidence_type":"page_validated","source_span":"","fact_ids":["title_womens_flip_flop"],"rationale":"该槽位与商品基准中的明示页面事实一致。"}],"function_intent":[{"value":"walking","evidence_type":"explicit","source_span":"walking","fact_ids":[],"rationale":"词面明确写出walking"}],"capability_intent":[{"value":"arch_support","evidence_type":"explicit","source_span":"arch support","fact_ids":[],"rationale":"词面明确写出arch support"},{"value":"arch_support","evidence_type":"page_validated","source_span":"","fact_ids":["arch_support"],"rationale":"该槽位与商品基准中的明示页面事实一致。"}],"primary_domain":[{"value":"clothing_shoes_jewelry","evidence_type":"inferred","source_span":"","fact_ids":[],"rationale":"该值由搜索词整体语义推断，未作为页面明示属性。"}],"secondary_domain":[{"value":"sports_outdoors","evidence_type":"inferred","source_span":"","fact_ids":[],"rationale":"该值由搜索词整体语义推断，未作为页面明示属性。"}]}</x:v>
      </x:c>
      <x:c r="Y849" s="15" t="str"/>
      <x:c r="Z849" s="10" t="str">
        <x:v>match</x:v>
      </x:c>
      <x:c r="AA849" s="15" t="str">
        <x:v>title_womens_flip_flop | arch_support | style_flip_flop | style_outdoor</x:v>
      </x:c>
      <x:c r="AB849" s="10" t="str">
        <x:v>accepted</x:v>
      </x:c>
      <x:c r="AC849" s="10" t="str">
        <x:v>1.0.0</x:v>
      </x:c>
      <x:c r="AD849" s="10" t="str">
        <x:v>1.1.0</x:v>
      </x:c>
      <x:c r="AE849" s="10" t="str">
        <x:v>deepseek/deepseek-v4-pro</x:v>
      </x:c>
      <x:c r="AF849" s="10" t="str">
        <x:v>aj2-y90-20260714T234810-0bea2f52</x:v>
      </x:c>
      <x:c r="AG849" s="10" t="str">
        <x:v>full-0043</x:v>
      </x:c>
      <x:c r="AH849" s="10" t="str">
        <x:v>full</x:v>
      </x:c>
      <x:c r="AI849" s="10" t="n">
        <x:v>43</x:v>
      </x:c>
    </x:row>
    <x:row r="850" ht="34" customHeight="1">
      <x:c r="A850" s="16" t="str">
        <x:v>burgundy flip flops</x:v>
      </x:c>
      <x:c r="B850" s="16" t="str">
        <x:v>burgundy flip flops</x:v>
      </x:c>
      <x:c r="C850" s="13" t="str">
        <x:v>59d6bd1060aa8044</x:v>
      </x:c>
      <x:c r="D850" s="13" t="str">
        <x:v>keyword</x:v>
      </x:c>
      <x:c r="E850" s="13" t="str">
        <x:v>en</x:v>
      </x:c>
      <x:c r="F850" s="13" t="str">
        <x:v>clothing_shoes_jewelry</x:v>
      </x:c>
      <x:c r="G850" s="16" t="str"/>
      <x:c r="H850" s="16" t="str">
        <x:v>flip_flop</x:v>
      </x:c>
      <x:c r="I850" s="16" t="str"/>
      <x:c r="J850" s="16" t="str"/>
      <x:c r="K850" s="16" t="str"/>
      <x:c r="L850" s="16" t="str"/>
      <x:c r="M850" s="16" t="str"/>
      <x:c r="N850" s="16" t="str"/>
      <x:c r="O850" s="16" t="str"/>
      <x:c r="P850" s="16" t="str"/>
      <x:c r="Q850" s="16" t="str"/>
      <x:c r="R850" s="16" t="str">
        <x:v>用户寻找酒红色人字拖，产品有此款式但缺少该颜色选项。</x:v>
      </x:c>
      <x:c r="S850" s="13" t="str">
        <x:v>exploration</x:v>
      </x:c>
      <x:c r="T850" s="16" t="str">
        <x:v>explicit | inferred</x:v>
      </x:c>
      <x:c r="U850" s="13" t="str">
        <x:v>high</x:v>
      </x:c>
      <x:c r="V850" s="16" t="str">
        <x:v>burgundy_flip_flops</x:v>
      </x:c>
      <x:c r="W850" s="16" t="str">
        <x:v>listing_gap_review</x:v>
      </x:c>
      <x:c r="X850" s="16" t="str">
        <x:v>{"product_type":[{"value":"flip_flop","evidence_type":"explicit","source_span":"flip flops","fact_ids":[],"rationale":"词面直接写出flip flops"},{"value":"flip_flop","evidence_type":"page_validated","source_span":"","fact_ids":["style_flip_flop"],"rationale":"该槽位与商品基准中的明示页面事实一致。"}],"primary_domain":[{"value":"clothing_shoes_jewelry","evidence_type":"inferred","source_span":"","fact_ids":[],"rationale":"该值由搜索词整体语义推断，未作为页面明示属性。"}]}</x:v>
      </x:c>
      <x:c r="Y850" s="16" t="str"/>
      <x:c r="Z850" s="13" t="str">
        <x:v>partial_match</x:v>
      </x:c>
      <x:c r="AA850" s="16" t="str">
        <x:v>style_flip_flop</x:v>
      </x:c>
      <x:c r="AB850" s="13" t="str">
        <x:v>accepted</x:v>
      </x:c>
      <x:c r="AC850" s="13" t="str">
        <x:v>1.0.0</x:v>
      </x:c>
      <x:c r="AD850" s="13" t="str">
        <x:v>1.1.0</x:v>
      </x:c>
      <x:c r="AE850" s="13" t="str">
        <x:v>deepseek/deepseek-v4-pro</x:v>
      </x:c>
      <x:c r="AF850" s="13" t="str">
        <x:v>aj2-y90-20260714T234810-0bea2f52</x:v>
      </x:c>
      <x:c r="AG850" s="13" t="str">
        <x:v>full-0043</x:v>
      </x:c>
      <x:c r="AH850" s="13" t="str">
        <x:v>full</x:v>
      </x:c>
      <x:c r="AI850" s="13" t="n">
        <x:v>43</x:v>
      </x:c>
    </x:row>
    <x:row r="851" ht="34" customHeight="1">
      <x:c r="A851" s="15" t="str">
        <x:v>black flip flops for women soft</x:v>
      </x:c>
      <x:c r="B851" s="15" t="str">
        <x:v>black flip flops for women soft</x:v>
      </x:c>
      <x:c r="C851" s="10" t="str">
        <x:v>66fabd11f53503ab</x:v>
      </x:c>
      <x:c r="D851" s="10" t="str">
        <x:v>keyword</x:v>
      </x:c>
      <x:c r="E851" s="10" t="str">
        <x:v>en</x:v>
      </x:c>
      <x:c r="F851" s="10" t="str">
        <x:v>clothing_shoes_jewelry</x:v>
      </x:c>
      <x:c r="G851" s="15" t="str"/>
      <x:c r="H851" s="15" t="str">
        <x:v>flip_flop</x:v>
      </x:c>
      <x:c r="I851" s="15" t="str">
        <x:v>women</x:v>
      </x:c>
      <x:c r="J851" s="15" t="str"/>
      <x:c r="K851" s="15" t="str">
        <x:v>soft</x:v>
      </x:c>
      <x:c r="L851" s="15" t="str"/>
      <x:c r="M851" s="15" t="str"/>
      <x:c r="N851" s="15" t="str"/>
      <x:c r="O851" s="15" t="str"/>
      <x:c r="P851" s="15" t="str"/>
      <x:c r="Q851" s="15" t="str"/>
      <x:c r="R851" s="15" t="str">
        <x:v>用户需要黑色女士柔软人字拖，产品黑色可选且有软趾柱与缓冲垫。</x:v>
      </x:c>
      <x:c r="S851" s="10" t="str">
        <x:v>high_intent</x:v>
      </x:c>
      <x:c r="T851" s="15" t="str">
        <x:v>explicit | page_validated</x:v>
      </x:c>
      <x:c r="U851" s="10" t="str">
        <x:v>high</x:v>
      </x:c>
      <x:c r="V851" s="15" t="str">
        <x:v>black_soft_flip_flops_women</x:v>
      </x:c>
      <x:c r="W851" s="15" t="str">
        <x:v>cluster_route</x:v>
      </x:c>
      <x:c r="X851" s="15" t="str">
        <x:v>{"product_type":[{"value":"flip_flop","evidence_type":"explicit","source_span":"flip flops","fact_ids":[],"rationale":"词面直接写出flip flops"},{"value":"flip_flop","evidence_type":"page_validated","source_span":"","fact_ids":["style_flip_flop"],"rationale":"该槽位与商品基准中的明示页面事实一致。"}],"audience_intent":[{"value":"women","evidence_type":"explicit","source_span":"women","fact_ids":[],"rationale":"词面明确写出women"},{"value":"women","evidence_type":"page_validated","source_span":"","fact_ids":["title_womens_flip_flop"],"rationale":"该槽位与商品基准中的明示页面事实一致。"}],"capability_intent":[{"value":"soft","evidence_type":"explicit","source_span":"soft","fact_ids":[],"rationale":"词面明确写出soft"}],"primary_domain":[{"value":"clothing_shoes_jewelry","evidence_type":"inferred","source_span":"","fact_ids":[],"rationale":"该值由搜索词整体语义推断，未作为页面明示属性。"}]}</x:v>
      </x:c>
      <x:c r="Y851" s="15" t="str"/>
      <x:c r="Z851" s="10" t="str">
        <x:v>match</x:v>
      </x:c>
      <x:c r="AA851" s="15" t="str">
        <x:v>title_womens_flip_flop | style_flip_flop | colors_visible | soft_toe_post | padded_cushioning</x:v>
      </x:c>
      <x:c r="AB851" s="10" t="str">
        <x:v>accepted</x:v>
      </x:c>
      <x:c r="AC851" s="10" t="str">
        <x:v>1.0.0</x:v>
      </x:c>
      <x:c r="AD851" s="10" t="str">
        <x:v>1.1.0</x:v>
      </x:c>
      <x:c r="AE851" s="10" t="str">
        <x:v>deepseek/deepseek-v4-pro</x:v>
      </x:c>
      <x:c r="AF851" s="10" t="str">
        <x:v>aj2-y90-20260714T234810-0bea2f52</x:v>
      </x:c>
      <x:c r="AG851" s="10" t="str">
        <x:v>full-0043</x:v>
      </x:c>
      <x:c r="AH851" s="10" t="str">
        <x:v>full</x:v>
      </x:c>
      <x:c r="AI851" s="10" t="n">
        <x:v>43</x:v>
      </x:c>
    </x:row>
    <x:row r="852" ht="34" customHeight="1">
      <x:c r="A852" s="16" t="str">
        <x:v>reed rubber sandals women</x:v>
      </x:c>
      <x:c r="B852" s="16" t="str">
        <x:v>reed rubber sandals women</x:v>
      </x:c>
      <x:c r="C852" s="13" t="str">
        <x:v>7091bdaa8f801fc2</x:v>
      </x:c>
      <x:c r="D852" s="13" t="str">
        <x:v>keyword</x:v>
      </x:c>
      <x:c r="E852" s="13" t="str">
        <x:v>en</x:v>
      </x:c>
      <x:c r="F852" s="13" t="str">
        <x:v>clothing_shoes_jewelry</x:v>
      </x:c>
      <x:c r="G852" s="16" t="str"/>
      <x:c r="H852" s="16" t="str">
        <x:v>sandals</x:v>
      </x:c>
      <x:c r="I852" s="16" t="str">
        <x:v>women</x:v>
      </x:c>
      <x:c r="J852" s="16" t="str"/>
      <x:c r="K852" s="16" t="str"/>
      <x:c r="L852" s="16" t="str"/>
      <x:c r="M852" s="16" t="str"/>
      <x:c r="N852" s="16" t="str"/>
      <x:c r="O852" s="16" t="str"/>
      <x:c r="P852" s="16" t="str"/>
      <x:c r="Q852" s="16" t="str"/>
      <x:c r="R852" s="16" t="str">
        <x:v>用户寻找女士芦苇橡胶凉鞋，可能偏好天然或特定材质。</x:v>
      </x:c>
      <x:c r="S852" s="13" t="str">
        <x:v>exploration</x:v>
      </x:c>
      <x:c r="T852" s="16" t="str">
        <x:v>explicit | inferred</x:v>
      </x:c>
      <x:c r="U852" s="13" t="str">
        <x:v>medium</x:v>
      </x:c>
      <x:c r="V852" s="16" t="str">
        <x:v>reed_rubber_sandals_women</x:v>
      </x:c>
      <x:c r="W852" s="16" t="str">
        <x:v>listing_gap_review</x:v>
      </x:c>
      <x:c r="X852" s="16" t="str">
        <x:v>{"product_type":[{"value":"sandals","evidence_type":"explicit","source_span":"sandals","fact_ids":[],"rationale":"词面直接写出sandals"},{"value":"sandals","evidence_type":"page_validated","source_span":"","fact_ids":["title_womens_flip_flop"],"rationale":"该槽位与商品基准中的明示页面事实一致。"}],"audience_intent":[{"value":"women","evidence_type":"explicit","source_span":"women","fact_ids":[],"rationale":"词面明确写出women"},{"value":"women","evidence_type":"page_validated","source_span":"","fact_ids":["title_womens_flip_flop"],"rationale":"该槽位与商品基准中的明示页面事实一致。"}],"primary_domain":[{"value":"clothing_shoes_jewelry","evidence_type":"inferred","source_span":"","fact_ids":[],"rationale":"该值由搜索词整体语义推断，未作为页面明示属性。"}]}</x:v>
      </x:c>
      <x:c r="Y852" s="16" t="str">
        <x:v>material_mismatch_reed_rubber_vs_eva</x:v>
      </x:c>
      <x:c r="Z852" s="13" t="str">
        <x:v>partial_match</x:v>
      </x:c>
      <x:c r="AA852" s="16" t="str">
        <x:v>title_womens_flip_flop | style_flip_flop</x:v>
      </x:c>
      <x:c r="AB852" s="13" t="str">
        <x:v>accepted</x:v>
      </x:c>
      <x:c r="AC852" s="13" t="str">
        <x:v>1.0.0</x:v>
      </x:c>
      <x:c r="AD852" s="13" t="str">
        <x:v>1.1.0</x:v>
      </x:c>
      <x:c r="AE852" s="13" t="str">
        <x:v>deepseek/deepseek-v4-pro</x:v>
      </x:c>
      <x:c r="AF852" s="13" t="str">
        <x:v>aj2-y90-20260714T234810-0bea2f52</x:v>
      </x:c>
      <x:c r="AG852" s="13" t="str">
        <x:v>full-0043</x:v>
      </x:c>
      <x:c r="AH852" s="13" t="str">
        <x:v>full</x:v>
      </x:c>
      <x:c r="AI852" s="13" t="n">
        <x:v>43</x:v>
      </x:c>
    </x:row>
    <x:row r="853" ht="34" customHeight="1">
      <x:c r="A853" s="15" t="str">
        <x:v>round toe sandals</x:v>
      </x:c>
      <x:c r="B853" s="15" t="str">
        <x:v>round toe sandals</x:v>
      </x:c>
      <x:c r="C853" s="10" t="str">
        <x:v>7bd417c9492022fa</x:v>
      </x:c>
      <x:c r="D853" s="10" t="str">
        <x:v>keyword</x:v>
      </x:c>
      <x:c r="E853" s="10" t="str">
        <x:v>en</x:v>
      </x:c>
      <x:c r="F853" s="10" t="str">
        <x:v>clothing_shoes_jewelry</x:v>
      </x:c>
      <x:c r="G853" s="15" t="str"/>
      <x:c r="H853" s="15" t="str">
        <x:v>sandals</x:v>
      </x:c>
      <x:c r="I853" s="15" t="str"/>
      <x:c r="J853" s="15" t="str"/>
      <x:c r="K853" s="15" t="str"/>
      <x:c r="L853" s="15" t="str"/>
      <x:c r="M853" s="15" t="str"/>
      <x:c r="N853" s="15" t="str">
        <x:v>round_toe</x:v>
      </x:c>
      <x:c r="O853" s="15" t="str"/>
      <x:c r="P853" s="15" t="str"/>
      <x:c r="Q853" s="15" t="str"/>
      <x:c r="R853" s="15" t="str">
        <x:v>用户想要圆头凉鞋，而非露趾人字拖款式。</x:v>
      </x:c>
      <x:c r="S853" s="10" t="str">
        <x:v>consideration</x:v>
      </x:c>
      <x:c r="T853" s="15" t="str">
        <x:v>explicit | page_validated | inferred</x:v>
      </x:c>
      <x:c r="U853" s="10" t="str">
        <x:v>high</x:v>
      </x:c>
      <x:c r="V853" s="15" t="str">
        <x:v>round_toe_sandals</x:v>
      </x:c>
      <x:c r="W853" s="15" t="str">
        <x:v>semantic_negative_candidate</x:v>
      </x:c>
      <x:c r="X853" s="15" t="str">
        <x:v>{"product_type":[{"value":"sandals","evidence_type":"explicit","source_span":"sandals","fact_ids":[],"rationale":"词面直接写出sandals"},{"value":"sandals","evidence_type":"page_validated","source_span":"","fact_ids":["title_womens_flip_flop"],"rationale":"该槽位与商品基准中的明示页面事实一致。"}],"body_need_intent":[{"value":"round_toe","evidence_type":"explicit","source_span":"round toe","fact_ids":[],"rationale":"词面明确要求圆头款式"}],"primary_domain":[{"value":"clothing_shoes_jewelry","evidence_type":"inferred","source_span":"","fact_ids":[],"rationale":"该值由搜索词整体语义推断，未作为页面明示属性。"}]}</x:v>
      </x:c>
      <x:c r="Y853" s="15" t="str"/>
      <x:c r="Z853" s="10" t="str">
        <x:v>mismatch</x:v>
      </x:c>
      <x:c r="AA853" s="15" t="str">
        <x:v>style_open_toe</x:v>
      </x:c>
      <x:c r="AB853" s="10" t="str">
        <x:v>accepted</x:v>
      </x:c>
      <x:c r="AC853" s="10" t="str">
        <x:v>1.0.0</x:v>
      </x:c>
      <x:c r="AD853" s="10" t="str">
        <x:v>1.1.0</x:v>
      </x:c>
      <x:c r="AE853" s="10" t="str">
        <x:v>deepseek/deepseek-v4-pro</x:v>
      </x:c>
      <x:c r="AF853" s="10" t="str">
        <x:v>aj2-y90-20260714T234810-0bea2f52</x:v>
      </x:c>
      <x:c r="AG853" s="10" t="str">
        <x:v>full-0043</x:v>
      </x:c>
      <x:c r="AH853" s="10" t="str">
        <x:v>full</x:v>
      </x:c>
      <x:c r="AI853" s="10" t="n">
        <x:v>43</x:v>
      </x:c>
    </x:row>
    <x:row r="854" ht="34" customHeight="1">
      <x:c r="A854" s="16" t="str">
        <x:v>cream flip flops</x:v>
      </x:c>
      <x:c r="B854" s="16" t="str">
        <x:v>cream flip flops</x:v>
      </x:c>
      <x:c r="C854" s="13" t="str">
        <x:v>7f070f52cfa72575</x:v>
      </x:c>
      <x:c r="D854" s="13" t="str">
        <x:v>keyword</x:v>
      </x:c>
      <x:c r="E854" s="13" t="str">
        <x:v>en</x:v>
      </x:c>
      <x:c r="F854" s="13" t="str">
        <x:v>clothing_shoes_jewelry</x:v>
      </x:c>
      <x:c r="G854" s="16" t="str"/>
      <x:c r="H854" s="16" t="str">
        <x:v>flip_flop</x:v>
      </x:c>
      <x:c r="I854" s="16" t="str"/>
      <x:c r="J854" s="16" t="str"/>
      <x:c r="K854" s="16" t="str"/>
      <x:c r="L854" s="16" t="str"/>
      <x:c r="M854" s="16" t="str"/>
      <x:c r="N854" s="16" t="str"/>
      <x:c r="O854" s="16" t="str"/>
      <x:c r="P854" s="16" t="str"/>
      <x:c r="Q854" s="16" t="str"/>
      <x:c r="R854" s="16" t="str">
        <x:v>用户寻找奶油色人字拖，产品有白色但无奶油色选项。</x:v>
      </x:c>
      <x:c r="S854" s="13" t="str">
        <x:v>exploration</x:v>
      </x:c>
      <x:c r="T854" s="16" t="str">
        <x:v>explicit | inferred</x:v>
      </x:c>
      <x:c r="U854" s="13" t="str">
        <x:v>high</x:v>
      </x:c>
      <x:c r="V854" s="16" t="str">
        <x:v>cream_flip_flops</x:v>
      </x:c>
      <x:c r="W854" s="16" t="str">
        <x:v>listing_gap_review</x:v>
      </x:c>
      <x:c r="X854" s="16" t="str">
        <x:v>{"product_type":[{"value":"flip_flop","evidence_type":"explicit","source_span":"flip flops","fact_ids":[],"rationale":"词面直接写出flip flops"},{"value":"flip_flop","evidence_type":"page_validated","source_span":"","fact_ids":["style_flip_flop"],"rationale":"该槽位与商品基准中的明示页面事实一致。"}],"primary_domain":[{"value":"clothing_shoes_jewelry","evidence_type":"inferred","source_span":"","fact_ids":[],"rationale":"该值由搜索词整体语义推断，未作为页面明示属性。"}]}</x:v>
      </x:c>
      <x:c r="Y854" s="16" t="str"/>
      <x:c r="Z854" s="13" t="str">
        <x:v>partial_match</x:v>
      </x:c>
      <x:c r="AA854" s="16" t="str">
        <x:v>style_flip_flop</x:v>
      </x:c>
      <x:c r="AB854" s="13" t="str">
        <x:v>accepted</x:v>
      </x:c>
      <x:c r="AC854" s="13" t="str">
        <x:v>1.0.0</x:v>
      </x:c>
      <x:c r="AD854" s="13" t="str">
        <x:v>1.1.0</x:v>
      </x:c>
      <x:c r="AE854" s="13" t="str">
        <x:v>deepseek/deepseek-v4-pro</x:v>
      </x:c>
      <x:c r="AF854" s="13" t="str">
        <x:v>aj2-y90-20260714T234810-0bea2f52</x:v>
      </x:c>
      <x:c r="AG854" s="13" t="str">
        <x:v>full-0043</x:v>
      </x:c>
      <x:c r="AH854" s="13" t="str">
        <x:v>full</x:v>
      </x:c>
      <x:c r="AI854" s="13" t="n">
        <x:v>43</x:v>
      </x:c>
    </x:row>
    <x:row r="855" ht="34" customHeight="1">
      <x:c r="A855" s="15" t="str">
        <x:v>white arch support flip flops for women</x:v>
      </x:c>
      <x:c r="B855" s="15" t="str">
        <x:v>white arch support flip flops for women</x:v>
      </x:c>
      <x:c r="C855" s="10" t="str">
        <x:v>8f27f70e64e1d933</x:v>
      </x:c>
      <x:c r="D855" s="10" t="str">
        <x:v>keyword</x:v>
      </x:c>
      <x:c r="E855" s="10" t="str">
        <x:v>en</x:v>
      </x:c>
      <x:c r="F855" s="10" t="str">
        <x:v>clothing_shoes_jewelry</x:v>
      </x:c>
      <x:c r="G855" s="15" t="str"/>
      <x:c r="H855" s="15" t="str">
        <x:v>flip_flop</x:v>
      </x:c>
      <x:c r="I855" s="15" t="str">
        <x:v>women</x:v>
      </x:c>
      <x:c r="J855" s="15" t="str"/>
      <x:c r="K855" s="15" t="str">
        <x:v>arch_support</x:v>
      </x:c>
      <x:c r="L855" s="15" t="str"/>
      <x:c r="M855" s="15" t="str"/>
      <x:c r="N855" s="15" t="str">
        <x:v>arch_support</x:v>
      </x:c>
      <x:c r="O855" s="15" t="str"/>
      <x:c r="P855" s="15" t="str"/>
      <x:c r="Q855" s="15" t="str"/>
      <x:c r="R855" s="15" t="str">
        <x:v>用户寻找白色女士足弓支撑人字拖，产品白色选项与足弓支撑完美匹配。</x:v>
      </x:c>
      <x:c r="S855" s="10" t="str">
        <x:v>high_intent</x:v>
      </x:c>
      <x:c r="T855" s="15" t="str">
        <x:v>explicit | page_validated</x:v>
      </x:c>
      <x:c r="U855" s="10" t="str">
        <x:v>high</x:v>
      </x:c>
      <x:c r="V855" s="15" t="str">
        <x:v>white_arch_support_flip_flops_women</x:v>
      </x:c>
      <x:c r="W855" s="15" t="str">
        <x:v>cluster_route</x:v>
      </x:c>
      <x:c r="X855" s="15" t="str">
        <x:v>{"product_type":[{"value":"flip_flop","evidence_type":"explicit","source_span":"flip flops","fact_ids":[],"rationale":"词面直接写出flip flops"},{"value":"flip_flop","evidence_type":"page_validated","source_span":"","fact_ids":["style_flip_flop"],"rationale":"该槽位与商品基准中的明示页面事实一致。"}],"audience_intent":[{"value":"women","evidence_type":"explicit","source_span":"women","fact_ids":[],"rationale":"词面明确写出women"},{"value":"women","evidence_type":"page_validated","source_span":"","fact_ids":["title_womens_flip_flop"],"rationale":"该槽位与商品基准中的明示页面事实一致。"}],"capability_intent":[{"value":"arch_support","evidence_type":"explicit","source_span":"arch support","fact_ids":[],"rationale":"词面明确写出arch support"},{"value":"arch_support","evidence_type":"page_validated","source_span":"","fact_ids":["arch_support"],"rationale":"该槽位与商品基准中的明示页面事实一致。"}],"primary_domain":[{"value":"clothing_shoes_jewelry","evidence_type":"inferred","source_span":"","fact_ids":[],"rationale":"该值由搜索词整体语义推断，未作为页面明示属性。"}]}</x:v>
      </x:c>
      <x:c r="Y855" s="15" t="str"/>
      <x:c r="Z855" s="10" t="str">
        <x:v>match</x:v>
      </x:c>
      <x:c r="AA855" s="15" t="str">
        <x:v>title_womens_flip_flop | arch_support | style_flip_flop | colors_visible</x:v>
      </x:c>
      <x:c r="AB855" s="10" t="str">
        <x:v>accepted</x:v>
      </x:c>
      <x:c r="AC855" s="10" t="str">
        <x:v>1.0.0</x:v>
      </x:c>
      <x:c r="AD855" s="10" t="str">
        <x:v>1.1.0</x:v>
      </x:c>
      <x:c r="AE855" s="10" t="str">
        <x:v>deepseek/deepseek-v4-pro</x:v>
      </x:c>
      <x:c r="AF855" s="10" t="str">
        <x:v>aj2-y90-20260714T234810-0bea2f52</x:v>
      </x:c>
      <x:c r="AG855" s="10" t="str">
        <x:v>full-0043</x:v>
      </x:c>
      <x:c r="AH855" s="10" t="str">
        <x:v>full</x:v>
      </x:c>
      <x:c r="AI855" s="10" t="n">
        <x:v>43</x:v>
      </x:c>
    </x:row>
    <x:row r="856" ht="34" customHeight="1">
      <x:c r="A856" s="16" t="str">
        <x:v>shower flip flops for women</x:v>
      </x:c>
      <x:c r="B856" s="16" t="str">
        <x:v>shower flip flops for women</x:v>
      </x:c>
      <x:c r="C856" s="13" t="str">
        <x:v>af28668e50729ab5</x:v>
      </x:c>
      <x:c r="D856" s="13" t="str">
        <x:v>keyword</x:v>
      </x:c>
      <x:c r="E856" s="13" t="str">
        <x:v>en</x:v>
      </x:c>
      <x:c r="F856" s="13" t="str">
        <x:v>clothing_shoes_jewelry</x:v>
      </x:c>
      <x:c r="G856" s="16" t="str"/>
      <x:c r="H856" s="16" t="str">
        <x:v>flip_flop</x:v>
      </x:c>
      <x:c r="I856" s="16" t="str">
        <x:v>women</x:v>
      </x:c>
      <x:c r="J856" s="16" t="str">
        <x:v>shower_use</x:v>
      </x:c>
      <x:c r="K856" s="16" t="str"/>
      <x:c r="L856" s="16" t="str"/>
      <x:c r="M856" s="16" t="str">
        <x:v>shower</x:v>
      </x:c>
      <x:c r="N856" s="16" t="str"/>
      <x:c r="O856" s="16" t="str"/>
      <x:c r="P856" s="16" t="str"/>
      <x:c r="Q856" s="16" t="str"/>
      <x:c r="R856" s="16" t="str">
        <x:v>用户需要女士淋浴用防滑人字拖，产品EVA材质防滑易清洁但未标注防水。</x:v>
      </x:c>
      <x:c r="S856" s="13" t="str">
        <x:v>consideration</x:v>
      </x:c>
      <x:c r="T856" s="16" t="str">
        <x:v>explicit | inferred</x:v>
      </x:c>
      <x:c r="U856" s="13" t="str">
        <x:v>medium</x:v>
      </x:c>
      <x:c r="V856" s="16" t="str">
        <x:v>shower_flip_flops_women</x:v>
      </x:c>
      <x:c r="W856" s="16" t="str">
        <x:v>listing_gap_review</x:v>
      </x:c>
      <x:c r="X856" s="16" t="str">
        <x:v>{"product_type":[{"value":"flip_flop","evidence_type":"explicit","source_span":"flip flops","fact_ids":[],"rationale":"词面直接写出flip flops"},{"value":"flip_flop","evidence_type":"page_validated","source_span":"","fact_ids":["style_flip_flop"],"rationale":"该槽位与商品基准中的明示页面事实一致。"}],"audience_intent":[{"value":"women","evidence_type":"explicit","source_span":"women","fact_ids":[],"rationale":"词面明确写出women"},{"value":"women","evidence_type":"page_validated","source_span":"","fact_ids":["title_womens_flip_flop"],"rationale":"该槽位与商品基准中的明示页面事实一致。"}],"location_intent":[{"value":"shower","evidence_type":"explicit","source_span":"shower","fact_ids":[],"rationale":"词面明确写出shower"}],"function_intent":[{"value":"shower_use","evidence_type":"inferred","source_span":"shower","fact_ids":[],"rationale":"淋浴场景需要防水防滑拖鞋"}],"primary_domain":[{"value":"clothing_shoes_jewelry","evidence_type":"inferred","source_span":"","fact_ids":[],"rationale":"该值由搜索词整体语义推断，未作为页面明示属性。"}]}</x:v>
      </x:c>
      <x:c r="Y856" s="16" t="str"/>
      <x:c r="Z856" s="13" t="str">
        <x:v>partial_match</x:v>
      </x:c>
      <x:c r="AA856" s="16" t="str">
        <x:v>title_womens_flip_flop | style_flip_flop | material_eva | slip_resistant_grip | easy_clean</x:v>
      </x:c>
      <x:c r="AB856" s="13" t="str">
        <x:v>accepted</x:v>
      </x:c>
      <x:c r="AC856" s="13" t="str">
        <x:v>1.0.0</x:v>
      </x:c>
      <x:c r="AD856" s="13" t="str">
        <x:v>1.1.0</x:v>
      </x:c>
      <x:c r="AE856" s="13" t="str">
        <x:v>deepseek/deepseek-v4-pro</x:v>
      </x:c>
      <x:c r="AF856" s="13" t="str">
        <x:v>aj2-y90-20260714T234810-0bea2f52</x:v>
      </x:c>
      <x:c r="AG856" s="13" t="str">
        <x:v>full-0043</x:v>
      </x:c>
      <x:c r="AH856" s="13" t="str">
        <x:v>full</x:v>
      </x:c>
      <x:c r="AI856" s="13" t="n">
        <x:v>43</x:v>
      </x:c>
    </x:row>
    <x:row r="857" ht="34" customHeight="1">
      <x:c r="A857" s="15" t="str">
        <x:v>flip flops for walking</x:v>
      </x:c>
      <x:c r="B857" s="15" t="str">
        <x:v>flip flops for walking</x:v>
      </x:c>
      <x:c r="C857" s="10" t="str">
        <x:v>cea03ae29e79ddae</x:v>
      </x:c>
      <x:c r="D857" s="10" t="str">
        <x:v>keyword</x:v>
      </x:c>
      <x:c r="E857" s="10" t="str">
        <x:v>en</x:v>
      </x:c>
      <x:c r="F857" s="10" t="str">
        <x:v>clothing_shoes_jewelry</x:v>
      </x:c>
      <x:c r="G857" s="15" t="str">
        <x:v>sports_outdoors</x:v>
      </x:c>
      <x:c r="H857" s="15" t="str">
        <x:v>flip_flop</x:v>
      </x:c>
      <x:c r="I857" s="15" t="str"/>
      <x:c r="J857" s="15" t="str">
        <x:v>walking</x:v>
      </x:c>
      <x:c r="K857" s="15" t="str"/>
      <x:c r="L857" s="15" t="str"/>
      <x:c r="M857" s="15" t="str"/>
      <x:c r="N857" s="15" t="str"/>
      <x:c r="O857" s="15" t="str"/>
      <x:c r="P857" s="15" t="str"/>
      <x:c r="Q857" s="15" t="str"/>
      <x:c r="R857" s="15" t="str">
        <x:v>用户寻找适合走路穿着的人字拖，需要舒适和支撑。</x:v>
      </x:c>
      <x:c r="S857" s="10" t="str">
        <x:v>consideration</x:v>
      </x:c>
      <x:c r="T857" s="15" t="str">
        <x:v>explicit | page_validated | inferred</x:v>
      </x:c>
      <x:c r="U857" s="10" t="str">
        <x:v>high</x:v>
      </x:c>
      <x:c r="V857" s="15" t="str">
        <x:v>walking_flip_flops</x:v>
      </x:c>
      <x:c r="W857" s="15" t="str">
        <x:v>cluster_route</x:v>
      </x:c>
      <x:c r="X857" s="15" t="str">
        <x:v>{"product_type":[{"value":"flip_flop","evidence_type":"explicit","source_span":"flip flops","fact_ids":[],"rationale":"词面直接写出flip flops"},{"value":"flip_flop","evidence_type":"page_validated","source_span":"","fact_ids":["style_flip_flop"],"rationale":"该槽位与商品基准中的明示页面事实一致。"}],"function_intent":[{"value":"walking","evidence_type":"explicit","source_span":"walking","fact_ids":[],"rationale":"词面明确写出walking"}],"primary_domain":[{"value":"clothing_shoes_jewelry","evidence_type":"inferred","source_span":"","fact_ids":[],"rationale":"该值由搜索词整体语义推断，未作为页面明示属性。"}],"secondary_domain":[{"value":"sports_outdoors","evidence_type":"inferred","source_span":"","fact_ids":[],"rationale":"该值由搜索词整体语义推断，未作为页面明示属性。"}]}</x:v>
      </x:c>
      <x:c r="Y857" s="15" t="str"/>
      <x:c r="Z857" s="10" t="str">
        <x:v>match</x:v>
      </x:c>
      <x:c r="AA857" s="15" t="str">
        <x:v>style_flip_flop | arch_support | style_outdoor | padded_cushioning</x:v>
      </x:c>
      <x:c r="AB857" s="10" t="str">
        <x:v>accepted</x:v>
      </x:c>
      <x:c r="AC857" s="10" t="str">
        <x:v>1.0.0</x:v>
      </x:c>
      <x:c r="AD857" s="10" t="str">
        <x:v>1.1.0</x:v>
      </x:c>
      <x:c r="AE857" s="10" t="str">
        <x:v>deepseek/deepseek-v4-pro</x:v>
      </x:c>
      <x:c r="AF857" s="10" t="str">
        <x:v>aj2-y90-20260714T234810-0bea2f52</x:v>
      </x:c>
      <x:c r="AG857" s="10" t="str">
        <x:v>full-0043</x:v>
      </x:c>
      <x:c r="AH857" s="10" t="str">
        <x:v>full</x:v>
      </x:c>
      <x:c r="AI857" s="10" t="n">
        <x:v>43</x:v>
      </x:c>
    </x:row>
    <x:row r="858" ht="34" customHeight="1">
      <x:c r="A858" s="16" t="str">
        <x:v>flip flops eva cushioning women</x:v>
      </x:c>
      <x:c r="B858" s="16" t="str">
        <x:v>flip flops eva cushioning women</x:v>
      </x:c>
      <x:c r="C858" s="13" t="str">
        <x:v>da0cb39036584ea6</x:v>
      </x:c>
      <x:c r="D858" s="13" t="str">
        <x:v>keyword</x:v>
      </x:c>
      <x:c r="E858" s="13" t="str">
        <x:v>en</x:v>
      </x:c>
      <x:c r="F858" s="13" t="str">
        <x:v>clothing_shoes_jewelry</x:v>
      </x:c>
      <x:c r="G858" s="16" t="str"/>
      <x:c r="H858" s="16" t="str">
        <x:v>flip_flop</x:v>
      </x:c>
      <x:c r="I858" s="16" t="str">
        <x:v>women</x:v>
      </x:c>
      <x:c r="J858" s="16" t="str"/>
      <x:c r="K858" s="16" t="str">
        <x:v>eva_material | cushioning</x:v>
      </x:c>
      <x:c r="L858" s="16" t="str"/>
      <x:c r="M858" s="16" t="str"/>
      <x:c r="N858" s="16" t="str"/>
      <x:c r="O858" s="16" t="str"/>
      <x:c r="P858" s="16" t="str"/>
      <x:c r="Q858" s="16" t="str"/>
      <x:c r="R858" s="16" t="str">
        <x:v>用户需要女士EVA材质缓冲人字拖，产品各项特征完全匹配。</x:v>
      </x:c>
      <x:c r="S858" s="13" t="str">
        <x:v>high_intent</x:v>
      </x:c>
      <x:c r="T858" s="16" t="str">
        <x:v>explicit | page_validated</x:v>
      </x:c>
      <x:c r="U858" s="13" t="str">
        <x:v>high</x:v>
      </x:c>
      <x:c r="V858" s="16" t="str">
        <x:v>eva_cushioning_flip_flops_women</x:v>
      </x:c>
      <x:c r="W858" s="16" t="str">
        <x:v>cluster_route</x:v>
      </x:c>
      <x:c r="X858" s="16" t="str">
        <x:v>{"product_type":[{"value":"flip_flop","evidence_type":"explicit","source_span":"flip flops","fact_ids":[],"rationale":"词面直接写出flip flops"},{"value":"flip_flop","evidence_type":"page_validated","source_span":"","fact_ids":["style_flip_flop"],"rationale":"该槽位与商品基准中的明示页面事实一致。"}],"audience_intent":[{"value":"women","evidence_type":"explicit","source_span":"women","fact_ids":[],"rationale":"词面明确写出women"},{"value":"women","evidence_type":"page_validated","source_span":"","fact_ids":["title_womens_flip_flop"],"rationale":"该槽位与商品基准中的明示页面事实一致。"}],"capability_intent":[{"value":"eva_material","evidence_type":"explicit","source_span":"eva","fact_ids":[],"rationale":"词面明确写出eva"},{"value":"cushioning","evidence_type":"explicit","source_span":"cushioning","fact_ids":[],"rationale":"词面明确写出cushioning"},{"value":"cushioning","evidence_type":"page_validated","source_span":"","fact_ids":["padded_cushioning"],"rationale":"该槽位与商品基准中的明示页面事实一致。"}],"primary_domain":[{"value":"clothing_shoes_jewelry","evidence_type":"inferred","source_span":"","fact_ids":[],"rationale":"该值由搜索词整体语义推断，未作为页面明示属性。"}]}</x:v>
      </x:c>
      <x:c r="Y858" s="16" t="str"/>
      <x:c r="Z858" s="13" t="str">
        <x:v>match</x:v>
      </x:c>
      <x:c r="AA858" s="16" t="str">
        <x:v>title_womens_flip_flop | material_eva | padded_cushioning | style_flip_flop</x:v>
      </x:c>
      <x:c r="AB858" s="13" t="str">
        <x:v>accepted</x:v>
      </x:c>
      <x:c r="AC858" s="13" t="str">
        <x:v>1.0.0</x:v>
      </x:c>
      <x:c r="AD858" s="13" t="str">
        <x:v>1.1.0</x:v>
      </x:c>
      <x:c r="AE858" s="13" t="str">
        <x:v>deepseek/deepseek-v4-pro</x:v>
      </x:c>
      <x:c r="AF858" s="13" t="str">
        <x:v>aj2-y90-20260714T234810-0bea2f52</x:v>
      </x:c>
      <x:c r="AG858" s="13" t="str">
        <x:v>full-0043</x:v>
      </x:c>
      <x:c r="AH858" s="13" t="str">
        <x:v>full</x:v>
      </x:c>
      <x:c r="AI858" s="13" t="n">
        <x:v>43</x:v>
      </x:c>
    </x:row>
    <x:row r="859" ht="34" customHeight="1">
      <x:c r="A859" s="15" t="str">
        <x:v>archies dupe</x:v>
      </x:c>
      <x:c r="B859" s="15" t="str">
        <x:v>archies dupe</x:v>
      </x:c>
      <x:c r="C859" s="10" t="str">
        <x:v>dd7cf86db8abb649</x:v>
      </x:c>
      <x:c r="D859" s="10" t="str">
        <x:v>keyword</x:v>
      </x:c>
      <x:c r="E859" s="10" t="str">
        <x:v>en</x:v>
      </x:c>
      <x:c r="F859" s="10" t="str">
        <x:v>clothing_shoes_jewelry</x:v>
      </x:c>
      <x:c r="G859" s="15" t="str"/>
      <x:c r="H859" s="15" t="str">
        <x:v>flip_flop</x:v>
      </x:c>
      <x:c r="I859" s="15" t="str"/>
      <x:c r="J859" s="15" t="str"/>
      <x:c r="K859" s="15" t="str">
        <x:v>arch_support</x:v>
      </x:c>
      <x:c r="L859" s="15" t="str"/>
      <x:c r="M859" s="15" t="str"/>
      <x:c r="N859" s="15" t="str">
        <x:v>arch_support</x:v>
      </x:c>
      <x:c r="O859" s="15" t="str"/>
      <x:c r="P859" s="15" t="str">
        <x:v>archies_alternative</x:v>
      </x:c>
      <x:c r="Q859" s="15" t="str"/>
      <x:c r="R859" s="15" t="str">
        <x:v>用户寻找Archies品牌足弓支撑人字拖的平价替代品。</x:v>
      </x:c>
      <x:c r="S859" s="10" t="str">
        <x:v>consideration</x:v>
      </x:c>
      <x:c r="T859" s="15" t="str">
        <x:v>explicit | inferred | page_validated</x:v>
      </x:c>
      <x:c r="U859" s="10" t="str">
        <x:v>medium</x:v>
      </x:c>
      <x:c r="V859" s="15" t="str">
        <x:v>archies_dupe</x:v>
      </x:c>
      <x:c r="W859" s="15" t="str">
        <x:v>cluster_route</x:v>
      </x:c>
      <x:c r="X859" s="15" t="str">
        <x:v>{"substitute_intent":[{"value":"archies_alternative","evidence_type":"explicit","source_span":"archies dupe","fact_ids":[],"rationale":"dupe表明寻找Archies替代品"}],"product_type":[{"value":"flip_flop","evidence_type":"inferred","source_span":"archies","fact_ids":[],"rationale":"Archies以足弓支撑人字拖著称"},{"value":"flip_flop","evidence_type":"page_validated","source_span":"","fact_ids":["style_flip_flop"],"rationale":"该槽位与商品基准中的明示页面事实一致。"}],"capability_intent":[{"value":"arch_support","evidence_type":"inferred","source_span":"archies","fact_ids":[],"rationale":"Archies核心卖点为足弓支撑"},{"value":"arch_support","evidence_type":"page_validated","source_span":"","fact_ids":["arch_support"],"rationale":"该槽位与商品基准中的明示页面事实一致。"}],"primary_domain":[{"value":"clothing_shoes_jewelry","evidence_type":"inferred","source_span":"","fact_ids":[],"rationale":"该值由搜索词整体语义推断，未作为页面明示属性。"}]}</x:v>
      </x:c>
      <x:c r="Y859" s="15" t="str"/>
      <x:c r="Z859" s="10" t="str">
        <x:v>match</x:v>
      </x:c>
      <x:c r="AA859" s="15" t="str">
        <x:v>style_flip_flop | arch_support</x:v>
      </x:c>
      <x:c r="AB859" s="10" t="str">
        <x:v>accepted</x:v>
      </x:c>
      <x:c r="AC859" s="10" t="str">
        <x:v>1.0.0</x:v>
      </x:c>
      <x:c r="AD859" s="10" t="str">
        <x:v>1.1.0</x:v>
      </x:c>
      <x:c r="AE859" s="10" t="str">
        <x:v>deepseek/deepseek-v4-pro</x:v>
      </x:c>
      <x:c r="AF859" s="10" t="str">
        <x:v>aj2-y90-20260714T234810-0bea2f52</x:v>
      </x:c>
      <x:c r="AG859" s="10" t="str">
        <x:v>full-0043</x:v>
      </x:c>
      <x:c r="AH859" s="10" t="str">
        <x:v>full</x:v>
      </x:c>
      <x:c r="AI859" s="10" t="n">
        <x:v>43</x:v>
      </x:c>
    </x:row>
    <x:row r="860" ht="34" customHeight="1">
      <x:c r="A860" s="16" t="str">
        <x:v>flip flop waterproof for beach</x:v>
      </x:c>
      <x:c r="B860" s="16" t="str">
        <x:v>flip flop waterproof for beach</x:v>
      </x:c>
      <x:c r="C860" s="13" t="str">
        <x:v>ef00803159dc159a</x:v>
      </x:c>
      <x:c r="D860" s="13" t="str">
        <x:v>keyword</x:v>
      </x:c>
      <x:c r="E860" s="13" t="str">
        <x:v>en</x:v>
      </x:c>
      <x:c r="F860" s="13" t="str">
        <x:v>clothing_shoes_jewelry</x:v>
      </x:c>
      <x:c r="G860" s="16" t="str"/>
      <x:c r="H860" s="16" t="str">
        <x:v>flip_flop</x:v>
      </x:c>
      <x:c r="I860" s="16" t="str"/>
      <x:c r="J860" s="16" t="str">
        <x:v>water_use</x:v>
      </x:c>
      <x:c r="K860" s="16" t="str">
        <x:v>waterproof</x:v>
      </x:c>
      <x:c r="L860" s="16" t="str"/>
      <x:c r="M860" s="16" t="str">
        <x:v>beach</x:v>
      </x:c>
      <x:c r="N860" s="16" t="str"/>
      <x:c r="O860" s="16" t="str"/>
      <x:c r="P860" s="16" t="str"/>
      <x:c r="Q860" s="16" t="str"/>
      <x:c r="R860" s="16" t="str">
        <x:v>用户需要防水人字拖用于海滩场景，产品为EVA材质但页面未标注防水。</x:v>
      </x:c>
      <x:c r="S860" s="13" t="str">
        <x:v>high_intent</x:v>
      </x:c>
      <x:c r="T860" s="16" t="str">
        <x:v>explicit | inferred</x:v>
      </x:c>
      <x:c r="U860" s="13" t="str">
        <x:v>high</x:v>
      </x:c>
      <x:c r="V860" s="16" t="str">
        <x:v>waterproof_beach_flip_flop</x:v>
      </x:c>
      <x:c r="W860" s="16" t="str">
        <x:v>listing_gap_review</x:v>
      </x:c>
      <x:c r="X860" s="16" t="str">
        <x:v>{"product_type":[{"value":"flip_flop","evidence_type":"explicit","source_span":"flip flop","fact_ids":[],"rationale":"词面直接写出flip flop"},{"value":"flip_flop","evidence_type":"page_validated","source_span":"","fact_ids":["style_flip_flop"],"rationale":"该槽位与商品基准中的明示页面事实一致。"}],"capability_intent":[{"value":"waterproof","evidence_type":"explicit","source_span":"waterproof","fact_ids":[],"rationale":"词面明确要求防水功能"}],"location_intent":[{"value":"beach","evidence_type":"explicit","source_span":"beach","fact_ids":[],"rationale":"词面明确写出beach"}],"function_intent":[{"value":"water_use","evidence_type":"inferred","source_span":"beach","fact_ids":[],"rationale":"海滩场景隐含涉水使用"}],"primary_domain":[{"value":"clothing_shoes_jewelry","evidence_type":"inferred","source_span":"","fact_ids":[],"rationale":"该值由搜索词整体语义推断，未作为页面明示属性。"}]}</x:v>
      </x:c>
      <x:c r="Y860" s="16" t="str"/>
      <x:c r="Z860" s="13" t="str">
        <x:v>partial_match</x:v>
      </x:c>
      <x:c r="AA860" s="16" t="str">
        <x:v>style_flip_flop | material_eva | style_outdoor | easy_clean | slip_resistant_grip</x:v>
      </x:c>
      <x:c r="AB860" s="13" t="str">
        <x:v>accepted</x:v>
      </x:c>
      <x:c r="AC860" s="13" t="str">
        <x:v>1.0.0</x:v>
      </x:c>
      <x:c r="AD860" s="13" t="str">
        <x:v>1.1.0</x:v>
      </x:c>
      <x:c r="AE860" s="13" t="str">
        <x:v>deepseek/deepseek-v4-pro</x:v>
      </x:c>
      <x:c r="AF860" s="13" t="str">
        <x:v>aj2-y90-20260714T234810-0bea2f52</x:v>
      </x:c>
      <x:c r="AG860" s="13" t="str">
        <x:v>full-0043</x:v>
      </x:c>
      <x:c r="AH860" s="13" t="str">
        <x:v>full</x:v>
      </x:c>
      <x:c r="AI860" s="13" t="n">
        <x:v>43</x:v>
      </x:c>
    </x:row>
    <x:row r="861" ht="34" customHeight="1">
      <x:c r="A861" s="15" t="str">
        <x:v>womens narrow flip flops</x:v>
      </x:c>
      <x:c r="B861" s="15" t="str">
        <x:v>womens narrow flip flops</x:v>
      </x:c>
      <x:c r="C861" s="10" t="str">
        <x:v>fcb7facf1f05ec9a</x:v>
      </x:c>
      <x:c r="D861" s="10" t="str">
        <x:v>keyword</x:v>
      </x:c>
      <x:c r="E861" s="10" t="str">
        <x:v>en</x:v>
      </x:c>
      <x:c r="F861" s="10" t="str">
        <x:v>clothing_shoes_jewelry</x:v>
      </x:c>
      <x:c r="G861" s="15" t="str"/>
      <x:c r="H861" s="15" t="str">
        <x:v>flip_flop</x:v>
      </x:c>
      <x:c r="I861" s="15" t="str">
        <x:v>women</x:v>
      </x:c>
      <x:c r="J861" s="15" t="str"/>
      <x:c r="K861" s="15" t="str"/>
      <x:c r="L861" s="15" t="str"/>
      <x:c r="M861" s="15" t="str"/>
      <x:c r="N861" s="15" t="str">
        <x:v>narrow_fit</x:v>
      </x:c>
      <x:c r="O861" s="15" t="str"/>
      <x:c r="P861" s="15" t="str"/>
      <x:c r="Q861" s="15" t="str"/>
      <x:c r="R861" s="15" t="str">
        <x:v>用户需要女士窄版人字拖，产品页面未标明窄版选项。</x:v>
      </x:c>
      <x:c r="S861" s="10" t="str">
        <x:v>consideration</x:v>
      </x:c>
      <x:c r="T861" s="15" t="str">
        <x:v>explicit | inferred</x:v>
      </x:c>
      <x:c r="U861" s="10" t="str">
        <x:v>high</x:v>
      </x:c>
      <x:c r="V861" s="15" t="str">
        <x:v>narrow_flip_flops_women</x:v>
      </x:c>
      <x:c r="W861" s="15" t="str">
        <x:v>listing_gap_review</x:v>
      </x:c>
      <x:c r="X861" s="15" t="str">
        <x:v>{"product_type":[{"value":"flip_flop","evidence_type":"explicit","source_span":"flip flops","fact_ids":[],"rationale":"词面直接写出flip flops"},{"value":"flip_flop","evidence_type":"page_validated","source_span":"","fact_ids":["style_flip_flop"],"rationale":"该槽位与商品基准中的明示页面事实一致。"}],"audience_intent":[{"value":"women","evidence_type":"explicit","source_span":"womens","fact_ids":[],"rationale":"词面明确写出womens"},{"value":"women","evidence_type":"page_validated","source_span":"","fact_ids":["title_womens_flip_flop"],"rationale":"该槽位与商品基准中的明示页面事实一致。"}],"body_need_intent":[{"value":"narrow_fit","evidence_type":"explicit","source_span":"narrow","fact_ids":[],"rationale":"词面明确要求窄版"}],"primary_domain":[{"value":"clothing_shoes_jewelry","evidence_type":"inferred","source_span":"","fact_ids":[],"rationale":"该值由搜索词整体语义推断，未作为页面明示属性。"}]}</x:v>
      </x:c>
      <x:c r="Y861" s="15" t="str"/>
      <x:c r="Z861" s="10" t="str">
        <x:v>partial_match</x:v>
      </x:c>
      <x:c r="AA861" s="15" t="str">
        <x:v>title_womens_flip_flop | style_flip_flop</x:v>
      </x:c>
      <x:c r="AB861" s="10" t="str">
        <x:v>accepted</x:v>
      </x:c>
      <x:c r="AC861" s="10" t="str">
        <x:v>1.0.0</x:v>
      </x:c>
      <x:c r="AD861" s="10" t="str">
        <x:v>1.1.0</x:v>
      </x:c>
      <x:c r="AE861" s="10" t="str">
        <x:v>deepseek/deepseek-v4-pro</x:v>
      </x:c>
      <x:c r="AF861" s="10" t="str">
        <x:v>aj2-y90-20260714T234810-0bea2f52</x:v>
      </x:c>
      <x:c r="AG861" s="10" t="str">
        <x:v>full-0043</x:v>
      </x:c>
      <x:c r="AH861" s="10" t="str">
        <x:v>full</x:v>
      </x:c>
      <x:c r="AI861" s="10" t="n">
        <x:v>43</x:v>
      </x:c>
    </x:row>
    <x:row r="862" ht="34" customHeight="1">
      <x:c r="A862" s="16" t="str">
        <x:v>plain flip flops</x:v>
      </x:c>
      <x:c r="B862" s="16" t="str">
        <x:v>plain flip flops</x:v>
      </x:c>
      <x:c r="C862" s="13" t="str">
        <x:v>11c48664465c6c86</x:v>
      </x:c>
      <x:c r="D862" s="13" t="str">
        <x:v>keyword</x:v>
      </x:c>
      <x:c r="E862" s="13" t="str">
        <x:v>en</x:v>
      </x:c>
      <x:c r="F862" s="13" t="str">
        <x:v>clothing_shoes_jewelry</x:v>
      </x:c>
      <x:c r="G862" s="16" t="str"/>
      <x:c r="H862" s="16" t="str">
        <x:v>flip_flops</x:v>
      </x:c>
      <x:c r="I862" s="16" t="str"/>
      <x:c r="J862" s="16" t="str"/>
      <x:c r="K862" s="16" t="str"/>
      <x:c r="L862" s="16" t="str"/>
      <x:c r="M862" s="16" t="str"/>
      <x:c r="N862" s="16" t="str"/>
      <x:c r="O862" s="16" t="str"/>
      <x:c r="P862" s="16" t="str"/>
      <x:c r="Q862" s="16" t="str"/>
      <x:c r="R862" s="16" t="str">
        <x:v>用户寻找款式简洁、无多余装饰的夹脚拖鞋。</x:v>
      </x:c>
      <x:c r="S862" s="13" t="str">
        <x:v>exploration</x:v>
      </x:c>
      <x:c r="T862" s="16" t="str">
        <x:v>explicit | page_validated</x:v>
      </x:c>
      <x:c r="U862" s="13" t="str">
        <x:v>high</x:v>
      </x:c>
      <x:c r="V862" s="16" t="str">
        <x:v>plain_basic_flip_flops</x:v>
      </x:c>
      <x:c r="W862" s="16" t="str">
        <x:v>cluster_route</x:v>
      </x:c>
      <x:c r="X862" s="16" t="str">
        <x:v>{"product_type":[{"value":"flip_flops","evidence_type":"explicit","source_span":"flip flops","fact_ids":[],"rationale":"搜索词直接声明产品类型"},{"value":"flip_flops","evidence_type":"page_validated","source_span":"","fact_ids":["style_flip_flop"],"rationale":"商品页面确认夹脚拖鞋类型"}],"primary_domain":[{"value":"clothing_shoes_jewelry","evidence_type":"inferred","source_span":"","fact_ids":[],"rationale":"该值由搜索词整体语义推断，未作为页面明示属性。"}]}</x:v>
      </x:c>
      <x:c r="Y862" s="16" t="str"/>
      <x:c r="Z862" s="13" t="str">
        <x:v>match</x:v>
      </x:c>
      <x:c r="AA862" s="16" t="str">
        <x:v>style_flip_flop | style_flat | style_thong</x:v>
      </x:c>
      <x:c r="AB862" s="13" t="str">
        <x:v>accepted</x:v>
      </x:c>
      <x:c r="AC862" s="13" t="str">
        <x:v>1.0.0</x:v>
      </x:c>
      <x:c r="AD862" s="13" t="str">
        <x:v>1.1.0</x:v>
      </x:c>
      <x:c r="AE862" s="13" t="str">
        <x:v>deepseek/deepseek-v4-pro</x:v>
      </x:c>
      <x:c r="AF862" s="13" t="str">
        <x:v>aj2-y90-20260714T234810-0bea2f52</x:v>
      </x:c>
      <x:c r="AG862" s="13" t="str">
        <x:v>full-0044</x:v>
      </x:c>
      <x:c r="AH862" s="13" t="str">
        <x:v>full</x:v>
      </x:c>
      <x:c r="AI862" s="13" t="n">
        <x:v>44</x:v>
      </x:c>
    </x:row>
    <x:row r="863" ht="34" customHeight="1">
      <x:c r="A863" s="15" t="str">
        <x:v>womens white flip flops size 7</x:v>
      </x:c>
      <x:c r="B863" s="15" t="str">
        <x:v>womens white flip flops size 7</x:v>
      </x:c>
      <x:c r="C863" s="10" t="str">
        <x:v>2361d3c35a94e584</x:v>
      </x:c>
      <x:c r="D863" s="10" t="str">
        <x:v>keyword</x:v>
      </x:c>
      <x:c r="E863" s="10" t="str">
        <x:v>en</x:v>
      </x:c>
      <x:c r="F863" s="10" t="str">
        <x:v>clothing_shoes_jewelry</x:v>
      </x:c>
      <x:c r="G863" s="15" t="str"/>
      <x:c r="H863" s="15" t="str">
        <x:v>flip_flops</x:v>
      </x:c>
      <x:c r="I863" s="15" t="str">
        <x:v>women</x:v>
      </x:c>
      <x:c r="J863" s="15" t="str"/>
      <x:c r="K863" s="15" t="str"/>
      <x:c r="L863" s="15" t="str"/>
      <x:c r="M863" s="15" t="str"/>
      <x:c r="N863" s="15" t="str"/>
      <x:c r="O863" s="15" t="str"/>
      <x:c r="P863" s="15" t="str"/>
      <x:c r="Q863" s="15" t="str"/>
      <x:c r="R863" s="15" t="str">
        <x:v>女性用户需要一双白色7码夹脚拖鞋。</x:v>
      </x:c>
      <x:c r="S863" s="10" t="str">
        <x:v>high_intent</x:v>
      </x:c>
      <x:c r="T863" s="15" t="str">
        <x:v>explicit | page_validated</x:v>
      </x:c>
      <x:c r="U863" s="10" t="str">
        <x:v>high</x:v>
      </x:c>
      <x:c r="V863" s="15" t="str">
        <x:v>womens_white_size7_flip_flops</x:v>
      </x:c>
      <x:c r="W863" s="15" t="str">
        <x:v>cluster_route</x:v>
      </x:c>
      <x:c r="X863" s="15" t="str">
        <x:v>{"product_type":[{"value":"flip_flops","evidence_type":"explicit","source_span":"flip flops","fact_ids":[],"rationale":"搜索词直接声明产品类型"},{"value":"flip_flops","evidence_type":"page_validated","source_span":"","fact_ids":["style_flip_flop"],"rationale":"商品页面确认夹脚拖鞋类型"}],"audience_intent":[{"value":"women","evidence_type":"explicit","source_span":"womens","fact_ids":[],"rationale":"搜索词直接指定女性受众"},{"value":"women","evidence_type":"page_validated","source_span":"","fact_ids":["title_womens_flip_flop"],"rationale":"页面标题确认为女款"}],"primary_domain":[{"value":"clothing_shoes_jewelry","evidence_type":"inferred","source_span":"","fact_ids":[],"rationale":"该值由搜索词整体语义推断，未作为页面明示属性。"}]}</x:v>
      </x:c>
      <x:c r="Y863" s="15" t="str"/>
      <x:c r="Z863" s="10" t="str">
        <x:v>match</x:v>
      </x:c>
      <x:c r="AA863" s="15" t="str">
        <x:v>title_womens_flip_flop | style_flip_flop | colors_visible | sizes_6_11</x:v>
      </x:c>
      <x:c r="AB863" s="10" t="str">
        <x:v>accepted</x:v>
      </x:c>
      <x:c r="AC863" s="10" t="str">
        <x:v>1.0.0</x:v>
      </x:c>
      <x:c r="AD863" s="10" t="str">
        <x:v>1.1.0</x:v>
      </x:c>
      <x:c r="AE863" s="10" t="str">
        <x:v>deepseek/deepseek-v4-pro</x:v>
      </x:c>
      <x:c r="AF863" s="10" t="str">
        <x:v>aj2-y90-20260714T234810-0bea2f52</x:v>
      </x:c>
      <x:c r="AG863" s="10" t="str">
        <x:v>full-0044</x:v>
      </x:c>
      <x:c r="AH863" s="10" t="str">
        <x:v>full</x:v>
      </x:c>
      <x:c r="AI863" s="10" t="n">
        <x:v>44</x:v>
      </x:c>
    </x:row>
    <x:row r="864" ht="34" customHeight="1">
      <x:c r="A864" s="16" t="str">
        <x:v>sandalias para mujer con fascitis plantar</x:v>
      </x:c>
      <x:c r="B864" s="16" t="str">
        <x:v>sandalias para mujer con fascitis plantar</x:v>
      </x:c>
      <x:c r="C864" s="13" t="str">
        <x:v>2a5b634f9f8861de</x:v>
      </x:c>
      <x:c r="D864" s="13" t="str">
        <x:v>keyword</x:v>
      </x:c>
      <x:c r="E864" s="13" t="str">
        <x:v>es</x:v>
      </x:c>
      <x:c r="F864" s="13" t="str">
        <x:v>clothing_shoes_jewelry</x:v>
      </x:c>
      <x:c r="G864" s="16" t="str">
        <x:v>health_household</x:v>
      </x:c>
      <x:c r="H864" s="16" t="str">
        <x:v>sandals</x:v>
      </x:c>
      <x:c r="I864" s="16" t="str">
        <x:v>women</x:v>
      </x:c>
      <x:c r="J864" s="16" t="str">
        <x:v>pain_relief</x:v>
      </x:c>
      <x:c r="K864" s="16" t="str"/>
      <x:c r="L864" s="16" t="str"/>
      <x:c r="M864" s="16" t="str"/>
      <x:c r="N864" s="16" t="str">
        <x:v>plantar_fasciitis</x:v>
      </x:c>
      <x:c r="O864" s="16" t="str"/>
      <x:c r="P864" s="16" t="str"/>
      <x:c r="Q864" s="16" t="str"/>
      <x:c r="R864" s="16" t="str">
        <x:v>患有足底筋膜炎的女性用户需要一双能缓解足部疼痛的凉鞋。</x:v>
      </x:c>
      <x:c r="S864" s="13" t="str">
        <x:v>high_intent</x:v>
      </x:c>
      <x:c r="T864" s="16" t="str">
        <x:v>explicit | inferred</x:v>
      </x:c>
      <x:c r="U864" s="13" t="str">
        <x:v>high</x:v>
      </x:c>
      <x:c r="V864" s="16" t="str">
        <x:v>womens_plantar_fasciitis_sandals</x:v>
      </x:c>
      <x:c r="W864" s="16" t="str">
        <x:v>listing_gap_review</x:v>
      </x:c>
      <x:c r="X864" s="16" t="str">
        <x:v>{"product_type":[{"value":"sandals","evidence_type":"explicit","source_span":"sandalias","fact_ids":[],"rationale":"搜索词直接声明凉鞋品类"},{"value":"sandals","evidence_type":"page_validated","source_span":"","fact_ids":["title_womens_flip_flop"],"rationale":"该槽位与商品基准中的明示页面事实一致。"},{"value":"sandals","evidence_type":"inferred","source_span":"","fact_ids":[],"rationale":"该能力由搜索词表达的任务或问题推断；页面事实仅用于验证商品承接。"}],"audience_intent":[{"value":"women","evidence_type":"explicit","source_span":"mujer","fact_ids":[],"rationale":"搜索词直接指定女性受众"},{"value":"women","evidence_type":"page_validated","source_span":"","fact_ids":["title_womens_flip_flop"],"rationale":"页面标题确认为女款"},{"value":"women","evidence_type":"inferred","source_span":"","fact_ids":[],"rationale":"该能力由搜索词表达的任务或问题推断；页面事实仅用于验证商品承接。"}],"body_need_intent":[{"value":"plantar_fasciitis","evidence_type":"explicit","source_span":"fascitis plantar","fact_ids":[],"rationale":"搜索词明确提及足底筋膜炎"}],"function_intent":[{"value":"pain_relief","evidence_type":"inferred","source_span":"","fact_ids":[],"rationale":"足底筋膜炎搜索通常隐含缓解疼痛需求"}],"primary_domain":[{"value":"clothing_shoes_jewelry","evidence_type":"inferred","source_span":"","fact_ids":[],"rationale":"该值由搜索词整体语义推断，未作为页面明示属性。"}],"secondary_domain":[{"value":"health_household","evidence_type":"inferred","source_span":"","fact_ids":[],"rationale":"该值由搜索词整体语义推断，未作为页面明示属性。"}]}</x:v>
      </x:c>
      <x:c r="Y864" s="16" t="str">
        <x:v>plantar_fasciitis_not_page_validated | sandals_vs_flip_flops_product_type</x:v>
      </x:c>
      <x:c r="Z864" s="13" t="str">
        <x:v>partial_match</x:v>
      </x:c>
      <x:c r="AA864" s="16" t="str">
        <x:v>title_womens_flip_flop | arch_support | padded_cushioning</x:v>
      </x:c>
      <x:c r="AB864" s="13" t="str">
        <x:v>accepted</x:v>
      </x:c>
      <x:c r="AC864" s="13" t="str">
        <x:v>1.0.0</x:v>
      </x:c>
      <x:c r="AD864" s="13" t="str">
        <x:v>1.1.0</x:v>
      </x:c>
      <x:c r="AE864" s="13" t="str">
        <x:v>deepseek/deepseek-v4-pro</x:v>
      </x:c>
      <x:c r="AF864" s="13" t="str">
        <x:v>aj2-y90-20260714T234810-0bea2f52</x:v>
      </x:c>
      <x:c r="AG864" s="13" t="str">
        <x:v>full-0044</x:v>
      </x:c>
      <x:c r="AH864" s="13" t="str">
        <x:v>full</x:v>
      </x:c>
      <x:c r="AI864" s="13" t="n">
        <x:v>44</x:v>
      </x:c>
    </x:row>
    <x:row r="865" ht="34" customHeight="1">
      <x:c r="A865" s="15" t="str">
        <x:v>women's 11 ww flip flops</x:v>
      </x:c>
      <x:c r="B865" s="15" t="str">
        <x:v>women's 11 ww flip flops</x:v>
      </x:c>
      <x:c r="C865" s="10" t="str">
        <x:v>2ab1124c25769581</x:v>
      </x:c>
      <x:c r="D865" s="10" t="str">
        <x:v>keyword</x:v>
      </x:c>
      <x:c r="E865" s="10" t="str">
        <x:v>en</x:v>
      </x:c>
      <x:c r="F865" s="10" t="str">
        <x:v>clothing_shoes_jewelry</x:v>
      </x:c>
      <x:c r="G865" s="15" t="str"/>
      <x:c r="H865" s="15" t="str">
        <x:v>flip_flops</x:v>
      </x:c>
      <x:c r="I865" s="15" t="str">
        <x:v>women</x:v>
      </x:c>
      <x:c r="J865" s="15" t="str"/>
      <x:c r="K865" s="15" t="str"/>
      <x:c r="L865" s="15" t="str"/>
      <x:c r="M865" s="15" t="str"/>
      <x:c r="N865" s="15" t="str">
        <x:v>wide_width</x:v>
      </x:c>
      <x:c r="O865" s="15" t="str"/>
      <x:c r="P865" s="15" t="str"/>
      <x:c r="Q865" s="15" t="str"/>
      <x:c r="R865" s="15" t="str">
        <x:v>女性用户需要一双11码加宽版的夹脚拖鞋。</x:v>
      </x:c>
      <x:c r="S865" s="10" t="str">
        <x:v>high_intent</x:v>
      </x:c>
      <x:c r="T865" s="15" t="str">
        <x:v>explicit | page_validated | inferred</x:v>
      </x:c>
      <x:c r="U865" s="10" t="str">
        <x:v>medium</x:v>
      </x:c>
      <x:c r="V865" s="15" t="str">
        <x:v>womens_wide_width_flip_flops</x:v>
      </x:c>
      <x:c r="W865" s="15" t="str">
        <x:v>listing_gap_review</x:v>
      </x:c>
      <x:c r="X865" s="15" t="str">
        <x:v>{"product_type":[{"value":"flip_flops","evidence_type":"explicit","source_span":"flip flops","fact_ids":[],"rationale":"搜索词直接声明产品类型"},{"value":"flip_flops","evidence_type":"page_validated","source_span":"","fact_ids":["style_flip_flop"],"rationale":"商品页面确认夹脚拖鞋类型"}],"audience_intent":[{"value":"women","evidence_type":"explicit","source_span":"women","fact_ids":[],"rationale":"搜索词直接指定女性受众"},{"value":"women","evidence_type":"page_validated","source_span":"","fact_ids":["title_womens_flip_flop"],"rationale":"页面标题确认为女款"}],"body_need_intent":[{"value":"wide_width","evidence_type":"explicit","source_span":"ww","fact_ids":[],"rationale":"ww缩写明确表示加宽版需求"}],"primary_domain":[{"value":"clothing_shoes_jewelry","evidence_type":"inferred","source_span":"","fact_ids":[],"rationale":"该值由搜索词整体语义推断，未作为页面明示属性。"}]}</x:v>
      </x:c>
      <x:c r="Y865" s="15" t="str">
        <x:v>wide_width_not_page_validated</x:v>
      </x:c>
      <x:c r="Z865" s="10" t="str">
        <x:v>partial_match</x:v>
      </x:c>
      <x:c r="AA865" s="15" t="str">
        <x:v>title_womens_flip_flop | style_flip_flop | sizes_6_11</x:v>
      </x:c>
      <x:c r="AB865" s="10" t="str">
        <x:v>accepted</x:v>
      </x:c>
      <x:c r="AC865" s="10" t="str">
        <x:v>1.0.0</x:v>
      </x:c>
      <x:c r="AD865" s="10" t="str">
        <x:v>1.1.0</x:v>
      </x:c>
      <x:c r="AE865" s="10" t="str">
        <x:v>deepseek/deepseek-v4-pro</x:v>
      </x:c>
      <x:c r="AF865" s="10" t="str">
        <x:v>aj2-y90-20260714T234810-0bea2f52</x:v>
      </x:c>
      <x:c r="AG865" s="10" t="str">
        <x:v>full-0044</x:v>
      </x:c>
      <x:c r="AH865" s="10" t="str">
        <x:v>full</x:v>
      </x:c>
      <x:c r="AI865" s="10" t="n">
        <x:v>44</x:v>
      </x:c>
    </x:row>
    <x:row r="866" ht="34" customHeight="1">
      <x:c r="A866" s="16" t="str">
        <x:v>women flip flops arch</x:v>
      </x:c>
      <x:c r="B866" s="16" t="str">
        <x:v>women flip flops arch</x:v>
      </x:c>
      <x:c r="C866" s="13" t="str">
        <x:v>336921be247c51c1</x:v>
      </x:c>
      <x:c r="D866" s="13" t="str">
        <x:v>keyword</x:v>
      </x:c>
      <x:c r="E866" s="13" t="str">
        <x:v>en</x:v>
      </x:c>
      <x:c r="F866" s="13" t="str">
        <x:v>clothing_shoes_jewelry</x:v>
      </x:c>
      <x:c r="G866" s="16" t="str"/>
      <x:c r="H866" s="16" t="str">
        <x:v>flip_flops</x:v>
      </x:c>
      <x:c r="I866" s="16" t="str">
        <x:v>women</x:v>
      </x:c>
      <x:c r="J866" s="16" t="str"/>
      <x:c r="K866" s="16" t="str"/>
      <x:c r="L866" s="16" t="str"/>
      <x:c r="M866" s="16" t="str"/>
      <x:c r="N866" s="16" t="str">
        <x:v>arch_support</x:v>
      </x:c>
      <x:c r="O866" s="16" t="str"/>
      <x:c r="P866" s="16" t="str"/>
      <x:c r="Q866" s="16" t="str"/>
      <x:c r="R866" s="16" t="str">
        <x:v>女性用户需要带足弓支撑的夹脚拖鞋。</x:v>
      </x:c>
      <x:c r="S866" s="13" t="str">
        <x:v>consideration</x:v>
      </x:c>
      <x:c r="T866" s="16" t="str">
        <x:v>explicit | page_validated</x:v>
      </x:c>
      <x:c r="U866" s="13" t="str">
        <x:v>high</x:v>
      </x:c>
      <x:c r="V866" s="16" t="str">
        <x:v>womens_arch_support_flip_flops</x:v>
      </x:c>
      <x:c r="W866" s="16" t="str">
        <x:v>cluster_route</x:v>
      </x:c>
      <x:c r="X866" s="16" t="str">
        <x:v>{"product_type":[{"value":"flip_flops","evidence_type":"explicit","source_span":"flip flops","fact_ids":[],"rationale":"搜索词直接声明产品类型"},{"value":"flip_flops","evidence_type":"page_validated","source_span":"","fact_ids":["style_flip_flop"],"rationale":"商品页面确认夹脚拖鞋类型"}],"audience_intent":[{"value":"women","evidence_type":"explicit","source_span":"women","fact_ids":[],"rationale":"搜索词直接指定女性受众"},{"value":"women","evidence_type":"page_validated","source_span":"","fact_ids":["title_womens_flip_flop"],"rationale":"页面标题确认为女款"}],"capability_intent":[{"value":"arch_support","evidence_type":"page_validated","source_span":"","fact_ids":["arch_support"],"rationale":"该槽位与商品基准中的明示页面事实一致。"},{"value":"arch_suppor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866" s="16" t="str"/>
      <x:c r="Z866" s="13" t="str">
        <x:v>match</x:v>
      </x:c>
      <x:c r="AA866" s="16" t="str">
        <x:v>title_womens_flip_flop | style_flip_flop | arch_support</x:v>
      </x:c>
      <x:c r="AB866" s="13" t="str">
        <x:v>accepted</x:v>
      </x:c>
      <x:c r="AC866" s="13" t="str">
        <x:v>1.0.0</x:v>
      </x:c>
      <x:c r="AD866" s="13" t="str">
        <x:v>1.1.0</x:v>
      </x:c>
      <x:c r="AE866" s="13" t="str">
        <x:v>deepseek/deepseek-v4-pro</x:v>
      </x:c>
      <x:c r="AF866" s="13" t="str">
        <x:v>aj2-y90-20260714T234810-0bea2f52</x:v>
      </x:c>
      <x:c r="AG866" s="13" t="str">
        <x:v>full-0044</x:v>
      </x:c>
      <x:c r="AH866" s="13" t="str">
        <x:v>full</x:v>
      </x:c>
      <x:c r="AI866" s="13" t="n">
        <x:v>44</x:v>
      </x:c>
    </x:row>
    <x:row r="867" ht="34" customHeight="1">
      <x:c r="A867" s="15" t="str">
        <x:v>navy blue sandals with arch support for women</x:v>
      </x:c>
      <x:c r="B867" s="15" t="str">
        <x:v>navy blue sandals with arch support for women</x:v>
      </x:c>
      <x:c r="C867" s="10" t="str">
        <x:v>4f5015afa43c7766</x:v>
      </x:c>
      <x:c r="D867" s="10" t="str">
        <x:v>keyword</x:v>
      </x:c>
      <x:c r="E867" s="10" t="str">
        <x:v>en</x:v>
      </x:c>
      <x:c r="F867" s="10" t="str">
        <x:v>clothing_shoes_jewelry</x:v>
      </x:c>
      <x:c r="G867" s="15" t="str"/>
      <x:c r="H867" s="15" t="str">
        <x:v>sandals</x:v>
      </x:c>
      <x:c r="I867" s="15" t="str">
        <x:v>women</x:v>
      </x:c>
      <x:c r="J867" s="15" t="str"/>
      <x:c r="K867" s="15" t="str"/>
      <x:c r="L867" s="15" t="str"/>
      <x:c r="M867" s="15" t="str"/>
      <x:c r="N867" s="15" t="str">
        <x:v>arch_support</x:v>
      </x:c>
      <x:c r="O867" s="15" t="str"/>
      <x:c r="P867" s="15" t="str"/>
      <x:c r="Q867" s="15" t="str"/>
      <x:c r="R867" s="15" t="str">
        <x:v>女性用户需要一双深蓝色带足弓支撑的凉鞋。</x:v>
      </x:c>
      <x:c r="S867" s="10" t="str">
        <x:v>high_intent</x:v>
      </x:c>
      <x:c r="T867" s="15" t="str">
        <x:v>explicit | page_validated | inferred</x:v>
      </x:c>
      <x:c r="U867" s="10" t="str">
        <x:v>medium</x:v>
      </x:c>
      <x:c r="V867" s="15" t="str">
        <x:v>navy_blue_womens_arch_sandals</x:v>
      </x:c>
      <x:c r="W867" s="15" t="str">
        <x:v>listing_gap_review</x:v>
      </x:c>
      <x:c r="X867" s="15" t="str">
        <x:v>{"product_type":[{"value":"sandals","evidence_type":"explicit","source_span":"sandals","fact_ids":[],"rationale":"搜索词直接声明凉鞋品类"},{"value":"sandals","evidence_type":"page_validated","source_span":"","fact_ids":["title_womens_flip_flop"],"rationale":"该槽位与商品基准中的明示页面事实一致。"}],"audience_intent":[{"value":"women","evidence_type":"explicit","source_span":"women","fact_ids":[],"rationale":"搜索词直接指定女性受众"},{"value":"women","evidence_type":"page_validated","source_span":"","fact_ids":["title_womens_flip_flop"],"rationale":"页面标题确认为女款"}],"capability_intent":[{"value":"arch_support","evidence_type":"page_validated","source_span":"","fact_ids":["arch_support"],"rationale":"该槽位与商品基准中的明示页面事实一致。"}],"primary_domain":[{"value":"clothing_shoes_jewelry","evidence_type":"inferred","source_span":"","fact_ids":[],"rationale":"该值由搜索词整体语义推断，未作为页面明示属性。"}]}</x:v>
      </x:c>
      <x:c r="Y867" s="15" t="str">
        <x:v>navy_blue_not_in_available_colors | sandals_not_flip_flops</x:v>
      </x:c>
      <x:c r="Z867" s="10" t="str">
        <x:v>partial_match</x:v>
      </x:c>
      <x:c r="AA867" s="15" t="str">
        <x:v>title_womens_flip_flop | arch_support | colors_visible</x:v>
      </x:c>
      <x:c r="AB867" s="10" t="str">
        <x:v>accepted</x:v>
      </x:c>
      <x:c r="AC867" s="10" t="str">
        <x:v>1.0.0</x:v>
      </x:c>
      <x:c r="AD867" s="10" t="str">
        <x:v>1.1.0</x:v>
      </x:c>
      <x:c r="AE867" s="10" t="str">
        <x:v>deepseek/deepseek-v4-pro</x:v>
      </x:c>
      <x:c r="AF867" s="10" t="str">
        <x:v>aj2-y90-20260714T234810-0bea2f52</x:v>
      </x:c>
      <x:c r="AG867" s="10" t="str">
        <x:v>full-0044</x:v>
      </x:c>
      <x:c r="AH867" s="10" t="str">
        <x:v>full</x:v>
      </x:c>
      <x:c r="AI867" s="10" t="n">
        <x:v>44</x:v>
      </x:c>
    </x:row>
    <x:row r="868" ht="34" customHeight="1">
      <x:c r="A868" s="16" t="str">
        <x:v>cooling flip flops for women</x:v>
      </x:c>
      <x:c r="B868" s="16" t="str">
        <x:v>cooling flip flops for women</x:v>
      </x:c>
      <x:c r="C868" s="13" t="str">
        <x:v>68c9b2fbce27f049</x:v>
      </x:c>
      <x:c r="D868" s="13" t="str">
        <x:v>keyword</x:v>
      </x:c>
      <x:c r="E868" s="13" t="str">
        <x:v>en</x:v>
      </x:c>
      <x:c r="F868" s="13" t="str">
        <x:v>clothing_shoes_jewelry</x:v>
      </x:c>
      <x:c r="G868" s="16" t="str"/>
      <x:c r="H868" s="16" t="str">
        <x:v>flip_flops</x:v>
      </x:c>
      <x:c r="I868" s="16" t="str">
        <x:v>women</x:v>
      </x:c>
      <x:c r="J868" s="16" t="str">
        <x:v>cooling</x:v>
      </x:c>
      <x:c r="K868" s="16" t="str">
        <x:v>breathable</x:v>
      </x:c>
      <x:c r="L868" s="16" t="str"/>
      <x:c r="M868" s="16" t="str"/>
      <x:c r="N868" s="16" t="str"/>
      <x:c r="O868" s="16" t="str">
        <x:v>summer</x:v>
      </x:c>
      <x:c r="P868" s="16" t="str"/>
      <x:c r="Q868" s="16" t="str"/>
      <x:c r="R868" s="16" t="str">
        <x:v>女性用户需要一双穿着凉爽透气的夹脚拖鞋，适合夏季使用。</x:v>
      </x:c>
      <x:c r="S868" s="13" t="str">
        <x:v>consideration</x:v>
      </x:c>
      <x:c r="T868" s="16" t="str">
        <x:v>explicit | page_validated | inferred</x:v>
      </x:c>
      <x:c r="U868" s="13" t="str">
        <x:v>medium</x:v>
      </x:c>
      <x:c r="V868" s="16" t="str">
        <x:v>womens_cooling_flip_flops</x:v>
      </x:c>
      <x:c r="W868" s="16" t="str">
        <x:v>listing_gap_review</x:v>
      </x:c>
      <x:c r="X868" s="16" t="str">
        <x:v>{"product_type":[{"value":"flip_flops","evidence_type":"explicit","source_span":"flip flops","fact_ids":[],"rationale":"搜索词直接声明产品类型"},{"value":"flip_flops","evidence_type":"page_validated","source_span":"","fact_ids":["style_flip_flop"],"rationale":"商品页面确认夹脚拖鞋类型"}],"audience_intent":[{"value":"women","evidence_type":"explicit","source_span":"women","fact_ids":[],"rationale":"搜索词直接指定女性受众"},{"value":"women","evidence_type":"page_validated","source_span":"","fact_ids":["title_womens_flip_flop"],"rationale":"页面标题确认为女款"}],"function_intent":[{"value":"cooling","evidence_type":"explicit","source_span":"cooling","fact_ids":[],"rationale":"搜索词明确要求凉爽降温功能"}],"capability_intent":[{"value":"breathable","evidence_type":"page_validated","source_span":"","fact_ids":["lightweight_breathable"],"rationale":"页面声明超轻透气特性"},{"value":"breathable","evidence_type":"inferred","source_span":"","fact_ids":[],"rationale":"该能力由搜索词表达的任务或问题推断；页面事实仅用于验证商品承接。"}],"time_intent":[{"value":"summer","evidence_type":"inferred","source_span":"","fact_ids":[],"rationale":"凉爽需求通常关联夏季穿着场景"}],"primary_domain":[{"value":"clothing_shoes_jewelry","evidence_type":"inferred","source_span":"","fact_ids":[],"rationale":"该值由搜索词整体语义推断，未作为页面明示属性。"}]}</x:v>
      </x:c>
      <x:c r="Y868" s="16" t="str">
        <x:v>cooling_not_explicitly_page_validated</x:v>
      </x:c>
      <x:c r="Z868" s="13" t="str">
        <x:v>partial_match</x:v>
      </x:c>
      <x:c r="AA868" s="16" t="str">
        <x:v>title_womens_flip_flop | style_flip_flop | lightweight_breathable</x:v>
      </x:c>
      <x:c r="AB868" s="13" t="str">
        <x:v>accepted</x:v>
      </x:c>
      <x:c r="AC868" s="13" t="str">
        <x:v>1.0.0</x:v>
      </x:c>
      <x:c r="AD868" s="13" t="str">
        <x:v>1.1.0</x:v>
      </x:c>
      <x:c r="AE868" s="13" t="str">
        <x:v>deepseek/deepseek-v4-pro</x:v>
      </x:c>
      <x:c r="AF868" s="13" t="str">
        <x:v>aj2-y90-20260714T234810-0bea2f52</x:v>
      </x:c>
      <x:c r="AG868" s="13" t="str">
        <x:v>full-0044</x:v>
      </x:c>
      <x:c r="AH868" s="13" t="str">
        <x:v>full</x:v>
      </x:c>
      <x:c r="AI868" s="13" t="n">
        <x:v>44</x:v>
      </x:c>
    </x:row>
    <x:row r="869" ht="34" customHeight="1">
      <x:c r="A869" s="15" t="str">
        <x:v>dark brown flip flops with arch support</x:v>
      </x:c>
      <x:c r="B869" s="15" t="str">
        <x:v>dark brown flip flops with arch support</x:v>
      </x:c>
      <x:c r="C869" s="10" t="str">
        <x:v>6a1afa3aa3db5599</x:v>
      </x:c>
      <x:c r="D869" s="10" t="str">
        <x:v>keyword</x:v>
      </x:c>
      <x:c r="E869" s="10" t="str">
        <x:v>en</x:v>
      </x:c>
      <x:c r="F869" s="10" t="str">
        <x:v>clothing_shoes_jewelry</x:v>
      </x:c>
      <x:c r="G869" s="15" t="str"/>
      <x:c r="H869" s="15" t="str">
        <x:v>flip_flops</x:v>
      </x:c>
      <x:c r="I869" s="15" t="str"/>
      <x:c r="J869" s="15" t="str"/>
      <x:c r="K869" s="15" t="str"/>
      <x:c r="L869" s="15" t="str"/>
      <x:c r="M869" s="15" t="str"/>
      <x:c r="N869" s="15" t="str">
        <x:v>arch_support</x:v>
      </x:c>
      <x:c r="O869" s="15" t="str"/>
      <x:c r="P869" s="15" t="str"/>
      <x:c r="Q869" s="15" t="str"/>
      <x:c r="R869" s="15" t="str">
        <x:v>用户寻找深棕色且带足弓支撑的夹脚拖鞋。</x:v>
      </x:c>
      <x:c r="S869" s="10" t="str">
        <x:v>high_intent</x:v>
      </x:c>
      <x:c r="T869" s="15" t="str">
        <x:v>explicit | page_validated</x:v>
      </x:c>
      <x:c r="U869" s="10" t="str">
        <x:v>high</x:v>
      </x:c>
      <x:c r="V869" s="15" t="str">
        <x:v>brown_arch_support_flip_flops</x:v>
      </x:c>
      <x:c r="W869" s="15" t="str">
        <x:v>cluster_route</x:v>
      </x:c>
      <x:c r="X869" s="15" t="str">
        <x:v>{"product_type":[{"value":"flip_flops","evidence_type":"explicit","source_span":"flip flops","fact_ids":[],"rationale":"搜索词直接声明产品类型"},{"value":"flip_flops","evidence_type":"page_validated","source_span":"","fact_ids":["style_flip_flop"],"rationale":"商品页面确认夹脚拖鞋类型"}],"capability_intent":[{"value":"arch_support","evidence_type":"page_validated","source_span":"","fact_ids":["arch_support"],"rationale":"该槽位与商品基准中的明示页面事实一致。"}],"primary_domain":[{"value":"clothing_shoes_jewelry","evidence_type":"inferred","source_span":"","fact_ids":[],"rationale":"该值由搜索词整体语义推断，未作为页面明示属性。"}]}</x:v>
      </x:c>
      <x:c r="Y869" s="15" t="str"/>
      <x:c r="Z869" s="10" t="str">
        <x:v>match</x:v>
      </x:c>
      <x:c r="AA869" s="15" t="str">
        <x:v>style_flip_flop | arch_support | colors_visible</x:v>
      </x:c>
      <x:c r="AB869" s="10" t="str">
        <x:v>accepted</x:v>
      </x:c>
      <x:c r="AC869" s="10" t="str">
        <x:v>1.0.0</x:v>
      </x:c>
      <x:c r="AD869" s="10" t="str">
        <x:v>1.1.0</x:v>
      </x:c>
      <x:c r="AE869" s="10" t="str">
        <x:v>deepseek/deepseek-v4-pro</x:v>
      </x:c>
      <x:c r="AF869" s="10" t="str">
        <x:v>aj2-y90-20260714T234810-0bea2f52</x:v>
      </x:c>
      <x:c r="AG869" s="10" t="str">
        <x:v>full-0044</x:v>
      </x:c>
      <x:c r="AH869" s="10" t="str">
        <x:v>full</x:v>
      </x:c>
      <x:c r="AI869" s="10" t="n">
        <x:v>44</x:v>
      </x:c>
    </x:row>
    <x:row r="870" ht="34" customHeight="1">
      <x:c r="A870" s="16" t="str">
        <x:v>flip flops waterproof women</x:v>
      </x:c>
      <x:c r="B870" s="16" t="str">
        <x:v>flip flops waterproof women</x:v>
      </x:c>
      <x:c r="C870" s="13" t="str">
        <x:v>77463d69e728b4c3</x:v>
      </x:c>
      <x:c r="D870" s="13" t="str">
        <x:v>keyword</x:v>
      </x:c>
      <x:c r="E870" s="13" t="str">
        <x:v>en</x:v>
      </x:c>
      <x:c r="F870" s="13" t="str">
        <x:v>clothing_shoes_jewelry</x:v>
      </x:c>
      <x:c r="G870" s="16" t="str">
        <x:v>sports_outdoors</x:v>
      </x:c>
      <x:c r="H870" s="16" t="str">
        <x:v>flip_flops</x:v>
      </x:c>
      <x:c r="I870" s="16" t="str">
        <x:v>women</x:v>
      </x:c>
      <x:c r="J870" s="16" t="str"/>
      <x:c r="K870" s="16" t="str">
        <x:v>waterproof</x:v>
      </x:c>
      <x:c r="L870" s="16" t="str"/>
      <x:c r="M870" s="16" t="str">
        <x:v>outdoor | wet_environment</x:v>
      </x:c>
      <x:c r="N870" s="16" t="str"/>
      <x:c r="O870" s="16" t="str"/>
      <x:c r="P870" s="16" t="str"/>
      <x:c r="Q870" s="16" t="str"/>
      <x:c r="R870" s="16" t="str">
        <x:v>女性用户需要一双防水的夹脚拖鞋，适合户外或潮湿环境穿着。</x:v>
      </x:c>
      <x:c r="S870" s="13" t="str">
        <x:v>consideration</x:v>
      </x:c>
      <x:c r="T870" s="16" t="str">
        <x:v>explicit | inferred</x:v>
      </x:c>
      <x:c r="U870" s="13" t="str">
        <x:v>high</x:v>
      </x:c>
      <x:c r="V870" s="16" t="str">
        <x:v>womens_waterproof_flip_flops</x:v>
      </x:c>
      <x:c r="W870" s="16" t="str">
        <x:v>semantic_negative_candidate</x:v>
      </x:c>
      <x:c r="X870" s="16" t="str">
        <x:v>{"product_type":[{"value":"flip_flops","evidence_type":"explicit","source_span":"flip flops","fact_ids":[],"rationale":"搜索词直接声明产品类型"},{"value":"flip_flops","evidence_type":"page_validated","source_span":"","fact_ids":["style_flip_flop"],"rationale":"商品页面确认夹脚拖鞋类型"}],"audience_intent":[{"value":"women","evidence_type":"explicit","source_span":"women","fact_ids":[],"rationale":"搜索词直接指定女性受众"},{"value":"women","evidence_type":"page_validated","source_span":"","fact_ids":["title_womens_flip_flop"],"rationale":"页面标题确认为女款"}],"capability_intent":[{"value":"waterproof","evidence_type":"explicit","source_span":"waterproof","fact_ids":[],"rationale":"搜索词明确要求防水功能"}],"location_intent":[{"value":"outdoor","evidence_type":"page_validated","source_span":"","fact_ids":["style_outdoor"],"rationale":"页面标注户外生活场景"},{"value":"wet_environment","evidence_type":"inferred","source_span":"","fact_ids":[],"rationale":"防水需求暗示潮湿使用场景"},{"value":"outdoor","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secondary_domain":[{"value":"sports_outdoors","evidence_type":"inferred","source_span":"","fact_ids":[],"rationale":"该值由搜索词整体语义推断，未作为页面明示属性。"}]}</x:v>
      </x:c>
      <x:c r="Y870" s="16" t="str"/>
      <x:c r="Z870" s="13" t="str">
        <x:v>mismatch</x:v>
      </x:c>
      <x:c r="AA870" s="16" t="str">
        <x:v>title_womens_flip_flop | style_flip_flop</x:v>
      </x:c>
      <x:c r="AB870" s="13" t="str">
        <x:v>accepted</x:v>
      </x:c>
      <x:c r="AC870" s="13" t="str">
        <x:v>1.0.0</x:v>
      </x:c>
      <x:c r="AD870" s="13" t="str">
        <x:v>1.1.0</x:v>
      </x:c>
      <x:c r="AE870" s="13" t="str">
        <x:v>deepseek/deepseek-v4-pro</x:v>
      </x:c>
      <x:c r="AF870" s="13" t="str">
        <x:v>aj2-y90-20260714T234810-0bea2f52</x:v>
      </x:c>
      <x:c r="AG870" s="13" t="str">
        <x:v>full-0044</x:v>
      </x:c>
      <x:c r="AH870" s="13" t="str">
        <x:v>full</x:v>
      </x:c>
      <x:c r="AI870" s="13" t="n">
        <x:v>44</x:v>
      </x:c>
    </x:row>
    <x:row r="871" ht="34" customHeight="1">
      <x:c r="A871" s="15" t="str">
        <x:v>high arch flip flops womens plantar fasciitis</x:v>
      </x:c>
      <x:c r="B871" s="15" t="str">
        <x:v>high arch flip flops womens plantar fasciitis</x:v>
      </x:c>
      <x:c r="C871" s="10" t="str">
        <x:v>84152cde6140fbdd</x:v>
      </x:c>
      <x:c r="D871" s="10" t="str">
        <x:v>keyword</x:v>
      </x:c>
      <x:c r="E871" s="10" t="str">
        <x:v>en</x:v>
      </x:c>
      <x:c r="F871" s="10" t="str">
        <x:v>clothing_shoes_jewelry</x:v>
      </x:c>
      <x:c r="G871" s="15" t="str">
        <x:v>health_household</x:v>
      </x:c>
      <x:c r="H871" s="15" t="str">
        <x:v>flip_flops</x:v>
      </x:c>
      <x:c r="I871" s="15" t="str">
        <x:v>women</x:v>
      </x:c>
      <x:c r="J871" s="15" t="str">
        <x:v>pain_relief</x:v>
      </x:c>
      <x:c r="K871" s="15" t="str"/>
      <x:c r="L871" s="15" t="str"/>
      <x:c r="M871" s="15" t="str"/>
      <x:c r="N871" s="15" t="str">
        <x:v>high_arch | plantar_fasciitis</x:v>
      </x:c>
      <x:c r="O871" s="15" t="str"/>
      <x:c r="P871" s="15" t="str"/>
      <x:c r="Q871" s="15" t="str"/>
      <x:c r="R871" s="15" t="str">
        <x:v>患有足底筋膜炎的高足弓女性用户需要一双提供强力支撑的夹脚拖鞋。</x:v>
      </x:c>
      <x:c r="S871" s="10" t="str">
        <x:v>high_intent</x:v>
      </x:c>
      <x:c r="T871" s="15" t="str">
        <x:v>explicit | page_validated | inferred</x:v>
      </x:c>
      <x:c r="U871" s="10" t="str">
        <x:v>high</x:v>
      </x:c>
      <x:c r="V871" s="15" t="str">
        <x:v>womens_high_arch_pf_flip_flops</x:v>
      </x:c>
      <x:c r="W871" s="15" t="str">
        <x:v>listing_gap_review</x:v>
      </x:c>
      <x:c r="X871" s="15" t="str">
        <x:v>{"product_type":[{"value":"flip_flops","evidence_type":"explicit","source_span":"flip flops","fact_ids":[],"rationale":"搜索词直接声明产品类型"},{"value":"flip_flops","evidence_type":"page_validated","source_span":"","fact_ids":["style_flip_flop"],"rationale":"商品页面确认夹脚拖鞋类型"}],"audience_intent":[{"value":"women","evidence_type":"explicit","source_span":"womens","fact_ids":[],"rationale":"搜索词直接指定女性受众"},{"value":"women","evidence_type":"page_validated","source_span":"","fact_ids":["title_womens_flip_flop"],"rationale":"页面标题确认为女款"}],"body_need_intent":[{"value":"high_arch","evidence_type":"explicit","source_span":"high arch","fact_ids":[],"rationale":"搜索词直接声明高足弓需求"},{"value":"plantar_fasciitis","evidence_type":"explicit","source_span":"plantar fasciitis","fact_ids":[],"rationale":"搜索词明确提及足底筋膜炎"}],"function_intent":[{"value":"pain_relief","evidence_type":"inferred","source_span":"","fact_ids":[],"rationale":"足底筋膜炎搜索隐含缓解疼痛目的"}],"primary_domain":[{"value":"clothing_shoes_jewelry","evidence_type":"inferred","source_span":"","fact_ids":[],"rationale":"该值由搜索词整体语义推断，未作为页面明示属性。"}],"secondary_domain":[{"value":"health_household","evidence_type":"inferred","source_span":"","fact_ids":[],"rationale":"该值由搜索词整体语义推断，未作为页面明示属性。"}]}</x:v>
      </x:c>
      <x:c r="Y871" s="15" t="str">
        <x:v>high_arch_not_page_validated | plantar_fasciitis_not_page_validated</x:v>
      </x:c>
      <x:c r="Z871" s="10" t="str">
        <x:v>partial_match</x:v>
      </x:c>
      <x:c r="AA871" s="15" t="str">
        <x:v>title_womens_flip_flop | style_flip_flop | arch_support</x:v>
      </x:c>
      <x:c r="AB871" s="10" t="str">
        <x:v>accepted</x:v>
      </x:c>
      <x:c r="AC871" s="10" t="str">
        <x:v>1.0.0</x:v>
      </x:c>
      <x:c r="AD871" s="10" t="str">
        <x:v>1.1.0</x:v>
      </x:c>
      <x:c r="AE871" s="10" t="str">
        <x:v>deepseek/deepseek-v4-pro</x:v>
      </x:c>
      <x:c r="AF871" s="10" t="str">
        <x:v>aj2-y90-20260714T234810-0bea2f52</x:v>
      </x:c>
      <x:c r="AG871" s="10" t="str">
        <x:v>full-0044</x:v>
      </x:c>
      <x:c r="AH871" s="10" t="str">
        <x:v>full</x:v>
      </x:c>
      <x:c r="AI871" s="10" t="n">
        <x:v>44</x:v>
      </x:c>
    </x:row>
    <x:row r="872" ht="34" customHeight="1">
      <x:c r="A872" s="16" t="str">
        <x:v>pink flip flops</x:v>
      </x:c>
      <x:c r="B872" s="16" t="str">
        <x:v>pink flip flops</x:v>
      </x:c>
      <x:c r="C872" s="13" t="str">
        <x:v>8b917cc72278a393</x:v>
      </x:c>
      <x:c r="D872" s="13" t="str">
        <x:v>keyword</x:v>
      </x:c>
      <x:c r="E872" s="13" t="str">
        <x:v>en</x:v>
      </x:c>
      <x:c r="F872" s="13" t="str">
        <x:v>clothing_shoes_jewelry</x:v>
      </x:c>
      <x:c r="G872" s="16" t="str"/>
      <x:c r="H872" s="16" t="str">
        <x:v>flip_flops</x:v>
      </x:c>
      <x:c r="I872" s="16" t="str"/>
      <x:c r="J872" s="16" t="str"/>
      <x:c r="K872" s="16" t="str"/>
      <x:c r="L872" s="16" t="str"/>
      <x:c r="M872" s="16" t="str"/>
      <x:c r="N872" s="16" t="str"/>
      <x:c r="O872" s="16" t="str"/>
      <x:c r="P872" s="16" t="str"/>
      <x:c r="Q872" s="16" t="str"/>
      <x:c r="R872" s="16" t="str">
        <x:v>用户寻找粉色夹脚拖鞋。</x:v>
      </x:c>
      <x:c r="S872" s="13" t="str">
        <x:v>high_intent</x:v>
      </x:c>
      <x:c r="T872" s="16" t="str">
        <x:v>explicit | page_validated</x:v>
      </x:c>
      <x:c r="U872" s="13" t="str">
        <x:v>high</x:v>
      </x:c>
      <x:c r="V872" s="16" t="str">
        <x:v>pink_flip_flops</x:v>
      </x:c>
      <x:c r="W872" s="16" t="str">
        <x:v>cluster_route</x:v>
      </x:c>
      <x:c r="X872" s="16" t="str">
        <x:v>{"product_type":[{"value":"flip_flops","evidence_type":"explicit","source_span":"flip flops","fact_ids":[],"rationale":"搜索词直接声明产品类型"},{"value":"flip_flops","evidence_type":"page_validated","source_span":"","fact_ids":["style_flip_flop"],"rationale":"商品页面确认夹脚拖鞋类型"}],"primary_domain":[{"value":"clothing_shoes_jewelry","evidence_type":"inferred","source_span":"","fact_ids":[],"rationale":"该值由搜索词整体语义推断，未作为页面明示属性。"}]}</x:v>
      </x:c>
      <x:c r="Y872" s="16" t="str"/>
      <x:c r="Z872" s="13" t="str">
        <x:v>match</x:v>
      </x:c>
      <x:c r="AA872" s="16" t="str">
        <x:v>style_flip_flop | colors_visible</x:v>
      </x:c>
      <x:c r="AB872" s="13" t="str">
        <x:v>accepted</x:v>
      </x:c>
      <x:c r="AC872" s="13" t="str">
        <x:v>1.0.0</x:v>
      </x:c>
      <x:c r="AD872" s="13" t="str">
        <x:v>1.1.0</x:v>
      </x:c>
      <x:c r="AE872" s="13" t="str">
        <x:v>deepseek/deepseek-v4-pro</x:v>
      </x:c>
      <x:c r="AF872" s="13" t="str">
        <x:v>aj2-y90-20260714T234810-0bea2f52</x:v>
      </x:c>
      <x:c r="AG872" s="13" t="str">
        <x:v>full-0044</x:v>
      </x:c>
      <x:c r="AH872" s="13" t="str">
        <x:v>full</x:v>
      </x:c>
      <x:c r="AI872" s="13" t="n">
        <x:v>44</x:v>
      </x:c>
    </x:row>
    <x:row r="873" ht="34" customHeight="1">
      <x:c r="A873" s="15" t="str">
        <x:v>black flipflops womens</x:v>
      </x:c>
      <x:c r="B873" s="15" t="str">
        <x:v>black flipflops womens</x:v>
      </x:c>
      <x:c r="C873" s="10" t="str">
        <x:v>91c0df49a9bced56</x:v>
      </x:c>
      <x:c r="D873" s="10" t="str">
        <x:v>keyword</x:v>
      </x:c>
      <x:c r="E873" s="10" t="str">
        <x:v>en</x:v>
      </x:c>
      <x:c r="F873" s="10" t="str">
        <x:v>clothing_shoes_jewelry</x:v>
      </x:c>
      <x:c r="G873" s="15" t="str"/>
      <x:c r="H873" s="15" t="str">
        <x:v>flip_flops</x:v>
      </x:c>
      <x:c r="I873" s="15" t="str">
        <x:v>women</x:v>
      </x:c>
      <x:c r="J873" s="15" t="str"/>
      <x:c r="K873" s="15" t="str"/>
      <x:c r="L873" s="15" t="str"/>
      <x:c r="M873" s="15" t="str"/>
      <x:c r="N873" s="15" t="str"/>
      <x:c r="O873" s="15" t="str"/>
      <x:c r="P873" s="15" t="str"/>
      <x:c r="Q873" s="15" t="str"/>
      <x:c r="R873" s="15" t="str">
        <x:v>用户寻找黑色女款夹脚拖鞋。</x:v>
      </x:c>
      <x:c r="S873" s="10" t="str">
        <x:v>high_intent</x:v>
      </x:c>
      <x:c r="T873" s="15" t="str">
        <x:v>explicit | page_validated</x:v>
      </x:c>
      <x:c r="U873" s="10" t="str">
        <x:v>high</x:v>
      </x:c>
      <x:c r="V873" s="15" t="str">
        <x:v>black_womens_flip_flops</x:v>
      </x:c>
      <x:c r="W873" s="15" t="str">
        <x:v>cluster_route</x:v>
      </x:c>
      <x:c r="X873" s="15" t="str">
        <x:v>{"product_type":[{"value":"flip_flops","evidence_type":"explicit","source_span":"flipflops","fact_ids":[],"rationale":"搜索词直接声明产品类型"},{"value":"flip_flops","evidence_type":"page_validated","source_span":"","fact_ids":["style_flip_flop"],"rationale":"商品页面确认夹脚拖鞋类型"},{"value":"flip_flops","evidence_type":"inferred","source_span":"","fact_ids":[],"rationale":"该能力由搜索词表达的任务或问题推断；页面事实仅用于验证商品承接。"}],"audience_intent":[{"value":"women","evidence_type":"explicit","source_span":"womens","fact_ids":[],"rationale":"搜索词直接指定女性受众"},{"value":"women","evidence_type":"page_validated","source_span":"","fact_ids":["title_womens_flip_flop"],"rationale":"页面标题确认为女款"}],"primary_domain":[{"value":"clothing_shoes_jewelry","evidence_type":"inferred","source_span":"","fact_ids":[],"rationale":"该值由搜索词整体语义推断，未作为页面明示属性。"}]}</x:v>
      </x:c>
      <x:c r="Y873" s="15" t="str"/>
      <x:c r="Z873" s="10" t="str">
        <x:v>match</x:v>
      </x:c>
      <x:c r="AA873" s="15" t="str">
        <x:v>title_womens_flip_flop | style_flip_flop | colors_visible</x:v>
      </x:c>
      <x:c r="AB873" s="10" t="str">
        <x:v>accepted</x:v>
      </x:c>
      <x:c r="AC873" s="10" t="str">
        <x:v>1.0.0</x:v>
      </x:c>
      <x:c r="AD873" s="10" t="str">
        <x:v>1.1.0</x:v>
      </x:c>
      <x:c r="AE873" s="10" t="str">
        <x:v>deepseek/deepseek-v4-pro</x:v>
      </x:c>
      <x:c r="AF873" s="10" t="str">
        <x:v>aj2-y90-20260714T234810-0bea2f52</x:v>
      </x:c>
      <x:c r="AG873" s="10" t="str">
        <x:v>full-0044</x:v>
      </x:c>
      <x:c r="AH873" s="10" t="str">
        <x:v>full</x:v>
      </x:c>
      <x:c r="AI873" s="10" t="n">
        <x:v>44</x:v>
      </x:c>
    </x:row>
    <x:row r="874" ht="34" customHeight="1">
      <x:c r="A874" s="16" t="str">
        <x:v>white flip flop sandals</x:v>
      </x:c>
      <x:c r="B874" s="16" t="str">
        <x:v>white flip flop sandals</x:v>
      </x:c>
      <x:c r="C874" s="13" t="str">
        <x:v>94d0280aacbe562c</x:v>
      </x:c>
      <x:c r="D874" s="13" t="str">
        <x:v>keyword</x:v>
      </x:c>
      <x:c r="E874" s="13" t="str">
        <x:v>en</x:v>
      </x:c>
      <x:c r="F874" s="13" t="str">
        <x:v>clothing_shoes_jewelry</x:v>
      </x:c>
      <x:c r="G874" s="16" t="str"/>
      <x:c r="H874" s="16" t="str">
        <x:v>flip_flops | sandals</x:v>
      </x:c>
      <x:c r="I874" s="16" t="str"/>
      <x:c r="J874" s="16" t="str"/>
      <x:c r="K874" s="16" t="str"/>
      <x:c r="L874" s="16" t="str"/>
      <x:c r="M874" s="16" t="str"/>
      <x:c r="N874" s="16" t="str"/>
      <x:c r="O874" s="16" t="str"/>
      <x:c r="P874" s="16" t="str"/>
      <x:c r="Q874" s="16" t="str"/>
      <x:c r="R874" s="16" t="str">
        <x:v>用户寻找白色夹脚凉鞋。</x:v>
      </x:c>
      <x:c r="S874" s="13" t="str">
        <x:v>high_intent</x:v>
      </x:c>
      <x:c r="T874" s="16" t="str">
        <x:v>explicit | page_validated</x:v>
      </x:c>
      <x:c r="U874" s="13" t="str">
        <x:v>high</x:v>
      </x:c>
      <x:c r="V874" s="16" t="str">
        <x:v>white_flip_flops</x:v>
      </x:c>
      <x:c r="W874" s="16" t="str">
        <x:v>cluster_route</x:v>
      </x:c>
      <x:c r="X874" s="16" t="str">
        <x:v>{"product_type":[{"value":"flip_flops","evidence_type":"explicit","source_span":"flip flop","fact_ids":[],"rationale":"搜索词直接声明产品类型"},{"value":"sandals","evidence_type":"explicit","source_span":"sandals","fact_ids":[],"rationale":"搜索词同时使用凉鞋品类词"},{"value":"flip_flops","evidence_type":"page_validated","source_span":"","fact_ids":["style_flip_flop"],"rationale":"商品页面确认夹脚拖鞋类型"},{"value":"flip_flops","evidence_type":"inferred","source_span":"","fact_ids":[],"rationale":"该能力由搜索词表达的任务或问题推断；页面事实仅用于验证商品承接。"},{"value":"sandals","evidence_type":"page_validated","source_span":"","fact_ids":["title_womens_flip_flop"],"rationale":"该槽位与商品基准中的明示页面事实一致。"}],"primary_domain":[{"value":"clothing_shoes_jewelry","evidence_type":"inferred","source_span":"","fact_ids":[],"rationale":"该值由搜索词整体语义推断，未作为页面明示属性。"}]}</x:v>
      </x:c>
      <x:c r="Y874" s="16" t="str"/>
      <x:c r="Z874" s="13" t="str">
        <x:v>match</x:v>
      </x:c>
      <x:c r="AA874" s="16" t="str">
        <x:v>style_flip_flop | colors_visible</x:v>
      </x:c>
      <x:c r="AB874" s="13" t="str">
        <x:v>accepted</x:v>
      </x:c>
      <x:c r="AC874" s="13" t="str">
        <x:v>1.0.0</x:v>
      </x:c>
      <x:c r="AD874" s="13" t="str">
        <x:v>1.1.0</x:v>
      </x:c>
      <x:c r="AE874" s="13" t="str">
        <x:v>deepseek/deepseek-v4-pro</x:v>
      </x:c>
      <x:c r="AF874" s="13" t="str">
        <x:v>aj2-y90-20260714T234810-0bea2f52</x:v>
      </x:c>
      <x:c r="AG874" s="13" t="str">
        <x:v>full-0044</x:v>
      </x:c>
      <x:c r="AH874" s="13" t="str">
        <x:v>full</x:v>
      </x:c>
      <x:c r="AI874" s="13" t="n">
        <x:v>44</x:v>
      </x:c>
    </x:row>
    <x:row r="875" ht="34" customHeight="1">
      <x:c r="A875" s="15" t="str">
        <x:v>barefoot flip flops with arch support</x:v>
      </x:c>
      <x:c r="B875" s="15" t="str">
        <x:v>barefoot flip flops with arch support</x:v>
      </x:c>
      <x:c r="C875" s="10" t="str">
        <x:v>b18a0ac74fd836e0</x:v>
      </x:c>
      <x:c r="D875" s="10" t="str">
        <x:v>keyword</x:v>
      </x:c>
      <x:c r="E875" s="10" t="str">
        <x:v>en</x:v>
      </x:c>
      <x:c r="F875" s="10" t="str">
        <x:v>clothing_shoes_jewelry</x:v>
      </x:c>
      <x:c r="G875" s="15" t="str">
        <x:v>sports_outdoors</x:v>
      </x:c>
      <x:c r="H875" s="15" t="str">
        <x:v>flip_flops</x:v>
      </x:c>
      <x:c r="I875" s="15" t="str"/>
      <x:c r="J875" s="15" t="str"/>
      <x:c r="K875" s="15" t="str">
        <x:v>barefoot_feel</x:v>
      </x:c>
      <x:c r="L875" s="15" t="str"/>
      <x:c r="M875" s="15" t="str"/>
      <x:c r="N875" s="15" t="str">
        <x:v>arch_support</x:v>
      </x:c>
      <x:c r="O875" s="15" t="str"/>
      <x:c r="P875" s="15" t="str"/>
      <x:c r="Q875" s="15" t="str"/>
      <x:c r="R875" s="15" t="str">
        <x:v>用户需要一双兼具赤足感与足弓支撑的夹脚拖鞋。</x:v>
      </x:c>
      <x:c r="S875" s="10" t="str">
        <x:v>consideration</x:v>
      </x:c>
      <x:c r="T875" s="15" t="str">
        <x:v>explicit | page_validated | inferred</x:v>
      </x:c>
      <x:c r="U875" s="10" t="str">
        <x:v>medium</x:v>
      </x:c>
      <x:c r="V875" s="15" t="str">
        <x:v>barefoot_arch_support_flip_flops</x:v>
      </x:c>
      <x:c r="W875" s="15" t="str">
        <x:v>listing_gap_review</x:v>
      </x:c>
      <x:c r="X875" s="15" t="str">
        <x:v>{"product_type":[{"value":"flip_flops","evidence_type":"explicit","source_span":"flip flops","fact_ids":[],"rationale":"搜索词直接声明产品类型"},{"value":"flip_flops","evidence_type":"page_validated","source_span":"","fact_ids":["style_flip_flop"],"rationale":"商品页面确认夹脚拖鞋类型"}],"capability_intent":[{"value":"barefoot_feel","evidence_type":"explicit","source_span":"barefoot","fact_ids":[],"rationale":"搜索词明确要求赤足感体验"},{"value":"arch_support","evidence_type":"page_validated","source_span":"","fact_ids":["arch_support"],"rationale":"该槽位与商品基准中的明示页面事实一致。"}],"primary_domain":[{"value":"clothing_shoes_jewelry","evidence_type":"inferred","source_span":"","fact_ids":[],"rationale":"该值由搜索词整体语义推断，未作为页面明示属性。"}],"secondary_domain":[{"value":"sports_outdoors","evidence_type":"inferred","source_span":"","fact_ids":[],"rationale":"该值由搜索词整体语义推断，未作为页面明示属性。"}]}</x:v>
      </x:c>
      <x:c r="Y875" s="15" t="str">
        <x:v>barefoot_feel_conflicts_with_padded_arch</x:v>
      </x:c>
      <x:c r="Z875" s="10" t="str">
        <x:v>partial_match</x:v>
      </x:c>
      <x:c r="AA875" s="15" t="str">
        <x:v>style_flip_flop | arch_support | padded_cushioning</x:v>
      </x:c>
      <x:c r="AB875" s="10" t="str">
        <x:v>accepted</x:v>
      </x:c>
      <x:c r="AC875" s="10" t="str">
        <x:v>1.0.0</x:v>
      </x:c>
      <x:c r="AD875" s="10" t="str">
        <x:v>1.1.0</x:v>
      </x:c>
      <x:c r="AE875" s="10" t="str">
        <x:v>deepseek/deepseek-v4-pro</x:v>
      </x:c>
      <x:c r="AF875" s="10" t="str">
        <x:v>aj2-y90-20260714T234810-0bea2f52</x:v>
      </x:c>
      <x:c r="AG875" s="10" t="str">
        <x:v>full-0044</x:v>
      </x:c>
      <x:c r="AH875" s="10" t="str">
        <x:v>full</x:v>
      </x:c>
      <x:c r="AI875" s="10" t="n">
        <x:v>44</x:v>
      </x:c>
    </x:row>
    <x:row r="876" ht="34" customHeight="1">
      <x:c r="A876" s="16" t="str">
        <x:v>nude water flip flops</x:v>
      </x:c>
      <x:c r="B876" s="16" t="str">
        <x:v>nude water flip flops</x:v>
      </x:c>
      <x:c r="C876" s="13" t="str">
        <x:v>ba8ff4b1a9c2358e</x:v>
      </x:c>
      <x:c r="D876" s="13" t="str">
        <x:v>keyword</x:v>
      </x:c>
      <x:c r="E876" s="13" t="str">
        <x:v>en</x:v>
      </x:c>
      <x:c r="F876" s="13" t="str">
        <x:v>clothing_shoes_jewelry</x:v>
      </x:c>
      <x:c r="G876" s="16" t="str">
        <x:v>sports_outdoors</x:v>
      </x:c>
      <x:c r="H876" s="16" t="str">
        <x:v>flip_flops</x:v>
      </x:c>
      <x:c r="I876" s="16" t="str"/>
      <x:c r="J876" s="16" t="str">
        <x:v>water_activities</x:v>
      </x:c>
      <x:c r="K876" s="16" t="str">
        <x:v>water_friendly</x:v>
      </x:c>
      <x:c r="L876" s="16" t="str"/>
      <x:c r="M876" s="16" t="str">
        <x:v>water | beach | pool</x:v>
      </x:c>
      <x:c r="N876" s="16" t="str"/>
      <x:c r="O876" s="16" t="str"/>
      <x:c r="P876" s="16" t="str"/>
      <x:c r="Q876" s="16" t="str"/>
      <x:c r="R876" s="16" t="str">
        <x:v>用户寻找裸色、适合涉水穿着的夹脚拖鞋。</x:v>
      </x:c>
      <x:c r="S876" s="13" t="str">
        <x:v>consideration</x:v>
      </x:c>
      <x:c r="T876" s="16" t="str">
        <x:v>explicit | inferred</x:v>
      </x:c>
      <x:c r="U876" s="13" t="str">
        <x:v>medium</x:v>
      </x:c>
      <x:c r="V876" s="16" t="str">
        <x:v>nude_water_flip_flops</x:v>
      </x:c>
      <x:c r="W876" s="16" t="str">
        <x:v>listing_gap_review</x:v>
      </x:c>
      <x:c r="X876" s="16" t="str">
        <x:v>{"product_type":[{"value":"flip_flops","evidence_type":"explicit","source_span":"flip flops","fact_ids":[],"rationale":"搜索词直接声明产品类型"},{"value":"flip_flops","evidence_type":"page_validated","source_span":"","fact_ids":["style_flip_flop"],"rationale":"商品页面确认夹脚拖鞋类型"}],"location_intent":[{"value":"water","evidence_type":"explicit","source_span":"water","fact_ids":[],"rationale":"搜索词直接指定涉水场景"},{"value":"beach","evidence_type":"inferred","source_span":"","fact_ids":[],"rationale":"涉水拖鞋常见于海滩场景"},{"value":"pool","evidence_type":"inferred","source_span":"","fact_ids":[],"rationale":"涉水拖鞋也用于泳池环境"}],"function_intent":[{"value":"water_activities","evidence_type":"inferred","source_span":"","fact_ids":[],"rationale":"water标签暗示水上活动使用"}],"capability_intent":[{"value":"water_friendly","evidence_type":"inferred","source_span":"","fact_ids":[],"rationale":"EVA材质不吸水易清洁可涉水"}],"primary_domain":[{"value":"clothing_shoes_jewelry","evidence_type":"inferred","source_span":"","fact_ids":[],"rationale":"该值由搜索词整体语义推断，未作为页面明示属性。"}],"secondary_domain":[{"value":"sports_outdoors","evidence_type":"inferred","source_span":"","fact_ids":[],"rationale":"该值由搜索词整体语义推断，未作为页面明示属性。"}]}</x:v>
      </x:c>
      <x:c r="Y876" s="16" t="str">
        <x:v>nude_color_not_in_available_colors | waterproof_not_page_validated</x:v>
      </x:c>
      <x:c r="Z876" s="13" t="str">
        <x:v>partial_match</x:v>
      </x:c>
      <x:c r="AA876" s="16" t="str">
        <x:v>style_flip_flop | material_eva | easy_clean</x:v>
      </x:c>
      <x:c r="AB876" s="13" t="str">
        <x:v>accepted</x:v>
      </x:c>
      <x:c r="AC876" s="13" t="str">
        <x:v>1.0.0</x:v>
      </x:c>
      <x:c r="AD876" s="13" t="str">
        <x:v>1.1.0</x:v>
      </x:c>
      <x:c r="AE876" s="13" t="str">
        <x:v>deepseek/deepseek-v4-pro</x:v>
      </x:c>
      <x:c r="AF876" s="13" t="str">
        <x:v>aj2-y90-20260714T234810-0bea2f52</x:v>
      </x:c>
      <x:c r="AG876" s="13" t="str">
        <x:v>full-0044</x:v>
      </x:c>
      <x:c r="AH876" s="13" t="str">
        <x:v>full</x:v>
      </x:c>
      <x:c r="AI876" s="13" t="n">
        <x:v>44</x:v>
      </x:c>
    </x:row>
    <x:row r="877" ht="34" customHeight="1">
      <x:c r="A877" s="15" t="str">
        <x:v>flip flops for women shower shoes</x:v>
      </x:c>
      <x:c r="B877" s="15" t="str">
        <x:v>flip flops for women shower shoes</x:v>
      </x:c>
      <x:c r="C877" s="10" t="str">
        <x:v>cab2c3bedf967fa6</x:v>
      </x:c>
      <x:c r="D877" s="10" t="str">
        <x:v>keyword</x:v>
      </x:c>
      <x:c r="E877" s="10" t="str">
        <x:v>en</x:v>
      </x:c>
      <x:c r="F877" s="10" t="str">
        <x:v>clothing_shoes_jewelry</x:v>
      </x:c>
      <x:c r="G877" s="15" t="str">
        <x:v>home_kitchen</x:v>
      </x:c>
      <x:c r="H877" s="15" t="str">
        <x:v>flip_flops | shower_shoes</x:v>
      </x:c>
      <x:c r="I877" s="15" t="str">
        <x:v>women</x:v>
      </x:c>
      <x:c r="J877" s="15" t="str">
        <x:v>bathing</x:v>
      </x:c>
      <x:c r="K877" s="15" t="str">
        <x:v>water_friendly | slip_resistant</x:v>
      </x:c>
      <x:c r="L877" s="15" t="str"/>
      <x:c r="M877" s="15" t="str">
        <x:v>shower | bathroom</x:v>
      </x:c>
      <x:c r="N877" s="15" t="str"/>
      <x:c r="O877" s="15" t="str"/>
      <x:c r="P877" s="15" t="str"/>
      <x:c r="Q877" s="15" t="str"/>
      <x:c r="R877" s="15" t="str">
        <x:v>女性用户需要一双可在淋浴时穿着的防滑夹脚拖鞋。</x:v>
      </x:c>
      <x:c r="S877" s="10" t="str">
        <x:v>consideration</x:v>
      </x:c>
      <x:c r="T877" s="15" t="str">
        <x:v>explicit | page_validated | inferred</x:v>
      </x:c>
      <x:c r="U877" s="10" t="str">
        <x:v>medium</x:v>
      </x:c>
      <x:c r="V877" s="15" t="str">
        <x:v>womens_shower_flip_flops</x:v>
      </x:c>
      <x:c r="W877" s="15" t="str">
        <x:v>listing_gap_review</x:v>
      </x:c>
      <x:c r="X877" s="15" t="str">
        <x:v>{"product_type":[{"value":"flip_flops","evidence_type":"explicit","source_span":"flip flops","fact_ids":[],"rationale":"搜索词直接声明产品类型"},{"value":"shower_shoes","evidence_type":"explicit","source_span":"shower shoes","fact_ids":[],"rationale":"搜索词直接声明淋浴鞋使用场景"},{"value":"flip_flops","evidence_type":"page_validated","source_span":"","fact_ids":["style_flip_flop"],"rationale":"该槽位与商品基准中的明示页面事实一致。"}],"audience_intent":[{"value":"women","evidence_type":"explicit","source_span":"women","fact_ids":[],"rationale":"搜索词直接指定女性受众"},{"value":"women","evidence_type":"page_validated","source_span":"","fact_ids":["title_womens_flip_flop"],"rationale":"页面标题确认为女款"}],"location_intent":[{"value":"shower","evidence_type":"explicit","source_span":"shower","fact_ids":[],"rationale":"搜索词直接指定淋浴场所"},{"value":"bathroom","evidence_type":"inferred","source_span":"","fact_ids":[],"rationale":"淋浴鞋通常在浴室环境使用"}],"function_intent":[{"value":"bathing","evidence_type":"inferred","source_span":"","fact_ids":[],"rationale":"淋浴鞋的核心用途是洗浴时穿着"}],"capability_intent":[{"value":"slip_resistant","evidence_type":"page_validated","source_span":"","fact_ids":["slip_resistant_grip"],"rationale":"页面声明防滑纹理外底"},{"value":"water_friendly","evidence_type":"inferred","source_span":"","fact_ids":[],"rationale":"EVA材质易清洁适合潮湿环境"},{"value":"slip_resistan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secondary_domain":[{"value":"home_kitchen","evidence_type":"inferred","source_span":"","fact_ids":[],"rationale":"该值由搜索词整体语义推断，未作为页面明示属性。"}]}</x:v>
      </x:c>
      <x:c r="Y877" s="15" t="str">
        <x:v>waterproof_not_page_validated | shower_use_not_explicitly_claimed</x:v>
      </x:c>
      <x:c r="Z877" s="10" t="str">
        <x:v>partial_match</x:v>
      </x:c>
      <x:c r="AA877" s="15" t="str">
        <x:v>title_womens_flip_flop | style_flip_flop | material_eva | slip_resistant_grip | easy_clean</x:v>
      </x:c>
      <x:c r="AB877" s="10" t="str">
        <x:v>accepted</x:v>
      </x:c>
      <x:c r="AC877" s="10" t="str">
        <x:v>1.0.0</x:v>
      </x:c>
      <x:c r="AD877" s="10" t="str">
        <x:v>1.1.0</x:v>
      </x:c>
      <x:c r="AE877" s="10" t="str">
        <x:v>deepseek/deepseek-v4-pro</x:v>
      </x:c>
      <x:c r="AF877" s="10" t="str">
        <x:v>aj2-y90-20260714T234810-0bea2f52</x:v>
      </x:c>
      <x:c r="AG877" s="10" t="str">
        <x:v>full-0044</x:v>
      </x:c>
      <x:c r="AH877" s="10" t="str">
        <x:v>full</x:v>
      </x:c>
      <x:c r="AI877" s="10" t="n">
        <x:v>44</x:v>
      </x:c>
    </x:row>
    <x:row r="878" ht="34" customHeight="1">
      <x:c r="A878" s="16" t="str">
        <x:v>flip flop arch support</x:v>
      </x:c>
      <x:c r="B878" s="16" t="str">
        <x:v>flip flop arch support</x:v>
      </x:c>
      <x:c r="C878" s="13" t="str">
        <x:v>d6541b89e45635e8</x:v>
      </x:c>
      <x:c r="D878" s="13" t="str">
        <x:v>keyword</x:v>
      </x:c>
      <x:c r="E878" s="13" t="str">
        <x:v>en</x:v>
      </x:c>
      <x:c r="F878" s="13" t="str">
        <x:v>clothing_shoes_jewelry</x:v>
      </x:c>
      <x:c r="G878" s="16" t="str"/>
      <x:c r="H878" s="16" t="str">
        <x:v>flip_flops</x:v>
      </x:c>
      <x:c r="I878" s="16" t="str"/>
      <x:c r="J878" s="16" t="str"/>
      <x:c r="K878" s="16" t="str"/>
      <x:c r="L878" s="16" t="str"/>
      <x:c r="M878" s="16" t="str"/>
      <x:c r="N878" s="16" t="str">
        <x:v>arch_support</x:v>
      </x:c>
      <x:c r="O878" s="16" t="str"/>
      <x:c r="P878" s="16" t="str"/>
      <x:c r="Q878" s="16" t="str"/>
      <x:c r="R878" s="16" t="str">
        <x:v>用户需要带足弓支撑功能的夹脚拖鞋。</x:v>
      </x:c>
      <x:c r="S878" s="13" t="str">
        <x:v>consideration</x:v>
      </x:c>
      <x:c r="T878" s="16" t="str">
        <x:v>explicit | page_validated</x:v>
      </x:c>
      <x:c r="U878" s="13" t="str">
        <x:v>high</x:v>
      </x:c>
      <x:c r="V878" s="16" t="str">
        <x:v>arch_support_flip_flops</x:v>
      </x:c>
      <x:c r="W878" s="16" t="str">
        <x:v>cluster_route</x:v>
      </x:c>
      <x:c r="X878" s="16" t="str">
        <x:v>{"product_type":[{"value":"flip_flops","evidence_type":"explicit","source_span":"flip flop","fact_ids":[],"rationale":"搜索词直接声明产品类型"},{"value":"flip_flops","evidence_type":"page_validated","source_span":"","fact_ids":["style_flip_flop"],"rationale":"商品页面确认夹脚拖鞋类型"},{"value":"flip_flops","evidence_type":"inferred","source_span":"","fact_ids":[],"rationale":"该能力由搜索词表达的任务或问题推断；页面事实仅用于验证商品承接。"}],"capability_intent":[{"value":"arch_support","evidence_type":"page_validated","source_span":"","fact_ids":["arch_support"],"rationale":"该槽位与商品基准中的明示页面事实一致。"}],"primary_domain":[{"value":"clothing_shoes_jewelry","evidence_type":"inferred","source_span":"","fact_ids":[],"rationale":"该值由搜索词整体语义推断，未作为页面明示属性。"}]}</x:v>
      </x:c>
      <x:c r="Y878" s="16" t="str"/>
      <x:c r="Z878" s="13" t="str">
        <x:v>match</x:v>
      </x:c>
      <x:c r="AA878" s="16" t="str">
        <x:v>style_flip_flop | arch_support</x:v>
      </x:c>
      <x:c r="AB878" s="13" t="str">
        <x:v>accepted</x:v>
      </x:c>
      <x:c r="AC878" s="13" t="str">
        <x:v>1.0.0</x:v>
      </x:c>
      <x:c r="AD878" s="13" t="str">
        <x:v>1.1.0</x:v>
      </x:c>
      <x:c r="AE878" s="13" t="str">
        <x:v>deepseek/deepseek-v4-pro</x:v>
      </x:c>
      <x:c r="AF878" s="13" t="str">
        <x:v>aj2-y90-20260714T234810-0bea2f52</x:v>
      </x:c>
      <x:c r="AG878" s="13" t="str">
        <x:v>full-0044</x:v>
      </x:c>
      <x:c r="AH878" s="13" t="str">
        <x:v>full</x:v>
      </x:c>
      <x:c r="AI878" s="13" t="n">
        <x:v>44</x:v>
      </x:c>
    </x:row>
    <x:row r="879" ht="34" customHeight="1">
      <x:c r="A879" s="15" t="str">
        <x:v>peach rubber flip flops</x:v>
      </x:c>
      <x:c r="B879" s="15" t="str">
        <x:v>peach rubber flip flops</x:v>
      </x:c>
      <x:c r="C879" s="10" t="str">
        <x:v>dba6a80b5d5d0157</x:v>
      </x:c>
      <x:c r="D879" s="10" t="str">
        <x:v>keyword</x:v>
      </x:c>
      <x:c r="E879" s="10" t="str">
        <x:v>en</x:v>
      </x:c>
      <x:c r="F879" s="10" t="str">
        <x:v>clothing_shoes_jewelry</x:v>
      </x:c>
      <x:c r="G879" s="15" t="str"/>
      <x:c r="H879" s="15" t="str">
        <x:v>flip_flops</x:v>
      </x:c>
      <x:c r="I879" s="15" t="str"/>
      <x:c r="J879" s="15" t="str"/>
      <x:c r="K879" s="15" t="str"/>
      <x:c r="L879" s="15" t="str"/>
      <x:c r="M879" s="15" t="str"/>
      <x:c r="N879" s="15" t="str"/>
      <x:c r="O879" s="15" t="str"/>
      <x:c r="P879" s="15" t="str"/>
      <x:c r="Q879" s="15" t="str"/>
      <x:c r="R879" s="15" t="str">
        <x:v>用户寻找桃色橡胶材质的夹脚拖鞋。</x:v>
      </x:c>
      <x:c r="S879" s="10" t="str">
        <x:v>high_intent</x:v>
      </x:c>
      <x:c r="T879" s="15" t="str">
        <x:v>explicit | inferred</x:v>
      </x:c>
      <x:c r="U879" s="10" t="str">
        <x:v>medium</x:v>
      </x:c>
      <x:c r="V879" s="15" t="str">
        <x:v>colored_material_flip_flops</x:v>
      </x:c>
      <x:c r="W879" s="15" t="str">
        <x:v>listing_gap_review</x:v>
      </x:c>
      <x:c r="X879" s="15" t="str">
        <x:v>{"product_type":[{"value":"flip_flops","evidence_type":"explicit","source_span":"flip flops","fact_ids":[],"rationale":"搜索词直接声明产品类型"},{"value":"flip_flops","evidence_type":"page_validated","source_span":"","fact_ids":["style_flip_flop"],"rationale":"商品页面确认夹脚拖鞋类型"}],"primary_domain":[{"value":"clothing_shoes_jewelry","evidence_type":"inferred","source_span":"","fact_ids":[],"rationale":"该值由搜索词整体语义推断，未作为页面明示属性。"}]}</x:v>
      </x:c>
      <x:c r="Y879" s="15" t="str">
        <x:v>peach_color_not_in_available_colors | rubber_material_not_eva</x:v>
      </x:c>
      <x:c r="Z879" s="10" t="str">
        <x:v>partial_match</x:v>
      </x:c>
      <x:c r="AA879" s="15" t="str">
        <x:v>style_flip_flop | material_eva | colors_visible</x:v>
      </x:c>
      <x:c r="AB879" s="10" t="str">
        <x:v>accepted</x:v>
      </x:c>
      <x:c r="AC879" s="10" t="str">
        <x:v>1.0.0</x:v>
      </x:c>
      <x:c r="AD879" s="10" t="str">
        <x:v>1.1.0</x:v>
      </x:c>
      <x:c r="AE879" s="10" t="str">
        <x:v>deepseek/deepseek-v4-pro</x:v>
      </x:c>
      <x:c r="AF879" s="10" t="str">
        <x:v>aj2-y90-20260714T234810-0bea2f52</x:v>
      </x:c>
      <x:c r="AG879" s="10" t="str">
        <x:v>full-0044</x:v>
      </x:c>
      <x:c r="AH879" s="10" t="str">
        <x:v>full</x:v>
      </x:c>
      <x:c r="AI879" s="10" t="n">
        <x:v>44</x:v>
      </x:c>
    </x:row>
    <x:row r="880" ht="34" customHeight="1">
      <x:c r="A880" s="16" t="str">
        <x:v>black orthotic flip flops</x:v>
      </x:c>
      <x:c r="B880" s="16" t="str">
        <x:v>black orthotic flip flops</x:v>
      </x:c>
      <x:c r="C880" s="13" t="str">
        <x:v>e4b4f8929276b99f</x:v>
      </x:c>
      <x:c r="D880" s="13" t="str">
        <x:v>keyword</x:v>
      </x:c>
      <x:c r="E880" s="13" t="str">
        <x:v>en</x:v>
      </x:c>
      <x:c r="F880" s="13" t="str">
        <x:v>clothing_shoes_jewelry</x:v>
      </x:c>
      <x:c r="G880" s="16" t="str">
        <x:v>health_household</x:v>
      </x:c>
      <x:c r="H880" s="16" t="str">
        <x:v>flip_flops</x:v>
      </x:c>
      <x:c r="I880" s="16" t="str"/>
      <x:c r="J880" s="16" t="str">
        <x:v>orthotic_support</x:v>
      </x:c>
      <x:c r="K880" s="16" t="str"/>
      <x:c r="L880" s="16" t="str"/>
      <x:c r="M880" s="16" t="str"/>
      <x:c r="N880" s="16" t="str">
        <x:v>arch_support</x:v>
      </x:c>
      <x:c r="O880" s="16" t="str"/>
      <x:c r="P880" s="16" t="str"/>
      <x:c r="Q880" s="16" t="str"/>
      <x:c r="R880" s="16" t="str">
        <x:v>用户需要一双黑色具矫形支撑功能的夹脚拖鞋。</x:v>
      </x:c>
      <x:c r="S880" s="13" t="str">
        <x:v>high_intent</x:v>
      </x:c>
      <x:c r="T880" s="16" t="str">
        <x:v>explicit | page_validated | inferred</x:v>
      </x:c>
      <x:c r="U880" s="13" t="str">
        <x:v>medium</x:v>
      </x:c>
      <x:c r="V880" s="16" t="str">
        <x:v>black_orthotic_flip_flops</x:v>
      </x:c>
      <x:c r="W880" s="16" t="str">
        <x:v>listing_gap_review</x:v>
      </x:c>
      <x:c r="X880" s="16" t="str">
        <x:v>{"product_type":[{"value":"flip_flops","evidence_type":"explicit","source_span":"flip flops","fact_ids":[],"rationale":"搜索词直接声明产品类型"},{"value":"flip_flops","evidence_type":"page_validated","source_span":"","fact_ids":["style_flip_flop"],"rationale":"商品页面确认夹脚拖鞋类型"}],"function_intent":[{"value":"orthotic_support","evidence_type":"explicit","source_span":"orthotic","fact_ids":[],"rationale":"搜索词明确要求矫形功能"}],"capability_intent":[{"value":"arch_support","evidence_type":"page_validated","source_span":"","fact_ids":["arch_support"],"rationale":"该槽位与商品基准中的明示页面事实一致。"},{"value":"arch_suppor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secondary_domain":[{"value":"health_household","evidence_type":"inferred","source_span":"","fact_ids":[],"rationale":"该值由搜索词整体语义推断，未作为页面明示属性。"}]}</x:v>
      </x:c>
      <x:c r="Y880" s="16" t="str">
        <x:v>orthotic_not_page_validated | black_color_available</x:v>
      </x:c>
      <x:c r="Z880" s="13" t="str">
        <x:v>partial_match</x:v>
      </x:c>
      <x:c r="AA880" s="16" t="str">
        <x:v>style_flip_flop | arch_support | colors_visible</x:v>
      </x:c>
      <x:c r="AB880" s="13" t="str">
        <x:v>accepted</x:v>
      </x:c>
      <x:c r="AC880" s="13" t="str">
        <x:v>1.0.0</x:v>
      </x:c>
      <x:c r="AD880" s="13" t="str">
        <x:v>1.1.0</x:v>
      </x:c>
      <x:c r="AE880" s="13" t="str">
        <x:v>deepseek/deepseek-v4-pro</x:v>
      </x:c>
      <x:c r="AF880" s="13" t="str">
        <x:v>aj2-y90-20260714T234810-0bea2f52</x:v>
      </x:c>
      <x:c r="AG880" s="13" t="str">
        <x:v>full-0044</x:v>
      </x:c>
      <x:c r="AH880" s="13" t="str">
        <x:v>full</x:v>
      </x:c>
      <x:c r="AI880" s="13" t="n">
        <x:v>44</x:v>
      </x:c>
    </x:row>
    <x:row r="881" ht="34" customHeight="1">
      <x:c r="A881" s="15" t="str">
        <x:v>amazon basics flip flops</x:v>
      </x:c>
      <x:c r="B881" s="15" t="str">
        <x:v>amazon basics flip flops</x:v>
      </x:c>
      <x:c r="C881" s="10" t="str">
        <x:v>eb3032af035d96c5</x:v>
      </x:c>
      <x:c r="D881" s="10" t="str">
        <x:v>keyword</x:v>
      </x:c>
      <x:c r="E881" s="10" t="str">
        <x:v>en</x:v>
      </x:c>
      <x:c r="F881" s="10" t="str">
        <x:v>clothing_shoes_jewelry</x:v>
      </x:c>
      <x:c r="G881" s="15" t="str"/>
      <x:c r="H881" s="15" t="str">
        <x:v>flip_flops</x:v>
      </x:c>
      <x:c r="I881" s="15" t="str"/>
      <x:c r="J881" s="15" t="str"/>
      <x:c r="K881" s="15" t="str"/>
      <x:c r="L881" s="15" t="str"/>
      <x:c r="M881" s="15" t="str"/>
      <x:c r="N881" s="15" t="str"/>
      <x:c r="O881" s="15" t="str"/>
      <x:c r="P881" s="15" t="str">
        <x:v>amazon_basics_brand</x:v>
      </x:c>
      <x:c r="Q881" s="15" t="str"/>
      <x:c r="R881" s="15" t="str">
        <x:v>用户明确寻找Amazon Basics品牌的夹脚拖鞋，而非其他品牌。</x:v>
      </x:c>
      <x:c r="S881" s="10" t="str">
        <x:v>brand_harvest</x:v>
      </x:c>
      <x:c r="T881" s="15" t="str">
        <x:v>explicit | inferred</x:v>
      </x:c>
      <x:c r="U881" s="10" t="str">
        <x:v>high</x:v>
      </x:c>
      <x:c r="V881" s="15" t="str">
        <x:v>amazon_basics_flip_flops</x:v>
      </x:c>
      <x:c r="W881" s="15" t="str">
        <x:v>semantic_negative_candidate</x:v>
      </x:c>
      <x:c r="X881" s="15" t="str">
        <x:v>{"product_type":[{"value":"flip_flops","evidence_type":"explicit","source_span":"flip flops","fact_ids":[],"rationale":"搜索词直接声明产品类型"},{"value":"flip_flops","evidence_type":"page_validated","source_span":"","fact_ids":["style_flip_flop"],"rationale":"该槽位与商品基准中的明示页面事实一致。"}],"substitute_intent":[{"value":"amazon_basics_brand","evidence_type":"explicit","source_span":"amazon basics","fact_ids":[],"rationale":"搜索词明确指定Amazon Basics品牌"}],"primary_domain":[{"value":"clothing_shoes_jewelry","evidence_type":"inferred","source_span":"","fact_ids":[],"rationale":"该值由搜索词整体语义推断，未作为页面明示属性。"}]}</x:v>
      </x:c>
      <x:c r="Y881" s="15" t="str">
        <x:v>brand_mismatch_joomra_not_amazon_basics</x:v>
      </x:c>
      <x:c r="Z881" s="10" t="str">
        <x:v>mismatch</x:v>
      </x:c>
      <x:c r="AA881" s="15" t="str">
        <x:v>style_flip_flop</x:v>
      </x:c>
      <x:c r="AB881" s="10" t="str">
        <x:v>accepted</x:v>
      </x:c>
      <x:c r="AC881" s="10" t="str">
        <x:v>1.0.0</x:v>
      </x:c>
      <x:c r="AD881" s="10" t="str">
        <x:v>1.1.0</x:v>
      </x:c>
      <x:c r="AE881" s="10" t="str">
        <x:v>deepseek/deepseek-v4-pro</x:v>
      </x:c>
      <x:c r="AF881" s="10" t="str">
        <x:v>aj2-y90-20260714T234810-0bea2f52</x:v>
      </x:c>
      <x:c r="AG881" s="10" t="str">
        <x:v>full-0044</x:v>
      </x:c>
      <x:c r="AH881" s="10" t="str">
        <x:v>full</x:v>
      </x:c>
      <x:c r="AI881" s="10" t="n">
        <x:v>44</x:v>
      </x:c>
    </x:row>
    <x:row r="882" ht="34" customHeight="1">
      <x:c r="A882" s="16" t="str">
        <x:v>bronze flip flops arch support waterproof</x:v>
      </x:c>
      <x:c r="B882" s="16" t="str">
        <x:v>bronze flip flops arch support waterproof</x:v>
      </x:c>
      <x:c r="C882" s="13" t="str">
        <x:v>01ff70723c81bfd6</x:v>
      </x:c>
      <x:c r="D882" s="13" t="str">
        <x:v>keyword</x:v>
      </x:c>
      <x:c r="E882" s="13" t="str">
        <x:v>en</x:v>
      </x:c>
      <x:c r="F882" s="13" t="str">
        <x:v>clothing_shoes_jewelry</x:v>
      </x:c>
      <x:c r="G882" s="16" t="str"/>
      <x:c r="H882" s="16" t="str">
        <x:v>flip_flop</x:v>
      </x:c>
      <x:c r="I882" s="16" t="str"/>
      <x:c r="J882" s="16" t="str">
        <x:v>water_resistance</x:v>
      </x:c>
      <x:c r="K882" s="16" t="str">
        <x:v>arch_support</x:v>
      </x:c>
      <x:c r="L882" s="16" t="str"/>
      <x:c r="M882" s="16" t="str"/>
      <x:c r="N882" s="16" t="str"/>
      <x:c r="O882" s="16" t="str"/>
      <x:c r="P882" s="16" t="str"/>
      <x:c r="Q882" s="16" t="str"/>
      <x:c r="R882" s="16" t="str">
        <x:v>用户需要一双古铜色的具有足弓支撑和防水功能的人字拖。</x:v>
      </x:c>
      <x:c r="S882" s="13" t="str">
        <x:v>consideration</x:v>
      </x:c>
      <x:c r="T882" s="16" t="str">
        <x:v>explicit | page_validated</x:v>
      </x:c>
      <x:c r="U882" s="13" t="str">
        <x:v>medium</x:v>
      </x:c>
      <x:c r="V882" s="16" t="str">
        <x:v>bronze_arch_support_waterproof_flip_flops</x:v>
      </x:c>
      <x:c r="W882" s="16" t="str">
        <x:v>listing_gap_review</x:v>
      </x:c>
      <x:c r="X882" s="16" t="str">
        <x:v>{"product_type":[{"value":"flip_flop","evidence_type":"explicit","source_span":"flip flops","fact_ids":[],"rationale":"术语直接指明人字拖品类"},{"value":"flip_flop","evidence_type":"page_validated","source_span":"","fact_ids":["style_flip_flop"],"rationale":"该槽位与商品基准中的明示页面事实一致。"}],"capability_intent":[{"value":"arch_support","evidence_type":"explicit","source_span":"arch support","fact_ids":["arch_support"],"rationale":"页面提供足弓支撑匹配此需求"},{"value":"arch_support","evidence_type":"page_validated","source_span":"","fact_ids":["arch_support"],"rationale":"该槽位与商品基准中的明示页面事实一致。"}],"function_intent":[{"value":"water_resistance","evidence_type":"explicit","source_span":"waterproof","fact_ids":[],"rationale":"明确要求防水，页面无此声明"}],"color":[{"value":"bronze","evidence_type":"explicit","source_span":"bronze","fact_ids":[],"rationale":"这是搜索词中的颜色约束，但商品页面基准未确认该具体颜色。"}],"primary_domain":[{"value":"clothing_shoes_jewelry","evidence_type":"inferred","source_span":"","fact_ids":[],"rationale":"该值由搜索词整体语义推断，未作为页面明示属性。"}]}</x:v>
      </x:c>
      <x:c r="Y882" s="16" t="str"/>
      <x:c r="Z882" s="13" t="str">
        <x:v>partial_match</x:v>
      </x:c>
      <x:c r="AA882" s="16" t="str">
        <x:v>title_womens_flip_flop | arch_support</x:v>
      </x:c>
      <x:c r="AB882" s="13" t="str">
        <x:v>accepted</x:v>
      </x:c>
      <x:c r="AC882" s="13" t="str">
        <x:v>1.0.0</x:v>
      </x:c>
      <x:c r="AD882" s="13" t="str">
        <x:v>1.1.0</x:v>
      </x:c>
      <x:c r="AE882" s="13" t="str">
        <x:v>deepseek/deepseek-v4-pro</x:v>
      </x:c>
      <x:c r="AF882" s="13" t="str">
        <x:v>aj2-y90-20260714T234810-0bea2f52</x:v>
      </x:c>
      <x:c r="AG882" s="13" t="str">
        <x:v>full-0045</x:v>
      </x:c>
      <x:c r="AH882" s="13" t="str">
        <x:v>full</x:v>
      </x:c>
      <x:c r="AI882" s="13" t="n">
        <x:v>45</x:v>
      </x:c>
    </x:row>
    <x:row r="883" ht="34" customHeight="1">
      <x:c r="A883" s="15" t="str">
        <x:v>black women flip flops</x:v>
      </x:c>
      <x:c r="B883" s="15" t="str">
        <x:v>black women flip flops</x:v>
      </x:c>
      <x:c r="C883" s="10" t="str">
        <x:v>060ffbdee7babbce</x:v>
      </x:c>
      <x:c r="D883" s="10" t="str">
        <x:v>keyword</x:v>
      </x:c>
      <x:c r="E883" s="10" t="str">
        <x:v>en</x:v>
      </x:c>
      <x:c r="F883" s="10" t="str">
        <x:v>clothing_shoes_jewelry</x:v>
      </x:c>
      <x:c r="G883" s="15" t="str"/>
      <x:c r="H883" s="15" t="str">
        <x:v>flip_flop</x:v>
      </x:c>
      <x:c r="I883" s="15" t="str">
        <x:v>women</x:v>
      </x:c>
      <x:c r="J883" s="15" t="str"/>
      <x:c r="K883" s="15" t="str"/>
      <x:c r="L883" s="15" t="str"/>
      <x:c r="M883" s="15" t="str"/>
      <x:c r="N883" s="15" t="str"/>
      <x:c r="O883" s="15" t="str"/>
      <x:c r="P883" s="15" t="str"/>
      <x:c r="Q883" s="15" t="str"/>
      <x:c r="R883" s="15" t="str">
        <x:v>女性用户需要一双黑色人字拖用于日常穿着。</x:v>
      </x:c>
      <x:c r="S883" s="10" t="str">
        <x:v>high_intent</x:v>
      </x:c>
      <x:c r="T883" s="15" t="str">
        <x:v>explicit | page_validated</x:v>
      </x:c>
      <x:c r="U883" s="10" t="str">
        <x:v>high</x:v>
      </x:c>
      <x:c r="V883" s="15" t="str">
        <x:v>womens_black_flip_flops</x:v>
      </x:c>
      <x:c r="W883" s="15" t="str">
        <x:v>cluster_route</x:v>
      </x:c>
      <x:c r="X883" s="15" t="str">
        <x:v>{"product_type":[{"value":"flip_flop","evidence_type":"explicit","source_span":"flip flops","fact_ids":[],"rationale":"术语直接指明人字拖品类"},{"value":"flip_flop","evidence_type":"page_validated","source_span":"","fact_ids":["style_flip_flop"],"rationale":"该槽位与商品基准中的明示页面事实一致。"}],"audience_intent":[{"value":"women","evidence_type":"explicit","source_span":"women","fact_ids":[],"rationale":"明确指定女性受众"},{"value":"women","evidence_type":"page_validated","source_span":"","fact_ids":["title_womens_flip_flop"],"rationale":"该槽位与商品基准中的明示页面事实一致。"}],"color":[{"value":"black","evidence_type":"explicit","source_span":"black","fact_ids":["colors_visible"],"rationale":"该颜色在商品页面可见颜色选择中得到明确支持。"}],"primary_domain":[{"value":"clothing_shoes_jewelry","evidence_type":"inferred","source_span":"","fact_ids":[],"rationale":"该值由搜索词整体语义推断，未作为页面明示属性。"}]}</x:v>
      </x:c>
      <x:c r="Y883" s="15" t="str"/>
      <x:c r="Z883" s="10" t="str">
        <x:v>match</x:v>
      </x:c>
      <x:c r="AA883" s="15" t="str">
        <x:v>title_womens_flip_flop | colors_visible</x:v>
      </x:c>
      <x:c r="AB883" s="10" t="str">
        <x:v>accepted</x:v>
      </x:c>
      <x:c r="AC883" s="10" t="str">
        <x:v>1.0.0</x:v>
      </x:c>
      <x:c r="AD883" s="10" t="str">
        <x:v>1.1.0</x:v>
      </x:c>
      <x:c r="AE883" s="10" t="str">
        <x:v>deepseek/deepseek-v4-pro</x:v>
      </x:c>
      <x:c r="AF883" s="10" t="str">
        <x:v>aj2-y90-20260714T234810-0bea2f52</x:v>
      </x:c>
      <x:c r="AG883" s="10" t="str">
        <x:v>full-0045</x:v>
      </x:c>
      <x:c r="AH883" s="10" t="str">
        <x:v>full</x:v>
      </x:c>
      <x:c r="AI883" s="10" t="n">
        <x:v>45</x:v>
      </x:c>
    </x:row>
    <x:row r="884" ht="34" customHeight="1">
      <x:c r="A884" s="16" t="str">
        <x:v>joomra flip flops for women</x:v>
      </x:c>
      <x:c r="B884" s="16" t="str">
        <x:v>joomra flip flops for women</x:v>
      </x:c>
      <x:c r="C884" s="13" t="str">
        <x:v>0ef88e1f228ca4b7</x:v>
      </x:c>
      <x:c r="D884" s="13" t="str">
        <x:v>keyword</x:v>
      </x:c>
      <x:c r="E884" s="13" t="str">
        <x:v>en</x:v>
      </x:c>
      <x:c r="F884" s="13" t="str">
        <x:v>clothing_shoes_jewelry</x:v>
      </x:c>
      <x:c r="G884" s="16" t="str"/>
      <x:c r="H884" s="16" t="str">
        <x:v>flip_flop</x:v>
      </x:c>
      <x:c r="I884" s="16" t="str">
        <x:v>women</x:v>
      </x:c>
      <x:c r="J884" s="16" t="str"/>
      <x:c r="K884" s="16" t="str"/>
      <x:c r="L884" s="16" t="str"/>
      <x:c r="M884" s="16" t="str"/>
      <x:c r="N884" s="16" t="str"/>
      <x:c r="O884" s="16" t="str"/>
      <x:c r="P884" s="16" t="str"/>
      <x:c r="Q884" s="16" t="str"/>
      <x:c r="R884" s="16" t="str">
        <x:v>用户搜索Joomra品牌女性人字拖，具有明确的品牌购买意向。</x:v>
      </x:c>
      <x:c r="S884" s="13" t="str">
        <x:v>brand_harvest</x:v>
      </x:c>
      <x:c r="T884" s="16" t="str">
        <x:v>explicit | page_validated</x:v>
      </x:c>
      <x:c r="U884" s="13" t="str">
        <x:v>high</x:v>
      </x:c>
      <x:c r="V884" s="16" t="str">
        <x:v>joomra_womens_flip_flops</x:v>
      </x:c>
      <x:c r="W884" s="16" t="str">
        <x:v>cluster_route</x:v>
      </x:c>
      <x:c r="X884" s="16" t="str">
        <x:v>{"product_type":[{"value":"flip_flop","evidence_type":"explicit","source_span":"flip flops","fact_ids":[],"rationale":"术语直接指明人字拖品类"},{"value":"flip_flop","evidence_type":"page_validated","source_span":"","fact_ids":["style_flip_flop"],"rationale":"该槽位与商品基准中的明示页面事实一致。"}],"audience_intent":[{"value":"women","evidence_type":"explicit","source_span":"for women","fact_ids":[],"rationale":"明确限定女性受众"},{"value":"women","evidence_type":"page_validated","source_span":"","fact_ids":["title_womens_flip_flop"],"rationale":"该槽位与商品基准中的明示页面事实一致。"}],"brand":[{"value":"joomra","evidence_type":"explicit","source_span":"joomra","fact_ids":[],"rationale":"搜索词明确包含品牌名称。"}],"primary_domain":[{"value":"clothing_shoes_jewelry","evidence_type":"inferred","source_span":"","fact_ids":[],"rationale":"该值由搜索词整体语义推断，未作为页面明示属性。"}]}</x:v>
      </x:c>
      <x:c r="Y884" s="16" t="str"/>
      <x:c r="Z884" s="13" t="str">
        <x:v>match</x:v>
      </x:c>
      <x:c r="AA884" s="16" t="str">
        <x:v>title_womens_flip_flop</x:v>
      </x:c>
      <x:c r="AB884" s="13" t="str">
        <x:v>accepted</x:v>
      </x:c>
      <x:c r="AC884" s="13" t="str">
        <x:v>1.0.0</x:v>
      </x:c>
      <x:c r="AD884" s="13" t="str">
        <x:v>1.1.0</x:v>
      </x:c>
      <x:c r="AE884" s="13" t="str">
        <x:v>deepseek/deepseek-v4-pro</x:v>
      </x:c>
      <x:c r="AF884" s="13" t="str">
        <x:v>aj2-y90-20260714T234810-0bea2f52</x:v>
      </x:c>
      <x:c r="AG884" s="13" t="str">
        <x:v>full-0045</x:v>
      </x:c>
      <x:c r="AH884" s="13" t="str">
        <x:v>full</x:v>
      </x:c>
      <x:c r="AI884" s="13" t="n">
        <x:v>45</x:v>
      </x:c>
    </x:row>
    <x:row r="885" ht="34" customHeight="1">
      <x:c r="A885" s="15" t="str">
        <x:v>flip flop orthopedic for women</x:v>
      </x:c>
      <x:c r="B885" s="15" t="str">
        <x:v>flip flop orthopedic for women</x:v>
      </x:c>
      <x:c r="C885" s="10" t="str">
        <x:v>1d6abcf37234e99d</x:v>
      </x:c>
      <x:c r="D885" s="10" t="str">
        <x:v>keyword</x:v>
      </x:c>
      <x:c r="E885" s="10" t="str">
        <x:v>en</x:v>
      </x:c>
      <x:c r="F885" s="10" t="str">
        <x:v>clothing_shoes_jewelry</x:v>
      </x:c>
      <x:c r="G885" s="15" t="str"/>
      <x:c r="H885" s="15" t="str">
        <x:v>flip_flop</x:v>
      </x:c>
      <x:c r="I885" s="15" t="str">
        <x:v>women</x:v>
      </x:c>
      <x:c r="J885" s="15" t="str">
        <x:v>orthopedic_support</x:v>
      </x:c>
      <x:c r="K885" s="15" t="str">
        <x:v>arch_support</x:v>
      </x:c>
      <x:c r="L885" s="15" t="str"/>
      <x:c r="M885" s="15" t="str"/>
      <x:c r="N885" s="15" t="str">
        <x:v>foot_pain_relief</x:v>
      </x:c>
      <x:c r="O885" s="15" t="str"/>
      <x:c r="P885" s="15" t="str"/>
      <x:c r="Q885" s="15" t="str"/>
      <x:c r="R885" s="15" t="str">
        <x:v>女性用户需要一双具有矫形支撑功能的人字拖来缓解日常足部不适。</x:v>
      </x:c>
      <x:c r="S885" s="10" t="str">
        <x:v>consideration</x:v>
      </x:c>
      <x:c r="T885" s="15" t="str">
        <x:v>explicit | page_validated | inferred</x:v>
      </x:c>
      <x:c r="U885" s="10" t="str">
        <x:v>medium</x:v>
      </x:c>
      <x:c r="V885" s="15" t="str">
        <x:v>womens_orthopedic_flip_flops</x:v>
      </x:c>
      <x:c r="W885" s="15" t="str">
        <x:v>listing_gap_review</x:v>
      </x:c>
      <x:c r="X885" s="15" t="str">
        <x:v>{"product_type":[{"value":"flip_flop","evidence_type":"explicit","source_span":"flip flop","fact_ids":[],"rationale":"术语直接指明人字拖品类"},{"value":"flip_flop","evidence_type":"page_validated","source_span":"","fact_ids":["style_flip_flop"],"rationale":"该槽位与商品基准中的明示页面事实一致。"}],"audience_intent":[{"value":"women","evidence_type":"explicit","source_span":"for women","fact_ids":[],"rationale":"明确限定女性受众"},{"value":"women","evidence_type":"page_validated","source_span":"","fact_ids":["title_womens_flip_flop"],"rationale":"该槽位与商品基准中的明示页面事实一致。"}],"function_intent":[{"value":"orthopedic_support","evidence_type":"explicit","source_span":"orthopedic","fact_ids":[],"rationale":"明确要求矫形功能"}],"capability_intent":[{"value":"arch_support","evidence_type":"page_validated","source_span":"","fact_ids":["arch_support"],"rationale":"页面提供足弓支撑可部分满足矫形需求"},{"value":"arch_support","evidence_type":"inferred","source_span":"","fact_ids":[],"rationale":"该能力由搜索词表达的任务或问题推断；页面事实仅用于验证商品承接。"}],"body_need_intent":[{"value":"foot_pain_relief","evidence_type":"inferred","source_span":"orthopedic","fact_ids":[],"rationale":"矫形需求通常暗示足部不适或疼痛"}],"primary_domain":[{"value":"clothing_shoes_jewelry","evidence_type":"inferred","source_span":"","fact_ids":[],"rationale":"该值由搜索词整体语义推断，未作为页面明示属性。"}]}</x:v>
      </x:c>
      <x:c r="Y885" s="15" t="str"/>
      <x:c r="Z885" s="10" t="str">
        <x:v>partial_match</x:v>
      </x:c>
      <x:c r="AA885" s="15" t="str">
        <x:v>title_womens_flip_flop | arch_support</x:v>
      </x:c>
      <x:c r="AB885" s="10" t="str">
        <x:v>accepted</x:v>
      </x:c>
      <x:c r="AC885" s="10" t="str">
        <x:v>1.0.0</x:v>
      </x:c>
      <x:c r="AD885" s="10" t="str">
        <x:v>1.1.0</x:v>
      </x:c>
      <x:c r="AE885" s="10" t="str">
        <x:v>deepseek/deepseek-v4-pro</x:v>
      </x:c>
      <x:c r="AF885" s="10" t="str">
        <x:v>aj2-y90-20260714T234810-0bea2f52</x:v>
      </x:c>
      <x:c r="AG885" s="10" t="str">
        <x:v>full-0045</x:v>
      </x:c>
      <x:c r="AH885" s="10" t="str">
        <x:v>full</x:v>
      </x:c>
      <x:c r="AI885" s="10" t="n">
        <x:v>45</x:v>
      </x:c>
    </x:row>
    <x:row r="886" ht="34" customHeight="1">
      <x:c r="A886" s="16" t="str">
        <x:v>beige archies</x:v>
      </x:c>
      <x:c r="B886" s="16" t="str">
        <x:v>beige archies</x:v>
      </x:c>
      <x:c r="C886" s="13" t="str">
        <x:v>1d791ea87ce7f752</x:v>
      </x:c>
      <x:c r="D886" s="13" t="str">
        <x:v>keyword</x:v>
      </x:c>
      <x:c r="E886" s="13" t="str">
        <x:v>en</x:v>
      </x:c>
      <x:c r="F886" s="13" t="str">
        <x:v>clothing_shoes_jewelry</x:v>
      </x:c>
      <x:c r="G886" s="16" t="str"/>
      <x:c r="H886" s="16" t="str">
        <x:v>flip_flop</x:v>
      </x:c>
      <x:c r="I886" s="16" t="str"/>
      <x:c r="J886" s="16" t="str"/>
      <x:c r="K886" s="16" t="str"/>
      <x:c r="L886" s="16" t="str"/>
      <x:c r="M886" s="16" t="str"/>
      <x:c r="N886" s="16" t="str"/>
      <x:c r="O886" s="16" t="str"/>
      <x:c r="P886" s="16" t="str"/>
      <x:c r="Q886" s="16" t="str"/>
      <x:c r="R886" s="16" t="str">
        <x:v>用户搜索Archies品牌米色人字拖，为竞品品牌搜索。</x:v>
      </x:c>
      <x:c r="S886" s="13" t="str">
        <x:v>brand_harvest</x:v>
      </x:c>
      <x:c r="T886" s="16" t="str">
        <x:v>explicit | inferred</x:v>
      </x:c>
      <x:c r="U886" s="13" t="str">
        <x:v>high</x:v>
      </x:c>
      <x:c r="V886" s="16" t="str">
        <x:v>archies_brand_search</x:v>
      </x:c>
      <x:c r="W886" s="16" t="str">
        <x:v>semantic_negative_candidate</x:v>
      </x:c>
      <x:c r="X886" s="16" t="str">
        <x:v>{"product_type":[{"value":"flip_flop","evidence_type":"inferred","source_span":"archies","fact_ids":[],"rationale":"Archies为知名人字拖品牌，推断产品为人字拖"},{"value":"flip_flop","evidence_type":"page_validated","source_span":"","fact_ids":["style_flip_flop"],"rationale":"该槽位与商品基准中的明示页面事实一致。"}],"brand":[{"value":"archies","evidence_type":"explicit","source_span":"archies","fact_ids":[],"rationale":"明确指定竞品品牌Archies，非Joomra"}],"color":[{"value":"beige","evidence_type":"explicit","source_span":"beige","fact_ids":[],"rationale":"这是搜索词中的颜色约束，但商品页面基准未确认该具体颜色。"}],"primary_domain":[{"value":"clothing_shoes_jewelry","evidence_type":"inferred","source_span":"","fact_ids":[],"rationale":"该值由搜索词整体语义推断，未作为页面明示属性。"}]}</x:v>
      </x:c>
      <x:c r="Y886" s="16" t="str"/>
      <x:c r="Z886" s="13" t="str">
        <x:v>mismatch</x:v>
      </x:c>
      <x:c r="AA886" s="16" t="str"/>
      <x:c r="AB886" s="13" t="str">
        <x:v>accepted</x:v>
      </x:c>
      <x:c r="AC886" s="13" t="str">
        <x:v>1.0.0</x:v>
      </x:c>
      <x:c r="AD886" s="13" t="str">
        <x:v>1.1.0</x:v>
      </x:c>
      <x:c r="AE886" s="13" t="str">
        <x:v>deepseek/deepseek-v4-pro</x:v>
      </x:c>
      <x:c r="AF886" s="13" t="str">
        <x:v>aj2-y90-20260714T234810-0bea2f52</x:v>
      </x:c>
      <x:c r="AG886" s="13" t="str">
        <x:v>full-0045</x:v>
      </x:c>
      <x:c r="AH886" s="13" t="str">
        <x:v>full</x:v>
      </x:c>
      <x:c r="AI886" s="13" t="n">
        <x:v>45</x:v>
      </x:c>
    </x:row>
    <x:row r="887" ht="34" customHeight="1">
      <x:c r="A887" s="15" t="str">
        <x:v>black designer flip flops</x:v>
      </x:c>
      <x:c r="B887" s="15" t="str">
        <x:v>black designer flip flops</x:v>
      </x:c>
      <x:c r="C887" s="10" t="str">
        <x:v>26e225eb7a715f49</x:v>
      </x:c>
      <x:c r="D887" s="10" t="str">
        <x:v>keyword</x:v>
      </x:c>
      <x:c r="E887" s="10" t="str">
        <x:v>en</x:v>
      </x:c>
      <x:c r="F887" s="10" t="str">
        <x:v>clothing_shoes_jewelry</x:v>
      </x:c>
      <x:c r="G887" s="15" t="str"/>
      <x:c r="H887" s="15" t="str">
        <x:v>flip_flop</x:v>
      </x:c>
      <x:c r="I887" s="15" t="str"/>
      <x:c r="J887" s="15" t="str"/>
      <x:c r="K887" s="15" t="str">
        <x:v>designer_aesthetic</x:v>
      </x:c>
      <x:c r="L887" s="15" t="str"/>
      <x:c r="M887" s="15" t="str"/>
      <x:c r="N887" s="15" t="str"/>
      <x:c r="O887" s="15" t="str"/>
      <x:c r="P887" s="15" t="str"/>
      <x:c r="Q887" s="15" t="str"/>
      <x:c r="R887" s="15" t="str">
        <x:v>用户需要一双黑色具有设计感的人字拖。</x:v>
      </x:c>
      <x:c r="S887" s="10" t="str">
        <x:v>consideration</x:v>
      </x:c>
      <x:c r="T887" s="15" t="str">
        <x:v>explicit | page_validated</x:v>
      </x:c>
      <x:c r="U887" s="10" t="str">
        <x:v>medium</x:v>
      </x:c>
      <x:c r="V887" s="15" t="str">
        <x:v>black_designer_flip_flops</x:v>
      </x:c>
      <x:c r="W887" s="15" t="str">
        <x:v>listing_gap_review</x:v>
      </x:c>
      <x:c r="X887" s="15" t="str">
        <x:v>{"product_type":[{"value":"flip_flop","evidence_type":"explicit","source_span":"flip flops","fact_ids":[],"rationale":"术语直接指明人字拖品类"},{"value":"flip_flop","evidence_type":"page_validated","source_span":"","fact_ids":["style_flip_flop"],"rationale":"该槽位与商品基准中的明示页面事实一致。"}],"capability_intent":[{"value":"designer_aesthetic","evidence_type":"explicit","source_span":"designer","fact_ids":[],"rationale":"明确要求设计师风格，页面无此声明"}],"color":[{"value":"black","evidence_type":"explicit","source_span":"black","fact_ids":["colors_visible"],"rationale":"该颜色在商品页面可见颜色选择中得到明确支持。"}],"primary_domain":[{"value":"clothing_shoes_jewelry","evidence_type":"inferred","source_span":"","fact_ids":[],"rationale":"该值由搜索词整体语义推断，未作为页面明示属性。"}]}</x:v>
      </x:c>
      <x:c r="Y887" s="15" t="str"/>
      <x:c r="Z887" s="10" t="str">
        <x:v>partial_match</x:v>
      </x:c>
      <x:c r="AA887" s="15" t="str">
        <x:v>title_womens_flip_flop | colors_visible</x:v>
      </x:c>
      <x:c r="AB887" s="10" t="str">
        <x:v>accepted</x:v>
      </x:c>
      <x:c r="AC887" s="10" t="str">
        <x:v>1.0.0</x:v>
      </x:c>
      <x:c r="AD887" s="10" t="str">
        <x:v>1.1.0</x:v>
      </x:c>
      <x:c r="AE887" s="10" t="str">
        <x:v>deepseek/deepseek-v4-pro</x:v>
      </x:c>
      <x:c r="AF887" s="10" t="str">
        <x:v>aj2-y90-20260714T234810-0bea2f52</x:v>
      </x:c>
      <x:c r="AG887" s="10" t="str">
        <x:v>full-0045</x:v>
      </x:c>
      <x:c r="AH887" s="10" t="str">
        <x:v>full</x:v>
      </x:c>
      <x:c r="AI887" s="10" t="n">
        <x:v>45</x:v>
      </x:c>
    </x:row>
    <x:row r="888" ht="34" customHeight="1">
      <x:c r="A888" s="16" t="str">
        <x:v>cheap sandals for lake</x:v>
      </x:c>
      <x:c r="B888" s="16" t="str">
        <x:v>cheap sandals for lake</x:v>
      </x:c>
      <x:c r="C888" s="13" t="str">
        <x:v>406eb3fe2507c207</x:v>
      </x:c>
      <x:c r="D888" s="13" t="str">
        <x:v>keyword</x:v>
      </x:c>
      <x:c r="E888" s="13" t="str">
        <x:v>en</x:v>
      </x:c>
      <x:c r="F888" s="13" t="str">
        <x:v>clothing_shoes_jewelry</x:v>
      </x:c>
      <x:c r="G888" s="16" t="str">
        <x:v>sports_outdoors</x:v>
      </x:c>
      <x:c r="H888" s="16" t="str">
        <x:v>sandal</x:v>
      </x:c>
      <x:c r="I888" s="16" t="str"/>
      <x:c r="J888" s="16" t="str"/>
      <x:c r="K888" s="16" t="str">
        <x:v>water_compatible</x:v>
      </x:c>
      <x:c r="L888" s="16" t="str"/>
      <x:c r="M888" s="16" t="str">
        <x:v>lake</x:v>
      </x:c>
      <x:c r="N888" s="16" t="str"/>
      <x:c r="O888" s="16" t="str"/>
      <x:c r="P888" s="16" t="str"/>
      <x:c r="Q888" s="16" t="str"/>
      <x:c r="R888" s="16" t="str">
        <x:v>用户需要一双价格实惠的凉鞋用于湖边户外活动。</x:v>
      </x:c>
      <x:c r="S888" s="13" t="str">
        <x:v>exploration</x:v>
      </x:c>
      <x:c r="T888" s="16" t="str">
        <x:v>explicit | page_validated | inferred</x:v>
      </x:c>
      <x:c r="U888" s="13" t="str">
        <x:v>low</x:v>
      </x:c>
      <x:c r="V888" s="16" t="str">
        <x:v>cheap_lake_sandals</x:v>
      </x:c>
      <x:c r="W888" s="16" t="str">
        <x:v>performance_observation</x:v>
      </x:c>
      <x:c r="X888" s="16" t="str">
        <x:v>{"product_type":[{"value":"sandal","evidence_type":"explicit","source_span":"sandals","fact_ids":[],"rationale":"术语指定凉鞋品类，人字拖属凉鞋子类"}],"location_intent":[{"value":"lake","evidence_type":"explicit","source_span":"lake","fact_ids":[],"rationale":"明确指定湖边使用场景"}],"capability_intent":[{"value":"water_compatible","evidence_type":"inferred","source_span":"lake","fact_ids":[],"rationale":"湖边场景暗示涉水需求，EVA材质易清洁防滑"}],"price":[{"value":"cheap","evidence_type":"explicit","source_span":"cheap","fact_ids":[],"rationale":"明确要求低价，页面无价格信息可验证"}],"primary_domain":[{"value":"clothing_shoes_jewelry","evidence_type":"inferred","source_span":"","fact_ids":[],"rationale":"该值由搜索词整体语义推断，未作为页面明示属性。"}],"secondary_domain":[{"value":"sports_outdoors","evidence_type":"inferred","source_span":"","fact_ids":[],"rationale":"该值由搜索词整体语义推断，未作为页面明示属性。"}]}</x:v>
      </x:c>
      <x:c r="Y888" s="16" t="str">
        <x:v>broad_product_class | price_undetermined</x:v>
      </x:c>
      <x:c r="Z888" s="13" t="str">
        <x:v>partial_match</x:v>
      </x:c>
      <x:c r="AA888" s="16" t="str">
        <x:v>style_flip_flop | style_outdoor | material_eva</x:v>
      </x:c>
      <x:c r="AB888" s="13" t="str">
        <x:v>accepted</x:v>
      </x:c>
      <x:c r="AC888" s="13" t="str">
        <x:v>1.0.0</x:v>
      </x:c>
      <x:c r="AD888" s="13" t="str">
        <x:v>1.1.0</x:v>
      </x:c>
      <x:c r="AE888" s="13" t="str">
        <x:v>deepseek/deepseek-v4-pro</x:v>
      </x:c>
      <x:c r="AF888" s="13" t="str">
        <x:v>aj2-y90-20260714T234810-0bea2f52</x:v>
      </x:c>
      <x:c r="AG888" s="13" t="str">
        <x:v>full-0045</x:v>
      </x:c>
      <x:c r="AH888" s="13" t="str">
        <x:v>full</x:v>
      </x:c>
      <x:c r="AI888" s="13" t="n">
        <x:v>45</x:v>
      </x:c>
    </x:row>
    <x:row r="889" ht="34" customHeight="1">
      <x:c r="A889" s="15" t="str">
        <x:v>black flip flops women size 9.5</x:v>
      </x:c>
      <x:c r="B889" s="15" t="str">
        <x:v>black flip flops women size 9.5</x:v>
      </x:c>
      <x:c r="C889" s="10" t="str">
        <x:v>4736ed200f7774a8</x:v>
      </x:c>
      <x:c r="D889" s="10" t="str">
        <x:v>keyword</x:v>
      </x:c>
      <x:c r="E889" s="10" t="str">
        <x:v>en</x:v>
      </x:c>
      <x:c r="F889" s="10" t="str">
        <x:v>clothing_shoes_jewelry</x:v>
      </x:c>
      <x:c r="G889" s="15" t="str"/>
      <x:c r="H889" s="15" t="str">
        <x:v>flip_flop</x:v>
      </x:c>
      <x:c r="I889" s="15" t="str">
        <x:v>women</x:v>
      </x:c>
      <x:c r="J889" s="15" t="str"/>
      <x:c r="K889" s="15" t="str"/>
      <x:c r="L889" s="15" t="str"/>
      <x:c r="M889" s="15" t="str"/>
      <x:c r="N889" s="15" t="str"/>
      <x:c r="O889" s="15" t="str"/>
      <x:c r="P889" s="15" t="str"/>
      <x:c r="Q889" s="15" t="str"/>
      <x:c r="R889" s="15" t="str">
        <x:v>女性用户需要一双黑色9.5码的人字拖。</x:v>
      </x:c>
      <x:c r="S889" s="10" t="str">
        <x:v>high_intent</x:v>
      </x:c>
      <x:c r="T889" s="15" t="str">
        <x:v>explicit | page_validated</x:v>
      </x:c>
      <x:c r="U889" s="10" t="str">
        <x:v>high</x:v>
      </x:c>
      <x:c r="V889" s="15" t="str">
        <x:v>womens_black_flip_flops_sized</x:v>
      </x:c>
      <x:c r="W889" s="15" t="str">
        <x:v>cluster_route</x:v>
      </x:c>
      <x:c r="X889" s="15" t="str">
        <x:v>{"product_type":[{"value":"flip_flop","evidence_type":"explicit","source_span":"flip flops","fact_ids":[],"rationale":"术语直接指明人字拖品类"},{"value":"flip_flop","evidence_type":"page_validated","source_span":"","fact_ids":["style_flip_flop"],"rationale":"该槽位与商品基准中的明示页面事实一致。"}],"audience_intent":[{"value":"women","evidence_type":"explicit","source_span":"women","fact_ids":[],"rationale":"明确指定女性受众"},{"value":"women","evidence_type":"page_validated","source_span":"","fact_ids":["title_womens_flip_flop"],"rationale":"该槽位与商品基准中的明示页面事实一致。"}],"color":[{"value":"black","evidence_type":"explicit","source_span":"black","fact_ids":["colors_visible"],"rationale":"该颜色在商品页面可见颜色选择中得到明确支持。"}],"size":[{"value":"9.5","evidence_type":"explicit","source_span":"size 9.5","fact_ids":["sizes_6_11"],"rationale":"页面尺码范围6-11涵盖9.5码"}],"primary_domain":[{"value":"clothing_shoes_jewelry","evidence_type":"inferred","source_span":"","fact_ids":[],"rationale":"该值由搜索词整体语义推断，未作为页面明示属性。"}]}</x:v>
      </x:c>
      <x:c r="Y889" s="15" t="str"/>
      <x:c r="Z889" s="10" t="str">
        <x:v>match</x:v>
      </x:c>
      <x:c r="AA889" s="15" t="str">
        <x:v>title_womens_flip_flop | colors_visible | sizes_6_11</x:v>
      </x:c>
      <x:c r="AB889" s="10" t="str">
        <x:v>accepted</x:v>
      </x:c>
      <x:c r="AC889" s="10" t="str">
        <x:v>1.0.0</x:v>
      </x:c>
      <x:c r="AD889" s="10" t="str">
        <x:v>1.1.0</x:v>
      </x:c>
      <x:c r="AE889" s="10" t="str">
        <x:v>deepseek/deepseek-v4-pro</x:v>
      </x:c>
      <x:c r="AF889" s="10" t="str">
        <x:v>aj2-y90-20260714T234810-0bea2f52</x:v>
      </x:c>
      <x:c r="AG889" s="10" t="str">
        <x:v>full-0045</x:v>
      </x:c>
      <x:c r="AH889" s="10" t="str">
        <x:v>full</x:v>
      </x:c>
      <x:c r="AI889" s="10" t="n">
        <x:v>45</x:v>
      </x:c>
    </x:row>
    <x:row r="890" ht="34" customHeight="1">
      <x:c r="A890" s="16" t="str">
        <x:v>flip flips womens archies</x:v>
      </x:c>
      <x:c r="B890" s="16" t="str">
        <x:v>flip flips womens archies</x:v>
      </x:c>
      <x:c r="C890" s="13" t="str">
        <x:v>49ac2fab82d74e44</x:v>
      </x:c>
      <x:c r="D890" s="13" t="str">
        <x:v>keyword</x:v>
      </x:c>
      <x:c r="E890" s="13" t="str">
        <x:v>en</x:v>
      </x:c>
      <x:c r="F890" s="13" t="str">
        <x:v>clothing_shoes_jewelry</x:v>
      </x:c>
      <x:c r="G890" s="16" t="str"/>
      <x:c r="H890" s="16" t="str">
        <x:v>flip_flop</x:v>
      </x:c>
      <x:c r="I890" s="16" t="str">
        <x:v>women</x:v>
      </x:c>
      <x:c r="J890" s="16" t="str"/>
      <x:c r="K890" s="16" t="str"/>
      <x:c r="L890" s="16" t="str"/>
      <x:c r="M890" s="16" t="str"/>
      <x:c r="N890" s="16" t="str"/>
      <x:c r="O890" s="16" t="str"/>
      <x:c r="P890" s="16" t="str"/>
      <x:c r="Q890" s="16" t="str"/>
      <x:c r="R890" s="16" t="str">
        <x:v>用户搜索Archies品牌女性人字拖，含拼写错误但品牌意图明确。</x:v>
      </x:c>
      <x:c r="S890" s="13" t="str">
        <x:v>brand_harvest</x:v>
      </x:c>
      <x:c r="T890" s="16" t="str">
        <x:v>explicit | inferred</x:v>
      </x:c>
      <x:c r="U890" s="13" t="str">
        <x:v>high</x:v>
      </x:c>
      <x:c r="V890" s="16" t="str">
        <x:v>archies_womens_flip_flops</x:v>
      </x:c>
      <x:c r="W890" s="16" t="str">
        <x:v>semantic_negative_candidate</x:v>
      </x:c>
      <x:c r="X890" s="16" t="str">
        <x:v>{"product_type":[{"value":"flip_flop","evidence_type":"explicit","source_span":"flip flips","fact_ids":[],"rationale":"flip flips为flip flops拼写变体，意图明确为人字拖"},{"value":"flip_flop","evidence_type":"page_validated","source_span":"","fact_ids":["style_flip_flop"],"rationale":"该槽位与商品基准中的明示页面事实一致。"},{"value":"flip_flop","evidence_type":"inferred","source_span":"","fact_ids":[],"rationale":"该能力由搜索词表达的任务或问题推断；页面事实仅用于验证商品承接。"}],"audience_intent":[{"value":"women","evidence_type":"explicit","source_span":"womens","fact_ids":[],"rationale":"明确指定女性受众"},{"value":"women","evidence_type":"page_validated","source_span":"","fact_ids":["title_womens_flip_flop"],"rationale":"该槽位与商品基准中的明示页面事实一致。"}],"brand":[{"value":"archies","evidence_type":"explicit","source_span":"archies","fact_ids":[],"rationale":"明确指定竞品品牌Archies，非Joomra"}],"primary_domain":[{"value":"clothing_shoes_jewelry","evidence_type":"inferred","source_span":"","fact_ids":[],"rationale":"该值由搜索词整体语义推断，未作为页面明示属性。"}]}</x:v>
      </x:c>
      <x:c r="Y890" s="16" t="str"/>
      <x:c r="Z890" s="13" t="str">
        <x:v>mismatch</x:v>
      </x:c>
      <x:c r="AA890" s="16" t="str"/>
      <x:c r="AB890" s="13" t="str">
        <x:v>accepted</x:v>
      </x:c>
      <x:c r="AC890" s="13" t="str">
        <x:v>1.0.0</x:v>
      </x:c>
      <x:c r="AD890" s="13" t="str">
        <x:v>1.1.0</x:v>
      </x:c>
      <x:c r="AE890" s="13" t="str">
        <x:v>deepseek/deepseek-v4-pro</x:v>
      </x:c>
      <x:c r="AF890" s="13" t="str">
        <x:v>aj2-y90-20260714T234810-0bea2f52</x:v>
      </x:c>
      <x:c r="AG890" s="13" t="str">
        <x:v>full-0045</x:v>
      </x:c>
      <x:c r="AH890" s="13" t="str">
        <x:v>full</x:v>
      </x:c>
      <x:c r="AI890" s="13" t="n">
        <x:v>45</x:v>
      </x:c>
    </x:row>
    <x:row r="891" ht="34" customHeight="1">
      <x:c r="A891" s="15" t="str">
        <x:v>comfortable black flip-flops</x:v>
      </x:c>
      <x:c r="B891" s="15" t="str">
        <x:v>comfortable black flip-flops</x:v>
      </x:c>
      <x:c r="C891" s="10" t="str">
        <x:v>4b12027e51200979</x:v>
      </x:c>
      <x:c r="D891" s="10" t="str">
        <x:v>keyword</x:v>
      </x:c>
      <x:c r="E891" s="10" t="str">
        <x:v>en</x:v>
      </x:c>
      <x:c r="F891" s="10" t="str">
        <x:v>clothing_shoes_jewelry</x:v>
      </x:c>
      <x:c r="G891" s="15" t="str"/>
      <x:c r="H891" s="15" t="str">
        <x:v>flip_flop</x:v>
      </x:c>
      <x:c r="I891" s="15" t="str"/>
      <x:c r="J891" s="15" t="str"/>
      <x:c r="K891" s="15" t="str">
        <x:v>cushioning | arch_support</x:v>
      </x:c>
      <x:c r="L891" s="15" t="str"/>
      <x:c r="M891" s="15" t="str"/>
      <x:c r="N891" s="15" t="str"/>
      <x:c r="O891" s="15" t="str"/>
      <x:c r="P891" s="15" t="str"/>
      <x:c r="Q891" s="15" t="str"/>
      <x:c r="R891" s="15" t="str">
        <x:v>用户需要一双舒适的黑色人字拖用于日常穿着。</x:v>
      </x:c>
      <x:c r="S891" s="10" t="str">
        <x:v>consideration</x:v>
      </x:c>
      <x:c r="T891" s="15" t="str">
        <x:v>explicit | page_validated</x:v>
      </x:c>
      <x:c r="U891" s="10" t="str">
        <x:v>high</x:v>
      </x:c>
      <x:c r="V891" s="15" t="str">
        <x:v>comfortable_black_flip_flops</x:v>
      </x:c>
      <x:c r="W891" s="15" t="str">
        <x:v>cluster_route</x:v>
      </x:c>
      <x:c r="X891" s="15" t="str">
        <x:v>{"product_type":[{"value":"flip_flop","evidence_type":"explicit","source_span":"flip-flops","fact_ids":[],"rationale":"术语直接指明人字拖品类"},{"value":"flip_flop","evidence_type":"page_validated","source_span":"","fact_ids":["style_flip_flop"],"rationale":"该槽位与商品基准中的明示页面事实一致。"}],"capability_intent":[{"value":"cushioning","evidence_type":"page_validated","source_span":"","fact_ids":["padded_cushioning","soft_toe_post"],"rationale":"页面加厚缓冲与柔软趾柱共同提供舒适感"},{"value":"arch_support","evidence_type":"page_validated","source_span":"","fact_ids":["arch_support"],"rationale":"页面足弓支撑助力全天舒适"},{"value":"cushioning","evidence_type":"inferred","source_span":"","fact_ids":[],"rationale":"该能力由搜索词表达的任务或问题推断；页面事实仅用于验证商品承接。"},{"value":"arch_support","evidence_type":"inferred","source_span":"","fact_ids":[],"rationale":"该能力由搜索词表达的任务或问题推断；页面事实仅用于验证商品承接。"}],"color":[{"value":"black","evidence_type":"explicit","source_span":"black","fact_ids":["colors_visible"],"rationale":"该颜色在商品页面可见颜色选择中得到明确支持。"}],"primary_domain":[{"value":"clothing_shoes_jewelry","evidence_type":"inferred","source_span":"","fact_ids":[],"rationale":"该值由搜索词整体语义推断，未作为页面明示属性。"}]}</x:v>
      </x:c>
      <x:c r="Y891" s="15" t="str"/>
      <x:c r="Z891" s="10" t="str">
        <x:v>match</x:v>
      </x:c>
      <x:c r="AA891" s="15" t="str">
        <x:v>title_womens_flip_flop | padded_cushioning | soft_toe_post | arch_support | colors_visible</x:v>
      </x:c>
      <x:c r="AB891" s="10" t="str">
        <x:v>accepted</x:v>
      </x:c>
      <x:c r="AC891" s="10" t="str">
        <x:v>1.0.0</x:v>
      </x:c>
      <x:c r="AD891" s="10" t="str">
        <x:v>1.1.0</x:v>
      </x:c>
      <x:c r="AE891" s="10" t="str">
        <x:v>deepseek/deepseek-v4-pro</x:v>
      </x:c>
      <x:c r="AF891" s="10" t="str">
        <x:v>aj2-y90-20260714T234810-0bea2f52</x:v>
      </x:c>
      <x:c r="AG891" s="10" t="str">
        <x:v>full-0045</x:v>
      </x:c>
      <x:c r="AH891" s="10" t="str">
        <x:v>full</x:v>
      </x:c>
      <x:c r="AI891" s="10" t="n">
        <x:v>45</x:v>
      </x:c>
    </x:row>
    <x:row r="892" ht="34" customHeight="1">
      <x:c r="A892" s="16" t="str">
        <x:v>best flip flops good support women</x:v>
      </x:c>
      <x:c r="B892" s="16" t="str">
        <x:v>best flip flops good support women</x:v>
      </x:c>
      <x:c r="C892" s="13" t="str">
        <x:v>725b2d8626f19f15</x:v>
      </x:c>
      <x:c r="D892" s="13" t="str">
        <x:v>keyword</x:v>
      </x:c>
      <x:c r="E892" s="13" t="str">
        <x:v>en</x:v>
      </x:c>
      <x:c r="F892" s="13" t="str">
        <x:v>clothing_shoes_jewelry</x:v>
      </x:c>
      <x:c r="G892" s="16" t="str"/>
      <x:c r="H892" s="16" t="str">
        <x:v>flip_flop</x:v>
      </x:c>
      <x:c r="I892" s="16" t="str">
        <x:v>women</x:v>
      </x:c>
      <x:c r="J892" s="16" t="str"/>
      <x:c r="K892" s="16" t="str">
        <x:v>arch_support | cushioning</x:v>
      </x:c>
      <x:c r="L892" s="16" t="str"/>
      <x:c r="M892" s="16" t="str"/>
      <x:c r="N892" s="16" t="str"/>
      <x:c r="O892" s="16" t="str"/>
      <x:c r="P892" s="16" t="str"/>
      <x:c r="Q892" s="16" t="str"/>
      <x:c r="R892" s="16" t="str">
        <x:v>女性用户需要一双支撑性能优异的人字拖。</x:v>
      </x:c>
      <x:c r="S892" s="13" t="str">
        <x:v>consideration</x:v>
      </x:c>
      <x:c r="T892" s="16" t="str">
        <x:v>explicit | page_validated</x:v>
      </x:c>
      <x:c r="U892" s="13" t="str">
        <x:v>high</x:v>
      </x:c>
      <x:c r="V892" s="16" t="str">
        <x:v>womens_supportive_flip_flops</x:v>
      </x:c>
      <x:c r="W892" s="16" t="str">
        <x:v>cluster_route</x:v>
      </x:c>
      <x:c r="X892" s="16" t="str">
        <x:v>{"product_type":[{"value":"flip_flop","evidence_type":"explicit","source_span":"flip flops","fact_ids":[],"rationale":"术语直接指明人字拖品类"},{"value":"flip_flop","evidence_type":"page_validated","source_span":"","fact_ids":["style_flip_flop"],"rationale":"该槽位与商品基准中的明示页面事实一致。"}],"audience_intent":[{"value":"women","evidence_type":"explicit","source_span":"women","fact_ids":[],"rationale":"明确指定女性受众"},{"value":"women","evidence_type":"page_validated","source_span":"","fact_ids":["title_womens_flip_flop"],"rationale":"该槽位与商品基准中的明示页面事实一致。"}],"capability_intent":[{"value":"arch_support","evidence_type":"page_validated","source_span":"","fact_ids":["arch_support"],"rationale":"页面人体工学足弓支撑对应良好支撑需求"},{"value":"cushioning","evidence_type":"page_validated","source_span":"","fact_ids":["padded_cushioning"],"rationale":"页面加厚缓冲对应良好支撑需求"},{"value":"arch_support","evidence_type":"inferred","source_span":"","fact_ids":[],"rationale":"该能力由搜索词表达的任务或问题推断；页面事实仅用于验证商品承接。"},{"value":"cushioning","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892" s="16" t="str"/>
      <x:c r="Z892" s="13" t="str">
        <x:v>match</x:v>
      </x:c>
      <x:c r="AA892" s="16" t="str">
        <x:v>title_womens_flip_flop | arch_support | padded_cushioning</x:v>
      </x:c>
      <x:c r="AB892" s="13" t="str">
        <x:v>accepted</x:v>
      </x:c>
      <x:c r="AC892" s="13" t="str">
        <x:v>1.0.0</x:v>
      </x:c>
      <x:c r="AD892" s="13" t="str">
        <x:v>1.1.0</x:v>
      </x:c>
      <x:c r="AE892" s="13" t="str">
        <x:v>deepseek/deepseek-v4-pro</x:v>
      </x:c>
      <x:c r="AF892" s="13" t="str">
        <x:v>aj2-y90-20260714T234810-0bea2f52</x:v>
      </x:c>
      <x:c r="AG892" s="13" t="str">
        <x:v>full-0045</x:v>
      </x:c>
      <x:c r="AH892" s="13" t="str">
        <x:v>full</x:v>
      </x:c>
      <x:c r="AI892" s="13" t="n">
        <x:v>45</x:v>
      </x:c>
    </x:row>
    <x:row r="893" ht="34" customHeight="1">
      <x:c r="A893" s="15" t="str">
        <x:v>flip flops foot support</x:v>
      </x:c>
      <x:c r="B893" s="15" t="str">
        <x:v>flip flops foot support</x:v>
      </x:c>
      <x:c r="C893" s="10" t="str">
        <x:v>784df1a71aa835a1</x:v>
      </x:c>
      <x:c r="D893" s="10" t="str">
        <x:v>keyword</x:v>
      </x:c>
      <x:c r="E893" s="10" t="str">
        <x:v>en</x:v>
      </x:c>
      <x:c r="F893" s="10" t="str">
        <x:v>clothing_shoes_jewelry</x:v>
      </x:c>
      <x:c r="G893" s="15" t="str"/>
      <x:c r="H893" s="15" t="str">
        <x:v>flip_flop</x:v>
      </x:c>
      <x:c r="I893" s="15" t="str"/>
      <x:c r="J893" s="15" t="str"/>
      <x:c r="K893" s="15" t="str">
        <x:v>arch_support | cushioning</x:v>
      </x:c>
      <x:c r="L893" s="15" t="str"/>
      <x:c r="M893" s="15" t="str"/>
      <x:c r="N893" s="15" t="str">
        <x:v>foot_fatigue</x:v>
      </x:c>
      <x:c r="O893" s="15" t="str"/>
      <x:c r="P893" s="15" t="str"/>
      <x:c r="Q893" s="15" t="str"/>
      <x:c r="R893" s="15" t="str">
        <x:v>用户需要一双具有脚部支撑功能的人字拖来减轻足部疲劳。</x:v>
      </x:c>
      <x:c r="S893" s="10" t="str">
        <x:v>consideration</x:v>
      </x:c>
      <x:c r="T893" s="15" t="str">
        <x:v>explicit | page_validated | inferred</x:v>
      </x:c>
      <x:c r="U893" s="10" t="str">
        <x:v>high</x:v>
      </x:c>
      <x:c r="V893" s="15" t="str">
        <x:v>supportive_flip_flops</x:v>
      </x:c>
      <x:c r="W893" s="15" t="str">
        <x:v>cluster_route</x:v>
      </x:c>
      <x:c r="X893" s="15" t="str">
        <x:v>{"product_type":[{"value":"flip_flop","evidence_type":"explicit","source_span":"flip flops","fact_ids":[],"rationale":"术语直接指明人字拖品类"},{"value":"flip_flop","evidence_type":"page_validated","source_span":"","fact_ids":["style_flip_flop"],"rationale":"该槽位与商品基准中的明示页面事实一致。"}],"capability_intent":[{"value":"arch_support","evidence_type":"page_validated","source_span":"","fact_ids":["arch_support"],"rationale":"页面人体工学足弓支撑对应足部支撑需求"},{"value":"cushioning","evidence_type":"page_validated","source_span":"","fact_ids":["padded_cushioning"],"rationale":"页面加厚缓冲对应足部支撑需求"},{"value":"arch_support","evidence_type":"inferred","source_span":"","fact_ids":[],"rationale":"该能力由搜索词表达的任务或问题推断；页面事实仅用于验证商品承接。"},{"value":"cushioning","evidence_type":"inferred","source_span":"","fact_ids":[],"rationale":"该能力由搜索词表达的任务或问题推断；页面事实仅用于验证商品承接。"}],"body_need_intent":[{"value":"foot_fatigue","evidence_type":"inferred","source_span":"foot support","fact_ids":[],"rationale":"寻求足部支撑常暗示需要缓解疲劳"}],"primary_domain":[{"value":"clothing_shoes_jewelry","evidence_type":"inferred","source_span":"","fact_ids":[],"rationale":"该值由搜索词整体语义推断，未作为页面明示属性。"}]}</x:v>
      </x:c>
      <x:c r="Y893" s="15" t="str"/>
      <x:c r="Z893" s="10" t="str">
        <x:v>match</x:v>
      </x:c>
      <x:c r="AA893" s="15" t="str">
        <x:v>title_womens_flip_flop | arch_support | padded_cushioning</x:v>
      </x:c>
      <x:c r="AB893" s="10" t="str">
        <x:v>accepted</x:v>
      </x:c>
      <x:c r="AC893" s="10" t="str">
        <x:v>1.0.0</x:v>
      </x:c>
      <x:c r="AD893" s="10" t="str">
        <x:v>1.1.0</x:v>
      </x:c>
      <x:c r="AE893" s="10" t="str">
        <x:v>deepseek/deepseek-v4-pro</x:v>
      </x:c>
      <x:c r="AF893" s="10" t="str">
        <x:v>aj2-y90-20260714T234810-0bea2f52</x:v>
      </x:c>
      <x:c r="AG893" s="10" t="str">
        <x:v>full-0045</x:v>
      </x:c>
      <x:c r="AH893" s="10" t="str">
        <x:v>full</x:v>
      </x:c>
      <x:c r="AI893" s="10" t="n">
        <x:v>45</x:v>
      </x:c>
    </x:row>
    <x:row r="894" ht="34" customHeight="1">
      <x:c r="A894" s="16" t="str">
        <x:v>fuschia pink flip flop for women</x:v>
      </x:c>
      <x:c r="B894" s="16" t="str">
        <x:v>fuschia pink flip flop for women</x:v>
      </x:c>
      <x:c r="C894" s="13" t="str">
        <x:v>7ac193a2c0d02cee</x:v>
      </x:c>
      <x:c r="D894" s="13" t="str">
        <x:v>keyword</x:v>
      </x:c>
      <x:c r="E894" s="13" t="str">
        <x:v>en</x:v>
      </x:c>
      <x:c r="F894" s="13" t="str">
        <x:v>clothing_shoes_jewelry</x:v>
      </x:c>
      <x:c r="G894" s="16" t="str"/>
      <x:c r="H894" s="16" t="str">
        <x:v>flip_flop</x:v>
      </x:c>
      <x:c r="I894" s="16" t="str">
        <x:v>women</x:v>
      </x:c>
      <x:c r="J894" s="16" t="str"/>
      <x:c r="K894" s="16" t="str"/>
      <x:c r="L894" s="16" t="str"/>
      <x:c r="M894" s="16" t="str"/>
      <x:c r="N894" s="16" t="str"/>
      <x:c r="O894" s="16" t="str"/>
      <x:c r="P894" s="16" t="str"/>
      <x:c r="Q894" s="16" t="str"/>
      <x:c r="R894" s="16" t="str">
        <x:v>女性用户需要一双紫粉色人字拖用于日常穿着。</x:v>
      </x:c>
      <x:c r="S894" s="13" t="str">
        <x:v>consideration</x:v>
      </x:c>
      <x:c r="T894" s="16" t="str">
        <x:v>explicit | page_validated | inferred</x:v>
      </x:c>
      <x:c r="U894" s="13" t="str">
        <x:v>medium</x:v>
      </x:c>
      <x:c r="V894" s="16" t="str">
        <x:v>womens_pink_flip_flops</x:v>
      </x:c>
      <x:c r="W894" s="16" t="str">
        <x:v>listing_gap_review</x:v>
      </x:c>
      <x:c r="X894" s="16" t="str">
        <x:v>{"product_type":[{"value":"flip_flop","evidence_type":"explicit","source_span":"flip flop","fact_ids":[],"rationale":"术语直接指明人字拖品类"},{"value":"flip_flop","evidence_type":"page_validated","source_span":"","fact_ids":["style_flip_flop"],"rationale":"该槽位与商品基准中的明示页面事实一致。"}],"audience_intent":[{"value":"women","evidence_type":"explicit","source_span":"for women","fact_ids":[],"rationale":"明确限定女性受众"},{"value":"women","evidence_type":"page_validated","source_span":"","fact_ids":["title_womens_flip_flop"],"rationale":"该槽位与商品基准中的明示页面事实一致。"}],"color":[{"value":"fuschia_pink","evidence_type":"explicit","source_span":"fuschia pink","fact_ids":[],"rationale":"这是搜索词中的颜色约束，但商品页面基准未确认该具体颜色。"}],"primary_domain":[{"value":"clothing_shoes_jewelry","evidence_type":"inferred","source_span":"","fact_ids":[],"rationale":"该值由搜索词整体语义推断，未作为页面明示属性。"}]}</x:v>
      </x:c>
      <x:c r="Y894" s="16" t="str"/>
      <x:c r="Z894" s="13" t="str">
        <x:v>partial_match</x:v>
      </x:c>
      <x:c r="AA894" s="16" t="str">
        <x:v>title_womens_flip_flop | colors_visible</x:v>
      </x:c>
      <x:c r="AB894" s="13" t="str">
        <x:v>accepted</x:v>
      </x:c>
      <x:c r="AC894" s="13" t="str">
        <x:v>1.0.0</x:v>
      </x:c>
      <x:c r="AD894" s="13" t="str">
        <x:v>1.1.0</x:v>
      </x:c>
      <x:c r="AE894" s="13" t="str">
        <x:v>deepseek/deepseek-v4-pro</x:v>
      </x:c>
      <x:c r="AF894" s="13" t="str">
        <x:v>aj2-y90-20260714T234810-0bea2f52</x:v>
      </x:c>
      <x:c r="AG894" s="13" t="str">
        <x:v>full-0045</x:v>
      </x:c>
      <x:c r="AH894" s="13" t="str">
        <x:v>full</x:v>
      </x:c>
      <x:c r="AI894" s="13" t="n">
        <x:v>45</x:v>
      </x:c>
    </x:row>
    <x:row r="895" ht="34" customHeight="1">
      <x:c r="A895" s="15" t="str">
        <x:v>flip flops women size 10</x:v>
      </x:c>
      <x:c r="B895" s="15" t="str">
        <x:v>flip flops women size 10</x:v>
      </x:c>
      <x:c r="C895" s="10" t="str">
        <x:v>7bb28a114df20cdb</x:v>
      </x:c>
      <x:c r="D895" s="10" t="str">
        <x:v>keyword</x:v>
      </x:c>
      <x:c r="E895" s="10" t="str">
        <x:v>en</x:v>
      </x:c>
      <x:c r="F895" s="10" t="str">
        <x:v>clothing_shoes_jewelry</x:v>
      </x:c>
      <x:c r="G895" s="15" t="str"/>
      <x:c r="H895" s="15" t="str">
        <x:v>flip_flop</x:v>
      </x:c>
      <x:c r="I895" s="15" t="str">
        <x:v>women</x:v>
      </x:c>
      <x:c r="J895" s="15" t="str"/>
      <x:c r="K895" s="15" t="str"/>
      <x:c r="L895" s="15" t="str"/>
      <x:c r="M895" s="15" t="str"/>
      <x:c r="N895" s="15" t="str"/>
      <x:c r="O895" s="15" t="str"/>
      <x:c r="P895" s="15" t="str"/>
      <x:c r="Q895" s="15" t="str"/>
      <x:c r="R895" s="15" t="str">
        <x:v>女性用户需要一双10码的人字拖。</x:v>
      </x:c>
      <x:c r="S895" s="10" t="str">
        <x:v>high_intent</x:v>
      </x:c>
      <x:c r="T895" s="15" t="str">
        <x:v>explicit | page_validated</x:v>
      </x:c>
      <x:c r="U895" s="10" t="str">
        <x:v>high</x:v>
      </x:c>
      <x:c r="V895" s="15" t="str">
        <x:v>womens_flip_flops_sized</x:v>
      </x:c>
      <x:c r="W895" s="15" t="str">
        <x:v>cluster_route</x:v>
      </x:c>
      <x:c r="X895" s="15" t="str">
        <x:v>{"product_type":[{"value":"flip_flop","evidence_type":"explicit","source_span":"flip flops","fact_ids":[],"rationale":"术语直接指明人字拖品类"},{"value":"flip_flop","evidence_type":"page_validated","source_span":"","fact_ids":["style_flip_flop"],"rationale":"该槽位与商品基准中的明示页面事实一致。"}],"audience_intent":[{"value":"women","evidence_type":"explicit","source_span":"women","fact_ids":[],"rationale":"明确指定女性受众"},{"value":"women","evidence_type":"page_validated","source_span":"","fact_ids":["title_womens_flip_flop"],"rationale":"该槽位与商品基准中的明示页面事实一致。"}],"size":[{"value":"10","evidence_type":"explicit","source_span":"size 10","fact_ids":["sizes_6_11"],"rationale":"页面尺码范围6-11涵盖size 10"}],"primary_domain":[{"value":"clothing_shoes_jewelry","evidence_type":"inferred","source_span":"","fact_ids":[],"rationale":"该值由搜索词整体语义推断，未作为页面明示属性。"}]}</x:v>
      </x:c>
      <x:c r="Y895" s="15" t="str"/>
      <x:c r="Z895" s="10" t="str">
        <x:v>match</x:v>
      </x:c>
      <x:c r="AA895" s="15" t="str">
        <x:v>title_womens_flip_flop | sizes_6_11</x:v>
      </x:c>
      <x:c r="AB895" s="10" t="str">
        <x:v>accepted</x:v>
      </x:c>
      <x:c r="AC895" s="10" t="str">
        <x:v>1.0.0</x:v>
      </x:c>
      <x:c r="AD895" s="10" t="str">
        <x:v>1.1.0</x:v>
      </x:c>
      <x:c r="AE895" s="10" t="str">
        <x:v>deepseek/deepseek-v4-pro</x:v>
      </x:c>
      <x:c r="AF895" s="10" t="str">
        <x:v>aj2-y90-20260714T234810-0bea2f52</x:v>
      </x:c>
      <x:c r="AG895" s="10" t="str">
        <x:v>full-0045</x:v>
      </x:c>
      <x:c r="AH895" s="10" t="str">
        <x:v>full</x:v>
      </x:c>
      <x:c r="AI895" s="10" t="n">
        <x:v>45</x:v>
      </x:c>
    </x:row>
    <x:row r="896" ht="34" customHeight="1">
      <x:c r="A896" s="16" t="str">
        <x:v>spa flip flops for women</x:v>
      </x:c>
      <x:c r="B896" s="16" t="str">
        <x:v>spa flip flops for women</x:v>
      </x:c>
      <x:c r="C896" s="13" t="str">
        <x:v>abfaa997d0cc7888</x:v>
      </x:c>
      <x:c r="D896" s="13" t="str">
        <x:v>keyword</x:v>
      </x:c>
      <x:c r="E896" s="13" t="str">
        <x:v>en</x:v>
      </x:c>
      <x:c r="F896" s="13" t="str">
        <x:v>clothing_shoes_jewelry</x:v>
      </x:c>
      <x:c r="G896" s="16" t="str"/>
      <x:c r="H896" s="16" t="str">
        <x:v>flip_flop</x:v>
      </x:c>
      <x:c r="I896" s="16" t="str">
        <x:v>women</x:v>
      </x:c>
      <x:c r="J896" s="16" t="str"/>
      <x:c r="K896" s="16" t="str">
        <x:v>easy_clean | slip_resistant</x:v>
      </x:c>
      <x:c r="L896" s="16" t="str"/>
      <x:c r="M896" s="16" t="str">
        <x:v>spa</x:v>
      </x:c>
      <x:c r="N896" s="16" t="str"/>
      <x:c r="O896" s="16" t="str"/>
      <x:c r="P896" s="16" t="str"/>
      <x:c r="Q896" s="16" t="str"/>
      <x:c r="R896" s="16" t="str">
        <x:v>女性用户需要一双适合水疗中心穿着的人字拖。</x:v>
      </x:c>
      <x:c r="S896" s="13" t="str">
        <x:v>consideration</x:v>
      </x:c>
      <x:c r="T896" s="16" t="str">
        <x:v>explicit | page_validated</x:v>
      </x:c>
      <x:c r="U896" s="13" t="str">
        <x:v>medium</x:v>
      </x:c>
      <x:c r="V896" s="16" t="str">
        <x:v>womens_spa_flip_flops</x:v>
      </x:c>
      <x:c r="W896" s="16" t="str">
        <x:v>listing_gap_review</x:v>
      </x:c>
      <x:c r="X896" s="16" t="str">
        <x:v>{"product_type":[{"value":"flip_flop","evidence_type":"explicit","source_span":"flip flops","fact_ids":[],"rationale":"术语直接指明人字拖品类"},{"value":"flip_flop","evidence_type":"page_validated","source_span":"","fact_ids":["style_flip_flop"],"rationale":"该槽位与商品基准中的明示页面事实一致。"}],"audience_intent":[{"value":"women","evidence_type":"explicit","source_span":"for women","fact_ids":[],"rationale":"明确限定女性受众"},{"value":"women","evidence_type":"page_validated","source_span":"","fact_ids":["title_womens_flip_flop"],"rationale":"该槽位与商品基准中的明示页面事实一致。"}],"location_intent":[{"value":"spa","evidence_type":"explicit","source_span":"spa","fact_ids":[],"rationale":"明确指定水疗中心使用场景"}],"capability_intent":[{"value":"easy_clean","evidence_type":"page_validated","source_span":"","fact_ids":["easy_clean"],"rationale":"水疗场景需易清洁，页面EVA无缝结构易清洁"},{"value":"slip_resistant","evidence_type":"page_validated","source_span":"","fact_ids":["slip_resistant_grip"],"rationale":"水疗湿滑地面需防滑，页面有防滑纹理外底"},{"value":"easy_clean","evidence_type":"inferred","source_span":"","fact_ids":[],"rationale":"该能力由搜索词表达的任务或问题推断；页面事实仅用于验证商品承接。"},{"value":"slip_resistan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896" s="16" t="str"/>
      <x:c r="Z896" s="13" t="str">
        <x:v>partial_match</x:v>
      </x:c>
      <x:c r="AA896" s="16" t="str">
        <x:v>title_womens_flip_flop | easy_clean | slip_resistant_grip</x:v>
      </x:c>
      <x:c r="AB896" s="13" t="str">
        <x:v>accepted</x:v>
      </x:c>
      <x:c r="AC896" s="13" t="str">
        <x:v>1.0.0</x:v>
      </x:c>
      <x:c r="AD896" s="13" t="str">
        <x:v>1.1.0</x:v>
      </x:c>
      <x:c r="AE896" s="13" t="str">
        <x:v>deepseek/deepseek-v4-pro</x:v>
      </x:c>
      <x:c r="AF896" s="13" t="str">
        <x:v>aj2-y90-20260714T234810-0bea2f52</x:v>
      </x:c>
      <x:c r="AG896" s="13" t="str">
        <x:v>full-0045</x:v>
      </x:c>
      <x:c r="AH896" s="13" t="str">
        <x:v>full</x:v>
      </x:c>
      <x:c r="AI896" s="13" t="n">
        <x:v>45</x:v>
      </x:c>
    </x:row>
    <x:row r="897" ht="34" customHeight="1">
      <x:c r="A897" s="15" t="str">
        <x:v>womens gap flip flops size 7</x:v>
      </x:c>
      <x:c r="B897" s="15" t="str">
        <x:v>womens gap flip flops size 7</x:v>
      </x:c>
      <x:c r="C897" s="10" t="str">
        <x:v>be6e0a556982918f</x:v>
      </x:c>
      <x:c r="D897" s="10" t="str">
        <x:v>keyword</x:v>
      </x:c>
      <x:c r="E897" s="10" t="str">
        <x:v>en</x:v>
      </x:c>
      <x:c r="F897" s="10" t="str">
        <x:v>clothing_shoes_jewelry</x:v>
      </x:c>
      <x:c r="G897" s="15" t="str"/>
      <x:c r="H897" s="15" t="str">
        <x:v>flip_flop</x:v>
      </x:c>
      <x:c r="I897" s="15" t="str">
        <x:v>women</x:v>
      </x:c>
      <x:c r="J897" s="15" t="str"/>
      <x:c r="K897" s="15" t="str"/>
      <x:c r="L897" s="15" t="str"/>
      <x:c r="M897" s="15" t="str"/>
      <x:c r="N897" s="15" t="str"/>
      <x:c r="O897" s="15" t="str"/>
      <x:c r="P897" s="15" t="str"/>
      <x:c r="Q897" s="15" t="str"/>
      <x:c r="R897" s="15" t="str">
        <x:v>用户搜索Gap品牌7码女性人字拖，为竞品品牌搜索。</x:v>
      </x:c>
      <x:c r="S897" s="10" t="str">
        <x:v>brand_harvest</x:v>
      </x:c>
      <x:c r="T897" s="15" t="str">
        <x:v>explicit</x:v>
      </x:c>
      <x:c r="U897" s="10" t="str">
        <x:v>high</x:v>
      </x:c>
      <x:c r="V897" s="15" t="str">
        <x:v>gap_womens_flip_flops</x:v>
      </x:c>
      <x:c r="W897" s="15" t="str">
        <x:v>semantic_negative_candidate</x:v>
      </x:c>
      <x:c r="X897" s="15" t="str">
        <x:v>{"product_type":[{"value":"flip_flop","evidence_type":"explicit","source_span":"flip flops","fact_ids":[],"rationale":"术语直接指明人字拖品类"},{"value":"flip_flop","evidence_type":"page_validated","source_span":"","fact_ids":["style_flip_flop"],"rationale":"该槽位与商品基准中的明示页面事实一致。"}],"audience_intent":[{"value":"women","evidence_type":"explicit","source_span":"womens","fact_ids":[],"rationale":"明确指定女性受众"},{"value":"women","evidence_type":"page_validated","source_span":"","fact_ids":["title_womens_flip_flop"],"rationale":"该槽位与商品基准中的明示页面事实一致。"}],"brand":[{"value":"gap","evidence_type":"explicit","source_span":"gap","fact_ids":[],"rationale":"明确指定竞品品牌Gap，非Joomra"}],"size":[{"value":"7","evidence_type":"explicit","source_span":"size 7","fact_ids":["sizes_6_11"],"rationale":"页面尺码含7码但品牌不匹配"}],"primary_domain":[{"value":"clothing_shoes_jewelry","evidence_type":"inferred","source_span":"","fact_ids":[],"rationale":"该值由搜索词整体语义推断，未作为页面明示属性。"}]}</x:v>
      </x:c>
      <x:c r="Y897" s="15" t="str"/>
      <x:c r="Z897" s="10" t="str">
        <x:v>mismatch</x:v>
      </x:c>
      <x:c r="AA897" s="15" t="str"/>
      <x:c r="AB897" s="10" t="str">
        <x:v>accepted</x:v>
      </x:c>
      <x:c r="AC897" s="10" t="str">
        <x:v>1.0.0</x:v>
      </x:c>
      <x:c r="AD897" s="10" t="str">
        <x:v>1.1.0</x:v>
      </x:c>
      <x:c r="AE897" s="10" t="str">
        <x:v>deepseek/deepseek-v4-pro</x:v>
      </x:c>
      <x:c r="AF897" s="10" t="str">
        <x:v>aj2-y90-20260714T234810-0bea2f52</x:v>
      </x:c>
      <x:c r="AG897" s="10" t="str">
        <x:v>full-0045</x:v>
      </x:c>
      <x:c r="AH897" s="10" t="str">
        <x:v>full</x:v>
      </x:c>
      <x:c r="AI897" s="10" t="n">
        <x:v>45</x:v>
      </x:c>
    </x:row>
    <x:row r="898" ht="34" customHeight="1">
      <x:c r="A898" s="16" t="str">
        <x:v>flip flop support</x:v>
      </x:c>
      <x:c r="B898" s="16" t="str">
        <x:v>flip flop support</x:v>
      </x:c>
      <x:c r="C898" s="13" t="str">
        <x:v>c1129cae30297162</x:v>
      </x:c>
      <x:c r="D898" s="13" t="str">
        <x:v>keyword</x:v>
      </x:c>
      <x:c r="E898" s="13" t="str">
        <x:v>en</x:v>
      </x:c>
      <x:c r="F898" s="13" t="str">
        <x:v>clothing_shoes_jewelry</x:v>
      </x:c>
      <x:c r="G898" s="16" t="str"/>
      <x:c r="H898" s="16" t="str">
        <x:v>flip_flop</x:v>
      </x:c>
      <x:c r="I898" s="16" t="str"/>
      <x:c r="J898" s="16" t="str"/>
      <x:c r="K898" s="16" t="str">
        <x:v>arch_support | cushioning</x:v>
      </x:c>
      <x:c r="L898" s="16" t="str"/>
      <x:c r="M898" s="16" t="str"/>
      <x:c r="N898" s="16" t="str"/>
      <x:c r="O898" s="16" t="str"/>
      <x:c r="P898" s="16" t="str"/>
      <x:c r="Q898" s="16" t="str"/>
      <x:c r="R898" s="16" t="str">
        <x:v>用户需要一双具有足部支撑功能的人字拖来提升穿着舒适度。</x:v>
      </x:c>
      <x:c r="S898" s="13" t="str">
        <x:v>consideration</x:v>
      </x:c>
      <x:c r="T898" s="16" t="str">
        <x:v>explicit | page_validated</x:v>
      </x:c>
      <x:c r="U898" s="13" t="str">
        <x:v>high</x:v>
      </x:c>
      <x:c r="V898" s="16" t="str">
        <x:v>supportive_flip_flops</x:v>
      </x:c>
      <x:c r="W898" s="16" t="str">
        <x:v>cluster_route</x:v>
      </x:c>
      <x:c r="X898" s="16" t="str">
        <x:v>{"product_type":[{"value":"flip_flop","evidence_type":"explicit","source_span":"flip flop","fact_ids":[],"rationale":"术语直接指明人字拖品类"},{"value":"flip_flop","evidence_type":"page_validated","source_span":"","fact_ids":["style_flip_flop"],"rationale":"该槽位与商品基准中的明示页面事实一致。"}],"capability_intent":[{"value":"arch_support","evidence_type":"page_validated","source_span":"","fact_ids":["arch_support"],"rationale":"页面具有人体工学足弓支撑功能"},{"value":"cushioning","evidence_type":"page_validated","source_span":"","fact_ids":["padded_cushioning"],"rationale":"页面标注加厚缓冲垫提供支撑"},{"value":"arch_support","evidence_type":"inferred","source_span":"","fact_ids":[],"rationale":"该能力由搜索词表达的任务或问题推断；页面事实仅用于验证商品承接。"},{"value":"cushioning","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898" s="16" t="str">
        <x:v>support_type_ambiguous</x:v>
      </x:c>
      <x:c r="Z898" s="13" t="str">
        <x:v>match</x:v>
      </x:c>
      <x:c r="AA898" s="16" t="str">
        <x:v>title_womens_flip_flop | arch_support | padded_cushioning</x:v>
      </x:c>
      <x:c r="AB898" s="13" t="str">
        <x:v>accepted</x:v>
      </x:c>
      <x:c r="AC898" s="13" t="str">
        <x:v>1.0.0</x:v>
      </x:c>
      <x:c r="AD898" s="13" t="str">
        <x:v>1.1.0</x:v>
      </x:c>
      <x:c r="AE898" s="13" t="str">
        <x:v>deepseek/deepseek-v4-pro</x:v>
      </x:c>
      <x:c r="AF898" s="13" t="str">
        <x:v>aj2-y90-20260714T234810-0bea2f52</x:v>
      </x:c>
      <x:c r="AG898" s="13" t="str">
        <x:v>full-0045</x:v>
      </x:c>
      <x:c r="AH898" s="13" t="str">
        <x:v>full</x:v>
      </x:c>
      <x:c r="AI898" s="13" t="n">
        <x:v>45</x:v>
      </x:c>
    </x:row>
    <x:row r="899" ht="34" customHeight="1">
      <x:c r="A899" s="15" t="str">
        <x:v>women's flip flops with arch support</x:v>
      </x:c>
      <x:c r="B899" s="15" t="str">
        <x:v>women's flip flops with arch support</x:v>
      </x:c>
      <x:c r="C899" s="10" t="str">
        <x:v>dc2d6574525f14a8</x:v>
      </x:c>
      <x:c r="D899" s="10" t="str">
        <x:v>keyword</x:v>
      </x:c>
      <x:c r="E899" s="10" t="str">
        <x:v>en</x:v>
      </x:c>
      <x:c r="F899" s="10" t="str">
        <x:v>clothing_shoes_jewelry</x:v>
      </x:c>
      <x:c r="G899" s="15" t="str"/>
      <x:c r="H899" s="15" t="str">
        <x:v>flip_flop</x:v>
      </x:c>
      <x:c r="I899" s="15" t="str">
        <x:v>women</x:v>
      </x:c>
      <x:c r="J899" s="15" t="str"/>
      <x:c r="K899" s="15" t="str">
        <x:v>arch_support</x:v>
      </x:c>
      <x:c r="L899" s="15" t="str"/>
      <x:c r="M899" s="15" t="str"/>
      <x:c r="N899" s="15" t="str"/>
      <x:c r="O899" s="15" t="str"/>
      <x:c r="P899" s="15" t="str"/>
      <x:c r="Q899" s="15" t="str"/>
      <x:c r="R899" s="15" t="str">
        <x:v>女性用户需要一双具有足弓支撑功能的人字拖来提升穿着舒适度。</x:v>
      </x:c>
      <x:c r="S899" s="10" t="str">
        <x:v>consideration</x:v>
      </x:c>
      <x:c r="T899" s="15" t="str">
        <x:v>explicit | page_validated</x:v>
      </x:c>
      <x:c r="U899" s="10" t="str">
        <x:v>high</x:v>
      </x:c>
      <x:c r="V899" s="15" t="str">
        <x:v>womens_arch_support_flip_flops</x:v>
      </x:c>
      <x:c r="W899" s="15" t="str">
        <x:v>cluster_route</x:v>
      </x:c>
      <x:c r="X899" s="15" t="str">
        <x:v>{"product_type":[{"value":"flip_flop","evidence_type":"explicit","source_span":"flip flops","fact_ids":[],"rationale":"术语直接指明人字拖品类"},{"value":"flip_flop","evidence_type":"page_validated","source_span":"","fact_ids":["style_flip_flop"],"rationale":"该槽位与商品基准中的明示页面事实一致。"}],"audience_intent":[{"value":"women","evidence_type":"explicit","source_span":"women's","fact_ids":[],"rationale":"明确指定女性受众"},{"value":"women","evidence_type":"page_validated","source_span":"","fact_ids":["title_womens_flip_flop"],"rationale":"该槽位与商品基准中的明示页面事实一致。"}],"capability_intent":[{"value":"arch_support","evidence_type":"explicit","source_span":"arch support","fact_ids":["arch_support"],"rationale":"页面提供人体工学足弓支撑完美匹配需求"},{"value":"arch_support","evidence_type":"page_validated","source_span":"","fact_ids":["arch_support"],"rationale":"该槽位与商品基准中的明示页面事实一致。"}],"primary_domain":[{"value":"clothing_shoes_jewelry","evidence_type":"inferred","source_span":"","fact_ids":[],"rationale":"该值由搜索词整体语义推断，未作为页面明示属性。"}]}</x:v>
      </x:c>
      <x:c r="Y899" s="15" t="str"/>
      <x:c r="Z899" s="10" t="str">
        <x:v>match</x:v>
      </x:c>
      <x:c r="AA899" s="15" t="str">
        <x:v>title_womens_flip_flop | arch_support</x:v>
      </x:c>
      <x:c r="AB899" s="10" t="str">
        <x:v>accepted</x:v>
      </x:c>
      <x:c r="AC899" s="10" t="str">
        <x:v>1.0.0</x:v>
      </x:c>
      <x:c r="AD899" s="10" t="str">
        <x:v>1.1.0</x:v>
      </x:c>
      <x:c r="AE899" s="10" t="str">
        <x:v>deepseek/deepseek-v4-pro</x:v>
      </x:c>
      <x:c r="AF899" s="10" t="str">
        <x:v>aj2-y90-20260714T234810-0bea2f52</x:v>
      </x:c>
      <x:c r="AG899" s="10" t="str">
        <x:v>full-0045</x:v>
      </x:c>
      <x:c r="AH899" s="10" t="str">
        <x:v>full</x:v>
      </x:c>
      <x:c r="AI899" s="10" t="n">
        <x:v>45</x:v>
      </x:c>
    </x:row>
    <x:row r="900" ht="34" customHeight="1">
      <x:c r="A900" s="16" t="str">
        <x:v>size 11 flip flops for women waterproof</x:v>
      </x:c>
      <x:c r="B900" s="16" t="str">
        <x:v>size 11 flip flops for women waterproof</x:v>
      </x:c>
      <x:c r="C900" s="13" t="str">
        <x:v>ddea4b9b581a9d9d</x:v>
      </x:c>
      <x:c r="D900" s="13" t="str">
        <x:v>keyword</x:v>
      </x:c>
      <x:c r="E900" s="13" t="str">
        <x:v>en</x:v>
      </x:c>
      <x:c r="F900" s="13" t="str">
        <x:v>clothing_shoes_jewelry</x:v>
      </x:c>
      <x:c r="G900" s="16" t="str"/>
      <x:c r="H900" s="16" t="str">
        <x:v>flip_flop</x:v>
      </x:c>
      <x:c r="I900" s="16" t="str">
        <x:v>women</x:v>
      </x:c>
      <x:c r="J900" s="16" t="str">
        <x:v>water_resistance</x:v>
      </x:c>
      <x:c r="K900" s="16" t="str"/>
      <x:c r="L900" s="16" t="str"/>
      <x:c r="M900" s="16" t="str"/>
      <x:c r="N900" s="16" t="str"/>
      <x:c r="O900" s="16" t="str"/>
      <x:c r="P900" s="16" t="str"/>
      <x:c r="Q900" s="16" t="str"/>
      <x:c r="R900" s="16" t="str">
        <x:v>女性用户需要一双11码的防水人字拖用于潮湿环境穿着。</x:v>
      </x:c>
      <x:c r="S900" s="13" t="str">
        <x:v>high_intent</x:v>
      </x:c>
      <x:c r="T900" s="16" t="str">
        <x:v>explicit | page_validated | inferred</x:v>
      </x:c>
      <x:c r="U900" s="13" t="str">
        <x:v>medium</x:v>
      </x:c>
      <x:c r="V900" s="16" t="str">
        <x:v>womens_waterproof_flip_flops_sized</x:v>
      </x:c>
      <x:c r="W900" s="16" t="str">
        <x:v>listing_gap_review</x:v>
      </x:c>
      <x:c r="X900" s="16" t="str">
        <x:v>{"product_type":[{"value":"flip_flop","evidence_type":"explicit","source_span":"flip flops","fact_ids":[],"rationale":"术语直接指明人字拖品类"},{"value":"flip_flop","evidence_type":"page_validated","source_span":"","fact_ids":["style_flip_flop"],"rationale":"该槽位与商品基准中的明示页面事实一致。"}],"audience_intent":[{"value":"women","evidence_type":"explicit","source_span":"for women","fact_ids":[],"rationale":"明确限定女性受众"},{"value":"women","evidence_type":"page_validated","source_span":"","fact_ids":["title_womens_flip_flop"],"rationale":"该槽位与商品基准中的明示页面事实一致。"}],"function_intent":[{"value":"water_resistance","evidence_type":"explicit","source_span":"waterproof","fact_ids":[],"rationale":"明确要求防水功能"}],"size":[{"value":"11","evidence_type":"explicit","source_span":"size 11","fact_ids":["sizes_6_11"],"rationale":"页面尺码范围6-11涵盖size 11"}],"primary_domain":[{"value":"clothing_shoes_jewelry","evidence_type":"inferred","source_span":"","fact_ids":[],"rationale":"该值由搜索词整体语义推断，未作为页面明示属性。"}]}</x:v>
      </x:c>
      <x:c r="Y900" s="16" t="str"/>
      <x:c r="Z900" s="13" t="str">
        <x:v>partial_match</x:v>
      </x:c>
      <x:c r="AA900" s="16" t="str">
        <x:v>title_womens_flip_flop | sizes_6_11</x:v>
      </x:c>
      <x:c r="AB900" s="13" t="str">
        <x:v>accepted</x:v>
      </x:c>
      <x:c r="AC900" s="13" t="str">
        <x:v>1.0.0</x:v>
      </x:c>
      <x:c r="AD900" s="13" t="str">
        <x:v>1.1.0</x:v>
      </x:c>
      <x:c r="AE900" s="13" t="str">
        <x:v>deepseek/deepseek-v4-pro</x:v>
      </x:c>
      <x:c r="AF900" s="13" t="str">
        <x:v>aj2-y90-20260714T234810-0bea2f52</x:v>
      </x:c>
      <x:c r="AG900" s="13" t="str">
        <x:v>full-0045</x:v>
      </x:c>
      <x:c r="AH900" s="13" t="str">
        <x:v>full</x:v>
      </x:c>
      <x:c r="AI900" s="13" t="n">
        <x:v>45</x:v>
      </x:c>
    </x:row>
    <x:row r="901" ht="34" customHeight="1">
      <x:c r="A901" s="15" t="str">
        <x:v>beach shoes women</x:v>
      </x:c>
      <x:c r="B901" s="15" t="str">
        <x:v>beach shoes women</x:v>
      </x:c>
      <x:c r="C901" s="10" t="str">
        <x:v>fe69b240426ab550</x:v>
      </x:c>
      <x:c r="D901" s="10" t="str">
        <x:v>keyword</x:v>
      </x:c>
      <x:c r="E901" s="10" t="str">
        <x:v>en</x:v>
      </x:c>
      <x:c r="F901" s="10" t="str">
        <x:v>clothing_shoes_jewelry</x:v>
      </x:c>
      <x:c r="G901" s="15" t="str"/>
      <x:c r="H901" s="15" t="str">
        <x:v>beach_shoe</x:v>
      </x:c>
      <x:c r="I901" s="15" t="str">
        <x:v>women</x:v>
      </x:c>
      <x:c r="J901" s="15" t="str"/>
      <x:c r="K901" s="15" t="str">
        <x:v>water_compatible</x:v>
      </x:c>
      <x:c r="L901" s="15" t="str"/>
      <x:c r="M901" s="15" t="str">
        <x:v>beach</x:v>
      </x:c>
      <x:c r="N901" s="15" t="str"/>
      <x:c r="O901" s="15" t="str"/>
      <x:c r="P901" s="15" t="str"/>
      <x:c r="Q901" s="15" t="str"/>
      <x:c r="R901" s="15" t="str">
        <x:v>女性用户需要一双适合沙滩穿着的鞋子。</x:v>
      </x:c>
      <x:c r="S901" s="10" t="str">
        <x:v>exploration</x:v>
      </x:c>
      <x:c r="T901" s="15" t="str">
        <x:v>explicit | page_validated | inferred</x:v>
      </x:c>
      <x:c r="U901" s="10" t="str">
        <x:v>medium</x:v>
      </x:c>
      <x:c r="V901" s="15" t="str">
        <x:v>womens_beach_footwear</x:v>
      </x:c>
      <x:c r="W901" s="15" t="str">
        <x:v>cluster_route</x:v>
      </x:c>
      <x:c r="X901" s="15" t="str">
        <x:v>{"product_type":[{"value":"beach_shoe","evidence_type":"explicit","source_span":"beach shoes","fact_ids":[],"rationale":"术语指定沙滩鞋品类，人字拖属于沙滩鞋"}],"audience_intent":[{"value":"women","evidence_type":"explicit","source_span":"women","fact_ids":[],"rationale":"明确指定女性受众"},{"value":"women","evidence_type":"page_validated","source_span":"","fact_ids":["title_womens_flip_flop"],"rationale":"该槽位与商品基准中的明示页面事实一致。"}],"location_intent":[{"value":"beach","evidence_type":"explicit","source_span":"beach","fact_ids":[],"rationale":"明确指定沙滩使用场景"}],"capability_intent":[{"value":"water_compatible","evidence_type":"inferred","source_span":"beach","fact_ids":[],"rationale":"沙滩场景暗示涉水，EVA材质易清洁防滑适合"}],"primary_domain":[{"value":"clothing_shoes_jewelry","evidence_type":"inferred","source_span":"","fact_ids":[],"rationale":"该值由搜索词整体语义推断，未作为页面明示属性。"}]}</x:v>
      </x:c>
      <x:c r="Y901" s="15" t="str">
        <x:v>broad_product_class</x:v>
      </x:c>
      <x:c r="Z901" s="10" t="str">
        <x:v>partial_match</x:v>
      </x:c>
      <x:c r="AA901" s="15" t="str">
        <x:v>title_womens_flip_flop | style_outdoor | material_eva | easy_clean</x:v>
      </x:c>
      <x:c r="AB901" s="10" t="str">
        <x:v>accepted</x:v>
      </x:c>
      <x:c r="AC901" s="10" t="str">
        <x:v>1.0.0</x:v>
      </x:c>
      <x:c r="AD901" s="10" t="str">
        <x:v>1.1.0</x:v>
      </x:c>
      <x:c r="AE901" s="10" t="str">
        <x:v>deepseek/deepseek-v4-pro</x:v>
      </x:c>
      <x:c r="AF901" s="10" t="str">
        <x:v>aj2-y90-20260714T234810-0bea2f52</x:v>
      </x:c>
      <x:c r="AG901" s="10" t="str">
        <x:v>full-0045</x:v>
      </x:c>
      <x:c r="AH901" s="10" t="str">
        <x:v>full</x:v>
      </x:c>
      <x:c r="AI901" s="10" t="n">
        <x:v>45</x:v>
      </x:c>
    </x:row>
    <x:row r="902" ht="34" customHeight="1">
      <x:c r="A902" s="16" t="str">
        <x:v>womens black flip flops thick plastic strap</x:v>
      </x:c>
      <x:c r="B902" s="16" t="str">
        <x:v>womens black flip flops thick plastic strap</x:v>
      </x:c>
      <x:c r="C902" s="13" t="str">
        <x:v>146aec75419a64fd</x:v>
      </x:c>
      <x:c r="D902" s="13" t="str">
        <x:v>keyword</x:v>
      </x:c>
      <x:c r="E902" s="13" t="str">
        <x:v>en</x:v>
      </x:c>
      <x:c r="F902" s="13" t="str">
        <x:v>clothing_shoes_jewelry</x:v>
      </x:c>
      <x:c r="G902" s="16" t="str"/>
      <x:c r="H902" s="16" t="str">
        <x:v>flip_flops</x:v>
      </x:c>
      <x:c r="I902" s="16" t="str">
        <x:v>women</x:v>
      </x:c>
      <x:c r="J902" s="16" t="str">
        <x:v>style | durability</x:v>
      </x:c>
      <x:c r="K902" s="16" t="str">
        <x:v>color_black | thick_strap</x:v>
      </x:c>
      <x:c r="L902" s="16" t="str"/>
      <x:c r="M902" s="16" t="str"/>
      <x:c r="N902" s="16" t="str"/>
      <x:c r="O902" s="16" t="str"/>
      <x:c r="P902" s="16" t="str"/>
      <x:c r="Q902" s="16" t="str"/>
      <x:c r="R902" s="16" t="str">
        <x:v>女性用户需要一双黑色厚塑料带的人字拖，偏好较粗犷结实的鞋带设计而非细带。</x:v>
      </x:c>
      <x:c r="S902" s="13" t="str">
        <x:v>consideration</x:v>
      </x:c>
      <x:c r="T902" s="16" t="str">
        <x:v>explicit | page_validated | inferred</x:v>
      </x:c>
      <x:c r="U902" s="13" t="str">
        <x:v>medium</x:v>
      </x:c>
      <x:c r="V902" s="16" t="str">
        <x:v>womens_black_thick_strap_flip_flops</x:v>
      </x:c>
      <x:c r="W902" s="16" t="str">
        <x:v>listing_gap_review</x:v>
      </x:c>
      <x:c r="X902" s="16" t="str">
        <x:v>{"product_type":[{"value":"flip_flops","evidence_type":"explicit","source_span":"flip flops","fact_ids":[],"rationale":""},{"value":"flip_flops","evidence_type":"page_validated","source_span":"","fact_ids":["style_flip_flop"],"rationale":"该槽位与商品基准中的明示页面事实一致。"}],"audience_intent":[{"value":"women","evidence_type":"explicit","source_span":"womens","fact_ids":[],"rationale":""},{"value":"women","evidence_type":"page_validated","source_span":"","fact_ids":["title_womens_flip_flop"],"rationale":"该槽位与商品基准中的明示页面事实一致。"}],"capability_intent":[{"value":"color_black","evidence_type":"explicit","source_span":"black","fact_ids":[],"rationale":""},{"value":"thick_strap","evidence_type":"explicit","source_span":"thick plastic strap","fact_ids":[],"rationale":""}],"material":[{"value":"plastic","evidence_type":"explicit","source_span":"plastic","fact_ids":[],"rationale":""}],"color":[{"value":"black","evidence_type":"explicit","source_span":"black","fact_ids":[],"rationale":"该颜色在商品页面可见颜色选择中得到明确支持。"}],"function_intent":[{"value":"style","evidence_type":"inferred","source_span":"","fact_ids":[],"rationale":"该值由搜索词整体语义推断，未作为页面明示属性。"},{"value":"durability","evidence_type":"inferred","source_span":"","fact_ids":[],"rationale":"该值由搜索词整体语义推断，未作为页面明示属性。"}],"primary_domain":[{"value":"clothing_shoes_jewelry","evidence_type":"inferred","source_span":"","fact_ids":[],"rationale":"该值由搜索词整体语义推断，未作为页面明示属性。"}]}</x:v>
      </x:c>
      <x:c r="Y902" s="16" t="str"/>
      <x:c r="Z902" s="13" t="str">
        <x:v>partial_match</x:v>
      </x:c>
      <x:c r="AA902" s="16" t="str">
        <x:v>title_womens_flip_flop | style_flip_flop | colors_visible | style_thong | soft_toe_post | material_eva</x:v>
      </x:c>
      <x:c r="AB902" s="13" t="str">
        <x:v>accepted</x:v>
      </x:c>
      <x:c r="AC902" s="13" t="str">
        <x:v>1.0.0</x:v>
      </x:c>
      <x:c r="AD902" s="13" t="str">
        <x:v>1.0.0</x:v>
      </x:c>
      <x:c r="AE902" s="13" t="str">
        <x:v>deepseek/deepseek-v4-pro</x:v>
      </x:c>
      <x:c r="AF902" s="13" t="str">
        <x:v>aj2-y90-20260714T234810-0bea2f52</x:v>
      </x:c>
      <x:c r="AG902" s="13" t="str">
        <x:v>full-0046</x:v>
      </x:c>
      <x:c r="AH902" s="13" t="str">
        <x:v>full</x:v>
      </x:c>
      <x:c r="AI902" s="13" t="n">
        <x:v>46</x:v>
      </x:c>
    </x:row>
    <x:row r="903" ht="34" customHeight="1">
      <x:c r="A903" s="15" t="str">
        <x:v>arch support flip flops for women 9.5</x:v>
      </x:c>
      <x:c r="B903" s="15" t="str">
        <x:v>arch support flip flops for women 9.5</x:v>
      </x:c>
      <x:c r="C903" s="10" t="str">
        <x:v>26a62cc3a1618957</x:v>
      </x:c>
      <x:c r="D903" s="10" t="str">
        <x:v>keyword</x:v>
      </x:c>
      <x:c r="E903" s="10" t="str">
        <x:v>en</x:v>
      </x:c>
      <x:c r="F903" s="10" t="str">
        <x:v>clothing_shoes_jewelry</x:v>
      </x:c>
      <x:c r="G903" s="15" t="str"/>
      <x:c r="H903" s="15" t="str">
        <x:v>flip_flops | sandals</x:v>
      </x:c>
      <x:c r="I903" s="15" t="str">
        <x:v>women</x:v>
      </x:c>
      <x:c r="J903" s="15" t="str">
        <x:v>arch_support | all_day_comfort</x:v>
      </x:c>
      <x:c r="K903" s="15" t="str">
        <x:v>arch_support</x:v>
      </x:c>
      <x:c r="L903" s="15" t="str"/>
      <x:c r="M903" s="15" t="str"/>
      <x:c r="N903" s="15" t="str">
        <x:v>arch_support | foot_fatigue</x:v>
      </x:c>
      <x:c r="O903" s="15" t="str"/>
      <x:c r="P903" s="15" t="str"/>
      <x:c r="Q903" s="15" t="str"/>
      <x:c r="R903" s="15" t="str">
        <x:v>一位女性用户需要一双9.5码且具有足弓支撑功能的女士人字拖，用于缓解足部疲劳并提供全天舒适穿着。</x:v>
      </x:c>
      <x:c r="S903" s="10" t="str">
        <x:v>high_intent</x:v>
      </x:c>
      <x:c r="T903" s="15" t="str">
        <x:v>explicit | page_validated</x:v>
      </x:c>
      <x:c r="U903" s="10" t="str">
        <x:v>high</x:v>
      </x:c>
      <x:c r="V903" s="15" t="str">
        <x:v>womens_arch_support_flip_flops_sized</x:v>
      </x:c>
      <x:c r="W903" s="15" t="str">
        <x:v>cluster_route</x:v>
      </x:c>
      <x:c r="X903" s="15" t="str">
        <x:v>{"product_type":[{"value":"flip_flops","evidence_type":"explicit","source_span":"flip flops","fact_ids":[],"rationale":""},{"value":"sandals","evidence_type":"inferred","source_span":"flip flops","fact_ids":[],"rationale":"人字拖属于凉鞋大类"},{"value":"flip_flops","evidence_type":"page_validated","source_span":"","fact_ids":["style_flip_flop"],"rationale":"该槽位与商品基准中的明示页面事实一致。"},{"value":"sandals","evidence_type":"page_validated","source_span":"","fact_ids":["title_womens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function_intent":[{"value":"all_day_comfort","evidence_type":"page_validated","source_span":"","fact_ids":["arch_support"],"rationale":"all-day comfort stated on page"}],"capability_intent":[{"value":"arch_support","evidence_type":"explicit","source_span":"arch support","fact_ids":[],"rationale":""},{"value":"arch_support","evidence_type":"page_validated","source_span":"","fact_ids":["arch_support"],"rationale":"该槽位与商品基准中的明示页面事实一致。"}],"body_need_intent":[{"value":"foot_fatigue","evidence_type":"inferred","source_span":"arch support","fact_ids":[],"rationale":"足弓支撑常用于缓解足部疲劳"}],"size":[{"value":"9.5","evidence_type":"explicit","source_span":"9.5","fact_ids":[],"rationale":""}],"primary_domain":[{"value":"clothing_shoes_jewelry","evidence_type":"inferred","source_span":"","fact_ids":[],"rationale":"该值由搜索词整体语义推断，未作为页面明示属性。"}]}</x:v>
      </x:c>
      <x:c r="Y903" s="15" t="str"/>
      <x:c r="Z903" s="10" t="str">
        <x:v>match</x:v>
      </x:c>
      <x:c r="AA903" s="15" t="str">
        <x:v>title_womens_flip_flop | arch_support | style_flip_flop | sizes_6_11</x:v>
      </x:c>
      <x:c r="AB903" s="10" t="str">
        <x:v>accepted</x:v>
      </x:c>
      <x:c r="AC903" s="10" t="str">
        <x:v>1.0.0</x:v>
      </x:c>
      <x:c r="AD903" s="10" t="str">
        <x:v>1.0.0</x:v>
      </x:c>
      <x:c r="AE903" s="10" t="str">
        <x:v>deepseek/deepseek-v4-pro</x:v>
      </x:c>
      <x:c r="AF903" s="10" t="str">
        <x:v>aj2-y90-20260714T234810-0bea2f52</x:v>
      </x:c>
      <x:c r="AG903" s="10" t="str">
        <x:v>full-0046</x:v>
      </x:c>
      <x:c r="AH903" s="10" t="str">
        <x:v>full</x:v>
      </x:c>
      <x:c r="AI903" s="10" t="n">
        <x:v>46</x:v>
      </x:c>
    </x:row>
    <x:row r="904" ht="34" customHeight="1">
      <x:c r="A904" s="16" t="str">
        <x:v>black flip flops with arch support</x:v>
      </x:c>
      <x:c r="B904" s="16" t="str">
        <x:v>black flip flops with arch support</x:v>
      </x:c>
      <x:c r="C904" s="13" t="str">
        <x:v>34010722c5de7683</x:v>
      </x:c>
      <x:c r="D904" s="13" t="str">
        <x:v>keyword</x:v>
      </x:c>
      <x:c r="E904" s="13" t="str">
        <x:v>en</x:v>
      </x:c>
      <x:c r="F904" s="13" t="str">
        <x:v>clothing_shoes_jewelry</x:v>
      </x:c>
      <x:c r="G904" s="16" t="str"/>
      <x:c r="H904" s="16" t="str">
        <x:v>flip_flops</x:v>
      </x:c>
      <x:c r="I904" s="16" t="str"/>
      <x:c r="J904" s="16" t="str">
        <x:v>arch_support</x:v>
      </x:c>
      <x:c r="K904" s="16" t="str">
        <x:v>arch_support | color_black</x:v>
      </x:c>
      <x:c r="L904" s="16" t="str"/>
      <x:c r="M904" s="16" t="str"/>
      <x:c r="N904" s="16" t="str">
        <x:v>arch_support | foot_fatigue</x:v>
      </x:c>
      <x:c r="O904" s="16" t="str"/>
      <x:c r="P904" s="16" t="str"/>
      <x:c r="Q904" s="16" t="str"/>
      <x:c r="R904" s="16" t="str">
        <x:v>用户需要一双黑色且带有足弓支撑功能的人字拖，同时满足足部健康和颜色偏好。</x:v>
      </x:c>
      <x:c r="S904" s="13" t="str">
        <x:v>high_intent</x:v>
      </x:c>
      <x:c r="T904" s="16" t="str">
        <x:v>explicit | page_validated</x:v>
      </x:c>
      <x:c r="U904" s="13" t="str">
        <x:v>high</x:v>
      </x:c>
      <x:c r="V904" s="16" t="str">
        <x:v>black_arch_support_flip_flops</x:v>
      </x:c>
      <x:c r="W904" s="16" t="str">
        <x:v>cluster_route</x:v>
      </x:c>
      <x:c r="X904" s="16" t="str">
        <x:v>{"product_type":[{"value":"flip_flops","evidence_type":"explicit","source_span":"flip flops","fact_ids":[],"rationale":""},{"value":"flip_flops","evidence_type":"page_validated","source_span":"","fact_ids":["style_flip_flop"],"rationale":"该槽位与商品基准中的明示页面事实一致。"}],"capability_intent":[{"value":"arch_support","evidence_type":"explicit","source_span":"arch support","fact_ids":[],"rationale":""},{"value":"color_black","evidence_type":"explicit","source_span":"black","fact_ids":[],"rationale":""},{"value":"arch_support","evidence_type":"page_validated","source_span":"","fact_ids":["arch_support"],"rationale":"该槽位与商品基准中的明示页面事实一致。"}],"body_need_intent":[{"value":"foot_fatigue","evidence_type":"inferred","source_span":"arch support","fact_ids":[],"rationale":"足弓支撑可缓解疲劳"}],"color":[{"value":"black","evidence_type":"explicit","source_span":"black","fact_ids":[],"rationale":"该颜色在商品页面可见颜色选择中得到明确支持。"}],"primary_domain":[{"value":"clothing_shoes_jewelry","evidence_type":"inferred","source_span":"","fact_ids":[],"rationale":"该值由搜索词整体语义推断，未作为页面明示属性。"}]}</x:v>
      </x:c>
      <x:c r="Y904" s="16" t="str"/>
      <x:c r="Z904" s="13" t="str">
        <x:v>match</x:v>
      </x:c>
      <x:c r="AA904" s="16" t="str">
        <x:v>style_flip_flop | arch_support | colors_visible</x:v>
      </x:c>
      <x:c r="AB904" s="13" t="str">
        <x:v>accepted</x:v>
      </x:c>
      <x:c r="AC904" s="13" t="str">
        <x:v>1.0.0</x:v>
      </x:c>
      <x:c r="AD904" s="13" t="str">
        <x:v>1.0.0</x:v>
      </x:c>
      <x:c r="AE904" s="13" t="str">
        <x:v>deepseek/deepseek-v4-pro</x:v>
      </x:c>
      <x:c r="AF904" s="13" t="str">
        <x:v>aj2-y90-20260714T234810-0bea2f52</x:v>
      </x:c>
      <x:c r="AG904" s="13" t="str">
        <x:v>full-0046</x:v>
      </x:c>
      <x:c r="AH904" s="13" t="str">
        <x:v>full</x:v>
      </x:c>
      <x:c r="AI904" s="13" t="n">
        <x:v>46</x:v>
      </x:c>
    </x:row>
    <x:row r="905" ht="34" customHeight="1">
      <x:c r="A905" s="15" t="str">
        <x:v>black fashion flip flops</x:v>
      </x:c>
      <x:c r="B905" s="15" t="str">
        <x:v>black fashion flip flops</x:v>
      </x:c>
      <x:c r="C905" s="10" t="str">
        <x:v>45b242429c3fa532</x:v>
      </x:c>
      <x:c r="D905" s="10" t="str">
        <x:v>keyword</x:v>
      </x:c>
      <x:c r="E905" s="10" t="str">
        <x:v>en</x:v>
      </x:c>
      <x:c r="F905" s="10" t="str">
        <x:v>clothing_shoes_jewelry</x:v>
      </x:c>
      <x:c r="G905" s="15" t="str"/>
      <x:c r="H905" s="15" t="str">
        <x:v>flip_flops</x:v>
      </x:c>
      <x:c r="I905" s="15" t="str"/>
      <x:c r="J905" s="15" t="str">
        <x:v>fashion | style</x:v>
      </x:c>
      <x:c r="K905" s="15" t="str">
        <x:v>color_black</x:v>
      </x:c>
      <x:c r="L905" s="15" t="str"/>
      <x:c r="M905" s="15" t="str"/>
      <x:c r="N905" s="15" t="str"/>
      <x:c r="O905" s="15" t="str"/>
      <x:c r="P905" s="15" t="str"/>
      <x:c r="Q905" s="15" t="str"/>
      <x:c r="R905" s="15" t="str">
        <x:v>用户需要一双黑色时尚款人字拖，用于日常穿搭和外观搭配。</x:v>
      </x:c>
      <x:c r="S905" s="10" t="str">
        <x:v>consideration</x:v>
      </x:c>
      <x:c r="T905" s="15" t="str">
        <x:v>explicit | page_validated | inferred</x:v>
      </x:c>
      <x:c r="U905" s="10" t="str">
        <x:v>medium</x:v>
      </x:c>
      <x:c r="V905" s="15" t="str">
        <x:v>black_fashion_flip_flops</x:v>
      </x:c>
      <x:c r="W905" s="15" t="str">
        <x:v>listing_gap_review</x:v>
      </x:c>
      <x:c r="X905" s="15" t="str">
        <x:v>{"product_type":[{"value":"flip_flops","evidence_type":"explicit","source_span":"flip flops","fact_ids":[],"rationale":""},{"value":"flip_flops","evidence_type":"page_validated","source_span":"","fact_ids":["style_flip_flop"],"rationale":"该槽位与商品基准中的明示页面事实一致。"}],"function_intent":[{"value":"fashion","evidence_type":"explicit","source_span":"fashion","fact_ids":[],"rationale":""},{"value":"style","evidence_type":"inferred","source_span":"fashion","fact_ids":[],"rationale":"fashion等同于style诉求"}],"capability_intent":[{"value":"color_black","evidence_type":"explicit","source_span":"black","fact_ids":[],"rationale":""}],"color":[{"value":"black","evidence_type":"explicit","source_span":"black","fact_ids":[],"rationale":"该颜色在商品页面可见颜色选择中得到明确支持。"}],"primary_domain":[{"value":"clothing_shoes_jewelry","evidence_type":"inferred","source_span":"","fact_ids":[],"rationale":"该值由搜索词整体语义推断，未作为页面明示属性。"}]}</x:v>
      </x:c>
      <x:c r="Y905" s="15" t="str"/>
      <x:c r="Z905" s="10" t="str">
        <x:v>partial_match</x:v>
      </x:c>
      <x:c r="AA905" s="15" t="str">
        <x:v>style_flip_flop | colors_visible</x:v>
      </x:c>
      <x:c r="AB905" s="10" t="str">
        <x:v>accepted</x:v>
      </x:c>
      <x:c r="AC905" s="10" t="str">
        <x:v>1.0.0</x:v>
      </x:c>
      <x:c r="AD905" s="10" t="str">
        <x:v>1.0.0</x:v>
      </x:c>
      <x:c r="AE905" s="10" t="str">
        <x:v>deepseek/deepseek-v4-pro</x:v>
      </x:c>
      <x:c r="AF905" s="10" t="str">
        <x:v>aj2-y90-20260714T234810-0bea2f52</x:v>
      </x:c>
      <x:c r="AG905" s="10" t="str">
        <x:v>full-0046</x:v>
      </x:c>
      <x:c r="AH905" s="10" t="str">
        <x:v>full</x:v>
      </x:c>
      <x:c r="AI905" s="10" t="n">
        <x:v>46</x:v>
      </x:c>
    </x:row>
    <x:row r="906" ht="34" customHeight="1">
      <x:c r="A906" s="16" t="str">
        <x:v>chunky black rubber flip flops</x:v>
      </x:c>
      <x:c r="B906" s="16" t="str">
        <x:v>chunky black rubber flip flops</x:v>
      </x:c>
      <x:c r="C906" s="13" t="str">
        <x:v>57cd0405d9413aa4</x:v>
      </x:c>
      <x:c r="D906" s="13" t="str">
        <x:v>keyword</x:v>
      </x:c>
      <x:c r="E906" s="13" t="str">
        <x:v>en</x:v>
      </x:c>
      <x:c r="F906" s="13" t="str">
        <x:v>clothing_shoes_jewelry</x:v>
      </x:c>
      <x:c r="G906" s="16" t="str"/>
      <x:c r="H906" s="16" t="str">
        <x:v>flip_flops</x:v>
      </x:c>
      <x:c r="I906" s="16" t="str"/>
      <x:c r="J906" s="16" t="str">
        <x:v>fashion_style | bulky_look</x:v>
      </x:c>
      <x:c r="K906" s="16" t="str">
        <x:v>chunky_sole | color_black</x:v>
      </x:c>
      <x:c r="L906" s="16" t="str"/>
      <x:c r="M906" s="16" t="str"/>
      <x:c r="N906" s="16" t="str"/>
      <x:c r="O906" s="16" t="str"/>
      <x:c r="P906" s="16" t="str"/>
      <x:c r="Q906" s="16" t="str"/>
      <x:c r="R906" s="16" t="str">
        <x:v>用户需要一双厚底黑色橡胶材质的人字拖，强调粗犷厚重的时尚外观。</x:v>
      </x:c>
      <x:c r="S906" s="13" t="str">
        <x:v>consideration</x:v>
      </x:c>
      <x:c r="T906" s="16" t="str">
        <x:v>explicit | page_validated | inferred</x:v>
      </x:c>
      <x:c r="U906" s="13" t="str">
        <x:v>medium</x:v>
      </x:c>
      <x:c r="V906" s="16" t="str">
        <x:v>chunky_black_flip_flops</x:v>
      </x:c>
      <x:c r="W906" s="16" t="str">
        <x:v>semantic_negative_candidate</x:v>
      </x:c>
      <x:c r="X906" s="16" t="str">
        <x:v>{"product_type":[{"value":"flip_flops","evidence_type":"explicit","source_span":"flip flops","fact_ids":[],"rationale":""},{"value":"flip_flops","evidence_type":"page_validated","source_span":"","fact_ids":["style_flip_flop"],"rationale":"该槽位与商品基准中的明示页面事实一致。"}],"function_intent":[{"value":"fashion_style","evidence_type":"inferred","source_span":"chunky","fact_ids":[],"rationale":"chunky为时尚风格表述"},{"value":"bulky_look","evidence_type":"inferred","source_span":"chunky","fact_ids":[],"rationale":"chunky指厚底粗犷外观"}],"capability_intent":[{"value":"chunky_sole","evidence_type":"explicit","source_span":"chunky","fact_ids":[],"rationale":""},{"value":"color_black","evidence_type":"explicit","source_span":"black","fact_ids":[],"rationale":""}],"material":[{"value":"rubber","evidence_type":"explicit","source_span":"rubber","fact_ids":[],"rationale":""}],"primary_domain":[{"value":"clothing_shoes_jewelry","evidence_type":"inferred","source_span":"","fact_ids":[],"rationale":"该值由搜索词整体语义推断，未作为页面明示属性。"}]}</x:v>
      </x:c>
      <x:c r="Y906" s="16" t="str"/>
      <x:c r="Z906" s="13" t="str">
        <x:v>mismatch</x:v>
      </x:c>
      <x:c r="AA906" s="16" t="str">
        <x:v>material_eva | style_flat</x:v>
      </x:c>
      <x:c r="AB906" s="13" t="str">
        <x:v>accepted</x:v>
      </x:c>
      <x:c r="AC906" s="13" t="str">
        <x:v>1.0.0</x:v>
      </x:c>
      <x:c r="AD906" s="13" t="str">
        <x:v>1.0.0</x:v>
      </x:c>
      <x:c r="AE906" s="13" t="str">
        <x:v>deepseek/deepseek-v4-pro</x:v>
      </x:c>
      <x:c r="AF906" s="13" t="str">
        <x:v>aj2-y90-20260714T234810-0bea2f52</x:v>
      </x:c>
      <x:c r="AG906" s="13" t="str">
        <x:v>full-0046</x:v>
      </x:c>
      <x:c r="AH906" s="13" t="str">
        <x:v>full</x:v>
      </x:c>
      <x:c r="AI906" s="13" t="n">
        <x:v>46</x:v>
      </x:c>
    </x:row>
    <x:row r="907" ht="34" customHeight="1">
      <x:c r="A907" s="15" t="str">
        <x:v>flip flop slipper woman</x:v>
      </x:c>
      <x:c r="B907" s="15" t="str">
        <x:v>flip flop slipper woman</x:v>
      </x:c>
      <x:c r="C907" s="10" t="str">
        <x:v>61a48b8c3f9660b7</x:v>
      </x:c>
      <x:c r="D907" s="10" t="str">
        <x:v>keyword</x:v>
      </x:c>
      <x:c r="E907" s="10" t="str">
        <x:v>en</x:v>
      </x:c>
      <x:c r="F907" s="10" t="str">
        <x:v>clothing_shoes_jewelry</x:v>
      </x:c>
      <x:c r="G907" s="15" t="str"/>
      <x:c r="H907" s="15" t="str">
        <x:v>flip_flops | slippers</x:v>
      </x:c>
      <x:c r="I907" s="15" t="str">
        <x:v>women</x:v>
      </x:c>
      <x:c r="J907" s="15" t="str">
        <x:v>comfort | casual_wear</x:v>
      </x:c>
      <x:c r="K907" s="15" t="str"/>
      <x:c r="L907" s="15" t="str"/>
      <x:c r="M907" s="15" t="str"/>
      <x:c r="N907" s="15" t="str"/>
      <x:c r="O907" s="15" t="str"/>
      <x:c r="P907" s="15" t="str"/>
      <x:c r="Q907" s="15" t="str"/>
      <x:c r="R907" s="15" t="str">
        <x:v>用户需要一双女士人字拖或拖鞋，用于日常休闲穿着。</x:v>
      </x:c>
      <x:c r="S907" s="10" t="str">
        <x:v>exploration</x:v>
      </x:c>
      <x:c r="T907" s="15" t="str">
        <x:v>explicit | page_validated</x:v>
      </x:c>
      <x:c r="U907" s="10" t="str">
        <x:v>high</x:v>
      </x:c>
      <x:c r="V907" s="15" t="str">
        <x:v>womens_flip_flop_slippers</x:v>
      </x:c>
      <x:c r="W907" s="15" t="str">
        <x:v>cluster_route</x:v>
      </x:c>
      <x:c r="X907" s="15" t="str">
        <x:v>{"product_type":[{"value":"flip_flops","evidence_type":"explicit","source_span":"flip flop","fact_ids":[],"rationale":""},{"value":"slippers","evidence_type":"explicit","source_span":"slipper","fact_ids":[],"rationale":""},{"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audience_intent":[{"value":"women","evidence_type":"explicit","source_span":"woman","fact_ids":[],"rationale":""},{"value":"women","evidence_type":"page_validated","source_span":"","fact_ids":["title_womens_flip_flop"],"rationale":"该槽位与商品基准中的明示页面事实一致。"},{"value":"women","evidence_type":"inferred","source_span":"","fact_ids":[],"rationale":"该能力由搜索词表达的任务或问题推断；页面事实仅用于验证商品承接。"}],"function_intent":[{"value":"comfort","evidence_type":"page_validated","source_span":"","fact_ids":["arch_support","padded_cushioning"],"rationale":"该槽位与商品基准中的明示页面事实一致。"},{"value":"comfort","evidence_type":"inferred","source_span":"","fact_ids":[],"rationale":"该能力由搜索词表达的任务或问题推断；页面事实仅用于验证商品承接。"},{"value":"casual_wear","evidence_type":"inferred","source_span":"","fact_ids":[],"rationale":"该值由搜索词整体语义推断，未作为页面明示属性。"}],"primary_domain":[{"value":"clothing_shoes_jewelry","evidence_type":"inferred","source_span":"","fact_ids":[],"rationale":"该值由搜索词整体语义推断，未作为页面明示属性。"}]}</x:v>
      </x:c>
      <x:c r="Y907" s="15" t="str"/>
      <x:c r="Z907" s="10" t="str">
        <x:v>match</x:v>
      </x:c>
      <x:c r="AA907" s="15" t="str">
        <x:v>title_womens_flip_flop | style_flip_flop</x:v>
      </x:c>
      <x:c r="AB907" s="10" t="str">
        <x:v>accepted</x:v>
      </x:c>
      <x:c r="AC907" s="10" t="str">
        <x:v>1.0.0</x:v>
      </x:c>
      <x:c r="AD907" s="10" t="str">
        <x:v>1.0.0</x:v>
      </x:c>
      <x:c r="AE907" s="10" t="str">
        <x:v>deepseek/deepseek-v4-pro</x:v>
      </x:c>
      <x:c r="AF907" s="10" t="str">
        <x:v>aj2-y90-20260714T234810-0bea2f52</x:v>
      </x:c>
      <x:c r="AG907" s="10" t="str">
        <x:v>full-0046</x:v>
      </x:c>
      <x:c r="AH907" s="10" t="str">
        <x:v>full</x:v>
      </x:c>
      <x:c r="AI907" s="10" t="n">
        <x:v>46</x:v>
      </x:c>
    </x:row>
    <x:row r="908" ht="34" customHeight="1">
      <x:c r="A908" s="16" t="str">
        <x:v>basic flip flops for women</x:v>
      </x:c>
      <x:c r="B908" s="16" t="str">
        <x:v>basic flip flops for women</x:v>
      </x:c>
      <x:c r="C908" s="13" t="str">
        <x:v>6e8208b4824d8bd6</x:v>
      </x:c>
      <x:c r="D908" s="13" t="str">
        <x:v>keyword</x:v>
      </x:c>
      <x:c r="E908" s="13" t="str">
        <x:v>en</x:v>
      </x:c>
      <x:c r="F908" s="13" t="str">
        <x:v>clothing_shoes_jewelry</x:v>
      </x:c>
      <x:c r="G908" s="16" t="str"/>
      <x:c r="H908" s="16" t="str">
        <x:v>flip_flops</x:v>
      </x:c>
      <x:c r="I908" s="16" t="str">
        <x:v>women</x:v>
      </x:c>
      <x:c r="J908" s="16" t="str">
        <x:v>basic_casual_use</x:v>
      </x:c>
      <x:c r="K908" s="16" t="str"/>
      <x:c r="L908" s="16" t="str"/>
      <x:c r="M908" s="16" t="str"/>
      <x:c r="N908" s="16" t="str"/>
      <x:c r="O908" s="16" t="str"/>
      <x:c r="P908" s="16" t="str"/>
      <x:c r="Q908" s="16" t="str"/>
      <x:c r="R908" s="16" t="str">
        <x:v>一位女性用户需要一双基础款人字拖，用于日常简单穿着。</x:v>
      </x:c>
      <x:c r="S908" s="13" t="str">
        <x:v>exploration</x:v>
      </x:c>
      <x:c r="T908" s="16" t="str">
        <x:v>explicit | page_validated</x:v>
      </x:c>
      <x:c r="U908" s="13" t="str">
        <x:v>high</x:v>
      </x:c>
      <x:c r="V908" s="16" t="str">
        <x:v>basic_womens_flip_flops</x:v>
      </x:c>
      <x:c r="W908" s="16" t="str">
        <x:v>cluster_route</x:v>
      </x:c>
      <x:c r="X908" s="16" t="str">
        <x:v>{"product_type":[{"value":"flip_flops","evidence_type":"explicit","source_span":"flip flops","fact_ids":[],"rationale":""},{"value":"flip_flops","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function_intent":[{"value":"basic_casual_use","evidence_type":"explicit","source_span":"basic","fact_ids":[],"rationale":""}],"primary_domain":[{"value":"clothing_shoes_jewelry","evidence_type":"inferred","source_span":"","fact_ids":[],"rationale":"该值由搜索词整体语义推断，未作为页面明示属性。"}]}</x:v>
      </x:c>
      <x:c r="Y908" s="16" t="str"/>
      <x:c r="Z908" s="13" t="str">
        <x:v>match</x:v>
      </x:c>
      <x:c r="AA908" s="16" t="str">
        <x:v>title_womens_flip_flop | style_flip_flop</x:v>
      </x:c>
      <x:c r="AB908" s="13" t="str">
        <x:v>accepted</x:v>
      </x:c>
      <x:c r="AC908" s="13" t="str">
        <x:v>1.0.0</x:v>
      </x:c>
      <x:c r="AD908" s="13" t="str">
        <x:v>1.0.0</x:v>
      </x:c>
      <x:c r="AE908" s="13" t="str">
        <x:v>deepseek/deepseek-v4-pro</x:v>
      </x:c>
      <x:c r="AF908" s="13" t="str">
        <x:v>aj2-y90-20260714T234810-0bea2f52</x:v>
      </x:c>
      <x:c r="AG908" s="13" t="str">
        <x:v>full-0046</x:v>
      </x:c>
      <x:c r="AH908" s="13" t="str">
        <x:v>full</x:v>
      </x:c>
      <x:c r="AI908" s="13" t="n">
        <x:v>46</x:v>
      </x:c>
    </x:row>
    <x:row r="909" ht="34" customHeight="1">
      <x:c r="A909" s="15" t="str">
        <x:v>arch flipflops</x:v>
      </x:c>
      <x:c r="B909" s="15" t="str">
        <x:v>arch flipflops</x:v>
      </x:c>
      <x:c r="C909" s="10" t="str">
        <x:v>784787c0f052f3a0</x:v>
      </x:c>
      <x:c r="D909" s="10" t="str">
        <x:v>keyword</x:v>
      </x:c>
      <x:c r="E909" s="10" t="str">
        <x:v>en</x:v>
      </x:c>
      <x:c r="F909" s="10" t="str">
        <x:v>clothing_shoes_jewelry</x:v>
      </x:c>
      <x:c r="G909" s="15" t="str"/>
      <x:c r="H909" s="15" t="str">
        <x:v>flip_flops</x:v>
      </x:c>
      <x:c r="I909" s="15" t="str"/>
      <x:c r="J909" s="15" t="str">
        <x:v>arch_support</x:v>
      </x:c>
      <x:c r="K909" s="15" t="str">
        <x:v>arch_support</x:v>
      </x:c>
      <x:c r="L909" s="15" t="str"/>
      <x:c r="M909" s="15" t="str"/>
      <x:c r="N909" s="15" t="str">
        <x:v>arch_support</x:v>
      </x:c>
      <x:c r="O909" s="15" t="str"/>
      <x:c r="P909" s="15" t="str"/>
      <x:c r="Q909" s="15" t="str"/>
      <x:c r="R909" s="15" t="str">
        <x:v>用户需要具有足弓支撑功能的人字拖，关注足部健康和穿着舒适度。</x:v>
      </x:c>
      <x:c r="S909" s="10" t="str">
        <x:v>consideration</x:v>
      </x:c>
      <x:c r="T909" s="15" t="str">
        <x:v>explicit | page_validated</x:v>
      </x:c>
      <x:c r="U909" s="10" t="str">
        <x:v>high</x:v>
      </x:c>
      <x:c r="V909" s="15" t="str">
        <x:v>arch_support_flip_flops</x:v>
      </x:c>
      <x:c r="W909" s="15" t="str">
        <x:v>cluster_route</x:v>
      </x:c>
      <x:c r="X909" s="15" t="str">
        <x:v>{"product_type":[{"value":"flip_flops","evidence_type":"explicit","source_span":"flipflops","fact_ids":[],"rationale":""},{"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capability_intent":[{"value":"arch_support","evidence_type":"explicit","source_span":"arch","fact_ids":[],"rationale":""},{"value":"arch_support","evidence_type":"page_validated","source_span":"","fact_ids":["arch_support"],"rationale":"该槽位与商品基准中的明示页面事实一致。"},{"value":"arch_suppor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909" s="15" t="str"/>
      <x:c r="Z909" s="10" t="str">
        <x:v>match</x:v>
      </x:c>
      <x:c r="AA909" s="15" t="str">
        <x:v>arch_support | style_flip_flop</x:v>
      </x:c>
      <x:c r="AB909" s="10" t="str">
        <x:v>accepted</x:v>
      </x:c>
      <x:c r="AC909" s="10" t="str">
        <x:v>1.0.0</x:v>
      </x:c>
      <x:c r="AD909" s="10" t="str">
        <x:v>1.0.0</x:v>
      </x:c>
      <x:c r="AE909" s="10" t="str">
        <x:v>deepseek/deepseek-v4-pro</x:v>
      </x:c>
      <x:c r="AF909" s="10" t="str">
        <x:v>aj2-y90-20260714T234810-0bea2f52</x:v>
      </x:c>
      <x:c r="AG909" s="10" t="str">
        <x:v>full-0046</x:v>
      </x:c>
      <x:c r="AH909" s="10" t="str">
        <x:v>full</x:v>
      </x:c>
      <x:c r="AI909" s="10" t="n">
        <x:v>46</x:v>
      </x:c>
    </x:row>
    <x:row r="910" ht="34" customHeight="1">
      <x:c r="A910" s="16" t="str">
        <x:v>plantar fasciitis flip flops white</x:v>
      </x:c>
      <x:c r="B910" s="16" t="str">
        <x:v>plantar fasciitis flip flops white</x:v>
      </x:c>
      <x:c r="C910" s="13" t="str">
        <x:v>7f99467c67936589</x:v>
      </x:c>
      <x:c r="D910" s="13" t="str">
        <x:v>keyword</x:v>
      </x:c>
      <x:c r="E910" s="13" t="str">
        <x:v>en</x:v>
      </x:c>
      <x:c r="F910" s="13" t="str">
        <x:v>clothing_shoes_jewelry</x:v>
      </x:c>
      <x:c r="G910" s="16" t="str"/>
      <x:c r="H910" s="16" t="str">
        <x:v>flip_flops | orthopedic_footwear</x:v>
      </x:c>
      <x:c r="I910" s="16" t="str">
        <x:v>plantar_fasciitis_sufferers</x:v>
      </x:c>
      <x:c r="J910" s="16" t="str">
        <x:v>foot_pain_relief | medical_support</x:v>
      </x:c>
      <x:c r="K910" s="16" t="str">
        <x:v>arch_support | color_white</x:v>
      </x:c>
      <x:c r="L910" s="16" t="str"/>
      <x:c r="M910" s="16" t="str"/>
      <x:c r="N910" s="16" t="str">
        <x:v>plantar_fasciitis | arch_support | foot_pain</x:v>
      </x:c>
      <x:c r="O910" s="16" t="str"/>
      <x:c r="P910" s="16" t="str"/>
      <x:c r="Q910" s="16" t="str"/>
      <x:c r="R910" s="16" t="str">
        <x:v>患有足底筋膜炎的用户需要一双白色人字拖，希望通过足弓支撑缓解足部疼痛。</x:v>
      </x:c>
      <x:c r="S910" s="13" t="str">
        <x:v>high_intent</x:v>
      </x:c>
      <x:c r="T910" s="16" t="str">
        <x:v>explicit | page_validated | inferred</x:v>
      </x:c>
      <x:c r="U910" s="13" t="str">
        <x:v>medium</x:v>
      </x:c>
      <x:c r="V910" s="16" t="str">
        <x:v>plantar_fasciitis_flip_flops_white</x:v>
      </x:c>
      <x:c r="W910" s="16" t="str">
        <x:v>listing_gap_review</x:v>
      </x:c>
      <x:c r="X910" s="16" t="str">
        <x:v>{"product_type":[{"value":"flip_flops","evidence_type":"explicit","source_span":"flip flops","fact_ids":[],"rationale":""},{"value":"orthopedic_footwear","evidence_type":"inferred","source_span":"plantar fasciitis","fact_ids":[],"rationale":"足底筋膜炎属于矫形需求"},{"value":"flip_flops","evidence_type":"page_validated","source_span":"","fact_ids":["style_flip_flop"],"rationale":"该槽位与商品基准中的明示页面事实一致。"}],"audience_intent":[{"value":"plantar_fasciitis_sufferers","evidence_type":"explicit","source_span":"plantar fasciitis","fact_ids":[],"rationale":""}],"body_need_intent":[{"value":"plantar_fasciitis","evidence_type":"explicit","source_span":"plantar fasciitis","fact_ids":[],"rationale":""},{"value":"foot_pain","evidence_type":"inferred","source_span":"plantar fasciitis","fact_ids":[],"rationale":"足底筋膜炎以足跟疼痛为主要症状"}],"capability_intent":[{"value":"arch_support","evidence_type":"page_validated","source_span":"","fact_ids":["arch_support"],"rationale":"足弓支撑对足底筋膜炎有辅助价值"},{"value":"color_white","evidence_type":"explicit","source_span":"white","fact_ids":[],"rationale":""},{"value":"arch_support","evidence_type":"inferred","source_span":"","fact_ids":[],"rationale":"该能力由搜索词表达的任务或问题推断；页面事实仅用于验证商品承接。"}],"color":[{"value":"white","evidence_type":"explicit","source_span":"white","fact_ids":[],"rationale":"该颜色在商品页面可见颜色选择中得到明确支持。"}],"function_intent":[{"value":"foot_pain_relief","evidence_type":"inferred","source_span":"","fact_ids":[],"rationale":"该值由搜索词整体语义推断，未作为页面明示属性。"},{"value":"medical_support","evidence_type":"inferred","source_span":"","fact_ids":[],"rationale":"该值由搜索词整体语义推断，未作为页面明示属性。"}],"primary_domain":[{"value":"clothing_shoes_jewelry","evidence_type":"inferred","source_span":"","fact_ids":[],"rationale":"该值由搜索词整体语义推断，未作为页面明示属性。"}]}</x:v>
      </x:c>
      <x:c r="Y910" s="16" t="str"/>
      <x:c r="Z910" s="13" t="str">
        <x:v>partial_match</x:v>
      </x:c>
      <x:c r="AA910" s="16" t="str">
        <x:v>arch_support | colors_visible | style_flip_flop</x:v>
      </x:c>
      <x:c r="AB910" s="13" t="str">
        <x:v>accepted</x:v>
      </x:c>
      <x:c r="AC910" s="13" t="str">
        <x:v>1.0.0</x:v>
      </x:c>
      <x:c r="AD910" s="13" t="str">
        <x:v>1.0.0</x:v>
      </x:c>
      <x:c r="AE910" s="13" t="str">
        <x:v>deepseek/deepseek-v4-pro</x:v>
      </x:c>
      <x:c r="AF910" s="13" t="str">
        <x:v>aj2-y90-20260714T234810-0bea2f52</x:v>
      </x:c>
      <x:c r="AG910" s="13" t="str">
        <x:v>full-0046</x:v>
      </x:c>
      <x:c r="AH910" s="13" t="str">
        <x:v>full</x:v>
      </x:c>
      <x:c r="AI910" s="13" t="n">
        <x:v>46</x:v>
      </x:c>
    </x:row>
    <x:row r="911" ht="34" customHeight="1">
      <x:c r="A911" s="15" t="str">
        <x:v>heel arched flip flop</x:v>
      </x:c>
      <x:c r="B911" s="15" t="str">
        <x:v>heel arched flip flop</x:v>
      </x:c>
      <x:c r="C911" s="10" t="str">
        <x:v>8876a41ac1c0573e</x:v>
      </x:c>
      <x:c r="D911" s="10" t="str">
        <x:v>keyword</x:v>
      </x:c>
      <x:c r="E911" s="10" t="str">
        <x:v>en</x:v>
      </x:c>
      <x:c r="F911" s="10" t="str">
        <x:v>clothing_shoes_jewelry</x:v>
      </x:c>
      <x:c r="G911" s="15" t="str"/>
      <x:c r="H911" s="15" t="str">
        <x:v>flip_flops</x:v>
      </x:c>
      <x:c r="I911" s="15" t="str"/>
      <x:c r="J911" s="15" t="str">
        <x:v>arch_support | heel_support</x:v>
      </x:c>
      <x:c r="K911" s="15" t="str">
        <x:v>arch_support</x:v>
      </x:c>
      <x:c r="L911" s="15" t="str"/>
      <x:c r="M911" s="15" t="str"/>
      <x:c r="N911" s="15" t="str">
        <x:v>arch_support | heel_pain</x:v>
      </x:c>
      <x:c r="O911" s="15" t="str"/>
      <x:c r="P911" s="15" t="str"/>
      <x:c r="Q911" s="15" t="str"/>
      <x:c r="R911" s="15" t="str">
        <x:v>用户需要一双带有足弓或足跟支撑的人字拖，可能用于缓解足跟区域的不适。</x:v>
      </x:c>
      <x:c r="S911" s="10" t="str">
        <x:v>consideration</x:v>
      </x:c>
      <x:c r="T911" s="15" t="str">
        <x:v>explicit | page_validated</x:v>
      </x:c>
      <x:c r="U911" s="10" t="str">
        <x:v>medium</x:v>
      </x:c>
      <x:c r="V911" s="15" t="str">
        <x:v>heel_arch_flip_flops</x:v>
      </x:c>
      <x:c r="W911" s="15" t="str">
        <x:v>cluster_route</x:v>
      </x:c>
      <x:c r="X911" s="15" t="str">
        <x:v>{"product_type":[{"value":"flip_flops","evidence_type":"explicit","source_span":"flip flop","fact_ids":[],"rationale":""},{"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function_intent":[{"value":"heel_support","evidence_type":"explicit","source_span":"heel arched","fact_ids":[],"rationale":""}],"capability_intent":[{"value":"arch_support","evidence_type":"page_validated","source_span":"","fact_ids":["arch_support"],"rationale":"页面标注足弓支撑"},{"value":"arch_support","evidence_type":"inferred","source_span":"","fact_ids":[],"rationale":"该能力由搜索词表达的任务或问题推断；页面事实仅用于验证商品承接。"}],"body_need_intent":[{"value":"heel_pain","evidence_type":"inferred","source_span":"heel","fact_ids":[],"rationale":"足跟可能与疼痛相关"}],"primary_domain":[{"value":"clothing_shoes_jewelry","evidence_type":"inferred","source_span":"","fact_ids":[],"rationale":"该值由搜索词整体语义推断，未作为页面明示属性。"}]}</x:v>
      </x:c>
      <x:c r="Y911" s="15" t="str">
        <x:v>unusual_phrasing_heel_arched</x:v>
      </x:c>
      <x:c r="Z911" s="10" t="str">
        <x:v>match</x:v>
      </x:c>
      <x:c r="AA911" s="15" t="str">
        <x:v>arch_support | style_flip_flop | style_flat</x:v>
      </x:c>
      <x:c r="AB911" s="10" t="str">
        <x:v>accepted</x:v>
      </x:c>
      <x:c r="AC911" s="10" t="str">
        <x:v>1.0.0</x:v>
      </x:c>
      <x:c r="AD911" s="10" t="str">
        <x:v>1.0.0</x:v>
      </x:c>
      <x:c r="AE911" s="10" t="str">
        <x:v>deepseek/deepseek-v4-pro</x:v>
      </x:c>
      <x:c r="AF911" s="10" t="str">
        <x:v>aj2-y90-20260714T234810-0bea2f52</x:v>
      </x:c>
      <x:c r="AG911" s="10" t="str">
        <x:v>full-0046</x:v>
      </x:c>
      <x:c r="AH911" s="10" t="str">
        <x:v>full</x:v>
      </x:c>
      <x:c r="AI911" s="10" t="n">
        <x:v>46</x:v>
      </x:c>
    </x:row>
    <x:row r="912" ht="34" customHeight="1">
      <x:c r="A912" s="16" t="str">
        <x:v>拖鞋女</x:v>
      </x:c>
      <x:c r="B912" s="16" t="str">
        <x:v>拖鞋女</x:v>
      </x:c>
      <x:c r="C912" s="13" t="str">
        <x:v>9648c74501cbf027</x:v>
      </x:c>
      <x:c r="D912" s="13" t="str">
        <x:v>keyword</x:v>
      </x:c>
      <x:c r="E912" s="13" t="str">
        <x:v>zh</x:v>
      </x:c>
      <x:c r="F912" s="13" t="str">
        <x:v>clothing_shoes_jewelry</x:v>
      </x:c>
      <x:c r="G912" s="16" t="str"/>
      <x:c r="H912" s="16" t="str">
        <x:v>slippers | flip_flops | sandals</x:v>
      </x:c>
      <x:c r="I912" s="16" t="str">
        <x:v>women</x:v>
      </x:c>
      <x:c r="J912" s="16" t="str">
        <x:v>comfort</x:v>
      </x:c>
      <x:c r="K912" s="16" t="str"/>
      <x:c r="L912" s="16" t="str"/>
      <x:c r="M912" s="16" t="str"/>
      <x:c r="N912" s="16" t="str"/>
      <x:c r="O912" s="16" t="str"/>
      <x:c r="P912" s="16" t="str"/>
      <x:c r="Q912" s="16" t="str"/>
      <x:c r="R912" s="16" t="str">
        <x:v>用户搜索女士拖鞋，可能用于居家或外出日常穿着。</x:v>
      </x:c>
      <x:c r="S912" s="13" t="str">
        <x:v>exploration</x:v>
      </x:c>
      <x:c r="T912" s="16" t="str">
        <x:v>explicit | page_validated</x:v>
      </x:c>
      <x:c r="U912" s="13" t="str">
        <x:v>medium</x:v>
      </x:c>
      <x:c r="V912" s="16" t="str">
        <x:v>womens_slippers_zh</x:v>
      </x:c>
      <x:c r="W912" s="16" t="str">
        <x:v>cluster_route</x:v>
      </x:c>
      <x:c r="X912" s="16" t="str">
        <x:v>{"product_type":[{"value":"slippers","evidence_type":"explicit","source_span":"拖鞋","fact_ids":[],"rationale":""},{"value":"flip_flops","evidence_type":"inferred","source_span":"拖鞋","fact_ids":[],"rationale":"中文拖鞋可指人字拖"},{"value":"sandals","evidence_type":"inferred","source_span":"拖鞋","fact_ids":[],"rationale":"拖鞋广义包含凉鞋"},{"value":"flip_flops","evidence_type":"page_validated","source_span":"","fact_ids":["style_flip_flop"],"rationale":"该槽位与商品基准中的明示页面事实一致。"},{"value":"sandals","evidence_type":"page_validated","source_span":"","fact_ids":["title_womens_flip_flop"],"rationale":"该槽位与商品基准中的明示页面事实一致。"}],"audience_intent":[{"value":"women","evidence_type":"explicit","source_span":"女","fact_ids":[],"rationale":""},{"value":"women","evidence_type":"page_validated","source_span":"","fact_ids":["title_womens_flip_flop"],"rationale":"该槽位与商品基准中的明示页面事实一致。"},{"value":"women","evidence_type":"inferred","source_span":"","fact_ids":[],"rationale":"该能力由搜索词表达的任务或问题推断；页面事实仅用于验证商品承接。"}],"function_intent":[{"value":"comfort","evidence_type":"page_validated","source_span":"","fact_ids":["arch_support","padded_cushioning"],"rationale":"该槽位与商品基准中的明示页面事实一致。"},{"value":"comfor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912" s="16" t="str">
        <x:v>broad_category_term</x:v>
      </x:c>
      <x:c r="Z912" s="13" t="str">
        <x:v>match</x:v>
      </x:c>
      <x:c r="AA912" s="16" t="str">
        <x:v>title_womens_flip_flop | style_flip_flop</x:v>
      </x:c>
      <x:c r="AB912" s="13" t="str">
        <x:v>accepted</x:v>
      </x:c>
      <x:c r="AC912" s="13" t="str">
        <x:v>1.0.0</x:v>
      </x:c>
      <x:c r="AD912" s="13" t="str">
        <x:v>1.0.0</x:v>
      </x:c>
      <x:c r="AE912" s="13" t="str">
        <x:v>deepseek/deepseek-v4-pro</x:v>
      </x:c>
      <x:c r="AF912" s="13" t="str">
        <x:v>aj2-y90-20260714T234810-0bea2f52</x:v>
      </x:c>
      <x:c r="AG912" s="13" t="str">
        <x:v>full-0046</x:v>
      </x:c>
      <x:c r="AH912" s="13" t="str">
        <x:v>full</x:v>
      </x:c>
      <x:c r="AI912" s="13" t="n">
        <x:v>46</x:v>
      </x:c>
    </x:row>
    <x:row r="913" ht="34" customHeight="1">
      <x:c r="A913" s="15" t="str">
        <x:v>flip flops for women for beach</x:v>
      </x:c>
      <x:c r="B913" s="15" t="str">
        <x:v>flip flops for women for beach</x:v>
      </x:c>
      <x:c r="C913" s="10" t="str">
        <x:v>a18bdb5d1c9e1ab6</x:v>
      </x:c>
      <x:c r="D913" s="10" t="str">
        <x:v>keyword</x:v>
      </x:c>
      <x:c r="E913" s="10" t="str">
        <x:v>en</x:v>
      </x:c>
      <x:c r="F913" s="10" t="str">
        <x:v>clothing_shoes_jewelry</x:v>
      </x:c>
      <x:c r="G913" s="15" t="str">
        <x:v>sports_outdoors</x:v>
      </x:c>
      <x:c r="H913" s="15" t="str">
        <x:v>flip_flops</x:v>
      </x:c>
      <x:c r="I913" s="15" t="str">
        <x:v>women</x:v>
      </x:c>
      <x:c r="J913" s="15" t="str">
        <x:v>beach_footwear</x:v>
      </x:c>
      <x:c r="K913" s="15" t="str">
        <x:v>water_friendly | slip_resistant</x:v>
      </x:c>
      <x:c r="L913" s="15" t="str">
        <x:v>beach_outing</x:v>
      </x:c>
      <x:c r="M913" s="15" t="str">
        <x:v>beach</x:v>
      </x:c>
      <x:c r="N913" s="15" t="str"/>
      <x:c r="O913" s="15" t="str">
        <x:v>summer</x:v>
      </x:c>
      <x:c r="P913" s="15" t="str"/>
      <x:c r="Q913" s="15" t="str"/>
      <x:c r="R913" s="15" t="str">
        <x:v>一位女性用户需要一双适合海滩场景穿着的女士人字拖，可能涉及涉水或沙滩行走。</x:v>
      </x:c>
      <x:c r="S913" s="10" t="str">
        <x:v>consideration</x:v>
      </x:c>
      <x:c r="T913" s="15" t="str">
        <x:v>explicit | page_validated | inferred</x:v>
      </x:c>
      <x:c r="U913" s="10" t="str">
        <x:v>medium</x:v>
      </x:c>
      <x:c r="V913" s="15" t="str">
        <x:v>womens_beach_flip_flops</x:v>
      </x:c>
      <x:c r="W913" s="15" t="str">
        <x:v>listing_gap_review</x:v>
      </x:c>
      <x:c r="X913" s="15" t="str">
        <x:v>{"product_type":[{"value":"flip_flops","evidence_type":"explicit","source_span":"flip flops","fact_ids":[],"rationale":""},{"value":"flip_flops","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function_intent":[{"value":"beach_footwear","evidence_type":"explicit","source_span":"for beach","fact_ids":[],"rationale":""}],"event_intent":[{"value":"beach_outing","evidence_type":"inferred","source_span":"beach","fact_ids":[],"rationale":"海滩为典型户外活动场景"}],"location_intent":[{"value":"beach","evidence_type":"explicit","source_span":"beach","fact_ids":[],"rationale":""}],"capability_intent":[{"value":"slip_resistant","evidence_type":"page_validated","source_span":"","fact_ids":["slip_resistant_grip"],"rationale":"防滑对海滩场景有价值"},{"value":"water_friendly","evidence_type":"inferred","source_span":"beach","fact_ids":[],"rationale":"海滩场景通常涉及涉水需求"},{"value":"slip_resistant","evidence_type":"inferred","source_span":"","fact_ids":[],"rationale":"该能力由搜索词表达的任务或问题推断；页面事实仅用于验证商品承接。"}],"time_intent":[{"value":"summer","evidence_type":"inferred","source_span":"beach","fact_ids":[],"rationale":"海滩活动集中在夏季"}],"primary_domain":[{"value":"clothing_shoes_jewelry","evidence_type":"inferred","source_span":"","fact_ids":[],"rationale":"该值由搜索词整体语义推断，未作为页面明示属性。"}],"secondary_domain":[{"value":"sports_outdoors","evidence_type":"inferred","source_span":"","fact_ids":[],"rationale":"该值由搜索词整体语义推断，未作为页面明示属性。"}]}</x:v>
      </x:c>
      <x:c r="Y913" s="15" t="str"/>
      <x:c r="Z913" s="10" t="str">
        <x:v>partial_match</x:v>
      </x:c>
      <x:c r="AA913" s="15" t="str">
        <x:v>title_womens_flip_flop | style_flip_flop | style_outdoor</x:v>
      </x:c>
      <x:c r="AB913" s="10" t="str">
        <x:v>accepted</x:v>
      </x:c>
      <x:c r="AC913" s="10" t="str">
        <x:v>1.0.0</x:v>
      </x:c>
      <x:c r="AD913" s="10" t="str">
        <x:v>1.0.0</x:v>
      </x:c>
      <x:c r="AE913" s="10" t="str">
        <x:v>deepseek/deepseek-v4-pro</x:v>
      </x:c>
      <x:c r="AF913" s="10" t="str">
        <x:v>aj2-y90-20260714T234810-0bea2f52</x:v>
      </x:c>
      <x:c r="AG913" s="10" t="str">
        <x:v>full-0046</x:v>
      </x:c>
      <x:c r="AH913" s="10" t="str">
        <x:v>full</x:v>
      </x:c>
      <x:c r="AI913" s="10" t="n">
        <x:v>46</x:v>
      </x:c>
    </x:row>
    <x:row r="914" ht="34" customHeight="1">
      <x:c r="A914" s="16" t="str">
        <x:v>women non-slip flip flops</x:v>
      </x:c>
      <x:c r="B914" s="16" t="str">
        <x:v>women non-slip flip flops</x:v>
      </x:c>
      <x:c r="C914" s="13" t="str">
        <x:v>a2ccc94d36a86b39</x:v>
      </x:c>
      <x:c r="D914" s="13" t="str">
        <x:v>keyword</x:v>
      </x:c>
      <x:c r="E914" s="13" t="str">
        <x:v>en</x:v>
      </x:c>
      <x:c r="F914" s="13" t="str">
        <x:v>clothing_shoes_jewelry</x:v>
      </x:c>
      <x:c r="G914" s="16" t="str"/>
      <x:c r="H914" s="16" t="str">
        <x:v>flip_flops</x:v>
      </x:c>
      <x:c r="I914" s="16" t="str">
        <x:v>women</x:v>
      </x:c>
      <x:c r="J914" s="16" t="str">
        <x:v>safety | slip_prevention</x:v>
      </x:c>
      <x:c r="K914" s="16" t="str">
        <x:v>non_slip | slip_resistant</x:v>
      </x:c>
      <x:c r="L914" s="16" t="str"/>
      <x:c r="M914" s="16" t="str"/>
      <x:c r="N914" s="16" t="str"/>
      <x:c r="O914" s="16" t="str"/>
      <x:c r="P914" s="16" t="str"/>
      <x:c r="Q914" s="16" t="str"/>
      <x:c r="R914" s="16" t="str">
        <x:v>女性用户需要一双防滑女士人字拖，适用于湿滑地面或需要稳定行走的场景。</x:v>
      </x:c>
      <x:c r="S914" s="13" t="str">
        <x:v>high_intent</x:v>
      </x:c>
      <x:c r="T914" s="16" t="str">
        <x:v>explicit | page_validated</x:v>
      </x:c>
      <x:c r="U914" s="13" t="str">
        <x:v>high</x:v>
      </x:c>
      <x:c r="V914" s="16" t="str">
        <x:v>womens_nonslip_flip_flops</x:v>
      </x:c>
      <x:c r="W914" s="16" t="str">
        <x:v>cluster_route</x:v>
      </x:c>
      <x:c r="X914" s="16" t="str">
        <x:v>{"product_type":[{"value":"flip_flops","evidence_type":"explicit","source_span":"flip flops","fact_ids":[],"rationale":""},{"value":"flip_flops","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function_intent":[{"value":"safety","evidence_type":"inferred","source_span":"non-slip","fact_ids":[],"rationale":"防滑属于安全功能"},{"value":"slip_prevention","evidence_type":"explicit","source_span":"non-slip","fact_ids":[],"rationale":""}],"capability_intent":[{"value":"non_slip","evidence_type":"explicit","source_span":"non-slip","fact_ids":[],"rationale":""},{"value":"slip_resistant","evidence_type":"page_validated","source_span":"","fact_ids":["slip_resistant_grip"],"rationale":"页面标注防滑纹路外底"},{"value":"non_slip","evidence_type":"page_validated","source_span":"","fact_ids":["slip_resistant_grip"],"rationale":"该槽位与商品基准中的明示页面事实一致。"},{"value":"slip_resistan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914" s="16" t="str"/>
      <x:c r="Z914" s="13" t="str">
        <x:v>match</x:v>
      </x:c>
      <x:c r="AA914" s="16" t="str">
        <x:v>title_womens_flip_flop | style_flip_flop | slip_resistant_grip</x:v>
      </x:c>
      <x:c r="AB914" s="13" t="str">
        <x:v>accepted</x:v>
      </x:c>
      <x:c r="AC914" s="13" t="str">
        <x:v>1.0.0</x:v>
      </x:c>
      <x:c r="AD914" s="13" t="str">
        <x:v>1.0.0</x:v>
      </x:c>
      <x:c r="AE914" s="13" t="str">
        <x:v>deepseek/deepseek-v4-pro</x:v>
      </x:c>
      <x:c r="AF914" s="13" t="str">
        <x:v>aj2-y90-20260714T234810-0bea2f52</x:v>
      </x:c>
      <x:c r="AG914" s="13" t="str">
        <x:v>full-0046</x:v>
      </x:c>
      <x:c r="AH914" s="13" t="str">
        <x:v>full</x:v>
      </x:c>
      <x:c r="AI914" s="13" t="n">
        <x:v>46</x:v>
      </x:c>
    </x:row>
    <x:row r="915" ht="34" customHeight="1">
      <x:c r="A915" s="15" t="str">
        <x:v>flip flops women for home</x:v>
      </x:c>
      <x:c r="B915" s="15" t="str">
        <x:v>flip flops women for home</x:v>
      </x:c>
      <x:c r="C915" s="10" t="str">
        <x:v>b7413c3631a071c7</x:v>
      </x:c>
      <x:c r="D915" s="10" t="str">
        <x:v>keyword</x:v>
      </x:c>
      <x:c r="E915" s="10" t="str">
        <x:v>en</x:v>
      </x:c>
      <x:c r="F915" s="10" t="str">
        <x:v>clothing_shoes_jewelry</x:v>
      </x:c>
      <x:c r="G915" s="15" t="str">
        <x:v>home_kitchen</x:v>
      </x:c>
      <x:c r="H915" s="15" t="str">
        <x:v>flip_flops | slippers</x:v>
      </x:c>
      <x:c r="I915" s="15" t="str">
        <x:v>women</x:v>
      </x:c>
      <x:c r="J915" s="15" t="str">
        <x:v>indoor_comfort</x:v>
      </x:c>
      <x:c r="K915" s="15" t="str">
        <x:v>comfort | lightweight</x:v>
      </x:c>
      <x:c r="L915" s="15" t="str"/>
      <x:c r="M915" s="15" t="str">
        <x:v>home | indoor</x:v>
      </x:c>
      <x:c r="N915" s="15" t="str"/>
      <x:c r="O915" s="15" t="str"/>
      <x:c r="P915" s="15" t="str"/>
      <x:c r="Q915" s="15" t="str"/>
      <x:c r="R915" s="15" t="str">
        <x:v>一位女性用户需要一双适合在家穿着的女士人字拖，用于室内日常放松与活动。</x:v>
      </x:c>
      <x:c r="S915" s="10" t="str">
        <x:v>consideration</x:v>
      </x:c>
      <x:c r="T915" s="15" t="str">
        <x:v>explicit | page_validated | inferred</x:v>
      </x:c>
      <x:c r="U915" s="10" t="str">
        <x:v>medium</x:v>
      </x:c>
      <x:c r="V915" s="15" t="str">
        <x:v>womens_flip_flops_home_indoor</x:v>
      </x:c>
      <x:c r="W915" s="15" t="str">
        <x:v>listing_gap_review</x:v>
      </x:c>
      <x:c r="X915" s="15" t="str">
        <x:v>{"product_type":[{"value":"flip_flops","evidence_type":"explicit","source_span":"flip flops","fact_ids":[],"rationale":""},{"value":"slippers","evidence_type":"inferred","source_span":"for home","fact_ids":[],"rationale":"家居场景人字拖常等同拖鞋"},{"value":"flip_flops","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function_intent":[{"value":"indoor_comfort","evidence_type":"inferred","source_span":"for home","fact_ids":[],"rationale":"家居穿着的核心诉求为舒适"}],"location_intent":[{"value":"home","evidence_type":"explicit","source_span":"for home","fact_ids":[],"rationale":""},{"value":"indoor","evidence_type":"inferred","source_span":"home","fact_ids":[],"rationale":"家即室内场景"}],"capability_intent":[{"value":"lightweight","evidence_type":"page_validated","source_span":"","fact_ids":["lightweight_breathable"],"rationale":"轻便适合家居"},{"value":"comfort","evidence_type":"page_validated","source_span":"","fact_ids":["arch_support","padded_cushioning"],"rationale":"该槽位与商品基准中的明示页面事实一致。"},{"value":"comfort","evidence_type":"inferred","source_span":"","fact_ids":[],"rationale":"该能力由搜索词表达的任务或问题推断；页面事实仅用于验证商品承接。"},{"value":"lightweigh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secondary_domain":[{"value":"home_kitchen","evidence_type":"inferred","source_span":"","fact_ids":[],"rationale":"该值由搜索词整体语义推断，未作为页面明示属性。"}]}</x:v>
      </x:c>
      <x:c r="Y915" s="15" t="str"/>
      <x:c r="Z915" s="10" t="str">
        <x:v>partial_match</x:v>
      </x:c>
      <x:c r="AA915" s="15" t="str">
        <x:v>title_womens_flip_flop | style_flip_flop | style_outdoor</x:v>
      </x:c>
      <x:c r="AB915" s="10" t="str">
        <x:v>accepted</x:v>
      </x:c>
      <x:c r="AC915" s="10" t="str">
        <x:v>1.0.0</x:v>
      </x:c>
      <x:c r="AD915" s="10" t="str">
        <x:v>1.0.0</x:v>
      </x:c>
      <x:c r="AE915" s="10" t="str">
        <x:v>deepseek/deepseek-v4-pro</x:v>
      </x:c>
      <x:c r="AF915" s="10" t="str">
        <x:v>aj2-y90-20260714T234810-0bea2f52</x:v>
      </x:c>
      <x:c r="AG915" s="10" t="str">
        <x:v>full-0046</x:v>
      </x:c>
      <x:c r="AH915" s="10" t="str">
        <x:v>full</x:v>
      </x:c>
      <x:c r="AI915" s="10" t="n">
        <x:v>46</x:v>
      </x:c>
    </x:row>
    <x:row r="916" ht="34" customHeight="1">
      <x:c r="A916" s="16" t="str">
        <x:v>women's chocolate brown flip flops cushioned footbed</x:v>
      </x:c>
      <x:c r="B916" s="16" t="str">
        <x:v>women's chocolate brown flip flops cushioned footbed</x:v>
      </x:c>
      <x:c r="C916" s="13" t="str">
        <x:v>bcbf7a5b9081149d</x:v>
      </x:c>
      <x:c r="D916" s="13" t="str">
        <x:v>keyword</x:v>
      </x:c>
      <x:c r="E916" s="13" t="str">
        <x:v>en</x:v>
      </x:c>
      <x:c r="F916" s="13" t="str">
        <x:v>clothing_shoes_jewelry</x:v>
      </x:c>
      <x:c r="G916" s="16" t="str"/>
      <x:c r="H916" s="16" t="str">
        <x:v>flip_flops</x:v>
      </x:c>
      <x:c r="I916" s="16" t="str">
        <x:v>women</x:v>
      </x:c>
      <x:c r="J916" s="16" t="str">
        <x:v>comfort | cushioning</x:v>
      </x:c>
      <x:c r="K916" s="16" t="str">
        <x:v>cushioned_footbed | color_brown</x:v>
      </x:c>
      <x:c r="L916" s="16" t="str"/>
      <x:c r="M916" s="16" t="str"/>
      <x:c r="N916" s="16" t="str">
        <x:v>foot_fatigue</x:v>
      </x:c>
      <x:c r="O916" s="16" t="str"/>
      <x:c r="P916" s="16" t="str"/>
      <x:c r="Q916" s="16" t="str"/>
      <x:c r="R916" s="16" t="str">
        <x:v>女性用户需要一双巧克力棕色且带缓冲鞋床的女士人字拖，追求柔软的脚感和全天舒适。</x:v>
      </x:c>
      <x:c r="S916" s="13" t="str">
        <x:v>high_intent</x:v>
      </x:c>
      <x:c r="T916" s="16" t="str">
        <x:v>explicit | page_validated</x:v>
      </x:c>
      <x:c r="U916" s="13" t="str">
        <x:v>high</x:v>
      </x:c>
      <x:c r="V916" s="16" t="str">
        <x:v>womens_brown_cushioned_flip_flops</x:v>
      </x:c>
      <x:c r="W916" s="16" t="str">
        <x:v>cluster_route</x:v>
      </x:c>
      <x:c r="X916" s="16" t="str">
        <x:v>{"product_type":[{"value":"flip_flops","evidence_type":"explicit","source_span":"flip flops","fact_ids":[],"rationale":""},{"value":"flip_flops","evidence_type":"page_validated","source_span":"","fact_ids":["style_flip_flop"],"rationale":"该槽位与商品基准中的明示页面事实一致。"}],"audience_intent":[{"value":"women","evidence_type":"explicit","source_span":"women's","fact_ids":[],"rationale":""},{"value":"women","evidence_type":"page_validated","source_span":"","fact_ids":["title_womens_flip_flop"],"rationale":"该槽位与商品基准中的明示页面事实一致。"}],"function_intent":[{"value":"comfort","evidence_type":"inferred","source_span":"cushioned footbed","fact_ids":[],"rationale":"缓冲鞋床旨在提升舒适度"},{"value":"cushioning","evidence_type":"explicit","source_span":"cushioned footbed","fact_ids":[],"rationale":""},{"value":"comfort","evidence_type":"page_validated","source_span":"","fact_ids":["arch_support","padded_cushioning"],"rationale":"该槽位与商品基准中的明示页面事实一致。"},{"value":"cushioning","evidence_type":"page_validated","source_span":"","fact_ids":["padded_cushioning"],"rationale":"该槽位与商品基准中的明示页面事实一致。"},{"value":"cushioning","evidence_type":"inferred","source_span":"","fact_ids":[],"rationale":"该能力由搜索词表达的任务或问题推断；页面事实仅用于验证商品承接。"}],"capability_intent":[{"value":"cushioned_footbed","evidence_type":"explicit","source_span":"cushioned footbed","fact_ids":[],"rationale":""},{"value":"color_brown","evidence_type":"explicit","source_span":"chocolate brown","fact_ids":[],"rationale":""}],"body_need_intent":[{"value":"foot_fatigue","evidence_type":"inferred","source_span":"cushioned footbed","fact_ids":[],"rationale":"缓冲可缓解足部疲劳"}],"color":[{"value":"brown","evidence_type":"explicit","source_span":"chocolate brown","fact_ids":[],"rationale":"该颜色在商品页面可见颜色选择中得到明确支持。"}],"primary_domain":[{"value":"clothing_shoes_jewelry","evidence_type":"inferred","source_span":"","fact_ids":[],"rationale":"该值由搜索词整体语义推断，未作为页面明示属性。"}]}</x:v>
      </x:c>
      <x:c r="Y916" s="16" t="str"/>
      <x:c r="Z916" s="13" t="str">
        <x:v>match</x:v>
      </x:c>
      <x:c r="AA916" s="16" t="str">
        <x:v>title_womens_flip_flop | style_flip_flop | colors_visible | padded_cushioning</x:v>
      </x:c>
      <x:c r="AB916" s="13" t="str">
        <x:v>accepted</x:v>
      </x:c>
      <x:c r="AC916" s="13" t="str">
        <x:v>1.0.0</x:v>
      </x:c>
      <x:c r="AD916" s="13" t="str">
        <x:v>1.0.0</x:v>
      </x:c>
      <x:c r="AE916" s="13" t="str">
        <x:v>deepseek/deepseek-v4-pro</x:v>
      </x:c>
      <x:c r="AF916" s="13" t="str">
        <x:v>aj2-y90-20260714T234810-0bea2f52</x:v>
      </x:c>
      <x:c r="AG916" s="13" t="str">
        <x:v>full-0046</x:v>
      </x:c>
      <x:c r="AH916" s="13" t="str">
        <x:v>full</x:v>
      </x:c>
      <x:c r="AI916" s="13" t="n">
        <x:v>46</x:v>
      </x:c>
    </x:row>
    <x:row r="917" ht="34" customHeight="1">
      <x:c r="A917" s="15" t="str">
        <x:v>women flip flops size 12</x:v>
      </x:c>
      <x:c r="B917" s="15" t="str">
        <x:v>women flip flops size 12</x:v>
      </x:c>
      <x:c r="C917" s="10" t="str">
        <x:v>cc1ba8fbb213d795</x:v>
      </x:c>
      <x:c r="D917" s="10" t="str">
        <x:v>keyword</x:v>
      </x:c>
      <x:c r="E917" s="10" t="str">
        <x:v>en</x:v>
      </x:c>
      <x:c r="F917" s="10" t="str">
        <x:v>clothing_shoes_jewelry</x:v>
      </x:c>
      <x:c r="G917" s="15" t="str"/>
      <x:c r="H917" s="15" t="str">
        <x:v>flip_flops</x:v>
      </x:c>
      <x:c r="I917" s="15" t="str">
        <x:v>women</x:v>
      </x:c>
      <x:c r="J917" s="15" t="str"/>
      <x:c r="K917" s="15" t="str">
        <x:v>large_size</x:v>
      </x:c>
      <x:c r="L917" s="15" t="str"/>
      <x:c r="M917" s="15" t="str"/>
      <x:c r="N917" s="15" t="str"/>
      <x:c r="O917" s="15" t="str"/>
      <x:c r="P917" s="15" t="str"/>
      <x:c r="Q917" s="15" t="str"/>
      <x:c r="R917" s="15" t="str">
        <x:v>女性用户需要一双12码的女士人字拖，该尺码超出了产品当前提供的6-11码范围。</x:v>
      </x:c>
      <x:c r="S917" s="10" t="str">
        <x:v>high_intent</x:v>
      </x:c>
      <x:c r="T917" s="15" t="str">
        <x:v>explicit | page_validated</x:v>
      </x:c>
      <x:c r="U917" s="10" t="str">
        <x:v>high</x:v>
      </x:c>
      <x:c r="V917" s="15" t="str">
        <x:v>womens_flip_flops_size_12</x:v>
      </x:c>
      <x:c r="W917" s="15" t="str">
        <x:v>listing_gap_review</x:v>
      </x:c>
      <x:c r="X917" s="15" t="str">
        <x:v>{"product_type":[{"value":"flip_flops","evidence_type":"explicit","source_span":"flip flops","fact_ids":[],"rationale":""},{"value":"flip_flops","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capability_intent":[{"value":"large_size","evidence_type":"inferred","source_span":"size 12","fact_ids":[],"rationale":"12码超出常规尺码区间"}],"size":[{"value":"12","evidence_type":"explicit","source_span":"size 12","fact_ids":[],"rationale":""}],"primary_domain":[{"value":"clothing_shoes_jewelry","evidence_type":"inferred","source_span":"","fact_ids":[],"rationale":"该值由搜索词整体语义推断，未作为页面明示属性。"}]}</x:v>
      </x:c>
      <x:c r="Y917" s="15" t="str"/>
      <x:c r="Z917" s="10" t="str">
        <x:v>partial_match</x:v>
      </x:c>
      <x:c r="AA917" s="15" t="str">
        <x:v>title_womens_flip_flop | style_flip_flop | sizes_6_11</x:v>
      </x:c>
      <x:c r="AB917" s="10" t="str">
        <x:v>accepted</x:v>
      </x:c>
      <x:c r="AC917" s="10" t="str">
        <x:v>1.0.0</x:v>
      </x:c>
      <x:c r="AD917" s="10" t="str">
        <x:v>1.0.0</x:v>
      </x:c>
      <x:c r="AE917" s="10" t="str">
        <x:v>deepseek/deepseek-v4-pro</x:v>
      </x:c>
      <x:c r="AF917" s="10" t="str">
        <x:v>aj2-y90-20260714T234810-0bea2f52</x:v>
      </x:c>
      <x:c r="AG917" s="10" t="str">
        <x:v>full-0046</x:v>
      </x:c>
      <x:c r="AH917" s="10" t="str">
        <x:v>full</x:v>
      </x:c>
      <x:c r="AI917" s="10" t="n">
        <x:v>46</x:v>
      </x:c>
    </x:row>
    <x:row r="918" ht="34" customHeight="1">
      <x:c r="A918" s="16" t="str">
        <x:v>womens cushionaire flip flops</x:v>
      </x:c>
      <x:c r="B918" s="16" t="str">
        <x:v>womens cushionaire flip flops</x:v>
      </x:c>
      <x:c r="C918" s="13" t="str">
        <x:v>cebeac81cb2928b3</x:v>
      </x:c>
      <x:c r="D918" s="13" t="str">
        <x:v>keyword</x:v>
      </x:c>
      <x:c r="E918" s="13" t="str">
        <x:v>en</x:v>
      </x:c>
      <x:c r="F918" s="13" t="str">
        <x:v>clothing_shoes_jewelry</x:v>
      </x:c>
      <x:c r="G918" s="16" t="str"/>
      <x:c r="H918" s="16" t="str">
        <x:v>flip_flops</x:v>
      </x:c>
      <x:c r="I918" s="16" t="str">
        <x:v>women</x:v>
      </x:c>
      <x:c r="J918" s="16" t="str">
        <x:v>brand_specific</x:v>
      </x:c>
      <x:c r="K918" s="16" t="str">
        <x:v>cushioning</x:v>
      </x:c>
      <x:c r="L918" s="16" t="str"/>
      <x:c r="M918" s="16" t="str"/>
      <x:c r="N918" s="16" t="str"/>
      <x:c r="O918" s="16" t="str"/>
      <x:c r="P918" s="16" t="str">
        <x:v>brand_substitute</x:v>
      </x:c>
      <x:c r="Q918" s="16" t="str"/>
      <x:c r="R918" s="16" t="str">
        <x:v>用户搜索Cushionaire品牌的女士人字拖，对该竞争品牌有明确的偏好或复购意图。</x:v>
      </x:c>
      <x:c r="S918" s="13" t="str">
        <x:v>brand_harvest</x:v>
      </x:c>
      <x:c r="T918" s="16" t="str">
        <x:v>explicit | page_validated | inferred</x:v>
      </x:c>
      <x:c r="U918" s="13" t="str">
        <x:v>high</x:v>
      </x:c>
      <x:c r="V918" s="16" t="str">
        <x:v>cushionaire_womens_flip_flops</x:v>
      </x:c>
      <x:c r="W918" s="16" t="str">
        <x:v>semantic_negative_candidate</x:v>
      </x:c>
      <x:c r="X918" s="16" t="str">
        <x:v>{"product_type":[{"value":"flip_flops","evidence_type":"explicit","source_span":"flip flops","fact_ids":[],"rationale":""},{"value":"flip_flops","evidence_type":"page_validated","source_span":"","fact_ids":["style_flip_flop"],"rationale":"该槽位与商品基准中的明示页面事实一致。"}],"audience_intent":[{"value":"women","evidence_type":"explicit","source_span":"womens","fact_ids":[],"rationale":""},{"value":"women","evidence_type":"page_validated","source_span":"","fact_ids":["title_womens_flip_flop"],"rationale":"该槽位与商品基准中的明示页面事实一致。"}],"function_intent":[{"value":"brand_specific","evidence_type":"explicit","source_span":"cushionaire","fact_ids":[],"rationale":""}],"substitute_intent":[{"value":"brand_substitute","evidence_type":"inferred","source_span":"cushionaire","fact_ids":[],"rationale":"搜索竞品品牌，可能为替代性需求"}],"brand":[{"value":"cushionaire","evidence_type":"explicit","source_span":"cushionaire","fact_ids":[],"rationale":"搜索词明确包含品牌名称。"}],"capability_intent":[{"value":"cushioning","evidence_type":"page_validated","source_span":"","fact_ids":["padded_cushioning"],"rationale":"该槽位与商品基准中的明示页面事实一致。"},{"value":"cushioning","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918" s="16" t="str"/>
      <x:c r="Z918" s="13" t="str">
        <x:v>mismatch</x:v>
      </x:c>
      <x:c r="AA918" s="16" t="str">
        <x:v>title_womens_flip_flop | padded_cushioning</x:v>
      </x:c>
      <x:c r="AB918" s="13" t="str">
        <x:v>accepted</x:v>
      </x:c>
      <x:c r="AC918" s="13" t="str">
        <x:v>1.0.0</x:v>
      </x:c>
      <x:c r="AD918" s="13" t="str">
        <x:v>1.0.0</x:v>
      </x:c>
      <x:c r="AE918" s="13" t="str">
        <x:v>deepseek/deepseek-v4-pro</x:v>
      </x:c>
      <x:c r="AF918" s="13" t="str">
        <x:v>aj2-y90-20260714T234810-0bea2f52</x:v>
      </x:c>
      <x:c r="AG918" s="13" t="str">
        <x:v>full-0046</x:v>
      </x:c>
      <x:c r="AH918" s="13" t="str">
        <x:v>full</x:v>
      </x:c>
      <x:c r="AI918" s="13" t="n">
        <x:v>46</x:v>
      </x:c>
    </x:row>
    <x:row r="919" ht="34" customHeight="1">
      <x:c r="A919" s="15" t="str">
        <x:v>black one piece rubber flip flop</x:v>
      </x:c>
      <x:c r="B919" s="15" t="str">
        <x:v>black one piece rubber flip flop</x:v>
      </x:c>
      <x:c r="C919" s="10" t="str">
        <x:v>e045c0057cf43230</x:v>
      </x:c>
      <x:c r="D919" s="10" t="str">
        <x:v>keyword</x:v>
      </x:c>
      <x:c r="E919" s="10" t="str">
        <x:v>en</x:v>
      </x:c>
      <x:c r="F919" s="10" t="str">
        <x:v>clothing_shoes_jewelry</x:v>
      </x:c>
      <x:c r="G919" s="15" t="str"/>
      <x:c r="H919" s="15" t="str">
        <x:v>flip_flops</x:v>
      </x:c>
      <x:c r="I919" s="15" t="str"/>
      <x:c r="J919" s="15" t="str">
        <x:v>durability | easy_maintenance</x:v>
      </x:c>
      <x:c r="K919" s="15" t="str">
        <x:v>one_piece_construction | color_black</x:v>
      </x:c>
      <x:c r="L919" s="15" t="str"/>
      <x:c r="M919" s="15" t="str"/>
      <x:c r="N919" s="15" t="str"/>
      <x:c r="O919" s="15" t="str"/>
      <x:c r="P919" s="15" t="str"/>
      <x:c r="Q919" s="15" t="str"/>
      <x:c r="R919" s="15" t="str">
        <x:v>用户需要一双黑色一体成型的人字拖，但要求的橡胶材质与产品的EVA材质存在差异。</x:v>
      </x:c>
      <x:c r="S919" s="10" t="str">
        <x:v>consideration</x:v>
      </x:c>
      <x:c r="T919" s="15" t="str">
        <x:v>explicit | page_validated | inferred</x:v>
      </x:c>
      <x:c r="U919" s="10" t="str">
        <x:v>medium</x:v>
      </x:c>
      <x:c r="V919" s="15" t="str">
        <x:v>black_one_piece_flip_flops</x:v>
      </x:c>
      <x:c r="W919" s="15" t="str">
        <x:v>semantic_negative_candidate</x:v>
      </x:c>
      <x:c r="X919" s="15" t="str">
        <x:v>{"product_type":[{"value":"flip_flops","evidence_type":"explicit","source_span":"flip flop","fact_ids":[],"rationale":""},{"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function_intent":[{"value":"durability","evidence_type":"inferred","source_span":"one piece","fact_ids":[],"rationale":"一体成型通常更耐用"},{"value":"easy_maintenance","evidence_type":"inferred","source_span":"one piece","fact_ids":[],"rationale":"无缝结构便于清洁"}],"capability_intent":[{"value":"one_piece_construction","evidence_type":"explicit","source_span":"one piece","fact_ids":[],"rationale":""},{"value":"color_black","evidence_type":"explicit","source_span":"black","fact_ids":[],"rationale":""}],"material":[{"value":"rubber","evidence_type":"explicit","source_span":"rubber","fact_ids":[],"rationale":""}],"color":[{"value":"black","evidence_type":"explicit","source_span":"black","fact_ids":[],"rationale":"该颜色在商品页面可见颜色选择中得到明确支持。"}],"primary_domain":[{"value":"clothing_shoes_jewelry","evidence_type":"inferred","source_span":"","fact_ids":[],"rationale":"该值由搜索词整体语义推断，未作为页面明示属性。"}]}</x:v>
      </x:c>
      <x:c r="Y919" s="15" t="str"/>
      <x:c r="Z919" s="10" t="str">
        <x:v>partial_match</x:v>
      </x:c>
      <x:c r="AA919" s="15" t="str">
        <x:v>material_eva | easy_clean | colors_visible | style_flip_flop</x:v>
      </x:c>
      <x:c r="AB919" s="10" t="str">
        <x:v>accepted</x:v>
      </x:c>
      <x:c r="AC919" s="10" t="str">
        <x:v>1.0.0</x:v>
      </x:c>
      <x:c r="AD919" s="10" t="str">
        <x:v>1.0.0</x:v>
      </x:c>
      <x:c r="AE919" s="10" t="str">
        <x:v>deepseek/deepseek-v4-pro</x:v>
      </x:c>
      <x:c r="AF919" s="10" t="str">
        <x:v>aj2-y90-20260714T234810-0bea2f52</x:v>
      </x:c>
      <x:c r="AG919" s="10" t="str">
        <x:v>full-0046</x:v>
      </x:c>
      <x:c r="AH919" s="10" t="str">
        <x:v>full</x:v>
      </x:c>
      <x:c r="AI919" s="10" t="n">
        <x:v>46</x:v>
      </x:c>
    </x:row>
    <x:row r="920" ht="34" customHeight="1">
      <x:c r="A920" s="16" t="str">
        <x:v>white flip flips</x:v>
      </x:c>
      <x:c r="B920" s="16" t="str">
        <x:v>white flip flips</x:v>
      </x:c>
      <x:c r="C920" s="13" t="str">
        <x:v>e0a70b56eae18ea6</x:v>
      </x:c>
      <x:c r="D920" s="13" t="str">
        <x:v>keyword</x:v>
      </x:c>
      <x:c r="E920" s="13" t="str">
        <x:v>en</x:v>
      </x:c>
      <x:c r="F920" s="13" t="str">
        <x:v>clothing_shoes_jewelry</x:v>
      </x:c>
      <x:c r="G920" s="16" t="str"/>
      <x:c r="H920" s="16" t="str">
        <x:v>flip_flops</x:v>
      </x:c>
      <x:c r="I920" s="16" t="str"/>
      <x:c r="J920" s="16" t="str">
        <x:v>style | color_coordination</x:v>
      </x:c>
      <x:c r="K920" s="16" t="str">
        <x:v>color_white</x:v>
      </x:c>
      <x:c r="L920" s="16" t="str"/>
      <x:c r="M920" s="16" t="str"/>
      <x:c r="N920" s="16" t="str"/>
      <x:c r="O920" s="16" t="str">
        <x:v>summer</x:v>
      </x:c>
      <x:c r="P920" s="16" t="str"/>
      <x:c r="Q920" s="16" t="str"/>
      <x:c r="R920" s="16" t="str">
        <x:v>用户需要一双白色人字拖，可能用于夏季日常搭配。</x:v>
      </x:c>
      <x:c r="S920" s="13" t="str">
        <x:v>consideration</x:v>
      </x:c>
      <x:c r="T920" s="16" t="str">
        <x:v>explicit | page_validated | inferred</x:v>
      </x:c>
      <x:c r="U920" s="13" t="str">
        <x:v>high</x:v>
      </x:c>
      <x:c r="V920" s="16" t="str">
        <x:v>white_flip_flops</x:v>
      </x:c>
      <x:c r="W920" s="16" t="str">
        <x:v>cluster_route</x:v>
      </x:c>
      <x:c r="X920" s="16" t="str">
        <x:v>{"product_type":[{"value":"flip_flops","evidence_type":"explicit","source_span":"flip flips","fact_ids":[],"rationale":""},{"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capability_intent":[{"value":"color_white","evidence_type":"explicit","source_span":"white","fact_ids":[],"rationale":""}],"time_intent":[{"value":"summer","evidence_type":"inferred","source_span":"flip flips","fact_ids":[],"rationale":"人字拖典型夏季鞋履"}],"color":[{"value":"white","evidence_type":"explicit","source_span":"white","fact_ids":[],"rationale":"该颜色在商品页面可见颜色选择中得到明确支持。"}],"function_intent":[{"value":"style","evidence_type":"inferred","source_span":"","fact_ids":[],"rationale":"该值由搜索词整体语义推断，未作为页面明示属性。"},{"value":"color_coordination","evidence_type":"inferred","source_span":"","fact_ids":[],"rationale":"该值由搜索词整体语义推断，未作为页面明示属性。"}],"primary_domain":[{"value":"clothing_shoes_jewelry","evidence_type":"inferred","source_span":"","fact_ids":[],"rationale":"该值由搜索词整体语义推断，未作为页面明示属性。"}]}</x:v>
      </x:c>
      <x:c r="Y920" s="16" t="str">
        <x:v>typo_flips_for_flops</x:v>
      </x:c>
      <x:c r="Z920" s="13" t="str">
        <x:v>match</x:v>
      </x:c>
      <x:c r="AA920" s="16" t="str">
        <x:v>style_flip_flop | colors_visible</x:v>
      </x:c>
      <x:c r="AB920" s="13" t="str">
        <x:v>accepted</x:v>
      </x:c>
      <x:c r="AC920" s="13" t="str">
        <x:v>1.0.0</x:v>
      </x:c>
      <x:c r="AD920" s="13" t="str">
        <x:v>1.0.0</x:v>
      </x:c>
      <x:c r="AE920" s="13" t="str">
        <x:v>deepseek/deepseek-v4-pro</x:v>
      </x:c>
      <x:c r="AF920" s="13" t="str">
        <x:v>aj2-y90-20260714T234810-0bea2f52</x:v>
      </x:c>
      <x:c r="AG920" s="13" t="str">
        <x:v>full-0046</x:v>
      </x:c>
      <x:c r="AH920" s="13" t="str">
        <x:v>full</x:v>
      </x:c>
      <x:c r="AI920" s="13" t="n">
        <x:v>46</x:v>
      </x:c>
    </x:row>
    <x:row r="921" ht="34" customHeight="1">
      <x:c r="A921" s="15" t="str">
        <x:v>flip flops swim</x:v>
      </x:c>
      <x:c r="B921" s="15" t="str">
        <x:v>flip flops swim</x:v>
      </x:c>
      <x:c r="C921" s="10" t="str">
        <x:v>e3fa22b4c0f92159</x:v>
      </x:c>
      <x:c r="D921" s="10" t="str">
        <x:v>keyword</x:v>
      </x:c>
      <x:c r="E921" s="10" t="str">
        <x:v>en</x:v>
      </x:c>
      <x:c r="F921" s="10" t="str">
        <x:v>clothing_shoes_jewelry</x:v>
      </x:c>
      <x:c r="G921" s="15" t="str">
        <x:v>sports_outdoors</x:v>
      </x:c>
      <x:c r="H921" s="15" t="str">
        <x:v>flip_flops</x:v>
      </x:c>
      <x:c r="I921" s="15" t="str"/>
      <x:c r="J921" s="15" t="str">
        <x:v>swim_footwear | water_activity</x:v>
      </x:c>
      <x:c r="K921" s="15" t="str">
        <x:v>water_friendly</x:v>
      </x:c>
      <x:c r="L921" s="15" t="str">
        <x:v>swimming | pool</x:v>
      </x:c>
      <x:c r="M921" s="15" t="str">
        <x:v>pool | beach</x:v>
      </x:c>
      <x:c r="N921" s="15" t="str"/>
      <x:c r="O921" s="15" t="str">
        <x:v>summer</x:v>
      </x:c>
      <x:c r="P921" s="15" t="str"/>
      <x:c r="Q921" s="15" t="str"/>
      <x:c r="R921" s="15" t="str">
        <x:v>用户需要一双适合游泳或泳池场景穿着的人字拖，可能要求涉水后快干。</x:v>
      </x:c>
      <x:c r="S921" s="10" t="str">
        <x:v>consideration</x:v>
      </x:c>
      <x:c r="T921" s="15" t="str">
        <x:v>explicit | page_validated | inferred</x:v>
      </x:c>
      <x:c r="U921" s="10" t="str">
        <x:v>medium</x:v>
      </x:c>
      <x:c r="V921" s="15" t="str">
        <x:v>swim_flip_flops</x:v>
      </x:c>
      <x:c r="W921" s="15" t="str">
        <x:v>listing_gap_review</x:v>
      </x:c>
      <x:c r="X921" s="15" t="str">
        <x:v>{"product_type":[{"value":"flip_flops","evidence_type":"explicit","source_span":"flip flops","fact_ids":[],"rationale":""},{"value":"flip_flops","evidence_type":"page_validated","source_span":"","fact_ids":["style_flip_flop"],"rationale":"该槽位与商品基准中的明示页面事实一致。"}],"function_intent":[{"value":"swim_footwear","evidence_type":"inferred","source_span":"swim","fact_ids":[],"rationale":"游泳场景所需的鞋类"},{"value":"water_activity","evidence_type":"explicit","source_span":"swim","fact_ids":[],"rationale":""}],"event_intent":[{"value":"swimming","evidence_type":"explicit","source_span":"swim","fact_ids":[],"rationale":""},{"value":"pool","evidence_type":"inferred","source_span":"swim","fact_ids":[],"rationale":"游泳常发生在泳池"}],"location_intent":[{"value":"pool","evidence_type":"inferred","source_span":"swim","fact_ids":[],"rationale":"游泳场景核心地点"},{"value":"beach","evidence_type":"inferred","source_span":"swim","fact_ids":[],"rationale":"海滩也为游泳常见场所"}],"time_intent":[{"value":"summer","evidence_type":"inferred","source_span":"swim","fact_ids":[],"rationale":"游泳集中在夏季"}],"capability_intent":[{"value":"water_friendly","evidence_type":"inferred","source_span":"","fact_ids":[],"rationale":"该值由搜索词整体语义推断，未作为页面明示属性。"}],"primary_domain":[{"value":"clothing_shoes_jewelry","evidence_type":"inferred","source_span":"","fact_ids":[],"rationale":"该值由搜索词整体语义推断，未作为页面明示属性。"}],"secondary_domain":[{"value":"sports_outdoors","evidence_type":"inferred","source_span":"","fact_ids":[],"rationale":"该值由搜索词整体语义推断，未作为页面明示属性。"}]}</x:v>
      </x:c>
      <x:c r="Y921" s="15" t="str"/>
      <x:c r="Z921" s="10" t="str">
        <x:v>partial_match</x:v>
      </x:c>
      <x:c r="AA921" s="15" t="str">
        <x:v>style_flip_flop | style_outdoor</x:v>
      </x:c>
      <x:c r="AB921" s="10" t="str">
        <x:v>accepted</x:v>
      </x:c>
      <x:c r="AC921" s="10" t="str">
        <x:v>1.0.0</x:v>
      </x:c>
      <x:c r="AD921" s="10" t="str">
        <x:v>1.0.0</x:v>
      </x:c>
      <x:c r="AE921" s="10" t="str">
        <x:v>deepseek/deepseek-v4-pro</x:v>
      </x:c>
      <x:c r="AF921" s="10" t="str">
        <x:v>aj2-y90-20260714T234810-0bea2f52</x:v>
      </x:c>
      <x:c r="AG921" s="10" t="str">
        <x:v>full-0046</x:v>
      </x:c>
      <x:c r="AH921" s="10" t="str">
        <x:v>full</x:v>
      </x:c>
      <x:c r="AI921" s="10" t="n">
        <x:v>46</x:v>
      </x:c>
    </x:row>
    <x:row r="922" ht="34" customHeight="1">
      <x:c r="A922" s="16" t="str">
        <x:v>flip flops with support</x:v>
      </x:c>
      <x:c r="B922" s="16" t="str">
        <x:v>flip flops with support</x:v>
      </x:c>
      <x:c r="C922" s="13" t="str">
        <x:v>145ca16c1e49247e</x:v>
      </x:c>
      <x:c r="D922" s="13" t="str">
        <x:v>keyword</x:v>
      </x:c>
      <x:c r="E922" s="13" t="str">
        <x:v>en</x:v>
      </x:c>
      <x:c r="F922" s="13" t="str">
        <x:v>clothing_shoes_jewelry</x:v>
      </x:c>
      <x:c r="G922" s="16" t="str"/>
      <x:c r="H922" s="16" t="str">
        <x:v>flip_flops</x:v>
      </x:c>
      <x:c r="I922" s="16" t="str"/>
      <x:c r="J922" s="16" t="str">
        <x:v>comfort</x:v>
      </x:c>
      <x:c r="K922" s="16" t="str">
        <x:v>arch_support</x:v>
      </x:c>
      <x:c r="L922" s="16" t="str"/>
      <x:c r="M922" s="16" t="str"/>
      <x:c r="N922" s="16" t="str">
        <x:v>arch_support</x:v>
      </x:c>
      <x:c r="O922" s="16" t="str"/>
      <x:c r="P922" s="16" t="str"/>
      <x:c r="Q922" s="16" t="str"/>
      <x:c r="R922" s="16" t="str">
        <x:v>用户寻找具备支撑功能的人字拖鞋以提升穿着舒适度。</x:v>
      </x:c>
      <x:c r="S922" s="13" t="str">
        <x:v>high_intent</x:v>
      </x:c>
      <x:c r="T922" s="16" t="str">
        <x:v>explicit | page_validated</x:v>
      </x:c>
      <x:c r="U922" s="13" t="str">
        <x:v>high</x:v>
      </x:c>
      <x:c r="V922" s="16" t="str">
        <x:v>flip_flops_support</x:v>
      </x:c>
      <x:c r="W922" s="16" t="str">
        <x:v>cluster_route</x:v>
      </x:c>
      <x:c r="X922" s="16" t="str">
        <x:v>{"product_type":[{"value":"flip_flops","evidence_type":"explicit","source_span":"flip flops","fact_ids":[],"rationale":"词面直接提及flip flops。"},{"value":"flip_flops","evidence_type":"page_validated","source_span":"","fact_ids":["style_flip_flop"],"rationale":"该槽位与商品基准中的明示页面事实一致。"}],"capability_intent":[{"value":"arch_support","evidence_type":"inferred","source_span":"support","fact_ids":[],"rationale":"人字拖语境中support通常指足弓支撑。"},{"value":"arch_support","evidence_type":"page_validated","source_span":"","fact_ids":["arch_support"],"rationale":"该槽位与商品基准中的明示页面事实一致。"}],"function_intent":[{"value":"comfort","evidence_type":"inferred","source_span":"support","fact_ids":[],"rationale":"支撑功能最终目的是提升舒适度。"},{"value":"comfort","evidence_type":"page_validated","source_span":"","fact_ids":["arch_support","padded_cushioning"],"rationale":"该槽位与商品基准中的明示页面事实一致。"}],"primary_domain":[{"value":"clothing_shoes_jewelry","evidence_type":"inferred","source_span":"","fact_ids":[],"rationale":"该值由搜索词整体语义推断，未作为页面明示属性。"}]}</x:v>
      </x:c>
      <x:c r="Y922" s="16" t="str"/>
      <x:c r="Z922" s="13" t="str">
        <x:v>match</x:v>
      </x:c>
      <x:c r="AA922" s="16" t="str">
        <x:v>style_flip_flop | arch_support | padded_cushioning</x:v>
      </x:c>
      <x:c r="AB922" s="13" t="str">
        <x:v>accepted</x:v>
      </x:c>
      <x:c r="AC922" s="13" t="str">
        <x:v>1.0.0</x:v>
      </x:c>
      <x:c r="AD922" s="13" t="str">
        <x:v>1.1.0</x:v>
      </x:c>
      <x:c r="AE922" s="13" t="str">
        <x:v>deepseek/deepseek-v4-pro</x:v>
      </x:c>
      <x:c r="AF922" s="13" t="str">
        <x:v>aj2-y90-20260714T234810-0bea2f52</x:v>
      </x:c>
      <x:c r="AG922" s="13" t="str">
        <x:v>full-0047</x:v>
      </x:c>
      <x:c r="AH922" s="13" t="str">
        <x:v>full</x:v>
      </x:c>
      <x:c r="AI922" s="13" t="n">
        <x:v>47</x:v>
      </x:c>
    </x:row>
    <x:row r="923" ht="34" customHeight="1">
      <x:c r="A923" s="15" t="str">
        <x:v>summer sandals flip flops for women</x:v>
      </x:c>
      <x:c r="B923" s="15" t="str">
        <x:v>summer sandals flip flops for women</x:v>
      </x:c>
      <x:c r="C923" s="10" t="str">
        <x:v>28287b3773d3d3a3</x:v>
      </x:c>
      <x:c r="D923" s="10" t="str">
        <x:v>keyword</x:v>
      </x:c>
      <x:c r="E923" s="10" t="str">
        <x:v>en</x:v>
      </x:c>
      <x:c r="F923" s="10" t="str">
        <x:v>clothing_shoes_jewelry</x:v>
      </x:c>
      <x:c r="G923" s="15" t="str"/>
      <x:c r="H923" s="15" t="str">
        <x:v>sandals | flip_flops</x:v>
      </x:c>
      <x:c r="I923" s="15" t="str">
        <x:v>women</x:v>
      </x:c>
      <x:c r="J923" s="15" t="str"/>
      <x:c r="K923" s="15" t="str"/>
      <x:c r="L923" s="15" t="str"/>
      <x:c r="M923" s="15" t="str"/>
      <x:c r="N923" s="15" t="str"/>
      <x:c r="O923" s="15" t="str">
        <x:v>summer</x:v>
      </x:c>
      <x:c r="P923" s="15" t="str"/>
      <x:c r="Q923" s="15" t="str"/>
      <x:c r="R923" s="15" t="str">
        <x:v>女性用户寻找夏季穿着的凉鞋或人字拖鞋。</x:v>
      </x:c>
      <x:c r="S923" s="10" t="str">
        <x:v>high_intent</x:v>
      </x:c>
      <x:c r="T923" s="15" t="str">
        <x:v>explicit | page_validated</x:v>
      </x:c>
      <x:c r="U923" s="10" t="str">
        <x:v>high</x:v>
      </x:c>
      <x:c r="V923" s="15" t="str">
        <x:v>summer_sandals_flip_flops_women</x:v>
      </x:c>
      <x:c r="W923" s="15" t="str">
        <x:v>cluster_route</x:v>
      </x:c>
      <x:c r="X923" s="15" t="str">
        <x:v>{"product_type":[{"value":"sandals","evidence_type":"explicit","source_span":"sandals","fact_ids":[],"rationale":"词面直接提及sandals凉鞋类型。"},{"value":"flip_flops","evidence_type":"explicit","source_span":"flip flops","fact_ids":[],"rationale":"词面直接提及flip flops。"},{"value":"sandals","evidence_type":"page_validated","source_span":"","fact_ids":["title_womens_flip_flop"],"rationale":"该槽位与商品基准中的明示页面事实一致。"},{"value":"flip_flops","evidence_type":"page_validated","source_span":"","fact_ids":["style_flip_flop"],"rationale":"该槽位与商品基准中的明示页面事实一致。"}],"audience_intent":[{"value":"women","evidence_type":"explicit","source_span":"women","fact_ids":[],"rationale":"词面women指向女性用户。"},{"value":"women","evidence_type":"page_validated","source_span":"","fact_ids":["title_womens_flip_flop"],"rationale":"该槽位与商品基准中的明示页面事实一致。"}],"time_intent":[{"value":"summer","evidence_type":"explicit","source_span":"summer","fact_ids":["lightweight_breathable","style_open_toe"],"rationale":"词面summer为夏季，透气轻便与露趾设计适合夏季穿着。"}],"primary_domain":[{"value":"clothing_shoes_jewelry","evidence_type":"inferred","source_span":"","fact_ids":[],"rationale":"该值由搜索词整体语义推断，未作为页面明示属性。"}]}</x:v>
      </x:c>
      <x:c r="Y923" s="15" t="str"/>
      <x:c r="Z923" s="10" t="str">
        <x:v>match</x:v>
      </x:c>
      <x:c r="AA923" s="15" t="str">
        <x:v>title_womens_flip_flop | style_flip_flop | lightweight_breathable | style_open_toe</x:v>
      </x:c>
      <x:c r="AB923" s="10" t="str">
        <x:v>accepted</x:v>
      </x:c>
      <x:c r="AC923" s="10" t="str">
        <x:v>1.0.0</x:v>
      </x:c>
      <x:c r="AD923" s="10" t="str">
        <x:v>1.1.0</x:v>
      </x:c>
      <x:c r="AE923" s="10" t="str">
        <x:v>deepseek/deepseek-v4-pro</x:v>
      </x:c>
      <x:c r="AF923" s="10" t="str">
        <x:v>aj2-y90-20260714T234810-0bea2f52</x:v>
      </x:c>
      <x:c r="AG923" s="10" t="str">
        <x:v>full-0047</x:v>
      </x:c>
      <x:c r="AH923" s="10" t="str">
        <x:v>full</x:v>
      </x:c>
      <x:c r="AI923" s="10" t="n">
        <x:v>47</x:v>
      </x:c>
    </x:row>
    <x:row r="924" ht="34" customHeight="1">
      <x:c r="A924" s="16" t="str">
        <x:v>home flip flops</x:v>
      </x:c>
      <x:c r="B924" s="16" t="str">
        <x:v>home flip flops</x:v>
      </x:c>
      <x:c r="C924" s="13" t="str">
        <x:v>29b69f75da922919</x:v>
      </x:c>
      <x:c r="D924" s="13" t="str">
        <x:v>keyword</x:v>
      </x:c>
      <x:c r="E924" s="13" t="str">
        <x:v>en</x:v>
      </x:c>
      <x:c r="F924" s="13" t="str">
        <x:v>clothing_shoes_jewelry</x:v>
      </x:c>
      <x:c r="G924" s="16" t="str">
        <x:v>home_kitchen</x:v>
      </x:c>
      <x:c r="H924" s="16" t="str">
        <x:v>flip_flops | house_slippers</x:v>
      </x:c>
      <x:c r="I924" s="16" t="str"/>
      <x:c r="J924" s="16" t="str">
        <x:v>indoor_comfort</x:v>
      </x:c>
      <x:c r="K924" s="16" t="str"/>
      <x:c r="L924" s="16" t="str"/>
      <x:c r="M924" s="16" t="str">
        <x:v>indoor | home</x:v>
      </x:c>
      <x:c r="N924" s="16" t="str"/>
      <x:c r="O924" s="16" t="str"/>
      <x:c r="P924" s="16" t="str"/>
      <x:c r="Q924" s="16" t="str"/>
      <x:c r="R924" s="16" t="str">
        <x:v>用户寻找适合在家中室内穿着的拖鞋或人字拖。</x:v>
      </x:c>
      <x:c r="S924" s="13" t="str">
        <x:v>consideration</x:v>
      </x:c>
      <x:c r="T924" s="16" t="str">
        <x:v>explicit</x:v>
      </x:c>
      <x:c r="U924" s="13" t="str">
        <x:v>medium</x:v>
      </x:c>
      <x:c r="V924" s="16" t="str">
        <x:v>home_flip_flops_indoor</x:v>
      </x:c>
      <x:c r="W924" s="16" t="str">
        <x:v>listing_gap_review</x:v>
      </x:c>
      <x:c r="X924" s="16" t="str">
        <x:v>{"product_type":[{"value":"flip_flops","evidence_type":"explicit","source_span":"flip flops","fact_ids":[],"rationale":"词面直接提及flip flops。"},{"value":"flip_flops","evidence_type":"page_validated","source_span":"","fact_ids":["style_flip_flop"],"rationale":"该槽位与商品基准中的明示页面事实一致。"},{"value":"house_slippers","evidence_type":"inferred","source_span":"","fact_ids":[],"rationale":"该值由搜索词整体语义推断，未作为页面明示属性。"}],"location_intent":[{"value":"home","evidence_type":"explicit","source_span":"home","fact_ids":[],"rationale":"词面home指明家中室内场景。"},{"value":"indoor","evidence_type":"inferred","source_span":"home","fact_ids":[],"rationale":"home使用场景隐含室内环境。"}],"function_intent":[{"value":"indoor_comfort","evidence_type":"inferred","source_span":"home","fact_ids":[],"rationale":"家中穿着的人字拖核心需求为室内舒适。"}],"primary_domain":[{"value":"clothing_shoes_jewelry","evidence_type":"inferred","source_span":"","fact_ids":[],"rationale":"该值由搜索词整体语义推断，未作为页面明示属性。"}],"secondary_domain":[{"value":"home_kitchen","evidence_type":"inferred","source_span":"","fact_ids":[],"rationale":"该值由搜索词整体语义推断，未作为页面明示属性。"}]}</x:v>
      </x:c>
      <x:c r="Y924" s="16" t="str"/>
      <x:c r="Z924" s="13" t="str">
        <x:v>partial_match</x:v>
      </x:c>
      <x:c r="AA924" s="16" t="str">
        <x:v>style_flip_flop | padded_cushioning | soft_toe_post</x:v>
      </x:c>
      <x:c r="AB924" s="13" t="str">
        <x:v>accepted</x:v>
      </x:c>
      <x:c r="AC924" s="13" t="str">
        <x:v>1.0.0</x:v>
      </x:c>
      <x:c r="AD924" s="13" t="str">
        <x:v>1.1.0</x:v>
      </x:c>
      <x:c r="AE924" s="13" t="str">
        <x:v>deepseek/deepseek-v4-pro</x:v>
      </x:c>
      <x:c r="AF924" s="13" t="str">
        <x:v>aj2-y90-20260714T234810-0bea2f52</x:v>
      </x:c>
      <x:c r="AG924" s="13" t="str">
        <x:v>full-0047</x:v>
      </x:c>
      <x:c r="AH924" s="13" t="str">
        <x:v>full</x:v>
      </x:c>
      <x:c r="AI924" s="13" t="n">
        <x:v>47</x:v>
      </x:c>
    </x:row>
    <x:row r="925" ht="34" customHeight="1">
      <x:c r="A925" s="15" t="str">
        <x:v>black ladies flip flops</x:v>
      </x:c>
      <x:c r="B925" s="15" t="str">
        <x:v>black ladies flip flops</x:v>
      </x:c>
      <x:c r="C925" s="10" t="str">
        <x:v>2dbb1fa9b2008d82</x:v>
      </x:c>
      <x:c r="D925" s="10" t="str">
        <x:v>keyword</x:v>
      </x:c>
      <x:c r="E925" s="10" t="str">
        <x:v>en</x:v>
      </x:c>
      <x:c r="F925" s="10" t="str">
        <x:v>clothing_shoes_jewelry</x:v>
      </x:c>
      <x:c r="G925" s="15" t="str"/>
      <x:c r="H925" s="15" t="str">
        <x:v>flip_flops</x:v>
      </x:c>
      <x:c r="I925" s="15" t="str">
        <x:v>women</x:v>
      </x:c>
      <x:c r="J925" s="15" t="str"/>
      <x:c r="K925" s="15" t="str"/>
      <x:c r="L925" s="15" t="str"/>
      <x:c r="M925" s="15" t="str"/>
      <x:c r="N925" s="15" t="str"/>
      <x:c r="O925" s="15" t="str"/>
      <x:c r="P925" s="15" t="str"/>
      <x:c r="Q925" s="15" t="str"/>
      <x:c r="R925" s="15" t="str">
        <x:v>女性用户寻找黑色人字拖鞋用于日常穿着。</x:v>
      </x:c>
      <x:c r="S925" s="10" t="str">
        <x:v>high_intent</x:v>
      </x:c>
      <x:c r="T925" s="15" t="str">
        <x:v>explicit | page_validated</x:v>
      </x:c>
      <x:c r="U925" s="10" t="str">
        <x:v>high</x:v>
      </x:c>
      <x:c r="V925" s="15" t="str">
        <x:v>flip_flops_women_black</x:v>
      </x:c>
      <x:c r="W925" s="15" t="str">
        <x:v>cluster_route</x:v>
      </x:c>
      <x:c r="X925" s="15" t="str">
        <x:v>{"product_type":[{"value":"flip_flops","evidence_type":"explicit","source_span":"flip flops","fact_ids":[],"rationale":"词面直接提及产品类型flip flops。"},{"value":"flip_flops","evidence_type":"page_validated","source_span":"","fact_ids":["style_flip_flop"],"rationale":"该槽位与商品基准中的明示页面事实一致。"}],"audience_intent":[{"value":"women","evidence_type":"explicit","source_span":"ladies","fact_ids":[],"rationale":"词面ladies指向女性用户。"},{"value":"women","evidence_type":"page_validated","source_span":"","fact_ids":["title_womens_flip_flop"],"rationale":"该槽位与商品基准中的明示页面事实一致。"},{"value":"women","evidence_type":"inferred","source_span":"","fact_ids":[],"rationale":"该能力由搜索词表达的任务或问题推断；页面事实仅用于验证商品承接。"}],"color":[{"value":"black","evidence_type":"explicit","source_span":"black","fact_ids":["colors_visible"],"rationale":"该颜色在商品页面可见颜色选择中得到明确支持。"}],"primary_domain":[{"value":"clothing_shoes_jewelry","evidence_type":"inferred","source_span":"","fact_ids":[],"rationale":"该值由搜索词整体语义推断，未作为页面明示属性。"}]}</x:v>
      </x:c>
      <x:c r="Y925" s="15" t="str"/>
      <x:c r="Z925" s="10" t="str">
        <x:v>match</x:v>
      </x:c>
      <x:c r="AA925" s="15" t="str">
        <x:v>title_womens_flip_flop | style_flip_flop | colors_visible</x:v>
      </x:c>
      <x:c r="AB925" s="10" t="str">
        <x:v>accepted</x:v>
      </x:c>
      <x:c r="AC925" s="10" t="str">
        <x:v>1.0.0</x:v>
      </x:c>
      <x:c r="AD925" s="10" t="str">
        <x:v>1.1.0</x:v>
      </x:c>
      <x:c r="AE925" s="10" t="str">
        <x:v>deepseek/deepseek-v4-pro</x:v>
      </x:c>
      <x:c r="AF925" s="10" t="str">
        <x:v>aj2-y90-20260714T234810-0bea2f52</x:v>
      </x:c>
      <x:c r="AG925" s="10" t="str">
        <x:v>full-0047</x:v>
      </x:c>
      <x:c r="AH925" s="10" t="str">
        <x:v>full</x:v>
      </x:c>
      <x:c r="AI925" s="10" t="n">
        <x:v>47</x:v>
      </x:c>
    </x:row>
    <x:row r="926" ht="34" customHeight="1">
      <x:c r="A926" s="16" t="str">
        <x:v>拖鞋女生夏天</x:v>
      </x:c>
      <x:c r="B926" s="16" t="str">
        <x:v>拖鞋女生夏天</x:v>
      </x:c>
      <x:c r="C926" s="13" t="str">
        <x:v>30075ab9c9643e3a</x:v>
      </x:c>
      <x:c r="D926" s="13" t="str">
        <x:v>keyword</x:v>
      </x:c>
      <x:c r="E926" s="13" t="str">
        <x:v>zh</x:v>
      </x:c>
      <x:c r="F926" s="13" t="str">
        <x:v>clothing_shoes_jewelry</x:v>
      </x:c>
      <x:c r="G926" s="16" t="str"/>
      <x:c r="H926" s="16" t="str">
        <x:v>flip_flops | slippers</x:v>
      </x:c>
      <x:c r="I926" s="16" t="str">
        <x:v>women | girls</x:v>
      </x:c>
      <x:c r="J926" s="16" t="str"/>
      <x:c r="K926" s="16" t="str"/>
      <x:c r="L926" s="16" t="str"/>
      <x:c r="M926" s="16" t="str"/>
      <x:c r="N926" s="16" t="str"/>
      <x:c r="O926" s="16" t="str">
        <x:v>summer</x:v>
      </x:c>
      <x:c r="P926" s="16" t="str"/>
      <x:c r="Q926" s="16" t="str"/>
      <x:c r="R926" s="16" t="str">
        <x:v>女性或年轻女生寻找夏季穿着的拖鞋或人字拖。</x:v>
      </x:c>
      <x:c r="S926" s="13" t="str">
        <x:v>high_intent</x:v>
      </x:c>
      <x:c r="T926" s="16" t="str">
        <x:v>explicit | page_validated</x:v>
      </x:c>
      <x:c r="U926" s="13" t="str">
        <x:v>high</x:v>
      </x:c>
      <x:c r="V926" s="16" t="str">
        <x:v>flip_flops_women_summer</x:v>
      </x:c>
      <x:c r="W926" s="16" t="str">
        <x:v>cluster_route</x:v>
      </x:c>
      <x:c r="X926" s="16" t="str">
        <x:v>{"product_type":[{"value":"flip_flops","evidence_type":"inferred","source_span":"拖鞋","fact_ids":[],"rationale":"夏季女性拖鞋在语境中高度指向人字拖。"},{"value":"slippers","evidence_type":"explicit","source_span":"拖鞋","fact_ids":[],"rationale":"词面拖鞋可直接对应slippers品类。"},{"value":"flip_flops","evidence_type":"page_validated","source_span":"","fact_ids":["style_flip_flop"],"rationale":"该槽位与商品基准中的明示页面事实一致。"}],"audience_intent":[{"value":"women","evidence_type":"explicit","source_span":"女生","fact_ids":[],"rationale":"女生泛指女性用户。"},{"value":"women","evidence_type":"page_validated","source_span":"","fact_ids":["title_womens_flip_flop"],"rationale":"该槽位与商品基准中的明示页面事实一致。"},{"value":"women","evidence_type":"inferred","source_span":"","fact_ids":[],"rationale":"该能力由搜索词表达的任务或问题推断；页面事实仅用于验证商品承接。"},{"value":"girls","evidence_type":"inferred","source_span":"","fact_ids":[],"rationale":"该值由搜索词整体语义推断，未作为页面明示属性。"}],"time_intent":[{"value":"summer","evidence_type":"explicit","source_span":"夏天","fact_ids":["lightweight_breathable","style_open_toe"],"rationale":"夏天为夏季，透气轻便与露趾设计适用。"}],"primary_domain":[{"value":"clothing_shoes_jewelry","evidence_type":"inferred","source_span":"","fact_ids":[],"rationale":"该值由搜索词整体语义推断，未作为页面明示属性。"}]}</x:v>
      </x:c>
      <x:c r="Y926" s="16" t="str"/>
      <x:c r="Z926" s="13" t="str">
        <x:v>match</x:v>
      </x:c>
      <x:c r="AA926" s="16" t="str">
        <x:v>title_womens_flip_flop | style_flip_flop | lightweight_breathable | style_open_toe</x:v>
      </x:c>
      <x:c r="AB926" s="13" t="str">
        <x:v>accepted</x:v>
      </x:c>
      <x:c r="AC926" s="13" t="str">
        <x:v>1.0.0</x:v>
      </x:c>
      <x:c r="AD926" s="13" t="str">
        <x:v>1.1.0</x:v>
      </x:c>
      <x:c r="AE926" s="13" t="str">
        <x:v>deepseek/deepseek-v4-pro</x:v>
      </x:c>
      <x:c r="AF926" s="13" t="str">
        <x:v>aj2-y90-20260714T234810-0bea2f52</x:v>
      </x:c>
      <x:c r="AG926" s="13" t="str">
        <x:v>full-0047</x:v>
      </x:c>
      <x:c r="AH926" s="13" t="str">
        <x:v>full</x:v>
      </x:c>
      <x:c r="AI926" s="13" t="n">
        <x:v>47</x:v>
      </x:c>
    </x:row>
    <x:row r="927" ht="34" customHeight="1">
      <x:c r="A927" s="15" t="str">
        <x:v>black comfortable soft between toe flip flops for women</x:v>
      </x:c>
      <x:c r="B927" s="15" t="str">
        <x:v>black comfortable soft between toe flip flops for women</x:v>
      </x:c>
      <x:c r="C927" s="10" t="str">
        <x:v>41dc5395b3732726</x:v>
      </x:c>
      <x:c r="D927" s="10" t="str">
        <x:v>keyword</x:v>
      </x:c>
      <x:c r="E927" s="10" t="str">
        <x:v>en</x:v>
      </x:c>
      <x:c r="F927" s="10" t="str">
        <x:v>clothing_shoes_jewelry</x:v>
      </x:c>
      <x:c r="G927" s="15" t="str"/>
      <x:c r="H927" s="15" t="str">
        <x:v>flip_flops</x:v>
      </x:c>
      <x:c r="I927" s="15" t="str">
        <x:v>women</x:v>
      </x:c>
      <x:c r="J927" s="15" t="str">
        <x:v>comfort</x:v>
      </x:c>
      <x:c r="K927" s="15" t="str">
        <x:v>soft_toe_post | cushioning</x:v>
      </x:c>
      <x:c r="L927" s="15" t="str"/>
      <x:c r="M927" s="15" t="str"/>
      <x:c r="N927" s="15" t="str">
        <x:v>toe_comfort</x:v>
      </x:c>
      <x:c r="O927" s="15" t="str"/>
      <x:c r="P927" s="15" t="str"/>
      <x:c r="Q927" s="15" t="str"/>
      <x:c r="R927" s="15" t="str">
        <x:v>女性用户寻找黑色、舒适且趾间柔软有缓冲的人字拖鞋。</x:v>
      </x:c>
      <x:c r="S927" s="10" t="str">
        <x:v>high_intent</x:v>
      </x:c>
      <x:c r="T927" s="15" t="str">
        <x:v>explicit | page_validated</x:v>
      </x:c>
      <x:c r="U927" s="10" t="str">
        <x:v>high</x:v>
      </x:c>
      <x:c r="V927" s="15" t="str">
        <x:v>flip_flops_women_black_comfort_soft_toe</x:v>
      </x:c>
      <x:c r="W927" s="15" t="str">
        <x:v>cluster_route</x:v>
      </x:c>
      <x:c r="X927" s="15" t="str">
        <x:v>{"product_type":[{"value":"flip_flops","evidence_type":"explicit","source_span":"flip flops","fact_ids":[],"rationale":"词面直接提及flip flops。"},{"value":"flip_flops","evidence_type":"page_validated","source_span":"","fact_ids":["style_flip_flop"],"rationale":"该槽位与商品基准中的明示页面事实一致。"}],"audience_intent":[{"value":"women","evidence_type":"explicit","source_span":"women","fact_ids":[],"rationale":"词面women指向女性用户。"},{"value":"women","evidence_type":"page_validated","source_span":"","fact_ids":["title_womens_flip_flop"],"rationale":"该槽位与商品基准中的明示页面事实一致。"}],"function_intent":[{"value":"comfort","evidence_type":"explicit","source_span":"comfortable","fact_ids":["arch_support","padded_cushioning"],"rationale":"词面comfortable为明确舒适需求。"},{"value":"comfort","evidence_type":"page_validated","source_span":"","fact_ids":["arch_support","padded_cushioning"],"rationale":"该槽位与商品基准中的明示页面事实一致。"}],"capability_intent":[{"value":"soft_toe_post","evidence_type":"explicit","source_span":"soft between toe","fact_ids":["soft_toe_post"],"rationale":"soft between toe直接对应页面升级柔软趾柱。"},{"value":"cushioning","evidence_type":"inferred","source_span":"soft","fact_ids":[],"rationale":"soft需求可被加厚缓冲垫满足。"},{"value":"cushioning","evidence_type":"page_validated","source_span":"","fact_ids":["padded_cushioning"],"rationale":"该槽位与商品基准中的明示页面事实一致。"}],"body_need_intent":[{"value":"toe_comfort","evidence_type":"inferred","source_span":"soft between toe","fact_ids":[],"rationale":"趾间柔软反映脚趾舒适的身体需求。"}],"color":[{"value":"black","evidence_type":"explicit","source_span":"black","fact_ids":["colors_visible"],"rationale":"该颜色在商品页面可见颜色选择中得到明确支持。"}],"primary_domain":[{"value":"clothing_shoes_jewelry","evidence_type":"inferred","source_span":"","fact_ids":[],"rationale":"该值由搜索词整体语义推断，未作为页面明示属性。"}]}</x:v>
      </x:c>
      <x:c r="Y927" s="15" t="str"/>
      <x:c r="Z927" s="10" t="str">
        <x:v>match</x:v>
      </x:c>
      <x:c r="AA927" s="15" t="str">
        <x:v>title_womens_flip_flop | style_flip_flop | soft_toe_post | padded_cushioning | arch_support | colors_visible</x:v>
      </x:c>
      <x:c r="AB927" s="10" t="str">
        <x:v>accepted</x:v>
      </x:c>
      <x:c r="AC927" s="10" t="str">
        <x:v>1.0.0</x:v>
      </x:c>
      <x:c r="AD927" s="10" t="str">
        <x:v>1.1.0</x:v>
      </x:c>
      <x:c r="AE927" s="10" t="str">
        <x:v>deepseek/deepseek-v4-pro</x:v>
      </x:c>
      <x:c r="AF927" s="10" t="str">
        <x:v>aj2-y90-20260714T234810-0bea2f52</x:v>
      </x:c>
      <x:c r="AG927" s="10" t="str">
        <x:v>full-0047</x:v>
      </x:c>
      <x:c r="AH927" s="10" t="str">
        <x:v>full</x:v>
      </x:c>
      <x:c r="AI927" s="10" t="n">
        <x:v>47</x:v>
      </x:c>
    </x:row>
    <x:row r="928" ht="34" customHeight="1">
      <x:c r="A928" s="16" t="str">
        <x:v>flip flop women</x:v>
      </x:c>
      <x:c r="B928" s="16" t="str">
        <x:v>flip flop women</x:v>
      </x:c>
      <x:c r="C928" s="13" t="str">
        <x:v>43634f0fbb562ac1</x:v>
      </x:c>
      <x:c r="D928" s="13" t="str">
        <x:v>keyword</x:v>
      </x:c>
      <x:c r="E928" s="13" t="str">
        <x:v>en</x:v>
      </x:c>
      <x:c r="F928" s="13" t="str">
        <x:v>clothing_shoes_jewelry</x:v>
      </x:c>
      <x:c r="G928" s="16" t="str"/>
      <x:c r="H928" s="16" t="str">
        <x:v>flip_flops</x:v>
      </x:c>
      <x:c r="I928" s="16" t="str">
        <x:v>women</x:v>
      </x:c>
      <x:c r="J928" s="16" t="str"/>
      <x:c r="K928" s="16" t="str"/>
      <x:c r="L928" s="16" t="str"/>
      <x:c r="M928" s="16" t="str"/>
      <x:c r="N928" s="16" t="str"/>
      <x:c r="O928" s="16" t="str"/>
      <x:c r="P928" s="16" t="str"/>
      <x:c r="Q928" s="16" t="str"/>
      <x:c r="R928" s="16" t="str">
        <x:v>女性用户浏览或购买人字拖鞋。</x:v>
      </x:c>
      <x:c r="S928" s="13" t="str">
        <x:v>exploration</x:v>
      </x:c>
      <x:c r="T928" s="16" t="str">
        <x:v>explicit | page_validated</x:v>
      </x:c>
      <x:c r="U928" s="13" t="str">
        <x:v>high</x:v>
      </x:c>
      <x:c r="V928" s="16" t="str">
        <x:v>flip_flops_women</x:v>
      </x:c>
      <x:c r="W928" s="16" t="str">
        <x:v>cluster_route</x:v>
      </x:c>
      <x:c r="X928" s="16" t="str">
        <x:v>{"product_type":[{"value":"flip_flops","evidence_type":"explicit","source_span":"flip flop","fact_ids":[],"rationale":"词面直接提及flip flop。"},{"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audience_intent":[{"value":"women","evidence_type":"explicit","source_span":"women","fact_ids":[],"rationale":"词面women指向女性用户。"},{"value":"women","evidence_type":"page_validated","source_span":"","fact_ids":["title_womens_flip_flop"],"rationale":"该槽位与商品基准中的明示页面事实一致。"}],"primary_domain":[{"value":"clothing_shoes_jewelry","evidence_type":"inferred","source_span":"","fact_ids":[],"rationale":"该值由搜索词整体语义推断，未作为页面明示属性。"}]}</x:v>
      </x:c>
      <x:c r="Y928" s="16" t="str"/>
      <x:c r="Z928" s="13" t="str">
        <x:v>match</x:v>
      </x:c>
      <x:c r="AA928" s="16" t="str">
        <x:v>title_womens_flip_flop | style_flip_flop</x:v>
      </x:c>
      <x:c r="AB928" s="13" t="str">
        <x:v>accepted</x:v>
      </x:c>
      <x:c r="AC928" s="13" t="str">
        <x:v>1.0.0</x:v>
      </x:c>
      <x:c r="AD928" s="13" t="str">
        <x:v>1.1.0</x:v>
      </x:c>
      <x:c r="AE928" s="13" t="str">
        <x:v>deepseek/deepseek-v4-pro</x:v>
      </x:c>
      <x:c r="AF928" s="13" t="str">
        <x:v>aj2-y90-20260714T234810-0bea2f52</x:v>
      </x:c>
      <x:c r="AG928" s="13" t="str">
        <x:v>full-0047</x:v>
      </x:c>
      <x:c r="AH928" s="13" t="str">
        <x:v>full</x:v>
      </x:c>
      <x:c r="AI928" s="13" t="n">
        <x:v>47</x:v>
      </x:c>
    </x:row>
    <x:row r="929" ht="34" customHeight="1">
      <x:c r="A929" s="15" t="str">
        <x:v>blue womens flip flops</x:v>
      </x:c>
      <x:c r="B929" s="15" t="str">
        <x:v>blue womens flip flops</x:v>
      </x:c>
      <x:c r="C929" s="10" t="str">
        <x:v>51a5a25a31c39e98</x:v>
      </x:c>
      <x:c r="D929" s="10" t="str">
        <x:v>keyword</x:v>
      </x:c>
      <x:c r="E929" s="10" t="str">
        <x:v>en</x:v>
      </x:c>
      <x:c r="F929" s="10" t="str">
        <x:v>clothing_shoes_jewelry</x:v>
      </x:c>
      <x:c r="G929" s="15" t="str"/>
      <x:c r="H929" s="15" t="str">
        <x:v>flip_flops</x:v>
      </x:c>
      <x:c r="I929" s="15" t="str">
        <x:v>women</x:v>
      </x:c>
      <x:c r="J929" s="15" t="str"/>
      <x:c r="K929" s="15" t="str"/>
      <x:c r="L929" s="15" t="str"/>
      <x:c r="M929" s="15" t="str"/>
      <x:c r="N929" s="15" t="str"/>
      <x:c r="O929" s="15" t="str"/>
      <x:c r="P929" s="15" t="str"/>
      <x:c r="Q929" s="15" t="str"/>
      <x:c r="R929" s="15" t="str">
        <x:v>女性用户寻找蓝色人字拖鞋。</x:v>
      </x:c>
      <x:c r="S929" s="10" t="str">
        <x:v>high_intent</x:v>
      </x:c>
      <x:c r="T929" s="15" t="str">
        <x:v>explicit | page_validated</x:v>
      </x:c>
      <x:c r="U929" s="10" t="str">
        <x:v>high</x:v>
      </x:c>
      <x:c r="V929" s="15" t="str">
        <x:v>flip_flops_women_blue</x:v>
      </x:c>
      <x:c r="W929" s="15" t="str">
        <x:v>cluster_route</x:v>
      </x:c>
      <x:c r="X929" s="15" t="str">
        <x:v>{"product_type":[{"value":"flip_flops","evidence_type":"explicit","source_span":"flip flops","fact_ids":[],"rationale":"词面直接提及flip flops。"},{"value":"flip_flops","evidence_type":"page_validated","source_span":"","fact_ids":["style_flip_flop"],"rationale":"该槽位与商品基准中的明示页面事实一致。"}],"audience_intent":[{"value":"women","evidence_type":"explicit","source_span":"womens","fact_ids":[],"rationale":"词面womens指向女性用户。"},{"value":"women","evidence_type":"page_validated","source_span":"","fact_ids":["title_womens_flip_flop"],"rationale":"该槽位与商品基准中的明示页面事实一致。"}],"color":[{"value":"blue","evidence_type":"explicit","source_span":"blue","fact_ids":[],"rationale":"这是搜索词中的颜色约束，但商品页面基准未确认该具体颜色。"}],"primary_domain":[{"value":"clothing_shoes_jewelry","evidence_type":"inferred","source_span":"","fact_ids":[],"rationale":"该值由搜索词整体语义推断，未作为页面明示属性。"}]}</x:v>
      </x:c>
      <x:c r="Y929" s="15" t="str"/>
      <x:c r="Z929" s="10" t="str">
        <x:v>match</x:v>
      </x:c>
      <x:c r="AA929" s="15" t="str">
        <x:v>title_womens_flip_flop | style_flip_flop | colors_visible</x:v>
      </x:c>
      <x:c r="AB929" s="10" t="str">
        <x:v>accepted</x:v>
      </x:c>
      <x:c r="AC929" s="10" t="str">
        <x:v>1.0.0</x:v>
      </x:c>
      <x:c r="AD929" s="10" t="str">
        <x:v>1.1.0</x:v>
      </x:c>
      <x:c r="AE929" s="10" t="str">
        <x:v>deepseek/deepseek-v4-pro</x:v>
      </x:c>
      <x:c r="AF929" s="10" t="str">
        <x:v>aj2-y90-20260714T234810-0bea2f52</x:v>
      </x:c>
      <x:c r="AG929" s="10" t="str">
        <x:v>full-0047</x:v>
      </x:c>
      <x:c r="AH929" s="10" t="str">
        <x:v>full</x:v>
      </x:c>
      <x:c r="AI929" s="10" t="n">
        <x:v>47</x:v>
      </x:c>
    </x:row>
    <x:row r="930" ht="34" customHeight="1">
      <x:c r="A930" s="16" t="str">
        <x:v>archies flip flops sale</x:v>
      </x:c>
      <x:c r="B930" s="16" t="str">
        <x:v>archies flip flops sale</x:v>
      </x:c>
      <x:c r="C930" s="13" t="str">
        <x:v>75d1206017456766</x:v>
      </x:c>
      <x:c r="D930" s="13" t="str">
        <x:v>keyword</x:v>
      </x:c>
      <x:c r="E930" s="13" t="str">
        <x:v>en</x:v>
      </x:c>
      <x:c r="F930" s="13" t="str">
        <x:v>clothing_shoes_jewelry</x:v>
      </x:c>
      <x:c r="G930" s="16" t="str"/>
      <x:c r="H930" s="16" t="str">
        <x:v>flip_flops</x:v>
      </x:c>
      <x:c r="I930" s="16" t="str"/>
      <x:c r="J930" s="16" t="str"/>
      <x:c r="K930" s="16" t="str"/>
      <x:c r="L930" s="16" t="str"/>
      <x:c r="M930" s="16" t="str"/>
      <x:c r="N930" s="16" t="str"/>
      <x:c r="O930" s="16" t="str"/>
      <x:c r="P930" s="16" t="str">
        <x:v>brand_archies</x:v>
      </x:c>
      <x:c r="Q930" s="16" t="str"/>
      <x:c r="R930" s="16" t="str">
        <x:v>用户搜索Archies品牌人字拖鞋并关注促销折扣信息。</x:v>
      </x:c>
      <x:c r="S930" s="13" t="str">
        <x:v>brand_harvest</x:v>
      </x:c>
      <x:c r="T930" s="16" t="str">
        <x:v>explicit</x:v>
      </x:c>
      <x:c r="U930" s="13" t="str">
        <x:v>high</x:v>
      </x:c>
      <x:c r="V930" s="16" t="str">
        <x:v>archies_flip_flops_brand</x:v>
      </x:c>
      <x:c r="W930" s="16" t="str">
        <x:v>semantic_negative_candidate</x:v>
      </x:c>
      <x:c r="X930" s="16" t="str">
        <x:v>{"product_type":[{"value":"flip_flops","evidence_type":"explicit","source_span":"flip flops","fact_ids":[],"rationale":"词面直接提及flip flops。"},{"value":"flip_flops","evidence_type":"page_validated","source_span":"","fact_ids":["style_flip_flop"],"rationale":"该槽位与商品基准中的明示页面事实一致。"}],"substitute_intent":[{"value":"brand_archies","evidence_type":"explicit","source_span":"archies","fact_ids":[],"rationale":"词面archies为竞品品牌名，非本产品joomra。"}],"primary_domain":[{"value":"clothing_shoes_jewelry","evidence_type":"inferred","source_span":"","fact_ids":[],"rationale":"该值由搜索词整体语义推断，未作为页面明示属性。"}]}</x:v>
      </x:c>
      <x:c r="Y930" s="16" t="str"/>
      <x:c r="Z930" s="13" t="str">
        <x:v>mismatch</x:v>
      </x:c>
      <x:c r="AA930" s="16" t="str"/>
      <x:c r="AB930" s="13" t="str">
        <x:v>accepted</x:v>
      </x:c>
      <x:c r="AC930" s="13" t="str">
        <x:v>1.0.0</x:v>
      </x:c>
      <x:c r="AD930" s="13" t="str">
        <x:v>1.1.0</x:v>
      </x:c>
      <x:c r="AE930" s="13" t="str">
        <x:v>deepseek/deepseek-v4-pro</x:v>
      </x:c>
      <x:c r="AF930" s="13" t="str">
        <x:v>aj2-y90-20260714T234810-0bea2f52</x:v>
      </x:c>
      <x:c r="AG930" s="13" t="str">
        <x:v>full-0047</x:v>
      </x:c>
      <x:c r="AH930" s="13" t="str">
        <x:v>full</x:v>
      </x:c>
      <x:c r="AI930" s="13" t="n">
        <x:v>47</x:v>
      </x:c>
    </x:row>
    <x:row r="931" ht="34" customHeight="1">
      <x:c r="A931" s="15" t="str">
        <x:v>flip flops north face</x:v>
      </x:c>
      <x:c r="B931" s="15" t="str">
        <x:v>flip flops north face</x:v>
      </x:c>
      <x:c r="C931" s="10" t="str">
        <x:v>789246f3081de8fd</x:v>
      </x:c>
      <x:c r="D931" s="10" t="str">
        <x:v>keyword</x:v>
      </x:c>
      <x:c r="E931" s="10" t="str">
        <x:v>en</x:v>
      </x:c>
      <x:c r="F931" s="10" t="str">
        <x:v>clothing_shoes_jewelry</x:v>
      </x:c>
      <x:c r="G931" s="15" t="str"/>
      <x:c r="H931" s="15" t="str">
        <x:v>flip_flops</x:v>
      </x:c>
      <x:c r="I931" s="15" t="str"/>
      <x:c r="J931" s="15" t="str"/>
      <x:c r="K931" s="15" t="str"/>
      <x:c r="L931" s="15" t="str"/>
      <x:c r="M931" s="15" t="str"/>
      <x:c r="N931" s="15" t="str"/>
      <x:c r="O931" s="15" t="str"/>
      <x:c r="P931" s="15" t="str">
        <x:v>brand_the_north_face</x:v>
      </x:c>
      <x:c r="Q931" s="15" t="str"/>
      <x:c r="R931" s="15" t="str">
        <x:v>用户搜索The North Face品牌的人字拖鞋。</x:v>
      </x:c>
      <x:c r="S931" s="10" t="str">
        <x:v>brand_harvest</x:v>
      </x:c>
      <x:c r="T931" s="15" t="str">
        <x:v>explicit</x:v>
      </x:c>
      <x:c r="U931" s="10" t="str">
        <x:v>high</x:v>
      </x:c>
      <x:c r="V931" s="15" t="str">
        <x:v>north_face_flip_flops_brand</x:v>
      </x:c>
      <x:c r="W931" s="15" t="str">
        <x:v>semantic_negative_candidate</x:v>
      </x:c>
      <x:c r="X931" s="15" t="str">
        <x:v>{"product_type":[{"value":"flip_flops","evidence_type":"explicit","source_span":"flip flops","fact_ids":[],"rationale":"词面直接提及flip flops。"},{"value":"flip_flops","evidence_type":"page_validated","source_span":"","fact_ids":["style_flip_flop"],"rationale":"该槽位与商品基准中的明示页面事实一致。"}],"substitute_intent":[{"value":"brand_the_north_face","evidence_type":"explicit","source_span":"north face","fact_ids":[],"rationale":"north face为The North Face品牌名，与joomra无关。"}],"primary_domain":[{"value":"clothing_shoes_jewelry","evidence_type":"inferred","source_span":"","fact_ids":[],"rationale":"该值由搜索词整体语义推断，未作为页面明示属性。"}]}</x:v>
      </x:c>
      <x:c r="Y931" s="15" t="str"/>
      <x:c r="Z931" s="10" t="str">
        <x:v>mismatch</x:v>
      </x:c>
      <x:c r="AA931" s="15" t="str"/>
      <x:c r="AB931" s="10" t="str">
        <x:v>accepted</x:v>
      </x:c>
      <x:c r="AC931" s="10" t="str">
        <x:v>1.0.0</x:v>
      </x:c>
      <x:c r="AD931" s="10" t="str">
        <x:v>1.1.0</x:v>
      </x:c>
      <x:c r="AE931" s="10" t="str">
        <x:v>deepseek/deepseek-v4-pro</x:v>
      </x:c>
      <x:c r="AF931" s="10" t="str">
        <x:v>aj2-y90-20260714T234810-0bea2f52</x:v>
      </x:c>
      <x:c r="AG931" s="10" t="str">
        <x:v>full-0047</x:v>
      </x:c>
      <x:c r="AH931" s="10" t="str">
        <x:v>full</x:v>
      </x:c>
      <x:c r="AI931" s="10" t="n">
        <x:v>47</x:v>
      </x:c>
    </x:row>
    <x:row r="932" ht="34" customHeight="1">
      <x:c r="A932" s="16" t="str">
        <x:v>timpani flip flops</x:v>
      </x:c>
      <x:c r="B932" s="16" t="str">
        <x:v>timpani flip flops</x:v>
      </x:c>
      <x:c r="C932" s="13" t="str">
        <x:v>7a2b27587c755387</x:v>
      </x:c>
      <x:c r="D932" s="13" t="str">
        <x:v>keyword</x:v>
      </x:c>
      <x:c r="E932" s="13" t="str">
        <x:v>en</x:v>
      </x:c>
      <x:c r="F932" s="13" t="str">
        <x:v>clothing_shoes_jewelry</x:v>
      </x:c>
      <x:c r="G932" s="16" t="str"/>
      <x:c r="H932" s="16" t="str">
        <x:v>flip_flops</x:v>
      </x:c>
      <x:c r="I932" s="16" t="str"/>
      <x:c r="J932" s="16" t="str"/>
      <x:c r="K932" s="16" t="str"/>
      <x:c r="L932" s="16" t="str"/>
      <x:c r="M932" s="16" t="str"/>
      <x:c r="N932" s="16" t="str"/>
      <x:c r="O932" s="16" t="str"/>
      <x:c r="P932" s="16" t="str">
        <x:v>brand_timpani</x:v>
      </x:c>
      <x:c r="Q932" s="16" t="str"/>
      <x:c r="R932" s="16" t="str">
        <x:v>用户搜索Timpani品牌的人字拖鞋。</x:v>
      </x:c>
      <x:c r="S932" s="13" t="str">
        <x:v>brand_harvest</x:v>
      </x:c>
      <x:c r="T932" s="16" t="str">
        <x:v>explicit</x:v>
      </x:c>
      <x:c r="U932" s="13" t="str">
        <x:v>medium</x:v>
      </x:c>
      <x:c r="V932" s="16" t="str">
        <x:v>timpani_flip_flops_brand</x:v>
      </x:c>
      <x:c r="W932" s="16" t="str">
        <x:v>semantic_negative_candidate</x:v>
      </x:c>
      <x:c r="X932" s="16" t="str">
        <x:v>{"product_type":[{"value":"flip_flops","evidence_type":"explicit","source_span":"flip flops","fact_ids":[],"rationale":"词面直接提及flip flops。"},{"value":"flip_flops","evidence_type":"page_validated","source_span":"","fact_ids":["style_flip_flop"],"rationale":"该槽位与商品基准中的明示页面事实一致。"}],"substitute_intent":[{"value":"brand_timpani","evidence_type":"explicit","source_span":"timpani","fact_ids":[],"rationale":"timpani为小众品牌名，非本产品joomra。"}],"primary_domain":[{"value":"clothing_shoes_jewelry","evidence_type":"inferred","source_span":"","fact_ids":[],"rationale":"该值由搜索词整体语义推断，未作为页面明示属性。"}]}</x:v>
      </x:c>
      <x:c r="Y932" s="16" t="str">
        <x:v>uncommon_brand_timpani</x:v>
      </x:c>
      <x:c r="Z932" s="13" t="str">
        <x:v>mismatch</x:v>
      </x:c>
      <x:c r="AA932" s="16" t="str"/>
      <x:c r="AB932" s="13" t="str">
        <x:v>accepted</x:v>
      </x:c>
      <x:c r="AC932" s="13" t="str">
        <x:v>1.0.0</x:v>
      </x:c>
      <x:c r="AD932" s="13" t="str">
        <x:v>1.1.0</x:v>
      </x:c>
      <x:c r="AE932" s="13" t="str">
        <x:v>deepseek/deepseek-v4-pro</x:v>
      </x:c>
      <x:c r="AF932" s="13" t="str">
        <x:v>aj2-y90-20260714T234810-0bea2f52</x:v>
      </x:c>
      <x:c r="AG932" s="13" t="str">
        <x:v>full-0047</x:v>
      </x:c>
      <x:c r="AH932" s="13" t="str">
        <x:v>full</x:v>
      </x:c>
      <x:c r="AI932" s="13" t="n">
        <x:v>47</x:v>
      </x:c>
    </x:row>
    <x:row r="933" ht="34" customHeight="1">
      <x:c r="A933" s="15" t="str">
        <x:v>flip flops sandals</x:v>
      </x:c>
      <x:c r="B933" s="15" t="str">
        <x:v>flip flops sandals</x:v>
      </x:c>
      <x:c r="C933" s="10" t="str">
        <x:v>7d18f758f3dad04b</x:v>
      </x:c>
      <x:c r="D933" s="10" t="str">
        <x:v>keyword</x:v>
      </x:c>
      <x:c r="E933" s="10" t="str">
        <x:v>en</x:v>
      </x:c>
      <x:c r="F933" s="10" t="str">
        <x:v>clothing_shoes_jewelry</x:v>
      </x:c>
      <x:c r="G933" s="15" t="str"/>
      <x:c r="H933" s="15" t="str">
        <x:v>flip_flops | sandals</x:v>
      </x:c>
      <x:c r="I933" s="15" t="str"/>
      <x:c r="J933" s="15" t="str"/>
      <x:c r="K933" s="15" t="str"/>
      <x:c r="L933" s="15" t="str"/>
      <x:c r="M933" s="15" t="str"/>
      <x:c r="N933" s="15" t="str"/>
      <x:c r="O933" s="15" t="str"/>
      <x:c r="P933" s="15" t="str"/>
      <x:c r="Q933" s="15" t="str"/>
      <x:c r="R933" s="15" t="str">
        <x:v>用户浏览人字拖或凉鞋品类产品。</x:v>
      </x:c>
      <x:c r="S933" s="10" t="str">
        <x:v>exploration</x:v>
      </x:c>
      <x:c r="T933" s="15" t="str">
        <x:v>explicit</x:v>
      </x:c>
      <x:c r="U933" s="10" t="str">
        <x:v>high</x:v>
      </x:c>
      <x:c r="V933" s="15" t="str">
        <x:v>flip_flops_sandals</x:v>
      </x:c>
      <x:c r="W933" s="15" t="str">
        <x:v>cluster_route</x:v>
      </x:c>
      <x:c r="X933" s="15" t="str">
        <x:v>{"product_type":[{"value":"flip_flops","evidence_type":"explicit","source_span":"flip flops","fact_ids":[],"rationale":"词面直接提及flip flops。"},{"value":"sandals","evidence_type":"explicit","source_span":"sandals","fact_ids":[],"rationale":"词面直接提及sandals。"},{"value":"flip_flops","evidence_type":"page_validated","source_span":"","fact_ids":["style_flip_flop"],"rationale":"该槽位与商品基准中的明示页面事实一致。"},{"value":"sandals","evidence_type":"page_validated","source_span":"","fact_ids":["title_womens_flip_flop"],"rationale":"该槽位与商品基准中的明示页面事实一致。"}],"primary_domain":[{"value":"clothing_shoes_jewelry","evidence_type":"inferred","source_span":"","fact_ids":[],"rationale":"该值由搜索词整体语义推断，未作为页面明示属性。"}]}</x:v>
      </x:c>
      <x:c r="Y933" s="15" t="str"/>
      <x:c r="Z933" s="10" t="str">
        <x:v>match</x:v>
      </x:c>
      <x:c r="AA933" s="15" t="str">
        <x:v>style_flip_flop</x:v>
      </x:c>
      <x:c r="AB933" s="10" t="str">
        <x:v>accepted</x:v>
      </x:c>
      <x:c r="AC933" s="10" t="str">
        <x:v>1.0.0</x:v>
      </x:c>
      <x:c r="AD933" s="10" t="str">
        <x:v>1.1.0</x:v>
      </x:c>
      <x:c r="AE933" s="10" t="str">
        <x:v>deepseek/deepseek-v4-pro</x:v>
      </x:c>
      <x:c r="AF933" s="10" t="str">
        <x:v>aj2-y90-20260714T234810-0bea2f52</x:v>
      </x:c>
      <x:c r="AG933" s="10" t="str">
        <x:v>full-0047</x:v>
      </x:c>
      <x:c r="AH933" s="10" t="str">
        <x:v>full</x:v>
      </x:c>
      <x:c r="AI933" s="10" t="n">
        <x:v>47</x:v>
      </x:c>
    </x:row>
    <x:row r="934" ht="34" customHeight="1">
      <x:c r="A934" s="16" t="str">
        <x:v>womens flip flops with some support</x:v>
      </x:c>
      <x:c r="B934" s="16" t="str">
        <x:v>womens flip flops with some support</x:v>
      </x:c>
      <x:c r="C934" s="13" t="str">
        <x:v>7f00c795262bcee6</x:v>
      </x:c>
      <x:c r="D934" s="13" t="str">
        <x:v>keyword</x:v>
      </x:c>
      <x:c r="E934" s="13" t="str">
        <x:v>en</x:v>
      </x:c>
      <x:c r="F934" s="13" t="str">
        <x:v>clothing_shoes_jewelry</x:v>
      </x:c>
      <x:c r="G934" s="16" t="str"/>
      <x:c r="H934" s="16" t="str">
        <x:v>flip_flops</x:v>
      </x:c>
      <x:c r="I934" s="16" t="str">
        <x:v>women</x:v>
      </x:c>
      <x:c r="J934" s="16" t="str">
        <x:v>comfort</x:v>
      </x:c>
      <x:c r="K934" s="16" t="str">
        <x:v>arch_support</x:v>
      </x:c>
      <x:c r="L934" s="16" t="str"/>
      <x:c r="M934" s="16" t="str"/>
      <x:c r="N934" s="16" t="str">
        <x:v>arch_support</x:v>
      </x:c>
      <x:c r="O934" s="16" t="str"/>
      <x:c r="P934" s="16" t="str"/>
      <x:c r="Q934" s="16" t="str"/>
      <x:c r="R934" s="16" t="str">
        <x:v>女性用户寻找具有一定支撑功能的人字拖鞋以提升穿着舒适度。</x:v>
      </x:c>
      <x:c r="S934" s="13" t="str">
        <x:v>high_intent</x:v>
      </x:c>
      <x:c r="T934" s="16" t="str">
        <x:v>explicit | page_validated</x:v>
      </x:c>
      <x:c r="U934" s="13" t="str">
        <x:v>high</x:v>
      </x:c>
      <x:c r="V934" s="16" t="str">
        <x:v>flip_flops_women_support</x:v>
      </x:c>
      <x:c r="W934" s="16" t="str">
        <x:v>cluster_route</x:v>
      </x:c>
      <x:c r="X934" s="16" t="str">
        <x:v>{"product_type":[{"value":"flip_flops","evidence_type":"explicit","source_span":"flip flops","fact_ids":[],"rationale":"词面直接提及flip flops。"},{"value":"flip_flops","evidence_type":"page_validated","source_span":"","fact_ids":["style_flip_flop"],"rationale":"该槽位与商品基准中的明示页面事实一致。"}],"audience_intent":[{"value":"women","evidence_type":"explicit","source_span":"womens","fact_ids":[],"rationale":"词面womens指向女性用户。"},{"value":"women","evidence_type":"page_validated","source_span":"","fact_ids":["title_womens_flip_flop"],"rationale":"该槽位与商品基准中的明示页面事实一致。"}],"capability_intent":[{"value":"arch_support","evidence_type":"inferred","source_span":"support","fact_ids":[],"rationale":"人字拖语境中support通常指足弓支撑。"},{"value":"arch_support","evidence_type":"page_validated","source_span":"","fact_ids":["arch_support"],"rationale":"该槽位与商品基准中的明示页面事实一致。"}],"function_intent":[{"value":"comfort","evidence_type":"inferred","source_span":"support","fact_ids":[],"rationale":"支撑功能最终服务于舒适穿着体验。"},{"value":"comfort","evidence_type":"page_validated","source_span":"","fact_ids":["arch_support","padded_cushioning"],"rationale":"该槽位与商品基准中的明示页面事实一致。"}],"primary_domain":[{"value":"clothing_shoes_jewelry","evidence_type":"inferred","source_span":"","fact_ids":[],"rationale":"该值由搜索词整体语义推断，未作为页面明示属性。"}]}</x:v>
      </x:c>
      <x:c r="Y934" s="16" t="str"/>
      <x:c r="Z934" s="13" t="str">
        <x:v>match</x:v>
      </x:c>
      <x:c r="AA934" s="16" t="str">
        <x:v>title_womens_flip_flop | style_flip_flop | arch_support | padded_cushioning</x:v>
      </x:c>
      <x:c r="AB934" s="13" t="str">
        <x:v>accepted</x:v>
      </x:c>
      <x:c r="AC934" s="13" t="str">
        <x:v>1.0.0</x:v>
      </x:c>
      <x:c r="AD934" s="13" t="str">
        <x:v>1.1.0</x:v>
      </x:c>
      <x:c r="AE934" s="13" t="str">
        <x:v>deepseek/deepseek-v4-pro</x:v>
      </x:c>
      <x:c r="AF934" s="13" t="str">
        <x:v>aj2-y90-20260714T234810-0bea2f52</x:v>
      </x:c>
      <x:c r="AG934" s="13" t="str">
        <x:v>full-0047</x:v>
      </x:c>
      <x:c r="AH934" s="13" t="str">
        <x:v>full</x:v>
      </x:c>
      <x:c r="AI934" s="13" t="n">
        <x:v>47</x:v>
      </x:c>
    </x:row>
    <x:row r="935" ht="34" customHeight="1">
      <x:c r="A935" s="15" t="str">
        <x:v>beach flip flops for women waterproof</x:v>
      </x:c>
      <x:c r="B935" s="15" t="str">
        <x:v>beach flip flops for women waterproof</x:v>
      </x:c>
      <x:c r="C935" s="10" t="str">
        <x:v>89cc6b425790b9c5</x:v>
      </x:c>
      <x:c r="D935" s="10" t="str">
        <x:v>keyword</x:v>
      </x:c>
      <x:c r="E935" s="10" t="str">
        <x:v>en</x:v>
      </x:c>
      <x:c r="F935" s="10" t="str">
        <x:v>clothing_shoes_jewelry</x:v>
      </x:c>
      <x:c r="G935" s="15" t="str"/>
      <x:c r="H935" s="15" t="str">
        <x:v>flip_flops</x:v>
      </x:c>
      <x:c r="I935" s="15" t="str">
        <x:v>women</x:v>
      </x:c>
      <x:c r="J935" s="15" t="str">
        <x:v>water_protection</x:v>
      </x:c>
      <x:c r="K935" s="15" t="str">
        <x:v>waterproof</x:v>
      </x:c>
      <x:c r="L935" s="15" t="str"/>
      <x:c r="M935" s="15" t="str">
        <x:v>beach</x:v>
      </x:c>
      <x:c r="N935" s="15" t="str"/>
      <x:c r="O935" s="15" t="str"/>
      <x:c r="P935" s="15" t="str"/>
      <x:c r="Q935" s="15" t="str"/>
      <x:c r="R935" s="15" t="str">
        <x:v>女性用户寻找适合海滩穿着且具备防水功能的人字拖鞋。</x:v>
      </x:c>
      <x:c r="S935" s="10" t="str">
        <x:v>high_intent</x:v>
      </x:c>
      <x:c r="T935" s="15" t="str">
        <x:v>explicit | page_validated</x:v>
      </x:c>
      <x:c r="U935" s="10" t="str">
        <x:v>medium</x:v>
      </x:c>
      <x:c r="V935" s="15" t="str">
        <x:v>flip_flops_women_beach_waterproof</x:v>
      </x:c>
      <x:c r="W935" s="15" t="str">
        <x:v>listing_gap_review</x:v>
      </x:c>
      <x:c r="X935" s="15" t="str">
        <x:v>{"product_type":[{"value":"flip_flops","evidence_type":"explicit","source_span":"flip flops","fact_ids":[],"rationale":"词面直接提及flip flops。"},{"value":"flip_flops","evidence_type":"page_validated","source_span":"","fact_ids":["style_flip_flop"],"rationale":"该槽位与商品基准中的明示页面事实一致。"}],"audience_intent":[{"value":"women","evidence_type":"explicit","source_span":"women","fact_ids":[],"rationale":"词面women指向女性用户。"},{"value":"women","evidence_type":"page_validated","source_span":"","fact_ids":["title_womens_flip_flop"],"rationale":"该槽位与商品基准中的明示页面事实一致。"}],"location_intent":[{"value":"beach","evidence_type":"explicit","source_span":"beach","fact_ids":["style_outdoor"],"rationale":"词面beach指明海滩使用场景，与户外定位一致。"}],"capability_intent":[{"value":"waterproof","evidence_type":"explicit","source_span":"waterproof","fact_ids":[],"rationale":"词面明确要求防水，但页面未声明防水性能。"}],"function_intent":[{"value":"water_protection","evidence_type":"inferred","source_span":"","fact_ids":[],"rationale":"该值由搜索词整体语义推断，未作为页面明示属性。"}],"primary_domain":[{"value":"clothing_shoes_jewelry","evidence_type":"inferred","source_span":"","fact_ids":[],"rationale":"该值由搜索词整体语义推断，未作为页面明示属性。"}]}</x:v>
      </x:c>
      <x:c r="Y935" s="15" t="str"/>
      <x:c r="Z935" s="10" t="str">
        <x:v>partial_match</x:v>
      </x:c>
      <x:c r="AA935" s="15" t="str">
        <x:v>title_womens_flip_flop | style_flip_flop | style_outdoor</x:v>
      </x:c>
      <x:c r="AB935" s="10" t="str">
        <x:v>accepted</x:v>
      </x:c>
      <x:c r="AC935" s="10" t="str">
        <x:v>1.0.0</x:v>
      </x:c>
      <x:c r="AD935" s="10" t="str">
        <x:v>1.1.0</x:v>
      </x:c>
      <x:c r="AE935" s="10" t="str">
        <x:v>deepseek/deepseek-v4-pro</x:v>
      </x:c>
      <x:c r="AF935" s="10" t="str">
        <x:v>aj2-y90-20260714T234810-0bea2f52</x:v>
      </x:c>
      <x:c r="AG935" s="10" t="str">
        <x:v>full-0047</x:v>
      </x:c>
      <x:c r="AH935" s="10" t="str">
        <x:v>full</x:v>
      </x:c>
      <x:c r="AI935" s="10" t="n">
        <x:v>47</x:v>
      </x:c>
    </x:row>
    <x:row r="936" ht="34" customHeight="1">
      <x:c r="A936" s="16" t="str">
        <x:v>cruise flip flops for women</x:v>
      </x:c>
      <x:c r="B936" s="16" t="str">
        <x:v>cruise flip flops for women</x:v>
      </x:c>
      <x:c r="C936" s="13" t="str">
        <x:v>9071af39ee86ce87</x:v>
      </x:c>
      <x:c r="D936" s="13" t="str">
        <x:v>keyword</x:v>
      </x:c>
      <x:c r="E936" s="13" t="str">
        <x:v>en</x:v>
      </x:c>
      <x:c r="F936" s="13" t="str">
        <x:v>clothing_shoes_jewelry</x:v>
      </x:c>
      <x:c r="G936" s="16" t="str"/>
      <x:c r="H936" s="16" t="str">
        <x:v>flip_flops</x:v>
      </x:c>
      <x:c r="I936" s="16" t="str">
        <x:v>women</x:v>
      </x:c>
      <x:c r="J936" s="16" t="str"/>
      <x:c r="K936" s="16" t="str"/>
      <x:c r="L936" s="16" t="str">
        <x:v>cruise</x:v>
      </x:c>
      <x:c r="M936" s="16" t="str"/>
      <x:c r="N936" s="16" t="str"/>
      <x:c r="O936" s="16" t="str"/>
      <x:c r="P936" s="16" t="str"/>
      <x:c r="Q936" s="16" t="str"/>
      <x:c r="R936" s="16" t="str">
        <x:v>女性用户寻找适合邮轮旅行时穿着的人字拖鞋。</x:v>
      </x:c>
      <x:c r="S936" s="13" t="str">
        <x:v>high_intent</x:v>
      </x:c>
      <x:c r="T936" s="16" t="str">
        <x:v>explicit | page_validated</x:v>
      </x:c>
      <x:c r="U936" s="13" t="str">
        <x:v>high</x:v>
      </x:c>
      <x:c r="V936" s="16" t="str">
        <x:v>flip_flops_women_cruise</x:v>
      </x:c>
      <x:c r="W936" s="16" t="str">
        <x:v>cluster_route</x:v>
      </x:c>
      <x:c r="X936" s="16" t="str">
        <x:v>{"product_type":[{"value":"flip_flops","evidence_type":"explicit","source_span":"flip flops","fact_ids":[],"rationale":"词面直接提及flip flops。"},{"value":"flip_flops","evidence_type":"page_validated","source_span":"","fact_ids":["style_flip_flop"],"rationale":"该槽位与商品基准中的明示页面事实一致。"}],"audience_intent":[{"value":"women","evidence_type":"explicit","source_span":"women","fact_ids":[],"rationale":"词面women指向女性用户。"},{"value":"women","evidence_type":"page_validated","source_span":"","fact_ids":["title_womens_flip_flop"],"rationale":"该槽位与商品基准中的明示页面事实一致。"}],"event_intent":[{"value":"cruise","evidence_type":"explicit","source_span":"cruise","fact_ids":["style_outdoor","slip_resistant_grip"],"rationale":"词面cruise指邮轮场景，户外定位与防滑底适合甲板使用。"}],"primary_domain":[{"value":"clothing_shoes_jewelry","evidence_type":"inferred","source_span":"","fact_ids":[],"rationale":"该值由搜索词整体语义推断，未作为页面明示属性。"}]}</x:v>
      </x:c>
      <x:c r="Y936" s="16" t="str"/>
      <x:c r="Z936" s="13" t="str">
        <x:v>match</x:v>
      </x:c>
      <x:c r="AA936" s="16" t="str">
        <x:v>title_womens_flip_flop | style_flip_flop | style_outdoor | slip_resistant_grip</x:v>
      </x:c>
      <x:c r="AB936" s="13" t="str">
        <x:v>accepted</x:v>
      </x:c>
      <x:c r="AC936" s="13" t="str">
        <x:v>1.0.0</x:v>
      </x:c>
      <x:c r="AD936" s="13" t="str">
        <x:v>1.1.0</x:v>
      </x:c>
      <x:c r="AE936" s="13" t="str">
        <x:v>deepseek/deepseek-v4-pro</x:v>
      </x:c>
      <x:c r="AF936" s="13" t="str">
        <x:v>aj2-y90-20260714T234810-0bea2f52</x:v>
      </x:c>
      <x:c r="AG936" s="13" t="str">
        <x:v>full-0047</x:v>
      </x:c>
      <x:c r="AH936" s="13" t="str">
        <x:v>full</x:v>
      </x:c>
      <x:c r="AI936" s="13" t="n">
        <x:v>47</x:v>
      </x:c>
    </x:row>
    <x:row r="937" ht="34" customHeight="1">
      <x:c r="A937" s="15" t="str">
        <x:v>fñip flops womens</x:v>
      </x:c>
      <x:c r="B937" s="15" t="str">
        <x:v>fñip flops womens</x:v>
      </x:c>
      <x:c r="C937" s="10" t="str">
        <x:v>96264433acb961e2</x:v>
      </x:c>
      <x:c r="D937" s="10" t="str">
        <x:v>keyword</x:v>
      </x:c>
      <x:c r="E937" s="10" t="str">
        <x:v>en</x:v>
      </x:c>
      <x:c r="F937" s="10" t="str">
        <x:v>clothing_shoes_jewelry</x:v>
      </x:c>
      <x:c r="G937" s="15" t="str"/>
      <x:c r="H937" s="15" t="str">
        <x:v>flip_flops</x:v>
      </x:c>
      <x:c r="I937" s="15" t="str">
        <x:v>women</x:v>
      </x:c>
      <x:c r="J937" s="15" t="str"/>
      <x:c r="K937" s="15" t="str"/>
      <x:c r="L937" s="15" t="str"/>
      <x:c r="M937" s="15" t="str"/>
      <x:c r="N937" s="15" t="str"/>
      <x:c r="O937" s="15" t="str"/>
      <x:c r="P937" s="15" t="str"/>
      <x:c r="Q937" s="15" t="str"/>
      <x:c r="R937" s="15" t="str">
        <x:v>女性用户寻找人字拖鞋（搜索词存在拼写错误fñip flops应为flip flops）。</x:v>
      </x:c>
      <x:c r="S937" s="10" t="str">
        <x:v>high_intent</x:v>
      </x:c>
      <x:c r="T937" s="15" t="str">
        <x:v>inferred | page_validated</x:v>
      </x:c>
      <x:c r="U937" s="10" t="str">
        <x:v>high</x:v>
      </x:c>
      <x:c r="V937" s="15" t="str">
        <x:v>flip_flops_women</x:v>
      </x:c>
      <x:c r="W937" s="15" t="str">
        <x:v>cluster_route</x:v>
      </x:c>
      <x:c r="X937" s="15" t="str">
        <x:v>{"product_type":[{"value":"flip_flops","evidence_type":"inferred","source_span":"fñip flops","fact_ids":[],"rationale":"fñip flops为flip flops的明显拼写错误。"},{"value":"flip_flops","evidence_type":"page_validated","source_span":"","fact_ids":["style_flip_flop"],"rationale":"该槽位与商品基准中的明示页面事实一致。"}],"audience_intent":[{"value":"women","evidence_type":"explicit","source_span":"womens","fact_ids":[],"rationale":"词面womens指向女性用户。"},{"value":"women","evidence_type":"page_validated","source_span":"","fact_ids":["title_womens_flip_flop"],"rationale":"该槽位与商品基准中的明示页面事实一致。"}],"primary_domain":[{"value":"clothing_shoes_jewelry","evidence_type":"inferred","source_span":"","fact_ids":[],"rationale":"该值由搜索词整体语义推断，未作为页面明示属性。"}]}</x:v>
      </x:c>
      <x:c r="Y937" s="15" t="str">
        <x:v>typo_fnip_flops</x:v>
      </x:c>
      <x:c r="Z937" s="10" t="str">
        <x:v>match</x:v>
      </x:c>
      <x:c r="AA937" s="15" t="str">
        <x:v>title_womens_flip_flop | style_flip_flop</x:v>
      </x:c>
      <x:c r="AB937" s="10" t="str">
        <x:v>accepted</x:v>
      </x:c>
      <x:c r="AC937" s="10" t="str">
        <x:v>1.0.0</x:v>
      </x:c>
      <x:c r="AD937" s="10" t="str">
        <x:v>1.1.0</x:v>
      </x:c>
      <x:c r="AE937" s="10" t="str">
        <x:v>deepseek/deepseek-v4-pro</x:v>
      </x:c>
      <x:c r="AF937" s="10" t="str">
        <x:v>aj2-y90-20260714T234810-0bea2f52</x:v>
      </x:c>
      <x:c r="AG937" s="10" t="str">
        <x:v>full-0047</x:v>
      </x:c>
      <x:c r="AH937" s="10" t="str">
        <x:v>full</x:v>
      </x:c>
      <x:c r="AI937" s="10" t="n">
        <x:v>47</x:v>
      </x:c>
    </x:row>
    <x:row r="938" ht="34" customHeight="1">
      <x:c r="A938" s="16" t="str">
        <x:v>lake flip flops women</x:v>
      </x:c>
      <x:c r="B938" s="16" t="str">
        <x:v>lake flip flops women</x:v>
      </x:c>
      <x:c r="C938" s="13" t="str">
        <x:v>a3de7f185d7923cf</x:v>
      </x:c>
      <x:c r="D938" s="13" t="str">
        <x:v>keyword</x:v>
      </x:c>
      <x:c r="E938" s="13" t="str">
        <x:v>en</x:v>
      </x:c>
      <x:c r="F938" s="13" t="str">
        <x:v>clothing_shoes_jewelry</x:v>
      </x:c>
      <x:c r="G938" s="16" t="str"/>
      <x:c r="H938" s="16" t="str">
        <x:v>flip_flops</x:v>
      </x:c>
      <x:c r="I938" s="16" t="str">
        <x:v>women</x:v>
      </x:c>
      <x:c r="J938" s="16" t="str"/>
      <x:c r="K938" s="16" t="str"/>
      <x:c r="L938" s="16" t="str"/>
      <x:c r="M938" s="16" t="str">
        <x:v>lake</x:v>
      </x:c>
      <x:c r="N938" s="16" t="str"/>
      <x:c r="O938" s="16" t="str"/>
      <x:c r="P938" s="16" t="str"/>
      <x:c r="Q938" s="16" t="str"/>
      <x:c r="R938" s="16" t="str">
        <x:v>女性用户寻找适合湖边活动穿着的人字拖鞋。</x:v>
      </x:c>
      <x:c r="S938" s="13" t="str">
        <x:v>high_intent</x:v>
      </x:c>
      <x:c r="T938" s="16" t="str">
        <x:v>explicit | page_validated</x:v>
      </x:c>
      <x:c r="U938" s="13" t="str">
        <x:v>high</x:v>
      </x:c>
      <x:c r="V938" s="16" t="str">
        <x:v>flip_flops_women_lake</x:v>
      </x:c>
      <x:c r="W938" s="16" t="str">
        <x:v>cluster_route</x:v>
      </x:c>
      <x:c r="X938" s="16" t="str">
        <x:v>{"product_type":[{"value":"flip_flops","evidence_type":"explicit","source_span":"flip flops","fact_ids":[],"rationale":"词面直接提及flip flops。"},{"value":"flip_flops","evidence_type":"page_validated","source_span":"","fact_ids":["style_flip_flop"],"rationale":"该槽位与商品基准中的明示页面事实一致。"}],"audience_intent":[{"value":"women","evidence_type":"explicit","source_span":"women","fact_ids":[],"rationale":"词面women指向女性用户。"},{"value":"women","evidence_type":"page_validated","source_span":"","fact_ids":["title_womens_flip_flop"],"rationale":"该槽位与商品基准中的明示页面事实一致。"}],"location_intent":[{"value":"lake","evidence_type":"explicit","source_span":"lake","fact_ids":["style_outdoor","easy_clean","slip_resistant_grip"],"rationale":"词面lake指湖边场景，EVA易清洁且防滑底适合潮湿环境。"}],"primary_domain":[{"value":"clothing_shoes_jewelry","evidence_type":"inferred","source_span":"","fact_ids":[],"rationale":"该值由搜索词整体语义推断，未作为页面明示属性。"}]}</x:v>
      </x:c>
      <x:c r="Y938" s="16" t="str"/>
      <x:c r="Z938" s="13" t="str">
        <x:v>match</x:v>
      </x:c>
      <x:c r="AA938" s="16" t="str">
        <x:v>title_womens_flip_flop | style_flip_flop | style_outdoor | easy_clean | slip_resistant_grip</x:v>
      </x:c>
      <x:c r="AB938" s="13" t="str">
        <x:v>accepted</x:v>
      </x:c>
      <x:c r="AC938" s="13" t="str">
        <x:v>1.0.0</x:v>
      </x:c>
      <x:c r="AD938" s="13" t="str">
        <x:v>1.1.0</x:v>
      </x:c>
      <x:c r="AE938" s="13" t="str">
        <x:v>deepseek/deepseek-v4-pro</x:v>
      </x:c>
      <x:c r="AF938" s="13" t="str">
        <x:v>aj2-y90-20260714T234810-0bea2f52</x:v>
      </x:c>
      <x:c r="AG938" s="13" t="str">
        <x:v>full-0047</x:v>
      </x:c>
      <x:c r="AH938" s="13" t="str">
        <x:v>full</x:v>
      </x:c>
      <x:c r="AI938" s="13" t="n">
        <x:v>47</x:v>
      </x:c>
    </x:row>
    <x:row r="939" ht="34" customHeight="1">
      <x:c r="A939" s="15" t="str">
        <x:v>kidmi womens arch support flip flops</x:v>
      </x:c>
      <x:c r="B939" s="15" t="str">
        <x:v>kidmi womens arch support flip flops</x:v>
      </x:c>
      <x:c r="C939" s="10" t="str">
        <x:v>b25e890449f902aa</x:v>
      </x:c>
      <x:c r="D939" s="10" t="str">
        <x:v>keyword</x:v>
      </x:c>
      <x:c r="E939" s="10" t="str">
        <x:v>en</x:v>
      </x:c>
      <x:c r="F939" s="10" t="str">
        <x:v>clothing_shoes_jewelry</x:v>
      </x:c>
      <x:c r="G939" s="15" t="str"/>
      <x:c r="H939" s="15" t="str">
        <x:v>flip_flops</x:v>
      </x:c>
      <x:c r="I939" s="15" t="str">
        <x:v>women</x:v>
      </x:c>
      <x:c r="J939" s="15" t="str">
        <x:v>comfort</x:v>
      </x:c>
      <x:c r="K939" s="15" t="str">
        <x:v>arch_support</x:v>
      </x:c>
      <x:c r="L939" s="15" t="str"/>
      <x:c r="M939" s="15" t="str"/>
      <x:c r="N939" s="15" t="str">
        <x:v>arch_support</x:v>
      </x:c>
      <x:c r="O939" s="15" t="str"/>
      <x:c r="P939" s="15" t="str">
        <x:v>brand_kidmi</x:v>
      </x:c>
      <x:c r="Q939" s="15" t="str"/>
      <x:c r="R939" s="15" t="str">
        <x:v>用户搜索Kidmi品牌女性足弓支撑人字拖鞋。</x:v>
      </x:c>
      <x:c r="S939" s="10" t="str">
        <x:v>brand_harvest</x:v>
      </x:c>
      <x:c r="T939" s="15" t="str">
        <x:v>explicit</x:v>
      </x:c>
      <x:c r="U939" s="10" t="str">
        <x:v>high</x:v>
      </x:c>
      <x:c r="V939" s="15" t="str">
        <x:v>kidmi_flip_flops_women_arch_support</x:v>
      </x:c>
      <x:c r="W939" s="15" t="str">
        <x:v>semantic_negative_candidate</x:v>
      </x:c>
      <x:c r="X939" s="15" t="str">
        <x:v>{"product_type":[{"value":"flip_flops","evidence_type":"explicit","source_span":"flip flops","fact_ids":[],"rationale":"词面直接提及flip flops。"},{"value":"flip_flops","evidence_type":"page_validated","source_span":"","fact_ids":["style_flip_flop"],"rationale":"该槽位与商品基准中的明示页面事实一致。"}],"audience_intent":[{"value":"women","evidence_type":"explicit","source_span":"womens","fact_ids":[],"rationale":"词面womens指向女性用户。"},{"value":"women","evidence_type":"page_validated","source_span":"","fact_ids":["title_womens_flip_flop"],"rationale":"该槽位与商品基准中的明示页面事实一致。"}],"capability_intent":[{"value":"arch_support","evidence_type":"explicit","source_span":"arch support","fact_ids":[],"rationale":"词面arch support明确需求，但与品牌kidmi绑定。"},{"value":"arch_support","evidence_type":"page_validated","source_span":"","fact_ids":["arch_support"],"rationale":"该槽位与商品基准中的明示页面事实一致。"}],"substitute_intent":[{"value":"brand_kidmi","evidence_type":"explicit","source_span":"kidmi","fact_ids":[],"rationale":"kidmi为特定品牌名，非本产品joomra。"}],"function_intent":[{"value":"comfort","evidence_type":"page_validated","source_span":"","fact_ids":["arch_support","padded_cushioning"],"rationale":"该槽位与商品基准中的明示页面事实一致。"},{"value":"comfor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939" s="15" t="str"/>
      <x:c r="Z939" s="10" t="str">
        <x:v>mismatch</x:v>
      </x:c>
      <x:c r="AA939" s="15" t="str"/>
      <x:c r="AB939" s="10" t="str">
        <x:v>accepted</x:v>
      </x:c>
      <x:c r="AC939" s="10" t="str">
        <x:v>1.0.0</x:v>
      </x:c>
      <x:c r="AD939" s="10" t="str">
        <x:v>1.1.0</x:v>
      </x:c>
      <x:c r="AE939" s="10" t="str">
        <x:v>deepseek/deepseek-v4-pro</x:v>
      </x:c>
      <x:c r="AF939" s="10" t="str">
        <x:v>aj2-y90-20260714T234810-0bea2f52</x:v>
      </x:c>
      <x:c r="AG939" s="10" t="str">
        <x:v>full-0047</x:v>
      </x:c>
      <x:c r="AH939" s="10" t="str">
        <x:v>full</x:v>
      </x:c>
      <x:c r="AI939" s="10" t="n">
        <x:v>47</x:v>
      </x:c>
    </x:row>
    <x:row r="940" ht="34" customHeight="1">
      <x:c r="A940" s="16" t="str">
        <x:v>pool flip flops for women arch support</x:v>
      </x:c>
      <x:c r="B940" s="16" t="str">
        <x:v>pool flip flops for women arch support</x:v>
      </x:c>
      <x:c r="C940" s="13" t="str">
        <x:v>de978ff7ac762a62</x:v>
      </x:c>
      <x:c r="D940" s="13" t="str">
        <x:v>keyword</x:v>
      </x:c>
      <x:c r="E940" s="13" t="str">
        <x:v>en</x:v>
      </x:c>
      <x:c r="F940" s="13" t="str">
        <x:v>clothing_shoes_jewelry</x:v>
      </x:c>
      <x:c r="G940" s="16" t="str"/>
      <x:c r="H940" s="16" t="str">
        <x:v>flip_flops</x:v>
      </x:c>
      <x:c r="I940" s="16" t="str">
        <x:v>women</x:v>
      </x:c>
      <x:c r="J940" s="16" t="str">
        <x:v>comfort</x:v>
      </x:c>
      <x:c r="K940" s="16" t="str">
        <x:v>arch_support</x:v>
      </x:c>
      <x:c r="L940" s="16" t="str"/>
      <x:c r="M940" s="16" t="str">
        <x:v>pool</x:v>
      </x:c>
      <x:c r="N940" s="16" t="str">
        <x:v>arch_support</x:v>
      </x:c>
      <x:c r="O940" s="16" t="str"/>
      <x:c r="P940" s="16" t="str"/>
      <x:c r="Q940" s="16" t="str"/>
      <x:c r="R940" s="16" t="str">
        <x:v>女性用户寻找适合泳池边穿着且具备足弓支撑功能的人字拖鞋。</x:v>
      </x:c>
      <x:c r="S940" s="13" t="str">
        <x:v>high_intent</x:v>
      </x:c>
      <x:c r="T940" s="16" t="str">
        <x:v>explicit | page_validated</x:v>
      </x:c>
      <x:c r="U940" s="13" t="str">
        <x:v>high</x:v>
      </x:c>
      <x:c r="V940" s="16" t="str">
        <x:v>flip_flops_women_pool_arch_support</x:v>
      </x:c>
      <x:c r="W940" s="16" t="str">
        <x:v>cluster_route</x:v>
      </x:c>
      <x:c r="X940" s="16" t="str">
        <x:v>{"product_type":[{"value":"flip_flops","evidence_type":"explicit","source_span":"flip flops","fact_ids":[],"rationale":"词面直接提及flip flops。"},{"value":"flip_flops","evidence_type":"page_validated","source_span":"","fact_ids":["style_flip_flop"],"rationale":"该槽位与商品基准中的明示页面事实一致。"}],"audience_intent":[{"value":"women","evidence_type":"explicit","source_span":"women","fact_ids":[],"rationale":"词面women指向女性用户。"},{"value":"women","evidence_type":"page_validated","source_span":"","fact_ids":["title_womens_flip_flop"],"rationale":"该槽位与商品基准中的明示页面事实一致。"}],"location_intent":[{"value":"pool","evidence_type":"explicit","source_span":"pool","fact_ids":["easy_clean","slip_resistant_grip","material_eva"],"rationale":"词面pool指泳池场景，EVA材质易清洁且防滑。"}],"capability_intent":[{"value":"arch_support","evidence_type":"explicit","source_span":"arch support","fact_ids":["arch_support"],"rationale":"词面arch support明确需求。"},{"value":"arch_support","evidence_type":"page_validated","source_span":"","fact_ids":["arch_support"],"rationale":"该槽位与商品基准中的明示页面事实一致。"}],"function_intent":[{"value":"comfort","evidence_type":"inferred","source_span":"arch support","fact_ids":[],"rationale":"足弓支撑服务于舒适穿着。"},{"value":"comfort","evidence_type":"page_validated","source_span":"","fact_ids":["arch_support","padded_cushioning"],"rationale":"该槽位与商品基准中的明示页面事实一致。"}],"primary_domain":[{"value":"clothing_shoes_jewelry","evidence_type":"inferred","source_span":"","fact_ids":[],"rationale":"该值由搜索词整体语义推断，未作为页面明示属性。"}]}</x:v>
      </x:c>
      <x:c r="Y940" s="16" t="str"/>
      <x:c r="Z940" s="13" t="str">
        <x:v>match</x:v>
      </x:c>
      <x:c r="AA940" s="16" t="str">
        <x:v>title_womens_flip_flop | style_flip_flop | arch_support | easy_clean | slip_resistant_grip | material_eva</x:v>
      </x:c>
      <x:c r="AB940" s="13" t="str">
        <x:v>accepted</x:v>
      </x:c>
      <x:c r="AC940" s="13" t="str">
        <x:v>1.0.0</x:v>
      </x:c>
      <x:c r="AD940" s="13" t="str">
        <x:v>1.1.0</x:v>
      </x:c>
      <x:c r="AE940" s="13" t="str">
        <x:v>deepseek/deepseek-v4-pro</x:v>
      </x:c>
      <x:c r="AF940" s="13" t="str">
        <x:v>aj2-y90-20260714T234810-0bea2f52</x:v>
      </x:c>
      <x:c r="AG940" s="13" t="str">
        <x:v>full-0047</x:v>
      </x:c>
      <x:c r="AH940" s="13" t="str">
        <x:v>full</x:v>
      </x:c>
      <x:c r="AI940" s="13" t="n">
        <x:v>47</x:v>
      </x:c>
    </x:row>
    <x:row r="941" ht="34" customHeight="1">
      <x:c r="A941" s="15" t="str">
        <x:v>women&amp;#39 s flip flops with arch support</x:v>
      </x:c>
      <x:c r="B941" s="15" t="str">
        <x:v>women&amp;#39 s flip flops with arch support</x:v>
      </x:c>
      <x:c r="C941" s="10" t="str">
        <x:v>ed149a99cc944d45</x:v>
      </x:c>
      <x:c r="D941" s="10" t="str">
        <x:v>keyword</x:v>
      </x:c>
      <x:c r="E941" s="10" t="str">
        <x:v>en</x:v>
      </x:c>
      <x:c r="F941" s="10" t="str">
        <x:v>clothing_shoes_jewelry</x:v>
      </x:c>
      <x:c r="G941" s="15" t="str"/>
      <x:c r="H941" s="15" t="str">
        <x:v>flip_flops</x:v>
      </x:c>
      <x:c r="I941" s="15" t="str">
        <x:v>women</x:v>
      </x:c>
      <x:c r="J941" s="15" t="str">
        <x:v>comfort</x:v>
      </x:c>
      <x:c r="K941" s="15" t="str">
        <x:v>arch_support</x:v>
      </x:c>
      <x:c r="L941" s="15" t="str"/>
      <x:c r="M941" s="15" t="str"/>
      <x:c r="N941" s="15" t="str">
        <x:v>arch_support</x:v>
      </x:c>
      <x:c r="O941" s="15" t="str"/>
      <x:c r="P941" s="15" t="str"/>
      <x:c r="Q941" s="15" t="str"/>
      <x:c r="R941" s="15" t="str">
        <x:v>女性用户寻找带足弓支撑功能的人字拖鞋以缓解长时间行走的足部疲劳。</x:v>
      </x:c>
      <x:c r="S941" s="10" t="str">
        <x:v>high_intent</x:v>
      </x:c>
      <x:c r="T941" s="15" t="str">
        <x:v>explicit | page_validated</x:v>
      </x:c>
      <x:c r="U941" s="10" t="str">
        <x:v>high</x:v>
      </x:c>
      <x:c r="V941" s="15" t="str">
        <x:v>flip_flops_women_arch_support</x:v>
      </x:c>
      <x:c r="W941" s="15" t="str">
        <x:v>cluster_route</x:v>
      </x:c>
      <x:c r="X941" s="15" t="str">
        <x:v>{"product_type":[{"value":"flip_flops","evidence_type":"explicit","source_span":"flip flops","fact_ids":[],"rationale":"词面直接提及flip flops产品类型。"},{"value":"flip_flops","evidence_type":"page_validated","source_span":"","fact_ids":["style_flip_flop"],"rationale":"该槽位与商品基准中的明示页面事实一致。"}],"audience_intent":[{"value":"women","evidence_type":"explicit","source_span":"women","fact_ids":[],"rationale":"词面women指向女性用户。"},{"value":"women","evidence_type":"page_validated","source_span":"","fact_ids":["title_womens_flip_flop"],"rationale":"该槽位与商品基准中的明示页面事实一致。"}],"capability_intent":[{"value":"arch_support","evidence_type":"explicit","source_span":"arch support","fact_ids":["arch_support"],"rationale":"词面arch support明确需求，页面声明人体工学足弓支撑。"},{"value":"arch_support","evidence_type":"page_validated","source_span":"","fact_ids":["arch_support"],"rationale":"该槽位与商品基准中的明示页面事实一致。"}],"function_intent":[{"value":"comfort","evidence_type":"inferred","source_span":"arch support","fact_ids":[],"rationale":"arch support的最终目的是提升舒适度。"},{"value":"comfort","evidence_type":"page_validated","source_span":"","fact_ids":["arch_support","padded_cushioning"],"rationale":"该槽位与商品基准中的明示页面事实一致。"}],"primary_domain":[{"value":"clothing_shoes_jewelry","evidence_type":"inferred","source_span":"","fact_ids":[],"rationale":"该值由搜索词整体语义推断，未作为页面明示属性。"}]}</x:v>
      </x:c>
      <x:c r="Y941" s="15" t="str"/>
      <x:c r="Z941" s="10" t="str">
        <x:v>match</x:v>
      </x:c>
      <x:c r="AA941" s="15" t="str">
        <x:v>title_womens_flip_flop | style_flip_flop | arch_support</x:v>
      </x:c>
      <x:c r="AB941" s="10" t="str">
        <x:v>accepted</x:v>
      </x:c>
      <x:c r="AC941" s="10" t="str">
        <x:v>1.0.0</x:v>
      </x:c>
      <x:c r="AD941" s="10" t="str">
        <x:v>1.1.0</x:v>
      </x:c>
      <x:c r="AE941" s="10" t="str">
        <x:v>deepseek/deepseek-v4-pro</x:v>
      </x:c>
      <x:c r="AF941" s="10" t="str">
        <x:v>aj2-y90-20260714T234810-0bea2f52</x:v>
      </x:c>
      <x:c r="AG941" s="10" t="str">
        <x:v>full-0047</x:v>
      </x:c>
      <x:c r="AH941" s="10" t="str">
        <x:v>full</x:v>
      </x:c>
      <x:c r="AI941" s="10" t="n">
        <x:v>47</x:v>
      </x:c>
    </x:row>
    <x:row r="942" ht="34" customHeight="1">
      <x:c r="A942" s="16" t="str">
        <x:v>womens rubber flip flops</x:v>
      </x:c>
      <x:c r="B942" s="16" t="str">
        <x:v>womens rubber flip flops</x:v>
      </x:c>
      <x:c r="C942" s="13" t="str">
        <x:v>00c3da915d2b51bf</x:v>
      </x:c>
      <x:c r="D942" s="13" t="str">
        <x:v>keyword</x:v>
      </x:c>
      <x:c r="E942" s="13" t="str">
        <x:v>en</x:v>
      </x:c>
      <x:c r="F942" s="13" t="str">
        <x:v>clothing_shoes_jewelry</x:v>
      </x:c>
      <x:c r="G942" s="16" t="str"/>
      <x:c r="H942" s="16" t="str">
        <x:v>flip_flop</x:v>
      </x:c>
      <x:c r="I942" s="16" t="str">
        <x:v>women</x:v>
      </x:c>
      <x:c r="J942" s="16" t="str"/>
      <x:c r="K942" s="16" t="str">
        <x:v>rubber_material</x:v>
      </x:c>
      <x:c r="L942" s="16" t="str"/>
      <x:c r="M942" s="16" t="str"/>
      <x:c r="N942" s="16" t="str"/>
      <x:c r="O942" s="16" t="str"/>
      <x:c r="P942" s="16" t="str"/>
      <x:c r="Q942" s="16" t="str"/>
      <x:c r="R942" s="16" t="str">
        <x:v>用户需要女士橡胶材质的人字拖。</x:v>
      </x:c>
      <x:c r="S942" s="13" t="str">
        <x:v>consideration</x:v>
      </x:c>
      <x:c r="T942" s="16" t="str">
        <x:v>explicit | page_validated</x:v>
      </x:c>
      <x:c r="U942" s="13" t="str">
        <x:v>medium</x:v>
      </x:c>
      <x:c r="V942" s="16" t="str">
        <x:v>womens_rubber_flip_flops</x:v>
      </x:c>
      <x:c r="W942" s="16" t="str">
        <x:v>listing_gap_review</x:v>
      </x:c>
      <x:c r="X942" s="16" t="str">
        <x:v>{"product_type":[{"value":"flip_flop","evidence_type":"explicit","source_span":"flip flops","fact_ids":[],"rationale":""},{"value":"flip_flop","evidence_type":"page_validated","source_span":"","fact_ids":["style_flip_flop"],"rationale":""}],"audience_intent":[{"value":"women","evidence_type":"explicit","source_span":"womens","fact_ids":[],"rationale":""},{"value":"women","evidence_type":"page_validated","source_span":"","fact_ids":["title_womens_flip_flop"],"rationale":""}],"capability_intent":[{"value":"rubber_material","evidence_type":"explicit","source_span":"rubber","fact_ids":[],"rationale":""}],"primary_domain":[{"value":"clothing_shoes_jewelry","evidence_type":"inferred","source_span":"","fact_ids":[],"rationale":"该值由搜索词整体语义推断，未作为页面明示属性。"}]}</x:v>
      </x:c>
      <x:c r="Y942" s="16" t="str"/>
      <x:c r="Z942" s="13" t="str">
        <x:v>partial_match</x:v>
      </x:c>
      <x:c r="AA942" s="16" t="str">
        <x:v>title_womens_flip_flop | style_flip_flop</x:v>
      </x:c>
      <x:c r="AB942" s="13" t="str">
        <x:v>accepted</x:v>
      </x:c>
      <x:c r="AC942" s="13" t="str">
        <x:v>1.0.0</x:v>
      </x:c>
      <x:c r="AD942" s="13" t="str">
        <x:v>1.1.0</x:v>
      </x:c>
      <x:c r="AE942" s="13" t="str">
        <x:v>deepseek/deepseek-v4-pro</x:v>
      </x:c>
      <x:c r="AF942" s="13" t="str">
        <x:v>aj2-y90-20260714T234810-0bea2f52</x:v>
      </x:c>
      <x:c r="AG942" s="13" t="str">
        <x:v>full-0048</x:v>
      </x:c>
      <x:c r="AH942" s="13" t="str">
        <x:v>full</x:v>
      </x:c>
      <x:c r="AI942" s="13" t="n">
        <x:v>48</x:v>
      </x:c>
    </x:row>
    <x:row r="943" ht="34" customHeight="1">
      <x:c r="A943" s="15" t="str">
        <x:v>whit flip flops</x:v>
      </x:c>
      <x:c r="B943" s="15" t="str">
        <x:v>whit flip flops</x:v>
      </x:c>
      <x:c r="C943" s="10" t="str">
        <x:v>026b10f9154579b2</x:v>
      </x:c>
      <x:c r="D943" s="10" t="str">
        <x:v>keyword</x:v>
      </x:c>
      <x:c r="E943" s="10" t="str">
        <x:v>en</x:v>
      </x:c>
      <x:c r="F943" s="10" t="str">
        <x:v>clothing_shoes_jewelry</x:v>
      </x:c>
      <x:c r="G943" s="15" t="str"/>
      <x:c r="H943" s="15" t="str">
        <x:v>flip_flop</x:v>
      </x:c>
      <x:c r="I943" s="15" t="str"/>
      <x:c r="J943" s="15" t="str"/>
      <x:c r="K943" s="15" t="str"/>
      <x:c r="L943" s="15" t="str"/>
      <x:c r="M943" s="15" t="str"/>
      <x:c r="N943" s="15" t="str"/>
      <x:c r="O943" s="15" t="str"/>
      <x:c r="P943" s="15" t="str"/>
      <x:c r="Q943" s="15" t="str"/>
      <x:c r="R943" s="15" t="str">
        <x:v>用户搜索白色人字拖。</x:v>
      </x:c>
      <x:c r="S943" s="10" t="str">
        <x:v>high_intent</x:v>
      </x:c>
      <x:c r="T943" s="15" t="str">
        <x:v>explicit | page_validated | inferred</x:v>
      </x:c>
      <x:c r="U943" s="10" t="str">
        <x:v>medium</x:v>
      </x:c>
      <x:c r="V943" s="15" t="str">
        <x:v>white_flip_flops</x:v>
      </x:c>
      <x:c r="W943" s="15" t="str">
        <x:v>cluster_route</x:v>
      </x:c>
      <x:c r="X943" s="15" t="str">
        <x:v>{"product_type":[{"value":"flip_flop","evidence_type":"explicit","source_span":"flip flops","fact_ids":[],"rationale":""},{"value":"flip_flop","evidence_type":"page_validated","source_span":"","fact_ids":["style_flip_flop"],"rationale":""}],"primary_domain":[{"value":"clothing_shoes_jewelry","evidence_type":"inferred","source_span":"","fact_ids":[],"rationale":"该值由搜索词整体语义推断，未作为页面明示属性。"}]}</x:v>
      </x:c>
      <x:c r="Y943" s="15" t="str">
        <x:v>spelling_variant</x:v>
      </x:c>
      <x:c r="Z943" s="10" t="str">
        <x:v>match</x:v>
      </x:c>
      <x:c r="AA943" s="15" t="str">
        <x:v>style_flip_flop | colors_visible</x:v>
      </x:c>
      <x:c r="AB943" s="10" t="str">
        <x:v>accepted</x:v>
      </x:c>
      <x:c r="AC943" s="10" t="str">
        <x:v>1.0.0</x:v>
      </x:c>
      <x:c r="AD943" s="10" t="str">
        <x:v>1.1.0</x:v>
      </x:c>
      <x:c r="AE943" s="10" t="str">
        <x:v>deepseek/deepseek-v4-pro</x:v>
      </x:c>
      <x:c r="AF943" s="10" t="str">
        <x:v>aj2-y90-20260714T234810-0bea2f52</x:v>
      </x:c>
      <x:c r="AG943" s="10" t="str">
        <x:v>full-0048</x:v>
      </x:c>
      <x:c r="AH943" s="10" t="str">
        <x:v>full</x:v>
      </x:c>
      <x:c r="AI943" s="10" t="n">
        <x:v>48</x:v>
      </x:c>
    </x:row>
    <x:row r="944" ht="34" customHeight="1">
      <x:c r="A944" s="16" t="str">
        <x:v>recovery sandals women</x:v>
      </x:c>
      <x:c r="B944" s="16" t="str">
        <x:v>recovery sandals women</x:v>
      </x:c>
      <x:c r="C944" s="13" t="str">
        <x:v>13f1c806c8ac3ed4</x:v>
      </x:c>
      <x:c r="D944" s="13" t="str">
        <x:v>keyword</x:v>
      </x:c>
      <x:c r="E944" s="13" t="str">
        <x:v>en</x:v>
      </x:c>
      <x:c r="F944" s="13" t="str">
        <x:v>clothing_shoes_jewelry</x:v>
      </x:c>
      <x:c r="G944" s="16" t="str">
        <x:v>sports_outdoors</x:v>
      </x:c>
      <x:c r="H944" s="16" t="str">
        <x:v>sandal</x:v>
      </x:c>
      <x:c r="I944" s="16" t="str">
        <x:v>women</x:v>
      </x:c>
      <x:c r="J944" s="16" t="str">
        <x:v>recovery</x:v>
      </x:c>
      <x:c r="K944" s="16" t="str">
        <x:v>arch_support | cushioning</x:v>
      </x:c>
      <x:c r="L944" s="16" t="str">
        <x:v>post_exercise</x:v>
      </x:c>
      <x:c r="M944" s="16" t="str"/>
      <x:c r="N944" s="16" t="str">
        <x:v>recovery | foot_fatigue</x:v>
      </x:c>
      <x:c r="O944" s="16" t="str"/>
      <x:c r="P944" s="16" t="str"/>
      <x:c r="Q944" s="16" t="str"/>
      <x:c r="R944" s="16" t="str">
        <x:v>用户需要女士恢复凉鞋，用于运动后缓解足部疲劳。</x:v>
      </x:c>
      <x:c r="S944" s="13" t="str">
        <x:v>consideration</x:v>
      </x:c>
      <x:c r="T944" s="16" t="str">
        <x:v>explicit | page_validated | inferred</x:v>
      </x:c>
      <x:c r="U944" s="13" t="str">
        <x:v>high</x:v>
      </x:c>
      <x:c r="V944" s="16" t="str">
        <x:v>womens_recovery_sandals</x:v>
      </x:c>
      <x:c r="W944" s="16" t="str">
        <x:v>cluster_route</x:v>
      </x:c>
      <x:c r="X944" s="16" t="str">
        <x:v>{"product_type":[{"value":"sandal","evidence_type":"explicit","source_span":"sandals","fact_ids":[],"rationale":""},{"value":"sandal","evidence_type":"page_validated","source_span":"","fact_ids":["style_flip_flop"],"rationale":""}],"audience_intent":[{"value":"women","evidence_type":"explicit","source_span":"women","fact_ids":[],"rationale":""},{"value":"women","evidence_type":"page_validated","source_span":"","fact_ids":["title_womens_flip_flop"],"rationale":""}],"function_intent":[{"value":"recovery","evidence_type":"explicit","source_span":"recovery","fact_ids":[],"rationale":""}],"capability_intent":[{"value":"arch_support","evidence_type":"page_validated","source_span":"","fact_ids":["arch_support"],"rationale":""},{"value":"cushioning","evidence_type":"page_validated","source_span":"","fact_ids":["padded_cushioning"],"rationale":""},{"value":"arch_support","evidence_type":"inferred","source_span":"","fact_ids":[],"rationale":"该能力由搜索词表达的任务或问题推断；页面事实仅用于验证商品承接。"},{"value":"cushioning","evidence_type":"inferred","source_span":"","fact_ids":[],"rationale":"该能力由搜索词表达的任务或问题推断；页面事实仅用于验证商品承接。"}],"event_intent":[{"value":"post_exercise","evidence_type":"inferred","source_span":"recovery","fact_ids":[],"rationale":"recovery暗示运动后恢复场景"}],"body_need_intent":[{"value":"recovery","evidence_type":"explicit","source_span":"recovery","fact_ids":[],"rationale":""},{"value":"foot_fatigue","evidence_type":"inferred","source_span":"recovery","fact_ids":[],"rationale":"恢复需求关联足部疲劳"}],"primary_domain":[{"value":"clothing_shoes_jewelry","evidence_type":"inferred","source_span":"","fact_ids":[],"rationale":"该值由搜索词整体语义推断，未作为页面明示属性。"}],"secondary_domain":[{"value":"sports_outdoors","evidence_type":"inferred","source_span":"","fact_ids":[],"rationale":"该值由搜索词整体语义推断，未作为页面明示属性。"}]}</x:v>
      </x:c>
      <x:c r="Y944" s="16" t="str"/>
      <x:c r="Z944" s="13" t="str">
        <x:v>match</x:v>
      </x:c>
      <x:c r="AA944" s="16" t="str">
        <x:v>arch_support | padded_cushioning | title_womens_flip_flop</x:v>
      </x:c>
      <x:c r="AB944" s="13" t="str">
        <x:v>accepted</x:v>
      </x:c>
      <x:c r="AC944" s="13" t="str">
        <x:v>1.0.0</x:v>
      </x:c>
      <x:c r="AD944" s="13" t="str">
        <x:v>1.1.0</x:v>
      </x:c>
      <x:c r="AE944" s="13" t="str">
        <x:v>deepseek/deepseek-v4-pro</x:v>
      </x:c>
      <x:c r="AF944" s="13" t="str">
        <x:v>aj2-y90-20260714T234810-0bea2f52</x:v>
      </x:c>
      <x:c r="AG944" s="13" t="str">
        <x:v>full-0048</x:v>
      </x:c>
      <x:c r="AH944" s="13" t="str">
        <x:v>full</x:v>
      </x:c>
      <x:c r="AI944" s="13" t="n">
        <x:v>48</x:v>
      </x:c>
    </x:row>
    <x:row r="945" ht="34" customHeight="1">
      <x:c r="A945" s="15" t="str">
        <x:v>comfortable sandals for walking all day</x:v>
      </x:c>
      <x:c r="B945" s="15" t="str">
        <x:v>comfortable sandals for walking all day</x:v>
      </x:c>
      <x:c r="C945" s="10" t="str">
        <x:v>4609c6f550984f9b</x:v>
      </x:c>
      <x:c r="D945" s="10" t="str">
        <x:v>keyword</x:v>
      </x:c>
      <x:c r="E945" s="10" t="str">
        <x:v>en</x:v>
      </x:c>
      <x:c r="F945" s="10" t="str">
        <x:v>clothing_shoes_jewelry</x:v>
      </x:c>
      <x:c r="G945" s="15" t="str">
        <x:v>sports_outdoors</x:v>
      </x:c>
      <x:c r="H945" s="15" t="str">
        <x:v>sandal</x:v>
      </x:c>
      <x:c r="I945" s="15" t="str"/>
      <x:c r="J945" s="15" t="str">
        <x:v>walking</x:v>
      </x:c>
      <x:c r="K945" s="15" t="str">
        <x:v>comfort | all_day_wear</x:v>
      </x:c>
      <x:c r="L945" s="15" t="str">
        <x:v>walking</x:v>
      </x:c>
      <x:c r="M945" s="15" t="str"/>
      <x:c r="N945" s="15" t="str">
        <x:v>all_day_comfort</x:v>
      </x:c>
      <x:c r="O945" s="15" t="str">
        <x:v>all_day</x:v>
      </x:c>
      <x:c r="P945" s="15" t="str"/>
      <x:c r="Q945" s="15" t="str"/>
      <x:c r="R945" s="15" t="str">
        <x:v>用户需要舒适凉鞋，适合全天步行穿着。</x:v>
      </x:c>
      <x:c r="S945" s="10" t="str">
        <x:v>consideration</x:v>
      </x:c>
      <x:c r="T945" s="15" t="str">
        <x:v>explicit | page_validated | inferred</x:v>
      </x:c>
      <x:c r="U945" s="10" t="str">
        <x:v>high</x:v>
      </x:c>
      <x:c r="V945" s="15" t="str">
        <x:v>comfortable_all_day_walking_sandals</x:v>
      </x:c>
      <x:c r="W945" s="15" t="str">
        <x:v>cluster_route</x:v>
      </x:c>
      <x:c r="X945" s="15" t="str">
        <x:v>{"product_type":[{"value":"sandal","evidence_type":"explicit","source_span":"sandals","fact_ids":[],"rationale":""},{"value":"sandal","evidence_type":"page_validated","source_span":"","fact_ids":["style_flip_flop"],"rationale":""}],"capability_intent":[{"value":"comfort","evidence_type":"explicit","source_span":"comfortable","fact_ids":[],"rationale":""},{"value":"comfort","evidence_type":"page_validated","source_span":"","fact_ids":["arch_support","padded_cushioning"],"rationale":""},{"value":"all_day_wear","evidence_type":"page_validated","source_span":"","fact_ids":["arch_support"],"rationale":""}],"function_intent":[{"value":"walking","evidence_type":"explicit","source_span":"walking","fact_ids":[],"rationale":""}],"event_intent":[{"value":"walking","evidence_type":"explicit","source_span":"walking","fact_ids":[],"rationale":""}],"time_intent":[{"value":"all_day","evidence_type":"explicit","source_span":"all day","fact_ids":[],"rationale":""}],"body_need_intent":[{"value":"all_day_comfort","evidence_type":"inferred","source_span":"all day","fact_ids":[],"rationale":"全天穿着暗示足部舒适需求"}],"primary_domain":[{"value":"clothing_shoes_jewelry","evidence_type":"inferred","source_span":"","fact_ids":[],"rationale":"该值由搜索词整体语义推断，未作为页面明示属性。"}],"secondary_domain":[{"value":"sports_outdoors","evidence_type":"inferred","source_span":"","fact_ids":[],"rationale":"该值由搜索词整体语义推断，未作为页面明示属性。"}]}</x:v>
      </x:c>
      <x:c r="Y945" s="15" t="str"/>
      <x:c r="Z945" s="10" t="str">
        <x:v>match</x:v>
      </x:c>
      <x:c r="AA945" s="15" t="str">
        <x:v>arch_support | padded_cushioning | lightweight_breathable | style_flip_flop</x:v>
      </x:c>
      <x:c r="AB945" s="10" t="str">
        <x:v>accepted</x:v>
      </x:c>
      <x:c r="AC945" s="10" t="str">
        <x:v>1.0.0</x:v>
      </x:c>
      <x:c r="AD945" s="10" t="str">
        <x:v>1.1.0</x:v>
      </x:c>
      <x:c r="AE945" s="10" t="str">
        <x:v>deepseek/deepseek-v4-pro</x:v>
      </x:c>
      <x:c r="AF945" s="10" t="str">
        <x:v>aj2-y90-20260714T234810-0bea2f52</x:v>
      </x:c>
      <x:c r="AG945" s="10" t="str">
        <x:v>full-0048</x:v>
      </x:c>
      <x:c r="AH945" s="10" t="str">
        <x:v>full</x:v>
      </x:c>
      <x:c r="AI945" s="10" t="n">
        <x:v>48</x:v>
      </x:c>
    </x:row>
    <x:row r="946" ht="34" customHeight="1">
      <x:c r="A946" s="16" t="str">
        <x:v>women's comfortable, sturdy house flip flop</x:v>
      </x:c>
      <x:c r="B946" s="16" t="str">
        <x:v>women's comfortable, sturdy house flip flop</x:v>
      </x:c>
      <x:c r="C946" s="13" t="str">
        <x:v>5f7a7a4411756549</x:v>
      </x:c>
      <x:c r="D946" s="13" t="str">
        <x:v>keyword</x:v>
      </x:c>
      <x:c r="E946" s="13" t="str">
        <x:v>en</x:v>
      </x:c>
      <x:c r="F946" s="13" t="str">
        <x:v>clothing_shoes_jewelry</x:v>
      </x:c>
      <x:c r="G946" s="16" t="str"/>
      <x:c r="H946" s="16" t="str">
        <x:v>flip_flop</x:v>
      </x:c>
      <x:c r="I946" s="16" t="str">
        <x:v>women</x:v>
      </x:c>
      <x:c r="J946" s="16" t="str">
        <x:v>indoor_use | house_wear</x:v>
      </x:c>
      <x:c r="K946" s="16" t="str">
        <x:v>comfort | sturdy | durable</x:v>
      </x:c>
      <x:c r="L946" s="16" t="str"/>
      <x:c r="M946" s="16" t="str">
        <x:v>indoor | house</x:v>
      </x:c>
      <x:c r="N946" s="16" t="str"/>
      <x:c r="O946" s="16" t="str"/>
      <x:c r="P946" s="16" t="str"/>
      <x:c r="Q946" s="16" t="str"/>
      <x:c r="R946" s="16" t="str">
        <x:v>用户需要女士舒适耐穿的居家室内人字拖。</x:v>
      </x:c>
      <x:c r="S946" s="13" t="str">
        <x:v>consideration</x:v>
      </x:c>
      <x:c r="T946" s="16" t="str">
        <x:v>explicit | page_validated | inferred</x:v>
      </x:c>
      <x:c r="U946" s="13" t="str">
        <x:v>high</x:v>
      </x:c>
      <x:c r="V946" s="16" t="str">
        <x:v>comfortable_sturdy_house_flip_flop_women</x:v>
      </x:c>
      <x:c r="W946" s="16" t="str">
        <x:v>cluster_route</x:v>
      </x:c>
      <x:c r="X946" s="16" t="str">
        <x:v>{"product_type":[{"value":"flip_flop","evidence_type":"explicit","source_span":"flip flop","fact_ids":[],"rationale":""},{"value":"flip_flop","evidence_type":"page_validated","source_span":"","fact_ids":["style_flip_flop"],"rationale":""}],"audience_intent":[{"value":"women","evidence_type":"explicit","source_span":"women's","fact_ids":[],"rationale":""},{"value":"women","evidence_type":"page_validated","source_span":"","fact_ids":["title_womens_flip_flop"],"rationale":""}],"capability_intent":[{"value":"comfort","evidence_type":"explicit","source_span":"comfortable","fact_ids":[],"rationale":""},{"value":"comfort","evidence_type":"page_validated","source_span":"","fact_ids":["arch_support","padded_cushioning"],"rationale":""},{"value":"sturdy","evidence_type":"explicit","source_span":"sturdy","fact_ids":[],"rationale":""},{"value":"sturdy","evidence_type":"page_validated","source_span":"","fact_ids":["slip_resistant_grip"],"rationale":""},{"value":"durable","evidence_type":"inferred","source_span":"sturdy","fact_ids":[],"rationale":"sturdy暗示耐用性需求"}],"location_intent":[{"value":"house","evidence_type":"explicit","source_span":"house","fact_ids":[],"rationale":""},{"value":"indoor","evidence_type":"inferred","source_span":"house","fact_ids":[],"rationale":"house暗示室内使用场景"}],"function_intent":[{"value":"indoor_use","evidence_type":"inferred","source_span":"house","fact_ids":[],"rationale":"house暗示居家使用需求"},{"value":"house_wear","evidence_type":"explicit","source_span":"house","fact_ids":[],"rationale":""}],"primary_domain":[{"value":"clothing_shoes_jewelry","evidence_type":"inferred","source_span":"","fact_ids":[],"rationale":"该值由搜索词整体语义推断，未作为页面明示属性。"}]}</x:v>
      </x:c>
      <x:c r="Y946" s="16" t="str"/>
      <x:c r="Z946" s="13" t="str">
        <x:v>match</x:v>
      </x:c>
      <x:c r="AA946" s="16" t="str">
        <x:v>title_womens_flip_flop | style_flip_flop | arch_support | padded_cushioning | slip_resistant_grip | lightweight_breathable</x:v>
      </x:c>
      <x:c r="AB946" s="13" t="str">
        <x:v>accepted</x:v>
      </x:c>
      <x:c r="AC946" s="13" t="str">
        <x:v>1.0.0</x:v>
      </x:c>
      <x:c r="AD946" s="13" t="str">
        <x:v>1.1.0</x:v>
      </x:c>
      <x:c r="AE946" s="13" t="str">
        <x:v>deepseek/deepseek-v4-pro</x:v>
      </x:c>
      <x:c r="AF946" s="13" t="str">
        <x:v>aj2-y90-20260714T234810-0bea2f52</x:v>
      </x:c>
      <x:c r="AG946" s="13" t="str">
        <x:v>full-0048</x:v>
      </x:c>
      <x:c r="AH946" s="13" t="str">
        <x:v>full</x:v>
      </x:c>
      <x:c r="AI946" s="13" t="n">
        <x:v>48</x:v>
      </x:c>
    </x:row>
    <x:row r="947" ht="34" customHeight="1">
      <x:c r="A947" s="15" t="str">
        <x:v>womens flip flops pink</x:v>
      </x:c>
      <x:c r="B947" s="15" t="str">
        <x:v>womens flip flops pink</x:v>
      </x:c>
      <x:c r="C947" s="10" t="str">
        <x:v>6e754d0c1553472d</x:v>
      </x:c>
      <x:c r="D947" s="10" t="str">
        <x:v>keyword</x:v>
      </x:c>
      <x:c r="E947" s="10" t="str">
        <x:v>en</x:v>
      </x:c>
      <x:c r="F947" s="10" t="str">
        <x:v>clothing_shoes_jewelry</x:v>
      </x:c>
      <x:c r="G947" s="15" t="str"/>
      <x:c r="H947" s="15" t="str">
        <x:v>flip_flop</x:v>
      </x:c>
      <x:c r="I947" s="15" t="str">
        <x:v>women</x:v>
      </x:c>
      <x:c r="J947" s="15" t="str"/>
      <x:c r="K947" s="15" t="str"/>
      <x:c r="L947" s="15" t="str"/>
      <x:c r="M947" s="15" t="str"/>
      <x:c r="N947" s="15" t="str"/>
      <x:c r="O947" s="15" t="str"/>
      <x:c r="P947" s="15" t="str"/>
      <x:c r="Q947" s="15" t="str"/>
      <x:c r="R947" s="15" t="str">
        <x:v>用户需要粉色女士人字拖。</x:v>
      </x:c>
      <x:c r="S947" s="10" t="str">
        <x:v>high_intent</x:v>
      </x:c>
      <x:c r="T947" s="15" t="str">
        <x:v>explicit | page_validated</x:v>
      </x:c>
      <x:c r="U947" s="10" t="str">
        <x:v>high</x:v>
      </x:c>
      <x:c r="V947" s="15" t="str">
        <x:v>womens_pink_flip_flops</x:v>
      </x:c>
      <x:c r="W947" s="15" t="str">
        <x:v>cluster_route</x:v>
      </x:c>
      <x:c r="X947" s="15" t="str">
        <x:v>{"product_type":[{"value":"flip_flop","evidence_type":"explicit","source_span":"flip flops","fact_ids":[],"rationale":""},{"value":"flip_flop","evidence_type":"page_validated","source_span":"","fact_ids":["style_flip_flop"],"rationale":""}],"audience_intent":[{"value":"women","evidence_type":"explicit","source_span":"womens","fact_ids":[],"rationale":""},{"value":"women","evidence_type":"page_validated","source_span":"","fact_ids":["title_womens_flip_flop"],"rationale":""}],"primary_domain":[{"value":"clothing_shoes_jewelry","evidence_type":"inferred","source_span":"","fact_ids":[],"rationale":"该值由搜索词整体语义推断，未作为页面明示属性。"}]}</x:v>
      </x:c>
      <x:c r="Y947" s="15" t="str"/>
      <x:c r="Z947" s="10" t="str">
        <x:v>match</x:v>
      </x:c>
      <x:c r="AA947" s="15" t="str">
        <x:v>title_womens_flip_flop | style_flip_flop | colors_visible</x:v>
      </x:c>
      <x:c r="AB947" s="10" t="str">
        <x:v>accepted</x:v>
      </x:c>
      <x:c r="AC947" s="10" t="str">
        <x:v>1.0.0</x:v>
      </x:c>
      <x:c r="AD947" s="10" t="str">
        <x:v>1.1.0</x:v>
      </x:c>
      <x:c r="AE947" s="10" t="str">
        <x:v>deepseek/deepseek-v4-pro</x:v>
      </x:c>
      <x:c r="AF947" s="10" t="str">
        <x:v>aj2-y90-20260714T234810-0bea2f52</x:v>
      </x:c>
      <x:c r="AG947" s="10" t="str">
        <x:v>full-0048</x:v>
      </x:c>
      <x:c r="AH947" s="10" t="str">
        <x:v>full</x:v>
      </x:c>
      <x:c r="AI947" s="10" t="n">
        <x:v>48</x:v>
      </x:c>
    </x:row>
    <x:row r="948" ht="34" customHeight="1">
      <x:c r="A948" s="16" t="str">
        <x:v>black womens flip flops size 10</x:v>
      </x:c>
      <x:c r="B948" s="16" t="str">
        <x:v>black womens flip flops size 10</x:v>
      </x:c>
      <x:c r="C948" s="13" t="str">
        <x:v>6f1646efe90b8e83</x:v>
      </x:c>
      <x:c r="D948" s="13" t="str">
        <x:v>keyword</x:v>
      </x:c>
      <x:c r="E948" s="13" t="str">
        <x:v>en</x:v>
      </x:c>
      <x:c r="F948" s="13" t="str">
        <x:v>clothing_shoes_jewelry</x:v>
      </x:c>
      <x:c r="G948" s="16" t="str"/>
      <x:c r="H948" s="16" t="str">
        <x:v>flip_flop</x:v>
      </x:c>
      <x:c r="I948" s="16" t="str">
        <x:v>women</x:v>
      </x:c>
      <x:c r="J948" s="16" t="str"/>
      <x:c r="K948" s="16" t="str"/>
      <x:c r="L948" s="16" t="str"/>
      <x:c r="M948" s="16" t="str"/>
      <x:c r="N948" s="16" t="str"/>
      <x:c r="O948" s="16" t="str"/>
      <x:c r="P948" s="16" t="str"/>
      <x:c r="Q948" s="16" t="str"/>
      <x:c r="R948" s="16" t="str">
        <x:v>用户需要黑色女士人字拖，尺码为10号。</x:v>
      </x:c>
      <x:c r="S948" s="13" t="str">
        <x:v>high_intent</x:v>
      </x:c>
      <x:c r="T948" s="16" t="str">
        <x:v>explicit | page_validated</x:v>
      </x:c>
      <x:c r="U948" s="13" t="str">
        <x:v>high</x:v>
      </x:c>
      <x:c r="V948" s="16" t="str">
        <x:v>black_womens_flip_flops_size_10</x:v>
      </x:c>
      <x:c r="W948" s="16" t="str">
        <x:v>cluster_route</x:v>
      </x:c>
      <x:c r="X948" s="16" t="str">
        <x:v>{"product_type":[{"value":"flip_flop","evidence_type":"explicit","source_span":"flip flops","fact_ids":[],"rationale":""},{"value":"flip_flop","evidence_type":"page_validated","source_span":"","fact_ids":["style_flip_flop"],"rationale":""}],"audience_intent":[{"value":"women","evidence_type":"explicit","source_span":"womens","fact_ids":[],"rationale":""},{"value":"women","evidence_type":"page_validated","source_span":"","fact_ids":["title_womens_flip_flop"],"rationale":""}],"primary_domain":[{"value":"clothing_shoes_jewelry","evidence_type":"inferred","source_span":"","fact_ids":[],"rationale":"该值由搜索词整体语义推断，未作为页面明示属性。"}]}</x:v>
      </x:c>
      <x:c r="Y948" s="16" t="str"/>
      <x:c r="Z948" s="13" t="str">
        <x:v>match</x:v>
      </x:c>
      <x:c r="AA948" s="16" t="str">
        <x:v>title_womens_flip_flop | style_flip_flop | colors_visible | sizes_6_11</x:v>
      </x:c>
      <x:c r="AB948" s="13" t="str">
        <x:v>accepted</x:v>
      </x:c>
      <x:c r="AC948" s="13" t="str">
        <x:v>1.0.0</x:v>
      </x:c>
      <x:c r="AD948" s="13" t="str">
        <x:v>1.1.0</x:v>
      </x:c>
      <x:c r="AE948" s="13" t="str">
        <x:v>deepseek/deepseek-v4-pro</x:v>
      </x:c>
      <x:c r="AF948" s="13" t="str">
        <x:v>aj2-y90-20260714T234810-0bea2f52</x:v>
      </x:c>
      <x:c r="AG948" s="13" t="str">
        <x:v>full-0048</x:v>
      </x:c>
      <x:c r="AH948" s="13" t="str">
        <x:v>full</x:v>
      </x:c>
      <x:c r="AI948" s="13" t="n">
        <x:v>48</x:v>
      </x:c>
    </x:row>
    <x:row r="949" ht="34" customHeight="1">
      <x:c r="A949" s="15" t="str">
        <x:v>women waterproof thong sandals</x:v>
      </x:c>
      <x:c r="B949" s="15" t="str">
        <x:v>women waterproof thong sandals</x:v>
      </x:c>
      <x:c r="C949" s="10" t="str">
        <x:v>72a924aeefda305c</x:v>
      </x:c>
      <x:c r="D949" s="10" t="str">
        <x:v>keyword</x:v>
      </x:c>
      <x:c r="E949" s="10" t="str">
        <x:v>en</x:v>
      </x:c>
      <x:c r="F949" s="10" t="str">
        <x:v>clothing_shoes_jewelry</x:v>
      </x:c>
      <x:c r="G949" s="15" t="str"/>
      <x:c r="H949" s="15" t="str">
        <x:v>thong_sandal</x:v>
      </x:c>
      <x:c r="I949" s="15" t="str">
        <x:v>women</x:v>
      </x:c>
      <x:c r="J949" s="15" t="str">
        <x:v>water_activities</x:v>
      </x:c>
      <x:c r="K949" s="15" t="str">
        <x:v>waterproof</x:v>
      </x:c>
      <x:c r="L949" s="15" t="str"/>
      <x:c r="M949" s="15" t="str">
        <x:v>water_environment</x:v>
      </x:c>
      <x:c r="N949" s="15" t="str"/>
      <x:c r="O949" s="15" t="str"/>
      <x:c r="P949" s="15" t="str"/>
      <x:c r="Q949" s="15" t="str"/>
      <x:c r="R949" s="15" t="str">
        <x:v>用户需要女士防水夹脚凉鞋，适合涉水环境。</x:v>
      </x:c>
      <x:c r="S949" s="10" t="str">
        <x:v>consideration</x:v>
      </x:c>
      <x:c r="T949" s="15" t="str">
        <x:v>explicit | inferred</x:v>
      </x:c>
      <x:c r="U949" s="10" t="str">
        <x:v>high</x:v>
      </x:c>
      <x:c r="V949" s="15" t="str">
        <x:v>womens_waterproof_thong_sandals</x:v>
      </x:c>
      <x:c r="W949" s="15" t="str">
        <x:v>semantic_negative_candidate</x:v>
      </x:c>
      <x:c r="X949" s="15" t="str">
        <x:v>{"product_type":[{"value":"thong_sandal","evidence_type":"explicit","source_span":"thong sandals","fact_ids":[],"rationale":""},{"value":"thong_sandal","evidence_type":"page_validated","source_span":"","fact_ids":["style_thong","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capability_intent":[{"value":"waterproof","evidence_type":"explicit","source_span":"waterproof","fact_ids":[],"rationale":""}],"function_intent":[{"value":"water_activities","evidence_type":"inferred","source_span":"waterproof","fact_ids":[],"rationale":"防水暗示涉水使用"}],"location_intent":[{"value":"water_environment","evidence_type":"inferred","source_span":"waterproof","fact_ids":[],"rationale":"防水用于涉水环境"}],"primary_domain":[{"value":"clothing_shoes_jewelry","evidence_type":"inferred","source_span":"","fact_ids":[],"rationale":"该值由搜索词整体语义推断，未作为页面明示属性。"}]}</x:v>
      </x:c>
      <x:c r="Y949" s="15" t="str"/>
      <x:c r="Z949" s="10" t="str">
        <x:v>mismatch</x:v>
      </x:c>
      <x:c r="AA949" s="15" t="str">
        <x:v>title_womens_flip_flop | style_thong</x:v>
      </x:c>
      <x:c r="AB949" s="10" t="str">
        <x:v>accepted</x:v>
      </x:c>
      <x:c r="AC949" s="10" t="str">
        <x:v>1.0.0</x:v>
      </x:c>
      <x:c r="AD949" s="10" t="str">
        <x:v>1.1.0</x:v>
      </x:c>
      <x:c r="AE949" s="10" t="str">
        <x:v>deepseek/deepseek-v4-pro</x:v>
      </x:c>
      <x:c r="AF949" s="10" t="str">
        <x:v>aj2-y90-20260714T234810-0bea2f52</x:v>
      </x:c>
      <x:c r="AG949" s="10" t="str">
        <x:v>full-0048</x:v>
      </x:c>
      <x:c r="AH949" s="10" t="str">
        <x:v>full</x:v>
      </x:c>
      <x:c r="AI949" s="10" t="n">
        <x:v>48</x:v>
      </x:c>
    </x:row>
    <x:row r="950" ht="34" customHeight="1">
      <x:c r="A950" s="16" t="str">
        <x:v>sandels</x:v>
      </x:c>
      <x:c r="B950" s="16" t="str">
        <x:v>sandels</x:v>
      </x:c>
      <x:c r="C950" s="13" t="str">
        <x:v>7dd5913c3e525639</x:v>
      </x:c>
      <x:c r="D950" s="13" t="str">
        <x:v>keyword</x:v>
      </x:c>
      <x:c r="E950" s="13" t="str">
        <x:v>en</x:v>
      </x:c>
      <x:c r="F950" s="13" t="str">
        <x:v>clothing_shoes_jewelry</x:v>
      </x:c>
      <x:c r="G950" s="16" t="str"/>
      <x:c r="H950" s="16" t="str">
        <x:v>sandal</x:v>
      </x:c>
      <x:c r="I950" s="16" t="str"/>
      <x:c r="J950" s="16" t="str"/>
      <x:c r="K950" s="16" t="str"/>
      <x:c r="L950" s="16" t="str"/>
      <x:c r="M950" s="16" t="str"/>
      <x:c r="N950" s="16" t="str"/>
      <x:c r="O950" s="16" t="str"/>
      <x:c r="P950" s="16" t="str"/>
      <x:c r="Q950" s="16" t="str"/>
      <x:c r="R950" s="16" t="str">
        <x:v>用户搜索凉鞋，具体需求不明确。</x:v>
      </x:c>
      <x:c r="S950" s="13" t="str">
        <x:v>exploration</x:v>
      </x:c>
      <x:c r="T950" s="16" t="str">
        <x:v>explicit | inferred</x:v>
      </x:c>
      <x:c r="U950" s="13" t="str">
        <x:v>low</x:v>
      </x:c>
      <x:c r="V950" s="16" t="str">
        <x:v>sandals_general</x:v>
      </x:c>
      <x:c r="W950" s="16" t="str">
        <x:v>ambiguity_review</x:v>
      </x:c>
      <x:c r="X950" s="16" t="str">
        <x:v>{"product_type":[{"value":"sandal","evidence_type":"explicit","source_span":"sandels","fact_ids":[],"rationale":""}],"primary_domain":[{"value":"clothing_shoes_jewelry","evidence_type":"inferred","source_span":"","fact_ids":[],"rationale":"该值由搜索词整体语义推断，未作为页面明示属性。"}]}</x:v>
      </x:c>
      <x:c r="Y950" s="16" t="str">
        <x:v>spelling_variant</x:v>
      </x:c>
      <x:c r="Z950" s="13" t="str">
        <x:v>partial_match</x:v>
      </x:c>
      <x:c r="AA950" s="16" t="str">
        <x:v>style_flip_flop | title_womens_flip_flop</x:v>
      </x:c>
      <x:c r="AB950" s="13" t="str">
        <x:v>accepted</x:v>
      </x:c>
      <x:c r="AC950" s="13" t="str">
        <x:v>1.0.0</x:v>
      </x:c>
      <x:c r="AD950" s="13" t="str">
        <x:v>1.1.0</x:v>
      </x:c>
      <x:c r="AE950" s="13" t="str">
        <x:v>deepseek/deepseek-v4-pro</x:v>
      </x:c>
      <x:c r="AF950" s="13" t="str">
        <x:v>aj2-y90-20260714T234810-0bea2f52</x:v>
      </x:c>
      <x:c r="AG950" s="13" t="str">
        <x:v>full-0048</x:v>
      </x:c>
      <x:c r="AH950" s="13" t="str">
        <x:v>full</x:v>
      </x:c>
      <x:c r="AI950" s="13" t="n">
        <x:v>48</x:v>
      </x:c>
    </x:row>
    <x:row r="951" ht="34" customHeight="1">
      <x:c r="A951" s="15" t="str">
        <x:v>soft rubber flip flops for women</x:v>
      </x:c>
      <x:c r="B951" s="15" t="str">
        <x:v>soft rubber flip flops for women</x:v>
      </x:c>
      <x:c r="C951" s="10" t="str">
        <x:v>7e0ec096751294d6</x:v>
      </x:c>
      <x:c r="D951" s="10" t="str">
        <x:v>keyword</x:v>
      </x:c>
      <x:c r="E951" s="10" t="str">
        <x:v>en</x:v>
      </x:c>
      <x:c r="F951" s="10" t="str">
        <x:v>clothing_shoes_jewelry</x:v>
      </x:c>
      <x:c r="G951" s="15" t="str"/>
      <x:c r="H951" s="15" t="str">
        <x:v>flip_flop</x:v>
      </x:c>
      <x:c r="I951" s="15" t="str">
        <x:v>women</x:v>
      </x:c>
      <x:c r="J951" s="15" t="str"/>
      <x:c r="K951" s="15" t="str">
        <x:v>soft_material | rubber_like</x:v>
      </x:c>
      <x:c r="L951" s="15" t="str"/>
      <x:c r="M951" s="15" t="str"/>
      <x:c r="N951" s="15" t="str"/>
      <x:c r="O951" s="15" t="str"/>
      <x:c r="P951" s="15" t="str"/>
      <x:c r="Q951" s="15" t="str"/>
      <x:c r="R951" s="15" t="str">
        <x:v>用户需要女士柔软橡胶材质的人字拖。</x:v>
      </x:c>
      <x:c r="S951" s="10" t="str">
        <x:v>consideration</x:v>
      </x:c>
      <x:c r="T951" s="15" t="str">
        <x:v>explicit | page_validated</x:v>
      </x:c>
      <x:c r="U951" s="10" t="str">
        <x:v>medium</x:v>
      </x:c>
      <x:c r="V951" s="15" t="str">
        <x:v>soft_rubber_womens_flip_flops</x:v>
      </x:c>
      <x:c r="W951" s="15" t="str">
        <x:v>listing_gap_review</x:v>
      </x:c>
      <x:c r="X951" s="15" t="str">
        <x:v>{"product_type":[{"value":"flip_flop","evidence_type":"explicit","source_span":"flip flops","fact_ids":[],"rationale":""},{"value":"flip_flop","evidence_type":"page_validated","source_span":"","fact_ids":["style_flip_flop"],"rationale":""}],"audience_intent":[{"value":"women","evidence_type":"explicit","source_span":"women","fact_ids":[],"rationale":""},{"value":"women","evidence_type":"page_validated","source_span":"","fact_ids":["title_womens_flip_flop"],"rationale":""}],"capability_intent":[{"value":"soft_material","evidence_type":"explicit","source_span":"soft","fact_ids":[],"rationale":""},{"value":"soft_material","evidence_type":"page_validated","source_span":"","fact_ids":["soft_toe_post","padded_cushioning"],"rationale":""},{"value":"rubber_like","evidence_type":"explicit","source_span":"rubber","fact_ids":[],"rationale":""}],"primary_domain":[{"value":"clothing_shoes_jewelry","evidence_type":"inferred","source_span":"","fact_ids":[],"rationale":"该值由搜索词整体语义推断，未作为页面明示属性。"}]}</x:v>
      </x:c>
      <x:c r="Y951" s="15" t="str"/>
      <x:c r="Z951" s="10" t="str">
        <x:v>partial_match</x:v>
      </x:c>
      <x:c r="AA951" s="15" t="str">
        <x:v>title_womens_flip_flop | style_flip_flop | soft_toe_post | padded_cushioning</x:v>
      </x:c>
      <x:c r="AB951" s="10" t="str">
        <x:v>accepted</x:v>
      </x:c>
      <x:c r="AC951" s="10" t="str">
        <x:v>1.0.0</x:v>
      </x:c>
      <x:c r="AD951" s="10" t="str">
        <x:v>1.1.0</x:v>
      </x:c>
      <x:c r="AE951" s="10" t="str">
        <x:v>deepseek/deepseek-v4-pro</x:v>
      </x:c>
      <x:c r="AF951" s="10" t="str">
        <x:v>aj2-y90-20260714T234810-0bea2f52</x:v>
      </x:c>
      <x:c r="AG951" s="10" t="str">
        <x:v>full-0048</x:v>
      </x:c>
      <x:c r="AH951" s="10" t="str">
        <x:v>full</x:v>
      </x:c>
      <x:c r="AI951" s="10" t="n">
        <x:v>48</x:v>
      </x:c>
    </x:row>
    <x:row r="952" ht="34" customHeight="1">
      <x:c r="A952" s="16" t="str">
        <x:v>womens waterproof flip flops</x:v>
      </x:c>
      <x:c r="B952" s="16" t="str">
        <x:v>womens waterproof flip flops</x:v>
      </x:c>
      <x:c r="C952" s="13" t="str">
        <x:v>7f252867fc58c126</x:v>
      </x:c>
      <x:c r="D952" s="13" t="str">
        <x:v>keyword</x:v>
      </x:c>
      <x:c r="E952" s="13" t="str">
        <x:v>en</x:v>
      </x:c>
      <x:c r="F952" s="13" t="str">
        <x:v>clothing_shoes_jewelry</x:v>
      </x:c>
      <x:c r="G952" s="16" t="str"/>
      <x:c r="H952" s="16" t="str">
        <x:v>flip_flop</x:v>
      </x:c>
      <x:c r="I952" s="16" t="str">
        <x:v>women</x:v>
      </x:c>
      <x:c r="J952" s="16" t="str">
        <x:v>water_activities</x:v>
      </x:c>
      <x:c r="K952" s="16" t="str">
        <x:v>waterproof</x:v>
      </x:c>
      <x:c r="L952" s="16" t="str"/>
      <x:c r="M952" s="16" t="str">
        <x:v>water_environment</x:v>
      </x:c>
      <x:c r="N952" s="16" t="str"/>
      <x:c r="O952" s="16" t="str"/>
      <x:c r="P952" s="16" t="str"/>
      <x:c r="Q952" s="16" t="str"/>
      <x:c r="R952" s="16" t="str">
        <x:v>用户需要女士防水人字拖，适合涉水环境穿着。</x:v>
      </x:c>
      <x:c r="S952" s="13" t="str">
        <x:v>consideration</x:v>
      </x:c>
      <x:c r="T952" s="16" t="str">
        <x:v>explicit | inferred</x:v>
      </x:c>
      <x:c r="U952" s="13" t="str">
        <x:v>high</x:v>
      </x:c>
      <x:c r="V952" s="16" t="str">
        <x:v>womens_waterproof_flip_flops</x:v>
      </x:c>
      <x:c r="W952" s="16" t="str">
        <x:v>semantic_negative_candidate</x:v>
      </x:c>
      <x:c r="X952" s="16" t="str">
        <x:v>{"product_type":[{"value":"flip_flop","evidence_type":"explicit","source_span":"flip flops","fact_ids":[],"rationale":""},{"value":"flip_flop","evidence_type":"page_validated","source_span":"","fact_ids":["style_flip_flop"],"rationale":"该槽位与商品基准中的明示页面事实一致。"}],"audience_intent":[{"value":"women","evidence_type":"explicit","source_span":"womens","fact_ids":[],"rationale":""},{"value":"women","evidence_type":"page_validated","source_span":"","fact_ids":["title_womens_flip_flop"],"rationale":"该槽位与商品基准中的明示页面事实一致。"}],"capability_intent":[{"value":"waterproof","evidence_type":"explicit","source_span":"waterproof","fact_ids":[],"rationale":""}],"function_intent":[{"value":"water_activities","evidence_type":"inferred","source_span":"waterproof","fact_ids":[],"rationale":"防水需求暗含涉水使用场景"}],"location_intent":[{"value":"water_environment","evidence_type":"inferred","source_span":"waterproof","fact_ids":[],"rationale":"防水通常用于涉水环境"}],"primary_domain":[{"value":"clothing_shoes_jewelry","evidence_type":"inferred","source_span":"","fact_ids":[],"rationale":"该值由搜索词整体语义推断，未作为页面明示属性。"}]}</x:v>
      </x:c>
      <x:c r="Y952" s="16" t="str"/>
      <x:c r="Z952" s="13" t="str">
        <x:v>mismatch</x:v>
      </x:c>
      <x:c r="AA952" s="16" t="str">
        <x:v>title_womens_flip_flop | style_flip_flop</x:v>
      </x:c>
      <x:c r="AB952" s="13" t="str">
        <x:v>accepted</x:v>
      </x:c>
      <x:c r="AC952" s="13" t="str">
        <x:v>1.0.0</x:v>
      </x:c>
      <x:c r="AD952" s="13" t="str">
        <x:v>1.1.0</x:v>
      </x:c>
      <x:c r="AE952" s="13" t="str">
        <x:v>deepseek/deepseek-v4-pro</x:v>
      </x:c>
      <x:c r="AF952" s="13" t="str">
        <x:v>aj2-y90-20260714T234810-0bea2f52</x:v>
      </x:c>
      <x:c r="AG952" s="13" t="str">
        <x:v>full-0048</x:v>
      </x:c>
      <x:c r="AH952" s="13" t="str">
        <x:v>full</x:v>
      </x:c>
      <x:c r="AI952" s="13" t="n">
        <x:v>48</x:v>
      </x:c>
    </x:row>
    <x:row r="953" ht="34" customHeight="1">
      <x:c r="A953" s="15" t="str">
        <x:v>sandals for women for beach</x:v>
      </x:c>
      <x:c r="B953" s="15" t="str">
        <x:v>sandals for women for beach</x:v>
      </x:c>
      <x:c r="C953" s="10" t="str">
        <x:v>877f683cc4eaecfd</x:v>
      </x:c>
      <x:c r="D953" s="10" t="str">
        <x:v>keyword</x:v>
      </x:c>
      <x:c r="E953" s="10" t="str">
        <x:v>en</x:v>
      </x:c>
      <x:c r="F953" s="10" t="str">
        <x:v>clothing_shoes_jewelry</x:v>
      </x:c>
      <x:c r="G953" s="15" t="str">
        <x:v>sports_outdoors</x:v>
      </x:c>
      <x:c r="H953" s="15" t="str">
        <x:v>sandal</x:v>
      </x:c>
      <x:c r="I953" s="15" t="str">
        <x:v>women</x:v>
      </x:c>
      <x:c r="J953" s="15" t="str">
        <x:v>beach_use</x:v>
      </x:c>
      <x:c r="K953" s="15" t="str">
        <x:v>water_friendly</x:v>
      </x:c>
      <x:c r="L953" s="15" t="str">
        <x:v>beach_outing</x:v>
      </x:c>
      <x:c r="M953" s="15" t="str">
        <x:v>beach</x:v>
      </x:c>
      <x:c r="N953" s="15" t="str"/>
      <x:c r="O953" s="15" t="str"/>
      <x:c r="P953" s="15" t="str"/>
      <x:c r="Q953" s="15" t="str"/>
      <x:c r="R953" s="15" t="str">
        <x:v>用户需要女士沙滩凉鞋，适合海边穿着。</x:v>
      </x:c>
      <x:c r="S953" s="10" t="str">
        <x:v>consideration</x:v>
      </x:c>
      <x:c r="T953" s="15" t="str">
        <x:v>explicit | page_validated | inferred</x:v>
      </x:c>
      <x:c r="U953" s="10" t="str">
        <x:v>high</x:v>
      </x:c>
      <x:c r="V953" s="15" t="str">
        <x:v>womens_beach_sandals</x:v>
      </x:c>
      <x:c r="W953" s="15" t="str">
        <x:v>cluster_route</x:v>
      </x:c>
      <x:c r="X953" s="15" t="str">
        <x:v>{"product_type":[{"value":"sandal","evidence_type":"explicit","source_span":"sandals","fact_ids":[],"rationale":""},{"value":"sandal","evidence_type":"page_validated","source_span":"","fact_ids":["style_flip_flop"],"rationale":""}],"audience_intent":[{"value":"women","evidence_type":"explicit","source_span":"women","fact_ids":[],"rationale":""},{"value":"women","evidence_type":"page_validated","source_span":"","fact_ids":["title_womens_flip_flop"],"rationale":""}],"location_intent":[{"value":"beach","evidence_type":"explicit","source_span":"beach","fact_ids":[],"rationale":""}],"function_intent":[{"value":"beach_use","evidence_type":"inferred","source_span":"beach","fact_ids":[],"rationale":"beach暗示沙滩场景使用"}],"capability_intent":[{"value":"water_friendly","evidence_type":"page_validated","source_span":"","fact_ids":["easy_clean","material_eva"],"rationale":""}],"event_intent":[{"value":"beach_outing","evidence_type":"inferred","source_span":"beach","fact_ids":[],"rationale":"beach暗示沙滩出行活动"}],"primary_domain":[{"value":"clothing_shoes_jewelry","evidence_type":"inferred","source_span":"","fact_ids":[],"rationale":"该值由搜索词整体语义推断，未作为页面明示属性。"}],"secondary_domain":[{"value":"sports_outdoors","evidence_type":"inferred","source_span":"","fact_ids":[],"rationale":"该值由搜索词整体语义推断，未作为页面明示属性。"}]}</x:v>
      </x:c>
      <x:c r="Y953" s="15" t="str"/>
      <x:c r="Z953" s="10" t="str">
        <x:v>match</x:v>
      </x:c>
      <x:c r="AA953" s="15" t="str">
        <x:v>title_womens_flip_flop | style_flip_flop | easy_clean | material_eva</x:v>
      </x:c>
      <x:c r="AB953" s="10" t="str">
        <x:v>accepted</x:v>
      </x:c>
      <x:c r="AC953" s="10" t="str">
        <x:v>1.0.0</x:v>
      </x:c>
      <x:c r="AD953" s="10" t="str">
        <x:v>1.1.0</x:v>
      </x:c>
      <x:c r="AE953" s="10" t="str">
        <x:v>deepseek/deepseek-v4-pro</x:v>
      </x:c>
      <x:c r="AF953" s="10" t="str">
        <x:v>aj2-y90-20260714T234810-0bea2f52</x:v>
      </x:c>
      <x:c r="AG953" s="10" t="str">
        <x:v>full-0048</x:v>
      </x:c>
      <x:c r="AH953" s="10" t="str">
        <x:v>full</x:v>
      </x:c>
      <x:c r="AI953" s="10" t="n">
        <x:v>48</x:v>
      </x:c>
    </x:row>
    <x:row r="954" ht="34" customHeight="1">
      <x:c r="A954" s="16" t="str">
        <x:v>arches flipflops</x:v>
      </x:c>
      <x:c r="B954" s="16" t="str">
        <x:v>arches flipflops</x:v>
      </x:c>
      <x:c r="C954" s="13" t="str">
        <x:v>9c395fd00f3b086d</x:v>
      </x:c>
      <x:c r="D954" s="13" t="str">
        <x:v>keyword</x:v>
      </x:c>
      <x:c r="E954" s="13" t="str">
        <x:v>en</x:v>
      </x:c>
      <x:c r="F954" s="13" t="str">
        <x:v>clothing_shoes_jewelry</x:v>
      </x:c>
      <x:c r="G954" s="16" t="str"/>
      <x:c r="H954" s="16" t="str">
        <x:v>flip_flop</x:v>
      </x:c>
      <x:c r="I954" s="16" t="str"/>
      <x:c r="J954" s="16" t="str"/>
      <x:c r="K954" s="16" t="str">
        <x:v>arch_support</x:v>
      </x:c>
      <x:c r="L954" s="16" t="str"/>
      <x:c r="M954" s="16" t="str"/>
      <x:c r="N954" s="16" t="str">
        <x:v>arch_needs</x:v>
      </x:c>
      <x:c r="O954" s="16" t="str"/>
      <x:c r="P954" s="16" t="str"/>
      <x:c r="Q954" s="16" t="str"/>
      <x:c r="R954" s="16" t="str">
        <x:v>用户需要具有足弓支撑功能的人字拖，用于日常穿着缓解足弓压力。</x:v>
      </x:c>
      <x:c r="S954" s="13" t="str">
        <x:v>consideration</x:v>
      </x:c>
      <x:c r="T954" s="16" t="str">
        <x:v>explicit | page_validated | inferred</x:v>
      </x:c>
      <x:c r="U954" s="13" t="str">
        <x:v>high</x:v>
      </x:c>
      <x:c r="V954" s="16" t="str">
        <x:v>arch_support_flip_flops</x:v>
      </x:c>
      <x:c r="W954" s="16" t="str">
        <x:v>cluster_route</x:v>
      </x:c>
      <x:c r="X954" s="16" t="str">
        <x:v>{"product_type":[{"value":"flip_flop","evidence_type":"explicit","source_span":"flipflops","fact_ids":[],"rationale":""},{"value":"flip_flop","evidence_type":"page_validated","source_span":"","fact_ids":["style_flip_flop"],"rationale":""},{"value":"flip_flop","evidence_type":"inferred","source_span":"","fact_ids":[],"rationale":"该能力由搜索词表达的任务或问题推断；页面事实仅用于验证商品承接。"}],"capability_intent":[{"value":"arch_support","evidence_type":"explicit","source_span":"arches","fact_ids":[],"rationale":""},{"value":"arch_support","evidence_type":"page_validated","source_span":"","fact_ids":["arch_support"],"rationale":""},{"value":"arch_support","evidence_type":"inferred","source_span":"","fact_ids":[],"rationale":"该能力由搜索词表达的任务或问题推断；页面事实仅用于验证商品承接。"}],"body_need_intent":[{"value":"arch_needs","evidence_type":"inferred","source_span":"arches","fact_ids":[],"rationale":"arches暗示足弓相关需求"}],"primary_domain":[{"value":"clothing_shoes_jewelry","evidence_type":"inferred","source_span":"","fact_ids":[],"rationale":"该值由搜索词整体语义推断，未作为页面明示属性。"}]}</x:v>
      </x:c>
      <x:c r="Y954" s="16" t="str"/>
      <x:c r="Z954" s="13" t="str">
        <x:v>match</x:v>
      </x:c>
      <x:c r="AA954" s="16" t="str">
        <x:v>arch_support | style_flip_flop | title_womens_flip_flop</x:v>
      </x:c>
      <x:c r="AB954" s="13" t="str">
        <x:v>accepted</x:v>
      </x:c>
      <x:c r="AC954" s="13" t="str">
        <x:v>1.0.0</x:v>
      </x:c>
      <x:c r="AD954" s="13" t="str">
        <x:v>1.1.0</x:v>
      </x:c>
      <x:c r="AE954" s="13" t="str">
        <x:v>deepseek/deepseek-v4-pro</x:v>
      </x:c>
      <x:c r="AF954" s="13" t="str">
        <x:v>aj2-y90-20260714T234810-0bea2f52</x:v>
      </x:c>
      <x:c r="AG954" s="13" t="str">
        <x:v>full-0048</x:v>
      </x:c>
      <x:c r="AH954" s="13" t="str">
        <x:v>full</x:v>
      </x:c>
      <x:c r="AI954" s="13" t="n">
        <x:v>48</x:v>
      </x:c>
    </x:row>
    <x:row r="955" ht="34" customHeight="1">
      <x:c r="A955" s="15" t="str">
        <x:v>flat thong with arch</x:v>
      </x:c>
      <x:c r="B955" s="15" t="str">
        <x:v>flat thong with arch</x:v>
      </x:c>
      <x:c r="C955" s="10" t="str">
        <x:v>b35ce0e0104f8a1f</x:v>
      </x:c>
      <x:c r="D955" s="10" t="str">
        <x:v>keyword</x:v>
      </x:c>
      <x:c r="E955" s="10" t="str">
        <x:v>en</x:v>
      </x:c>
      <x:c r="F955" s="10" t="str">
        <x:v>clothing_shoes_jewelry</x:v>
      </x:c>
      <x:c r="G955" s="15" t="str"/>
      <x:c r="H955" s="15" t="str">
        <x:v>flip_flop | thong_sandal</x:v>
      </x:c>
      <x:c r="I955" s="15" t="str"/>
      <x:c r="J955" s="15" t="str"/>
      <x:c r="K955" s="15" t="str">
        <x:v>arch_support</x:v>
      </x:c>
      <x:c r="L955" s="15" t="str"/>
      <x:c r="M955" s="15" t="str"/>
      <x:c r="N955" s="15" t="str">
        <x:v>arch_needs</x:v>
      </x:c>
      <x:c r="O955" s="15" t="str"/>
      <x:c r="P955" s="15" t="str"/>
      <x:c r="Q955" s="15" t="str"/>
      <x:c r="R955" s="15" t="str">
        <x:v>用户需要具有足弓支撑的平底夹脚凉鞋。</x:v>
      </x:c>
      <x:c r="S955" s="10" t="str">
        <x:v>consideration</x:v>
      </x:c>
      <x:c r="T955" s="15" t="str">
        <x:v>explicit | page_validated</x:v>
      </x:c>
      <x:c r="U955" s="10" t="str">
        <x:v>high</x:v>
      </x:c>
      <x:c r="V955" s="15" t="str">
        <x:v>flat_thong_arch_support</x:v>
      </x:c>
      <x:c r="W955" s="15" t="str">
        <x:v>cluster_route</x:v>
      </x:c>
      <x:c r="X955" s="15" t="str">
        <x:v>{"product_type":[{"value":"flip_flop","evidence_type":"page_validated","source_span":"","fact_ids":["style_flip_flop","style_thong"],"rationale":""},{"value":"thong_sandal","evidence_type":"explicit","source_span":"thong","fact_ids":[],"rationale":""},{"value":"thong_sandal","evidence_type":"page_validated","source_span":"","fact_ids":["style_thong"],"rationale":""},{"value":"flip_flop","evidence_type":"inferred","source_span":"","fact_ids":[],"rationale":"该能力由搜索词表达的任务或问题推断；页面事实仅用于验证商品承接。"},{"value":"thong_sandal","evidence_type":"inferred","source_span":"","fact_ids":[],"rationale":"该能力由搜索词表达的任务或问题推断；页面事实仅用于验证商品承接。"}],"capability_intent":[{"value":"arch_support","evidence_type":"explicit","source_span":"arch","fact_ids":[],"rationale":""},{"value":"arch_support","evidence_type":"page_validated","source_span":"","fact_ids":["arch_support"],"rationale":""},{"value":"arch_support","evidence_type":"inferred","source_span":"","fact_ids":[],"rationale":"该能力由搜索词表达的任务或问题推断；页面事实仅用于验证商品承接。"}],"body_need_intent":[{"value":"arch_needs","evidence_type":"inferred","source_span":"arch","fact_ids":[],"rationale":"arch暗示足弓相关需求"}],"primary_domain":[{"value":"clothing_shoes_jewelry","evidence_type":"inferred","source_span":"","fact_ids":[],"rationale":"该值由搜索词整体语义推断，未作为页面明示属性。"}]}</x:v>
      </x:c>
      <x:c r="Y955" s="15" t="str"/>
      <x:c r="Z955" s="10" t="str">
        <x:v>match</x:v>
      </x:c>
      <x:c r="AA955" s="15" t="str">
        <x:v>style_flat | style_thong | arch_support | style_flip_flop</x:v>
      </x:c>
      <x:c r="AB955" s="10" t="str">
        <x:v>accepted</x:v>
      </x:c>
      <x:c r="AC955" s="10" t="str">
        <x:v>1.0.0</x:v>
      </x:c>
      <x:c r="AD955" s="10" t="str">
        <x:v>1.1.0</x:v>
      </x:c>
      <x:c r="AE955" s="10" t="str">
        <x:v>deepseek/deepseek-v4-pro</x:v>
      </x:c>
      <x:c r="AF955" s="10" t="str">
        <x:v>aj2-y90-20260714T234810-0bea2f52</x:v>
      </x:c>
      <x:c r="AG955" s="10" t="str">
        <x:v>full-0048</x:v>
      </x:c>
      <x:c r="AH955" s="10" t="str">
        <x:v>full</x:v>
      </x:c>
      <x:c r="AI955" s="10" t="n">
        <x:v>48</x:v>
      </x:c>
    </x:row>
    <x:row r="956" ht="34" customHeight="1">
      <x:c r="A956" s="16" t="str">
        <x:v>teal flip flops</x:v>
      </x:c>
      <x:c r="B956" s="16" t="str">
        <x:v>teal flip flops</x:v>
      </x:c>
      <x:c r="C956" s="13" t="str">
        <x:v>b598cdcb7045accd</x:v>
      </x:c>
      <x:c r="D956" s="13" t="str">
        <x:v>keyword</x:v>
      </x:c>
      <x:c r="E956" s="13" t="str">
        <x:v>en</x:v>
      </x:c>
      <x:c r="F956" s="13" t="str">
        <x:v>clothing_shoes_jewelry</x:v>
      </x:c>
      <x:c r="G956" s="16" t="str"/>
      <x:c r="H956" s="16" t="str">
        <x:v>flip_flop</x:v>
      </x:c>
      <x:c r="I956" s="16" t="str"/>
      <x:c r="J956" s="16" t="str"/>
      <x:c r="K956" s="16" t="str"/>
      <x:c r="L956" s="16" t="str"/>
      <x:c r="M956" s="16" t="str"/>
      <x:c r="N956" s="16" t="str"/>
      <x:c r="O956" s="16" t="str"/>
      <x:c r="P956" s="16" t="str"/>
      <x:c r="Q956" s="16" t="str"/>
      <x:c r="R956" s="16" t="str">
        <x:v>用户需要蓝绿色人字拖。</x:v>
      </x:c>
      <x:c r="S956" s="13" t="str">
        <x:v>high_intent</x:v>
      </x:c>
      <x:c r="T956" s="16" t="str">
        <x:v>explicit | page_validated</x:v>
      </x:c>
      <x:c r="U956" s="13" t="str">
        <x:v>medium</x:v>
      </x:c>
      <x:c r="V956" s="16" t="str">
        <x:v>teal_flip_flops</x:v>
      </x:c>
      <x:c r="W956" s="16" t="str">
        <x:v>listing_gap_review</x:v>
      </x:c>
      <x:c r="X956" s="16" t="str">
        <x:v>{"product_type":[{"value":"flip_flop","evidence_type":"explicit","source_span":"flip flops","fact_ids":[],"rationale":""},{"value":"flip_flop","evidence_type":"page_validated","source_span":"","fact_ids":["style_flip_flop"],"rationale":""}],"primary_domain":[{"value":"clothing_shoes_jewelry","evidence_type":"inferred","source_span":"","fact_ids":[],"rationale":"该值由搜索词整体语义推断，未作为页面明示属性。"}]}</x:v>
      </x:c>
      <x:c r="Y956" s="16" t="str"/>
      <x:c r="Z956" s="13" t="str">
        <x:v>partial_match</x:v>
      </x:c>
      <x:c r="AA956" s="16" t="str">
        <x:v>style_flip_flop | title_womens_flip_flop</x:v>
      </x:c>
      <x:c r="AB956" s="13" t="str">
        <x:v>accepted</x:v>
      </x:c>
      <x:c r="AC956" s="13" t="str">
        <x:v>1.0.0</x:v>
      </x:c>
      <x:c r="AD956" s="13" t="str">
        <x:v>1.1.0</x:v>
      </x:c>
      <x:c r="AE956" s="13" t="str">
        <x:v>deepseek/deepseek-v4-pro</x:v>
      </x:c>
      <x:c r="AF956" s="13" t="str">
        <x:v>aj2-y90-20260714T234810-0bea2f52</x:v>
      </x:c>
      <x:c r="AG956" s="13" t="str">
        <x:v>full-0048</x:v>
      </x:c>
      <x:c r="AH956" s="13" t="str">
        <x:v>full</x:v>
      </x:c>
      <x:c r="AI956" s="13" t="n">
        <x:v>48</x:v>
      </x:c>
    </x:row>
    <x:row r="957" ht="34" customHeight="1">
      <x:c r="A957" s="15" t="str">
        <x:v>lavau flip flops for women</x:v>
      </x:c>
      <x:c r="B957" s="15" t="str">
        <x:v>lavau flip flops for women</x:v>
      </x:c>
      <x:c r="C957" s="10" t="str">
        <x:v>b79839dce31f7921</x:v>
      </x:c>
      <x:c r="D957" s="10" t="str">
        <x:v>keyword</x:v>
      </x:c>
      <x:c r="E957" s="10" t="str">
        <x:v>en</x:v>
      </x:c>
      <x:c r="F957" s="10" t="str">
        <x:v>clothing_shoes_jewelry</x:v>
      </x:c>
      <x:c r="G957" s="15" t="str"/>
      <x:c r="H957" s="15" t="str">
        <x:v>flip_flop</x:v>
      </x:c>
      <x:c r="I957" s="15" t="str">
        <x:v>women</x:v>
      </x:c>
      <x:c r="J957" s="15" t="str"/>
      <x:c r="K957" s="15" t="str"/>
      <x:c r="L957" s="15" t="str"/>
      <x:c r="M957" s="15" t="str"/>
      <x:c r="N957" s="15" t="str"/>
      <x:c r="O957" s="15" t="str"/>
      <x:c r="P957" s="15" t="str">
        <x:v>alternative_brand</x:v>
      </x:c>
      <x:c r="Q957" s="15" t="str"/>
      <x:c r="R957" s="15" t="str">
        <x:v>用户寻找Lavau品牌或类似品牌的女士人字拖。</x:v>
      </x:c>
      <x:c r="S957" s="10" t="str">
        <x:v>brand_harvest</x:v>
      </x:c>
      <x:c r="T957" s="15" t="str">
        <x:v>explicit | inferred</x:v>
      </x:c>
      <x:c r="U957" s="10" t="str">
        <x:v>high</x:v>
      </x:c>
      <x:c r="V957" s="15" t="str">
        <x:v>lavau_womens_flip_flops</x:v>
      </x:c>
      <x:c r="W957" s="15" t="str">
        <x:v>semantic_negative_candidate</x:v>
      </x:c>
      <x:c r="X957" s="15" t="str">
        <x:v>{"product_type":[{"value":"flip_flop","evidence_type":"explicit","source_span":"flip flops","fact_ids":[],"rationale":""},{"value":"flip_flop","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substitute_intent":[{"value":"alternative_brand","evidence_type":"inferred","source_span":"lavau","fact_ids":[],"rationale":"lavau是他牌名称"}],"primary_domain":[{"value":"clothing_shoes_jewelry","evidence_type":"inferred","source_span":"","fact_ids":[],"rationale":"该值由搜索词整体语义推断，未作为页面明示属性。"}]}</x:v>
      </x:c>
      <x:c r="Y957" s="15" t="str">
        <x:v>brand_ambiguous</x:v>
      </x:c>
      <x:c r="Z957" s="10" t="str">
        <x:v>partial_match</x:v>
      </x:c>
      <x:c r="AA957" s="15" t="str">
        <x:v>title_womens_flip_flop | style_flip_flop</x:v>
      </x:c>
      <x:c r="AB957" s="10" t="str">
        <x:v>accepted</x:v>
      </x:c>
      <x:c r="AC957" s="10" t="str">
        <x:v>1.0.0</x:v>
      </x:c>
      <x:c r="AD957" s="10" t="str">
        <x:v>1.1.0</x:v>
      </x:c>
      <x:c r="AE957" s="10" t="str">
        <x:v>deepseek/deepseek-v4-pro</x:v>
      </x:c>
      <x:c r="AF957" s="10" t="str">
        <x:v>aj2-y90-20260714T234810-0bea2f52</x:v>
      </x:c>
      <x:c r="AG957" s="10" t="str">
        <x:v>full-0048</x:v>
      </x:c>
      <x:c r="AH957" s="10" t="str">
        <x:v>full</x:v>
      </x:c>
      <x:c r="AI957" s="10" t="n">
        <x:v>48</x:v>
      </x:c>
    </x:row>
    <x:row r="958" ht="34" customHeight="1">
      <x:c r="A958" s="16" t="str">
        <x:v>flip flops plastic for women</x:v>
      </x:c>
      <x:c r="B958" s="16" t="str">
        <x:v>flip flops plastic for women</x:v>
      </x:c>
      <x:c r="C958" s="13" t="str">
        <x:v>cac6da2eb2414502</x:v>
      </x:c>
      <x:c r="D958" s="13" t="str">
        <x:v>keyword</x:v>
      </x:c>
      <x:c r="E958" s="13" t="str">
        <x:v>en</x:v>
      </x:c>
      <x:c r="F958" s="13" t="str">
        <x:v>clothing_shoes_jewelry</x:v>
      </x:c>
      <x:c r="G958" s="16" t="str"/>
      <x:c r="H958" s="16" t="str">
        <x:v>flip_flop</x:v>
      </x:c>
      <x:c r="I958" s="16" t="str">
        <x:v>women</x:v>
      </x:c>
      <x:c r="J958" s="16" t="str"/>
      <x:c r="K958" s="16" t="str">
        <x:v>plastic_material</x:v>
      </x:c>
      <x:c r="L958" s="16" t="str"/>
      <x:c r="M958" s="16" t="str"/>
      <x:c r="N958" s="16" t="str"/>
      <x:c r="O958" s="16" t="str"/>
      <x:c r="P958" s="16" t="str"/>
      <x:c r="Q958" s="16" t="str"/>
      <x:c r="R958" s="16" t="str">
        <x:v>用户需要女士塑料材质的人字拖。</x:v>
      </x:c>
      <x:c r="S958" s="13" t="str">
        <x:v>consideration</x:v>
      </x:c>
      <x:c r="T958" s="16" t="str">
        <x:v>explicit | page_validated</x:v>
      </x:c>
      <x:c r="U958" s="13" t="str">
        <x:v>medium</x:v>
      </x:c>
      <x:c r="V958" s="16" t="str">
        <x:v>womens_plastic_flip_flops</x:v>
      </x:c>
      <x:c r="W958" s="16" t="str">
        <x:v>listing_gap_review</x:v>
      </x:c>
      <x:c r="X958" s="16" t="str">
        <x:v>{"product_type":[{"value":"flip_flop","evidence_type":"explicit","source_span":"flip flops","fact_ids":[],"rationale":""},{"value":"flip_flop","evidence_type":"page_validated","source_span":"","fact_ids":["style_flip_flop"],"rationale":""}],"audience_intent":[{"value":"women","evidence_type":"explicit","source_span":"women","fact_ids":[],"rationale":""},{"value":"women","evidence_type":"page_validated","source_span":"","fact_ids":["title_womens_flip_flop"],"rationale":""}],"capability_intent":[{"value":"plastic_material","evidence_type":"explicit","source_span":"plastic","fact_ids":[],"rationale":""}],"primary_domain":[{"value":"clothing_shoes_jewelry","evidence_type":"inferred","source_span":"","fact_ids":[],"rationale":"该值由搜索词整体语义推断，未作为页面明示属性。"}]}</x:v>
      </x:c>
      <x:c r="Y958" s="16" t="str"/>
      <x:c r="Z958" s="13" t="str">
        <x:v>partial_match</x:v>
      </x:c>
      <x:c r="AA958" s="16" t="str">
        <x:v>title_womens_flip_flop | style_flip_flop | material_eva</x:v>
      </x:c>
      <x:c r="AB958" s="13" t="str">
        <x:v>accepted</x:v>
      </x:c>
      <x:c r="AC958" s="13" t="str">
        <x:v>1.0.0</x:v>
      </x:c>
      <x:c r="AD958" s="13" t="str">
        <x:v>1.1.0</x:v>
      </x:c>
      <x:c r="AE958" s="13" t="str">
        <x:v>deepseek/deepseek-v4-pro</x:v>
      </x:c>
      <x:c r="AF958" s="13" t="str">
        <x:v>aj2-y90-20260714T234810-0bea2f52</x:v>
      </x:c>
      <x:c r="AG958" s="13" t="str">
        <x:v>full-0048</x:v>
      </x:c>
      <x:c r="AH958" s="13" t="str">
        <x:v>full</x:v>
      </x:c>
      <x:c r="AI958" s="13" t="n">
        <x:v>48</x:v>
      </x:c>
    </x:row>
    <x:row r="959" ht="34" customHeight="1">
      <x:c r="A959" s="15" t="str">
        <x:v>comfortable flip flops for women walking</x:v>
      </x:c>
      <x:c r="B959" s="15" t="str">
        <x:v>comfortable flip flops for women walking</x:v>
      </x:c>
      <x:c r="C959" s="10" t="str">
        <x:v>e14c56bf7367372c</x:v>
      </x:c>
      <x:c r="D959" s="10" t="str">
        <x:v>keyword</x:v>
      </x:c>
      <x:c r="E959" s="10" t="str">
        <x:v>en</x:v>
      </x:c>
      <x:c r="F959" s="10" t="str">
        <x:v>clothing_shoes_jewelry</x:v>
      </x:c>
      <x:c r="G959" s="15" t="str">
        <x:v>sports_outdoors</x:v>
      </x:c>
      <x:c r="H959" s="15" t="str">
        <x:v>flip_flop</x:v>
      </x:c>
      <x:c r="I959" s="15" t="str">
        <x:v>women</x:v>
      </x:c>
      <x:c r="J959" s="15" t="str">
        <x:v>walking</x:v>
      </x:c>
      <x:c r="K959" s="15" t="str">
        <x:v>comfort</x:v>
      </x:c>
      <x:c r="L959" s="15" t="str">
        <x:v>walking</x:v>
      </x:c>
      <x:c r="M959" s="15" t="str">
        <x:v>outdoor</x:v>
      </x:c>
      <x:c r="N959" s="15" t="str"/>
      <x:c r="O959" s="15" t="str"/>
      <x:c r="P959" s="15" t="str"/>
      <x:c r="Q959" s="15" t="str"/>
      <x:c r="R959" s="15" t="str">
        <x:v>用户需要女士舒适人字拖，适合户外步行穿着。</x:v>
      </x:c>
      <x:c r="S959" s="10" t="str">
        <x:v>consideration</x:v>
      </x:c>
      <x:c r="T959" s="15" t="str">
        <x:v>explicit | page_validated | inferred</x:v>
      </x:c>
      <x:c r="U959" s="10" t="str">
        <x:v>high</x:v>
      </x:c>
      <x:c r="V959" s="15" t="str">
        <x:v>comfortable_walking_flip_flops_women</x:v>
      </x:c>
      <x:c r="W959" s="15" t="str">
        <x:v>cluster_route</x:v>
      </x:c>
      <x:c r="X959" s="15" t="str">
        <x:v>{"product_type":[{"value":"flip_flop","evidence_type":"explicit","source_span":"flip flops","fact_ids":[],"rationale":""},{"value":"flip_flop","evidence_type":"page_validated","source_span":"","fact_ids":["style_flip_flop"],"rationale":""}],"audience_intent":[{"value":"women","evidence_type":"explicit","source_span":"women","fact_ids":[],"rationale":""},{"value":"women","evidence_type":"page_validated","source_span":"","fact_ids":["title_womens_flip_flop"],"rationale":""}],"capability_intent":[{"value":"comfort","evidence_type":"explicit","source_span":"comfortable","fact_ids":[],"rationale":""},{"value":"comfort","evidence_type":"page_validated","source_span":"","fact_ids":["arch_support","padded_cushioning"],"rationale":""}],"function_intent":[{"value":"walking","evidence_type":"explicit","source_span":"walking","fact_ids":[],"rationale":""}],"event_intent":[{"value":"walking","evidence_type":"explicit","source_span":"walking","fact_ids":[],"rationale":""}],"location_intent":[{"value":"outdoor","evidence_type":"page_validated","source_span":"","fact_ids":["style_outdoor"],"rationale":""},{"value":"outdoor","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secondary_domain":[{"value":"sports_outdoors","evidence_type":"inferred","source_span":"","fact_ids":[],"rationale":"该值由搜索词整体语义推断，未作为页面明示属性。"}]}</x:v>
      </x:c>
      <x:c r="Y959" s="15" t="str"/>
      <x:c r="Z959" s="10" t="str">
        <x:v>match</x:v>
      </x:c>
      <x:c r="AA959" s="15" t="str">
        <x:v>title_womens_flip_flop | style_flip_flop | arch_support | padded_cushioning | lightweight_breathable | style_outdoor</x:v>
      </x:c>
      <x:c r="AB959" s="10" t="str">
        <x:v>accepted</x:v>
      </x:c>
      <x:c r="AC959" s="10" t="str">
        <x:v>1.0.0</x:v>
      </x:c>
      <x:c r="AD959" s="10" t="str">
        <x:v>1.1.0</x:v>
      </x:c>
      <x:c r="AE959" s="10" t="str">
        <x:v>deepseek/deepseek-v4-pro</x:v>
      </x:c>
      <x:c r="AF959" s="10" t="str">
        <x:v>aj2-y90-20260714T234810-0bea2f52</x:v>
      </x:c>
      <x:c r="AG959" s="10" t="str">
        <x:v>full-0048</x:v>
      </x:c>
      <x:c r="AH959" s="10" t="str">
        <x:v>full</x:v>
      </x:c>
      <x:c r="AI959" s="10" t="n">
        <x:v>48</x:v>
      </x:c>
    </x:row>
    <x:row r="960" ht="34" customHeight="1">
      <x:c r="A960" s="16" t="str">
        <x:v>womens pool sandals</x:v>
      </x:c>
      <x:c r="B960" s="16" t="str">
        <x:v>womens pool sandals</x:v>
      </x:c>
      <x:c r="C960" s="13" t="str">
        <x:v>e86ce7f4868c5eb7</x:v>
      </x:c>
      <x:c r="D960" s="13" t="str">
        <x:v>keyword</x:v>
      </x:c>
      <x:c r="E960" s="13" t="str">
        <x:v>en</x:v>
      </x:c>
      <x:c r="F960" s="13" t="str">
        <x:v>clothing_shoes_jewelry</x:v>
      </x:c>
      <x:c r="G960" s="16" t="str"/>
      <x:c r="H960" s="16" t="str">
        <x:v>sandal</x:v>
      </x:c>
      <x:c r="I960" s="16" t="str">
        <x:v>women</x:v>
      </x:c>
      <x:c r="J960" s="16" t="str">
        <x:v>pool_use</x:v>
      </x:c>
      <x:c r="K960" s="16" t="str">
        <x:v>water_friendly</x:v>
      </x:c>
      <x:c r="L960" s="16" t="str">
        <x:v>swimming</x:v>
      </x:c>
      <x:c r="M960" s="16" t="str">
        <x:v>pool</x:v>
      </x:c>
      <x:c r="N960" s="16" t="str"/>
      <x:c r="O960" s="16" t="str"/>
      <x:c r="P960" s="16" t="str"/>
      <x:c r="Q960" s="16" t="str"/>
      <x:c r="R960" s="16" t="str">
        <x:v>用户需要女士泳池凉鞋，适合在泳池边穿着。</x:v>
      </x:c>
      <x:c r="S960" s="13" t="str">
        <x:v>consideration</x:v>
      </x:c>
      <x:c r="T960" s="16" t="str">
        <x:v>explicit | page_validated | inferred</x:v>
      </x:c>
      <x:c r="U960" s="13" t="str">
        <x:v>high</x:v>
      </x:c>
      <x:c r="V960" s="16" t="str">
        <x:v>womens_pool_sandals</x:v>
      </x:c>
      <x:c r="W960" s="16" t="str">
        <x:v>listing_gap_review</x:v>
      </x:c>
      <x:c r="X960" s="16" t="str">
        <x:v>{"product_type":[{"value":"sandal","evidence_type":"explicit","source_span":"sandals","fact_ids":[],"rationale":""},{"value":"sandal","evidence_type":"page_validated","source_span":"","fact_ids":["style_flip_flop"],"rationale":""}],"audience_intent":[{"value":"women","evidence_type":"explicit","source_span":"womens","fact_ids":[],"rationale":""},{"value":"women","evidence_type":"page_validated","source_span":"","fact_ids":["title_womens_flip_flop"],"rationale":""}],"location_intent":[{"value":"pool","evidence_type":"explicit","source_span":"pool","fact_ids":[],"rationale":""}],"function_intent":[{"value":"pool_use","evidence_type":"inferred","source_span":"pool","fact_ids":[],"rationale":"pool暗示泳池场景使用"}],"capability_intent":[{"value":"water_friendly","evidence_type":"page_validated","source_span":"","fact_ids":["easy_clean","material_eva"],"rationale":""}],"event_intent":[{"value":"swimming","evidence_type":"inferred","source_span":"pool","fact_ids":[],"rationale":"pool场所关联游泳活动"}],"primary_domain":[{"value":"clothing_shoes_jewelry","evidence_type":"inferred","source_span":"","fact_ids":[],"rationale":"该值由搜索词整体语义推断，未作为页面明示属性。"}]}</x:v>
      </x:c>
      <x:c r="Y960" s="16" t="str"/>
      <x:c r="Z960" s="13" t="str">
        <x:v>partial_match</x:v>
      </x:c>
      <x:c r="AA960" s="16" t="str">
        <x:v>title_womens_flip_flop | style_flip_flop | easy_clean | material_eva</x:v>
      </x:c>
      <x:c r="AB960" s="13" t="str">
        <x:v>accepted</x:v>
      </x:c>
      <x:c r="AC960" s="13" t="str">
        <x:v>1.0.0</x:v>
      </x:c>
      <x:c r="AD960" s="13" t="str">
        <x:v>1.1.0</x:v>
      </x:c>
      <x:c r="AE960" s="13" t="str">
        <x:v>deepseek/deepseek-v4-pro</x:v>
      </x:c>
      <x:c r="AF960" s="13" t="str">
        <x:v>aj2-y90-20260714T234810-0bea2f52</x:v>
      </x:c>
      <x:c r="AG960" s="13" t="str">
        <x:v>full-0048</x:v>
      </x:c>
      <x:c r="AH960" s="13" t="str">
        <x:v>full</x:v>
      </x:c>
      <x:c r="AI960" s="13" t="n">
        <x:v>48</x:v>
      </x:c>
    </x:row>
    <x:row r="961" ht="34" customHeight="1">
      <x:c r="A961" s="15" t="str">
        <x:v>archies flip flop dupe</x:v>
      </x:c>
      <x:c r="B961" s="15" t="str">
        <x:v>archies flip flop dupe</x:v>
      </x:c>
      <x:c r="C961" s="10" t="str">
        <x:v>f831b9198e0bbe8e</x:v>
      </x:c>
      <x:c r="D961" s="10" t="str">
        <x:v>keyword</x:v>
      </x:c>
      <x:c r="E961" s="10" t="str">
        <x:v>en</x:v>
      </x:c>
      <x:c r="F961" s="10" t="str">
        <x:v>clothing_shoes_jewelry</x:v>
      </x:c>
      <x:c r="G961" s="15" t="str"/>
      <x:c r="H961" s="15" t="str">
        <x:v>flip_flop</x:v>
      </x:c>
      <x:c r="I961" s="15" t="str"/>
      <x:c r="J961" s="15" t="str"/>
      <x:c r="K961" s="15" t="str">
        <x:v>arch_support</x:v>
      </x:c>
      <x:c r="L961" s="15" t="str"/>
      <x:c r="M961" s="15" t="str"/>
      <x:c r="N961" s="15" t="str">
        <x:v>arch_needs</x:v>
      </x:c>
      <x:c r="O961" s="15" t="str"/>
      <x:c r="P961" s="15" t="str">
        <x:v>dupe_alternative</x:v>
      </x:c>
      <x:c r="Q961" s="15" t="str"/>
      <x:c r="R961" s="15" t="str">
        <x:v>用户寻找Archies品牌人字拖的平价替代品，需具备类似足弓支撑功能。</x:v>
      </x:c>
      <x:c r="S961" s="10" t="str">
        <x:v>consideration</x:v>
      </x:c>
      <x:c r="T961" s="15" t="str">
        <x:v>explicit | page_validated | inferred</x:v>
      </x:c>
      <x:c r="U961" s="10" t="str">
        <x:v>high</x:v>
      </x:c>
      <x:c r="V961" s="15" t="str">
        <x:v>archies_flip_flop_dupe</x:v>
      </x:c>
      <x:c r="W961" s="15" t="str">
        <x:v>cluster_route</x:v>
      </x:c>
      <x:c r="X961" s="15" t="str">
        <x:v>{"product_type":[{"value":"flip_flop","evidence_type":"explicit","source_span":"flip flop","fact_ids":[],"rationale":""},{"value":"flip_flop","evidence_type":"page_validated","source_span":"","fact_ids":["style_flip_flop"],"rationale":""}],"capability_intent":[{"value":"arch_support","evidence_type":"page_validated","source_span":"","fact_ids":["arch_support"],"rationale":""},{"value":"arch_support","evidence_type":"inferred","source_span":"","fact_ids":[],"rationale":"该能力由搜索词表达的任务或问题推断；页面事实仅用于验证商品承接。"}],"body_need_intent":[{"value":"arch_needs","evidence_type":"inferred","source_span":"archies","fact_ids":[],"rationale":"搜索Archies暗示足弓需求"}],"substitute_intent":[{"value":"dupe_alternative","evidence_type":"explicit","source_span":"dupe","fact_ids":[],"rationale":""}],"primary_domain":[{"value":"clothing_shoes_jewelry","evidence_type":"inferred","source_span":"","fact_ids":[],"rationale":"该值由搜索词整体语义推断，未作为页面明示属性。"}]}</x:v>
      </x:c>
      <x:c r="Y961" s="15" t="str"/>
      <x:c r="Z961" s="10" t="str">
        <x:v>match</x:v>
      </x:c>
      <x:c r="AA961" s="15" t="str">
        <x:v>arch_support | style_flip_flop | title_womens_flip_flop</x:v>
      </x:c>
      <x:c r="AB961" s="10" t="str">
        <x:v>accepted</x:v>
      </x:c>
      <x:c r="AC961" s="10" t="str">
        <x:v>1.0.0</x:v>
      </x:c>
      <x:c r="AD961" s="10" t="str">
        <x:v>1.1.0</x:v>
      </x:c>
      <x:c r="AE961" s="10" t="str">
        <x:v>deepseek/deepseek-v4-pro</x:v>
      </x:c>
      <x:c r="AF961" s="10" t="str">
        <x:v>aj2-y90-20260714T234810-0bea2f52</x:v>
      </x:c>
      <x:c r="AG961" s="10" t="str">
        <x:v>full-0048</x:v>
      </x:c>
      <x:c r="AH961" s="10" t="str">
        <x:v>full</x:v>
      </x:c>
      <x:c r="AI961" s="10" t="n">
        <x:v>48</x:v>
      </x:c>
    </x:row>
    <x:row r="962" ht="34" customHeight="1">
      <x:c r="A962" s="16" t="str">
        <x:v>flops for women</x:v>
      </x:c>
      <x:c r="B962" s="16" t="str">
        <x:v>flops for women</x:v>
      </x:c>
      <x:c r="C962" s="13" t="str">
        <x:v>05b261dc24b6c1ac</x:v>
      </x:c>
      <x:c r="D962" s="13" t="str">
        <x:v>keyword</x:v>
      </x:c>
      <x:c r="E962" s="13" t="str">
        <x:v>en</x:v>
      </x:c>
      <x:c r="F962" s="13" t="str">
        <x:v>clothing_shoes_jewelry</x:v>
      </x:c>
      <x:c r="G962" s="16" t="str"/>
      <x:c r="H962" s="16" t="str">
        <x:v>flip_flops</x:v>
      </x:c>
      <x:c r="I962" s="16" t="str">
        <x:v>women</x:v>
      </x:c>
      <x:c r="J962" s="16" t="str"/>
      <x:c r="K962" s="16" t="str"/>
      <x:c r="L962" s="16" t="str"/>
      <x:c r="M962" s="16" t="str"/>
      <x:c r="N962" s="16" t="str"/>
      <x:c r="O962" s="16" t="str"/>
      <x:c r="P962" s="16" t="str"/>
      <x:c r="Q962" s="16" t="str"/>
      <x:c r="R962" s="16" t="str">
        <x:v>用户寻找女士人字拖，「flops」应为flip flops的缩写。</x:v>
      </x:c>
      <x:c r="S962" s="13" t="str">
        <x:v>exploration</x:v>
      </x:c>
      <x:c r="T962" s="16" t="str">
        <x:v>explicit | page_validated | inferred</x:v>
      </x:c>
      <x:c r="U962" s="13" t="str">
        <x:v>high</x:v>
      </x:c>
      <x:c r="V962" s="16" t="str">
        <x:v>womens_flip_flops</x:v>
      </x:c>
      <x:c r="W962" s="16" t="str">
        <x:v>cluster_route</x:v>
      </x:c>
      <x:c r="X962" s="16" t="str">
        <x:v>{"product_type":[{"value":"flip_flops","evidence_type":"page_validated","source_span":"","fact_ids":["style_flip_flop"],"rationale":"页面确认为人字拖款式"},{"value":"flip_flops","evidence_type":"inferred","source_span":"","fact_ids":[],"rationale":"该能力由搜索词表达的任务或问题推断；页面事实仅用于验证商品承接。"}],"audience_intent":[{"value":"women","evidence_type":"explicit","source_span":"for women","fact_ids":[],"rationale":"术语明确指定女性受众"},{"value":"women","evidence_type":"page_validated","source_span":"","fact_ids":["title_womens_flip_flop"],"rationale":"页面标题定位为女款"}],"primary_domain":[{"value":"clothing_shoes_jewelry","evidence_type":"inferred","source_span":"","fact_ids":[],"rationale":"该值由搜索词整体语义推断，未作为页面明示属性。"}]}</x:v>
      </x:c>
      <x:c r="Y962" s="16" t="str">
        <x:v>flops_is_abbreviated_slang</x:v>
      </x:c>
      <x:c r="Z962" s="13" t="str">
        <x:v>match</x:v>
      </x:c>
      <x:c r="AA962" s="16" t="str">
        <x:v>style_flip_flop | title_womens_flip_flop</x:v>
      </x:c>
      <x:c r="AB962" s="13" t="str">
        <x:v>accepted</x:v>
      </x:c>
      <x:c r="AC962" s="13" t="str">
        <x:v>1.0.0</x:v>
      </x:c>
      <x:c r="AD962" s="13" t="str">
        <x:v>1.1.0</x:v>
      </x:c>
      <x:c r="AE962" s="13" t="str">
        <x:v>deepseek/deepseek-v4-pro</x:v>
      </x:c>
      <x:c r="AF962" s="13" t="str">
        <x:v>aj2-y90-20260714T234810-0bea2f52</x:v>
      </x:c>
      <x:c r="AG962" s="13" t="str">
        <x:v>full-0049</x:v>
      </x:c>
      <x:c r="AH962" s="13" t="str">
        <x:v>full</x:v>
      </x:c>
      <x:c r="AI962" s="13" t="n">
        <x:v>49</x:v>
      </x:c>
    </x:row>
    <x:row r="963" ht="34" customHeight="1">
      <x:c r="A963" s="15" t="str">
        <x:v>sootheez flip flops</x:v>
      </x:c>
      <x:c r="B963" s="15" t="str">
        <x:v>sootheez flip flops</x:v>
      </x:c>
      <x:c r="C963" s="10" t="str">
        <x:v>0ae0f532d528037b</x:v>
      </x:c>
      <x:c r="D963" s="10" t="str">
        <x:v>keyword</x:v>
      </x:c>
      <x:c r="E963" s="10" t="str">
        <x:v>en</x:v>
      </x:c>
      <x:c r="F963" s="10" t="str">
        <x:v>clothing_shoes_jewelry</x:v>
      </x:c>
      <x:c r="G963" s="15" t="str"/>
      <x:c r="H963" s="15" t="str">
        <x:v>flip_flops</x:v>
      </x:c>
      <x:c r="I963" s="15" t="str"/>
      <x:c r="J963" s="15" t="str"/>
      <x:c r="K963" s="15" t="str"/>
      <x:c r="L963" s="15" t="str"/>
      <x:c r="M963" s="15" t="str"/>
      <x:c r="N963" s="15" t="str"/>
      <x:c r="O963" s="15" t="str"/>
      <x:c r="P963" s="15" t="str"/>
      <x:c r="Q963" s="15" t="str"/>
      <x:c r="R963" s="15" t="str">
        <x:v>用户搜索Sootheez品牌的人字拖，对品牌有明确偏好。</x:v>
      </x:c>
      <x:c r="S963" s="10" t="str">
        <x:v>brand_harvest</x:v>
      </x:c>
      <x:c r="T963" s="15" t="str">
        <x:v>explicit</x:v>
      </x:c>
      <x:c r="U963" s="10" t="str">
        <x:v>high</x:v>
      </x:c>
      <x:c r="V963" s="15" t="str">
        <x:v>sootheez_brand_flip_flops</x:v>
      </x:c>
      <x:c r="W963" s="15" t="str">
        <x:v>semantic_negative_candidate</x:v>
      </x:c>
      <x:c r="X963" s="15" t="str">
        <x:v>{"product_type":[{"value":"flip_flops","evidence_type":"explicit","source_span":"flip flops","fact_ids":[],"rationale":"术语直接指明产品类型"},{"value":"flip_flops","evidence_type":"page_validated","source_span":"","fact_ids":["style_flip_flop"],"rationale":"该槽位与商品基准中的明示页面事实一致。"}],"primary_domain":[{"value":"clothing_shoes_jewelry","evidence_type":"inferred","source_span":"","fact_ids":[],"rationale":"该值由搜索词整体语义推断，未作为页面明示属性。"}]}</x:v>
      </x:c>
      <x:c r="Y963" s="15" t="str"/>
      <x:c r="Z963" s="10" t="str">
        <x:v>mismatch</x:v>
      </x:c>
      <x:c r="AA963" s="15" t="str">
        <x:v>style_flip_flop</x:v>
      </x:c>
      <x:c r="AB963" s="10" t="str">
        <x:v>accepted</x:v>
      </x:c>
      <x:c r="AC963" s="10" t="str">
        <x:v>1.0.0</x:v>
      </x:c>
      <x:c r="AD963" s="10" t="str">
        <x:v>1.1.0</x:v>
      </x:c>
      <x:c r="AE963" s="10" t="str">
        <x:v>deepseek/deepseek-v4-pro</x:v>
      </x:c>
      <x:c r="AF963" s="10" t="str">
        <x:v>aj2-y90-20260714T234810-0bea2f52</x:v>
      </x:c>
      <x:c r="AG963" s="10" t="str">
        <x:v>full-0049</x:v>
      </x:c>
      <x:c r="AH963" s="10" t="str">
        <x:v>full</x:v>
      </x:c>
      <x:c r="AI963" s="10" t="n">
        <x:v>49</x:v>
      </x:c>
    </x:row>
    <x:row r="964" ht="34" customHeight="1">
      <x:c r="A964" s="16" t="str">
        <x:v>eva women's flip flops</x:v>
      </x:c>
      <x:c r="B964" s="16" t="str">
        <x:v>eva women's flip flops</x:v>
      </x:c>
      <x:c r="C964" s="13" t="str">
        <x:v>14afc4d7798507cc</x:v>
      </x:c>
      <x:c r="D964" s="13" t="str">
        <x:v>keyword</x:v>
      </x:c>
      <x:c r="E964" s="13" t="str">
        <x:v>en</x:v>
      </x:c>
      <x:c r="F964" s="13" t="str">
        <x:v>clothing_shoes_jewelry</x:v>
      </x:c>
      <x:c r="G964" s="16" t="str"/>
      <x:c r="H964" s="16" t="str">
        <x:v>flip_flops</x:v>
      </x:c>
      <x:c r="I964" s="16" t="str">
        <x:v>women</x:v>
      </x:c>
      <x:c r="J964" s="16" t="str"/>
      <x:c r="K964" s="16" t="str">
        <x:v>eva_material</x:v>
      </x:c>
      <x:c r="L964" s="16" t="str"/>
      <x:c r="M964" s="16" t="str"/>
      <x:c r="N964" s="16" t="str"/>
      <x:c r="O964" s="16" t="str"/>
      <x:c r="P964" s="16" t="str"/>
      <x:c r="Q964" s="16" t="str"/>
      <x:c r="R964" s="16" t="str">
        <x:v>用户需要EVA材质的女士人字拖，注重材质特性。</x:v>
      </x:c>
      <x:c r="S964" s="13" t="str">
        <x:v>consideration</x:v>
      </x:c>
      <x:c r="T964" s="16" t="str">
        <x:v>explicit | page_validated</x:v>
      </x:c>
      <x:c r="U964" s="13" t="str">
        <x:v>high</x:v>
      </x:c>
      <x:c r="V964" s="16" t="str">
        <x:v>eva_womens_flip_flops</x:v>
      </x:c>
      <x:c r="W964" s="16" t="str">
        <x:v>cluster_route</x:v>
      </x:c>
      <x:c r="X964" s="16" t="str">
        <x:v>{"product_type":[{"value":"flip_flops","evidence_type":"explicit","source_span":"flip flops","fact_ids":[],"rationale":"术语直接指明产品类型"},{"value":"flip_flops","evidence_type":"page_validated","source_span":"","fact_ids":["style_flip_flop"],"rationale":"页面确认为人字拖款式"}],"audience_intent":[{"value":"women","evidence_type":"explicit","source_span":"women's","fact_ids":[],"rationale":"术语明确指定女性受众"},{"value":"women","evidence_type":"page_validated","source_span":"","fact_ids":["title_womens_flip_flop"],"rationale":"页面标题定位为女款"}],"capability_intent":[{"value":"eva_material","evidence_type":"explicit","source_span":"eva","fact_ids":[],"rationale":"术语明确指定EVA材质"},{"value":"eva_material","evidence_type":"page_validated","source_span":"","fact_ids":["material_eva"],"rationale":"页面声明外层材质为EVA"}],"primary_domain":[{"value":"clothing_shoes_jewelry","evidence_type":"inferred","source_span":"","fact_ids":[],"rationale":"该值由搜索词整体语义推断，未作为页面明示属性。"}]}</x:v>
      </x:c>
      <x:c r="Y964" s="16" t="str"/>
      <x:c r="Z964" s="13" t="str">
        <x:v>match</x:v>
      </x:c>
      <x:c r="AA964" s="16" t="str">
        <x:v>style_flip_flop | title_womens_flip_flop | material_eva</x:v>
      </x:c>
      <x:c r="AB964" s="13" t="str">
        <x:v>accepted</x:v>
      </x:c>
      <x:c r="AC964" s="13" t="str">
        <x:v>1.0.0</x:v>
      </x:c>
      <x:c r="AD964" s="13" t="str">
        <x:v>1.1.0</x:v>
      </x:c>
      <x:c r="AE964" s="13" t="str">
        <x:v>deepseek/deepseek-v4-pro</x:v>
      </x:c>
      <x:c r="AF964" s="13" t="str">
        <x:v>aj2-y90-20260714T234810-0bea2f52</x:v>
      </x:c>
      <x:c r="AG964" s="13" t="str">
        <x:v>full-0049</x:v>
      </x:c>
      <x:c r="AH964" s="13" t="str">
        <x:v>full</x:v>
      </x:c>
      <x:c r="AI964" s="13" t="n">
        <x:v>49</x:v>
      </x:c>
    </x:row>
    <x:row r="965" ht="34" customHeight="1">
      <x:c r="A965" s="15" t="str">
        <x:v>brown flip flops archies</x:v>
      </x:c>
      <x:c r="B965" s="15" t="str">
        <x:v>brown flip flops archies</x:v>
      </x:c>
      <x:c r="C965" s="10" t="str">
        <x:v>1ef3d5537b660cef</x:v>
      </x:c>
      <x:c r="D965" s="10" t="str">
        <x:v>keyword</x:v>
      </x:c>
      <x:c r="E965" s="10" t="str">
        <x:v>en</x:v>
      </x:c>
      <x:c r="F965" s="10" t="str">
        <x:v>clothing_shoes_jewelry</x:v>
      </x:c>
      <x:c r="G965" s="15" t="str"/>
      <x:c r="H965" s="15" t="str">
        <x:v>flip_flops</x:v>
      </x:c>
      <x:c r="I965" s="15" t="str"/>
      <x:c r="J965" s="15" t="str"/>
      <x:c r="K965" s="15" t="str"/>
      <x:c r="L965" s="15" t="str"/>
      <x:c r="M965" s="15" t="str"/>
      <x:c r="N965" s="15" t="str"/>
      <x:c r="O965" s="15" t="str"/>
      <x:c r="P965" s="15" t="str"/>
      <x:c r="Q965" s="15" t="str"/>
      <x:c r="R965" s="15" t="str">
        <x:v>用户搜索Archies品牌的棕色人字拖，有明确的品牌指向。</x:v>
      </x:c>
      <x:c r="S965" s="10" t="str">
        <x:v>brand_harvest</x:v>
      </x:c>
      <x:c r="T965" s="15" t="str">
        <x:v>explicit</x:v>
      </x:c>
      <x:c r="U965" s="10" t="str">
        <x:v>high</x:v>
      </x:c>
      <x:c r="V965" s="15" t="str">
        <x:v>archies_brand_flip_flops</x:v>
      </x:c>
      <x:c r="W965" s="15" t="str">
        <x:v>semantic_negative_candidate</x:v>
      </x:c>
      <x:c r="X965" s="15" t="str">
        <x:v>{"product_type":[{"value":"flip_flops","evidence_type":"explicit","source_span":"flip flops","fact_ids":[],"rationale":"术语直接指明产品类型"},{"value":"flip_flops","evidence_type":"page_validated","source_span":"","fact_ids":["style_flip_flop"],"rationale":"该槽位与商品基准中的明示页面事实一致。"}],"primary_domain":[{"value":"clothing_shoes_jewelry","evidence_type":"inferred","source_span":"","fact_ids":[],"rationale":"该值由搜索词整体语义推断，未作为页面明示属性。"}]}</x:v>
      </x:c>
      <x:c r="Y965" s="15" t="str">
        <x:v>archies_is_known_flip_flop_brand</x:v>
      </x:c>
      <x:c r="Z965" s="10" t="str">
        <x:v>mismatch</x:v>
      </x:c>
      <x:c r="AA965" s="15" t="str">
        <x:v>style_flip_flop</x:v>
      </x:c>
      <x:c r="AB965" s="10" t="str">
        <x:v>accepted</x:v>
      </x:c>
      <x:c r="AC965" s="10" t="str">
        <x:v>1.0.0</x:v>
      </x:c>
      <x:c r="AD965" s="10" t="str">
        <x:v>1.1.0</x:v>
      </x:c>
      <x:c r="AE965" s="10" t="str">
        <x:v>deepseek/deepseek-v4-pro</x:v>
      </x:c>
      <x:c r="AF965" s="10" t="str">
        <x:v>aj2-y90-20260714T234810-0bea2f52</x:v>
      </x:c>
      <x:c r="AG965" s="10" t="str">
        <x:v>full-0049</x:v>
      </x:c>
      <x:c r="AH965" s="10" t="str">
        <x:v>full</x:v>
      </x:c>
      <x:c r="AI965" s="10" t="n">
        <x:v>49</x:v>
      </x:c>
    </x:row>
    <x:row r="966" ht="34" customHeight="1">
      <x:c r="A966" s="16" t="str">
        <x:v>flip flops with arch support</x:v>
      </x:c>
      <x:c r="B966" s="16" t="str">
        <x:v>flip flops with arch support</x:v>
      </x:c>
      <x:c r="C966" s="13" t="str">
        <x:v>2f2e534d3d0a83a7</x:v>
      </x:c>
      <x:c r="D966" s="13" t="str">
        <x:v>keyword</x:v>
      </x:c>
      <x:c r="E966" s="13" t="str">
        <x:v>en</x:v>
      </x:c>
      <x:c r="F966" s="13" t="str">
        <x:v>clothing_shoes_jewelry</x:v>
      </x:c>
      <x:c r="G966" s="16" t="str"/>
      <x:c r="H966" s="16" t="str">
        <x:v>flip_flops</x:v>
      </x:c>
      <x:c r="I966" s="16" t="str"/>
      <x:c r="J966" s="16" t="str">
        <x:v>foot_comfort_support</x:v>
      </x:c>
      <x:c r="K966" s="16" t="str">
        <x:v>arch_support</x:v>
      </x:c>
      <x:c r="L966" s="16" t="str"/>
      <x:c r="M966" s="16" t="str"/>
      <x:c r="N966" s="16" t="str"/>
      <x:c r="O966" s="16" t="str"/>
      <x:c r="P966" s="16" t="str"/>
      <x:c r="Q966" s="16" t="str"/>
      <x:c r="R966" s="16" t="str">
        <x:v>用户需要具有足弓支撑功能的人字拖，以缓解长时间行走带来的足部疲劳。</x:v>
      </x:c>
      <x:c r="S966" s="13" t="str">
        <x:v>consideration</x:v>
      </x:c>
      <x:c r="T966" s="16" t="str">
        <x:v>explicit | page_validated</x:v>
      </x:c>
      <x:c r="U966" s="13" t="str">
        <x:v>high</x:v>
      </x:c>
      <x:c r="V966" s="16" t="str">
        <x:v>arch_support_flip_flops</x:v>
      </x:c>
      <x:c r="W966" s="16" t="str">
        <x:v>cluster_route</x:v>
      </x:c>
      <x:c r="X966" s="16" t="str">
        <x:v>{"product_type":[{"value":"flip_flops","evidence_type":"explicit","source_span":"flip flops","fact_ids":[],"rationale":"术语直接指明产品类型"},{"value":"flip_flops","evidence_type":"page_validated","source_span":"","fact_ids":["style_flip_flop"],"rationale":"页面确认为人字拖款式"}],"capability_intent":[{"value":"arch_support","evidence_type":"explicit","source_span":"arch support","fact_ids":[],"rationale":"术语明确要求足弓支撑"},{"value":"arch_support","evidence_type":"page_validated","source_span":"","fact_ids":["arch_support"],"rationale":"页面声称人体工学足弓支撑"}],"function_intent":[{"value":"foot_comfort_support","evidence_type":"inferred","source_span":"","fact_ids":[],"rationale":"足弓支撑通常用于提升舒适度"}],"primary_domain":[{"value":"clothing_shoes_jewelry","evidence_type":"inferred","source_span":"","fact_ids":[],"rationale":"该值由搜索词整体语义推断，未作为页面明示属性。"}]}</x:v>
      </x:c>
      <x:c r="Y966" s="16" t="str"/>
      <x:c r="Z966" s="13" t="str">
        <x:v>match</x:v>
      </x:c>
      <x:c r="AA966" s="16" t="str">
        <x:v>style_flip_flop | arch_support</x:v>
      </x:c>
      <x:c r="AB966" s="13" t="str">
        <x:v>accepted</x:v>
      </x:c>
      <x:c r="AC966" s="13" t="str">
        <x:v>1.0.0</x:v>
      </x:c>
      <x:c r="AD966" s="13" t="str">
        <x:v>1.1.0</x:v>
      </x:c>
      <x:c r="AE966" s="13" t="str">
        <x:v>deepseek/deepseek-v4-pro</x:v>
      </x:c>
      <x:c r="AF966" s="13" t="str">
        <x:v>aj2-y90-20260714T234810-0bea2f52</x:v>
      </x:c>
      <x:c r="AG966" s="13" t="str">
        <x:v>full-0049</x:v>
      </x:c>
      <x:c r="AH966" s="13" t="str">
        <x:v>full</x:v>
      </x:c>
      <x:c r="AI966" s="13" t="n">
        <x:v>49</x:v>
      </x:c>
    </x:row>
    <x:row r="967" ht="34" customHeight="1">
      <x:c r="A967" s="15" t="str">
        <x:v>flip flops with arch support plantar fasciitis</x:v>
      </x:c>
      <x:c r="B967" s="15" t="str">
        <x:v>flip flops with arch support plantar fasciitis</x:v>
      </x:c>
      <x:c r="C967" s="10" t="str">
        <x:v>3c00725083299cc8</x:v>
      </x:c>
      <x:c r="D967" s="10" t="str">
        <x:v>keyword</x:v>
      </x:c>
      <x:c r="E967" s="10" t="str">
        <x:v>en</x:v>
      </x:c>
      <x:c r="F967" s="10" t="str">
        <x:v>clothing_shoes_jewelry</x:v>
      </x:c>
      <x:c r="G967" s="15" t="str"/>
      <x:c r="H967" s="15" t="str">
        <x:v>flip_flops</x:v>
      </x:c>
      <x:c r="I967" s="15" t="str"/>
      <x:c r="J967" s="15" t="str">
        <x:v>pain_relief</x:v>
      </x:c>
      <x:c r="K967" s="15" t="str">
        <x:v>arch_support</x:v>
      </x:c>
      <x:c r="L967" s="15" t="str"/>
      <x:c r="M967" s="15" t="str"/>
      <x:c r="N967" s="15" t="str">
        <x:v>plantar_fasciitis</x:v>
      </x:c>
      <x:c r="O967" s="15" t="str"/>
      <x:c r="P967" s="15" t="str"/>
      <x:c r="Q967" s="15" t="str"/>
      <x:c r="R967" s="15" t="str">
        <x:v>用户因足底筋膜炎需要具有足弓支撑的人字拖来缓解足部不适。</x:v>
      </x:c>
      <x:c r="S967" s="10" t="str">
        <x:v>consideration</x:v>
      </x:c>
      <x:c r="T967" s="15" t="str">
        <x:v>explicit | page_validated | inferred</x:v>
      </x:c>
      <x:c r="U967" s="10" t="str">
        <x:v>high</x:v>
      </x:c>
      <x:c r="V967" s="15" t="str">
        <x:v>plantar_fasciitis_arch_support_flip_flops</x:v>
      </x:c>
      <x:c r="W967" s="15" t="str">
        <x:v>listing_gap_review</x:v>
      </x:c>
      <x:c r="X967" s="15" t="str">
        <x:v>{"product_type":[{"value":"flip_flops","evidence_type":"explicit","source_span":"flip flops","fact_ids":[],"rationale":"术语直接指明产品类型"},{"value":"flip_flops","evidence_type":"page_validated","source_span":"","fact_ids":["style_flip_flop"],"rationale":"页面确认为人字拖款式"}],"capability_intent":[{"value":"arch_support","evidence_type":"explicit","source_span":"arch support","fact_ids":[],"rationale":"术语明确要求足弓支撑"},{"value":"arch_support","evidence_type":"page_validated","source_span":"","fact_ids":["arch_support"],"rationale":"页面声称人体工学足弓支撑"}],"body_need_intent":[{"value":"plantar_fasciitis","evidence_type":"explicit","source_span":"plantar fasciitis","fact_ids":[],"rationale":"术语直接提及足底筋膜炎"}],"function_intent":[{"value":"pain_relief","evidence_type":"inferred","source_span":"","fact_ids":[],"rationale":"足底筋膜炎患者通常寻求缓解疼痛"}],"primary_domain":[{"value":"clothing_shoes_jewelry","evidence_type":"inferred","source_span":"","fact_ids":[],"rationale":"该值由搜索词整体语义推断，未作为页面明示属性。"}]}</x:v>
      </x:c>
      <x:c r="Y967" s="15" t="str">
        <x:v>medical_condition_treatment_not_validated</x:v>
      </x:c>
      <x:c r="Z967" s="10" t="str">
        <x:v>partial_match</x:v>
      </x:c>
      <x:c r="AA967" s="15" t="str">
        <x:v>style_flip_flop | arch_support</x:v>
      </x:c>
      <x:c r="AB967" s="10" t="str">
        <x:v>accepted</x:v>
      </x:c>
      <x:c r="AC967" s="10" t="str">
        <x:v>1.0.0</x:v>
      </x:c>
      <x:c r="AD967" s="10" t="str">
        <x:v>1.1.0</x:v>
      </x:c>
      <x:c r="AE967" s="10" t="str">
        <x:v>deepseek/deepseek-v4-pro</x:v>
      </x:c>
      <x:c r="AF967" s="10" t="str">
        <x:v>aj2-y90-20260714T234810-0bea2f52</x:v>
      </x:c>
      <x:c r="AG967" s="10" t="str">
        <x:v>full-0049</x:v>
      </x:c>
      <x:c r="AH967" s="10" t="str">
        <x:v>full</x:v>
      </x:c>
      <x:c r="AI967" s="10" t="n">
        <x:v>49</x:v>
      </x:c>
    </x:row>
    <x:row r="968" ht="34" customHeight="1">
      <x:c r="A968" s="16" t="str">
        <x:v>amazon arch support flip flops</x:v>
      </x:c>
      <x:c r="B968" s="16" t="str">
        <x:v>amazon arch support flip flops</x:v>
      </x:c>
      <x:c r="C968" s="13" t="str">
        <x:v>4959704701d88f39</x:v>
      </x:c>
      <x:c r="D968" s="13" t="str">
        <x:v>keyword</x:v>
      </x:c>
      <x:c r="E968" s="13" t="str">
        <x:v>en</x:v>
      </x:c>
      <x:c r="F968" s="13" t="str">
        <x:v>clothing_shoes_jewelry</x:v>
      </x:c>
      <x:c r="G968" s="16" t="str"/>
      <x:c r="H968" s="16" t="str">
        <x:v>flip_flops</x:v>
      </x:c>
      <x:c r="I968" s="16" t="str"/>
      <x:c r="J968" s="16" t="str">
        <x:v>foot_comfort_support</x:v>
      </x:c>
      <x:c r="K968" s="16" t="str">
        <x:v>arch_support</x:v>
      </x:c>
      <x:c r="L968" s="16" t="str"/>
      <x:c r="M968" s="16" t="str"/>
      <x:c r="N968" s="16" t="str"/>
      <x:c r="O968" s="16" t="str"/>
      <x:c r="P968" s="16" t="str"/>
      <x:c r="Q968" s="16" t="str"/>
      <x:c r="R968" s="16" t="str">
        <x:v>用户在亚马逊平台寻找具有足弓支撑功能的人字拖。</x:v>
      </x:c>
      <x:c r="S968" s="13" t="str">
        <x:v>consideration</x:v>
      </x:c>
      <x:c r="T968" s="16" t="str">
        <x:v>explicit | page_validated | inferred</x:v>
      </x:c>
      <x:c r="U968" s="13" t="str">
        <x:v>high</x:v>
      </x:c>
      <x:c r="V968" s="16" t="str">
        <x:v>arch_support_flip_flops</x:v>
      </x:c>
      <x:c r="W968" s="16" t="str">
        <x:v>cluster_route</x:v>
      </x:c>
      <x:c r="X968" s="16" t="str">
        <x:v>{"product_type":[{"value":"flip_flops","evidence_type":"explicit","source_span":"flip flops","fact_ids":[],"rationale":"术语直接指明产品类型"},{"value":"flip_flops","evidence_type":"page_validated","source_span":"","fact_ids":["style_flip_flop"],"rationale":"页面确认为人字拖款式"}],"capability_intent":[{"value":"arch_support","evidence_type":"explicit","source_span":"arch support","fact_ids":[],"rationale":"术语明确要求足弓支撑"},{"value":"arch_support","evidence_type":"page_validated","source_span":"","fact_ids":["arch_support"],"rationale":"页面声称人体工学足弓支撑"}],"function_intent":[{"value":"foot_comfort_support","evidence_type":"inferred","source_span":"","fact_ids":[],"rationale":"足弓支撑通常用于提升舒适度"}],"primary_domain":[{"value":"clothing_shoes_jewelry","evidence_type":"inferred","source_span":"","fact_ids":[],"rationale":"该值由搜索词整体语义推断，未作为页面明示属性。"}]}</x:v>
      </x:c>
      <x:c r="Y968" s="16" t="str">
        <x:v>amazon_is_platform_context_not_product_spec</x:v>
      </x:c>
      <x:c r="Z968" s="13" t="str">
        <x:v>match</x:v>
      </x:c>
      <x:c r="AA968" s="16" t="str">
        <x:v>style_flip_flop | arch_support</x:v>
      </x:c>
      <x:c r="AB968" s="13" t="str">
        <x:v>accepted</x:v>
      </x:c>
      <x:c r="AC968" s="13" t="str">
        <x:v>1.0.0</x:v>
      </x:c>
      <x:c r="AD968" s="13" t="str">
        <x:v>1.1.0</x:v>
      </x:c>
      <x:c r="AE968" s="13" t="str">
        <x:v>deepseek/deepseek-v4-pro</x:v>
      </x:c>
      <x:c r="AF968" s="13" t="str">
        <x:v>aj2-y90-20260714T234810-0bea2f52</x:v>
      </x:c>
      <x:c r="AG968" s="13" t="str">
        <x:v>full-0049</x:v>
      </x:c>
      <x:c r="AH968" s="13" t="str">
        <x:v>full</x:v>
      </x:c>
      <x:c r="AI968" s="13" t="n">
        <x:v>49</x:v>
      </x:c>
    </x:row>
    <x:row r="969" ht="34" customHeight="1">
      <x:c r="A969" s="15" t="str">
        <x:v>archies flipflops</x:v>
      </x:c>
      <x:c r="B969" s="15" t="str">
        <x:v>archies flipflops</x:v>
      </x:c>
      <x:c r="C969" s="10" t="str">
        <x:v>4ce0e50cfe650365</x:v>
      </x:c>
      <x:c r="D969" s="10" t="str">
        <x:v>keyword</x:v>
      </x:c>
      <x:c r="E969" s="10" t="str">
        <x:v>en</x:v>
      </x:c>
      <x:c r="F969" s="10" t="str">
        <x:v>clothing_shoes_jewelry</x:v>
      </x:c>
      <x:c r="G969" s="15" t="str"/>
      <x:c r="H969" s="15" t="str">
        <x:v>flip_flops</x:v>
      </x:c>
      <x:c r="I969" s="15" t="str"/>
      <x:c r="J969" s="15" t="str"/>
      <x:c r="K969" s="15" t="str"/>
      <x:c r="L969" s="15" t="str"/>
      <x:c r="M969" s="15" t="str"/>
      <x:c r="N969" s="15" t="str"/>
      <x:c r="O969" s="15" t="str"/>
      <x:c r="P969" s="15" t="str"/>
      <x:c r="Q969" s="15" t="str"/>
      <x:c r="R969" s="15" t="str">
        <x:v>用户搜索Archies品牌的人字拖，品牌指向明确。</x:v>
      </x:c>
      <x:c r="S969" s="10" t="str">
        <x:v>brand_harvest</x:v>
      </x:c>
      <x:c r="T969" s="15" t="str">
        <x:v>explicit</x:v>
      </x:c>
      <x:c r="U969" s="10" t="str">
        <x:v>high</x:v>
      </x:c>
      <x:c r="V969" s="15" t="str">
        <x:v>archies_brand_flip_flops</x:v>
      </x:c>
      <x:c r="W969" s="15" t="str">
        <x:v>semantic_negative_candidate</x:v>
      </x:c>
      <x:c r="X969" s="15" t="str">
        <x:v>{"product_type":[{"value":"flip_flops","evidence_type":"explicit","source_span":"flipflops","fact_ids":[],"rationale":"术语直接指明产品类型"},{"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969" s="15" t="str"/>
      <x:c r="Z969" s="10" t="str">
        <x:v>mismatch</x:v>
      </x:c>
      <x:c r="AA969" s="15" t="str">
        <x:v>style_flip_flop</x:v>
      </x:c>
      <x:c r="AB969" s="10" t="str">
        <x:v>accepted</x:v>
      </x:c>
      <x:c r="AC969" s="10" t="str">
        <x:v>1.0.0</x:v>
      </x:c>
      <x:c r="AD969" s="10" t="str">
        <x:v>1.1.0</x:v>
      </x:c>
      <x:c r="AE969" s="10" t="str">
        <x:v>deepseek/deepseek-v4-pro</x:v>
      </x:c>
      <x:c r="AF969" s="10" t="str">
        <x:v>aj2-y90-20260714T234810-0bea2f52</x:v>
      </x:c>
      <x:c r="AG969" s="10" t="str">
        <x:v>full-0049</x:v>
      </x:c>
      <x:c r="AH969" s="10" t="str">
        <x:v>full</x:v>
      </x:c>
      <x:c r="AI969" s="10" t="n">
        <x:v>49</x:v>
      </x:c>
    </x:row>
    <x:row r="970" ht="34" customHeight="1">
      <x:c r="A970" s="16" t="str">
        <x:v>light weight flip flops</x:v>
      </x:c>
      <x:c r="B970" s="16" t="str">
        <x:v>light weight flip flops</x:v>
      </x:c>
      <x:c r="C970" s="13" t="str">
        <x:v>5e0ef074615201cb</x:v>
      </x:c>
      <x:c r="D970" s="13" t="str">
        <x:v>keyword</x:v>
      </x:c>
      <x:c r="E970" s="13" t="str">
        <x:v>en</x:v>
      </x:c>
      <x:c r="F970" s="13" t="str">
        <x:v>clothing_shoes_jewelry</x:v>
      </x:c>
      <x:c r="G970" s="16" t="str"/>
      <x:c r="H970" s="16" t="str">
        <x:v>flip_flops</x:v>
      </x:c>
      <x:c r="I970" s="16" t="str"/>
      <x:c r="J970" s="16" t="str"/>
      <x:c r="K970" s="16" t="str">
        <x:v>lightweight</x:v>
      </x:c>
      <x:c r="L970" s="16" t="str"/>
      <x:c r="M970" s="16" t="str"/>
      <x:c r="N970" s="16" t="str"/>
      <x:c r="O970" s="16" t="str"/>
      <x:c r="P970" s="16" t="str"/>
      <x:c r="Q970" s="16" t="str"/>
      <x:c r="R970" s="16" t="str">
        <x:v>用户需要一双轻便的人字拖，便于日常休闲穿着或出行携带。</x:v>
      </x:c>
      <x:c r="S970" s="13" t="str">
        <x:v>exploration</x:v>
      </x:c>
      <x:c r="T970" s="16" t="str">
        <x:v>explicit | page_validated</x:v>
      </x:c>
      <x:c r="U970" s="13" t="str">
        <x:v>high</x:v>
      </x:c>
      <x:c r="V970" s="16" t="str">
        <x:v>lightweight_flip_flops</x:v>
      </x:c>
      <x:c r="W970" s="16" t="str">
        <x:v>cluster_route</x:v>
      </x:c>
      <x:c r="X970" s="16" t="str">
        <x:v>{"product_type":[{"value":"flip_flops","evidence_type":"explicit","source_span":"flip flops","fact_ids":[],"rationale":"术语直接指明产品类型"},{"value":"flip_flops","evidence_type":"page_validated","source_span":"","fact_ids":["style_flip_flop"],"rationale":"页面确认为人字拖款式"}],"capability_intent":[{"value":"lightweight","evidence_type":"explicit","source_span":"light weight","fact_ids":[],"rationale":"术语明确要求轻便特性"},{"value":"lightweight","evidence_type":"page_validated","source_span":"","fact_ids":["lightweight_breathable"],"rationale":"页面声称超轻便透气"},{"value":"lightweigh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970" s="16" t="str"/>
      <x:c r="Z970" s="13" t="str">
        <x:v>match</x:v>
      </x:c>
      <x:c r="AA970" s="16" t="str">
        <x:v>style_flip_flop | lightweight_breathable</x:v>
      </x:c>
      <x:c r="AB970" s="13" t="str">
        <x:v>accepted</x:v>
      </x:c>
      <x:c r="AC970" s="13" t="str">
        <x:v>1.0.0</x:v>
      </x:c>
      <x:c r="AD970" s="13" t="str">
        <x:v>1.1.0</x:v>
      </x:c>
      <x:c r="AE970" s="13" t="str">
        <x:v>deepseek/deepseek-v4-pro</x:v>
      </x:c>
      <x:c r="AF970" s="13" t="str">
        <x:v>aj2-y90-20260714T234810-0bea2f52</x:v>
      </x:c>
      <x:c r="AG970" s="13" t="str">
        <x:v>full-0049</x:v>
      </x:c>
      <x:c r="AH970" s="13" t="str">
        <x:v>full</x:v>
      </x:c>
      <x:c r="AI970" s="13" t="n">
        <x:v>49</x:v>
      </x:c>
    </x:row>
    <x:row r="971" ht="34" customHeight="1">
      <x:c r="A971" s="15" t="str">
        <x:v>white flip flops with diamonds</x:v>
      </x:c>
      <x:c r="B971" s="15" t="str">
        <x:v>white flip flops with diamonds</x:v>
      </x:c>
      <x:c r="C971" s="10" t="str">
        <x:v>716b97d417de3f09</x:v>
      </x:c>
      <x:c r="D971" s="10" t="str">
        <x:v>keyword</x:v>
      </x:c>
      <x:c r="E971" s="10" t="str">
        <x:v>en</x:v>
      </x:c>
      <x:c r="F971" s="10" t="str">
        <x:v>clothing_shoes_jewelry</x:v>
      </x:c>
      <x:c r="G971" s="15" t="str"/>
      <x:c r="H971" s="15" t="str">
        <x:v>flip_flops</x:v>
      </x:c>
      <x:c r="I971" s="15" t="str"/>
      <x:c r="J971" s="15" t="str"/>
      <x:c r="K971" s="15" t="str">
        <x:v>decorative_embellishment</x:v>
      </x:c>
      <x:c r="L971" s="15" t="str"/>
      <x:c r="M971" s="15" t="str"/>
      <x:c r="N971" s="15" t="str"/>
      <x:c r="O971" s="15" t="str"/>
      <x:c r="P971" s="15" t="str"/>
      <x:c r="Q971" s="15" t="str"/>
      <x:c r="R971" s="15" t="str">
        <x:v>用户想要一双带有钻石装饰的白色人字拖，可能用于度假或精致场合。</x:v>
      </x:c>
      <x:c r="S971" s="10" t="str">
        <x:v>consideration</x:v>
      </x:c>
      <x:c r="T971" s="15" t="str">
        <x:v>explicit | page_validated | inferred</x:v>
      </x:c>
      <x:c r="U971" s="10" t="str">
        <x:v>high</x:v>
      </x:c>
      <x:c r="V971" s="15" t="str">
        <x:v>decorated_white_flip_flops</x:v>
      </x:c>
      <x:c r="W971" s="15" t="str">
        <x:v>listing_gap_review</x:v>
      </x:c>
      <x:c r="X971" s="15" t="str">
        <x:v>{"product_type":[{"value":"flip_flops","evidence_type":"explicit","source_span":"flip flops","fact_ids":[],"rationale":"术语直接指明产品类型"},{"value":"flip_flops","evidence_type":"page_validated","source_span":"","fact_ids":["style_flip_flop"],"rationale":"页面确认为人字拖款式"}],"capability_intent":[{"value":"decorative_embellishment","evidence_type":"explicit","source_span":"with diamonds","fact_ids":[],"rationale":"术语要求钻石装饰"}],"primary_domain":[{"value":"clothing_shoes_jewelry","evidence_type":"inferred","source_span":"","fact_ids":[],"rationale":"该值由搜索词整体语义推断，未作为页面明示属性。"}]}</x:v>
      </x:c>
      <x:c r="Y971" s="15" t="str">
        <x:v>diamonds_may_refer_to_rhinestone_or_crystal_embellishment</x:v>
      </x:c>
      <x:c r="Z971" s="10" t="str">
        <x:v>partial_match</x:v>
      </x:c>
      <x:c r="AA971" s="15" t="str">
        <x:v>style_flip_flop | colors_visible</x:v>
      </x:c>
      <x:c r="AB971" s="10" t="str">
        <x:v>accepted</x:v>
      </x:c>
      <x:c r="AC971" s="10" t="str">
        <x:v>1.0.0</x:v>
      </x:c>
      <x:c r="AD971" s="10" t="str">
        <x:v>1.1.0</x:v>
      </x:c>
      <x:c r="AE971" s="10" t="str">
        <x:v>deepseek/deepseek-v4-pro</x:v>
      </x:c>
      <x:c r="AF971" s="10" t="str">
        <x:v>aj2-y90-20260714T234810-0bea2f52</x:v>
      </x:c>
      <x:c r="AG971" s="10" t="str">
        <x:v>full-0049</x:v>
      </x:c>
      <x:c r="AH971" s="10" t="str">
        <x:v>full</x:v>
      </x:c>
      <x:c r="AI971" s="10" t="n">
        <x:v>49</x:v>
      </x:c>
    </x:row>
    <x:row r="972" ht="34" customHeight="1">
      <x:c r="A972" s="16" t="str">
        <x:v>womens size 6 white flip flops</x:v>
      </x:c>
      <x:c r="B972" s="16" t="str">
        <x:v>womens size 6 white flip flops</x:v>
      </x:c>
      <x:c r="C972" s="13" t="str">
        <x:v>8787ae13968b6992</x:v>
      </x:c>
      <x:c r="D972" s="13" t="str">
        <x:v>keyword</x:v>
      </x:c>
      <x:c r="E972" s="13" t="str">
        <x:v>en</x:v>
      </x:c>
      <x:c r="F972" s="13" t="str">
        <x:v>clothing_shoes_jewelry</x:v>
      </x:c>
      <x:c r="G972" s="16" t="str"/>
      <x:c r="H972" s="16" t="str">
        <x:v>flip_flops</x:v>
      </x:c>
      <x:c r="I972" s="16" t="str">
        <x:v>women</x:v>
      </x:c>
      <x:c r="J972" s="16" t="str"/>
      <x:c r="K972" s="16" t="str"/>
      <x:c r="L972" s="16" t="str"/>
      <x:c r="M972" s="16" t="str"/>
      <x:c r="N972" s="16" t="str"/>
      <x:c r="O972" s="16" t="str"/>
      <x:c r="P972" s="16" t="str"/>
      <x:c r="Q972" s="16" t="str"/>
      <x:c r="R972" s="16" t="str">
        <x:v>用户需要女士6码白色人字拖，尺码和颜色要求明确。</x:v>
      </x:c>
      <x:c r="S972" s="13" t="str">
        <x:v>high_intent</x:v>
      </x:c>
      <x:c r="T972" s="16" t="str">
        <x:v>explicit | page_validated</x:v>
      </x:c>
      <x:c r="U972" s="13" t="str">
        <x:v>high</x:v>
      </x:c>
      <x:c r="V972" s="16" t="str">
        <x:v>womens_white_flip_flops_size_6</x:v>
      </x:c>
      <x:c r="W972" s="16" t="str">
        <x:v>cluster_route</x:v>
      </x:c>
      <x:c r="X972" s="16" t="str">
        <x:v>{"product_type":[{"value":"flip_flops","evidence_type":"explicit","source_span":"flip flops","fact_ids":[],"rationale":"术语直接指明产品类型"},{"value":"flip_flops","evidence_type":"page_validated","source_span":"","fact_ids":["style_flip_flop"],"rationale":"页面确认为人字拖款式"}],"audience_intent":[{"value":"women","evidence_type":"explicit","source_span":"womens","fact_ids":[],"rationale":"术语明确指定女性受众"},{"value":"women","evidence_type":"page_validated","source_span":"","fact_ids":["title_womens_flip_flop"],"rationale":"页面标题定位为女款"}],"primary_domain":[{"value":"clothing_shoes_jewelry","evidence_type":"inferred","source_span":"","fact_ids":[],"rationale":"该值由搜索词整体语义推断，未作为页面明示属性。"}]}</x:v>
      </x:c>
      <x:c r="Y972" s="16" t="str"/>
      <x:c r="Z972" s="13" t="str">
        <x:v>match</x:v>
      </x:c>
      <x:c r="AA972" s="16" t="str">
        <x:v>style_flip_flop | title_womens_flip_flop | sizes_6_11 | colors_visible</x:v>
      </x:c>
      <x:c r="AB972" s="13" t="str">
        <x:v>accepted</x:v>
      </x:c>
      <x:c r="AC972" s="13" t="str">
        <x:v>1.0.0</x:v>
      </x:c>
      <x:c r="AD972" s="13" t="str">
        <x:v>1.1.0</x:v>
      </x:c>
      <x:c r="AE972" s="13" t="str">
        <x:v>deepseek/deepseek-v4-pro</x:v>
      </x:c>
      <x:c r="AF972" s="13" t="str">
        <x:v>aj2-y90-20260714T234810-0bea2f52</x:v>
      </x:c>
      <x:c r="AG972" s="13" t="str">
        <x:v>full-0049</x:v>
      </x:c>
      <x:c r="AH972" s="13" t="str">
        <x:v>full</x:v>
      </x:c>
      <x:c r="AI972" s="13" t="n">
        <x:v>49</x:v>
      </x:c>
    </x:row>
    <x:row r="973" ht="34" customHeight="1">
      <x:c r="A973" s="15" t="str">
        <x:v>flip flops women size 11</x:v>
      </x:c>
      <x:c r="B973" s="15" t="str">
        <x:v>flip flops women size 11</x:v>
      </x:c>
      <x:c r="C973" s="10" t="str">
        <x:v>9a3892a78ba628ec</x:v>
      </x:c>
      <x:c r="D973" s="10" t="str">
        <x:v>keyword</x:v>
      </x:c>
      <x:c r="E973" s="10" t="str">
        <x:v>en</x:v>
      </x:c>
      <x:c r="F973" s="10" t="str">
        <x:v>clothing_shoes_jewelry</x:v>
      </x:c>
      <x:c r="G973" s="15" t="str"/>
      <x:c r="H973" s="15" t="str">
        <x:v>flip_flops</x:v>
      </x:c>
      <x:c r="I973" s="15" t="str">
        <x:v>women</x:v>
      </x:c>
      <x:c r="J973" s="15" t="str"/>
      <x:c r="K973" s="15" t="str"/>
      <x:c r="L973" s="15" t="str"/>
      <x:c r="M973" s="15" t="str"/>
      <x:c r="N973" s="15" t="str"/>
      <x:c r="O973" s="15" t="str"/>
      <x:c r="P973" s="15" t="str"/>
      <x:c r="Q973" s="15" t="str"/>
      <x:c r="R973" s="15" t="str">
        <x:v>用户需要女士11码人字拖，尺码为关键筛选条件。</x:v>
      </x:c>
      <x:c r="S973" s="10" t="str">
        <x:v>high_intent</x:v>
      </x:c>
      <x:c r="T973" s="15" t="str">
        <x:v>explicit | page_validated</x:v>
      </x:c>
      <x:c r="U973" s="10" t="str">
        <x:v>high</x:v>
      </x:c>
      <x:c r="V973" s="15" t="str">
        <x:v>womens_flip_flops_size_11</x:v>
      </x:c>
      <x:c r="W973" s="15" t="str">
        <x:v>cluster_route</x:v>
      </x:c>
      <x:c r="X973" s="15" t="str">
        <x:v>{"product_type":[{"value":"flip_flops","evidence_type":"explicit","source_span":"flip flops","fact_ids":[],"rationale":"术语直接指明产品类型"},{"value":"flip_flops","evidence_type":"page_validated","source_span":"","fact_ids":["style_flip_flop"],"rationale":"页面确认为人字拖款式"}],"audience_intent":[{"value":"women","evidence_type":"explicit","source_span":"women","fact_ids":[],"rationale":"术语明确指定女性受众"},{"value":"women","evidence_type":"page_validated","source_span":"","fact_ids":["title_womens_flip_flop"],"rationale":"页面标题定位为女款"}],"primary_domain":[{"value":"clothing_shoes_jewelry","evidence_type":"inferred","source_span":"","fact_ids":[],"rationale":"该值由搜索词整体语义推断，未作为页面明示属性。"}]}</x:v>
      </x:c>
      <x:c r="Y973" s="15" t="str"/>
      <x:c r="Z973" s="10" t="str">
        <x:v>match</x:v>
      </x:c>
      <x:c r="AA973" s="15" t="str">
        <x:v>style_flip_flop | title_womens_flip_flop | sizes_6_11</x:v>
      </x:c>
      <x:c r="AB973" s="10" t="str">
        <x:v>accepted</x:v>
      </x:c>
      <x:c r="AC973" s="10" t="str">
        <x:v>1.0.0</x:v>
      </x:c>
      <x:c r="AD973" s="10" t="str">
        <x:v>1.1.0</x:v>
      </x:c>
      <x:c r="AE973" s="10" t="str">
        <x:v>deepseek/deepseek-v4-pro</x:v>
      </x:c>
      <x:c r="AF973" s="10" t="str">
        <x:v>aj2-y90-20260714T234810-0bea2f52</x:v>
      </x:c>
      <x:c r="AG973" s="10" t="str">
        <x:v>full-0049</x:v>
      </x:c>
      <x:c r="AH973" s="10" t="str">
        <x:v>full</x:v>
      </x:c>
      <x:c r="AI973" s="10" t="n">
        <x:v>49</x:v>
      </x:c>
    </x:row>
    <x:row r="974" ht="34" customHeight="1">
      <x:c r="A974" s="16" t="str">
        <x:v>gel flip flops for women</x:v>
      </x:c>
      <x:c r="B974" s="16" t="str">
        <x:v>gel flip flops for women</x:v>
      </x:c>
      <x:c r="C974" s="13" t="str">
        <x:v>a9ead96da83bf393</x:v>
      </x:c>
      <x:c r="D974" s="13" t="str">
        <x:v>keyword</x:v>
      </x:c>
      <x:c r="E974" s="13" t="str">
        <x:v>en</x:v>
      </x:c>
      <x:c r="F974" s="13" t="str">
        <x:v>clothing_shoes_jewelry</x:v>
      </x:c>
      <x:c r="G974" s="16" t="str"/>
      <x:c r="H974" s="16" t="str">
        <x:v>flip_flops</x:v>
      </x:c>
      <x:c r="I974" s="16" t="str">
        <x:v>women</x:v>
      </x:c>
      <x:c r="J974" s="16" t="str"/>
      <x:c r="K974" s="16" t="str">
        <x:v>gel_cushioning</x:v>
      </x:c>
      <x:c r="L974" s="16" t="str"/>
      <x:c r="M974" s="16" t="str"/>
      <x:c r="N974" s="16" t="str"/>
      <x:c r="O974" s="16" t="str"/>
      <x:c r="P974" s="16" t="str"/>
      <x:c r="Q974" s="16" t="str"/>
      <x:c r="R974" s="16" t="str">
        <x:v>用户寻找女士穿的凝胶材质人字拖，注重柔软缓震的脚感。</x:v>
      </x:c>
      <x:c r="S974" s="13" t="str">
        <x:v>consideration</x:v>
      </x:c>
      <x:c r="T974" s="16" t="str">
        <x:v>explicit | page_validated | inferred</x:v>
      </x:c>
      <x:c r="U974" s="13" t="str">
        <x:v>high</x:v>
      </x:c>
      <x:c r="V974" s="16" t="str">
        <x:v>gel_womens_flip_flops</x:v>
      </x:c>
      <x:c r="W974" s="16" t="str">
        <x:v>listing_gap_review</x:v>
      </x:c>
      <x:c r="X974" s="16" t="str">
        <x:v>{"product_type":[{"value":"flip_flops","evidence_type":"explicit","source_span":"flip flops","fact_ids":[],"rationale":"术语直接指明产品类型"},{"value":"flip_flops","evidence_type":"page_validated","source_span":"","fact_ids":["style_flip_flop"],"rationale":"页面确认为人字拖款式"}],"audience_intent":[{"value":"women","evidence_type":"explicit","source_span":"for women","fact_ids":[],"rationale":"术语明确指定女性受众"},{"value":"women","evidence_type":"page_validated","source_span":"","fact_ids":["title_womens_flip_flop"],"rationale":"页面标题定位为女款"}],"capability_intent":[{"value":"gel_cushioning","evidence_type":"explicit","source_span":"gel","fact_ids":[],"rationale":"术语要求凝胶材质缓震"}],"primary_domain":[{"value":"clothing_shoes_jewelry","evidence_type":"inferred","source_span":"","fact_ids":[],"rationale":"该值由搜索词整体语义推断，未作为页面明示属性。"}]}</x:v>
      </x:c>
      <x:c r="Y974" s="16" t="str"/>
      <x:c r="Z974" s="13" t="str">
        <x:v>partial_match</x:v>
      </x:c>
      <x:c r="AA974" s="16" t="str">
        <x:v>style_flip_flop | title_womens_flip_flop</x:v>
      </x:c>
      <x:c r="AB974" s="13" t="str">
        <x:v>accepted</x:v>
      </x:c>
      <x:c r="AC974" s="13" t="str">
        <x:v>1.0.0</x:v>
      </x:c>
      <x:c r="AD974" s="13" t="str">
        <x:v>1.1.0</x:v>
      </x:c>
      <x:c r="AE974" s="13" t="str">
        <x:v>deepseek/deepseek-v4-pro</x:v>
      </x:c>
      <x:c r="AF974" s="13" t="str">
        <x:v>aj2-y90-20260714T234810-0bea2f52</x:v>
      </x:c>
      <x:c r="AG974" s="13" t="str">
        <x:v>full-0049</x:v>
      </x:c>
      <x:c r="AH974" s="13" t="str">
        <x:v>full</x:v>
      </x:c>
      <x:c r="AI974" s="13" t="n">
        <x:v>49</x:v>
      </x:c>
    </x:row>
    <x:row r="975" ht="34" customHeight="1">
      <x:c r="A975" s="15" t="str">
        <x:v>white arch support flip flops</x:v>
      </x:c>
      <x:c r="B975" s="15" t="str">
        <x:v>white arch support flip flops</x:v>
      </x:c>
      <x:c r="C975" s="10" t="str">
        <x:v>c17dbea89400f059</x:v>
      </x:c>
      <x:c r="D975" s="10" t="str">
        <x:v>keyword</x:v>
      </x:c>
      <x:c r="E975" s="10" t="str">
        <x:v>en</x:v>
      </x:c>
      <x:c r="F975" s="10" t="str">
        <x:v>clothing_shoes_jewelry</x:v>
      </x:c>
      <x:c r="G975" s="15" t="str"/>
      <x:c r="H975" s="15" t="str">
        <x:v>flip_flops</x:v>
      </x:c>
      <x:c r="I975" s="15" t="str"/>
      <x:c r="J975" s="15" t="str">
        <x:v>foot_comfort_support</x:v>
      </x:c>
      <x:c r="K975" s="15" t="str">
        <x:v>arch_support</x:v>
      </x:c>
      <x:c r="L975" s="15" t="str"/>
      <x:c r="M975" s="15" t="str"/>
      <x:c r="N975" s="15" t="str"/>
      <x:c r="O975" s="15" t="str"/>
      <x:c r="P975" s="15" t="str"/>
      <x:c r="Q975" s="15" t="str"/>
      <x:c r="R975" s="15" t="str">
        <x:v>用户想要一双白色且带足弓支撑的人字拖，兼顾外观与功能。</x:v>
      </x:c>
      <x:c r="S975" s="10" t="str">
        <x:v>high_intent</x:v>
      </x:c>
      <x:c r="T975" s="15" t="str">
        <x:v>explicit | page_validated | inferred</x:v>
      </x:c>
      <x:c r="U975" s="10" t="str">
        <x:v>high</x:v>
      </x:c>
      <x:c r="V975" s="15" t="str">
        <x:v>white_arch_support_flip_flops</x:v>
      </x:c>
      <x:c r="W975" s="15" t="str">
        <x:v>cluster_route</x:v>
      </x:c>
      <x:c r="X975" s="15" t="str">
        <x:v>{"product_type":[{"value":"flip_flops","evidence_type":"explicit","source_span":"flip flops","fact_ids":[],"rationale":"术语直接指明产品类型"},{"value":"flip_flops","evidence_type":"page_validated","source_span":"","fact_ids":["style_flip_flop"],"rationale":"页面确认为人字拖款式"}],"capability_intent":[{"value":"arch_support","evidence_type":"explicit","source_span":"arch support","fact_ids":[],"rationale":"术语明确要求足弓支撑"},{"value":"arch_support","evidence_type":"page_validated","source_span":"","fact_ids":["arch_support"],"rationale":"页面声称人体工学足弓支撑"}],"function_intent":[{"value":"foot_comfort_support","evidence_type":"inferred","source_span":"","fact_ids":[],"rationale":"足弓支撑通常用于提升舒适度"}],"primary_domain":[{"value":"clothing_shoes_jewelry","evidence_type":"inferred","source_span":"","fact_ids":[],"rationale":"该值由搜索词整体语义推断，未作为页面明示属性。"}]}</x:v>
      </x:c>
      <x:c r="Y975" s="15" t="str"/>
      <x:c r="Z975" s="10" t="str">
        <x:v>match</x:v>
      </x:c>
      <x:c r="AA975" s="15" t="str">
        <x:v>style_flip_flop | arch_support | colors_visible</x:v>
      </x:c>
      <x:c r="AB975" s="10" t="str">
        <x:v>accepted</x:v>
      </x:c>
      <x:c r="AC975" s="10" t="str">
        <x:v>1.0.0</x:v>
      </x:c>
      <x:c r="AD975" s="10" t="str">
        <x:v>1.1.0</x:v>
      </x:c>
      <x:c r="AE975" s="10" t="str">
        <x:v>deepseek/deepseek-v4-pro</x:v>
      </x:c>
      <x:c r="AF975" s="10" t="str">
        <x:v>aj2-y90-20260714T234810-0bea2f52</x:v>
      </x:c>
      <x:c r="AG975" s="10" t="str">
        <x:v>full-0049</x:v>
      </x:c>
      <x:c r="AH975" s="10" t="str">
        <x:v>full</x:v>
      </x:c>
      <x:c r="AI975" s="10" t="n">
        <x:v>49</x:v>
      </x:c>
    </x:row>
    <x:row r="976" ht="34" customHeight="1">
      <x:c r="A976" s="16" t="str">
        <x:v>cute print flip flops</x:v>
      </x:c>
      <x:c r="B976" s="16" t="str">
        <x:v>cute print flip flops</x:v>
      </x:c>
      <x:c r="C976" s="13" t="str">
        <x:v>c7d6faa4499a84f7</x:v>
      </x:c>
      <x:c r="D976" s="13" t="str">
        <x:v>keyword</x:v>
      </x:c>
      <x:c r="E976" s="13" t="str">
        <x:v>en</x:v>
      </x:c>
      <x:c r="F976" s="13" t="str">
        <x:v>clothing_shoes_jewelry</x:v>
      </x:c>
      <x:c r="G976" s="16" t="str"/>
      <x:c r="H976" s="16" t="str">
        <x:v>flip_flops</x:v>
      </x:c>
      <x:c r="I976" s="16" t="str"/>
      <x:c r="J976" s="16" t="str"/>
      <x:c r="K976" s="16" t="str">
        <x:v>pattern_design | aesthetic_appeal</x:v>
      </x:c>
      <x:c r="L976" s="16" t="str"/>
      <x:c r="M976" s="16" t="str"/>
      <x:c r="N976" s="16" t="str"/>
      <x:c r="O976" s="16" t="str"/>
      <x:c r="P976" s="16" t="str"/>
      <x:c r="Q976" s="16" t="str"/>
      <x:c r="R976" s="16" t="str">
        <x:v>用户寻找带有可爱印花图案的人字拖，注重外观设计。</x:v>
      </x:c>
      <x:c r="S976" s="13" t="str">
        <x:v>exploration</x:v>
      </x:c>
      <x:c r="T976" s="16" t="str">
        <x:v>explicit | inferred</x:v>
      </x:c>
      <x:c r="U976" s="13" t="str">
        <x:v>medium</x:v>
      </x:c>
      <x:c r="V976" s="16" t="str">
        <x:v>printed_flip_flops</x:v>
      </x:c>
      <x:c r="W976" s="16" t="str">
        <x:v>listing_gap_review</x:v>
      </x:c>
      <x:c r="X976" s="16" t="str">
        <x:v>{"product_type":[{"value":"flip_flops","evidence_type":"explicit","source_span":"flip flops","fact_ids":[],"rationale":"术语直接指明产品类型"},{"value":"flip_flops","evidence_type":"page_validated","source_span":"","fact_ids":["style_flip_flop"],"rationale":"该槽位与商品基准中的明示页面事实一致。"}],"capability_intent":[{"value":"pattern_design","evidence_type":"explicit","source_span":"print","fact_ids":[],"rationale":"术语要求印花图案"},{"value":"aesthetic_appeal","evidence_type":"explicit","source_span":"cute","fact_ids":[],"rationale":"术语要求可爱外观"}],"primary_domain":[{"value":"clothing_shoes_jewelry","evidence_type":"inferred","source_span":"","fact_ids":[],"rationale":"该值由搜索词整体语义推断，未作为页面明示属性。"}]}</x:v>
      </x:c>
      <x:c r="Y976" s="16" t="str">
        <x:v>print_could_mean_pattern_or_sole_tread | cute_is_subjective</x:v>
      </x:c>
      <x:c r="Z976" s="13" t="str">
        <x:v>partial_match</x:v>
      </x:c>
      <x:c r="AA976" s="16" t="str">
        <x:v>style_flip_flop</x:v>
      </x:c>
      <x:c r="AB976" s="13" t="str">
        <x:v>accepted</x:v>
      </x:c>
      <x:c r="AC976" s="13" t="str">
        <x:v>1.0.0</x:v>
      </x:c>
      <x:c r="AD976" s="13" t="str">
        <x:v>1.1.0</x:v>
      </x:c>
      <x:c r="AE976" s="13" t="str">
        <x:v>deepseek/deepseek-v4-pro</x:v>
      </x:c>
      <x:c r="AF976" s="13" t="str">
        <x:v>aj2-y90-20260714T234810-0bea2f52</x:v>
      </x:c>
      <x:c r="AG976" s="13" t="str">
        <x:v>full-0049</x:v>
      </x:c>
      <x:c r="AH976" s="13" t="str">
        <x:v>full</x:v>
      </x:c>
      <x:c r="AI976" s="13" t="n">
        <x:v>49</x:v>
      </x:c>
    </x:row>
    <x:row r="977" ht="34" customHeight="1">
      <x:c r="A977" s="15" t="str">
        <x:v>black flipflops size 9 women</x:v>
      </x:c>
      <x:c r="B977" s="15" t="str">
        <x:v>black flipflops size 9 women</x:v>
      </x:c>
      <x:c r="C977" s="10" t="str">
        <x:v>d72d308c190feb75</x:v>
      </x:c>
      <x:c r="D977" s="10" t="str">
        <x:v>keyword</x:v>
      </x:c>
      <x:c r="E977" s="10" t="str">
        <x:v>en</x:v>
      </x:c>
      <x:c r="F977" s="10" t="str">
        <x:v>clothing_shoes_jewelry</x:v>
      </x:c>
      <x:c r="G977" s="15" t="str"/>
      <x:c r="H977" s="15" t="str">
        <x:v>flip_flops</x:v>
      </x:c>
      <x:c r="I977" s="15" t="str">
        <x:v>women</x:v>
      </x:c>
      <x:c r="J977" s="15" t="str"/>
      <x:c r="K977" s="15" t="str"/>
      <x:c r="L977" s="15" t="str"/>
      <x:c r="M977" s="15" t="str"/>
      <x:c r="N977" s="15" t="str"/>
      <x:c r="O977" s="15" t="str"/>
      <x:c r="P977" s="15" t="str"/>
      <x:c r="Q977" s="15" t="str"/>
      <x:c r="R977" s="15" t="str">
        <x:v>用户需要女士黑色9码人字拖，尺码和颜色都很明确。</x:v>
      </x:c>
      <x:c r="S977" s="10" t="str">
        <x:v>high_intent</x:v>
      </x:c>
      <x:c r="T977" s="15" t="str">
        <x:v>explicit | page_validated</x:v>
      </x:c>
      <x:c r="U977" s="10" t="str">
        <x:v>high</x:v>
      </x:c>
      <x:c r="V977" s="15" t="str">
        <x:v>black_womens_flip_flops_size_9</x:v>
      </x:c>
      <x:c r="W977" s="15" t="str">
        <x:v>cluster_route</x:v>
      </x:c>
      <x:c r="X977" s="15" t="str">
        <x:v>{"product_type":[{"value":"flip_flops","evidence_type":"explicit","source_span":"flipflops","fact_ids":[],"rationale":"术语直接指明产品类型"},{"value":"flip_flops","evidence_type":"page_validated","source_span":"","fact_ids":["style_flip_flop"],"rationale":"页面确认为人字拖款式"},{"value":"flip_flops","evidence_type":"inferred","source_span":"","fact_ids":[],"rationale":"该能力由搜索词表达的任务或问题推断；页面事实仅用于验证商品承接。"}],"audience_intent":[{"value":"women","evidence_type":"explicit","source_span":"women","fact_ids":[],"rationale":"术语明确指定女性受众"},{"value":"women","evidence_type":"page_validated","source_span":"","fact_ids":["title_womens_flip_flop"],"rationale":"页面标题定位为女款"}],"primary_domain":[{"value":"clothing_shoes_jewelry","evidence_type":"inferred","source_span":"","fact_ids":[],"rationale":"该值由搜索词整体语义推断，未作为页面明示属性。"}]}</x:v>
      </x:c>
      <x:c r="Y977" s="15" t="str"/>
      <x:c r="Z977" s="10" t="str">
        <x:v>match</x:v>
      </x:c>
      <x:c r="AA977" s="15" t="str">
        <x:v>style_flip_flop | title_womens_flip_flop | sizes_6_11 | colors_visible</x:v>
      </x:c>
      <x:c r="AB977" s="10" t="str">
        <x:v>accepted</x:v>
      </x:c>
      <x:c r="AC977" s="10" t="str">
        <x:v>1.0.0</x:v>
      </x:c>
      <x:c r="AD977" s="10" t="str">
        <x:v>1.1.0</x:v>
      </x:c>
      <x:c r="AE977" s="10" t="str">
        <x:v>deepseek/deepseek-v4-pro</x:v>
      </x:c>
      <x:c r="AF977" s="10" t="str">
        <x:v>aj2-y90-20260714T234810-0bea2f52</x:v>
      </x:c>
      <x:c r="AG977" s="10" t="str">
        <x:v>full-0049</x:v>
      </x:c>
      <x:c r="AH977" s="10" t="str">
        <x:v>full</x:v>
      </x:c>
      <x:c r="AI977" s="10" t="n">
        <x:v>49</x:v>
      </x:c>
    </x:row>
    <x:row r="978" ht="34" customHeight="1">
      <x:c r="A978" s="16" t="str">
        <x:v>whit flip flops women</x:v>
      </x:c>
      <x:c r="B978" s="16" t="str">
        <x:v>whit flip flops women</x:v>
      </x:c>
      <x:c r="C978" s="13" t="str">
        <x:v>e36b0bf33917f725</x:v>
      </x:c>
      <x:c r="D978" s="13" t="str">
        <x:v>keyword</x:v>
      </x:c>
      <x:c r="E978" s="13" t="str">
        <x:v>en</x:v>
      </x:c>
      <x:c r="F978" s="13" t="str">
        <x:v>clothing_shoes_jewelry</x:v>
      </x:c>
      <x:c r="G978" s="16" t="str"/>
      <x:c r="H978" s="16" t="str">
        <x:v>flip_flops</x:v>
      </x:c>
      <x:c r="I978" s="16" t="str">
        <x:v>women</x:v>
      </x:c>
      <x:c r="J978" s="16" t="str"/>
      <x:c r="K978" s="16" t="str"/>
      <x:c r="L978" s="16" t="str"/>
      <x:c r="M978" s="16" t="str"/>
      <x:c r="N978" s="16" t="str"/>
      <x:c r="O978" s="16" t="str"/>
      <x:c r="P978" s="16" t="str"/>
      <x:c r="Q978" s="16" t="str"/>
      <x:c r="R978" s="16" t="str">
        <x:v>用户需要女士白色人字拖，「whit」应为white的拼写错误。</x:v>
      </x:c>
      <x:c r="S978" s="13" t="str">
        <x:v>consideration</x:v>
      </x:c>
      <x:c r="T978" s="16" t="str">
        <x:v>explicit | page_validated | inferred</x:v>
      </x:c>
      <x:c r="U978" s="13" t="str">
        <x:v>high</x:v>
      </x:c>
      <x:c r="V978" s="16" t="str">
        <x:v>white_womens_flip_flops</x:v>
      </x:c>
      <x:c r="W978" s="16" t="str">
        <x:v>cluster_route</x:v>
      </x:c>
      <x:c r="X978" s="16" t="str">
        <x:v>{"product_type":[{"value":"flip_flops","evidence_type":"explicit","source_span":"flip flops","fact_ids":[],"rationale":"术语直接指明产品类型"},{"value":"flip_flops","evidence_type":"page_validated","source_span":"","fact_ids":["style_flip_flop"],"rationale":"页面确认为人字拖款式"}],"audience_intent":[{"value":"women","evidence_type":"explicit","source_span":"women","fact_ids":[],"rationale":"术语明确指定女性受众"},{"value":"women","evidence_type":"page_validated","source_span":"","fact_ids":["title_womens_flip_flop"],"rationale":"页面标题定位为女款"}],"primary_domain":[{"value":"clothing_shoes_jewelry","evidence_type":"inferred","source_span":"","fact_ids":[],"rationale":"该值由搜索词整体语义推断，未作为页面明示属性。"}]}</x:v>
      </x:c>
      <x:c r="Y978" s="16" t="str">
        <x:v>whit_likely_misspelling_of_white</x:v>
      </x:c>
      <x:c r="Z978" s="13" t="str">
        <x:v>match</x:v>
      </x:c>
      <x:c r="AA978" s="16" t="str">
        <x:v>style_flip_flop | title_womens_flip_flop | colors_visible</x:v>
      </x:c>
      <x:c r="AB978" s="13" t="str">
        <x:v>accepted</x:v>
      </x:c>
      <x:c r="AC978" s="13" t="str">
        <x:v>1.0.0</x:v>
      </x:c>
      <x:c r="AD978" s="13" t="str">
        <x:v>1.1.0</x:v>
      </x:c>
      <x:c r="AE978" s="13" t="str">
        <x:v>deepseek/deepseek-v4-pro</x:v>
      </x:c>
      <x:c r="AF978" s="13" t="str">
        <x:v>aj2-y90-20260714T234810-0bea2f52</x:v>
      </x:c>
      <x:c r="AG978" s="13" t="str">
        <x:v>full-0049</x:v>
      </x:c>
      <x:c r="AH978" s="13" t="str">
        <x:v>full</x:v>
      </x:c>
      <x:c r="AI978" s="13" t="n">
        <x:v>49</x:v>
      </x:c>
    </x:row>
    <x:row r="979" ht="34" customHeight="1">
      <x:c r="A979" s="15" t="str">
        <x:v>brown rubber flip flops women</x:v>
      </x:c>
      <x:c r="B979" s="15" t="str">
        <x:v>brown rubber flip flops women</x:v>
      </x:c>
      <x:c r="C979" s="10" t="str">
        <x:v>f1b18f7b71600b02</x:v>
      </x:c>
      <x:c r="D979" s="10" t="str">
        <x:v>keyword</x:v>
      </x:c>
      <x:c r="E979" s="10" t="str">
        <x:v>en</x:v>
      </x:c>
      <x:c r="F979" s="10" t="str">
        <x:v>clothing_shoes_jewelry</x:v>
      </x:c>
      <x:c r="G979" s="15" t="str"/>
      <x:c r="H979" s="15" t="str">
        <x:v>flip_flops</x:v>
      </x:c>
      <x:c r="I979" s="15" t="str">
        <x:v>women</x:v>
      </x:c>
      <x:c r="J979" s="15" t="str"/>
      <x:c r="K979" s="15" t="str">
        <x:v>rubber_material</x:v>
      </x:c>
      <x:c r="L979" s="15" t="str"/>
      <x:c r="M979" s="15" t="str"/>
      <x:c r="N979" s="15" t="str"/>
      <x:c r="O979" s="15" t="str"/>
      <x:c r="P979" s="15" t="str"/>
      <x:c r="Q979" s="15" t="str"/>
      <x:c r="R979" s="15" t="str">
        <x:v>用户寻找女士棕色橡胶材质的人字拖。</x:v>
      </x:c>
      <x:c r="S979" s="10" t="str">
        <x:v>consideration</x:v>
      </x:c>
      <x:c r="T979" s="15" t="str">
        <x:v>explicit | page_validated | inferred</x:v>
      </x:c>
      <x:c r="U979" s="10" t="str">
        <x:v>high</x:v>
      </x:c>
      <x:c r="V979" s="15" t="str">
        <x:v>brown_rubber_womens_flip_flops</x:v>
      </x:c>
      <x:c r="W979" s="15" t="str">
        <x:v>listing_gap_review</x:v>
      </x:c>
      <x:c r="X979" s="15" t="str">
        <x:v>{"product_type":[{"value":"flip_flops","evidence_type":"explicit","source_span":"flip flops","fact_ids":[],"rationale":"术语直接指明产品类型"},{"value":"flip_flops","evidence_type":"page_validated","source_span":"","fact_ids":["style_flip_flop"],"rationale":"页面确认为人字拖款式"}],"audience_intent":[{"value":"women","evidence_type":"explicit","source_span":"women","fact_ids":[],"rationale":"术语明确指定女性受众"},{"value":"women","evidence_type":"page_validated","source_span":"","fact_ids":["title_womens_flip_flop"],"rationale":"页面标题定位为女款"}],"capability_intent":[{"value":"rubber_material","evidence_type":"explicit","source_span":"rubber","fact_ids":[],"rationale":"术语要求橡胶材质"}],"primary_domain":[{"value":"clothing_shoes_jewelry","evidence_type":"inferred","source_span":"","fact_ids":[],"rationale":"该值由搜索词整体语义推断，未作为页面明示属性。"}]}</x:v>
      </x:c>
      <x:c r="Y979" s="15" t="str"/>
      <x:c r="Z979" s="10" t="str">
        <x:v>partial_match</x:v>
      </x:c>
      <x:c r="AA979" s="15" t="str">
        <x:v>style_flip_flop | title_womens_flip_flop | colors_visible</x:v>
      </x:c>
      <x:c r="AB979" s="10" t="str">
        <x:v>accepted</x:v>
      </x:c>
      <x:c r="AC979" s="10" t="str">
        <x:v>1.0.0</x:v>
      </x:c>
      <x:c r="AD979" s="10" t="str">
        <x:v>1.1.0</x:v>
      </x:c>
      <x:c r="AE979" s="10" t="str">
        <x:v>deepseek/deepseek-v4-pro</x:v>
      </x:c>
      <x:c r="AF979" s="10" t="str">
        <x:v>aj2-y90-20260714T234810-0bea2f52</x:v>
      </x:c>
      <x:c r="AG979" s="10" t="str">
        <x:v>full-0049</x:v>
      </x:c>
      <x:c r="AH979" s="10" t="str">
        <x:v>full</x:v>
      </x:c>
      <x:c r="AI979" s="10" t="n">
        <x:v>49</x:v>
      </x:c>
    </x:row>
    <x:row r="980" ht="34" customHeight="1">
      <x:c r="A980" s="16" t="str">
        <x:v>light blue flip flops</x:v>
      </x:c>
      <x:c r="B980" s="16" t="str">
        <x:v>light blue flip flops</x:v>
      </x:c>
      <x:c r="C980" s="13" t="str">
        <x:v>f6a765a6ac548c43</x:v>
      </x:c>
      <x:c r="D980" s="13" t="str">
        <x:v>keyword</x:v>
      </x:c>
      <x:c r="E980" s="13" t="str">
        <x:v>en</x:v>
      </x:c>
      <x:c r="F980" s="13" t="str">
        <x:v>clothing_shoes_jewelry</x:v>
      </x:c>
      <x:c r="G980" s="16" t="str"/>
      <x:c r="H980" s="16" t="str">
        <x:v>flip_flops</x:v>
      </x:c>
      <x:c r="I980" s="16" t="str"/>
      <x:c r="J980" s="16" t="str"/>
      <x:c r="K980" s="16" t="str"/>
      <x:c r="L980" s="16" t="str"/>
      <x:c r="M980" s="16" t="str"/>
      <x:c r="N980" s="16" t="str"/>
      <x:c r="O980" s="16" t="str"/>
      <x:c r="P980" s="16" t="str"/>
      <x:c r="Q980" s="16" t="str"/>
      <x:c r="R980" s="16" t="str">
        <x:v>用户寻找浅蓝色人字拖，注重颜色选择。</x:v>
      </x:c>
      <x:c r="S980" s="13" t="str">
        <x:v>consideration</x:v>
      </x:c>
      <x:c r="T980" s="16" t="str">
        <x:v>explicit | page_validated</x:v>
      </x:c>
      <x:c r="U980" s="13" t="str">
        <x:v>high</x:v>
      </x:c>
      <x:c r="V980" s="16" t="str">
        <x:v>light_blue_flip_flops</x:v>
      </x:c>
      <x:c r="W980" s="16" t="str">
        <x:v>cluster_route</x:v>
      </x:c>
      <x:c r="X980" s="16" t="str">
        <x:v>{"product_type":[{"value":"flip_flops","evidence_type":"explicit","source_span":"flip flops","fact_ids":[],"rationale":"术语直接指明产品类型"},{"value":"flip_flops","evidence_type":"page_validated","source_span":"","fact_ids":["style_flip_flop"],"rationale":"页面确认为人字拖款式"}],"primary_domain":[{"value":"clothing_shoes_jewelry","evidence_type":"inferred","source_span":"","fact_ids":[],"rationale":"该值由搜索词整体语义推断，未作为页面明示属性。"}]}</x:v>
      </x:c>
      <x:c r="Y980" s="16" t="str"/>
      <x:c r="Z980" s="13" t="str">
        <x:v>match</x:v>
      </x:c>
      <x:c r="AA980" s="16" t="str">
        <x:v>style_flip_flop | colors_visible</x:v>
      </x:c>
      <x:c r="AB980" s="13" t="str">
        <x:v>accepted</x:v>
      </x:c>
      <x:c r="AC980" s="13" t="str">
        <x:v>1.0.0</x:v>
      </x:c>
      <x:c r="AD980" s="13" t="str">
        <x:v>1.1.0</x:v>
      </x:c>
      <x:c r="AE980" s="13" t="str">
        <x:v>deepseek/deepseek-v4-pro</x:v>
      </x:c>
      <x:c r="AF980" s="13" t="str">
        <x:v>aj2-y90-20260714T234810-0bea2f52</x:v>
      </x:c>
      <x:c r="AG980" s="13" t="str">
        <x:v>full-0049</x:v>
      </x:c>
      <x:c r="AH980" s="13" t="str">
        <x:v>full</x:v>
      </x:c>
      <x:c r="AI980" s="13" t="n">
        <x:v>49</x:v>
      </x:c>
    </x:row>
    <x:row r="981" ht="34" customHeight="1">
      <x:c r="A981" s="15" t="str">
        <x:v>shower flip flops women</x:v>
      </x:c>
      <x:c r="B981" s="15" t="str">
        <x:v>shower flip flops women</x:v>
      </x:c>
      <x:c r="C981" s="10" t="str">
        <x:v>f92d313443b6e1c3</x:v>
      </x:c>
      <x:c r="D981" s="10" t="str">
        <x:v>keyword</x:v>
      </x:c>
      <x:c r="E981" s="10" t="str">
        <x:v>en</x:v>
      </x:c>
      <x:c r="F981" s="10" t="str">
        <x:v>clothing_shoes_jewelry</x:v>
      </x:c>
      <x:c r="G981" s="15" t="str"/>
      <x:c r="H981" s="15" t="str">
        <x:v>flip_flops | shower_sandals</x:v>
      </x:c>
      <x:c r="I981" s="15" t="str">
        <x:v>women</x:v>
      </x:c>
      <x:c r="J981" s="15" t="str"/>
      <x:c r="K981" s="15" t="str">
        <x:v>water_resistant | slip_resistant</x:v>
      </x:c>
      <x:c r="L981" s="15" t="str"/>
      <x:c r="M981" s="15" t="str">
        <x:v>bathroom | shower</x:v>
      </x:c>
      <x:c r="N981" s="15" t="str"/>
      <x:c r="O981" s="15" t="str"/>
      <x:c r="P981" s="15" t="str"/>
      <x:c r="Q981" s="15" t="str"/>
      <x:c r="R981" s="15" t="str">
        <x:v>用户需要女士淋浴用的人字拖，要求防滑且能接触水。</x:v>
      </x:c>
      <x:c r="S981" s="10" t="str">
        <x:v>consideration</x:v>
      </x:c>
      <x:c r="T981" s="15" t="str">
        <x:v>explicit | page_validated | inferred</x:v>
      </x:c>
      <x:c r="U981" s="10" t="str">
        <x:v>high</x:v>
      </x:c>
      <x:c r="V981" s="15" t="str">
        <x:v>shower_flip_flops_women</x:v>
      </x:c>
      <x:c r="W981" s="15" t="str">
        <x:v>listing_gap_review</x:v>
      </x:c>
      <x:c r="X981" s="15" t="str">
        <x:v>{"product_type":[{"value":"flip_flops","evidence_type":"explicit","source_span":"flip flops","fact_ids":[],"rationale":"术语直接指明产品类型"},{"value":"flip_flops","evidence_type":"page_validated","source_span":"","fact_ids":["style_flip_flop"],"rationale":"页面确认为人字拖款式"},{"value":"shower_sandals","evidence_type":"inferred","source_span":"","fact_ids":[],"rationale":"shower场景暗示专用淋浴拖鞋品类"}],"audience_intent":[{"value":"women","evidence_type":"explicit","source_span":"women","fact_ids":[],"rationale":"术语明确指定女性受众"},{"value":"women","evidence_type":"page_validated","source_span":"","fact_ids":["title_womens_flip_flop"],"rationale":"页面标题定位为女款"}],"location_intent":[{"value":"bathroom","evidence_type":"inferred","source_span":"","fact_ids":[],"rationale":"shower场景暗示浴室使用"},{"value":"shower","evidence_type":"explicit","source_span":"shower","fact_ids":[],"rationale":"术语直接指明淋浴场景"}],"capability_intent":[{"value":"water_resistant","evidence_type":"inferred","source_span":"","fact_ids":[],"rationale":"淋浴场景隐含防水需求，页面无此声明"},{"value":"slip_resistant","evidence_type":"inferred","source_span":"","fact_ids":[],"rationale":"淋浴场景需要防滑，页面有防滑声明"},{"value":"slip_resistant","evidence_type":"page_validated","source_span":"","fact_ids":["slip_resistant_grip"],"rationale":"该槽位与商品基准中的明示页面事实一致。"}],"primary_domain":[{"value":"clothing_shoes_jewelry","evidence_type":"inferred","source_span":"","fact_ids":[],"rationale":"该值由搜索词整体语义推断，未作为页面明示属性。"}]}</x:v>
      </x:c>
      <x:c r="Y981" s="15" t="str">
        <x:v>shower_use_case_not_explicitly_supported</x:v>
      </x:c>
      <x:c r="Z981" s="10" t="str">
        <x:v>partial_match</x:v>
      </x:c>
      <x:c r="AA981" s="15" t="str">
        <x:v>style_flip_flop | title_womens_flip_flop | slip_resistant_grip | easy_clean</x:v>
      </x:c>
      <x:c r="AB981" s="10" t="str">
        <x:v>accepted</x:v>
      </x:c>
      <x:c r="AC981" s="10" t="str">
        <x:v>1.0.0</x:v>
      </x:c>
      <x:c r="AD981" s="10" t="str">
        <x:v>1.1.0</x:v>
      </x:c>
      <x:c r="AE981" s="10" t="str">
        <x:v>deepseek/deepseek-v4-pro</x:v>
      </x:c>
      <x:c r="AF981" s="10" t="str">
        <x:v>aj2-y90-20260714T234810-0bea2f52</x:v>
      </x:c>
      <x:c r="AG981" s="10" t="str">
        <x:v>full-0049</x:v>
      </x:c>
      <x:c r="AH981" s="10" t="str">
        <x:v>full</x:v>
      </x:c>
      <x:c r="AI981" s="10" t="n">
        <x:v>49</x:v>
      </x:c>
    </x:row>
    <x:row r="982" ht="34" customHeight="1">
      <x:c r="A982" s="16" t="str">
        <x:v>black flipflops women</x:v>
      </x:c>
      <x:c r="B982" s="16" t="str">
        <x:v>black flipflops women</x:v>
      </x:c>
      <x:c r="C982" s="13" t="str">
        <x:v>0aa9667b29dbb2b4</x:v>
      </x:c>
      <x:c r="D982" s="13" t="str">
        <x:v>keyword</x:v>
      </x:c>
      <x:c r="E982" s="13" t="str">
        <x:v>en</x:v>
      </x:c>
      <x:c r="F982" s="13" t="str">
        <x:v>clothing_shoes_jewelry</x:v>
      </x:c>
      <x:c r="G982" s="16" t="str"/>
      <x:c r="H982" s="16" t="str">
        <x:v>flip_flops</x:v>
      </x:c>
      <x:c r="I982" s="16" t="str">
        <x:v>women</x:v>
      </x:c>
      <x:c r="J982" s="16" t="str"/>
      <x:c r="K982" s="16" t="str"/>
      <x:c r="L982" s="16" t="str"/>
      <x:c r="M982" s="16" t="str"/>
      <x:c r="N982" s="16" t="str"/>
      <x:c r="O982" s="16" t="str"/>
      <x:c r="P982" s="16" t="str"/>
      <x:c r="Q982" s="16" t="str"/>
      <x:c r="R982" s="16" t="str">
        <x:v>女性需要一双黑色人字拖用于日常穿着。</x:v>
      </x:c>
      <x:c r="S982" s="13" t="str">
        <x:v>high_intent</x:v>
      </x:c>
      <x:c r="T982" s="16" t="str">
        <x:v>explicit | page_validated</x:v>
      </x:c>
      <x:c r="U982" s="13" t="str">
        <x:v>high</x:v>
      </x:c>
      <x:c r="V982" s="16" t="str">
        <x:v>womens_black_flip_flops</x:v>
      </x:c>
      <x:c r="W982" s="16" t="str">
        <x:v>cluster_route</x:v>
      </x:c>
      <x:c r="X982" s="16" t="str">
        <x:v>{"product_type":[{"value":"flip_flops","evidence_type":"explicit","source_span":"flipflops","fact_ids":[],"rationale":""},{"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audience_intent":[{"value":"women","evidence_type":"explicit","source_span":"women","fact_ids":[],"rationale":""},{"value":"women","evidence_type":"page_validated","source_span":"","fact_ids":["title_womens_flip_flop"],"rationale":"该槽位与商品基准中的明示页面事实一致。"}],"primary_domain":[{"value":"clothing_shoes_jewelry","evidence_type":"inferred","source_span":"","fact_ids":[],"rationale":"该值由搜索词整体语义推断，未作为页面明示属性。"}]}</x:v>
      </x:c>
      <x:c r="Y982" s="16" t="str"/>
      <x:c r="Z982" s="13" t="str">
        <x:v>match</x:v>
      </x:c>
      <x:c r="AA982" s="16" t="str">
        <x:v>title_womens_flip_flop | style_flip_flop | colors_visible</x:v>
      </x:c>
      <x:c r="AB982" s="13" t="str">
        <x:v>accepted</x:v>
      </x:c>
      <x:c r="AC982" s="13" t="str">
        <x:v>1.0.0</x:v>
      </x:c>
      <x:c r="AD982" s="13" t="str">
        <x:v>1.0.0</x:v>
      </x:c>
      <x:c r="AE982" s="13" t="str">
        <x:v>deepseek/deepseek-v4-pro</x:v>
      </x:c>
      <x:c r="AF982" s="13" t="str">
        <x:v>aj2-y90-20260714T234810-0bea2f52</x:v>
      </x:c>
      <x:c r="AG982" s="13" t="str">
        <x:v>full-0050</x:v>
      </x:c>
      <x:c r="AH982" s="13" t="str">
        <x:v>full</x:v>
      </x:c>
      <x:c r="AI982" s="13" t="n">
        <x:v>50</x:v>
      </x:c>
    </x:row>
    <x:row r="983" ht="34" customHeight="1">
      <x:c r="A983" s="15" t="str">
        <x:v>womens size 8 flip flops</x:v>
      </x:c>
      <x:c r="B983" s="15" t="str">
        <x:v>womens size 8 flip flops</x:v>
      </x:c>
      <x:c r="C983" s="10" t="str">
        <x:v>15dbc89fa4500c91</x:v>
      </x:c>
      <x:c r="D983" s="10" t="str">
        <x:v>keyword</x:v>
      </x:c>
      <x:c r="E983" s="10" t="str">
        <x:v>en</x:v>
      </x:c>
      <x:c r="F983" s="10" t="str">
        <x:v>clothing_shoes_jewelry</x:v>
      </x:c>
      <x:c r="G983" s="15" t="str"/>
      <x:c r="H983" s="15" t="str">
        <x:v>flip_flops</x:v>
      </x:c>
      <x:c r="I983" s="15" t="str">
        <x:v>women</x:v>
      </x:c>
      <x:c r="J983" s="15" t="str"/>
      <x:c r="K983" s="15" t="str"/>
      <x:c r="L983" s="15" t="str"/>
      <x:c r="M983" s="15" t="str"/>
      <x:c r="N983" s="15" t="str"/>
      <x:c r="O983" s="15" t="str"/>
      <x:c r="P983" s="15" t="str"/>
      <x:c r="Q983" s="15" t="str"/>
      <x:c r="R983" s="15" t="str">
        <x:v>女性需要一双8码的人字拖用于日常穿着。</x:v>
      </x:c>
      <x:c r="S983" s="10" t="str">
        <x:v>high_intent</x:v>
      </x:c>
      <x:c r="T983" s="15" t="str">
        <x:v>explicit | page_validated</x:v>
      </x:c>
      <x:c r="U983" s="10" t="str">
        <x:v>high</x:v>
      </x:c>
      <x:c r="V983" s="15" t="str">
        <x:v>womens_sized_flip_flops</x:v>
      </x:c>
      <x:c r="W983" s="15" t="str">
        <x:v>cluster_route</x:v>
      </x:c>
      <x:c r="X983" s="15" t="str">
        <x:v>{"product_type":[{"value":"flip_flops","evidence_type":"explicit","source_span":"flip flops","fact_ids":[],"rationale":""},{"value":"flip_flops","evidence_type":"page_validated","source_span":"","fact_ids":["style_flip_flop"],"rationale":"该槽位与商品基准中的明示页面事实一致。"}],"audience_intent":[{"value":"women","evidence_type":"explicit","source_span":"womens","fact_ids":[],"rationale":""},{"value":"women","evidence_type":"page_validated","source_span":"","fact_ids":["title_womens_flip_flop"],"rationale":"该槽位与商品基准中的明示页面事实一致。"}],"primary_domain":[{"value":"clothing_shoes_jewelry","evidence_type":"inferred","source_span":"","fact_ids":[],"rationale":"该值由搜索词整体语义推断，未作为页面明示属性。"}]}</x:v>
      </x:c>
      <x:c r="Y983" s="15" t="str"/>
      <x:c r="Z983" s="10" t="str">
        <x:v>match</x:v>
      </x:c>
      <x:c r="AA983" s="15" t="str">
        <x:v>title_womens_flip_flop | style_flip_flop | sizes_6_11</x:v>
      </x:c>
      <x:c r="AB983" s="10" t="str">
        <x:v>accepted</x:v>
      </x:c>
      <x:c r="AC983" s="10" t="str">
        <x:v>1.0.0</x:v>
      </x:c>
      <x:c r="AD983" s="10" t="str">
        <x:v>1.0.0</x:v>
      </x:c>
      <x:c r="AE983" s="10" t="str">
        <x:v>deepseek/deepseek-v4-pro</x:v>
      </x:c>
      <x:c r="AF983" s="10" t="str">
        <x:v>aj2-y90-20260714T234810-0bea2f52</x:v>
      </x:c>
      <x:c r="AG983" s="10" t="str">
        <x:v>full-0050</x:v>
      </x:c>
      <x:c r="AH983" s="10" t="str">
        <x:v>full</x:v>
      </x:c>
      <x:c r="AI983" s="10" t="n">
        <x:v>50</x:v>
      </x:c>
    </x:row>
    <x:row r="984" ht="34" customHeight="1">
      <x:c r="A984" s="16" t="str">
        <x:v>pool sandals</x:v>
      </x:c>
      <x:c r="B984" s="16" t="str">
        <x:v>pool sandals</x:v>
      </x:c>
      <x:c r="C984" s="13" t="str">
        <x:v>16d3b572012ccd01</x:v>
      </x:c>
      <x:c r="D984" s="13" t="str">
        <x:v>keyword</x:v>
      </x:c>
      <x:c r="E984" s="13" t="str">
        <x:v>en</x:v>
      </x:c>
      <x:c r="F984" s="13" t="str">
        <x:v>clothing_shoes_jewelry</x:v>
      </x:c>
      <x:c r="G984" s="16" t="str">
        <x:v>sports_outdoors</x:v>
      </x:c>
      <x:c r="H984" s="16" t="str">
        <x:v>sandals</x:v>
      </x:c>
      <x:c r="I984" s="16" t="str"/>
      <x:c r="J984" s="16" t="str">
        <x:v>water_ready_footwear</x:v>
      </x:c>
      <x:c r="K984" s="16" t="str">
        <x:v>pool_suitable</x:v>
      </x:c>
      <x:c r="L984" s="16" t="str">
        <x:v>pool_visit</x:v>
      </x:c>
      <x:c r="M984" s="16" t="str">
        <x:v>pool</x:v>
      </x:c>
      <x:c r="N984" s="16" t="str"/>
      <x:c r="O984" s="16" t="str"/>
      <x:c r="P984" s="16" t="str"/>
      <x:c r="Q984" s="16" t="str"/>
      <x:c r="R984" s="16" t="str">
        <x:v>用户需要一双适合在泳池边穿着的凉鞋，能够接触潮湿环境。</x:v>
      </x:c>
      <x:c r="S984" s="13" t="str">
        <x:v>exploration</x:v>
      </x:c>
      <x:c r="T984" s="16" t="str">
        <x:v>explicit | inferred</x:v>
      </x:c>
      <x:c r="U984" s="13" t="str">
        <x:v>medium</x:v>
      </x:c>
      <x:c r="V984" s="16" t="str">
        <x:v>pool_sandals</x:v>
      </x:c>
      <x:c r="W984" s="16" t="str">
        <x:v>listing_gap_review</x:v>
      </x:c>
      <x:c r="X984" s="16" t="str">
        <x:v>{"product_type":[{"value":"sandals","evidence_type":"explicit","source_span":"sandals","fact_ids":[],"rationale":""},{"value":"sandals","evidence_type":"page_validated","source_span":"","fact_ids":["title_womens_flip_flop"],"rationale":"该槽位与商品基准中的明示页面事实一致。"}],"location_intent":[{"value":"pool","evidence_type":"explicit","source_span":"pool","fact_ids":[],"rationale":""}],"capability_intent":[{"value":"pool_suitable","evidence_type":"inferred","source_span":"","fact_ids":[],"rationale":"泳池环境需要耐水材质。"}],"event_intent":[{"value":"pool_visit","evidence_type":"inferred","source_span":"","fact_ids":[],"rationale":"该值由搜索词整体语义推断，未作为页面明示属性。"}],"function_intent":[{"value":"water_ready_footwear","evidence_type":"inferred","source_span":"","fact_ids":[],"rationale":"该值由搜索词整体语义推断，未作为页面明示属性。"}],"primary_domain":[{"value":"clothing_shoes_jewelry","evidence_type":"inferred","source_span":"","fact_ids":[],"rationale":"该值由搜索词整体语义推断，未作为页面明示属性。"}],"secondary_domain":[{"value":"sports_outdoors","evidence_type":"inferred","source_span":"","fact_ids":[],"rationale":"该值由搜索词整体语义推断，未作为页面明示属性。"}]}</x:v>
      </x:c>
      <x:c r="Y984" s="16" t="str">
        <x:v>pool_waterproof_not_validated</x:v>
      </x:c>
      <x:c r="Z984" s="13" t="str">
        <x:v>partial_match</x:v>
      </x:c>
      <x:c r="AA984" s="16" t="str">
        <x:v>style_flip_flop | style_outdoor | material_eva | easy_clean</x:v>
      </x:c>
      <x:c r="AB984" s="13" t="str">
        <x:v>accepted</x:v>
      </x:c>
      <x:c r="AC984" s="13" t="str">
        <x:v>1.0.0</x:v>
      </x:c>
      <x:c r="AD984" s="13" t="str">
        <x:v>1.0.0</x:v>
      </x:c>
      <x:c r="AE984" s="13" t="str">
        <x:v>deepseek/deepseek-v4-pro</x:v>
      </x:c>
      <x:c r="AF984" s="13" t="str">
        <x:v>aj2-y90-20260714T234810-0bea2f52</x:v>
      </x:c>
      <x:c r="AG984" s="13" t="str">
        <x:v>full-0050</x:v>
      </x:c>
      <x:c r="AH984" s="13" t="str">
        <x:v>full</x:v>
      </x:c>
      <x:c r="AI984" s="13" t="n">
        <x:v>50</x:v>
      </x:c>
    </x:row>
    <x:row r="985" ht="34" customHeight="1">
      <x:c r="A985" s="15" t="str">
        <x:v>orthopedic flip flops for women brown</x:v>
      </x:c>
      <x:c r="B985" s="15" t="str">
        <x:v>orthopedic flip flops for women brown</x:v>
      </x:c>
      <x:c r="C985" s="10" t="str">
        <x:v>4663ebd3d268a2a6</x:v>
      </x:c>
      <x:c r="D985" s="10" t="str">
        <x:v>keyword</x:v>
      </x:c>
      <x:c r="E985" s="10" t="str">
        <x:v>en</x:v>
      </x:c>
      <x:c r="F985" s="10" t="str">
        <x:v>clothing_shoes_jewelry</x:v>
      </x:c>
      <x:c r="G985" s="15" t="str">
        <x:v>health_household</x:v>
      </x:c>
      <x:c r="H985" s="15" t="str">
        <x:v>flip_flops</x:v>
      </x:c>
      <x:c r="I985" s="15" t="str">
        <x:v>women</x:v>
      </x:c>
      <x:c r="J985" s="15" t="str">
        <x:v>foot_comfort | orthopedic_support</x:v>
      </x:c>
      <x:c r="K985" s="15" t="str">
        <x:v>arch_support | orthopedic_design</x:v>
      </x:c>
      <x:c r="L985" s="15" t="str"/>
      <x:c r="M985" s="15" t="str"/>
      <x:c r="N985" s="15" t="str">
        <x:v>orthopedic_need</x:v>
      </x:c>
      <x:c r="O985" s="15" t="str"/>
      <x:c r="P985" s="15" t="str"/>
      <x:c r="Q985" s="15" t="str"/>
      <x:c r="R985" s="15" t="str">
        <x:v>有足部矫形需求的女性需要一双棕色带足弓支撑的人字拖来改善行走舒适度。</x:v>
      </x:c>
      <x:c r="S985" s="10" t="str">
        <x:v>consideration</x:v>
      </x:c>
      <x:c r="T985" s="15" t="str">
        <x:v>explicit | page_validated | inferred</x:v>
      </x:c>
      <x:c r="U985" s="10" t="str">
        <x:v>medium</x:v>
      </x:c>
      <x:c r="V985" s="15" t="str">
        <x:v>womens_orthopedic_brown_flip_flops</x:v>
      </x:c>
      <x:c r="W985" s="15" t="str">
        <x:v>listing_gap_review</x:v>
      </x:c>
      <x:c r="X985" s="15" t="str">
        <x:v>{"product_type":[{"value":"flip_flops","evidence_type":"explicit","source_span":"flip flops","fact_ids":[],"rationale":""},{"value":"flip_flops","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body_need_intent":[{"value":"orthopedic_need","evidence_type":"explicit","source_span":"orthopedic","fact_ids":[],"rationale":""}],"capability_intent":[{"value":"arch_support","evidence_type":"inferred","source_span":"","fact_ids":[],"rationale":"矫形鞋通常需要足弓支撑。"},{"value":"arch_support","evidence_type":"page_validated","source_span":"","fact_ids":["arch_support"],"rationale":"该槽位与商品基准中的明示页面事实一致。"},{"value":"orthopedic_design","evidence_type":"inferred","source_span":"","fact_ids":[],"rationale":"该值由搜索词整体语义推断，未作为页面明示属性。"}],"function_intent":[{"value":"foot_comfort","evidence_type":"page_validated","source_span":"","fact_ids":["arch_support","padded_cushioning"],"rationale":"该槽位与商品基准中的明示页面事实一致。"},{"value":"foot_comfort","evidence_type":"inferred","source_span":"","fact_ids":[],"rationale":"该能力由搜索词表达的任务或问题推断；页面事实仅用于验证商品承接。"},{"value":"orthopedic_support","evidence_type":"inferred","source_span":"","fact_ids":[],"rationale":"该值由搜索词整体语义推断，未作为页面明示属性。"}],"primary_domain":[{"value":"clothing_shoes_jewelry","evidence_type":"inferred","source_span":"","fact_ids":[],"rationale":"该值由搜索词整体语义推断，未作为页面明示属性。"}],"secondary_domain":[{"value":"health_household","evidence_type":"inferred","source_span":"","fact_ids":[],"rationale":"该值由搜索词整体语义推断，未作为页面明示属性。"}]}</x:v>
      </x:c>
      <x:c r="Y985" s="15" t="str">
        <x:v>orthopedic_not_explicitly_claimed</x:v>
      </x:c>
      <x:c r="Z985" s="10" t="str">
        <x:v>partial_match</x:v>
      </x:c>
      <x:c r="AA985" s="15" t="str">
        <x:v>title_womens_flip_flop | arch_support | padded_cushioning | style_flip_flop | colors_visible</x:v>
      </x:c>
      <x:c r="AB985" s="10" t="str">
        <x:v>accepted</x:v>
      </x:c>
      <x:c r="AC985" s="10" t="str">
        <x:v>1.0.0</x:v>
      </x:c>
      <x:c r="AD985" s="10" t="str">
        <x:v>1.0.0</x:v>
      </x:c>
      <x:c r="AE985" s="10" t="str">
        <x:v>deepseek/deepseek-v4-pro</x:v>
      </x:c>
      <x:c r="AF985" s="10" t="str">
        <x:v>aj2-y90-20260714T234810-0bea2f52</x:v>
      </x:c>
      <x:c r="AG985" s="10" t="str">
        <x:v>full-0050</x:v>
      </x:c>
      <x:c r="AH985" s="10" t="str">
        <x:v>full</x:v>
      </x:c>
      <x:c r="AI985" s="10" t="n">
        <x:v>50</x:v>
      </x:c>
    </x:row>
    <x:row r="986" ht="34" customHeight="1">
      <x:c r="A986" s="16" t="str">
        <x:v>womens flip flops with arch support free shipping today</x:v>
      </x:c>
      <x:c r="B986" s="16" t="str">
        <x:v>womens flip flops with arch support free shipping today</x:v>
      </x:c>
      <x:c r="C986" s="13" t="str">
        <x:v>4aafab8a80456a77</x:v>
      </x:c>
      <x:c r="D986" s="13" t="str">
        <x:v>keyword</x:v>
      </x:c>
      <x:c r="E986" s="13" t="str">
        <x:v>en</x:v>
      </x:c>
      <x:c r="F986" s="13" t="str">
        <x:v>clothing_shoes_jewelry</x:v>
      </x:c>
      <x:c r="G986" s="16" t="str"/>
      <x:c r="H986" s="16" t="str">
        <x:v>flip_flops</x:v>
      </x:c>
      <x:c r="I986" s="16" t="str">
        <x:v>women</x:v>
      </x:c>
      <x:c r="J986" s="16" t="str">
        <x:v>foot_comfort</x:v>
      </x:c>
      <x:c r="K986" s="16" t="str">
        <x:v>arch_support</x:v>
      </x:c>
      <x:c r="L986" s="16" t="str"/>
      <x:c r="M986" s="16" t="str"/>
      <x:c r="N986" s="16" t="str"/>
      <x:c r="O986" s="16" t="str"/>
      <x:c r="P986" s="16" t="str"/>
      <x:c r="Q986" s="16" t="str"/>
      <x:c r="R986" s="16" t="str">
        <x:v>女性需要一双有足弓支撑的人字拖来提升日常行走舒适度，并希望当天能免费配送。</x:v>
      </x:c>
      <x:c r="S986" s="13" t="str">
        <x:v>high_intent</x:v>
      </x:c>
      <x:c r="T986" s="16" t="str">
        <x:v>explicit | page_validated</x:v>
      </x:c>
      <x:c r="U986" s="13" t="str">
        <x:v>high</x:v>
      </x:c>
      <x:c r="V986" s="16" t="str">
        <x:v>womens_arch_support_flip_flops</x:v>
      </x:c>
      <x:c r="W986" s="16" t="str">
        <x:v>cluster_route</x:v>
      </x:c>
      <x:c r="X986" s="16" t="str">
        <x:v>{"product_type":[{"value":"flip_flops","evidence_type":"explicit","source_span":"flip flops","fact_ids":[],"rationale":""},{"value":"flip_flops","evidence_type":"page_validated","source_span":"","fact_ids":["style_flip_flop"],"rationale":"该槽位与商品基准中的明示页面事实一致。"}],"audience_intent":[{"value":"women","evidence_type":"explicit","source_span":"womens","fact_ids":[],"rationale":""},{"value":"women","evidence_type":"page_validated","source_span":"","fact_ids":["title_womens_flip_flop"],"rationale":"该槽位与商品基准中的明示页面事实一致。"}],"capability_intent":[{"value":"arch_support","evidence_type":"explicit","source_span":"arch support","fact_ids":[],"rationale":""},{"value":"arch_support","evidence_type":"page_validated","source_span":"","fact_ids":["arch_support"],"rationale":"该槽位与商品基准中的明示页面事实一致。"}],"function_intent":[{"value":"foot_comfort","evidence_type":"page_validated","source_span":"","fact_ids":["arch_support","padded_cushioning"],"rationale":"该槽位与商品基准中的明示页面事实一致。"},{"value":"foot_comfor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986" s="16" t="str">
        <x:v>delivery_constraint_not_validated</x:v>
      </x:c>
      <x:c r="Z986" s="13" t="str">
        <x:v>match</x:v>
      </x:c>
      <x:c r="AA986" s="16" t="str">
        <x:v>title_womens_flip_flop | arch_support | style_flip_flop</x:v>
      </x:c>
      <x:c r="AB986" s="13" t="str">
        <x:v>accepted</x:v>
      </x:c>
      <x:c r="AC986" s="13" t="str">
        <x:v>1.0.0</x:v>
      </x:c>
      <x:c r="AD986" s="13" t="str">
        <x:v>1.0.0</x:v>
      </x:c>
      <x:c r="AE986" s="13" t="str">
        <x:v>deepseek/deepseek-v4-pro</x:v>
      </x:c>
      <x:c r="AF986" s="13" t="str">
        <x:v>aj2-y90-20260714T234810-0bea2f52</x:v>
      </x:c>
      <x:c r="AG986" s="13" t="str">
        <x:v>full-0050</x:v>
      </x:c>
      <x:c r="AH986" s="13" t="str">
        <x:v>full</x:v>
      </x:c>
      <x:c r="AI986" s="13" t="n">
        <x:v>50</x:v>
      </x:c>
    </x:row>
    <x:row r="987" ht="34" customHeight="1">
      <x:c r="A987" s="15" t="str">
        <x:v>waterproof white flip flops women</x:v>
      </x:c>
      <x:c r="B987" s="15" t="str">
        <x:v>waterproof white flip flops women</x:v>
      </x:c>
      <x:c r="C987" s="10" t="str">
        <x:v>4e848c3a5ce241f0</x:v>
      </x:c>
      <x:c r="D987" s="10" t="str">
        <x:v>keyword</x:v>
      </x:c>
      <x:c r="E987" s="10" t="str">
        <x:v>en</x:v>
      </x:c>
      <x:c r="F987" s="10" t="str">
        <x:v>clothing_shoes_jewelry</x:v>
      </x:c>
      <x:c r="G987" s="15" t="str"/>
      <x:c r="H987" s="15" t="str">
        <x:v>flip_flops</x:v>
      </x:c>
      <x:c r="I987" s="15" t="str">
        <x:v>women</x:v>
      </x:c>
      <x:c r="J987" s="15" t="str">
        <x:v>water_protection</x:v>
      </x:c>
      <x:c r="K987" s="15" t="str">
        <x:v>waterproof</x:v>
      </x:c>
      <x:c r="L987" s="15" t="str"/>
      <x:c r="M987" s="15" t="str"/>
      <x:c r="N987" s="15" t="str"/>
      <x:c r="O987" s="15" t="str"/>
      <x:c r="P987" s="15" t="str"/>
      <x:c r="Q987" s="15" t="str"/>
      <x:c r="R987" s="15" t="str">
        <x:v>女性需要一双白色防水人字拖，适合在潮湿环境中穿着。</x:v>
      </x:c>
      <x:c r="S987" s="10" t="str">
        <x:v>consideration</x:v>
      </x:c>
      <x:c r="T987" s="15" t="str">
        <x:v>explicit | page_validated | inferred</x:v>
      </x:c>
      <x:c r="U987" s="10" t="str">
        <x:v>high</x:v>
      </x:c>
      <x:c r="V987" s="15" t="str">
        <x:v>womens_waterproof_white_flip_flops</x:v>
      </x:c>
      <x:c r="W987" s="15" t="str">
        <x:v>semantic_negative_candidate</x:v>
      </x:c>
      <x:c r="X987" s="15" t="str">
        <x:v>{"product_type":[{"value":"flip_flops","evidence_type":"explicit","source_span":"flip flops","fact_ids":[],"rationale":""},{"value":"flip_flops","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capability_intent":[{"value":"waterproof","evidence_type":"explicit","source_span":"waterproof","fact_ids":[],"rationale":""}],"function_intent":[{"value":"water_protection","evidence_type":"inferred","source_span":"","fact_ids":[],"rationale":"该值由搜索词整体语义推断，未作为页面明示属性。"}],"primary_domain":[{"value":"clothing_shoes_jewelry","evidence_type":"inferred","source_span":"","fact_ids":[],"rationale":"该值由搜索词整体语义推断，未作为页面明示属性。"}]}</x:v>
      </x:c>
      <x:c r="Y987" s="15" t="str"/>
      <x:c r="Z987" s="10" t="str">
        <x:v>mismatch</x:v>
      </x:c>
      <x:c r="AA987" s="15" t="str">
        <x:v>title_womens_flip_flop | style_flip_flop | colors_visible</x:v>
      </x:c>
      <x:c r="AB987" s="10" t="str">
        <x:v>accepted</x:v>
      </x:c>
      <x:c r="AC987" s="10" t="str">
        <x:v>1.0.0</x:v>
      </x:c>
      <x:c r="AD987" s="10" t="str">
        <x:v>1.0.0</x:v>
      </x:c>
      <x:c r="AE987" s="10" t="str">
        <x:v>deepseek/deepseek-v4-pro</x:v>
      </x:c>
      <x:c r="AF987" s="10" t="str">
        <x:v>aj2-y90-20260714T234810-0bea2f52</x:v>
      </x:c>
      <x:c r="AG987" s="10" t="str">
        <x:v>full-0050</x:v>
      </x:c>
      <x:c r="AH987" s="10" t="str">
        <x:v>full</x:v>
      </x:c>
      <x:c r="AI987" s="10" t="n">
        <x:v>50</x:v>
      </x:c>
    </x:row>
    <x:row r="988" ht="34" customHeight="1">
      <x:c r="A988" s="16" t="str">
        <x:v>lightweight flip flops for women</x:v>
      </x:c>
      <x:c r="B988" s="16" t="str">
        <x:v>lightweight flip flops for women</x:v>
      </x:c>
      <x:c r="C988" s="13" t="str">
        <x:v>55a2c60266ed06dc</x:v>
      </x:c>
      <x:c r="D988" s="13" t="str">
        <x:v>keyword</x:v>
      </x:c>
      <x:c r="E988" s="13" t="str">
        <x:v>en</x:v>
      </x:c>
      <x:c r="F988" s="13" t="str">
        <x:v>clothing_shoes_jewelry</x:v>
      </x:c>
      <x:c r="G988" s="16" t="str"/>
      <x:c r="H988" s="16" t="str">
        <x:v>flip_flops</x:v>
      </x:c>
      <x:c r="I988" s="16" t="str">
        <x:v>women</x:v>
      </x:c>
      <x:c r="J988" s="16" t="str">
        <x:v>lightweight_wear</x:v>
      </x:c>
      <x:c r="K988" s="16" t="str">
        <x:v>lightweight</x:v>
      </x:c>
      <x:c r="L988" s="16" t="str"/>
      <x:c r="M988" s="16" t="str"/>
      <x:c r="N988" s="16" t="str"/>
      <x:c r="O988" s="16" t="str"/>
      <x:c r="P988" s="16" t="str"/>
      <x:c r="Q988" s="16" t="str"/>
      <x:c r="R988" s="16" t="str">
        <x:v>女性需要一双轻便的人字拖，方便日常活动和出行携带。</x:v>
      </x:c>
      <x:c r="S988" s="13" t="str">
        <x:v>consideration</x:v>
      </x:c>
      <x:c r="T988" s="16" t="str">
        <x:v>explicit | page_validated</x:v>
      </x:c>
      <x:c r="U988" s="13" t="str">
        <x:v>high</x:v>
      </x:c>
      <x:c r="V988" s="16" t="str">
        <x:v>womens_lightweight_flip_flops</x:v>
      </x:c>
      <x:c r="W988" s="16" t="str">
        <x:v>cluster_route</x:v>
      </x:c>
      <x:c r="X988" s="16" t="str">
        <x:v>{"product_type":[{"value":"flip_flops","evidence_type":"explicit","source_span":"flip flops","fact_ids":[],"rationale":""},{"value":"flip_flops","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capability_intent":[{"value":"lightweight","evidence_type":"explicit","source_span":"lightweight","fact_ids":[],"rationale":""},{"value":"lightweight","evidence_type":"page_validated","source_span":"","fact_ids":["lightweight_breathable"],"rationale":"该槽位与商品基准中的明示页面事实一致。"}],"function_intent":[{"value":"lightweight_wear","evidence_type":"inferred","source_span":"","fact_ids":[],"rationale":"该值由搜索词整体语义推断，未作为页面明示属性。"}],"primary_domain":[{"value":"clothing_shoes_jewelry","evidence_type":"inferred","source_span":"","fact_ids":[],"rationale":"该值由搜索词整体语义推断，未作为页面明示属性。"}]}</x:v>
      </x:c>
      <x:c r="Y988" s="16" t="str"/>
      <x:c r="Z988" s="13" t="str">
        <x:v>match</x:v>
      </x:c>
      <x:c r="AA988" s="16" t="str">
        <x:v>title_womens_flip_flop | style_flip_flop | lightweight_breathable</x:v>
      </x:c>
      <x:c r="AB988" s="13" t="str">
        <x:v>accepted</x:v>
      </x:c>
      <x:c r="AC988" s="13" t="str">
        <x:v>1.0.0</x:v>
      </x:c>
      <x:c r="AD988" s="13" t="str">
        <x:v>1.0.0</x:v>
      </x:c>
      <x:c r="AE988" s="13" t="str">
        <x:v>deepseek/deepseek-v4-pro</x:v>
      </x:c>
      <x:c r="AF988" s="13" t="str">
        <x:v>aj2-y90-20260714T234810-0bea2f52</x:v>
      </x:c>
      <x:c r="AG988" s="13" t="str">
        <x:v>full-0050</x:v>
      </x:c>
      <x:c r="AH988" s="13" t="str">
        <x:v>full</x:v>
      </x:c>
      <x:c r="AI988" s="13" t="n">
        <x:v>50</x:v>
      </x:c>
    </x:row>
    <x:row r="989" ht="34" customHeight="1">
      <x:c r="A989" s="15" t="str">
        <x:v>size 10 women flip flop</x:v>
      </x:c>
      <x:c r="B989" s="15" t="str">
        <x:v>size 10 women flip flop</x:v>
      </x:c>
      <x:c r="C989" s="10" t="str">
        <x:v>56ff597700f75b9e</x:v>
      </x:c>
      <x:c r="D989" s="10" t="str">
        <x:v>keyword</x:v>
      </x:c>
      <x:c r="E989" s="10" t="str">
        <x:v>en</x:v>
      </x:c>
      <x:c r="F989" s="10" t="str">
        <x:v>clothing_shoes_jewelry</x:v>
      </x:c>
      <x:c r="G989" s="15" t="str"/>
      <x:c r="H989" s="15" t="str">
        <x:v>flip_flops</x:v>
      </x:c>
      <x:c r="I989" s="15" t="str">
        <x:v>women</x:v>
      </x:c>
      <x:c r="J989" s="15" t="str"/>
      <x:c r="K989" s="15" t="str"/>
      <x:c r="L989" s="15" t="str"/>
      <x:c r="M989" s="15" t="str"/>
      <x:c r="N989" s="15" t="str"/>
      <x:c r="O989" s="15" t="str"/>
      <x:c r="P989" s="15" t="str"/>
      <x:c r="Q989" s="15" t="str"/>
      <x:c r="R989" s="15" t="str">
        <x:v>女性需要一双10码的人字拖用于日常穿着。</x:v>
      </x:c>
      <x:c r="S989" s="10" t="str">
        <x:v>high_intent</x:v>
      </x:c>
      <x:c r="T989" s="15" t="str">
        <x:v>explicit | page_validated</x:v>
      </x:c>
      <x:c r="U989" s="10" t="str">
        <x:v>high</x:v>
      </x:c>
      <x:c r="V989" s="15" t="str">
        <x:v>womens_sized_flip_flops</x:v>
      </x:c>
      <x:c r="W989" s="15" t="str">
        <x:v>cluster_route</x:v>
      </x:c>
      <x:c r="X989" s="15" t="str">
        <x:v>{"product_type":[{"value":"flip_flops","evidence_type":"explicit","source_span":"flip flop","fact_ids":[],"rationale":""},{"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audience_intent":[{"value":"women","evidence_type":"explicit","source_span":"women","fact_ids":[],"rationale":""},{"value":"women","evidence_type":"page_validated","source_span":"","fact_ids":["title_womens_flip_flop"],"rationale":"该槽位与商品基准中的明示页面事实一致。"}],"primary_domain":[{"value":"clothing_shoes_jewelry","evidence_type":"inferred","source_span":"","fact_ids":[],"rationale":"该值由搜索词整体语义推断，未作为页面明示属性。"}]}</x:v>
      </x:c>
      <x:c r="Y989" s="15" t="str"/>
      <x:c r="Z989" s="10" t="str">
        <x:v>match</x:v>
      </x:c>
      <x:c r="AA989" s="15" t="str">
        <x:v>title_womens_flip_flop | style_flip_flop | sizes_6_11</x:v>
      </x:c>
      <x:c r="AB989" s="10" t="str">
        <x:v>accepted</x:v>
      </x:c>
      <x:c r="AC989" s="10" t="str">
        <x:v>1.0.0</x:v>
      </x:c>
      <x:c r="AD989" s="10" t="str">
        <x:v>1.0.0</x:v>
      </x:c>
      <x:c r="AE989" s="10" t="str">
        <x:v>deepseek/deepseek-v4-pro</x:v>
      </x:c>
      <x:c r="AF989" s="10" t="str">
        <x:v>aj2-y90-20260714T234810-0bea2f52</x:v>
      </x:c>
      <x:c r="AG989" s="10" t="str">
        <x:v>full-0050</x:v>
      </x:c>
      <x:c r="AH989" s="10" t="str">
        <x:v>full</x:v>
      </x:c>
      <x:c r="AI989" s="10" t="n">
        <x:v>50</x:v>
      </x:c>
    </x:row>
    <x:row r="990" ht="34" customHeight="1">
      <x:c r="A990" s="16" t="str">
        <x:v>women’s thin strap black flip-flops</x:v>
      </x:c>
      <x:c r="B990" s="16" t="str">
        <x:v>women’s thin strap black flip-flops</x:v>
      </x:c>
      <x:c r="C990" s="13" t="str">
        <x:v>5af8f2f1faac78e2</x:v>
      </x:c>
      <x:c r="D990" s="13" t="str">
        <x:v>keyword</x:v>
      </x:c>
      <x:c r="E990" s="13" t="str">
        <x:v>en</x:v>
      </x:c>
      <x:c r="F990" s="13" t="str">
        <x:v>clothing_shoes_jewelry</x:v>
      </x:c>
      <x:c r="G990" s="16" t="str"/>
      <x:c r="H990" s="16" t="str">
        <x:v>flip_flops</x:v>
      </x:c>
      <x:c r="I990" s="16" t="str">
        <x:v>women</x:v>
      </x:c>
      <x:c r="J990" s="16" t="str"/>
      <x:c r="K990" s="16" t="str">
        <x:v>thin_strap</x:v>
      </x:c>
      <x:c r="L990" s="16" t="str"/>
      <x:c r="M990" s="16" t="str"/>
      <x:c r="N990" s="16" t="str"/>
      <x:c r="O990" s="16" t="str"/>
      <x:c r="P990" s="16" t="str"/>
      <x:c r="Q990" s="16" t="str"/>
      <x:c r="R990" s="16" t="str">
        <x:v>女性需要一双黑色细带人字拖用于日常穿搭。</x:v>
      </x:c>
      <x:c r="S990" s="13" t="str">
        <x:v>consideration</x:v>
      </x:c>
      <x:c r="T990" s="16" t="str">
        <x:v>explicit | page_validated | inferred</x:v>
      </x:c>
      <x:c r="U990" s="13" t="str">
        <x:v>high</x:v>
      </x:c>
      <x:c r="V990" s="16" t="str">
        <x:v>womens_black_thin_strap_flip_flops</x:v>
      </x:c>
      <x:c r="W990" s="16" t="str">
        <x:v>cluster_route</x:v>
      </x:c>
      <x:c r="X990" s="16" t="str">
        <x:v>{"product_type":[{"value":"flip_flops","evidence_type":"explicit","source_span":"flip-flops","fact_ids":[],"rationale":""},{"value":"flip_flops","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capability_intent":[{"value":"thin_strap","evidence_type":"explicit","source_span":"thin strap","fact_ids":[],"rationale":""}],"primary_domain":[{"value":"clothing_shoes_jewelry","evidence_type":"inferred","source_span":"","fact_ids":[],"rationale":"该值由搜索词整体语义推断，未作为页面明示属性。"}]}</x:v>
      </x:c>
      <x:c r="Y990" s="16" t="str"/>
      <x:c r="Z990" s="13" t="str">
        <x:v>match</x:v>
      </x:c>
      <x:c r="AA990" s="16" t="str">
        <x:v>title_womens_flip_flop | style_flip_flop | style_thong | colors_visible</x:v>
      </x:c>
      <x:c r="AB990" s="13" t="str">
        <x:v>accepted</x:v>
      </x:c>
      <x:c r="AC990" s="13" t="str">
        <x:v>1.0.0</x:v>
      </x:c>
      <x:c r="AD990" s="13" t="str">
        <x:v>1.0.0</x:v>
      </x:c>
      <x:c r="AE990" s="13" t="str">
        <x:v>deepseek/deepseek-v4-pro</x:v>
      </x:c>
      <x:c r="AF990" s="13" t="str">
        <x:v>aj2-y90-20260714T234810-0bea2f52</x:v>
      </x:c>
      <x:c r="AG990" s="13" t="str">
        <x:v>full-0050</x:v>
      </x:c>
      <x:c r="AH990" s="13" t="str">
        <x:v>full</x:v>
      </x:c>
      <x:c r="AI990" s="13" t="n">
        <x:v>50</x:v>
      </x:c>
    </x:row>
    <x:row r="991" ht="34" customHeight="1">
      <x:c r="A991" s="15" t="str">
        <x:v>waterproof flip flop</x:v>
      </x:c>
      <x:c r="B991" s="15" t="str">
        <x:v>waterproof flip flop</x:v>
      </x:c>
      <x:c r="C991" s="10" t="str">
        <x:v>5e92ca038382b8a1</x:v>
      </x:c>
      <x:c r="D991" s="10" t="str">
        <x:v>keyword</x:v>
      </x:c>
      <x:c r="E991" s="10" t="str">
        <x:v>en</x:v>
      </x:c>
      <x:c r="F991" s="10" t="str">
        <x:v>clothing_shoes_jewelry</x:v>
      </x:c>
      <x:c r="G991" s="15" t="str"/>
      <x:c r="H991" s="15" t="str">
        <x:v>flip_flops</x:v>
      </x:c>
      <x:c r="I991" s="15" t="str"/>
      <x:c r="J991" s="15" t="str">
        <x:v>water_protection</x:v>
      </x:c>
      <x:c r="K991" s="15" t="str">
        <x:v>waterproof</x:v>
      </x:c>
      <x:c r="L991" s="15" t="str"/>
      <x:c r="M991" s="15" t="str"/>
      <x:c r="N991" s="15" t="str"/>
      <x:c r="O991" s="15" t="str"/>
      <x:c r="P991" s="15" t="str"/>
      <x:c r="Q991" s="15" t="str"/>
      <x:c r="R991" s="15" t="str">
        <x:v>用户需要一双防水人字拖，适合在水边或雨天穿着。</x:v>
      </x:c>
      <x:c r="S991" s="10" t="str">
        <x:v>exploration</x:v>
      </x:c>
      <x:c r="T991" s="15" t="str">
        <x:v>explicit | inferred</x:v>
      </x:c>
      <x:c r="U991" s="10" t="str">
        <x:v>high</x:v>
      </x:c>
      <x:c r="V991" s="15" t="str">
        <x:v>waterproof_flip_flops</x:v>
      </x:c>
      <x:c r="W991" s="15" t="str">
        <x:v>semantic_negative_candidate</x:v>
      </x:c>
      <x:c r="X991" s="15" t="str">
        <x:v>{"product_type":[{"value":"flip_flops","evidence_type":"explicit","source_span":"flip flop","fact_ids":[],"rationale":""},{"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capability_intent":[{"value":"waterproof","evidence_type":"explicit","source_span":"waterproof","fact_ids":[],"rationale":""}],"function_intent":[{"value":"water_protection","evidence_type":"inferred","source_span":"","fact_ids":[],"rationale":"该值由搜索词整体语义推断，未作为页面明示属性。"}],"primary_domain":[{"value":"clothing_shoes_jewelry","evidence_type":"inferred","source_span":"","fact_ids":[],"rationale":"该值由搜索词整体语义推断，未作为页面明示属性。"}]}</x:v>
      </x:c>
      <x:c r="Y991" s="15" t="str"/>
      <x:c r="Z991" s="10" t="str">
        <x:v>mismatch</x:v>
      </x:c>
      <x:c r="AA991" s="15" t="str">
        <x:v>style_flip_flop</x:v>
      </x:c>
      <x:c r="AB991" s="10" t="str">
        <x:v>accepted</x:v>
      </x:c>
      <x:c r="AC991" s="10" t="str">
        <x:v>1.0.0</x:v>
      </x:c>
      <x:c r="AD991" s="10" t="str">
        <x:v>1.0.0</x:v>
      </x:c>
      <x:c r="AE991" s="10" t="str">
        <x:v>deepseek/deepseek-v4-pro</x:v>
      </x:c>
      <x:c r="AF991" s="10" t="str">
        <x:v>aj2-y90-20260714T234810-0bea2f52</x:v>
      </x:c>
      <x:c r="AG991" s="10" t="str">
        <x:v>full-0050</x:v>
      </x:c>
      <x:c r="AH991" s="10" t="str">
        <x:v>full</x:v>
      </x:c>
      <x:c r="AI991" s="10" t="n">
        <x:v>50</x:v>
      </x:c>
    </x:row>
    <x:row r="992" ht="34" customHeight="1">
      <x:c r="A992" s="16" t="str">
        <x:v>taupe flip flops for women</x:v>
      </x:c>
      <x:c r="B992" s="16" t="str">
        <x:v>taupe flip flops for women</x:v>
      </x:c>
      <x:c r="C992" s="13" t="str">
        <x:v>7b6875e66d7ea259</x:v>
      </x:c>
      <x:c r="D992" s="13" t="str">
        <x:v>keyword</x:v>
      </x:c>
      <x:c r="E992" s="13" t="str">
        <x:v>en</x:v>
      </x:c>
      <x:c r="F992" s="13" t="str">
        <x:v>clothing_shoes_jewelry</x:v>
      </x:c>
      <x:c r="G992" s="16" t="str"/>
      <x:c r="H992" s="16" t="str">
        <x:v>flip_flops</x:v>
      </x:c>
      <x:c r="I992" s="16" t="str">
        <x:v>women</x:v>
      </x:c>
      <x:c r="J992" s="16" t="str"/>
      <x:c r="K992" s="16" t="str"/>
      <x:c r="L992" s="16" t="str"/>
      <x:c r="M992" s="16" t="str"/>
      <x:c r="N992" s="16" t="str"/>
      <x:c r="O992" s="16" t="str"/>
      <x:c r="P992" s="16" t="str"/>
      <x:c r="Q992" s="16" t="str"/>
      <x:c r="R992" s="16" t="str">
        <x:v>女性需要一双灰褐色人字拖用于日常穿搭。</x:v>
      </x:c>
      <x:c r="S992" s="13" t="str">
        <x:v>consideration</x:v>
      </x:c>
      <x:c r="T992" s="16" t="str">
        <x:v>explicit | inferred</x:v>
      </x:c>
      <x:c r="U992" s="13" t="str">
        <x:v>medium</x:v>
      </x:c>
      <x:c r="V992" s="16" t="str">
        <x:v>womens_colored_flip_flops</x:v>
      </x:c>
      <x:c r="W992" s="16" t="str">
        <x:v>listing_gap_review</x:v>
      </x:c>
      <x:c r="X992" s="16" t="str">
        <x:v>{"product_type":[{"value":"flip_flops","evidence_type":"explicit","source_span":"flip flops","fact_ids":[],"rationale":""},{"value":"flip_flops","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primary_domain":[{"value":"clothing_shoes_jewelry","evidence_type":"inferred","source_span":"","fact_ids":[],"rationale":"该值由搜索词整体语义推断，未作为页面明示属性。"}]}</x:v>
      </x:c>
      <x:c r="Y992" s="16" t="str">
        <x:v>taupe_color_not_in_listed_colors</x:v>
      </x:c>
      <x:c r="Z992" s="13" t="str">
        <x:v>partial_match</x:v>
      </x:c>
      <x:c r="AA992" s="16" t="str">
        <x:v>title_womens_flip_flop | style_flip_flop | colors_visible</x:v>
      </x:c>
      <x:c r="AB992" s="13" t="str">
        <x:v>accepted</x:v>
      </x:c>
      <x:c r="AC992" s="13" t="str">
        <x:v>1.0.0</x:v>
      </x:c>
      <x:c r="AD992" s="13" t="str">
        <x:v>1.0.0</x:v>
      </x:c>
      <x:c r="AE992" s="13" t="str">
        <x:v>deepseek/deepseek-v4-pro</x:v>
      </x:c>
      <x:c r="AF992" s="13" t="str">
        <x:v>aj2-y90-20260714T234810-0bea2f52</x:v>
      </x:c>
      <x:c r="AG992" s="13" t="str">
        <x:v>full-0050</x:v>
      </x:c>
      <x:c r="AH992" s="13" t="str">
        <x:v>full</x:v>
      </x:c>
      <x:c r="AI992" s="13" t="n">
        <x:v>50</x:v>
      </x:c>
    </x:row>
    <x:row r="993" ht="34" customHeight="1">
      <x:c r="A993" s="15" t="str">
        <x:v>chicks brown arch support flops</x:v>
      </x:c>
      <x:c r="B993" s="15" t="str">
        <x:v>chicks brown arch support flops</x:v>
      </x:c>
      <x:c r="C993" s="10" t="str">
        <x:v>818d012c5bb7cd5d</x:v>
      </x:c>
      <x:c r="D993" s="10" t="str">
        <x:v>keyword</x:v>
      </x:c>
      <x:c r="E993" s="10" t="str">
        <x:v>en</x:v>
      </x:c>
      <x:c r="F993" s="10" t="str">
        <x:v>clothing_shoes_jewelry</x:v>
      </x:c>
      <x:c r="G993" s="15" t="str"/>
      <x:c r="H993" s="15" t="str">
        <x:v>flip_flops</x:v>
      </x:c>
      <x:c r="I993" s="15" t="str">
        <x:v>women</x:v>
      </x:c>
      <x:c r="J993" s="15" t="str">
        <x:v>foot_comfort</x:v>
      </x:c>
      <x:c r="K993" s="15" t="str">
        <x:v>arch_support</x:v>
      </x:c>
      <x:c r="L993" s="15" t="str"/>
      <x:c r="M993" s="15" t="str"/>
      <x:c r="N993" s="15" t="str"/>
      <x:c r="O993" s="15" t="str"/>
      <x:c r="P993" s="15" t="str"/>
      <x:c r="Q993" s="15" t="str"/>
      <x:c r="R993" s="15" t="str">
        <x:v>女性需要一双棕色带足弓支撑的人字拖来提升脚部舒适感。</x:v>
      </x:c>
      <x:c r="S993" s="10" t="str">
        <x:v>high_intent</x:v>
      </x:c>
      <x:c r="T993" s="15" t="str">
        <x:v>explicit | page_validated</x:v>
      </x:c>
      <x:c r="U993" s="10" t="str">
        <x:v>high</x:v>
      </x:c>
      <x:c r="V993" s="15" t="str">
        <x:v>womens_brown_arch_support_flip_flops</x:v>
      </x:c>
      <x:c r="W993" s="15" t="str">
        <x:v>cluster_route</x:v>
      </x:c>
      <x:c r="X993" s="15" t="str">
        <x:v>{"product_type":[{"value":"flip_flops","evidence_type":"explicit","source_span":"flops","fact_ids":[],"rationale":""},{"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audience_intent":[{"value":"women","evidence_type":"inferred","source_span":"chicks","fact_ids":[],"rationale":"俚语指代女性。"},{"value":"women","evidence_type":"page_validated","source_span":"","fact_ids":["title_womens_flip_flop"],"rationale":"该槽位与商品基准中的明示页面事实一致。"}],"capability_intent":[{"value":"arch_support","evidence_type":"explicit","source_span":"arch support","fact_ids":[],"rationale":""},{"value":"arch_support","evidence_type":"page_validated","source_span":"","fact_ids":["arch_support"],"rationale":"该槽位与商品基准中的明示页面事实一致。"}],"function_intent":[{"value":"foot_comfort","evidence_type":"page_validated","source_span":"","fact_ids":["arch_support","padded_cushioning"],"rationale":"该槽位与商品基准中的明示页面事实一致。"},{"value":"foot_comfor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993" s="15" t="str"/>
      <x:c r="Z993" s="10" t="str">
        <x:v>match</x:v>
      </x:c>
      <x:c r="AA993" s="15" t="str">
        <x:v>title_womens_flip_flop | arch_support | style_flip_flop | colors_visible</x:v>
      </x:c>
      <x:c r="AB993" s="10" t="str">
        <x:v>accepted</x:v>
      </x:c>
      <x:c r="AC993" s="10" t="str">
        <x:v>1.0.0</x:v>
      </x:c>
      <x:c r="AD993" s="10" t="str">
        <x:v>1.0.0</x:v>
      </x:c>
      <x:c r="AE993" s="10" t="str">
        <x:v>deepseek/deepseek-v4-pro</x:v>
      </x:c>
      <x:c r="AF993" s="10" t="str">
        <x:v>aj2-y90-20260714T234810-0bea2f52</x:v>
      </x:c>
      <x:c r="AG993" s="10" t="str">
        <x:v>full-0050</x:v>
      </x:c>
      <x:c r="AH993" s="10" t="str">
        <x:v>full</x:v>
      </x:c>
      <x:c r="AI993" s="10" t="n">
        <x:v>50</x:v>
      </x:c>
    </x:row>
    <x:row r="994" ht="34" customHeight="1">
      <x:c r="A994" s="16" t="str">
        <x:v>beach thongs flip flops women</x:v>
      </x:c>
      <x:c r="B994" s="16" t="str">
        <x:v>beach thongs flip flops women</x:v>
      </x:c>
      <x:c r="C994" s="13" t="str">
        <x:v>9a0c7e29a0bbb6c5</x:v>
      </x:c>
      <x:c r="D994" s="13" t="str">
        <x:v>keyword</x:v>
      </x:c>
      <x:c r="E994" s="13" t="str">
        <x:v>en</x:v>
      </x:c>
      <x:c r="F994" s="13" t="str">
        <x:v>clothing_shoes_jewelry</x:v>
      </x:c>
      <x:c r="G994" s="16" t="str">
        <x:v>sports_outdoors</x:v>
      </x:c>
      <x:c r="H994" s="16" t="str">
        <x:v>flip_flops | thong_sandals</x:v>
      </x:c>
      <x:c r="I994" s="16" t="str">
        <x:v>women</x:v>
      </x:c>
      <x:c r="J994" s="16" t="str"/>
      <x:c r="K994" s="16" t="str"/>
      <x:c r="L994" s="16" t="str">
        <x:v>beach_outing</x:v>
      </x:c>
      <x:c r="M994" s="16" t="str">
        <x:v>beach</x:v>
      </x:c>
      <x:c r="N994" s="16" t="str"/>
      <x:c r="O994" s="16" t="str"/>
      <x:c r="P994" s="16" t="str"/>
      <x:c r="Q994" s="16" t="str"/>
      <x:c r="R994" s="16" t="str">
        <x:v>女性需要一双适合海滩穿着的人字拖，方便在沙滩上行走和放松。</x:v>
      </x:c>
      <x:c r="S994" s="13" t="str">
        <x:v>consideration</x:v>
      </x:c>
      <x:c r="T994" s="16" t="str">
        <x:v>explicit | page_validated</x:v>
      </x:c>
      <x:c r="U994" s="13" t="str">
        <x:v>high</x:v>
      </x:c>
      <x:c r="V994" s="16" t="str">
        <x:v>womens_beach_flip_flops</x:v>
      </x:c>
      <x:c r="W994" s="16" t="str">
        <x:v>cluster_route</x:v>
      </x:c>
      <x:c r="X994" s="16" t="str">
        <x:v>{"product_type":[{"value":"flip_flops","evidence_type":"explicit","source_span":"flip flops","fact_ids":[],"rationale":""},{"value":"thong_sandals","evidence_type":"explicit","source_span":"thongs","fact_ids":[],"rationale":""},{"value":"flip_flops","evidence_type":"page_validated","source_span":"","fact_ids":["style_flip_flop"],"rationale":"该槽位与商品基准中的明示页面事实一致。"},{"value":"thong_sandals","evidence_type":"page_validated","source_span":"","fact_ids":["style_thong","style_flip_flop"],"rationale":"该槽位与商品基准中的明示页面事实一致。"},{"value":"thong_sandals","evidence_type":"inferred","source_span":"","fact_ids":[],"rationale":"该能力由搜索词表达的任务或问题推断；页面事实仅用于验证商品承接。"}],"audience_intent":[{"value":"women","evidence_type":"explicit","source_span":"women","fact_ids":[],"rationale":""},{"value":"women","evidence_type":"page_validated","source_span":"","fact_ids":["title_womens_flip_flop"],"rationale":"该槽位与商品基准中的明示页面事实一致。"}],"location_intent":[{"value":"beach","evidence_type":"explicit","source_span":"beach","fact_ids":[],"rationale":""}],"event_intent":[{"value":"beach_outing","evidence_type":"explicit","source_span":"beach","fact_ids":[],"rationale":""}],"primary_domain":[{"value":"clothing_shoes_jewelry","evidence_type":"inferred","source_span":"","fact_ids":[],"rationale":"该值由搜索词整体语义推断，未作为页面明示属性。"}],"secondary_domain":[{"value":"sports_outdoors","evidence_type":"inferred","source_span":"","fact_ids":[],"rationale":"该值由搜索词整体语义推断，未作为页面明示属性。"}]}</x:v>
      </x:c>
      <x:c r="Y994" s="16" t="str"/>
      <x:c r="Z994" s="13" t="str">
        <x:v>match</x:v>
      </x:c>
      <x:c r="AA994" s="16" t="str">
        <x:v>title_womens_flip_flop | style_flip_flop | style_thong | style_outdoor | style_open_toe</x:v>
      </x:c>
      <x:c r="AB994" s="13" t="str">
        <x:v>accepted</x:v>
      </x:c>
      <x:c r="AC994" s="13" t="str">
        <x:v>1.0.0</x:v>
      </x:c>
      <x:c r="AD994" s="13" t="str">
        <x:v>1.0.0</x:v>
      </x:c>
      <x:c r="AE994" s="13" t="str">
        <x:v>deepseek/deepseek-v4-pro</x:v>
      </x:c>
      <x:c r="AF994" s="13" t="str">
        <x:v>aj2-y90-20260714T234810-0bea2f52</x:v>
      </x:c>
      <x:c r="AG994" s="13" t="str">
        <x:v>full-0050</x:v>
      </x:c>
      <x:c r="AH994" s="13" t="str">
        <x:v>full</x:v>
      </x:c>
      <x:c r="AI994" s="13" t="n">
        <x:v>50</x:v>
      </x:c>
    </x:row>
    <x:row r="995" ht="34" customHeight="1">
      <x:c r="A995" s="15" t="str">
        <x:v>waterproof flip-flops for sensitive skin</x:v>
      </x:c>
      <x:c r="B995" s="15" t="str">
        <x:v>waterproof flip-flops for sensitive skin</x:v>
      </x:c>
      <x:c r="C995" s="10" t="str">
        <x:v>b39314958f76b28b</x:v>
      </x:c>
      <x:c r="D995" s="10" t="str">
        <x:v>keyword</x:v>
      </x:c>
      <x:c r="E995" s="10" t="str">
        <x:v>en</x:v>
      </x:c>
      <x:c r="F995" s="10" t="str">
        <x:v>clothing_shoes_jewelry</x:v>
      </x:c>
      <x:c r="G995" s="15" t="str"/>
      <x:c r="H995" s="15" t="str">
        <x:v>flip_flops</x:v>
      </x:c>
      <x:c r="I995" s="15" t="str">
        <x:v>sensitive_skin_wearers</x:v>
      </x:c>
      <x:c r="J995" s="15" t="str">
        <x:v>water_protection</x:v>
      </x:c>
      <x:c r="K995" s="15" t="str">
        <x:v>waterproof</x:v>
      </x:c>
      <x:c r="L995" s="15" t="str"/>
      <x:c r="M995" s="15" t="str"/>
      <x:c r="N995" s="15" t="str">
        <x:v>sensitive_skin</x:v>
      </x:c>
      <x:c r="O995" s="15" t="str"/>
      <x:c r="P995" s="15" t="str"/>
      <x:c r="Q995" s="15" t="str"/>
      <x:c r="R995" s="15" t="str">
        <x:v>皮肤敏感的用户需要一双防水人字拖以避免潮湿环境刺激皮肤。</x:v>
      </x:c>
      <x:c r="S995" s="10" t="str">
        <x:v>consideration</x:v>
      </x:c>
      <x:c r="T995" s="15" t="str">
        <x:v>explicit | inferred</x:v>
      </x:c>
      <x:c r="U995" s="10" t="str">
        <x:v>medium</x:v>
      </x:c>
      <x:c r="V995" s="15" t="str">
        <x:v>waterproof_sensitive_skin_flip_flops</x:v>
      </x:c>
      <x:c r="W995" s="15" t="str">
        <x:v>semantic_negative_candidate</x:v>
      </x:c>
      <x:c r="X995" s="15" t="str">
        <x:v>{"product_type":[{"value":"flip_flops","evidence_type":"explicit","source_span":"flip-flops","fact_ids":[],"rationale":""},{"value":"flip_flops","evidence_type":"page_validated","source_span":"","fact_ids":["style_flip_flop"],"rationale":"该槽位与商品基准中的明示页面事实一致。"}],"capability_intent":[{"value":"waterproof","evidence_type":"explicit","source_span":"waterproof","fact_ids":[],"rationale":""}],"body_need_intent":[{"value":"sensitive_skin","evidence_type":"explicit","source_span":"sensitive skin","fact_ids":[],"rationale":""}],"audience_intent":[{"value":"sensitive_skin_wearers","evidence_type":"inferred","source_span":"sensitive skin","fact_ids":[],"rationale":"皮肤敏感者需要温和材质。"}],"function_intent":[{"value":"water_protection","evidence_type":"inferred","source_span":"","fact_ids":[],"rationale":"该值由搜索词整体语义推断，未作为页面明示属性。"}],"primary_domain":[{"value":"clothing_shoes_jewelry","evidence_type":"inferred","source_span":"","fact_ids":[],"rationale":"该值由搜索词整体语义推断，未作为页面明示属性。"}]}</x:v>
      </x:c>
      <x:c r="Y995" s="15" t="str"/>
      <x:c r="Z995" s="10" t="str">
        <x:v>mismatch</x:v>
      </x:c>
      <x:c r="AA995" s="15" t="str">
        <x:v>style_flip_flop</x:v>
      </x:c>
      <x:c r="AB995" s="10" t="str">
        <x:v>accepted</x:v>
      </x:c>
      <x:c r="AC995" s="10" t="str">
        <x:v>1.0.0</x:v>
      </x:c>
      <x:c r="AD995" s="10" t="str">
        <x:v>1.0.0</x:v>
      </x:c>
      <x:c r="AE995" s="10" t="str">
        <x:v>deepseek/deepseek-v4-pro</x:v>
      </x:c>
      <x:c r="AF995" s="10" t="str">
        <x:v>aj2-y90-20260714T234810-0bea2f52</x:v>
      </x:c>
      <x:c r="AG995" s="10" t="str">
        <x:v>full-0050</x:v>
      </x:c>
      <x:c r="AH995" s="10" t="str">
        <x:v>full</x:v>
      </x:c>
      <x:c r="AI995" s="10" t="n">
        <x:v>50</x:v>
      </x:c>
    </x:row>
    <x:row r="996" ht="34" customHeight="1">
      <x:c r="A996" s="16" t="str">
        <x:v>brown flip flops women for pool</x:v>
      </x:c>
      <x:c r="B996" s="16" t="str">
        <x:v>brown flip flops women for pool</x:v>
      </x:c>
      <x:c r="C996" s="13" t="str">
        <x:v>b3a8bba7fddb526e</x:v>
      </x:c>
      <x:c r="D996" s="13" t="str">
        <x:v>keyword</x:v>
      </x:c>
      <x:c r="E996" s="13" t="str">
        <x:v>en</x:v>
      </x:c>
      <x:c r="F996" s="13" t="str">
        <x:v>clothing_shoes_jewelry</x:v>
      </x:c>
      <x:c r="G996" s="16" t="str">
        <x:v>sports_outdoors</x:v>
      </x:c>
      <x:c r="H996" s="16" t="str">
        <x:v>flip_flops</x:v>
      </x:c>
      <x:c r="I996" s="16" t="str">
        <x:v>women</x:v>
      </x:c>
      <x:c r="J996" s="16" t="str">
        <x:v>water_ready_footwear</x:v>
      </x:c>
      <x:c r="K996" s="16" t="str">
        <x:v>pool_suitable</x:v>
      </x:c>
      <x:c r="L996" s="16" t="str">
        <x:v>pool_visit</x:v>
      </x:c>
      <x:c r="M996" s="16" t="str">
        <x:v>pool</x:v>
      </x:c>
      <x:c r="N996" s="16" t="str"/>
      <x:c r="O996" s="16" t="str"/>
      <x:c r="P996" s="16" t="str"/>
      <x:c r="Q996" s="16" t="str"/>
      <x:c r="R996" s="16" t="str">
        <x:v>女性需要一双棕色人字拖，适合在泳池边穿着使用。</x:v>
      </x:c>
      <x:c r="S996" s="13" t="str">
        <x:v>consideration</x:v>
      </x:c>
      <x:c r="T996" s="16" t="str">
        <x:v>explicit | page_validated | inferred</x:v>
      </x:c>
      <x:c r="U996" s="13" t="str">
        <x:v>medium</x:v>
      </x:c>
      <x:c r="V996" s="16" t="str">
        <x:v>womens_brown_pool_flip_flops</x:v>
      </x:c>
      <x:c r="W996" s="16" t="str">
        <x:v>listing_gap_review</x:v>
      </x:c>
      <x:c r="X996" s="16" t="str">
        <x:v>{"product_type":[{"value":"flip_flops","evidence_type":"explicit","source_span":"flip flops","fact_ids":[],"rationale":""},{"value":"flip_flops","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location_intent":[{"value":"pool","evidence_type":"explicit","source_span":"pool","fact_ids":[],"rationale":""}],"capability_intent":[{"value":"pool_suitable","evidence_type":"inferred","source_span":"","fact_ids":[],"rationale":"该值由搜索词整体语义推断，未作为页面明示属性。"}],"event_intent":[{"value":"pool_visit","evidence_type":"inferred","source_span":"","fact_ids":[],"rationale":"该值由搜索词整体语义推断，未作为页面明示属性。"}],"function_intent":[{"value":"water_ready_footwear","evidence_type":"inferred","source_span":"","fact_ids":[],"rationale":"该值由搜索词整体语义推断，未作为页面明示属性。"}],"primary_domain":[{"value":"clothing_shoes_jewelry","evidence_type":"inferred","source_span":"","fact_ids":[],"rationale":"该值由搜索词整体语义推断，未作为页面明示属性。"}],"secondary_domain":[{"value":"sports_outdoors","evidence_type":"inferred","source_span":"","fact_ids":[],"rationale":"该值由搜索词整体语义推断，未作为页面明示属性。"}]}</x:v>
      </x:c>
      <x:c r="Y996" s="16" t="str">
        <x:v>pool_waterproof_not_validated</x:v>
      </x:c>
      <x:c r="Z996" s="13" t="str">
        <x:v>partial_match</x:v>
      </x:c>
      <x:c r="AA996" s="16" t="str">
        <x:v>title_womens_flip_flop | style_flip_flop | colors_visible | material_eva | style_outdoor</x:v>
      </x:c>
      <x:c r="AB996" s="13" t="str">
        <x:v>accepted</x:v>
      </x:c>
      <x:c r="AC996" s="13" t="str">
        <x:v>1.0.0</x:v>
      </x:c>
      <x:c r="AD996" s="13" t="str">
        <x:v>1.0.0</x:v>
      </x:c>
      <x:c r="AE996" s="13" t="str">
        <x:v>deepseek/deepseek-v4-pro</x:v>
      </x:c>
      <x:c r="AF996" s="13" t="str">
        <x:v>aj2-y90-20260714T234810-0bea2f52</x:v>
      </x:c>
      <x:c r="AG996" s="13" t="str">
        <x:v>full-0050</x:v>
      </x:c>
      <x:c r="AH996" s="13" t="str">
        <x:v>full</x:v>
      </x:c>
      <x:c r="AI996" s="13" t="n">
        <x:v>50</x:v>
      </x:c>
    </x:row>
    <x:row r="997" ht="34" customHeight="1">
      <x:c r="A997" s="15" t="str">
        <x:v>thin fabric strap flip flops</x:v>
      </x:c>
      <x:c r="B997" s="15" t="str">
        <x:v>thin fabric strap flip flops</x:v>
      </x:c>
      <x:c r="C997" s="10" t="str">
        <x:v>be366e963b82066a</x:v>
      </x:c>
      <x:c r="D997" s="10" t="str">
        <x:v>keyword</x:v>
      </x:c>
      <x:c r="E997" s="10" t="str">
        <x:v>en</x:v>
      </x:c>
      <x:c r="F997" s="10" t="str">
        <x:v>clothing_shoes_jewelry</x:v>
      </x:c>
      <x:c r="G997" s="15" t="str"/>
      <x:c r="H997" s="15" t="str">
        <x:v>flip_flops</x:v>
      </x:c>
      <x:c r="I997" s="15" t="str"/>
      <x:c r="J997" s="15" t="str"/>
      <x:c r="K997" s="15" t="str">
        <x:v>thin_strap | fabric_strap</x:v>
      </x:c>
      <x:c r="L997" s="15" t="str"/>
      <x:c r="M997" s="15" t="str"/>
      <x:c r="N997" s="15" t="str"/>
      <x:c r="O997" s="15" t="str"/>
      <x:c r="P997" s="15" t="str"/>
      <x:c r="Q997" s="15" t="str"/>
      <x:c r="R997" s="15" t="str">
        <x:v>用户需要一双带有薄织物带子的人字拖，追求柔软贴合的穿着体验。</x:v>
      </x:c>
      <x:c r="S997" s="10" t="str">
        <x:v>exploration</x:v>
      </x:c>
      <x:c r="T997" s="15" t="str">
        <x:v>explicit | inferred</x:v>
      </x:c>
      <x:c r="U997" s="10" t="str">
        <x:v>medium</x:v>
      </x:c>
      <x:c r="V997" s="15" t="str">
        <x:v>thin_fabric_strap_flip_flops</x:v>
      </x:c>
      <x:c r="W997" s="15" t="str">
        <x:v>listing_gap_review</x:v>
      </x:c>
      <x:c r="X997" s="15" t="str">
        <x:v>{"product_type":[{"value":"flip_flops","evidence_type":"explicit","source_span":"flip flops","fact_ids":[],"rationale":""},{"value":"flip_flops","evidence_type":"page_validated","source_span":"","fact_ids":["style_flip_flop"],"rationale":"该槽位与商品基准中的明示页面事实一致。"}],"capability_intent":[{"value":"thin_strap","evidence_type":"explicit","source_span":"thin","fact_ids":[],"rationale":""},{"value":"fabric_strap","evidence_type":"explicit","source_span":"fabric strap","fact_ids":[],"rationale":""}],"primary_domain":[{"value":"clothing_shoes_jewelry","evidence_type":"inferred","source_span":"","fact_ids":[],"rationale":"该值由搜索词整体语义推断，未作为页面明示属性。"}]}</x:v>
      </x:c>
      <x:c r="Y997" s="15" t="str">
        <x:v>fabric_material_not_eva</x:v>
      </x:c>
      <x:c r="Z997" s="10" t="str">
        <x:v>partial_match</x:v>
      </x:c>
      <x:c r="AA997" s="15" t="str">
        <x:v>style_flip_flop | style_thong</x:v>
      </x:c>
      <x:c r="AB997" s="10" t="str">
        <x:v>accepted</x:v>
      </x:c>
      <x:c r="AC997" s="10" t="str">
        <x:v>1.0.0</x:v>
      </x:c>
      <x:c r="AD997" s="10" t="str">
        <x:v>1.0.0</x:v>
      </x:c>
      <x:c r="AE997" s="10" t="str">
        <x:v>deepseek/deepseek-v4-pro</x:v>
      </x:c>
      <x:c r="AF997" s="10" t="str">
        <x:v>aj2-y90-20260714T234810-0bea2f52</x:v>
      </x:c>
      <x:c r="AG997" s="10" t="str">
        <x:v>full-0050</x:v>
      </x:c>
      <x:c r="AH997" s="10" t="str">
        <x:v>full</x:v>
      </x:c>
      <x:c r="AI997" s="10" t="n">
        <x:v>50</x:v>
      </x:c>
    </x:row>
    <x:row r="998" ht="34" customHeight="1">
      <x:c r="A998" s="16" t="str">
        <x:v>joomra flip flops for women arch support summer eva sandals pool beach soft house home orthopedic toe post thong brown size 8</x:v>
      </x:c>
      <x:c r="B998" s="16" t="str">
        <x:v>joomra flip flops for women arch support summer eva sandals pool beach soft house home orthopedic toe post thong brown size 8</x:v>
      </x:c>
      <x:c r="C998" s="13" t="str">
        <x:v>c2ed634cc6185bbd</x:v>
      </x:c>
      <x:c r="D998" s="13" t="str">
        <x:v>keyword</x:v>
      </x:c>
      <x:c r="E998" s="13" t="str">
        <x:v>en</x:v>
      </x:c>
      <x:c r="F998" s="13" t="str">
        <x:v>clothing_shoes_jewelry</x:v>
      </x:c>
      <x:c r="G998" s="16" t="str">
        <x:v>sports_outdoors | home_kitchen</x:v>
      </x:c>
      <x:c r="H998" s="16" t="str">
        <x:v>flip_flops | sandals</x:v>
      </x:c>
      <x:c r="I998" s="16" t="str">
        <x:v>women</x:v>
      </x:c>
      <x:c r="J998" s="16" t="str">
        <x:v>foot_comfort | all_day_wear</x:v>
      </x:c>
      <x:c r="K998" s="16" t="str">
        <x:v>arch_support | soft_cushioning | easy_clean</x:v>
      </x:c>
      <x:c r="L998" s="16" t="str">
        <x:v>pool_visit | beach_outing | home_relaxation</x:v>
      </x:c>
      <x:c r="M998" s="16" t="str">
        <x:v>pool | beach | indoor_home</x:v>
      </x:c>
      <x:c r="N998" s="16" t="str">
        <x:v>orthopedic_need</x:v>
      </x:c>
      <x:c r="O998" s="16" t="str">
        <x:v>summer</x:v>
      </x:c>
      <x:c r="P998" s="16" t="str"/>
      <x:c r="Q998" s="16" t="str"/>
      <x:c r="R998" s="16" t="str">
        <x:v>女性需要在夏季多种场景中穿着一双有足弓支撑的柔软EVA棕色8码人字拖，兼顾家居舒适与户外矫形需求。</x:v>
      </x:c>
      <x:c r="S998" s="13" t="str">
        <x:v>high_intent</x:v>
      </x:c>
      <x:c r="T998" s="16" t="str">
        <x:v>explicit | page_validated | inferred</x:v>
      </x:c>
      <x:c r="U998" s="13" t="str">
        <x:v>high</x:v>
      </x:c>
      <x:c r="V998" s="16" t="str">
        <x:v>joomra_womens_arch_support_flip_flops</x:v>
      </x:c>
      <x:c r="W998" s="16" t="str">
        <x:v>cluster_route</x:v>
      </x:c>
      <x:c r="X998" s="16" t="str">
        <x:v>{"product_type":[{"value":"flip_flops","evidence_type":"explicit","source_span":"flip flops","fact_ids":[],"rationale":""},{"value":"sandals","evidence_type":"explicit","source_span":"sandals","fact_ids":[],"rationale":""},{"value":"flip_flops","evidence_type":"page_validated","source_span":"","fact_ids":["style_flip_flop"],"rationale":"该槽位与商品基准中的明示页面事实一致。"},{"value":"sandals","evidence_type":"page_validated","source_span":"","fact_ids":["title_womens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capability_intent":[{"value":"arch_support","evidence_type":"explicit","source_span":"arch support","fact_ids":[],"rationale":""},{"value":"soft_cushioning","evidence_type":"explicit","source_span":"soft","fact_ids":[],"rationale":""},{"value":"arch_support","evidence_type":"page_validated","source_span":"","fact_ids":["arch_support"],"rationale":"该槽位与商品基准中的明示页面事实一致。"},{"value":"easy_clean","evidence_type":"page_validated","source_span":"","fact_ids":["easy_clean"],"rationale":"该槽位与商品基准中的明示页面事实一致。"},{"value":"easy_clean","evidence_type":"inferred","source_span":"","fact_ids":[],"rationale":"该能力由搜索词表达的任务或问题推断；页面事实仅用于验证商品承接。"}],"location_intent":[{"value":"pool","evidence_type":"explicit","source_span":"pool","fact_ids":[],"rationale":""},{"value":"beach","evidence_type":"explicit","source_span":"beach","fact_ids":[],"rationale":""},{"value":"indoor_home","evidence_type":"explicit","source_span":"house home","fact_ids":[],"rationale":""}],"body_need_intent":[{"value":"orthopedic_need","evidence_type":"explicit","source_span":"orthopedic","fact_ids":[],"rationale":""}],"time_intent":[{"value":"summer","evidence_type":"explicit","source_span":"summer","fact_ids":[],"rationale":""}],"event_intent":[{"value":"pool_visit","evidence_type":"inferred","source_span":"","fact_ids":[],"rationale":"该值由搜索词整体语义推断，未作为页面明示属性。"},{"value":"beach_outing","evidence_type":"inferred","source_span":"","fact_ids":[],"rationale":"该值由搜索词整体语义推断，未作为页面明示属性。"},{"value":"home_relaxation","evidence_type":"inferred","source_span":"","fact_ids":[],"rationale":"该值由搜索词整体语义推断，未作为页面明示属性。"}],"function_intent":[{"value":"foot_comfort","evidence_type":"page_validated","source_span":"","fact_ids":["arch_support","padded_cushioning"],"rationale":"该槽位与商品基准中的明示页面事实一致。"},{"value":"foot_comfort","evidence_type":"inferred","source_span":"","fact_ids":[],"rationale":"该能力由搜索词表达的任务或问题推断；页面事实仅用于验证商品承接。"},{"value":"all_day_wear","evidence_type":"inferred","source_span":"","fact_ids":[],"rationale":"该值由搜索词整体语义推断，未作为页面明示属性。"}],"primary_domain":[{"value":"clothing_shoes_jewelry","evidence_type":"inferred","source_span":"","fact_ids":[],"rationale":"该值由搜索词整体语义推断，未作为页面明示属性。"}],"secondary_domain":[{"value":"sports_outdoors","evidence_type":"inferred","source_span":"","fact_ids":[],"rationale":"该值由搜索词整体语义推断，未作为页面明示属性。"},{"value":"home_kitchen","evidence_type":"inferred","source_span":"","fact_ids":[],"rationale":"该值由搜索词整体语义推断，未作为页面明示属性。"}],"brand":[{"value":"joomra","evidence_type":"explicit","source_span":"joomra","fact_ids":[],"rationale":"搜索词明确包含品牌名称。"}]}</x:v>
      </x:c>
      <x:c r="Y998" s="16" t="str">
        <x:v>orthopedic_not_explicitly_claimed | pool_waterproof_not_validated</x:v>
      </x:c>
      <x:c r="Z998" s="13" t="str">
        <x:v>partial_match</x:v>
      </x:c>
      <x:c r="AA998" s="16" t="str">
        <x:v>title_womens_flip_flop | style_flip_flop | arch_support | material_eva | soft_toe_post | padded_cushioning | style_thong | colors_visible | sizes_6_11 | style_outdoor</x:v>
      </x:c>
      <x:c r="AB998" s="13" t="str">
        <x:v>accepted</x:v>
      </x:c>
      <x:c r="AC998" s="13" t="str">
        <x:v>1.0.0</x:v>
      </x:c>
      <x:c r="AD998" s="13" t="str">
        <x:v>1.0.0</x:v>
      </x:c>
      <x:c r="AE998" s="13" t="str">
        <x:v>deepseek/deepseek-v4-pro</x:v>
      </x:c>
      <x:c r="AF998" s="13" t="str">
        <x:v>aj2-y90-20260714T234810-0bea2f52</x:v>
      </x:c>
      <x:c r="AG998" s="13" t="str">
        <x:v>full-0050</x:v>
      </x:c>
      <x:c r="AH998" s="13" t="str">
        <x:v>full</x:v>
      </x:c>
      <x:c r="AI998" s="13" t="n">
        <x:v>50</x:v>
      </x:c>
    </x:row>
    <x:row r="999" ht="34" customHeight="1">
      <x:c r="A999" s="15" t="str">
        <x:v>swim sandals women</x:v>
      </x:c>
      <x:c r="B999" s="15" t="str">
        <x:v>swim sandals women</x:v>
      </x:c>
      <x:c r="C999" s="10" t="str">
        <x:v>d1266bef4c27c4e1</x:v>
      </x:c>
      <x:c r="D999" s="10" t="str">
        <x:v>keyword</x:v>
      </x:c>
      <x:c r="E999" s="10" t="str">
        <x:v>en</x:v>
      </x:c>
      <x:c r="F999" s="10" t="str">
        <x:v>clothing_shoes_jewelry</x:v>
      </x:c>
      <x:c r="G999" s="15" t="str">
        <x:v>sports_outdoors</x:v>
      </x:c>
      <x:c r="H999" s="15" t="str">
        <x:v>sandals</x:v>
      </x:c>
      <x:c r="I999" s="15" t="str">
        <x:v>women</x:v>
      </x:c>
      <x:c r="J999" s="15" t="str">
        <x:v>water_ready_footwear</x:v>
      </x:c>
      <x:c r="K999" s="15" t="str">
        <x:v>swim_suitable</x:v>
      </x:c>
      <x:c r="L999" s="15" t="str">
        <x:v>swimming</x:v>
      </x:c>
      <x:c r="M999" s="15" t="str">
        <x:v>pool | beach</x:v>
      </x:c>
      <x:c r="N999" s="15" t="str"/>
      <x:c r="O999" s="15" t="str"/>
      <x:c r="P999" s="15" t="str"/>
      <x:c r="Q999" s="15" t="str"/>
      <x:c r="R999" s="15" t="str">
        <x:v>女性需要一双适合游泳时穿着的凉鞋，方便在水边活动。</x:v>
      </x:c>
      <x:c r="S999" s="10" t="str">
        <x:v>consideration</x:v>
      </x:c>
      <x:c r="T999" s="15" t="str">
        <x:v>explicit | inferred</x:v>
      </x:c>
      <x:c r="U999" s="10" t="str">
        <x:v>medium</x:v>
      </x:c>
      <x:c r="V999" s="15" t="str">
        <x:v>womens_swim_sandals</x:v>
      </x:c>
      <x:c r="W999" s="15" t="str">
        <x:v>listing_gap_review</x:v>
      </x:c>
      <x:c r="X999" s="15" t="str">
        <x:v>{"product_type":[{"value":"sandals","evidence_type":"explicit","source_span":"sandals","fact_ids":[],"rationale":""},{"value":"sandals","evidence_type":"page_validated","source_span":"","fact_ids":["title_womens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event_intent":[{"value":"swimming","evidence_type":"explicit","source_span":"swim","fact_ids":[],"rationale":""}],"capability_intent":[{"value":"swim_suitable","evidence_type":"inferred","source_span":"","fact_ids":[],"rationale":"游泳场景需耐水防滑。"}],"location_intent":[{"value":"pool","evidence_type":"inferred","source_span":"","fact_ids":[],"rationale":"该值由搜索词整体语义推断，未作为页面明示属性。"},{"value":"beach","evidence_type":"inferred","source_span":"","fact_ids":[],"rationale":"该值由搜索词整体语义推断，未作为页面明示属性。"}],"function_intent":[{"value":"water_ready_footwear","evidence_type":"inferred","source_span":"","fact_ids":[],"rationale":"该值由搜索词整体语义推断，未作为页面明示属性。"}],"primary_domain":[{"value":"clothing_shoes_jewelry","evidence_type":"inferred","source_span":"","fact_ids":[],"rationale":"该值由搜索词整体语义推断，未作为页面明示属性。"}],"secondary_domain":[{"value":"sports_outdoors","evidence_type":"inferred","source_span":"","fact_ids":[],"rationale":"该值由搜索词整体语义推断，未作为页面明示属性。"}]}</x:v>
      </x:c>
      <x:c r="Y999" s="15" t="str">
        <x:v>swim_waterproof_not_validated</x:v>
      </x:c>
      <x:c r="Z999" s="10" t="str">
        <x:v>partial_match</x:v>
      </x:c>
      <x:c r="AA999" s="15" t="str">
        <x:v>title_womens_flip_flop | style_flip_flop | material_eva | style_outdoor</x:v>
      </x:c>
      <x:c r="AB999" s="10" t="str">
        <x:v>accepted</x:v>
      </x:c>
      <x:c r="AC999" s="10" t="str">
        <x:v>1.0.0</x:v>
      </x:c>
      <x:c r="AD999" s="10" t="str">
        <x:v>1.0.0</x:v>
      </x:c>
      <x:c r="AE999" s="10" t="str">
        <x:v>deepseek/deepseek-v4-pro</x:v>
      </x:c>
      <x:c r="AF999" s="10" t="str">
        <x:v>aj2-y90-20260714T234810-0bea2f52</x:v>
      </x:c>
      <x:c r="AG999" s="10" t="str">
        <x:v>full-0050</x:v>
      </x:c>
      <x:c r="AH999" s="10" t="str">
        <x:v>full</x:v>
      </x:c>
      <x:c r="AI999" s="10" t="n">
        <x:v>50</x:v>
      </x:c>
    </x:row>
    <x:row r="1000" ht="34" customHeight="1">
      <x:c r="A1000" s="16" t="str">
        <x:v>chocolate flip flops</x:v>
      </x:c>
      <x:c r="B1000" s="16" t="str">
        <x:v>chocolate flip flops</x:v>
      </x:c>
      <x:c r="C1000" s="13" t="str">
        <x:v>e65cf67efa4c1d22</x:v>
      </x:c>
      <x:c r="D1000" s="13" t="str">
        <x:v>keyword</x:v>
      </x:c>
      <x:c r="E1000" s="13" t="str">
        <x:v>en</x:v>
      </x:c>
      <x:c r="F1000" s="13" t="str">
        <x:v>clothing_shoes_jewelry</x:v>
      </x:c>
      <x:c r="G1000" s="16" t="str"/>
      <x:c r="H1000" s="16" t="str">
        <x:v>flip_flops</x:v>
      </x:c>
      <x:c r="I1000" s="16" t="str"/>
      <x:c r="J1000" s="16" t="str"/>
      <x:c r="K1000" s="16" t="str"/>
      <x:c r="L1000" s="16" t="str"/>
      <x:c r="M1000" s="16" t="str"/>
      <x:c r="N1000" s="16" t="str"/>
      <x:c r="O1000" s="16" t="str"/>
      <x:c r="P1000" s="16" t="str"/>
      <x:c r="Q1000" s="16" t="str"/>
      <x:c r="R1000" s="16" t="str">
        <x:v>用户需要一双巧克力色人字拖用于日常穿搭，但未明确性别偏好。</x:v>
      </x:c>
      <x:c r="S1000" s="13" t="str">
        <x:v>exploration</x:v>
      </x:c>
      <x:c r="T1000" s="16" t="str">
        <x:v>explicit | inferred</x:v>
      </x:c>
      <x:c r="U1000" s="13" t="str">
        <x:v>medium</x:v>
      </x:c>
      <x:c r="V1000" s="16" t="str">
        <x:v>chocolate_brown_flip_flops</x:v>
      </x:c>
      <x:c r="W1000" s="16" t="str">
        <x:v>ambiguity_review</x:v>
      </x:c>
      <x:c r="X1000" s="16" t="str">
        <x:v>{"product_type":[{"value":"flip_flops","evidence_type":"explicit","source_span":"flip flops","fact_ids":[],"rationale":""},{"value":"flip_flops","evidence_type":"page_validated","source_span":"","fact_ids":["style_flip_flop"],"rationale":"该槽位与商品基准中的明示页面事实一致。"}],"primary_domain":[{"value":"clothing_shoes_jewelry","evidence_type":"inferred","source_span":"","fact_ids":[],"rationale":"该值由搜索词整体语义推断，未作为页面明示属性。"}]}</x:v>
      </x:c>
      <x:c r="Y1000" s="16" t="str">
        <x:v>audience_not_specified_product_is_womens</x:v>
      </x:c>
      <x:c r="Z1000" s="13" t="str">
        <x:v>partial_match</x:v>
      </x:c>
      <x:c r="AA1000" s="16" t="str">
        <x:v>style_flip_flop | colors_visible</x:v>
      </x:c>
      <x:c r="AB1000" s="13" t="str">
        <x:v>accepted</x:v>
      </x:c>
      <x:c r="AC1000" s="13" t="str">
        <x:v>1.0.0</x:v>
      </x:c>
      <x:c r="AD1000" s="13" t="str">
        <x:v>1.0.0</x:v>
      </x:c>
      <x:c r="AE1000" s="13" t="str">
        <x:v>deepseek/deepseek-v4-pro</x:v>
      </x:c>
      <x:c r="AF1000" s="13" t="str">
        <x:v>aj2-y90-20260714T234810-0bea2f52</x:v>
      </x:c>
      <x:c r="AG1000" s="13" t="str">
        <x:v>full-0050</x:v>
      </x:c>
      <x:c r="AH1000" s="13" t="str">
        <x:v>full</x:v>
      </x:c>
      <x:c r="AI1000" s="13" t="n">
        <x:v>50</x:v>
      </x:c>
    </x:row>
    <x:row r="1001" ht="34" customHeight="1">
      <x:c r="A1001" s="15" t="str">
        <x:v>plantar fasciitis flip flops womens</x:v>
      </x:c>
      <x:c r="B1001" s="15" t="str">
        <x:v>plantar fasciitis flip flops womens</x:v>
      </x:c>
      <x:c r="C1001" s="10" t="str">
        <x:v>ee20f968ff749f39</x:v>
      </x:c>
      <x:c r="D1001" s="10" t="str">
        <x:v>keyword</x:v>
      </x:c>
      <x:c r="E1001" s="10" t="str">
        <x:v>en</x:v>
      </x:c>
      <x:c r="F1001" s="10" t="str">
        <x:v>clothing_shoes_jewelry</x:v>
      </x:c>
      <x:c r="G1001" s="15" t="str">
        <x:v>health_household</x:v>
      </x:c>
      <x:c r="H1001" s="15" t="str">
        <x:v>flip_flops</x:v>
      </x:c>
      <x:c r="I1001" s="15" t="str">
        <x:v>women</x:v>
      </x:c>
      <x:c r="J1001" s="15" t="str">
        <x:v>pain_relief</x:v>
      </x:c>
      <x:c r="K1001" s="15" t="str">
        <x:v>arch_support</x:v>
      </x:c>
      <x:c r="L1001" s="15" t="str"/>
      <x:c r="M1001" s="15" t="str"/>
      <x:c r="N1001" s="15" t="str">
        <x:v>plantar_fasciitis</x:v>
      </x:c>
      <x:c r="O1001" s="15" t="str"/>
      <x:c r="P1001" s="15" t="str"/>
      <x:c r="Q1001" s="15" t="str"/>
      <x:c r="R1001" s="15" t="str">
        <x:v>患有足底筋膜炎的女性需要一双有足弓支撑的人字拖来缓解行走时的足部疼痛。</x:v>
      </x:c>
      <x:c r="S1001" s="10" t="str">
        <x:v>consideration</x:v>
      </x:c>
      <x:c r="T1001" s="15" t="str">
        <x:v>explicit | page_validated | inferred</x:v>
      </x:c>
      <x:c r="U1001" s="10" t="str">
        <x:v>medium</x:v>
      </x:c>
      <x:c r="V1001" s="15" t="str">
        <x:v>womens_plantar_fasciitis_flip_flops</x:v>
      </x:c>
      <x:c r="W1001" s="15" t="str">
        <x:v>listing_gap_review</x:v>
      </x:c>
      <x:c r="X1001" s="15" t="str">
        <x:v>{"product_type":[{"value":"flip_flops","evidence_type":"explicit","source_span":"flip flops","fact_ids":[],"rationale":""},{"value":"flip_flops","evidence_type":"page_validated","source_span":"","fact_ids":["style_flip_flop"],"rationale":"该槽位与商品基准中的明示页面事实一致。"}],"audience_intent":[{"value":"women","evidence_type":"explicit","source_span":"womens","fact_ids":[],"rationale":""},{"value":"women","evidence_type":"page_validated","source_span":"","fact_ids":["title_womens_flip_flop"],"rationale":"该槽位与商品基准中的明示页面事实一致。"}],"body_need_intent":[{"value":"plantar_fasciitis","evidence_type":"explicit","source_span":"plantar fasciitis","fact_ids":[],"rationale":""}],"capability_intent":[{"value":"arch_support","evidence_type":"inferred","source_span":"","fact_ids":[],"rationale":"足底筋膜炎患者通常需要足弓支撑鞋。"},{"value":"arch_support","evidence_type":"page_validated","source_span":"","fact_ids":["arch_support"],"rationale":"该槽位与商品基准中的明示页面事实一致。"}],"function_intent":[{"value":"pain_relief","evidence_type":"inferred","source_span":"","fact_ids":[],"rationale":"该值由搜索词整体语义推断，未作为页面明示属性。"}],"primary_domain":[{"value":"clothing_shoes_jewelry","evidence_type":"inferred","source_span":"","fact_ids":[],"rationale":"该值由搜索词整体语义推断，未作为页面明示属性。"}],"secondary_domain":[{"value":"health_household","evidence_type":"inferred","source_span":"","fact_ids":[],"rationale":"该值由搜索词整体语义推断，未作为页面明示属性。"}]}</x:v>
      </x:c>
      <x:c r="Y1001" s="15" t="str"/>
      <x:c r="Z1001" s="10" t="str">
        <x:v>partial_match</x:v>
      </x:c>
      <x:c r="AA1001" s="15" t="str">
        <x:v>title_womens_flip_flop | arch_support | padded_cushioning | style_flip_flop</x:v>
      </x:c>
      <x:c r="AB1001" s="10" t="str">
        <x:v>accepted</x:v>
      </x:c>
      <x:c r="AC1001" s="10" t="str">
        <x:v>1.0.0</x:v>
      </x:c>
      <x:c r="AD1001" s="10" t="str">
        <x:v>1.0.0</x:v>
      </x:c>
      <x:c r="AE1001" s="10" t="str">
        <x:v>deepseek/deepseek-v4-pro</x:v>
      </x:c>
      <x:c r="AF1001" s="10" t="str">
        <x:v>aj2-y90-20260714T234810-0bea2f52</x:v>
      </x:c>
      <x:c r="AG1001" s="10" t="str">
        <x:v>full-0050</x:v>
      </x:c>
      <x:c r="AH1001" s="10" t="str">
        <x:v>full</x:v>
      </x:c>
      <x:c r="AI1001" s="10" t="n">
        <x:v>50</x:v>
      </x:c>
    </x:row>
    <x:row r="1002" ht="34" customHeight="1">
      <x:c r="A1002" s="16" t="str">
        <x:v>volcom flip flops women</x:v>
      </x:c>
      <x:c r="B1002" s="16" t="str">
        <x:v>volcom flip flops women</x:v>
      </x:c>
      <x:c r="C1002" s="13" t="str">
        <x:v>128c010a8cd28881</x:v>
      </x:c>
      <x:c r="D1002" s="13" t="str">
        <x:v>keyword</x:v>
      </x:c>
      <x:c r="E1002" s="13" t="str">
        <x:v>en</x:v>
      </x:c>
      <x:c r="F1002" s="13" t="str">
        <x:v>clothing_shoes_jewelry</x:v>
      </x:c>
      <x:c r="G1002" s="16" t="str"/>
      <x:c r="H1002" s="16" t="str">
        <x:v>flip_flops</x:v>
      </x:c>
      <x:c r="I1002" s="16" t="str">
        <x:v>women</x:v>
      </x:c>
      <x:c r="J1002" s="16" t="str"/>
      <x:c r="K1002" s="16" t="str"/>
      <x:c r="L1002" s="16" t="str"/>
      <x:c r="M1002" s="16" t="str"/>
      <x:c r="N1002" s="16" t="str"/>
      <x:c r="O1002" s="16" t="str"/>
      <x:c r="P1002" s="16" t="str"/>
      <x:c r="Q1002" s="16" t="str"/>
      <x:c r="R1002" s="16" t="str">
        <x:v>消费者搜索Volcom品牌的女式人字拖，对品牌有明确偏好，非joomra目标客户。</x:v>
      </x:c>
      <x:c r="S1002" s="13" t="str">
        <x:v>brand_harvest</x:v>
      </x:c>
      <x:c r="T1002" s="16" t="str">
        <x:v>explicit | page_validated</x:v>
      </x:c>
      <x:c r="U1002" s="13" t="str">
        <x:v>high</x:v>
      </x:c>
      <x:c r="V1002" s="16" t="str">
        <x:v>brand_flip_flops_women</x:v>
      </x:c>
      <x:c r="W1002" s="16" t="str">
        <x:v>semantic_negative_candidate</x:v>
      </x:c>
      <x:c r="X1002" s="16" t="str">
        <x:v>{"primary_domain":[{"value":"clothing_shoes_jewelry","evidence_type":"explicit","source_span":"flip flops","fact_ids":[],"rationale":"人字拖属鞋类产品"}],"product_type":[{"value":"flip_flops","evidence_type":"explicit","source_span":"flip flops","fact_ids":[],"rationale":"搜索词直接指定flip flops品类"},{"value":"flip_flops","evidence_type":"page_validated","source_span":"","fact_ids":["title_womens_flip_flop","style_flip_flop"],"rationale":"产品页面确认人字拖品类"}],"audience_intent":[{"value":"women","evidence_type":"explicit","source_span":"women","fact_ids":[],"rationale":"搜索词明确限定女性受众"},{"value":"women","evidence_type":"page_validated","source_span":"","fact_ids":["title_womens_flip_flop"],"rationale":"产品标题标注女款"}]}</x:v>
      </x:c>
      <x:c r="Y1002" s="16" t="str"/>
      <x:c r="Z1002" s="13" t="str">
        <x:v>mismatch</x:v>
      </x:c>
      <x:c r="AA1002" s="16" t="str"/>
      <x:c r="AB1002" s="13" t="str">
        <x:v>accepted</x:v>
      </x:c>
      <x:c r="AC1002" s="13" t="str">
        <x:v>1.0.0</x:v>
      </x:c>
      <x:c r="AD1002" s="13" t="str">
        <x:v>1.0.0</x:v>
      </x:c>
      <x:c r="AE1002" s="13" t="str">
        <x:v>deepseek/deepseek-v4-pro</x:v>
      </x:c>
      <x:c r="AF1002" s="13" t="str">
        <x:v>aj2-y90-20260714T234810-0bea2f52</x:v>
      </x:c>
      <x:c r="AG1002" s="13" t="str">
        <x:v>full-0051</x:v>
      </x:c>
      <x:c r="AH1002" s="13" t="str">
        <x:v>full</x:v>
      </x:c>
      <x:c r="AI1002" s="13" t="n">
        <x:v>51</x:v>
      </x:c>
    </x:row>
    <x:row r="1003" ht="34" customHeight="1">
      <x:c r="A1003" s="15" t="str">
        <x:v>women's thong eva sandals</x:v>
      </x:c>
      <x:c r="B1003" s="15" t="str">
        <x:v>women's thong eva sandals</x:v>
      </x:c>
      <x:c r="C1003" s="10" t="str">
        <x:v>2249f1178e87e0b2</x:v>
      </x:c>
      <x:c r="D1003" s="10" t="str">
        <x:v>keyword</x:v>
      </x:c>
      <x:c r="E1003" s="10" t="str">
        <x:v>en</x:v>
      </x:c>
      <x:c r="F1003" s="10" t="str">
        <x:v>clothing_shoes_jewelry</x:v>
      </x:c>
      <x:c r="G1003" s="15" t="str"/>
      <x:c r="H1003" s="15" t="str">
        <x:v>sandals | flip_flops</x:v>
      </x:c>
      <x:c r="I1003" s="15" t="str">
        <x:v>women</x:v>
      </x:c>
      <x:c r="J1003" s="15" t="str"/>
      <x:c r="K1003" s="15" t="str"/>
      <x:c r="L1003" s="15" t="str"/>
      <x:c r="M1003" s="15" t="str"/>
      <x:c r="N1003" s="15" t="str"/>
      <x:c r="O1003" s="15" t="str"/>
      <x:c r="P1003" s="15" t="str"/>
      <x:c r="Q1003" s="15" t="str"/>
      <x:c r="R1003" s="15" t="str">
        <x:v>女性消费者搜索EVA材质夹趾凉鞋，品类、材质、受众均与产品匹配，需求可完全满足。</x:v>
      </x:c>
      <x:c r="S1003" s="10" t="str">
        <x:v>consideration</x:v>
      </x:c>
      <x:c r="T1003" s="15" t="str">
        <x:v>explicit | page_validated</x:v>
      </x:c>
      <x:c r="U1003" s="10" t="str">
        <x:v>high</x:v>
      </x:c>
      <x:c r="V1003" s="15" t="str">
        <x:v>womens_thong_eva_sandals</x:v>
      </x:c>
      <x:c r="W1003" s="15" t="str">
        <x:v>cluster_route</x:v>
      </x:c>
      <x:c r="X1003" s="15" t="str">
        <x:v>{"primary_domain":[{"value":"clothing_shoes_jewelry","evidence_type":"explicit","source_span":"sandals","fact_ids":[],"rationale":"凉鞋属鞋类"}],"product_type":[{"value":"sandals","evidence_type":"explicit","source_span":"sandals","fact_ids":[],"rationale":"搜索词直接指定sandals"},{"value":"sandals","evidence_type":"page_validated","source_span":"","fact_ids":["title_womens_flip_flop","style_flip_flop"],"rationale":"产品为人字拖凉鞋"},{"value":"flip_flops","evidence_type":"page_validated","source_span":"","fact_ids":["style_flip_flop","style_thong"],"rationale":"产品为夹趾人字拖款式"},{"value":"flip_flops","evidence_type":"inferred","source_span":"","fact_ids":[],"rationale":"该能力由搜索词表达的任务或问题推断；页面事实仅用于验证商品承接。"}],"audience_intent":[{"value":"women","evidence_type":"explicit","source_span":"women's","fact_ids":[],"rationale":"搜索词明确女性受众"},{"value":"women","evidence_type":"page_validated","source_span":"","fact_ids":["title_womens_flip_flop"],"rationale":"产品标题标注女款"}]}</x:v>
      </x:c>
      <x:c r="Y1003" s="15" t="str"/>
      <x:c r="Z1003" s="10" t="str">
        <x:v>match</x:v>
      </x:c>
      <x:c r="AA1003" s="15" t="str">
        <x:v>title_womens_flip_flop | style_flip_flop | style_thong | material_eva</x:v>
      </x:c>
      <x:c r="AB1003" s="10" t="str">
        <x:v>accepted</x:v>
      </x:c>
      <x:c r="AC1003" s="10" t="str">
        <x:v>1.0.0</x:v>
      </x:c>
      <x:c r="AD1003" s="10" t="str">
        <x:v>1.0.0</x:v>
      </x:c>
      <x:c r="AE1003" s="10" t="str">
        <x:v>deepseek/deepseek-v4-pro</x:v>
      </x:c>
      <x:c r="AF1003" s="10" t="str">
        <x:v>aj2-y90-20260714T234810-0bea2f52</x:v>
      </x:c>
      <x:c r="AG1003" s="10" t="str">
        <x:v>full-0051</x:v>
      </x:c>
      <x:c r="AH1003" s="10" t="str">
        <x:v>full</x:v>
      </x:c>
      <x:c r="AI1003" s="10" t="n">
        <x:v>51</x:v>
      </x:c>
    </x:row>
    <x:row r="1004" ht="34" customHeight="1">
      <x:c r="A1004" s="16" t="str">
        <x:v>women flip flops arch support</x:v>
      </x:c>
      <x:c r="B1004" s="16" t="str">
        <x:v>women flip flops arch support</x:v>
      </x:c>
      <x:c r="C1004" s="13" t="str">
        <x:v>23493db7d3cac652</x:v>
      </x:c>
      <x:c r="D1004" s="13" t="str">
        <x:v>keyword</x:v>
      </x:c>
      <x:c r="E1004" s="13" t="str">
        <x:v>en</x:v>
      </x:c>
      <x:c r="F1004" s="13" t="str">
        <x:v>clothing_shoes_jewelry</x:v>
      </x:c>
      <x:c r="G1004" s="16" t="str"/>
      <x:c r="H1004" s="16" t="str">
        <x:v>flip_flops</x:v>
      </x:c>
      <x:c r="I1004" s="16" t="str">
        <x:v>women</x:v>
      </x:c>
      <x:c r="J1004" s="16" t="str"/>
      <x:c r="K1004" s="16" t="str">
        <x:v>arch_support</x:v>
      </x:c>
      <x:c r="L1004" s="16" t="str"/>
      <x:c r="M1004" s="16" t="str"/>
      <x:c r="N1004" s="16" t="str"/>
      <x:c r="O1004" s="16" t="str"/>
      <x:c r="P1004" s="16" t="str"/>
      <x:c r="Q1004" s="16" t="str"/>
      <x:c r="R1004" s="16" t="str">
        <x:v>女性消费者搜索带足弓支撑的人字拖，功能明确，产品具备该特性可匹配需求。</x:v>
      </x:c>
      <x:c r="S1004" s="13" t="str">
        <x:v>consideration</x:v>
      </x:c>
      <x:c r="T1004" s="16" t="str">
        <x:v>explicit | page_validated</x:v>
      </x:c>
      <x:c r="U1004" s="13" t="str">
        <x:v>high</x:v>
      </x:c>
      <x:c r="V1004" s="16" t="str">
        <x:v>womens_flip_flops_arch_support</x:v>
      </x:c>
      <x:c r="W1004" s="16" t="str">
        <x:v>cluster_route</x:v>
      </x:c>
      <x:c r="X1004" s="16" t="str">
        <x:v>{"primary_domain":[{"value":"clothing_shoes_jewelry","evidence_type":"explicit","source_span":"flip flops","fact_ids":[],"rationale":"人字拖属鞋类"}],"product_type":[{"value":"flip_flops","evidence_type":"explicit","source_span":"flip flops","fact_ids":[],"rationale":"搜索词直接指定flip flops"},{"value":"flip_flops","evidence_type":"page_validated","source_span":"","fact_ids":["title_womens_flip_flop","style_flip_flop"],"rationale":"产品页面确认为人字拖"}],"audience_intent":[{"value":"women","evidence_type":"explicit","source_span":"women","fact_ids":[],"rationale":"搜索词明确女性受众"},{"value":"women","evidence_type":"page_validated","source_span":"","fact_ids":["title_womens_flip_flop"],"rationale":"产品标题标注女款"}],"capability_intent":[{"value":"arch_support","evidence_type":"explicit","source_span":"arch support","fact_ids":[],"rationale":"搜索词直接提及足弓支撑"},{"value":"arch_support","evidence_type":"page_validated","source_span":"","fact_ids":["arch_support"],"rationale":"产品声明人体工学足弓支撑"}]}</x:v>
      </x:c>
      <x:c r="Y1004" s="16" t="str"/>
      <x:c r="Z1004" s="13" t="str">
        <x:v>match</x:v>
      </x:c>
      <x:c r="AA1004" s="16" t="str">
        <x:v>title_womens_flip_flop | style_flip_flop | arch_support</x:v>
      </x:c>
      <x:c r="AB1004" s="13" t="str">
        <x:v>accepted</x:v>
      </x:c>
      <x:c r="AC1004" s="13" t="str">
        <x:v>1.0.0</x:v>
      </x:c>
      <x:c r="AD1004" s="13" t="str">
        <x:v>1.0.0</x:v>
      </x:c>
      <x:c r="AE1004" s="13" t="str">
        <x:v>deepseek/deepseek-v4-pro</x:v>
      </x:c>
      <x:c r="AF1004" s="13" t="str">
        <x:v>aj2-y90-20260714T234810-0bea2f52</x:v>
      </x:c>
      <x:c r="AG1004" s="13" t="str">
        <x:v>full-0051</x:v>
      </x:c>
      <x:c r="AH1004" s="13" t="str">
        <x:v>full</x:v>
      </x:c>
      <x:c r="AI1004" s="13" t="n">
        <x:v>51</x:v>
      </x:c>
    </x:row>
    <x:row r="1005" ht="34" customHeight="1">
      <x:c r="A1005" s="15" t="str">
        <x:v>plastic beach flip flops women</x:v>
      </x:c>
      <x:c r="B1005" s="15" t="str">
        <x:v>plastic beach flip flops women</x:v>
      </x:c>
      <x:c r="C1005" s="10" t="str">
        <x:v>2492cd15f35eb677</x:v>
      </x:c>
      <x:c r="D1005" s="10" t="str">
        <x:v>keyword</x:v>
      </x:c>
      <x:c r="E1005" s="10" t="str">
        <x:v>en</x:v>
      </x:c>
      <x:c r="F1005" s="10" t="str">
        <x:v>clothing_shoes_jewelry</x:v>
      </x:c>
      <x:c r="G1005" s="15" t="str">
        <x:v>sports_outdoors</x:v>
      </x:c>
      <x:c r="H1005" s="15" t="str">
        <x:v>flip_flops</x:v>
      </x:c>
      <x:c r="I1005" s="15" t="str">
        <x:v>women</x:v>
      </x:c>
      <x:c r="J1005" s="15" t="str"/>
      <x:c r="K1005" s="15" t="str"/>
      <x:c r="L1005" s="15" t="str">
        <x:v>beach</x:v>
      </x:c>
      <x:c r="M1005" s="15" t="str">
        <x:v>beach</x:v>
      </x:c>
      <x:c r="N1005" s="15" t="str"/>
      <x:c r="O1005" s="15" t="str"/>
      <x:c r="P1005" s="15" t="str"/>
      <x:c r="Q1005" s="15" t="str"/>
      <x:c r="R1005" s="15" t="str">
        <x:v>女性消费者搜索塑料材质沙滩人字拖，产品为EVA户外人字拖，沙滩场景未在产品页面明确标注。</x:v>
      </x:c>
      <x:c r="S1005" s="10" t="str">
        <x:v>consideration</x:v>
      </x:c>
      <x:c r="T1005" s="15" t="str">
        <x:v>explicit | page_validated | inferred</x:v>
      </x:c>
      <x:c r="U1005" s="10" t="str">
        <x:v>medium</x:v>
      </x:c>
      <x:c r="V1005" s="15" t="str">
        <x:v>womens_beach_flip_flops</x:v>
      </x:c>
      <x:c r="W1005" s="15" t="str">
        <x:v>listing_gap_review</x:v>
      </x:c>
      <x:c r="X1005" s="15" t="str">
        <x:v>{"primary_domain":[{"value":"clothing_shoes_jewelry","evidence_type":"explicit","source_span":"flip flops","fact_ids":[],"rationale":"人字拖属鞋类"}],"secondary_domain":[{"value":"sports_outdoors","evidence_type":"inferred","source_span":"beach","fact_ids":[],"rationale":"沙滩场景关联户外运动领域"}],"product_type":[{"value":"flip_flops","evidence_type":"explicit","source_span":"flip flops","fact_ids":[],"rationale":"搜索词直接指定flip flops"},{"value":"flip_flops","evidence_type":"page_validated","source_span":"","fact_ids":["title_womens_flip_flop","style_flip_flop"],"rationale":"产品页面确认为人字拖"}],"audience_intent":[{"value":"women","evidence_type":"explicit","source_span":"women","fact_ids":[],"rationale":"搜索词明确女性受众"},{"value":"women","evidence_type":"page_validated","source_span":"","fact_ids":["title_womens_flip_flop"],"rationale":"产品标题标注女款"}],"event_intent":[{"value":"beach","evidence_type":"explicit","source_span":"beach","fact_ids":[],"rationale":"搜索词指定沙滩使用场景"}],"location_intent":[{"value":"beach","evidence_type":"explicit","source_span":"beach","fact_ids":[],"rationale":"搜索词指定沙滩使用地点"}]}</x:v>
      </x:c>
      <x:c r="Y1005" s="15" t="str"/>
      <x:c r="Z1005" s="10" t="str">
        <x:v>partial_match</x:v>
      </x:c>
      <x:c r="AA1005" s="15" t="str">
        <x:v>title_womens_flip_flop | style_flip_flop | material_eva | style_outdoor</x:v>
      </x:c>
      <x:c r="AB1005" s="10" t="str">
        <x:v>accepted</x:v>
      </x:c>
      <x:c r="AC1005" s="10" t="str">
        <x:v>1.0.0</x:v>
      </x:c>
      <x:c r="AD1005" s="10" t="str">
        <x:v>1.0.0</x:v>
      </x:c>
      <x:c r="AE1005" s="10" t="str">
        <x:v>deepseek/deepseek-v4-pro</x:v>
      </x:c>
      <x:c r="AF1005" s="10" t="str">
        <x:v>aj2-y90-20260714T234810-0bea2f52</x:v>
      </x:c>
      <x:c r="AG1005" s="10" t="str">
        <x:v>full-0051</x:v>
      </x:c>
      <x:c r="AH1005" s="10" t="str">
        <x:v>full</x:v>
      </x:c>
      <x:c r="AI1005" s="10" t="n">
        <x:v>51</x:v>
      </x:c>
    </x:row>
    <x:row r="1006" ht="34" customHeight="1">
      <x:c r="A1006" s="16" t="str">
        <x:v>womens flip flop 11</x:v>
      </x:c>
      <x:c r="B1006" s="16" t="str">
        <x:v>womens flip flop 11</x:v>
      </x:c>
      <x:c r="C1006" s="13" t="str">
        <x:v>2c160a5105db2524</x:v>
      </x:c>
      <x:c r="D1006" s="13" t="str">
        <x:v>keyword</x:v>
      </x:c>
      <x:c r="E1006" s="13" t="str">
        <x:v>en</x:v>
      </x:c>
      <x:c r="F1006" s="13" t="str">
        <x:v>clothing_shoes_jewelry</x:v>
      </x:c>
      <x:c r="G1006" s="16" t="str"/>
      <x:c r="H1006" s="16" t="str">
        <x:v>flip_flops</x:v>
      </x:c>
      <x:c r="I1006" s="16" t="str">
        <x:v>women</x:v>
      </x:c>
      <x:c r="J1006" s="16" t="str"/>
      <x:c r="K1006" s="16" t="str"/>
      <x:c r="L1006" s="16" t="str"/>
      <x:c r="M1006" s="16" t="str"/>
      <x:c r="N1006" s="16" t="str"/>
      <x:c r="O1006" s="16" t="str"/>
      <x:c r="P1006" s="16" t="str"/>
      <x:c r="Q1006" s="16" t="str"/>
      <x:c r="R1006" s="16" t="str">
        <x:v>女性消费者搜索11码人字拖，尺码在6-11范围内，产品完全匹配需求。</x:v>
      </x:c>
      <x:c r="S1006" s="13" t="str">
        <x:v>high_intent</x:v>
      </x:c>
      <x:c r="T1006" s="16" t="str">
        <x:v>explicit | page_validated</x:v>
      </x:c>
      <x:c r="U1006" s="13" t="str">
        <x:v>high</x:v>
      </x:c>
      <x:c r="V1006" s="16" t="str">
        <x:v>womens_flip_flops_sized</x:v>
      </x:c>
      <x:c r="W1006" s="16" t="str">
        <x:v>cluster_route</x:v>
      </x:c>
      <x:c r="X1006" s="16" t="str">
        <x:v>{"primary_domain":[{"value":"clothing_shoes_jewelry","evidence_type":"explicit","source_span":"flip flop","fact_ids":[],"rationale":"人字拖属鞋类"}],"product_type":[{"value":"flip_flops","evidence_type":"explicit","source_span":"flip flop","fact_ids":[],"rationale":"搜索词直接指定flip flop"},{"value":"flip_flops","evidence_type":"page_validated","source_span":"","fact_ids":["title_womens_flip_flop","style_flip_flop"],"rationale":"产品页面确认为人字拖"},{"value":"flip_flops","evidence_type":"inferred","source_span":"","fact_ids":[],"rationale":"该能力由搜索词表达的任务或问题推断；页面事实仅用于验证商品承接。"}],"audience_intent":[{"value":"women","evidence_type":"explicit","source_span":"womens","fact_ids":[],"rationale":"搜索词明确女性受众"},{"value":"women","evidence_type":"page_validated","source_span":"","fact_ids":["title_womens_flip_flop"],"rationale":"产品标题标注女款"}]}</x:v>
      </x:c>
      <x:c r="Y1006" s="16" t="str"/>
      <x:c r="Z1006" s="13" t="str">
        <x:v>match</x:v>
      </x:c>
      <x:c r="AA1006" s="16" t="str">
        <x:v>title_womens_flip_flop | style_flip_flop | sizes_6_11</x:v>
      </x:c>
      <x:c r="AB1006" s="13" t="str">
        <x:v>accepted</x:v>
      </x:c>
      <x:c r="AC1006" s="13" t="str">
        <x:v>1.0.0</x:v>
      </x:c>
      <x:c r="AD1006" s="13" t="str">
        <x:v>1.0.0</x:v>
      </x:c>
      <x:c r="AE1006" s="13" t="str">
        <x:v>deepseek/deepseek-v4-pro</x:v>
      </x:c>
      <x:c r="AF1006" s="13" t="str">
        <x:v>aj2-y90-20260714T234810-0bea2f52</x:v>
      </x:c>
      <x:c r="AG1006" s="13" t="str">
        <x:v>full-0051</x:v>
      </x:c>
      <x:c r="AH1006" s="13" t="str">
        <x:v>full</x:v>
      </x:c>
      <x:c r="AI1006" s="13" t="n">
        <x:v>51</x:v>
      </x:c>
    </x:row>
    <x:row r="1007" ht="34" customHeight="1">
      <x:c r="A1007" s="15" t="str">
        <x:v>litfun women's arch support flip flops</x:v>
      </x:c>
      <x:c r="B1007" s="15" t="str">
        <x:v>litfun women's arch support flip flops</x:v>
      </x:c>
      <x:c r="C1007" s="10" t="str">
        <x:v>3a8c55efcb25e112</x:v>
      </x:c>
      <x:c r="D1007" s="10" t="str">
        <x:v>keyword</x:v>
      </x:c>
      <x:c r="E1007" s="10" t="str">
        <x:v>en</x:v>
      </x:c>
      <x:c r="F1007" s="10" t="str">
        <x:v>clothing_shoes_jewelry</x:v>
      </x:c>
      <x:c r="G1007" s="15" t="str"/>
      <x:c r="H1007" s="15" t="str">
        <x:v>flip_flops</x:v>
      </x:c>
      <x:c r="I1007" s="15" t="str">
        <x:v>women</x:v>
      </x:c>
      <x:c r="J1007" s="15" t="str"/>
      <x:c r="K1007" s="15" t="str">
        <x:v>arch_support</x:v>
      </x:c>
      <x:c r="L1007" s="15" t="str"/>
      <x:c r="M1007" s="15" t="str"/>
      <x:c r="N1007" s="15" t="str"/>
      <x:c r="O1007" s="15" t="str"/>
      <x:c r="P1007" s="15" t="str"/>
      <x:c r="Q1007" s="15" t="str"/>
      <x:c r="R1007" s="15" t="str">
        <x:v>消费者搜索Litfun品牌的女士足弓支撑人字拖，品牌锁定且功能明确，与joomra产品品牌不匹配。</x:v>
      </x:c>
      <x:c r="S1007" s="10" t="str">
        <x:v>brand_harvest</x:v>
      </x:c>
      <x:c r="T1007" s="15" t="str">
        <x:v>explicit | page_validated</x:v>
      </x:c>
      <x:c r="U1007" s="10" t="str">
        <x:v>high</x:v>
      </x:c>
      <x:c r="V1007" s="15" t="str">
        <x:v>brand_womens_flip_flops_arch_support</x:v>
      </x:c>
      <x:c r="W1007" s="15" t="str">
        <x:v>semantic_negative_candidate</x:v>
      </x:c>
      <x:c r="X1007" s="15" t="str">
        <x:v>{"primary_domain":[{"value":"clothing_shoes_jewelry","evidence_type":"explicit","source_span":"flip flops","fact_ids":[],"rationale":"人字拖属鞋类"}],"product_type":[{"value":"flip_flops","evidence_type":"explicit","source_span":"flip flops","fact_ids":[],"rationale":"搜索词直接指定flip flops"},{"value":"flip_flops","evidence_type":"page_validated","source_span":"","fact_ids":["title_womens_flip_flop","style_flip_flop"],"rationale":"产品页面确认为人字拖"}],"audience_intent":[{"value":"women","evidence_type":"explicit","source_span":"women's","fact_ids":[],"rationale":"搜索词明确女性受众"},{"value":"women","evidence_type":"page_validated","source_span":"","fact_ids":["title_womens_flip_flop"],"rationale":"产品标题标注女款"}],"capability_intent":[{"value":"arch_support","evidence_type":"explicit","source_span":"arch support","fact_ids":[],"rationale":"搜索词直接提及足弓支撑"},{"value":"arch_support","evidence_type":"page_validated","source_span":"","fact_ids":["arch_support"],"rationale":"产品声明人体工学足弓支撑"}]}</x:v>
      </x:c>
      <x:c r="Y1007" s="15" t="str"/>
      <x:c r="Z1007" s="10" t="str">
        <x:v>mismatch</x:v>
      </x:c>
      <x:c r="AA1007" s="15" t="str"/>
      <x:c r="AB1007" s="10" t="str">
        <x:v>accepted</x:v>
      </x:c>
      <x:c r="AC1007" s="10" t="str">
        <x:v>1.0.0</x:v>
      </x:c>
      <x:c r="AD1007" s="10" t="str">
        <x:v>1.0.0</x:v>
      </x:c>
      <x:c r="AE1007" s="10" t="str">
        <x:v>deepseek/deepseek-v4-pro</x:v>
      </x:c>
      <x:c r="AF1007" s="10" t="str">
        <x:v>aj2-y90-20260714T234810-0bea2f52</x:v>
      </x:c>
      <x:c r="AG1007" s="10" t="str">
        <x:v>full-0051</x:v>
      </x:c>
      <x:c r="AH1007" s="10" t="str">
        <x:v>full</x:v>
      </x:c>
      <x:c r="AI1007" s="10" t="n">
        <x:v>51</x:v>
      </x:c>
    </x:row>
    <x:row r="1008" ht="34" customHeight="1">
      <x:c r="A1008" s="16" t="str">
        <x:v>under armor flip flops for women</x:v>
      </x:c>
      <x:c r="B1008" s="16" t="str">
        <x:v>under armor flip flops for women</x:v>
      </x:c>
      <x:c r="C1008" s="13" t="str">
        <x:v>63e30dc8f41c0232</x:v>
      </x:c>
      <x:c r="D1008" s="13" t="str">
        <x:v>keyword</x:v>
      </x:c>
      <x:c r="E1008" s="13" t="str">
        <x:v>en</x:v>
      </x:c>
      <x:c r="F1008" s="13" t="str">
        <x:v>clothing_shoes_jewelry</x:v>
      </x:c>
      <x:c r="G1008" s="16" t="str">
        <x:v>sports_outdoors</x:v>
      </x:c>
      <x:c r="H1008" s="16" t="str">
        <x:v>flip_flops</x:v>
      </x:c>
      <x:c r="I1008" s="16" t="str">
        <x:v>women</x:v>
      </x:c>
      <x:c r="J1008" s="16" t="str"/>
      <x:c r="K1008" s="16" t="str"/>
      <x:c r="L1008" s="16" t="str"/>
      <x:c r="M1008" s="16" t="str"/>
      <x:c r="N1008" s="16" t="str"/>
      <x:c r="O1008" s="16" t="str"/>
      <x:c r="P1008" s="16" t="str"/>
      <x:c r="Q1008" s="16" t="str"/>
      <x:c r="R1008" s="16" t="str">
        <x:v>消费者搜索Under Armour品牌女式人字拖，品牌锁定且倾向运动户外风格，与joomra品牌不匹配。</x:v>
      </x:c>
      <x:c r="S1008" s="13" t="str">
        <x:v>brand_harvest</x:v>
      </x:c>
      <x:c r="T1008" s="16" t="str">
        <x:v>explicit | page_validated | inferred</x:v>
      </x:c>
      <x:c r="U1008" s="13" t="str">
        <x:v>high</x:v>
      </x:c>
      <x:c r="V1008" s="16" t="str">
        <x:v>brand_womens_flip_flops</x:v>
      </x:c>
      <x:c r="W1008" s="16" t="str">
        <x:v>semantic_negative_candidate</x:v>
      </x:c>
      <x:c r="X1008" s="16" t="str">
        <x:v>{"primary_domain":[{"value":"clothing_shoes_jewelry","evidence_type":"explicit","source_span":"flip flops","fact_ids":[],"rationale":"人字拖属鞋类"}],"secondary_domain":[{"value":"sports_outdoors","evidence_type":"inferred","source_span":"under armor","fact_ids":[],"rationale":"Under Armour是运动品牌，关联运动户外"}],"product_type":[{"value":"flip_flops","evidence_type":"explicit","source_span":"flip flops","fact_ids":[],"rationale":"搜索词直接指定flip flops"},{"value":"flip_flops","evidence_type":"page_validated","source_span":"","fact_ids":["title_womens_flip_flop","style_flip_flop"],"rationale":"产品页面确认为人字拖"}],"audience_intent":[{"value":"women","evidence_type":"explicit","source_span":"women","fact_ids":[],"rationale":"搜索词明确女性受众"},{"value":"women","evidence_type":"page_validated","source_span":"","fact_ids":["title_womens_flip_flop"],"rationale":"产品标题标注女款"}]}</x:v>
      </x:c>
      <x:c r="Y1008" s="16" t="str"/>
      <x:c r="Z1008" s="13" t="str">
        <x:v>mismatch</x:v>
      </x:c>
      <x:c r="AA1008" s="16" t="str"/>
      <x:c r="AB1008" s="13" t="str">
        <x:v>accepted</x:v>
      </x:c>
      <x:c r="AC1008" s="13" t="str">
        <x:v>1.0.0</x:v>
      </x:c>
      <x:c r="AD1008" s="13" t="str">
        <x:v>1.0.0</x:v>
      </x:c>
      <x:c r="AE1008" s="13" t="str">
        <x:v>deepseek/deepseek-v4-pro</x:v>
      </x:c>
      <x:c r="AF1008" s="13" t="str">
        <x:v>aj2-y90-20260714T234810-0bea2f52</x:v>
      </x:c>
      <x:c r="AG1008" s="13" t="str">
        <x:v>full-0051</x:v>
      </x:c>
      <x:c r="AH1008" s="13" t="str">
        <x:v>full</x:v>
      </x:c>
      <x:c r="AI1008" s="13" t="n">
        <x:v>51</x:v>
      </x:c>
    </x:row>
    <x:row r="1009" ht="34" customHeight="1">
      <x:c r="A1009" s="15" t="str">
        <x:v>grendene flip flops</x:v>
      </x:c>
      <x:c r="B1009" s="15" t="str">
        <x:v>grendene flip flops</x:v>
      </x:c>
      <x:c r="C1009" s="10" t="str">
        <x:v>668d5fea98bef785</x:v>
      </x:c>
      <x:c r="D1009" s="10" t="str">
        <x:v>keyword</x:v>
      </x:c>
      <x:c r="E1009" s="10" t="str">
        <x:v>en</x:v>
      </x:c>
      <x:c r="F1009" s="10" t="str">
        <x:v>clothing_shoes_jewelry</x:v>
      </x:c>
      <x:c r="G1009" s="15" t="str"/>
      <x:c r="H1009" s="15" t="str">
        <x:v>flip_flops</x:v>
      </x:c>
      <x:c r="I1009" s="15" t="str"/>
      <x:c r="J1009" s="15" t="str"/>
      <x:c r="K1009" s="15" t="str"/>
      <x:c r="L1009" s="15" t="str"/>
      <x:c r="M1009" s="15" t="str"/>
      <x:c r="N1009" s="15" t="str"/>
      <x:c r="O1009" s="15" t="str"/>
      <x:c r="P1009" s="15" t="str"/>
      <x:c r="Q1009" s="15" t="str"/>
      <x:c r="R1009" s="15" t="str">
        <x:v>消费者搜索Grendene品牌人字拖，品牌明确但未指定性别，与joomra产品品牌不匹配。</x:v>
      </x:c>
      <x:c r="S1009" s="10" t="str">
        <x:v>brand_harvest</x:v>
      </x:c>
      <x:c r="T1009" s="15" t="str">
        <x:v>explicit | page_validated | inferred</x:v>
      </x:c>
      <x:c r="U1009" s="10" t="str">
        <x:v>high</x:v>
      </x:c>
      <x:c r="V1009" s="15" t="str">
        <x:v>brand_flip_flops</x:v>
      </x:c>
      <x:c r="W1009" s="15" t="str">
        <x:v>semantic_negative_candidate</x:v>
      </x:c>
      <x:c r="X1009" s="15" t="str">
        <x:v>{"primary_domain":[{"value":"clothing_shoes_jewelry","evidence_type":"explicit","source_span":"flip flops","fact_ids":[],"rationale":"人字拖属鞋类"}],"product_type":[{"value":"flip_flops","evidence_type":"explicit","source_span":"flip flops","fact_ids":[],"rationale":"搜索词直接指定flip flops"},{"value":"flip_flops","evidence_type":"page_validated","source_span":"","fact_ids":["title_womens_flip_flop","style_flip_flop"],"rationale":"产品页面确认为人字拖"}]}</x:v>
      </x:c>
      <x:c r="Y1009" s="15" t="str"/>
      <x:c r="Z1009" s="10" t="str">
        <x:v>mismatch</x:v>
      </x:c>
      <x:c r="AA1009" s="15" t="str"/>
      <x:c r="AB1009" s="10" t="str">
        <x:v>accepted</x:v>
      </x:c>
      <x:c r="AC1009" s="10" t="str">
        <x:v>1.0.0</x:v>
      </x:c>
      <x:c r="AD1009" s="10" t="str">
        <x:v>1.0.0</x:v>
      </x:c>
      <x:c r="AE1009" s="10" t="str">
        <x:v>deepseek/deepseek-v4-pro</x:v>
      </x:c>
      <x:c r="AF1009" s="10" t="str">
        <x:v>aj2-y90-20260714T234810-0bea2f52</x:v>
      </x:c>
      <x:c r="AG1009" s="10" t="str">
        <x:v>full-0051</x:v>
      </x:c>
      <x:c r="AH1009" s="10" t="str">
        <x:v>full</x:v>
      </x:c>
      <x:c r="AI1009" s="10" t="n">
        <x:v>51</x:v>
      </x:c>
    </x:row>
    <x:row r="1010" ht="34" customHeight="1">
      <x:c r="A1010" s="16" t="str">
        <x:v>women's flip flops</x:v>
      </x:c>
      <x:c r="B1010" s="16" t="str">
        <x:v>women's flip flops</x:v>
      </x:c>
      <x:c r="C1010" s="13" t="str">
        <x:v>7a5fae3b7ea5d10d</x:v>
      </x:c>
      <x:c r="D1010" s="13" t="str">
        <x:v>keyword</x:v>
      </x:c>
      <x:c r="E1010" s="13" t="str">
        <x:v>en</x:v>
      </x:c>
      <x:c r="F1010" s="13" t="str">
        <x:v>clothing_shoes_jewelry</x:v>
      </x:c>
      <x:c r="G1010" s="16" t="str"/>
      <x:c r="H1010" s="16" t="str">
        <x:v>flip_flops</x:v>
      </x:c>
      <x:c r="I1010" s="16" t="str">
        <x:v>women</x:v>
      </x:c>
      <x:c r="J1010" s="16" t="str"/>
      <x:c r="K1010" s="16" t="str"/>
      <x:c r="L1010" s="16" t="str"/>
      <x:c r="M1010" s="16" t="str"/>
      <x:c r="N1010" s="16" t="str"/>
      <x:c r="O1010" s="16" t="str"/>
      <x:c r="P1010" s="16" t="str"/>
      <x:c r="Q1010" s="16" t="str"/>
      <x:c r="R1010" s="16" t="str">
        <x:v>女性消费者浏览人字拖品类，需求宽泛无额外约束，产品完全匹配该通用搜索。</x:v>
      </x:c>
      <x:c r="S1010" s="13" t="str">
        <x:v>exploration</x:v>
      </x:c>
      <x:c r="T1010" s="16" t="str">
        <x:v>explicit | page_validated</x:v>
      </x:c>
      <x:c r="U1010" s="13" t="str">
        <x:v>high</x:v>
      </x:c>
      <x:c r="V1010" s="16" t="str">
        <x:v>womens_flip_flops</x:v>
      </x:c>
      <x:c r="W1010" s="16" t="str">
        <x:v>cluster_route</x:v>
      </x:c>
      <x:c r="X1010" s="16" t="str">
        <x:v>{"primary_domain":[{"value":"clothing_shoes_jewelry","evidence_type":"explicit","source_span":"flip flops","fact_ids":[],"rationale":"人字拖属鞋类"}],"product_type":[{"value":"flip_flops","evidence_type":"explicit","source_span":"flip flops","fact_ids":[],"rationale":"搜索词直接指定flip flops"},{"value":"flip_flops","evidence_type":"page_validated","source_span":"","fact_ids":["title_womens_flip_flop","style_flip_flop"],"rationale":"产品页面确认为人字拖"}],"audience_intent":[{"value":"women","evidence_type":"explicit","source_span":"women's","fact_ids":[],"rationale":"搜索词明确女性受众"},{"value":"women","evidence_type":"page_validated","source_span":"","fact_ids":["title_womens_flip_flop"],"rationale":"产品标题标注女款"}]}</x:v>
      </x:c>
      <x:c r="Y1010" s="16" t="str"/>
      <x:c r="Z1010" s="13" t="str">
        <x:v>match</x:v>
      </x:c>
      <x:c r="AA1010" s="16" t="str">
        <x:v>title_womens_flip_flop | style_flip_flop</x:v>
      </x:c>
      <x:c r="AB1010" s="13" t="str">
        <x:v>accepted</x:v>
      </x:c>
      <x:c r="AC1010" s="13" t="str">
        <x:v>1.0.0</x:v>
      </x:c>
      <x:c r="AD1010" s="13" t="str">
        <x:v>1.0.0</x:v>
      </x:c>
      <x:c r="AE1010" s="13" t="str">
        <x:v>deepseek/deepseek-v4-pro</x:v>
      </x:c>
      <x:c r="AF1010" s="13" t="str">
        <x:v>aj2-y90-20260714T234810-0bea2f52</x:v>
      </x:c>
      <x:c r="AG1010" s="13" t="str">
        <x:v>full-0051</x:v>
      </x:c>
      <x:c r="AH1010" s="13" t="str">
        <x:v>full</x:v>
      </x:c>
      <x:c r="AI1010" s="13" t="n">
        <x:v>51</x:v>
      </x:c>
    </x:row>
    <x:row r="1011" ht="34" customHeight="1">
      <x:c r="A1011" s="15" t="str">
        <x:v>rubber flip flops for women</x:v>
      </x:c>
      <x:c r="B1011" s="15" t="str">
        <x:v>rubber flip flops for women</x:v>
      </x:c>
      <x:c r="C1011" s="10" t="str">
        <x:v>7be2867ce2c0d810</x:v>
      </x:c>
      <x:c r="D1011" s="10" t="str">
        <x:v>keyword</x:v>
      </x:c>
      <x:c r="E1011" s="10" t="str">
        <x:v>en</x:v>
      </x:c>
      <x:c r="F1011" s="10" t="str">
        <x:v>clothing_shoes_jewelry</x:v>
      </x:c>
      <x:c r="G1011" s="15" t="str"/>
      <x:c r="H1011" s="15" t="str">
        <x:v>flip_flops</x:v>
      </x:c>
      <x:c r="I1011" s="15" t="str">
        <x:v>women</x:v>
      </x:c>
      <x:c r="J1011" s="15" t="str"/>
      <x:c r="K1011" s="15" t="str"/>
      <x:c r="L1011" s="15" t="str"/>
      <x:c r="M1011" s="15" t="str"/>
      <x:c r="N1011" s="15" t="str"/>
      <x:c r="O1011" s="15" t="str"/>
      <x:c r="P1011" s="15" t="str"/>
      <x:c r="Q1011" s="15" t="str"/>
      <x:c r="R1011" s="15" t="str">
        <x:v>女性消费者搜索橡胶材质人字拖，产品为EVA材质非橡胶，存在材质不完全匹配。</x:v>
      </x:c>
      <x:c r="S1011" s="10" t="str">
        <x:v>consideration</x:v>
      </x:c>
      <x:c r="T1011" s="15" t="str">
        <x:v>explicit | page_validated</x:v>
      </x:c>
      <x:c r="U1011" s="10" t="str">
        <x:v>medium</x:v>
      </x:c>
      <x:c r="V1011" s="15" t="str">
        <x:v>womens_rubber_flip_flops</x:v>
      </x:c>
      <x:c r="W1011" s="15" t="str">
        <x:v>listing_gap_review</x:v>
      </x:c>
      <x:c r="X1011" s="15" t="str">
        <x:v>{"primary_domain":[{"value":"clothing_shoes_jewelry","evidence_type":"explicit","source_span":"flip flops","fact_ids":[],"rationale":"人字拖属鞋类"}],"product_type":[{"value":"flip_flops","evidence_type":"explicit","source_span":"flip flops","fact_ids":[],"rationale":"搜索词直接指定flip flops"},{"value":"flip_flops","evidence_type":"page_validated","source_span":"","fact_ids":["title_womens_flip_flop","style_flip_flop"],"rationale":"产品页面确认为人字拖"}],"audience_intent":[{"value":"women","evidence_type":"explicit","source_span":"women","fact_ids":[],"rationale":"搜索词明确女性受众"},{"value":"women","evidence_type":"page_validated","source_span":"","fact_ids":["title_womens_flip_flop"],"rationale":"产品标题标注女款"}]}</x:v>
      </x:c>
      <x:c r="Y1011" s="15" t="str"/>
      <x:c r="Z1011" s="10" t="str">
        <x:v>partial_match</x:v>
      </x:c>
      <x:c r="AA1011" s="15" t="str">
        <x:v>title_womens_flip_flop | style_flip_flop | material_eva</x:v>
      </x:c>
      <x:c r="AB1011" s="10" t="str">
        <x:v>accepted</x:v>
      </x:c>
      <x:c r="AC1011" s="10" t="str">
        <x:v>1.0.0</x:v>
      </x:c>
      <x:c r="AD1011" s="10" t="str">
        <x:v>1.0.0</x:v>
      </x:c>
      <x:c r="AE1011" s="10" t="str">
        <x:v>deepseek/deepseek-v4-pro</x:v>
      </x:c>
      <x:c r="AF1011" s="10" t="str">
        <x:v>aj2-y90-20260714T234810-0bea2f52</x:v>
      </x:c>
      <x:c r="AG1011" s="10" t="str">
        <x:v>full-0051</x:v>
      </x:c>
      <x:c r="AH1011" s="10" t="str">
        <x:v>full</x:v>
      </x:c>
      <x:c r="AI1011" s="10" t="n">
        <x:v>51</x:v>
      </x:c>
    </x:row>
    <x:row r="1012" ht="34" customHeight="1">
      <x:c r="A1012" s="16" t="str">
        <x:v>royal blue flip flops size 8</x:v>
      </x:c>
      <x:c r="B1012" s="16" t="str">
        <x:v>royal blue flip flops size 8</x:v>
      </x:c>
      <x:c r="C1012" s="13" t="str">
        <x:v>7d876e3defa66d8a</x:v>
      </x:c>
      <x:c r="D1012" s="13" t="str">
        <x:v>keyword</x:v>
      </x:c>
      <x:c r="E1012" s="13" t="str">
        <x:v>en</x:v>
      </x:c>
      <x:c r="F1012" s="13" t="str">
        <x:v>clothing_shoes_jewelry</x:v>
      </x:c>
      <x:c r="G1012" s="16" t="str"/>
      <x:c r="H1012" s="16" t="str">
        <x:v>flip_flops</x:v>
      </x:c>
      <x:c r="I1012" s="16" t="str"/>
      <x:c r="J1012" s="16" t="str"/>
      <x:c r="K1012" s="16" t="str"/>
      <x:c r="L1012" s="16" t="str"/>
      <x:c r="M1012" s="16" t="str"/>
      <x:c r="N1012" s="16" t="str"/>
      <x:c r="O1012" s="16" t="str"/>
      <x:c r="P1012" s="16" t="str"/>
      <x:c r="Q1012" s="16" t="str"/>
      <x:c r="R1012" s="16" t="str">
        <x:v>消费者搜索宝蓝色8码人字拖，尺码在6-11范围内匹配，但宝蓝色不在产品可选颜色中。</x:v>
      </x:c>
      <x:c r="S1012" s="13" t="str">
        <x:v>high_intent</x:v>
      </x:c>
      <x:c r="T1012" s="16" t="str">
        <x:v>explicit | page_validated</x:v>
      </x:c>
      <x:c r="U1012" s="13" t="str">
        <x:v>medium</x:v>
      </x:c>
      <x:c r="V1012" s="16" t="str">
        <x:v>flip_flops_color_size</x:v>
      </x:c>
      <x:c r="W1012" s="16" t="str">
        <x:v>listing_gap_review</x:v>
      </x:c>
      <x:c r="X1012" s="16" t="str">
        <x:v>{"primary_domain":[{"value":"clothing_shoes_jewelry","evidence_type":"explicit","source_span":"flip flops","fact_ids":[],"rationale":"人字拖属鞋类"}],"product_type":[{"value":"flip_flops","evidence_type":"explicit","source_span":"flip flops","fact_ids":[],"rationale":"搜索词直接指定flip flops"},{"value":"flip_flops","evidence_type":"page_validated","source_span":"","fact_ids":["title_womens_flip_flop","style_flip_flop"],"rationale":"产品页面确认为人字拖"}]}</x:v>
      </x:c>
      <x:c r="Y1012" s="16" t="str"/>
      <x:c r="Z1012" s="13" t="str">
        <x:v>partial_match</x:v>
      </x:c>
      <x:c r="AA1012" s="16" t="str">
        <x:v>style_flip_flop | sizes_6_11 | colors_visible</x:v>
      </x:c>
      <x:c r="AB1012" s="13" t="str">
        <x:v>accepted</x:v>
      </x:c>
      <x:c r="AC1012" s="13" t="str">
        <x:v>1.0.0</x:v>
      </x:c>
      <x:c r="AD1012" s="13" t="str">
        <x:v>1.0.0</x:v>
      </x:c>
      <x:c r="AE1012" s="13" t="str">
        <x:v>deepseek/deepseek-v4-pro</x:v>
      </x:c>
      <x:c r="AF1012" s="13" t="str">
        <x:v>aj2-y90-20260714T234810-0bea2f52</x:v>
      </x:c>
      <x:c r="AG1012" s="13" t="str">
        <x:v>full-0051</x:v>
      </x:c>
      <x:c r="AH1012" s="13" t="str">
        <x:v>full</x:v>
      </x:c>
      <x:c r="AI1012" s="13" t="n">
        <x:v>51</x:v>
      </x:c>
    </x:row>
    <x:row r="1013" ht="34" customHeight="1">
      <x:c r="A1013" s="15" t="str">
        <x:v>women's toe strap design waterproof thick non-slip eva flip flop sandal, casual sandals,</x:v>
      </x:c>
      <x:c r="B1013" s="15" t="str">
        <x:v>women's toe strap design waterproof thick non-slip eva flip flop sandal, casual sandals,</x:v>
      </x:c>
      <x:c r="C1013" s="10" t="str">
        <x:v>837fdfb0a9ce2023</x:v>
      </x:c>
      <x:c r="D1013" s="10" t="str">
        <x:v>keyword</x:v>
      </x:c>
      <x:c r="E1013" s="10" t="str">
        <x:v>en</x:v>
      </x:c>
      <x:c r="F1013" s="10" t="str">
        <x:v>clothing_shoes_jewelry</x:v>
      </x:c>
      <x:c r="G1013" s="15" t="str"/>
      <x:c r="H1013" s="15" t="str">
        <x:v>flip_flops | sandals</x:v>
      </x:c>
      <x:c r="I1013" s="15" t="str">
        <x:v>women</x:v>
      </x:c>
      <x:c r="J1013" s="15" t="str"/>
      <x:c r="K1013" s="15" t="str">
        <x:v>slip_resistant</x:v>
      </x:c>
      <x:c r="L1013" s="15" t="str">
        <x:v>casual_wear</x:v>
      </x:c>
      <x:c r="M1013" s="15" t="str"/>
      <x:c r="N1013" s="15" t="str"/>
      <x:c r="O1013" s="15" t="str"/>
      <x:c r="P1013" s="15" t="str"/>
      <x:c r="Q1013" s="15" t="str"/>
      <x:c r="R1013" s="15" t="str">
        <x:v>女性消费者搜索EVA材质、脚趾带设计、防滑厚底人字拖鞋，提及防水但产品未声明该特性，存在功能缺口。</x:v>
      </x:c>
      <x:c r="S1013" s="10" t="str">
        <x:v>high_intent</x:v>
      </x:c>
      <x:c r="T1013" s="15" t="str">
        <x:v>explicit | page_validated | inferred</x:v>
      </x:c>
      <x:c r="U1013" s="10" t="str">
        <x:v>medium</x:v>
      </x:c>
      <x:c r="V1013" s="15" t="str">
        <x:v>womens_eva_flip_flop_sandals_feature_rich</x:v>
      </x:c>
      <x:c r="W1013" s="15" t="str">
        <x:v>listing_gap_review</x:v>
      </x:c>
      <x:c r="X1013" s="15" t="str">
        <x:v>{"primary_domain":[{"value":"clothing_shoes_jewelry","evidence_type":"explicit","source_span":"flip flop sandal","fact_ids":[],"rationale":"人字拖凉鞋属鞋类"}],"product_type":[{"value":"flip_flops","evidence_type":"explicit","source_span":"flip flop","fact_ids":[],"rationale":"搜索词直接指定flip flop"},{"value":"flip_flops","evidence_type":"page_validated","source_span":"","fact_ids":["title_womens_flip_flop","style_flip_flop"],"rationale":"产品页面确认为人字拖"},{"value":"sandals","evidence_type":"explicit","source_span":"sandal","fact_ids":[],"rationale":"搜索词同时指定sandal品类"},{"value":"sandals","evidence_type":"page_validated","source_span":"","fact_ids":["title_womens_flip_flop"],"rationale":"产品为凉鞋类"},{"value":"flip_flops","evidence_type":"inferred","source_span":"","fact_ids":[],"rationale":"该能力由搜索词表达的任务或问题推断；页面事实仅用于验证商品承接。"}],"audience_intent":[{"value":"women","evidence_type":"explicit","source_span":"women's","fact_ids":[],"rationale":"搜索词明确女性受众"},{"value":"women","evidence_type":"page_validated","source_span":"","fact_ids":["title_womens_flip_flop"],"rationale":"产品标题标注女款"}],"capability_intent":[{"value":"slip_resistant","evidence_type":"explicit","source_span":"non-slip","fact_ids":[],"rationale":"搜索词要求防滑功能"},{"value":"slip_resistant","evidence_type":"page_validated","source_span":"","fact_ids":["slip_resistant_grip"],"rationale":"产品声明纹理外底提供防滑抓地力"},{"value":"slip_resistant","evidence_type":"inferred","source_span":"","fact_ids":[],"rationale":"该能力由搜索词表达的任务或问题推断；页面事实仅用于验证商品承接。"}],"event_intent":[{"value":"casual_wear","evidence_type":"explicit","source_span":"casual","fact_ids":[],"rationale":"搜索词指定休闲穿着场景"}]}</x:v>
      </x:c>
      <x:c r="Y1013" s="15" t="str"/>
      <x:c r="Z1013" s="10" t="str">
        <x:v>partial_match</x:v>
      </x:c>
      <x:c r="AA1013" s="15" t="str">
        <x:v>title_womens_flip_flop | style_flip_flop | material_eva | style_thong | slip_resistant_grip | style_open_toe</x:v>
      </x:c>
      <x:c r="AB1013" s="10" t="str">
        <x:v>accepted</x:v>
      </x:c>
      <x:c r="AC1013" s="10" t="str">
        <x:v>1.0.0</x:v>
      </x:c>
      <x:c r="AD1013" s="10" t="str">
        <x:v>1.0.0</x:v>
      </x:c>
      <x:c r="AE1013" s="10" t="str">
        <x:v>deepseek/deepseek-v4-pro</x:v>
      </x:c>
      <x:c r="AF1013" s="10" t="str">
        <x:v>aj2-y90-20260714T234810-0bea2f52</x:v>
      </x:c>
      <x:c r="AG1013" s="10" t="str">
        <x:v>full-0051</x:v>
      </x:c>
      <x:c r="AH1013" s="10" t="str">
        <x:v>full</x:v>
      </x:c>
      <x:c r="AI1013" s="10" t="n">
        <x:v>51</x:v>
      </x:c>
    </x:row>
    <x:row r="1014" ht="34" customHeight="1">
      <x:c r="A1014" s="16" t="str">
        <x:v>archie flipflops</x:v>
      </x:c>
      <x:c r="B1014" s="16" t="str">
        <x:v>archie flipflops</x:v>
      </x:c>
      <x:c r="C1014" s="13" t="str">
        <x:v>86068f5da38111af</x:v>
      </x:c>
      <x:c r="D1014" s="13" t="str">
        <x:v>keyword</x:v>
      </x:c>
      <x:c r="E1014" s="13" t="str">
        <x:v>en</x:v>
      </x:c>
      <x:c r="F1014" s="13" t="str">
        <x:v>clothing_shoes_jewelry</x:v>
      </x:c>
      <x:c r="G1014" s="16" t="str"/>
      <x:c r="H1014" s="16" t="str">
        <x:v>flip_flops</x:v>
      </x:c>
      <x:c r="I1014" s="16" t="str"/>
      <x:c r="J1014" s="16" t="str"/>
      <x:c r="K1014" s="16" t="str"/>
      <x:c r="L1014" s="16" t="str"/>
      <x:c r="M1014" s="16" t="str"/>
      <x:c r="N1014" s="16" t="str"/>
      <x:c r="O1014" s="16" t="str"/>
      <x:c r="P1014" s="16" t="str"/>
      <x:c r="Q1014" s="16" t="str"/>
      <x:c r="R1014" s="16" t="str">
        <x:v>消费者搜索Archies品牌人字拖，品牌锁定，与joomra产品品牌不匹配。</x:v>
      </x:c>
      <x:c r="S1014" s="13" t="str">
        <x:v>brand_harvest</x:v>
      </x:c>
      <x:c r="T1014" s="16" t="str">
        <x:v>explicit | page_validated | inferred</x:v>
      </x:c>
      <x:c r="U1014" s="13" t="str">
        <x:v>high</x:v>
      </x:c>
      <x:c r="V1014" s="16" t="str">
        <x:v>brand_flip_flops_archies</x:v>
      </x:c>
      <x:c r="W1014" s="16" t="str">
        <x:v>semantic_negative_candidate</x:v>
      </x:c>
      <x:c r="X1014" s="16" t="str">
        <x:v>{"primary_domain":[{"value":"clothing_shoes_jewelry","evidence_type":"explicit","source_span":"flipflops","fact_ids":[],"rationale":"人字拖属鞋类"}],"product_type":[{"value":"flip_flops","evidence_type":"explicit","source_span":"flipflops","fact_ids":[],"rationale":"搜索词指定flipflops即人字拖"},{"value":"flip_flops","evidence_type":"page_validated","source_span":"","fact_ids":["title_womens_flip_flop","style_flip_flop"],"rationale":"产品页面确认为人字拖"},{"value":"flip_flops","evidence_type":"inferred","source_span":"","fact_ids":[],"rationale":"该能力由搜索词表达的任务或问题推断；页面事实仅用于验证商品承接。"}]}</x:v>
      </x:c>
      <x:c r="Y1014" s="16" t="str"/>
      <x:c r="Z1014" s="13" t="str">
        <x:v>mismatch</x:v>
      </x:c>
      <x:c r="AA1014" s="16" t="str"/>
      <x:c r="AB1014" s="13" t="str">
        <x:v>accepted</x:v>
      </x:c>
      <x:c r="AC1014" s="13" t="str">
        <x:v>1.0.0</x:v>
      </x:c>
      <x:c r="AD1014" s="13" t="str">
        <x:v>1.0.0</x:v>
      </x:c>
      <x:c r="AE1014" s="13" t="str">
        <x:v>deepseek/deepseek-v4-pro</x:v>
      </x:c>
      <x:c r="AF1014" s="13" t="str">
        <x:v>aj2-y90-20260714T234810-0bea2f52</x:v>
      </x:c>
      <x:c r="AG1014" s="13" t="str">
        <x:v>full-0051</x:v>
      </x:c>
      <x:c r="AH1014" s="13" t="str">
        <x:v>full</x:v>
      </x:c>
      <x:c r="AI1014" s="13" t="n">
        <x:v>51</x:v>
      </x:c>
    </x:row>
    <x:row r="1015" ht="34" customHeight="1">
      <x:c r="A1015" s="15" t="str">
        <x:v>women's archies flip flops</x:v>
      </x:c>
      <x:c r="B1015" s="15" t="str">
        <x:v>women's archies flip flops</x:v>
      </x:c>
      <x:c r="C1015" s="10" t="str">
        <x:v>9eaa3b2d1f369fdc</x:v>
      </x:c>
      <x:c r="D1015" s="10" t="str">
        <x:v>keyword</x:v>
      </x:c>
      <x:c r="E1015" s="10" t="str">
        <x:v>en</x:v>
      </x:c>
      <x:c r="F1015" s="10" t="str">
        <x:v>clothing_shoes_jewelry</x:v>
      </x:c>
      <x:c r="G1015" s="15" t="str"/>
      <x:c r="H1015" s="15" t="str">
        <x:v>flip_flops</x:v>
      </x:c>
      <x:c r="I1015" s="15" t="str">
        <x:v>women</x:v>
      </x:c>
      <x:c r="J1015" s="15" t="str"/>
      <x:c r="K1015" s="15" t="str"/>
      <x:c r="L1015" s="15" t="str"/>
      <x:c r="M1015" s="15" t="str"/>
      <x:c r="N1015" s="15" t="str"/>
      <x:c r="O1015" s="15" t="str"/>
      <x:c r="P1015" s="15" t="str"/>
      <x:c r="Q1015" s="15" t="str"/>
      <x:c r="R1015" s="15" t="str">
        <x:v>消费者搜索Archies品牌女式人字拖，品牌明确，与joomra产品品牌不匹配。</x:v>
      </x:c>
      <x:c r="S1015" s="10" t="str">
        <x:v>brand_harvest</x:v>
      </x:c>
      <x:c r="T1015" s="15" t="str">
        <x:v>explicit | page_validated</x:v>
      </x:c>
      <x:c r="U1015" s="10" t="str">
        <x:v>high</x:v>
      </x:c>
      <x:c r="V1015" s="15" t="str">
        <x:v>brand_womens_flip_flops_archies</x:v>
      </x:c>
      <x:c r="W1015" s="15" t="str">
        <x:v>semantic_negative_candidate</x:v>
      </x:c>
      <x:c r="X1015" s="15" t="str">
        <x:v>{"primary_domain":[{"value":"clothing_shoes_jewelry","evidence_type":"explicit","source_span":"flip flops","fact_ids":[],"rationale":"人字拖属鞋类"}],"product_type":[{"value":"flip_flops","evidence_type":"explicit","source_span":"flip flops","fact_ids":[],"rationale":"搜索词直接指定flip flops"},{"value":"flip_flops","evidence_type":"page_validated","source_span":"","fact_ids":["title_womens_flip_flop","style_flip_flop"],"rationale":"产品页面确认为人字拖"}],"audience_intent":[{"value":"women","evidence_type":"explicit","source_span":"women's","fact_ids":[],"rationale":"搜索词明确女性受众"},{"value":"women","evidence_type":"page_validated","source_span":"","fact_ids":["title_womens_flip_flop"],"rationale":"产品标题标注女款"}]}</x:v>
      </x:c>
      <x:c r="Y1015" s="15" t="str"/>
      <x:c r="Z1015" s="10" t="str">
        <x:v>mismatch</x:v>
      </x:c>
      <x:c r="AA1015" s="15" t="str"/>
      <x:c r="AB1015" s="10" t="str">
        <x:v>accepted</x:v>
      </x:c>
      <x:c r="AC1015" s="10" t="str">
        <x:v>1.0.0</x:v>
      </x:c>
      <x:c r="AD1015" s="10" t="str">
        <x:v>1.0.0</x:v>
      </x:c>
      <x:c r="AE1015" s="10" t="str">
        <x:v>deepseek/deepseek-v4-pro</x:v>
      </x:c>
      <x:c r="AF1015" s="10" t="str">
        <x:v>aj2-y90-20260714T234810-0bea2f52</x:v>
      </x:c>
      <x:c r="AG1015" s="10" t="str">
        <x:v>full-0051</x:v>
      </x:c>
      <x:c r="AH1015" s="10" t="str">
        <x:v>full</x:v>
      </x:c>
      <x:c r="AI1015" s="10" t="n">
        <x:v>51</x:v>
      </x:c>
    </x:row>
    <x:row r="1016" ht="34" customHeight="1">
      <x:c r="A1016" s="16" t="str">
        <x:v>women flip flops with arch support</x:v>
      </x:c>
      <x:c r="B1016" s="16" t="str">
        <x:v>women flip flops with arch support</x:v>
      </x:c>
      <x:c r="C1016" s="13" t="str">
        <x:v>afbc615ce253302a</x:v>
      </x:c>
      <x:c r="D1016" s="13" t="str">
        <x:v>keyword</x:v>
      </x:c>
      <x:c r="E1016" s="13" t="str">
        <x:v>en</x:v>
      </x:c>
      <x:c r="F1016" s="13" t="str">
        <x:v>clothing_shoes_jewelry</x:v>
      </x:c>
      <x:c r="G1016" s="16" t="str"/>
      <x:c r="H1016" s="16" t="str">
        <x:v>flip_flops</x:v>
      </x:c>
      <x:c r="I1016" s="16" t="str">
        <x:v>women</x:v>
      </x:c>
      <x:c r="J1016" s="16" t="str"/>
      <x:c r="K1016" s="16" t="str">
        <x:v>arch_support</x:v>
      </x:c>
      <x:c r="L1016" s="16" t="str"/>
      <x:c r="M1016" s="16" t="str"/>
      <x:c r="N1016" s="16" t="str"/>
      <x:c r="O1016" s="16" t="str"/>
      <x:c r="P1016" s="16" t="str"/>
      <x:c r="Q1016" s="16" t="str"/>
      <x:c r="R1016" s="16" t="str">
        <x:v>女性消费者搜索带足弓支撑的人字拖，功能明确，产品具备该特性可完全匹配。</x:v>
      </x:c>
      <x:c r="S1016" s="13" t="str">
        <x:v>consideration</x:v>
      </x:c>
      <x:c r="T1016" s="16" t="str">
        <x:v>explicit | page_validated</x:v>
      </x:c>
      <x:c r="U1016" s="13" t="str">
        <x:v>high</x:v>
      </x:c>
      <x:c r="V1016" s="16" t="str">
        <x:v>womens_flip_flops_arch_support</x:v>
      </x:c>
      <x:c r="W1016" s="16" t="str">
        <x:v>cluster_route</x:v>
      </x:c>
      <x:c r="X1016" s="16" t="str">
        <x:v>{"primary_domain":[{"value":"clothing_shoes_jewelry","evidence_type":"explicit","source_span":"flip flops","fact_ids":[],"rationale":"人字拖属鞋类"}],"product_type":[{"value":"flip_flops","evidence_type":"explicit","source_span":"flip flops","fact_ids":[],"rationale":"搜索词直接指定flip flops"},{"value":"flip_flops","evidence_type":"page_validated","source_span":"","fact_ids":["title_womens_flip_flop","style_flip_flop"],"rationale":"产品页面确认为人字拖"}],"audience_intent":[{"value":"women","evidence_type":"explicit","source_span":"women","fact_ids":[],"rationale":"搜索词明确女性受众"},{"value":"women","evidence_type":"page_validated","source_span":"","fact_ids":["title_womens_flip_flop"],"rationale":"产品标题标注女款"}],"capability_intent":[{"value":"arch_support","evidence_type":"explicit","source_span":"arch support","fact_ids":[],"rationale":"搜索词直接提及足弓支撑"},{"value":"arch_support","evidence_type":"page_validated","source_span":"","fact_ids":["arch_support"],"rationale":"产品声明人体工学足弓支撑"}]}</x:v>
      </x:c>
      <x:c r="Y1016" s="16" t="str"/>
      <x:c r="Z1016" s="13" t="str">
        <x:v>match</x:v>
      </x:c>
      <x:c r="AA1016" s="16" t="str">
        <x:v>title_womens_flip_flop | style_flip_flop | arch_support</x:v>
      </x:c>
      <x:c r="AB1016" s="13" t="str">
        <x:v>accepted</x:v>
      </x:c>
      <x:c r="AC1016" s="13" t="str">
        <x:v>1.0.0</x:v>
      </x:c>
      <x:c r="AD1016" s="13" t="str">
        <x:v>1.0.0</x:v>
      </x:c>
      <x:c r="AE1016" s="13" t="str">
        <x:v>deepseek/deepseek-v4-pro</x:v>
      </x:c>
      <x:c r="AF1016" s="13" t="str">
        <x:v>aj2-y90-20260714T234810-0bea2f52</x:v>
      </x:c>
      <x:c r="AG1016" s="13" t="str">
        <x:v>full-0051</x:v>
      </x:c>
      <x:c r="AH1016" s="13" t="str">
        <x:v>full</x:v>
      </x:c>
      <x:c r="AI1016" s="13" t="n">
        <x:v>51</x:v>
      </x:c>
    </x:row>
    <x:row r="1017" ht="34" customHeight="1">
      <x:c r="A1017" s="15" t="str">
        <x:v>flip flips</x:v>
      </x:c>
      <x:c r="B1017" s="15" t="str">
        <x:v>flip flips</x:v>
      </x:c>
      <x:c r="C1017" s="10" t="str">
        <x:v>b38198b3a315cdfa</x:v>
      </x:c>
      <x:c r="D1017" s="10" t="str">
        <x:v>keyword</x:v>
      </x:c>
      <x:c r="E1017" s="10" t="str">
        <x:v>en</x:v>
      </x:c>
      <x:c r="F1017" s="10" t="str">
        <x:v>clothing_shoes_jewelry</x:v>
      </x:c>
      <x:c r="G1017" s="15" t="str"/>
      <x:c r="H1017" s="15" t="str">
        <x:v>flip_flops</x:v>
      </x:c>
      <x:c r="I1017" s="15" t="str"/>
      <x:c r="J1017" s="15" t="str"/>
      <x:c r="K1017" s="15" t="str"/>
      <x:c r="L1017" s="15" t="str"/>
      <x:c r="M1017" s="15" t="str"/>
      <x:c r="N1017" s="15" t="str"/>
      <x:c r="O1017" s="15" t="str"/>
      <x:c r="P1017" s="15" t="str"/>
      <x:c r="Q1017" s="15" t="str"/>
      <x:c r="R1017" s="15" t="str">
        <x:v>消费者输入可能是flip flops的拼写错误，意图模糊，属于宽泛品类浏览行为。</x:v>
      </x:c>
      <x:c r="S1017" s="10" t="str">
        <x:v>exploration</x:v>
      </x:c>
      <x:c r="T1017" s="15" t="str">
        <x:v>explicit | page_validated | inferred</x:v>
      </x:c>
      <x:c r="U1017" s="10" t="str">
        <x:v>low</x:v>
      </x:c>
      <x:c r="V1017" s="15" t="str">
        <x:v>dirty_query_flip_flops</x:v>
      </x:c>
      <x:c r="W1017" s="15" t="str">
        <x:v>ambiguity_review</x:v>
      </x:c>
      <x:c r="X1017" s="15" t="str">
        <x:v>{"primary_domain":[{"value":"clothing_shoes_jewelry","evidence_type":"inferred","source_span":"flip flips","fact_ids":[],"rationale":"推测为flip flops拼写错误，属鞋类"}],"product_type":[{"value":"flip_flops","evidence_type":"page_validated","source_span":"","fact_ids":["title_womens_flip_flop","style_flip_flop"],"rationale":"若意图确为人字拖则产品匹配"},{"value":"flip_flops","evidence_type":"inferred","source_span":"","fact_ids":[],"rationale":"该能力由搜索词表达的任务或问题推断；页面事实仅用于验证商品承接。"}]}</x:v>
      </x:c>
      <x:c r="Y1017" s="15" t="str">
        <x:v>misspelling | dirty_query</x:v>
      </x:c>
      <x:c r="Z1017" s="10" t="str">
        <x:v>unknown</x:v>
      </x:c>
      <x:c r="AA1017" s="15" t="str"/>
      <x:c r="AB1017" s="10" t="str">
        <x:v>accepted</x:v>
      </x:c>
      <x:c r="AC1017" s="10" t="str">
        <x:v>1.0.0</x:v>
      </x:c>
      <x:c r="AD1017" s="10" t="str">
        <x:v>1.0.0</x:v>
      </x:c>
      <x:c r="AE1017" s="10" t="str">
        <x:v>deepseek/deepseek-v4-pro</x:v>
      </x:c>
      <x:c r="AF1017" s="10" t="str">
        <x:v>aj2-y90-20260714T234810-0bea2f52</x:v>
      </x:c>
      <x:c r="AG1017" s="10" t="str">
        <x:v>full-0051</x:v>
      </x:c>
      <x:c r="AH1017" s="10" t="str">
        <x:v>full</x:v>
      </x:c>
      <x:c r="AI1017" s="10" t="n">
        <x:v>51</x:v>
      </x:c>
    </x:row>
    <x:row r="1018" ht="34" customHeight="1">
      <x:c r="A1018" s="16" t="str">
        <x:v>best womens flip flops with arch support</x:v>
      </x:c>
      <x:c r="B1018" s="16" t="str">
        <x:v>best womens flip flops with arch support</x:v>
      </x:c>
      <x:c r="C1018" s="13" t="str">
        <x:v>b4a00c5b40ea0f63</x:v>
      </x:c>
      <x:c r="D1018" s="13" t="str">
        <x:v>keyword</x:v>
      </x:c>
      <x:c r="E1018" s="13" t="str">
        <x:v>en</x:v>
      </x:c>
      <x:c r="F1018" s="13" t="str">
        <x:v>clothing_shoes_jewelry</x:v>
      </x:c>
      <x:c r="G1018" s="16" t="str"/>
      <x:c r="H1018" s="16" t="str">
        <x:v>flip_flops</x:v>
      </x:c>
      <x:c r="I1018" s="16" t="str">
        <x:v>women</x:v>
      </x:c>
      <x:c r="J1018" s="16" t="str"/>
      <x:c r="K1018" s="16" t="str">
        <x:v>arch_support</x:v>
      </x:c>
      <x:c r="L1018" s="16" t="str"/>
      <x:c r="M1018" s="16" t="str"/>
      <x:c r="N1018" s="16" t="str"/>
      <x:c r="O1018" s="16" t="str"/>
      <x:c r="P1018" s="16" t="str"/>
      <x:c r="Q1018" s="16" t="str"/>
      <x:c r="R1018" s="16" t="str">
        <x:v>女性消费者搜索最佳足弓支撑人字拖，处于比较评估阶段，产品具备该功能可匹配需求。</x:v>
      </x:c>
      <x:c r="S1018" s="13" t="str">
        <x:v>high_intent</x:v>
      </x:c>
      <x:c r="T1018" s="16" t="str">
        <x:v>explicit | page_validated</x:v>
      </x:c>
      <x:c r="U1018" s="13" t="str">
        <x:v>high</x:v>
      </x:c>
      <x:c r="V1018" s="16" t="str">
        <x:v>womens_flip_flops_arch_support</x:v>
      </x:c>
      <x:c r="W1018" s="16" t="str">
        <x:v>cluster_route</x:v>
      </x:c>
      <x:c r="X1018" s="16" t="str">
        <x:v>{"primary_domain":[{"value":"clothing_shoes_jewelry","evidence_type":"explicit","source_span":"flip flops","fact_ids":[],"rationale":"人字拖属鞋类"}],"product_type":[{"value":"flip_flops","evidence_type":"explicit","source_span":"flip flops","fact_ids":[],"rationale":"搜索词直接指定flip flops"},{"value":"flip_flops","evidence_type":"page_validated","source_span":"","fact_ids":["title_womens_flip_flop","style_flip_flop"],"rationale":"产品页面确认为人字拖"}],"audience_intent":[{"value":"women","evidence_type":"explicit","source_span":"womens","fact_ids":[],"rationale":"搜索词明确女性受众"},{"value":"women","evidence_type":"page_validated","source_span":"","fact_ids":["title_womens_flip_flop"],"rationale":"产品标题标注女款"}],"capability_intent":[{"value":"arch_support","evidence_type":"explicit","source_span":"arch support","fact_ids":[],"rationale":"搜索词直接提及足弓支撑"},{"value":"arch_support","evidence_type":"page_validated","source_span":"","fact_ids":["arch_support"],"rationale":"产品声明人体工学足弓支撑"}]}</x:v>
      </x:c>
      <x:c r="Y1018" s="16" t="str"/>
      <x:c r="Z1018" s="13" t="str">
        <x:v>match</x:v>
      </x:c>
      <x:c r="AA1018" s="16" t="str">
        <x:v>title_womens_flip_flop | style_flip_flop | arch_support</x:v>
      </x:c>
      <x:c r="AB1018" s="13" t="str">
        <x:v>accepted</x:v>
      </x:c>
      <x:c r="AC1018" s="13" t="str">
        <x:v>1.0.0</x:v>
      </x:c>
      <x:c r="AD1018" s="13" t="str">
        <x:v>1.0.0</x:v>
      </x:c>
      <x:c r="AE1018" s="13" t="str">
        <x:v>deepseek/deepseek-v4-pro</x:v>
      </x:c>
      <x:c r="AF1018" s="13" t="str">
        <x:v>aj2-y90-20260714T234810-0bea2f52</x:v>
      </x:c>
      <x:c r="AG1018" s="13" t="str">
        <x:v>full-0051</x:v>
      </x:c>
      <x:c r="AH1018" s="13" t="str">
        <x:v>full</x:v>
      </x:c>
      <x:c r="AI1018" s="13" t="n">
        <x:v>51</x:v>
      </x:c>
    </x:row>
    <x:row r="1019" ht="34" customHeight="1">
      <x:c r="A1019" s="15" t="str">
        <x:v>orthopedic sandals for women arch support</x:v>
      </x:c>
      <x:c r="B1019" s="15" t="str">
        <x:v>orthopedic sandals for women arch support</x:v>
      </x:c>
      <x:c r="C1019" s="10" t="str">
        <x:v>ca51c30fdfa11758</x:v>
      </x:c>
      <x:c r="D1019" s="10" t="str">
        <x:v>keyword</x:v>
      </x:c>
      <x:c r="E1019" s="10" t="str">
        <x:v>en</x:v>
      </x:c>
      <x:c r="F1019" s="10" t="str">
        <x:v>clothing_shoes_jewelry</x:v>
      </x:c>
      <x:c r="G1019" s="15" t="str">
        <x:v>health_household</x:v>
      </x:c>
      <x:c r="H1019" s="15" t="str">
        <x:v>sandals</x:v>
      </x:c>
      <x:c r="I1019" s="15" t="str">
        <x:v>women</x:v>
      </x:c>
      <x:c r="J1019" s="15" t="str">
        <x:v>foot_pain_relief</x:v>
      </x:c>
      <x:c r="K1019" s="15" t="str">
        <x:v>arch_support</x:v>
      </x:c>
      <x:c r="L1019" s="15" t="str"/>
      <x:c r="M1019" s="15" t="str"/>
      <x:c r="N1019" s="15" t="str">
        <x:v>orthopedic_support | arch_support</x:v>
      </x:c>
      <x:c r="O1019" s="15" t="str"/>
      <x:c r="P1019" s="15" t="str"/>
      <x:c r="Q1019" s="15" t="str"/>
      <x:c r="R1019" s="15" t="str">
        <x:v>女性消费者寻找兼具矫形与足弓支撑功能的凉鞋，产品有足弓支撑但缺乏矫形认证，存在功能缺口。</x:v>
      </x:c>
      <x:c r="S1019" s="10" t="str">
        <x:v>high_intent</x:v>
      </x:c>
      <x:c r="T1019" s="15" t="str">
        <x:v>explicit | page_validated | inferred</x:v>
      </x:c>
      <x:c r="U1019" s="10" t="str">
        <x:v>medium</x:v>
      </x:c>
      <x:c r="V1019" s="15" t="str">
        <x:v>orthopedic_sandals_women_arch_support</x:v>
      </x:c>
      <x:c r="W1019" s="15" t="str">
        <x:v>listing_gap_review</x:v>
      </x:c>
      <x:c r="X1019" s="15" t="str">
        <x:v>{"primary_domain":[{"value":"clothing_shoes_jewelry","evidence_type":"explicit","source_span":"sandals","fact_ids":[],"rationale":"凉鞋属鞋类"}],"secondary_domain":[{"value":"health_household","evidence_type":"explicit","source_span":"orthopedic","fact_ids":[],"rationale":"矫形需求关联健康领域"}],"product_type":[{"value":"sandals","evidence_type":"explicit","source_span":"sandals","fact_ids":[],"rationale":"搜索词直接指定sandals"},{"value":"sandals","evidence_type":"page_validated","source_span":"","fact_ids":["title_womens_flip_flop","style_flip_flop"],"rationale":"产品为人字拖凉鞋"}],"audience_intent":[{"value":"women","evidence_type":"explicit","source_span":"women","fact_ids":[],"rationale":"搜索词明确女性受众"},{"value":"women","evidence_type":"page_validated","source_span":"","fact_ids":["title_womens_flip_flop"],"rationale":"产品标题标注女款"}],"function_intent":[{"value":"foot_pain_relief","evidence_type":"inferred","source_span":"orthopedic","fact_ids":[],"rationale":"矫形通常关联足部疼痛缓解"}],"capability_intent":[{"value":"arch_support","evidence_type":"explicit","source_span":"arch support","fact_ids":[],"rationale":"搜索词直接提及足弓支撑"},{"value":"arch_support","evidence_type":"page_validated","source_span":"","fact_ids":["arch_support"],"rationale":"产品声明人体工学足弓支撑"}],"body_need_intent":[{"value":"orthopedic_support","evidence_type":"explicit","source_span":"orthopedic","fact_ids":[],"rationale":"搜索词明确矫形需求"}]}</x:v>
      </x:c>
      <x:c r="Y1019" s="15" t="str"/>
      <x:c r="Z1019" s="10" t="str">
        <x:v>partial_match</x:v>
      </x:c>
      <x:c r="AA1019" s="15" t="str">
        <x:v>title_womens_flip_flop | arch_support | style_flip_flop</x:v>
      </x:c>
      <x:c r="AB1019" s="10" t="str">
        <x:v>accepted</x:v>
      </x:c>
      <x:c r="AC1019" s="10" t="str">
        <x:v>1.0.0</x:v>
      </x:c>
      <x:c r="AD1019" s="10" t="str">
        <x:v>1.0.0</x:v>
      </x:c>
      <x:c r="AE1019" s="10" t="str">
        <x:v>deepseek/deepseek-v4-pro</x:v>
      </x:c>
      <x:c r="AF1019" s="10" t="str">
        <x:v>aj2-y90-20260714T234810-0bea2f52</x:v>
      </x:c>
      <x:c r="AG1019" s="10" t="str">
        <x:v>full-0051</x:v>
      </x:c>
      <x:c r="AH1019" s="10" t="str">
        <x:v>full</x:v>
      </x:c>
      <x:c r="AI1019" s="10" t="n">
        <x:v>51</x:v>
      </x:c>
    </x:row>
    <x:row r="1020" ht="34" customHeight="1">
      <x:c r="A1020" s="16" t="str">
        <x:v>women's orthopedic sandals</x:v>
      </x:c>
      <x:c r="B1020" s="16" t="str">
        <x:v>women's orthopedic sandals</x:v>
      </x:c>
      <x:c r="C1020" s="13" t="str">
        <x:v>f5a2b22d02c572fb</x:v>
      </x:c>
      <x:c r="D1020" s="13" t="str">
        <x:v>keyword</x:v>
      </x:c>
      <x:c r="E1020" s="13" t="str">
        <x:v>en</x:v>
      </x:c>
      <x:c r="F1020" s="13" t="str">
        <x:v>clothing_shoes_jewelry</x:v>
      </x:c>
      <x:c r="G1020" s="16" t="str">
        <x:v>health_household</x:v>
      </x:c>
      <x:c r="H1020" s="16" t="str">
        <x:v>sandals</x:v>
      </x:c>
      <x:c r="I1020" s="16" t="str">
        <x:v>women</x:v>
      </x:c>
      <x:c r="J1020" s="16" t="str">
        <x:v>foot_pain_relief</x:v>
      </x:c>
      <x:c r="K1020" s="16" t="str"/>
      <x:c r="L1020" s="16" t="str"/>
      <x:c r="M1020" s="16" t="str"/>
      <x:c r="N1020" s="16" t="str">
        <x:v>orthopedic_support</x:v>
      </x:c>
      <x:c r="O1020" s="16" t="str"/>
      <x:c r="P1020" s="16" t="str"/>
      <x:c r="Q1020" s="16" t="str"/>
      <x:c r="R1020" s="16" t="str">
        <x:v>女性消费者寻找矫形凉鞋以缓解足部不适，产品虽有足弓支撑但未声明矫形医疗功能，存在需求缺口。</x:v>
      </x:c>
      <x:c r="S1020" s="13" t="str">
        <x:v>consideration</x:v>
      </x:c>
      <x:c r="T1020" s="16" t="str">
        <x:v>explicit | page_validated | inferred</x:v>
      </x:c>
      <x:c r="U1020" s="13" t="str">
        <x:v>medium</x:v>
      </x:c>
      <x:c r="V1020" s="16" t="str">
        <x:v>orthopedic_sandals_women</x:v>
      </x:c>
      <x:c r="W1020" s="16" t="str">
        <x:v>listing_gap_review</x:v>
      </x:c>
      <x:c r="X1020" s="16" t="str">
        <x:v>{"primary_domain":[{"value":"clothing_shoes_jewelry","evidence_type":"explicit","source_span":"sandals","fact_ids":[],"rationale":"凉鞋属鞋类产品"}],"secondary_domain":[{"value":"health_household","evidence_type":"explicit","source_span":"orthopedic","fact_ids":[],"rationale":"矫形需求关联健康领域"}],"product_type":[{"value":"sandals","evidence_type":"explicit","source_span":"sandals","fact_ids":[],"rationale":"搜索词直接指定sandals"},{"value":"sandals","evidence_type":"page_validated","source_span":"","fact_ids":["title_womens_flip_flop","style_flip_flop"],"rationale":"产品为人字拖凉鞋，属sandal子类"}],"audience_intent":[{"value":"women","evidence_type":"explicit","source_span":"women's","fact_ids":[],"rationale":"搜索词明确女性受众"},{"value":"women","evidence_type":"page_validated","source_span":"","fact_ids":["title_womens_flip_flop"],"rationale":"产品标题标注女款"}],"function_intent":[{"value":"foot_pain_relief","evidence_type":"inferred","source_span":"orthopedic","fact_ids":[],"rationale":"矫形通常关联足部疼痛缓解需求"}],"body_need_intent":[{"value":"orthopedic_support","evidence_type":"explicit","source_span":"orthopedic","fact_ids":[],"rationale":"搜索词明确要求矫形功能"}]}</x:v>
      </x:c>
      <x:c r="Y1020" s="16" t="str"/>
      <x:c r="Z1020" s="13" t="str">
        <x:v>partial_match</x:v>
      </x:c>
      <x:c r="AA1020" s="16" t="str">
        <x:v>title_womens_flip_flop | arch_support | style_flip_flop</x:v>
      </x:c>
      <x:c r="AB1020" s="13" t="str">
        <x:v>accepted</x:v>
      </x:c>
      <x:c r="AC1020" s="13" t="str">
        <x:v>1.0.0</x:v>
      </x:c>
      <x:c r="AD1020" s="13" t="str">
        <x:v>1.0.0</x:v>
      </x:c>
      <x:c r="AE1020" s="13" t="str">
        <x:v>deepseek/deepseek-v4-pro</x:v>
      </x:c>
      <x:c r="AF1020" s="13" t="str">
        <x:v>aj2-y90-20260714T234810-0bea2f52</x:v>
      </x:c>
      <x:c r="AG1020" s="13" t="str">
        <x:v>full-0051</x:v>
      </x:c>
      <x:c r="AH1020" s="13" t="str">
        <x:v>full</x:v>
      </x:c>
      <x:c r="AI1020" s="13" t="n">
        <x:v>51</x:v>
      </x:c>
    </x:row>
    <x:row r="1021" ht="34" customHeight="1">
      <x:c r="A1021" s="15" t="str">
        <x:v>women's flip flops size 7</x:v>
      </x:c>
      <x:c r="B1021" s="15" t="str">
        <x:v>women's flip flops size 7</x:v>
      </x:c>
      <x:c r="C1021" s="10" t="str">
        <x:v>fdbf2e8b840602b8</x:v>
      </x:c>
      <x:c r="D1021" s="10" t="str">
        <x:v>keyword</x:v>
      </x:c>
      <x:c r="E1021" s="10" t="str">
        <x:v>en</x:v>
      </x:c>
      <x:c r="F1021" s="10" t="str">
        <x:v>clothing_shoes_jewelry</x:v>
      </x:c>
      <x:c r="G1021" s="15" t="str"/>
      <x:c r="H1021" s="15" t="str">
        <x:v>flip_flops</x:v>
      </x:c>
      <x:c r="I1021" s="15" t="str">
        <x:v>women</x:v>
      </x:c>
      <x:c r="J1021" s="15" t="str"/>
      <x:c r="K1021" s="15" t="str"/>
      <x:c r="L1021" s="15" t="str"/>
      <x:c r="M1021" s="15" t="str"/>
      <x:c r="N1021" s="15" t="str"/>
      <x:c r="O1021" s="15" t="str"/>
      <x:c r="P1021" s="15" t="str"/>
      <x:c r="Q1021" s="15" t="str"/>
      <x:c r="R1021" s="15" t="str">
        <x:v>女性消费者搜索7码人字拖，尺码在6-11范围内，产品完全匹配需求。</x:v>
      </x:c>
      <x:c r="S1021" s="10" t="str">
        <x:v>high_intent</x:v>
      </x:c>
      <x:c r="T1021" s="15" t="str">
        <x:v>explicit | page_validated</x:v>
      </x:c>
      <x:c r="U1021" s="10" t="str">
        <x:v>high</x:v>
      </x:c>
      <x:c r="V1021" s="15" t="str">
        <x:v>womens_flip_flops_sized</x:v>
      </x:c>
      <x:c r="W1021" s="15" t="str">
        <x:v>cluster_route</x:v>
      </x:c>
      <x:c r="X1021" s="15" t="str">
        <x:v>{"primary_domain":[{"value":"clothing_shoes_jewelry","evidence_type":"explicit","source_span":"flip flops","fact_ids":[],"rationale":"人字拖属鞋类"}],"product_type":[{"value":"flip_flops","evidence_type":"explicit","source_span":"flip flops","fact_ids":[],"rationale":"搜索词直接指定flip flops"},{"value":"flip_flops","evidence_type":"page_validated","source_span":"","fact_ids":["title_womens_flip_flop","style_flip_flop"],"rationale":"产品页面确认为人字拖"}],"audience_intent":[{"value":"women","evidence_type":"explicit","source_span":"women's","fact_ids":[],"rationale":"搜索词明确女性受众"},{"value":"women","evidence_type":"page_validated","source_span":"","fact_ids":["title_womens_flip_flop"],"rationale":"产品标题标注女款"}]}</x:v>
      </x:c>
      <x:c r="Y1021" s="15" t="str"/>
      <x:c r="Z1021" s="10" t="str">
        <x:v>match</x:v>
      </x:c>
      <x:c r="AA1021" s="15" t="str">
        <x:v>title_womens_flip_flop | style_flip_flop | sizes_6_11</x:v>
      </x:c>
      <x:c r="AB1021" s="10" t="str">
        <x:v>accepted</x:v>
      </x:c>
      <x:c r="AC1021" s="10" t="str">
        <x:v>1.0.0</x:v>
      </x:c>
      <x:c r="AD1021" s="10" t="str">
        <x:v>1.0.0</x:v>
      </x:c>
      <x:c r="AE1021" s="10" t="str">
        <x:v>deepseek/deepseek-v4-pro</x:v>
      </x:c>
      <x:c r="AF1021" s="10" t="str">
        <x:v>aj2-y90-20260714T234810-0bea2f52</x:v>
      </x:c>
      <x:c r="AG1021" s="10" t="str">
        <x:v>full-0051</x:v>
      </x:c>
      <x:c r="AH1021" s="10" t="str">
        <x:v>full</x:v>
      </x:c>
      <x:c r="AI1021" s="10" t="n">
        <x:v>51</x:v>
      </x:c>
    </x:row>
    <x:row r="1022" ht="34" customHeight="1">
      <x:c r="A1022" s="16" t="str">
        <x:v>mushroom color flip flops for women</x:v>
      </x:c>
      <x:c r="B1022" s="16" t="str">
        <x:v>mushroom color flip flops for women</x:v>
      </x:c>
      <x:c r="C1022" s="13" t="str">
        <x:v>132e2b02a40fd2e2</x:v>
      </x:c>
      <x:c r="D1022" s="13" t="str">
        <x:v>keyword</x:v>
      </x:c>
      <x:c r="E1022" s="13" t="str">
        <x:v>en</x:v>
      </x:c>
      <x:c r="F1022" s="13" t="str">
        <x:v>clothing_shoes_jewelry</x:v>
      </x:c>
      <x:c r="G1022" s="16" t="str"/>
      <x:c r="H1022" s="16" t="str">
        <x:v>flip_flops</x:v>
      </x:c>
      <x:c r="I1022" s="16" t="str">
        <x:v>women</x:v>
      </x:c>
      <x:c r="J1022" s="16" t="str"/>
      <x:c r="K1022" s="16" t="str">
        <x:v>mushroom_color</x:v>
      </x:c>
      <x:c r="L1022" s="16" t="str"/>
      <x:c r="M1022" s="16" t="str"/>
      <x:c r="N1022" s="16" t="str"/>
      <x:c r="O1022" s="16" t="str"/>
      <x:c r="P1022" s="16" t="str"/>
      <x:c r="Q1022" s="16" t="str"/>
      <x:c r="R1022" s="16" t="str">
        <x:v>用户为女性寻找蘑菇色的夹脚拖鞋。</x:v>
      </x:c>
      <x:c r="S1022" s="13" t="str">
        <x:v>high_intent</x:v>
      </x:c>
      <x:c r="T1022" s="16" t="str">
        <x:v>explicit | page_validated</x:v>
      </x:c>
      <x:c r="U1022" s="13" t="str">
        <x:v>high</x:v>
      </x:c>
      <x:c r="V1022" s="16" t="str">
        <x:v>womens_mushroom_flip_flops</x:v>
      </x:c>
      <x:c r="W1022" s="16" t="str">
        <x:v>listing_gap_review</x:v>
      </x:c>
      <x:c r="X1022" s="16" t="str">
        <x:v>{"product_type":[{"value":"flip_flops","evidence_type":"explicit","source_span":"flip flops","fact_ids":[],"rationale":"搜索词直接指明夹脚拖鞋品类"},{"value":"flip_flops","evidence_type":"page_validated","source_span":"","fact_ids":["style_flip_flop"],"rationale":"该槽位与商品基准中的明示页面事实一致。"}],"audience_intent":[{"value":"women","evidence_type":"explicit","source_span":"for women","fact_ids":[],"rationale":"搜索词明确指定女性用户"},{"value":"women","evidence_type":"page_validated","source_span":"","fact_ids":["title_womens_flip_flop"],"rationale":"该槽位与商品基准中的明示页面事实一致。"}],"capability_intent":[{"value":"mushroom_color","evidence_type":"explicit","source_span":"mushroom color","fact_ids":[],"rationale":"搜索词明确要求蘑菇色"}],"primary_domain":[{"value":"clothing_shoes_jewelry","evidence_type":"inferred","source_span":"","fact_ids":[],"rationale":"该值由搜索词整体语义推断，未作为页面明示属性。"}]}</x:v>
      </x:c>
      <x:c r="Y1022" s="16" t="str"/>
      <x:c r="Z1022" s="13" t="str">
        <x:v>partial_match</x:v>
      </x:c>
      <x:c r="AA1022" s="16" t="str">
        <x:v>title_womens_flip_flop | style_flip_flop</x:v>
      </x:c>
      <x:c r="AB1022" s="13" t="str">
        <x:v>accepted</x:v>
      </x:c>
      <x:c r="AC1022" s="13" t="str">
        <x:v>1.0.0</x:v>
      </x:c>
      <x:c r="AD1022" s="13" t="str">
        <x:v>1.1.0</x:v>
      </x:c>
      <x:c r="AE1022" s="13" t="str">
        <x:v>deepseek/deepseek-v4-pro</x:v>
      </x:c>
      <x:c r="AF1022" s="13" t="str">
        <x:v>aj2-y90-20260714T234810-0bea2f52</x:v>
      </x:c>
      <x:c r="AG1022" s="13" t="str">
        <x:v>full-0052</x:v>
      </x:c>
      <x:c r="AH1022" s="13" t="str">
        <x:v>full</x:v>
      </x:c>
      <x:c r="AI1022" s="13" t="n">
        <x:v>52</x:v>
      </x:c>
    </x:row>
    <x:row r="1023" ht="34" customHeight="1">
      <x:c r="A1023" s="15" t="str">
        <x:v>archies flip flops womens</x:v>
      </x:c>
      <x:c r="B1023" s="15" t="str">
        <x:v>archies flip flops womens</x:v>
      </x:c>
      <x:c r="C1023" s="10" t="str">
        <x:v>1d6aa7e289483ade</x:v>
      </x:c>
      <x:c r="D1023" s="10" t="str">
        <x:v>keyword</x:v>
      </x:c>
      <x:c r="E1023" s="10" t="str">
        <x:v>en</x:v>
      </x:c>
      <x:c r="F1023" s="10" t="str">
        <x:v>clothing_shoes_jewelry</x:v>
      </x:c>
      <x:c r="G1023" s="15" t="str"/>
      <x:c r="H1023" s="15" t="str">
        <x:v>flip_flops</x:v>
      </x:c>
      <x:c r="I1023" s="15" t="str">
        <x:v>women</x:v>
      </x:c>
      <x:c r="J1023" s="15" t="str"/>
      <x:c r="K1023" s="15" t="str">
        <x:v>arch_support</x:v>
      </x:c>
      <x:c r="L1023" s="15" t="str"/>
      <x:c r="M1023" s="15" t="str"/>
      <x:c r="N1023" s="15" t="str"/>
      <x:c r="O1023" s="15" t="str"/>
      <x:c r="P1023" s="15" t="str">
        <x:v>brand_substitute</x:v>
      </x:c>
      <x:c r="Q1023" s="15" t="str"/>
      <x:c r="R1023" s="15" t="str">
        <x:v>用户为女性寻找Archies品牌的夹脚拖鞋。</x:v>
      </x:c>
      <x:c r="S1023" s="10" t="str">
        <x:v>brand_harvest</x:v>
      </x:c>
      <x:c r="T1023" s="15" t="str">
        <x:v>explicit | page_validated</x:v>
      </x:c>
      <x:c r="U1023" s="10" t="str">
        <x:v>high</x:v>
      </x:c>
      <x:c r="V1023" s="15" t="str">
        <x:v>archies_brand_womens_flip_flops</x:v>
      </x:c>
      <x:c r="W1023" s="15" t="str">
        <x:v>semantic_negative_candidate</x:v>
      </x:c>
      <x:c r="X1023" s="15" t="str">
        <x:v>{"product_type":[{"value":"flip_flops","evidence_type":"explicit","source_span":"flip flops","fact_ids":[],"rationale":"搜索词直接指明夹脚拖鞋品类"},{"value":"flip_flops","evidence_type":"page_validated","source_span":"","fact_ids":["style_flip_flop"],"rationale":"该槽位与商品基准中的明示页面事实一致。"}],"audience_intent":[{"value":"women","evidence_type":"explicit","source_span":"womens","fact_ids":[],"rationale":"搜索词明确指定女性用户"},{"value":"women","evidence_type":"page_validated","source_span":"","fact_ids":["title_womens_flip_flop"],"rationale":"该槽位与商品基准中的明示页面事实一致。"}],"substitute_intent":[{"value":"brand_substitute","evidence_type":"explicit","source_span":"archies","fact_ids":[],"rationale":"Archies为知名夹脚拖鞋品牌"}],"capability_intent":[{"value":"arch_support","evidence_type":"page_validated","source_span":"","fact_ids":["arch_support"],"rationale":"产品具备足弓支撑，接近Archies定位"},{"value":"arch_suppor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1023" s="15" t="str"/>
      <x:c r="Z1023" s="10" t="str">
        <x:v>mismatch</x:v>
      </x:c>
      <x:c r="AA1023" s="15" t="str">
        <x:v>title_womens_flip_flop | style_flip_flop | arch_support</x:v>
      </x:c>
      <x:c r="AB1023" s="10" t="str">
        <x:v>accepted</x:v>
      </x:c>
      <x:c r="AC1023" s="10" t="str">
        <x:v>1.0.0</x:v>
      </x:c>
      <x:c r="AD1023" s="10" t="str">
        <x:v>1.1.0</x:v>
      </x:c>
      <x:c r="AE1023" s="10" t="str">
        <x:v>deepseek/deepseek-v4-pro</x:v>
      </x:c>
      <x:c r="AF1023" s="10" t="str">
        <x:v>aj2-y90-20260714T234810-0bea2f52</x:v>
      </x:c>
      <x:c r="AG1023" s="10" t="str">
        <x:v>full-0052</x:v>
      </x:c>
      <x:c r="AH1023" s="10" t="str">
        <x:v>full</x:v>
      </x:c>
      <x:c r="AI1023" s="10" t="n">
        <x:v>52</x:v>
      </x:c>
    </x:row>
    <x:row r="1024" ht="34" customHeight="1">
      <x:c r="A1024" s="16" t="str">
        <x:v>multi color flip flops for women</x:v>
      </x:c>
      <x:c r="B1024" s="16" t="str">
        <x:v>multi color flip flops for women</x:v>
      </x:c>
      <x:c r="C1024" s="13" t="str">
        <x:v>22f27154ee517f84</x:v>
      </x:c>
      <x:c r="D1024" s="13" t="str">
        <x:v>keyword</x:v>
      </x:c>
      <x:c r="E1024" s="13" t="str">
        <x:v>en</x:v>
      </x:c>
      <x:c r="F1024" s="13" t="str">
        <x:v>clothing_shoes_jewelry</x:v>
      </x:c>
      <x:c r="G1024" s="16" t="str"/>
      <x:c r="H1024" s="16" t="str">
        <x:v>flip_flops</x:v>
      </x:c>
      <x:c r="I1024" s="16" t="str">
        <x:v>women</x:v>
      </x:c>
      <x:c r="J1024" s="16" t="str"/>
      <x:c r="K1024" s="16" t="str">
        <x:v>multi_color</x:v>
      </x:c>
      <x:c r="L1024" s="16" t="str"/>
      <x:c r="M1024" s="16" t="str"/>
      <x:c r="N1024" s="16" t="str"/>
      <x:c r="O1024" s="16" t="str"/>
      <x:c r="P1024" s="16" t="str"/>
      <x:c r="Q1024" s="16" t="str"/>
      <x:c r="R1024" s="16" t="str">
        <x:v>用户希望为女性选购多种颜色可选的夹脚拖鞋。</x:v>
      </x:c>
      <x:c r="S1024" s="13" t="str">
        <x:v>exploration</x:v>
      </x:c>
      <x:c r="T1024" s="16" t="str">
        <x:v>explicit | page_validated</x:v>
      </x:c>
      <x:c r="U1024" s="13" t="str">
        <x:v>high</x:v>
      </x:c>
      <x:c r="V1024" s="16" t="str">
        <x:v>womens_flip_flops_color_variety</x:v>
      </x:c>
      <x:c r="W1024" s="16" t="str">
        <x:v>cluster_route</x:v>
      </x:c>
      <x:c r="X1024" s="16" t="str">
        <x:v>{"product_type":[{"value":"flip_flops","evidence_type":"explicit","source_span":"flip flops","fact_ids":[],"rationale":"搜索词直接指明夹脚拖鞋品类"},{"value":"flip_flops","evidence_type":"page_validated","source_span":"","fact_ids":["style_flip_flop"],"rationale":"该槽位与商品基准中的明示页面事实一致。"}],"audience_intent":[{"value":"women","evidence_type":"explicit","source_span":"for women","fact_ids":[],"rationale":"搜索词明确指定女性用户群体"},{"value":"women","evidence_type":"page_validated","source_span":"","fact_ids":["title_womens_flip_flop"],"rationale":"该槽位与商品基准中的明示页面事实一致。"}],"capability_intent":[{"value":"multi_color","evidence_type":"explicit","source_span":"multi color","fact_ids":[],"rationale":"搜索词明确要求多颜色可选"},{"value":"multi_color","evidence_type":"page_validated","source_span":"","fact_ids":["colors_visible"],"rationale":"产品页面提供黑粉棕灰蓝白等多色"}],"primary_domain":[{"value":"clothing_shoes_jewelry","evidence_type":"inferred","source_span":"","fact_ids":[],"rationale":"该值由搜索词整体语义推断，未作为页面明示属性。"}]}</x:v>
      </x:c>
      <x:c r="Y1024" s="16" t="str"/>
      <x:c r="Z1024" s="13" t="str">
        <x:v>match</x:v>
      </x:c>
      <x:c r="AA1024" s="16" t="str">
        <x:v>title_womens_flip_flop | style_flip_flop | colors_visible</x:v>
      </x:c>
      <x:c r="AB1024" s="13" t="str">
        <x:v>accepted</x:v>
      </x:c>
      <x:c r="AC1024" s="13" t="str">
        <x:v>1.0.0</x:v>
      </x:c>
      <x:c r="AD1024" s="13" t="str">
        <x:v>1.1.0</x:v>
      </x:c>
      <x:c r="AE1024" s="13" t="str">
        <x:v>deepseek/deepseek-v4-pro</x:v>
      </x:c>
      <x:c r="AF1024" s="13" t="str">
        <x:v>aj2-y90-20260714T234810-0bea2f52</x:v>
      </x:c>
      <x:c r="AG1024" s="13" t="str">
        <x:v>full-0052</x:v>
      </x:c>
      <x:c r="AH1024" s="13" t="str">
        <x:v>full</x:v>
      </x:c>
      <x:c r="AI1024" s="13" t="n">
        <x:v>52</x:v>
      </x:c>
    </x:row>
    <x:row r="1025" ht="34" customHeight="1">
      <x:c r="A1025" s="15" t="str">
        <x:v>women's flip flops contoured footbed cushioned</x:v>
      </x:c>
      <x:c r="B1025" s="15" t="str">
        <x:v>women's flip flops contoured footbed cushioned</x:v>
      </x:c>
      <x:c r="C1025" s="10" t="str">
        <x:v>2bed8002e08ecbff</x:v>
      </x:c>
      <x:c r="D1025" s="10" t="str">
        <x:v>keyword</x:v>
      </x:c>
      <x:c r="E1025" s="10" t="str">
        <x:v>en</x:v>
      </x:c>
      <x:c r="F1025" s="10" t="str">
        <x:v>clothing_shoes_jewelry</x:v>
      </x:c>
      <x:c r="G1025" s="15" t="str"/>
      <x:c r="H1025" s="15" t="str">
        <x:v>flip_flops</x:v>
      </x:c>
      <x:c r="I1025" s="15" t="str">
        <x:v>women</x:v>
      </x:c>
      <x:c r="J1025" s="15" t="str"/>
      <x:c r="K1025" s="15" t="str">
        <x:v>contoured_footbed | cushioned</x:v>
      </x:c>
      <x:c r="L1025" s="15" t="str"/>
      <x:c r="M1025" s="15" t="str"/>
      <x:c r="N1025" s="15" t="str">
        <x:v>foot_comfort</x:v>
      </x:c>
      <x:c r="O1025" s="15" t="str"/>
      <x:c r="P1025" s="15" t="str"/>
      <x:c r="Q1025" s="15" t="str"/>
      <x:c r="R1025" s="15" t="str">
        <x:v>用户为女性寻找轮廓贴合脚床且有缓冲功能的夹脚拖鞋。</x:v>
      </x:c>
      <x:c r="S1025" s="10" t="str">
        <x:v>consideration</x:v>
      </x:c>
      <x:c r="T1025" s="15" t="str">
        <x:v>explicit | page_validated | inferred</x:v>
      </x:c>
      <x:c r="U1025" s="10" t="str">
        <x:v>high</x:v>
      </x:c>
      <x:c r="V1025" s="15" t="str">
        <x:v>womens_flip_flops_contoured_cushioned</x:v>
      </x:c>
      <x:c r="W1025" s="15" t="str">
        <x:v>cluster_route</x:v>
      </x:c>
      <x:c r="X1025" s="15" t="str">
        <x:v>{"product_type":[{"value":"flip_flops","evidence_type":"explicit","source_span":"flip flops","fact_ids":[],"rationale":"搜索词直接指明夹脚拖鞋品类"},{"value":"flip_flops","evidence_type":"page_validated","source_span":"","fact_ids":["style_flip_flop"],"rationale":"该槽位与商品基准中的明示页面事实一致。"}],"audience_intent":[{"value":"women","evidence_type":"explicit","source_span":"women's","fact_ids":[],"rationale":"搜索词明确指定女性用户"},{"value":"women","evidence_type":"page_validated","source_span":"","fact_ids":["title_womens_flip_flop"],"rationale":"该槽位与商品基准中的明示页面事实一致。"}],"capability_intent":[{"value":"contoured_footbed","evidence_type":"explicit","source_span":"contoured footbed","fact_ids":[],"rationale":"搜索词明确要求轮廓贴合脚床"},{"value":"contoured_footbed","evidence_type":"page_validated","source_span":"","fact_ids":["arch_support"],"rationale":"足弓支撑体现脚床轮廓贴合设计"},{"value":"cushioned","evidence_type":"explicit","source_span":"cushioned","fact_ids":[],"rationale":"搜索词明确要求缓冲功能"},{"value":"cushioned","evidence_type":"page_validated","source_span":"","fact_ids":["padded_cushioning"],"rationale":"产品标注Padded缓冲特性"}],"body_need_intent":[{"value":"foot_comfort","evidence_type":"inferred","source_span":"","fact_ids":[],"rationale":"轮廓脚床加缓冲暗示足部舒适需求"},{"value":"foot_comfort","evidence_type":"page_validated","source_span":"","fact_ids":["arch_support","padded_cushioning"],"rationale":"该槽位与商品基准中的明示页面事实一致。"}],"primary_domain":[{"value":"clothing_shoes_jewelry","evidence_type":"inferred","source_span":"","fact_ids":[],"rationale":"该值由搜索词整体语义推断，未作为页面明示属性。"}]}</x:v>
      </x:c>
      <x:c r="Y1025" s="15" t="str"/>
      <x:c r="Z1025" s="10" t="str">
        <x:v>match</x:v>
      </x:c>
      <x:c r="AA1025" s="15" t="str">
        <x:v>title_womens_flip_flop | style_flip_flop | arch_support | padded_cushioning</x:v>
      </x:c>
      <x:c r="AB1025" s="10" t="str">
        <x:v>accepted</x:v>
      </x:c>
      <x:c r="AC1025" s="10" t="str">
        <x:v>1.0.0</x:v>
      </x:c>
      <x:c r="AD1025" s="10" t="str">
        <x:v>1.1.0</x:v>
      </x:c>
      <x:c r="AE1025" s="10" t="str">
        <x:v>deepseek/deepseek-v4-pro</x:v>
      </x:c>
      <x:c r="AF1025" s="10" t="str">
        <x:v>aj2-y90-20260714T234810-0bea2f52</x:v>
      </x:c>
      <x:c r="AG1025" s="10" t="str">
        <x:v>full-0052</x:v>
      </x:c>
      <x:c r="AH1025" s="10" t="str">
        <x:v>full</x:v>
      </x:c>
      <x:c r="AI1025" s="10" t="n">
        <x:v>52</x:v>
      </x:c>
    </x:row>
    <x:row r="1026" ht="34" customHeight="1">
      <x:c r="A1026" s="16" t="str">
        <x:v>grey flip flops with arch support for women</x:v>
      </x:c>
      <x:c r="B1026" s="16" t="str">
        <x:v>grey flip flops with arch support for women</x:v>
      </x:c>
      <x:c r="C1026" s="13" t="str">
        <x:v>47ed93994a7868ff</x:v>
      </x:c>
      <x:c r="D1026" s="13" t="str">
        <x:v>keyword</x:v>
      </x:c>
      <x:c r="E1026" s="13" t="str">
        <x:v>en</x:v>
      </x:c>
      <x:c r="F1026" s="13" t="str">
        <x:v>clothing_shoes_jewelry</x:v>
      </x:c>
      <x:c r="G1026" s="16" t="str"/>
      <x:c r="H1026" s="16" t="str">
        <x:v>flip_flops</x:v>
      </x:c>
      <x:c r="I1026" s="16" t="str">
        <x:v>women</x:v>
      </x:c>
      <x:c r="J1026" s="16" t="str"/>
      <x:c r="K1026" s="16" t="str">
        <x:v>grey_color | arch_support</x:v>
      </x:c>
      <x:c r="L1026" s="16" t="str"/>
      <x:c r="M1026" s="16" t="str"/>
      <x:c r="N1026" s="16" t="str">
        <x:v>foot_support</x:v>
      </x:c>
      <x:c r="O1026" s="16" t="str"/>
      <x:c r="P1026" s="16" t="str"/>
      <x:c r="Q1026" s="16" t="str"/>
      <x:c r="R1026" s="16" t="str">
        <x:v>用户为女性寻找灰色且具备足弓支撑的夹脚拖鞋。</x:v>
      </x:c>
      <x:c r="S1026" s="13" t="str">
        <x:v>high_intent</x:v>
      </x:c>
      <x:c r="T1026" s="16" t="str">
        <x:v>explicit | page_validated | inferred</x:v>
      </x:c>
      <x:c r="U1026" s="13" t="str">
        <x:v>high</x:v>
      </x:c>
      <x:c r="V1026" s="16" t="str">
        <x:v>womens_grey_arch_support_flip_flops</x:v>
      </x:c>
      <x:c r="W1026" s="16" t="str">
        <x:v>cluster_route</x:v>
      </x:c>
      <x:c r="X1026" s="16" t="str">
        <x:v>{"product_type":[{"value":"flip_flops","evidence_type":"explicit","source_span":"flip flops","fact_ids":[],"rationale":"搜索词直接指明夹脚拖鞋品类"},{"value":"flip_flops","evidence_type":"page_validated","source_span":"","fact_ids":["style_flip_flop"],"rationale":"该槽位与商品基准中的明示页面事实一致。"}],"audience_intent":[{"value":"women","evidence_type":"explicit","source_span":"for women","fact_ids":[],"rationale":"搜索词明确指定女性用户"},{"value":"women","evidence_type":"page_validated","source_span":"","fact_ids":["title_womens_flip_flop"],"rationale":"该槽位与商品基准中的明示页面事实一致。"}],"capability_intent":[{"value":"grey_color","evidence_type":"explicit","source_span":"grey","fact_ids":[],"rationale":"搜索词明确要求灰色"},{"value":"grey_color","evidence_type":"page_validated","source_span":"","fact_ids":["colors_visible"],"rationale":"产品有dark gray接近灰色"},{"value":"arch_support","evidence_type":"explicit","source_span":"arch support","fact_ids":[],"rationale":"搜索词明确要求足弓支撑"},{"value":"arch_support","evidence_type":"page_validated","source_span":"","fact_ids":["arch_support"],"rationale":"产品具备人体工学足弓支撑"}],"body_need_intent":[{"value":"foot_support","evidence_type":"inferred","source_span":"","fact_ids":[],"rationale":"足弓支撑需求隐含足部支撑诉求"},{"value":"foot_support","evidence_type":"page_validated","source_span":"","fact_ids":["arch_support"],"rationale":"该槽位与商品基准中的明示页面事实一致。"}],"primary_domain":[{"value":"clothing_shoes_jewelry","evidence_type":"inferred","source_span":"","fact_ids":[],"rationale":"该值由搜索词整体语义推断，未作为页面明示属性。"}]}</x:v>
      </x:c>
      <x:c r="Y1026" s="16" t="str"/>
      <x:c r="Z1026" s="13" t="str">
        <x:v>match</x:v>
      </x:c>
      <x:c r="AA1026" s="16" t="str">
        <x:v>title_womens_flip_flop | style_flip_flop | arch_support | colors_visible</x:v>
      </x:c>
      <x:c r="AB1026" s="13" t="str">
        <x:v>accepted</x:v>
      </x:c>
      <x:c r="AC1026" s="13" t="str">
        <x:v>1.0.0</x:v>
      </x:c>
      <x:c r="AD1026" s="13" t="str">
        <x:v>1.1.0</x:v>
      </x:c>
      <x:c r="AE1026" s="13" t="str">
        <x:v>deepseek/deepseek-v4-pro</x:v>
      </x:c>
      <x:c r="AF1026" s="13" t="str">
        <x:v>aj2-y90-20260714T234810-0bea2f52</x:v>
      </x:c>
      <x:c r="AG1026" s="13" t="str">
        <x:v>full-0052</x:v>
      </x:c>
      <x:c r="AH1026" s="13" t="str">
        <x:v>full</x:v>
      </x:c>
      <x:c r="AI1026" s="13" t="n">
        <x:v>52</x:v>
      </x:c>
    </x:row>
    <x:row r="1027" ht="34" customHeight="1">
      <x:c r="A1027" s="15" t="str">
        <x:v>womens waterproof flipflops</x:v>
      </x:c>
      <x:c r="B1027" s="15" t="str">
        <x:v>womens waterproof flipflops</x:v>
      </x:c>
      <x:c r="C1027" s="10" t="str">
        <x:v>752ab22385e37fd1</x:v>
      </x:c>
      <x:c r="D1027" s="10" t="str">
        <x:v>keyword</x:v>
      </x:c>
      <x:c r="E1027" s="10" t="str">
        <x:v>en</x:v>
      </x:c>
      <x:c r="F1027" s="10" t="str">
        <x:v>clothing_shoes_jewelry</x:v>
      </x:c>
      <x:c r="G1027" s="15" t="str"/>
      <x:c r="H1027" s="15" t="str">
        <x:v>flip_flops</x:v>
      </x:c>
      <x:c r="I1027" s="15" t="str">
        <x:v>women</x:v>
      </x:c>
      <x:c r="J1027" s="15" t="str"/>
      <x:c r="K1027" s="15" t="str">
        <x:v>waterproof</x:v>
      </x:c>
      <x:c r="L1027" s="15" t="str"/>
      <x:c r="M1027" s="15" t="str"/>
      <x:c r="N1027" s="15" t="str"/>
      <x:c r="O1027" s="15" t="str"/>
      <x:c r="P1027" s="15" t="str"/>
      <x:c r="Q1027" s="15" t="str"/>
      <x:c r="R1027" s="15" t="str">
        <x:v>用户为女性寻找防水的夹脚拖鞋。</x:v>
      </x:c>
      <x:c r="S1027" s="10" t="str">
        <x:v>consideration</x:v>
      </x:c>
      <x:c r="T1027" s="15" t="str">
        <x:v>explicit | page_validated</x:v>
      </x:c>
      <x:c r="U1027" s="10" t="str">
        <x:v>medium</x:v>
      </x:c>
      <x:c r="V1027" s="15" t="str">
        <x:v>womens_waterproof_flip_flops</x:v>
      </x:c>
      <x:c r="W1027" s="15" t="str">
        <x:v>listing_gap_review</x:v>
      </x:c>
      <x:c r="X1027" s="15" t="str">
        <x:v>{"product_type":[{"value":"flip_flops","evidence_type":"explicit","source_span":"flipflops","fact_ids":[],"rationale":"搜索词直接指明夹脚拖鞋品类"},{"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audience_intent":[{"value":"women","evidence_type":"explicit","source_span":"womens","fact_ids":[],"rationale":"搜索词明确指定女性用户"},{"value":"women","evidence_type":"page_validated","source_span":"","fact_ids":["title_womens_flip_flop"],"rationale":"该槽位与商品基准中的明示页面事实一致。"}],"capability_intent":[{"value":"waterproof","evidence_type":"explicit","source_span":"waterproof","fact_ids":[],"rationale":"搜索词明确要求防水功能"}],"primary_domain":[{"value":"clothing_shoes_jewelry","evidence_type":"inferred","source_span":"","fact_ids":[],"rationale":"该值由搜索词整体语义推断，未作为页面明示属性。"}]}</x:v>
      </x:c>
      <x:c r="Y1027" s="15" t="str"/>
      <x:c r="Z1027" s="10" t="str">
        <x:v>partial_match</x:v>
      </x:c>
      <x:c r="AA1027" s="15" t="str">
        <x:v>title_womens_flip_flop | style_flip_flop</x:v>
      </x:c>
      <x:c r="AB1027" s="10" t="str">
        <x:v>accepted</x:v>
      </x:c>
      <x:c r="AC1027" s="10" t="str">
        <x:v>1.0.0</x:v>
      </x:c>
      <x:c r="AD1027" s="10" t="str">
        <x:v>1.1.0</x:v>
      </x:c>
      <x:c r="AE1027" s="10" t="str">
        <x:v>deepseek/deepseek-v4-pro</x:v>
      </x:c>
      <x:c r="AF1027" s="10" t="str">
        <x:v>aj2-y90-20260714T234810-0bea2f52</x:v>
      </x:c>
      <x:c r="AG1027" s="10" t="str">
        <x:v>full-0052</x:v>
      </x:c>
      <x:c r="AH1027" s="10" t="str">
        <x:v>full</x:v>
      </x:c>
      <x:c r="AI1027" s="10" t="n">
        <x:v>52</x:v>
      </x:c>
    </x:row>
    <x:row r="1028" ht="34" customHeight="1">
      <x:c r="A1028" s="16" t="str">
        <x:v>rubber one piece arch flip flop</x:v>
      </x:c>
      <x:c r="B1028" s="16" t="str">
        <x:v>rubber one piece arch flip flop</x:v>
      </x:c>
      <x:c r="C1028" s="13" t="str">
        <x:v>7a46fc7948b7575e</x:v>
      </x:c>
      <x:c r="D1028" s="13" t="str">
        <x:v>keyword</x:v>
      </x:c>
      <x:c r="E1028" s="13" t="str">
        <x:v>en</x:v>
      </x:c>
      <x:c r="F1028" s="13" t="str">
        <x:v>clothing_shoes_jewelry</x:v>
      </x:c>
      <x:c r="G1028" s="16" t="str"/>
      <x:c r="H1028" s="16" t="str">
        <x:v>flip_flops</x:v>
      </x:c>
      <x:c r="I1028" s="16" t="str"/>
      <x:c r="J1028" s="16" t="str"/>
      <x:c r="K1028" s="16" t="str">
        <x:v>rubber_material | one_piece_construction | arch_support</x:v>
      </x:c>
      <x:c r="L1028" s="16" t="str"/>
      <x:c r="M1028" s="16" t="str"/>
      <x:c r="N1028" s="16" t="str">
        <x:v>foot_support</x:v>
      </x:c>
      <x:c r="O1028" s="16" t="str"/>
      <x:c r="P1028" s="16" t="str"/>
      <x:c r="Q1028" s="16" t="str"/>
      <x:c r="R1028" s="16" t="str">
        <x:v>用户希望购买橡胶材质一体成型且带足弓支撑的夹脚拖鞋。</x:v>
      </x:c>
      <x:c r="S1028" s="13" t="str">
        <x:v>consideration</x:v>
      </x:c>
      <x:c r="T1028" s="16" t="str">
        <x:v>explicit | page_validated | inferred</x:v>
      </x:c>
      <x:c r="U1028" s="13" t="str">
        <x:v>medium</x:v>
      </x:c>
      <x:c r="V1028" s="16" t="str">
        <x:v>rubber_one_piece_arch_flip_flop</x:v>
      </x:c>
      <x:c r="W1028" s="16" t="str">
        <x:v>listing_gap_review</x:v>
      </x:c>
      <x:c r="X1028" s="16" t="str">
        <x:v>{"product_type":[{"value":"flip_flops","evidence_type":"explicit","source_span":"flip flop","fact_ids":[],"rationale":"搜索词直接指明夹脚拖鞋品类"},{"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capability_intent":[{"value":"rubber_material","evidence_type":"explicit","source_span":"rubber","fact_ids":[],"rationale":"搜索词明确要求橡胶材质"},{"value":"one_piece_construction","evidence_type":"explicit","source_span":"one piece","fact_ids":[],"rationale":"搜索词明确要求一体成型构造"},{"value":"one_piece_construction","evidence_type":"page_validated","source_span":"","fact_ids":["easy_clean"],"rationale":"无缝EVA构造对应一体成型"},{"value":"arch_support","evidence_type":"explicit","source_span":"arch","fact_ids":[],"rationale":"搜索词明确要求足弓支撑"},{"value":"arch_support","evidence_type":"page_validated","source_span":"","fact_ids":["arch_support"],"rationale":"产品具备人体工学足弓支撑"},{"value":"arch_support","evidence_type":"inferred","source_span":"","fact_ids":[],"rationale":"该能力由搜索词表达的任务或问题推断；页面事实仅用于验证商品承接。"}],"body_need_intent":[{"value":"foot_support","evidence_type":"inferred","source_span":"","fact_ids":[],"rationale":"足弓需求隐含足部支撑诉求"},{"value":"foot_support","evidence_type":"page_validated","source_span":"","fact_ids":["arch_support"],"rationale":"该槽位与商品基准中的明示页面事实一致。"}],"primary_domain":[{"value":"clothing_shoes_jewelry","evidence_type":"inferred","source_span":"","fact_ids":[],"rationale":"该值由搜索词整体语义推断，未作为页面明示属性。"}]}</x:v>
      </x:c>
      <x:c r="Y1028" s="16" t="str"/>
      <x:c r="Z1028" s="13" t="str">
        <x:v>partial_match</x:v>
      </x:c>
      <x:c r="AA1028" s="16" t="str">
        <x:v>style_flip_flop | arch_support | easy_clean | material_eva</x:v>
      </x:c>
      <x:c r="AB1028" s="13" t="str">
        <x:v>accepted</x:v>
      </x:c>
      <x:c r="AC1028" s="13" t="str">
        <x:v>1.0.0</x:v>
      </x:c>
      <x:c r="AD1028" s="13" t="str">
        <x:v>1.1.0</x:v>
      </x:c>
      <x:c r="AE1028" s="13" t="str">
        <x:v>deepseek/deepseek-v4-pro</x:v>
      </x:c>
      <x:c r="AF1028" s="13" t="str">
        <x:v>aj2-y90-20260714T234810-0bea2f52</x:v>
      </x:c>
      <x:c r="AG1028" s="13" t="str">
        <x:v>full-0052</x:v>
      </x:c>
      <x:c r="AH1028" s="13" t="str">
        <x:v>full</x:v>
      </x:c>
      <x:c r="AI1028" s="13" t="n">
        <x:v>52</x:v>
      </x:c>
    </x:row>
    <x:row r="1029" ht="34" customHeight="1">
      <x:c r="A1029" s="15" t="str">
        <x:v>silver flip flops arch support womens</x:v>
      </x:c>
      <x:c r="B1029" s="15" t="str">
        <x:v>silver flip flops arch support womens</x:v>
      </x:c>
      <x:c r="C1029" s="10" t="str">
        <x:v>7c36d991cd4e48d8</x:v>
      </x:c>
      <x:c r="D1029" s="10" t="str">
        <x:v>keyword</x:v>
      </x:c>
      <x:c r="E1029" s="10" t="str">
        <x:v>en</x:v>
      </x:c>
      <x:c r="F1029" s="10" t="str">
        <x:v>clothing_shoes_jewelry</x:v>
      </x:c>
      <x:c r="G1029" s="15" t="str"/>
      <x:c r="H1029" s="15" t="str">
        <x:v>flip_flops</x:v>
      </x:c>
      <x:c r="I1029" s="15" t="str">
        <x:v>women</x:v>
      </x:c>
      <x:c r="J1029" s="15" t="str"/>
      <x:c r="K1029" s="15" t="str">
        <x:v>silver_color | arch_support</x:v>
      </x:c>
      <x:c r="L1029" s="15" t="str"/>
      <x:c r="M1029" s="15" t="str"/>
      <x:c r="N1029" s="15" t="str">
        <x:v>foot_support</x:v>
      </x:c>
      <x:c r="O1029" s="15" t="str"/>
      <x:c r="P1029" s="15" t="str"/>
      <x:c r="Q1029" s="15" t="str"/>
      <x:c r="R1029" s="15" t="str">
        <x:v>用户为女性寻找银色且带足弓支撑的夹脚拖鞋。</x:v>
      </x:c>
      <x:c r="S1029" s="10" t="str">
        <x:v>high_intent</x:v>
      </x:c>
      <x:c r="T1029" s="15" t="str">
        <x:v>explicit | page_validated | inferred</x:v>
      </x:c>
      <x:c r="U1029" s="10" t="str">
        <x:v>high</x:v>
      </x:c>
      <x:c r="V1029" s="15" t="str">
        <x:v>womens_silver_arch_support_flip_flops</x:v>
      </x:c>
      <x:c r="W1029" s="15" t="str">
        <x:v>listing_gap_review</x:v>
      </x:c>
      <x:c r="X1029" s="15" t="str">
        <x:v>{"product_type":[{"value":"flip_flops","evidence_type":"explicit","source_span":"flip flops","fact_ids":[],"rationale":"搜索词直接指明夹脚拖鞋品类"},{"value":"flip_flops","evidence_type":"page_validated","source_span":"","fact_ids":["style_flip_flop"],"rationale":"该槽位与商品基准中的明示页面事实一致。"}],"audience_intent":[{"value":"women","evidence_type":"explicit","source_span":"womens","fact_ids":[],"rationale":"搜索词明确指定女性用户"},{"value":"women","evidence_type":"page_validated","source_span":"","fact_ids":["title_womens_flip_flop"],"rationale":"该槽位与商品基准中的明示页面事实一致。"}],"capability_intent":[{"value":"silver_color","evidence_type":"explicit","source_span":"silver","fact_ids":[],"rationale":"搜索词明确要求银色"},{"value":"arch_support","evidence_type":"explicit","source_span":"arch support","fact_ids":[],"rationale":"搜索词明确要求足弓支撑"},{"value":"arch_support","evidence_type":"page_validated","source_span":"","fact_ids":["arch_support"],"rationale":"产品具备人体工学足弓支撑"}],"body_need_intent":[{"value":"foot_support","evidence_type":"inferred","source_span":"","fact_ids":[],"rationale":"足弓支撑需求隐含足部支撑诉求"},{"value":"foot_support","evidence_type":"page_validated","source_span":"","fact_ids":["arch_support"],"rationale":"该槽位与商品基准中的明示页面事实一致。"}],"primary_domain":[{"value":"clothing_shoes_jewelry","evidence_type":"inferred","source_span":"","fact_ids":[],"rationale":"该值由搜索词整体语义推断，未作为页面明示属性。"}]}</x:v>
      </x:c>
      <x:c r="Y1029" s="15" t="str"/>
      <x:c r="Z1029" s="10" t="str">
        <x:v>partial_match</x:v>
      </x:c>
      <x:c r="AA1029" s="15" t="str">
        <x:v>title_womens_flip_flop | style_flip_flop | arch_support</x:v>
      </x:c>
      <x:c r="AB1029" s="10" t="str">
        <x:v>accepted</x:v>
      </x:c>
      <x:c r="AC1029" s="10" t="str">
        <x:v>1.0.0</x:v>
      </x:c>
      <x:c r="AD1029" s="10" t="str">
        <x:v>1.1.0</x:v>
      </x:c>
      <x:c r="AE1029" s="10" t="str">
        <x:v>deepseek/deepseek-v4-pro</x:v>
      </x:c>
      <x:c r="AF1029" s="10" t="str">
        <x:v>aj2-y90-20260714T234810-0bea2f52</x:v>
      </x:c>
      <x:c r="AG1029" s="10" t="str">
        <x:v>full-0052</x:v>
      </x:c>
      <x:c r="AH1029" s="10" t="str">
        <x:v>full</x:v>
      </x:c>
      <x:c r="AI1029" s="10" t="n">
        <x:v>52</x:v>
      </x:c>
    </x:row>
    <x:row r="1030" ht="34" customHeight="1">
      <x:c r="A1030" s="16" t="str">
        <x:v>ncai flip flops for women</x:v>
      </x:c>
      <x:c r="B1030" s="16" t="str">
        <x:v>ncai flip flops for women</x:v>
      </x:c>
      <x:c r="C1030" s="13" t="str">
        <x:v>7e7bdc8489efeb41</x:v>
      </x:c>
      <x:c r="D1030" s="13" t="str">
        <x:v>keyword</x:v>
      </x:c>
      <x:c r="E1030" s="13" t="str">
        <x:v>en</x:v>
      </x:c>
      <x:c r="F1030" s="13" t="str">
        <x:v>clothing_shoes_jewelry</x:v>
      </x:c>
      <x:c r="G1030" s="16" t="str"/>
      <x:c r="H1030" s="16" t="str">
        <x:v>flip_flops</x:v>
      </x:c>
      <x:c r="I1030" s="16" t="str">
        <x:v>women</x:v>
      </x:c>
      <x:c r="J1030" s="16" t="str"/>
      <x:c r="K1030" s="16" t="str"/>
      <x:c r="L1030" s="16" t="str"/>
      <x:c r="M1030" s="16" t="str"/>
      <x:c r="N1030" s="16" t="str"/>
      <x:c r="O1030" s="16" t="str"/>
      <x:c r="P1030" s="16" t="str">
        <x:v>brand_substitute</x:v>
      </x:c>
      <x:c r="Q1030" s="16" t="str"/>
      <x:c r="R1030" s="16" t="str">
        <x:v>用户为女性寻找ncai品牌的夹脚拖鞋。</x:v>
      </x:c>
      <x:c r="S1030" s="13" t="str">
        <x:v>brand_harvest</x:v>
      </x:c>
      <x:c r="T1030" s="16" t="str">
        <x:v>explicit | page_validated</x:v>
      </x:c>
      <x:c r="U1030" s="13" t="str">
        <x:v>high</x:v>
      </x:c>
      <x:c r="V1030" s="16" t="str">
        <x:v>ncai_brand_womens_flip_flops</x:v>
      </x:c>
      <x:c r="W1030" s="16" t="str">
        <x:v>semantic_negative_candidate</x:v>
      </x:c>
      <x:c r="X1030" s="16" t="str">
        <x:v>{"product_type":[{"value":"flip_flops","evidence_type":"explicit","source_span":"flip flops","fact_ids":[],"rationale":"搜索词直接指明夹脚拖鞋品类"},{"value":"flip_flops","evidence_type":"page_validated","source_span":"","fact_ids":["style_flip_flop"],"rationale":"该槽位与商品基准中的明示页面事实一致。"}],"audience_intent":[{"value":"women","evidence_type":"explicit","source_span":"for women","fact_ids":[],"rationale":"搜索词明确指定女性用户"},{"value":"women","evidence_type":"page_validated","source_span":"","fact_ids":["title_womens_flip_flop"],"rationale":"该槽位与商品基准中的明示页面事实一致。"}],"substitute_intent":[{"value":"brand_substitute","evidence_type":"explicit","source_span":"ncai","fact_ids":[],"rationale":"ncai为特定品牌名称，用户有意搜寻该品牌"}],"primary_domain":[{"value":"clothing_shoes_jewelry","evidence_type":"inferred","source_span":"","fact_ids":[],"rationale":"该值由搜索词整体语义推断，未作为页面明示属性。"}]}</x:v>
      </x:c>
      <x:c r="Y1030" s="16" t="str">
        <x:v>unknown_brand_reference</x:v>
      </x:c>
      <x:c r="Z1030" s="13" t="str">
        <x:v>mismatch</x:v>
      </x:c>
      <x:c r="AA1030" s="16" t="str">
        <x:v>title_womens_flip_flop | style_flip_flop</x:v>
      </x:c>
      <x:c r="AB1030" s="13" t="str">
        <x:v>accepted</x:v>
      </x:c>
      <x:c r="AC1030" s="13" t="str">
        <x:v>1.0.0</x:v>
      </x:c>
      <x:c r="AD1030" s="13" t="str">
        <x:v>1.1.0</x:v>
      </x:c>
      <x:c r="AE1030" s="13" t="str">
        <x:v>deepseek/deepseek-v4-pro</x:v>
      </x:c>
      <x:c r="AF1030" s="13" t="str">
        <x:v>aj2-y90-20260714T234810-0bea2f52</x:v>
      </x:c>
      <x:c r="AG1030" s="13" t="str">
        <x:v>full-0052</x:v>
      </x:c>
      <x:c r="AH1030" s="13" t="str">
        <x:v>full</x:v>
      </x:c>
      <x:c r="AI1030" s="13" t="n">
        <x:v>52</x:v>
      </x:c>
    </x:row>
    <x:row r="1031" ht="34" customHeight="1">
      <x:c r="A1031" s="15" t="str">
        <x:v>women's plantar fasciitis flip flops</x:v>
      </x:c>
      <x:c r="B1031" s="15" t="str">
        <x:v>women's plantar fasciitis flip flops</x:v>
      </x:c>
      <x:c r="C1031" s="10" t="str">
        <x:v>7f7069b632314850</x:v>
      </x:c>
      <x:c r="D1031" s="10" t="str">
        <x:v>keyword</x:v>
      </x:c>
      <x:c r="E1031" s="10" t="str">
        <x:v>en</x:v>
      </x:c>
      <x:c r="F1031" s="10" t="str">
        <x:v>clothing_shoes_jewelry</x:v>
      </x:c>
      <x:c r="G1031" s="15" t="str"/>
      <x:c r="H1031" s="15" t="str">
        <x:v>flip_flops</x:v>
      </x:c>
      <x:c r="I1031" s="15" t="str">
        <x:v>women</x:v>
      </x:c>
      <x:c r="J1031" s="15" t="str">
        <x:v>foot_pain_relief</x:v>
      </x:c>
      <x:c r="K1031" s="15" t="str">
        <x:v>arch_support</x:v>
      </x:c>
      <x:c r="L1031" s="15" t="str"/>
      <x:c r="M1031" s="15" t="str"/>
      <x:c r="N1031" s="15" t="str">
        <x:v>plantar_fasciitis</x:v>
      </x:c>
      <x:c r="O1031" s="15" t="str"/>
      <x:c r="P1031" s="15" t="str"/>
      <x:c r="Q1031" s="15" t="str"/>
      <x:c r="R1031" s="15" t="str">
        <x:v>患有足底筋膜炎的女性希望找到能提供足弓支撑以缓解不适的夹脚拖鞋。</x:v>
      </x:c>
      <x:c r="S1031" s="10" t="str">
        <x:v>consideration</x:v>
      </x:c>
      <x:c r="T1031" s="15" t="str">
        <x:v>explicit | page_validated | inferred</x:v>
      </x:c>
      <x:c r="U1031" s="10" t="str">
        <x:v>medium</x:v>
      </x:c>
      <x:c r="V1031" s="15" t="str">
        <x:v>womens_plantar_fasciitis_flip_flops</x:v>
      </x:c>
      <x:c r="W1031" s="15" t="str">
        <x:v>listing_gap_review</x:v>
      </x:c>
      <x:c r="X1031" s="15" t="str">
        <x:v>{"product_type":[{"value":"flip_flops","evidence_type":"explicit","source_span":"flip flops","fact_ids":[],"rationale":"搜索词直接指明夹脚拖鞋品类"},{"value":"flip_flops","evidence_type":"page_validated","source_span":"","fact_ids":["style_flip_flop"],"rationale":"该槽位与商品基准中的明示页面事实一致。"}],"audience_intent":[{"value":"women","evidence_type":"explicit","source_span":"women's","fact_ids":[],"rationale":"搜索词明确指定女性用户"},{"value":"women","evidence_type":"page_validated","source_span":"","fact_ids":["title_womens_flip_flop"],"rationale":"该槽位与商品基准中的明示页面事实一致。"}],"body_need_intent":[{"value":"plantar_fasciitis","evidence_type":"explicit","source_span":"plantar fasciitis","fact_ids":[],"rationale":"搜索词明确提及足底筋膜炎"}],"capability_intent":[{"value":"arch_support","evidence_type":"page_validated","source_span":"","fact_ids":["arch_support"],"rationale":"产品具备人体工学足弓支撑"},{"value":"arch_support","evidence_type":"inferred","source_span":"","fact_ids":[],"rationale":"该能力由搜索词表达的任务或问题推断；页面事实仅用于验证商品承接。"}],"function_intent":[{"value":"foot_pain_relief","evidence_type":"inferred","source_span":"","fact_ids":[],"rationale":"足底筋膜炎搜索隐含缓解疼痛需求"}],"primary_domain":[{"value":"clothing_shoes_jewelry","evidence_type":"inferred","source_span":"","fact_ids":[],"rationale":"该值由搜索词整体语义推断，未作为页面明示属性。"}]}</x:v>
      </x:c>
      <x:c r="Y1031" s="15" t="str"/>
      <x:c r="Z1031" s="10" t="str">
        <x:v>partial_match</x:v>
      </x:c>
      <x:c r="AA1031" s="15" t="str">
        <x:v>title_womens_flip_flop | style_flip_flop | arch_support</x:v>
      </x:c>
      <x:c r="AB1031" s="10" t="str">
        <x:v>accepted</x:v>
      </x:c>
      <x:c r="AC1031" s="10" t="str">
        <x:v>1.0.0</x:v>
      </x:c>
      <x:c r="AD1031" s="10" t="str">
        <x:v>1.1.0</x:v>
      </x:c>
      <x:c r="AE1031" s="10" t="str">
        <x:v>deepseek/deepseek-v4-pro</x:v>
      </x:c>
      <x:c r="AF1031" s="10" t="str">
        <x:v>aj2-y90-20260714T234810-0bea2f52</x:v>
      </x:c>
      <x:c r="AG1031" s="10" t="str">
        <x:v>full-0052</x:v>
      </x:c>
      <x:c r="AH1031" s="10" t="str">
        <x:v>full</x:v>
      </x:c>
      <x:c r="AI1031" s="10" t="n">
        <x:v>52</x:v>
      </x:c>
    </x:row>
    <x:row r="1032" ht="34" customHeight="1">
      <x:c r="A1032" s="16" t="str">
        <x:v>orthopedic flip flop for women</x:v>
      </x:c>
      <x:c r="B1032" s="16" t="str">
        <x:v>orthopedic flip flop for women</x:v>
      </x:c>
      <x:c r="C1032" s="13" t="str">
        <x:v>9494b4f1ae18105e</x:v>
      </x:c>
      <x:c r="D1032" s="13" t="str">
        <x:v>keyword</x:v>
      </x:c>
      <x:c r="E1032" s="13" t="str">
        <x:v>en</x:v>
      </x:c>
      <x:c r="F1032" s="13" t="str">
        <x:v>clothing_shoes_jewelry</x:v>
      </x:c>
      <x:c r="G1032" s="16" t="str"/>
      <x:c r="H1032" s="16" t="str">
        <x:v>flip_flops</x:v>
      </x:c>
      <x:c r="I1032" s="16" t="str">
        <x:v>women</x:v>
      </x:c>
      <x:c r="J1032" s="16" t="str">
        <x:v>foot_health</x:v>
      </x:c>
      <x:c r="K1032" s="16" t="str">
        <x:v>orthopedic_support</x:v>
      </x:c>
      <x:c r="L1032" s="16" t="str"/>
      <x:c r="M1032" s="16" t="str"/>
      <x:c r="N1032" s="16" t="str">
        <x:v>foot_condition</x:v>
      </x:c>
      <x:c r="O1032" s="16" t="str"/>
      <x:c r="P1032" s="16" t="str"/>
      <x:c r="Q1032" s="16" t="str"/>
      <x:c r="R1032" s="16" t="str">
        <x:v>用户为女性寻找具有矫形支撑功能的夹脚拖鞋。</x:v>
      </x:c>
      <x:c r="S1032" s="13" t="str">
        <x:v>consideration</x:v>
      </x:c>
      <x:c r="T1032" s="16" t="str">
        <x:v>explicit | page_validated | inferred</x:v>
      </x:c>
      <x:c r="U1032" s="13" t="str">
        <x:v>medium</x:v>
      </x:c>
      <x:c r="V1032" s="16" t="str">
        <x:v>womens_orthopedic_flip_flops</x:v>
      </x:c>
      <x:c r="W1032" s="16" t="str">
        <x:v>listing_gap_review</x:v>
      </x:c>
      <x:c r="X1032" s="16" t="str">
        <x:v>{"product_type":[{"value":"flip_flops","evidence_type":"explicit","source_span":"flip flop","fact_ids":[],"rationale":"搜索词直接指明夹脚拖鞋品类"},{"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audience_intent":[{"value":"women","evidence_type":"explicit","source_span":"for women","fact_ids":[],"rationale":"搜索词明确指定女性用户"},{"value":"women","evidence_type":"page_validated","source_span":"","fact_ids":["title_womens_flip_flop"],"rationale":"该槽位与商品基准中的明示页面事实一致。"}],"capability_intent":[{"value":"orthopedic_support","evidence_type":"explicit","source_span":"orthopedic","fact_ids":[],"rationale":"搜索词明确要求矫形功能"}],"function_intent":[{"value":"foot_health","evidence_type":"inferred","source_span":"","fact_ids":[],"rationale":"矫形需求隐含足部健康诉求"}],"body_need_intent":[{"value":"foot_condition","evidence_type":"inferred","source_span":"","fact_ids":[],"rationale":"矫形搜索暗示足部状况需求"}],"primary_domain":[{"value":"clothing_shoes_jewelry","evidence_type":"inferred","source_span":"","fact_ids":[],"rationale":"该值由搜索词整体语义推断，未作为页面明示属性。"}]}</x:v>
      </x:c>
      <x:c r="Y1032" s="16" t="str"/>
      <x:c r="Z1032" s="13" t="str">
        <x:v>partial_match</x:v>
      </x:c>
      <x:c r="AA1032" s="16" t="str">
        <x:v>title_womens_flip_flop | style_flip_flop | arch_support | padded_cushioning</x:v>
      </x:c>
      <x:c r="AB1032" s="13" t="str">
        <x:v>accepted</x:v>
      </x:c>
      <x:c r="AC1032" s="13" t="str">
        <x:v>1.0.0</x:v>
      </x:c>
      <x:c r="AD1032" s="13" t="str">
        <x:v>1.1.0</x:v>
      </x:c>
      <x:c r="AE1032" s="13" t="str">
        <x:v>deepseek/deepseek-v4-pro</x:v>
      </x:c>
      <x:c r="AF1032" s="13" t="str">
        <x:v>aj2-y90-20260714T234810-0bea2f52</x:v>
      </x:c>
      <x:c r="AG1032" s="13" t="str">
        <x:v>full-0052</x:v>
      </x:c>
      <x:c r="AH1032" s="13" t="str">
        <x:v>full</x:v>
      </x:c>
      <x:c r="AI1032" s="13" t="n">
        <x:v>52</x:v>
      </x:c>
    </x:row>
    <x:row r="1033" ht="34" customHeight="1">
      <x:c r="A1033" s="15" t="str">
        <x:v>flip flops from tires</x:v>
      </x:c>
      <x:c r="B1033" s="15" t="str">
        <x:v>flip flops from tires</x:v>
      </x:c>
      <x:c r="C1033" s="10" t="str">
        <x:v>9b709c35847799be</x:v>
      </x:c>
      <x:c r="D1033" s="10" t="str">
        <x:v>keyword</x:v>
      </x:c>
      <x:c r="E1033" s="10" t="str">
        <x:v>en</x:v>
      </x:c>
      <x:c r="F1033" s="10" t="str">
        <x:v>clothing_shoes_jewelry</x:v>
      </x:c>
      <x:c r="G1033" s="15" t="str"/>
      <x:c r="H1033" s="15" t="str">
        <x:v>flip_flops</x:v>
      </x:c>
      <x:c r="I1033" s="15" t="str"/>
      <x:c r="J1033" s="15" t="str"/>
      <x:c r="K1033" s="15" t="str">
        <x:v>recycled_tire_material</x:v>
      </x:c>
      <x:c r="L1033" s="15" t="str"/>
      <x:c r="M1033" s="15" t="str"/>
      <x:c r="N1033" s="15" t="str"/>
      <x:c r="O1033" s="15" t="str"/>
      <x:c r="P1033" s="15" t="str"/>
      <x:c r="Q1033" s="15" t="str"/>
      <x:c r="R1033" s="15" t="str">
        <x:v>用户想购买用废旧轮胎回收材料制成的夹脚拖鞋。</x:v>
      </x:c>
      <x:c r="S1033" s="10" t="str">
        <x:v>consideration</x:v>
      </x:c>
      <x:c r="T1033" s="15" t="str">
        <x:v>explicit | page_validated</x:v>
      </x:c>
      <x:c r="U1033" s="10" t="str">
        <x:v>high</x:v>
      </x:c>
      <x:c r="V1033" s="15" t="str">
        <x:v>recycled_tire_flip_flops</x:v>
      </x:c>
      <x:c r="W1033" s="15" t="str">
        <x:v>semantic_negative_candidate</x:v>
      </x:c>
      <x:c r="X1033" s="15" t="str">
        <x:v>{"product_type":[{"value":"flip_flops","evidence_type":"explicit","source_span":"flip flops","fact_ids":[],"rationale":"搜索词直接指明夹脚拖鞋品类"},{"value":"flip_flops","evidence_type":"page_validated","source_span":"","fact_ids":["style_flip_flop"],"rationale":"该槽位与商品基准中的明示页面事实一致。"}],"capability_intent":[{"value":"recycled_tire_material","evidence_type":"explicit","source_span":"from tires","fact_ids":[],"rationale":"搜索词明确要求轮胎回收材料"}],"primary_domain":[{"value":"clothing_shoes_jewelry","evidence_type":"inferred","source_span":"","fact_ids":[],"rationale":"该值由搜索词整体语义推断，未作为页面明示属性。"}]}</x:v>
      </x:c>
      <x:c r="Y1033" s="15" t="str"/>
      <x:c r="Z1033" s="10" t="str">
        <x:v>mismatch</x:v>
      </x:c>
      <x:c r="AA1033" s="15" t="str">
        <x:v>style_flip_flop | material_eva</x:v>
      </x:c>
      <x:c r="AB1033" s="10" t="str">
        <x:v>accepted</x:v>
      </x:c>
      <x:c r="AC1033" s="10" t="str">
        <x:v>1.0.0</x:v>
      </x:c>
      <x:c r="AD1033" s="10" t="str">
        <x:v>1.1.0</x:v>
      </x:c>
      <x:c r="AE1033" s="10" t="str">
        <x:v>deepseek/deepseek-v4-pro</x:v>
      </x:c>
      <x:c r="AF1033" s="10" t="str">
        <x:v>aj2-y90-20260714T234810-0bea2f52</x:v>
      </x:c>
      <x:c r="AG1033" s="10" t="str">
        <x:v>full-0052</x:v>
      </x:c>
      <x:c r="AH1033" s="10" t="str">
        <x:v>full</x:v>
      </x:c>
      <x:c r="AI1033" s="10" t="n">
        <x:v>52</x:v>
      </x:c>
    </x:row>
    <x:row r="1034" ht="34" customHeight="1">
      <x:c r="A1034" s="16" t="str">
        <x:v>soft flip flops for women memory foam</x:v>
      </x:c>
      <x:c r="B1034" s="16" t="str">
        <x:v>soft flip flops for women memory foam</x:v>
      </x:c>
      <x:c r="C1034" s="13" t="str">
        <x:v>a0b36590d9f4d202</x:v>
      </x:c>
      <x:c r="D1034" s="13" t="str">
        <x:v>keyword</x:v>
      </x:c>
      <x:c r="E1034" s="13" t="str">
        <x:v>en</x:v>
      </x:c>
      <x:c r="F1034" s="13" t="str">
        <x:v>clothing_shoes_jewelry</x:v>
      </x:c>
      <x:c r="G1034" s="16" t="str"/>
      <x:c r="H1034" s="16" t="str">
        <x:v>flip_flops</x:v>
      </x:c>
      <x:c r="I1034" s="16" t="str">
        <x:v>women</x:v>
      </x:c>
      <x:c r="J1034" s="16" t="str"/>
      <x:c r="K1034" s="16" t="str">
        <x:v>soft | memory_foam</x:v>
      </x:c>
      <x:c r="L1034" s="16" t="str"/>
      <x:c r="M1034" s="16" t="str"/>
      <x:c r="N1034" s="16" t="str">
        <x:v>foot_comfort</x:v>
      </x:c>
      <x:c r="O1034" s="16" t="str"/>
      <x:c r="P1034" s="16" t="str"/>
      <x:c r="Q1034" s="16" t="str"/>
      <x:c r="R1034" s="16" t="str">
        <x:v>用户为女性寻找柔软且含记忆棉的夹脚拖鞋。</x:v>
      </x:c>
      <x:c r="S1034" s="13" t="str">
        <x:v>consideration</x:v>
      </x:c>
      <x:c r="T1034" s="16" t="str">
        <x:v>explicit | page_validated | inferred</x:v>
      </x:c>
      <x:c r="U1034" s="13" t="str">
        <x:v>medium</x:v>
      </x:c>
      <x:c r="V1034" s="16" t="str">
        <x:v>womens_soft_memory_foam_flip_flops</x:v>
      </x:c>
      <x:c r="W1034" s="16" t="str">
        <x:v>listing_gap_review</x:v>
      </x:c>
      <x:c r="X1034" s="16" t="str">
        <x:v>{"product_type":[{"value":"flip_flops","evidence_type":"explicit","source_span":"flip flops","fact_ids":[],"rationale":"搜索词直接指明夹脚拖鞋品类"},{"value":"flip_flops","evidence_type":"page_validated","source_span":"","fact_ids":["style_flip_flop"],"rationale":"该槽位与商品基准中的明示页面事实一致。"}],"audience_intent":[{"value":"women","evidence_type":"explicit","source_span":"for women","fact_ids":[],"rationale":"搜索词明确指定女性用户"},{"value":"women","evidence_type":"page_validated","source_span":"","fact_ids":["title_womens_flip_flop"],"rationale":"该槽位与商品基准中的明示页面事实一致。"}],"capability_intent":[{"value":"soft","evidence_type":"explicit","source_span":"soft","fact_ids":[],"rationale":"搜索词明确要求柔软特性"},{"value":"soft","evidence_type":"page_validated","source_span":"","fact_ids":["soft_toe_post"],"rationale":"产品升级柔软趾柱体现柔软特性"},{"value":"memory_foam","evidence_type":"explicit","source_span":"memory foam","fact_ids":[],"rationale":"搜索词明确要求记忆棉材质"}],"body_need_intent":[{"value":"foot_comfort","evidence_type":"inferred","source_span":"","fact_ids":[],"rationale":"柔软及记忆棉需求隐含足部舒适诉求"},{"value":"foot_comfort","evidence_type":"page_validated","source_span":"","fact_ids":["arch_support","padded_cushioning"],"rationale":"该槽位与商品基准中的明示页面事实一致。"}],"primary_domain":[{"value":"clothing_shoes_jewelry","evidence_type":"inferred","source_span":"","fact_ids":[],"rationale":"该值由搜索词整体语义推断，未作为页面明示属性。"}]}</x:v>
      </x:c>
      <x:c r="Y1034" s="16" t="str"/>
      <x:c r="Z1034" s="13" t="str">
        <x:v>partial_match</x:v>
      </x:c>
      <x:c r="AA1034" s="16" t="str">
        <x:v>title_womens_flip_flop | style_flip_flop | soft_toe_post | padded_cushioning</x:v>
      </x:c>
      <x:c r="AB1034" s="13" t="str">
        <x:v>accepted</x:v>
      </x:c>
      <x:c r="AC1034" s="13" t="str">
        <x:v>1.0.0</x:v>
      </x:c>
      <x:c r="AD1034" s="13" t="str">
        <x:v>1.1.0</x:v>
      </x:c>
      <x:c r="AE1034" s="13" t="str">
        <x:v>deepseek/deepseek-v4-pro</x:v>
      </x:c>
      <x:c r="AF1034" s="13" t="str">
        <x:v>aj2-y90-20260714T234810-0bea2f52</x:v>
      </x:c>
      <x:c r="AG1034" s="13" t="str">
        <x:v>full-0052</x:v>
      </x:c>
      <x:c r="AH1034" s="13" t="str">
        <x:v>full</x:v>
      </x:c>
      <x:c r="AI1034" s="13" t="n">
        <x:v>52</x:v>
      </x:c>
    </x:row>
    <x:row r="1035" ht="34" customHeight="1">
      <x:c r="A1035" s="15" t="str">
        <x:v>khaki flip flops for women</x:v>
      </x:c>
      <x:c r="B1035" s="15" t="str">
        <x:v>khaki flip flops for women</x:v>
      </x:c>
      <x:c r="C1035" s="10" t="str">
        <x:v>a20d29973289f215</x:v>
      </x:c>
      <x:c r="D1035" s="10" t="str">
        <x:v>keyword</x:v>
      </x:c>
      <x:c r="E1035" s="10" t="str">
        <x:v>en</x:v>
      </x:c>
      <x:c r="F1035" s="10" t="str">
        <x:v>clothing_shoes_jewelry</x:v>
      </x:c>
      <x:c r="G1035" s="15" t="str"/>
      <x:c r="H1035" s="15" t="str">
        <x:v>flip_flops</x:v>
      </x:c>
      <x:c r="I1035" s="15" t="str">
        <x:v>women</x:v>
      </x:c>
      <x:c r="J1035" s="15" t="str"/>
      <x:c r="K1035" s="15" t="str">
        <x:v>khaki_color</x:v>
      </x:c>
      <x:c r="L1035" s="15" t="str"/>
      <x:c r="M1035" s="15" t="str"/>
      <x:c r="N1035" s="15" t="str"/>
      <x:c r="O1035" s="15" t="str"/>
      <x:c r="P1035" s="15" t="str"/>
      <x:c r="Q1035" s="15" t="str"/>
      <x:c r="R1035" s="15" t="str">
        <x:v>用户为女性寻找卡其色的夹脚拖鞋。</x:v>
      </x:c>
      <x:c r="S1035" s="10" t="str">
        <x:v>high_intent</x:v>
      </x:c>
      <x:c r="T1035" s="15" t="str">
        <x:v>explicit | page_validated</x:v>
      </x:c>
      <x:c r="U1035" s="10" t="str">
        <x:v>high</x:v>
      </x:c>
      <x:c r="V1035" s="15" t="str">
        <x:v>womens_khaki_flip_flops</x:v>
      </x:c>
      <x:c r="W1035" s="15" t="str">
        <x:v>listing_gap_review</x:v>
      </x:c>
      <x:c r="X1035" s="15" t="str">
        <x:v>{"product_type":[{"value":"flip_flops","evidence_type":"explicit","source_span":"flip flops","fact_ids":[],"rationale":"搜索词直接指明夹脚拖鞋品类"},{"value":"flip_flops","evidence_type":"page_validated","source_span":"","fact_ids":["style_flip_flop"],"rationale":"该槽位与商品基准中的明示页面事实一致。"}],"audience_intent":[{"value":"women","evidence_type":"explicit","source_span":"for women","fact_ids":[],"rationale":"搜索词明确指定女性用户"},{"value":"women","evidence_type":"page_validated","source_span":"","fact_ids":["title_womens_flip_flop"],"rationale":"该槽位与商品基准中的明示页面事实一致。"}],"capability_intent":[{"value":"khaki_color","evidence_type":"explicit","source_span":"khaki","fact_ids":[],"rationale":"搜索词明确要求卡其色"}],"primary_domain":[{"value":"clothing_shoes_jewelry","evidence_type":"inferred","source_span":"","fact_ids":[],"rationale":"该值由搜索词整体语义推断，未作为页面明示属性。"}]}</x:v>
      </x:c>
      <x:c r="Y1035" s="15" t="str"/>
      <x:c r="Z1035" s="10" t="str">
        <x:v>partial_match</x:v>
      </x:c>
      <x:c r="AA1035" s="15" t="str">
        <x:v>title_womens_flip_flop | style_flip_flop</x:v>
      </x:c>
      <x:c r="AB1035" s="10" t="str">
        <x:v>accepted</x:v>
      </x:c>
      <x:c r="AC1035" s="10" t="str">
        <x:v>1.0.0</x:v>
      </x:c>
      <x:c r="AD1035" s="10" t="str">
        <x:v>1.1.0</x:v>
      </x:c>
      <x:c r="AE1035" s="10" t="str">
        <x:v>deepseek/deepseek-v4-pro</x:v>
      </x:c>
      <x:c r="AF1035" s="10" t="str">
        <x:v>aj2-y90-20260714T234810-0bea2f52</x:v>
      </x:c>
      <x:c r="AG1035" s="10" t="str">
        <x:v>full-0052</x:v>
      </x:c>
      <x:c r="AH1035" s="10" t="str">
        <x:v>full</x:v>
      </x:c>
      <x:c r="AI1035" s="10" t="n">
        <x:v>52</x:v>
      </x:c>
    </x:row>
    <x:row r="1036" ht="34" customHeight="1">
      <x:c r="A1036" s="16" t="str">
        <x:v>stretch flip flops for women</x:v>
      </x:c>
      <x:c r="B1036" s="16" t="str">
        <x:v>stretch flip flops for women</x:v>
      </x:c>
      <x:c r="C1036" s="13" t="str">
        <x:v>bacf41adc27fdb8b</x:v>
      </x:c>
      <x:c r="D1036" s="13" t="str">
        <x:v>keyword</x:v>
      </x:c>
      <x:c r="E1036" s="13" t="str">
        <x:v>en</x:v>
      </x:c>
      <x:c r="F1036" s="13" t="str">
        <x:v>clothing_shoes_jewelry</x:v>
      </x:c>
      <x:c r="G1036" s="16" t="str"/>
      <x:c r="H1036" s="16" t="str">
        <x:v>flip_flops</x:v>
      </x:c>
      <x:c r="I1036" s="16" t="str">
        <x:v>women</x:v>
      </x:c>
      <x:c r="J1036" s="16" t="str"/>
      <x:c r="K1036" s="16" t="str">
        <x:v>stretch</x:v>
      </x:c>
      <x:c r="L1036" s="16" t="str"/>
      <x:c r="M1036" s="16" t="str"/>
      <x:c r="N1036" s="16" t="str"/>
      <x:c r="O1036" s="16" t="str"/>
      <x:c r="P1036" s="16" t="str"/>
      <x:c r="Q1036" s="16" t="str"/>
      <x:c r="R1036" s="16" t="str">
        <x:v>用户为女性寻找具有弹力伸缩特性的夹脚拖鞋。</x:v>
      </x:c>
      <x:c r="S1036" s="13" t="str">
        <x:v>consideration</x:v>
      </x:c>
      <x:c r="T1036" s="16" t="str">
        <x:v>explicit | page_validated</x:v>
      </x:c>
      <x:c r="U1036" s="13" t="str">
        <x:v>medium</x:v>
      </x:c>
      <x:c r="V1036" s="16" t="str">
        <x:v>womens_stretch_flip_flops</x:v>
      </x:c>
      <x:c r="W1036" s="16" t="str">
        <x:v>listing_gap_review</x:v>
      </x:c>
      <x:c r="X1036" s="16" t="str">
        <x:v>{"product_type":[{"value":"flip_flops","evidence_type":"explicit","source_span":"flip flops","fact_ids":[],"rationale":"搜索词直接指明夹脚拖鞋品类"},{"value":"flip_flops","evidence_type":"page_validated","source_span":"","fact_ids":["style_flip_flop"],"rationale":"该槽位与商品基准中的明示页面事实一致。"}],"audience_intent":[{"value":"women","evidence_type":"explicit","source_span":"for women","fact_ids":[],"rationale":"搜索词明确指定女性用户"},{"value":"women","evidence_type":"page_validated","source_span":"","fact_ids":["title_womens_flip_flop"],"rationale":"该槽位与商品基准中的明示页面事实一致。"}],"capability_intent":[{"value":"stretch","evidence_type":"explicit","source_span":"stretch","fact_ids":[],"rationale":"搜索词要求弹力伸缩功能"}],"primary_domain":[{"value":"clothing_shoes_jewelry","evidence_type":"inferred","source_span":"","fact_ids":[],"rationale":"该值由搜索词整体语义推断，未作为页面明示属性。"}]}</x:v>
      </x:c>
      <x:c r="Y1036" s="16" t="str"/>
      <x:c r="Z1036" s="13" t="str">
        <x:v>partial_match</x:v>
      </x:c>
      <x:c r="AA1036" s="16" t="str">
        <x:v>title_womens_flip_flop | style_flip_flop</x:v>
      </x:c>
      <x:c r="AB1036" s="13" t="str">
        <x:v>accepted</x:v>
      </x:c>
      <x:c r="AC1036" s="13" t="str">
        <x:v>1.0.0</x:v>
      </x:c>
      <x:c r="AD1036" s="13" t="str">
        <x:v>1.1.0</x:v>
      </x:c>
      <x:c r="AE1036" s="13" t="str">
        <x:v>deepseek/deepseek-v4-pro</x:v>
      </x:c>
      <x:c r="AF1036" s="13" t="str">
        <x:v>aj2-y90-20260714T234810-0bea2f52</x:v>
      </x:c>
      <x:c r="AG1036" s="13" t="str">
        <x:v>full-0052</x:v>
      </x:c>
      <x:c r="AH1036" s="13" t="str">
        <x:v>full</x:v>
      </x:c>
      <x:c r="AI1036" s="13" t="n">
        <x:v>52</x:v>
      </x:c>
    </x:row>
    <x:row r="1037" ht="34" customHeight="1">
      <x:c r="A1037" s="15" t="str">
        <x:v>clearance women flip flops</x:v>
      </x:c>
      <x:c r="B1037" s="15" t="str">
        <x:v>clearance women flip flops</x:v>
      </x:c>
      <x:c r="C1037" s="10" t="str">
        <x:v>c47544732ee6136a</x:v>
      </x:c>
      <x:c r="D1037" s="10" t="str">
        <x:v>keyword</x:v>
      </x:c>
      <x:c r="E1037" s="10" t="str">
        <x:v>en</x:v>
      </x:c>
      <x:c r="F1037" s="10" t="str">
        <x:v>clothing_shoes_jewelry</x:v>
      </x:c>
      <x:c r="G1037" s="15" t="str"/>
      <x:c r="H1037" s="15" t="str">
        <x:v>flip_flops</x:v>
      </x:c>
      <x:c r="I1037" s="15" t="str">
        <x:v>women</x:v>
      </x:c>
      <x:c r="J1037" s="15" t="str">
        <x:v>discount_seeking</x:v>
      </x:c>
      <x:c r="K1037" s="15" t="str"/>
      <x:c r="L1037" s="15" t="str"/>
      <x:c r="M1037" s="15" t="str"/>
      <x:c r="N1037" s="15" t="str"/>
      <x:c r="O1037" s="15" t="str"/>
      <x:c r="P1037" s="15" t="str"/>
      <x:c r="Q1037" s="15" t="str"/>
      <x:c r="R1037" s="15" t="str">
        <x:v>用户为女性寻找清仓特价的夹脚拖鞋。</x:v>
      </x:c>
      <x:c r="S1037" s="10" t="str">
        <x:v>high_intent</x:v>
      </x:c>
      <x:c r="T1037" s="15" t="str">
        <x:v>explicit | page_validated</x:v>
      </x:c>
      <x:c r="U1037" s="10" t="str">
        <x:v>high</x:v>
      </x:c>
      <x:c r="V1037" s="15" t="str">
        <x:v>womens_clearance_flip_flops</x:v>
      </x:c>
      <x:c r="W1037" s="15" t="str">
        <x:v>performance_observation</x:v>
      </x:c>
      <x:c r="X1037" s="15" t="str">
        <x:v>{"product_type":[{"value":"flip_flops","evidence_type":"explicit","source_span":"flip flops","fact_ids":[],"rationale":"搜索词直接指明夹脚拖鞋品类"},{"value":"flip_flops","evidence_type":"page_validated","source_span":"","fact_ids":["style_flip_flop"],"rationale":"该槽位与商品基准中的明示页面事实一致。"}],"audience_intent":[{"value":"women","evidence_type":"explicit","source_span":"women","fact_ids":[],"rationale":"搜索词明确指定女性用户"},{"value":"women","evidence_type":"page_validated","source_span":"","fact_ids":["title_womens_flip_flop"],"rationale":"该槽位与商品基准中的明示页面事实一致。"}],"function_intent":[{"value":"discount_seeking","evidence_type":"explicit","source_span":"clearance","fact_ids":[],"rationale":"搜索词明确表达清仓折扣需求"}],"primary_domain":[{"value":"clothing_shoes_jewelry","evidence_type":"inferred","source_span":"","fact_ids":[],"rationale":"该值由搜索词整体语义推断，未作为页面明示属性。"}]}</x:v>
      </x:c>
      <x:c r="Y1037" s="15" t="str"/>
      <x:c r="Z1037" s="10" t="str">
        <x:v>match</x:v>
      </x:c>
      <x:c r="AA1037" s="15" t="str">
        <x:v>title_womens_flip_flop | style_flip_flop</x:v>
      </x:c>
      <x:c r="AB1037" s="10" t="str">
        <x:v>accepted</x:v>
      </x:c>
      <x:c r="AC1037" s="10" t="str">
        <x:v>1.0.0</x:v>
      </x:c>
      <x:c r="AD1037" s="10" t="str">
        <x:v>1.1.0</x:v>
      </x:c>
      <x:c r="AE1037" s="10" t="str">
        <x:v>deepseek/deepseek-v4-pro</x:v>
      </x:c>
      <x:c r="AF1037" s="10" t="str">
        <x:v>aj2-y90-20260714T234810-0bea2f52</x:v>
      </x:c>
      <x:c r="AG1037" s="10" t="str">
        <x:v>full-0052</x:v>
      </x:c>
      <x:c r="AH1037" s="10" t="str">
        <x:v>full</x:v>
      </x:c>
      <x:c r="AI1037" s="10" t="n">
        <x:v>52</x:v>
      </x:c>
    </x:row>
    <x:row r="1038" ht="34" customHeight="1">
      <x:c r="A1038" s="16" t="str">
        <x:v>black flip flips</x:v>
      </x:c>
      <x:c r="B1038" s="16" t="str">
        <x:v>black flip flips</x:v>
      </x:c>
      <x:c r="C1038" s="13" t="str">
        <x:v>de0ed9f65554476e</x:v>
      </x:c>
      <x:c r="D1038" s="13" t="str">
        <x:v>keyword</x:v>
      </x:c>
      <x:c r="E1038" s="13" t="str">
        <x:v>en</x:v>
      </x:c>
      <x:c r="F1038" s="13" t="str">
        <x:v>clothing_shoes_jewelry</x:v>
      </x:c>
      <x:c r="G1038" s="16" t="str"/>
      <x:c r="H1038" s="16" t="str">
        <x:v>flip_flops</x:v>
      </x:c>
      <x:c r="I1038" s="16" t="str"/>
      <x:c r="J1038" s="16" t="str"/>
      <x:c r="K1038" s="16" t="str">
        <x:v>black_color</x:v>
      </x:c>
      <x:c r="L1038" s="16" t="str"/>
      <x:c r="M1038" s="16" t="str"/>
      <x:c r="N1038" s="16" t="str"/>
      <x:c r="O1038" s="16" t="str"/>
      <x:c r="P1038" s="16" t="str"/>
      <x:c r="Q1038" s="16" t="str"/>
      <x:c r="R1038" s="16" t="str">
        <x:v>用户想购买黑色的夹脚拖鞋。</x:v>
      </x:c>
      <x:c r="S1038" s="13" t="str">
        <x:v>high_intent</x:v>
      </x:c>
      <x:c r="T1038" s="16" t="str">
        <x:v>explicit | page_validated</x:v>
      </x:c>
      <x:c r="U1038" s="13" t="str">
        <x:v>high</x:v>
      </x:c>
      <x:c r="V1038" s="16" t="str">
        <x:v>black_flip_flops</x:v>
      </x:c>
      <x:c r="W1038" s="16" t="str">
        <x:v>cluster_route</x:v>
      </x:c>
      <x:c r="X1038" s="16" t="str">
        <x:v>{"product_type":[{"value":"flip_flops","evidence_type":"explicit","source_span":"flip flips","fact_ids":[],"rationale":"flip flips为flip flops拼写变体"},{"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capability_intent":[{"value":"black_color","evidence_type":"explicit","source_span":"black","fact_ids":[],"rationale":"搜索词明确要求黑色"},{"value":"black_color","evidence_type":"page_validated","source_span":"","fact_ids":["colors_visible"],"rationale":"产品颜色选项中包含黑色"}],"primary_domain":[{"value":"clothing_shoes_jewelry","evidence_type":"inferred","source_span":"","fact_ids":[],"rationale":"该值由搜索词整体语义推断，未作为页面明示属性。"}]}</x:v>
      </x:c>
      <x:c r="Y1038" s="16" t="str">
        <x:v>spelling_variant</x:v>
      </x:c>
      <x:c r="Z1038" s="13" t="str">
        <x:v>match</x:v>
      </x:c>
      <x:c r="AA1038" s="16" t="str">
        <x:v>style_flip_flop | colors_visible</x:v>
      </x:c>
      <x:c r="AB1038" s="13" t="str">
        <x:v>accepted</x:v>
      </x:c>
      <x:c r="AC1038" s="13" t="str">
        <x:v>1.0.0</x:v>
      </x:c>
      <x:c r="AD1038" s="13" t="str">
        <x:v>1.1.0</x:v>
      </x:c>
      <x:c r="AE1038" s="13" t="str">
        <x:v>deepseek/deepseek-v4-pro</x:v>
      </x:c>
      <x:c r="AF1038" s="13" t="str">
        <x:v>aj2-y90-20260714T234810-0bea2f52</x:v>
      </x:c>
      <x:c r="AG1038" s="13" t="str">
        <x:v>full-0052</x:v>
      </x:c>
      <x:c r="AH1038" s="13" t="str">
        <x:v>full</x:v>
      </x:c>
      <x:c r="AI1038" s="13" t="n">
        <x:v>52</x:v>
      </x:c>
    </x:row>
    <x:row r="1039" ht="34" customHeight="1">
      <x:c r="A1039" s="15" t="str">
        <x:v>light weight supportive flip flops</x:v>
      </x:c>
      <x:c r="B1039" s="15" t="str">
        <x:v>light weight supportive flip flops</x:v>
      </x:c>
      <x:c r="C1039" s="10" t="str">
        <x:v>f1d3c20755fbc0d5</x:v>
      </x:c>
      <x:c r="D1039" s="10" t="str">
        <x:v>keyword</x:v>
      </x:c>
      <x:c r="E1039" s="10" t="str">
        <x:v>en</x:v>
      </x:c>
      <x:c r="F1039" s="10" t="str">
        <x:v>clothing_shoes_jewelry</x:v>
      </x:c>
      <x:c r="G1039" s="15" t="str"/>
      <x:c r="H1039" s="15" t="str">
        <x:v>flip_flops</x:v>
      </x:c>
      <x:c r="I1039" s="15" t="str"/>
      <x:c r="J1039" s="15" t="str"/>
      <x:c r="K1039" s="15" t="str">
        <x:v>lightweight | supportive</x:v>
      </x:c>
      <x:c r="L1039" s="15" t="str"/>
      <x:c r="M1039" s="15" t="str"/>
      <x:c r="N1039" s="15" t="str">
        <x:v>foot_support</x:v>
      </x:c>
      <x:c r="O1039" s="15" t="str"/>
      <x:c r="P1039" s="15" t="str"/>
      <x:c r="Q1039" s="15" t="str"/>
      <x:c r="R1039" s="15" t="str">
        <x:v>用户需要轻便且有支撑功能的夹脚拖鞋。</x:v>
      </x:c>
      <x:c r="S1039" s="10" t="str">
        <x:v>consideration</x:v>
      </x:c>
      <x:c r="T1039" s="15" t="str">
        <x:v>explicit | page_validated | inferred</x:v>
      </x:c>
      <x:c r="U1039" s="10" t="str">
        <x:v>high</x:v>
      </x:c>
      <x:c r="V1039" s="15" t="str">
        <x:v>lightweight_supportive_flip_flops</x:v>
      </x:c>
      <x:c r="W1039" s="15" t="str">
        <x:v>cluster_route</x:v>
      </x:c>
      <x:c r="X1039" s="15" t="str">
        <x:v>{"product_type":[{"value":"flip_flops","evidence_type":"explicit","source_span":"flip flops","fact_ids":[],"rationale":"搜索词直接指明夹脚拖鞋品类"},{"value":"flip_flops","evidence_type":"page_validated","source_span":"","fact_ids":["style_flip_flop"],"rationale":"该槽位与商品基准中的明示页面事实一致。"}],"capability_intent":[{"value":"lightweight","evidence_type":"explicit","source_span":"light weight","fact_ids":[],"rationale":"搜索词明确要求轻便"},{"value":"lightweight","evidence_type":"page_validated","source_span":"","fact_ids":["lightweight_breathable"],"rationale":"产品标注超轻特性"},{"value":"supportive","evidence_type":"explicit","source_span":"supportive","fact_ids":[],"rationale":"搜索词明确要求支撑功能"},{"value":"supportive","evidence_type":"page_validated","source_span":"","fact_ids":["arch_support"],"rationale":"产品具备足弓支撑实现支撑功能"},{"value":"lightweight","evidence_type":"inferred","source_span":"","fact_ids":[],"rationale":"该能力由搜索词表达的任务或问题推断；页面事实仅用于验证商品承接。"}],"body_need_intent":[{"value":"foot_support","evidence_type":"inferred","source_span":"","fact_ids":[],"rationale":"支撑需求隐含足部支撑诉求"},{"value":"foot_support","evidence_type":"page_validated","source_span":"","fact_ids":["arch_support"],"rationale":"该槽位与商品基准中的明示页面事实一致。"}],"primary_domain":[{"value":"clothing_shoes_jewelry","evidence_type":"inferred","source_span":"","fact_ids":[],"rationale":"该值由搜索词整体语义推断，未作为页面明示属性。"}]}</x:v>
      </x:c>
      <x:c r="Y1039" s="15" t="str"/>
      <x:c r="Z1039" s="10" t="str">
        <x:v>match</x:v>
      </x:c>
      <x:c r="AA1039" s="15" t="str">
        <x:v>style_flip_flop | lightweight_breathable | arch_support</x:v>
      </x:c>
      <x:c r="AB1039" s="10" t="str">
        <x:v>accepted</x:v>
      </x:c>
      <x:c r="AC1039" s="10" t="str">
        <x:v>1.0.0</x:v>
      </x:c>
      <x:c r="AD1039" s="10" t="str">
        <x:v>1.1.0</x:v>
      </x:c>
      <x:c r="AE1039" s="10" t="str">
        <x:v>deepseek/deepseek-v4-pro</x:v>
      </x:c>
      <x:c r="AF1039" s="10" t="str">
        <x:v>aj2-y90-20260714T234810-0bea2f52</x:v>
      </x:c>
      <x:c r="AG1039" s="10" t="str">
        <x:v>full-0052</x:v>
      </x:c>
      <x:c r="AH1039" s="10" t="str">
        <x:v>full</x:v>
      </x:c>
      <x:c r="AI1039" s="10" t="n">
        <x:v>52</x:v>
      </x:c>
    </x:row>
    <x:row r="1040" ht="34" customHeight="1">
      <x:c r="A1040" s="16" t="str">
        <x:v>bright blue flip flops</x:v>
      </x:c>
      <x:c r="B1040" s="16" t="str">
        <x:v>bright blue flip flops</x:v>
      </x:c>
      <x:c r="C1040" s="13" t="str">
        <x:v>fa4738d6593d1bed</x:v>
      </x:c>
      <x:c r="D1040" s="13" t="str">
        <x:v>keyword</x:v>
      </x:c>
      <x:c r="E1040" s="13" t="str">
        <x:v>en</x:v>
      </x:c>
      <x:c r="F1040" s="13" t="str">
        <x:v>clothing_shoes_jewelry</x:v>
      </x:c>
      <x:c r="G1040" s="16" t="str"/>
      <x:c r="H1040" s="16" t="str">
        <x:v>flip_flops</x:v>
      </x:c>
      <x:c r="I1040" s="16" t="str"/>
      <x:c r="J1040" s="16" t="str"/>
      <x:c r="K1040" s="16" t="str">
        <x:v>bright_blue_color</x:v>
      </x:c>
      <x:c r="L1040" s="16" t="str"/>
      <x:c r="M1040" s="16" t="str"/>
      <x:c r="N1040" s="16" t="str"/>
      <x:c r="O1040" s="16" t="str"/>
      <x:c r="P1040" s="16" t="str"/>
      <x:c r="Q1040" s="16" t="str"/>
      <x:c r="R1040" s="16" t="str">
        <x:v>用户想购买亮蓝色的夹脚拖鞋。</x:v>
      </x:c>
      <x:c r="S1040" s="13" t="str">
        <x:v>high_intent</x:v>
      </x:c>
      <x:c r="T1040" s="16" t="str">
        <x:v>explicit | page_validated</x:v>
      </x:c>
      <x:c r="U1040" s="13" t="str">
        <x:v>high</x:v>
      </x:c>
      <x:c r="V1040" s="16" t="str">
        <x:v>bright_blue_flip_flops</x:v>
      </x:c>
      <x:c r="W1040" s="16" t="str">
        <x:v>listing_gap_review</x:v>
      </x:c>
      <x:c r="X1040" s="16" t="str">
        <x:v>{"product_type":[{"value":"flip_flops","evidence_type":"explicit","source_span":"flip flops","fact_ids":[],"rationale":"搜索词直接指明夹脚拖鞋品类"},{"value":"flip_flops","evidence_type":"page_validated","source_span":"","fact_ids":["style_flip_flop"],"rationale":"该槽位与商品基准中的明示页面事实一致。"}],"capability_intent":[{"value":"bright_blue_color","evidence_type":"explicit","source_span":"bright blue","fact_ids":[],"rationale":"搜索词明确要求亮蓝色"}],"primary_domain":[{"value":"clothing_shoes_jewelry","evidence_type":"inferred","source_span":"","fact_ids":[],"rationale":"该值由搜索词整体语义推断，未作为页面明示属性。"}]}</x:v>
      </x:c>
      <x:c r="Y1040" s="16" t="str"/>
      <x:c r="Z1040" s="13" t="str">
        <x:v>partial_match</x:v>
      </x:c>
      <x:c r="AA1040" s="16" t="str">
        <x:v>style_flip_flop | colors_visible</x:v>
      </x:c>
      <x:c r="AB1040" s="13" t="str">
        <x:v>accepted</x:v>
      </x:c>
      <x:c r="AC1040" s="13" t="str">
        <x:v>1.0.0</x:v>
      </x:c>
      <x:c r="AD1040" s="13" t="str">
        <x:v>1.1.0</x:v>
      </x:c>
      <x:c r="AE1040" s="13" t="str">
        <x:v>deepseek/deepseek-v4-pro</x:v>
      </x:c>
      <x:c r="AF1040" s="13" t="str">
        <x:v>aj2-y90-20260714T234810-0bea2f52</x:v>
      </x:c>
      <x:c r="AG1040" s="13" t="str">
        <x:v>full-0052</x:v>
      </x:c>
      <x:c r="AH1040" s="13" t="str">
        <x:v>full</x:v>
      </x:c>
      <x:c r="AI1040" s="13" t="n">
        <x:v>52</x:v>
      </x:c>
    </x:row>
    <x:row r="1041" ht="34" customHeight="1">
      <x:c r="A1041" s="15" t="str">
        <x:v>womens flip flops for pool</x:v>
      </x:c>
      <x:c r="B1041" s="15" t="str">
        <x:v>womens flip flops for pool</x:v>
      </x:c>
      <x:c r="C1041" s="10" t="str">
        <x:v>fb92bc669d62d838</x:v>
      </x:c>
      <x:c r="D1041" s="10" t="str">
        <x:v>keyword</x:v>
      </x:c>
      <x:c r="E1041" s="10" t="str">
        <x:v>en</x:v>
      </x:c>
      <x:c r="F1041" s="10" t="str">
        <x:v>clothing_shoes_jewelry</x:v>
      </x:c>
      <x:c r="G1041" s="15" t="str"/>
      <x:c r="H1041" s="15" t="str">
        <x:v>flip_flops</x:v>
      </x:c>
      <x:c r="I1041" s="15" t="str">
        <x:v>women</x:v>
      </x:c>
      <x:c r="J1041" s="15" t="str"/>
      <x:c r="K1041" s="15" t="str"/>
      <x:c r="L1041" s="15" t="str">
        <x:v>swimming</x:v>
      </x:c>
      <x:c r="M1041" s="15" t="str">
        <x:v>pool</x:v>
      </x:c>
      <x:c r="N1041" s="15" t="str"/>
      <x:c r="O1041" s="15" t="str"/>
      <x:c r="P1041" s="15" t="str"/>
      <x:c r="Q1041" s="15" t="str"/>
      <x:c r="R1041" s="15" t="str">
        <x:v>用户为女性寻找适合在泳池穿着的夹脚拖鞋。</x:v>
      </x:c>
      <x:c r="S1041" s="10" t="str">
        <x:v>consideration</x:v>
      </x:c>
      <x:c r="T1041" s="15" t="str">
        <x:v>explicit | page_validated</x:v>
      </x:c>
      <x:c r="U1041" s="10" t="str">
        <x:v>high</x:v>
      </x:c>
      <x:c r="V1041" s="15" t="str">
        <x:v>womens_pool_flip_flops</x:v>
      </x:c>
      <x:c r="W1041" s="15" t="str">
        <x:v>listing_gap_review</x:v>
      </x:c>
      <x:c r="X1041" s="15" t="str">
        <x:v>{"product_type":[{"value":"flip_flops","evidence_type":"explicit","source_span":"flip flops","fact_ids":[],"rationale":"搜索词直接指明夹脚拖鞋品类"},{"value":"flip_flops","evidence_type":"page_validated","source_span":"","fact_ids":["style_flip_flop"],"rationale":"该槽位与商品基准中的明示页面事实一致。"}],"audience_intent":[{"value":"women","evidence_type":"explicit","source_span":"womens","fact_ids":[],"rationale":"搜索词明确指定女性用户"},{"value":"women","evidence_type":"page_validated","source_span":"","fact_ids":["title_womens_flip_flop"],"rationale":"该槽位与商品基准中的明示页面事实一致。"}],"location_intent":[{"value":"pool","evidence_type":"explicit","source_span":"for pool","fact_ids":[],"rationale":"搜索词明确指定泳池使用场景"}],"event_intent":[{"value":"swimming","evidence_type":"inferred","source_span":"","fact_ids":[],"rationale":"泳池场景隐含游泳相关活动"}],"primary_domain":[{"value":"clothing_shoes_jewelry","evidence_type":"inferred","source_span":"","fact_ids":[],"rationale":"该值由搜索词整体语义推断，未作为页面明示属性。"}]}</x:v>
      </x:c>
      <x:c r="Y1041" s="15" t="str"/>
      <x:c r="Z1041" s="10" t="str">
        <x:v>partial_match</x:v>
      </x:c>
      <x:c r="AA1041" s="15" t="str">
        <x:v>title_womens_flip_flop | style_flip_flop | style_outdoor | easy_clean | slip_resistant_grip</x:v>
      </x:c>
      <x:c r="AB1041" s="10" t="str">
        <x:v>accepted</x:v>
      </x:c>
      <x:c r="AC1041" s="10" t="str">
        <x:v>1.0.0</x:v>
      </x:c>
      <x:c r="AD1041" s="10" t="str">
        <x:v>1.1.0</x:v>
      </x:c>
      <x:c r="AE1041" s="10" t="str">
        <x:v>deepseek/deepseek-v4-pro</x:v>
      </x:c>
      <x:c r="AF1041" s="10" t="str">
        <x:v>aj2-y90-20260714T234810-0bea2f52</x:v>
      </x:c>
      <x:c r="AG1041" s="10" t="str">
        <x:v>full-0052</x:v>
      </x:c>
      <x:c r="AH1041" s="10" t="str">
        <x:v>full</x:v>
      </x:c>
      <x:c r="AI1041" s="10" t="n">
        <x:v>52</x:v>
      </x:c>
    </x:row>
    <x:row r="1042" ht="34" customHeight="1">
      <x:c r="A1042" s="16" t="str">
        <x:v>top rated white flip flops women arch support</x:v>
      </x:c>
      <x:c r="B1042" s="16" t="str">
        <x:v>top rated white flip flops women arch support</x:v>
      </x:c>
      <x:c r="C1042" s="13" t="str">
        <x:v>11861d438c73c06d</x:v>
      </x:c>
      <x:c r="D1042" s="13" t="str">
        <x:v>keyword</x:v>
      </x:c>
      <x:c r="E1042" s="13" t="str">
        <x:v>en</x:v>
      </x:c>
      <x:c r="F1042" s="13" t="str">
        <x:v>clothing_shoes_jewelry</x:v>
      </x:c>
      <x:c r="G1042" s="16" t="str"/>
      <x:c r="H1042" s="16" t="str">
        <x:v>flip_flop</x:v>
      </x:c>
      <x:c r="I1042" s="16" t="str">
        <x:v>women</x:v>
      </x:c>
      <x:c r="J1042" s="16" t="str">
        <x:v>arch_support</x:v>
      </x:c>
      <x:c r="K1042" s="16" t="str">
        <x:v>color_white | high_rating</x:v>
      </x:c>
      <x:c r="L1042" s="16" t="str"/>
      <x:c r="M1042" s="16" t="str"/>
      <x:c r="N1042" s="16" t="str">
        <x:v>arch_pain</x:v>
      </x:c>
      <x:c r="O1042" s="16" t="str"/>
      <x:c r="P1042" s="16" t="str"/>
      <x:c r="Q1042" s="16" t="str"/>
      <x:c r="R1042" s="16" t="str">
        <x:v>用户想为女性寻找高评分的白色足弓支撑人字拖。</x:v>
      </x:c>
      <x:c r="S1042" s="13" t="str">
        <x:v>high_intent</x:v>
      </x:c>
      <x:c r="T1042" s="16" t="str">
        <x:v>explicit | page_validated | inferred</x:v>
      </x:c>
      <x:c r="U1042" s="13" t="str">
        <x:v>medium</x:v>
      </x:c>
      <x:c r="V1042" s="16" t="str">
        <x:v>womens_white_arch_support_flip_flops</x:v>
      </x:c>
      <x:c r="W1042" s="16" t="str">
        <x:v>listing_gap_review</x:v>
      </x:c>
      <x:c r="X1042" s="16" t="str">
        <x:v>{"product_type":[{"value":"flip_flop","evidence_type":"explicit","source_span":"flip flops","fact_ids":[],"rationale":"explicit product type in search term"},{"value":"flip_flop","evidence_type":"page_validated","source_span":"","fact_ids":["style_flip_flop"],"rationale":"该槽位与商品基准中的明示页面事实一致。"}],"audience_intent":[{"value":"women","evidence_type":"explicit","source_span":"women","fact_ids":[],"rationale":"explicit audience in search term"},{"value":"women","evidence_type":"page_validated","source_span":"","fact_ids":["title_womens_flip_flop"],"rationale":"该槽位与商品基准中的明示页面事实一致。"}],"function_intent":[{"value":"arch_support","evidence_type":"explicit","source_span":"arch support","fact_ids":[],"rationale":"explicit functional need in search term"},{"value":"arch_support","evidence_type":"page_validated","source_span":"","fact_ids":["arch_support"],"rationale":"该槽位与商品基准中的明示页面事实一致。"}],"capability_intent":[{"value":"color_white","evidence_type":"explicit","source_span":"white","fact_ids":[],"rationale":"explicit color in search term"},{"value":"high_rating","evidence_type":"explicit","source_span":"top rated","fact_ids":[],"rationale":"explicit rating preference in search term"}],"body_need_intent":[{"value":"arch_pain","evidence_type":"inferred","source_span":"","fact_ids":[],"rationale":"该值由搜索词整体语义推断，未作为页面明示属性。"}],"primary_domain":[{"value":"clothing_shoes_jewelry","evidence_type":"inferred","source_span":"","fact_ids":[],"rationale":"该值由搜索词整体语义推断，未作为页面明示属性。"}]}</x:v>
      </x:c>
      <x:c r="Y1042" s="16" t="str">
        <x:v>rating_unverifiable</x:v>
      </x:c>
      <x:c r="Z1042" s="13" t="str">
        <x:v>partial_match</x:v>
      </x:c>
      <x:c r="AA1042" s="16" t="str">
        <x:v>arch_support | colors_visible</x:v>
      </x:c>
      <x:c r="AB1042" s="13" t="str">
        <x:v>accepted</x:v>
      </x:c>
      <x:c r="AC1042" s="13" t="str">
        <x:v>1.0.0</x:v>
      </x:c>
      <x:c r="AD1042" s="13" t="str">
        <x:v>1.1.0</x:v>
      </x:c>
      <x:c r="AE1042" s="13" t="str">
        <x:v>deepseek/deepseek-v4-pro</x:v>
      </x:c>
      <x:c r="AF1042" s="13" t="str">
        <x:v>aj2-y90-20260714T234810-0bea2f52</x:v>
      </x:c>
      <x:c r="AG1042" s="13" t="str">
        <x:v>full-0053</x:v>
      </x:c>
      <x:c r="AH1042" s="13" t="str">
        <x:v>full</x:v>
      </x:c>
      <x:c r="AI1042" s="13" t="n">
        <x:v>53</x:v>
      </x:c>
    </x:row>
    <x:row r="1043" ht="34" customHeight="1">
      <x:c r="A1043" s="15" t="str">
        <x:v>womens flip flips blue</x:v>
      </x:c>
      <x:c r="B1043" s="15" t="str">
        <x:v>womens flip flips blue</x:v>
      </x:c>
      <x:c r="C1043" s="10" t="str">
        <x:v>1228b1012efd1071</x:v>
      </x:c>
      <x:c r="D1043" s="10" t="str">
        <x:v>keyword</x:v>
      </x:c>
      <x:c r="E1043" s="10" t="str">
        <x:v>en</x:v>
      </x:c>
      <x:c r="F1043" s="10" t="str">
        <x:v>clothing_shoes_jewelry</x:v>
      </x:c>
      <x:c r="G1043" s="15" t="str"/>
      <x:c r="H1043" s="15" t="str">
        <x:v>flip_flop</x:v>
      </x:c>
      <x:c r="I1043" s="15" t="str">
        <x:v>women</x:v>
      </x:c>
      <x:c r="J1043" s="15" t="str"/>
      <x:c r="K1043" s="15" t="str">
        <x:v>color_blue</x:v>
      </x:c>
      <x:c r="L1043" s="15" t="str"/>
      <x:c r="M1043" s="15" t="str"/>
      <x:c r="N1043" s="15" t="str"/>
      <x:c r="O1043" s="15" t="str"/>
      <x:c r="P1043" s="15" t="str"/>
      <x:c r="Q1043" s="15" t="str"/>
      <x:c r="R1043" s="15" t="str">
        <x:v>用户为女性寻找蓝色人字拖（flip flips为flip flops的拼写变体）。</x:v>
      </x:c>
      <x:c r="S1043" s="10" t="str">
        <x:v>high_intent</x:v>
      </x:c>
      <x:c r="T1043" s="15" t="str">
        <x:v>explicit | page_validated | inferred</x:v>
      </x:c>
      <x:c r="U1043" s="10" t="str">
        <x:v>medium</x:v>
      </x:c>
      <x:c r="V1043" s="15" t="str">
        <x:v>blue_womens_flip_flops</x:v>
      </x:c>
      <x:c r="W1043" s="15" t="str">
        <x:v>cluster_route</x:v>
      </x:c>
      <x:c r="X1043" s="15" t="str">
        <x:v>{"product_type":[{"value":"flip_flop","evidence_type":"inferred","source_span":"flip flips","fact_ids":[],"rationale":"flip flips is a likely typo for flip flops"},{"value":"flip_flop","evidence_type":"page_validated","source_span":"","fact_ids":["style_flip_flop"],"rationale":"该槽位与商品基准中的明示页面事实一致。"}],"audience_intent":[{"value":"women","evidence_type":"explicit","source_span":"womens","fact_ids":[],"rationale":"explicit audience in search term"},{"value":"women","evidence_type":"page_validated","source_span":"","fact_ids":["title_womens_flip_flop"],"rationale":"该槽位与商品基准中的明示页面事实一致。"}],"capability_intent":[{"value":"color_blue","evidence_type":"explicit","source_span":"blue","fact_ids":[],"rationale":"explicit color in search term"}],"primary_domain":[{"value":"clothing_shoes_jewelry","evidence_type":"inferred","source_span":"","fact_ids":[],"rationale":"该值由搜索词整体语义推断，未作为页面明示属性。"}]}</x:v>
      </x:c>
      <x:c r="Y1043" s="15" t="str">
        <x:v>typo_present</x:v>
      </x:c>
      <x:c r="Z1043" s="10" t="str">
        <x:v>match</x:v>
      </x:c>
      <x:c r="AA1043" s="15" t="str">
        <x:v>title_womens_flip_flop | style_flip_flop | colors_visible</x:v>
      </x:c>
      <x:c r="AB1043" s="10" t="str">
        <x:v>accepted</x:v>
      </x:c>
      <x:c r="AC1043" s="10" t="str">
        <x:v>1.0.0</x:v>
      </x:c>
      <x:c r="AD1043" s="10" t="str">
        <x:v>1.1.0</x:v>
      </x:c>
      <x:c r="AE1043" s="10" t="str">
        <x:v>deepseek/deepseek-v4-pro</x:v>
      </x:c>
      <x:c r="AF1043" s="10" t="str">
        <x:v>aj2-y90-20260714T234810-0bea2f52</x:v>
      </x:c>
      <x:c r="AG1043" s="10" t="str">
        <x:v>full-0053</x:v>
      </x:c>
      <x:c r="AH1043" s="10" t="str">
        <x:v>full</x:v>
      </x:c>
      <x:c r="AI1043" s="10" t="n">
        <x:v>53</x:v>
      </x:c>
    </x:row>
    <x:row r="1044" ht="34" customHeight="1">
      <x:c r="A1044" s="16" t="str">
        <x:v>sandals women flip flops</x:v>
      </x:c>
      <x:c r="B1044" s="16" t="str">
        <x:v>sandals women flip flops</x:v>
      </x:c>
      <x:c r="C1044" s="13" t="str">
        <x:v>17dd8a1bb4bcedac</x:v>
      </x:c>
      <x:c r="D1044" s="13" t="str">
        <x:v>keyword</x:v>
      </x:c>
      <x:c r="E1044" s="13" t="str">
        <x:v>en</x:v>
      </x:c>
      <x:c r="F1044" s="13" t="str">
        <x:v>clothing_shoes_jewelry</x:v>
      </x:c>
      <x:c r="G1044" s="16" t="str"/>
      <x:c r="H1044" s="16" t="str">
        <x:v>sandal | flip_flop</x:v>
      </x:c>
      <x:c r="I1044" s="16" t="str">
        <x:v>women</x:v>
      </x:c>
      <x:c r="J1044" s="16" t="str"/>
      <x:c r="K1044" s="16" t="str"/>
      <x:c r="L1044" s="16" t="str"/>
      <x:c r="M1044" s="16" t="str"/>
      <x:c r="N1044" s="16" t="str"/>
      <x:c r="O1044" s="16" t="str"/>
      <x:c r="P1044" s="16" t="str"/>
      <x:c r="Q1044" s="16" t="str"/>
      <x:c r="R1044" s="16" t="str">
        <x:v>用户为女性搜索凉鞋或人字拖类产品。</x:v>
      </x:c>
      <x:c r="S1044" s="13" t="str">
        <x:v>consideration</x:v>
      </x:c>
      <x:c r="T1044" s="16" t="str">
        <x:v>explicit | page_validated</x:v>
      </x:c>
      <x:c r="U1044" s="13" t="str">
        <x:v>high</x:v>
      </x:c>
      <x:c r="V1044" s="16" t="str">
        <x:v>womens_sandals_flip_flops</x:v>
      </x:c>
      <x:c r="W1044" s="16" t="str">
        <x:v>cluster_route</x:v>
      </x:c>
      <x:c r="X1044" s="16" t="str">
        <x:v>{"product_type":[{"value":"sandal","evidence_type":"explicit","source_span":"sandals","fact_ids":[],"rationale":"explicit product type in search term"},{"value":"flip_flop","evidence_type":"explicit","source_span":"flip flops","fact_ids":[],"rationale":"explicit product type in search term"},{"value":"flip_flop","evidence_type":"page_validated","source_span":"","fact_ids":["style_flip_flop"],"rationale":"该槽位与商品基准中的明示页面事实一致。"}],"audience_intent":[{"value":"women","evidence_type":"explicit","source_span":"women","fact_ids":[],"rationale":"explicit audience in search term"},{"value":"women","evidence_type":"page_validated","source_span":"","fact_ids":["title_womens_flip_flop"],"rationale":"该槽位与商品基准中的明示页面事实一致。"}],"primary_domain":[{"value":"clothing_shoes_jewelry","evidence_type":"inferred","source_span":"","fact_ids":[],"rationale":"该值由搜索词整体语义推断，未作为页面明示属性。"}]}</x:v>
      </x:c>
      <x:c r="Y1044" s="16" t="str"/>
      <x:c r="Z1044" s="13" t="str">
        <x:v>match</x:v>
      </x:c>
      <x:c r="AA1044" s="16" t="str">
        <x:v>title_womens_flip_flop | style_flip_flop</x:v>
      </x:c>
      <x:c r="AB1044" s="13" t="str">
        <x:v>accepted</x:v>
      </x:c>
      <x:c r="AC1044" s="13" t="str">
        <x:v>1.0.0</x:v>
      </x:c>
      <x:c r="AD1044" s="13" t="str">
        <x:v>1.1.0</x:v>
      </x:c>
      <x:c r="AE1044" s="13" t="str">
        <x:v>deepseek/deepseek-v4-pro</x:v>
      </x:c>
      <x:c r="AF1044" s="13" t="str">
        <x:v>aj2-y90-20260714T234810-0bea2f52</x:v>
      </x:c>
      <x:c r="AG1044" s="13" t="str">
        <x:v>full-0053</x:v>
      </x:c>
      <x:c r="AH1044" s="13" t="str">
        <x:v>full</x:v>
      </x:c>
      <x:c r="AI1044" s="13" t="n">
        <x:v>53</x:v>
      </x:c>
    </x:row>
    <x:row r="1045" ht="34" customHeight="1">
      <x:c r="A1045" s="15" t="str">
        <x:v>flip flops with arch support for women cheeky</x:v>
      </x:c>
      <x:c r="B1045" s="15" t="str">
        <x:v>flip flops with arch support for women cheeky</x:v>
      </x:c>
      <x:c r="C1045" s="10" t="str">
        <x:v>1a9144e8ea49c495</x:v>
      </x:c>
      <x:c r="D1045" s="10" t="str">
        <x:v>keyword</x:v>
      </x:c>
      <x:c r="E1045" s="10" t="str">
        <x:v>en</x:v>
      </x:c>
      <x:c r="F1045" s="10" t="str">
        <x:v>clothing_shoes_jewelry</x:v>
      </x:c>
      <x:c r="G1045" s="15" t="str"/>
      <x:c r="H1045" s="15" t="str">
        <x:v>flip_flop</x:v>
      </x:c>
      <x:c r="I1045" s="15" t="str">
        <x:v>women</x:v>
      </x:c>
      <x:c r="J1045" s="15" t="str">
        <x:v>arch_support</x:v>
      </x:c>
      <x:c r="K1045" s="15" t="str">
        <x:v>cheeky_style</x:v>
      </x:c>
      <x:c r="L1045" s="15" t="str"/>
      <x:c r="M1045" s="15" t="str"/>
      <x:c r="N1045" s="15" t="str">
        <x:v>arch_pain</x:v>
      </x:c>
      <x:c r="O1045" s="15" t="str"/>
      <x:c r="P1045" s="15" t="str"/>
      <x:c r="Q1045" s="15" t="str"/>
      <x:c r="R1045" s="15" t="str">
        <x:v>用户为女性寻找有足弓支撑且风格俏皮/性感的人字拖。</x:v>
      </x:c>
      <x:c r="S1045" s="10" t="str">
        <x:v>high_intent</x:v>
      </x:c>
      <x:c r="T1045" s="15" t="str">
        <x:v>explicit | page_validated | inferred</x:v>
      </x:c>
      <x:c r="U1045" s="10" t="str">
        <x:v>medium</x:v>
      </x:c>
      <x:c r="V1045" s="15" t="str">
        <x:v>womens_arch_support_flip_flops</x:v>
      </x:c>
      <x:c r="W1045" s="15" t="str">
        <x:v>listing_gap_review</x:v>
      </x:c>
      <x:c r="X1045" s="15" t="str">
        <x:v>{"product_type":[{"value":"flip_flop","evidence_type":"explicit","source_span":"flip flops","fact_ids":[],"rationale":"explicit product type in search term"},{"value":"flip_flop","evidence_type":"page_validated","source_span":"","fact_ids":["style_flip_flop"],"rationale":"该槽位与商品基准中的明示页面事实一致。"}],"audience_intent":[{"value":"women","evidence_type":"explicit","source_span":"for women","fact_ids":[],"rationale":"explicit audience in search term"},{"value":"women","evidence_type":"page_validated","source_span":"","fact_ids":["title_womens_flip_flop"],"rationale":"该槽位与商品基准中的明示页面事实一致。"}],"function_intent":[{"value":"arch_support","evidence_type":"explicit","source_span":"arch support","fact_ids":[],"rationale":"explicit function in search term"},{"value":"arch_support","evidence_type":"page_validated","source_span":"","fact_ids":["arch_support"],"rationale":"该槽位与商品基准中的明示页面事实一致。"}],"capability_intent":[{"value":"cheeky_style","evidence_type":"explicit","source_span":"cheeky","fact_ids":[],"rationale":"explicit style descriptor in search term"}],"body_need_intent":[{"value":"arch_pain","evidence_type":"inferred","source_span":"arch support","fact_ids":[],"rationale":"arch support implies foot discomfort"}],"primary_domain":[{"value":"clothing_shoes_jewelry","evidence_type":"inferred","source_span":"","fact_ids":[],"rationale":"该值由搜索词整体语义推断，未作为页面明示属性。"}]}</x:v>
      </x:c>
      <x:c r="Y1045" s="15" t="str">
        <x:v>style_not_evidenced</x:v>
      </x:c>
      <x:c r="Z1045" s="10" t="str">
        <x:v>partial_match</x:v>
      </x:c>
      <x:c r="AA1045" s="15" t="str">
        <x:v>title_womens_flip_flop | arch_support | style_flip_flop</x:v>
      </x:c>
      <x:c r="AB1045" s="10" t="str">
        <x:v>accepted</x:v>
      </x:c>
      <x:c r="AC1045" s="10" t="str">
        <x:v>1.0.0</x:v>
      </x:c>
      <x:c r="AD1045" s="10" t="str">
        <x:v>1.1.0</x:v>
      </x:c>
      <x:c r="AE1045" s="10" t="str">
        <x:v>deepseek/deepseek-v4-pro</x:v>
      </x:c>
      <x:c r="AF1045" s="10" t="str">
        <x:v>aj2-y90-20260714T234810-0bea2f52</x:v>
      </x:c>
      <x:c r="AG1045" s="10" t="str">
        <x:v>full-0053</x:v>
      </x:c>
      <x:c r="AH1045" s="10" t="str">
        <x:v>full</x:v>
      </x:c>
      <x:c r="AI1045" s="10" t="n">
        <x:v>53</x:v>
      </x:c>
    </x:row>
    <x:row r="1046" ht="34" customHeight="1">
      <x:c r="A1046" s="16" t="str">
        <x:v>womens support flip flops</x:v>
      </x:c>
      <x:c r="B1046" s="16" t="str">
        <x:v>womens support flip flops</x:v>
      </x:c>
      <x:c r="C1046" s="13" t="str">
        <x:v>3f1617462651ccbf</x:v>
      </x:c>
      <x:c r="D1046" s="13" t="str">
        <x:v>keyword</x:v>
      </x:c>
      <x:c r="E1046" s="13" t="str">
        <x:v>en</x:v>
      </x:c>
      <x:c r="F1046" s="13" t="str">
        <x:v>clothing_shoes_jewelry</x:v>
      </x:c>
      <x:c r="G1046" s="16" t="str"/>
      <x:c r="H1046" s="16" t="str">
        <x:v>flip_flop</x:v>
      </x:c>
      <x:c r="I1046" s="16" t="str">
        <x:v>women</x:v>
      </x:c>
      <x:c r="J1046" s="16" t="str">
        <x:v>arch_support</x:v>
      </x:c>
      <x:c r="K1046" s="16" t="str"/>
      <x:c r="L1046" s="16" t="str"/>
      <x:c r="M1046" s="16" t="str"/>
      <x:c r="N1046" s="16" t="str">
        <x:v>arch_pain</x:v>
      </x:c>
      <x:c r="O1046" s="16" t="str"/>
      <x:c r="P1046" s="16" t="str"/>
      <x:c r="Q1046" s="16" t="str"/>
      <x:c r="R1046" s="16" t="str">
        <x:v>用户为女性寻找有足弓支撑功能的人字拖。</x:v>
      </x:c>
      <x:c r="S1046" s="13" t="str">
        <x:v>high_intent</x:v>
      </x:c>
      <x:c r="T1046" s="16" t="str">
        <x:v>explicit | page_validated | inferred</x:v>
      </x:c>
      <x:c r="U1046" s="13" t="str">
        <x:v>high</x:v>
      </x:c>
      <x:c r="V1046" s="16" t="str">
        <x:v>womens_support_flip_flops</x:v>
      </x:c>
      <x:c r="W1046" s="16" t="str">
        <x:v>cluster_route</x:v>
      </x:c>
      <x:c r="X1046" s="16" t="str">
        <x:v>{"product_type":[{"value":"flip_flop","evidence_type":"explicit","source_span":"flip flops","fact_ids":[],"rationale":"explicit product type in search term"},{"value":"flip_flop","evidence_type":"page_validated","source_span":"","fact_ids":["style_flip_flop"],"rationale":"该槽位与商品基准中的明示页面事实一致。"}],"audience_intent":[{"value":"women","evidence_type":"explicit","source_span":"womens","fact_ids":[],"rationale":"explicit audience in search term"},{"value":"women","evidence_type":"page_validated","source_span":"","fact_ids":["title_womens_flip_flop"],"rationale":"该槽位与商品基准中的明示页面事实一致。"}],"function_intent":[{"value":"arch_support","evidence_type":"explicit","source_span":"support","fact_ids":[],"rationale":"explicit support need in search term"},{"value":"arch_support","evidence_type":"page_validated","source_span":"","fact_ids":["arch_support"],"rationale":"该槽位与商品基准中的明示页面事实一致。"},{"value":"arch_support","evidence_type":"inferred","source_span":"","fact_ids":[],"rationale":"该能力由搜索词表达的任务或问题推断；页面事实仅用于验证商品承接。"}],"body_need_intent":[{"value":"arch_pain","evidence_type":"inferred","source_span":"support","fact_ids":[],"rationale":"support implies arch discomfort need"}],"primary_domain":[{"value":"clothing_shoes_jewelry","evidence_type":"inferred","source_span":"","fact_ids":[],"rationale":"该值由搜索词整体语义推断，未作为页面明示属性。"}]}</x:v>
      </x:c>
      <x:c r="Y1046" s="16" t="str"/>
      <x:c r="Z1046" s="13" t="str">
        <x:v>match</x:v>
      </x:c>
      <x:c r="AA1046" s="16" t="str">
        <x:v>title_womens_flip_flop | arch_support | style_flip_flop</x:v>
      </x:c>
      <x:c r="AB1046" s="13" t="str">
        <x:v>accepted</x:v>
      </x:c>
      <x:c r="AC1046" s="13" t="str">
        <x:v>1.0.0</x:v>
      </x:c>
      <x:c r="AD1046" s="13" t="str">
        <x:v>1.1.0</x:v>
      </x:c>
      <x:c r="AE1046" s="13" t="str">
        <x:v>deepseek/deepseek-v4-pro</x:v>
      </x:c>
      <x:c r="AF1046" s="13" t="str">
        <x:v>aj2-y90-20260714T234810-0bea2f52</x:v>
      </x:c>
      <x:c r="AG1046" s="13" t="str">
        <x:v>full-0053</x:v>
      </x:c>
      <x:c r="AH1046" s="13" t="str">
        <x:v>full</x:v>
      </x:c>
      <x:c r="AI1046" s="13" t="n">
        <x:v>53</x:v>
      </x:c>
    </x:row>
    <x:row r="1047" ht="34" customHeight="1">
      <x:c r="A1047" s="15" t="str">
        <x:v>gray flip flops</x:v>
      </x:c>
      <x:c r="B1047" s="15" t="str">
        <x:v>gray flip flops</x:v>
      </x:c>
      <x:c r="C1047" s="10" t="str">
        <x:v>52b9aa61ebcb16d8</x:v>
      </x:c>
      <x:c r="D1047" s="10" t="str">
        <x:v>keyword</x:v>
      </x:c>
      <x:c r="E1047" s="10" t="str">
        <x:v>en</x:v>
      </x:c>
      <x:c r="F1047" s="10" t="str">
        <x:v>clothing_shoes_jewelry</x:v>
      </x:c>
      <x:c r="G1047" s="15" t="str"/>
      <x:c r="H1047" s="15" t="str">
        <x:v>flip_flop</x:v>
      </x:c>
      <x:c r="I1047" s="15" t="str"/>
      <x:c r="J1047" s="15" t="str"/>
      <x:c r="K1047" s="15" t="str">
        <x:v>color_gray</x:v>
      </x:c>
      <x:c r="L1047" s="15" t="str"/>
      <x:c r="M1047" s="15" t="str"/>
      <x:c r="N1047" s="15" t="str"/>
      <x:c r="O1047" s="15" t="str"/>
      <x:c r="P1047" s="15" t="str"/>
      <x:c r="Q1047" s="15" t="str"/>
      <x:c r="R1047" s="15" t="str">
        <x:v>用户想购买灰色人字拖，但未明确性别受众。</x:v>
      </x:c>
      <x:c r="S1047" s="10" t="str">
        <x:v>consideration</x:v>
      </x:c>
      <x:c r="T1047" s="15" t="str">
        <x:v>explicit | page_validated | inferred</x:v>
      </x:c>
      <x:c r="U1047" s="10" t="str">
        <x:v>low</x:v>
      </x:c>
      <x:c r="V1047" s="15" t="str">
        <x:v>gray_flip_flops</x:v>
      </x:c>
      <x:c r="W1047" s="15" t="str">
        <x:v>ambiguity_review</x:v>
      </x:c>
      <x:c r="X1047" s="15" t="str">
        <x:v>{"product_type":[{"value":"flip_flop","evidence_type":"explicit","source_span":"flip flops","fact_ids":[],"rationale":"explicit product type in search term"},{"value":"flip_flop","evidence_type":"page_validated","source_span":"","fact_ids":["style_flip_flop"],"rationale":"该槽位与商品基准中的明示页面事实一致。"}],"capability_intent":[{"value":"color_gray","evidence_type":"explicit","source_span":"gray","fact_ids":[],"rationale":"explicit color in search term"}],"primary_domain":[{"value":"clothing_shoes_jewelry","evidence_type":"inferred","source_span":"","fact_ids":[],"rationale":"该值由搜索词整体语义推断，未作为页面明示属性。"}]}</x:v>
      </x:c>
      <x:c r="Y1047" s="15" t="str">
        <x:v>unspecified_gender | color_shade_variation</x:v>
      </x:c>
      <x:c r="Z1047" s="10" t="str">
        <x:v>partial_match</x:v>
      </x:c>
      <x:c r="AA1047" s="15" t="str">
        <x:v>colors_visible | title_womens_flip_flop</x:v>
      </x:c>
      <x:c r="AB1047" s="10" t="str">
        <x:v>accepted</x:v>
      </x:c>
      <x:c r="AC1047" s="10" t="str">
        <x:v>1.0.0</x:v>
      </x:c>
      <x:c r="AD1047" s="10" t="str">
        <x:v>1.1.0</x:v>
      </x:c>
      <x:c r="AE1047" s="10" t="str">
        <x:v>deepseek/deepseek-v4-pro</x:v>
      </x:c>
      <x:c r="AF1047" s="10" t="str">
        <x:v>aj2-y90-20260714T234810-0bea2f52</x:v>
      </x:c>
      <x:c r="AG1047" s="10" t="str">
        <x:v>full-0053</x:v>
      </x:c>
      <x:c r="AH1047" s="10" t="str">
        <x:v>full</x:v>
      </x:c>
      <x:c r="AI1047" s="10" t="n">
        <x:v>53</x:v>
      </x:c>
    </x:row>
    <x:row r="1048" ht="34" customHeight="1">
      <x:c r="A1048" s="16" t="str">
        <x:v>michael kors women flip flops</x:v>
      </x:c>
      <x:c r="B1048" s="16" t="str">
        <x:v>michael kors women flip flops</x:v>
      </x:c>
      <x:c r="C1048" s="13" t="str">
        <x:v>582c28453285cc3d</x:v>
      </x:c>
      <x:c r="D1048" s="13" t="str">
        <x:v>keyword</x:v>
      </x:c>
      <x:c r="E1048" s="13" t="str">
        <x:v>en</x:v>
      </x:c>
      <x:c r="F1048" s="13" t="str">
        <x:v>clothing_shoes_jewelry</x:v>
      </x:c>
      <x:c r="G1048" s="16" t="str"/>
      <x:c r="H1048" s="16" t="str">
        <x:v>flip_flop</x:v>
      </x:c>
      <x:c r="I1048" s="16" t="str">
        <x:v>women</x:v>
      </x:c>
      <x:c r="J1048" s="16" t="str"/>
      <x:c r="K1048" s="16" t="str"/>
      <x:c r="L1048" s="16" t="str"/>
      <x:c r="M1048" s="16" t="str"/>
      <x:c r="N1048" s="16" t="str"/>
      <x:c r="O1048" s="16" t="str"/>
      <x:c r="P1048" s="16" t="str"/>
      <x:c r="Q1048" s="16" t="str"/>
      <x:c r="R1048" s="16" t="str">
        <x:v>用户想购买Michael Kors品牌的女式人字拖。</x:v>
      </x:c>
      <x:c r="S1048" s="13" t="str">
        <x:v>brand_harvest</x:v>
      </x:c>
      <x:c r="T1048" s="16" t="str">
        <x:v>explicit | inferred</x:v>
      </x:c>
      <x:c r="U1048" s="13" t="str">
        <x:v>high</x:v>
      </x:c>
      <x:c r="V1048" s="16" t="str">
        <x:v>branded_womens_flip_flops</x:v>
      </x:c>
      <x:c r="W1048" s="16" t="str">
        <x:v>semantic_negative_candidate</x:v>
      </x:c>
      <x:c r="X1048" s="16" t="str">
        <x:v>{"product_type":[{"value":"flip_flop","evidence_type":"explicit","source_span":"flip flops","fact_ids":[],"rationale":"explicit product type in search term"},{"value":"flip_flop","evidence_type":"page_validated","source_span":"","fact_ids":["style_flip_flop"],"rationale":"该槽位与商品基准中的明示页面事实一致。"}],"audience_intent":[{"value":"women","evidence_type":"explicit","source_span":"women","fact_ids":[],"rationale":"explicit audience in search term"},{"value":"women","evidence_type":"page_validated","source_span":"","fact_ids":["title_womens_flip_flop"],"rationale":"该槽位与商品基准中的明示页面事实一致。"}],"primary_domain":[{"value":"clothing_shoes_jewelry","evidence_type":"inferred","source_span":"","fact_ids":[],"rationale":"该值由搜索词整体语义推断，未作为页面明示属性。"}]}</x:v>
      </x:c>
      <x:c r="Y1048" s="16" t="str">
        <x:v>competing_brand</x:v>
      </x:c>
      <x:c r="Z1048" s="13" t="str">
        <x:v>mismatch</x:v>
      </x:c>
      <x:c r="AA1048" s="16" t="str"/>
      <x:c r="AB1048" s="13" t="str">
        <x:v>accepted</x:v>
      </x:c>
      <x:c r="AC1048" s="13" t="str">
        <x:v>1.0.0</x:v>
      </x:c>
      <x:c r="AD1048" s="13" t="str">
        <x:v>1.1.0</x:v>
      </x:c>
      <x:c r="AE1048" s="13" t="str">
        <x:v>deepseek/deepseek-v4-pro</x:v>
      </x:c>
      <x:c r="AF1048" s="13" t="str">
        <x:v>aj2-y90-20260714T234810-0bea2f52</x:v>
      </x:c>
      <x:c r="AG1048" s="13" t="str">
        <x:v>full-0053</x:v>
      </x:c>
      <x:c r="AH1048" s="13" t="str">
        <x:v>full</x:v>
      </x:c>
      <x:c r="AI1048" s="13" t="n">
        <x:v>53</x:v>
      </x:c>
    </x:row>
    <x:row r="1049" ht="34" customHeight="1">
      <x:c r="A1049" s="15" t="str">
        <x:v>拖鞋</x:v>
      </x:c>
      <x:c r="B1049" s="15" t="str">
        <x:v>拖鞋</x:v>
      </x:c>
      <x:c r="C1049" s="10" t="str">
        <x:v>6053e0a7e287f575</x:v>
      </x:c>
      <x:c r="D1049" s="10" t="str">
        <x:v>keyword</x:v>
      </x:c>
      <x:c r="E1049" s="10" t="str">
        <x:v>zh</x:v>
      </x:c>
      <x:c r="F1049" s="10" t="str">
        <x:v>clothing_shoes_jewelry</x:v>
      </x:c>
      <x:c r="G1049" s="15" t="str"/>
      <x:c r="H1049" s="15" t="str">
        <x:v>slipper</x:v>
      </x:c>
      <x:c r="I1049" s="15" t="str"/>
      <x:c r="J1049" s="15" t="str"/>
      <x:c r="K1049" s="15" t="str"/>
      <x:c r="L1049" s="15" t="str"/>
      <x:c r="M1049" s="15" t="str"/>
      <x:c r="N1049" s="15" t="str"/>
      <x:c r="O1049" s="15" t="str"/>
      <x:c r="P1049" s="15" t="str"/>
      <x:c r="Q1049" s="15" t="str"/>
      <x:c r="R1049" s="15" t="str">
        <x:v>用户搜索拖鞋类产品，意图不明确，可能涵盖人字拖、家居拖鞋等多种类型。</x:v>
      </x:c>
      <x:c r="S1049" s="10" t="str">
        <x:v>exploration</x:v>
      </x:c>
      <x:c r="T1049" s="15" t="str">
        <x:v>explicit</x:v>
      </x:c>
      <x:c r="U1049" s="10" t="str">
        <x:v>low</x:v>
      </x:c>
      <x:c r="V1049" s="15" t="str">
        <x:v>slippers_generic</x:v>
      </x:c>
      <x:c r="W1049" s="15" t="str">
        <x:v>ambiguity_review</x:v>
      </x:c>
      <x:c r="X1049" s="15" t="str">
        <x:v>{"product_type":[{"value":"slipper","evidence_type":"explicit","source_span":"拖鞋","fact_ids":[],"rationale":"explicit product type in Chinese search term"}],"primary_domain":[{"value":"clothing_shoes_jewelry","evidence_type":"inferred","source_span":"","fact_ids":[],"rationale":"该值由搜索词整体语义推断，未作为页面明示属性。"}]}</x:v>
      </x:c>
      <x:c r="Y1049" s="15" t="str">
        <x:v>broad_product_category | unspecified_gender | unspecified_style</x:v>
      </x:c>
      <x:c r="Z1049" s="10" t="str">
        <x:v>partial_match</x:v>
      </x:c>
      <x:c r="AA1049" s="15" t="str">
        <x:v>title_womens_flip_flop</x:v>
      </x:c>
      <x:c r="AB1049" s="10" t="str">
        <x:v>accepted</x:v>
      </x:c>
      <x:c r="AC1049" s="10" t="str">
        <x:v>1.0.0</x:v>
      </x:c>
      <x:c r="AD1049" s="10" t="str">
        <x:v>1.1.0</x:v>
      </x:c>
      <x:c r="AE1049" s="10" t="str">
        <x:v>deepseek/deepseek-v4-pro</x:v>
      </x:c>
      <x:c r="AF1049" s="10" t="str">
        <x:v>aj2-y90-20260714T234810-0bea2f52</x:v>
      </x:c>
      <x:c r="AG1049" s="10" t="str">
        <x:v>full-0053</x:v>
      </x:c>
      <x:c r="AH1049" s="10" t="str">
        <x:v>full</x:v>
      </x:c>
      <x:c r="AI1049" s="10" t="n">
        <x:v>53</x:v>
      </x:c>
    </x:row>
    <x:row r="1050" ht="34" customHeight="1">
      <x:c r="A1050" s="16" t="str">
        <x:v>gotsoft</x:v>
      </x:c>
      <x:c r="B1050" s="16" t="str">
        <x:v>gotsoft</x:v>
      </x:c>
      <x:c r="C1050" s="13" t="str">
        <x:v>6192bf3c7643b7b4</x:v>
      </x:c>
      <x:c r="D1050" s="13" t="str">
        <x:v>keyword</x:v>
      </x:c>
      <x:c r="E1050" s="13" t="str">
        <x:v>en</x:v>
      </x:c>
      <x:c r="F1050" s="13" t="str">
        <x:v>clothing_shoes_jewelry</x:v>
      </x:c>
      <x:c r="G1050" s="16" t="str"/>
      <x:c r="H1050" s="16" t="str"/>
      <x:c r="I1050" s="16" t="str"/>
      <x:c r="J1050" s="16" t="str"/>
      <x:c r="K1050" s="16" t="str"/>
      <x:c r="L1050" s="16" t="str"/>
      <x:c r="M1050" s="16" t="str"/>
      <x:c r="N1050" s="16" t="str"/>
      <x:c r="O1050" s="16" t="str"/>
      <x:c r="P1050" s="16" t="str"/>
      <x:c r="Q1050" s="16" t="str"/>
      <x:c r="R1050" s="16" t="str">
        <x:v>用户搜索gotsoft，可能是品牌名或拼写错误，意图不明确。</x:v>
      </x:c>
      <x:c r="S1050" s="13" t="str">
        <x:v>unknown</x:v>
      </x:c>
      <x:c r="T1050" s="16" t="str"/>
      <x:c r="U1050" s="13" t="str">
        <x:v>low</x:v>
      </x:c>
      <x:c r="V1050" s="16" t="str">
        <x:v>unclassified</x:v>
      </x:c>
      <x:c r="W1050" s="16" t="str">
        <x:v>ambiguity_review</x:v>
      </x:c>
      <x:c r="X1050" s="16" t="str">
        <x:v>{"primary_domain":[{"value":"clothing_shoes_jewelry","evidence_type":"inferred","source_span":"","fact_ids":[],"rationale":"该值由搜索词整体语义推断，未作为页面明示属性。"}]}</x:v>
      </x:c>
      <x:c r="Y1050" s="16" t="str">
        <x:v>unclear_search_intent | possible_brand_or_typo</x:v>
      </x:c>
      <x:c r="Z1050" s="13" t="str">
        <x:v>unknown</x:v>
      </x:c>
      <x:c r="AA1050" s="16" t="str"/>
      <x:c r="AB1050" s="13" t="str">
        <x:v>accepted</x:v>
      </x:c>
      <x:c r="AC1050" s="13" t="str">
        <x:v>1.0.0</x:v>
      </x:c>
      <x:c r="AD1050" s="13" t="str">
        <x:v>1.1.0</x:v>
      </x:c>
      <x:c r="AE1050" s="13" t="str">
        <x:v>deepseek/deepseek-v4-pro</x:v>
      </x:c>
      <x:c r="AF1050" s="13" t="str">
        <x:v>aj2-y90-20260714T234810-0bea2f52</x:v>
      </x:c>
      <x:c r="AG1050" s="13" t="str">
        <x:v>full-0053</x:v>
      </x:c>
      <x:c r="AH1050" s="13" t="str">
        <x:v>full</x:v>
      </x:c>
      <x:c r="AI1050" s="13" t="n">
        <x:v>53</x:v>
      </x:c>
    </x:row>
    <x:row r="1051" ht="34" customHeight="1">
      <x:c r="A1051" s="15" t="str">
        <x:v>flip flops for women long lasting</x:v>
      </x:c>
      <x:c r="B1051" s="15" t="str">
        <x:v>flip flops for women long lasting</x:v>
      </x:c>
      <x:c r="C1051" s="10" t="str">
        <x:v>6277a5f6b6654eaf</x:v>
      </x:c>
      <x:c r="D1051" s="10" t="str">
        <x:v>keyword</x:v>
      </x:c>
      <x:c r="E1051" s="10" t="str">
        <x:v>en</x:v>
      </x:c>
      <x:c r="F1051" s="10" t="str">
        <x:v>clothing_shoes_jewelry</x:v>
      </x:c>
      <x:c r="G1051" s="15" t="str"/>
      <x:c r="H1051" s="15" t="str">
        <x:v>flip_flop</x:v>
      </x:c>
      <x:c r="I1051" s="15" t="str">
        <x:v>women</x:v>
      </x:c>
      <x:c r="J1051" s="15" t="str">
        <x:v>durability</x:v>
      </x:c>
      <x:c r="K1051" s="15" t="str">
        <x:v>long_lasting</x:v>
      </x:c>
      <x:c r="L1051" s="15" t="str"/>
      <x:c r="M1051" s="15" t="str"/>
      <x:c r="N1051" s="15" t="str"/>
      <x:c r="O1051" s="15" t="str"/>
      <x:c r="P1051" s="15" t="str"/>
      <x:c r="Q1051" s="15" t="str"/>
      <x:c r="R1051" s="15" t="str">
        <x:v>用户为女性寻找耐穿、寿命长的人字拖。</x:v>
      </x:c>
      <x:c r="S1051" s="10" t="str">
        <x:v>high_intent</x:v>
      </x:c>
      <x:c r="T1051" s="15" t="str">
        <x:v>explicit | inferred</x:v>
      </x:c>
      <x:c r="U1051" s="10" t="str">
        <x:v>medium</x:v>
      </x:c>
      <x:c r="V1051" s="15" t="str">
        <x:v>durable_womens_flip_flops</x:v>
      </x:c>
      <x:c r="W1051" s="15" t="str">
        <x:v>listing_gap_review</x:v>
      </x:c>
      <x:c r="X1051" s="15" t="str">
        <x:v>{"product_type":[{"value":"flip_flop","evidence_type":"explicit","source_span":"flip flops","fact_ids":[],"rationale":"explicit product type in search term"},{"value":"flip_flop","evidence_type":"page_validated","source_span":"","fact_ids":["style_flip_flop"],"rationale":"该槽位与商品基准中的明示页面事实一致。"}],"audience_intent":[{"value":"women","evidence_type":"explicit","source_span":"for women","fact_ids":[],"rationale":"explicit audience in search term"},{"value":"women","evidence_type":"page_validated","source_span":"","fact_ids":["title_womens_flip_flop"],"rationale":"该槽位与商品基准中的明示页面事实一致。"}],"function_intent":[{"value":"durability","evidence_type":"explicit","source_span":"long lasting","fact_ids":[],"rationale":"explicit durability need in search term"}],"capability_intent":[{"value":"long_lasting","evidence_type":"explicit","source_span":"long lasting","fact_ids":[],"rationale":"explicit capability in search term"}],"primary_domain":[{"value":"clothing_shoes_jewelry","evidence_type":"inferred","source_span":"","fact_ids":[],"rationale":"该值由搜索词整体语义推断，未作为页面明示属性。"}]}</x:v>
      </x:c>
      <x:c r="Y1051" s="15" t="str">
        <x:v>durability_unverified</x:v>
      </x:c>
      <x:c r="Z1051" s="10" t="str">
        <x:v>partial_match</x:v>
      </x:c>
      <x:c r="AA1051" s="15" t="str">
        <x:v>title_womens_flip_flop | material_eva</x:v>
      </x:c>
      <x:c r="AB1051" s="10" t="str">
        <x:v>accepted</x:v>
      </x:c>
      <x:c r="AC1051" s="10" t="str">
        <x:v>1.0.0</x:v>
      </x:c>
      <x:c r="AD1051" s="10" t="str">
        <x:v>1.1.0</x:v>
      </x:c>
      <x:c r="AE1051" s="10" t="str">
        <x:v>deepseek/deepseek-v4-pro</x:v>
      </x:c>
      <x:c r="AF1051" s="10" t="str">
        <x:v>aj2-y90-20260714T234810-0bea2f52</x:v>
      </x:c>
      <x:c r="AG1051" s="10" t="str">
        <x:v>full-0053</x:v>
      </x:c>
      <x:c r="AH1051" s="10" t="str">
        <x:v>full</x:v>
      </x:c>
      <x:c r="AI1051" s="10" t="n">
        <x:v>53</x:v>
      </x:c>
    </x:row>
    <x:row r="1052" ht="34" customHeight="1">
      <x:c r="A1052" s="16" t="str">
        <x:v>sandals with arch support for women</x:v>
      </x:c>
      <x:c r="B1052" s="16" t="str">
        <x:v>sandals with arch support for women</x:v>
      </x:c>
      <x:c r="C1052" s="13" t="str">
        <x:v>6a0bd40ac11bfec5</x:v>
      </x:c>
      <x:c r="D1052" s="13" t="str">
        <x:v>keyword</x:v>
      </x:c>
      <x:c r="E1052" s="13" t="str">
        <x:v>en</x:v>
      </x:c>
      <x:c r="F1052" s="13" t="str">
        <x:v>clothing_shoes_jewelry</x:v>
      </x:c>
      <x:c r="G1052" s="16" t="str"/>
      <x:c r="H1052" s="16" t="str">
        <x:v>sandal</x:v>
      </x:c>
      <x:c r="I1052" s="16" t="str">
        <x:v>women</x:v>
      </x:c>
      <x:c r="J1052" s="16" t="str">
        <x:v>arch_support</x:v>
      </x:c>
      <x:c r="K1052" s="16" t="str"/>
      <x:c r="L1052" s="16" t="str"/>
      <x:c r="M1052" s="16" t="str"/>
      <x:c r="N1052" s="16" t="str">
        <x:v>arch_pain</x:v>
      </x:c>
      <x:c r="O1052" s="16" t="str"/>
      <x:c r="P1052" s="16" t="str"/>
      <x:c r="Q1052" s="16" t="str"/>
      <x:c r="R1052" s="16" t="str">
        <x:v>用户为女性寻找带有足弓支撑的凉鞋。</x:v>
      </x:c>
      <x:c r="S1052" s="13" t="str">
        <x:v>high_intent</x:v>
      </x:c>
      <x:c r="T1052" s="16" t="str">
        <x:v>explicit | page_validated | inferred</x:v>
      </x:c>
      <x:c r="U1052" s="13" t="str">
        <x:v>high</x:v>
      </x:c>
      <x:c r="V1052" s="16" t="str">
        <x:v>womens_arch_support_sandals</x:v>
      </x:c>
      <x:c r="W1052" s="16" t="str">
        <x:v>cluster_route</x:v>
      </x:c>
      <x:c r="X1052" s="16" t="str">
        <x:v>{"product_type":[{"value":"sandal","evidence_type":"explicit","source_span":"sandals","fact_ids":[],"rationale":"explicit product type in search term"}],"audience_intent":[{"value":"women","evidence_type":"explicit","source_span":"for women","fact_ids":[],"rationale":"explicit audience in search term"},{"value":"women","evidence_type":"page_validated","source_span":"","fact_ids":["title_womens_flip_flop"],"rationale":"该槽位与商品基准中的明示页面事实一致。"}],"function_intent":[{"value":"arch_support","evidence_type":"explicit","source_span":"arch support","fact_ids":[],"rationale":"explicit function in search term"},{"value":"arch_support","evidence_type":"page_validated","source_span":"","fact_ids":["arch_support"],"rationale":"该槽位与商品基准中的明示页面事实一致。"}],"body_need_intent":[{"value":"arch_pain","evidence_type":"inferred","source_span":"arch support","fact_ids":[],"rationale":"arch support implies foot arch discomfort"}],"primary_domain":[{"value":"clothing_shoes_jewelry","evidence_type":"inferred","source_span":"","fact_ids":[],"rationale":"该值由搜索词整体语义推断，未作为页面明示属性。"}]}</x:v>
      </x:c>
      <x:c r="Y1052" s="16" t="str"/>
      <x:c r="Z1052" s="13" t="str">
        <x:v>match</x:v>
      </x:c>
      <x:c r="AA1052" s="16" t="str">
        <x:v>title_womens_flip_flop | arch_support | style_flip_flop</x:v>
      </x:c>
      <x:c r="AB1052" s="13" t="str">
        <x:v>accepted</x:v>
      </x:c>
      <x:c r="AC1052" s="13" t="str">
        <x:v>1.0.0</x:v>
      </x:c>
      <x:c r="AD1052" s="13" t="str">
        <x:v>1.1.0</x:v>
      </x:c>
      <x:c r="AE1052" s="13" t="str">
        <x:v>deepseek/deepseek-v4-pro</x:v>
      </x:c>
      <x:c r="AF1052" s="13" t="str">
        <x:v>aj2-y90-20260714T234810-0bea2f52</x:v>
      </x:c>
      <x:c r="AG1052" s="13" t="str">
        <x:v>full-0053</x:v>
      </x:c>
      <x:c r="AH1052" s="13" t="str">
        <x:v>full</x:v>
      </x:c>
      <x:c r="AI1052" s="13" t="n">
        <x:v>53</x:v>
      </x:c>
    </x:row>
    <x:row r="1053" ht="34" customHeight="1">
      <x:c r="A1053" s="15" t="str">
        <x:v>womens flip flops</x:v>
      </x:c>
      <x:c r="B1053" s="15" t="str">
        <x:v>womens flip flops</x:v>
      </x:c>
      <x:c r="C1053" s="10" t="str">
        <x:v>7106c06dcb26936c</x:v>
      </x:c>
      <x:c r="D1053" s="10" t="str">
        <x:v>keyword</x:v>
      </x:c>
      <x:c r="E1053" s="10" t="str">
        <x:v>en</x:v>
      </x:c>
      <x:c r="F1053" s="10" t="str">
        <x:v>clothing_shoes_jewelry</x:v>
      </x:c>
      <x:c r="G1053" s="15" t="str"/>
      <x:c r="H1053" s="15" t="str">
        <x:v>flip_flop</x:v>
      </x:c>
      <x:c r="I1053" s="15" t="str">
        <x:v>women</x:v>
      </x:c>
      <x:c r="J1053" s="15" t="str"/>
      <x:c r="K1053" s="15" t="str"/>
      <x:c r="L1053" s="15" t="str"/>
      <x:c r="M1053" s="15" t="str"/>
      <x:c r="N1053" s="15" t="str"/>
      <x:c r="O1053" s="15" t="str"/>
      <x:c r="P1053" s="15" t="str"/>
      <x:c r="Q1053" s="15" t="str"/>
      <x:c r="R1053" s="15" t="str">
        <x:v>用户为女性搜索人字拖/夹脚凉鞋。</x:v>
      </x:c>
      <x:c r="S1053" s="10" t="str">
        <x:v>consideration</x:v>
      </x:c>
      <x:c r="T1053" s="15" t="str">
        <x:v>explicit | page_validated</x:v>
      </x:c>
      <x:c r="U1053" s="10" t="str">
        <x:v>high</x:v>
      </x:c>
      <x:c r="V1053" s="15" t="str">
        <x:v>womens_flip_flops</x:v>
      </x:c>
      <x:c r="W1053" s="15" t="str">
        <x:v>cluster_route</x:v>
      </x:c>
      <x:c r="X1053" s="15" t="str">
        <x:v>{"product_type":[{"value":"flip_flop","evidence_type":"explicit","source_span":"flip flops","fact_ids":[],"rationale":"explicit product type in search term"},{"value":"flip_flop","evidence_type":"page_validated","source_span":"","fact_ids":["style_flip_flop"],"rationale":"该槽位与商品基准中的明示页面事实一致。"}],"audience_intent":[{"value":"women","evidence_type":"explicit","source_span":"womens","fact_ids":[],"rationale":"explicit audience in search term"},{"value":"women","evidence_type":"page_validated","source_span":"","fact_ids":["title_womens_flip_flop"],"rationale":"该槽位与商品基准中的明示页面事实一致。"}],"primary_domain":[{"value":"clothing_shoes_jewelry","evidence_type":"inferred","source_span":"","fact_ids":[],"rationale":"该值由搜索词整体语义推断，未作为页面明示属性。"}]}</x:v>
      </x:c>
      <x:c r="Y1053" s="15" t="str"/>
      <x:c r="Z1053" s="10" t="str">
        <x:v>match</x:v>
      </x:c>
      <x:c r="AA1053" s="15" t="str">
        <x:v>title_womens_flip_flop | style_flip_flop</x:v>
      </x:c>
      <x:c r="AB1053" s="10" t="str">
        <x:v>accepted</x:v>
      </x:c>
      <x:c r="AC1053" s="10" t="str">
        <x:v>1.0.0</x:v>
      </x:c>
      <x:c r="AD1053" s="10" t="str">
        <x:v>1.1.0</x:v>
      </x:c>
      <x:c r="AE1053" s="10" t="str">
        <x:v>deepseek/deepseek-v4-pro</x:v>
      </x:c>
      <x:c r="AF1053" s="10" t="str">
        <x:v>aj2-y90-20260714T234810-0bea2f52</x:v>
      </x:c>
      <x:c r="AG1053" s="10" t="str">
        <x:v>full-0053</x:v>
      </x:c>
      <x:c r="AH1053" s="10" t="str">
        <x:v>full</x:v>
      </x:c>
      <x:c r="AI1053" s="10" t="n">
        <x:v>53</x:v>
      </x:c>
    </x:row>
    <x:row r="1054" ht="34" customHeight="1">
      <x:c r="A1054" s="16" t="str">
        <x:v>womens flip flops for the pool</x:v>
      </x:c>
      <x:c r="B1054" s="16" t="str">
        <x:v>womens flip flops for the pool</x:v>
      </x:c>
      <x:c r="C1054" s="13" t="str">
        <x:v>7519904679e8c480</x:v>
      </x:c>
      <x:c r="D1054" s="13" t="str">
        <x:v>keyword</x:v>
      </x:c>
      <x:c r="E1054" s="13" t="str">
        <x:v>en</x:v>
      </x:c>
      <x:c r="F1054" s="13" t="str">
        <x:v>clothing_shoes_jewelry</x:v>
      </x:c>
      <x:c r="G1054" s="16" t="str">
        <x:v>sports_outdoors</x:v>
      </x:c>
      <x:c r="H1054" s="16" t="str">
        <x:v>flip_flop</x:v>
      </x:c>
      <x:c r="I1054" s="16" t="str">
        <x:v>women</x:v>
      </x:c>
      <x:c r="J1054" s="16" t="str"/>
      <x:c r="K1054" s="16" t="str"/>
      <x:c r="L1054" s="16" t="str">
        <x:v>swimming</x:v>
      </x:c>
      <x:c r="M1054" s="16" t="str">
        <x:v>pool</x:v>
      </x:c>
      <x:c r="N1054" s="16" t="str"/>
      <x:c r="O1054" s="16" t="str"/>
      <x:c r="P1054" s="16" t="str"/>
      <x:c r="Q1054" s="16" t="str"/>
      <x:c r="R1054" s="16" t="str">
        <x:v>用户为女性寻找适合在泳池穿的人字拖。</x:v>
      </x:c>
      <x:c r="S1054" s="13" t="str">
        <x:v>high_intent</x:v>
      </x:c>
      <x:c r="T1054" s="16" t="str">
        <x:v>explicit | page_validated | inferred</x:v>
      </x:c>
      <x:c r="U1054" s="13" t="str">
        <x:v>medium</x:v>
      </x:c>
      <x:c r="V1054" s="16" t="str">
        <x:v>pool_flip_flops_women</x:v>
      </x:c>
      <x:c r="W1054" s="16" t="str">
        <x:v>listing_gap_review</x:v>
      </x:c>
      <x:c r="X1054" s="16" t="str">
        <x:v>{"product_type":[{"value":"flip_flop","evidence_type":"explicit","source_span":"flip flops","fact_ids":[],"rationale":"explicit product type in search term"},{"value":"flip_flop","evidence_type":"page_validated","source_span":"","fact_ids":["style_flip_flop"],"rationale":"该槽位与商品基准中的明示页面事实一致。"}],"audience_intent":[{"value":"women","evidence_type":"explicit","source_span":"womens","fact_ids":[],"rationale":"explicit audience in search term"},{"value":"women","evidence_type":"page_validated","source_span":"","fact_ids":["title_womens_flip_flop"],"rationale":"该槽位与商品基准中的明示页面事实一致。"}],"location_intent":[{"value":"pool","evidence_type":"explicit","source_span":"pool","fact_ids":[],"rationale":"explicit location in search term"}],"event_intent":[{"value":"swimming","evidence_type":"inferred","source_span":"","fact_ids":[],"rationale":"该值由搜索词整体语义推断，未作为页面明示属性。"}],"primary_domain":[{"value":"clothing_shoes_jewelry","evidence_type":"inferred","source_span":"","fact_ids":[],"rationale":"该值由搜索词整体语义推断，未作为页面明示属性。"}],"secondary_domain":[{"value":"sports_outdoors","evidence_type":"inferred","source_span":"","fact_ids":[],"rationale":"该值由搜索词整体语义推断，未作为页面明示属性。"}]}</x:v>
      </x:c>
      <x:c r="Y1054" s="16" t="str">
        <x:v>water_resistance_unverified</x:v>
      </x:c>
      <x:c r="Z1054" s="13" t="str">
        <x:v>partial_match</x:v>
      </x:c>
      <x:c r="AA1054" s="16" t="str">
        <x:v>title_womens_flip_flop | style_flip_flop | slip_resistant_grip | easy_clean</x:v>
      </x:c>
      <x:c r="AB1054" s="13" t="str">
        <x:v>accepted</x:v>
      </x:c>
      <x:c r="AC1054" s="13" t="str">
        <x:v>1.0.0</x:v>
      </x:c>
      <x:c r="AD1054" s="13" t="str">
        <x:v>1.1.0</x:v>
      </x:c>
      <x:c r="AE1054" s="13" t="str">
        <x:v>deepseek/deepseek-v4-pro</x:v>
      </x:c>
      <x:c r="AF1054" s="13" t="str">
        <x:v>aj2-y90-20260714T234810-0bea2f52</x:v>
      </x:c>
      <x:c r="AG1054" s="13" t="str">
        <x:v>full-0053</x:v>
      </x:c>
      <x:c r="AH1054" s="13" t="str">
        <x:v>full</x:v>
      </x:c>
      <x:c r="AI1054" s="13" t="n">
        <x:v>53</x:v>
      </x:c>
    </x:row>
    <x:row r="1055" ht="34" customHeight="1">
      <x:c r="A1055" s="15" t="str">
        <x:v>sky blue flip flops for women</x:v>
      </x:c>
      <x:c r="B1055" s="15" t="str">
        <x:v>sky blue flip flops for women</x:v>
      </x:c>
      <x:c r="C1055" s="10" t="str">
        <x:v>7af7ee2286c48d29</x:v>
      </x:c>
      <x:c r="D1055" s="10" t="str">
        <x:v>keyword</x:v>
      </x:c>
      <x:c r="E1055" s="10" t="str">
        <x:v>en</x:v>
      </x:c>
      <x:c r="F1055" s="10" t="str">
        <x:v>clothing_shoes_jewelry</x:v>
      </x:c>
      <x:c r="G1055" s="15" t="str"/>
      <x:c r="H1055" s="15" t="str">
        <x:v>flip_flop</x:v>
      </x:c>
      <x:c r="I1055" s="15" t="str">
        <x:v>women</x:v>
      </x:c>
      <x:c r="J1055" s="15" t="str"/>
      <x:c r="K1055" s="15" t="str">
        <x:v>color_sky_blue</x:v>
      </x:c>
      <x:c r="L1055" s="15" t="str"/>
      <x:c r="M1055" s="15" t="str"/>
      <x:c r="N1055" s="15" t="str"/>
      <x:c r="O1055" s="15" t="str"/>
      <x:c r="P1055" s="15" t="str"/>
      <x:c r="Q1055" s="15" t="str"/>
      <x:c r="R1055" s="15" t="str">
        <x:v>用户为女性寻找天蓝色人字拖。</x:v>
      </x:c>
      <x:c r="S1055" s="10" t="str">
        <x:v>high_intent</x:v>
      </x:c>
      <x:c r="T1055" s="15" t="str">
        <x:v>explicit | page_validated | inferred</x:v>
      </x:c>
      <x:c r="U1055" s="10" t="str">
        <x:v>medium</x:v>
      </x:c>
      <x:c r="V1055" s="15" t="str">
        <x:v>blue_womens_flip_flops</x:v>
      </x:c>
      <x:c r="W1055" s="15" t="str">
        <x:v>listing_gap_review</x:v>
      </x:c>
      <x:c r="X1055" s="15" t="str">
        <x:v>{"product_type":[{"value":"flip_flop","evidence_type":"explicit","source_span":"flip flops","fact_ids":[],"rationale":"explicit product type in search term"},{"value":"flip_flop","evidence_type":"page_validated","source_span":"","fact_ids":["style_flip_flop"],"rationale":"该槽位与商品基准中的明示页面事实一致。"}],"audience_intent":[{"value":"women","evidence_type":"explicit","source_span":"for women","fact_ids":[],"rationale":"explicit audience in search term"},{"value":"women","evidence_type":"page_validated","source_span":"","fact_ids":["title_womens_flip_flop"],"rationale":"该槽位与商品基准中的明示页面事实一致。"}],"capability_intent":[{"value":"color_sky_blue","evidence_type":"explicit","source_span":"sky blue","fact_ids":[],"rationale":"explicit color in search term"}],"primary_domain":[{"value":"clothing_shoes_jewelry","evidence_type":"inferred","source_span":"","fact_ids":[],"rationale":"该值由搜索词整体语义推断，未作为页面明示属性。"}]}</x:v>
      </x:c>
      <x:c r="Y1055" s="15" t="str">
        <x:v>color_shade_mismatch</x:v>
      </x:c>
      <x:c r="Z1055" s="10" t="str">
        <x:v>partial_match</x:v>
      </x:c>
      <x:c r="AA1055" s="15" t="str">
        <x:v>colors_visible | title_womens_flip_flop</x:v>
      </x:c>
      <x:c r="AB1055" s="10" t="str">
        <x:v>accepted</x:v>
      </x:c>
      <x:c r="AC1055" s="10" t="str">
        <x:v>1.0.0</x:v>
      </x:c>
      <x:c r="AD1055" s="10" t="str">
        <x:v>1.1.0</x:v>
      </x:c>
      <x:c r="AE1055" s="10" t="str">
        <x:v>deepseek/deepseek-v4-pro</x:v>
      </x:c>
      <x:c r="AF1055" s="10" t="str">
        <x:v>aj2-y90-20260714T234810-0bea2f52</x:v>
      </x:c>
      <x:c r="AG1055" s="10" t="str">
        <x:v>full-0053</x:v>
      </x:c>
      <x:c r="AH1055" s="10" t="str">
        <x:v>full</x:v>
      </x:c>
      <x:c r="AI1055" s="10" t="n">
        <x:v>53</x:v>
      </x:c>
    </x:row>
    <x:row r="1056" ht="34" customHeight="1">
      <x:c r="A1056" s="16" t="str">
        <x:v>chunky flip flops for women</x:v>
      </x:c>
      <x:c r="B1056" s="16" t="str">
        <x:v>chunky flip flops for women</x:v>
      </x:c>
      <x:c r="C1056" s="13" t="str">
        <x:v>9c0dde13ca355527</x:v>
      </x:c>
      <x:c r="D1056" s="13" t="str">
        <x:v>keyword</x:v>
      </x:c>
      <x:c r="E1056" s="13" t="str">
        <x:v>en</x:v>
      </x:c>
      <x:c r="F1056" s="13" t="str">
        <x:v>clothing_shoes_jewelry</x:v>
      </x:c>
      <x:c r="G1056" s="16" t="str"/>
      <x:c r="H1056" s="16" t="str">
        <x:v>flip_flop</x:v>
      </x:c>
      <x:c r="I1056" s="16" t="str">
        <x:v>women</x:v>
      </x:c>
      <x:c r="J1056" s="16" t="str"/>
      <x:c r="K1056" s="16" t="str">
        <x:v>chunky_sole</x:v>
      </x:c>
      <x:c r="L1056" s="16" t="str"/>
      <x:c r="M1056" s="16" t="str"/>
      <x:c r="N1056" s="16" t="str"/>
      <x:c r="O1056" s="16" t="str"/>
      <x:c r="P1056" s="16" t="str"/>
      <x:c r="Q1056" s="16" t="str"/>
      <x:c r="R1056" s="16" t="str">
        <x:v>用户想为女性购买厚底/粗犷风格的人字拖。</x:v>
      </x:c>
      <x:c r="S1056" s="13" t="str">
        <x:v>high_intent</x:v>
      </x:c>
      <x:c r="T1056" s="16" t="str">
        <x:v>explicit | inferred</x:v>
      </x:c>
      <x:c r="U1056" s="13" t="str">
        <x:v>high</x:v>
      </x:c>
      <x:c r="V1056" s="16" t="str">
        <x:v>chunky_womens_flip_flops</x:v>
      </x:c>
      <x:c r="W1056" s="16" t="str">
        <x:v>semantic_negative_candidate</x:v>
      </x:c>
      <x:c r="X1056" s="16" t="str">
        <x:v>{"product_type":[{"value":"flip_flop","evidence_type":"explicit","source_span":"flip flops","fact_ids":[],"rationale":"explicit product type in search term"},{"value":"flip_flop","evidence_type":"page_validated","source_span":"","fact_ids":["style_flip_flop"],"rationale":"该槽位与商品基准中的明示页面事实一致。"}],"audience_intent":[{"value":"women","evidence_type":"explicit","source_span":"for women","fact_ids":[],"rationale":"explicit audience in search term"},{"value":"women","evidence_type":"page_validated","source_span":"","fact_ids":["title_womens_flip_flop"],"rationale":"该槽位与商品基准中的明示页面事实一致。"}],"capability_intent":[{"value":"chunky_sole","evidence_type":"explicit","source_span":"chunky","fact_ids":[],"rationale":"explicit sole style in search term"}],"primary_domain":[{"value":"clothing_shoes_jewelry","evidence_type":"inferred","source_span":"","fact_ids":[],"rationale":"该值由搜索词整体语义推断，未作为页面明示属性。"}]}</x:v>
      </x:c>
      <x:c r="Y1056" s="16" t="str"/>
      <x:c r="Z1056" s="13" t="str">
        <x:v>mismatch</x:v>
      </x:c>
      <x:c r="AA1056" s="16" t="str"/>
      <x:c r="AB1056" s="13" t="str">
        <x:v>accepted</x:v>
      </x:c>
      <x:c r="AC1056" s="13" t="str">
        <x:v>1.0.0</x:v>
      </x:c>
      <x:c r="AD1056" s="13" t="str">
        <x:v>1.1.0</x:v>
      </x:c>
      <x:c r="AE1056" s="13" t="str">
        <x:v>deepseek/deepseek-v4-pro</x:v>
      </x:c>
      <x:c r="AF1056" s="13" t="str">
        <x:v>aj2-y90-20260714T234810-0bea2f52</x:v>
      </x:c>
      <x:c r="AG1056" s="13" t="str">
        <x:v>full-0053</x:v>
      </x:c>
      <x:c r="AH1056" s="13" t="str">
        <x:v>full</x:v>
      </x:c>
      <x:c r="AI1056" s="13" t="n">
        <x:v>53</x:v>
      </x:c>
    </x:row>
    <x:row r="1057" ht="34" customHeight="1">
      <x:c r="A1057" s="15" t="str">
        <x:v>thick rubber thong sandals for women</x:v>
      </x:c>
      <x:c r="B1057" s="15" t="str">
        <x:v>thick rubber thong sandals for women</x:v>
      </x:c>
      <x:c r="C1057" s="10" t="str">
        <x:v>ab6060f48458e4b5</x:v>
      </x:c>
      <x:c r="D1057" s="10" t="str">
        <x:v>keyword</x:v>
      </x:c>
      <x:c r="E1057" s="10" t="str">
        <x:v>en</x:v>
      </x:c>
      <x:c r="F1057" s="10" t="str">
        <x:v>clothing_shoes_jewelry</x:v>
      </x:c>
      <x:c r="G1057" s="15" t="str"/>
      <x:c r="H1057" s="15" t="str">
        <x:v>sandal | flip_flop</x:v>
      </x:c>
      <x:c r="I1057" s="15" t="str">
        <x:v>women</x:v>
      </x:c>
      <x:c r="J1057" s="15" t="str"/>
      <x:c r="K1057" s="15" t="str">
        <x:v>thick_sole | rubber_material</x:v>
      </x:c>
      <x:c r="L1057" s="15" t="str"/>
      <x:c r="M1057" s="15" t="str"/>
      <x:c r="N1057" s="15" t="str"/>
      <x:c r="O1057" s="15" t="str"/>
      <x:c r="P1057" s="15" t="str"/>
      <x:c r="Q1057" s="15" t="str"/>
      <x:c r="R1057" s="15" t="str">
        <x:v>用户为女性寻找橡胶材质、厚底款式的夹脚凉鞋。</x:v>
      </x:c>
      <x:c r="S1057" s="10" t="str">
        <x:v>high_intent</x:v>
      </x:c>
      <x:c r="T1057" s="15" t="str">
        <x:v>explicit | inferred</x:v>
      </x:c>
      <x:c r="U1057" s="10" t="str">
        <x:v>high</x:v>
      </x:c>
      <x:c r="V1057" s="15" t="str">
        <x:v>rubber_thong_sandals_women</x:v>
      </x:c>
      <x:c r="W1057" s="15" t="str">
        <x:v>semantic_negative_candidate</x:v>
      </x:c>
      <x:c r="X1057" s="15" t="str">
        <x:v>{"product_type":[{"value":"sandal","evidence_type":"explicit","source_span":"sandals","fact_ids":[],"rationale":"explicit product type in search term"},{"value":"flip_flop","evidence_type":"explicit","source_span":"thong","fact_ids":[],"rationale":"thong indicates flip flop style"},{"value":"flip_flop","evidence_type":"page_validated","source_span":"","fact_ids":["style_flip_flop"],"rationale":"该槽位与商品基准中的明示页面事实一致。"},{"value":"flip_flop","evidence_type":"inferred","source_span":"","fact_ids":[],"rationale":"该能力由搜索词表达的任务或问题推断；页面事实仅用于验证商品承接。"}],"audience_intent":[{"value":"women","evidence_type":"explicit","source_span":"for women","fact_ids":[],"rationale":"explicit audience in search term"},{"value":"women","evidence_type":"page_validated","source_span":"","fact_ids":["title_womens_flip_flop"],"rationale":"该槽位与商品基准中的明示页面事实一致。"}],"capability_intent":[{"value":"thick_sole","evidence_type":"explicit","source_span":"thick","fact_ids":[],"rationale":"explicit sole thickness in search term"},{"value":"rubber_material","evidence_type":"explicit","source_span":"rubber","fact_ids":[],"rationale":"explicit material in search term"}],"primary_domain":[{"value":"clothing_shoes_jewelry","evidence_type":"inferred","source_span":"","fact_ids":[],"rationale":"该值由搜索词整体语义推断，未作为页面明示属性。"}]}</x:v>
      </x:c>
      <x:c r="Y1057" s="15" t="str">
        <x:v>material_mismatch | style_conflict</x:v>
      </x:c>
      <x:c r="Z1057" s="10" t="str">
        <x:v>mismatch</x:v>
      </x:c>
      <x:c r="AA1057" s="15" t="str"/>
      <x:c r="AB1057" s="10" t="str">
        <x:v>accepted</x:v>
      </x:c>
      <x:c r="AC1057" s="10" t="str">
        <x:v>1.0.0</x:v>
      </x:c>
      <x:c r="AD1057" s="10" t="str">
        <x:v>1.1.0</x:v>
      </x:c>
      <x:c r="AE1057" s="10" t="str">
        <x:v>deepseek/deepseek-v4-pro</x:v>
      </x:c>
      <x:c r="AF1057" s="10" t="str">
        <x:v>aj2-y90-20260714T234810-0bea2f52</x:v>
      </x:c>
      <x:c r="AG1057" s="10" t="str">
        <x:v>full-0053</x:v>
      </x:c>
      <x:c r="AH1057" s="10" t="str">
        <x:v>full</x:v>
      </x:c>
      <x:c r="AI1057" s="10" t="n">
        <x:v>53</x:v>
      </x:c>
    </x:row>
    <x:row r="1058" ht="34" customHeight="1">
      <x:c r="A1058" s="16" t="str">
        <x:v>non slip pool sandals for women</x:v>
      </x:c>
      <x:c r="B1058" s="16" t="str">
        <x:v>non slip pool sandals for women</x:v>
      </x:c>
      <x:c r="C1058" s="13" t="str">
        <x:v>c71d011625ff16fb</x:v>
      </x:c>
      <x:c r="D1058" s="13" t="str">
        <x:v>keyword</x:v>
      </x:c>
      <x:c r="E1058" s="13" t="str">
        <x:v>en</x:v>
      </x:c>
      <x:c r="F1058" s="13" t="str">
        <x:v>clothing_shoes_jewelry</x:v>
      </x:c>
      <x:c r="G1058" s="16" t="str">
        <x:v>sports_outdoors</x:v>
      </x:c>
      <x:c r="H1058" s="16" t="str">
        <x:v>sandal</x:v>
      </x:c>
      <x:c r="I1058" s="16" t="str">
        <x:v>women</x:v>
      </x:c>
      <x:c r="J1058" s="16" t="str">
        <x:v>slip_resistance</x:v>
      </x:c>
      <x:c r="K1058" s="16" t="str">
        <x:v>non_slip</x:v>
      </x:c>
      <x:c r="L1058" s="16" t="str">
        <x:v>swimming</x:v>
      </x:c>
      <x:c r="M1058" s="16" t="str">
        <x:v>pool</x:v>
      </x:c>
      <x:c r="N1058" s="16" t="str"/>
      <x:c r="O1058" s="16" t="str"/>
      <x:c r="P1058" s="16" t="str"/>
      <x:c r="Q1058" s="16" t="str"/>
      <x:c r="R1058" s="16" t="str">
        <x:v>用户想为女性购买在泳池边防滑的凉鞋。</x:v>
      </x:c>
      <x:c r="S1058" s="13" t="str">
        <x:v>high_intent</x:v>
      </x:c>
      <x:c r="T1058" s="16" t="str">
        <x:v>explicit | page_validated | inferred</x:v>
      </x:c>
      <x:c r="U1058" s="13" t="str">
        <x:v>medium</x:v>
      </x:c>
      <x:c r="V1058" s="16" t="str">
        <x:v>non_slip_pool_sandals_women</x:v>
      </x:c>
      <x:c r="W1058" s="16" t="str">
        <x:v>listing_gap_review</x:v>
      </x:c>
      <x:c r="X1058" s="16" t="str">
        <x:v>{"product_type":[{"value":"sandal","evidence_type":"explicit","source_span":"sandals","fact_ids":[],"rationale":"explicit product type in search term"}],"audience_intent":[{"value":"women","evidence_type":"explicit","source_span":"for women","fact_ids":[],"rationale":"explicit audience in search term"},{"value":"women","evidence_type":"page_validated","source_span":"","fact_ids":["title_womens_flip_flop"],"rationale":"该槽位与商品基准中的明示页面事实一致。"}],"function_intent":[{"value":"slip_resistance","evidence_type":"explicit","source_span":"non slip","fact_ids":[],"rationale":"explicit function in search term"}],"capability_intent":[{"value":"non_slip","evidence_type":"explicit","source_span":"non slip","fact_ids":[],"rationale":"explicit capability in search term"},{"value":"non_slip","evidence_type":"page_validated","source_span":"","fact_ids":["slip_resistant_grip"],"rationale":"该槽位与商品基准中的明示页面事实一致。"}],"location_intent":[{"value":"pool","evidence_type":"explicit","source_span":"pool","fact_ids":[],"rationale":"explicit location in search term"}],"event_intent":[{"value":"swimming","evidence_type":"inferred","source_span":"","fact_ids":[],"rationale":"该值由搜索词整体语义推断，未作为页面明示属性。"}],"primary_domain":[{"value":"clothing_shoes_jewelry","evidence_type":"inferred","source_span":"","fact_ids":[],"rationale":"该值由搜索词整体语义推断，未作为页面明示属性。"}],"secondary_domain":[{"value":"sports_outdoors","evidence_type":"inferred","source_span":"","fact_ids":[],"rationale":"该值由搜索词整体语义推断，未作为页面明示属性。"}]}</x:v>
      </x:c>
      <x:c r="Y1058" s="16" t="str">
        <x:v>water_resistance_unverified</x:v>
      </x:c>
      <x:c r="Z1058" s="13" t="str">
        <x:v>partial_match</x:v>
      </x:c>
      <x:c r="AA1058" s="16" t="str">
        <x:v>slip_resistant_grip | easy_clean</x:v>
      </x:c>
      <x:c r="AB1058" s="13" t="str">
        <x:v>accepted</x:v>
      </x:c>
      <x:c r="AC1058" s="13" t="str">
        <x:v>1.0.0</x:v>
      </x:c>
      <x:c r="AD1058" s="13" t="str">
        <x:v>1.1.0</x:v>
      </x:c>
      <x:c r="AE1058" s="13" t="str">
        <x:v>deepseek/deepseek-v4-pro</x:v>
      </x:c>
      <x:c r="AF1058" s="13" t="str">
        <x:v>aj2-y90-20260714T234810-0bea2f52</x:v>
      </x:c>
      <x:c r="AG1058" s="13" t="str">
        <x:v>full-0053</x:v>
      </x:c>
      <x:c r="AH1058" s="13" t="str">
        <x:v>full</x:v>
      </x:c>
      <x:c r="AI1058" s="13" t="n">
        <x:v>53</x:v>
      </x:c>
    </x:row>
    <x:row r="1059" ht="34" customHeight="1">
      <x:c r="A1059" s="15" t="str">
        <x:v>feet thongs for women</x:v>
      </x:c>
      <x:c r="B1059" s="15" t="str">
        <x:v>feet thongs for women</x:v>
      </x:c>
      <x:c r="C1059" s="10" t="str">
        <x:v>e136b183656e15a4</x:v>
      </x:c>
      <x:c r="D1059" s="10" t="str">
        <x:v>keyword</x:v>
      </x:c>
      <x:c r="E1059" s="10" t="str">
        <x:v>en</x:v>
      </x:c>
      <x:c r="F1059" s="10" t="str">
        <x:v>clothing_shoes_jewelry</x:v>
      </x:c>
      <x:c r="G1059" s="15" t="str"/>
      <x:c r="H1059" s="15" t="str">
        <x:v>flip_flop</x:v>
      </x:c>
      <x:c r="I1059" s="15" t="str">
        <x:v>women</x:v>
      </x:c>
      <x:c r="J1059" s="15" t="str"/>
      <x:c r="K1059" s="15" t="str"/>
      <x:c r="L1059" s="15" t="str"/>
      <x:c r="M1059" s="15" t="str"/>
      <x:c r="N1059" s="15" t="str">
        <x:v>foot_comfort</x:v>
      </x:c>
      <x:c r="O1059" s="15" t="str"/>
      <x:c r="P1059" s="15" t="str"/>
      <x:c r="Q1059" s="15" t="str"/>
      <x:c r="R1059" s="15" t="str">
        <x:v>用户想为女性购买夹脚拖鞋/人字拖，用于日常穿着。</x:v>
      </x:c>
      <x:c r="S1059" s="10" t="str">
        <x:v>high_intent</x:v>
      </x:c>
      <x:c r="T1059" s="15" t="str">
        <x:v>explicit | page_validated</x:v>
      </x:c>
      <x:c r="U1059" s="10" t="str">
        <x:v>high</x:v>
      </x:c>
      <x:c r="V1059" s="15" t="str">
        <x:v>womens_thong_sandals</x:v>
      </x:c>
      <x:c r="W1059" s="15" t="str">
        <x:v>cluster_route</x:v>
      </x:c>
      <x:c r="X1059" s="15" t="str">
        <x:v>{"product_type":[{"value":"flip_flop","evidence_type":"explicit","source_span":"thongs","fact_ids":[],"rationale":"thongs is a colloquial term for flip flops"},{"value":"flip_flop","evidence_type":"page_validated","source_span":"","fact_ids":["style_flip_flop"],"rationale":"该槽位与商品基准中的明示页面事实一致。"},{"value":"flip_flop","evidence_type":"inferred","source_span":"","fact_ids":[],"rationale":"该能力由搜索词表达的任务或问题推断；页面事实仅用于验证商品承接。"}],"audience_intent":[{"value":"women","evidence_type":"explicit","source_span":"for women","fact_ids":[],"rationale":"explicit audience in search term"},{"value":"women","evidence_type":"page_validated","source_span":"","fact_ids":["title_womens_flip_flop"],"rationale":"该槽位与商品基准中的明示页面事实一致。"}],"body_need_intent":[{"value":"foot_comfort","evidence_type":"inferred","source_span":"feet","fact_ids":[],"rationale":"feet suggests concern for foot comfort"},{"value":"foot_comfort","evidence_type":"page_validated","source_span":"","fact_ids":["arch_support","padded_cushioning"],"rationale":"该槽位与商品基准中的明示页面事实一致。"}],"primary_domain":[{"value":"clothing_shoes_jewelry","evidence_type":"inferred","source_span":"","fact_ids":[],"rationale":"该值由搜索词整体语义推断，未作为页面明示属性。"}]}</x:v>
      </x:c>
      <x:c r="Y1059" s="15" t="str"/>
      <x:c r="Z1059" s="10" t="str">
        <x:v>match</x:v>
      </x:c>
      <x:c r="AA1059" s="15" t="str">
        <x:v>title_womens_flip_flop | style_flip_flop | style_thong</x:v>
      </x:c>
      <x:c r="AB1059" s="10" t="str">
        <x:v>accepted</x:v>
      </x:c>
      <x:c r="AC1059" s="10" t="str">
        <x:v>1.0.0</x:v>
      </x:c>
      <x:c r="AD1059" s="10" t="str">
        <x:v>1.1.0</x:v>
      </x:c>
      <x:c r="AE1059" s="10" t="str">
        <x:v>deepseek/deepseek-v4-pro</x:v>
      </x:c>
      <x:c r="AF1059" s="10" t="str">
        <x:v>aj2-y90-20260714T234810-0bea2f52</x:v>
      </x:c>
      <x:c r="AG1059" s="10" t="str">
        <x:v>full-0053</x:v>
      </x:c>
      <x:c r="AH1059" s="10" t="str">
        <x:v>full</x:v>
      </x:c>
      <x:c r="AI1059" s="10" t="n">
        <x:v>53</x:v>
      </x:c>
    </x:row>
    <x:row r="1060" ht="34" customHeight="1">
      <x:c r="A1060" s="16" t="str">
        <x:v>womens dark brown flip flops</x:v>
      </x:c>
      <x:c r="B1060" s="16" t="str">
        <x:v>womens dark brown flip flops</x:v>
      </x:c>
      <x:c r="C1060" s="13" t="str">
        <x:v>f0faf420b796e7b0</x:v>
      </x:c>
      <x:c r="D1060" s="13" t="str">
        <x:v>keyword</x:v>
      </x:c>
      <x:c r="E1060" s="13" t="str">
        <x:v>en</x:v>
      </x:c>
      <x:c r="F1060" s="13" t="str">
        <x:v>clothing_shoes_jewelry</x:v>
      </x:c>
      <x:c r="G1060" s="16" t="str"/>
      <x:c r="H1060" s="16" t="str">
        <x:v>flip_flop</x:v>
      </x:c>
      <x:c r="I1060" s="16" t="str">
        <x:v>women</x:v>
      </x:c>
      <x:c r="J1060" s="16" t="str"/>
      <x:c r="K1060" s="16" t="str">
        <x:v>color_dark_brown</x:v>
      </x:c>
      <x:c r="L1060" s="16" t="str"/>
      <x:c r="M1060" s="16" t="str"/>
      <x:c r="N1060" s="16" t="str"/>
      <x:c r="O1060" s="16" t="str"/>
      <x:c r="P1060" s="16" t="str"/>
      <x:c r="Q1060" s="16" t="str"/>
      <x:c r="R1060" s="16" t="str">
        <x:v>用户想为女性购买深棕色的夹脚拖鞋。</x:v>
      </x:c>
      <x:c r="S1060" s="13" t="str">
        <x:v>high_intent</x:v>
      </x:c>
      <x:c r="T1060" s="16" t="str">
        <x:v>explicit | page_validated | inferred</x:v>
      </x:c>
      <x:c r="U1060" s="13" t="str">
        <x:v>medium</x:v>
      </x:c>
      <x:c r="V1060" s="16" t="str">
        <x:v>womens_brown_flip_flops</x:v>
      </x:c>
      <x:c r="W1060" s="16" t="str">
        <x:v>listing_gap_review</x:v>
      </x:c>
      <x:c r="X1060" s="16" t="str">
        <x:v>{"product_type":[{"value":"flip_flop","evidence_type":"explicit","source_span":"flip flops","fact_ids":[],"rationale":"explicit product type in search term"},{"value":"flip_flop","evidence_type":"page_validated","source_span":"","fact_ids":["style_flip_flop"],"rationale":"该槽位与商品基准中的明示页面事实一致。"}],"audience_intent":[{"value":"women","evidence_type":"explicit","source_span":"womens","fact_ids":[],"rationale":"explicit audience in search term"},{"value":"women","evidence_type":"page_validated","source_span":"","fact_ids":["title_womens_flip_flop"],"rationale":"该槽位与商品基准中的明示页面事实一致。"}],"capability_intent":[{"value":"color_dark_brown","evidence_type":"explicit","source_span":"dark brown","fact_ids":[],"rationale":"explicit color preference in search term"}],"primary_domain":[{"value":"clothing_shoes_jewelry","evidence_type":"inferred","source_span":"","fact_ids":[],"rationale":"该值由搜索词整体语义推断，未作为页面明示属性。"}]}</x:v>
      </x:c>
      <x:c r="Y1060" s="16" t="str">
        <x:v>color_shade_mismatch</x:v>
      </x:c>
      <x:c r="Z1060" s="13" t="str">
        <x:v>partial_match</x:v>
      </x:c>
      <x:c r="AA1060" s="16" t="str">
        <x:v>colors_visible</x:v>
      </x:c>
      <x:c r="AB1060" s="13" t="str">
        <x:v>accepted</x:v>
      </x:c>
      <x:c r="AC1060" s="13" t="str">
        <x:v>1.0.0</x:v>
      </x:c>
      <x:c r="AD1060" s="13" t="str">
        <x:v>1.1.0</x:v>
      </x:c>
      <x:c r="AE1060" s="13" t="str">
        <x:v>deepseek/deepseek-v4-pro</x:v>
      </x:c>
      <x:c r="AF1060" s="13" t="str">
        <x:v>aj2-y90-20260714T234810-0bea2f52</x:v>
      </x:c>
      <x:c r="AG1060" s="13" t="str">
        <x:v>full-0053</x:v>
      </x:c>
      <x:c r="AH1060" s="13" t="str">
        <x:v>full</x:v>
      </x:c>
      <x:c r="AI1060" s="13" t="n">
        <x:v>53</x:v>
      </x:c>
    </x:row>
    <x:row r="1061" ht="34" customHeight="1">
      <x:c r="A1061" s="15" t="str">
        <x:v>beach sandals that don't stretch out for women</x:v>
      </x:c>
      <x:c r="B1061" s="15" t="str">
        <x:v>beach sandals that don't stretch out for women</x:v>
      </x:c>
      <x:c r="C1061" s="10" t="str">
        <x:v>f155fa291b8451c0</x:v>
      </x:c>
      <x:c r="D1061" s="10" t="str">
        <x:v>keyword</x:v>
      </x:c>
      <x:c r="E1061" s="10" t="str">
        <x:v>en</x:v>
      </x:c>
      <x:c r="F1061" s="10" t="str">
        <x:v>clothing_shoes_jewelry</x:v>
      </x:c>
      <x:c r="G1061" s="15" t="str">
        <x:v>sports_outdoors</x:v>
      </x:c>
      <x:c r="H1061" s="15" t="str">
        <x:v>sandal</x:v>
      </x:c>
      <x:c r="I1061" s="15" t="str">
        <x:v>women</x:v>
      </x:c>
      <x:c r="J1061" s="15" t="str">
        <x:v>shape_retention</x:v>
      </x:c>
      <x:c r="K1061" s="15" t="str">
        <x:v>non_stretch</x:v>
      </x:c>
      <x:c r="L1061" s="15" t="str">
        <x:v>beach_outing</x:v>
      </x:c>
      <x:c r="M1061" s="15" t="str">
        <x:v>beach</x:v>
      </x:c>
      <x:c r="N1061" s="15" t="str"/>
      <x:c r="O1061" s="15" t="str"/>
      <x:c r="P1061" s="15" t="str"/>
      <x:c r="Q1061" s="15" t="str"/>
      <x:c r="R1061" s="15" t="str">
        <x:v>用户为女性寻找在海滩穿且不会松弛变形的凉鞋。</x:v>
      </x:c>
      <x:c r="S1061" s="10" t="str">
        <x:v>high_intent</x:v>
      </x:c>
      <x:c r="T1061" s="15" t="str">
        <x:v>explicit | inferred</x:v>
      </x:c>
      <x:c r="U1061" s="10" t="str">
        <x:v>medium</x:v>
      </x:c>
      <x:c r="V1061" s="15" t="str">
        <x:v>beach_sandals_non_stretch_women</x:v>
      </x:c>
      <x:c r="W1061" s="15" t="str">
        <x:v>listing_gap_review</x:v>
      </x:c>
      <x:c r="X1061" s="15" t="str">
        <x:v>{"product_type":[{"value":"sandal","evidence_type":"explicit","source_span":"sandals","fact_ids":[],"rationale":"explicit product type in search term"}],"audience_intent":[{"value":"women","evidence_type":"explicit","source_span":"for women","fact_ids":[],"rationale":"explicit audience in search term"},{"value":"women","evidence_type":"page_validated","source_span":"","fact_ids":["title_womens_flip_flop"],"rationale":"该槽位与商品基准中的明示页面事实一致。"}],"function_intent":[{"value":"shape_retention","evidence_type":"explicit","source_span":"don't stretch out","fact_ids":[],"rationale":"explicit function requirement in search term"}],"capability_intent":[{"value":"non_stretch","evidence_type":"explicit","source_span":"don't stretch out","fact_ids":[],"rationale":"explicit capability in search term"}],"location_intent":[{"value":"beach","evidence_type":"explicit","source_span":"beach","fact_ids":[],"rationale":"explicit location in search term"}],"event_intent":[{"value":"beach_outing","evidence_type":"inferred","source_span":"","fact_ids":[],"rationale":"该值由搜索词整体语义推断，未作为页面明示属性。"}],"primary_domain":[{"value":"clothing_shoes_jewelry","evidence_type":"inferred","source_span":"","fact_ids":[],"rationale":"该值由搜索词整体语义推断，未作为页面明示属性。"}],"secondary_domain":[{"value":"sports_outdoors","evidence_type":"inferred","source_span":"","fact_ids":[],"rationale":"该值由搜索词整体语义推断，未作为页面明示属性。"}]}</x:v>
      </x:c>
      <x:c r="Y1061" s="15" t="str">
        <x:v>stretch_resistance_unverified | water_resistance_unverified</x:v>
      </x:c>
      <x:c r="Z1061" s="10" t="str">
        <x:v>partial_match</x:v>
      </x:c>
      <x:c r="AA1061" s="15" t="str">
        <x:v>title_womens_flip_flop | material_eva | easy_clean</x:v>
      </x:c>
      <x:c r="AB1061" s="10" t="str">
        <x:v>accepted</x:v>
      </x:c>
      <x:c r="AC1061" s="10" t="str">
        <x:v>1.0.0</x:v>
      </x:c>
      <x:c r="AD1061" s="10" t="str">
        <x:v>1.1.0</x:v>
      </x:c>
      <x:c r="AE1061" s="10" t="str">
        <x:v>deepseek/deepseek-v4-pro</x:v>
      </x:c>
      <x:c r="AF1061" s="10" t="str">
        <x:v>aj2-y90-20260714T234810-0bea2f52</x:v>
      </x:c>
      <x:c r="AG1061" s="10" t="str">
        <x:v>full-0053</x:v>
      </x:c>
      <x:c r="AH1061" s="10" t="str">
        <x:v>full</x:v>
      </x:c>
      <x:c r="AI1061" s="10" t="n">
        <x:v>53</x:v>
      </x:c>
    </x:row>
    <x:row r="1062" ht="34" customHeight="1">
      <x:c r="A1062" s="16" t="str">
        <x:v>flip flops brown with support</x:v>
      </x:c>
      <x:c r="B1062" s="16" t="str">
        <x:v>flip flops brown with support</x:v>
      </x:c>
      <x:c r="C1062" s="13" t="str">
        <x:v>0017cd4b7c577c56</x:v>
      </x:c>
      <x:c r="D1062" s="13" t="str">
        <x:v>keyword</x:v>
      </x:c>
      <x:c r="E1062" s="13" t="str">
        <x:v>en</x:v>
      </x:c>
      <x:c r="F1062" s="13" t="str">
        <x:v>clothing_shoes_jewelry</x:v>
      </x:c>
      <x:c r="G1062" s="16" t="str"/>
      <x:c r="H1062" s="16" t="str">
        <x:v>flip_flop</x:v>
      </x:c>
      <x:c r="I1062" s="16" t="str"/>
      <x:c r="J1062" s="16" t="str">
        <x:v>relieve_foot_pain</x:v>
      </x:c>
      <x:c r="K1062" s="16" t="str">
        <x:v>arch_support</x:v>
      </x:c>
      <x:c r="L1062" s="16" t="str"/>
      <x:c r="M1062" s="16" t="str"/>
      <x:c r="N1062" s="16" t="str"/>
      <x:c r="O1062" s="16" t="str"/>
      <x:c r="P1062" s="16" t="str"/>
      <x:c r="Q1062" s="16" t="str"/>
      <x:c r="R1062" s="16" t="str">
        <x:v>用户需要一双棕色具有足弓支撑的人字拖。</x:v>
      </x:c>
      <x:c r="S1062" s="13" t="str">
        <x:v>high_intent</x:v>
      </x:c>
      <x:c r="T1062" s="16" t="str">
        <x:v>explicit | page_validated</x:v>
      </x:c>
      <x:c r="U1062" s="13" t="str">
        <x:v>high</x:v>
      </x:c>
      <x:c r="V1062" s="16" t="str">
        <x:v>brown_arch_support_flip_flops</x:v>
      </x:c>
      <x:c r="W1062" s="16" t="str">
        <x:v>cluster_route</x:v>
      </x:c>
      <x:c r="X1062" s="16" t="str">
        <x:v>{"product_type":[{"value":"flip_flop","evidence_type":"explicit","source_span":"flip flops","fact_ids":[],"rationale":""},{"value":"flip_flop","evidence_type":"page_validated","source_span":"","fact_ids":["style_flip_flop"],"rationale":""}],"capability_intent":[{"value":"arch_support","evidence_type":"explicit","source_span":"with support","fact_ids":[],"rationale":""},{"value":"arch_support","evidence_type":"page_validated","source_span":"","fact_ids":["arch_support"],"rationale":""},{"value":"arch_support","evidence_type":"inferred","source_span":"","fact_ids":[],"rationale":"该能力由搜索词表达的任务或问题推断；页面事实仅用于验证商品承接。"}],"color":[{"value":"brown","evidence_type":"explicit","source_span":"brown","fact_ids":[],"rationale":"该颜色在商品页面可见颜色选择中得到明确支持。"},{"value":"brown","evidence_type":"page_validated","source_span":"","fact_ids":["colors_visible"],"rationale":"该颜色在商品页面可见颜色选择中得到明确支持。"}],"function_intent":[{"value":"relieve_foot_pain","evidence_type":"inferred","source_span":"","fact_ids":[],"rationale":"该值由搜索词整体语义推断，未作为页面明示属性。"}],"primary_domain":[{"value":"clothing_shoes_jewelry","evidence_type":"inferred","source_span":"","fact_ids":[],"rationale":"该值由搜索词整体语义推断，未作为页面明示属性。"}]}</x:v>
      </x:c>
      <x:c r="Y1062" s="16" t="str"/>
      <x:c r="Z1062" s="13" t="str">
        <x:v>match</x:v>
      </x:c>
      <x:c r="AA1062" s="16" t="str">
        <x:v>style_flip_flop | arch_support | colors_visible</x:v>
      </x:c>
      <x:c r="AB1062" s="13" t="str">
        <x:v>accepted</x:v>
      </x:c>
      <x:c r="AC1062" s="13" t="str">
        <x:v>1.0.0</x:v>
      </x:c>
      <x:c r="AD1062" s="13" t="str">
        <x:v>1.0.0</x:v>
      </x:c>
      <x:c r="AE1062" s="13" t="str">
        <x:v>deepseek/deepseek-v4-pro</x:v>
      </x:c>
      <x:c r="AF1062" s="13" t="str">
        <x:v>aj2-y90-20260714T234810-0bea2f52</x:v>
      </x:c>
      <x:c r="AG1062" s="13" t="str">
        <x:v>full-0054</x:v>
      </x:c>
      <x:c r="AH1062" s="13" t="str">
        <x:v>full</x:v>
      </x:c>
      <x:c r="AI1062" s="13" t="n">
        <x:v>54</x:v>
      </x:c>
    </x:row>
    <x:row r="1063" ht="34" customHeight="1">
      <x:c r="A1063" s="15" t="str">
        <x:v>joomra flip flop</x:v>
      </x:c>
      <x:c r="B1063" s="15" t="str">
        <x:v>joomra flip flop</x:v>
      </x:c>
      <x:c r="C1063" s="10" t="str">
        <x:v>06385ecb320cb523</x:v>
      </x:c>
      <x:c r="D1063" s="10" t="str">
        <x:v>keyword</x:v>
      </x:c>
      <x:c r="E1063" s="10" t="str">
        <x:v>en</x:v>
      </x:c>
      <x:c r="F1063" s="10" t="str">
        <x:v>clothing_shoes_jewelry</x:v>
      </x:c>
      <x:c r="G1063" s="15" t="str"/>
      <x:c r="H1063" s="15" t="str">
        <x:v>flip_flop</x:v>
      </x:c>
      <x:c r="I1063" s="15" t="str"/>
      <x:c r="J1063" s="15" t="str"/>
      <x:c r="K1063" s="15" t="str"/>
      <x:c r="L1063" s="15" t="str"/>
      <x:c r="M1063" s="15" t="str"/>
      <x:c r="N1063" s="15" t="str"/>
      <x:c r="O1063" s="15" t="str"/>
      <x:c r="P1063" s="15" t="str"/>
      <x:c r="Q1063" s="15" t="str"/>
      <x:c r="R1063" s="15" t="str">
        <x:v>用户直接搜索自有品牌joomra人字拖，品牌和产品完全匹配。</x:v>
      </x:c>
      <x:c r="S1063" s="10" t="str">
        <x:v>brand_harvest</x:v>
      </x:c>
      <x:c r="T1063" s="15" t="str">
        <x:v>explicit | page_validated</x:v>
      </x:c>
      <x:c r="U1063" s="10" t="str">
        <x:v>high</x:v>
      </x:c>
      <x:c r="V1063" s="15" t="str">
        <x:v>brand_joomra_flip_flops</x:v>
      </x:c>
      <x:c r="W1063" s="15" t="str">
        <x:v>cluster_route</x:v>
      </x:c>
      <x:c r="X1063" s="15" t="str">
        <x:v>{"product_type":[{"value":"flip_flop","evidence_type":"explicit","source_span":"flip flop","fact_ids":[],"rationale":""},{"value":"flip_flop","evidence_type":"page_validated","source_span":"","fact_ids":["style_flip_flop"],"rationale":""}],"brand":[{"value":"joomra","evidence_type":"explicit","source_span":"joomra","fact_ids":[],"rationale":"搜索词明确包含品牌名称。"}],"primary_domain":[{"value":"clothing_shoes_jewelry","evidence_type":"inferred","source_span":"","fact_ids":[],"rationale":"该值由搜索词整体语义推断，未作为页面明示属性。"}]}</x:v>
      </x:c>
      <x:c r="Y1063" s="15" t="str"/>
      <x:c r="Z1063" s="10" t="str">
        <x:v>match</x:v>
      </x:c>
      <x:c r="AA1063" s="15" t="str">
        <x:v>style_flip_flop | title_womens_flip_flop</x:v>
      </x:c>
      <x:c r="AB1063" s="10" t="str">
        <x:v>accepted</x:v>
      </x:c>
      <x:c r="AC1063" s="10" t="str">
        <x:v>1.0.0</x:v>
      </x:c>
      <x:c r="AD1063" s="10" t="str">
        <x:v>1.0.0</x:v>
      </x:c>
      <x:c r="AE1063" s="10" t="str">
        <x:v>deepseek/deepseek-v4-pro</x:v>
      </x:c>
      <x:c r="AF1063" s="10" t="str">
        <x:v>aj2-y90-20260714T234810-0bea2f52</x:v>
      </x:c>
      <x:c r="AG1063" s="10" t="str">
        <x:v>full-0054</x:v>
      </x:c>
      <x:c r="AH1063" s="10" t="str">
        <x:v>full</x:v>
      </x:c>
      <x:c r="AI1063" s="10" t="n">
        <x:v>54</x:v>
      </x:c>
    </x:row>
    <x:row r="1064" ht="34" customHeight="1">
      <x:c r="A1064" s="16" t="str">
        <x:v>comfortable and lightweight daily flip flops</x:v>
      </x:c>
      <x:c r="B1064" s="16" t="str">
        <x:v>comfortable and lightweight daily flip flops</x:v>
      </x:c>
      <x:c r="C1064" s="13" t="str">
        <x:v>291a88f34922e8e2</x:v>
      </x:c>
      <x:c r="D1064" s="13" t="str">
        <x:v>keyword</x:v>
      </x:c>
      <x:c r="E1064" s="13" t="str">
        <x:v>en</x:v>
      </x:c>
      <x:c r="F1064" s="13" t="str">
        <x:v>clothing_shoes_jewelry</x:v>
      </x:c>
      <x:c r="G1064" s="16" t="str"/>
      <x:c r="H1064" s="16" t="str">
        <x:v>flip_flop</x:v>
      </x:c>
      <x:c r="I1064" s="16" t="str"/>
      <x:c r="J1064" s="16" t="str"/>
      <x:c r="K1064" s="16" t="str">
        <x:v>comfort | lightweight</x:v>
      </x:c>
      <x:c r="L1064" s="16" t="str"/>
      <x:c r="M1064" s="16" t="str"/>
      <x:c r="N1064" s="16" t="str"/>
      <x:c r="O1064" s="16" t="str">
        <x:v>daily</x:v>
      </x:c>
      <x:c r="P1064" s="16" t="str"/>
      <x:c r="Q1064" s="16" t="str"/>
      <x:c r="R1064" s="16" t="str">
        <x:v>用户需要舒适轻便适合日常穿着的人字拖。</x:v>
      </x:c>
      <x:c r="S1064" s="13" t="str">
        <x:v>consideration</x:v>
      </x:c>
      <x:c r="T1064" s="16" t="str">
        <x:v>explicit | page_validated</x:v>
      </x:c>
      <x:c r="U1064" s="13" t="str">
        <x:v>high</x:v>
      </x:c>
      <x:c r="V1064" s="16" t="str">
        <x:v>comfortable_lightweight_daily_flip_flops</x:v>
      </x:c>
      <x:c r="W1064" s="16" t="str">
        <x:v>cluster_route</x:v>
      </x:c>
      <x:c r="X1064" s="16" t="str">
        <x:v>{"product_type":[{"value":"flip_flop","evidence_type":"explicit","source_span":"flip flops","fact_ids":[],"rationale":""},{"value":"flip_flop","evidence_type":"page_validated","source_span":"","fact_ids":["style_flip_flop"],"rationale":""}],"capability_intent":[{"value":"comfort","evidence_type":"explicit","source_span":"comfortable","fact_ids":[],"rationale":""},{"value":"comfort","evidence_type":"page_validated","source_span":"","fact_ids":["arch_support","padded_cushioning","soft_toe_post"],"rationale":""},{"value":"lightweight","evidence_type":"explicit","source_span":"lightweight","fact_ids":[],"rationale":""},{"value":"lightweight","evidence_type":"page_validated","source_span":"","fact_ids":["lightweight_breathable"],"rationale":""}],"time_intent":[{"value":"daily","evidence_type":"explicit","source_span":"daily","fact_ids":[],"rationale":""}],"primary_domain":[{"value":"clothing_shoes_jewelry","evidence_type":"inferred","source_span":"","fact_ids":[],"rationale":"该值由搜索词整体语义推断，未作为页面明示属性。"}]}</x:v>
      </x:c>
      <x:c r="Y1064" s="16" t="str"/>
      <x:c r="Z1064" s="13" t="str">
        <x:v>match</x:v>
      </x:c>
      <x:c r="AA1064" s="16" t="str">
        <x:v>style_flip_flop | arch_support | padded_cushioning | soft_toe_post | lightweight_breathable</x:v>
      </x:c>
      <x:c r="AB1064" s="13" t="str">
        <x:v>accepted</x:v>
      </x:c>
      <x:c r="AC1064" s="13" t="str">
        <x:v>1.0.0</x:v>
      </x:c>
      <x:c r="AD1064" s="13" t="str">
        <x:v>1.0.0</x:v>
      </x:c>
      <x:c r="AE1064" s="13" t="str">
        <x:v>deepseek/deepseek-v4-pro</x:v>
      </x:c>
      <x:c r="AF1064" s="13" t="str">
        <x:v>aj2-y90-20260714T234810-0bea2f52</x:v>
      </x:c>
      <x:c r="AG1064" s="13" t="str">
        <x:v>full-0054</x:v>
      </x:c>
      <x:c r="AH1064" s="13" t="str">
        <x:v>full</x:v>
      </x:c>
      <x:c r="AI1064" s="13" t="n">
        <x:v>54</x:v>
      </x:c>
    </x:row>
    <x:row r="1065" ht="34" customHeight="1">
      <x:c r="A1065" s="15" t="str">
        <x:v>womens black flip flops size 10</x:v>
      </x:c>
      <x:c r="B1065" s="15" t="str">
        <x:v>womens black flip flops size 10</x:v>
      </x:c>
      <x:c r="C1065" s="10" t="str">
        <x:v>2e2d9aaf2b607a4a</x:v>
      </x:c>
      <x:c r="D1065" s="10" t="str">
        <x:v>keyword</x:v>
      </x:c>
      <x:c r="E1065" s="10" t="str">
        <x:v>en</x:v>
      </x:c>
      <x:c r="F1065" s="10" t="str">
        <x:v>clothing_shoes_jewelry</x:v>
      </x:c>
      <x:c r="G1065" s="15" t="str"/>
      <x:c r="H1065" s="15" t="str">
        <x:v>flip_flop</x:v>
      </x:c>
      <x:c r="I1065" s="15" t="str">
        <x:v>female</x:v>
      </x:c>
      <x:c r="J1065" s="15" t="str"/>
      <x:c r="K1065" s="15" t="str"/>
      <x:c r="L1065" s="15" t="str"/>
      <x:c r="M1065" s="15" t="str"/>
      <x:c r="N1065" s="15" t="str"/>
      <x:c r="O1065" s="15" t="str"/>
      <x:c r="P1065" s="15" t="str"/>
      <x:c r="Q1065" s="15" t="str"/>
      <x:c r="R1065" s="15" t="str">
        <x:v>女性用户需要一双美国10码黑色女士人字拖。</x:v>
      </x:c>
      <x:c r="S1065" s="10" t="str">
        <x:v>high_intent</x:v>
      </x:c>
      <x:c r="T1065" s="15" t="str">
        <x:v>explicit | page_validated</x:v>
      </x:c>
      <x:c r="U1065" s="10" t="str">
        <x:v>high</x:v>
      </x:c>
      <x:c r="V1065" s="15" t="str">
        <x:v>womens_black_flip_flops_sized</x:v>
      </x:c>
      <x:c r="W1065" s="15" t="str">
        <x:v>cluster_route</x:v>
      </x:c>
      <x:c r="X1065" s="15" t="str">
        <x:v>{"product_type":[{"value":"flip_flop","evidence_type":"explicit","source_span":"flip flops","fact_ids":[],"rationale":""},{"value":"flip_flop","evidence_type":"page_validated","source_span":"","fact_ids":["style_flip_flop","title_womens_flip_flop"],"rationale":""}],"audience_intent":[{"value":"female","evidence_type":"explicit","source_span":"womens","fact_ids":[],"rationale":""},{"value":"female","evidence_type":"page_validated","source_span":"","fact_ids":["title_womens_flip_flop"],"rationale":""}],"color":[{"value":"black","evidence_type":"explicit","source_span":"black","fact_ids":[],"rationale":"该颜色在商品页面可见颜色选择中得到明确支持。"},{"value":"black","evidence_type":"page_validated","source_span":"","fact_ids":["colors_visible"],"rationale":"该颜色在商品页面可见颜色选择中得到明确支持。"}],"size":[{"value":"us_10","evidence_type":"explicit","source_span":"size 10","fact_ids":[],"rationale":""},{"value":"us_10","evidence_type":"page_validated","source_span":"","fact_ids":["sizes_6_11"],"rationale":"尺码10在范围内"}],"primary_domain":[{"value":"clothing_shoes_jewelry","evidence_type":"inferred","source_span":"","fact_ids":[],"rationale":"该值由搜索词整体语义推断，未作为页面明示属性。"}]}</x:v>
      </x:c>
      <x:c r="Y1065" s="15" t="str"/>
      <x:c r="Z1065" s="10" t="str">
        <x:v>match</x:v>
      </x:c>
      <x:c r="AA1065" s="15" t="str">
        <x:v>title_womens_flip_flop | style_flip_flop | colors_visible | sizes_6_11</x:v>
      </x:c>
      <x:c r="AB1065" s="10" t="str">
        <x:v>accepted</x:v>
      </x:c>
      <x:c r="AC1065" s="10" t="str">
        <x:v>1.0.0</x:v>
      </x:c>
      <x:c r="AD1065" s="10" t="str">
        <x:v>1.0.0</x:v>
      </x:c>
      <x:c r="AE1065" s="10" t="str">
        <x:v>deepseek/deepseek-v4-pro</x:v>
      </x:c>
      <x:c r="AF1065" s="10" t="str">
        <x:v>aj2-y90-20260714T234810-0bea2f52</x:v>
      </x:c>
      <x:c r="AG1065" s="10" t="str">
        <x:v>full-0054</x:v>
      </x:c>
      <x:c r="AH1065" s="10" t="str">
        <x:v>full</x:v>
      </x:c>
      <x:c r="AI1065" s="10" t="n">
        <x:v>54</x:v>
      </x:c>
    </x:row>
    <x:row r="1066" ht="34" customHeight="1">
      <x:c r="A1066" s="16" t="str">
        <x:v>women flip flops size 10</x:v>
      </x:c>
      <x:c r="B1066" s="16" t="str">
        <x:v>women flip flops size 10</x:v>
      </x:c>
      <x:c r="C1066" s="13" t="str">
        <x:v>4b23f23ef41bac86</x:v>
      </x:c>
      <x:c r="D1066" s="13" t="str">
        <x:v>keyword</x:v>
      </x:c>
      <x:c r="E1066" s="13" t="str">
        <x:v>en</x:v>
      </x:c>
      <x:c r="F1066" s="13" t="str">
        <x:v>clothing_shoes_jewelry</x:v>
      </x:c>
      <x:c r="G1066" s="16" t="str"/>
      <x:c r="H1066" s="16" t="str">
        <x:v>flip_flop</x:v>
      </x:c>
      <x:c r="I1066" s="16" t="str">
        <x:v>female</x:v>
      </x:c>
      <x:c r="J1066" s="16" t="str"/>
      <x:c r="K1066" s="16" t="str"/>
      <x:c r="L1066" s="16" t="str"/>
      <x:c r="M1066" s="16" t="str"/>
      <x:c r="N1066" s="16" t="str"/>
      <x:c r="O1066" s="16" t="str"/>
      <x:c r="P1066" s="16" t="str"/>
      <x:c r="Q1066" s="16" t="str"/>
      <x:c r="R1066" s="16" t="str">
        <x:v>女性用户需要一双美国10码的女士人字拖用于日常穿着。</x:v>
      </x:c>
      <x:c r="S1066" s="13" t="str">
        <x:v>high_intent</x:v>
      </x:c>
      <x:c r="T1066" s="16" t="str">
        <x:v>explicit | page_validated</x:v>
      </x:c>
      <x:c r="U1066" s="13" t="str">
        <x:v>high</x:v>
      </x:c>
      <x:c r="V1066" s="16" t="str">
        <x:v>womens_flip_flops_sized</x:v>
      </x:c>
      <x:c r="W1066" s="16" t="str">
        <x:v>cluster_route</x:v>
      </x:c>
      <x:c r="X1066" s="16" t="str">
        <x:v>{"product_type":[{"value":"flip_flop","evidence_type":"explicit","source_span":"flip flops","fact_ids":[],"rationale":""},{"value":"flip_flop","evidence_type":"page_validated","source_span":"","fact_ids":["style_flip_flop","title_womens_flip_flop"],"rationale":""}],"audience_intent":[{"value":"female","evidence_type":"explicit","source_span":"women","fact_ids":[],"rationale":""},{"value":"female","evidence_type":"page_validated","source_span":"","fact_ids":["title_womens_flip_flop"],"rationale":""}],"size":[{"value":"us_10","evidence_type":"explicit","source_span":"size 10","fact_ids":[],"rationale":""},{"value":"us_10","evidence_type":"page_validated","source_span":"","fact_ids":["sizes_6_11"],"rationale":"尺码10在6-11范围内"}],"primary_domain":[{"value":"clothing_shoes_jewelry","evidence_type":"inferred","source_span":"","fact_ids":[],"rationale":"该值由搜索词整体语义推断，未作为页面明示属性。"}]}</x:v>
      </x:c>
      <x:c r="Y1066" s="16" t="str"/>
      <x:c r="Z1066" s="13" t="str">
        <x:v>match</x:v>
      </x:c>
      <x:c r="AA1066" s="16" t="str">
        <x:v>title_womens_flip_flop | style_flip_flop | sizes_6_11</x:v>
      </x:c>
      <x:c r="AB1066" s="13" t="str">
        <x:v>accepted</x:v>
      </x:c>
      <x:c r="AC1066" s="13" t="str">
        <x:v>1.0.0</x:v>
      </x:c>
      <x:c r="AD1066" s="13" t="str">
        <x:v>1.0.0</x:v>
      </x:c>
      <x:c r="AE1066" s="13" t="str">
        <x:v>deepseek/deepseek-v4-pro</x:v>
      </x:c>
      <x:c r="AF1066" s="13" t="str">
        <x:v>aj2-y90-20260714T234810-0bea2f52</x:v>
      </x:c>
      <x:c r="AG1066" s="13" t="str">
        <x:v>full-0054</x:v>
      </x:c>
      <x:c r="AH1066" s="13" t="str">
        <x:v>full</x:v>
      </x:c>
      <x:c r="AI1066" s="13" t="n">
        <x:v>54</x:v>
      </x:c>
    </x:row>
    <x:row r="1067" ht="34" customHeight="1">
      <x:c r="A1067" s="15" t="str">
        <x:v>feelgoodz flip flops women</x:v>
      </x:c>
      <x:c r="B1067" s="15" t="str">
        <x:v>feelgoodz flip flops women</x:v>
      </x:c>
      <x:c r="C1067" s="10" t="str">
        <x:v>5fc2d7e3d8b7be26</x:v>
      </x:c>
      <x:c r="D1067" s="10" t="str">
        <x:v>keyword</x:v>
      </x:c>
      <x:c r="E1067" s="10" t="str">
        <x:v>en</x:v>
      </x:c>
      <x:c r="F1067" s="10" t="str">
        <x:v>clothing_shoes_jewelry</x:v>
      </x:c>
      <x:c r="G1067" s="15" t="str"/>
      <x:c r="H1067" s="15" t="str">
        <x:v>flip_flop</x:v>
      </x:c>
      <x:c r="I1067" s="15" t="str">
        <x:v>female</x:v>
      </x:c>
      <x:c r="J1067" s="15" t="str"/>
      <x:c r="K1067" s="15" t="str"/>
      <x:c r="L1067" s="15" t="str"/>
      <x:c r="M1067" s="15" t="str"/>
      <x:c r="N1067" s="15" t="str"/>
      <x:c r="O1067" s="15" t="str"/>
      <x:c r="P1067" s="15" t="str"/>
      <x:c r="Q1067" s="15" t="str"/>
      <x:c r="R1067" s="15" t="str">
        <x:v>女性用户明确搜索Feelgoodz品牌人字拖，与自有品牌joomra冲突。</x:v>
      </x:c>
      <x:c r="S1067" s="10" t="str">
        <x:v>brand_harvest</x:v>
      </x:c>
      <x:c r="T1067" s="15" t="str">
        <x:v>explicit</x:v>
      </x:c>
      <x:c r="U1067" s="10" t="str">
        <x:v>high</x:v>
      </x:c>
      <x:c r="V1067" s="15" t="str">
        <x:v>brand_feelgoodz_womens_flip_flops</x:v>
      </x:c>
      <x:c r="W1067" s="15" t="str">
        <x:v>semantic_negative_candidate</x:v>
      </x:c>
      <x:c r="X1067" s="15" t="str">
        <x:v>{"product_type":[{"value":"flip_flop","evidence_type":"explicit","source_span":"flip flops","fact_ids":[],"rationale":""},{"value":"flip_flop","evidence_type":"page_validated","source_span":"","fact_ids":["style_flip_flop"],"rationale":"该槽位与商品基准中的明示页面事实一致。"}],"audience_intent":[{"value":"female","evidence_type":"explicit","source_span":"women","fact_ids":[],"rationale":""}],"brand":[{"value":"feelgoodz","evidence_type":"explicit","source_span":"feelgoodz","fact_ids":[],"rationale":""}],"primary_domain":[{"value":"clothing_shoes_jewelry","evidence_type":"inferred","source_span":"","fact_ids":[],"rationale":"该值由搜索词整体语义推断，未作为页面明示属性。"}]}</x:v>
      </x:c>
      <x:c r="Y1067" s="15" t="str"/>
      <x:c r="Z1067" s="10" t="str">
        <x:v>mismatch</x:v>
      </x:c>
      <x:c r="AA1067" s="15" t="str"/>
      <x:c r="AB1067" s="10" t="str">
        <x:v>accepted</x:v>
      </x:c>
      <x:c r="AC1067" s="10" t="str">
        <x:v>1.0.0</x:v>
      </x:c>
      <x:c r="AD1067" s="10" t="str">
        <x:v>1.0.0</x:v>
      </x:c>
      <x:c r="AE1067" s="10" t="str">
        <x:v>deepseek/deepseek-v4-pro</x:v>
      </x:c>
      <x:c r="AF1067" s="10" t="str">
        <x:v>aj2-y90-20260714T234810-0bea2f52</x:v>
      </x:c>
      <x:c r="AG1067" s="10" t="str">
        <x:v>full-0054</x:v>
      </x:c>
      <x:c r="AH1067" s="10" t="str">
        <x:v>full</x:v>
      </x:c>
      <x:c r="AI1067" s="10" t="n">
        <x:v>54</x:v>
      </x:c>
    </x:row>
    <x:row r="1068" ht="34" customHeight="1">
      <x:c r="A1068" s="16" t="str">
        <x:v>chancletas de verano</x:v>
      </x:c>
      <x:c r="B1068" s="16" t="str">
        <x:v>chancletas de verano</x:v>
      </x:c>
      <x:c r="C1068" s="13" t="str">
        <x:v>6ca66d09f849be28</x:v>
      </x:c>
      <x:c r="D1068" s="13" t="str">
        <x:v>keyword</x:v>
      </x:c>
      <x:c r="E1068" s="13" t="str">
        <x:v>es</x:v>
      </x:c>
      <x:c r="F1068" s="13" t="str">
        <x:v>clothing_shoes_jewelry</x:v>
      </x:c>
      <x:c r="G1068" s="16" t="str"/>
      <x:c r="H1068" s="16" t="str">
        <x:v>flip_flop</x:v>
      </x:c>
      <x:c r="I1068" s="16" t="str"/>
      <x:c r="J1068" s="16" t="str"/>
      <x:c r="K1068" s="16" t="str"/>
      <x:c r="L1068" s="16" t="str"/>
      <x:c r="M1068" s="16" t="str"/>
      <x:c r="N1068" s="16" t="str"/>
      <x:c r="O1068" s="16" t="str">
        <x:v>summer</x:v>
      </x:c>
      <x:c r="P1068" s="16" t="str"/>
      <x:c r="Q1068" s="16" t="str"/>
      <x:c r="R1068" s="16" t="str">
        <x:v>用户需要适合夏季穿着的人字拖。</x:v>
      </x:c>
      <x:c r="S1068" s="13" t="str">
        <x:v>consideration</x:v>
      </x:c>
      <x:c r="T1068" s="16" t="str">
        <x:v>explicit | page_validated | inferred</x:v>
      </x:c>
      <x:c r="U1068" s="13" t="str">
        <x:v>high</x:v>
      </x:c>
      <x:c r="V1068" s="16" t="str">
        <x:v>summer_flip_flops_es</x:v>
      </x:c>
      <x:c r="W1068" s="16" t="str">
        <x:v>cluster_route</x:v>
      </x:c>
      <x:c r="X1068" s="16" t="str">
        <x:v>{"product_type":[{"value":"flip_flop","evidence_type":"explicit","source_span":"chancletas","fact_ids":[],"rationale":""},{"value":"flip_flop","evidence_type":"page_validated","source_span":"","fact_ids":["style_flip_flop"],"rationale":""},{"value":"flip_flop","evidence_type":"inferred","source_span":"","fact_ids":[],"rationale":"该能力由搜索词表达的任务或问题推断；页面事实仅用于验证商品承接。"}],"time_intent":[{"value":"summer","evidence_type":"explicit","source_span":"verano","fact_ids":[],"rationale":""}],"primary_domain":[{"value":"clothing_shoes_jewelry","evidence_type":"inferred","source_span":"","fact_ids":[],"rationale":"该值由搜索词整体语义推断，未作为页面明示属性。"}]}</x:v>
      </x:c>
      <x:c r="Y1068" s="16" t="str"/>
      <x:c r="Z1068" s="13" t="str">
        <x:v>match</x:v>
      </x:c>
      <x:c r="AA1068" s="16" t="str">
        <x:v>style_flip_flop | lightweight_breathable | style_outdoor | style_open_toe</x:v>
      </x:c>
      <x:c r="AB1068" s="13" t="str">
        <x:v>accepted</x:v>
      </x:c>
      <x:c r="AC1068" s="13" t="str">
        <x:v>1.0.0</x:v>
      </x:c>
      <x:c r="AD1068" s="13" t="str">
        <x:v>1.0.0</x:v>
      </x:c>
      <x:c r="AE1068" s="13" t="str">
        <x:v>deepseek/deepseek-v4-pro</x:v>
      </x:c>
      <x:c r="AF1068" s="13" t="str">
        <x:v>aj2-y90-20260714T234810-0bea2f52</x:v>
      </x:c>
      <x:c r="AG1068" s="13" t="str">
        <x:v>full-0054</x:v>
      </x:c>
      <x:c r="AH1068" s="13" t="str">
        <x:v>full</x:v>
      </x:c>
      <x:c r="AI1068" s="13" t="n">
        <x:v>54</x:v>
      </x:c>
    </x:row>
    <x:row r="1069" ht="34" customHeight="1">
      <x:c r="A1069" s="15" t="str">
        <x:v>dark brown flip flops</x:v>
      </x:c>
      <x:c r="B1069" s="15" t="str">
        <x:v>dark brown flip flops</x:v>
      </x:c>
      <x:c r="C1069" s="10" t="str">
        <x:v>6dff28745b8a047a</x:v>
      </x:c>
      <x:c r="D1069" s="10" t="str">
        <x:v>keyword</x:v>
      </x:c>
      <x:c r="E1069" s="10" t="str">
        <x:v>en</x:v>
      </x:c>
      <x:c r="F1069" s="10" t="str">
        <x:v>clothing_shoes_jewelry</x:v>
      </x:c>
      <x:c r="G1069" s="15" t="str"/>
      <x:c r="H1069" s="15" t="str">
        <x:v>flip_flop</x:v>
      </x:c>
      <x:c r="I1069" s="15" t="str"/>
      <x:c r="J1069" s="15" t="str"/>
      <x:c r="K1069" s="15" t="str"/>
      <x:c r="L1069" s="15" t="str"/>
      <x:c r="M1069" s="15" t="str"/>
      <x:c r="N1069" s="15" t="str"/>
      <x:c r="O1069" s="15" t="str"/>
      <x:c r="P1069" s="15" t="str"/>
      <x:c r="Q1069" s="15" t="str"/>
      <x:c r="R1069" s="15" t="str">
        <x:v>用户需要一双深棕色人字拖，产品有棕色可选。</x:v>
      </x:c>
      <x:c r="S1069" s="10" t="str">
        <x:v>high_intent</x:v>
      </x:c>
      <x:c r="T1069" s="15" t="str">
        <x:v>explicit | page_validated</x:v>
      </x:c>
      <x:c r="U1069" s="10" t="str">
        <x:v>high</x:v>
      </x:c>
      <x:c r="V1069" s="15" t="str">
        <x:v>brown_flip_flops</x:v>
      </x:c>
      <x:c r="W1069" s="15" t="str">
        <x:v>cluster_route</x:v>
      </x:c>
      <x:c r="X1069" s="15" t="str">
        <x:v>{"product_type":[{"value":"flip_flop","evidence_type":"explicit","source_span":"flip flops","fact_ids":[],"rationale":""},{"value":"flip_flop","evidence_type":"page_validated","source_span":"","fact_ids":["style_flip_flop"],"rationale":""}],"color":[{"value":"dark_brown","evidence_type":"explicit","source_span":"dark brown","fact_ids":[],"rationale":""},{"value":"dark_brown","evidence_type":"inferred","source_span":"","fact_ids":[],"rationale":"这是搜索词中的颜色约束，但商品页面基准未确认该具体颜色。"}],"primary_domain":[{"value":"clothing_shoes_jewelry","evidence_type":"inferred","source_span":"","fact_ids":[],"rationale":"该值由搜索词整体语义推断，未作为页面明示属性。"}]}</x:v>
      </x:c>
      <x:c r="Y1069" s="15" t="str"/>
      <x:c r="Z1069" s="10" t="str">
        <x:v>match</x:v>
      </x:c>
      <x:c r="AA1069" s="15" t="str">
        <x:v>style_flip_flop | colors_visible</x:v>
      </x:c>
      <x:c r="AB1069" s="10" t="str">
        <x:v>accepted</x:v>
      </x:c>
      <x:c r="AC1069" s="10" t="str">
        <x:v>1.0.0</x:v>
      </x:c>
      <x:c r="AD1069" s="10" t="str">
        <x:v>1.0.0</x:v>
      </x:c>
      <x:c r="AE1069" s="10" t="str">
        <x:v>deepseek/deepseek-v4-pro</x:v>
      </x:c>
      <x:c r="AF1069" s="10" t="str">
        <x:v>aj2-y90-20260714T234810-0bea2f52</x:v>
      </x:c>
      <x:c r="AG1069" s="10" t="str">
        <x:v>full-0054</x:v>
      </x:c>
      <x:c r="AH1069" s="10" t="str">
        <x:v>full</x:v>
      </x:c>
      <x:c r="AI1069" s="10" t="n">
        <x:v>54</x:v>
      </x:c>
    </x:row>
    <x:row r="1070" ht="34" customHeight="1">
      <x:c r="A1070" s="16" t="str">
        <x:v>rafter flip flops women</x:v>
      </x:c>
      <x:c r="B1070" s="16" t="str">
        <x:v>rafter flip flops women</x:v>
      </x:c>
      <x:c r="C1070" s="13" t="str">
        <x:v>72e334c7cf9e82ea</x:v>
      </x:c>
      <x:c r="D1070" s="13" t="str">
        <x:v>keyword</x:v>
      </x:c>
      <x:c r="E1070" s="13" t="str">
        <x:v>en</x:v>
      </x:c>
      <x:c r="F1070" s="13" t="str">
        <x:v>clothing_shoes_jewelry</x:v>
      </x:c>
      <x:c r="G1070" s="16" t="str"/>
      <x:c r="H1070" s="16" t="str">
        <x:v>flip_flop</x:v>
      </x:c>
      <x:c r="I1070" s="16" t="str">
        <x:v>female</x:v>
      </x:c>
      <x:c r="J1070" s="16" t="str"/>
      <x:c r="K1070" s="16" t="str"/>
      <x:c r="L1070" s="16" t="str"/>
      <x:c r="M1070" s="16" t="str"/>
      <x:c r="N1070" s="16" t="str"/>
      <x:c r="O1070" s="16" t="str"/>
      <x:c r="P1070" s="16" t="str"/>
      <x:c r="Q1070" s="16" t="str"/>
      <x:c r="R1070" s="16" t="str">
        <x:v>用户搜索rafter相关女士人字拖，rafter含义不明确可能为品牌名或拼写错误。</x:v>
      </x:c>
      <x:c r="S1070" s="13" t="str">
        <x:v>brand_harvest</x:v>
      </x:c>
      <x:c r="T1070" s="16" t="str">
        <x:v>explicit | inferred</x:v>
      </x:c>
      <x:c r="U1070" s="13" t="str">
        <x:v>low</x:v>
      </x:c>
      <x:c r="V1070" s="16" t="str">
        <x:v>rafter_womens_flip_flops_ambiguous</x:v>
      </x:c>
      <x:c r="W1070" s="16" t="str">
        <x:v>ambiguity_review</x:v>
      </x:c>
      <x:c r="X1070" s="16" t="str">
        <x:v>{"product_type":[{"value":"flip_flop","evidence_type":"explicit","source_span":"flip flops","fact_ids":[],"rationale":""},{"value":"flip_flop","evidence_type":"page_validated","source_span":"","fact_ids":["style_flip_flop"],"rationale":"该槽位与商品基准中的明示页面事实一致。"}],"audience_intent":[{"value":"female","evidence_type":"explicit","source_span":"women","fact_ids":[],"rationale":""}],"brand":[{"value":"rafter","evidence_type":"inferred","source_span":"rafter","fact_ids":[],"rationale":"rafter可能为品牌名或拼写错误"}],"primary_domain":[{"value":"clothing_shoes_jewelry","evidence_type":"inferred","source_span":"","fact_ids":[],"rationale":"该值由搜索词整体语义推断，未作为页面明示属性。"}]}</x:v>
      </x:c>
      <x:c r="Y1070" s="16" t="str">
        <x:v>rafter_possible_brand_or_misspelling</x:v>
      </x:c>
      <x:c r="Z1070" s="13" t="str">
        <x:v>unknown</x:v>
      </x:c>
      <x:c r="AA1070" s="16" t="str"/>
      <x:c r="AB1070" s="13" t="str">
        <x:v>accepted</x:v>
      </x:c>
      <x:c r="AC1070" s="13" t="str">
        <x:v>1.0.0</x:v>
      </x:c>
      <x:c r="AD1070" s="13" t="str">
        <x:v>1.0.0</x:v>
      </x:c>
      <x:c r="AE1070" s="13" t="str">
        <x:v>deepseek/deepseek-v4-pro</x:v>
      </x:c>
      <x:c r="AF1070" s="13" t="str">
        <x:v>aj2-y90-20260714T234810-0bea2f52</x:v>
      </x:c>
      <x:c r="AG1070" s="13" t="str">
        <x:v>full-0054</x:v>
      </x:c>
      <x:c r="AH1070" s="13" t="str">
        <x:v>full</x:v>
      </x:c>
      <x:c r="AI1070" s="13" t="n">
        <x:v>54</x:v>
      </x:c>
    </x:row>
    <x:row r="1071" ht="34" customHeight="1">
      <x:c r="A1071" s="15" t="str">
        <x:v>womens archies flip flops</x:v>
      </x:c>
      <x:c r="B1071" s="15" t="str">
        <x:v>womens archies flip flops</x:v>
      </x:c>
      <x:c r="C1071" s="10" t="str">
        <x:v>7c4a4414326aead0</x:v>
      </x:c>
      <x:c r="D1071" s="10" t="str">
        <x:v>keyword</x:v>
      </x:c>
      <x:c r="E1071" s="10" t="str">
        <x:v>en</x:v>
      </x:c>
      <x:c r="F1071" s="10" t="str">
        <x:v>clothing_shoes_jewelry</x:v>
      </x:c>
      <x:c r="G1071" s="15" t="str"/>
      <x:c r="H1071" s="15" t="str">
        <x:v>flip_flop</x:v>
      </x:c>
      <x:c r="I1071" s="15" t="str">
        <x:v>female</x:v>
      </x:c>
      <x:c r="J1071" s="15" t="str"/>
      <x:c r="K1071" s="15" t="str"/>
      <x:c r="L1071" s="15" t="str"/>
      <x:c r="M1071" s="15" t="str"/>
      <x:c r="N1071" s="15" t="str"/>
      <x:c r="O1071" s="15" t="str"/>
      <x:c r="P1071" s="15" t="str"/>
      <x:c r="Q1071" s="15" t="str"/>
      <x:c r="R1071" s="15" t="str">
        <x:v>女性用户搜索Archies品牌或足弓支撑人字拖，品牌歧义导致匹配不确定。</x:v>
      </x:c>
      <x:c r="S1071" s="10" t="str">
        <x:v>brand_harvest</x:v>
      </x:c>
      <x:c r="T1071" s="15" t="str">
        <x:v>explicit | inferred</x:v>
      </x:c>
      <x:c r="U1071" s="10" t="str">
        <x:v>low</x:v>
      </x:c>
      <x:c r="V1071" s="15" t="str">
        <x:v>archies_womens_flip_flops_ambiguous</x:v>
      </x:c>
      <x:c r="W1071" s="15" t="str">
        <x:v>ambiguity_review</x:v>
      </x:c>
      <x:c r="X1071" s="15" t="str">
        <x:v>{"product_type":[{"value":"flip_flop","evidence_type":"explicit","source_span":"flip flops","fact_ids":[],"rationale":""},{"value":"flip_flop","evidence_type":"page_validated","source_span":"","fact_ids":["style_flip_flop"],"rationale":"该槽位与商品基准中的明示页面事实一致。"}],"audience_intent":[{"value":"female","evidence_type":"explicit","source_span":"womens","fact_ids":[],"rationale":""}],"brand":[{"value":"archies","evidence_type":"inferred","source_span":"archies","fact_ids":[],"rationale":"archies可能为品牌名或arch足弓描述"}],"primary_domain":[{"value":"clothing_shoes_jewelry","evidence_type":"inferred","source_span":"","fact_ids":[],"rationale":"该值由搜索词整体语义推断，未作为页面明示属性。"}]}</x:v>
      </x:c>
      <x:c r="Y1071" s="15" t="str">
        <x:v>archies_brand_or_arch_support_descriptor</x:v>
      </x:c>
      <x:c r="Z1071" s="10" t="str">
        <x:v>unknown</x:v>
      </x:c>
      <x:c r="AA1071" s="15" t="str"/>
      <x:c r="AB1071" s="10" t="str">
        <x:v>accepted</x:v>
      </x:c>
      <x:c r="AC1071" s="10" t="str">
        <x:v>1.0.0</x:v>
      </x:c>
      <x:c r="AD1071" s="10" t="str">
        <x:v>1.0.0</x:v>
      </x:c>
      <x:c r="AE1071" s="10" t="str">
        <x:v>deepseek/deepseek-v4-pro</x:v>
      </x:c>
      <x:c r="AF1071" s="10" t="str">
        <x:v>aj2-y90-20260714T234810-0bea2f52</x:v>
      </x:c>
      <x:c r="AG1071" s="10" t="str">
        <x:v>full-0054</x:v>
      </x:c>
      <x:c r="AH1071" s="10" t="str">
        <x:v>full</x:v>
      </x:c>
      <x:c r="AI1071" s="10" t="n">
        <x:v>54</x:v>
      </x:c>
    </x:row>
    <x:row r="1072" ht="34" customHeight="1">
      <x:c r="A1072" s="16" t="str">
        <x:v>womens sandals water proof</x:v>
      </x:c>
      <x:c r="B1072" s="16" t="str">
        <x:v>womens sandals water proof</x:v>
      </x:c>
      <x:c r="C1072" s="13" t="str">
        <x:v>872bf0dc0294985f</x:v>
      </x:c>
      <x:c r="D1072" s="13" t="str">
        <x:v>keyword</x:v>
      </x:c>
      <x:c r="E1072" s="13" t="str">
        <x:v>en</x:v>
      </x:c>
      <x:c r="F1072" s="13" t="str">
        <x:v>clothing_shoes_jewelry</x:v>
      </x:c>
      <x:c r="G1072" s="16" t="str"/>
      <x:c r="H1072" s="16" t="str">
        <x:v>sandal</x:v>
      </x:c>
      <x:c r="I1072" s="16" t="str">
        <x:v>female</x:v>
      </x:c>
      <x:c r="J1072" s="16" t="str">
        <x:v>keep_feet_dry</x:v>
      </x:c>
      <x:c r="K1072" s="16" t="str">
        <x:v>waterproof</x:v>
      </x:c>
      <x:c r="L1072" s="16" t="str"/>
      <x:c r="M1072" s="16" t="str"/>
      <x:c r="N1072" s="16" t="str"/>
      <x:c r="O1072" s="16" t="str"/>
      <x:c r="P1072" s="16" t="str"/>
      <x:c r="Q1072" s="16" t="str"/>
      <x:c r="R1072" s="16" t="str">
        <x:v>女性用户需要防水女士凉鞋，但产品未声明防水功能。</x:v>
      </x:c>
      <x:c r="S1072" s="13" t="str">
        <x:v>consideration</x:v>
      </x:c>
      <x:c r="T1072" s="16" t="str">
        <x:v>explicit | inferred</x:v>
      </x:c>
      <x:c r="U1072" s="13" t="str">
        <x:v>medium</x:v>
      </x:c>
      <x:c r="V1072" s="16" t="str">
        <x:v>womens_waterproof_sandals</x:v>
      </x:c>
      <x:c r="W1072" s="16" t="str">
        <x:v>listing_gap_review</x:v>
      </x:c>
      <x:c r="X1072" s="16" t="str">
        <x:v>{"product_type":[{"value":"sandal","evidence_type":"explicit","source_span":"sandals","fact_ids":[],"rationale":""}],"audience_intent":[{"value":"female","evidence_type":"explicit","source_span":"womens","fact_ids":[],"rationale":""}],"capability_intent":[{"value":"waterproof","evidence_type":"explicit","source_span":"water proof","fact_ids":[],"rationale":""}],"function_intent":[{"value":"keep_feet_dry","evidence_type":"inferred","source_span":"water proof","fact_ids":[],"rationale":"防水需求的目的是保持脚部干爽"}],"primary_domain":[{"value":"clothing_shoes_jewelry","evidence_type":"inferred","source_span":"","fact_ids":[],"rationale":"该值由搜索词整体语义推断，未作为页面明示属性。"}]}</x:v>
      </x:c>
      <x:c r="Y1072" s="16" t="str"/>
      <x:c r="Z1072" s="13" t="str">
        <x:v>partial_match</x:v>
      </x:c>
      <x:c r="AA1072" s="16" t="str">
        <x:v>title_womens_flip_flop | style_flip_flop | material_eva</x:v>
      </x:c>
      <x:c r="AB1072" s="13" t="str">
        <x:v>accepted</x:v>
      </x:c>
      <x:c r="AC1072" s="13" t="str">
        <x:v>1.0.0</x:v>
      </x:c>
      <x:c r="AD1072" s="13" t="str">
        <x:v>1.0.0</x:v>
      </x:c>
      <x:c r="AE1072" s="13" t="str">
        <x:v>deepseek/deepseek-v4-pro</x:v>
      </x:c>
      <x:c r="AF1072" s="13" t="str">
        <x:v>aj2-y90-20260714T234810-0bea2f52</x:v>
      </x:c>
      <x:c r="AG1072" s="13" t="str">
        <x:v>full-0054</x:v>
      </x:c>
      <x:c r="AH1072" s="13" t="str">
        <x:v>full</x:v>
      </x:c>
      <x:c r="AI1072" s="13" t="n">
        <x:v>54</x:v>
      </x:c>
    </x:row>
    <x:row r="1073" ht="34" customHeight="1">
      <x:c r="A1073" s="15" t="str">
        <x:v>steven madden women's flip flops</x:v>
      </x:c>
      <x:c r="B1073" s="15" t="str">
        <x:v>steven madden women's flip flops</x:v>
      </x:c>
      <x:c r="C1073" s="10" t="str">
        <x:v>a773c81d1a750f96</x:v>
      </x:c>
      <x:c r="D1073" s="10" t="str">
        <x:v>keyword</x:v>
      </x:c>
      <x:c r="E1073" s="10" t="str">
        <x:v>en</x:v>
      </x:c>
      <x:c r="F1073" s="10" t="str">
        <x:v>clothing_shoes_jewelry</x:v>
      </x:c>
      <x:c r="G1073" s="15" t="str"/>
      <x:c r="H1073" s="15" t="str">
        <x:v>flip_flop</x:v>
      </x:c>
      <x:c r="I1073" s="15" t="str">
        <x:v>female</x:v>
      </x:c>
      <x:c r="J1073" s="15" t="str"/>
      <x:c r="K1073" s="15" t="str"/>
      <x:c r="L1073" s="15" t="str"/>
      <x:c r="M1073" s="15" t="str"/>
      <x:c r="N1073" s="15" t="str"/>
      <x:c r="O1073" s="15" t="str"/>
      <x:c r="P1073" s="15" t="str"/>
      <x:c r="Q1073" s="15" t="str"/>
      <x:c r="R1073" s="15" t="str">
        <x:v>女性用户明确搜索Steven Madden品牌人字拖，与自有品牌joomra冲突。</x:v>
      </x:c>
      <x:c r="S1073" s="10" t="str">
        <x:v>brand_harvest</x:v>
      </x:c>
      <x:c r="T1073" s="15" t="str">
        <x:v>explicit | inferred</x:v>
      </x:c>
      <x:c r="U1073" s="10" t="str">
        <x:v>high</x:v>
      </x:c>
      <x:c r="V1073" s="15" t="str">
        <x:v>brand_steven_madden_womens_flip_flops</x:v>
      </x:c>
      <x:c r="W1073" s="15" t="str">
        <x:v>semantic_negative_candidate</x:v>
      </x:c>
      <x:c r="X1073" s="15" t="str">
        <x:v>{"product_type":[{"value":"flip_flop","evidence_type":"explicit","source_span":"flip flops","fact_ids":[],"rationale":""},{"value":"flip_flop","evidence_type":"page_validated","source_span":"","fact_ids":["style_flip_flop"],"rationale":"该槽位与商品基准中的明示页面事实一致。"}],"audience_intent":[{"value":"female","evidence_type":"explicit","source_span":"women's","fact_ids":[],"rationale":""}],"brand":[{"value":"steven_madden","evidence_type":"explicit","source_span":"steven madden","fact_ids":[],"rationale":""}],"primary_domain":[{"value":"clothing_shoes_jewelry","evidence_type":"inferred","source_span":"","fact_ids":[],"rationale":"该值由搜索词整体语义推断，未作为页面明示属性。"}]}</x:v>
      </x:c>
      <x:c r="Y1073" s="15" t="str"/>
      <x:c r="Z1073" s="10" t="str">
        <x:v>mismatch</x:v>
      </x:c>
      <x:c r="AA1073" s="15" t="str"/>
      <x:c r="AB1073" s="10" t="str">
        <x:v>accepted</x:v>
      </x:c>
      <x:c r="AC1073" s="10" t="str">
        <x:v>1.0.0</x:v>
      </x:c>
      <x:c r="AD1073" s="10" t="str">
        <x:v>1.0.0</x:v>
      </x:c>
      <x:c r="AE1073" s="10" t="str">
        <x:v>deepseek/deepseek-v4-pro</x:v>
      </x:c>
      <x:c r="AF1073" s="10" t="str">
        <x:v>aj2-y90-20260714T234810-0bea2f52</x:v>
      </x:c>
      <x:c r="AG1073" s="10" t="str">
        <x:v>full-0054</x:v>
      </x:c>
      <x:c r="AH1073" s="10" t="str">
        <x:v>full</x:v>
      </x:c>
      <x:c r="AI1073" s="10" t="n">
        <x:v>54</x:v>
      </x:c>
    </x:row>
    <x:row r="1074" ht="34" customHeight="1">
      <x:c r="A1074" s="16" t="str">
        <x:v>sandals beach women nonslip</x:v>
      </x:c>
      <x:c r="B1074" s="16" t="str">
        <x:v>sandals beach women nonslip</x:v>
      </x:c>
      <x:c r="C1074" s="13" t="str">
        <x:v>b576c23cbde73782</x:v>
      </x:c>
      <x:c r="D1074" s="13" t="str">
        <x:v>keyword</x:v>
      </x:c>
      <x:c r="E1074" s="13" t="str">
        <x:v>en</x:v>
      </x:c>
      <x:c r="F1074" s="13" t="str">
        <x:v>clothing_shoes_jewelry</x:v>
      </x:c>
      <x:c r="G1074" s="16" t="str">
        <x:v>sports_outdoors</x:v>
      </x:c>
      <x:c r="H1074" s="16" t="str">
        <x:v>sandal</x:v>
      </x:c>
      <x:c r="I1074" s="16" t="str">
        <x:v>female</x:v>
      </x:c>
      <x:c r="J1074" s="16" t="str">
        <x:v>prevent_slipping</x:v>
      </x:c>
      <x:c r="K1074" s="16" t="str">
        <x:v>non_slip</x:v>
      </x:c>
      <x:c r="L1074" s="16" t="str"/>
      <x:c r="M1074" s="16" t="str">
        <x:v>beach</x:v>
      </x:c>
      <x:c r="N1074" s="16" t="str"/>
      <x:c r="O1074" s="16" t="str"/>
      <x:c r="P1074" s="16" t="str"/>
      <x:c r="Q1074" s="16" t="str"/>
      <x:c r="R1074" s="16" t="str">
        <x:v>女性用户需要防滑的沙滩女士凉鞋。</x:v>
      </x:c>
      <x:c r="S1074" s="13" t="str">
        <x:v>high_intent</x:v>
      </x:c>
      <x:c r="T1074" s="16" t="str">
        <x:v>explicit | page_validated | inferred</x:v>
      </x:c>
      <x:c r="U1074" s="13" t="str">
        <x:v>high</x:v>
      </x:c>
      <x:c r="V1074" s="16" t="str">
        <x:v>womens_beach_nonslip_sandals</x:v>
      </x:c>
      <x:c r="W1074" s="16" t="str">
        <x:v>cluster_route</x:v>
      </x:c>
      <x:c r="X1074" s="16" t="str">
        <x:v>{"product_type":[{"value":"sandal","evidence_type":"explicit","source_span":"sandals","fact_ids":[],"rationale":""}],"audience_intent":[{"value":"female","evidence_type":"explicit","source_span":"women","fact_ids":[],"rationale":""},{"value":"female","evidence_type":"page_validated","source_span":"","fact_ids":["title_womens_flip_flop"],"rationale":""}],"location_intent":[{"value":"beach","evidence_type":"explicit","source_span":"beach","fact_ids":[],"rationale":""}],"capability_intent":[{"value":"non_slip","evidence_type":"explicit","source_span":"nonslip","fact_ids":[],"rationale":""},{"value":"non_slip","evidence_type":"page_validated","source_span":"","fact_ids":["slip_resistant_grip"],"rationale":""},{"value":"non_slip","evidence_type":"inferred","source_span":"","fact_ids":[],"rationale":"该能力由搜索词表达的任务或问题推断；页面事实仅用于验证商品承接。"}],"function_intent":[{"value":"prevent_slipping","evidence_type":"inferred","source_span":"nonslip","fact_ids":[],"rationale":"防滑需求的目的是防止滑倒"}],"primary_domain":[{"value":"clothing_shoes_jewelry","evidence_type":"inferred","source_span":"","fact_ids":[],"rationale":"该值由搜索词整体语义推断，未作为页面明示属性。"}],"secondary_domain":[{"value":"sports_outdoors","evidence_type":"inferred","source_span":"","fact_ids":[],"rationale":"该值由搜索词整体语义推断，未作为页面明示属性。"}]}</x:v>
      </x:c>
      <x:c r="Y1074" s="16" t="str"/>
      <x:c r="Z1074" s="13" t="str">
        <x:v>match</x:v>
      </x:c>
      <x:c r="AA1074" s="16" t="str">
        <x:v>title_womens_flip_flop | style_flip_flop | style_outdoor | slip_resistant_grip | easy_clean</x:v>
      </x:c>
      <x:c r="AB1074" s="13" t="str">
        <x:v>accepted</x:v>
      </x:c>
      <x:c r="AC1074" s="13" t="str">
        <x:v>1.0.0</x:v>
      </x:c>
      <x:c r="AD1074" s="13" t="str">
        <x:v>1.0.0</x:v>
      </x:c>
      <x:c r="AE1074" s="13" t="str">
        <x:v>deepseek/deepseek-v4-pro</x:v>
      </x:c>
      <x:c r="AF1074" s="13" t="str">
        <x:v>aj2-y90-20260714T234810-0bea2f52</x:v>
      </x:c>
      <x:c r="AG1074" s="13" t="str">
        <x:v>full-0054</x:v>
      </x:c>
      <x:c r="AH1074" s="13" t="str">
        <x:v>full</x:v>
      </x:c>
      <x:c r="AI1074" s="13" t="n">
        <x:v>54</x:v>
      </x:c>
    </x:row>
    <x:row r="1075" ht="34" customHeight="1">
      <x:c r="A1075" s="15" t="str">
        <x:v>women shower flip flops</x:v>
      </x:c>
      <x:c r="B1075" s="15" t="str">
        <x:v>women shower flip flops</x:v>
      </x:c>
      <x:c r="C1075" s="10" t="str">
        <x:v>bb157f491c829c86</x:v>
      </x:c>
      <x:c r="D1075" s="10" t="str">
        <x:v>keyword</x:v>
      </x:c>
      <x:c r="E1075" s="10" t="str">
        <x:v>en</x:v>
      </x:c>
      <x:c r="F1075" s="10" t="str">
        <x:v>clothing_shoes_jewelry</x:v>
      </x:c>
      <x:c r="G1075" s="15" t="str"/>
      <x:c r="H1075" s="15" t="str">
        <x:v>flip_flop</x:v>
      </x:c>
      <x:c r="I1075" s="15" t="str">
        <x:v>female</x:v>
      </x:c>
      <x:c r="J1075" s="15" t="str">
        <x:v>prevent_slipping</x:v>
      </x:c>
      <x:c r="K1075" s="15" t="str">
        <x:v>slip_resistant</x:v>
      </x:c>
      <x:c r="L1075" s="15" t="str"/>
      <x:c r="M1075" s="15" t="str">
        <x:v>shower</x:v>
      </x:c>
      <x:c r="N1075" s="15" t="str"/>
      <x:c r="O1075" s="15" t="str"/>
      <x:c r="P1075" s="15" t="str"/>
      <x:c r="Q1075" s="15" t="str"/>
      <x:c r="R1075" s="15" t="str">
        <x:v>女性用户需要淋浴时穿着的防滑人字拖，但产品未声明淋浴适用性。</x:v>
      </x:c>
      <x:c r="S1075" s="10" t="str">
        <x:v>high_intent</x:v>
      </x:c>
      <x:c r="T1075" s="15" t="str">
        <x:v>explicit | page_validated | inferred</x:v>
      </x:c>
      <x:c r="U1075" s="10" t="str">
        <x:v>medium</x:v>
      </x:c>
      <x:c r="V1075" s="15" t="str">
        <x:v>womens_shower_flip_flops</x:v>
      </x:c>
      <x:c r="W1075" s="15" t="str">
        <x:v>listing_gap_review</x:v>
      </x:c>
      <x:c r="X1075" s="15" t="str">
        <x:v>{"product_type":[{"value":"flip_flop","evidence_type":"explicit","source_span":"flip flops","fact_ids":[],"rationale":""},{"value":"flip_flop","evidence_type":"page_validated","source_span":"","fact_ids":["style_flip_flop","title_womens_flip_flop"],"rationale":""}],"audience_intent":[{"value":"female","evidence_type":"explicit","source_span":"women","fact_ids":[],"rationale":""},{"value":"female","evidence_type":"page_validated","source_span":"","fact_ids":["title_womens_flip_flop"],"rationale":""}],"location_intent":[{"value":"shower","evidence_type":"explicit","source_span":"shower","fact_ids":[],"rationale":""}],"function_intent":[{"value":"prevent_slipping","evidence_type":"inferred","source_span":"shower","fact_ids":[],"rationale":"淋浴环境需要防滑功能"}],"capability_intent":[{"value":"slip_resistant","evidence_type":"page_validated","source_span":"","fact_ids":["slip_resistant_grip"],"rationale":""},{"value":"slip_resistan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1075" s="15" t="str"/>
      <x:c r="Z1075" s="10" t="str">
        <x:v>partial_match</x:v>
      </x:c>
      <x:c r="AA1075" s="15" t="str">
        <x:v>title_womens_flip_flop | style_flip_flop | slip_resistant_grip | material_eva | easy_clean</x:v>
      </x:c>
      <x:c r="AB1075" s="10" t="str">
        <x:v>accepted</x:v>
      </x:c>
      <x:c r="AC1075" s="10" t="str">
        <x:v>1.0.0</x:v>
      </x:c>
      <x:c r="AD1075" s="10" t="str">
        <x:v>1.0.0</x:v>
      </x:c>
      <x:c r="AE1075" s="10" t="str">
        <x:v>deepseek/deepseek-v4-pro</x:v>
      </x:c>
      <x:c r="AF1075" s="10" t="str">
        <x:v>aj2-y90-20260714T234810-0bea2f52</x:v>
      </x:c>
      <x:c r="AG1075" s="10" t="str">
        <x:v>full-0054</x:v>
      </x:c>
      <x:c r="AH1075" s="10" t="str">
        <x:v>full</x:v>
      </x:c>
      <x:c r="AI1075" s="10" t="n">
        <x:v>54</x:v>
      </x:c>
    </x:row>
    <x:row r="1076" ht="34" customHeight="1">
      <x:c r="A1076" s="16" t="str">
        <x:v>arch support beach waterproof sandals for women</x:v>
      </x:c>
      <x:c r="B1076" s="16" t="str">
        <x:v>arch support beach waterproof sandals for women</x:v>
      </x:c>
      <x:c r="C1076" s="13" t="str">
        <x:v>c657d964c7512735</x:v>
      </x:c>
      <x:c r="D1076" s="13" t="str">
        <x:v>keyword</x:v>
      </x:c>
      <x:c r="E1076" s="13" t="str">
        <x:v>en</x:v>
      </x:c>
      <x:c r="F1076" s="13" t="str">
        <x:v>clothing_shoes_jewelry</x:v>
      </x:c>
      <x:c r="G1076" s="16" t="str">
        <x:v>sports_outdoors</x:v>
      </x:c>
      <x:c r="H1076" s="16" t="str">
        <x:v>sandal</x:v>
      </x:c>
      <x:c r="I1076" s="16" t="str">
        <x:v>female</x:v>
      </x:c>
      <x:c r="J1076" s="16" t="str">
        <x:v>relieve_foot_pain | keep_feet_dry</x:v>
      </x:c>
      <x:c r="K1076" s="16" t="str">
        <x:v>arch_support | waterproof</x:v>
      </x:c>
      <x:c r="L1076" s="16" t="str"/>
      <x:c r="M1076" s="16" t="str">
        <x:v>beach</x:v>
      </x:c>
      <x:c r="N1076" s="16" t="str"/>
      <x:c r="O1076" s="16" t="str"/>
      <x:c r="P1076" s="16" t="str"/>
      <x:c r="Q1076" s="16" t="str"/>
      <x:c r="R1076" s="16" t="str">
        <x:v>女性用户需要具有足弓支撑的防水沙滩女士凉鞋，产品有足弓支撑和户外定位但未声明防水。</x:v>
      </x:c>
      <x:c r="S1076" s="13" t="str">
        <x:v>consideration</x:v>
      </x:c>
      <x:c r="T1076" s="16" t="str">
        <x:v>explicit | page_validated | inferred</x:v>
      </x:c>
      <x:c r="U1076" s="13" t="str">
        <x:v>medium</x:v>
      </x:c>
      <x:c r="V1076" s="16" t="str">
        <x:v>womens_arch_support_beach_waterproof_sandals</x:v>
      </x:c>
      <x:c r="W1076" s="16" t="str">
        <x:v>listing_gap_review</x:v>
      </x:c>
      <x:c r="X1076" s="16" t="str">
        <x:v>{"product_type":[{"value":"sandal","evidence_type":"explicit","source_span":"sandals","fact_ids":[],"rationale":""}],"audience_intent":[{"value":"female","evidence_type":"explicit","source_span":"women","fact_ids":[],"rationale":""},{"value":"female","evidence_type":"page_validated","source_span":"","fact_ids":["title_womens_flip_flop"],"rationale":""}],"capability_intent":[{"value":"arch_support","evidence_type":"explicit","source_span":"arch support","fact_ids":[],"rationale":""},{"value":"arch_support","evidence_type":"page_validated","source_span":"","fact_ids":["arch_support"],"rationale":""},{"value":"waterproof","evidence_type":"explicit","source_span":"waterproof","fact_ids":[],"rationale":""}],"location_intent":[{"value":"beach","evidence_type":"explicit","source_span":"beach","fact_ids":[],"rationale":""}],"function_intent":[{"value":"relieve_foot_pain","evidence_type":"inferred","source_span":"arch support","fact_ids":[],"rationale":"足弓支撑用于缓解足部疼痛"},{"value":"keep_feet_dry","evidence_type":"inferred","source_span":"waterproof","fact_ids":[],"rationale":"防水为保持脚部干爽"}],"primary_domain":[{"value":"clothing_shoes_jewelry","evidence_type":"inferred","source_span":"","fact_ids":[],"rationale":"该值由搜索词整体语义推断，未作为页面明示属性。"}],"secondary_domain":[{"value":"sports_outdoors","evidence_type":"inferred","source_span":"","fact_ids":[],"rationale":"该值由搜索词整体语义推断，未作为页面明示属性。"}]}</x:v>
      </x:c>
      <x:c r="Y1076" s="16" t="str"/>
      <x:c r="Z1076" s="13" t="str">
        <x:v>partial_match</x:v>
      </x:c>
      <x:c r="AA1076" s="16" t="str">
        <x:v>title_womens_flip_flop | style_flip_flop | arch_support | style_outdoor | slip_resistant_grip</x:v>
      </x:c>
      <x:c r="AB1076" s="13" t="str">
        <x:v>accepted</x:v>
      </x:c>
      <x:c r="AC1076" s="13" t="str">
        <x:v>1.0.0</x:v>
      </x:c>
      <x:c r="AD1076" s="13" t="str">
        <x:v>1.0.0</x:v>
      </x:c>
      <x:c r="AE1076" s="13" t="str">
        <x:v>deepseek/deepseek-v4-pro</x:v>
      </x:c>
      <x:c r="AF1076" s="13" t="str">
        <x:v>aj2-y90-20260714T234810-0bea2f52</x:v>
      </x:c>
      <x:c r="AG1076" s="13" t="str">
        <x:v>full-0054</x:v>
      </x:c>
      <x:c r="AH1076" s="13" t="str">
        <x:v>full</x:v>
      </x:c>
      <x:c r="AI1076" s="13" t="n">
        <x:v>54</x:v>
      </x:c>
    </x:row>
    <x:row r="1077" ht="34" customHeight="1">
      <x:c r="A1077" s="15" t="str">
        <x:v>chancletas+de+playa+para+mujer</x:v>
      </x:c>
      <x:c r="B1077" s="15" t="str">
        <x:v>chancletas+de+playa+para+mujer</x:v>
      </x:c>
      <x:c r="C1077" s="10" t="str">
        <x:v>cfc32540bbd374cf</x:v>
      </x:c>
      <x:c r="D1077" s="10" t="str">
        <x:v>keyword</x:v>
      </x:c>
      <x:c r="E1077" s="10" t="str">
        <x:v>es</x:v>
      </x:c>
      <x:c r="F1077" s="10" t="str">
        <x:v>clothing_shoes_jewelry</x:v>
      </x:c>
      <x:c r="G1077" s="15" t="str">
        <x:v>sports_outdoors</x:v>
      </x:c>
      <x:c r="H1077" s="15" t="str">
        <x:v>flip_flop</x:v>
      </x:c>
      <x:c r="I1077" s="15" t="str">
        <x:v>female</x:v>
      </x:c>
      <x:c r="J1077" s="15" t="str"/>
      <x:c r="K1077" s="15" t="str"/>
      <x:c r="L1077" s="15" t="str"/>
      <x:c r="M1077" s="15" t="str">
        <x:v>beach</x:v>
      </x:c>
      <x:c r="N1077" s="15" t="str"/>
      <x:c r="O1077" s="15" t="str"/>
      <x:c r="P1077" s="15" t="str"/>
      <x:c r="Q1077" s="15" t="str"/>
      <x:c r="R1077" s="15" t="str">
        <x:v>女性用户需要沙滩穿着的女士人字拖。</x:v>
      </x:c>
      <x:c r="S1077" s="10" t="str">
        <x:v>high_intent</x:v>
      </x:c>
      <x:c r="T1077" s="15" t="str">
        <x:v>explicit | page_validated | inferred</x:v>
      </x:c>
      <x:c r="U1077" s="10" t="str">
        <x:v>high</x:v>
      </x:c>
      <x:c r="V1077" s="15" t="str">
        <x:v>womens_beach_flip_flops_es</x:v>
      </x:c>
      <x:c r="W1077" s="15" t="str">
        <x:v>cluster_route</x:v>
      </x:c>
      <x:c r="X1077" s="15" t="str">
        <x:v>{"product_type":[{"value":"flip_flop","evidence_type":"explicit","source_span":"chancletas","fact_ids":[],"rationale":""},{"value":"flip_flop","evidence_type":"page_validated","source_span":"","fact_ids":["style_flip_flop"],"rationale":""},{"value":"flip_flop","evidence_type":"inferred","source_span":"","fact_ids":[],"rationale":"该能力由搜索词表达的任务或问题推断；页面事实仅用于验证商品承接。"}],"audience_intent":[{"value":"female","evidence_type":"explicit","source_span":"mujer","fact_ids":[],"rationale":""},{"value":"female","evidence_type":"page_validated","source_span":"","fact_ids":["title_womens_flip_flop"],"rationale":""}],"location_intent":[{"value":"beach","evidence_type":"explicit","source_span":"playa","fact_ids":[],"rationale":""}],"primary_domain":[{"value":"clothing_shoes_jewelry","evidence_type":"inferred","source_span":"","fact_ids":[],"rationale":"该值由搜索词整体语义推断，未作为页面明示属性。"}],"secondary_domain":[{"value":"sports_outdoors","evidence_type":"inferred","source_span":"","fact_ids":[],"rationale":"该值由搜索词整体语义推断，未作为页面明示属性。"}]}</x:v>
      </x:c>
      <x:c r="Y1077" s="15" t="str"/>
      <x:c r="Z1077" s="10" t="str">
        <x:v>match</x:v>
      </x:c>
      <x:c r="AA1077" s="15" t="str">
        <x:v>title_womens_flip_flop | style_flip_flop | style_outdoor | easy_clean | slip_resistant_grip</x:v>
      </x:c>
      <x:c r="AB1077" s="10" t="str">
        <x:v>accepted</x:v>
      </x:c>
      <x:c r="AC1077" s="10" t="str">
        <x:v>1.0.0</x:v>
      </x:c>
      <x:c r="AD1077" s="10" t="str">
        <x:v>1.0.0</x:v>
      </x:c>
      <x:c r="AE1077" s="10" t="str">
        <x:v>deepseek/deepseek-v4-pro</x:v>
      </x:c>
      <x:c r="AF1077" s="10" t="str">
        <x:v>aj2-y90-20260714T234810-0bea2f52</x:v>
      </x:c>
      <x:c r="AG1077" s="10" t="str">
        <x:v>full-0054</x:v>
      </x:c>
      <x:c r="AH1077" s="10" t="str">
        <x:v>full</x:v>
      </x:c>
      <x:c r="AI1077" s="10" t="n">
        <x:v>54</x:v>
      </x:c>
    </x:row>
    <x:row r="1078" ht="34" customHeight="1">
      <x:c r="A1078" s="16" t="str">
        <x:v>white comfy flip flops women</x:v>
      </x:c>
      <x:c r="B1078" s="16" t="str">
        <x:v>white comfy flip flops women</x:v>
      </x:c>
      <x:c r="C1078" s="13" t="str">
        <x:v>defcc8154aedd6a6</x:v>
      </x:c>
      <x:c r="D1078" s="13" t="str">
        <x:v>keyword</x:v>
      </x:c>
      <x:c r="E1078" s="13" t="str">
        <x:v>en</x:v>
      </x:c>
      <x:c r="F1078" s="13" t="str">
        <x:v>clothing_shoes_jewelry</x:v>
      </x:c>
      <x:c r="G1078" s="16" t="str"/>
      <x:c r="H1078" s="16" t="str">
        <x:v>flip_flop</x:v>
      </x:c>
      <x:c r="I1078" s="16" t="str">
        <x:v>female</x:v>
      </x:c>
      <x:c r="J1078" s="16" t="str"/>
      <x:c r="K1078" s="16" t="str">
        <x:v>comfort</x:v>
      </x:c>
      <x:c r="L1078" s="16" t="str"/>
      <x:c r="M1078" s="16" t="str"/>
      <x:c r="N1078" s="16" t="str"/>
      <x:c r="O1078" s="16" t="str"/>
      <x:c r="P1078" s="16" t="str"/>
      <x:c r="Q1078" s="16" t="str"/>
      <x:c r="R1078" s="16" t="str">
        <x:v>女性用户需要一双白色舒适的女士人字拖用于日常穿着。</x:v>
      </x:c>
      <x:c r="S1078" s="13" t="str">
        <x:v>high_intent</x:v>
      </x:c>
      <x:c r="T1078" s="16" t="str">
        <x:v>explicit | page_validated</x:v>
      </x:c>
      <x:c r="U1078" s="13" t="str">
        <x:v>high</x:v>
      </x:c>
      <x:c r="V1078" s="16" t="str">
        <x:v>womens_white_comfortable_flip_flops</x:v>
      </x:c>
      <x:c r="W1078" s="16" t="str">
        <x:v>cluster_route</x:v>
      </x:c>
      <x:c r="X1078" s="16" t="str">
        <x:v>{"product_type":[{"value":"flip_flop","evidence_type":"explicit","source_span":"flip flops","fact_ids":[],"rationale":""},{"value":"flip_flop","evidence_type":"page_validated","source_span":"","fact_ids":["style_flip_flop","title_womens_flip_flop"],"rationale":""}],"audience_intent":[{"value":"female","evidence_type":"explicit","source_span":"women","fact_ids":[],"rationale":""},{"value":"female","evidence_type":"page_validated","source_span":"","fact_ids":["title_womens_flip_flop"],"rationale":""}],"capability_intent":[{"value":"comfort","evidence_type":"explicit","source_span":"comfy","fact_ids":[],"rationale":""},{"value":"comfort","evidence_type":"page_validated","source_span":"","fact_ids":["arch_support","padded_cushioning","soft_toe_post","lightweight_breathable"],"rationale":""},{"value":"comfort","evidence_type":"inferred","source_span":"","fact_ids":[],"rationale":"该能力由搜索词表达的任务或问题推断；页面事实仅用于验证商品承接。"}],"color":[{"value":"white","evidence_type":"explicit","source_span":"white","fact_ids":[],"rationale":"该颜色在商品页面可见颜色选择中得到明确支持。"},{"value":"white","evidence_type":"page_validated","source_span":"","fact_ids":["colors_visible"],"rationale":"该颜色在商品页面可见颜色选择中得到明确支持。"}],"primary_domain":[{"value":"clothing_shoes_jewelry","evidence_type":"inferred","source_span":"","fact_ids":[],"rationale":"该值由搜索词整体语义推断，未作为页面明示属性。"}]}</x:v>
      </x:c>
      <x:c r="Y1078" s="16" t="str"/>
      <x:c r="Z1078" s="13" t="str">
        <x:v>match</x:v>
      </x:c>
      <x:c r="AA1078" s="16" t="str">
        <x:v>title_womens_flip_flop | style_flip_flop | colors_visible | arch_support | padded_cushioning | soft_toe_post | lightweight_breathable</x:v>
      </x:c>
      <x:c r="AB1078" s="13" t="str">
        <x:v>accepted</x:v>
      </x:c>
      <x:c r="AC1078" s="13" t="str">
        <x:v>1.0.0</x:v>
      </x:c>
      <x:c r="AD1078" s="13" t="str">
        <x:v>1.0.0</x:v>
      </x:c>
      <x:c r="AE1078" s="13" t="str">
        <x:v>deepseek/deepseek-v4-pro</x:v>
      </x:c>
      <x:c r="AF1078" s="13" t="str">
        <x:v>aj2-y90-20260714T234810-0bea2f52</x:v>
      </x:c>
      <x:c r="AG1078" s="13" t="str">
        <x:v>full-0054</x:v>
      </x:c>
      <x:c r="AH1078" s="13" t="str">
        <x:v>full</x:v>
      </x:c>
      <x:c r="AI1078" s="13" t="n">
        <x:v>54</x:v>
      </x:c>
    </x:row>
    <x:row r="1079" ht="34" customHeight="1">
      <x:c r="A1079" s="15" t="str">
        <x:v>cheap flip flops for shower</x:v>
      </x:c>
      <x:c r="B1079" s="15" t="str">
        <x:v>cheap flip flops for shower</x:v>
      </x:c>
      <x:c r="C1079" s="10" t="str">
        <x:v>df8e840acb76ceb1</x:v>
      </x:c>
      <x:c r="D1079" s="10" t="str">
        <x:v>keyword</x:v>
      </x:c>
      <x:c r="E1079" s="10" t="str">
        <x:v>en</x:v>
      </x:c>
      <x:c r="F1079" s="10" t="str">
        <x:v>clothing_shoes_jewelry</x:v>
      </x:c>
      <x:c r="G1079" s="15" t="str"/>
      <x:c r="H1079" s="15" t="str">
        <x:v>flip_flop</x:v>
      </x:c>
      <x:c r="I1079" s="15" t="str"/>
      <x:c r="J1079" s="15" t="str">
        <x:v>prevent_slipping</x:v>
      </x:c>
      <x:c r="K1079" s="15" t="str">
        <x:v>slip_resistant</x:v>
      </x:c>
      <x:c r="L1079" s="15" t="str"/>
      <x:c r="M1079" s="15" t="str">
        <x:v>shower</x:v>
      </x:c>
      <x:c r="N1079" s="15" t="str"/>
      <x:c r="O1079" s="15" t="str"/>
      <x:c r="P1079" s="15" t="str"/>
      <x:c r="Q1079" s="15" t="str"/>
      <x:c r="R1079" s="15" t="str">
        <x:v>用户需要价格便宜的淋浴防滑人字拖，产品未声明淋浴适用性。</x:v>
      </x:c>
      <x:c r="S1079" s="10" t="str">
        <x:v>high_intent</x:v>
      </x:c>
      <x:c r="T1079" s="15" t="str">
        <x:v>explicit | page_validated | inferred</x:v>
      </x:c>
      <x:c r="U1079" s="10" t="str">
        <x:v>medium</x:v>
      </x:c>
      <x:c r="V1079" s="15" t="str">
        <x:v>cheap_shower_flip_flops</x:v>
      </x:c>
      <x:c r="W1079" s="15" t="str">
        <x:v>listing_gap_review</x:v>
      </x:c>
      <x:c r="X1079" s="15" t="str">
        <x:v>{"product_type":[{"value":"flip_flop","evidence_type":"explicit","source_span":"flip flops","fact_ids":[],"rationale":""},{"value":"flip_flop","evidence_type":"page_validated","source_span":"","fact_ids":["style_flip_flop"],"rationale":""}],"location_intent":[{"value":"shower","evidence_type":"explicit","source_span":"shower","fact_ids":[],"rationale":""}],"function_intent":[{"value":"prevent_slipping","evidence_type":"inferred","source_span":"shower","fact_ids":[],"rationale":"淋浴需要防滑"}],"capability_intent":[{"value":"slip_resistant","evidence_type":"page_validated","source_span":"","fact_ids":["slip_resistant_grip"],"rationale":""},{"value":"slip_resistant","evidence_type":"inferred","source_span":"","fact_ids":[],"rationale":"该能力由搜索词表达的任务或问题推断；页面事实仅用于验证商品承接。"}],"price":[{"value":"cheap","evidence_type":"explicit","source_span":"cheap","fact_ids":[],"rationale":""}],"primary_domain":[{"value":"clothing_shoes_jewelry","evidence_type":"inferred","source_span":"","fact_ids":[],"rationale":"该值由搜索词整体语义推断，未作为页面明示属性。"}]}</x:v>
      </x:c>
      <x:c r="Y1079" s="15" t="str"/>
      <x:c r="Z1079" s="10" t="str">
        <x:v>partial_match</x:v>
      </x:c>
      <x:c r="AA1079" s="15" t="str">
        <x:v>style_flip_flop | slip_resistant_grip | material_eva | easy_clean</x:v>
      </x:c>
      <x:c r="AB1079" s="10" t="str">
        <x:v>accepted</x:v>
      </x:c>
      <x:c r="AC1079" s="10" t="str">
        <x:v>1.0.0</x:v>
      </x:c>
      <x:c r="AD1079" s="10" t="str">
        <x:v>1.0.0</x:v>
      </x:c>
      <x:c r="AE1079" s="10" t="str">
        <x:v>deepseek/deepseek-v4-pro</x:v>
      </x:c>
      <x:c r="AF1079" s="10" t="str">
        <x:v>aj2-y90-20260714T234810-0bea2f52</x:v>
      </x:c>
      <x:c r="AG1079" s="10" t="str">
        <x:v>full-0054</x:v>
      </x:c>
      <x:c r="AH1079" s="10" t="str">
        <x:v>full</x:v>
      </x:c>
      <x:c r="AI1079" s="10" t="n">
        <x:v>54</x:v>
      </x:c>
    </x:row>
    <x:row r="1080" ht="34" customHeight="1">
      <x:c r="A1080" s="16" t="str">
        <x:v>flip flops for women black</x:v>
      </x:c>
      <x:c r="B1080" s="16" t="str">
        <x:v>flip flops for women black</x:v>
      </x:c>
      <x:c r="C1080" s="13" t="str">
        <x:v>e6c90ae10cf3c122</x:v>
      </x:c>
      <x:c r="D1080" s="13" t="str">
        <x:v>keyword</x:v>
      </x:c>
      <x:c r="E1080" s="13" t="str">
        <x:v>en</x:v>
      </x:c>
      <x:c r="F1080" s="13" t="str">
        <x:v>clothing_shoes_jewelry</x:v>
      </x:c>
      <x:c r="G1080" s="16" t="str"/>
      <x:c r="H1080" s="16" t="str">
        <x:v>flip_flop</x:v>
      </x:c>
      <x:c r="I1080" s="16" t="str">
        <x:v>female</x:v>
      </x:c>
      <x:c r="J1080" s="16" t="str"/>
      <x:c r="K1080" s="16" t="str"/>
      <x:c r="L1080" s="16" t="str"/>
      <x:c r="M1080" s="16" t="str"/>
      <x:c r="N1080" s="16" t="str"/>
      <x:c r="O1080" s="16" t="str"/>
      <x:c r="P1080" s="16" t="str"/>
      <x:c r="Q1080" s="16" t="str"/>
      <x:c r="R1080" s="16" t="str">
        <x:v>女性用户需要黑色女士人字拖，颜色和品类均匹配。</x:v>
      </x:c>
      <x:c r="S1080" s="13" t="str">
        <x:v>high_intent</x:v>
      </x:c>
      <x:c r="T1080" s="16" t="str">
        <x:v>explicit | page_validated</x:v>
      </x:c>
      <x:c r="U1080" s="13" t="str">
        <x:v>high</x:v>
      </x:c>
      <x:c r="V1080" s="16" t="str">
        <x:v>womens_black_flip_flops</x:v>
      </x:c>
      <x:c r="W1080" s="16" t="str">
        <x:v>cluster_route</x:v>
      </x:c>
      <x:c r="X1080" s="16" t="str">
        <x:v>{"product_type":[{"value":"flip_flop","evidence_type":"explicit","source_span":"flip flops","fact_ids":[],"rationale":""},{"value":"flip_flop","evidence_type":"page_validated","source_span":"","fact_ids":["style_flip_flop","title_womens_flip_flop"],"rationale":""}],"audience_intent":[{"value":"female","evidence_type":"explicit","source_span":"women","fact_ids":[],"rationale":""},{"value":"female","evidence_type":"page_validated","source_span":"","fact_ids":["title_womens_flip_flop"],"rationale":""}],"color":[{"value":"black","evidence_type":"explicit","source_span":"black","fact_ids":[],"rationale":"该颜色在商品页面可见颜色选择中得到明确支持。"},{"value":"black","evidence_type":"page_validated","source_span":"","fact_ids":["colors_visible"],"rationale":"该颜色在商品页面可见颜色选择中得到明确支持。"}],"primary_domain":[{"value":"clothing_shoes_jewelry","evidence_type":"inferred","source_span":"","fact_ids":[],"rationale":"该值由搜索词整体语义推断，未作为页面明示属性。"}]}</x:v>
      </x:c>
      <x:c r="Y1080" s="16" t="str"/>
      <x:c r="Z1080" s="13" t="str">
        <x:v>match</x:v>
      </x:c>
      <x:c r="AA1080" s="16" t="str">
        <x:v>title_womens_flip_flop | style_flip_flop | colors_visible</x:v>
      </x:c>
      <x:c r="AB1080" s="13" t="str">
        <x:v>accepted</x:v>
      </x:c>
      <x:c r="AC1080" s="13" t="str">
        <x:v>1.0.0</x:v>
      </x:c>
      <x:c r="AD1080" s="13" t="str">
        <x:v>1.0.0</x:v>
      </x:c>
      <x:c r="AE1080" s="13" t="str">
        <x:v>deepseek/deepseek-v4-pro</x:v>
      </x:c>
      <x:c r="AF1080" s="13" t="str">
        <x:v>aj2-y90-20260714T234810-0bea2f52</x:v>
      </x:c>
      <x:c r="AG1080" s="13" t="str">
        <x:v>full-0054</x:v>
      </x:c>
      <x:c r="AH1080" s="13" t="str">
        <x:v>full</x:v>
      </x:c>
      <x:c r="AI1080" s="13" t="n">
        <x:v>54</x:v>
      </x:c>
    </x:row>
    <x:row r="1081" ht="34" customHeight="1">
      <x:c r="A1081" s="15" t="str">
        <x:v>pedicure flip flops for women</x:v>
      </x:c>
      <x:c r="B1081" s="15" t="str">
        <x:v>pedicure flip flops for women</x:v>
      </x:c>
      <x:c r="C1081" s="10" t="str">
        <x:v>ec225d4b52c9de40</x:v>
      </x:c>
      <x:c r="D1081" s="10" t="str">
        <x:v>keyword</x:v>
      </x:c>
      <x:c r="E1081" s="10" t="str">
        <x:v>en</x:v>
      </x:c>
      <x:c r="F1081" s="10" t="str">
        <x:v>clothing_shoes_jewelry</x:v>
      </x:c>
      <x:c r="G1081" s="15" t="str"/>
      <x:c r="H1081" s="15" t="str">
        <x:v>flip_flop</x:v>
      </x:c>
      <x:c r="I1081" s="15" t="str">
        <x:v>female</x:v>
      </x:c>
      <x:c r="J1081" s="15" t="str">
        <x:v>protect_toes_post_pedicure</x:v>
      </x:c>
      <x:c r="K1081" s="15" t="str">
        <x:v>open_toe | thong_strap</x:v>
      </x:c>
      <x:c r="L1081" s="15" t="str">
        <x:v>pedicure</x:v>
      </x:c>
      <x:c r="M1081" s="15" t="str"/>
      <x:c r="N1081" s="15" t="str"/>
      <x:c r="O1081" s="15" t="str"/>
      <x:c r="P1081" s="15" t="str"/>
      <x:c r="Q1081" s="15" t="str"/>
      <x:c r="R1081" s="15" t="str">
        <x:v>女性用户需要修脚后穿着的分趾露趾人字拖，产品有软趾柱和露趾设计但未声明美甲用途。</x:v>
      </x:c>
      <x:c r="S1081" s="10" t="str">
        <x:v>high_intent</x:v>
      </x:c>
      <x:c r="T1081" s="15" t="str">
        <x:v>explicit | page_validated | inferred</x:v>
      </x:c>
      <x:c r="U1081" s="10" t="str">
        <x:v>medium</x:v>
      </x:c>
      <x:c r="V1081" s="15" t="str">
        <x:v>womens_pedicure_flip_flops</x:v>
      </x:c>
      <x:c r="W1081" s="15" t="str">
        <x:v>listing_gap_review</x:v>
      </x:c>
      <x:c r="X1081" s="15" t="str">
        <x:v>{"product_type":[{"value":"flip_flop","evidence_type":"explicit","source_span":"flip flops","fact_ids":[],"rationale":""},{"value":"flip_flop","evidence_type":"page_validated","source_span":"","fact_ids":["style_flip_flop"],"rationale":""}],"audience_intent":[{"value":"female","evidence_type":"explicit","source_span":"women","fact_ids":[],"rationale":""},{"value":"female","evidence_type":"page_validated","source_span":"","fact_ids":["title_womens_flip_flop"],"rationale":""}],"event_intent":[{"value":"pedicure","evidence_type":"explicit","source_span":"pedicure","fact_ids":[],"rationale":""}],"capability_intent":[{"value":"open_toe","evidence_type":"page_validated","source_span":"","fact_ids":["style_open_toe"],"rationale":""},{"value":"thong_strap","evidence_type":"page_validated","source_span":"","fact_ids":["style_thong","soft_toe_post"],"rationale":""},{"value":"open_toe","evidence_type":"inferred","source_span":"","fact_ids":[],"rationale":"该能力由搜索词表达的任务或问题推断；页面事实仅用于验证商品承接。"}],"function_intent":[{"value":"protect_toes_post_pedicure","evidence_type":"inferred","source_span":"pedicure","fact_ids":[],"rationale":"美甲后需要保护脚趾甲"}],"primary_domain":[{"value":"clothing_shoes_jewelry","evidence_type":"inferred","source_span":"","fact_ids":[],"rationale":"该值由搜索词整体语义推断，未作为页面明示属性。"}]}</x:v>
      </x:c>
      <x:c r="Y1081" s="15" t="str"/>
      <x:c r="Z1081" s="10" t="str">
        <x:v>partial_match</x:v>
      </x:c>
      <x:c r="AA1081" s="15" t="str">
        <x:v>title_womens_flip_flop | style_flip_flop | style_open_toe | style_thong | soft_toe_post</x:v>
      </x:c>
      <x:c r="AB1081" s="10" t="str">
        <x:v>accepted</x:v>
      </x:c>
      <x:c r="AC1081" s="10" t="str">
        <x:v>1.0.0</x:v>
      </x:c>
      <x:c r="AD1081" s="10" t="str">
        <x:v>1.0.0</x:v>
      </x:c>
      <x:c r="AE1081" s="10" t="str">
        <x:v>deepseek/deepseek-v4-pro</x:v>
      </x:c>
      <x:c r="AF1081" s="10" t="str">
        <x:v>aj2-y90-20260714T234810-0bea2f52</x:v>
      </x:c>
      <x:c r="AG1081" s="10" t="str">
        <x:v>full-0054</x:v>
      </x:c>
      <x:c r="AH1081" s="10" t="str">
        <x:v>full</x:v>
      </x:c>
      <x:c r="AI1081" s="10" t="n">
        <x:v>54</x:v>
      </x:c>
    </x:row>
    <x:row r="1082" ht="34" customHeight="1">
      <x:c r="A1082" s="16" t="str">
        <x:v>flip flops for women personalized sizes girls</x:v>
      </x:c>
      <x:c r="B1082" s="16" t="str">
        <x:v>flip flops for women personalized sizes girls</x:v>
      </x:c>
      <x:c r="C1082" s="13" t="str">
        <x:v>0114d66c4c84a9fe</x:v>
      </x:c>
      <x:c r="D1082" s="13" t="str">
        <x:v>keyword</x:v>
      </x:c>
      <x:c r="E1082" s="13" t="str">
        <x:v>en</x:v>
      </x:c>
      <x:c r="F1082" s="13" t="str">
        <x:v>clothing_shoes_jewelry</x:v>
      </x:c>
      <x:c r="G1082" s="16" t="str"/>
      <x:c r="H1082" s="16" t="str">
        <x:v>flip_flops</x:v>
      </x:c>
      <x:c r="I1082" s="16" t="str">
        <x:v>women | girls</x:v>
      </x:c>
      <x:c r="J1082" s="16" t="str"/>
      <x:c r="K1082" s="16" t="str">
        <x:v>personalized_sizing</x:v>
      </x:c>
      <x:c r="L1082" s="16" t="str"/>
      <x:c r="M1082" s="16" t="str"/>
      <x:c r="N1082" s="16" t="str"/>
      <x:c r="O1082" s="16" t="str"/>
      <x:c r="P1082" s="16" t="str"/>
      <x:c r="Q1082" s="16" t="str"/>
      <x:c r="R1082" s="16" t="str">
        <x:v>用户需要适合女性和女孩的个性化尺码人字拖，但产品仅提供女性标准尺码6至11，缺少个性化选项和女孩尺码。</x:v>
      </x:c>
      <x:c r="S1082" s="13" t="str">
        <x:v>consideration</x:v>
      </x:c>
      <x:c r="T1082" s="16" t="str">
        <x:v>explicit | page_validated | inferred</x:v>
      </x:c>
      <x:c r="U1082" s="13" t="str">
        <x:v>medium</x:v>
      </x:c>
      <x:c r="V1082" s="16" t="str">
        <x:v>womens_girls_personalized_flip_flops</x:v>
      </x:c>
      <x:c r="W1082" s="16" t="str">
        <x:v>listing_gap_review</x:v>
      </x:c>
      <x:c r="X1082" s="16" t="str">
        <x:v>{"product_type":[{"value":"flip_flops","evidence_type":"explicit","source_span":"flip flops","fact_ids":[],"rationale":"Term explicitly states flip flops."},{"value":"flip_flops","evidence_type":"page_validated","source_span":"","fact_ids":["style_flip_flop"],"rationale":"该槽位与商品基准中的明示页面事实一致。"}],"audience_intent":[{"value":"women","evidence_type":"explicit","source_span":"women","fact_ids":[],"rationale":"Term explicitly targets women."},{"value":"girls","evidence_type":"explicit","source_span":"girls","fact_ids":[],"rationale":"Term also mentions girls as audience."},{"value":"women","evidence_type":"page_validated","source_span":"","fact_ids":["title_womens_flip_flop"],"rationale":"该槽位与商品基准中的明示页面事实一致。"}],"capability_intent":[{"value":"personalized_sizing","evidence_type":"explicit","source_span":"personalized sizes","fact_ids":[],"rationale":"Term explicitly requests personalized sizing."}],"asin_fit":[{"value":"partial_match","evidence_type":"page_validated","source_span":"","fact_ids":["sizes_6_11","title_womens_flip_flop"],"rationale":"Product matches core type but only offers standard women's sizes 6-11, no personalization or girls' sizes."}],"primary_domain":[{"value":"clothing_shoes_jewelry","evidence_type":"inferred","source_span":"","fact_ids":[],"rationale":"该值由搜索词整体语义推断，未作为页面明示属性。"}]}</x:v>
      </x:c>
      <x:c r="Y1082" s="16" t="str">
        <x:v>ambiguous_phrasing_personalized_sizes</x:v>
      </x:c>
      <x:c r="Z1082" s="13" t="str">
        <x:v>partial_match</x:v>
      </x:c>
      <x:c r="AA1082" s="16" t="str">
        <x:v>sizes_6_11 | title_womens_flip_flop</x:v>
      </x:c>
      <x:c r="AB1082" s="13" t="str">
        <x:v>accepted</x:v>
      </x:c>
      <x:c r="AC1082" s="13" t="str">
        <x:v>1.0.0</x:v>
      </x:c>
      <x:c r="AD1082" s="13" t="str">
        <x:v>1.1.0</x:v>
      </x:c>
      <x:c r="AE1082" s="13" t="str">
        <x:v>deepseek/deepseek-v4-pro</x:v>
      </x:c>
      <x:c r="AF1082" s="13" t="str">
        <x:v>aj2-y90-20260714T234810-0bea2f52</x:v>
      </x:c>
      <x:c r="AG1082" s="13" t="str">
        <x:v>full-0055</x:v>
      </x:c>
      <x:c r="AH1082" s="13" t="str">
        <x:v>full</x:v>
      </x:c>
      <x:c r="AI1082" s="13" t="n">
        <x:v>55</x:v>
      </x:c>
    </x:row>
    <x:row r="1083" ht="34" customHeight="1">
      <x:c r="A1083" s="15" t="str">
        <x:v>archies navy blue</x:v>
      </x:c>
      <x:c r="B1083" s="15" t="str">
        <x:v>archies navy blue</x:v>
      </x:c>
      <x:c r="C1083" s="10" t="str">
        <x:v>03ab183fbc0a5a40</x:v>
      </x:c>
      <x:c r="D1083" s="10" t="str">
        <x:v>keyword</x:v>
      </x:c>
      <x:c r="E1083" s="10" t="str">
        <x:v>en</x:v>
      </x:c>
      <x:c r="F1083" s="10" t="str">
        <x:v>clothing_shoes_jewelry</x:v>
      </x:c>
      <x:c r="G1083" s="15" t="str"/>
      <x:c r="H1083" s="15" t="str">
        <x:v>flip_flops</x:v>
      </x:c>
      <x:c r="I1083" s="15" t="str"/>
      <x:c r="J1083" s="15" t="str"/>
      <x:c r="K1083" s="15" t="str"/>
      <x:c r="L1083" s="15" t="str"/>
      <x:c r="M1083" s="15" t="str"/>
      <x:c r="N1083" s="15" t="str"/>
      <x:c r="O1083" s="15" t="str"/>
      <x:c r="P1083" s="15" t="str"/>
      <x:c r="Q1083" s="15" t="str"/>
      <x:c r="R1083" s="15" t="str">
        <x:v>用户搜索Archies品牌海军蓝色产品，当前为joomra品牌且无海军蓝配色，品牌和颜色均不匹配。</x:v>
      </x:c>
      <x:c r="S1083" s="10" t="str">
        <x:v>brand_harvest</x:v>
      </x:c>
      <x:c r="T1083" s="15" t="str">
        <x:v>explicit | page_validated | inferred</x:v>
      </x:c>
      <x:c r="U1083" s="10" t="str">
        <x:v>high</x:v>
      </x:c>
      <x:c r="V1083" s="15" t="str">
        <x:v>brand_archies_navy_blue</x:v>
      </x:c>
      <x:c r="W1083" s="15" t="str">
        <x:v>semantic_negative_candidate</x:v>
      </x:c>
      <x:c r="X1083" s="15" t="str">
        <x:v>{"product_type":[{"value":"flip_flops","evidence_type":"inferred","source_span":"","fact_ids":[],"rationale":"Archies is a well-known arch-support flip flop brand."},{"value":"flip_flops","evidence_type":"page_validated","source_span":"","fact_ids":["style_flip_flop"],"rationale":"该槽位与商品基准中的明示页面事实一致。"}],"asin_fit":[{"value":"mismatch","evidence_type":"page_validated","source_span":"","fact_ids":["title_womens_flip_flop","colors_visible"],"rationale":"Archies brand differs from joomra; navy blue is not in available colors."}],"primary_domain":[{"value":"clothing_shoes_jewelry","evidence_type":"inferred","source_span":"","fact_ids":[],"rationale":"该值由搜索词整体语义推断，未作为页面明示属性。"}]}</x:v>
      </x:c>
      <x:c r="Y1083" s="15" t="str"/>
      <x:c r="Z1083" s="10" t="str">
        <x:v>mismatch</x:v>
      </x:c>
      <x:c r="AA1083" s="15" t="str">
        <x:v>title_womens_flip_flop | colors_visible</x:v>
      </x:c>
      <x:c r="AB1083" s="10" t="str">
        <x:v>accepted</x:v>
      </x:c>
      <x:c r="AC1083" s="10" t="str">
        <x:v>1.0.0</x:v>
      </x:c>
      <x:c r="AD1083" s="10" t="str">
        <x:v>1.1.0</x:v>
      </x:c>
      <x:c r="AE1083" s="10" t="str">
        <x:v>deepseek/deepseek-v4-pro</x:v>
      </x:c>
      <x:c r="AF1083" s="10" t="str">
        <x:v>aj2-y90-20260714T234810-0bea2f52</x:v>
      </x:c>
      <x:c r="AG1083" s="10" t="str">
        <x:v>full-0055</x:v>
      </x:c>
      <x:c r="AH1083" s="10" t="str">
        <x:v>full</x:v>
      </x:c>
      <x:c r="AI1083" s="10" t="n">
        <x:v>55</x:v>
      </x:c>
    </x:row>
    <x:row r="1084" ht="34" customHeight="1">
      <x:c r="A1084" s="16" t="str">
        <x:v>flip-flops with arch support</x:v>
      </x:c>
      <x:c r="B1084" s="16" t="str">
        <x:v>flip-flops with arch support</x:v>
      </x:c>
      <x:c r="C1084" s="13" t="str">
        <x:v>0ba44000cda4f914</x:v>
      </x:c>
      <x:c r="D1084" s="13" t="str">
        <x:v>keyword</x:v>
      </x:c>
      <x:c r="E1084" s="13" t="str">
        <x:v>en</x:v>
      </x:c>
      <x:c r="F1084" s="13" t="str">
        <x:v>clothing_shoes_jewelry</x:v>
      </x:c>
      <x:c r="G1084" s="16" t="str"/>
      <x:c r="H1084" s="16" t="str">
        <x:v>flip_flops</x:v>
      </x:c>
      <x:c r="I1084" s="16" t="str"/>
      <x:c r="J1084" s="16" t="str">
        <x:v>arch_support</x:v>
      </x:c>
      <x:c r="K1084" s="16" t="str"/>
      <x:c r="L1084" s="16" t="str"/>
      <x:c r="M1084" s="16" t="str"/>
      <x:c r="N1084" s="16" t="str">
        <x:v>arch_support</x:v>
      </x:c>
      <x:c r="O1084" s="16" t="str"/>
      <x:c r="P1084" s="16" t="str"/>
      <x:c r="Q1084" s="16" t="str"/>
      <x:c r="R1084" s="16" t="str">
        <x:v>用户需要具有足弓支撑的人字拖，产品具备人体工学足弓支撑设计，与需求高度匹配。</x:v>
      </x:c>
      <x:c r="S1084" s="13" t="str">
        <x:v>high_intent</x:v>
      </x:c>
      <x:c r="T1084" s="16" t="str">
        <x:v>explicit | page_validated | inferred</x:v>
      </x:c>
      <x:c r="U1084" s="13" t="str">
        <x:v>high</x:v>
      </x:c>
      <x:c r="V1084" s="16" t="str">
        <x:v>flip_flops_arch_support</x:v>
      </x:c>
      <x:c r="W1084" s="16" t="str">
        <x:v>cluster_route</x:v>
      </x:c>
      <x:c r="X1084" s="16" t="str">
        <x:v>{"product_type":[{"value":"flip_flops","evidence_type":"explicit","source_span":"flip-flops","fact_ids":[],"rationale":"Term explicitly states flip-flops."},{"value":"flip_flops","evidence_type":"page_validated","source_span":"","fact_ids":["style_flip_flop"],"rationale":"该槽位与商品基准中的明示页面事实一致。"}],"asin_fit":[{"value":"match","evidence_type":"page_validated","source_span":"","fact_ids":["arch_support","style_flip_flop"],"rationale":"Product explicitly states ergonomic arch support in a flip flop design."}],"capability_intent":[{"value":"arch_support","evidence_type":"page_validated","source_span":"","fact_ids":["arch_support"],"rationale":"该槽位与商品基准中的明示页面事实一致。"}],"primary_domain":[{"value":"clothing_shoes_jewelry","evidence_type":"inferred","source_span":"","fact_ids":[],"rationale":"该值由搜索词整体语义推断，未作为页面明示属性。"}]}</x:v>
      </x:c>
      <x:c r="Y1084" s="16" t="str"/>
      <x:c r="Z1084" s="13" t="str">
        <x:v>match</x:v>
      </x:c>
      <x:c r="AA1084" s="16" t="str">
        <x:v>arch_support | style_flip_flop</x:v>
      </x:c>
      <x:c r="AB1084" s="13" t="str">
        <x:v>accepted</x:v>
      </x:c>
      <x:c r="AC1084" s="13" t="str">
        <x:v>1.0.0</x:v>
      </x:c>
      <x:c r="AD1084" s="13" t="str">
        <x:v>1.1.0</x:v>
      </x:c>
      <x:c r="AE1084" s="13" t="str">
        <x:v>deepseek/deepseek-v4-pro</x:v>
      </x:c>
      <x:c r="AF1084" s="13" t="str">
        <x:v>aj2-y90-20260714T234810-0bea2f52</x:v>
      </x:c>
      <x:c r="AG1084" s="13" t="str">
        <x:v>full-0055</x:v>
      </x:c>
      <x:c r="AH1084" s="13" t="str">
        <x:v>full</x:v>
      </x:c>
      <x:c r="AI1084" s="13" t="n">
        <x:v>55</x:v>
      </x:c>
    </x:row>
    <x:row r="1085" ht="34" customHeight="1">
      <x:c r="A1085" s="15" t="str">
        <x:v>reed flip flops</x:v>
      </x:c>
      <x:c r="B1085" s="15" t="str">
        <x:v>reed flip flops</x:v>
      </x:c>
      <x:c r="C1085" s="10" t="str">
        <x:v>0f710e62af1fb71a</x:v>
      </x:c>
      <x:c r="D1085" s="10" t="str">
        <x:v>keyword</x:v>
      </x:c>
      <x:c r="E1085" s="10" t="str">
        <x:v>en</x:v>
      </x:c>
      <x:c r="F1085" s="10" t="str">
        <x:v>clothing_shoes_jewelry</x:v>
      </x:c>
      <x:c r="G1085" s="15" t="str"/>
      <x:c r="H1085" s="15" t="str">
        <x:v>flip_flops</x:v>
      </x:c>
      <x:c r="I1085" s="15" t="str"/>
      <x:c r="J1085" s="15" t="str"/>
      <x:c r="K1085" s="15" t="str"/>
      <x:c r="L1085" s="15" t="str"/>
      <x:c r="M1085" s="15" t="str"/>
      <x:c r="N1085" s="15" t="str"/>
      <x:c r="O1085" s="15" t="str"/>
      <x:c r="P1085" s="15" t="str"/>
      <x:c r="Q1085" s="15" t="str"/>
      <x:c r="R1085" s="15" t="str">
        <x:v>用户搜索Reed品牌人字拖，当前产品为joomra品牌，品牌不匹配。</x:v>
      </x:c>
      <x:c r="S1085" s="10" t="str">
        <x:v>brand_harvest</x:v>
      </x:c>
      <x:c r="T1085" s="15" t="str">
        <x:v>explicit | page_validated | inferred</x:v>
      </x:c>
      <x:c r="U1085" s="10" t="str">
        <x:v>medium</x:v>
      </x:c>
      <x:c r="V1085" s="15" t="str">
        <x:v>brand_reed_flip_flops</x:v>
      </x:c>
      <x:c r="W1085" s="15" t="str">
        <x:v>semantic_negative_candidate</x:v>
      </x:c>
      <x:c r="X1085" s="15" t="str">
        <x:v>{"product_type":[{"value":"flip_flops","evidence_type":"explicit","source_span":"flip flops","fact_ids":[],"rationale":"Term explicitly mentions flip flops."},{"value":"flip_flops","evidence_type":"page_validated","source_span":"","fact_ids":["style_flip_flop"],"rationale":"该槽位与商品基准中的明示页面事实一致。"}],"asin_fit":[{"value":"mismatch","evidence_type":"page_validated","source_span":"","fact_ids":["title_womens_flip_flop"],"rationale":"Product type matches but Reed is not the brand; baseline brand is joomra."}],"primary_domain":[{"value":"clothing_shoes_jewelry","evidence_type":"inferred","source_span":"","fact_ids":[],"rationale":"该值由搜索词整体语义推断，未作为页面明示属性。"}]}</x:v>
      </x:c>
      <x:c r="Y1085" s="15" t="str">
        <x:v>potential_misspelling_reed_for_red</x:v>
      </x:c>
      <x:c r="Z1085" s="10" t="str">
        <x:v>mismatch</x:v>
      </x:c>
      <x:c r="AA1085" s="15" t="str">
        <x:v>title_womens_flip_flop</x:v>
      </x:c>
      <x:c r="AB1085" s="10" t="str">
        <x:v>accepted</x:v>
      </x:c>
      <x:c r="AC1085" s="10" t="str">
        <x:v>1.0.0</x:v>
      </x:c>
      <x:c r="AD1085" s="10" t="str">
        <x:v>1.1.0</x:v>
      </x:c>
      <x:c r="AE1085" s="10" t="str">
        <x:v>deepseek/deepseek-v4-pro</x:v>
      </x:c>
      <x:c r="AF1085" s="10" t="str">
        <x:v>aj2-y90-20260714T234810-0bea2f52</x:v>
      </x:c>
      <x:c r="AG1085" s="10" t="str">
        <x:v>full-0055</x:v>
      </x:c>
      <x:c r="AH1085" s="10" t="str">
        <x:v>full</x:v>
      </x:c>
      <x:c r="AI1085" s="10" t="n">
        <x:v>55</x:v>
      </x:c>
    </x:row>
    <x:row r="1086" ht="34" customHeight="1">
      <x:c r="A1086" s="16" t="str">
        <x:v>womens casual flip flops comfortable</x:v>
      </x:c>
      <x:c r="B1086" s="16" t="str">
        <x:v>womens casual flip flops comfortable</x:v>
      </x:c>
      <x:c r="C1086" s="13" t="str">
        <x:v>1c583e125403dc0e</x:v>
      </x:c>
      <x:c r="D1086" s="13" t="str">
        <x:v>keyword</x:v>
      </x:c>
      <x:c r="E1086" s="13" t="str">
        <x:v>en</x:v>
      </x:c>
      <x:c r="F1086" s="13" t="str">
        <x:v>clothing_shoes_jewelry</x:v>
      </x:c>
      <x:c r="G1086" s="16" t="str"/>
      <x:c r="H1086" s="16" t="str">
        <x:v>flip_flops</x:v>
      </x:c>
      <x:c r="I1086" s="16" t="str">
        <x:v>women</x:v>
      </x:c>
      <x:c r="J1086" s="16" t="str">
        <x:v>comfort</x:v>
      </x:c>
      <x:c r="K1086" s="16" t="str"/>
      <x:c r="L1086" s="16" t="str">
        <x:v>casual</x:v>
      </x:c>
      <x:c r="M1086" s="16" t="str"/>
      <x:c r="N1086" s="16" t="str"/>
      <x:c r="O1086" s="16" t="str"/>
      <x:c r="P1086" s="16" t="str"/>
      <x:c r="Q1086" s="16" t="str"/>
      <x:c r="R1086" s="16" t="str">
        <x:v>用户需要一款舒适休闲的女士人字拖，产品具备足弓支撑、缓冲垫和柔软趾柱，适合日常休闲穿着。</x:v>
      </x:c>
      <x:c r="S1086" s="13" t="str">
        <x:v>high_intent</x:v>
      </x:c>
      <x:c r="T1086" s="16" t="str">
        <x:v>explicit | page_validated | inferred</x:v>
      </x:c>
      <x:c r="U1086" s="13" t="str">
        <x:v>high</x:v>
      </x:c>
      <x:c r="V1086" s="16" t="str">
        <x:v>womens_casual_comfortable_flip_flops</x:v>
      </x:c>
      <x:c r="W1086" s="16" t="str">
        <x:v>cluster_route</x:v>
      </x:c>
      <x:c r="X1086" s="16" t="str">
        <x:v>{"product_type":[{"value":"flip_flops","evidence_type":"explicit","source_span":"flip flops","fact_ids":[],"rationale":"Term explicitly states flip flops."},{"value":"flip_flops","evidence_type":"page_validated","source_span":"","fact_ids":["style_flip_flop"],"rationale":"该槽位与商品基准中的明示页面事实一致。"}],"audience_intent":[{"value":"women","evidence_type":"explicit","source_span":"womens","fact_ids":[],"rationale":"Term explicitly targets women."},{"value":"women","evidence_type":"page_validated","source_span":"","fact_ids":["title_womens_flip_flop"],"rationale":"该槽位与商品基准中的明示页面事实一致。"}],"function_intent":[{"value":"comfort","evidence_type":"explicit","source_span":"comfortable","fact_ids":[],"rationale":"Term explicitly requests comfort."},{"value":"comfort","evidence_type":"page_validated","source_span":"","fact_ids":["arch_support","padded_cushioning"],"rationale":"该槽位与商品基准中的明示页面事实一致。"}],"event_intent":[{"value":"casual","evidence_type":"explicit","source_span":"casual","fact_ids":[],"rationale":"Term explicitly mentions casual use."}],"asin_fit":[{"value":"match","evidence_type":"page_validated","source_span":"","fact_ids":["title_womens_flip_flop","arch_support","padded_cushioning","soft_toe_post","style_outdoor"],"rationale":"Product has arch support, padding, soft toe post, and outdoor lifestyle for casual comfort."}],"primary_domain":[{"value":"clothing_shoes_jewelry","evidence_type":"inferred","source_span":"","fact_ids":[],"rationale":"该值由搜索词整体语义推断，未作为页面明示属性。"}]}</x:v>
      </x:c>
      <x:c r="Y1086" s="16" t="str"/>
      <x:c r="Z1086" s="13" t="str">
        <x:v>match</x:v>
      </x:c>
      <x:c r="AA1086" s="16" t="str">
        <x:v>title_womens_flip_flop | arch_support | padded_cushioning | soft_toe_post | style_outdoor</x:v>
      </x:c>
      <x:c r="AB1086" s="13" t="str">
        <x:v>accepted</x:v>
      </x:c>
      <x:c r="AC1086" s="13" t="str">
        <x:v>1.0.0</x:v>
      </x:c>
      <x:c r="AD1086" s="13" t="str">
        <x:v>1.1.0</x:v>
      </x:c>
      <x:c r="AE1086" s="13" t="str">
        <x:v>deepseek/deepseek-v4-pro</x:v>
      </x:c>
      <x:c r="AF1086" s="13" t="str">
        <x:v>aj2-y90-20260714T234810-0bea2f52</x:v>
      </x:c>
      <x:c r="AG1086" s="13" t="str">
        <x:v>full-0055</x:v>
      </x:c>
      <x:c r="AH1086" s="13" t="str">
        <x:v>full</x:v>
      </x:c>
      <x:c r="AI1086" s="13" t="n">
        <x:v>55</x:v>
      </x:c>
    </x:row>
    <x:row r="1087" ht="34" customHeight="1">
      <x:c r="A1087" s="15" t="str">
        <x:v>white beach comfortable flip flops</x:v>
      </x:c>
      <x:c r="B1087" s="15" t="str">
        <x:v>white beach comfortable flip flops</x:v>
      </x:c>
      <x:c r="C1087" s="10" t="str">
        <x:v>2242af21fc9124a6</x:v>
      </x:c>
      <x:c r="D1087" s="10" t="str">
        <x:v>keyword</x:v>
      </x:c>
      <x:c r="E1087" s="10" t="str">
        <x:v>en</x:v>
      </x:c>
      <x:c r="F1087" s="10" t="str">
        <x:v>clothing_shoes_jewelry</x:v>
      </x:c>
      <x:c r="G1087" s="15" t="str"/>
      <x:c r="H1087" s="15" t="str">
        <x:v>flip_flops</x:v>
      </x:c>
      <x:c r="I1087" s="15" t="str"/>
      <x:c r="J1087" s="15" t="str">
        <x:v>comfort</x:v>
      </x:c>
      <x:c r="K1087" s="15" t="str"/>
      <x:c r="L1087" s="15" t="str"/>
      <x:c r="M1087" s="15" t="str">
        <x:v>beach</x:v>
      </x:c>
      <x:c r="N1087" s="15" t="str"/>
      <x:c r="O1087" s="15" t="str"/>
      <x:c r="P1087" s="15" t="str"/>
      <x:c r="Q1087" s="15" t="str"/>
      <x:c r="R1087" s="15" t="str">
        <x:v>用户需要白色沙滩舒适人字拖，产品有白色可选，户外风格适合沙滩穿着且具备足弓支撑和缓冲垫，满足舒适需求。</x:v>
      </x:c>
      <x:c r="S1087" s="10" t="str">
        <x:v>high_intent</x:v>
      </x:c>
      <x:c r="T1087" s="15" t="str">
        <x:v>explicit | page_validated | inferred</x:v>
      </x:c>
      <x:c r="U1087" s="10" t="str">
        <x:v>high</x:v>
      </x:c>
      <x:c r="V1087" s="15" t="str">
        <x:v>white_beach_comfortable_flip_flops</x:v>
      </x:c>
      <x:c r="W1087" s="15" t="str">
        <x:v>cluster_route</x:v>
      </x:c>
      <x:c r="X1087" s="15" t="str">
        <x:v>{"product_type":[{"value":"flip_flops","evidence_type":"explicit","source_span":"flip flops","fact_ids":[],"rationale":"Term explicitly states flip flops."},{"value":"flip_flops","evidence_type":"page_validated","source_span":"","fact_ids":["style_flip_flop"],"rationale":"该槽位与商品基准中的明示页面事实一致。"}],"function_intent":[{"value":"comfort","evidence_type":"explicit","source_span":"comfortable","fact_ids":[],"rationale":"Term explicitly requests comfort."},{"value":"comfort","evidence_type":"page_validated","source_span":"","fact_ids":["arch_support","padded_cushioning"],"rationale":"该槽位与商品基准中的明示页面事实一致。"}],"location_intent":[{"value":"beach","evidence_type":"explicit","source_span":"beach","fact_ids":[],"rationale":"Term explicitly mentions beach as use location."}],"asin_fit":[{"value":"match","evidence_type":"page_validated","source_span":"","fact_ids":["colors_visible","style_outdoor","arch_support","padded_cushioning","style_flip_flop"],"rationale":"White is available; outdoor lifestyle suits beach; arch support and padding provide comfort."}],"primary_domain":[{"value":"clothing_shoes_jewelry","evidence_type":"inferred","source_span":"","fact_ids":[],"rationale":"该值由搜索词整体语义推断，未作为页面明示属性。"}]}</x:v>
      </x:c>
      <x:c r="Y1087" s="15" t="str"/>
      <x:c r="Z1087" s="10" t="str">
        <x:v>match</x:v>
      </x:c>
      <x:c r="AA1087" s="15" t="str">
        <x:v>colors_visible | style_outdoor | arch_support | padded_cushioning | style_flip_flop</x:v>
      </x:c>
      <x:c r="AB1087" s="10" t="str">
        <x:v>accepted</x:v>
      </x:c>
      <x:c r="AC1087" s="10" t="str">
        <x:v>1.0.0</x:v>
      </x:c>
      <x:c r="AD1087" s="10" t="str">
        <x:v>1.1.0</x:v>
      </x:c>
      <x:c r="AE1087" s="10" t="str">
        <x:v>deepseek/deepseek-v4-pro</x:v>
      </x:c>
      <x:c r="AF1087" s="10" t="str">
        <x:v>aj2-y90-20260714T234810-0bea2f52</x:v>
      </x:c>
      <x:c r="AG1087" s="10" t="str">
        <x:v>full-0055</x:v>
      </x:c>
      <x:c r="AH1087" s="10" t="str">
        <x:v>full</x:v>
      </x:c>
      <x:c r="AI1087" s="10" t="n">
        <x:v>55</x:v>
      </x:c>
    </x:row>
    <x:row r="1088" ht="34" customHeight="1">
      <x:c r="A1088" s="16" t="str">
        <x:v>navy blue orthotic flip flops</x:v>
      </x:c>
      <x:c r="B1088" s="16" t="str">
        <x:v>navy blue orthotic flip flops</x:v>
      </x:c>
      <x:c r="C1088" s="13" t="str">
        <x:v>389f8280e685af93</x:v>
      </x:c>
      <x:c r="D1088" s="13" t="str">
        <x:v>keyword</x:v>
      </x:c>
      <x:c r="E1088" s="13" t="str">
        <x:v>en</x:v>
      </x:c>
      <x:c r="F1088" s="13" t="str">
        <x:v>clothing_shoes_jewelry</x:v>
      </x:c>
      <x:c r="G1088" s="16" t="str"/>
      <x:c r="H1088" s="16" t="str">
        <x:v>flip_flops</x:v>
      </x:c>
      <x:c r="I1088" s="16" t="str"/>
      <x:c r="J1088" s="16" t="str">
        <x:v>orthotic</x:v>
      </x:c>
      <x:c r="K1088" s="16" t="str"/>
      <x:c r="L1088" s="16" t="str"/>
      <x:c r="M1088" s="16" t="str"/>
      <x:c r="N1088" s="16" t="str">
        <x:v>orthotic_support</x:v>
      </x:c>
      <x:c r="O1088" s="16" t="str"/>
      <x:c r="P1088" s="16" t="str"/>
      <x:c r="Q1088" s="16" t="str"/>
      <x:c r="R1088" s="16" t="str">
        <x:v>用户需要海军蓝矫形人字拖，产品具备足弓支撑与矫形需求相关，但无海军蓝配色且未明确标注矫形功能。</x:v>
      </x:c>
      <x:c r="S1088" s="13" t="str">
        <x:v>consideration</x:v>
      </x:c>
      <x:c r="T1088" s="16" t="str">
        <x:v>explicit | page_validated | inferred</x:v>
      </x:c>
      <x:c r="U1088" s="13" t="str">
        <x:v>medium</x:v>
      </x:c>
      <x:c r="V1088" s="16" t="str">
        <x:v>navy_blue_orthotic_flip_flops</x:v>
      </x:c>
      <x:c r="W1088" s="16" t="str">
        <x:v>listing_gap_review</x:v>
      </x:c>
      <x:c r="X1088" s="16" t="str">
        <x:v>{"product_type":[{"value":"flip_flops","evidence_type":"explicit","source_span":"flip flops","fact_ids":[],"rationale":"Term explicitly states flip flops."},{"value":"flip_flops","evidence_type":"page_validated","source_span":"","fact_ids":["style_flip_flop"],"rationale":"该槽位与商品基准中的明示页面事实一致。"}],"function_intent":[{"value":"orthotic","evidence_type":"explicit","source_span":"orthotic","fact_ids":[],"rationale":"Term explicitly requests orthotic function."}],"body_need_intent":[{"value":"orthotic_support","evidence_type":"explicit","source_span":"orthotic","fact_ids":[],"rationale":"Orthotic addresses a foot support body need."}],"asin_fit":[{"value":"partial_match","evidence_type":"page_validated","source_span":"","fact_ids":["arch_support","colors_visible","style_flip_flop"],"rationale":"Arch support is orthotic-adjacent but not explicitly orthotic; navy blue not available."}],"primary_domain":[{"value":"clothing_shoes_jewelry","evidence_type":"inferred","source_span":"","fact_ids":[],"rationale":"该值由搜索词整体语义推断，未作为页面明示属性。"}]}</x:v>
      </x:c>
      <x:c r="Y1088" s="16" t="str"/>
      <x:c r="Z1088" s="13" t="str">
        <x:v>partial_match</x:v>
      </x:c>
      <x:c r="AA1088" s="16" t="str">
        <x:v>arch_support | colors_visible | style_flip_flop</x:v>
      </x:c>
      <x:c r="AB1088" s="13" t="str">
        <x:v>accepted</x:v>
      </x:c>
      <x:c r="AC1088" s="13" t="str">
        <x:v>1.0.0</x:v>
      </x:c>
      <x:c r="AD1088" s="13" t="str">
        <x:v>1.1.0</x:v>
      </x:c>
      <x:c r="AE1088" s="13" t="str">
        <x:v>deepseek/deepseek-v4-pro</x:v>
      </x:c>
      <x:c r="AF1088" s="13" t="str">
        <x:v>aj2-y90-20260714T234810-0bea2f52</x:v>
      </x:c>
      <x:c r="AG1088" s="13" t="str">
        <x:v>full-0055</x:v>
      </x:c>
      <x:c r="AH1088" s="13" t="str">
        <x:v>full</x:v>
      </x:c>
      <x:c r="AI1088" s="13" t="n">
        <x:v>55</x:v>
      </x:c>
    </x:row>
    <x:row r="1089" ht="34" customHeight="1">
      <x:c r="A1089" s="15" t="str">
        <x:v>plastic sandals for women</x:v>
      </x:c>
      <x:c r="B1089" s="15" t="str">
        <x:v>plastic sandals for women</x:v>
      </x:c>
      <x:c r="C1089" s="10" t="str">
        <x:v>3ed8d9c020fad3c7</x:v>
      </x:c>
      <x:c r="D1089" s="10" t="str">
        <x:v>keyword</x:v>
      </x:c>
      <x:c r="E1089" s="10" t="str">
        <x:v>en</x:v>
      </x:c>
      <x:c r="F1089" s="10" t="str">
        <x:v>clothing_shoes_jewelry</x:v>
      </x:c>
      <x:c r="G1089" s="15" t="str"/>
      <x:c r="H1089" s="15" t="str">
        <x:v>sandals</x:v>
      </x:c>
      <x:c r="I1089" s="15" t="str">
        <x:v>women</x:v>
      </x:c>
      <x:c r="J1089" s="15" t="str"/>
      <x:c r="K1089" s="15" t="str">
        <x:v>plastic_material</x:v>
      </x:c>
      <x:c r="L1089" s="15" t="str"/>
      <x:c r="M1089" s="15" t="str"/>
      <x:c r="N1089" s="15" t="str"/>
      <x:c r="O1089" s="15" t="str"/>
      <x:c r="P1089" s="15" t="str"/>
      <x:c r="Q1089" s="15" t="str"/>
      <x:c r="R1089" s="15" t="str">
        <x:v>用户需要女士塑料凉鞋，产品为EVA材质人字拖，EVA属于塑料类发泡材料，材质基本匹配。</x:v>
      </x:c>
      <x:c r="S1089" s="10" t="str">
        <x:v>exploration</x:v>
      </x:c>
      <x:c r="T1089" s="15" t="str">
        <x:v>explicit | page_validated | inferred</x:v>
      </x:c>
      <x:c r="U1089" s="10" t="str">
        <x:v>medium</x:v>
      </x:c>
      <x:c r="V1089" s="15" t="str">
        <x:v>womens_plastic_sandals</x:v>
      </x:c>
      <x:c r="W1089" s="15" t="str">
        <x:v>cluster_route</x:v>
      </x:c>
      <x:c r="X1089" s="15" t="str">
        <x:v>{"product_type":[{"value":"sandals","evidence_type":"explicit","source_span":"sandals","fact_ids":[],"rationale":"Term explicitly states sandals."},{"value":"sandals","evidence_type":"page_validated","source_span":"","fact_ids":["title_womens_flip_flop"],"rationale":"该槽位与商品基准中的明示页面事实一致。"}],"audience_intent":[{"value":"women","evidence_type":"explicit","source_span":"women","fact_ids":[],"rationale":"Term explicitly targets women."},{"value":"women","evidence_type":"page_validated","source_span":"","fact_ids":["title_womens_flip_flop"],"rationale":"该槽位与商品基准中的明示页面事实一致。"}],"capability_intent":[{"value":"plastic_material","evidence_type":"explicit","source_span":"plastic","fact_ids":[],"rationale":"Term explicitly requests plastic material."}],"asin_fit":[{"value":"match","evidence_type":"page_validated","source_span":"","fact_ids":["material_eva","title_womens_flip_flop"],"rationale":"EVA is a plastic-based foam material; flip flop is a sandal subtype for women."}],"primary_domain":[{"value":"clothing_shoes_jewelry","evidence_type":"inferred","source_span":"","fact_ids":[],"rationale":"该值由搜索词整体语义推断，未作为页面明示属性。"}]}</x:v>
      </x:c>
      <x:c r="Y1089" s="15" t="str"/>
      <x:c r="Z1089" s="10" t="str">
        <x:v>match</x:v>
      </x:c>
      <x:c r="AA1089" s="15" t="str">
        <x:v>material_eva | title_womens_flip_flop</x:v>
      </x:c>
      <x:c r="AB1089" s="10" t="str">
        <x:v>accepted</x:v>
      </x:c>
      <x:c r="AC1089" s="10" t="str">
        <x:v>1.0.0</x:v>
      </x:c>
      <x:c r="AD1089" s="10" t="str">
        <x:v>1.1.0</x:v>
      </x:c>
      <x:c r="AE1089" s="10" t="str">
        <x:v>deepseek/deepseek-v4-pro</x:v>
      </x:c>
      <x:c r="AF1089" s="10" t="str">
        <x:v>aj2-y90-20260714T234810-0bea2f52</x:v>
      </x:c>
      <x:c r="AG1089" s="10" t="str">
        <x:v>full-0055</x:v>
      </x:c>
      <x:c r="AH1089" s="10" t="str">
        <x:v>full</x:v>
      </x:c>
      <x:c r="AI1089" s="10" t="n">
        <x:v>55</x:v>
      </x:c>
    </x:row>
    <x:row r="1090" ht="34" customHeight="1">
      <x:c r="A1090" s="16" t="str">
        <x:v>hot pink flip flops for women soft</x:v>
      </x:c>
      <x:c r="B1090" s="16" t="str">
        <x:v>hot pink flip flops for women soft</x:v>
      </x:c>
      <x:c r="C1090" s="13" t="str">
        <x:v>43915d762d3e2e3b</x:v>
      </x:c>
      <x:c r="D1090" s="13" t="str">
        <x:v>keyword</x:v>
      </x:c>
      <x:c r="E1090" s="13" t="str">
        <x:v>en</x:v>
      </x:c>
      <x:c r="F1090" s="13" t="str">
        <x:v>clothing_shoes_jewelry</x:v>
      </x:c>
      <x:c r="G1090" s="16" t="str"/>
      <x:c r="H1090" s="16" t="str">
        <x:v>flip_flops</x:v>
      </x:c>
      <x:c r="I1090" s="16" t="str">
        <x:v>women</x:v>
      </x:c>
      <x:c r="J1090" s="16" t="str"/>
      <x:c r="K1090" s="16" t="str">
        <x:v>soft</x:v>
      </x:c>
      <x:c r="L1090" s="16" t="str"/>
      <x:c r="M1090" s="16" t="str"/>
      <x:c r="N1090" s="16" t="str"/>
      <x:c r="O1090" s="16" t="str"/>
      <x:c r="P1090" s="16" t="str"/>
      <x:c r="Q1090" s="16" t="str"/>
      <x:c r="R1090" s="16" t="str">
        <x:v>用户需要柔软的热粉色女士人字拖，产品具备柔软趾柱且可选粉色，但热粉色与页面粉色/紫红色可能存在色差。</x:v>
      </x:c>
      <x:c r="S1090" s="13" t="str">
        <x:v>high_intent</x:v>
      </x:c>
      <x:c r="T1090" s="16" t="str">
        <x:v>explicit | page_validated | inferred</x:v>
      </x:c>
      <x:c r="U1090" s="13" t="str">
        <x:v>medium</x:v>
      </x:c>
      <x:c r="V1090" s="16" t="str">
        <x:v>womens_hot_pink_soft_flip_flops</x:v>
      </x:c>
      <x:c r="W1090" s="16" t="str">
        <x:v>performance_observation</x:v>
      </x:c>
      <x:c r="X1090" s="16" t="str">
        <x:v>{"product_type":[{"value":"flip_flops","evidence_type":"explicit","source_span":"flip flops","fact_ids":[],"rationale":"Term explicitly states flip flops."},{"value":"flip_flops","evidence_type":"page_validated","source_span":"","fact_ids":["style_flip_flop"],"rationale":"该槽位与商品基准中的明示页面事实一致。"}],"audience_intent":[{"value":"women","evidence_type":"explicit","source_span":"women","fact_ids":[],"rationale":"Term explicitly targets women."},{"value":"women","evidence_type":"page_validated","source_span":"","fact_ids":["title_womens_flip_flop"],"rationale":"该槽位与商品基准中的明示页面事实一致。"}],"capability_intent":[{"value":"soft","evidence_type":"explicit","source_span":"soft","fact_ids":[],"rationale":"Term explicitly requests softness."}],"asin_fit":[{"value":"partial_match","evidence_type":"page_validated","source_span":"","fact_ids":["soft_toe_post","padded_cushioning","colors_visible","title_womens_flip_flop"],"rationale":"Product is soft with pink/mauve available, but hot pink shade match is unconfirmed."}],"primary_domain":[{"value":"clothing_shoes_jewelry","evidence_type":"inferred","source_span":"","fact_ids":[],"rationale":"该值由搜索词整体语义推断，未作为页面明示属性。"}]}</x:v>
      </x:c>
      <x:c r="Y1090" s="16" t="str"/>
      <x:c r="Z1090" s="13" t="str">
        <x:v>partial_match</x:v>
      </x:c>
      <x:c r="AA1090" s="16" t="str">
        <x:v>soft_toe_post | padded_cushioning | colors_visible | title_womens_flip_flop</x:v>
      </x:c>
      <x:c r="AB1090" s="13" t="str">
        <x:v>accepted</x:v>
      </x:c>
      <x:c r="AC1090" s="13" t="str">
        <x:v>1.0.0</x:v>
      </x:c>
      <x:c r="AD1090" s="13" t="str">
        <x:v>1.1.0</x:v>
      </x:c>
      <x:c r="AE1090" s="13" t="str">
        <x:v>deepseek/deepseek-v4-pro</x:v>
      </x:c>
      <x:c r="AF1090" s="13" t="str">
        <x:v>aj2-y90-20260714T234810-0bea2f52</x:v>
      </x:c>
      <x:c r="AG1090" s="13" t="str">
        <x:v>full-0055</x:v>
      </x:c>
      <x:c r="AH1090" s="13" t="str">
        <x:v>full</x:v>
      </x:c>
      <x:c r="AI1090" s="13" t="n">
        <x:v>55</x:v>
      </x:c>
    </x:row>
    <x:row r="1091" ht="34" customHeight="1">
      <x:c r="A1091" s="15" t="str">
        <x:v>soft flip flops for women</x:v>
      </x:c>
      <x:c r="B1091" s="15" t="str">
        <x:v>soft flip flops for women</x:v>
      </x:c>
      <x:c r="C1091" s="10" t="str">
        <x:v>627fc7215cc00cde</x:v>
      </x:c>
      <x:c r="D1091" s="10" t="str">
        <x:v>keyword</x:v>
      </x:c>
      <x:c r="E1091" s="10" t="str">
        <x:v>en</x:v>
      </x:c>
      <x:c r="F1091" s="10" t="str">
        <x:v>clothing_shoes_jewelry</x:v>
      </x:c>
      <x:c r="G1091" s="15" t="str"/>
      <x:c r="H1091" s="15" t="str">
        <x:v>flip_flops</x:v>
      </x:c>
      <x:c r="I1091" s="15" t="str">
        <x:v>women</x:v>
      </x:c>
      <x:c r="J1091" s="15" t="str"/>
      <x:c r="K1091" s="15" t="str">
        <x:v>soft</x:v>
      </x:c>
      <x:c r="L1091" s="15" t="str"/>
      <x:c r="M1091" s="15" t="str"/>
      <x:c r="N1091" s="15" t="str"/>
      <x:c r="O1091" s="15" t="str"/>
      <x:c r="P1091" s="15" t="str"/>
      <x:c r="Q1091" s="15" t="str"/>
      <x:c r="R1091" s="15" t="str">
        <x:v>用户需要一款柔软的女士人字拖，产品具有柔软趾柱和缓冲垫设计，完全满足柔软舒适需求。</x:v>
      </x:c>
      <x:c r="S1091" s="10" t="str">
        <x:v>high_intent</x:v>
      </x:c>
      <x:c r="T1091" s="15" t="str">
        <x:v>explicit | page_validated | inferred</x:v>
      </x:c>
      <x:c r="U1091" s="10" t="str">
        <x:v>high</x:v>
      </x:c>
      <x:c r="V1091" s="15" t="str">
        <x:v>womens_soft_flip_flops</x:v>
      </x:c>
      <x:c r="W1091" s="15" t="str">
        <x:v>cluster_route</x:v>
      </x:c>
      <x:c r="X1091" s="15" t="str">
        <x:v>{"product_type":[{"value":"flip_flops","evidence_type":"explicit","source_span":"flip flops","fact_ids":[],"rationale":"Term explicitly states flip flops."},{"value":"flip_flops","evidence_type":"page_validated","source_span":"","fact_ids":["style_flip_flop"],"rationale":"该槽位与商品基准中的明示页面事实一致。"}],"audience_intent":[{"value":"women","evidence_type":"explicit","source_span":"women","fact_ids":[],"rationale":"Term explicitly targets women."},{"value":"women","evidence_type":"page_validated","source_span":"","fact_ids":["title_womens_flip_flop"],"rationale":"该槽位与商品基准中的明示页面事实一致。"}],"capability_intent":[{"value":"soft","evidence_type":"explicit","source_span":"soft","fact_ids":[],"rationale":"Term explicitly requests softness."}],"asin_fit":[{"value":"match","evidence_type":"page_validated","source_span":"","fact_ids":["soft_toe_post","padded_cushioning","title_womens_flip_flop"],"rationale":"Product has soft toe post and padded cushioning for a women's flip flop."}],"primary_domain":[{"value":"clothing_shoes_jewelry","evidence_type":"inferred","source_span":"","fact_ids":[],"rationale":"该值由搜索词整体语义推断，未作为页面明示属性。"}]}</x:v>
      </x:c>
      <x:c r="Y1091" s="15" t="str"/>
      <x:c r="Z1091" s="10" t="str">
        <x:v>match</x:v>
      </x:c>
      <x:c r="AA1091" s="15" t="str">
        <x:v>soft_toe_post | padded_cushioning | title_womens_flip_flop</x:v>
      </x:c>
      <x:c r="AB1091" s="10" t="str">
        <x:v>accepted</x:v>
      </x:c>
      <x:c r="AC1091" s="10" t="str">
        <x:v>1.0.0</x:v>
      </x:c>
      <x:c r="AD1091" s="10" t="str">
        <x:v>1.1.0</x:v>
      </x:c>
      <x:c r="AE1091" s="10" t="str">
        <x:v>deepseek/deepseek-v4-pro</x:v>
      </x:c>
      <x:c r="AF1091" s="10" t="str">
        <x:v>aj2-y90-20260714T234810-0bea2f52</x:v>
      </x:c>
      <x:c r="AG1091" s="10" t="str">
        <x:v>full-0055</x:v>
      </x:c>
      <x:c r="AH1091" s="10" t="str">
        <x:v>full</x:v>
      </x:c>
      <x:c r="AI1091" s="10" t="n">
        <x:v>55</x:v>
      </x:c>
    </x:row>
    <x:row r="1092" ht="34" customHeight="1">
      <x:c r="A1092" s="16" t="str">
        <x:v>brown high arch flip flops women</x:v>
      </x:c>
      <x:c r="B1092" s="16" t="str">
        <x:v>brown high arch flip flops women</x:v>
      </x:c>
      <x:c r="C1092" s="13" t="str">
        <x:v>6917643301d2da36</x:v>
      </x:c>
      <x:c r="D1092" s="13" t="str">
        <x:v>keyword</x:v>
      </x:c>
      <x:c r="E1092" s="13" t="str">
        <x:v>en</x:v>
      </x:c>
      <x:c r="F1092" s="13" t="str">
        <x:v>clothing_shoes_jewelry</x:v>
      </x:c>
      <x:c r="G1092" s="16" t="str"/>
      <x:c r="H1092" s="16" t="str">
        <x:v>flip_flops</x:v>
      </x:c>
      <x:c r="I1092" s="16" t="str">
        <x:v>women</x:v>
      </x:c>
      <x:c r="J1092" s="16" t="str">
        <x:v>arch_support</x:v>
      </x:c>
      <x:c r="K1092" s="16" t="str"/>
      <x:c r="L1092" s="16" t="str"/>
      <x:c r="M1092" s="16" t="str"/>
      <x:c r="N1092" s="16" t="str">
        <x:v>high_arch</x:v>
      </x:c>
      <x:c r="O1092" s="16" t="str"/>
      <x:c r="P1092" s="16" t="str"/>
      <x:c r="Q1092" s="16" t="str"/>
      <x:c r="R1092" s="16" t="str">
        <x:v>用户需要棕色高足弓支撑女士人字拖，产品有棕色可选且具备足弓支撑，但未明确针对高足弓设计，匹配度需进一步验证。</x:v>
      </x:c>
      <x:c r="S1092" s="13" t="str">
        <x:v>high_intent</x:v>
      </x:c>
      <x:c r="T1092" s="16" t="str">
        <x:v>explicit | page_validated | inferred</x:v>
      </x:c>
      <x:c r="U1092" s="13" t="str">
        <x:v>high</x:v>
      </x:c>
      <x:c r="V1092" s="16" t="str">
        <x:v>womens_brown_high_arch_flip_flops</x:v>
      </x:c>
      <x:c r="W1092" s="16" t="str">
        <x:v>performance_observation</x:v>
      </x:c>
      <x:c r="X1092" s="16" t="str">
        <x:v>{"product_type":[{"value":"flip_flops","evidence_type":"explicit","source_span":"flip flops","fact_ids":[],"rationale":"Term explicitly states flip flops."},{"value":"flip_flops","evidence_type":"page_validated","source_span":"","fact_ids":["style_flip_flop"],"rationale":"该槽位与商品基准中的明示页面事实一致。"}],"audience_intent":[{"value":"women","evidence_type":"explicit","source_span":"women","fact_ids":[],"rationale":"Term explicitly targets women."},{"value":"women","evidence_type":"page_validated","source_span":"","fact_ids":["title_womens_flip_flop"],"rationale":"该槽位与商品基准中的明示页面事实一致。"}],"function_intent":[{"value":"arch_support","evidence_type":"explicit","source_span":"high arch","fact_ids":[],"rationale":"High arch implies a need for arch support."},{"value":"arch_support","evidence_type":"page_validated","source_span":"","fact_ids":["arch_support"],"rationale":"该槽位与商品基准中的明示页面事实一致。"},{"value":"arch_support","evidence_type":"inferred","source_span":"","fact_ids":[],"rationale":"该能力由搜索词表达的任务或问题推断；页面事实仅用于验证商品承接。"}],"body_need_intent":[{"value":"high_arch","evidence_type":"explicit","source_span":"high arch","fact_ids":[],"rationale":"Term explicitly states high arch as a foot condition."}],"asin_fit":[{"value":"partial_match","evidence_type":"page_validated","source_span":"","fact_ids":["arch_support","colors_visible","title_womens_flip_flop"],"rationale":"Product has general arch support and brown color, but high-arch specificity is not validated on page."}],"primary_domain":[{"value":"clothing_shoes_jewelry","evidence_type":"inferred","source_span":"","fact_ids":[],"rationale":"该值由搜索词整体语义推断，未作为页面明示属性。"}]}</x:v>
      </x:c>
      <x:c r="Y1092" s="16" t="str"/>
      <x:c r="Z1092" s="13" t="str">
        <x:v>partial_match</x:v>
      </x:c>
      <x:c r="AA1092" s="16" t="str">
        <x:v>arch_support | colors_visible | title_womens_flip_flop</x:v>
      </x:c>
      <x:c r="AB1092" s="13" t="str">
        <x:v>accepted</x:v>
      </x:c>
      <x:c r="AC1092" s="13" t="str">
        <x:v>1.0.0</x:v>
      </x:c>
      <x:c r="AD1092" s="13" t="str">
        <x:v>1.1.0</x:v>
      </x:c>
      <x:c r="AE1092" s="13" t="str">
        <x:v>deepseek/deepseek-v4-pro</x:v>
      </x:c>
      <x:c r="AF1092" s="13" t="str">
        <x:v>aj2-y90-20260714T234810-0bea2f52</x:v>
      </x:c>
      <x:c r="AG1092" s="13" t="str">
        <x:v>full-0055</x:v>
      </x:c>
      <x:c r="AH1092" s="13" t="str">
        <x:v>full</x:v>
      </x:c>
      <x:c r="AI1092" s="13" t="n">
        <x:v>55</x:v>
      </x:c>
    </x:row>
    <x:row r="1093" ht="34" customHeight="1">
      <x:c r="A1093" s="15" t="str">
        <x:v>orthopedic light weight flip flop</x:v>
      </x:c>
      <x:c r="B1093" s="15" t="str">
        <x:v>orthopedic light weight flip flop</x:v>
      </x:c>
      <x:c r="C1093" s="10" t="str">
        <x:v>7eb1f6805544f7f6</x:v>
      </x:c>
      <x:c r="D1093" s="10" t="str">
        <x:v>keyword</x:v>
      </x:c>
      <x:c r="E1093" s="10" t="str">
        <x:v>en</x:v>
      </x:c>
      <x:c r="F1093" s="10" t="str">
        <x:v>clothing_shoes_jewelry</x:v>
      </x:c>
      <x:c r="G1093" s="15" t="str"/>
      <x:c r="H1093" s="15" t="str">
        <x:v>flip_flops</x:v>
      </x:c>
      <x:c r="I1093" s="15" t="str"/>
      <x:c r="J1093" s="15" t="str">
        <x:v>orthopedic</x:v>
      </x:c>
      <x:c r="K1093" s="15" t="str">
        <x:v>lightweight</x:v>
      </x:c>
      <x:c r="L1093" s="15" t="str"/>
      <x:c r="M1093" s="15" t="str"/>
      <x:c r="N1093" s="15" t="str">
        <x:v>orthopedic_support</x:v>
      </x:c>
      <x:c r="O1093" s="15" t="str"/>
      <x:c r="P1093" s="15" t="str"/>
      <x:c r="Q1093" s="15" t="str"/>
      <x:c r="R1093" s="15" t="str">
        <x:v>用户需要轻便矫形人字拖，产品轻便透气且具备足弓支撑，与矫形需求部分相关但未明确标注矫形功能。</x:v>
      </x:c>
      <x:c r="S1093" s="10" t="str">
        <x:v>consideration</x:v>
      </x:c>
      <x:c r="T1093" s="15" t="str">
        <x:v>explicit | page_validated | inferred</x:v>
      </x:c>
      <x:c r="U1093" s="10" t="str">
        <x:v>medium</x:v>
      </x:c>
      <x:c r="V1093" s="15" t="str">
        <x:v>orthopedic_lightweight_flip_flops</x:v>
      </x:c>
      <x:c r="W1093" s="15" t="str">
        <x:v>performance_observation</x:v>
      </x:c>
      <x:c r="X1093" s="15" t="str">
        <x:v>{"product_type":[{"value":"flip_flops","evidence_type":"explicit","source_span":"flip flop","fact_ids":[],"rationale":"Term explicitly states flip flop."},{"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function_intent":[{"value":"orthopedic","evidence_type":"explicit","source_span":"orthopedic","fact_ids":[],"rationale":"Term explicitly requests orthopedic function."}],"capability_intent":[{"value":"lightweight","evidence_type":"explicit","source_span":"light weight","fact_ids":[],"rationale":"Term explicitly requests lightweight capability."},{"value":"lightweight","evidence_type":"page_validated","source_span":"","fact_ids":["lightweight_breathable"],"rationale":"该槽位与商品基准中的明示页面事实一致。"},{"value":"lightweight","evidence_type":"inferred","source_span":"","fact_ids":[],"rationale":"该能力由搜索词表达的任务或问题推断；页面事实仅用于验证商品承接。"}],"body_need_intent":[{"value":"orthopedic_support","evidence_type":"explicit","source_span":"orthopedic","fact_ids":[],"rationale":"Orthopedic implies a foot/body support need."}],"asin_fit":[{"value":"partial_match","evidence_type":"page_validated","source_span":"","fact_ids":["lightweight_breathable","arch_support","style_flip_flop"],"rationale":"Product is lightweight with arch support but not explicitly labeled orthopedic."}],"primary_domain":[{"value":"clothing_shoes_jewelry","evidence_type":"inferred","source_span":"","fact_ids":[],"rationale":"该值由搜索词整体语义推断，未作为页面明示属性。"}]}</x:v>
      </x:c>
      <x:c r="Y1093" s="15" t="str"/>
      <x:c r="Z1093" s="10" t="str">
        <x:v>partial_match</x:v>
      </x:c>
      <x:c r="AA1093" s="15" t="str">
        <x:v>lightweight_breathable | arch_support | style_flip_flop</x:v>
      </x:c>
      <x:c r="AB1093" s="10" t="str">
        <x:v>accepted</x:v>
      </x:c>
      <x:c r="AC1093" s="10" t="str">
        <x:v>1.0.0</x:v>
      </x:c>
      <x:c r="AD1093" s="10" t="str">
        <x:v>1.1.0</x:v>
      </x:c>
      <x:c r="AE1093" s="10" t="str">
        <x:v>deepseek/deepseek-v4-pro</x:v>
      </x:c>
      <x:c r="AF1093" s="10" t="str">
        <x:v>aj2-y90-20260714T234810-0bea2f52</x:v>
      </x:c>
      <x:c r="AG1093" s="10" t="str">
        <x:v>full-0055</x:v>
      </x:c>
      <x:c r="AH1093" s="10" t="str">
        <x:v>full</x:v>
      </x:c>
      <x:c r="AI1093" s="10" t="n">
        <x:v>55</x:v>
      </x:c>
    </x:row>
    <x:row r="1094" ht="34" customHeight="1">
      <x:c r="A1094" s="16" t="str">
        <x:v>womens size 9 flip flops</x:v>
      </x:c>
      <x:c r="B1094" s="16" t="str">
        <x:v>womens size 9 flip flops</x:v>
      </x:c>
      <x:c r="C1094" s="13" t="str">
        <x:v>887dd6950ea7ba7b</x:v>
      </x:c>
      <x:c r="D1094" s="13" t="str">
        <x:v>keyword</x:v>
      </x:c>
      <x:c r="E1094" s="13" t="str">
        <x:v>en</x:v>
      </x:c>
      <x:c r="F1094" s="13" t="str">
        <x:v>clothing_shoes_jewelry</x:v>
      </x:c>
      <x:c r="G1094" s="16" t="str"/>
      <x:c r="H1094" s="16" t="str">
        <x:v>flip_flops</x:v>
      </x:c>
      <x:c r="I1094" s="16" t="str">
        <x:v>women</x:v>
      </x:c>
      <x:c r="J1094" s="16" t="str"/>
      <x:c r="K1094" s="16" t="str"/>
      <x:c r="L1094" s="16" t="str"/>
      <x:c r="M1094" s="16" t="str"/>
      <x:c r="N1094" s="16" t="str"/>
      <x:c r="O1094" s="16" t="str"/>
      <x:c r="P1094" s="16" t="str"/>
      <x:c r="Q1094" s="16" t="str"/>
      <x:c r="R1094" s="16" t="str">
        <x:v>用户需要女士9码人字拖，产品提供6至11码选择，9码在可支持范围内。</x:v>
      </x:c>
      <x:c r="S1094" s="13" t="str">
        <x:v>high_intent</x:v>
      </x:c>
      <x:c r="T1094" s="16" t="str">
        <x:v>explicit | page_validated | inferred</x:v>
      </x:c>
      <x:c r="U1094" s="13" t="str">
        <x:v>high</x:v>
      </x:c>
      <x:c r="V1094" s="16" t="str">
        <x:v>womens_size_9_flip_flops</x:v>
      </x:c>
      <x:c r="W1094" s="16" t="str">
        <x:v>cluster_route</x:v>
      </x:c>
      <x:c r="X1094" s="16" t="str">
        <x:v>{"product_type":[{"value":"flip_flops","evidence_type":"explicit","source_span":"flip flops","fact_ids":[],"rationale":"Term explicitly states flip flops."},{"value":"flip_flops","evidence_type":"page_validated","source_span":"","fact_ids":["style_flip_flop"],"rationale":"该槽位与商品基准中的明示页面事实一致。"}],"audience_intent":[{"value":"women","evidence_type":"explicit","source_span":"womens","fact_ids":[],"rationale":"Term explicitly targets women."},{"value":"women","evidence_type":"page_validated","source_span":"","fact_ids":["title_womens_flip_flop"],"rationale":"该槽位与商品基准中的明示页面事实一致。"}],"asin_fit":[{"value":"match","evidence_type":"page_validated","source_span":"","fact_ids":["sizes_6_11","title_womens_flip_flop"],"rationale":"Size 9 falls within the available 6-11 range for women's flip flops."}],"primary_domain":[{"value":"clothing_shoes_jewelry","evidence_type":"inferred","source_span":"","fact_ids":[],"rationale":"该值由搜索词整体语义推断，未作为页面明示属性。"}]}</x:v>
      </x:c>
      <x:c r="Y1094" s="16" t="str"/>
      <x:c r="Z1094" s="13" t="str">
        <x:v>match</x:v>
      </x:c>
      <x:c r="AA1094" s="16" t="str">
        <x:v>sizes_6_11 | title_womens_flip_flop</x:v>
      </x:c>
      <x:c r="AB1094" s="13" t="str">
        <x:v>accepted</x:v>
      </x:c>
      <x:c r="AC1094" s="13" t="str">
        <x:v>1.0.0</x:v>
      </x:c>
      <x:c r="AD1094" s="13" t="str">
        <x:v>1.1.0</x:v>
      </x:c>
      <x:c r="AE1094" s="13" t="str">
        <x:v>deepseek/deepseek-v4-pro</x:v>
      </x:c>
      <x:c r="AF1094" s="13" t="str">
        <x:v>aj2-y90-20260714T234810-0bea2f52</x:v>
      </x:c>
      <x:c r="AG1094" s="13" t="str">
        <x:v>full-0055</x:v>
      </x:c>
      <x:c r="AH1094" s="13" t="str">
        <x:v>full</x:v>
      </x:c>
      <x:c r="AI1094" s="13" t="n">
        <x:v>55</x:v>
      </x:c>
    </x:row>
    <x:row r="1095" ht="34" customHeight="1">
      <x:c r="A1095" s="15" t="str">
        <x:v>black memory foam flip flops</x:v>
      </x:c>
      <x:c r="B1095" s="15" t="str">
        <x:v>black memory foam flip flops</x:v>
      </x:c>
      <x:c r="C1095" s="10" t="str">
        <x:v>a424e677ea27e764</x:v>
      </x:c>
      <x:c r="D1095" s="10" t="str">
        <x:v>keyword</x:v>
      </x:c>
      <x:c r="E1095" s="10" t="str">
        <x:v>en</x:v>
      </x:c>
      <x:c r="F1095" s="10" t="str">
        <x:v>clothing_shoes_jewelry</x:v>
      </x:c>
      <x:c r="G1095" s="15" t="str"/>
      <x:c r="H1095" s="15" t="str">
        <x:v>flip_flops</x:v>
      </x:c>
      <x:c r="I1095" s="15" t="str"/>
      <x:c r="J1095" s="15" t="str"/>
      <x:c r="K1095" s="15" t="str">
        <x:v>memory_foam</x:v>
      </x:c>
      <x:c r="L1095" s="15" t="str"/>
      <x:c r="M1095" s="15" t="str"/>
      <x:c r="N1095" s="15" t="str"/>
      <x:c r="O1095" s="15" t="str"/>
      <x:c r="P1095" s="15" t="str"/>
      <x:c r="Q1095" s="15" t="str"/>
      <x:c r="R1095" s="15" t="str">
        <x:v>用户需要黑色记忆海绵人字拖，产品有黑色可选但为EVA材质而非记忆海绵，材质不匹配。</x:v>
      </x:c>
      <x:c r="S1095" s="10" t="str">
        <x:v>high_intent</x:v>
      </x:c>
      <x:c r="T1095" s="15" t="str">
        <x:v>explicit | page_validated | inferred</x:v>
      </x:c>
      <x:c r="U1095" s="10" t="str">
        <x:v>high</x:v>
      </x:c>
      <x:c r="V1095" s="15" t="str">
        <x:v>black_memory_foam_flip_flops</x:v>
      </x:c>
      <x:c r="W1095" s="15" t="str">
        <x:v>semantic_negative_candidate</x:v>
      </x:c>
      <x:c r="X1095" s="15" t="str">
        <x:v>{"product_type":[{"value":"flip_flops","evidence_type":"explicit","source_span":"flip flops","fact_ids":[],"rationale":"Term explicitly states flip flops."},{"value":"flip_flops","evidence_type":"page_validated","source_span":"","fact_ids":["style_flip_flop"],"rationale":"该槽位与商品基准中的明示页面事实一致。"}],"capability_intent":[{"value":"memory_foam","evidence_type":"explicit","source_span":"memory foam","fact_ids":[],"rationale":"Term explicitly requests memory foam material."}],"asin_fit":[{"value":"mismatch","evidence_type":"page_validated","source_span":"","fact_ids":["material_eva","colors_visible"],"rationale":"Product is EVA not memory foam; black color is available but material is a hard mismatch."}],"primary_domain":[{"value":"clothing_shoes_jewelry","evidence_type":"inferred","source_span":"","fact_ids":[],"rationale":"该值由搜索词整体语义推断，未作为页面明示属性。"}]}</x:v>
      </x:c>
      <x:c r="Y1095" s="15" t="str"/>
      <x:c r="Z1095" s="10" t="str">
        <x:v>mismatch</x:v>
      </x:c>
      <x:c r="AA1095" s="15" t="str">
        <x:v>material_eva | colors_visible</x:v>
      </x:c>
      <x:c r="AB1095" s="10" t="str">
        <x:v>accepted</x:v>
      </x:c>
      <x:c r="AC1095" s="10" t="str">
        <x:v>1.0.0</x:v>
      </x:c>
      <x:c r="AD1095" s="10" t="str">
        <x:v>1.1.0</x:v>
      </x:c>
      <x:c r="AE1095" s="10" t="str">
        <x:v>deepseek/deepseek-v4-pro</x:v>
      </x:c>
      <x:c r="AF1095" s="10" t="str">
        <x:v>aj2-y90-20260714T234810-0bea2f52</x:v>
      </x:c>
      <x:c r="AG1095" s="10" t="str">
        <x:v>full-0055</x:v>
      </x:c>
      <x:c r="AH1095" s="10" t="str">
        <x:v>full</x:v>
      </x:c>
      <x:c r="AI1095" s="10" t="n">
        <x:v>55</x:v>
      </x:c>
    </x:row>
    <x:row r="1096" ht="34" customHeight="1">
      <x:c r="A1096" s="16" t="str">
        <x:v>womens low flip flops</x:v>
      </x:c>
      <x:c r="B1096" s="16" t="str">
        <x:v>womens low flip flops</x:v>
      </x:c>
      <x:c r="C1096" s="13" t="str">
        <x:v>a7214f9f46fba488</x:v>
      </x:c>
      <x:c r="D1096" s="13" t="str">
        <x:v>keyword</x:v>
      </x:c>
      <x:c r="E1096" s="13" t="str">
        <x:v>en</x:v>
      </x:c>
      <x:c r="F1096" s="13" t="str">
        <x:v>clothing_shoes_jewelry</x:v>
      </x:c>
      <x:c r="G1096" s="16" t="str"/>
      <x:c r="H1096" s="16" t="str">
        <x:v>flip_flops</x:v>
      </x:c>
      <x:c r="I1096" s="16" t="str">
        <x:v>women</x:v>
      </x:c>
      <x:c r="J1096" s="16" t="str"/>
      <x:c r="K1096" s="16" t="str">
        <x:v>low_heel</x:v>
      </x:c>
      <x:c r="L1096" s="16" t="str"/>
      <x:c r="M1096" s="16" t="str"/>
      <x:c r="N1096" s="16" t="str"/>
      <x:c r="O1096" s="16" t="str"/>
      <x:c r="P1096" s="16" t="str"/>
      <x:c r="Q1096" s="16" t="str"/>
      <x:c r="R1096" s="16" t="str">
        <x:v>用户需要低跟女士人字拖，产品为平底设计，满足低跟需求。</x:v>
      </x:c>
      <x:c r="S1096" s="13" t="str">
        <x:v>high_intent</x:v>
      </x:c>
      <x:c r="T1096" s="16" t="str">
        <x:v>explicit | page_validated | inferred</x:v>
      </x:c>
      <x:c r="U1096" s="13" t="str">
        <x:v>high</x:v>
      </x:c>
      <x:c r="V1096" s="16" t="str">
        <x:v>womens_low_flat_flip_flops</x:v>
      </x:c>
      <x:c r="W1096" s="16" t="str">
        <x:v>cluster_route</x:v>
      </x:c>
      <x:c r="X1096" s="16" t="str">
        <x:v>{"product_type":[{"value":"flip_flops","evidence_type":"explicit","source_span":"flip flops","fact_ids":[],"rationale":"Term explicitly states flip flops."},{"value":"flip_flops","evidence_type":"page_validated","source_span":"","fact_ids":["style_flip_flop"],"rationale":"该槽位与商品基准中的明示页面事实一致。"}],"audience_intent":[{"value":"women","evidence_type":"explicit","source_span":"womens","fact_ids":[],"rationale":"Term explicitly targets women."},{"value":"women","evidence_type":"page_validated","source_span":"","fact_ids":["title_womens_flip_flop"],"rationale":"该槽位与商品基准中的明示页面事实一致。"}],"capability_intent":[{"value":"low_heel","evidence_type":"explicit","source_span":"low","fact_ids":[],"rationale":"Low refers to a low/flat heel height."}],"asin_fit":[{"value":"match","evidence_type":"page_validated","source_span":"","fact_ids":["style_flat","title_womens_flip_flop"],"rationale":"Product has a flat heel, matching the low heel request."}],"primary_domain":[{"value":"clothing_shoes_jewelry","evidence_type":"inferred","source_span":"","fact_ids":[],"rationale":"该值由搜索词整体语义推断，未作为页面明示属性。"}]}</x:v>
      </x:c>
      <x:c r="Y1096" s="16" t="str"/>
      <x:c r="Z1096" s="13" t="str">
        <x:v>match</x:v>
      </x:c>
      <x:c r="AA1096" s="16" t="str">
        <x:v>style_flat | title_womens_flip_flop</x:v>
      </x:c>
      <x:c r="AB1096" s="13" t="str">
        <x:v>accepted</x:v>
      </x:c>
      <x:c r="AC1096" s="13" t="str">
        <x:v>1.0.0</x:v>
      </x:c>
      <x:c r="AD1096" s="13" t="str">
        <x:v>1.1.0</x:v>
      </x:c>
      <x:c r="AE1096" s="13" t="str">
        <x:v>deepseek/deepseek-v4-pro</x:v>
      </x:c>
      <x:c r="AF1096" s="13" t="str">
        <x:v>aj2-y90-20260714T234810-0bea2f52</x:v>
      </x:c>
      <x:c r="AG1096" s="13" t="str">
        <x:v>full-0055</x:v>
      </x:c>
      <x:c r="AH1096" s="13" t="str">
        <x:v>full</x:v>
      </x:c>
      <x:c r="AI1096" s="13" t="n">
        <x:v>55</x:v>
      </x:c>
    </x:row>
    <x:row r="1097" ht="34" customHeight="1">
      <x:c r="A1097" s="15" t="str">
        <x:v>beige rubber flip flops women</x:v>
      </x:c>
      <x:c r="B1097" s="15" t="str">
        <x:v>beige rubber flip flops women</x:v>
      </x:c>
      <x:c r="C1097" s="10" t="str">
        <x:v>a8e489fcba7f973d</x:v>
      </x:c>
      <x:c r="D1097" s="10" t="str">
        <x:v>keyword</x:v>
      </x:c>
      <x:c r="E1097" s="10" t="str">
        <x:v>en</x:v>
      </x:c>
      <x:c r="F1097" s="10" t="str">
        <x:v>clothing_shoes_jewelry</x:v>
      </x:c>
      <x:c r="G1097" s="15" t="str"/>
      <x:c r="H1097" s="15" t="str">
        <x:v>flip_flops</x:v>
      </x:c>
      <x:c r="I1097" s="15" t="str">
        <x:v>women</x:v>
      </x:c>
      <x:c r="J1097" s="15" t="str"/>
      <x:c r="K1097" s="15" t="str">
        <x:v>rubber_material</x:v>
      </x:c>
      <x:c r="L1097" s="15" t="str"/>
      <x:c r="M1097" s="15" t="str"/>
      <x:c r="N1097" s="15" t="str"/>
      <x:c r="O1097" s="15" t="str"/>
      <x:c r="P1097" s="15" t="str"/>
      <x:c r="Q1097" s="15" t="str"/>
      <x:c r="R1097" s="15" t="str">
        <x:v>用户需要米色橡胶女士人字拖，产品为EVA材质且无米色可选，材质和颜色均与需求不匹配。</x:v>
      </x:c>
      <x:c r="S1097" s="10" t="str">
        <x:v>high_intent</x:v>
      </x:c>
      <x:c r="T1097" s="15" t="str">
        <x:v>explicit | page_validated | inferred</x:v>
      </x:c>
      <x:c r="U1097" s="10" t="str">
        <x:v>high</x:v>
      </x:c>
      <x:c r="V1097" s="15" t="str">
        <x:v>womens_rubber_flip_flops_beige</x:v>
      </x:c>
      <x:c r="W1097" s="15" t="str">
        <x:v>semantic_negative_candidate</x:v>
      </x:c>
      <x:c r="X1097" s="15" t="str">
        <x:v>{"product_type":[{"value":"flip_flops","evidence_type":"explicit","source_span":"flip flops","fact_ids":[],"rationale":"Term explicitly states flip flops."},{"value":"flip_flops","evidence_type":"page_validated","source_span":"","fact_ids":["style_flip_flop"],"rationale":"该槽位与商品基准中的明示页面事实一致。"}],"audience_intent":[{"value":"women","evidence_type":"explicit","source_span":"women","fact_ids":[],"rationale":"Term explicitly targets women."},{"value":"women","evidence_type":"page_validated","source_span":"","fact_ids":["title_womens_flip_flop"],"rationale":"该槽位与商品基准中的明示页面事实一致。"}],"capability_intent":[{"value":"rubber_material","evidence_type":"explicit","source_span":"rubber","fact_ids":[],"rationale":"Term explicitly requests rubber material."}],"asin_fit":[{"value":"mismatch","evidence_type":"page_validated","source_span":"","fact_ids":["material_eva","colors_visible"],"rationale":"Product is EVA not rubber, and beige is not among available colors."}],"primary_domain":[{"value":"clothing_shoes_jewelry","evidence_type":"inferred","source_span":"","fact_ids":[],"rationale":"该值由搜索词整体语义推断，未作为页面明示属性。"}]}</x:v>
      </x:c>
      <x:c r="Y1097" s="15" t="str"/>
      <x:c r="Z1097" s="10" t="str">
        <x:v>mismatch</x:v>
      </x:c>
      <x:c r="AA1097" s="15" t="str">
        <x:v>material_eva | colors_visible</x:v>
      </x:c>
      <x:c r="AB1097" s="10" t="str">
        <x:v>accepted</x:v>
      </x:c>
      <x:c r="AC1097" s="10" t="str">
        <x:v>1.0.0</x:v>
      </x:c>
      <x:c r="AD1097" s="10" t="str">
        <x:v>1.1.0</x:v>
      </x:c>
      <x:c r="AE1097" s="10" t="str">
        <x:v>deepseek/deepseek-v4-pro</x:v>
      </x:c>
      <x:c r="AF1097" s="10" t="str">
        <x:v>aj2-y90-20260714T234810-0bea2f52</x:v>
      </x:c>
      <x:c r="AG1097" s="10" t="str">
        <x:v>full-0055</x:v>
      </x:c>
      <x:c r="AH1097" s="10" t="str">
        <x:v>full</x:v>
      </x:c>
      <x:c r="AI1097" s="10" t="n">
        <x:v>55</x:v>
      </x:c>
    </x:row>
    <x:row r="1098" ht="34" customHeight="1">
      <x:c r="A1098" s="16" t="str">
        <x:v>sandals beach</x:v>
      </x:c>
      <x:c r="B1098" s="16" t="str">
        <x:v>sandals beach</x:v>
      </x:c>
      <x:c r="C1098" s="13" t="str">
        <x:v>b0073f5c6da6cd68</x:v>
      </x:c>
      <x:c r="D1098" s="13" t="str">
        <x:v>keyword</x:v>
      </x:c>
      <x:c r="E1098" s="13" t="str">
        <x:v>en</x:v>
      </x:c>
      <x:c r="F1098" s="13" t="str">
        <x:v>clothing_shoes_jewelry</x:v>
      </x:c>
      <x:c r="G1098" s="16" t="str"/>
      <x:c r="H1098" s="16" t="str">
        <x:v>sandals</x:v>
      </x:c>
      <x:c r="I1098" s="16" t="str"/>
      <x:c r="J1098" s="16" t="str"/>
      <x:c r="K1098" s="16" t="str"/>
      <x:c r="L1098" s="16" t="str"/>
      <x:c r="M1098" s="16" t="str">
        <x:v>beach</x:v>
      </x:c>
      <x:c r="N1098" s="16" t="str"/>
      <x:c r="O1098" s="16" t="str"/>
      <x:c r="P1098" s="16" t="str"/>
      <x:c r="Q1098" s="16" t="str"/>
      <x:c r="R1098" s="16" t="str">
        <x:v>用户需要沙滩凉鞋，产品为人字拖款式且户外风格，可作为沙滩凉鞋使用。</x:v>
      </x:c>
      <x:c r="S1098" s="13" t="str">
        <x:v>exploration</x:v>
      </x:c>
      <x:c r="T1098" s="16" t="str">
        <x:v>explicit | page_validated | inferred</x:v>
      </x:c>
      <x:c r="U1098" s="13" t="str">
        <x:v>medium</x:v>
      </x:c>
      <x:c r="V1098" s="16" t="str">
        <x:v>sandals_beach</x:v>
      </x:c>
      <x:c r="W1098" s="16" t="str">
        <x:v>cluster_route</x:v>
      </x:c>
      <x:c r="X1098" s="16" t="str">
        <x:v>{"product_type":[{"value":"sandals","evidence_type":"explicit","source_span":"sandals","fact_ids":[],"rationale":"Term explicitly states sandals as the product category."},{"value":"sandals","evidence_type":"page_validated","source_span":"","fact_ids":["title_womens_flip_flop"],"rationale":"该槽位与商品基准中的明示页面事实一致。"}],"location_intent":[{"value":"beach","evidence_type":"explicit","source_span":"beach","fact_ids":[],"rationale":"Term explicitly mentions beach as the use location."}],"asin_fit":[{"value":"match","evidence_type":"page_validated","source_span":"","fact_ids":["style_flip_flop","style_outdoor"],"rationale":"Flip flops are a sandal subtype and outdoor lifestyle supports beach use."}],"primary_domain":[{"value":"clothing_shoes_jewelry","evidence_type":"inferred","source_span":"","fact_ids":[],"rationale":"该值由搜索词整体语义推断，未作为页面明示属性。"}]}</x:v>
      </x:c>
      <x:c r="Y1098" s="16" t="str"/>
      <x:c r="Z1098" s="13" t="str">
        <x:v>match</x:v>
      </x:c>
      <x:c r="AA1098" s="16" t="str">
        <x:v>style_flip_flop | style_outdoor</x:v>
      </x:c>
      <x:c r="AB1098" s="13" t="str">
        <x:v>accepted</x:v>
      </x:c>
      <x:c r="AC1098" s="13" t="str">
        <x:v>1.0.0</x:v>
      </x:c>
      <x:c r="AD1098" s="13" t="str">
        <x:v>1.1.0</x:v>
      </x:c>
      <x:c r="AE1098" s="13" t="str">
        <x:v>deepseek/deepseek-v4-pro</x:v>
      </x:c>
      <x:c r="AF1098" s="13" t="str">
        <x:v>aj2-y90-20260714T234810-0bea2f52</x:v>
      </x:c>
      <x:c r="AG1098" s="13" t="str">
        <x:v>full-0055</x:v>
      </x:c>
      <x:c r="AH1098" s="13" t="str">
        <x:v>full</x:v>
      </x:c>
      <x:c r="AI1098" s="13" t="n">
        <x:v>55</x:v>
      </x:c>
    </x:row>
    <x:row r="1099" ht="34" customHeight="1">
      <x:c r="A1099" s="15" t="str">
        <x:v>women s flip flops with cloth strap</x:v>
      </x:c>
      <x:c r="B1099" s="15" t="str">
        <x:v>women s flip flops with cloth strap</x:v>
      </x:c>
      <x:c r="C1099" s="10" t="str">
        <x:v>deede4613ff21029</x:v>
      </x:c>
      <x:c r="D1099" s="10" t="str">
        <x:v>keyword</x:v>
      </x:c>
      <x:c r="E1099" s="10" t="str">
        <x:v>en</x:v>
      </x:c>
      <x:c r="F1099" s="10" t="str">
        <x:v>clothing_shoes_jewelry</x:v>
      </x:c>
      <x:c r="G1099" s="15" t="str"/>
      <x:c r="H1099" s="15" t="str">
        <x:v>flip_flops</x:v>
      </x:c>
      <x:c r="I1099" s="15" t="str">
        <x:v>women</x:v>
      </x:c>
      <x:c r="J1099" s="15" t="str"/>
      <x:c r="K1099" s="15" t="str">
        <x:v>cloth_strap</x:v>
      </x:c>
      <x:c r="L1099" s="15" t="str"/>
      <x:c r="M1099" s="15" t="str"/>
      <x:c r="N1099" s="15" t="str"/>
      <x:c r="O1099" s="15" t="str"/>
      <x:c r="P1099" s="15" t="str"/>
      <x:c r="Q1099" s="15" t="str"/>
      <x:c r="R1099" s="15" t="str">
        <x:v>用户需要一款带布质带子的女士人字拖，但当前产品为EVA丁字带构造，布质带子与产品不兼容。</x:v>
      </x:c>
      <x:c r="S1099" s="10" t="str">
        <x:v>high_intent</x:v>
      </x:c>
      <x:c r="T1099" s="15" t="str">
        <x:v>explicit | page_validated | inferred</x:v>
      </x:c>
      <x:c r="U1099" s="10" t="str">
        <x:v>high</x:v>
      </x:c>
      <x:c r="V1099" s="15" t="str">
        <x:v>womens_flip_flops_cloth_strap</x:v>
      </x:c>
      <x:c r="W1099" s="15" t="str">
        <x:v>semantic_negative_candidate</x:v>
      </x:c>
      <x:c r="X1099" s="15" t="str">
        <x:v>{"product_type":[{"value":"flip_flops","evidence_type":"explicit","source_span":"flip flops","fact_ids":[],"rationale":"Term explicitly states flip flops as the product."},{"value":"flip_flops","evidence_type":"page_validated","source_span":"","fact_ids":["style_flip_flop"],"rationale":"该槽位与商品基准中的明示页面事实一致。"}],"audience_intent":[{"value":"women","evidence_type":"explicit","source_span":"women","fact_ids":[],"rationale":"Term explicitly targets women."},{"value":"women","evidence_type":"page_validated","source_span":"","fact_ids":["title_womens_flip_flop"],"rationale":"该槽位与商品基准中的明示页面事实一致。"}],"capability_intent":[{"value":"cloth_strap","evidence_type":"explicit","source_span":"cloth strap","fact_ids":[],"rationale":"Term explicitly requests cloth strap material."}],"asin_fit":[{"value":"mismatch","evidence_type":"page_validated","source_span":"","fact_ids":["title_womens_flip_flop","style_thong"],"rationale":"Product is women's flip flop but strap is thong/EVA, not cloth."}],"primary_domain":[{"value":"clothing_shoes_jewelry","evidence_type":"inferred","source_span":"","fact_ids":[],"rationale":"该值由搜索词整体语义推断，未作为页面明示属性。"}]}</x:v>
      </x:c>
      <x:c r="Y1099" s="15" t="str"/>
      <x:c r="Z1099" s="10" t="str">
        <x:v>mismatch</x:v>
      </x:c>
      <x:c r="AA1099" s="15" t="str">
        <x:v>title_womens_flip_flop | style_thong</x:v>
      </x:c>
      <x:c r="AB1099" s="10" t="str">
        <x:v>accepted</x:v>
      </x:c>
      <x:c r="AC1099" s="10" t="str">
        <x:v>1.0.0</x:v>
      </x:c>
      <x:c r="AD1099" s="10" t="str">
        <x:v>1.1.0</x:v>
      </x:c>
      <x:c r="AE1099" s="10" t="str">
        <x:v>deepseek/deepseek-v4-pro</x:v>
      </x:c>
      <x:c r="AF1099" s="10" t="str">
        <x:v>aj2-y90-20260714T234810-0bea2f52</x:v>
      </x:c>
      <x:c r="AG1099" s="10" t="str">
        <x:v>full-0055</x:v>
      </x:c>
      <x:c r="AH1099" s="10" t="str">
        <x:v>full</x:v>
      </x:c>
      <x:c r="AI1099" s="10" t="n">
        <x:v>55</x:v>
      </x:c>
    </x:row>
    <x:row r="1100" ht="34" customHeight="1">
      <x:c r="A1100" s="16" t="str">
        <x:v>navy flip flop sandals women</x:v>
      </x:c>
      <x:c r="B1100" s="16" t="str">
        <x:v>navy flip flop sandals women</x:v>
      </x:c>
      <x:c r="C1100" s="13" t="str">
        <x:v>e033346f56b9556b</x:v>
      </x:c>
      <x:c r="D1100" s="13" t="str">
        <x:v>keyword</x:v>
      </x:c>
      <x:c r="E1100" s="13" t="str">
        <x:v>en</x:v>
      </x:c>
      <x:c r="F1100" s="13" t="str">
        <x:v>clothing_shoes_jewelry</x:v>
      </x:c>
      <x:c r="G1100" s="16" t="str"/>
      <x:c r="H1100" s="16" t="str">
        <x:v>flip_flops | sandals</x:v>
      </x:c>
      <x:c r="I1100" s="16" t="str">
        <x:v>women</x:v>
      </x:c>
      <x:c r="J1100" s="16" t="str"/>
      <x:c r="K1100" s="16" t="str"/>
      <x:c r="L1100" s="16" t="str"/>
      <x:c r="M1100" s="16" t="str"/>
      <x:c r="N1100" s="16" t="str"/>
      <x:c r="O1100" s="16" t="str"/>
      <x:c r="P1100" s="16" t="str"/>
      <x:c r="Q1100" s="16" t="str"/>
      <x:c r="R1100" s="16" t="str">
        <x:v>用户需要海军蓝女士人字拖凉鞋，产品为女士人字拖但无可选海军蓝配色，颜色存在缺口。</x:v>
      </x:c>
      <x:c r="S1100" s="13" t="str">
        <x:v>high_intent</x:v>
      </x:c>
      <x:c r="T1100" s="16" t="str">
        <x:v>explicit | page_validated | inferred</x:v>
      </x:c>
      <x:c r="U1100" s="13" t="str">
        <x:v>high</x:v>
      </x:c>
      <x:c r="V1100" s="16" t="str">
        <x:v>womens_navy_flip_flop_sandals</x:v>
      </x:c>
      <x:c r="W1100" s="16" t="str">
        <x:v>listing_gap_review</x:v>
      </x:c>
      <x:c r="X1100" s="16" t="str">
        <x:v>{"product_type":[{"value":"flip_flops","evidence_type":"explicit","source_span":"flip flop","fact_ids":[],"rationale":"Term explicitly states flip flop."},{"value":"sandals","evidence_type":"explicit","source_span":"sandals","fact_ids":[],"rationale":"Term also uses sandals as a broader category descriptor."},{"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value":"sandals","evidence_type":"page_validated","source_span":"","fact_ids":["title_womens_flip_flop"],"rationale":"该槽位与商品基准中的明示页面事实一致。"}],"audience_intent":[{"value":"women","evidence_type":"explicit","source_span":"women","fact_ids":[],"rationale":"Term explicitly targets women."},{"value":"women","evidence_type":"page_validated","source_span":"","fact_ids":["title_womens_flip_flop"],"rationale":"该槽位与商品基准中的明示页面事实一致。"}],"asin_fit":[{"value":"partial_match","evidence_type":"page_validated","source_span":"","fact_ids":["title_womens_flip_flop","colors_visible"],"rationale":"Product matches type and audience but navy is not among available colors."}],"primary_domain":[{"value":"clothing_shoes_jewelry","evidence_type":"inferred","source_span":"","fact_ids":[],"rationale":"该值由搜索词整体语义推断，未作为页面明示属性。"}]}</x:v>
      </x:c>
      <x:c r="Y1100" s="16" t="str"/>
      <x:c r="Z1100" s="13" t="str">
        <x:v>partial_match</x:v>
      </x:c>
      <x:c r="AA1100" s="16" t="str">
        <x:v>title_womens_flip_flop | colors_visible</x:v>
      </x:c>
      <x:c r="AB1100" s="13" t="str">
        <x:v>accepted</x:v>
      </x:c>
      <x:c r="AC1100" s="13" t="str">
        <x:v>1.0.0</x:v>
      </x:c>
      <x:c r="AD1100" s="13" t="str">
        <x:v>1.1.0</x:v>
      </x:c>
      <x:c r="AE1100" s="13" t="str">
        <x:v>deepseek/deepseek-v4-pro</x:v>
      </x:c>
      <x:c r="AF1100" s="13" t="str">
        <x:v>aj2-y90-20260714T234810-0bea2f52</x:v>
      </x:c>
      <x:c r="AG1100" s="13" t="str">
        <x:v>full-0055</x:v>
      </x:c>
      <x:c r="AH1100" s="13" t="str">
        <x:v>full</x:v>
      </x:c>
      <x:c r="AI1100" s="13" t="n">
        <x:v>55</x:v>
      </x:c>
    </x:row>
    <x:row r="1101" ht="34" customHeight="1">
      <x:c r="A1101" s="15" t="str">
        <x:v>brown beach flip flops women</x:v>
      </x:c>
      <x:c r="B1101" s="15" t="str">
        <x:v>brown beach flip flops women</x:v>
      </x:c>
      <x:c r="C1101" s="10" t="str">
        <x:v>fa4ac9cea793d8b0</x:v>
      </x:c>
      <x:c r="D1101" s="10" t="str">
        <x:v>keyword</x:v>
      </x:c>
      <x:c r="E1101" s="10" t="str">
        <x:v>en</x:v>
      </x:c>
      <x:c r="F1101" s="10" t="str">
        <x:v>clothing_shoes_jewelry</x:v>
      </x:c>
      <x:c r="G1101" s="15" t="str"/>
      <x:c r="H1101" s="15" t="str">
        <x:v>flip_flops</x:v>
      </x:c>
      <x:c r="I1101" s="15" t="str">
        <x:v>women</x:v>
      </x:c>
      <x:c r="J1101" s="15" t="str"/>
      <x:c r="K1101" s="15" t="str"/>
      <x:c r="L1101" s="15" t="str"/>
      <x:c r="M1101" s="15" t="str">
        <x:v>beach</x:v>
      </x:c>
      <x:c r="N1101" s="15" t="str"/>
      <x:c r="O1101" s="15" t="str"/>
      <x:c r="P1101" s="15" t="str"/>
      <x:c r="Q1101" s="15" t="str"/>
      <x:c r="R1101" s="15" t="str">
        <x:v>用户需要棕色沙滩女士人字拖，产品有棕色可选且户外风格适合沙滩穿着。</x:v>
      </x:c>
      <x:c r="S1101" s="10" t="str">
        <x:v>high_intent</x:v>
      </x:c>
      <x:c r="T1101" s="15" t="str">
        <x:v>explicit | page_validated | inferred</x:v>
      </x:c>
      <x:c r="U1101" s="10" t="str">
        <x:v>high</x:v>
      </x:c>
      <x:c r="V1101" s="15" t="str">
        <x:v>womens_brown_beach_flip_flops</x:v>
      </x:c>
      <x:c r="W1101" s="15" t="str">
        <x:v>cluster_route</x:v>
      </x:c>
      <x:c r="X1101" s="15" t="str">
        <x:v>{"product_type":[{"value":"flip_flops","evidence_type":"explicit","source_span":"flip flops","fact_ids":[],"rationale":"Term explicitly states flip flops."},{"value":"flip_flops","evidence_type":"page_validated","source_span":"","fact_ids":["style_flip_flop"],"rationale":"该槽位与商品基准中的明示页面事实一致。"}],"audience_intent":[{"value":"women","evidence_type":"explicit","source_span":"women","fact_ids":[],"rationale":"Term explicitly targets women."},{"value":"women","evidence_type":"page_validated","source_span":"","fact_ids":["title_womens_flip_flop"],"rationale":"该槽位与商品基准中的明示页面事实一致。"}],"location_intent":[{"value":"beach","evidence_type":"explicit","source_span":"beach","fact_ids":[],"rationale":"Term explicitly mentions beach as use location."}],"asin_fit":[{"value":"match","evidence_type":"page_validated","source_span":"","fact_ids":["title_womens_flip_flop","colors_visible","style_outdoor"],"rationale":"Women's flip flop with brown color and outdoor style suitable for beach."}],"primary_domain":[{"value":"clothing_shoes_jewelry","evidence_type":"inferred","source_span":"","fact_ids":[],"rationale":"该值由搜索词整体语义推断，未作为页面明示属性。"}]}</x:v>
      </x:c>
      <x:c r="Y1101" s="15" t="str"/>
      <x:c r="Z1101" s="10" t="str">
        <x:v>match</x:v>
      </x:c>
      <x:c r="AA1101" s="15" t="str">
        <x:v>title_womens_flip_flop | colors_visible | style_outdoor</x:v>
      </x:c>
      <x:c r="AB1101" s="10" t="str">
        <x:v>accepted</x:v>
      </x:c>
      <x:c r="AC1101" s="10" t="str">
        <x:v>1.0.0</x:v>
      </x:c>
      <x:c r="AD1101" s="10" t="str">
        <x:v>1.1.0</x:v>
      </x:c>
      <x:c r="AE1101" s="10" t="str">
        <x:v>deepseek/deepseek-v4-pro</x:v>
      </x:c>
      <x:c r="AF1101" s="10" t="str">
        <x:v>aj2-y90-20260714T234810-0bea2f52</x:v>
      </x:c>
      <x:c r="AG1101" s="10" t="str">
        <x:v>full-0055</x:v>
      </x:c>
      <x:c r="AH1101" s="10" t="str">
        <x:v>full</x:v>
      </x:c>
      <x:c r="AI1101" s="10" t="n">
        <x:v>55</x:v>
      </x:c>
    </x:row>
    <x:row r="1102" ht="34" customHeight="1">
      <x:c r="A1102" s="16" t="str">
        <x:v>high arch support sandals women</x:v>
      </x:c>
      <x:c r="B1102" s="16" t="str">
        <x:v>high arch support sandals women</x:v>
      </x:c>
      <x:c r="C1102" s="13" t="str">
        <x:v>11e767953f403b8d</x:v>
      </x:c>
      <x:c r="D1102" s="13" t="str">
        <x:v>keyword</x:v>
      </x:c>
      <x:c r="E1102" s="13" t="str">
        <x:v>en</x:v>
      </x:c>
      <x:c r="F1102" s="13" t="str">
        <x:v>clothing_shoes_jewelry</x:v>
      </x:c>
      <x:c r="G1102" s="16" t="str"/>
      <x:c r="H1102" s="16" t="str">
        <x:v>sandals</x:v>
      </x:c>
      <x:c r="I1102" s="16" t="str">
        <x:v>womens</x:v>
      </x:c>
      <x:c r="J1102" s="16" t="str">
        <x:v>arch_support</x:v>
      </x:c>
      <x:c r="K1102" s="16" t="str">
        <x:v>high_arch_support</x:v>
      </x:c>
      <x:c r="L1102" s="16" t="str"/>
      <x:c r="M1102" s="16" t="str"/>
      <x:c r="N1102" s="16" t="str">
        <x:v>high_arch</x:v>
      </x:c>
      <x:c r="O1102" s="16" t="str"/>
      <x:c r="P1102" s="16" t="str"/>
      <x:c r="Q1102" s="16" t="str"/>
      <x:c r="R1102" s="16" t="str">
        <x:v>用户寻找女士高足弓支撑凉鞋，可能有高足弓或足弓塌陷的需求。</x:v>
      </x:c>
      <x:c r="S1102" s="13" t="str">
        <x:v>consideration</x:v>
      </x:c>
      <x:c r="T1102" s="16" t="str">
        <x:v>explicit | page_validated</x:v>
      </x:c>
      <x:c r="U1102" s="13" t="str">
        <x:v>medium</x:v>
      </x:c>
      <x:c r="V1102" s="16" t="str">
        <x:v>high_arch_support_sandals_women</x:v>
      </x:c>
      <x:c r="W1102" s="16" t="str">
        <x:v>listing_gap_review</x:v>
      </x:c>
      <x:c r="X1102" s="16" t="str">
        <x:v>{"primary_domain":[{"value":"clothing_shoes_jewelry","evidence_type":"explicit","source_span":"sandals","fact_ids":[],"rationale":"凉鞋属鞋类产品。"}],"product_type":[{"value":"sandals","evidence_type":"explicit","source_span":"sandals","fact_ids":[],"rationale":"搜索词直接指定凉鞋类型。"},{"value":"sandals","evidence_type":"page_validated","source_span":"","fact_ids":["title_womens_flip_flop","style_flip_flop"],"rationale":"夹脚拖鞋属于凉鞋子类。"}],"audience_intent":[{"value":"womens","evidence_type":"explicit","source_span":"women","fact_ids":[],"rationale":"搜索词明确指定女士群体。"},{"value":"womens","evidence_type":"page_validated","source_span":"","fact_ids":["title_womens_flip_flop"],"rationale":"该槽位与商品基准中的明示页面事实一致。"},{"value":"womens","evidence_type":"inferred","source_span":"","fact_ids":[],"rationale":"该能力由搜索词表达的任务或问题推断；页面事实仅用于验证商品承接。"}],"function_intent":[{"value":"arch_support","evidence_type":"explicit","source_span":"arch support","fact_ids":[],"rationale":"搜索词明确要求足弓支撑。"},{"value":"arch_support","evidence_type":"page_validated","source_span":"","fact_ids":["arch_support"],"rationale":"该槽位与商品基准中的明示页面事实一致。"}],"capability_intent":[{"value":"high_arch_support","evidence_type":"explicit","source_span":"high arch support","fact_ids":[],"rationale":"搜索词直接指定高足弓支撑。"},{"value":"high_arch_support","evidence_type":"page_validated","source_span":"","fact_ids":["arch_support"],"rationale":"产品页声明人体工学足弓支撑，但未明确high级别。"}],"body_need_intent":[{"value":"high_arch","evidence_type":"explicit","source_span":"high arch","fact_ids":[],"rationale":"高足弓为特定足部特征需求。"}],"intent_cluster":[{"value":"high_arch_support_sandals_women","evidence_type":"inferred","source_span":"","fact_ids":[],"rationale":"核心语义为女士高足弓支撑凉鞋。"}]}</x:v>
      </x:c>
      <x:c r="Y1102" s="16" t="str">
        <x:v>degree_ambiguity</x:v>
      </x:c>
      <x:c r="Z1102" s="13" t="str">
        <x:v>partial_match</x:v>
      </x:c>
      <x:c r="AA1102" s="16" t="str">
        <x:v>arch_support | title_womens_flip_flop</x:v>
      </x:c>
      <x:c r="AB1102" s="13" t="str">
        <x:v>accepted</x:v>
      </x:c>
      <x:c r="AC1102" s="13" t="str">
        <x:v>1.0.0</x:v>
      </x:c>
      <x:c r="AD1102" s="13" t="str">
        <x:v>1.1.0</x:v>
      </x:c>
      <x:c r="AE1102" s="13" t="str">
        <x:v>deepseek/deepseek-v4-pro</x:v>
      </x:c>
      <x:c r="AF1102" s="13" t="str">
        <x:v>aj2-y90-20260714T234810-0bea2f52</x:v>
      </x:c>
      <x:c r="AG1102" s="13" t="str">
        <x:v>full-0056</x:v>
      </x:c>
      <x:c r="AH1102" s="13" t="str">
        <x:v>full</x:v>
      </x:c>
      <x:c r="AI1102" s="13" t="n">
        <x:v>56</x:v>
      </x:c>
    </x:row>
    <x:row r="1103" ht="34" customHeight="1">
      <x:c r="A1103" s="15" t="str">
        <x:v>flip flips women's light blue</x:v>
      </x:c>
      <x:c r="B1103" s="15" t="str">
        <x:v>flip flips women's light blue</x:v>
      </x:c>
      <x:c r="C1103" s="10" t="str">
        <x:v>14839d5dfe549c47</x:v>
      </x:c>
      <x:c r="D1103" s="10" t="str">
        <x:v>keyword</x:v>
      </x:c>
      <x:c r="E1103" s="10" t="str">
        <x:v>en</x:v>
      </x:c>
      <x:c r="F1103" s="10" t="str">
        <x:v>clothing_shoes_jewelry</x:v>
      </x:c>
      <x:c r="G1103" s="15" t="str"/>
      <x:c r="H1103" s="15" t="str">
        <x:v>flip_flops</x:v>
      </x:c>
      <x:c r="I1103" s="15" t="str">
        <x:v>womens</x:v>
      </x:c>
      <x:c r="J1103" s="15" t="str"/>
      <x:c r="K1103" s="15" t="str"/>
      <x:c r="L1103" s="15" t="str"/>
      <x:c r="M1103" s="15" t="str"/>
      <x:c r="N1103" s="15" t="str"/>
      <x:c r="O1103" s="15" t="str"/>
      <x:c r="P1103" s="15" t="str"/>
      <x:c r="Q1103" s="15" t="str"/>
      <x:c r="R1103" s="15" t="str">
        <x:v>用户寻找女士浅蓝色夹脚拖鞋，输入flips为flops拼写变体。</x:v>
      </x:c>
      <x:c r="S1103" s="10" t="str">
        <x:v>consideration</x:v>
      </x:c>
      <x:c r="T1103" s="15" t="str">
        <x:v>explicit | page_validated | inferred</x:v>
      </x:c>
      <x:c r="U1103" s="10" t="str">
        <x:v>medium</x:v>
      </x:c>
      <x:c r="V1103" s="15" t="str">
        <x:v>womens_light_blue_flip_flops</x:v>
      </x:c>
      <x:c r="W1103" s="15" t="str">
        <x:v>cluster_route</x:v>
      </x:c>
      <x:c r="X1103" s="15" t="str">
        <x:v>{"primary_domain":[{"value":"clothing_shoes_jewelry","evidence_type":"explicit","source_span":"flip flips","fact_ids":[],"rationale":"flip flips推断为flip flops拼写变体，属鞋类。"}],"product_type":[{"value":"flip_flops","evidence_type":"page_validated","source_span":"","fact_ids":["title_womens_flip_flop","style_flip_flop"],"rationale":"产品页确认为夹脚拖鞋。"},{"value":"flip_flops","evidence_type":"inferred","source_span":"","fact_ids":[],"rationale":"该能力由搜索词表达的任务或问题推断；页面事实仅用于验证商品承接。"}],"audience_intent":[{"value":"womens","evidence_type":"explicit","source_span":"women’s","fact_ids":[],"rationale":"搜索词明确指定女士群体。"},{"value":"womens","evidence_type":"page_validated","source_span":"","fact_ids":["title_womens_flip_flop"],"rationale":"该槽位与商品基准中的明示页面事实一致。"},{"value":"womens","evidence_type":"inferred","source_span":"","fact_ids":[],"rationale":"该能力由搜索词表达的任务或问题推断；页面事实仅用于验证商品承接。"}],"intent_cluster":[{"value":"womens_light_blue_flip_flops","evidence_type":"inferred","source_span":"","fact_ids":[],"rationale":"核心语义为浅蓝色女士夹脚拖鞋。"}]}</x:v>
      </x:c>
      <x:c r="Y1103" s="15" t="str">
        <x:v>spelling_variant</x:v>
      </x:c>
      <x:c r="Z1103" s="10" t="str">
        <x:v>match</x:v>
      </x:c>
      <x:c r="AA1103" s="15" t="str">
        <x:v>title_womens_flip_flop | colors_visible</x:v>
      </x:c>
      <x:c r="AB1103" s="10" t="str">
        <x:v>accepted</x:v>
      </x:c>
      <x:c r="AC1103" s="10" t="str">
        <x:v>1.0.0</x:v>
      </x:c>
      <x:c r="AD1103" s="10" t="str">
        <x:v>1.1.0</x:v>
      </x:c>
      <x:c r="AE1103" s="10" t="str">
        <x:v>deepseek/deepseek-v4-pro</x:v>
      </x:c>
      <x:c r="AF1103" s="10" t="str">
        <x:v>aj2-y90-20260714T234810-0bea2f52</x:v>
      </x:c>
      <x:c r="AG1103" s="10" t="str">
        <x:v>full-0056</x:v>
      </x:c>
      <x:c r="AH1103" s="10" t="str">
        <x:v>full</x:v>
      </x:c>
      <x:c r="AI1103" s="10" t="n">
        <x:v>56</x:v>
      </x:c>
    </x:row>
    <x:row r="1104" ht="34" customHeight="1">
      <x:c r="A1104" s="16" t="str">
        <x:v>blue flip flop sandals women</x:v>
      </x:c>
      <x:c r="B1104" s="16" t="str">
        <x:v>blue flip flop sandals women</x:v>
      </x:c>
      <x:c r="C1104" s="13" t="str">
        <x:v>1a087b93ad8eccf2</x:v>
      </x:c>
      <x:c r="D1104" s="13" t="str">
        <x:v>keyword</x:v>
      </x:c>
      <x:c r="E1104" s="13" t="str">
        <x:v>en</x:v>
      </x:c>
      <x:c r="F1104" s="13" t="str">
        <x:v>clothing_shoes_jewelry</x:v>
      </x:c>
      <x:c r="G1104" s="16" t="str"/>
      <x:c r="H1104" s="16" t="str">
        <x:v>flip_flops | sandals</x:v>
      </x:c>
      <x:c r="I1104" s="16" t="str">
        <x:v>womens</x:v>
      </x:c>
      <x:c r="J1104" s="16" t="str"/>
      <x:c r="K1104" s="16" t="str"/>
      <x:c r="L1104" s="16" t="str"/>
      <x:c r="M1104" s="16" t="str"/>
      <x:c r="N1104" s="16" t="str"/>
      <x:c r="O1104" s="16" t="str"/>
      <x:c r="P1104" s="16" t="str"/>
      <x:c r="Q1104" s="16" t="str"/>
      <x:c r="R1104" s="16" t="str">
        <x:v>用户寻找蓝色女士夹脚拖鞋或凉鞋。</x:v>
      </x:c>
      <x:c r="S1104" s="13" t="str">
        <x:v>consideration</x:v>
      </x:c>
      <x:c r="T1104" s="16" t="str">
        <x:v>explicit | page_validated</x:v>
      </x:c>
      <x:c r="U1104" s="13" t="str">
        <x:v>high</x:v>
      </x:c>
      <x:c r="V1104" s="16" t="str">
        <x:v>blue_womens_flip_flop_sandals</x:v>
      </x:c>
      <x:c r="W1104" s="16" t="str">
        <x:v>cluster_route</x:v>
      </x:c>
      <x:c r="X1104" s="16" t="str">
        <x:v>{"primary_domain":[{"value":"clothing_shoes_jewelry","evidence_type":"explicit","source_span":"sandals","fact_ids":[],"rationale":"凉鞋属鞋类产品。"}],"product_type":[{"value":"flip_flops","evidence_type":"explicit","source_span":"flip flop","fact_ids":[],"rationale":"搜索词直接指定夹脚拖鞋。"},{"value":"sandals","evidence_type":"explicit","source_span":"sandals","fact_ids":[],"rationale":"搜索词同时指定凉鞋。"},{"value":"flip_flops","evidence_type":"page_validated","source_span":"","fact_ids":["title_womens_flip_flop","style_flip_flop"],"rationale":"产品页确认为夹脚拖鞋。"},{"value":"flip_flops","evidence_type":"inferred","source_span":"","fact_ids":[],"rationale":"该能力由搜索词表达的任务或问题推断；页面事实仅用于验证商品承接。"},{"value":"sandals","evidence_type":"page_validated","source_span":"","fact_ids":["title_womens_flip_flop"],"rationale":"该槽位与商品基准中的明示页面事实一致。"}],"audience_intent":[{"value":"womens","evidence_type":"explicit","source_span":"women","fact_ids":[],"rationale":"搜索词明确指定女士群体。"},{"value":"womens","evidence_type":"page_validated","source_span":"","fact_ids":["title_womens_flip_flop"],"rationale":"该槽位与商品基准中的明示页面事实一致。"},{"value":"womens","evidence_type":"inferred","source_span":"","fact_ids":[],"rationale":"该能力由搜索词表达的任务或问题推断；页面事实仅用于验证商品承接。"}],"intent_cluster":[{"value":"blue_womens_flip_flop_sandals","evidence_type":"inferred","source_span":"","fact_ids":[],"rationale":"核心语义为蓝色女士夹脚拖鞋。"}]}</x:v>
      </x:c>
      <x:c r="Y1104" s="16" t="str"/>
      <x:c r="Z1104" s="13" t="str">
        <x:v>match</x:v>
      </x:c>
      <x:c r="AA1104" s="16" t="str">
        <x:v>title_womens_flip_flop | colors_visible</x:v>
      </x:c>
      <x:c r="AB1104" s="13" t="str">
        <x:v>accepted</x:v>
      </x:c>
      <x:c r="AC1104" s="13" t="str">
        <x:v>1.0.0</x:v>
      </x:c>
      <x:c r="AD1104" s="13" t="str">
        <x:v>1.1.0</x:v>
      </x:c>
      <x:c r="AE1104" s="13" t="str">
        <x:v>deepseek/deepseek-v4-pro</x:v>
      </x:c>
      <x:c r="AF1104" s="13" t="str">
        <x:v>aj2-y90-20260714T234810-0bea2f52</x:v>
      </x:c>
      <x:c r="AG1104" s="13" t="str">
        <x:v>full-0056</x:v>
      </x:c>
      <x:c r="AH1104" s="13" t="str">
        <x:v>full</x:v>
      </x:c>
      <x:c r="AI1104" s="13" t="n">
        <x:v>56</x:v>
      </x:c>
    </x:row>
    <x:row r="1105" ht="34" customHeight="1">
      <x:c r="A1105" s="15" t="str">
        <x:v>shower flip flops</x:v>
      </x:c>
      <x:c r="B1105" s="15" t="str">
        <x:v>shower flip flops</x:v>
      </x:c>
      <x:c r="C1105" s="10" t="str">
        <x:v>2683313fb198cb24</x:v>
      </x:c>
      <x:c r="D1105" s="10" t="str">
        <x:v>keyword</x:v>
      </x:c>
      <x:c r="E1105" s="10" t="str">
        <x:v>en</x:v>
      </x:c>
      <x:c r="F1105" s="10" t="str">
        <x:v>clothing_shoes_jewelry</x:v>
      </x:c>
      <x:c r="G1105" s="15" t="str">
        <x:v>home_kitchen</x:v>
      </x:c>
      <x:c r="H1105" s="15" t="str">
        <x:v>flip_flops</x:v>
      </x:c>
      <x:c r="I1105" s="15" t="str"/>
      <x:c r="J1105" s="15" t="str">
        <x:v>shower_use</x:v>
      </x:c>
      <x:c r="K1105" s="15" t="str">
        <x:v>non_slip</x:v>
      </x:c>
      <x:c r="L1105" s="15" t="str"/>
      <x:c r="M1105" s="15" t="str">
        <x:v>shower</x:v>
      </x:c>
      <x:c r="N1105" s="15" t="str"/>
      <x:c r="O1105" s="15" t="str"/>
      <x:c r="P1105" s="15" t="str"/>
      <x:c r="Q1105" s="15" t="str"/>
      <x:c r="R1105" s="15" t="str">
        <x:v>用户在淋浴时穿着夹脚拖鞋，需要鞋底防滑且能接触水。</x:v>
      </x:c>
      <x:c r="S1105" s="10" t="str">
        <x:v>consideration</x:v>
      </x:c>
      <x:c r="T1105" s="15" t="str">
        <x:v>explicit | page_validated | inferred</x:v>
      </x:c>
      <x:c r="U1105" s="10" t="str">
        <x:v>medium</x:v>
      </x:c>
      <x:c r="V1105" s="15" t="str">
        <x:v>shower_flip_flops</x:v>
      </x:c>
      <x:c r="W1105" s="15" t="str">
        <x:v>listing_gap_review</x:v>
      </x:c>
      <x:c r="X1105" s="15" t="str">
        <x:v>{"primary_domain":[{"value":"clothing_shoes_jewelry","evidence_type":"explicit","source_span":"flip flops","fact_ids":[],"rationale":"夹脚拖鞋属鞋类产品。"}],"secondary_domain":[{"value":"home_kitchen","evidence_type":"inferred","source_span":"shower","fact_ids":[],"rationale":"淋浴场景属于浴室/居家领域。"}],"product_type":[{"value":"flip_flops","evidence_type":"explicit","source_span":"flip flops","fact_ids":[],"rationale":"搜索词直接指定产品类型。"},{"value":"flip_flops","evidence_type":"page_validated","source_span":"","fact_ids":["style_flip_flop"],"rationale":"该槽位与商品基准中的明示页面事实一致。"}],"function_intent":[{"value":"shower_use","evidence_type":"inferred","source_span":"shower","fact_ids":[],"rationale":"shower表明淋浴场景使用需求。"}],"capability_intent":[{"value":"non_slip","evidence_type":"page_validated","source_span":"","fact_ids":["slip_resistant_grip"],"rationale":"产品有防滑纹理外底。"},{"value":"non_slip","evidence_type":"inferred","source_span":"","fact_ids":[],"rationale":"该能力由搜索词表达的任务或问题推断；页面事实仅用于验证商品承接。"}],"location_intent":[{"value":"shower","evidence_type":"explicit","source_span":"shower","fact_ids":[],"rationale":"搜索词直接指定使用地点。"}],"intent_cluster":[{"value":"shower_flip_flops","evidence_type":"inferred","source_span":"","fact_ids":[],"rationale":"核心语义为淋浴用夹脚拖鞋。"}]}</x:v>
      </x:c>
      <x:c r="Y1105" s="15" t="str"/>
      <x:c r="Z1105" s="10" t="str">
        <x:v>partial_match</x:v>
      </x:c>
      <x:c r="AA1105" s="15" t="str">
        <x:v>slip_resistant_grip | easy_clean</x:v>
      </x:c>
      <x:c r="AB1105" s="10" t="str">
        <x:v>accepted</x:v>
      </x:c>
      <x:c r="AC1105" s="10" t="str">
        <x:v>1.0.0</x:v>
      </x:c>
      <x:c r="AD1105" s="10" t="str">
        <x:v>1.1.0</x:v>
      </x:c>
      <x:c r="AE1105" s="10" t="str">
        <x:v>deepseek/deepseek-v4-pro</x:v>
      </x:c>
      <x:c r="AF1105" s="10" t="str">
        <x:v>aj2-y90-20260714T234810-0bea2f52</x:v>
      </x:c>
      <x:c r="AG1105" s="10" t="str">
        <x:v>full-0056</x:v>
      </x:c>
      <x:c r="AH1105" s="10" t="str">
        <x:v>full</x:v>
      </x:c>
      <x:c r="AI1105" s="10" t="n">
        <x:v>56</x:v>
      </x:c>
    </x:row>
    <x:row r="1106" ht="34" customHeight="1">
      <x:c r="A1106" s="16" t="str">
        <x:v>light blue beach sandals size 8 on sale overnight delivery</x:v>
      </x:c>
      <x:c r="B1106" s="16" t="str">
        <x:v>light blue beach sandals size 8 on sale overnight delivery</x:v>
      </x:c>
      <x:c r="C1106" s="13" t="str">
        <x:v>3a7509c9fa447611</x:v>
      </x:c>
      <x:c r="D1106" s="13" t="str">
        <x:v>keyword</x:v>
      </x:c>
      <x:c r="E1106" s="13" t="str">
        <x:v>en</x:v>
      </x:c>
      <x:c r="F1106" s="13" t="str">
        <x:v>clothing_shoes_jewelry</x:v>
      </x:c>
      <x:c r="G1106" s="16" t="str">
        <x:v>sports_outdoors</x:v>
      </x:c>
      <x:c r="H1106" s="16" t="str">
        <x:v>sandals</x:v>
      </x:c>
      <x:c r="I1106" s="16" t="str"/>
      <x:c r="J1106" s="16" t="str">
        <x:v>beach_wear</x:v>
      </x:c>
      <x:c r="K1106" s="16" t="str"/>
      <x:c r="L1106" s="16" t="str">
        <x:v>beach</x:v>
      </x:c>
      <x:c r="M1106" s="16" t="str">
        <x:v>beach</x:v>
      </x:c>
      <x:c r="N1106" s="16" t="str"/>
      <x:c r="O1106" s="16" t="str"/>
      <x:c r="P1106" s="16" t="str"/>
      <x:c r="Q1106" s="16" t="str"/>
      <x:c r="R1106" s="16" t="str">
        <x:v>用户需要浅蓝色海滩凉鞋8码，要求促销且隔夜配送。</x:v>
      </x:c>
      <x:c r="S1106" s="13" t="str">
        <x:v>high_intent</x:v>
      </x:c>
      <x:c r="T1106" s="16" t="str">
        <x:v>explicit | page_validated</x:v>
      </x:c>
      <x:c r="U1106" s="13" t="str">
        <x:v>medium</x:v>
      </x:c>
      <x:c r="V1106" s="16" t="str">
        <x:v>light_blue_beach_sandals_size8</x:v>
      </x:c>
      <x:c r="W1106" s="16" t="str">
        <x:v>listing_gap_review</x:v>
      </x:c>
      <x:c r="X1106" s="16" t="str">
        <x:v>{"primary_domain":[{"value":"clothing_shoes_jewelry","evidence_type":"explicit","source_span":"sandals","fact_ids":[],"rationale":"凉鞋属鞋类产品。"}],"secondary_domain":[{"value":"sports_outdoors","evidence_type":"inferred","source_span":"beach","fact_ids":[],"rationale":"海滩活动属于户外运动领域。"}],"product_type":[{"value":"sandals","evidence_type":"explicit","source_span":"sandals","fact_ids":[],"rationale":"搜索词直接指定凉鞋类型。"},{"value":"sandals","evidence_type":"page_validated","source_span":"","fact_ids":["title_womens_flip_flop","style_flip_flop"],"rationale":"夹脚拖鞋属于凉鞋子类，产品页确认为拖鞋。"}],"function_intent":[{"value":"beach_wear","evidence_type":"inferred","source_span":"beach","fact_ids":[],"rationale":"beach表明海滩穿着需求。"}],"event_intent":[{"value":"beach","evidence_type":"explicit","source_span":"beach","fact_ids":[],"rationale":"搜索词直接指定海滩场景。"}],"location_intent":[{"value":"beach","evidence_type":"explicit","source_span":"beach","fact_ids":[],"rationale":"搜索词直接指定海滩地点。"}],"intent_cluster":[{"value":"light_blue_beach_sandals_size8","evidence_type":"inferred","source_span":"","fact_ids":[],"rationale":"核心语义为浅蓝色海滩凉鞋8码。"}]}</x:v>
      </x:c>
      <x:c r="Y1106" s="16" t="str"/>
      <x:c r="Z1106" s="13" t="str">
        <x:v>partial_match</x:v>
      </x:c>
      <x:c r="AA1106" s="16" t="str">
        <x:v>colors_visible | sizes_6_11 | style_outdoor</x:v>
      </x:c>
      <x:c r="AB1106" s="13" t="str">
        <x:v>accepted</x:v>
      </x:c>
      <x:c r="AC1106" s="13" t="str">
        <x:v>1.0.0</x:v>
      </x:c>
      <x:c r="AD1106" s="13" t="str">
        <x:v>1.1.0</x:v>
      </x:c>
      <x:c r="AE1106" s="13" t="str">
        <x:v>deepseek/deepseek-v4-pro</x:v>
      </x:c>
      <x:c r="AF1106" s="13" t="str">
        <x:v>aj2-y90-20260714T234810-0bea2f52</x:v>
      </x:c>
      <x:c r="AG1106" s="13" t="str">
        <x:v>full-0056</x:v>
      </x:c>
      <x:c r="AH1106" s="13" t="str">
        <x:v>full</x:v>
      </x:c>
      <x:c r="AI1106" s="13" t="n">
        <x:v>56</x:v>
      </x:c>
    </x:row>
    <x:row r="1107" ht="34" customHeight="1">
      <x:c r="A1107" s="15" t="str">
        <x:v>women quick dry flip flops</x:v>
      </x:c>
      <x:c r="B1107" s="15" t="str">
        <x:v>women quick dry flip flops</x:v>
      </x:c>
      <x:c r="C1107" s="10" t="str">
        <x:v>44f3f6b250743ec8</x:v>
      </x:c>
      <x:c r="D1107" s="10" t="str">
        <x:v>keyword</x:v>
      </x:c>
      <x:c r="E1107" s="10" t="str">
        <x:v>en</x:v>
      </x:c>
      <x:c r="F1107" s="10" t="str">
        <x:v>clothing_shoes_jewelry</x:v>
      </x:c>
      <x:c r="G1107" s="15" t="str"/>
      <x:c r="H1107" s="15" t="str">
        <x:v>flip_flops</x:v>
      </x:c>
      <x:c r="I1107" s="15" t="str">
        <x:v>womens</x:v>
      </x:c>
      <x:c r="J1107" s="15" t="str">
        <x:v>quick_dry</x:v>
      </x:c>
      <x:c r="K1107" s="15" t="str">
        <x:v>quick_dry</x:v>
      </x:c>
      <x:c r="L1107" s="15" t="str"/>
      <x:c r="M1107" s="15" t="str"/>
      <x:c r="N1107" s="15" t="str"/>
      <x:c r="O1107" s="15" t="str"/>
      <x:c r="P1107" s="15" t="str"/>
      <x:c r="Q1107" s="15" t="str"/>
      <x:c r="R1107" s="15" t="str">
        <x:v>用户寻找女士速干夹脚拖鞋，适合涉水或潮湿环境穿着。</x:v>
      </x:c>
      <x:c r="S1107" s="10" t="str">
        <x:v>consideration</x:v>
      </x:c>
      <x:c r="T1107" s="15" t="str">
        <x:v>explicit</x:v>
      </x:c>
      <x:c r="U1107" s="10" t="str">
        <x:v>medium</x:v>
      </x:c>
      <x:c r="V1107" s="15" t="str">
        <x:v>quick_dry_womens_flip_flops</x:v>
      </x:c>
      <x:c r="W1107" s="15" t="str">
        <x:v>listing_gap_review</x:v>
      </x:c>
      <x:c r="X1107" s="15" t="str">
        <x:v>{"primary_domain":[{"value":"clothing_shoes_jewelry","evidence_type":"explicit","source_span":"flip flops","fact_ids":[],"rationale":"夹脚拖鞋属鞋类产品。"}],"product_type":[{"value":"flip_flops","evidence_type":"explicit","source_span":"flip flops","fact_ids":[],"rationale":"搜索词直接指定产品类型。"},{"value":"flip_flops","evidence_type":"page_validated","source_span":"","fact_ids":["style_flip_flop"],"rationale":"产品页确认为夹脚拖鞋。"}],"audience_intent":[{"value":"womens","evidence_type":"explicit","source_span":"women","fact_ids":[],"rationale":"搜索词明确指定女士群体。"},{"value":"womens","evidence_type":"page_validated","source_span":"","fact_ids":["title_womens_flip_flop"],"rationale":"该槽位与商品基准中的明示页面事实一致。"},{"value":"womens","evidence_type":"inferred","source_span":"","fact_ids":[],"rationale":"该能力由搜索词表达的任务或问题推断；页面事实仅用于验证商品承接。"}],"function_intent":[{"value":"quick_dry","evidence_type":"explicit","source_span":"quick dry","fact_ids":[],"rationale":"搜索词直接要求速干功能。"}],"capability_intent":[{"value":"quick_dry","evidence_type":"explicit","source_span":"quick dry","fact_ids":[],"rationale":"搜索词直接指定速干能力。"}],"intent_cluster":[{"value":"quick_dry_womens_flip_flops","evidence_type":"inferred","source_span":"","fact_ids":[],"rationale":"核心语义为女士速干夹脚拖鞋。"}]}</x:v>
      </x:c>
      <x:c r="Y1107" s="15" t="str"/>
      <x:c r="Z1107" s="10" t="str">
        <x:v>partial_match</x:v>
      </x:c>
      <x:c r="AA1107" s="15" t="str">
        <x:v>title_womens_flip_flop | style_flip_flop</x:v>
      </x:c>
      <x:c r="AB1107" s="10" t="str">
        <x:v>accepted</x:v>
      </x:c>
      <x:c r="AC1107" s="10" t="str">
        <x:v>1.0.0</x:v>
      </x:c>
      <x:c r="AD1107" s="10" t="str">
        <x:v>1.1.0</x:v>
      </x:c>
      <x:c r="AE1107" s="10" t="str">
        <x:v>deepseek/deepseek-v4-pro</x:v>
      </x:c>
      <x:c r="AF1107" s="10" t="str">
        <x:v>aj2-y90-20260714T234810-0bea2f52</x:v>
      </x:c>
      <x:c r="AG1107" s="10" t="str">
        <x:v>full-0056</x:v>
      </x:c>
      <x:c r="AH1107" s="10" t="str">
        <x:v>full</x:v>
      </x:c>
      <x:c r="AI1107" s="10" t="n">
        <x:v>56</x:v>
      </x:c>
    </x:row>
    <x:row r="1108" ht="34" customHeight="1">
      <x:c r="A1108" s="16" t="str">
        <x:v>silver metallic womens flip flops</x:v>
      </x:c>
      <x:c r="B1108" s="16" t="str">
        <x:v>silver metallic womens flip flops</x:v>
      </x:c>
      <x:c r="C1108" s="13" t="str">
        <x:v>44fa044ffb1c9266</x:v>
      </x:c>
      <x:c r="D1108" s="13" t="str">
        <x:v>keyword</x:v>
      </x:c>
      <x:c r="E1108" s="13" t="str">
        <x:v>en</x:v>
      </x:c>
      <x:c r="F1108" s="13" t="str">
        <x:v>clothing_shoes_jewelry</x:v>
      </x:c>
      <x:c r="G1108" s="16" t="str"/>
      <x:c r="H1108" s="16" t="str">
        <x:v>flip_flops</x:v>
      </x:c>
      <x:c r="I1108" s="16" t="str">
        <x:v>womens</x:v>
      </x:c>
      <x:c r="J1108" s="16" t="str"/>
      <x:c r="K1108" s="16" t="str"/>
      <x:c r="L1108" s="16" t="str"/>
      <x:c r="M1108" s="16" t="str"/>
      <x:c r="N1108" s="16" t="str"/>
      <x:c r="O1108" s="16" t="str"/>
      <x:c r="P1108" s="16" t="str"/>
      <x:c r="Q1108" s="16" t="str"/>
      <x:c r="R1108" s="16" t="str">
        <x:v>用户寻找银色金属质感的女士夹脚拖鞋。</x:v>
      </x:c>
      <x:c r="S1108" s="13" t="str">
        <x:v>consideration</x:v>
      </x:c>
      <x:c r="T1108" s="16" t="str">
        <x:v>explicit | page_validated</x:v>
      </x:c>
      <x:c r="U1108" s="13" t="str">
        <x:v>medium</x:v>
      </x:c>
      <x:c r="V1108" s="16" t="str">
        <x:v>silver_metallic_womens_flip_flops</x:v>
      </x:c>
      <x:c r="W1108" s="16" t="str">
        <x:v>listing_gap_review</x:v>
      </x:c>
      <x:c r="X1108" s="16" t="str">
        <x:v>{"primary_domain":[{"value":"clothing_shoes_jewelry","evidence_type":"explicit","source_span":"flip flops","fact_ids":[],"rationale":"夹脚拖鞋属鞋类产品。"}],"product_type":[{"value":"flip_flops","evidence_type":"explicit","source_span":"flip flops","fact_ids":[],"rationale":"搜索词直接指定产品类型。"},{"value":"flip_flops","evidence_type":"page_validated","source_span":"","fact_ids":["title_womens_flip_flop","style_flip_flop"],"rationale":"产品页确认为夹脚拖鞋。"}],"audience_intent":[{"value":"womens","evidence_type":"explicit","source_span":"womens","fact_ids":[],"rationale":"搜索词明确指定女士群体。"},{"value":"womens","evidence_type":"page_validated","source_span":"","fact_ids":["title_womens_flip_flop"],"rationale":"该槽位与商品基准中的明示页面事实一致。"}],"intent_cluster":[{"value":"silver_metallic_womens_flip_flops","evidence_type":"inferred","source_span":"","fact_ids":[],"rationale":"核心语义为银色金属女士夹脚拖鞋。"}]}</x:v>
      </x:c>
      <x:c r="Y1108" s="16" t="str"/>
      <x:c r="Z1108" s="13" t="str">
        <x:v>partial_match</x:v>
      </x:c>
      <x:c r="AA1108" s="16" t="str">
        <x:v>title_womens_flip_flop</x:v>
      </x:c>
      <x:c r="AB1108" s="13" t="str">
        <x:v>accepted</x:v>
      </x:c>
      <x:c r="AC1108" s="13" t="str">
        <x:v>1.0.0</x:v>
      </x:c>
      <x:c r="AD1108" s="13" t="str">
        <x:v>1.1.0</x:v>
      </x:c>
      <x:c r="AE1108" s="13" t="str">
        <x:v>deepseek/deepseek-v4-pro</x:v>
      </x:c>
      <x:c r="AF1108" s="13" t="str">
        <x:v>aj2-y90-20260714T234810-0bea2f52</x:v>
      </x:c>
      <x:c r="AG1108" s="13" t="str">
        <x:v>full-0056</x:v>
      </x:c>
      <x:c r="AH1108" s="13" t="str">
        <x:v>full</x:v>
      </x:c>
      <x:c r="AI1108" s="13" t="n">
        <x:v>56</x:v>
      </x:c>
    </x:row>
    <x:row r="1109" ht="34" customHeight="1">
      <x:c r="A1109" s="15" t="str">
        <x:v>flipflops for beach</x:v>
      </x:c>
      <x:c r="B1109" s="15" t="str">
        <x:v>flipflops for beach</x:v>
      </x:c>
      <x:c r="C1109" s="10" t="str">
        <x:v>51ca92665a4c080a</x:v>
      </x:c>
      <x:c r="D1109" s="10" t="str">
        <x:v>keyword</x:v>
      </x:c>
      <x:c r="E1109" s="10" t="str">
        <x:v>en</x:v>
      </x:c>
      <x:c r="F1109" s="10" t="str">
        <x:v>clothing_shoes_jewelry</x:v>
      </x:c>
      <x:c r="G1109" s="15" t="str">
        <x:v>sports_outdoors</x:v>
      </x:c>
      <x:c r="H1109" s="15" t="str">
        <x:v>flip_flops</x:v>
      </x:c>
      <x:c r="I1109" s="15" t="str"/>
      <x:c r="J1109" s="15" t="str">
        <x:v>beach_wear</x:v>
      </x:c>
      <x:c r="K1109" s="15" t="str"/>
      <x:c r="L1109" s="15" t="str">
        <x:v>beach</x:v>
      </x:c>
      <x:c r="M1109" s="15" t="str">
        <x:v>beach</x:v>
      </x:c>
      <x:c r="N1109" s="15" t="str"/>
      <x:c r="O1109" s="15" t="str"/>
      <x:c r="P1109" s="15" t="str"/>
      <x:c r="Q1109" s="15" t="str"/>
      <x:c r="R1109" s="15" t="str">
        <x:v>用户寻找适合海滩穿着的夹脚拖鞋。</x:v>
      </x:c>
      <x:c r="S1109" s="10" t="str">
        <x:v>exploration</x:v>
      </x:c>
      <x:c r="T1109" s="15" t="str">
        <x:v>explicit | page_validated</x:v>
      </x:c>
      <x:c r="U1109" s="10" t="str">
        <x:v>high</x:v>
      </x:c>
      <x:c r="V1109" s="15" t="str">
        <x:v>beach_flip_flops</x:v>
      </x:c>
      <x:c r="W1109" s="15" t="str">
        <x:v>cluster_route</x:v>
      </x:c>
      <x:c r="X1109" s="15" t="str">
        <x:v>{"primary_domain":[{"value":"clothing_shoes_jewelry","evidence_type":"explicit","source_span":"flipflops","fact_ids":[],"rationale":"夹脚拖鞋属鞋类产品。"}],"secondary_domain":[{"value":"sports_outdoors","evidence_type":"inferred","source_span":"beach","fact_ids":[],"rationale":"海滩活动属于户外运动领域。"}],"product_type":[{"value":"flip_flops","evidence_type":"explicit","source_span":"flipflops","fact_ids":[],"rationale":"搜索词直接指定产品类型。"},{"value":"flip_flops","evidence_type":"page_validated","source_span":"","fact_ids":["style_flip_flop"],"rationale":"产品页确认为夹脚拖鞋。"},{"value":"flip_flops","evidence_type":"inferred","source_span":"","fact_ids":[],"rationale":"该能力由搜索词表达的任务或问题推断；页面事实仅用于验证商品承接。"}],"function_intent":[{"value":"beach_wear","evidence_type":"inferred","source_span":"beach","fact_ids":[],"rationale":"beach表明海滩穿着需求。"}],"event_intent":[{"value":"beach","evidence_type":"explicit","source_span":"beach","fact_ids":[],"rationale":"搜索词直接指定海滩场景。"}],"location_intent":[{"value":"beach","evidence_type":"explicit","source_span":"beach","fact_ids":[],"rationale":"搜索词直接指定海滩地点。"}],"intent_cluster":[{"value":"beach_flip_flops","evidence_type":"inferred","source_span":"","fact_ids":[],"rationale":"核心语义为海滩夹脚拖鞋。"}]}</x:v>
      </x:c>
      <x:c r="Y1109" s="15" t="str"/>
      <x:c r="Z1109" s="10" t="str">
        <x:v>match</x:v>
      </x:c>
      <x:c r="AA1109" s="15" t="str">
        <x:v>style_flip_flop | style_outdoor</x:v>
      </x:c>
      <x:c r="AB1109" s="10" t="str">
        <x:v>accepted</x:v>
      </x:c>
      <x:c r="AC1109" s="10" t="str">
        <x:v>1.0.0</x:v>
      </x:c>
      <x:c r="AD1109" s="10" t="str">
        <x:v>1.1.0</x:v>
      </x:c>
      <x:c r="AE1109" s="10" t="str">
        <x:v>deepseek/deepseek-v4-pro</x:v>
      </x:c>
      <x:c r="AF1109" s="10" t="str">
        <x:v>aj2-y90-20260714T234810-0bea2f52</x:v>
      </x:c>
      <x:c r="AG1109" s="10" t="str">
        <x:v>full-0056</x:v>
      </x:c>
      <x:c r="AH1109" s="10" t="str">
        <x:v>full</x:v>
      </x:c>
      <x:c r="AI1109" s="10" t="n">
        <x:v>56</x:v>
      </x:c>
    </x:row>
    <x:row r="1110" ht="34" customHeight="1">
      <x:c r="A1110" s="16" t="str">
        <x:v>plain black flip flops for women</x:v>
      </x:c>
      <x:c r="B1110" s="16" t="str">
        <x:v>plain black flip flops for women</x:v>
      </x:c>
      <x:c r="C1110" s="13" t="str">
        <x:v>5a9734f8d25bdf4a</x:v>
      </x:c>
      <x:c r="D1110" s="13" t="str">
        <x:v>keyword</x:v>
      </x:c>
      <x:c r="E1110" s="13" t="str">
        <x:v>en</x:v>
      </x:c>
      <x:c r="F1110" s="13" t="str">
        <x:v>clothing_shoes_jewelry</x:v>
      </x:c>
      <x:c r="G1110" s="16" t="str"/>
      <x:c r="H1110" s="16" t="str">
        <x:v>flip_flops</x:v>
      </x:c>
      <x:c r="I1110" s="16" t="str">
        <x:v>womens</x:v>
      </x:c>
      <x:c r="J1110" s="16" t="str"/>
      <x:c r="K1110" s="16" t="str"/>
      <x:c r="L1110" s="16" t="str"/>
      <x:c r="M1110" s="16" t="str"/>
      <x:c r="N1110" s="16" t="str"/>
      <x:c r="O1110" s="16" t="str"/>
      <x:c r="P1110" s="16" t="str"/>
      <x:c r="Q1110" s="16" t="str"/>
      <x:c r="R1110" s="16" t="str">
        <x:v>用户寻找女士纯黑色简约款夹脚拖鞋，注重简洁外观。</x:v>
      </x:c>
      <x:c r="S1110" s="13" t="str">
        <x:v>consideration</x:v>
      </x:c>
      <x:c r="T1110" s="16" t="str">
        <x:v>explicit | page_validated</x:v>
      </x:c>
      <x:c r="U1110" s="13" t="str">
        <x:v>high</x:v>
      </x:c>
      <x:c r="V1110" s="16" t="str">
        <x:v>plain_black_womens_flip_flops</x:v>
      </x:c>
      <x:c r="W1110" s="16" t="str">
        <x:v>cluster_route</x:v>
      </x:c>
      <x:c r="X1110" s="16" t="str">
        <x:v>{"primary_domain":[{"value":"clothing_shoes_jewelry","evidence_type":"explicit","source_span":"flip flops","fact_ids":[],"rationale":"夹脚拖鞋属鞋类产品。"}],"product_type":[{"value":"flip_flops","evidence_type":"explicit","source_span":"flip flops","fact_ids":[],"rationale":"搜索词直接指定产品类型。"},{"value":"flip_flops","evidence_type":"page_validated","source_span":"","fact_ids":["title_womens_flip_flop","style_flip_flop"],"rationale":"产品页确认为夹脚拖鞋。"}],"audience_intent":[{"value":"womens","evidence_type":"explicit","source_span":"for women","fact_ids":[],"rationale":"搜索词明确指定女士群体。"},{"value":"womens","evidence_type":"page_validated","source_span":"","fact_ids":["title_womens_flip_flop"],"rationale":"该槽位与商品基准中的明示页面事实一致。"},{"value":"womens","evidence_type":"inferred","source_span":"","fact_ids":[],"rationale":"该能力由搜索词表达的任务或问题推断；页面事实仅用于验证商品承接。"}],"intent_cluster":[{"value":"plain_black_womens_flip_flops","evidence_type":"inferred","source_span":"","fact_ids":[],"rationale":"核心语义为纯黑女士夹脚拖鞋。"}]}</x:v>
      </x:c>
      <x:c r="Y1110" s="16" t="str"/>
      <x:c r="Z1110" s="13" t="str">
        <x:v>match</x:v>
      </x:c>
      <x:c r="AA1110" s="16" t="str">
        <x:v>title_womens_flip_flop | colors_visible</x:v>
      </x:c>
      <x:c r="AB1110" s="13" t="str">
        <x:v>accepted</x:v>
      </x:c>
      <x:c r="AC1110" s="13" t="str">
        <x:v>1.0.0</x:v>
      </x:c>
      <x:c r="AD1110" s="13" t="str">
        <x:v>1.1.0</x:v>
      </x:c>
      <x:c r="AE1110" s="13" t="str">
        <x:v>deepseek/deepseek-v4-pro</x:v>
      </x:c>
      <x:c r="AF1110" s="13" t="str">
        <x:v>aj2-y90-20260714T234810-0bea2f52</x:v>
      </x:c>
      <x:c r="AG1110" s="13" t="str">
        <x:v>full-0056</x:v>
      </x:c>
      <x:c r="AH1110" s="13" t="str">
        <x:v>full</x:v>
      </x:c>
      <x:c r="AI1110" s="13" t="n">
        <x:v>56</x:v>
      </x:c>
    </x:row>
    <x:row r="1111" ht="34" customHeight="1">
      <x:c r="A1111" s="15" t="str">
        <x:v>comfort flip flops</x:v>
      </x:c>
      <x:c r="B1111" s="15" t="str">
        <x:v>comfort flip flops</x:v>
      </x:c>
      <x:c r="C1111" s="10" t="str">
        <x:v>6e20ec142efaf052</x:v>
      </x:c>
      <x:c r="D1111" s="10" t="str">
        <x:v>keyword</x:v>
      </x:c>
      <x:c r="E1111" s="10" t="str">
        <x:v>en</x:v>
      </x:c>
      <x:c r="F1111" s="10" t="str">
        <x:v>clothing_shoes_jewelry</x:v>
      </x:c>
      <x:c r="G1111" s="15" t="str"/>
      <x:c r="H1111" s="15" t="str">
        <x:v>flip_flops</x:v>
      </x:c>
      <x:c r="I1111" s="15" t="str"/>
      <x:c r="J1111" s="15" t="str">
        <x:v>comfort</x:v>
      </x:c>
      <x:c r="K1111" s="15" t="str"/>
      <x:c r="L1111" s="15" t="str"/>
      <x:c r="M1111" s="15" t="str"/>
      <x:c r="N1111" s="15" t="str"/>
      <x:c r="O1111" s="15" t="str"/>
      <x:c r="P1111" s="15" t="str"/>
      <x:c r="Q1111" s="15" t="str"/>
      <x:c r="R1111" s="15" t="str">
        <x:v>用户寻找穿着舒适的夹脚拖鞋，以满足日常休闲或行走时的舒适需求。</x:v>
      </x:c>
      <x:c r="S1111" s="10" t="str">
        <x:v>exploration</x:v>
      </x:c>
      <x:c r="T1111" s="15" t="str">
        <x:v>explicit | page_validated</x:v>
      </x:c>
      <x:c r="U1111" s="10" t="str">
        <x:v>high</x:v>
      </x:c>
      <x:c r="V1111" s="15" t="str">
        <x:v>comfort_flip_flops</x:v>
      </x:c>
      <x:c r="W1111" s="15" t="str">
        <x:v>cluster_route</x:v>
      </x:c>
      <x:c r="X1111" s="15" t="str">
        <x:v>{"primary_domain":[{"value":"clothing_shoes_jewelry","evidence_type":"explicit","source_span":"flip flops","fact_ids":[],"rationale":"夹脚拖鞋属于鞋类产品。"}],"product_type":[{"value":"flip_flops","evidence_type":"explicit","source_span":"flip flops","fact_ids":[],"rationale":"搜索词直接指定产品类型。"},{"value":"flip_flops","evidence_type":"page_validated","source_span":"","fact_ids":["title_womens_flip_flop","style_flip_flop"],"rationale":"产品页确认为夹脚拖鞋。"}],"function_intent":[{"value":"comfort","evidence_type":"explicit","source_span":"comfort","fact_ids":[],"rationale":"搜索词明确表达舒适需求。"},{"value":"comfort","evidence_type":"page_validated","source_span":"","fact_ids":["arch_support","padded_cushioning"],"rationale":"产品具备足弓支撑和缓冲垫可提供舒适。"}],"intent_cluster":[{"value":"comfort_flip_flops","evidence_type":"inferred","source_span":"","fact_ids":[],"rationale":"核心语义为舒适夹脚拖鞋的泛搜索。"}]}</x:v>
      </x:c>
      <x:c r="Y1111" s="15" t="str"/>
      <x:c r="Z1111" s="10" t="str">
        <x:v>match</x:v>
      </x:c>
      <x:c r="AA1111" s="15" t="str">
        <x:v>title_womens_flip_flop | arch_support | padded_cushioning</x:v>
      </x:c>
      <x:c r="AB1111" s="10" t="str">
        <x:v>accepted</x:v>
      </x:c>
      <x:c r="AC1111" s="10" t="str">
        <x:v>1.0.0</x:v>
      </x:c>
      <x:c r="AD1111" s="10" t="str">
        <x:v>1.1.0</x:v>
      </x:c>
      <x:c r="AE1111" s="10" t="str">
        <x:v>deepseek/deepseek-v4-pro</x:v>
      </x:c>
      <x:c r="AF1111" s="10" t="str">
        <x:v>aj2-y90-20260714T234810-0bea2f52</x:v>
      </x:c>
      <x:c r="AG1111" s="10" t="str">
        <x:v>full-0056</x:v>
      </x:c>
      <x:c r="AH1111" s="10" t="str">
        <x:v>full</x:v>
      </x:c>
      <x:c r="AI1111" s="10" t="n">
        <x:v>56</x:v>
      </x:c>
    </x:row>
    <x:row r="1112" ht="34" customHeight="1">
      <x:c r="A1112" s="16" t="str">
        <x:v>womens thong sandals black</x:v>
      </x:c>
      <x:c r="B1112" s="16" t="str">
        <x:v>womens thong sandals black</x:v>
      </x:c>
      <x:c r="C1112" s="13" t="str">
        <x:v>7e964797e72def3d</x:v>
      </x:c>
      <x:c r="D1112" s="13" t="str">
        <x:v>keyword</x:v>
      </x:c>
      <x:c r="E1112" s="13" t="str">
        <x:v>en</x:v>
      </x:c>
      <x:c r="F1112" s="13" t="str">
        <x:v>clothing_shoes_jewelry</x:v>
      </x:c>
      <x:c r="G1112" s="16" t="str"/>
      <x:c r="H1112" s="16" t="str">
        <x:v>thong_sandals</x:v>
      </x:c>
      <x:c r="I1112" s="16" t="str">
        <x:v>womens</x:v>
      </x:c>
      <x:c r="J1112" s="16" t="str"/>
      <x:c r="K1112" s="16" t="str"/>
      <x:c r="L1112" s="16" t="str"/>
      <x:c r="M1112" s="16" t="str"/>
      <x:c r="N1112" s="16" t="str"/>
      <x:c r="O1112" s="16" t="str"/>
      <x:c r="P1112" s="16" t="str"/>
      <x:c r="Q1112" s="16" t="str"/>
      <x:c r="R1112" s="16" t="str">
        <x:v>用户寻找黑色女士人字拖凉鞋。</x:v>
      </x:c>
      <x:c r="S1112" s="13" t="str">
        <x:v>consideration</x:v>
      </x:c>
      <x:c r="T1112" s="16" t="str">
        <x:v>explicit | page_validated</x:v>
      </x:c>
      <x:c r="U1112" s="13" t="str">
        <x:v>high</x:v>
      </x:c>
      <x:c r="V1112" s="16" t="str">
        <x:v>womens_thong_sandals_black</x:v>
      </x:c>
      <x:c r="W1112" s="16" t="str">
        <x:v>cluster_route</x:v>
      </x:c>
      <x:c r="X1112" s="16" t="str">
        <x:v>{"primary_domain":[{"value":"clothing_shoes_jewelry","evidence_type":"explicit","source_span":"sandals","fact_ids":[],"rationale":"凉鞋属鞋类产品。"}],"product_type":[{"value":"thong_sandals","evidence_type":"explicit","source_span":"thong sandals","fact_ids":[],"rationale":"搜索词直接指定人字拖凉鞋。"},{"value":"thong_sandals","evidence_type":"page_validated","source_span":"","fact_ids":["title_womens_flip_flop","style_thong"],"rationale":"产品页确认为人字拖夹脚拖鞋。"}],"audience_intent":[{"value":"womens","evidence_type":"explicit","source_span":"womens","fact_ids":[],"rationale":"搜索词明确指定女士群体。"},{"value":"womens","evidence_type":"page_validated","source_span":"","fact_ids":["title_womens_flip_flop"],"rationale":"该槽位与商品基准中的明示页面事实一致。"}],"intent_cluster":[{"value":"womens_thong_sandals_black","evidence_type":"inferred","source_span":"","fact_ids":[],"rationale":"核心语义为黑色女士人字拖凉鞋。"}]}</x:v>
      </x:c>
      <x:c r="Y1112" s="16" t="str"/>
      <x:c r="Z1112" s="13" t="str">
        <x:v>match</x:v>
      </x:c>
      <x:c r="AA1112" s="16" t="str">
        <x:v>title_womens_flip_flop | style_thong | colors_visible</x:v>
      </x:c>
      <x:c r="AB1112" s="13" t="str">
        <x:v>accepted</x:v>
      </x:c>
      <x:c r="AC1112" s="13" t="str">
        <x:v>1.0.0</x:v>
      </x:c>
      <x:c r="AD1112" s="13" t="str">
        <x:v>1.1.0</x:v>
      </x:c>
      <x:c r="AE1112" s="13" t="str">
        <x:v>deepseek/deepseek-v4-pro</x:v>
      </x:c>
      <x:c r="AF1112" s="13" t="str">
        <x:v>aj2-y90-20260714T234810-0bea2f52</x:v>
      </x:c>
      <x:c r="AG1112" s="13" t="str">
        <x:v>full-0056</x:v>
      </x:c>
      <x:c r="AH1112" s="13" t="str">
        <x:v>full</x:v>
      </x:c>
      <x:c r="AI1112" s="13" t="n">
        <x:v>56</x:v>
      </x:c>
    </x:row>
    <x:row r="1113" ht="34" customHeight="1">
      <x:c r="A1113" s="15" t="str">
        <x:v>flip flops for bathroom</x:v>
      </x:c>
      <x:c r="B1113" s="15" t="str">
        <x:v>flip flops for bathroom</x:v>
      </x:c>
      <x:c r="C1113" s="10" t="str">
        <x:v>81b8fd26b135aa64</x:v>
      </x:c>
      <x:c r="D1113" s="10" t="str">
        <x:v>keyword</x:v>
      </x:c>
      <x:c r="E1113" s="10" t="str">
        <x:v>en</x:v>
      </x:c>
      <x:c r="F1113" s="10" t="str">
        <x:v>clothing_shoes_jewelry</x:v>
      </x:c>
      <x:c r="G1113" s="15" t="str">
        <x:v>home_kitchen</x:v>
      </x:c>
      <x:c r="H1113" s="15" t="str">
        <x:v>flip_flops</x:v>
      </x:c>
      <x:c r="I1113" s="15" t="str"/>
      <x:c r="J1113" s="15" t="str">
        <x:v>bathroom_use</x:v>
      </x:c>
      <x:c r="K1113" s="15" t="str">
        <x:v>non_slip</x:v>
      </x:c>
      <x:c r="L1113" s="15" t="str"/>
      <x:c r="M1113" s="15" t="str">
        <x:v>bathroom</x:v>
      </x:c>
      <x:c r="N1113" s="15" t="str"/>
      <x:c r="O1113" s="15" t="str"/>
      <x:c r="P1113" s="15" t="str"/>
      <x:c r="Q1113" s="15" t="str"/>
      <x:c r="R1113" s="15" t="str">
        <x:v>用户在浴室或卫生间穿着夹脚拖鞋，需要防滑和易清洁的功能。</x:v>
      </x:c>
      <x:c r="S1113" s="10" t="str">
        <x:v>consideration</x:v>
      </x:c>
      <x:c r="T1113" s="15" t="str">
        <x:v>explicit | page_validated | inferred</x:v>
      </x:c>
      <x:c r="U1113" s="10" t="str">
        <x:v>medium</x:v>
      </x:c>
      <x:c r="V1113" s="15" t="str">
        <x:v>bathroom_flip_flops</x:v>
      </x:c>
      <x:c r="W1113" s="15" t="str">
        <x:v>listing_gap_review</x:v>
      </x:c>
      <x:c r="X1113" s="15" t="str">
        <x:v>{"primary_domain":[{"value":"clothing_shoes_jewelry","evidence_type":"explicit","source_span":"flip flops","fact_ids":[],"rationale":"夹脚拖鞋属鞋类产品。"}],"secondary_domain":[{"value":"home_kitchen","evidence_type":"inferred","source_span":"bathroom","fact_ids":[],"rationale":"浴室场景属于居家领域。"}],"product_type":[{"value":"flip_flops","evidence_type":"explicit","source_span":"flip flops","fact_ids":[],"rationale":"搜索词直接指定产品类型。"},{"value":"flip_flops","evidence_type":"page_validated","source_span":"","fact_ids":["style_flip_flop"],"rationale":"该槽位与商品基准中的明示页面事实一致。"}],"function_intent":[{"value":"bathroom_use","evidence_type":"inferred","source_span":"bathroom","fact_ids":[],"rationale":"bathroom表明浴室使用需求。"}],"capability_intent":[{"value":"non_slip","evidence_type":"page_validated","source_span":"","fact_ids":["slip_resistant_grip"],"rationale":"产品页声明防滑纹理外底。"},{"value":"non_slip","evidence_type":"inferred","source_span":"","fact_ids":[],"rationale":"该能力由搜索词表达的任务或问题推断；页面事实仅用于验证商品承接。"}],"location_intent":[{"value":"bathroom","evidence_type":"explicit","source_span":"bathroom","fact_ids":[],"rationale":"搜索词直接指定使用地点。"}],"intent_cluster":[{"value":"bathroom_flip_flops","evidence_type":"inferred","source_span":"","fact_ids":[],"rationale":"核心语义为浴室用夹脚拖鞋。"}]}</x:v>
      </x:c>
      <x:c r="Y1113" s="15" t="str"/>
      <x:c r="Z1113" s="10" t="str">
        <x:v>partial_match</x:v>
      </x:c>
      <x:c r="AA1113" s="15" t="str">
        <x:v>slip_resistant_grip | easy_clean</x:v>
      </x:c>
      <x:c r="AB1113" s="10" t="str">
        <x:v>accepted</x:v>
      </x:c>
      <x:c r="AC1113" s="10" t="str">
        <x:v>1.0.0</x:v>
      </x:c>
      <x:c r="AD1113" s="10" t="str">
        <x:v>1.1.0</x:v>
      </x:c>
      <x:c r="AE1113" s="10" t="str">
        <x:v>deepseek/deepseek-v4-pro</x:v>
      </x:c>
      <x:c r="AF1113" s="10" t="str">
        <x:v>aj2-y90-20260714T234810-0bea2f52</x:v>
      </x:c>
      <x:c r="AG1113" s="10" t="str">
        <x:v>full-0056</x:v>
      </x:c>
      <x:c r="AH1113" s="10" t="str">
        <x:v>full</x:v>
      </x:c>
      <x:c r="AI1113" s="10" t="n">
        <x:v>56</x:v>
      </x:c>
    </x:row>
    <x:row r="1114" ht="34" customHeight="1">
      <x:c r="A1114" s="16" t="str">
        <x:v>litfun womens arch support flip flops</x:v>
      </x:c>
      <x:c r="B1114" s="16" t="str">
        <x:v>litfun womens arch support flip flops</x:v>
      </x:c>
      <x:c r="C1114" s="13" t="str">
        <x:v>828f968c32fcb7c5</x:v>
      </x:c>
      <x:c r="D1114" s="13" t="str">
        <x:v>keyword</x:v>
      </x:c>
      <x:c r="E1114" s="13" t="str">
        <x:v>en</x:v>
      </x:c>
      <x:c r="F1114" s="13" t="str">
        <x:v>clothing_shoes_jewelry</x:v>
      </x:c>
      <x:c r="G1114" s="16" t="str"/>
      <x:c r="H1114" s="16" t="str">
        <x:v>flip_flops</x:v>
      </x:c>
      <x:c r="I1114" s="16" t="str">
        <x:v>womens</x:v>
      </x:c>
      <x:c r="J1114" s="16" t="str">
        <x:v>arch_support</x:v>
      </x:c>
      <x:c r="K1114" s="16" t="str">
        <x:v>arch_support</x:v>
      </x:c>
      <x:c r="L1114" s="16" t="str"/>
      <x:c r="M1114" s="16" t="str"/>
      <x:c r="N1114" s="16" t="str">
        <x:v>arch_support</x:v>
      </x:c>
      <x:c r="O1114" s="16" t="str"/>
      <x:c r="P1114" s="16" t="str">
        <x:v>competitor_brand_litfun</x:v>
      </x:c>
      <x:c r="Q1114" s="16" t="str"/>
      <x:c r="R1114" s="16" t="str">
        <x:v>用户搜寻Litfun品牌的女士足弓支撑夹脚拖鞋，可能因该品牌缺货而寻找替代品。</x:v>
      </x:c>
      <x:c r="S1114" s="13" t="str">
        <x:v>brand_harvest</x:v>
      </x:c>
      <x:c r="T1114" s="16" t="str">
        <x:v>explicit | page_validated | inferred</x:v>
      </x:c>
      <x:c r="U1114" s="13" t="str">
        <x:v>high</x:v>
      </x:c>
      <x:c r="V1114" s="16" t="str">
        <x:v>litfun_arch_support_flip_flops_women</x:v>
      </x:c>
      <x:c r="W1114" s="16" t="str">
        <x:v>semantic_negative_candidate</x:v>
      </x:c>
      <x:c r="X1114" s="16" t="str">
        <x:v>{"primary_domain":[{"value":"clothing_shoes_jewelry","evidence_type":"explicit","source_span":"flip flops","fact_ids":[],"rationale":"夹脚拖鞋属鞋类产品。"}],"product_type":[{"value":"flip_flops","evidence_type":"explicit","source_span":"flip flops","fact_ids":[],"rationale":"搜索词直接指定产品类型。"},{"value":"flip_flops","evidence_type":"page_validated","source_span":"","fact_ids":["title_womens_flip_flop","style_flip_flop"],"rationale":"产品页确认为夹脚拖鞋。"}],"audience_intent":[{"value":"womens","evidence_type":"explicit","source_span":"womens","fact_ids":[],"rationale":"搜索词明确指定女士群体。"},{"value":"womens","evidence_type":"page_validated","source_span":"","fact_ids":["title_womens_flip_flop"],"rationale":"该槽位与商品基准中的明示页面事实一致。"}],"capability_intent":[{"value":"arch_support","evidence_type":"explicit","source_span":"arch support","fact_ids":[],"rationale":"搜索词直接指定足弓支撑功能。"},{"value":"arch_support","evidence_type":"page_validated","source_span":"","fact_ids":["arch_support"],"rationale":"产品页声明人体工学足弓支撑。"}],"substitute_intent":[{"value":"competitor_brand_litfun","evidence_type":"explicit","source_span":"litfun","fact_ids":[],"rationale":"litfun为竞品品牌名，用户寻找该品牌或替代品。"}],"intent_cluster":[{"value":"litfun_arch_support_flip_flops_women","evidence_type":"inferred","source_span":"","fact_ids":[],"rationale":"核心语义为Litfun品牌足弓支撑女士夹脚拖鞋。"}]}</x:v>
      </x:c>
      <x:c r="Y1114" s="16" t="str"/>
      <x:c r="Z1114" s="13" t="str">
        <x:v>mismatch</x:v>
      </x:c>
      <x:c r="AA1114" s="16" t="str">
        <x:v>title_womens_flip_flop | arch_support</x:v>
      </x:c>
      <x:c r="AB1114" s="13" t="str">
        <x:v>accepted</x:v>
      </x:c>
      <x:c r="AC1114" s="13" t="str">
        <x:v>1.0.0</x:v>
      </x:c>
      <x:c r="AD1114" s="13" t="str">
        <x:v>1.1.0</x:v>
      </x:c>
      <x:c r="AE1114" s="13" t="str">
        <x:v>deepseek/deepseek-v4-pro</x:v>
      </x:c>
      <x:c r="AF1114" s="13" t="str">
        <x:v>aj2-y90-20260714T234810-0bea2f52</x:v>
      </x:c>
      <x:c r="AG1114" s="13" t="str">
        <x:v>full-0056</x:v>
      </x:c>
      <x:c r="AH1114" s="13" t="str">
        <x:v>full</x:v>
      </x:c>
      <x:c r="AI1114" s="13" t="n">
        <x:v>56</x:v>
      </x:c>
    </x:row>
    <x:row r="1115" ht="34" customHeight="1">
      <x:c r="A1115" s="15" t="str">
        <x:v>hospital+bag+essentials</x:v>
      </x:c>
      <x:c r="B1115" s="15" t="str">
        <x:v>hospital+bag+essentials</x:v>
      </x:c>
      <x:c r="C1115" s="10" t="str">
        <x:v>90b33f66cc2a4304</x:v>
      </x:c>
      <x:c r="D1115" s="10" t="str">
        <x:v>keyword</x:v>
      </x:c>
      <x:c r="E1115" s="10" t="str">
        <x:v>en</x:v>
      </x:c>
      <x:c r="F1115" s="10" t="str">
        <x:v>others</x:v>
      </x:c>
      <x:c r="G1115" s="15" t="str">
        <x:v>baby_products | health_household</x:v>
      </x:c>
      <x:c r="H1115" s="15" t="str"/>
      <x:c r="I1115" s="15" t="str"/>
      <x:c r="J1115" s="15" t="str">
        <x:v>hospital_stay_preparation</x:v>
      </x:c>
      <x:c r="K1115" s="15" t="str"/>
      <x:c r="L1115" s="15" t="str">
        <x:v>hospital_stay</x:v>
      </x:c>
      <x:c r="M1115" s="15" t="str">
        <x:v>hospital</x:v>
      </x:c>
      <x:c r="N1115" s="15" t="str"/>
      <x:c r="O1115" s="15" t="str"/>
      <x:c r="P1115" s="15" t="str"/>
      <x:c r="Q1115" s="15" t="str"/>
      <x:c r="R1115" s="15" t="str">
        <x:v>用户准备住院所需物品包，可能包含待产、术后护理等场景的各类必需品。</x:v>
      </x:c>
      <x:c r="S1115" s="10" t="str">
        <x:v>exploration</x:v>
      </x:c>
      <x:c r="T1115" s="15" t="str">
        <x:v>inferred</x:v>
      </x:c>
      <x:c r="U1115" s="10" t="str">
        <x:v>low</x:v>
      </x:c>
      <x:c r="V1115" s="15" t="str">
        <x:v>hospital_bag_essentials</x:v>
      </x:c>
      <x:c r="W1115" s="15" t="str">
        <x:v>ambiguity_review</x:v>
      </x:c>
      <x:c r="X1115" s="15" t="str">
        <x:v>{"primary_domain":[{"value":"others","evidence_type":"inferred","source_span":"","fact_ids":[],"rationale":"住院包涵盖多品类，无法确定单一品类。"}],"secondary_domain":[{"value":"baby_products","evidence_type":"inferred","source_span":"hospital","fact_ids":[],"rationale":"医院待产包可能涉及母婴用品。"},{"value":"health_household","evidence_type":"inferred","source_span":"hospital","fact_ids":[],"rationale":"住院护理可能涉及健康家居用品。"}],"function_intent":[{"value":"hospital_stay_preparation","evidence_type":"inferred","source_span":"hospital+bag+essentials","fact_ids":[],"rationale":"语义为准备住院所需物品。"}],"event_intent":[{"value":"hospital_stay","evidence_type":"inferred","source_span":"hospital","fact_ids":[],"rationale":"医院场景隐含住院事件。"}],"location_intent":[{"value":"hospital","evidence_type":"explicit","source_span":"hospital","fact_ids":[],"rationale":"搜索词直接指定医院地点。"}],"intent_cluster":[{"value":"hospital_bag_essentials","evidence_type":"inferred","source_span":"","fact_ids":[],"rationale":"核心语义为住院用品包。"}]}</x:v>
      </x:c>
      <x:c r="Y1115" s="15" t="str">
        <x:v>broad_category_query | unrelated_to_product</x:v>
      </x:c>
      <x:c r="Z1115" s="10" t="str">
        <x:v>unknown</x:v>
      </x:c>
      <x:c r="AA1115" s="15" t="str"/>
      <x:c r="AB1115" s="10" t="str">
        <x:v>accepted</x:v>
      </x:c>
      <x:c r="AC1115" s="10" t="str">
        <x:v>1.0.0</x:v>
      </x:c>
      <x:c r="AD1115" s="10" t="str">
        <x:v>1.1.0</x:v>
      </x:c>
      <x:c r="AE1115" s="10" t="str">
        <x:v>deepseek/deepseek-v4-pro</x:v>
      </x:c>
      <x:c r="AF1115" s="10" t="str">
        <x:v>aj2-y90-20260714T234810-0bea2f52</x:v>
      </x:c>
      <x:c r="AG1115" s="10" t="str">
        <x:v>full-0056</x:v>
      </x:c>
      <x:c r="AH1115" s="10" t="str">
        <x:v>full</x:v>
      </x:c>
      <x:c r="AI1115" s="10" t="n">
        <x:v>56</x:v>
      </x:c>
    </x:row>
    <x:row r="1116" ht="34" customHeight="1">
      <x:c r="A1116" s="16" t="str">
        <x:v>comfy walking flip flops for women</x:v>
      </x:c>
      <x:c r="B1116" s="16" t="str">
        <x:v>comfy walking flip flops for women</x:v>
      </x:c>
      <x:c r="C1116" s="13" t="str">
        <x:v>935d9c7f94011150</x:v>
      </x:c>
      <x:c r="D1116" s="13" t="str">
        <x:v>keyword</x:v>
      </x:c>
      <x:c r="E1116" s="13" t="str">
        <x:v>en</x:v>
      </x:c>
      <x:c r="F1116" s="13" t="str">
        <x:v>clothing_shoes_jewelry</x:v>
      </x:c>
      <x:c r="G1116" s="16" t="str"/>
      <x:c r="H1116" s="16" t="str">
        <x:v>flip_flops</x:v>
      </x:c>
      <x:c r="I1116" s="16" t="str">
        <x:v>womens</x:v>
      </x:c>
      <x:c r="J1116" s="16" t="str">
        <x:v>walking | comfort</x:v>
      </x:c>
      <x:c r="K1116" s="16" t="str">
        <x:v>comfort</x:v>
      </x:c>
      <x:c r="L1116" s="16" t="str">
        <x:v>walking</x:v>
      </x:c>
      <x:c r="M1116" s="16" t="str"/>
      <x:c r="N1116" s="16" t="str"/>
      <x:c r="O1116" s="16" t="str"/>
      <x:c r="P1116" s="16" t="str"/>
      <x:c r="Q1116" s="16" t="str"/>
      <x:c r="R1116" s="16" t="str">
        <x:v>用户寻找女士舒适步行夹脚拖鞋，适合长时间行走穿着。</x:v>
      </x:c>
      <x:c r="S1116" s="13" t="str">
        <x:v>consideration</x:v>
      </x:c>
      <x:c r="T1116" s="16" t="str">
        <x:v>explicit | page_validated</x:v>
      </x:c>
      <x:c r="U1116" s="13" t="str">
        <x:v>high</x:v>
      </x:c>
      <x:c r="V1116" s="16" t="str">
        <x:v>comfy_walking_flip_flops_women</x:v>
      </x:c>
      <x:c r="W1116" s="16" t="str">
        <x:v>cluster_route</x:v>
      </x:c>
      <x:c r="X1116" s="16" t="str">
        <x:v>{"primary_domain":[{"value":"clothing_shoes_jewelry","evidence_type":"explicit","source_span":"flip flops","fact_ids":[],"rationale":"夹脚拖鞋属鞋类产品。"}],"product_type":[{"value":"flip_flops","evidence_type":"explicit","source_span":"flip flops","fact_ids":[],"rationale":"搜索词直接指定产品类型。"},{"value":"flip_flops","evidence_type":"page_validated","source_span":"","fact_ids":["title_womens_flip_flop","style_flip_flop"],"rationale":"产品页确认为夹脚拖鞋。"}],"audience_intent":[{"value":"womens","evidence_type":"explicit","source_span":"for women","fact_ids":[],"rationale":"搜索词明确指定女士群体。"},{"value":"womens","evidence_type":"page_validated","source_span":"","fact_ids":["title_womens_flip_flop"],"rationale":"该槽位与商品基准中的明示页面事实一致。"},{"value":"womens","evidence_type":"inferred","source_span":"","fact_ids":[],"rationale":"该能力由搜索词表达的任务或问题推断；页面事实仅用于验证商品承接。"}],"function_intent":[{"value":"walking","evidence_type":"explicit","source_span":"walking","fact_ids":[],"rationale":"搜索词直接指定步行用途。"},{"value":"comfort","evidence_type":"explicit","source_span":"comfy","fact_ids":[],"rationale":"comfy明确表达舒适需求。"},{"value":"comfort","evidence_type":"page_validated","source_span":"","fact_ids":["arch_support","padded_cushioning"],"rationale":"足弓支撑和缓冲垫提供步行舒适。"},{"value":"comfort","evidence_type":"inferred","source_span":"","fact_ids":[],"rationale":"该能力由搜索词表达的任务或问题推断；页面事实仅用于验证商品承接。"}],"capability_intent":[{"value":"comfort","evidence_type":"page_validated","source_span":"","fact_ids":["arch_support","padded_cushioning","lightweight_breathable"],"rationale":"产品具备舒适相关特性。"},{"value":"comfort","evidence_type":"inferred","source_span":"","fact_ids":[],"rationale":"该能力由搜索词表达的任务或问题推断；页面事实仅用于验证商品承接。"}],"event_intent":[{"value":"walking","evidence_type":"explicit","source_span":"walking","fact_ids":[],"rationale":"搜索词直接指定步行活动。"}],"intent_cluster":[{"value":"comfy_walking_flip_flops_women","evidence_type":"inferred","source_span":"","fact_ids":[],"rationale":"核心语义为女士舒适步行夹脚拖鞋。"}]}</x:v>
      </x:c>
      <x:c r="Y1116" s="16" t="str"/>
      <x:c r="Z1116" s="13" t="str">
        <x:v>match</x:v>
      </x:c>
      <x:c r="AA1116" s="16" t="str">
        <x:v>arch_support | padded_cushioning | lightweight_breathable | title_womens_flip_flop</x:v>
      </x:c>
      <x:c r="AB1116" s="13" t="str">
        <x:v>accepted</x:v>
      </x:c>
      <x:c r="AC1116" s="13" t="str">
        <x:v>1.0.0</x:v>
      </x:c>
      <x:c r="AD1116" s="13" t="str">
        <x:v>1.1.0</x:v>
      </x:c>
      <x:c r="AE1116" s="13" t="str">
        <x:v>deepseek/deepseek-v4-pro</x:v>
      </x:c>
      <x:c r="AF1116" s="13" t="str">
        <x:v>aj2-y90-20260714T234810-0bea2f52</x:v>
      </x:c>
      <x:c r="AG1116" s="13" t="str">
        <x:v>full-0056</x:v>
      </x:c>
      <x:c r="AH1116" s="13" t="str">
        <x:v>full</x:v>
      </x:c>
      <x:c r="AI1116" s="13" t="n">
        <x:v>56</x:v>
      </x:c>
    </x:row>
    <x:row r="1117" ht="34" customHeight="1">
      <x:c r="A1117" s="15" t="str">
        <x:v>non slip flip flops</x:v>
      </x:c>
      <x:c r="B1117" s="15" t="str">
        <x:v>non slip flip flops</x:v>
      </x:c>
      <x:c r="C1117" s="10" t="str">
        <x:v>ba859b7f6ecb0f2a</x:v>
      </x:c>
      <x:c r="D1117" s="10" t="str">
        <x:v>keyword</x:v>
      </x:c>
      <x:c r="E1117" s="10" t="str">
        <x:v>en</x:v>
      </x:c>
      <x:c r="F1117" s="10" t="str">
        <x:v>clothing_shoes_jewelry</x:v>
      </x:c>
      <x:c r="G1117" s="15" t="str"/>
      <x:c r="H1117" s="15" t="str">
        <x:v>flip_flops</x:v>
      </x:c>
      <x:c r="I1117" s="15" t="str"/>
      <x:c r="J1117" s="15" t="str">
        <x:v>slip_prevention</x:v>
      </x:c>
      <x:c r="K1117" s="15" t="str">
        <x:v>non_slip</x:v>
      </x:c>
      <x:c r="L1117" s="15" t="str"/>
      <x:c r="M1117" s="15" t="str"/>
      <x:c r="N1117" s="15" t="str"/>
      <x:c r="O1117" s="15" t="str"/>
      <x:c r="P1117" s="15" t="str"/>
      <x:c r="Q1117" s="15" t="str"/>
      <x:c r="R1117" s="15" t="str">
        <x:v>用户需要防滑的夹脚拖鞋，以在湿滑地面上安全行走。</x:v>
      </x:c>
      <x:c r="S1117" s="10" t="str">
        <x:v>consideration</x:v>
      </x:c>
      <x:c r="T1117" s="15" t="str">
        <x:v>explicit | page_validated</x:v>
      </x:c>
      <x:c r="U1117" s="10" t="str">
        <x:v>high</x:v>
      </x:c>
      <x:c r="V1117" s="15" t="str">
        <x:v>non_slip_flip_flops</x:v>
      </x:c>
      <x:c r="W1117" s="15" t="str">
        <x:v>cluster_route</x:v>
      </x:c>
      <x:c r="X1117" s="15" t="str">
        <x:v>{"primary_domain":[{"value":"clothing_shoes_jewelry","evidence_type":"explicit","source_span":"flip flops","fact_ids":[],"rationale":"夹脚拖鞋属鞋类产品。"}],"product_type":[{"value":"flip_flops","evidence_type":"explicit","source_span":"flip flops","fact_ids":[],"rationale":"搜索词直接指定产品类型。"},{"value":"flip_flops","evidence_type":"page_validated","source_span":"","fact_ids":["style_flip_flop"],"rationale":"产品页确认为夹脚拖鞋。"}],"function_intent":[{"value":"slip_prevention","evidence_type":"inferred","source_span":"non slip","fact_ids":[],"rationale":"non slip表达防止滑倒的需求。"}],"capability_intent":[{"value":"non_slip","evidence_type":"explicit","source_span":"non slip","fact_ids":[],"rationale":"搜索词直接要求防滑功能。"},{"value":"non_slip","evidence_type":"page_validated","source_span":"","fact_ids":["slip_resistant_grip"],"rationale":"产品页声明防滑纹理外底。"}],"intent_cluster":[{"value":"non_slip_flip_flops","evidence_type":"inferred","source_span":"","fact_ids":[],"rationale":"核心语义为防滑夹脚拖鞋。"}]}</x:v>
      </x:c>
      <x:c r="Y1117" s="15" t="str"/>
      <x:c r="Z1117" s="10" t="str">
        <x:v>match</x:v>
      </x:c>
      <x:c r="AA1117" s="15" t="str">
        <x:v>slip_resistant_grip | style_flip_flop</x:v>
      </x:c>
      <x:c r="AB1117" s="10" t="str">
        <x:v>accepted</x:v>
      </x:c>
      <x:c r="AC1117" s="10" t="str">
        <x:v>1.0.0</x:v>
      </x:c>
      <x:c r="AD1117" s="10" t="str">
        <x:v>1.1.0</x:v>
      </x:c>
      <x:c r="AE1117" s="10" t="str">
        <x:v>deepseek/deepseek-v4-pro</x:v>
      </x:c>
      <x:c r="AF1117" s="10" t="str">
        <x:v>aj2-y90-20260714T234810-0bea2f52</x:v>
      </x:c>
      <x:c r="AG1117" s="10" t="str">
        <x:v>full-0056</x:v>
      </x:c>
      <x:c r="AH1117" s="10" t="str">
        <x:v>full</x:v>
      </x:c>
      <x:c r="AI1117" s="10" t="n">
        <x:v>56</x:v>
      </x:c>
    </x:row>
    <x:row r="1118" ht="34" customHeight="1">
      <x:c r="A1118" s="16" t="str">
        <x:v>womens slip on flip flop sandals</x:v>
      </x:c>
      <x:c r="B1118" s="16" t="str">
        <x:v>womens slip on flip flop sandals</x:v>
      </x:c>
      <x:c r="C1118" s="13" t="str">
        <x:v>ccbb09fca1617095</x:v>
      </x:c>
      <x:c r="D1118" s="13" t="str">
        <x:v>keyword</x:v>
      </x:c>
      <x:c r="E1118" s="13" t="str">
        <x:v>en</x:v>
      </x:c>
      <x:c r="F1118" s="13" t="str">
        <x:v>clothing_shoes_jewelry</x:v>
      </x:c>
      <x:c r="G1118" s="16" t="str"/>
      <x:c r="H1118" s="16" t="str">
        <x:v>flip_flops | sandals</x:v>
      </x:c>
      <x:c r="I1118" s="16" t="str">
        <x:v>womens</x:v>
      </x:c>
      <x:c r="J1118" s="16" t="str"/>
      <x:c r="K1118" s="16" t="str">
        <x:v>slip_on</x:v>
      </x:c>
      <x:c r="L1118" s="16" t="str"/>
      <x:c r="M1118" s="16" t="str"/>
      <x:c r="N1118" s="16" t="str"/>
      <x:c r="O1118" s="16" t="str"/>
      <x:c r="P1118" s="16" t="str"/>
      <x:c r="Q1118" s="16" t="str"/>
      <x:c r="R1118" s="16" t="str">
        <x:v>用户寻找女士一脚蹬式夹脚拖鞋或凉鞋。</x:v>
      </x:c>
      <x:c r="S1118" s="13" t="str">
        <x:v>consideration</x:v>
      </x:c>
      <x:c r="T1118" s="16" t="str">
        <x:v>explicit | page_validated</x:v>
      </x:c>
      <x:c r="U1118" s="13" t="str">
        <x:v>high</x:v>
      </x:c>
      <x:c r="V1118" s="16" t="str">
        <x:v>womens_slip_on_flip_flop_sandals</x:v>
      </x:c>
      <x:c r="W1118" s="16" t="str">
        <x:v>cluster_route</x:v>
      </x:c>
      <x:c r="X1118" s="16" t="str">
        <x:v>{"primary_domain":[{"value":"clothing_shoes_jewelry","evidence_type":"explicit","source_span":"sandals","fact_ids":[],"rationale":"凉鞋属鞋类产品。"}],"product_type":[{"value":"flip_flops","evidence_type":"explicit","source_span":"flip flop","fact_ids":[],"rationale":"搜索词直接指定夹脚拖鞋。"},{"value":"sandals","evidence_type":"explicit","source_span":"sandals","fact_ids":[],"rationale":"搜索词同时指定凉鞋类型。"},{"value":"flip_flops","evidence_type":"page_validated","source_span":"","fact_ids":["title_womens_flip_flop","style_flip_flop"],"rationale":"产品页确认为夹脚拖鞋。"},{"value":"flip_flops","evidence_type":"inferred","source_span":"","fact_ids":[],"rationale":"该能力由搜索词表达的任务或问题推断；页面事实仅用于验证商品承接。"},{"value":"sandals","evidence_type":"page_validated","source_span":"","fact_ids":["title_womens_flip_flop"],"rationale":"该槽位与商品基准中的明示页面事实一致。"}],"audience_intent":[{"value":"womens","evidence_type":"explicit","source_span":"womens","fact_ids":[],"rationale":"搜索词明确指定女士群体。"},{"value":"womens","evidence_type":"page_validated","source_span":"","fact_ids":["title_womens_flip_flop"],"rationale":"该槽位与商品基准中的明示页面事实一致。"}],"capability_intent":[{"value":"slip_on","evidence_type":"explicit","source_span":"slip on","fact_ids":[],"rationale":"搜索词直接指定一脚蹬设计。"},{"value":"slip_on","evidence_type":"page_validated","source_span":"","fact_ids":["closure_slip_on"],"rationale":"产品页声明Slip On闭合方式。"}],"intent_cluster":[{"value":"womens_slip_on_flip_flop_sandals","evidence_type":"inferred","source_span":"","fact_ids":[],"rationale":"核心语义为女士一脚蹬夹脚拖鞋。"}]}</x:v>
      </x:c>
      <x:c r="Y1118" s="16" t="str"/>
      <x:c r="Z1118" s="13" t="str">
        <x:v>match</x:v>
      </x:c>
      <x:c r="AA1118" s="16" t="str">
        <x:v>title_womens_flip_flop | closure_slip_on</x:v>
      </x:c>
      <x:c r="AB1118" s="13" t="str">
        <x:v>accepted</x:v>
      </x:c>
      <x:c r="AC1118" s="13" t="str">
        <x:v>1.0.0</x:v>
      </x:c>
      <x:c r="AD1118" s="13" t="str">
        <x:v>1.1.0</x:v>
      </x:c>
      <x:c r="AE1118" s="13" t="str">
        <x:v>deepseek/deepseek-v4-pro</x:v>
      </x:c>
      <x:c r="AF1118" s="13" t="str">
        <x:v>aj2-y90-20260714T234810-0bea2f52</x:v>
      </x:c>
      <x:c r="AG1118" s="13" t="str">
        <x:v>full-0056</x:v>
      </x:c>
      <x:c r="AH1118" s="13" t="str">
        <x:v>full</x:v>
      </x:c>
      <x:c r="AI1118" s="13" t="n">
        <x:v>56</x:v>
      </x:c>
    </x:row>
    <x:row r="1119" ht="34" customHeight="1">
      <x:c r="A1119" s="15" t="str">
        <x:v>womens flip flood</x:v>
      </x:c>
      <x:c r="B1119" s="15" t="str">
        <x:v>womens flip flood</x:v>
      </x:c>
      <x:c r="C1119" s="10" t="str">
        <x:v>d62f801e006d142a</x:v>
      </x:c>
      <x:c r="D1119" s="10" t="str">
        <x:v>keyword</x:v>
      </x:c>
      <x:c r="E1119" s="10" t="str">
        <x:v>en</x:v>
      </x:c>
      <x:c r="F1119" s="10" t="str">
        <x:v>clothing_shoes_jewelry</x:v>
      </x:c>
      <x:c r="G1119" s="15" t="str"/>
      <x:c r="H1119" s="15" t="str">
        <x:v>flip_flops</x:v>
      </x:c>
      <x:c r="I1119" s="15" t="str">
        <x:v>womens</x:v>
      </x:c>
      <x:c r="J1119" s="15" t="str"/>
      <x:c r="K1119" s="15" t="str"/>
      <x:c r="L1119" s="15" t="str"/>
      <x:c r="M1119" s="15" t="str"/>
      <x:c r="N1119" s="15" t="str"/>
      <x:c r="O1119" s="15" t="str"/>
      <x:c r="P1119" s="15" t="str"/>
      <x:c r="Q1119" s="15" t="str"/>
      <x:c r="R1119" s="15" t="str">
        <x:v>用户意图搜索女士夹脚拖鞋，输入flood疑为flops的拼写错误。</x:v>
      </x:c>
      <x:c r="S1119" s="10" t="str">
        <x:v>exploration</x:v>
      </x:c>
      <x:c r="T1119" s="15" t="str">
        <x:v>explicit | inferred</x:v>
      </x:c>
      <x:c r="U1119" s="10" t="str">
        <x:v>medium</x:v>
      </x:c>
      <x:c r="V1119" s="15" t="str">
        <x:v>womens_flip_flops</x:v>
      </x:c>
      <x:c r="W1119" s="15" t="str">
        <x:v>cluster_route</x:v>
      </x:c>
      <x:c r="X1119" s="15" t="str">
        <x:v>{"primary_domain":[{"value":"clothing_shoes_jewelry","evidence_type":"explicit","source_span":"flip flood","fact_ids":[],"rationale":"flip flood推断为flip flops拼写变体，属鞋类。"}],"product_type":[{"value":"flip_flops","evidence_type":"page_validated","source_span":"","fact_ids":["title_womens_flip_flop","style_flip_flop"],"rationale":"产品页确认为夹脚拖鞋。"},{"value":"flip_flops","evidence_type":"inferred","source_span":"","fact_ids":[],"rationale":"该能力由搜索词表达的任务或问题推断；页面事实仅用于验证商品承接。"}],"audience_intent":[{"value":"womens","evidence_type":"explicit","source_span":"womens","fact_ids":[],"rationale":"搜索词明确指定女士群体。"},{"value":"womens","evidence_type":"page_validated","source_span":"","fact_ids":["title_womens_flip_flop"],"rationale":"该槽位与商品基准中的明示页面事实一致。"}],"intent_cluster":[{"value":"womens_flip_flops","evidence_type":"inferred","source_span":"","fact_ids":[],"rationale":"核心语义为女士夹脚拖鞋泛搜索。"}]}</x:v>
      </x:c>
      <x:c r="Y1119" s="15" t="str">
        <x:v>spelling_variant</x:v>
      </x:c>
      <x:c r="Z1119" s="10" t="str">
        <x:v>match</x:v>
      </x:c>
      <x:c r="AA1119" s="15" t="str">
        <x:v>title_womens_flip_flop | style_flip_flop</x:v>
      </x:c>
      <x:c r="AB1119" s="10" t="str">
        <x:v>accepted</x:v>
      </x:c>
      <x:c r="AC1119" s="10" t="str">
        <x:v>1.0.0</x:v>
      </x:c>
      <x:c r="AD1119" s="10" t="str">
        <x:v>1.1.0</x:v>
      </x:c>
      <x:c r="AE1119" s="10" t="str">
        <x:v>deepseek/deepseek-v4-pro</x:v>
      </x:c>
      <x:c r="AF1119" s="10" t="str">
        <x:v>aj2-y90-20260714T234810-0bea2f52</x:v>
      </x:c>
      <x:c r="AG1119" s="10" t="str">
        <x:v>full-0056</x:v>
      </x:c>
      <x:c r="AH1119" s="10" t="str">
        <x:v>full</x:v>
      </x:c>
      <x:c r="AI1119" s="10" t="n">
        <x:v>56</x:v>
      </x:c>
    </x:row>
    <x:row r="1120" ht="34" customHeight="1">
      <x:c r="A1120" s="16" t="str">
        <x:v>womens 10 w flip flops</x:v>
      </x:c>
      <x:c r="B1120" s="16" t="str">
        <x:v>womens 10 w flip flops</x:v>
      </x:c>
      <x:c r="C1120" s="13" t="str">
        <x:v>d770e7b0eb805516</x:v>
      </x:c>
      <x:c r="D1120" s="13" t="str">
        <x:v>keyword</x:v>
      </x:c>
      <x:c r="E1120" s="13" t="str">
        <x:v>en</x:v>
      </x:c>
      <x:c r="F1120" s="13" t="str">
        <x:v>clothing_shoes_jewelry</x:v>
      </x:c>
      <x:c r="G1120" s="16" t="str"/>
      <x:c r="H1120" s="16" t="str">
        <x:v>flip_flops</x:v>
      </x:c>
      <x:c r="I1120" s="16" t="str">
        <x:v>womens</x:v>
      </x:c>
      <x:c r="J1120" s="16" t="str"/>
      <x:c r="K1120" s="16" t="str"/>
      <x:c r="L1120" s="16" t="str"/>
      <x:c r="M1120" s="16" t="str"/>
      <x:c r="N1120" s="16" t="str">
        <x:v>wide_fit</x:v>
      </x:c>
      <x:c r="O1120" s="16" t="str"/>
      <x:c r="P1120" s="16" t="str"/>
      <x:c r="Q1120" s="16" t="str"/>
      <x:c r="R1120" s="16" t="str">
        <x:v>用户寻找女士10码加宽夹脚拖鞋。</x:v>
      </x:c>
      <x:c r="S1120" s="13" t="str">
        <x:v>high_intent</x:v>
      </x:c>
      <x:c r="T1120" s="16" t="str">
        <x:v>explicit | page_validated | inferred</x:v>
      </x:c>
      <x:c r="U1120" s="13" t="str">
        <x:v>medium</x:v>
      </x:c>
      <x:c r="V1120" s="16" t="str">
        <x:v>womens_size10_wide_flip_flops</x:v>
      </x:c>
      <x:c r="W1120" s="16" t="str">
        <x:v>listing_gap_review</x:v>
      </x:c>
      <x:c r="X1120" s="16" t="str">
        <x:v>{"primary_domain":[{"value":"clothing_shoes_jewelry","evidence_type":"explicit","source_span":"flip flops","fact_ids":[],"rationale":"夹脚拖鞋属鞋类产品。"}],"product_type":[{"value":"flip_flops","evidence_type":"explicit","source_span":"flip flops","fact_ids":[],"rationale":"搜索词直接指定产品类型。"},{"value":"flip_flops","evidence_type":"page_validated","source_span":"","fact_ids":["style_flip_flop"],"rationale":"产品页确认为夹脚拖鞋。"}],"audience_intent":[{"value":"womens","evidence_type":"explicit","source_span":"womens","fact_ids":[],"rationale":"搜索词明确指定女士群体。"},{"value":"womens","evidence_type":"page_validated","source_span":"","fact_ids":["title_womens_flip_flop"],"rationale":"该槽位与商品基准中的明示页面事实一致。"}],"body_need_intent":[{"value":"wide_fit","evidence_type":"inferred","source_span":"10 w","fact_ids":[],"rationale":"w在鞋码中通常表示wide加宽。"}],"intent_cluster":[{"value":"womens_size10_wide_flip_flops","evidence_type":"inferred","source_span":"","fact_ids":[],"rationale":"核心语义为女士10码加宽夹脚拖鞋。"}]}</x:v>
      </x:c>
      <x:c r="Y1120" s="16" t="str"/>
      <x:c r="Z1120" s="13" t="str">
        <x:v>partial_match</x:v>
      </x:c>
      <x:c r="AA1120" s="16" t="str">
        <x:v>sizes_6_11 | title_womens_flip_flop</x:v>
      </x:c>
      <x:c r="AB1120" s="13" t="str">
        <x:v>accepted</x:v>
      </x:c>
      <x:c r="AC1120" s="13" t="str">
        <x:v>1.0.0</x:v>
      </x:c>
      <x:c r="AD1120" s="13" t="str">
        <x:v>1.1.0</x:v>
      </x:c>
      <x:c r="AE1120" s="13" t="str">
        <x:v>deepseek/deepseek-v4-pro</x:v>
      </x:c>
      <x:c r="AF1120" s="13" t="str">
        <x:v>aj2-y90-20260714T234810-0bea2f52</x:v>
      </x:c>
      <x:c r="AG1120" s="13" t="str">
        <x:v>full-0056</x:v>
      </x:c>
      <x:c r="AH1120" s="13" t="str">
        <x:v>full</x:v>
      </x:c>
      <x:c r="AI1120" s="13" t="n">
        <x:v>56</x:v>
      </x:c>
    </x:row>
    <x:row r="1121" ht="34" customHeight="1">
      <x:c r="A1121" s="15" t="str">
        <x:v>flip flops for women plantar fasciitis</x:v>
      </x:c>
      <x:c r="B1121" s="15" t="str">
        <x:v>flip flops for women plantar fasciitis</x:v>
      </x:c>
      <x:c r="C1121" s="10" t="str">
        <x:v>e804cf8cbc11326b</x:v>
      </x:c>
      <x:c r="D1121" s="10" t="str">
        <x:v>keyword</x:v>
      </x:c>
      <x:c r="E1121" s="10" t="str">
        <x:v>en</x:v>
      </x:c>
      <x:c r="F1121" s="10" t="str">
        <x:v>clothing_shoes_jewelry</x:v>
      </x:c>
      <x:c r="G1121" s="15" t="str">
        <x:v>health_household</x:v>
      </x:c>
      <x:c r="H1121" s="15" t="str">
        <x:v>flip_flops</x:v>
      </x:c>
      <x:c r="I1121" s="15" t="str">
        <x:v>womens</x:v>
      </x:c>
      <x:c r="J1121" s="15" t="str">
        <x:v>plantar_fasciitis_relief</x:v>
      </x:c>
      <x:c r="K1121" s="15" t="str">
        <x:v>arch_support</x:v>
      </x:c>
      <x:c r="L1121" s="15" t="str"/>
      <x:c r="M1121" s="15" t="str"/>
      <x:c r="N1121" s="15" t="str">
        <x:v>plantar_fasciitis</x:v>
      </x:c>
      <x:c r="O1121" s="15" t="str"/>
      <x:c r="P1121" s="15" t="str"/>
      <x:c r="Q1121" s="15" t="str"/>
      <x:c r="R1121" s="15" t="str">
        <x:v>用户寻找适合足底筋膜炎的女士夹脚拖鞋，需要足弓支撑和缓冲缓解。</x:v>
      </x:c>
      <x:c r="S1121" s="10" t="str">
        <x:v>consideration</x:v>
      </x:c>
      <x:c r="T1121" s="15" t="str">
        <x:v>explicit | page_validated | inferred</x:v>
      </x:c>
      <x:c r="U1121" s="10" t="str">
        <x:v>medium</x:v>
      </x:c>
      <x:c r="V1121" s="15" t="str">
        <x:v>plantar_fasciitis_flip_flops_women</x:v>
      </x:c>
      <x:c r="W1121" s="15" t="str">
        <x:v>listing_gap_review</x:v>
      </x:c>
      <x:c r="X1121" s="15" t="str">
        <x:v>{"primary_domain":[{"value":"clothing_shoes_jewelry","evidence_type":"explicit","source_span":"flip flops","fact_ids":[],"rationale":"夹脚拖鞋属鞋类产品。"}],"secondary_domain":[{"value":"health_household","evidence_type":"inferred","source_span":"plantar fasciitis","fact_ids":[],"rationale":"足底筋膜炎属健康领域需求。"}],"product_type":[{"value":"flip_flops","evidence_type":"explicit","source_span":"flip flops","fact_ids":[],"rationale":"搜索词直接指定产品类型。"},{"value":"flip_flops","evidence_type":"page_validated","source_span":"","fact_ids":["style_flip_flop"],"rationale":"该槽位与商品基准中的明示页面事实一致。"}],"audience_intent":[{"value":"womens","evidence_type":"explicit","source_span":"for women","fact_ids":[],"rationale":"搜索词明确指定女士群体。"},{"value":"womens","evidence_type":"page_validated","source_span":"","fact_ids":["title_womens_flip_flop"],"rationale":"该槽位与商品基准中的明示页面事实一致。"},{"value":"womens","evidence_type":"inferred","source_span":"","fact_ids":[],"rationale":"该能力由搜索词表达的任务或问题推断；页面事实仅用于验证商品承接。"}],"function_intent":[{"value":"plantar_fasciitis_relief","evidence_type":"inferred","source_span":"plantar fasciitis","fact_ids":[],"rationale":"足底筋膜炎需缓解足部不适。"}],"capability_intent":[{"value":"arch_support","evidence_type":"page_validated","source_span":"","fact_ids":["arch_support","padded_cushioning"],"rationale":"产品有足弓支撑和缓冲垫可能缓解不适。"},{"value":"arch_support","evidence_type":"inferred","source_span":"","fact_ids":[],"rationale":"该能力由搜索词表达的任务或问题推断；页面事实仅用于验证商品承接。"}],"body_need_intent":[{"value":"plantar_fasciitis","evidence_type":"explicit","source_span":"plantar fasciitis","fact_ids":[],"rationale":"搜索词直接指明足底筋膜炎足部状况。"}],"intent_cluster":[{"value":"plantar_fasciitis_flip_flops_women","evidence_type":"inferred","source_span":"","fact_ids":[],"rationale":"核心语义为足底筋膜炎女士夹脚拖鞋。"}]}</x:v>
      </x:c>
      <x:c r="Y1121" s="15" t="str">
        <x:v>medical_claimer_constraint</x:v>
      </x:c>
      <x:c r="Z1121" s="10" t="str">
        <x:v>partial_match</x:v>
      </x:c>
      <x:c r="AA1121" s="15" t="str">
        <x:v>arch_support | padded_cushioning | title_womens_flip_flop</x:v>
      </x:c>
      <x:c r="AB1121" s="10" t="str">
        <x:v>accepted</x:v>
      </x:c>
      <x:c r="AC1121" s="10" t="str">
        <x:v>1.0.0</x:v>
      </x:c>
      <x:c r="AD1121" s="10" t="str">
        <x:v>1.1.0</x:v>
      </x:c>
      <x:c r="AE1121" s="10" t="str">
        <x:v>deepseek/deepseek-v4-pro</x:v>
      </x:c>
      <x:c r="AF1121" s="10" t="str">
        <x:v>aj2-y90-20260714T234810-0bea2f52</x:v>
      </x:c>
      <x:c r="AG1121" s="10" t="str">
        <x:v>full-0056</x:v>
      </x:c>
      <x:c r="AH1121" s="10" t="str">
        <x:v>full</x:v>
      </x:c>
      <x:c r="AI1121" s="10" t="n">
        <x:v>56</x:v>
      </x:c>
    </x:row>
    <x:row r="1122" ht="34" customHeight="1">
      <x:c r="A1122" s="16" t="str">
        <x:v>casual flip flops for women with fabric toe strap and arch support</x:v>
      </x:c>
      <x:c r="B1122" s="16" t="str">
        <x:v>casual flip flops for women with fabric toe strap and arch support</x:v>
      </x:c>
      <x:c r="C1122" s="13" t="str">
        <x:v>176b8b6ee4771237</x:v>
      </x:c>
      <x:c r="D1122" s="13" t="str">
        <x:v>keyword</x:v>
      </x:c>
      <x:c r="E1122" s="13" t="str">
        <x:v>en</x:v>
      </x:c>
      <x:c r="F1122" s="13" t="str">
        <x:v>clothing_shoes_jewelry</x:v>
      </x:c>
      <x:c r="G1122" s="16" t="str"/>
      <x:c r="H1122" s="16" t="str">
        <x:v>flip_flops</x:v>
      </x:c>
      <x:c r="I1122" s="16" t="str">
        <x:v>women</x:v>
      </x:c>
      <x:c r="J1122" s="16" t="str"/>
      <x:c r="K1122" s="16" t="str">
        <x:v>fabric_toe_strap | arch_support</x:v>
      </x:c>
      <x:c r="L1122" s="16" t="str">
        <x:v>casual_wear</x:v>
      </x:c>
      <x:c r="M1122" s="16" t="str"/>
      <x:c r="N1122" s="16" t="str"/>
      <x:c r="O1122" s="16" t="str"/>
      <x:c r="P1122" s="16" t="str"/>
      <x:c r="Q1122" s="16" t="str"/>
      <x:c r="R1122" s="16" t="str">
        <x:v>用户想为女性寻找带有织物趾带和足弓支撑功能的休闲人字拖。</x:v>
      </x:c>
      <x:c r="S1122" s="13" t="str">
        <x:v>consideration</x:v>
      </x:c>
      <x:c r="T1122" s="16" t="str">
        <x:v>explicit | page_validated</x:v>
      </x:c>
      <x:c r="U1122" s="13" t="str">
        <x:v>high</x:v>
      </x:c>
      <x:c r="V1122" s="16" t="str">
        <x:v>fabric_toe_strap_arch_support_flip_flops</x:v>
      </x:c>
      <x:c r="W1122" s="16" t="str">
        <x:v>listing_gap_review</x:v>
      </x:c>
      <x:c r="X1122" s="16" t="str">
        <x:v>{"product_type":[{"value":"flip_flops","evidence_type":"explicit","source_span":"flip flops","fact_ids":[],"rationale":"术语中直接提及flip flops。"},{"value":"flip_flops","evidence_type":"page_validated","source_span":"","fact_ids":["style_flip_flop"],"rationale":"该槽位与商品基准中的明示页面事实一致。"}],"audience_intent":[{"value":"women","evidence_type":"explicit","source_span":"women","fact_ids":[],"rationale":"术语中直接提及women。"},{"value":"women","evidence_type":"page_validated","source_span":"","fact_ids":["title_womens_flip_flop"],"rationale":"该槽位与商品基准中的明示页面事实一致。"}],"capability_intent":[{"value":"fabric_toe_strap","evidence_type":"explicit","source_span":"fabric toe strap","fact_ids":[],"rationale":"术语明确要求织物趾带。"},{"value":"arch_support","evidence_type":"page_validated","source_span":"","fact_ids":["arch_support"],"rationale":"产品具备足弓支撑。"}],"asin_fit":[{"value":"partial_match","evidence_type":"page_validated","source_span":"","fact_ids":["arch_support","soft_toe_post","style_thong"],"rationale":"有足弓支撑但趾带为EVA非织物材质。"}],"event_intent":[{"value":"casual_wear","evidence_type":"inferred","source_span":"","fact_ids":[],"rationale":"该值由搜索词整体语义推断，未作为页面明示属性。"}],"primary_domain":[{"value":"clothing_shoes_jewelry","evidence_type":"inferred","source_span":"","fact_ids":[],"rationale":"该值由搜索词整体语义推断，未作为页面明示属性。"}]}</x:v>
      </x:c>
      <x:c r="Y1122" s="16" t="str"/>
      <x:c r="Z1122" s="13" t="str">
        <x:v>partial_match</x:v>
      </x:c>
      <x:c r="AA1122" s="16" t="str">
        <x:v>arch_support | soft_toe_post | style_thong</x:v>
      </x:c>
      <x:c r="AB1122" s="13" t="str">
        <x:v>accepted</x:v>
      </x:c>
      <x:c r="AC1122" s="13" t="str">
        <x:v>1.0.0</x:v>
      </x:c>
      <x:c r="AD1122" s="13" t="str">
        <x:v>1.1.0</x:v>
      </x:c>
      <x:c r="AE1122" s="13" t="str">
        <x:v>deepseek/deepseek-v4-pro</x:v>
      </x:c>
      <x:c r="AF1122" s="13" t="str">
        <x:v>aj2-y90-20260714T234810-0bea2f52</x:v>
      </x:c>
      <x:c r="AG1122" s="13" t="str">
        <x:v>full-0057</x:v>
      </x:c>
      <x:c r="AH1122" s="13" t="str">
        <x:v>full</x:v>
      </x:c>
      <x:c r="AI1122" s="13" t="n">
        <x:v>57</x:v>
      </x:c>
    </x:row>
    <x:row r="1123" ht="34" customHeight="1">
      <x:c r="A1123" s="15" t="str">
        <x:v>black flip flops pool</x:v>
      </x:c>
      <x:c r="B1123" s="15" t="str">
        <x:v>black flip flops pool</x:v>
      </x:c>
      <x:c r="C1123" s="10" t="str">
        <x:v>2b0f7f7dd0690853</x:v>
      </x:c>
      <x:c r="D1123" s="10" t="str">
        <x:v>keyword</x:v>
      </x:c>
      <x:c r="E1123" s="10" t="str">
        <x:v>en</x:v>
      </x:c>
      <x:c r="F1123" s="10" t="str">
        <x:v>clothing_shoes_jewelry</x:v>
      </x:c>
      <x:c r="G1123" s="15" t="str">
        <x:v>sports_outdoors</x:v>
      </x:c>
      <x:c r="H1123" s="15" t="str">
        <x:v>flip_flops</x:v>
      </x:c>
      <x:c r="I1123" s="15" t="str"/>
      <x:c r="J1123" s="15" t="str"/>
      <x:c r="K1123" s="15" t="str">
        <x:v>black</x:v>
      </x:c>
      <x:c r="L1123" s="15" t="str">
        <x:v>pool_activity</x:v>
      </x:c>
      <x:c r="M1123" s="15" t="str">
        <x:v>pool</x:v>
      </x:c>
      <x:c r="N1123" s="15" t="str"/>
      <x:c r="O1123" s="15" t="str"/>
      <x:c r="P1123" s="15" t="str"/>
      <x:c r="Q1123" s="15" t="str"/>
      <x:c r="R1123" s="15" t="str">
        <x:v>用户想寻找适合在泳池穿着的黑色人字拖。</x:v>
      </x:c>
      <x:c r="S1123" s="10" t="str">
        <x:v>consideration</x:v>
      </x:c>
      <x:c r="T1123" s="15" t="str">
        <x:v>explicit | page_validated</x:v>
      </x:c>
      <x:c r="U1123" s="10" t="str">
        <x:v>high</x:v>
      </x:c>
      <x:c r="V1123" s="15" t="str">
        <x:v>black_flip_flops_pool</x:v>
      </x:c>
      <x:c r="W1123" s="15" t="str">
        <x:v>cluster_route</x:v>
      </x:c>
      <x:c r="X1123" s="15" t="str">
        <x:v>{"product_type":[{"value":"flip_flops","evidence_type":"explicit","source_span":"flip flops","fact_ids":[],"rationale":"术语中直接提及flip flops。"},{"value":"flip_flops","evidence_type":"page_validated","source_span":"","fact_ids":["style_flip_flop"],"rationale":"该槽位与商品基准中的明示页面事实一致。"}],"location_intent":[{"value":"pool","evidence_type":"explicit","source_span":"pool","fact_ids":[],"rationale":"术语中直接提及pool。"}],"capability_intent":[{"value":"black","evidence_type":"page_validated","source_span":"","fact_ids":["colors_visible"],"rationale":"黑色在可选颜色中。"}],"asin_fit":[{"value":"match","evidence_type":"page_validated","source_span":"","fact_ids":["colors_visible","style_outdoor","easy_clean"],"rationale":"黑色可选，户外场景且易清洁，适合泳池。"}],"event_intent":[{"value":"pool_activity","evidence_type":"inferred","source_span":"","fact_ids":[],"rationale":"该值由搜索词整体语义推断，未作为页面明示属性。"}],"primary_domain":[{"value":"clothing_shoes_jewelry","evidence_type":"inferred","source_span":"","fact_ids":[],"rationale":"该值由搜索词整体语义推断，未作为页面明示属性。"}],"secondary_domain":[{"value":"sports_outdoors","evidence_type":"inferred","source_span":"","fact_ids":[],"rationale":"该值由搜索词整体语义推断，未作为页面明示属性。"}]}</x:v>
      </x:c>
      <x:c r="Y1123" s="15" t="str"/>
      <x:c r="Z1123" s="10" t="str">
        <x:v>match</x:v>
      </x:c>
      <x:c r="AA1123" s="15" t="str">
        <x:v>colors_visible | style_outdoor | easy_clean</x:v>
      </x:c>
      <x:c r="AB1123" s="10" t="str">
        <x:v>accepted</x:v>
      </x:c>
      <x:c r="AC1123" s="10" t="str">
        <x:v>1.0.0</x:v>
      </x:c>
      <x:c r="AD1123" s="10" t="str">
        <x:v>1.1.0</x:v>
      </x:c>
      <x:c r="AE1123" s="10" t="str">
        <x:v>deepseek/deepseek-v4-pro</x:v>
      </x:c>
      <x:c r="AF1123" s="10" t="str">
        <x:v>aj2-y90-20260714T234810-0bea2f52</x:v>
      </x:c>
      <x:c r="AG1123" s="10" t="str">
        <x:v>full-0057</x:v>
      </x:c>
      <x:c r="AH1123" s="10" t="str">
        <x:v>full</x:v>
      </x:c>
      <x:c r="AI1123" s="10" t="n">
        <x:v>57</x:v>
      </x:c>
    </x:row>
    <x:row r="1124" ht="34" customHeight="1">
      <x:c r="A1124" s="16" t="str">
        <x:v>colorful flip flops for women</x:v>
      </x:c>
      <x:c r="B1124" s="16" t="str">
        <x:v>colorful flip flops for women</x:v>
      </x:c>
      <x:c r="C1124" s="13" t="str">
        <x:v>2c3d377095e98e70</x:v>
      </x:c>
      <x:c r="D1124" s="13" t="str">
        <x:v>keyword</x:v>
      </x:c>
      <x:c r="E1124" s="13" t="str">
        <x:v>en</x:v>
      </x:c>
      <x:c r="F1124" s="13" t="str">
        <x:v>clothing_shoes_jewelry</x:v>
      </x:c>
      <x:c r="G1124" s="16" t="str"/>
      <x:c r="H1124" s="16" t="str">
        <x:v>flip_flops</x:v>
      </x:c>
      <x:c r="I1124" s="16" t="str">
        <x:v>women</x:v>
      </x:c>
      <x:c r="J1124" s="16" t="str"/>
      <x:c r="K1124" s="16" t="str">
        <x:v>colorful</x:v>
      </x:c>
      <x:c r="L1124" s="16" t="str"/>
      <x:c r="M1124" s="16" t="str"/>
      <x:c r="N1124" s="16" t="str"/>
      <x:c r="O1124" s="16" t="str"/>
      <x:c r="P1124" s="16" t="str"/>
      <x:c r="Q1124" s="16" t="str"/>
      <x:c r="R1124" s="16" t="str">
        <x:v>用户想为女性寻找颜色丰富多样的人字拖。</x:v>
      </x:c>
      <x:c r="S1124" s="13" t="str">
        <x:v>exploration</x:v>
      </x:c>
      <x:c r="T1124" s="16" t="str">
        <x:v>explicit | page_validated</x:v>
      </x:c>
      <x:c r="U1124" s="13" t="str">
        <x:v>high</x:v>
      </x:c>
      <x:c r="V1124" s="16" t="str">
        <x:v>colorful_flip_flops_women</x:v>
      </x:c>
      <x:c r="W1124" s="16" t="str">
        <x:v>cluster_route</x:v>
      </x:c>
      <x:c r="X1124" s="16" t="str">
        <x:v>{"product_type":[{"value":"flip_flops","evidence_type":"explicit","source_span":"flip flops","fact_ids":[],"rationale":"术语中直接提及flip flops。"},{"value":"flip_flops","evidence_type":"page_validated","source_span":"","fact_ids":["style_flip_flop"],"rationale":"该槽位与商品基准中的明示页面事实一致。"}],"audience_intent":[{"value":"women","evidence_type":"explicit","source_span":"women","fact_ids":[],"rationale":"术语中直接提及women。"},{"value":"women","evidence_type":"page_validated","source_span":"","fact_ids":["title_womens_flip_flop"],"rationale":"该槽位与商品基准中的明示页面事实一致。"}],"capability_intent":[{"value":"colorful","evidence_type":"page_validated","source_span":"","fact_ids":["colors_visible"],"rationale":"产品提供多种颜色选择。"}],"asin_fit":[{"value":"match","evidence_type":"page_validated","source_span":"","fact_ids":["title_womens_flip_flop","colors_visible"],"rationale":"女式人字拖有黑粉棕灰蓝白多色可选。"}],"primary_domain":[{"value":"clothing_shoes_jewelry","evidence_type":"inferred","source_span":"","fact_ids":[],"rationale":"该值由搜索词整体语义推断，未作为页面明示属性。"}]}</x:v>
      </x:c>
      <x:c r="Y1124" s="16" t="str"/>
      <x:c r="Z1124" s="13" t="str">
        <x:v>match</x:v>
      </x:c>
      <x:c r="AA1124" s="16" t="str">
        <x:v>title_womens_flip_flop | colors_visible</x:v>
      </x:c>
      <x:c r="AB1124" s="13" t="str">
        <x:v>accepted</x:v>
      </x:c>
      <x:c r="AC1124" s="13" t="str">
        <x:v>1.0.0</x:v>
      </x:c>
      <x:c r="AD1124" s="13" t="str">
        <x:v>1.1.0</x:v>
      </x:c>
      <x:c r="AE1124" s="13" t="str">
        <x:v>deepseek/deepseek-v4-pro</x:v>
      </x:c>
      <x:c r="AF1124" s="13" t="str">
        <x:v>aj2-y90-20260714T234810-0bea2f52</x:v>
      </x:c>
      <x:c r="AG1124" s="13" t="str">
        <x:v>full-0057</x:v>
      </x:c>
      <x:c r="AH1124" s="13" t="str">
        <x:v>full</x:v>
      </x:c>
      <x:c r="AI1124" s="13" t="n">
        <x:v>57</x:v>
      </x:c>
    </x:row>
    <x:row r="1125" ht="34" customHeight="1">
      <x:c r="A1125" s="15" t="str">
        <x:v>comfy flipflops</x:v>
      </x:c>
      <x:c r="B1125" s="15" t="str">
        <x:v>comfy flipflops</x:v>
      </x:c>
      <x:c r="C1125" s="10" t="str">
        <x:v>359878b2f6b9b260</x:v>
      </x:c>
      <x:c r="D1125" s="10" t="str">
        <x:v>keyword</x:v>
      </x:c>
      <x:c r="E1125" s="10" t="str">
        <x:v>en</x:v>
      </x:c>
      <x:c r="F1125" s="10" t="str">
        <x:v>clothing_shoes_jewelry</x:v>
      </x:c>
      <x:c r="G1125" s="15" t="str"/>
      <x:c r="H1125" s="15" t="str">
        <x:v>flip_flops</x:v>
      </x:c>
      <x:c r="I1125" s="15" t="str"/>
      <x:c r="J1125" s="15" t="str">
        <x:v>comfort</x:v>
      </x:c>
      <x:c r="K1125" s="15" t="str">
        <x:v>cushioning | arch_support</x:v>
      </x:c>
      <x:c r="L1125" s="15" t="str"/>
      <x:c r="M1125" s="15" t="str"/>
      <x:c r="N1125" s="15" t="str"/>
      <x:c r="O1125" s="15" t="str"/>
      <x:c r="P1125" s="15" t="str"/>
      <x:c r="Q1125" s="15" t="str"/>
      <x:c r="R1125" s="15" t="str">
        <x:v>用户想寻找穿着舒适、柔软缓震的人字拖。</x:v>
      </x:c>
      <x:c r="S1125" s="10" t="str">
        <x:v>exploration</x:v>
      </x:c>
      <x:c r="T1125" s="15" t="str">
        <x:v>explicit | page_validated</x:v>
      </x:c>
      <x:c r="U1125" s="10" t="str">
        <x:v>high</x:v>
      </x:c>
      <x:c r="V1125" s="15" t="str">
        <x:v>comfortable_flip_flops</x:v>
      </x:c>
      <x:c r="W1125" s="15" t="str">
        <x:v>cluster_route</x:v>
      </x:c>
      <x:c r="X1125" s="15" t="str">
        <x:v>{"product_type":[{"value":"flip_flops","evidence_type":"explicit","source_span":"flipflops","fact_ids":[],"rationale":"术语中直接提及flipflops。"},{"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function_intent":[{"value":"comfort","evidence_type":"explicit","source_span":"comfy","fact_ids":[],"rationale":"术语中明确要求舒适。"},{"value":"comfort","evidence_type":"page_validated","source_span":"","fact_ids":["arch_support","padded_cushioning"],"rationale":"该槽位与商品基准中的明示页面事实一致。"},{"value":"comfort","evidence_type":"inferred","source_span":"","fact_ids":[],"rationale":"该能力由搜索词表达的任务或问题推断；页面事实仅用于验证商品承接。"}],"capability_intent":[{"value":"cushioning","evidence_type":"page_validated","source_span":"","fact_ids":["padded_cushioning"],"rationale":"产品包含加厚缓冲垫。"},{"value":"arch_support","evidence_type":"page_validated","source_span":"","fact_ids":["arch_support"],"rationale":"产品具备足弓支撑。"},{"value":"cushioning","evidence_type":"inferred","source_span":"","fact_ids":[],"rationale":"该能力由搜索词表达的任务或问题推断；页面事实仅用于验证商品承接。"},{"value":"arch_support","evidence_type":"inferred","source_span":"","fact_ids":[],"rationale":"该能力由搜索词表达的任务或问题推断；页面事实仅用于验证商品承接。"}],"asin_fit":[{"value":"match","evidence_type":"page_validated","source_span":"","fact_ids":["padded_cushioning","arch_support","lightweight_breathable"],"rationale":"产品具备缓冲、足弓支撑和轻量透气等舒适特性。"}],"primary_domain":[{"value":"clothing_shoes_jewelry","evidence_type":"inferred","source_span":"","fact_ids":[],"rationale":"该值由搜索词整体语义推断，未作为页面明示属性。"}]}</x:v>
      </x:c>
      <x:c r="Y1125" s="15" t="str"/>
      <x:c r="Z1125" s="10" t="str">
        <x:v>match</x:v>
      </x:c>
      <x:c r="AA1125" s="15" t="str">
        <x:v>padded_cushioning | arch_support | lightweight_breathable</x:v>
      </x:c>
      <x:c r="AB1125" s="10" t="str">
        <x:v>accepted</x:v>
      </x:c>
      <x:c r="AC1125" s="10" t="str">
        <x:v>1.0.0</x:v>
      </x:c>
      <x:c r="AD1125" s="10" t="str">
        <x:v>1.1.0</x:v>
      </x:c>
      <x:c r="AE1125" s="10" t="str">
        <x:v>deepseek/deepseek-v4-pro</x:v>
      </x:c>
      <x:c r="AF1125" s="10" t="str">
        <x:v>aj2-y90-20260714T234810-0bea2f52</x:v>
      </x:c>
      <x:c r="AG1125" s="10" t="str">
        <x:v>full-0057</x:v>
      </x:c>
      <x:c r="AH1125" s="10" t="str">
        <x:v>full</x:v>
      </x:c>
      <x:c r="AI1125" s="10" t="n">
        <x:v>57</x:v>
      </x:c>
    </x:row>
    <x:row r="1126" ht="34" customHeight="1">
      <x:c r="A1126" s="16" t="str">
        <x:v>women's flip flop sandals</x:v>
      </x:c>
      <x:c r="B1126" s="16" t="str">
        <x:v>women's flip flop sandals</x:v>
      </x:c>
      <x:c r="C1126" s="13" t="str">
        <x:v>389bee54bd11f13f</x:v>
      </x:c>
      <x:c r="D1126" s="13" t="str">
        <x:v>keyword</x:v>
      </x:c>
      <x:c r="E1126" s="13" t="str">
        <x:v>en</x:v>
      </x:c>
      <x:c r="F1126" s="13" t="str">
        <x:v>clothing_shoes_jewelry</x:v>
      </x:c>
      <x:c r="G1126" s="16" t="str"/>
      <x:c r="H1126" s="16" t="str">
        <x:v>flip_flops | sandals</x:v>
      </x:c>
      <x:c r="I1126" s="16" t="str">
        <x:v>women</x:v>
      </x:c>
      <x:c r="J1126" s="16" t="str"/>
      <x:c r="K1126" s="16" t="str"/>
      <x:c r="L1126" s="16" t="str"/>
      <x:c r="M1126" s="16" t="str"/>
      <x:c r="N1126" s="16" t="str"/>
      <x:c r="O1126" s="16" t="str"/>
      <x:c r="P1126" s="16" t="str"/>
      <x:c r="Q1126" s="16" t="str"/>
      <x:c r="R1126" s="16" t="str">
        <x:v>用户想为女性寻找适合日常穿着的平底人字拖凉鞋。</x:v>
      </x:c>
      <x:c r="S1126" s="13" t="str">
        <x:v>exploration</x:v>
      </x:c>
      <x:c r="T1126" s="16" t="str">
        <x:v>explicit | page_validated</x:v>
      </x:c>
      <x:c r="U1126" s="13" t="str">
        <x:v>high</x:v>
      </x:c>
      <x:c r="V1126" s="16" t="str">
        <x:v>womens_flip_flop_sandals</x:v>
      </x:c>
      <x:c r="W1126" s="16" t="str">
        <x:v>cluster_route</x:v>
      </x:c>
      <x:c r="X1126" s="16" t="str">
        <x:v>{"product_type":[{"value":"flip_flops","evidence_type":"explicit","source_span":"flip flop","fact_ids":[],"rationale":"术语中直接提及flip flop。"},{"value":"sandals","evidence_type":"explicit","source_span":"sandals","fact_ids":[],"rationale":"术语中直接提及sandals。"},{"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value":"sandals","evidence_type":"page_validated","source_span":"","fact_ids":["title_womens_flip_flop"],"rationale":"该槽位与商品基准中的明示页面事实一致。"}],"audience_intent":[{"value":"women","evidence_type":"explicit","source_span":"women's","fact_ids":[],"rationale":"术语中直接提及women's。"},{"value":"women","evidence_type":"page_validated","source_span":"","fact_ids":["title_womens_flip_flop"],"rationale":"该槽位与商品基准中的明示页面事实一致。"}],"asin_fit":[{"value":"match","evidence_type":"page_validated","source_span":"","fact_ids":["title_womens_flip_flop","style_flip_flop"],"rationale":"产品标题明确为女式人字拖凉鞋。"}],"primary_domain":[{"value":"clothing_shoes_jewelry","evidence_type":"inferred","source_span":"","fact_ids":[],"rationale":"该值由搜索词整体语义推断，未作为页面明示属性。"}]}</x:v>
      </x:c>
      <x:c r="Y1126" s="16" t="str"/>
      <x:c r="Z1126" s="13" t="str">
        <x:v>match</x:v>
      </x:c>
      <x:c r="AA1126" s="16" t="str">
        <x:v>title_womens_flip_flop | style_flip_flop</x:v>
      </x:c>
      <x:c r="AB1126" s="13" t="str">
        <x:v>accepted</x:v>
      </x:c>
      <x:c r="AC1126" s="13" t="str">
        <x:v>1.0.0</x:v>
      </x:c>
      <x:c r="AD1126" s="13" t="str">
        <x:v>1.1.0</x:v>
      </x:c>
      <x:c r="AE1126" s="13" t="str">
        <x:v>deepseek/deepseek-v4-pro</x:v>
      </x:c>
      <x:c r="AF1126" s="13" t="str">
        <x:v>aj2-y90-20260714T234810-0bea2f52</x:v>
      </x:c>
      <x:c r="AG1126" s="13" t="str">
        <x:v>full-0057</x:v>
      </x:c>
      <x:c r="AH1126" s="13" t="str">
        <x:v>full</x:v>
      </x:c>
      <x:c r="AI1126" s="13" t="n">
        <x:v>57</x:v>
      </x:c>
    </x:row>
    <x:row r="1127" ht="34" customHeight="1">
      <x:c r="A1127" s="15" t="str">
        <x:v>sandals narrow width women black</x:v>
      </x:c>
      <x:c r="B1127" s="15" t="str">
        <x:v>sandals narrow width women black</x:v>
      </x:c>
      <x:c r="C1127" s="10" t="str">
        <x:v>40b3df6de74327b2</x:v>
      </x:c>
      <x:c r="D1127" s="10" t="str">
        <x:v>keyword</x:v>
      </x:c>
      <x:c r="E1127" s="10" t="str">
        <x:v>en</x:v>
      </x:c>
      <x:c r="F1127" s="10" t="str">
        <x:v>clothing_shoes_jewelry</x:v>
      </x:c>
      <x:c r="G1127" s="15" t="str"/>
      <x:c r="H1127" s="15" t="str">
        <x:v>sandals</x:v>
      </x:c>
      <x:c r="I1127" s="15" t="str">
        <x:v>women</x:v>
      </x:c>
      <x:c r="J1127" s="15" t="str"/>
      <x:c r="K1127" s="15" t="str">
        <x:v>black</x:v>
      </x:c>
      <x:c r="L1127" s="15" t="str"/>
      <x:c r="M1127" s="15" t="str"/>
      <x:c r="N1127" s="15" t="str">
        <x:v>narrow_width</x:v>
      </x:c>
      <x:c r="O1127" s="15" t="str"/>
      <x:c r="P1127" s="15" t="str"/>
      <x:c r="Q1127" s="15" t="str"/>
      <x:c r="R1127" s="15" t="str">
        <x:v>用户想为女性寻找黑色窄版凉鞋。</x:v>
      </x:c>
      <x:c r="S1127" s="10" t="str">
        <x:v>consideration</x:v>
      </x:c>
      <x:c r="T1127" s="15" t="str">
        <x:v>explicit | page_validated</x:v>
      </x:c>
      <x:c r="U1127" s="10" t="str">
        <x:v>high</x:v>
      </x:c>
      <x:c r="V1127" s="15" t="str">
        <x:v>narrow_width_sandals_women_black</x:v>
      </x:c>
      <x:c r="W1127" s="15" t="str">
        <x:v>listing_gap_review</x:v>
      </x:c>
      <x:c r="X1127" s="15" t="str">
        <x:v>{"product_type":[{"value":"sandals","evidence_type":"explicit","source_span":"sandals","fact_ids":[],"rationale":"术语中直接提及sandals。"},{"value":"sandals","evidence_type":"page_validated","source_span":"","fact_ids":["title_womens_flip_flop"],"rationale":"该槽位与商品基准中的明示页面事实一致。"}],"audience_intent":[{"value":"women","evidence_type":"explicit","source_span":"women","fact_ids":[],"rationale":"术语中直接提及women。"},{"value":"women","evidence_type":"page_validated","source_span":"","fact_ids":["title_womens_flip_flop"],"rationale":"该槽位与商品基准中的明示页面事实一致。"}],"body_need_intent":[{"value":"narrow_width","evidence_type":"explicit","source_span":"narrow width","fact_ids":[],"rationale":"术语明确要求窄版。"}],"capability_intent":[{"value":"black","evidence_type":"page_validated","source_span":"","fact_ids":["colors_visible"],"rationale":"黑色在可选颜色中。"}],"asin_fit":[{"value":"partial_match","evidence_type":"page_validated","source_span":"","fact_ids":["colors_visible","sizes_6_11"],"rationale":"女式凉鞋黑色可选，但无窄版尺码选项。"}],"primary_domain":[{"value":"clothing_shoes_jewelry","evidence_type":"inferred","source_span":"","fact_ids":[],"rationale":"该值由搜索词整体语义推断，未作为页面明示属性。"}]}</x:v>
      </x:c>
      <x:c r="Y1127" s="15" t="str"/>
      <x:c r="Z1127" s="10" t="str">
        <x:v>partial_match</x:v>
      </x:c>
      <x:c r="AA1127" s="15" t="str">
        <x:v>colors_visible | sizes_6_11</x:v>
      </x:c>
      <x:c r="AB1127" s="10" t="str">
        <x:v>accepted</x:v>
      </x:c>
      <x:c r="AC1127" s="10" t="str">
        <x:v>1.0.0</x:v>
      </x:c>
      <x:c r="AD1127" s="10" t="str">
        <x:v>1.1.0</x:v>
      </x:c>
      <x:c r="AE1127" s="10" t="str">
        <x:v>deepseek/deepseek-v4-pro</x:v>
      </x:c>
      <x:c r="AF1127" s="10" t="str">
        <x:v>aj2-y90-20260714T234810-0bea2f52</x:v>
      </x:c>
      <x:c r="AG1127" s="10" t="str">
        <x:v>full-0057</x:v>
      </x:c>
      <x:c r="AH1127" s="10" t="str">
        <x:v>full</x:v>
      </x:c>
      <x:c r="AI1127" s="10" t="n">
        <x:v>57</x:v>
      </x:c>
    </x:row>
    <x:row r="1128" ht="34" customHeight="1">
      <x:c r="A1128" s="16" t="str">
        <x:v>yellow flip flops for women</x:v>
      </x:c>
      <x:c r="B1128" s="16" t="str">
        <x:v>yellow flip flops for women</x:v>
      </x:c>
      <x:c r="C1128" s="13" t="str">
        <x:v>57b384f3278e421b</x:v>
      </x:c>
      <x:c r="D1128" s="13" t="str">
        <x:v>keyword</x:v>
      </x:c>
      <x:c r="E1128" s="13" t="str">
        <x:v>en</x:v>
      </x:c>
      <x:c r="F1128" s="13" t="str">
        <x:v>clothing_shoes_jewelry</x:v>
      </x:c>
      <x:c r="G1128" s="16" t="str"/>
      <x:c r="H1128" s="16" t="str">
        <x:v>flip_flops</x:v>
      </x:c>
      <x:c r="I1128" s="16" t="str">
        <x:v>women</x:v>
      </x:c>
      <x:c r="J1128" s="16" t="str"/>
      <x:c r="K1128" s="16" t="str">
        <x:v>yellow</x:v>
      </x:c>
      <x:c r="L1128" s="16" t="str"/>
      <x:c r="M1128" s="16" t="str"/>
      <x:c r="N1128" s="16" t="str"/>
      <x:c r="O1128" s="16" t="str"/>
      <x:c r="P1128" s="16" t="str"/>
      <x:c r="Q1128" s="16" t="str"/>
      <x:c r="R1128" s="16" t="str">
        <x:v>用户想为女性寻找黄色人字拖。</x:v>
      </x:c>
      <x:c r="S1128" s="13" t="str">
        <x:v>consideration</x:v>
      </x:c>
      <x:c r="T1128" s="16" t="str">
        <x:v>explicit | page_validated</x:v>
      </x:c>
      <x:c r="U1128" s="13" t="str">
        <x:v>high</x:v>
      </x:c>
      <x:c r="V1128" s="16" t="str">
        <x:v>yellow_flip_flops_women</x:v>
      </x:c>
      <x:c r="W1128" s="16" t="str">
        <x:v>listing_gap_review</x:v>
      </x:c>
      <x:c r="X1128" s="16" t="str">
        <x:v>{"product_type":[{"value":"flip_flops","evidence_type":"explicit","source_span":"flip flops","fact_ids":[],"rationale":"术语中直接提及flip flops。"},{"value":"flip_flops","evidence_type":"page_validated","source_span":"","fact_ids":["style_flip_flop"],"rationale":"该槽位与商品基准中的明示页面事实一致。"}],"audience_intent":[{"value":"women","evidence_type":"explicit","source_span":"women","fact_ids":[],"rationale":"术语中直接提及women。"},{"value":"women","evidence_type":"page_validated","source_span":"","fact_ids":["title_womens_flip_flop"],"rationale":"该槽位与商品基准中的明示页面事实一致。"}],"capability_intent":[{"value":"yellow","evidence_type":"explicit","source_span":"yellow","fact_ids":[],"rationale":"术语明确指定黄色。"}],"asin_fit":[{"value":"partial_match","evidence_type":"page_validated","source_span":"","fact_ids":["title_womens_flip_flop","colors_visible"],"rationale":"女式人字拖但无黄色选项。"}],"primary_domain":[{"value":"clothing_shoes_jewelry","evidence_type":"inferred","source_span":"","fact_ids":[],"rationale":"该值由搜索词整体语义推断，未作为页面明示属性。"}]}</x:v>
      </x:c>
      <x:c r="Y1128" s="16" t="str"/>
      <x:c r="Z1128" s="13" t="str">
        <x:v>partial_match</x:v>
      </x:c>
      <x:c r="AA1128" s="16" t="str">
        <x:v>title_womens_flip_flop | colors_visible</x:v>
      </x:c>
      <x:c r="AB1128" s="13" t="str">
        <x:v>accepted</x:v>
      </x:c>
      <x:c r="AC1128" s="13" t="str">
        <x:v>1.0.0</x:v>
      </x:c>
      <x:c r="AD1128" s="13" t="str">
        <x:v>1.1.0</x:v>
      </x:c>
      <x:c r="AE1128" s="13" t="str">
        <x:v>deepseek/deepseek-v4-pro</x:v>
      </x:c>
      <x:c r="AF1128" s="13" t="str">
        <x:v>aj2-y90-20260714T234810-0bea2f52</x:v>
      </x:c>
      <x:c r="AG1128" s="13" t="str">
        <x:v>full-0057</x:v>
      </x:c>
      <x:c r="AH1128" s="13" t="str">
        <x:v>full</x:v>
      </x:c>
      <x:c r="AI1128" s="13" t="n">
        <x:v>57</x:v>
      </x:c>
    </x:row>
    <x:row r="1129" ht="34" customHeight="1">
      <x:c r="A1129" s="15" t="str">
        <x:v>bathroom flip flops for home women</x:v>
      </x:c>
      <x:c r="B1129" s="15" t="str">
        <x:v>bathroom flip flops for home women</x:v>
      </x:c>
      <x:c r="C1129" s="10" t="str">
        <x:v>5d418137dfe3c751</x:v>
      </x:c>
      <x:c r="D1129" s="10" t="str">
        <x:v>keyword</x:v>
      </x:c>
      <x:c r="E1129" s="10" t="str">
        <x:v>en</x:v>
      </x:c>
      <x:c r="F1129" s="10" t="str">
        <x:v>clothing_shoes_jewelry</x:v>
      </x:c>
      <x:c r="G1129" s="15" t="str"/>
      <x:c r="H1129" s="15" t="str">
        <x:v>flip_flops</x:v>
      </x:c>
      <x:c r="I1129" s="15" t="str">
        <x:v>women</x:v>
      </x:c>
      <x:c r="J1129" s="15" t="str">
        <x:v>slip_protection</x:v>
      </x:c>
      <x:c r="K1129" s="15" t="str">
        <x:v>slip_resistant</x:v>
      </x:c>
      <x:c r="L1129" s="15" t="str">
        <x:v>bathroom_use</x:v>
      </x:c>
      <x:c r="M1129" s="15" t="str">
        <x:v>bathroom | home</x:v>
      </x:c>
      <x:c r="N1129" s="15" t="str"/>
      <x:c r="O1129" s="15" t="str"/>
      <x:c r="P1129" s="15" t="str"/>
      <x:c r="Q1129" s="15" t="str"/>
      <x:c r="R1129" s="15" t="str">
        <x:v>用户想为女性寻找适合在浴室和家中使用的防滑人字拖。</x:v>
      </x:c>
      <x:c r="S1129" s="10" t="str">
        <x:v>consideration</x:v>
      </x:c>
      <x:c r="T1129" s="15" t="str">
        <x:v>explicit | inferred | page_validated</x:v>
      </x:c>
      <x:c r="U1129" s="10" t="str">
        <x:v>high</x:v>
      </x:c>
      <x:c r="V1129" s="15" t="str">
        <x:v>bathroom_home_flip_flops_women</x:v>
      </x:c>
      <x:c r="W1129" s="15" t="str">
        <x:v>cluster_route</x:v>
      </x:c>
      <x:c r="X1129" s="15" t="str">
        <x:v>{"product_type":[{"value":"flip_flops","evidence_type":"explicit","source_span":"flip flops","fact_ids":[],"rationale":"术语中直接提及flip flops。"},{"value":"flip_flops","evidence_type":"page_validated","source_span":"","fact_ids":["style_flip_flop"],"rationale":"该槽位与商品基准中的明示页面事实一致。"}],"audience_intent":[{"value":"women","evidence_type":"explicit","source_span":"women","fact_ids":[],"rationale":"术语中直接提及women。"},{"value":"women","evidence_type":"page_validated","source_span":"","fact_ids":["title_womens_flip_flop"],"rationale":"该槽位与商品基准中的明示页面事实一致。"}],"location_intent":[{"value":"bathroom","evidence_type":"explicit","source_span":"bathroom","fact_ids":[],"rationale":"术语中直接提及bathroom。"},{"value":"home","evidence_type":"explicit","source_span":"home","fact_ids":[],"rationale":"术语中直接提及home。"}],"function_intent":[{"value":"slip_protection","evidence_type":"inferred","source_span":"bathroom","fact_ids":[],"rationale":"浴室场景暗示防滑需求。"}],"capability_intent":[{"value":"slip_resistant","evidence_type":"page_validated","source_span":"","fact_ids":["slip_resistant_grip"],"rationale":"产品宣称防滑抓地。"},{"value":"slip_resistant","evidence_type":"inferred","source_span":"","fact_ids":[],"rationale":"该能力由搜索词表达的任务或问题推断；页面事实仅用于验证商品承接。"}],"asin_fit":[{"value":"match","evidence_type":"page_validated","source_span":"","fact_ids":["title_womens_flip_flop","slip_resistant_grip"],"rationale":"女式人字拖具备防滑功能，适合浴室家居使用。"}],"event_intent":[{"value":"bathroom_use","evidence_type":"inferred","source_span":"","fact_ids":[],"rationale":"该值由搜索词整体语义推断，未作为页面明示属性。"}],"primary_domain":[{"value":"clothing_shoes_jewelry","evidence_type":"inferred","source_span":"","fact_ids":[],"rationale":"该值由搜索词整体语义推断，未作为页面明示属性。"}]}</x:v>
      </x:c>
      <x:c r="Y1129" s="15" t="str"/>
      <x:c r="Z1129" s="10" t="str">
        <x:v>match</x:v>
      </x:c>
      <x:c r="AA1129" s="15" t="str">
        <x:v>title_womens_flip_flop | slip_resistant_grip</x:v>
      </x:c>
      <x:c r="AB1129" s="10" t="str">
        <x:v>accepted</x:v>
      </x:c>
      <x:c r="AC1129" s="10" t="str">
        <x:v>1.0.0</x:v>
      </x:c>
      <x:c r="AD1129" s="10" t="str">
        <x:v>1.1.0</x:v>
      </x:c>
      <x:c r="AE1129" s="10" t="str">
        <x:v>deepseek/deepseek-v4-pro</x:v>
      </x:c>
      <x:c r="AF1129" s="10" t="str">
        <x:v>aj2-y90-20260714T234810-0bea2f52</x:v>
      </x:c>
      <x:c r="AG1129" s="10" t="str">
        <x:v>full-0057</x:v>
      </x:c>
      <x:c r="AH1129" s="10" t="str">
        <x:v>full</x:v>
      </x:c>
      <x:c r="AI1129" s="10" t="n">
        <x:v>57</x:v>
      </x:c>
    </x:row>
    <x:row r="1130" ht="34" customHeight="1">
      <x:c r="A1130" s="16" t="str">
        <x:v>womens eva sandals</x:v>
      </x:c>
      <x:c r="B1130" s="16" t="str">
        <x:v>womens eva sandals</x:v>
      </x:c>
      <x:c r="C1130" s="13" t="str">
        <x:v>645395e0d071f4f1</x:v>
      </x:c>
      <x:c r="D1130" s="13" t="str">
        <x:v>keyword</x:v>
      </x:c>
      <x:c r="E1130" s="13" t="str">
        <x:v>en</x:v>
      </x:c>
      <x:c r="F1130" s="13" t="str">
        <x:v>clothing_shoes_jewelry</x:v>
      </x:c>
      <x:c r="G1130" s="16" t="str"/>
      <x:c r="H1130" s="16" t="str">
        <x:v>sandals</x:v>
      </x:c>
      <x:c r="I1130" s="16" t="str">
        <x:v>women</x:v>
      </x:c>
      <x:c r="J1130" s="16" t="str"/>
      <x:c r="K1130" s="16" t="str">
        <x:v>eva_material</x:v>
      </x:c>
      <x:c r="L1130" s="16" t="str"/>
      <x:c r="M1130" s="16" t="str"/>
      <x:c r="N1130" s="16" t="str"/>
      <x:c r="O1130" s="16" t="str"/>
      <x:c r="P1130" s="16" t="str"/>
      <x:c r="Q1130" s="16" t="str"/>
      <x:c r="R1130" s="16" t="str">
        <x:v>用户想为女性寻找EVA材质的凉鞋。</x:v>
      </x:c>
      <x:c r="S1130" s="13" t="str">
        <x:v>exploration</x:v>
      </x:c>
      <x:c r="T1130" s="16" t="str">
        <x:v>explicit | page_validated</x:v>
      </x:c>
      <x:c r="U1130" s="13" t="str">
        <x:v>high</x:v>
      </x:c>
      <x:c r="V1130" s="16" t="str">
        <x:v>womens_eva_sandals</x:v>
      </x:c>
      <x:c r="W1130" s="16" t="str">
        <x:v>cluster_route</x:v>
      </x:c>
      <x:c r="X1130" s="16" t="str">
        <x:v>{"product_type":[{"value":"sandals","evidence_type":"explicit","source_span":"sandals","fact_ids":[],"rationale":"术语中直接提及sandals。"},{"value":"sandals","evidence_type":"page_validated","source_span":"","fact_ids":["title_womens_flip_flop"],"rationale":"该槽位与商品基准中的明示页面事实一致。"}],"audience_intent":[{"value":"women","evidence_type":"explicit","source_span":"womens","fact_ids":[],"rationale":"术语中直接提及womens。"},{"value":"women","evidence_type":"page_validated","source_span":"","fact_ids":["title_womens_flip_flop"],"rationale":"该槽位与商品基准中的明示页面事实一致。"}],"capability_intent":[{"value":"eva_material","evidence_type":"page_validated","source_span":"","fact_ids":["material_eva"],"rationale":"产品材质为EVA。"}],"asin_fit":[{"value":"match","evidence_type":"page_validated","source_span":"","fact_ids":["material_eva","title_womens_flip_flop"],"rationale":"产品为女式EVA材质凉鞋。"}],"primary_domain":[{"value":"clothing_shoes_jewelry","evidence_type":"inferred","source_span":"","fact_ids":[],"rationale":"该值由搜索词整体语义推断，未作为页面明示属性。"}]}</x:v>
      </x:c>
      <x:c r="Y1130" s="16" t="str"/>
      <x:c r="Z1130" s="13" t="str">
        <x:v>match</x:v>
      </x:c>
      <x:c r="AA1130" s="16" t="str">
        <x:v>material_eva | title_womens_flip_flop</x:v>
      </x:c>
      <x:c r="AB1130" s="13" t="str">
        <x:v>accepted</x:v>
      </x:c>
      <x:c r="AC1130" s="13" t="str">
        <x:v>1.0.0</x:v>
      </x:c>
      <x:c r="AD1130" s="13" t="str">
        <x:v>1.1.0</x:v>
      </x:c>
      <x:c r="AE1130" s="13" t="str">
        <x:v>deepseek/deepseek-v4-pro</x:v>
      </x:c>
      <x:c r="AF1130" s="13" t="str">
        <x:v>aj2-y90-20260714T234810-0bea2f52</x:v>
      </x:c>
      <x:c r="AG1130" s="13" t="str">
        <x:v>full-0057</x:v>
      </x:c>
      <x:c r="AH1130" s="13" t="str">
        <x:v>full</x:v>
      </x:c>
      <x:c r="AI1130" s="13" t="n">
        <x:v>57</x:v>
      </x:c>
    </x:row>
    <x:row r="1131" ht="34" customHeight="1">
      <x:c r="A1131" s="15" t="str">
        <x:v>womens rubber flipflops in bright royal blue</x:v>
      </x:c>
      <x:c r="B1131" s="15" t="str">
        <x:v>womens rubber flipflops in bright royal blue</x:v>
      </x:c>
      <x:c r="C1131" s="10" t="str">
        <x:v>885a82c5c8c12672</x:v>
      </x:c>
      <x:c r="D1131" s="10" t="str">
        <x:v>keyword</x:v>
      </x:c>
      <x:c r="E1131" s="10" t="str">
        <x:v>en</x:v>
      </x:c>
      <x:c r="F1131" s="10" t="str">
        <x:v>clothing_shoes_jewelry</x:v>
      </x:c>
      <x:c r="G1131" s="15" t="str"/>
      <x:c r="H1131" s="15" t="str">
        <x:v>flip_flops</x:v>
      </x:c>
      <x:c r="I1131" s="15" t="str">
        <x:v>women</x:v>
      </x:c>
      <x:c r="J1131" s="15" t="str"/>
      <x:c r="K1131" s="15" t="str">
        <x:v>rubber_material | royal_blue</x:v>
      </x:c>
      <x:c r="L1131" s="15" t="str"/>
      <x:c r="M1131" s="15" t="str"/>
      <x:c r="N1131" s="15" t="str"/>
      <x:c r="O1131" s="15" t="str"/>
      <x:c r="P1131" s="15" t="str"/>
      <x:c r="Q1131" s="15" t="str"/>
      <x:c r="R1131" s="15" t="str">
        <x:v>用户想为女性寻找亮皇家蓝色的橡胶材质人字拖。</x:v>
      </x:c>
      <x:c r="S1131" s="10" t="str">
        <x:v>consideration</x:v>
      </x:c>
      <x:c r="T1131" s="15" t="str">
        <x:v>explicit | page_validated</x:v>
      </x:c>
      <x:c r="U1131" s="10" t="str">
        <x:v>high</x:v>
      </x:c>
      <x:c r="V1131" s="15" t="str">
        <x:v>rubber_flip_flops_royal_blue</x:v>
      </x:c>
      <x:c r="W1131" s="15" t="str">
        <x:v>listing_gap_review</x:v>
      </x:c>
      <x:c r="X1131" s="15" t="str">
        <x:v>{"product_type":[{"value":"flip_flops","evidence_type":"explicit","source_span":"flipflops","fact_ids":[],"rationale":"术语中直接提及flipflops。"},{"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audience_intent":[{"value":"women","evidence_type":"explicit","source_span":"womens","fact_ids":[],"rationale":"术语中直接提及womens。"},{"value":"women","evidence_type":"page_validated","source_span":"","fact_ids":["title_womens_flip_flop"],"rationale":"该槽位与商品基准中的明示页面事实一致。"}],"capability_intent":[{"value":"rubber_material","evidence_type":"explicit","source_span":"rubber","fact_ids":[],"rationale":"术语明确要求橡胶材质。"},{"value":"royal_blue","evidence_type":"explicit","source_span":"royal blue","fact_ids":[],"rationale":"术语明确指定皇家蓝色。"}],"asin_fit":[{"value":"partial_match","evidence_type":"page_validated","source_span":"","fact_ids":["title_womens_flip_flop","material_eva","colors_visible"],"rationale":"产品为EVA非橡胶，颜色无皇家蓝选项。"}],"primary_domain":[{"value":"clothing_shoes_jewelry","evidence_type":"inferred","source_span":"","fact_ids":[],"rationale":"该值由搜索词整体语义推断，未作为页面明示属性。"}]}</x:v>
      </x:c>
      <x:c r="Y1131" s="15" t="str"/>
      <x:c r="Z1131" s="10" t="str">
        <x:v>partial_match</x:v>
      </x:c>
      <x:c r="AA1131" s="15" t="str">
        <x:v>title_womens_flip_flop | material_eva | colors_visible</x:v>
      </x:c>
      <x:c r="AB1131" s="10" t="str">
        <x:v>accepted</x:v>
      </x:c>
      <x:c r="AC1131" s="10" t="str">
        <x:v>1.0.0</x:v>
      </x:c>
      <x:c r="AD1131" s="10" t="str">
        <x:v>1.1.0</x:v>
      </x:c>
      <x:c r="AE1131" s="10" t="str">
        <x:v>deepseek/deepseek-v4-pro</x:v>
      </x:c>
      <x:c r="AF1131" s="10" t="str">
        <x:v>aj2-y90-20260714T234810-0bea2f52</x:v>
      </x:c>
      <x:c r="AG1131" s="10" t="str">
        <x:v>full-0057</x:v>
      </x:c>
      <x:c r="AH1131" s="10" t="str">
        <x:v>full</x:v>
      </x:c>
      <x:c r="AI1131" s="10" t="n">
        <x:v>57</x:v>
      </x:c>
    </x:row>
    <x:row r="1132" ht="34" customHeight="1">
      <x:c r="A1132" s="16" t="str">
        <x:v>black patent flip flops</x:v>
      </x:c>
      <x:c r="B1132" s="16" t="str">
        <x:v>black patent flip flops</x:v>
      </x:c>
      <x:c r="C1132" s="13" t="str">
        <x:v>930d9ecbd455041d</x:v>
      </x:c>
      <x:c r="D1132" s="13" t="str">
        <x:v>keyword</x:v>
      </x:c>
      <x:c r="E1132" s="13" t="str">
        <x:v>en</x:v>
      </x:c>
      <x:c r="F1132" s="13" t="str">
        <x:v>clothing_shoes_jewelry</x:v>
      </x:c>
      <x:c r="G1132" s="16" t="str"/>
      <x:c r="H1132" s="16" t="str">
        <x:v>flip_flops</x:v>
      </x:c>
      <x:c r="I1132" s="16" t="str"/>
      <x:c r="J1132" s="16" t="str"/>
      <x:c r="K1132" s="16" t="str">
        <x:v>black | patent_finish</x:v>
      </x:c>
      <x:c r="L1132" s="16" t="str"/>
      <x:c r="M1132" s="16" t="str"/>
      <x:c r="N1132" s="16" t="str"/>
      <x:c r="O1132" s="16" t="str"/>
      <x:c r="P1132" s="16" t="str"/>
      <x:c r="Q1132" s="16" t="str"/>
      <x:c r="R1132" s="16" t="str">
        <x:v>用户想寻找黑色漆皮亮面质感的人字拖。</x:v>
      </x:c>
      <x:c r="S1132" s="13" t="str">
        <x:v>consideration</x:v>
      </x:c>
      <x:c r="T1132" s="16" t="str">
        <x:v>explicit | inferred | page_validated</x:v>
      </x:c>
      <x:c r="U1132" s="13" t="str">
        <x:v>high</x:v>
      </x:c>
      <x:c r="V1132" s="16" t="str">
        <x:v>black_patent_flip_flops</x:v>
      </x:c>
      <x:c r="W1132" s="16" t="str">
        <x:v>listing_gap_review</x:v>
      </x:c>
      <x:c r="X1132" s="16" t="str">
        <x:v>{"product_type":[{"value":"flip_flops","evidence_type":"explicit","source_span":"flip flops","fact_ids":[],"rationale":"术语中直接提及flip flops。"},{"value":"flip_flops","evidence_type":"page_validated","source_span":"","fact_ids":["style_flip_flop"],"rationale":"该槽位与商品基准中的明示页面事实一致。"}],"capability_intent":[{"value":"black","evidence_type":"page_validated","source_span":"","fact_ids":["colors_visible"],"rationale":"黑色在可选颜色范围内。"},{"value":"patent_finish","evidence_type":"inferred","source_span":"patent","fact_ids":[],"rationale":"patent指漆皮高光表面，产品页面未提及。"}],"asin_fit":[{"value":"partial_match","evidence_type":"page_validated","source_span":"","fact_ids":["colors_visible","material_eva"],"rationale":"黑色可选但EVA材质不具漆皮效果。"}],"primary_domain":[{"value":"clothing_shoes_jewelry","evidence_type":"inferred","source_span":"","fact_ids":[],"rationale":"该值由搜索词整体语义推断，未作为页面明示属性。"}]}</x:v>
      </x:c>
      <x:c r="Y1132" s="16" t="str"/>
      <x:c r="Z1132" s="13" t="str">
        <x:v>partial_match</x:v>
      </x:c>
      <x:c r="AA1132" s="16" t="str">
        <x:v>colors_visible | material_eva</x:v>
      </x:c>
      <x:c r="AB1132" s="13" t="str">
        <x:v>accepted</x:v>
      </x:c>
      <x:c r="AC1132" s="13" t="str">
        <x:v>1.0.0</x:v>
      </x:c>
      <x:c r="AD1132" s="13" t="str">
        <x:v>1.1.0</x:v>
      </x:c>
      <x:c r="AE1132" s="13" t="str">
        <x:v>deepseek/deepseek-v4-pro</x:v>
      </x:c>
      <x:c r="AF1132" s="13" t="str">
        <x:v>aj2-y90-20260714T234810-0bea2f52</x:v>
      </x:c>
      <x:c r="AG1132" s="13" t="str">
        <x:v>full-0057</x:v>
      </x:c>
      <x:c r="AH1132" s="13" t="str">
        <x:v>full</x:v>
      </x:c>
      <x:c r="AI1132" s="13" t="n">
        <x:v>57</x:v>
      </x:c>
    </x:row>
    <x:row r="1133" ht="34" customHeight="1">
      <x:c r="A1133" s="15" t="str">
        <x:v>beige ladies flip flops size 8 plantar fasciitis</x:v>
      </x:c>
      <x:c r="B1133" s="15" t="str">
        <x:v>beige ladies flip flops size 8 plantar fasciitis</x:v>
      </x:c>
      <x:c r="C1133" s="10" t="str">
        <x:v>9fb28621cdf83308</x:v>
      </x:c>
      <x:c r="D1133" s="10" t="str">
        <x:v>keyword</x:v>
      </x:c>
      <x:c r="E1133" s="10" t="str">
        <x:v>en</x:v>
      </x:c>
      <x:c r="F1133" s="10" t="str">
        <x:v>clothing_shoes_jewelry</x:v>
      </x:c>
      <x:c r="G1133" s="15" t="str"/>
      <x:c r="H1133" s="15" t="str">
        <x:v>flip_flops</x:v>
      </x:c>
      <x:c r="I1133" s="15" t="str">
        <x:v>women</x:v>
      </x:c>
      <x:c r="J1133" s="15" t="str">
        <x:v>foot_pain_relief</x:v>
      </x:c>
      <x:c r="K1133" s="15" t="str">
        <x:v>arch_support | beige</x:v>
      </x:c>
      <x:c r="L1133" s="15" t="str"/>
      <x:c r="M1133" s="15" t="str"/>
      <x:c r="N1133" s="15" t="str">
        <x:v>plantar_fasciitis | size_specific</x:v>
      </x:c>
      <x:c r="O1133" s="15" t="str"/>
      <x:c r="P1133" s="15" t="str"/>
      <x:c r="Q1133" s="15" t="str"/>
      <x:c r="R1133" s="15" t="str">
        <x:v>用户想为患有足底筋膜炎的女性寻找米色8码、具有足弓支撑功能的人字拖。</x:v>
      </x:c>
      <x:c r="S1133" s="10" t="str">
        <x:v>high_intent</x:v>
      </x:c>
      <x:c r="T1133" s="15" t="str">
        <x:v>explicit | page_validated</x:v>
      </x:c>
      <x:c r="U1133" s="10" t="str">
        <x:v>high</x:v>
      </x:c>
      <x:c r="V1133" s="15" t="str">
        <x:v>beige_flip_flops_plantar_fasciitis</x:v>
      </x:c>
      <x:c r="W1133" s="15" t="str">
        <x:v>listing_gap_review</x:v>
      </x:c>
      <x:c r="X1133" s="15" t="str">
        <x:v>{"product_type":[{"value":"flip_flops","evidence_type":"explicit","source_span":"flip flops","fact_ids":[],"rationale":"术语中直接提及flip flops。"},{"value":"flip_flops","evidence_type":"page_validated","source_span":"","fact_ids":["style_flip_flop"],"rationale":"该槽位与商品基准中的明示页面事实一致。"}],"audience_intent":[{"value":"women","evidence_type":"explicit","source_span":"ladies","fact_ids":[],"rationale":"术语中直接提及ladies。"},{"value":"women","evidence_type":"page_validated","source_span":"","fact_ids":["title_womens_flip_flop"],"rationale":"该槽位与商品基准中的明示页面事实一致。"},{"value":"women","evidence_type":"inferred","source_span":"","fact_ids":[],"rationale":"该能力由搜索词表达的任务或问题推断；页面事实仅用于验证商品承接。"}],"body_need_intent":[{"value":"plantar_fasciitis","evidence_type":"explicit","source_span":"plantar fasciitis","fact_ids":[],"rationale":"术语明确提及足底筋膜炎。"},{"value":"size_specific","evidence_type":"explicit","source_span":"size 8","fact_ids":[],"rationale":"术语明确指定8码。"}],"capability_intent":[{"value":"beige","evidence_type":"explicit","source_span":"beige","fact_ids":[],"rationale":"术语明确要求米色。"},{"value":"arch_support","evidence_type":"page_validated","source_span":"","fact_ids":["arch_support"],"rationale":"产品具备足弓支撑功能。"},{"value":"arch_support","evidence_type":"inferred","source_span":"","fact_ids":[],"rationale":"该能力由搜索词表达的任务或问题推断；页面事实仅用于验证商品承接。"}],"asin_fit":[{"value":"partial_match","evidence_type":"page_validated","source_span":"","fact_ids":["sizes_6_11","arch_support","colors_visible"],"rationale":"8码可选、有足弓支撑，但无米色。"}],"function_intent":[{"value":"foot_pain_relief","evidence_type":"inferred","source_span":"","fact_ids":[],"rationale":"该值由搜索词整体语义推断，未作为页面明示属性。"}],"primary_domain":[{"value":"clothing_shoes_jewelry","evidence_type":"inferred","source_span":"","fact_ids":[],"rationale":"该值由搜索词整体语义推断，未作为页面明示属性。"}]}</x:v>
      </x:c>
      <x:c r="Y1133" s="15" t="str"/>
      <x:c r="Z1133" s="10" t="str">
        <x:v>partial_match</x:v>
      </x:c>
      <x:c r="AA1133" s="15" t="str">
        <x:v>sizes_6_11 | arch_support | colors_visible</x:v>
      </x:c>
      <x:c r="AB1133" s="10" t="str">
        <x:v>accepted</x:v>
      </x:c>
      <x:c r="AC1133" s="10" t="str">
        <x:v>1.0.0</x:v>
      </x:c>
      <x:c r="AD1133" s="10" t="str">
        <x:v>1.1.0</x:v>
      </x:c>
      <x:c r="AE1133" s="10" t="str">
        <x:v>deepseek/deepseek-v4-pro</x:v>
      </x:c>
      <x:c r="AF1133" s="10" t="str">
        <x:v>aj2-y90-20260714T234810-0bea2f52</x:v>
      </x:c>
      <x:c r="AG1133" s="10" t="str">
        <x:v>full-0057</x:v>
      </x:c>
      <x:c r="AH1133" s="10" t="str">
        <x:v>full</x:v>
      </x:c>
      <x:c r="AI1133" s="10" t="n">
        <x:v>57</x:v>
      </x:c>
    </x:row>
    <x:row r="1134" ht="34" customHeight="1">
      <x:c r="A1134" s="16" t="str">
        <x:v>joomba flip flop</x:v>
      </x:c>
      <x:c r="B1134" s="16" t="str">
        <x:v>joomba flip flop</x:v>
      </x:c>
      <x:c r="C1134" s="13" t="str">
        <x:v>a418a5982054d460</x:v>
      </x:c>
      <x:c r="D1134" s="13" t="str">
        <x:v>keyword</x:v>
      </x:c>
      <x:c r="E1134" s="13" t="str">
        <x:v>en</x:v>
      </x:c>
      <x:c r="F1134" s="13" t="str">
        <x:v>clothing_shoes_jewelry</x:v>
      </x:c>
      <x:c r="G1134" s="16" t="str"/>
      <x:c r="H1134" s="16" t="str">
        <x:v>flip_flops</x:v>
      </x:c>
      <x:c r="I1134" s="16" t="str"/>
      <x:c r="J1134" s="16" t="str"/>
      <x:c r="K1134" s="16" t="str"/>
      <x:c r="L1134" s="16" t="str"/>
      <x:c r="M1134" s="16" t="str"/>
      <x:c r="N1134" s="16" t="str"/>
      <x:c r="O1134" s="16" t="str"/>
      <x:c r="P1134" s="16" t="str"/>
      <x:c r="Q1134" s="16" t="str"/>
      <x:c r="R1134" s="16" t="str">
        <x:v>用户想购买Joomra品牌的人字拖，搜索时拼写略有偏差。</x:v>
      </x:c>
      <x:c r="S1134" s="13" t="str">
        <x:v>brand_harvest</x:v>
      </x:c>
      <x:c r="T1134" s="16" t="str">
        <x:v>explicit | inferred | page_validated</x:v>
      </x:c>
      <x:c r="U1134" s="13" t="str">
        <x:v>high</x:v>
      </x:c>
      <x:c r="V1134" s="16" t="str">
        <x:v>joomra_brand_flip_flop</x:v>
      </x:c>
      <x:c r="W1134" s="16" t="str">
        <x:v>cluster_route</x:v>
      </x:c>
      <x:c r="X1134" s="16" t="str">
        <x:v>{"product_type":[{"value":"flip_flops","evidence_type":"explicit","source_span":"flip flop","fact_ids":[],"rationale":"术语中直接提及flip flop。"},{"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asin_fit":[{"value":"match","evidence_type":"page_validated","source_span":"","fact_ids":["title_womens_flip_flop","style_flip_flop"],"rationale":"Joomra品牌人字拖匹配，joomba为拼写变体。"}],"primary_domain":[{"value":"clothing_shoes_jewelry","evidence_type":"inferred","source_span":"","fact_ids":[],"rationale":"该值由搜索词整体语义推断，未作为页面明示属性。"}]}</x:v>
      </x:c>
      <x:c r="Y1134" s="16" t="str">
        <x:v>brand_spelling_variant</x:v>
      </x:c>
      <x:c r="Z1134" s="13" t="str">
        <x:v>match</x:v>
      </x:c>
      <x:c r="AA1134" s="16" t="str">
        <x:v>title_womens_flip_flop | style_flip_flop</x:v>
      </x:c>
      <x:c r="AB1134" s="13" t="str">
        <x:v>accepted</x:v>
      </x:c>
      <x:c r="AC1134" s="13" t="str">
        <x:v>1.0.0</x:v>
      </x:c>
      <x:c r="AD1134" s="13" t="str">
        <x:v>1.1.0</x:v>
      </x:c>
      <x:c r="AE1134" s="13" t="str">
        <x:v>deepseek/deepseek-v4-pro</x:v>
      </x:c>
      <x:c r="AF1134" s="13" t="str">
        <x:v>aj2-y90-20260714T234810-0bea2f52</x:v>
      </x:c>
      <x:c r="AG1134" s="13" t="str">
        <x:v>full-0057</x:v>
      </x:c>
      <x:c r="AH1134" s="13" t="str">
        <x:v>full</x:v>
      </x:c>
      <x:c r="AI1134" s="13" t="n">
        <x:v>57</x:v>
      </x:c>
    </x:row>
    <x:row r="1135" ht="34" customHeight="1">
      <x:c r="A1135" s="15" t="str">
        <x:v>womens huaraches for water</x:v>
      </x:c>
      <x:c r="B1135" s="15" t="str">
        <x:v>womens huaraches for water</x:v>
      </x:c>
      <x:c r="C1135" s="10" t="str">
        <x:v>bcb179f61efb382c</x:v>
      </x:c>
      <x:c r="D1135" s="10" t="str">
        <x:v>keyword</x:v>
      </x:c>
      <x:c r="E1135" s="10" t="str">
        <x:v>en</x:v>
      </x:c>
      <x:c r="F1135" s="10" t="str">
        <x:v>clothing_shoes_jewelry</x:v>
      </x:c>
      <x:c r="G1135" s="15" t="str">
        <x:v>sports_outdoors</x:v>
      </x:c>
      <x:c r="H1135" s="15" t="str">
        <x:v>huaraches | water_shoes</x:v>
      </x:c>
      <x:c r="I1135" s="15" t="str">
        <x:v>women</x:v>
      </x:c>
      <x:c r="J1135" s="15" t="str">
        <x:v>water_use</x:v>
      </x:c>
      <x:c r="K1135" s="15" t="str"/>
      <x:c r="L1135" s="15" t="str">
        <x:v>water_activity</x:v>
      </x:c>
      <x:c r="M1135" s="15" t="str"/>
      <x:c r="N1135" s="15" t="str"/>
      <x:c r="O1135" s="15" t="str"/>
      <x:c r="P1135" s="15" t="str"/>
      <x:c r="Q1135" s="15" t="str"/>
      <x:c r="R1135" s="15" t="str">
        <x:v>用户想为女性寻找适合在水中穿着的编织风格凉鞋。</x:v>
      </x:c>
      <x:c r="S1135" s="10" t="str">
        <x:v>consideration</x:v>
      </x:c>
      <x:c r="T1135" s="15" t="str">
        <x:v>explicit | inferred | page_validated</x:v>
      </x:c>
      <x:c r="U1135" s="10" t="str">
        <x:v>high</x:v>
      </x:c>
      <x:c r="V1135" s="15" t="str">
        <x:v>womens_huaraches_water</x:v>
      </x:c>
      <x:c r="W1135" s="15" t="str">
        <x:v>semantic_negative_candidate</x:v>
      </x:c>
      <x:c r="X1135" s="15" t="str">
        <x:v>{"product_type":[{"value":"huaraches","evidence_type":"explicit","source_span":"huaraches","fact_ids":[],"rationale":"术语中直接提及huaraches。"},{"value":"water_shoes","evidence_type":"inferred","source_span":"for water","fact_ids":[],"rationale":"水中使用暗示水鞋品类。"}],"audience_intent":[{"value":"women","evidence_type":"explicit","source_span":"womens","fact_ids":[],"rationale":"术语中直接提及womens。"},{"value":"women","evidence_type":"page_validated","source_span":"","fact_ids":["title_womens_flip_flop"],"rationale":"该槽位与商品基准中的明示页面事实一致。"}],"function_intent":[{"value":"water_use","evidence_type":"explicit","source_span":"for water","fact_ids":[],"rationale":"术语中明确要求涉水使用。"}],"event_intent":[{"value":"water_activity","evidence_type":"inferred","source_span":"for water","fact_ids":[],"rationale":"涉水使用暗示水上活动场景。"}],"asin_fit":[{"value":"mismatch","evidence_type":"page_validated","source_span":"","fact_ids":["style_flip_flop","style_thong"],"rationale":"产品为人字拖而非编织凉鞋，且不具防水宣称。"}],"primary_domain":[{"value":"clothing_shoes_jewelry","evidence_type":"inferred","source_span":"","fact_ids":[],"rationale":"该值由搜索词整体语义推断，未作为页面明示属性。"}],"secondary_domain":[{"value":"sports_outdoors","evidence_type":"inferred","source_span":"","fact_ids":[],"rationale":"该值由搜索词整体语义推断，未作为页面明示属性。"}]}</x:v>
      </x:c>
      <x:c r="Y1135" s="15" t="str"/>
      <x:c r="Z1135" s="10" t="str">
        <x:v>mismatch</x:v>
      </x:c>
      <x:c r="AA1135" s="15" t="str">
        <x:v>style_flip_flop | style_thong</x:v>
      </x:c>
      <x:c r="AB1135" s="10" t="str">
        <x:v>accepted</x:v>
      </x:c>
      <x:c r="AC1135" s="10" t="str">
        <x:v>1.0.0</x:v>
      </x:c>
      <x:c r="AD1135" s="10" t="str">
        <x:v>1.1.0</x:v>
      </x:c>
      <x:c r="AE1135" s="10" t="str">
        <x:v>deepseek/deepseek-v4-pro</x:v>
      </x:c>
      <x:c r="AF1135" s="10" t="str">
        <x:v>aj2-y90-20260714T234810-0bea2f52</x:v>
      </x:c>
      <x:c r="AG1135" s="10" t="str">
        <x:v>full-0057</x:v>
      </x:c>
      <x:c r="AH1135" s="10" t="str">
        <x:v>full</x:v>
      </x:c>
      <x:c r="AI1135" s="10" t="n">
        <x:v>57</x:v>
      </x:c>
    </x:row>
    <x:row r="1136" ht="34" customHeight="1">
      <x:c r="A1136" s="16" t="str">
        <x:v>beach flip flop light blue</x:v>
      </x:c>
      <x:c r="B1136" s="16" t="str">
        <x:v>beach flip flop light blue</x:v>
      </x:c>
      <x:c r="C1136" s="13" t="str">
        <x:v>bfdabd1472e43888</x:v>
      </x:c>
      <x:c r="D1136" s="13" t="str">
        <x:v>keyword</x:v>
      </x:c>
      <x:c r="E1136" s="13" t="str">
        <x:v>en</x:v>
      </x:c>
      <x:c r="F1136" s="13" t="str">
        <x:v>clothing_shoes_jewelry</x:v>
      </x:c>
      <x:c r="G1136" s="16" t="str">
        <x:v>sports_outdoors</x:v>
      </x:c>
      <x:c r="H1136" s="16" t="str">
        <x:v>flip_flops</x:v>
      </x:c>
      <x:c r="I1136" s="16" t="str"/>
      <x:c r="J1136" s="16" t="str"/>
      <x:c r="K1136" s="16" t="str">
        <x:v>light_blue</x:v>
      </x:c>
      <x:c r="L1136" s="16" t="str">
        <x:v>beach_outing</x:v>
      </x:c>
      <x:c r="M1136" s="16" t="str">
        <x:v>beach</x:v>
      </x:c>
      <x:c r="N1136" s="16" t="str"/>
      <x:c r="O1136" s="16" t="str"/>
      <x:c r="P1136" s="16" t="str"/>
      <x:c r="Q1136" s="16" t="str"/>
      <x:c r="R1136" s="16" t="str">
        <x:v>用户想寻找浅蓝色、适合沙滩穿着的人字拖。</x:v>
      </x:c>
      <x:c r="S1136" s="13" t="str">
        <x:v>consideration</x:v>
      </x:c>
      <x:c r="T1136" s="16" t="str">
        <x:v>explicit | page_validated</x:v>
      </x:c>
      <x:c r="U1136" s="13" t="str">
        <x:v>high</x:v>
      </x:c>
      <x:c r="V1136" s="16" t="str">
        <x:v>beach_flip_flops_light_blue</x:v>
      </x:c>
      <x:c r="W1136" s="16" t="str">
        <x:v>cluster_route</x:v>
      </x:c>
      <x:c r="X1136" s="16" t="str">
        <x:v>{"product_type":[{"value":"flip_flops","evidence_type":"explicit","source_span":"flip flop","fact_ids":[],"rationale":"术语中直接提及flip flop。"},{"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location_intent":[{"value":"beach","evidence_type":"explicit","source_span":"beach","fact_ids":[],"rationale":"术语中直接提及beach。"}],"capability_intent":[{"value":"light_blue","evidence_type":"page_validated","source_span":"","fact_ids":["colors_visible"],"rationale":"浅蓝色在可选颜色中。"}],"asin_fit":[{"value":"match","evidence_type":"page_validated","source_span":"","fact_ids":["colors_visible","style_outdoor"],"rationale":"有浅蓝色选项且产品定位户外穿着。"}],"event_intent":[{"value":"beach_outing","evidence_type":"inferred","source_span":"","fact_ids":[],"rationale":"该值由搜索词整体语义推断，未作为页面明示属性。"}],"primary_domain":[{"value":"clothing_shoes_jewelry","evidence_type":"inferred","source_span":"","fact_ids":[],"rationale":"该值由搜索词整体语义推断，未作为页面明示属性。"}],"secondary_domain":[{"value":"sports_outdoors","evidence_type":"inferred","source_span":"","fact_ids":[],"rationale":"该值由搜索词整体语义推断，未作为页面明示属性。"}]}</x:v>
      </x:c>
      <x:c r="Y1136" s="16" t="str"/>
      <x:c r="Z1136" s="13" t="str">
        <x:v>match</x:v>
      </x:c>
      <x:c r="AA1136" s="16" t="str">
        <x:v>colors_visible | style_outdoor</x:v>
      </x:c>
      <x:c r="AB1136" s="13" t="str">
        <x:v>accepted</x:v>
      </x:c>
      <x:c r="AC1136" s="13" t="str">
        <x:v>1.0.0</x:v>
      </x:c>
      <x:c r="AD1136" s="13" t="str">
        <x:v>1.1.0</x:v>
      </x:c>
      <x:c r="AE1136" s="13" t="str">
        <x:v>deepseek/deepseek-v4-pro</x:v>
      </x:c>
      <x:c r="AF1136" s="13" t="str">
        <x:v>aj2-y90-20260714T234810-0bea2f52</x:v>
      </x:c>
      <x:c r="AG1136" s="13" t="str">
        <x:v>full-0057</x:v>
      </x:c>
      <x:c r="AH1136" s="13" t="str">
        <x:v>full</x:v>
      </x:c>
      <x:c r="AI1136" s="13" t="n">
        <x:v>57</x:v>
      </x:c>
    </x:row>
    <x:row r="1137" ht="34" customHeight="1">
      <x:c r="A1137" s="15" t="str">
        <x:v>flip flops for women beach with glitter</x:v>
      </x:c>
      <x:c r="B1137" s="15" t="str">
        <x:v>flip flops for women beach with glitter</x:v>
      </x:c>
      <x:c r="C1137" s="10" t="str">
        <x:v>c2047a462a277df6</x:v>
      </x:c>
      <x:c r="D1137" s="10" t="str">
        <x:v>keyword</x:v>
      </x:c>
      <x:c r="E1137" s="10" t="str">
        <x:v>en</x:v>
      </x:c>
      <x:c r="F1137" s="10" t="str">
        <x:v>clothing_shoes_jewelry</x:v>
      </x:c>
      <x:c r="G1137" s="15" t="str">
        <x:v>sports_outdoors</x:v>
      </x:c>
      <x:c r="H1137" s="15" t="str">
        <x:v>flip_flops</x:v>
      </x:c>
      <x:c r="I1137" s="15" t="str">
        <x:v>women</x:v>
      </x:c>
      <x:c r="J1137" s="15" t="str"/>
      <x:c r="K1137" s="15" t="str">
        <x:v>glitter_finish</x:v>
      </x:c>
      <x:c r="L1137" s="15" t="str">
        <x:v>beach_outing</x:v>
      </x:c>
      <x:c r="M1137" s="15" t="str">
        <x:v>beach</x:v>
      </x:c>
      <x:c r="N1137" s="15" t="str"/>
      <x:c r="O1137" s="15" t="str"/>
      <x:c r="P1137" s="15" t="str"/>
      <x:c r="Q1137" s="15" t="str"/>
      <x:c r="R1137" s="15" t="str">
        <x:v>用户想为女性寻找带闪光装饰、适合沙滩穿着的时尚人字拖。</x:v>
      </x:c>
      <x:c r="S1137" s="10" t="str">
        <x:v>consideration</x:v>
      </x:c>
      <x:c r="T1137" s="15" t="str">
        <x:v>explicit | inferred | page_validated</x:v>
      </x:c>
      <x:c r="U1137" s="10" t="str">
        <x:v>high</x:v>
      </x:c>
      <x:c r="V1137" s="15" t="str">
        <x:v>glitter_beach_flip_flops_women</x:v>
      </x:c>
      <x:c r="W1137" s="15" t="str">
        <x:v>listing_gap_review</x:v>
      </x:c>
      <x:c r="X1137" s="15" t="str">
        <x:v>{"product_type":[{"value":"flip_flops","evidence_type":"explicit","source_span":"flip flops","fact_ids":[],"rationale":"术语中直接提及flip flops。"},{"value":"flip_flops","evidence_type":"page_validated","source_span":"","fact_ids":["style_flip_flop"],"rationale":"该槽位与商品基准中的明示页面事实一致。"}],"audience_intent":[{"value":"women","evidence_type":"explicit","source_span":"women","fact_ids":[],"rationale":"术语中直接提及women。"},{"value":"women","evidence_type":"page_validated","source_span":"","fact_ids":["title_womens_flip_flop"],"rationale":"该槽位与商品基准中的明示页面事实一致。"}],"location_intent":[{"value":"beach","evidence_type":"explicit","source_span":"beach","fact_ids":[],"rationale":"术语中直接提及beach。"}],"event_intent":[{"value":"beach_outing","evidence_type":"inferred","source_span":"beach","fact_ids":[],"rationale":"沙滩场景暗示户外沙滩活动。"}],"capability_intent":[{"value":"glitter_finish","evidence_type":"explicit","source_span":"glitter","fact_ids":[],"rationale":"术语明确要求闪光装饰。"}],"asin_fit":[{"value":"partial_match","evidence_type":"page_validated","source_span":"","fact_ids":["title_womens_flip_flop","style_outdoor"],"rationale":"女式户外人字拖，但无闪光装饰。"}],"primary_domain":[{"value":"clothing_shoes_jewelry","evidence_type":"inferred","source_span":"","fact_ids":[],"rationale":"该值由搜索词整体语义推断，未作为页面明示属性。"}],"secondary_domain":[{"value":"sports_outdoors","evidence_type":"inferred","source_span":"","fact_ids":[],"rationale":"该值由搜索词整体语义推断，未作为页面明示属性。"}]}</x:v>
      </x:c>
      <x:c r="Y1137" s="15" t="str"/>
      <x:c r="Z1137" s="10" t="str">
        <x:v>partial_match</x:v>
      </x:c>
      <x:c r="AA1137" s="15" t="str">
        <x:v>title_womens_flip_flop | style_outdoor</x:v>
      </x:c>
      <x:c r="AB1137" s="10" t="str">
        <x:v>accepted</x:v>
      </x:c>
      <x:c r="AC1137" s="10" t="str">
        <x:v>1.0.0</x:v>
      </x:c>
      <x:c r="AD1137" s="10" t="str">
        <x:v>1.1.0</x:v>
      </x:c>
      <x:c r="AE1137" s="10" t="str">
        <x:v>deepseek/deepseek-v4-pro</x:v>
      </x:c>
      <x:c r="AF1137" s="10" t="str">
        <x:v>aj2-y90-20260714T234810-0bea2f52</x:v>
      </x:c>
      <x:c r="AG1137" s="10" t="str">
        <x:v>full-0057</x:v>
      </x:c>
      <x:c r="AH1137" s="10" t="str">
        <x:v>full</x:v>
      </x:c>
      <x:c r="AI1137" s="10" t="n">
        <x:v>57</x:v>
      </x:c>
    </x:row>
    <x:row r="1138" ht="34" customHeight="1">
      <x:c r="A1138" s="16" t="str">
        <x:v>joomra</x:v>
      </x:c>
      <x:c r="B1138" s="16" t="str">
        <x:v>joomra</x:v>
      </x:c>
      <x:c r="C1138" s="13" t="str">
        <x:v>e26c93549cc1ad98</x:v>
      </x:c>
      <x:c r="D1138" s="13" t="str">
        <x:v>keyword</x:v>
      </x:c>
      <x:c r="E1138" s="13" t="str">
        <x:v>en</x:v>
      </x:c>
      <x:c r="F1138" s="13" t="str">
        <x:v>clothing_shoes_jewelry</x:v>
      </x:c>
      <x:c r="G1138" s="16" t="str"/>
      <x:c r="H1138" s="16" t="str">
        <x:v>flip_flops</x:v>
      </x:c>
      <x:c r="I1138" s="16" t="str"/>
      <x:c r="J1138" s="16" t="str"/>
      <x:c r="K1138" s="16" t="str"/>
      <x:c r="L1138" s="16" t="str"/>
      <x:c r="M1138" s="16" t="str"/>
      <x:c r="N1138" s="16" t="str"/>
      <x:c r="O1138" s="16" t="str"/>
      <x:c r="P1138" s="16" t="str"/>
      <x:c r="Q1138" s="16" t="str"/>
      <x:c r="R1138" s="16" t="str">
        <x:v>用户直接搜索Joomra品牌，意图浏览该品牌的全线产品。</x:v>
      </x:c>
      <x:c r="S1138" s="13" t="str">
        <x:v>brand_harvest</x:v>
      </x:c>
      <x:c r="T1138" s="16" t="str">
        <x:v>explicit | page_validated</x:v>
      </x:c>
      <x:c r="U1138" s="13" t="str">
        <x:v>high</x:v>
      </x:c>
      <x:c r="V1138" s="16" t="str">
        <x:v>joomra_brand</x:v>
      </x:c>
      <x:c r="W1138" s="16" t="str">
        <x:v>cluster_route</x:v>
      </x:c>
      <x:c r="X1138" s="16" t="str">
        <x:v>{"product_type":[{"value":"flip_flops","evidence_type":"inferred","source_span":"","fact_ids":[],"rationale":"品牌关联人字拖品类，产品页面为女式人字拖。"},{"value":"flip_flops","evidence_type":"page_validated","source_span":"","fact_ids":["style_flip_flop"],"rationale":"该槽位与商品基准中的明示页面事实一致。"}],"asin_fit":[{"value":"match","evidence_type":"page_validated","source_span":"","fact_ids":["title_womens_flip_flop"],"rationale":"搜索词与产品品牌精确匹配。"}],"primary_domain":[{"value":"clothing_shoes_jewelry","evidence_type":"inferred","source_span":"","fact_ids":[],"rationale":"该值由搜索词整体语义推断，未作为页面明示属性。"}],"brand":[{"value":"joomra","evidence_type":"explicit","source_span":"joomra","fact_ids":[],"rationale":"搜索词明确包含品牌名称。"}]}</x:v>
      </x:c>
      <x:c r="Y1138" s="16" t="str"/>
      <x:c r="Z1138" s="13" t="str">
        <x:v>match</x:v>
      </x:c>
      <x:c r="AA1138" s="16" t="str">
        <x:v>title_womens_flip_flop</x:v>
      </x:c>
      <x:c r="AB1138" s="13" t="str">
        <x:v>accepted</x:v>
      </x:c>
      <x:c r="AC1138" s="13" t="str">
        <x:v>1.0.0</x:v>
      </x:c>
      <x:c r="AD1138" s="13" t="str">
        <x:v>1.1.0</x:v>
      </x:c>
      <x:c r="AE1138" s="13" t="str">
        <x:v>deepseek/deepseek-v4-pro</x:v>
      </x:c>
      <x:c r="AF1138" s="13" t="str">
        <x:v>aj2-y90-20260714T234810-0bea2f52</x:v>
      </x:c>
      <x:c r="AG1138" s="13" t="str">
        <x:v>full-0057</x:v>
      </x:c>
      <x:c r="AH1138" s="13" t="str">
        <x:v>full</x:v>
      </x:c>
      <x:c r="AI1138" s="13" t="n">
        <x:v>57</x:v>
      </x:c>
    </x:row>
    <x:row r="1139" ht="34" customHeight="1">
      <x:c r="A1139" s="15" t="str">
        <x:v>flip flops very similar to archies</x:v>
      </x:c>
      <x:c r="B1139" s="15" t="str">
        <x:v>flip flops very similar to archies</x:v>
      </x:c>
      <x:c r="C1139" s="10" t="str">
        <x:v>eca539d48ea6e6e9</x:v>
      </x:c>
      <x:c r="D1139" s="10" t="str">
        <x:v>keyword</x:v>
      </x:c>
      <x:c r="E1139" s="10" t="str">
        <x:v>en</x:v>
      </x:c>
      <x:c r="F1139" s="10" t="str">
        <x:v>clothing_shoes_jewelry</x:v>
      </x:c>
      <x:c r="G1139" s="15" t="str"/>
      <x:c r="H1139" s="15" t="str">
        <x:v>flip_flops</x:v>
      </x:c>
      <x:c r="I1139" s="15" t="str"/>
      <x:c r="J1139" s="15" t="str"/>
      <x:c r="K1139" s="15" t="str">
        <x:v>arch_support</x:v>
      </x:c>
      <x:c r="L1139" s="15" t="str"/>
      <x:c r="M1139" s="15" t="str"/>
      <x:c r="N1139" s="15" t="str"/>
      <x:c r="O1139" s="15" t="str"/>
      <x:c r="P1139" s="15" t="str">
        <x:v>archies_alternative</x:v>
      </x:c>
      <x:c r="Q1139" s="15" t="str"/>
      <x:c r="R1139" s="15" t="str">
        <x:v>用户想寻找与Archies品牌相似、具有足弓支撑功能的人字拖替代品。</x:v>
      </x:c>
      <x:c r="S1139" s="10" t="str">
        <x:v>consideration</x:v>
      </x:c>
      <x:c r="T1139" s="15" t="str">
        <x:v>explicit | inferred | page_validated</x:v>
      </x:c>
      <x:c r="U1139" s="10" t="str">
        <x:v>medium</x:v>
      </x:c>
      <x:c r="V1139" s="15" t="str">
        <x:v>archies_alternative_flip_flops</x:v>
      </x:c>
      <x:c r="W1139" s="15" t="str">
        <x:v>cluster_route</x:v>
      </x:c>
      <x:c r="X1139" s="15" t="str">
        <x:v>{"product_type":[{"value":"flip_flops","evidence_type":"explicit","source_span":"flip flops","fact_ids":[],"rationale":"术语中直接提及flip flops。"},{"value":"flip_flops","evidence_type":"page_validated","source_span":"","fact_ids":["style_flip_flop"],"rationale":"该槽位与商品基准中的明示页面事实一致。"}],"substitute_intent":[{"value":"archies_alternative","evidence_type":"explicit","source_span":"very similar to archies","fact_ids":[],"rationale":"明确寻求Archies类似产品。"}],"capability_intent":[{"value":"arch_support","evidence_type":"page_validated","source_span":"","fact_ids":["arch_support"],"rationale":"Archies以足弓支撑著称，产品具备相同功能。"},{"value":"arch_support","evidence_type":"inferred","source_span":"","fact_ids":[],"rationale":"该能力由搜索词表达的任务或问题推断；页面事实仅用于验证商品承接。"}],"asin_fit":[{"value":"match","evidence_type":"page_validated","source_span":"","fact_ids":["arch_support","style_flip_flop"],"rationale":"产品为具有足弓支撑的人字拖，可替代Archies。"}],"primary_domain":[{"value":"clothing_shoes_jewelry","evidence_type":"inferred","source_span":"","fact_ids":[],"rationale":"该值由搜索词整体语义推断，未作为页面明示属性。"}]}</x:v>
      </x:c>
      <x:c r="Y1139" s="15" t="str"/>
      <x:c r="Z1139" s="10" t="str">
        <x:v>match</x:v>
      </x:c>
      <x:c r="AA1139" s="15" t="str">
        <x:v>arch_support | style_flip_flop</x:v>
      </x:c>
      <x:c r="AB1139" s="10" t="str">
        <x:v>accepted</x:v>
      </x:c>
      <x:c r="AC1139" s="10" t="str">
        <x:v>1.0.0</x:v>
      </x:c>
      <x:c r="AD1139" s="10" t="str">
        <x:v>1.1.0</x:v>
      </x:c>
      <x:c r="AE1139" s="10" t="str">
        <x:v>deepseek/deepseek-v4-pro</x:v>
      </x:c>
      <x:c r="AF1139" s="10" t="str">
        <x:v>aj2-y90-20260714T234810-0bea2f52</x:v>
      </x:c>
      <x:c r="AG1139" s="10" t="str">
        <x:v>full-0057</x:v>
      </x:c>
      <x:c r="AH1139" s="10" t="str">
        <x:v>full</x:v>
      </x:c>
      <x:c r="AI1139" s="10" t="n">
        <x:v>57</x:v>
      </x:c>
    </x:row>
    <x:row r="1140" ht="34" customHeight="1">
      <x:c r="A1140" s="16" t="str">
        <x:v>womens flip flips size 8</x:v>
      </x:c>
      <x:c r="B1140" s="16" t="str">
        <x:v>womens flip flips size 8</x:v>
      </x:c>
      <x:c r="C1140" s="13" t="str">
        <x:v>efb2c4b6971962a4</x:v>
      </x:c>
      <x:c r="D1140" s="13" t="str">
        <x:v>keyword</x:v>
      </x:c>
      <x:c r="E1140" s="13" t="str">
        <x:v>en</x:v>
      </x:c>
      <x:c r="F1140" s="13" t="str">
        <x:v>clothing_shoes_jewelry</x:v>
      </x:c>
      <x:c r="G1140" s="16" t="str"/>
      <x:c r="H1140" s="16" t="str">
        <x:v>flip_flops</x:v>
      </x:c>
      <x:c r="I1140" s="16" t="str">
        <x:v>women</x:v>
      </x:c>
      <x:c r="J1140" s="16" t="str"/>
      <x:c r="K1140" s="16" t="str"/>
      <x:c r="L1140" s="16" t="str"/>
      <x:c r="M1140" s="16" t="str"/>
      <x:c r="N1140" s="16" t="str">
        <x:v>size_specific</x:v>
      </x:c>
      <x:c r="O1140" s="16" t="str"/>
      <x:c r="P1140" s="16" t="str"/>
      <x:c r="Q1140" s="16" t="str"/>
      <x:c r="R1140" s="16" t="str">
        <x:v>用户想为女性购买8码的人字拖。</x:v>
      </x:c>
      <x:c r="S1140" s="13" t="str">
        <x:v>high_intent</x:v>
      </x:c>
      <x:c r="T1140" s="16" t="str">
        <x:v>explicit | page_validated</x:v>
      </x:c>
      <x:c r="U1140" s="13" t="str">
        <x:v>high</x:v>
      </x:c>
      <x:c r="V1140" s="16" t="str">
        <x:v>womens_flip_flops_size_8</x:v>
      </x:c>
      <x:c r="W1140" s="16" t="str">
        <x:v>cluster_route</x:v>
      </x:c>
      <x:c r="X1140" s="16" t="str">
        <x:v>{"product_type":[{"value":"flip_flops","evidence_type":"explicit","source_span":"flip flips","fact_ids":[],"rationale":"术语中直接提及flip flips（拼写变体）。"},{"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audience_intent":[{"value":"women","evidence_type":"explicit","source_span":"womens","fact_ids":[],"rationale":"术语中直接提及womens。"},{"value":"women","evidence_type":"page_validated","source_span":"","fact_ids":["title_womens_flip_flop"],"rationale":"该槽位与商品基准中的明示页面事实一致。"}],"body_need_intent":[{"value":"size_specific","evidence_type":"explicit","source_span":"size 8","fact_ids":[],"rationale":"术语明确指定8码尺码。"}],"asin_fit":[{"value":"match","evidence_type":"page_validated","source_span":"","fact_ids":["sizes_6_11","title_womens_flip_flop"],"rationale":"8码在可选尺码6-11范围内。"}],"primary_domain":[{"value":"clothing_shoes_jewelry","evidence_type":"inferred","source_span":"","fact_ids":[],"rationale":"该值由搜索词整体语义推断，未作为页面明示属性。"}]}</x:v>
      </x:c>
      <x:c r="Y1140" s="16" t="str"/>
      <x:c r="Z1140" s="13" t="str">
        <x:v>match</x:v>
      </x:c>
      <x:c r="AA1140" s="16" t="str">
        <x:v>sizes_6_11 | title_womens_flip_flop</x:v>
      </x:c>
      <x:c r="AB1140" s="13" t="str">
        <x:v>accepted</x:v>
      </x:c>
      <x:c r="AC1140" s="13" t="str">
        <x:v>1.0.0</x:v>
      </x:c>
      <x:c r="AD1140" s="13" t="str">
        <x:v>1.1.0</x:v>
      </x:c>
      <x:c r="AE1140" s="13" t="str">
        <x:v>deepseek/deepseek-v4-pro</x:v>
      </x:c>
      <x:c r="AF1140" s="13" t="str">
        <x:v>aj2-y90-20260714T234810-0bea2f52</x:v>
      </x:c>
      <x:c r="AG1140" s="13" t="str">
        <x:v>full-0057</x:v>
      </x:c>
      <x:c r="AH1140" s="13" t="str">
        <x:v>full</x:v>
      </x:c>
      <x:c r="AI1140" s="13" t="n">
        <x:v>57</x:v>
      </x:c>
    </x:row>
    <x:row r="1141" ht="34" customHeight="1">
      <x:c r="A1141" s="15" t="str">
        <x:v>flipflop for women</x:v>
      </x:c>
      <x:c r="B1141" s="15" t="str">
        <x:v>flipflop for women</x:v>
      </x:c>
      <x:c r="C1141" s="10" t="str">
        <x:v>f306879c3fb8beab</x:v>
      </x:c>
      <x:c r="D1141" s="10" t="str">
        <x:v>keyword</x:v>
      </x:c>
      <x:c r="E1141" s="10" t="str">
        <x:v>en</x:v>
      </x:c>
      <x:c r="F1141" s="10" t="str">
        <x:v>clothing_shoes_jewelry</x:v>
      </x:c>
      <x:c r="G1141" s="15" t="str"/>
      <x:c r="H1141" s="15" t="str">
        <x:v>flip_flops</x:v>
      </x:c>
      <x:c r="I1141" s="15" t="str">
        <x:v>women</x:v>
      </x:c>
      <x:c r="J1141" s="15" t="str"/>
      <x:c r="K1141" s="15" t="str"/>
      <x:c r="L1141" s="15" t="str"/>
      <x:c r="M1141" s="15" t="str"/>
      <x:c r="N1141" s="15" t="str"/>
      <x:c r="O1141" s="15" t="str"/>
      <x:c r="P1141" s="15" t="str"/>
      <x:c r="Q1141" s="15" t="str"/>
      <x:c r="R1141" s="15" t="str">
        <x:v>用户想为女性选购人字拖。</x:v>
      </x:c>
      <x:c r="S1141" s="10" t="str">
        <x:v>exploration</x:v>
      </x:c>
      <x:c r="T1141" s="15" t="str">
        <x:v>explicit | page_validated</x:v>
      </x:c>
      <x:c r="U1141" s="10" t="str">
        <x:v>high</x:v>
      </x:c>
      <x:c r="V1141" s="15" t="str">
        <x:v>womens_flip_flop</x:v>
      </x:c>
      <x:c r="W1141" s="15" t="str">
        <x:v>cluster_route</x:v>
      </x:c>
      <x:c r="X1141" s="15" t="str">
        <x:v>{"product_type":[{"value":"flip_flops","evidence_type":"explicit","source_span":"flipflop","fact_ids":[],"rationale":"术语中直接提及flipflop。"},{"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audience_intent":[{"value":"women","evidence_type":"explicit","source_span":"women","fact_ids":[],"rationale":"术语中直接提及women。"},{"value":"women","evidence_type":"page_validated","source_span":"","fact_ids":["title_womens_flip_flop"],"rationale":"该槽位与商品基准中的明示页面事实一致。"}],"asin_fit":[{"value":"match","evidence_type":"page_validated","source_span":"","fact_ids":["title_womens_flip_flop"],"rationale":"产品标题明确为女式人字拖。"}],"primary_domain":[{"value":"clothing_shoes_jewelry","evidence_type":"inferred","source_span":"","fact_ids":[],"rationale":"该值由搜索词整体语义推断，未作为页面明示属性。"}]}</x:v>
      </x:c>
      <x:c r="Y1141" s="15" t="str"/>
      <x:c r="Z1141" s="10" t="str">
        <x:v>match</x:v>
      </x:c>
      <x:c r="AA1141" s="15" t="str">
        <x:v>title_womens_flip_flop</x:v>
      </x:c>
      <x:c r="AB1141" s="10" t="str">
        <x:v>accepted</x:v>
      </x:c>
      <x:c r="AC1141" s="10" t="str">
        <x:v>1.0.0</x:v>
      </x:c>
      <x:c r="AD1141" s="10" t="str">
        <x:v>1.1.0</x:v>
      </x:c>
      <x:c r="AE1141" s="10" t="str">
        <x:v>deepseek/deepseek-v4-pro</x:v>
      </x:c>
      <x:c r="AF1141" s="10" t="str">
        <x:v>aj2-y90-20260714T234810-0bea2f52</x:v>
      </x:c>
      <x:c r="AG1141" s="10" t="str">
        <x:v>full-0057</x:v>
      </x:c>
      <x:c r="AH1141" s="10" t="str">
        <x:v>full</x:v>
      </x:c>
      <x:c r="AI1141" s="10" t="n">
        <x:v>57</x:v>
      </x:c>
    </x:row>
    <x:row r="1142" ht="34" customHeight="1">
      <x:c r="A1142" s="16" t="str">
        <x:v>flipflops with memory foam</x:v>
      </x:c>
      <x:c r="B1142" s="16" t="str">
        <x:v>flipflops with memory foam</x:v>
      </x:c>
      <x:c r="C1142" s="13" t="str">
        <x:v>09c8b9b3edf725db</x:v>
      </x:c>
      <x:c r="D1142" s="13" t="str">
        <x:v>keyword</x:v>
      </x:c>
      <x:c r="E1142" s="13" t="str">
        <x:v>en</x:v>
      </x:c>
      <x:c r="F1142" s="13" t="str">
        <x:v>clothing_shoes_jewelry</x:v>
      </x:c>
      <x:c r="G1142" s="16" t="str"/>
      <x:c r="H1142" s="16" t="str">
        <x:v>flip_flops</x:v>
      </x:c>
      <x:c r="I1142" s="16" t="str"/>
      <x:c r="J1142" s="16" t="str">
        <x:v>cushioning | comfort</x:v>
      </x:c>
      <x:c r="K1142" s="16" t="str">
        <x:v>memory_foam</x:v>
      </x:c>
      <x:c r="L1142" s="16" t="str"/>
      <x:c r="M1142" s="16" t="str"/>
      <x:c r="N1142" s="16" t="str">
        <x:v>cushioning_need</x:v>
      </x:c>
      <x:c r="O1142" s="16" t="str"/>
      <x:c r="P1142" s="16" t="str"/>
      <x:c r="Q1142" s="16" t="str"/>
      <x:c r="R1142" s="16" t="str">
        <x:v>用户寻找带有记忆棉材质的人字拖以获得柔软舒适的脚感。</x:v>
      </x:c>
      <x:c r="S1142" s="13" t="str">
        <x:v>consideration</x:v>
      </x:c>
      <x:c r="T1142" s="16" t="str">
        <x:v>explicit | page_validated | inferred</x:v>
      </x:c>
      <x:c r="U1142" s="13" t="str">
        <x:v>medium</x:v>
      </x:c>
      <x:c r="V1142" s="16" t="str">
        <x:v>memory_foam_flip_flops</x:v>
      </x:c>
      <x:c r="W1142" s="16" t="str">
        <x:v>listing_gap_review</x:v>
      </x:c>
      <x:c r="X1142" s="16" t="str">
        <x:v>{"primary_domain":[{"value":"clothing_shoes_jewelry","evidence_type":"inferred","source_span":"flipflops","fact_ids":[],"rationale":"人字拖属于鞋类。"}],"product_type":[{"value":"flip_flops","evidence_type":"explicit","source_span":"flipflops","fact_ids":[],"rationale":"搜索词指明人字拖。"},{"value":"flip_flops","evidence_type":"page_validated","source_span":"","fact_ids":["title_womens_flip_flop","style_flip_flop"],"rationale":"页面确认为人字拖。"},{"value":"flip_flops","evidence_type":"inferred","source_span":"","fact_ids":[],"rationale":"该能力由搜索词表达的任务或问题推断；页面事实仅用于验证商品承接。"}],"function_intent":[{"value":"cushioning","evidence_type":"inferred","source_span":"memory foam","fact_ids":[],"rationale":"记忆棉核心功能是缓冲舒适。"},{"value":"comfort","evidence_type":"inferred","source_span":"memory foam","fact_ids":[],"rationale":"记忆棉提供舒适穿着体验。"},{"value":"cushioning","evidence_type":"page_validated","source_span":"","fact_ids":["padded_cushioning"],"rationale":"该槽位与商品基准中的明示页面事实一致。"},{"value":"comfort","evidence_type":"page_validated","source_span":"","fact_ids":["arch_support","padded_cushioning"],"rationale":"该槽位与商品基准中的明示页面事实一致。"}],"capability_intent":[{"value":"memory_foam","evidence_type":"explicit","source_span":"memory foam","fact_ids":[],"rationale":"搜索词明确要求记忆棉材质。"}],"body_need_intent":[{"value":"cushioning_need","evidence_type":"inferred","source_span":"memory foam","fact_ids":[],"rationale":"记忆棉满足缓冲体需。"}],"intent_cluster":[{"value":"memory_foam_flip_flops","evidence_type":"inferred","source_span":"flipflops with memory foam","fact_ids":[],"rationale":"记忆棉人字拖搜索聚合。"}],"routing_action":[{"value":"listing_gap_review","evidence_type":"inferred","source_span":"memory foam","fact_ids":[],"rationale":"产品有填充缓冲但未声称记忆棉材质。"}]}</x:v>
      </x:c>
      <x:c r="Y1142" s="16" t="str"/>
      <x:c r="Z1142" s="13" t="str">
        <x:v>partial_match</x:v>
      </x:c>
      <x:c r="AA1142" s="16" t="str">
        <x:v>padded_cushioning | style_flip_flop</x:v>
      </x:c>
      <x:c r="AB1142" s="13" t="str">
        <x:v>accepted</x:v>
      </x:c>
      <x:c r="AC1142" s="13" t="str">
        <x:v>1.0.0</x:v>
      </x:c>
      <x:c r="AD1142" s="13" t="str">
        <x:v>1.1.0</x:v>
      </x:c>
      <x:c r="AE1142" s="13" t="str">
        <x:v>deepseek/deepseek-v4-pro</x:v>
      </x:c>
      <x:c r="AF1142" s="13" t="str">
        <x:v>aj2-y90-20260714T234810-0bea2f52</x:v>
      </x:c>
      <x:c r="AG1142" s="13" t="str">
        <x:v>full-0058</x:v>
      </x:c>
      <x:c r="AH1142" s="13" t="str">
        <x:v>full</x:v>
      </x:c>
      <x:c r="AI1142" s="13" t="n">
        <x:v>58</x:v>
      </x:c>
    </x:row>
    <x:row r="1143" ht="34" customHeight="1">
      <x:c r="A1143" s="15" t="str">
        <x:v>secra poppy sandals</x:v>
      </x:c>
      <x:c r="B1143" s="15" t="str">
        <x:v>secra poppy sandals</x:v>
      </x:c>
      <x:c r="C1143" s="10" t="str">
        <x:v>0c56746a9b1eb1fa</x:v>
      </x:c>
      <x:c r="D1143" s="10" t="str">
        <x:v>keyword</x:v>
      </x:c>
      <x:c r="E1143" s="10" t="str">
        <x:v>en</x:v>
      </x:c>
      <x:c r="F1143" s="10" t="str">
        <x:v>clothing_shoes_jewelry</x:v>
      </x:c>
      <x:c r="G1143" s="15" t="str"/>
      <x:c r="H1143" s="15" t="str">
        <x:v>sandals</x:v>
      </x:c>
      <x:c r="I1143" s="15" t="str"/>
      <x:c r="J1143" s="15" t="str"/>
      <x:c r="K1143" s="15" t="str"/>
      <x:c r="L1143" s="15" t="str"/>
      <x:c r="M1143" s="15" t="str"/>
      <x:c r="N1143" s="15" t="str"/>
      <x:c r="O1143" s="15" t="str"/>
      <x:c r="P1143" s="15" t="str">
        <x:v>brand_substitute</x:v>
      </x:c>
      <x:c r="Q1143" s="15" t="str"/>
      <x:c r="R1143" s="15" t="str">
        <x:v>用户搜索Secra品牌Poppy款凉鞋，可能在寻找该特定品牌型号或其替代品。</x:v>
      </x:c>
      <x:c r="S1143" s="10" t="str">
        <x:v>brand_harvest</x:v>
      </x:c>
      <x:c r="T1143" s="15" t="str">
        <x:v>explicit | inferred</x:v>
      </x:c>
      <x:c r="U1143" s="10" t="str">
        <x:v>high</x:v>
      </x:c>
      <x:c r="V1143" s="15" t="str">
        <x:v>brand_sandals_secra_poppy</x:v>
      </x:c>
      <x:c r="W1143" s="15" t="str">
        <x:v>semantic_negative_candidate</x:v>
      </x:c>
      <x:c r="X1143" s="15" t="str">
        <x:v>{"primary_domain":[{"value":"clothing_shoes_jewelry","evidence_type":"inferred","source_span":"sandals","fact_ids":[],"rationale":"凉鞋属于鞋类服饰品类。"}],"product_type":[{"value":"sandals","evidence_type":"explicit","source_span":"sandals","fact_ids":[],"rationale":"搜索词直接指明凉鞋品类。"},{"value":"sandals","evidence_type":"page_validated","source_span":"","fact_ids":["title_womens_flip_flop"],"rationale":"该槽位与商品基准中的明示页面事实一致。"}],"substitute_intent":[{"value":"brand_substitute","evidence_type":"inferred","source_span":"secra","fact_ids":[],"rationale":"搜索指定品牌名Secra，非joomra品牌。"}],"intent_stage":[{"value":"brand_harvest","evidence_type":"inferred","source_span":"secra","fact_ids":[],"rationale":"直接搜索品牌加型号表明品牌收割意图。"}],"intent_cluster":[{"value":"brand_sandals_secra_poppy","evidence_type":"inferred","source_span":"secra poppy sandals","fact_ids":[],"rationale":"Secra品牌Poppy款凉鞋搜索聚合。"}],"routing_action":[{"value":"semantic_negative_candidate","evidence_type":"inferred","source_span":"secra","fact_ids":[],"rationale":"Secra/Poppy品牌型号与joomra品牌冲突。"}]}</x:v>
      </x:c>
      <x:c r="Y1143" s="15" t="str"/>
      <x:c r="Z1143" s="10" t="str">
        <x:v>mismatch</x:v>
      </x:c>
      <x:c r="AA1143" s="15" t="str">
        <x:v>title_womens_flip_flop | style_flip_flop</x:v>
      </x:c>
      <x:c r="AB1143" s="10" t="str">
        <x:v>accepted</x:v>
      </x:c>
      <x:c r="AC1143" s="10" t="str">
        <x:v>1.0.0</x:v>
      </x:c>
      <x:c r="AD1143" s="10" t="str">
        <x:v>1.1.0</x:v>
      </x:c>
      <x:c r="AE1143" s="10" t="str">
        <x:v>deepseek/deepseek-v4-pro</x:v>
      </x:c>
      <x:c r="AF1143" s="10" t="str">
        <x:v>aj2-y90-20260714T234810-0bea2f52</x:v>
      </x:c>
      <x:c r="AG1143" s="10" t="str">
        <x:v>full-0058</x:v>
      </x:c>
      <x:c r="AH1143" s="10" t="str">
        <x:v>full</x:v>
      </x:c>
      <x:c r="AI1143" s="10" t="n">
        <x:v>58</x:v>
      </x:c>
    </x:row>
    <x:row r="1144" ht="34" customHeight="1">
      <x:c r="A1144" s="16" t="str">
        <x:v>black foam flip flops arch and heal support</x:v>
      </x:c>
      <x:c r="B1144" s="16" t="str">
        <x:v>black foam flip flops arch and heal support</x:v>
      </x:c>
      <x:c r="C1144" s="13" t="str">
        <x:v>10065be57570d2e1</x:v>
      </x:c>
      <x:c r="D1144" s="13" t="str">
        <x:v>keyword</x:v>
      </x:c>
      <x:c r="E1144" s="13" t="str">
        <x:v>en</x:v>
      </x:c>
      <x:c r="F1144" s="13" t="str">
        <x:v>clothing_shoes_jewelry</x:v>
      </x:c>
      <x:c r="G1144" s="16" t="str"/>
      <x:c r="H1144" s="16" t="str">
        <x:v>flip_flops</x:v>
      </x:c>
      <x:c r="I1144" s="16" t="str"/>
      <x:c r="J1144" s="16" t="str">
        <x:v>arch_support | heel_support</x:v>
      </x:c>
      <x:c r="K1144" s="16" t="str">
        <x:v>arch_support</x:v>
      </x:c>
      <x:c r="L1144" s="16" t="str"/>
      <x:c r="M1144" s="16" t="str"/>
      <x:c r="N1144" s="16" t="str">
        <x:v>arch_support | heel_support</x:v>
      </x:c>
      <x:c r="O1144" s="16" t="str"/>
      <x:c r="P1144" s="16" t="str"/>
      <x:c r="Q1144" s="16" t="str"/>
      <x:c r="R1144" s="16" t="str">
        <x:v>用户寻找黑色泡沫材质人字拖，需同时具备足弓和后跟支撑功能。</x:v>
      </x:c>
      <x:c r="S1144" s="13" t="str">
        <x:v>high_intent</x:v>
      </x:c>
      <x:c r="T1144" s="16" t="str">
        <x:v>explicit | page_validated | inferred</x:v>
      </x:c>
      <x:c r="U1144" s="13" t="str">
        <x:v>medium</x:v>
      </x:c>
      <x:c r="V1144" s="16" t="str">
        <x:v>black_foam_arch_heel_support_flip_flops</x:v>
      </x:c>
      <x:c r="W1144" s="16" t="str">
        <x:v>listing_gap_review</x:v>
      </x:c>
      <x:c r="X1144" s="16" t="str">
        <x:v>{"primary_domain":[{"value":"clothing_shoes_jewelry","evidence_type":"inferred","source_span":"flip flops","fact_ids":[],"rationale":"人字拖属于鞋类。"}],"product_type":[{"value":"flip_flops","evidence_type":"explicit","source_span":"flip flops","fact_ids":[],"rationale":"搜索词指明人字拖。"},{"value":"flip_flops","evidence_type":"page_validated","source_span":"","fact_ids":["title_womens_flip_flop","style_flip_flop"],"rationale":"页面确认为人字拖。"}],"function_intent":[{"value":"heel_support","evidence_type":"explicit","source_span":"heal support","fact_ids":[],"rationale":"搜索词明确后跟支撑（heal为heel拼写变体）。"}],"capability_intent":[{"value":"arch_support","evidence_type":"page_validated","source_span":"","fact_ids":["arch_support"],"rationale":"页面明确提供足弓支撑。"},{"value":"arch_support","evidence_type":"inferred","source_span":"","fact_ids":[],"rationale":"该能力由搜索词表达的任务或问题推断；页面事实仅用于验证商品承接。"}],"body_need_intent":[{"value":"heel_support","evidence_type":"explicit","source_span":"heal support","fact_ids":[],"rationale":"搜索词表达后跟支撑体需。"}],"intent_cluster":[{"value":"black_foam_arch_heel_support_flip_flops","evidence_type":"inferred","source_span":"black foam flip flops arch and heal support","fact_ids":[],"rationale":"黑色泡沫足弓后跟支撑人字拖搜索聚合。"}],"routing_action":[{"value":"listing_gap_review","evidence_type":"inferred","source_span":"heal support","fact_ids":[],"rationale":"足弓支撑和黑色有证据，后跟支撑无页面声明。"}]}</x:v>
      </x:c>
      <x:c r="Y1144" s="16" t="str"/>
      <x:c r="Z1144" s="13" t="str">
        <x:v>partial_match</x:v>
      </x:c>
      <x:c r="AA1144" s="16" t="str">
        <x:v>arch_support | colors_visible | material_eva</x:v>
      </x:c>
      <x:c r="AB1144" s="13" t="str">
        <x:v>accepted</x:v>
      </x:c>
      <x:c r="AC1144" s="13" t="str">
        <x:v>1.0.0</x:v>
      </x:c>
      <x:c r="AD1144" s="13" t="str">
        <x:v>1.1.0</x:v>
      </x:c>
      <x:c r="AE1144" s="13" t="str">
        <x:v>deepseek/deepseek-v4-pro</x:v>
      </x:c>
      <x:c r="AF1144" s="13" t="str">
        <x:v>aj2-y90-20260714T234810-0bea2f52</x:v>
      </x:c>
      <x:c r="AG1144" s="13" t="str">
        <x:v>full-0058</x:v>
      </x:c>
      <x:c r="AH1144" s="13" t="str">
        <x:v>full</x:v>
      </x:c>
      <x:c r="AI1144" s="13" t="n">
        <x:v>58</x:v>
      </x:c>
    </x:row>
    <x:row r="1145" ht="34" customHeight="1">
      <x:c r="A1145" s="15" t="str">
        <x:v>women water proof flip flops</x:v>
      </x:c>
      <x:c r="B1145" s="15" t="str">
        <x:v>women water proof flip flops</x:v>
      </x:c>
      <x:c r="C1145" s="10" t="str">
        <x:v>115e1b8a18a8ac28</x:v>
      </x:c>
      <x:c r="D1145" s="10" t="str">
        <x:v>keyword</x:v>
      </x:c>
      <x:c r="E1145" s="10" t="str">
        <x:v>en</x:v>
      </x:c>
      <x:c r="F1145" s="10" t="str">
        <x:v>clothing_shoes_jewelry</x:v>
      </x:c>
      <x:c r="G1145" s="15" t="str"/>
      <x:c r="H1145" s="15" t="str">
        <x:v>flip_flops</x:v>
      </x:c>
      <x:c r="I1145" s="15" t="str">
        <x:v>women</x:v>
      </x:c>
      <x:c r="J1145" s="15" t="str">
        <x:v>water_protection</x:v>
      </x:c>
      <x:c r="K1145" s="15" t="str">
        <x:v>water_proof</x:v>
      </x:c>
      <x:c r="L1145" s="15" t="str"/>
      <x:c r="M1145" s="15" t="str">
        <x:v>water_environment</x:v>
      </x:c>
      <x:c r="N1145" s="15" t="str"/>
      <x:c r="O1145" s="15" t="str"/>
      <x:c r="P1145" s="15" t="str"/>
      <x:c r="Q1145" s="15" t="str"/>
      <x:c r="R1145" s="15" t="str">
        <x:v>女性用户寻找防水人字拖，适合涉水环境穿着。</x:v>
      </x:c>
      <x:c r="S1145" s="10" t="str">
        <x:v>consideration</x:v>
      </x:c>
      <x:c r="T1145" s="15" t="str">
        <x:v>explicit | inferred</x:v>
      </x:c>
      <x:c r="U1145" s="10" t="str">
        <x:v>high</x:v>
      </x:c>
      <x:c r="V1145" s="15" t="str">
        <x:v>waterproof_flip_flops_women</x:v>
      </x:c>
      <x:c r="W1145" s="15" t="str">
        <x:v>semantic_negative_candidate</x:v>
      </x:c>
      <x:c r="X1145" s="15" t="str">
        <x:v>{"primary_domain":[{"value":"clothing_shoes_jewelry","evidence_type":"inferred","source_span":"flip flops","fact_ids":[],"rationale":"人字拖属于鞋类。"}],"product_type":[{"value":"flip_flops","evidence_type":"explicit","source_span":"flip flops","fact_ids":[],"rationale":"搜索词指明人字拖。"},{"value":"flip_flops","evidence_type":"page_validated","source_span":"","fact_ids":["style_flip_flop"],"rationale":"该槽位与商品基准中的明示页面事实一致。"}],"audience_intent":[{"value":"women","evidence_type":"explicit","source_span":"women","fact_ids":[],"rationale":"搜索词指定女性。"},{"value":"women","evidence_type":"page_validated","source_span":"","fact_ids":["title_womens_flip_flop"],"rationale":"该槽位与商品基准中的明示页面事实一致。"}],"function_intent":[{"value":"water_protection","evidence_type":"inferred","source_span":"water proof","fact_ids":[],"rationale":"防水是核心使用功能。"}],"capability_intent":[{"value":"water_proof","evidence_type":"explicit","source_span":"water proof","fact_ids":[],"rationale":"搜索词明确要求防水性能。"}],"location_intent":[{"value":"water_environment","evidence_type":"inferred","source_span":"water proof","fact_ids":[],"rationale":"防水需求暗示涉水使用场景。"}],"intent_cluster":[{"value":"waterproof_flip_flops_women","evidence_type":"inferred","source_span":"women water proof flip flops","fact_ids":[],"rationale":"女款防水人字拖搜索聚合。"}],"routing_action":[{"value":"semantic_negative_candidate","evidence_type":"inferred","source_span":"water proof","fact_ids":[],"rationale":"产品无防水声明，防水能力为硬性约束冲突。"}]}</x:v>
      </x:c>
      <x:c r="Y1145" s="15" t="str"/>
      <x:c r="Z1145" s="10" t="str">
        <x:v>mismatch</x:v>
      </x:c>
      <x:c r="AA1145" s="15" t="str">
        <x:v>title_womens_flip_flop | style_flip_flop</x:v>
      </x:c>
      <x:c r="AB1145" s="10" t="str">
        <x:v>accepted</x:v>
      </x:c>
      <x:c r="AC1145" s="10" t="str">
        <x:v>1.0.0</x:v>
      </x:c>
      <x:c r="AD1145" s="10" t="str">
        <x:v>1.1.0</x:v>
      </x:c>
      <x:c r="AE1145" s="10" t="str">
        <x:v>deepseek/deepseek-v4-pro</x:v>
      </x:c>
      <x:c r="AF1145" s="10" t="str">
        <x:v>aj2-y90-20260714T234810-0bea2f52</x:v>
      </x:c>
      <x:c r="AG1145" s="10" t="str">
        <x:v>full-0058</x:v>
      </x:c>
      <x:c r="AH1145" s="10" t="str">
        <x:v>full</x:v>
      </x:c>
      <x:c r="AI1145" s="10" t="n">
        <x:v>58</x:v>
      </x:c>
    </x:row>
    <x:row r="1146" ht="34" customHeight="1">
      <x:c r="A1146" s="16" t="str">
        <x:v>house flip flops for women</x:v>
      </x:c>
      <x:c r="B1146" s="16" t="str">
        <x:v>house flip flops for women</x:v>
      </x:c>
      <x:c r="C1146" s="13" t="str">
        <x:v>338a32341de68b23</x:v>
      </x:c>
      <x:c r="D1146" s="13" t="str">
        <x:v>keyword</x:v>
      </x:c>
      <x:c r="E1146" s="13" t="str">
        <x:v>en</x:v>
      </x:c>
      <x:c r="F1146" s="13" t="str">
        <x:v>clothing_shoes_jewelry</x:v>
      </x:c>
      <x:c r="G1146" s="16" t="str">
        <x:v>home_kitchen</x:v>
      </x:c>
      <x:c r="H1146" s="16" t="str">
        <x:v>flip_flops</x:v>
      </x:c>
      <x:c r="I1146" s="16" t="str">
        <x:v>women</x:v>
      </x:c>
      <x:c r="J1146" s="16" t="str">
        <x:v>indoor_wear</x:v>
      </x:c>
      <x:c r="K1146" s="16" t="str">
        <x:v>comfort</x:v>
      </x:c>
      <x:c r="L1146" s="16" t="str"/>
      <x:c r="M1146" s="16" t="str">
        <x:v>indoor | house</x:v>
      </x:c>
      <x:c r="N1146" s="16" t="str"/>
      <x:c r="O1146" s="16" t="str"/>
      <x:c r="P1146" s="16" t="str"/>
      <x:c r="Q1146" s="16" t="str"/>
      <x:c r="R1146" s="16" t="str">
        <x:v>女性用户寻找适合居家室内穿着的舒适人字拖。</x:v>
      </x:c>
      <x:c r="S1146" s="13" t="str">
        <x:v>exploration</x:v>
      </x:c>
      <x:c r="T1146" s="16" t="str">
        <x:v>explicit | page_validated | inferred</x:v>
      </x:c>
      <x:c r="U1146" s="13" t="str">
        <x:v>medium</x:v>
      </x:c>
      <x:c r="V1146" s="16" t="str">
        <x:v>house_flip_flops_women</x:v>
      </x:c>
      <x:c r="W1146" s="16" t="str">
        <x:v>listing_gap_review</x:v>
      </x:c>
      <x:c r="X1146" s="16" t="str">
        <x:v>{"primary_domain":[{"value":"clothing_shoes_jewelry","evidence_type":"inferred","source_span":"flip flops","fact_ids":[],"rationale":"人字拖属于鞋类。"}],"secondary_domain":[{"value":"home_kitchen","evidence_type":"inferred","source_span":"house","fact_ids":[],"rationale":"居家场景涉及家居领域。"}],"product_type":[{"value":"flip_flops","evidence_type":"explicit","source_span":"flip flops","fact_ids":[],"rationale":"搜索词指明人字拖。"},{"value":"flip_flops","evidence_type":"page_validated","source_span":"","fact_ids":["title_womens_flip_flop","style_flip_flop"],"rationale":"页面确认为人字拖。"}],"audience_intent":[{"value":"women","evidence_type":"explicit","source_span":"women","fact_ids":[],"rationale":"搜索词指定女性。"},{"value":"women","evidence_type":"page_validated","source_span":"","fact_ids":["title_womens_flip_flop"],"rationale":"页面标题确认女款。"}],"function_intent":[{"value":"indoor_wear","evidence_type":"inferred","source_span":"house","fact_ids":[],"rationale":"house表明室内穿着意图。"}],"location_intent":[{"value":"indoor","evidence_type":"inferred","source_span":"house","fact_ids":[],"rationale":"house指向室内场所。"},{"value":"house","evidence_type":"explicit","source_span":"house","fact_ids":[],"rationale":"搜索词直接指定居家场景。"}],"intent_cluster":[{"value":"house_flip_flops_women","evidence_type":"inferred","source_span":"house flip flops for women","fact_ids":[],"rationale":"女款居家室内人字拖搜索聚合。"}],"routing_action":[{"value":"listing_gap_review","evidence_type":"inferred","source_span":"house","fact_ids":[],"rationale":"产品定位户外，居家场景无页面支撑。"}],"capability_intent":[{"value":"comfort","evidence_type":"page_validated","source_span":"","fact_ids":["arch_support","padded_cushioning"],"rationale":"该槽位与商品基准中的明示页面事实一致。"},{"value":"comfort","evidence_type":"inferred","source_span":"","fact_ids":[],"rationale":"该能力由搜索词表达的任务或问题推断；页面事实仅用于验证商品承接。"}]}</x:v>
      </x:c>
      <x:c r="Y1146" s="16" t="str"/>
      <x:c r="Z1146" s="13" t="str">
        <x:v>partial_match</x:v>
      </x:c>
      <x:c r="AA1146" s="16" t="str">
        <x:v>title_womens_flip_flop | style_flip_flop</x:v>
      </x:c>
      <x:c r="AB1146" s="13" t="str">
        <x:v>accepted</x:v>
      </x:c>
      <x:c r="AC1146" s="13" t="str">
        <x:v>1.0.0</x:v>
      </x:c>
      <x:c r="AD1146" s="13" t="str">
        <x:v>1.1.0</x:v>
      </x:c>
      <x:c r="AE1146" s="13" t="str">
        <x:v>deepseek/deepseek-v4-pro</x:v>
      </x:c>
      <x:c r="AF1146" s="13" t="str">
        <x:v>aj2-y90-20260714T234810-0bea2f52</x:v>
      </x:c>
      <x:c r="AG1146" s="13" t="str">
        <x:v>full-0058</x:v>
      </x:c>
      <x:c r="AH1146" s="13" t="str">
        <x:v>full</x:v>
      </x:c>
      <x:c r="AI1146" s="13" t="n">
        <x:v>58</x:v>
      </x:c>
    </x:row>
    <x:row r="1147" ht="34" customHeight="1">
      <x:c r="A1147" s="15" t="str">
        <x:v>womens flip flops with arch white</x:v>
      </x:c>
      <x:c r="B1147" s="15" t="str">
        <x:v>womens flip flops with arch white</x:v>
      </x:c>
      <x:c r="C1147" s="10" t="str">
        <x:v>6208644bbcc02aec</x:v>
      </x:c>
      <x:c r="D1147" s="10" t="str">
        <x:v>keyword</x:v>
      </x:c>
      <x:c r="E1147" s="10" t="str">
        <x:v>en</x:v>
      </x:c>
      <x:c r="F1147" s="10" t="str">
        <x:v>clothing_shoes_jewelry</x:v>
      </x:c>
      <x:c r="G1147" s="15" t="str"/>
      <x:c r="H1147" s="15" t="str">
        <x:v>flip_flops</x:v>
      </x:c>
      <x:c r="I1147" s="15" t="str">
        <x:v>women</x:v>
      </x:c>
      <x:c r="J1147" s="15" t="str">
        <x:v>arch_support</x:v>
      </x:c>
      <x:c r="K1147" s="15" t="str">
        <x:v>arch_support</x:v>
      </x:c>
      <x:c r="L1147" s="15" t="str"/>
      <x:c r="M1147" s="15" t="str"/>
      <x:c r="N1147" s="15" t="str">
        <x:v>arch_support</x:v>
      </x:c>
      <x:c r="O1147" s="15" t="str"/>
      <x:c r="P1147" s="15" t="str"/>
      <x:c r="Q1147" s="15" t="str"/>
      <x:c r="R1147" s="15" t="str">
        <x:v>女性用户寻找白色带足弓支撑的人字拖。</x:v>
      </x:c>
      <x:c r="S1147" s="10" t="str">
        <x:v>high_intent</x:v>
      </x:c>
      <x:c r="T1147" s="15" t="str">
        <x:v>explicit | page_validated | inferred</x:v>
      </x:c>
      <x:c r="U1147" s="10" t="str">
        <x:v>high</x:v>
      </x:c>
      <x:c r="V1147" s="15" t="str">
        <x:v>womens_flip_flops_arch_white</x:v>
      </x:c>
      <x:c r="W1147" s="15" t="str">
        <x:v>cluster_route</x:v>
      </x:c>
      <x:c r="X1147" s="15" t="str">
        <x:v>{"primary_domain":[{"value":"clothing_shoes_jewelry","evidence_type":"inferred","source_span":"flip flops","fact_ids":[],"rationale":"人字拖属于鞋类。"}],"product_type":[{"value":"flip_flops","evidence_type":"explicit","source_span":"flip flops","fact_ids":[],"rationale":"搜索词指明人字拖。"},{"value":"flip_flops","evidence_type":"page_validated","source_span":"","fact_ids":["title_womens_flip_flop","style_flip_flop"],"rationale":"页面确认为人字拖。"}],"audience_intent":[{"value":"women","evidence_type":"explicit","source_span":"womens","fact_ids":[],"rationale":"搜索词指定女性。"},{"value":"women","evidence_type":"page_validated","source_span":"","fact_ids":["title_womens_flip_flop"],"rationale":"页面标题确认女款。"}],"capability_intent":[{"value":"arch_support","evidence_type":"page_validated","source_span":"","fact_ids":["arch_support"],"rationale":"页面明确提供人体工学足弓支撑。"},{"value":"arch_support","evidence_type":"inferred","source_span":"","fact_ids":[],"rationale":"该能力由搜索词表达的任务或问题推断；页面事实仅用于验证商品承接。"}],"intent_cluster":[{"value":"womens_flip_flops_arch_white","evidence_type":"inferred","source_span":"womens flip flops with arch white","fact_ids":[],"rationale":"女款白色足弓支撑人字拖搜索聚合。"}],"routing_action":[{"value":"cluster_route","evidence_type":"page_validated","source_span":"","fact_ids":["title_womens_flip_flop","arch_support","colors_visible"],"rationale":"品类受众足弓颜色均页面验证匹配。"}]}</x:v>
      </x:c>
      <x:c r="Y1147" s="15" t="str"/>
      <x:c r="Z1147" s="10" t="str">
        <x:v>match</x:v>
      </x:c>
      <x:c r="AA1147" s="15" t="str">
        <x:v>title_womens_flip_flop | arch_support | colors_visible</x:v>
      </x:c>
      <x:c r="AB1147" s="10" t="str">
        <x:v>accepted</x:v>
      </x:c>
      <x:c r="AC1147" s="10" t="str">
        <x:v>1.0.0</x:v>
      </x:c>
      <x:c r="AD1147" s="10" t="str">
        <x:v>1.1.0</x:v>
      </x:c>
      <x:c r="AE1147" s="10" t="str">
        <x:v>deepseek/deepseek-v4-pro</x:v>
      </x:c>
      <x:c r="AF1147" s="10" t="str">
        <x:v>aj2-y90-20260714T234810-0bea2f52</x:v>
      </x:c>
      <x:c r="AG1147" s="10" t="str">
        <x:v>full-0058</x:v>
      </x:c>
      <x:c r="AH1147" s="10" t="str">
        <x:v>full</x:v>
      </x:c>
      <x:c r="AI1147" s="10" t="n">
        <x:v>58</x:v>
      </x:c>
    </x:row>
    <x:row r="1148" ht="34" customHeight="1">
      <x:c r="A1148" s="16" t="str">
        <x:v>white or cream flip flops</x:v>
      </x:c>
      <x:c r="B1148" s="16" t="str">
        <x:v>white or cream flip flops</x:v>
      </x:c>
      <x:c r="C1148" s="13" t="str">
        <x:v>624eee35f009ace5</x:v>
      </x:c>
      <x:c r="D1148" s="13" t="str">
        <x:v>keyword</x:v>
      </x:c>
      <x:c r="E1148" s="13" t="str">
        <x:v>en</x:v>
      </x:c>
      <x:c r="F1148" s="13" t="str">
        <x:v>clothing_shoes_jewelry</x:v>
      </x:c>
      <x:c r="G1148" s="16" t="str"/>
      <x:c r="H1148" s="16" t="str">
        <x:v>flip_flops</x:v>
      </x:c>
      <x:c r="I1148" s="16" t="str"/>
      <x:c r="J1148" s="16" t="str"/>
      <x:c r="K1148" s="16" t="str"/>
      <x:c r="L1148" s="16" t="str"/>
      <x:c r="M1148" s="16" t="str"/>
      <x:c r="N1148" s="16" t="str"/>
      <x:c r="O1148" s="16" t="str"/>
      <x:c r="P1148" s="16" t="str"/>
      <x:c r="Q1148" s="16" t="str"/>
      <x:c r="R1148" s="16" t="str">
        <x:v>用户寻找白色或奶油色人字拖。</x:v>
      </x:c>
      <x:c r="S1148" s="13" t="str">
        <x:v>exploration</x:v>
      </x:c>
      <x:c r="T1148" s="16" t="str">
        <x:v>explicit | page_validated | inferred</x:v>
      </x:c>
      <x:c r="U1148" s="13" t="str">
        <x:v>medium</x:v>
      </x:c>
      <x:c r="V1148" s="16" t="str">
        <x:v>white_cream_flip_flops</x:v>
      </x:c>
      <x:c r="W1148" s="16" t="str">
        <x:v>cluster_route</x:v>
      </x:c>
      <x:c r="X1148" s="16" t="str">
        <x:v>{"primary_domain":[{"value":"clothing_shoes_jewelry","evidence_type":"inferred","source_span":"flip flops","fact_ids":[],"rationale":"人字拖属于鞋类。"}],"product_type":[{"value":"flip_flops","evidence_type":"explicit","source_span":"flip flops","fact_ids":[],"rationale":"搜索词指明人字拖。"},{"value":"flip_flops","evidence_type":"page_validated","source_span":"","fact_ids":["title_womens_flip_flop","style_flip_flop"],"rationale":"页面确认为人字拖。"}],"intent_cluster":[{"value":"white_cream_flip_flops","evidence_type":"inferred","source_span":"white or cream flip flops","fact_ids":[],"rationale":"白色或奶油色人字拖搜索聚合。"}],"routing_action":[{"value":"cluster_route","evidence_type":"page_validated","source_span":"","fact_ids":["colors_visible","style_flip_flop"],"rationale":"白色可选，奶油色接近白色可路由。"}]}</x:v>
      </x:c>
      <x:c r="Y1148" s="16" t="str"/>
      <x:c r="Z1148" s="13" t="str">
        <x:v>partial_match</x:v>
      </x:c>
      <x:c r="AA1148" s="16" t="str">
        <x:v>colors_visible | style_flip_flop</x:v>
      </x:c>
      <x:c r="AB1148" s="13" t="str">
        <x:v>accepted</x:v>
      </x:c>
      <x:c r="AC1148" s="13" t="str">
        <x:v>1.0.0</x:v>
      </x:c>
      <x:c r="AD1148" s="13" t="str">
        <x:v>1.1.0</x:v>
      </x:c>
      <x:c r="AE1148" s="13" t="str">
        <x:v>deepseek/deepseek-v4-pro</x:v>
      </x:c>
      <x:c r="AF1148" s="13" t="str">
        <x:v>aj2-y90-20260714T234810-0bea2f52</x:v>
      </x:c>
      <x:c r="AG1148" s="13" t="str">
        <x:v>full-0058</x:v>
      </x:c>
      <x:c r="AH1148" s="13" t="str">
        <x:v>full</x:v>
      </x:c>
      <x:c r="AI1148" s="13" t="n">
        <x:v>58</x:v>
      </x:c>
    </x:row>
    <x:row r="1149" ht="34" customHeight="1">
      <x:c r="A1149" s="15" t="str">
        <x:v>best womens flip flop white</x:v>
      </x:c>
      <x:c r="B1149" s="15" t="str">
        <x:v>best womens flip flop white</x:v>
      </x:c>
      <x:c r="C1149" s="10" t="str">
        <x:v>628159469f3396c9</x:v>
      </x:c>
      <x:c r="D1149" s="10" t="str">
        <x:v>keyword</x:v>
      </x:c>
      <x:c r="E1149" s="10" t="str">
        <x:v>en</x:v>
      </x:c>
      <x:c r="F1149" s="10" t="str">
        <x:v>clothing_shoes_jewelry</x:v>
      </x:c>
      <x:c r="G1149" s="15" t="str"/>
      <x:c r="H1149" s="15" t="str">
        <x:v>flip_flops</x:v>
      </x:c>
      <x:c r="I1149" s="15" t="str">
        <x:v>women</x:v>
      </x:c>
      <x:c r="J1149" s="15" t="str"/>
      <x:c r="K1149" s="15" t="str"/>
      <x:c r="L1149" s="15" t="str"/>
      <x:c r="M1149" s="15" t="str"/>
      <x:c r="N1149" s="15" t="str"/>
      <x:c r="O1149" s="15" t="str"/>
      <x:c r="P1149" s="15" t="str"/>
      <x:c r="Q1149" s="15" t="str"/>
      <x:c r="R1149" s="15" t="str">
        <x:v>用户寻找最佳白色女款人字拖，可能对比选购。</x:v>
      </x:c>
      <x:c r="S1149" s="10" t="str">
        <x:v>high_intent</x:v>
      </x:c>
      <x:c r="T1149" s="15" t="str">
        <x:v>explicit | page_validated | inferred</x:v>
      </x:c>
      <x:c r="U1149" s="10" t="str">
        <x:v>high</x:v>
      </x:c>
      <x:c r="V1149" s="15" t="str">
        <x:v>womens_flip_flops_white_best</x:v>
      </x:c>
      <x:c r="W1149" s="15" t="str">
        <x:v>cluster_route</x:v>
      </x:c>
      <x:c r="X1149" s="15" t="str">
        <x:v>{"primary_domain":[{"value":"clothing_shoes_jewelry","evidence_type":"inferred","source_span":"flip flop","fact_ids":[],"rationale":"人字拖属于鞋类服饰。"}],"product_type":[{"value":"flip_flops","evidence_type":"explicit","source_span":"flip flop","fact_ids":[],"rationale":"搜索词直接指明人字拖品类。"},{"value":"flip_flops","evidence_type":"page_validated","source_span":"","fact_ids":["title_womens_flip_flop","style_flip_flop"],"rationale":"产品页面确认为女款人字拖。"},{"value":"flip_flops","evidence_type":"inferred","source_span":"","fact_ids":[],"rationale":"该能力由搜索词表达的任务或问题推断；页面事实仅用于验证商品承接。"}],"audience_intent":[{"value":"women","evidence_type":"explicit","source_span":"womens","fact_ids":[],"rationale":"搜索词指定女性。"},{"value":"women","evidence_type":"page_validated","source_span":"","fact_ids":["title_womens_flip_flop"],"rationale":"页面标题确认为女款。"}],"intent_stage":[{"value":"high_intent","evidence_type":"inferred","source_span":"best","fact_ids":[],"rationale":"best表明高购买意向。"}],"intent_cluster":[{"value":"womens_flip_flops_white_best","evidence_type":"inferred","source_span":"best womens flip flop white","fact_ids":[],"rationale":"女款白色高质量人字拖搜索聚合。"}],"routing_action":[{"value":"cluster_route","evidence_type":"page_validated","source_span":"","fact_ids":["title_womens_flip_flop","colors_visible","style_flip_flop"],"rationale":"品类、受众、颜色均匹配页面证据。"}]}</x:v>
      </x:c>
      <x:c r="Y1149" s="15" t="str"/>
      <x:c r="Z1149" s="10" t="str">
        <x:v>match</x:v>
      </x:c>
      <x:c r="AA1149" s="15" t="str">
        <x:v>title_womens_flip_flop | style_flip_flop | colors_visible</x:v>
      </x:c>
      <x:c r="AB1149" s="10" t="str">
        <x:v>accepted</x:v>
      </x:c>
      <x:c r="AC1149" s="10" t="str">
        <x:v>1.0.0</x:v>
      </x:c>
      <x:c r="AD1149" s="10" t="str">
        <x:v>1.1.0</x:v>
      </x:c>
      <x:c r="AE1149" s="10" t="str">
        <x:v>deepseek/deepseek-v4-pro</x:v>
      </x:c>
      <x:c r="AF1149" s="10" t="str">
        <x:v>aj2-y90-20260714T234810-0bea2f52</x:v>
      </x:c>
      <x:c r="AG1149" s="10" t="str">
        <x:v>full-0058</x:v>
      </x:c>
      <x:c r="AH1149" s="10" t="str">
        <x:v>full</x:v>
      </x:c>
      <x:c r="AI1149" s="10" t="n">
        <x:v>58</x:v>
      </x:c>
    </x:row>
    <x:row r="1150" ht="34" customHeight="1">
      <x:c r="A1150" s="16" t="str">
        <x:v>comfortable walking flip flops for women black</x:v>
      </x:c>
      <x:c r="B1150" s="16" t="str">
        <x:v>comfortable walking flip flops for women black</x:v>
      </x:c>
      <x:c r="C1150" s="13" t="str">
        <x:v>81a6e0714dbe9d5e</x:v>
      </x:c>
      <x:c r="D1150" s="13" t="str">
        <x:v>keyword</x:v>
      </x:c>
      <x:c r="E1150" s="13" t="str">
        <x:v>en</x:v>
      </x:c>
      <x:c r="F1150" s="13" t="str">
        <x:v>clothing_shoes_jewelry</x:v>
      </x:c>
      <x:c r="G1150" s="16" t="str"/>
      <x:c r="H1150" s="16" t="str">
        <x:v>flip_flops</x:v>
      </x:c>
      <x:c r="I1150" s="16" t="str">
        <x:v>women</x:v>
      </x:c>
      <x:c r="J1150" s="16" t="str">
        <x:v>comfort | walking</x:v>
      </x:c>
      <x:c r="K1150" s="16" t="str">
        <x:v>comfort | arch_support</x:v>
      </x:c>
      <x:c r="L1150" s="16" t="str">
        <x:v>walking</x:v>
      </x:c>
      <x:c r="M1150" s="16" t="str">
        <x:v>outdoor</x:v>
      </x:c>
      <x:c r="N1150" s="16" t="str">
        <x:v>comfort_need</x:v>
      </x:c>
      <x:c r="O1150" s="16" t="str"/>
      <x:c r="P1150" s="16" t="str"/>
      <x:c r="Q1150" s="16" t="str"/>
      <x:c r="R1150" s="16" t="str">
        <x:v>女性用户寻找黑色舒适人字拖用于户外步行活动。</x:v>
      </x:c>
      <x:c r="S1150" s="13" t="str">
        <x:v>high_intent</x:v>
      </x:c>
      <x:c r="T1150" s="16" t="str">
        <x:v>explicit | page_validated | inferred</x:v>
      </x:c>
      <x:c r="U1150" s="13" t="str">
        <x:v>high</x:v>
      </x:c>
      <x:c r="V1150" s="16" t="str">
        <x:v>comfortable_walking_flip_flops_women_black</x:v>
      </x:c>
      <x:c r="W1150" s="16" t="str">
        <x:v>cluster_route</x:v>
      </x:c>
      <x:c r="X1150" s="16" t="str">
        <x:v>{"primary_domain":[{"value":"clothing_shoes_jewelry","evidence_type":"inferred","source_span":"flip flops","fact_ids":[],"rationale":"人字拖属于鞋类。"}],"product_type":[{"value":"flip_flops","evidence_type":"explicit","source_span":"flip flops","fact_ids":[],"rationale":"搜索词指明人字拖。"},{"value":"flip_flops","evidence_type":"page_validated","source_span":"","fact_ids":["title_womens_flip_flop","style_flip_flop"],"rationale":"页面确认为人字拖。"}],"audience_intent":[{"value":"women","evidence_type":"explicit","source_span":"women","fact_ids":[],"rationale":"搜索词指定女性。"},{"value":"women","evidence_type":"page_validated","source_span":"","fact_ids":["title_womens_flip_flop"],"rationale":"页面标题确认女款。"}],"function_intent":[{"value":"comfort","evidence_type":"explicit","source_span":"comfortable","fact_ids":[],"rationale":"搜索词明确舒适需求。"},{"value":"walking","evidence_type":"explicit","source_span":"walking","fact_ids":[],"rationale":"搜索词明确步行功能。"},{"value":"comfort","evidence_type":"page_validated","source_span":"","fact_ids":["arch_support","padded_cushioning"],"rationale":"该槽位与商品基准中的明示页面事实一致。"}],"capability_intent":[{"value":"comfort","evidence_type":"page_validated","source_span":"","fact_ids":["arch_support","padded_cushioning","lightweight_breathable","soft_toe_post"],"rationale":"足弓支撑缓冲轻盈透气软趾柱综合提供舒适。"},{"value":"arch_support","evidence_type":"page_validated","source_span":"","fact_ids":["arch_support","slip_resistant_grip"],"rationale":"足弓支撑和防滑外底支持步行。"},{"value":"arch_support","evidence_type":"inferred","source_span":"","fact_ids":[],"rationale":"该能力由搜索词表达的任务或问题推断；页面事实仅用于验证商品承接。"}],"event_intent":[{"value":"walking","evidence_type":"explicit","source_span":"walking","fact_ids":[],"rationale":"搜索词直接指明步行活动。"}],"location_intent":[{"value":"outdoor","evidence_type":"page_validated","source_span":"","fact_ids":["style_outdoor"],"rationale":"产品定位户外生活方式匹配步行场景。"},{"value":"outdoor","evidence_type":"inferred","source_span":"","fact_ids":[],"rationale":"该能力由搜索词表达的任务或问题推断；页面事实仅用于验证商品承接。"}],"body_need_intent":[{"value":"comfort_need","evidence_type":"inferred","source_span":"comfortable","fact_ids":[],"rationale":"舒适是穿着体需核心。"}],"intent_cluster":[{"value":"comfortable_walking_flip_flops_women_black","evidence_type":"inferred","source_span":"comfortable walking flip flops for women black","fact_ids":[],"rationale":"黑色女款舒适步行人字拖搜索聚合。"}],"routing_action":[{"value":"cluster_route","evidence_type":"page_validated","source_span":"","fact_ids":["title_womens_flip_flop","arch_support","padded_cushioning","lightweight_breathable","slip_resistant_grip","style_outdoor","colors_visible"],"rationale":"舒适步行户外功能均有页面证据支撑。"}]}</x:v>
      </x:c>
      <x:c r="Y1150" s="16" t="str"/>
      <x:c r="Z1150" s="13" t="str">
        <x:v>match</x:v>
      </x:c>
      <x:c r="AA1150" s="16" t="str">
        <x:v>title_womens_flip_flop | arch_support | padded_cushioning | lightweight_breathable | slip_resistant_grip | style_outdoor | colors_visible</x:v>
      </x:c>
      <x:c r="AB1150" s="13" t="str">
        <x:v>accepted</x:v>
      </x:c>
      <x:c r="AC1150" s="13" t="str">
        <x:v>1.0.0</x:v>
      </x:c>
      <x:c r="AD1150" s="13" t="str">
        <x:v>1.1.0</x:v>
      </x:c>
      <x:c r="AE1150" s="13" t="str">
        <x:v>deepseek/deepseek-v4-pro</x:v>
      </x:c>
      <x:c r="AF1150" s="13" t="str">
        <x:v>aj2-y90-20260714T234810-0bea2f52</x:v>
      </x:c>
      <x:c r="AG1150" s="13" t="str">
        <x:v>full-0058</x:v>
      </x:c>
      <x:c r="AH1150" s="13" t="str">
        <x:v>full</x:v>
      </x:c>
      <x:c r="AI1150" s="13" t="n">
        <x:v>58</x:v>
      </x:c>
    </x:row>
    <x:row r="1151" ht="34" customHeight="1">
      <x:c r="A1151" s="15" t="str">
        <x:v>orthopedic flip flops for women</x:v>
      </x:c>
      <x:c r="B1151" s="15" t="str">
        <x:v>orthopedic flip flops for women</x:v>
      </x:c>
      <x:c r="C1151" s="10" t="str">
        <x:v>9b7890eebba2818e</x:v>
      </x:c>
      <x:c r="D1151" s="10" t="str">
        <x:v>keyword</x:v>
      </x:c>
      <x:c r="E1151" s="10" t="str">
        <x:v>en</x:v>
      </x:c>
      <x:c r="F1151" s="10" t="str">
        <x:v>clothing_shoes_jewelry</x:v>
      </x:c>
      <x:c r="G1151" s="15" t="str">
        <x:v>health_household</x:v>
      </x:c>
      <x:c r="H1151" s="15" t="str">
        <x:v>flip_flops</x:v>
      </x:c>
      <x:c r="I1151" s="15" t="str">
        <x:v>women</x:v>
      </x:c>
      <x:c r="J1151" s="15" t="str">
        <x:v>orthopedic_support</x:v>
      </x:c>
      <x:c r="K1151" s="15" t="str">
        <x:v>arch_support</x:v>
      </x:c>
      <x:c r="L1151" s="15" t="str"/>
      <x:c r="M1151" s="15" t="str"/>
      <x:c r="N1151" s="15" t="str">
        <x:v>orthopedic_support | arch_support</x:v>
      </x:c>
      <x:c r="O1151" s="15" t="str"/>
      <x:c r="P1151" s="15" t="str"/>
      <x:c r="Q1151" s="15" t="str"/>
      <x:c r="R1151" s="15" t="str">
        <x:v>女性用户寻找具有矫形支撑功能的人字拖以缓解足部不适。</x:v>
      </x:c>
      <x:c r="S1151" s="10" t="str">
        <x:v>consideration</x:v>
      </x:c>
      <x:c r="T1151" s="15" t="str">
        <x:v>explicit | page_validated | inferred</x:v>
      </x:c>
      <x:c r="U1151" s="10" t="str">
        <x:v>medium</x:v>
      </x:c>
      <x:c r="V1151" s="15" t="str">
        <x:v>orthopedic_flip_flops_women</x:v>
      </x:c>
      <x:c r="W1151" s="15" t="str">
        <x:v>listing_gap_review</x:v>
      </x:c>
      <x:c r="X1151" s="15" t="str">
        <x:v>{"primary_domain":[{"value":"clothing_shoes_jewelry","evidence_type":"inferred","source_span":"flip flops","fact_ids":[],"rationale":"人字拖属于鞋类。"}],"secondary_domain":[{"value":"health_household","evidence_type":"inferred","source_span":"orthopedic","fact_ids":[],"rationale":"矫形需求涉及健康护理领域。"}],"product_type":[{"value":"flip_flops","evidence_type":"explicit","source_span":"flip flops","fact_ids":[],"rationale":"搜索词直接指明人字拖品类。"},{"value":"flip_flops","evidence_type":"page_validated","source_span":"","fact_ids":["title_womens_flip_flop","style_flip_flop"],"rationale":"页面确认为人字拖。"}],"audience_intent":[{"value":"women","evidence_type":"explicit","source_span":"women","fact_ids":[],"rationale":"搜索词指定女性。"},{"value":"women","evidence_type":"page_validated","source_span":"","fact_ids":["title_womens_flip_flop"],"rationale":"页面标题确认女款。"}],"function_intent":[{"value":"orthopedic_support","evidence_type":"explicit","source_span":"orthopedic","fact_ids":[],"rationale":"搜索词明确要求矫形功能。"}],"capability_intent":[{"value":"arch_support","evidence_type":"page_validated","source_span":"","fact_ids":["arch_support","padded_cushioning"],"rationale":"足弓支撑与缓冲垫部分满足矫形需求。"},{"value":"arch_support","evidence_type":"inferred","source_span":"","fact_ids":[],"rationale":"该能力由搜索词表达的任务或问题推断；页面事实仅用于验证商品承接。"}],"body_need_intent":[{"value":"orthopedic_support","evidence_type":"explicit","source_span":"orthopedic","fact_ids":[],"rationale":"搜索词直接表达矫形需求。"}],"intent_cluster":[{"value":"orthopedic_flip_flops_women","evidence_type":"inferred","source_span":"orthopedic flip flops for women","fact_ids":[],"rationale":"女款矫形人字拖搜索聚合。"}],"routing_action":[{"value":"listing_gap_review","evidence_type":"inferred","source_span":"orthopedic","fact_ids":[],"rationale":"产品有足弓支撑但未声称矫形级别。"}]}</x:v>
      </x:c>
      <x:c r="Y1151" s="15" t="str"/>
      <x:c r="Z1151" s="10" t="str">
        <x:v>partial_match</x:v>
      </x:c>
      <x:c r="AA1151" s="15" t="str">
        <x:v>title_womens_flip_flop | arch_support | padded_cushioning</x:v>
      </x:c>
      <x:c r="AB1151" s="10" t="str">
        <x:v>accepted</x:v>
      </x:c>
      <x:c r="AC1151" s="10" t="str">
        <x:v>1.0.0</x:v>
      </x:c>
      <x:c r="AD1151" s="10" t="str">
        <x:v>1.1.0</x:v>
      </x:c>
      <x:c r="AE1151" s="10" t="str">
        <x:v>deepseek/deepseek-v4-pro</x:v>
      </x:c>
      <x:c r="AF1151" s="10" t="str">
        <x:v>aj2-y90-20260714T234810-0bea2f52</x:v>
      </x:c>
      <x:c r="AG1151" s="10" t="str">
        <x:v>full-0058</x:v>
      </x:c>
      <x:c r="AH1151" s="10" t="str">
        <x:v>full</x:v>
      </x:c>
      <x:c r="AI1151" s="10" t="n">
        <x:v>58</x:v>
      </x:c>
    </x:row>
    <x:row r="1152" ht="34" customHeight="1">
      <x:c r="A1152" s="16" t="str">
        <x:v>archies flip-flops women</x:v>
      </x:c>
      <x:c r="B1152" s="16" t="str">
        <x:v>archies flip-flops women</x:v>
      </x:c>
      <x:c r="C1152" s="13" t="str">
        <x:v>a532b6b0ae5cb44f</x:v>
      </x:c>
      <x:c r="D1152" s="13" t="str">
        <x:v>keyword</x:v>
      </x:c>
      <x:c r="E1152" s="13" t="str">
        <x:v>en</x:v>
      </x:c>
      <x:c r="F1152" s="13" t="str">
        <x:v>clothing_shoes_jewelry</x:v>
      </x:c>
      <x:c r="G1152" s="16" t="str"/>
      <x:c r="H1152" s="16" t="str">
        <x:v>flip_flops</x:v>
      </x:c>
      <x:c r="I1152" s="16" t="str">
        <x:v>women</x:v>
      </x:c>
      <x:c r="J1152" s="16" t="str"/>
      <x:c r="K1152" s="16" t="str"/>
      <x:c r="L1152" s="16" t="str"/>
      <x:c r="M1152" s="16" t="str"/>
      <x:c r="N1152" s="16" t="str"/>
      <x:c r="O1152" s="16" t="str"/>
      <x:c r="P1152" s="16" t="str">
        <x:v>brand_substitute</x:v>
      </x:c>
      <x:c r="Q1152" s="16" t="str"/>
      <x:c r="R1152" s="16" t="str">
        <x:v>用户搜索Archies品牌女款人字拖，可能想购买该品牌产品。</x:v>
      </x:c>
      <x:c r="S1152" s="13" t="str">
        <x:v>brand_harvest</x:v>
      </x:c>
      <x:c r="T1152" s="16" t="str">
        <x:v>explicit | inferred</x:v>
      </x:c>
      <x:c r="U1152" s="13" t="str">
        <x:v>high</x:v>
      </x:c>
      <x:c r="V1152" s="16" t="str">
        <x:v>brand_flip_flops_archies_women</x:v>
      </x:c>
      <x:c r="W1152" s="16" t="str">
        <x:v>semantic_negative_candidate</x:v>
      </x:c>
      <x:c r="X1152" s="16" t="str">
        <x:v>{"primary_domain":[{"value":"clothing_shoes_jewelry","evidence_type":"inferred","source_span":"flip-flops","fact_ids":[],"rationale":"人字拖属于鞋类服饰。"}],"product_type":[{"value":"flip_flops","evidence_type":"explicit","source_span":"flip-flops","fact_ids":[],"rationale":"搜索词直接指明人字拖品类。"},{"value":"flip_flops","evidence_type":"page_validated","source_span":"","fact_ids":["style_flip_flop"],"rationale":"该槽位与商品基准中的明示页面事实一致。"}],"audience_intent":[{"value":"women","evidence_type":"explicit","source_span":"women","fact_ids":[],"rationale":"搜索词明确指定女性用户。"},{"value":"women","evidence_type":"page_validated","source_span":"","fact_ids":["title_womens_flip_flop"],"rationale":"该槽位与商品基准中的明示页面事实一致。"}],"substitute_intent":[{"value":"brand_substitute","evidence_type":"inferred","source_span":"archies","fact_ids":[],"rationale":"指定品牌Archies，非joomra品牌。"}],"intent_stage":[{"value":"brand_harvest","evidence_type":"inferred","source_span":"archies","fact_ids":[],"rationale":"品牌名搜索表明品牌收割。"}],"intent_cluster":[{"value":"brand_flip_flops_archies_women","evidence_type":"inferred","source_span":"archies flip-flops women","fact_ids":[],"rationale":"Archies女款人字拖搜索聚合。"}],"routing_action":[{"value":"semantic_negative_candidate","evidence_type":"inferred","source_span":"archies","fact_ids":[],"rationale":"Archies品牌与joomra品牌冲突。"}]}</x:v>
      </x:c>
      <x:c r="Y1152" s="16" t="str"/>
      <x:c r="Z1152" s="13" t="str">
        <x:v>mismatch</x:v>
      </x:c>
      <x:c r="AA1152" s="16" t="str">
        <x:v>title_womens_flip_flop | style_flip_flop</x:v>
      </x:c>
      <x:c r="AB1152" s="13" t="str">
        <x:v>accepted</x:v>
      </x:c>
      <x:c r="AC1152" s="13" t="str">
        <x:v>1.0.0</x:v>
      </x:c>
      <x:c r="AD1152" s="13" t="str">
        <x:v>1.1.0</x:v>
      </x:c>
      <x:c r="AE1152" s="13" t="str">
        <x:v>deepseek/deepseek-v4-pro</x:v>
      </x:c>
      <x:c r="AF1152" s="13" t="str">
        <x:v>aj2-y90-20260714T234810-0bea2f52</x:v>
      </x:c>
      <x:c r="AG1152" s="13" t="str">
        <x:v>full-0058</x:v>
      </x:c>
      <x:c r="AH1152" s="13" t="str">
        <x:v>full</x:v>
      </x:c>
      <x:c r="AI1152" s="13" t="n">
        <x:v>58</x:v>
      </x:c>
    </x:row>
    <x:row r="1153" ht="34" customHeight="1">
      <x:c r="A1153" s="15" t="str">
        <x:v>orthopedic flip flops women size 11</x:v>
      </x:c>
      <x:c r="B1153" s="15" t="str">
        <x:v>orthopedic flip flops women size 11</x:v>
      </x:c>
      <x:c r="C1153" s="10" t="str">
        <x:v>b703f0c075301be5</x:v>
      </x:c>
      <x:c r="D1153" s="10" t="str">
        <x:v>keyword</x:v>
      </x:c>
      <x:c r="E1153" s="10" t="str">
        <x:v>en</x:v>
      </x:c>
      <x:c r="F1153" s="10" t="str">
        <x:v>clothing_shoes_jewelry</x:v>
      </x:c>
      <x:c r="G1153" s="15" t="str">
        <x:v>health_household</x:v>
      </x:c>
      <x:c r="H1153" s="15" t="str">
        <x:v>flip_flops</x:v>
      </x:c>
      <x:c r="I1153" s="15" t="str">
        <x:v>women</x:v>
      </x:c>
      <x:c r="J1153" s="15" t="str">
        <x:v>orthopedic_support</x:v>
      </x:c>
      <x:c r="K1153" s="15" t="str">
        <x:v>arch_support</x:v>
      </x:c>
      <x:c r="L1153" s="15" t="str"/>
      <x:c r="M1153" s="15" t="str"/>
      <x:c r="N1153" s="15" t="str">
        <x:v>orthopedic_support</x:v>
      </x:c>
      <x:c r="O1153" s="15" t="str"/>
      <x:c r="P1153" s="15" t="str"/>
      <x:c r="Q1153" s="15" t="str"/>
      <x:c r="R1153" s="15" t="str">
        <x:v>女性用户寻找11码矫形人字拖以缓解足部不适。</x:v>
      </x:c>
      <x:c r="S1153" s="10" t="str">
        <x:v>high_intent</x:v>
      </x:c>
      <x:c r="T1153" s="15" t="str">
        <x:v>explicit | page_validated | inferred</x:v>
      </x:c>
      <x:c r="U1153" s="10" t="str">
        <x:v>medium</x:v>
      </x:c>
      <x:c r="V1153" s="15" t="str">
        <x:v>orthopedic_flip_flops_women_size11</x:v>
      </x:c>
      <x:c r="W1153" s="15" t="str">
        <x:v>listing_gap_review</x:v>
      </x:c>
      <x:c r="X1153" s="15" t="str">
        <x:v>{"primary_domain":[{"value":"clothing_shoes_jewelry","evidence_type":"inferred","source_span":"flip flops","fact_ids":[],"rationale":"人字拖属于鞋类。"}],"secondary_domain":[{"value":"health_household","evidence_type":"inferred","source_span":"orthopedic","fact_ids":[],"rationale":"矫形需求涉及健康护理领域。"}],"product_type":[{"value":"flip_flops","evidence_type":"explicit","source_span":"flip flops","fact_ids":[],"rationale":"搜索词指明人字拖。"},{"value":"flip_flops","evidence_type":"page_validated","source_span":"","fact_ids":["title_womens_flip_flop","style_flip_flop"],"rationale":"页面确认为人字拖。"}],"audience_intent":[{"value":"women","evidence_type":"explicit","source_span":"women","fact_ids":[],"rationale":"搜索词指定女性。"},{"value":"women","evidence_type":"page_validated","source_span":"","fact_ids":["title_womens_flip_flop"],"rationale":"页面标题确认女款。"}],"function_intent":[{"value":"orthopedic_support","evidence_type":"explicit","source_span":"orthopedic","fact_ids":[],"rationale":"搜索词明确矫形功能。"}],"capability_intent":[{"value":"arch_support","evidence_type":"page_validated","source_span":"","fact_ids":["arch_support","padded_cushioning"],"rationale":"足弓支撑和缓冲功能相关。"},{"value":"arch_support","evidence_type":"inferred","source_span":"","fact_ids":[],"rationale":"该能力由搜索词表达的任务或问题推断；页面事实仅用于验证商品承接。"}],"body_need_intent":[{"value":"orthopedic_support","evidence_type":"explicit","source_span":"orthopedic","fact_ids":[],"rationale":"搜索词表达矫形体需。"}],"intent_cluster":[{"value":"orthopedic_flip_flops_women_size11","evidence_type":"inferred","source_span":"orthopedic flip flops women size 11","fact_ids":[],"rationale":"11码女款矫形人字拖搜索聚合。"}],"routing_action":[{"value":"listing_gap_review","evidence_type":"inferred","source_span":"orthopedic","fact_ids":[],"rationale":"尺码和足弓匹配但矫形声明无页面证据。"}]}</x:v>
      </x:c>
      <x:c r="Y1153" s="15" t="str"/>
      <x:c r="Z1153" s="10" t="str">
        <x:v>partial_match</x:v>
      </x:c>
      <x:c r="AA1153" s="15" t="str">
        <x:v>title_womens_flip_flop | arch_support | sizes_6_11</x:v>
      </x:c>
      <x:c r="AB1153" s="10" t="str">
        <x:v>accepted</x:v>
      </x:c>
      <x:c r="AC1153" s="10" t="str">
        <x:v>1.0.0</x:v>
      </x:c>
      <x:c r="AD1153" s="10" t="str">
        <x:v>1.1.0</x:v>
      </x:c>
      <x:c r="AE1153" s="10" t="str">
        <x:v>deepseek/deepseek-v4-pro</x:v>
      </x:c>
      <x:c r="AF1153" s="10" t="str">
        <x:v>aj2-y90-20260714T234810-0bea2f52</x:v>
      </x:c>
      <x:c r="AG1153" s="10" t="str">
        <x:v>full-0058</x:v>
      </x:c>
      <x:c r="AH1153" s="10" t="str">
        <x:v>full</x:v>
      </x:c>
      <x:c r="AI1153" s="10" t="n">
        <x:v>58</x:v>
      </x:c>
    </x:row>
    <x:row r="1154" ht="34" customHeight="1">
      <x:c r="A1154" s="16" t="str">
        <x:v>plain black women's flip flops rubber</x:v>
      </x:c>
      <x:c r="B1154" s="16" t="str">
        <x:v>plain black women's flip flops rubber</x:v>
      </x:c>
      <x:c r="C1154" s="13" t="str">
        <x:v>c1e90c61842891b8</x:v>
      </x:c>
      <x:c r="D1154" s="13" t="str">
        <x:v>keyword</x:v>
      </x:c>
      <x:c r="E1154" s="13" t="str">
        <x:v>en</x:v>
      </x:c>
      <x:c r="F1154" s="13" t="str">
        <x:v>clothing_shoes_jewelry</x:v>
      </x:c>
      <x:c r="G1154" s="16" t="str"/>
      <x:c r="H1154" s="16" t="str">
        <x:v>flip_flops</x:v>
      </x:c>
      <x:c r="I1154" s="16" t="str">
        <x:v>women</x:v>
      </x:c>
      <x:c r="J1154" s="16" t="str">
        <x:v>simple_design</x:v>
      </x:c>
      <x:c r="K1154" s="16" t="str"/>
      <x:c r="L1154" s="16" t="str"/>
      <x:c r="M1154" s="16" t="str"/>
      <x:c r="N1154" s="16" t="str"/>
      <x:c r="O1154" s="16" t="str"/>
      <x:c r="P1154" s="16" t="str"/>
      <x:c r="Q1154" s="16" t="str"/>
      <x:c r="R1154" s="16" t="str">
        <x:v>女性用户寻找简约黑色橡胶材质人字拖。</x:v>
      </x:c>
      <x:c r="S1154" s="13" t="str">
        <x:v>consideration</x:v>
      </x:c>
      <x:c r="T1154" s="16" t="str">
        <x:v>explicit | page_validated | inferred</x:v>
      </x:c>
      <x:c r="U1154" s="13" t="str">
        <x:v>medium</x:v>
      </x:c>
      <x:c r="V1154" s="16" t="str">
        <x:v>plain_black_rubber_flip_flops_women</x:v>
      </x:c>
      <x:c r="W1154" s="16" t="str">
        <x:v>listing_gap_review</x:v>
      </x:c>
      <x:c r="X1154" s="16" t="str">
        <x:v>{"primary_domain":[{"value":"clothing_shoes_jewelry","evidence_type":"inferred","source_span":"flip flops","fact_ids":[],"rationale":"人字拖属于鞋类。"}],"product_type":[{"value":"flip_flops","evidence_type":"explicit","source_span":"flip flops","fact_ids":[],"rationale":"搜索词指明人字拖。"},{"value":"flip_flops","evidence_type":"page_validated","source_span":"","fact_ids":["title_womens_flip_flop","style_flip_flop"],"rationale":"页面确认为人字拖。"}],"audience_intent":[{"value":"women","evidence_type":"explicit","source_span":"women","fact_ids":[],"rationale":"搜索词指定女性。"},{"value":"women","evidence_type":"page_validated","source_span":"","fact_ids":["title_womens_flip_flop"],"rationale":"页面标题确认女款。"}],"function_intent":[{"value":"simple_design","evidence_type":"explicit","source_span":"plain","fact_ids":[],"rationale":"plain表明简约设计需求。"}],"intent_cluster":[{"value":"plain_black_rubber_flip_flops_women","evidence_type":"inferred","source_span":"plain black women's flip flops rubber","fact_ids":[],"rationale":"简约黑色橡胶女款人字拖搜索聚合。"}],"routing_action":[{"value":"listing_gap_review","evidence_type":"inferred","source_span":"rubber","fact_ids":[],"rationale":"产品材质为EVA非橡胶，且颜色黑色有支撑。"}]}</x:v>
      </x:c>
      <x:c r="Y1154" s="16" t="str"/>
      <x:c r="Z1154" s="13" t="str">
        <x:v>partial_match</x:v>
      </x:c>
      <x:c r="AA1154" s="16" t="str">
        <x:v>title_womens_flip_flop | colors_visible | material_eva</x:v>
      </x:c>
      <x:c r="AB1154" s="13" t="str">
        <x:v>accepted</x:v>
      </x:c>
      <x:c r="AC1154" s="13" t="str">
        <x:v>1.0.0</x:v>
      </x:c>
      <x:c r="AD1154" s="13" t="str">
        <x:v>1.1.0</x:v>
      </x:c>
      <x:c r="AE1154" s="13" t="str">
        <x:v>deepseek/deepseek-v4-pro</x:v>
      </x:c>
      <x:c r="AF1154" s="13" t="str">
        <x:v>aj2-y90-20260714T234810-0bea2f52</x:v>
      </x:c>
      <x:c r="AG1154" s="13" t="str">
        <x:v>full-0058</x:v>
      </x:c>
      <x:c r="AH1154" s="13" t="str">
        <x:v>full</x:v>
      </x:c>
      <x:c r="AI1154" s="13" t="n">
        <x:v>58</x:v>
      </x:c>
    </x:row>
    <x:row r="1155" ht="34" customHeight="1">
      <x:c r="A1155" s="15" t="str">
        <x:v>bronax arch support flip flops</x:v>
      </x:c>
      <x:c r="B1155" s="15" t="str">
        <x:v>bronax arch support flip flops</x:v>
      </x:c>
      <x:c r="C1155" s="10" t="str">
        <x:v>c88d196993bf22e6</x:v>
      </x:c>
      <x:c r="D1155" s="10" t="str">
        <x:v>keyword</x:v>
      </x:c>
      <x:c r="E1155" s="10" t="str">
        <x:v>en</x:v>
      </x:c>
      <x:c r="F1155" s="10" t="str">
        <x:v>clothing_shoes_jewelry</x:v>
      </x:c>
      <x:c r="G1155" s="15" t="str"/>
      <x:c r="H1155" s="15" t="str">
        <x:v>flip_flops</x:v>
      </x:c>
      <x:c r="I1155" s="15" t="str"/>
      <x:c r="J1155" s="15" t="str">
        <x:v>arch_support</x:v>
      </x:c>
      <x:c r="K1155" s="15" t="str">
        <x:v>arch_support</x:v>
      </x:c>
      <x:c r="L1155" s="15" t="str"/>
      <x:c r="M1155" s="15" t="str"/>
      <x:c r="N1155" s="15" t="str">
        <x:v>arch_support</x:v>
      </x:c>
      <x:c r="O1155" s="15" t="str"/>
      <x:c r="P1155" s="15" t="str">
        <x:v>brand_substitute</x:v>
      </x:c>
      <x:c r="Q1155" s="15" t="str"/>
      <x:c r="R1155" s="15" t="str">
        <x:v>用户搜索Bronax品牌足弓支撑人字拖，可能在寻找该品牌产品或功能相近的替代品。</x:v>
      </x:c>
      <x:c r="S1155" s="10" t="str">
        <x:v>brand_harvest</x:v>
      </x:c>
      <x:c r="T1155" s="15" t="str">
        <x:v>explicit | inferred</x:v>
      </x:c>
      <x:c r="U1155" s="10" t="str">
        <x:v>high</x:v>
      </x:c>
      <x:c r="V1155" s="15" t="str">
        <x:v>brand_arch_support_flip_flops_bronax</x:v>
      </x:c>
      <x:c r="W1155" s="15" t="str">
        <x:v>semantic_negative_candidate</x:v>
      </x:c>
      <x:c r="X1155" s="15" t="str">
        <x:v>{"primary_domain":[{"value":"clothing_shoes_jewelry","evidence_type":"inferred","source_span":"flip flops","fact_ids":[],"rationale":"人字拖属于鞋类。"}],"product_type":[{"value":"flip_flops","evidence_type":"explicit","source_span":"flip flops","fact_ids":[],"rationale":"搜索词指明人字拖。"},{"value":"flip_flops","evidence_type":"page_validated","source_span":"","fact_ids":["style_flip_flop"],"rationale":"该槽位与商品基准中的明示页面事实一致。"}],"capability_intent":[{"value":"arch_support","evidence_type":"inferred","source_span":"arch support","fact_ids":[],"rationale":"足弓支撑是核心产品能力需求。"},{"value":"arch_support","evidence_type":"page_validated","source_span":"","fact_ids":["arch_support"],"rationale":"该槽位与商品基准中的明示页面事实一致。"}],"substitute_intent":[{"value":"brand_substitute","evidence_type":"inferred","source_span":"bronax","fact_ids":[],"rationale":"搜索指定Bronax品牌，非joomra品牌。"}],"intent_stage":[{"value":"brand_harvest","evidence_type":"inferred","source_span":"bronax","fact_ids":[],"rationale":"品牌名搜索表明品牌收割意图。"}],"intent_cluster":[{"value":"brand_arch_support_flip_flops_bronax","evidence_type":"inferred","source_span":"bronax arch support flip flops","fact_ids":[],"rationale":"Bronax品牌足弓支撑人字拖搜索聚合。"}],"routing_action":[{"value":"semantic_negative_candidate","evidence_type":"inferred","source_span":"bronax","fact_ids":[],"rationale":"Bronax品牌与joomra品牌冲突。"}]}</x:v>
      </x:c>
      <x:c r="Y1155" s="15" t="str"/>
      <x:c r="Z1155" s="10" t="str">
        <x:v>mismatch</x:v>
      </x:c>
      <x:c r="AA1155" s="15" t="str">
        <x:v>title_womens_flip_flop | style_flip_flop | arch_support</x:v>
      </x:c>
      <x:c r="AB1155" s="10" t="str">
        <x:v>accepted</x:v>
      </x:c>
      <x:c r="AC1155" s="10" t="str">
        <x:v>1.0.0</x:v>
      </x:c>
      <x:c r="AD1155" s="10" t="str">
        <x:v>1.1.0</x:v>
      </x:c>
      <x:c r="AE1155" s="10" t="str">
        <x:v>deepseek/deepseek-v4-pro</x:v>
      </x:c>
      <x:c r="AF1155" s="10" t="str">
        <x:v>aj2-y90-20260714T234810-0bea2f52</x:v>
      </x:c>
      <x:c r="AG1155" s="10" t="str">
        <x:v>full-0058</x:v>
      </x:c>
      <x:c r="AH1155" s="10" t="str">
        <x:v>full</x:v>
      </x:c>
      <x:c r="AI1155" s="10" t="n">
        <x:v>58</x:v>
      </x:c>
    </x:row>
    <x:row r="1156" ht="34" customHeight="1">
      <x:c r="A1156" s="16" t="str">
        <x:v>litfun flip flops</x:v>
      </x:c>
      <x:c r="B1156" s="16" t="str">
        <x:v>litfun flip flops</x:v>
      </x:c>
      <x:c r="C1156" s="13" t="str">
        <x:v>d46017de3f7e7c5f</x:v>
      </x:c>
      <x:c r="D1156" s="13" t="str">
        <x:v>keyword</x:v>
      </x:c>
      <x:c r="E1156" s="13" t="str">
        <x:v>en</x:v>
      </x:c>
      <x:c r="F1156" s="13" t="str">
        <x:v>clothing_shoes_jewelry</x:v>
      </x:c>
      <x:c r="G1156" s="16" t="str"/>
      <x:c r="H1156" s="16" t="str">
        <x:v>flip_flops</x:v>
      </x:c>
      <x:c r="I1156" s="16" t="str"/>
      <x:c r="J1156" s="16" t="str"/>
      <x:c r="K1156" s="16" t="str"/>
      <x:c r="L1156" s="16" t="str"/>
      <x:c r="M1156" s="16" t="str"/>
      <x:c r="N1156" s="16" t="str"/>
      <x:c r="O1156" s="16" t="str"/>
      <x:c r="P1156" s="16" t="str">
        <x:v>brand_substitute</x:v>
      </x:c>
      <x:c r="Q1156" s="16" t="str"/>
      <x:c r="R1156" s="16" t="str">
        <x:v>用户搜索Litfun品牌人字拖，可能在寻找该品牌产品或替代品。</x:v>
      </x:c>
      <x:c r="S1156" s="13" t="str">
        <x:v>brand_harvest</x:v>
      </x:c>
      <x:c r="T1156" s="16" t="str">
        <x:v>explicit | inferred</x:v>
      </x:c>
      <x:c r="U1156" s="13" t="str">
        <x:v>high</x:v>
      </x:c>
      <x:c r="V1156" s="16" t="str">
        <x:v>brand_flip_flops_litfun</x:v>
      </x:c>
      <x:c r="W1156" s="16" t="str">
        <x:v>semantic_negative_candidate</x:v>
      </x:c>
      <x:c r="X1156" s="16" t="str">
        <x:v>{"primary_domain":[{"value":"clothing_shoes_jewelry","evidence_type":"inferred","source_span":"flip flops","fact_ids":[],"rationale":"人字拖属于鞋类服饰。"}],"product_type":[{"value":"flip_flops","evidence_type":"explicit","source_span":"flip flops","fact_ids":[],"rationale":"搜索词直接指明人字拖品类。"},{"value":"flip_flops","evidence_type":"page_validated","source_span":"","fact_ids":["style_flip_flop"],"rationale":"该槽位与商品基准中的明示页面事实一致。"}],"substitute_intent":[{"value":"brand_substitute","evidence_type":"inferred","source_span":"litfun","fact_ids":[],"rationale":"搜索指定品牌Litfun，非joomra品牌。"}],"intent_stage":[{"value":"brand_harvest","evidence_type":"inferred","source_span":"litfun","fact_ids":[],"rationale":"直接搜索品牌名表明品牌收割。"}],"intent_cluster":[{"value":"brand_flip_flops_litfun","evidence_type":"inferred","source_span":"litfun flip flops","fact_ids":[],"rationale":"Litfun品牌人字拖搜索聚合。"}],"routing_action":[{"value":"semantic_negative_candidate","evidence_type":"inferred","source_span":"litfun","fact_ids":[],"rationale":"Litfun品牌与joomra品牌冲突。"}]}</x:v>
      </x:c>
      <x:c r="Y1156" s="16" t="str"/>
      <x:c r="Z1156" s="13" t="str">
        <x:v>mismatch</x:v>
      </x:c>
      <x:c r="AA1156" s="16" t="str">
        <x:v>title_womens_flip_flop | style_flip_flop</x:v>
      </x:c>
      <x:c r="AB1156" s="13" t="str">
        <x:v>accepted</x:v>
      </x:c>
      <x:c r="AC1156" s="13" t="str">
        <x:v>1.0.0</x:v>
      </x:c>
      <x:c r="AD1156" s="13" t="str">
        <x:v>1.1.0</x:v>
      </x:c>
      <x:c r="AE1156" s="13" t="str">
        <x:v>deepseek/deepseek-v4-pro</x:v>
      </x:c>
      <x:c r="AF1156" s="13" t="str">
        <x:v>aj2-y90-20260714T234810-0bea2f52</x:v>
      </x:c>
      <x:c r="AG1156" s="13" t="str">
        <x:v>full-0058</x:v>
      </x:c>
      <x:c r="AH1156" s="13" t="str">
        <x:v>full</x:v>
      </x:c>
      <x:c r="AI1156" s="13" t="n">
        <x:v>58</x:v>
      </x:c>
    </x:row>
    <x:row r="1157" ht="34" customHeight="1">
      <x:c r="A1157" s="15" t="str">
        <x:v>womens orthopedic flip flops</x:v>
      </x:c>
      <x:c r="B1157" s="15" t="str">
        <x:v>womens orthopedic flip flops</x:v>
      </x:c>
      <x:c r="C1157" s="10" t="str">
        <x:v>dc67b002f37baf9a</x:v>
      </x:c>
      <x:c r="D1157" s="10" t="str">
        <x:v>keyword</x:v>
      </x:c>
      <x:c r="E1157" s="10" t="str">
        <x:v>en</x:v>
      </x:c>
      <x:c r="F1157" s="10" t="str">
        <x:v>clothing_shoes_jewelry</x:v>
      </x:c>
      <x:c r="G1157" s="15" t="str">
        <x:v>health_household</x:v>
      </x:c>
      <x:c r="H1157" s="15" t="str">
        <x:v>flip_flops</x:v>
      </x:c>
      <x:c r="I1157" s="15" t="str">
        <x:v>women</x:v>
      </x:c>
      <x:c r="J1157" s="15" t="str">
        <x:v>orthopedic_support</x:v>
      </x:c>
      <x:c r="K1157" s="15" t="str">
        <x:v>arch_support</x:v>
      </x:c>
      <x:c r="L1157" s="15" t="str"/>
      <x:c r="M1157" s="15" t="str"/>
      <x:c r="N1157" s="15" t="str">
        <x:v>orthopedic_support</x:v>
      </x:c>
      <x:c r="O1157" s="15" t="str"/>
      <x:c r="P1157" s="15" t="str"/>
      <x:c r="Q1157" s="15" t="str"/>
      <x:c r="R1157" s="15" t="str">
        <x:v>女性用户寻找具有矫形功能的人字拖以缓解足部不适。</x:v>
      </x:c>
      <x:c r="S1157" s="10" t="str">
        <x:v>consideration</x:v>
      </x:c>
      <x:c r="T1157" s="15" t="str">
        <x:v>explicit | page_validated | inferred</x:v>
      </x:c>
      <x:c r="U1157" s="10" t="str">
        <x:v>medium</x:v>
      </x:c>
      <x:c r="V1157" s="15" t="str">
        <x:v>orthopedic_flip_flops_women</x:v>
      </x:c>
      <x:c r="W1157" s="15" t="str">
        <x:v>listing_gap_review</x:v>
      </x:c>
      <x:c r="X1157" s="15" t="str">
        <x:v>{"primary_domain":[{"value":"clothing_shoes_jewelry","evidence_type":"inferred","source_span":"flip flops","fact_ids":[],"rationale":"人字拖属于鞋类。"}],"secondary_domain":[{"value":"health_household","evidence_type":"inferred","source_span":"orthopedic","fact_ids":[],"rationale":"矫形需求涉及健康护理领域。"}],"product_type":[{"value":"flip_flops","evidence_type":"explicit","source_span":"flip flops","fact_ids":[],"rationale":"搜索词指明人字拖。"},{"value":"flip_flops","evidence_type":"page_validated","source_span":"","fact_ids":["title_womens_flip_flop","style_flip_flop"],"rationale":"页面确认为人字拖。"}],"audience_intent":[{"value":"women","evidence_type":"explicit","source_span":"womens","fact_ids":[],"rationale":"搜索词指定女性。"},{"value":"women","evidence_type":"page_validated","source_span":"","fact_ids":["title_womens_flip_flop"],"rationale":"页面标题确认女款。"}],"function_intent":[{"value":"orthopedic_support","evidence_type":"explicit","source_span":"orthopedic","fact_ids":[],"rationale":"搜索词明确矫形功能需求。"}],"capability_intent":[{"value":"arch_support","evidence_type":"page_validated","source_span":"","fact_ids":["arch_support","padded_cushioning"],"rationale":"足弓支撑和缓冲功能部分满足矫形需求。"},{"value":"arch_support","evidence_type":"inferred","source_span":"","fact_ids":[],"rationale":"该能力由搜索词表达的任务或问题推断；页面事实仅用于验证商品承接。"}],"body_need_intent":[{"value":"orthopedic_support","evidence_type":"explicit","source_span":"orthopedic","fact_ids":[],"rationale":"搜索词表达矫形体需。"}],"intent_cluster":[{"value":"orthopedic_flip_flops_women","evidence_type":"inferred","source_span":"womens orthopedic flip flops","fact_ids":[],"rationale":"女款矫形人字拖搜索聚合。"}],"routing_action":[{"value":"listing_gap_review","evidence_type":"inferred","source_span":"orthopedic","fact_ids":[],"rationale":"产品无矫形声明，仅有足弓支撑间接相关。"}]}</x:v>
      </x:c>
      <x:c r="Y1157" s="15" t="str"/>
      <x:c r="Z1157" s="10" t="str">
        <x:v>partial_match</x:v>
      </x:c>
      <x:c r="AA1157" s="15" t="str">
        <x:v>title_womens_flip_flop | arch_support | padded_cushioning</x:v>
      </x:c>
      <x:c r="AB1157" s="10" t="str">
        <x:v>accepted</x:v>
      </x:c>
      <x:c r="AC1157" s="10" t="str">
        <x:v>1.0.0</x:v>
      </x:c>
      <x:c r="AD1157" s="10" t="str">
        <x:v>1.1.0</x:v>
      </x:c>
      <x:c r="AE1157" s="10" t="str">
        <x:v>deepseek/deepseek-v4-pro</x:v>
      </x:c>
      <x:c r="AF1157" s="10" t="str">
        <x:v>aj2-y90-20260714T234810-0bea2f52</x:v>
      </x:c>
      <x:c r="AG1157" s="10" t="str">
        <x:v>full-0058</x:v>
      </x:c>
      <x:c r="AH1157" s="10" t="str">
        <x:v>full</x:v>
      </x:c>
      <x:c r="AI1157" s="10" t="n">
        <x:v>58</x:v>
      </x:c>
    </x:row>
    <x:row r="1158" ht="34" customHeight="1">
      <x:c r="A1158" s="16" t="str">
        <x:v>womens black rubber flip flops</x:v>
      </x:c>
      <x:c r="B1158" s="16" t="str">
        <x:v>womens black rubber flip flops</x:v>
      </x:c>
      <x:c r="C1158" s="13" t="str">
        <x:v>e3156aa5d9cac12e</x:v>
      </x:c>
      <x:c r="D1158" s="13" t="str">
        <x:v>keyword</x:v>
      </x:c>
      <x:c r="E1158" s="13" t="str">
        <x:v>en</x:v>
      </x:c>
      <x:c r="F1158" s="13" t="str">
        <x:v>clothing_shoes_jewelry</x:v>
      </x:c>
      <x:c r="G1158" s="16" t="str"/>
      <x:c r="H1158" s="16" t="str">
        <x:v>flip_flops</x:v>
      </x:c>
      <x:c r="I1158" s="16" t="str">
        <x:v>women</x:v>
      </x:c>
      <x:c r="J1158" s="16" t="str"/>
      <x:c r="K1158" s="16" t="str"/>
      <x:c r="L1158" s="16" t="str"/>
      <x:c r="M1158" s="16" t="str"/>
      <x:c r="N1158" s="16" t="str"/>
      <x:c r="O1158" s="16" t="str"/>
      <x:c r="P1158" s="16" t="str"/>
      <x:c r="Q1158" s="16" t="str"/>
      <x:c r="R1158" s="16" t="str">
        <x:v>女性用户寻找黑色橡胶材质人字拖。</x:v>
      </x:c>
      <x:c r="S1158" s="13" t="str">
        <x:v>consideration</x:v>
      </x:c>
      <x:c r="T1158" s="16" t="str">
        <x:v>explicit | page_validated | inferred</x:v>
      </x:c>
      <x:c r="U1158" s="13" t="str">
        <x:v>medium</x:v>
      </x:c>
      <x:c r="V1158" s="16" t="str">
        <x:v>womens_black_rubber_flip_flops</x:v>
      </x:c>
      <x:c r="W1158" s="16" t="str">
        <x:v>listing_gap_review</x:v>
      </x:c>
      <x:c r="X1158" s="16" t="str">
        <x:v>{"primary_domain":[{"value":"clothing_shoes_jewelry","evidence_type":"inferred","source_span":"flip flops","fact_ids":[],"rationale":"人字拖属于鞋类。"}],"product_type":[{"value":"flip_flops","evidence_type":"explicit","source_span":"flip flops","fact_ids":[],"rationale":"搜索词指明人字拖。"},{"value":"flip_flops","evidence_type":"page_validated","source_span":"","fact_ids":["title_womens_flip_flop","style_flip_flop"],"rationale":"页面确认为人字拖。"}],"audience_intent":[{"value":"women","evidence_type":"explicit","source_span":"womens","fact_ids":[],"rationale":"搜索词指定女性。"},{"value":"women","evidence_type":"page_validated","source_span":"","fact_ids":["title_womens_flip_flop"],"rationale":"页面标题确认女款。"}],"intent_cluster":[{"value":"womens_black_rubber_flip_flops","evidence_type":"inferred","source_span":"womens black rubber flip flops","fact_ids":[],"rationale":"女款黑色橡胶人字拖搜索聚合。"}],"routing_action":[{"value":"listing_gap_review","evidence_type":"inferred","source_span":"rubber","fact_ids":[],"rationale":"品类受众颜色匹配，材质EVA非橡胶。"}]}</x:v>
      </x:c>
      <x:c r="Y1158" s="16" t="str"/>
      <x:c r="Z1158" s="13" t="str">
        <x:v>partial_match</x:v>
      </x:c>
      <x:c r="AA1158" s="16" t="str">
        <x:v>title_womens_flip_flop | colors_visible | material_eva</x:v>
      </x:c>
      <x:c r="AB1158" s="13" t="str">
        <x:v>accepted</x:v>
      </x:c>
      <x:c r="AC1158" s="13" t="str">
        <x:v>1.0.0</x:v>
      </x:c>
      <x:c r="AD1158" s="13" t="str">
        <x:v>1.1.0</x:v>
      </x:c>
      <x:c r="AE1158" s="13" t="str">
        <x:v>deepseek/deepseek-v4-pro</x:v>
      </x:c>
      <x:c r="AF1158" s="13" t="str">
        <x:v>aj2-y90-20260714T234810-0bea2f52</x:v>
      </x:c>
      <x:c r="AG1158" s="13" t="str">
        <x:v>full-0058</x:v>
      </x:c>
      <x:c r="AH1158" s="13" t="str">
        <x:v>full</x:v>
      </x:c>
      <x:c r="AI1158" s="13" t="n">
        <x:v>58</x:v>
      </x:c>
    </x:row>
    <x:row r="1159" ht="34" customHeight="1">
      <x:c r="A1159" s="15" t="str">
        <x:v>womens black orthopedic flip flops arch support</x:v>
      </x:c>
      <x:c r="B1159" s="15" t="str">
        <x:v>womens black orthopedic flip flops arch support</x:v>
      </x:c>
      <x:c r="C1159" s="10" t="str">
        <x:v>efb36c3e56f73b9c</x:v>
      </x:c>
      <x:c r="D1159" s="10" t="str">
        <x:v>keyword</x:v>
      </x:c>
      <x:c r="E1159" s="10" t="str">
        <x:v>en</x:v>
      </x:c>
      <x:c r="F1159" s="10" t="str">
        <x:v>clothing_shoes_jewelry</x:v>
      </x:c>
      <x:c r="G1159" s="15" t="str">
        <x:v>health_household</x:v>
      </x:c>
      <x:c r="H1159" s="15" t="str">
        <x:v>flip_flops</x:v>
      </x:c>
      <x:c r="I1159" s="15" t="str">
        <x:v>women</x:v>
      </x:c>
      <x:c r="J1159" s="15" t="str">
        <x:v>orthopedic_support | arch_support</x:v>
      </x:c>
      <x:c r="K1159" s="15" t="str">
        <x:v>arch_support</x:v>
      </x:c>
      <x:c r="L1159" s="15" t="str"/>
      <x:c r="M1159" s="15" t="str"/>
      <x:c r="N1159" s="15" t="str">
        <x:v>orthopedic_support | arch_support</x:v>
      </x:c>
      <x:c r="O1159" s="15" t="str"/>
      <x:c r="P1159" s="15" t="str"/>
      <x:c r="Q1159" s="15" t="str"/>
      <x:c r="R1159" s="15" t="str">
        <x:v>女性用户寻找黑色矫形人字拖，需要足弓支撑功能以缓解足部问题。</x:v>
      </x:c>
      <x:c r="S1159" s="10" t="str">
        <x:v>high_intent</x:v>
      </x:c>
      <x:c r="T1159" s="15" t="str">
        <x:v>explicit | page_validated | inferred</x:v>
      </x:c>
      <x:c r="U1159" s="10" t="str">
        <x:v>medium</x:v>
      </x:c>
      <x:c r="V1159" s="15" t="str">
        <x:v>orthopedic_arch_support_flip_flops_black_women</x:v>
      </x:c>
      <x:c r="W1159" s="15" t="str">
        <x:v>listing_gap_review</x:v>
      </x:c>
      <x:c r="X1159" s="15" t="str">
        <x:v>{"primary_domain":[{"value":"clothing_shoes_jewelry","evidence_type":"inferred","source_span":"flip flops","fact_ids":[],"rationale":"人字拖属于鞋类。"}],"secondary_domain":[{"value":"health_household","evidence_type":"inferred","source_span":"orthopedic","fact_ids":[],"rationale":"矫形需求涉及健康护理领域。"}],"product_type":[{"value":"flip_flops","evidence_type":"explicit","source_span":"flip flops","fact_ids":[],"rationale":"搜索词指明人字拖。"},{"value":"flip_flops","evidence_type":"page_validated","source_span":"","fact_ids":["title_womens_flip_flop","style_flip_flop"],"rationale":"页面确认为人字拖。"}],"audience_intent":[{"value":"women","evidence_type":"explicit","source_span":"womens","fact_ids":[],"rationale":"搜索词指定女性。"},{"value":"women","evidence_type":"page_validated","source_span":"","fact_ids":["title_womens_flip_flop"],"rationale":"页面标题确认女款。"}],"function_intent":[{"value":"orthopedic_support","evidence_type":"explicit","source_span":"orthopedic","fact_ids":[],"rationale":"搜索词明确矫形功能。"}],"capability_intent":[{"value":"arch_support","evidence_type":"page_validated","source_span":"","fact_ids":["arch_support"],"rationale":"页面明确提供人体工学足弓支撑。"}],"body_need_intent":[{"value":"orthopedic_support","evidence_type":"explicit","source_span":"orthopedic","fact_ids":[],"rationale":"搜索词表达矫形需求。"}],"intent_cluster":[{"value":"orthopedic_arch_support_flip_flops_black_women","evidence_type":"inferred","source_span":"womens black orthopedic flip flops arch support","fact_ids":[],"rationale":"女款黑色矫形足弓支撑人字拖搜索聚合。"}],"routing_action":[{"value":"listing_gap_review","evidence_type":"inferred","source_span":"orthopedic","fact_ids":[],"rationale":"矫形声明无页面证据，足弓支撑和黑色有证据。"}]}</x:v>
      </x:c>
      <x:c r="Y1159" s="15" t="str"/>
      <x:c r="Z1159" s="10" t="str">
        <x:v>partial_match</x:v>
      </x:c>
      <x:c r="AA1159" s="15" t="str">
        <x:v>title_womens_flip_flop | arch_support | colors_visible</x:v>
      </x:c>
      <x:c r="AB1159" s="10" t="str">
        <x:v>accepted</x:v>
      </x:c>
      <x:c r="AC1159" s="10" t="str">
        <x:v>1.0.0</x:v>
      </x:c>
      <x:c r="AD1159" s="10" t="str">
        <x:v>1.1.0</x:v>
      </x:c>
      <x:c r="AE1159" s="10" t="str">
        <x:v>deepseek/deepseek-v4-pro</x:v>
      </x:c>
      <x:c r="AF1159" s="10" t="str">
        <x:v>aj2-y90-20260714T234810-0bea2f52</x:v>
      </x:c>
      <x:c r="AG1159" s="10" t="str">
        <x:v>full-0058</x:v>
      </x:c>
      <x:c r="AH1159" s="10" t="str">
        <x:v>full</x:v>
      </x:c>
      <x:c r="AI1159" s="10" t="n">
        <x:v>58</x:v>
      </x:c>
    </x:row>
    <x:row r="1160" ht="34" customHeight="1">
      <x:c r="A1160" s="16" t="str">
        <x:v>flip flops prime day</x:v>
      </x:c>
      <x:c r="B1160" s="16" t="str">
        <x:v>flip flops prime day</x:v>
      </x:c>
      <x:c r="C1160" s="13" t="str">
        <x:v>f3b2c7e3f9704343</x:v>
      </x:c>
      <x:c r="D1160" s="13" t="str">
        <x:v>keyword</x:v>
      </x:c>
      <x:c r="E1160" s="13" t="str">
        <x:v>en</x:v>
      </x:c>
      <x:c r="F1160" s="13" t="str">
        <x:v>clothing_shoes_jewelry</x:v>
      </x:c>
      <x:c r="G1160" s="16" t="str"/>
      <x:c r="H1160" s="16" t="str">
        <x:v>flip_flops</x:v>
      </x:c>
      <x:c r="I1160" s="16" t="str"/>
      <x:c r="J1160" s="16" t="str"/>
      <x:c r="K1160" s="16" t="str"/>
      <x:c r="L1160" s="16" t="str">
        <x:v>prime_day</x:v>
      </x:c>
      <x:c r="M1160" s="16" t="str"/>
      <x:c r="N1160" s="16" t="str"/>
      <x:c r="O1160" s="16" t="str">
        <x:v>prime_day_sale</x:v>
      </x:c>
      <x:c r="P1160" s="16" t="str"/>
      <x:c r="Q1160" s="16" t="str"/>
      <x:c r="R1160" s="16" t="str">
        <x:v>用户在Prime Day促销活动期间寻找人字拖商品。</x:v>
      </x:c>
      <x:c r="S1160" s="13" t="str">
        <x:v>exploration</x:v>
      </x:c>
      <x:c r="T1160" s="16" t="str">
        <x:v>explicit | inferred</x:v>
      </x:c>
      <x:c r="U1160" s="13" t="str">
        <x:v>medium</x:v>
      </x:c>
      <x:c r="V1160" s="16" t="str">
        <x:v>flip_flops_prime_day</x:v>
      </x:c>
      <x:c r="W1160" s="16" t="str">
        <x:v>performance_observation</x:v>
      </x:c>
      <x:c r="X1160" s="16" t="str">
        <x:v>{"primary_domain":[{"value":"clothing_shoes_jewelry","evidence_type":"inferred","source_span":"flip flops","fact_ids":[],"rationale":"人字拖属于鞋类。"}],"product_type":[{"value":"flip_flops","evidence_type":"explicit","source_span":"flip flops","fact_ids":[],"rationale":"搜索词指明人字拖。"},{"value":"flip_flops","evidence_type":"page_validated","source_span":"","fact_ids":["style_flip_flop"],"rationale":"该槽位与商品基准中的明示页面事实一致。"}],"event_intent":[{"value":"prime_day","evidence_type":"explicit","source_span":"prime day","fact_ids":[],"rationale":"搜索词直接指向Prime Day促销活动。"}],"time_intent":[{"value":"prime_day_sale","evidence_type":"explicit","source_span":"prime day","fact_ids":[],"rationale":"Prime Day是特定促销时段。"}],"intent_cluster":[{"value":"flip_flops_prime_day","evidence_type":"inferred","source_span":"flip flops prime day","fact_ids":[],"rationale":"Prime Day人字拖搜索聚合。"}],"routing_action":[{"value":"performance_observation","evidence_type":"inferred","source_span":"prime day","fact_ids":[],"rationale":"品类匹配但促销相关需行为数据验证。"}]}</x:v>
      </x:c>
      <x:c r="Y1160" s="16" t="str"/>
      <x:c r="Z1160" s="13" t="str">
        <x:v>unknown</x:v>
      </x:c>
      <x:c r="AA1160" s="16" t="str"/>
      <x:c r="AB1160" s="13" t="str">
        <x:v>accepted</x:v>
      </x:c>
      <x:c r="AC1160" s="13" t="str">
        <x:v>1.0.0</x:v>
      </x:c>
      <x:c r="AD1160" s="13" t="str">
        <x:v>1.1.0</x:v>
      </x:c>
      <x:c r="AE1160" s="13" t="str">
        <x:v>deepseek/deepseek-v4-pro</x:v>
      </x:c>
      <x:c r="AF1160" s="13" t="str">
        <x:v>aj2-y90-20260714T234810-0bea2f52</x:v>
      </x:c>
      <x:c r="AG1160" s="13" t="str">
        <x:v>full-0058</x:v>
      </x:c>
      <x:c r="AH1160" s="13" t="str">
        <x:v>full</x:v>
      </x:c>
      <x:c r="AI1160" s="13" t="n">
        <x:v>58</x:v>
      </x:c>
    </x:row>
    <x:row r="1161" ht="34" customHeight="1">
      <x:c r="A1161" s="15" t="str">
        <x:v>archies flip-flops</x:v>
      </x:c>
      <x:c r="B1161" s="15" t="str">
        <x:v>archies flip-flops</x:v>
      </x:c>
      <x:c r="C1161" s="10" t="str">
        <x:v>fd6c4835c334c5ef</x:v>
      </x:c>
      <x:c r="D1161" s="10" t="str">
        <x:v>keyword</x:v>
      </x:c>
      <x:c r="E1161" s="10" t="str">
        <x:v>en</x:v>
      </x:c>
      <x:c r="F1161" s="10" t="str">
        <x:v>clothing_shoes_jewelry</x:v>
      </x:c>
      <x:c r="G1161" s="15" t="str"/>
      <x:c r="H1161" s="15" t="str">
        <x:v>flip_flops</x:v>
      </x:c>
      <x:c r="I1161" s="15" t="str"/>
      <x:c r="J1161" s="15" t="str"/>
      <x:c r="K1161" s="15" t="str"/>
      <x:c r="L1161" s="15" t="str"/>
      <x:c r="M1161" s="15" t="str"/>
      <x:c r="N1161" s="15" t="str"/>
      <x:c r="O1161" s="15" t="str"/>
      <x:c r="P1161" s="15" t="str">
        <x:v>brand_substitute</x:v>
      </x:c>
      <x:c r="Q1161" s="15" t="str"/>
      <x:c r="R1161" s="15" t="str">
        <x:v>用户搜索Archies品牌的人字拖，可能想购买该品牌产品或寻找类似替代品。</x:v>
      </x:c>
      <x:c r="S1161" s="10" t="str">
        <x:v>brand_harvest</x:v>
      </x:c>
      <x:c r="T1161" s="15" t="str">
        <x:v>explicit | inferred</x:v>
      </x:c>
      <x:c r="U1161" s="10" t="str">
        <x:v>high</x:v>
      </x:c>
      <x:c r="V1161" s="15" t="str">
        <x:v>brand_flip_flops_archies</x:v>
      </x:c>
      <x:c r="W1161" s="15" t="str">
        <x:v>semantic_negative_candidate</x:v>
      </x:c>
      <x:c r="X1161" s="15" t="str">
        <x:v>{"primary_domain":[{"value":"clothing_shoes_jewelry","evidence_type":"inferred","source_span":"flip-flops","fact_ids":[],"rationale":"人字拖属于鞋类服饰品类。"}],"product_type":[{"value":"flip_flops","evidence_type":"explicit","source_span":"flip-flops","fact_ids":[],"rationale":"搜索词直接指明人字拖品类。"},{"value":"flip_flops","evidence_type":"page_validated","source_span":"","fact_ids":["style_flip_flop"],"rationale":"该槽位与商品基准中的明示页面事实一致。"}],"substitute_intent":[{"value":"brand_substitute","evidence_type":"inferred","source_span":"archies","fact_ids":[],"rationale":"搜索指定品牌名，产品非该品牌。"}],"intent_stage":[{"value":"brand_harvest","evidence_type":"inferred","source_span":"archies","fact_ids":[],"rationale":"直接搜索品牌名表明品牌收割意图。"}],"intent_cluster":[{"value":"brand_flip_flops_archies","evidence_type":"inferred","source_span":"archies flip-flops","fact_ids":[],"rationale":"Archies品牌人字拖搜索聚合。"}],"routing_action":[{"value":"semantic_negative_candidate","evidence_type":"inferred","source_span":"archies","fact_ids":[],"rationale":"Archies品牌与joomra品牌冲突。"}]}</x:v>
      </x:c>
      <x:c r="Y1161" s="15" t="str"/>
      <x:c r="Z1161" s="10" t="str">
        <x:v>mismatch</x:v>
      </x:c>
      <x:c r="AA1161" s="15" t="str">
        <x:v>title_womens_flip_flop | style_flip_flop</x:v>
      </x:c>
      <x:c r="AB1161" s="10" t="str">
        <x:v>accepted</x:v>
      </x:c>
      <x:c r="AC1161" s="10" t="str">
        <x:v>1.0.0</x:v>
      </x:c>
      <x:c r="AD1161" s="10" t="str">
        <x:v>1.1.0</x:v>
      </x:c>
      <x:c r="AE1161" s="10" t="str">
        <x:v>deepseek/deepseek-v4-pro</x:v>
      </x:c>
      <x:c r="AF1161" s="10" t="str">
        <x:v>aj2-y90-20260714T234810-0bea2f52</x:v>
      </x:c>
      <x:c r="AG1161" s="10" t="str">
        <x:v>full-0058</x:v>
      </x:c>
      <x:c r="AH1161" s="10" t="str">
        <x:v>full</x:v>
      </x:c>
      <x:c r="AI1161" s="10" t="n">
        <x:v>58</x:v>
      </x:c>
    </x:row>
    <x:row r="1162" ht="34" customHeight="1">
      <x:c r="A1162" s="16" t="str">
        <x:v>soleil sea womens flip flops</x:v>
      </x:c>
      <x:c r="B1162" s="16" t="str">
        <x:v>soleil sea womens flip flops</x:v>
      </x:c>
      <x:c r="C1162" s="13" t="str">
        <x:v>0b090cca6f61c4dd</x:v>
      </x:c>
      <x:c r="D1162" s="13" t="str">
        <x:v>keyword</x:v>
      </x:c>
      <x:c r="E1162" s="13" t="str">
        <x:v>en</x:v>
      </x:c>
      <x:c r="F1162" s="13" t="str">
        <x:v>clothing_shoes_jewelry</x:v>
      </x:c>
      <x:c r="G1162" s="16" t="str"/>
      <x:c r="H1162" s="16" t="str">
        <x:v>flip_flops</x:v>
      </x:c>
      <x:c r="I1162" s="16" t="str">
        <x:v>women</x:v>
      </x:c>
      <x:c r="J1162" s="16" t="str"/>
      <x:c r="K1162" s="16" t="str"/>
      <x:c r="L1162" s="16" t="str"/>
      <x:c r="M1162" s="16" t="str"/>
      <x:c r="N1162" s="16" t="str"/>
      <x:c r="O1162" s="16" t="str"/>
      <x:c r="P1162" s="16" t="str"/>
      <x:c r="Q1162" s="16" t="str"/>
      <x:c r="R1162" s="16" t="str">
        <x:v>一位女性需要一双Soleil Sea品牌的夹脚拖鞋。</x:v>
      </x:c>
      <x:c r="S1162" s="13" t="str">
        <x:v>brand_harvest</x:v>
      </x:c>
      <x:c r="T1162" s="16" t="str">
        <x:v>explicit</x:v>
      </x:c>
      <x:c r="U1162" s="13" t="str">
        <x:v>high</x:v>
      </x:c>
      <x:c r="V1162" s="16" t="str">
        <x:v>brand_soleil_sea_flip_flops</x:v>
      </x:c>
      <x:c r="W1162" s="16" t="str">
        <x:v>semantic_negative_candidate</x:v>
      </x:c>
      <x:c r="X1162" s="16" t="str">
        <x:v>{"product_type":[{"value":"flip_flops","evidence_type":"explicit","source_span":"flip flops","fact_ids":[],"rationale":"搜索词明确提及flip flops"},{"value":"flip_flops","evidence_type":"page_validated","source_span":"","fact_ids":["style_flip_flop"],"rationale":"该槽位与商品基准中的明示页面事实一致。"}],"audience_intent":[{"value":"women","evidence_type":"explicit","source_span":"womens","fact_ids":[],"rationale":"搜索词明确提及womens"},{"value":"women","evidence_type":"page_validated","source_span":"","fact_ids":["title_womens_flip_flop"],"rationale":"该槽位与商品基准中的明示页面事实一致。"}],"primary_domain":[{"value":"clothing_shoes_jewelry","evidence_type":"inferred","source_span":"","fact_ids":[],"rationale":"该值由搜索词整体语义推断，未作为页面明示属性。"}]}</x:v>
      </x:c>
      <x:c r="Y1162" s="16" t="str"/>
      <x:c r="Z1162" s="13" t="str">
        <x:v>mismatch</x:v>
      </x:c>
      <x:c r="AA1162" s="16" t="str">
        <x:v>title_womens_flip_flop</x:v>
      </x:c>
      <x:c r="AB1162" s="13" t="str">
        <x:v>accepted</x:v>
      </x:c>
      <x:c r="AC1162" s="13" t="str">
        <x:v>1.0.0</x:v>
      </x:c>
      <x:c r="AD1162" s="13" t="str">
        <x:v>1.0.0</x:v>
      </x:c>
      <x:c r="AE1162" s="13" t="str">
        <x:v>deepseek/deepseek-v4-pro</x:v>
      </x:c>
      <x:c r="AF1162" s="13" t="str">
        <x:v>aj2-y90-20260714T234810-0bea2f52</x:v>
      </x:c>
      <x:c r="AG1162" s="13" t="str">
        <x:v>full-0059</x:v>
      </x:c>
      <x:c r="AH1162" s="13" t="str">
        <x:v>full</x:v>
      </x:c>
      <x:c r="AI1162" s="13" t="n">
        <x:v>59</x:v>
      </x:c>
    </x:row>
    <x:row r="1163" ht="34" customHeight="1">
      <x:c r="A1163" s="15" t="str">
        <x:v>light pink flip flops</x:v>
      </x:c>
      <x:c r="B1163" s="15" t="str">
        <x:v>light pink flip flops</x:v>
      </x:c>
      <x:c r="C1163" s="10" t="str">
        <x:v>1f2887f5ec824cea</x:v>
      </x:c>
      <x:c r="D1163" s="10" t="str">
        <x:v>keyword</x:v>
      </x:c>
      <x:c r="E1163" s="10" t="str">
        <x:v>en</x:v>
      </x:c>
      <x:c r="F1163" s="10" t="str">
        <x:v>clothing_shoes_jewelry</x:v>
      </x:c>
      <x:c r="G1163" s="15" t="str"/>
      <x:c r="H1163" s="15" t="str">
        <x:v>flip_flops</x:v>
      </x:c>
      <x:c r="I1163" s="15" t="str"/>
      <x:c r="J1163" s="15" t="str"/>
      <x:c r="K1163" s="15" t="str"/>
      <x:c r="L1163" s="15" t="str"/>
      <x:c r="M1163" s="15" t="str"/>
      <x:c r="N1163" s="15" t="str"/>
      <x:c r="O1163" s="15" t="str"/>
      <x:c r="P1163" s="15" t="str"/>
      <x:c r="Q1163" s="15" t="str"/>
      <x:c r="R1163" s="15" t="str">
        <x:v>用户需要一双浅粉色的夹脚拖鞋。</x:v>
      </x:c>
      <x:c r="S1163" s="10" t="str">
        <x:v>exploration</x:v>
      </x:c>
      <x:c r="T1163" s="15" t="str">
        <x:v>explicit | page_validated</x:v>
      </x:c>
      <x:c r="U1163" s="10" t="str">
        <x:v>high</x:v>
      </x:c>
      <x:c r="V1163" s="15" t="str">
        <x:v>flip_flops_color_light_pink</x:v>
      </x:c>
      <x:c r="W1163" s="15" t="str">
        <x:v>cluster_route</x:v>
      </x:c>
      <x:c r="X1163" s="15" t="str">
        <x:v>{"product_type":[{"value":"flip_flops","evidence_type":"explicit","source_span":"flip flops","fact_ids":[],"rationale":"搜索词明确提及flip flops"},{"value":"flip_flops","evidence_type":"page_validated","source_span":"","fact_ids":["style_flip_flop"],"rationale":"该槽位与商品基准中的明示页面事实一致。"}],"primary_domain":[{"value":"clothing_shoes_jewelry","evidence_type":"inferred","source_span":"","fact_ids":[],"rationale":"该值由搜索词整体语义推断，未作为页面明示属性。"}]}</x:v>
      </x:c>
      <x:c r="Y1163" s="15" t="str"/>
      <x:c r="Z1163" s="10" t="str">
        <x:v>match</x:v>
      </x:c>
      <x:c r="AA1163" s="15" t="str">
        <x:v>style_flip_flop | colors_visible</x:v>
      </x:c>
      <x:c r="AB1163" s="10" t="str">
        <x:v>accepted</x:v>
      </x:c>
      <x:c r="AC1163" s="10" t="str">
        <x:v>1.0.0</x:v>
      </x:c>
      <x:c r="AD1163" s="10" t="str">
        <x:v>1.0.0</x:v>
      </x:c>
      <x:c r="AE1163" s="10" t="str">
        <x:v>deepseek/deepseek-v4-pro</x:v>
      </x:c>
      <x:c r="AF1163" s="10" t="str">
        <x:v>aj2-y90-20260714T234810-0bea2f52</x:v>
      </x:c>
      <x:c r="AG1163" s="10" t="str">
        <x:v>full-0059</x:v>
      </x:c>
      <x:c r="AH1163" s="10" t="str">
        <x:v>full</x:v>
      </x:c>
      <x:c r="AI1163" s="10" t="n">
        <x:v>59</x:v>
      </x:c>
    </x:row>
    <x:row r="1164" ht="34" customHeight="1">
      <x:c r="A1164" s="16" t="str">
        <x:v>black womens flip flops</x:v>
      </x:c>
      <x:c r="B1164" s="16" t="str">
        <x:v>black womens flip flops</x:v>
      </x:c>
      <x:c r="C1164" s="13" t="str">
        <x:v>34dddd08671ce9e9</x:v>
      </x:c>
      <x:c r="D1164" s="13" t="str">
        <x:v>keyword</x:v>
      </x:c>
      <x:c r="E1164" s="13" t="str">
        <x:v>en</x:v>
      </x:c>
      <x:c r="F1164" s="13" t="str">
        <x:v>clothing_shoes_jewelry</x:v>
      </x:c>
      <x:c r="G1164" s="16" t="str"/>
      <x:c r="H1164" s="16" t="str">
        <x:v>flip_flops</x:v>
      </x:c>
      <x:c r="I1164" s="16" t="str">
        <x:v>women</x:v>
      </x:c>
      <x:c r="J1164" s="16" t="str"/>
      <x:c r="K1164" s="16" t="str"/>
      <x:c r="L1164" s="16" t="str"/>
      <x:c r="M1164" s="16" t="str"/>
      <x:c r="N1164" s="16" t="str"/>
      <x:c r="O1164" s="16" t="str"/>
      <x:c r="P1164" s="16" t="str"/>
      <x:c r="Q1164" s="16" t="str"/>
      <x:c r="R1164" s="16" t="str">
        <x:v>一位女性需要一双黑色的夹脚拖鞋。</x:v>
      </x:c>
      <x:c r="S1164" s="13" t="str">
        <x:v>consideration</x:v>
      </x:c>
      <x:c r="T1164" s="16" t="str">
        <x:v>explicit | page_validated</x:v>
      </x:c>
      <x:c r="U1164" s="13" t="str">
        <x:v>high</x:v>
      </x:c>
      <x:c r="V1164" s="16" t="str">
        <x:v>womens_flip_flops_black</x:v>
      </x:c>
      <x:c r="W1164" s="16" t="str">
        <x:v>cluster_route</x:v>
      </x:c>
      <x:c r="X1164" s="16" t="str">
        <x:v>{"product_type":[{"value":"flip_flops","evidence_type":"explicit","source_span":"flip flops","fact_ids":[],"rationale":"搜索词明确提及flip flops"},{"value":"flip_flops","evidence_type":"page_validated","source_span":"","fact_ids":["style_flip_flop"],"rationale":"该槽位与商品基准中的明示页面事实一致。"}],"audience_intent":[{"value":"women","evidence_type":"explicit","source_span":"womens","fact_ids":[],"rationale":"搜索词明确提及womens"},{"value":"women","evidence_type":"page_validated","source_span":"","fact_ids":["title_womens_flip_flop"],"rationale":"该槽位与商品基准中的明示页面事实一致。"}],"primary_domain":[{"value":"clothing_shoes_jewelry","evidence_type":"inferred","source_span":"","fact_ids":[],"rationale":"该值由搜索词整体语义推断，未作为页面明示属性。"}]}</x:v>
      </x:c>
      <x:c r="Y1164" s="16" t="str"/>
      <x:c r="Z1164" s="13" t="str">
        <x:v>match</x:v>
      </x:c>
      <x:c r="AA1164" s="16" t="str">
        <x:v>title_womens_flip_flop | style_flip_flop | colors_visible</x:v>
      </x:c>
      <x:c r="AB1164" s="13" t="str">
        <x:v>accepted</x:v>
      </x:c>
      <x:c r="AC1164" s="13" t="str">
        <x:v>1.0.0</x:v>
      </x:c>
      <x:c r="AD1164" s="13" t="str">
        <x:v>1.0.0</x:v>
      </x:c>
      <x:c r="AE1164" s="13" t="str">
        <x:v>deepseek/deepseek-v4-pro</x:v>
      </x:c>
      <x:c r="AF1164" s="13" t="str">
        <x:v>aj2-y90-20260714T234810-0bea2f52</x:v>
      </x:c>
      <x:c r="AG1164" s="13" t="str">
        <x:v>full-0059</x:v>
      </x:c>
      <x:c r="AH1164" s="13" t="str">
        <x:v>full</x:v>
      </x:c>
      <x:c r="AI1164" s="13" t="n">
        <x:v>59</x:v>
      </x:c>
    </x:row>
    <x:row r="1165" ht="34" customHeight="1">
      <x:c r="A1165" s="15" t="str">
        <x:v>women flip flop soft</x:v>
      </x:c>
      <x:c r="B1165" s="15" t="str">
        <x:v>women flip flop soft</x:v>
      </x:c>
      <x:c r="C1165" s="10" t="str">
        <x:v>3d183fa71084745c</x:v>
      </x:c>
      <x:c r="D1165" s="10" t="str">
        <x:v>keyword</x:v>
      </x:c>
      <x:c r="E1165" s="10" t="str">
        <x:v>en</x:v>
      </x:c>
      <x:c r="F1165" s="10" t="str">
        <x:v>clothing_shoes_jewelry</x:v>
      </x:c>
      <x:c r="G1165" s="15" t="str"/>
      <x:c r="H1165" s="15" t="str">
        <x:v>flip_flops</x:v>
      </x:c>
      <x:c r="I1165" s="15" t="str">
        <x:v>women</x:v>
      </x:c>
      <x:c r="J1165" s="15" t="str"/>
      <x:c r="K1165" s="15" t="str">
        <x:v>soft</x:v>
      </x:c>
      <x:c r="L1165" s="15" t="str"/>
      <x:c r="M1165" s="15" t="str"/>
      <x:c r="N1165" s="15" t="str"/>
      <x:c r="O1165" s="15" t="str"/>
      <x:c r="P1165" s="15" t="str"/>
      <x:c r="Q1165" s="15" t="str"/>
      <x:c r="R1165" s="15" t="str">
        <x:v>一位女性需要一双柔软的夹脚拖鞋以提升穿着舒适感。</x:v>
      </x:c>
      <x:c r="S1165" s="10" t="str">
        <x:v>exploration</x:v>
      </x:c>
      <x:c r="T1165" s="15" t="str">
        <x:v>explicit | page_validated</x:v>
      </x:c>
      <x:c r="U1165" s="10" t="str">
        <x:v>high</x:v>
      </x:c>
      <x:c r="V1165" s="15" t="str">
        <x:v>womens_flip_flops_soft</x:v>
      </x:c>
      <x:c r="W1165" s="15" t="str">
        <x:v>cluster_route</x:v>
      </x:c>
      <x:c r="X1165" s="15" t="str">
        <x:v>{"product_type":[{"value":"flip_flops","evidence_type":"explicit","source_span":"flip flop","fact_ids":[],"rationale":"搜索词明确提及flip flop"},{"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audience_intent":[{"value":"women","evidence_type":"explicit","source_span":"women","fact_ids":[],"rationale":"搜索词明确提及women"},{"value":"women","evidence_type":"page_validated","source_span":"","fact_ids":["title_womens_flip_flop"],"rationale":"该槽位与商品基准中的明示页面事实一致。"}],"capability_intent":[{"value":"soft","evidence_type":"explicit","source_span":"soft","fact_ids":[],"rationale":"搜索词明确要求柔软特性"}],"primary_domain":[{"value":"clothing_shoes_jewelry","evidence_type":"inferred","source_span":"","fact_ids":[],"rationale":"该值由搜索词整体语义推断，未作为页面明示属性。"}]}</x:v>
      </x:c>
      <x:c r="Y1165" s="15" t="str"/>
      <x:c r="Z1165" s="10" t="str">
        <x:v>match</x:v>
      </x:c>
      <x:c r="AA1165" s="15" t="str">
        <x:v>title_womens_flip_flop | soft_toe_post | padded_cushioning</x:v>
      </x:c>
      <x:c r="AB1165" s="10" t="str">
        <x:v>accepted</x:v>
      </x:c>
      <x:c r="AC1165" s="10" t="str">
        <x:v>1.0.0</x:v>
      </x:c>
      <x:c r="AD1165" s="10" t="str">
        <x:v>1.0.0</x:v>
      </x:c>
      <x:c r="AE1165" s="10" t="str">
        <x:v>deepseek/deepseek-v4-pro</x:v>
      </x:c>
      <x:c r="AF1165" s="10" t="str">
        <x:v>aj2-y90-20260714T234810-0bea2f52</x:v>
      </x:c>
      <x:c r="AG1165" s="10" t="str">
        <x:v>full-0059</x:v>
      </x:c>
      <x:c r="AH1165" s="10" t="str">
        <x:v>full</x:v>
      </x:c>
      <x:c r="AI1165" s="10" t="n">
        <x:v>59</x:v>
      </x:c>
    </x:row>
    <x:row r="1166" ht="34" customHeight="1">
      <x:c r="A1166" s="16" t="str">
        <x:v>rubber sandals for women waterproof</x:v>
      </x:c>
      <x:c r="B1166" s="16" t="str">
        <x:v>rubber sandals for women waterproof</x:v>
      </x:c>
      <x:c r="C1166" s="13" t="str">
        <x:v>43ebb430a9535bac</x:v>
      </x:c>
      <x:c r="D1166" s="13" t="str">
        <x:v>keyword</x:v>
      </x:c>
      <x:c r="E1166" s="13" t="str">
        <x:v>en</x:v>
      </x:c>
      <x:c r="F1166" s="13" t="str">
        <x:v>clothing_shoes_jewelry</x:v>
      </x:c>
      <x:c r="G1166" s="16" t="str"/>
      <x:c r="H1166" s="16" t="str">
        <x:v>sandals</x:v>
      </x:c>
      <x:c r="I1166" s="16" t="str">
        <x:v>women</x:v>
      </x:c>
      <x:c r="J1166" s="16" t="str">
        <x:v>water_resistance</x:v>
      </x:c>
      <x:c r="K1166" s="16" t="str">
        <x:v>waterproof</x:v>
      </x:c>
      <x:c r="L1166" s="16" t="str"/>
      <x:c r="M1166" s="16" t="str">
        <x:v>wet_environment</x:v>
      </x:c>
      <x:c r="N1166" s="16" t="str"/>
      <x:c r="O1166" s="16" t="str"/>
      <x:c r="P1166" s="16" t="str"/>
      <x:c r="Q1166" s="16" t="str"/>
      <x:c r="R1166" s="16" t="str">
        <x:v>一位女性需要一双防水橡胶凉鞋以应对潮湿环境。</x:v>
      </x:c>
      <x:c r="S1166" s="13" t="str">
        <x:v>consideration</x:v>
      </x:c>
      <x:c r="T1166" s="16" t="str">
        <x:v>explicit | inferred</x:v>
      </x:c>
      <x:c r="U1166" s="13" t="str">
        <x:v>medium</x:v>
      </x:c>
      <x:c r="V1166" s="16" t="str">
        <x:v>rubber_sandals_waterproof_women</x:v>
      </x:c>
      <x:c r="W1166" s="16" t="str">
        <x:v>listing_gap_review</x:v>
      </x:c>
      <x:c r="X1166" s="16" t="str">
        <x:v>{"product_type":[{"value":"sandals","evidence_type":"explicit","source_span":"sandals","fact_ids":[],"rationale":"搜索词明确提及sandals"},{"value":"sandals","evidence_type":"page_validated","source_span":"","fact_ids":["title_womens_flip_flop"],"rationale":"该槽位与商品基准中的明示页面事实一致。"}],"audience_intent":[{"value":"women","evidence_type":"explicit","source_span":"women","fact_ids":[],"rationale":"搜索词明确提及women"},{"value":"women","evidence_type":"page_validated","source_span":"","fact_ids":["title_womens_flip_flop"],"rationale":"该槽位与商品基准中的明示页面事实一致。"}],"capability_intent":[{"value":"waterproof","evidence_type":"explicit","source_span":"waterproof","fact_ids":[],"rationale":"搜索词明确要求防水功能"}],"function_intent":[{"value":"water_resistance","evidence_type":"inferred","source_span":"waterproof","fact_ids":[],"rationale":"防水需求暗示潮湿环境使用场景"}],"location_intent":[{"value":"wet_environment","evidence_type":"inferred","source_span":"","fact_ids":[],"rationale":"该值由搜索词整体语义推断，未作为页面明示属性。"}],"primary_domain":[{"value":"clothing_shoes_jewelry","evidence_type":"inferred","source_span":"","fact_ids":[],"rationale":"该值由搜索词整体语义推断，未作为页面明示属性。"}]}</x:v>
      </x:c>
      <x:c r="Y1166" s="16" t="str"/>
      <x:c r="Z1166" s="13" t="str">
        <x:v>partial_match</x:v>
      </x:c>
      <x:c r="AA1166" s="16" t="str">
        <x:v>title_womens_flip_flop | material_eva</x:v>
      </x:c>
      <x:c r="AB1166" s="13" t="str">
        <x:v>accepted</x:v>
      </x:c>
      <x:c r="AC1166" s="13" t="str">
        <x:v>1.0.0</x:v>
      </x:c>
      <x:c r="AD1166" s="13" t="str">
        <x:v>1.0.0</x:v>
      </x:c>
      <x:c r="AE1166" s="13" t="str">
        <x:v>deepseek/deepseek-v4-pro</x:v>
      </x:c>
      <x:c r="AF1166" s="13" t="str">
        <x:v>aj2-y90-20260714T234810-0bea2f52</x:v>
      </x:c>
      <x:c r="AG1166" s="13" t="str">
        <x:v>full-0059</x:v>
      </x:c>
      <x:c r="AH1166" s="13" t="str">
        <x:v>full</x:v>
      </x:c>
      <x:c r="AI1166" s="13" t="n">
        <x:v>59</x:v>
      </x:c>
    </x:row>
    <x:row r="1167" ht="34" customHeight="1">
      <x:c r="A1167" s="15" t="str">
        <x:v>brown flip flips women</x:v>
      </x:c>
      <x:c r="B1167" s="15" t="str">
        <x:v>brown flip flips women</x:v>
      </x:c>
      <x:c r="C1167" s="10" t="str">
        <x:v>481b4b23aa898787</x:v>
      </x:c>
      <x:c r="D1167" s="10" t="str">
        <x:v>keyword</x:v>
      </x:c>
      <x:c r="E1167" s="10" t="str">
        <x:v>en</x:v>
      </x:c>
      <x:c r="F1167" s="10" t="str">
        <x:v>clothing_shoes_jewelry</x:v>
      </x:c>
      <x:c r="G1167" s="15" t="str"/>
      <x:c r="H1167" s="15" t="str">
        <x:v>flip_flops</x:v>
      </x:c>
      <x:c r="I1167" s="15" t="str">
        <x:v>women</x:v>
      </x:c>
      <x:c r="J1167" s="15" t="str"/>
      <x:c r="K1167" s="15" t="str"/>
      <x:c r="L1167" s="15" t="str"/>
      <x:c r="M1167" s="15" t="str"/>
      <x:c r="N1167" s="15" t="str"/>
      <x:c r="O1167" s="15" t="str"/>
      <x:c r="P1167" s="15" t="str"/>
      <x:c r="Q1167" s="15" t="str"/>
      <x:c r="R1167" s="15" t="str">
        <x:v>一位女性需要一双棕色的夹脚拖鞋。</x:v>
      </x:c>
      <x:c r="S1167" s="10" t="str">
        <x:v>high_intent</x:v>
      </x:c>
      <x:c r="T1167" s="15" t="str">
        <x:v>explicit | page_validated</x:v>
      </x:c>
      <x:c r="U1167" s="10" t="str">
        <x:v>high</x:v>
      </x:c>
      <x:c r="V1167" s="15" t="str">
        <x:v>womens_flip_flops_brown</x:v>
      </x:c>
      <x:c r="W1167" s="15" t="str">
        <x:v>cluster_route</x:v>
      </x:c>
      <x:c r="X1167" s="15" t="str">
        <x:v>{"product_type":[{"value":"flip_flops","evidence_type":"explicit","source_span":"flip flips","fact_ids":[],"rationale":"flip flips为flip flops的拼写变体"},{"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audience_intent":[{"value":"women","evidence_type":"explicit","source_span":"women","fact_ids":[],"rationale":"搜索词明确提及women"},{"value":"women","evidence_type":"page_validated","source_span":"","fact_ids":["title_womens_flip_flop"],"rationale":"该槽位与商品基准中的明示页面事实一致。"}],"primary_domain":[{"value":"clothing_shoes_jewelry","evidence_type":"inferred","source_span":"","fact_ids":[],"rationale":"该值由搜索词整体语义推断，未作为页面明示属性。"}]}</x:v>
      </x:c>
      <x:c r="Y1167" s="15" t="str">
        <x:v>typo_suspected</x:v>
      </x:c>
      <x:c r="Z1167" s="10" t="str">
        <x:v>match</x:v>
      </x:c>
      <x:c r="AA1167" s="15" t="str">
        <x:v>title_womens_flip_flop | colors_visible | style_flip_flop</x:v>
      </x:c>
      <x:c r="AB1167" s="10" t="str">
        <x:v>accepted</x:v>
      </x:c>
      <x:c r="AC1167" s="10" t="str">
        <x:v>1.0.0</x:v>
      </x:c>
      <x:c r="AD1167" s="10" t="str">
        <x:v>1.0.0</x:v>
      </x:c>
      <x:c r="AE1167" s="10" t="str">
        <x:v>deepseek/deepseek-v4-pro</x:v>
      </x:c>
      <x:c r="AF1167" s="10" t="str">
        <x:v>aj2-y90-20260714T234810-0bea2f52</x:v>
      </x:c>
      <x:c r="AG1167" s="10" t="str">
        <x:v>full-0059</x:v>
      </x:c>
      <x:c r="AH1167" s="10" t="str">
        <x:v>full</x:v>
      </x:c>
      <x:c r="AI1167" s="10" t="n">
        <x:v>59</x:v>
      </x:c>
    </x:row>
    <x:row r="1168" ht="34" customHeight="1">
      <x:c r="A1168" s="16" t="str">
        <x:v>womens nike celso flip flops</x:v>
      </x:c>
      <x:c r="B1168" s="16" t="str">
        <x:v>womens nike celso flip flops</x:v>
      </x:c>
      <x:c r="C1168" s="13" t="str">
        <x:v>586dcba9568e6363</x:v>
      </x:c>
      <x:c r="D1168" s="13" t="str">
        <x:v>keyword</x:v>
      </x:c>
      <x:c r="E1168" s="13" t="str">
        <x:v>en</x:v>
      </x:c>
      <x:c r="F1168" s="13" t="str">
        <x:v>clothing_shoes_jewelry</x:v>
      </x:c>
      <x:c r="G1168" s="16" t="str"/>
      <x:c r="H1168" s="16" t="str">
        <x:v>flip_flops</x:v>
      </x:c>
      <x:c r="I1168" s="16" t="str">
        <x:v>women</x:v>
      </x:c>
      <x:c r="J1168" s="16" t="str"/>
      <x:c r="K1168" s="16" t="str"/>
      <x:c r="L1168" s="16" t="str"/>
      <x:c r="M1168" s="16" t="str"/>
      <x:c r="N1168" s="16" t="str"/>
      <x:c r="O1168" s="16" t="str"/>
      <x:c r="P1168" s="16" t="str"/>
      <x:c r="Q1168" s="16" t="str"/>
      <x:c r="R1168" s="16" t="str">
        <x:v>一位女性需要一双Nike Celso品牌的夹脚拖鞋。</x:v>
      </x:c>
      <x:c r="S1168" s="13" t="str">
        <x:v>brand_harvest</x:v>
      </x:c>
      <x:c r="T1168" s="16" t="str">
        <x:v>explicit</x:v>
      </x:c>
      <x:c r="U1168" s="13" t="str">
        <x:v>high</x:v>
      </x:c>
      <x:c r="V1168" s="16" t="str">
        <x:v>brand_nike_celso_flip_flops</x:v>
      </x:c>
      <x:c r="W1168" s="16" t="str">
        <x:v>semantic_negative_candidate</x:v>
      </x:c>
      <x:c r="X1168" s="16" t="str">
        <x:v>{"product_type":[{"value":"flip_flops","evidence_type":"explicit","source_span":"flip flops","fact_ids":[],"rationale":"搜索词明确提及flip flops"},{"value":"flip_flops","evidence_type":"page_validated","source_span":"","fact_ids":["style_flip_flop"],"rationale":"该槽位与商品基准中的明示页面事实一致。"}],"audience_intent":[{"value":"women","evidence_type":"explicit","source_span":"womens","fact_ids":[],"rationale":"搜索词明确提及womens"},{"value":"women","evidence_type":"page_validated","source_span":"","fact_ids":["title_womens_flip_flop"],"rationale":"该槽位与商品基准中的明示页面事实一致。"}],"primary_domain":[{"value":"clothing_shoes_jewelry","evidence_type":"inferred","source_span":"","fact_ids":[],"rationale":"该值由搜索词整体语义推断，未作为页面明示属性。"}],"brand":[{"value":"nike","evidence_type":"explicit","source_span":"nike","fact_ids":[],"rationale":"搜索词明确包含品牌名称。"}]}</x:v>
      </x:c>
      <x:c r="Y1168" s="16" t="str"/>
      <x:c r="Z1168" s="13" t="str">
        <x:v>mismatch</x:v>
      </x:c>
      <x:c r="AA1168" s="16" t="str">
        <x:v>title_womens_flip_flop</x:v>
      </x:c>
      <x:c r="AB1168" s="13" t="str">
        <x:v>accepted</x:v>
      </x:c>
      <x:c r="AC1168" s="13" t="str">
        <x:v>1.0.0</x:v>
      </x:c>
      <x:c r="AD1168" s="13" t="str">
        <x:v>1.0.0</x:v>
      </x:c>
      <x:c r="AE1168" s="13" t="str">
        <x:v>deepseek/deepseek-v4-pro</x:v>
      </x:c>
      <x:c r="AF1168" s="13" t="str">
        <x:v>aj2-y90-20260714T234810-0bea2f52</x:v>
      </x:c>
      <x:c r="AG1168" s="13" t="str">
        <x:v>full-0059</x:v>
      </x:c>
      <x:c r="AH1168" s="13" t="str">
        <x:v>full</x:v>
      </x:c>
      <x:c r="AI1168" s="13" t="n">
        <x:v>59</x:v>
      </x:c>
    </x:row>
    <x:row r="1169" ht="34" customHeight="1">
      <x:c r="A1169" s="15" t="str">
        <x:v>women flip flop 8.5 pink</x:v>
      </x:c>
      <x:c r="B1169" s="15" t="str">
        <x:v>women flip flop 8.5 pink</x:v>
      </x:c>
      <x:c r="C1169" s="10" t="str">
        <x:v>71b4ff3b21ecf145</x:v>
      </x:c>
      <x:c r="D1169" s="10" t="str">
        <x:v>keyword</x:v>
      </x:c>
      <x:c r="E1169" s="10" t="str">
        <x:v>en</x:v>
      </x:c>
      <x:c r="F1169" s="10" t="str">
        <x:v>clothing_shoes_jewelry</x:v>
      </x:c>
      <x:c r="G1169" s="15" t="str"/>
      <x:c r="H1169" s="15" t="str">
        <x:v>flip_flops</x:v>
      </x:c>
      <x:c r="I1169" s="15" t="str">
        <x:v>women</x:v>
      </x:c>
      <x:c r="J1169" s="15" t="str"/>
      <x:c r="K1169" s="15" t="str"/>
      <x:c r="L1169" s="15" t="str"/>
      <x:c r="M1169" s="15" t="str"/>
      <x:c r="N1169" s="15" t="str"/>
      <x:c r="O1169" s="15" t="str"/>
      <x:c r="P1169" s="15" t="str"/>
      <x:c r="Q1169" s="15" t="str"/>
      <x:c r="R1169" s="15" t="str">
        <x:v>一位女性需要一双8.5码的粉色夹脚拖鞋。</x:v>
      </x:c>
      <x:c r="S1169" s="10" t="str">
        <x:v>high_intent</x:v>
      </x:c>
      <x:c r="T1169" s="15" t="str">
        <x:v>explicit | page_validated</x:v>
      </x:c>
      <x:c r="U1169" s="10" t="str">
        <x:v>high</x:v>
      </x:c>
      <x:c r="V1169" s="15" t="str">
        <x:v>womens_flip_flops_size_color</x:v>
      </x:c>
      <x:c r="W1169" s="15" t="str">
        <x:v>cluster_route</x:v>
      </x:c>
      <x:c r="X1169" s="15" t="str">
        <x:v>{"product_type":[{"value":"flip_flops","evidence_type":"explicit","source_span":"flip flop","fact_ids":[],"rationale":"搜索词明确提及flip flop"},{"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audience_intent":[{"value":"women","evidence_type":"explicit","source_span":"women","fact_ids":[],"rationale":"搜索词明确提及women"},{"value":"women","evidence_type":"page_validated","source_span":"","fact_ids":["title_womens_flip_flop"],"rationale":"该槽位与商品基准中的明示页面事实一致。"}],"primary_domain":[{"value":"clothing_shoes_jewelry","evidence_type":"inferred","source_span":"","fact_ids":[],"rationale":"该值由搜索词整体语义推断，未作为页面明示属性。"}]}</x:v>
      </x:c>
      <x:c r="Y1169" s="15" t="str"/>
      <x:c r="Z1169" s="10" t="str">
        <x:v>match</x:v>
      </x:c>
      <x:c r="AA1169" s="15" t="str">
        <x:v>title_womens_flip_flop | sizes_6_11 | colors_visible</x:v>
      </x:c>
      <x:c r="AB1169" s="10" t="str">
        <x:v>accepted</x:v>
      </x:c>
      <x:c r="AC1169" s="10" t="str">
        <x:v>1.0.0</x:v>
      </x:c>
      <x:c r="AD1169" s="10" t="str">
        <x:v>1.0.0</x:v>
      </x:c>
      <x:c r="AE1169" s="10" t="str">
        <x:v>deepseek/deepseek-v4-pro</x:v>
      </x:c>
      <x:c r="AF1169" s="10" t="str">
        <x:v>aj2-y90-20260714T234810-0bea2f52</x:v>
      </x:c>
      <x:c r="AG1169" s="10" t="str">
        <x:v>full-0059</x:v>
      </x:c>
      <x:c r="AH1169" s="10" t="str">
        <x:v>full</x:v>
      </x:c>
      <x:c r="AI1169" s="10" t="n">
        <x:v>59</x:v>
      </x:c>
    </x:row>
    <x:row r="1170" ht="34" customHeight="1">
      <x:c r="A1170" s="16" t="str">
        <x:v>black flip flops with arch support womens</x:v>
      </x:c>
      <x:c r="B1170" s="16" t="str">
        <x:v>black flip flops with arch support womens</x:v>
      </x:c>
      <x:c r="C1170" s="13" t="str">
        <x:v>73ef2f6c30dc96dc</x:v>
      </x:c>
      <x:c r="D1170" s="13" t="str">
        <x:v>keyword</x:v>
      </x:c>
      <x:c r="E1170" s="13" t="str">
        <x:v>en</x:v>
      </x:c>
      <x:c r="F1170" s="13" t="str">
        <x:v>clothing_shoes_jewelry</x:v>
      </x:c>
      <x:c r="G1170" s="16" t="str"/>
      <x:c r="H1170" s="16" t="str">
        <x:v>flip_flops</x:v>
      </x:c>
      <x:c r="I1170" s="16" t="str">
        <x:v>women</x:v>
      </x:c>
      <x:c r="J1170" s="16" t="str">
        <x:v>arch_support</x:v>
      </x:c>
      <x:c r="K1170" s="16" t="str"/>
      <x:c r="L1170" s="16" t="str"/>
      <x:c r="M1170" s="16" t="str"/>
      <x:c r="N1170" s="16" t="str">
        <x:v>arch_support</x:v>
      </x:c>
      <x:c r="O1170" s="16" t="str"/>
      <x:c r="P1170" s="16" t="str"/>
      <x:c r="Q1170" s="16" t="str"/>
      <x:c r="R1170" s="16" t="str">
        <x:v>一位女性需要一双黑色的、带足弓支撑的夹脚拖鞋以缓解足部疲劳。</x:v>
      </x:c>
      <x:c r="S1170" s="13" t="str">
        <x:v>consideration</x:v>
      </x:c>
      <x:c r="T1170" s="16" t="str">
        <x:v>explicit | page_validated</x:v>
      </x:c>
      <x:c r="U1170" s="13" t="str">
        <x:v>high</x:v>
      </x:c>
      <x:c r="V1170" s="16" t="str">
        <x:v>womens_flip_flops_arch_support_black</x:v>
      </x:c>
      <x:c r="W1170" s="16" t="str">
        <x:v>cluster_route</x:v>
      </x:c>
      <x:c r="X1170" s="16" t="str">
        <x:v>{"product_type":[{"value":"flip_flops","evidence_type":"explicit","source_span":"flip flops","fact_ids":[],"rationale":"搜索词中明确提及flip flops"},{"value":"flip_flops","evidence_type":"page_validated","source_span":"","fact_ids":["style_flip_flop"],"rationale":"该槽位与商品基准中的明示页面事实一致。"}],"audience_intent":[{"value":"women","evidence_type":"explicit","source_span":"womens","fact_ids":[],"rationale":"搜索词中明确提及womens"},{"value":"women","evidence_type":"page_validated","source_span":"","fact_ids":["title_womens_flip_flop"],"rationale":"该槽位与商品基准中的明示页面事实一致。"}],"capability_intent":[{"value":"arch_support","evidence_type":"page_validated","source_span":"","fact_ids":["arch_support"],"rationale":"该槽位与商品基准中的明示页面事实一致。"}],"primary_domain":[{"value":"clothing_shoes_jewelry","evidence_type":"inferred","source_span":"","fact_ids":[],"rationale":"该值由搜索词整体语义推断，未作为页面明示属性。"}]}</x:v>
      </x:c>
      <x:c r="Y1170" s="16" t="str"/>
      <x:c r="Z1170" s="13" t="str">
        <x:v>match</x:v>
      </x:c>
      <x:c r="AA1170" s="16" t="str">
        <x:v>title_womens_flip_flop | style_flip_flop | arch_support | colors_visible</x:v>
      </x:c>
      <x:c r="AB1170" s="13" t="str">
        <x:v>accepted</x:v>
      </x:c>
      <x:c r="AC1170" s="13" t="str">
        <x:v>1.0.0</x:v>
      </x:c>
      <x:c r="AD1170" s="13" t="str">
        <x:v>1.0.0</x:v>
      </x:c>
      <x:c r="AE1170" s="13" t="str">
        <x:v>deepseek/deepseek-v4-pro</x:v>
      </x:c>
      <x:c r="AF1170" s="13" t="str">
        <x:v>aj2-y90-20260714T234810-0bea2f52</x:v>
      </x:c>
      <x:c r="AG1170" s="13" t="str">
        <x:v>full-0059</x:v>
      </x:c>
      <x:c r="AH1170" s="13" t="str">
        <x:v>full</x:v>
      </x:c>
      <x:c r="AI1170" s="13" t="n">
        <x:v>59</x:v>
      </x:c>
    </x:row>
    <x:row r="1171" ht="34" customHeight="1">
      <x:c r="A1171" s="15" t="str">
        <x:v>womens beach flip flops size 9</x:v>
      </x:c>
      <x:c r="B1171" s="15" t="str">
        <x:v>womens beach flip flops size 9</x:v>
      </x:c>
      <x:c r="C1171" s="10" t="str">
        <x:v>76849327843ff2de</x:v>
      </x:c>
      <x:c r="D1171" s="10" t="str">
        <x:v>keyword</x:v>
      </x:c>
      <x:c r="E1171" s="10" t="str">
        <x:v>en</x:v>
      </x:c>
      <x:c r="F1171" s="10" t="str">
        <x:v>clothing_shoes_jewelry</x:v>
      </x:c>
      <x:c r="G1171" s="15" t="str">
        <x:v>sports_outdoors</x:v>
      </x:c>
      <x:c r="H1171" s="15" t="str">
        <x:v>flip_flops</x:v>
      </x:c>
      <x:c r="I1171" s="15" t="str">
        <x:v>women</x:v>
      </x:c>
      <x:c r="J1171" s="15" t="str"/>
      <x:c r="K1171" s="15" t="str"/>
      <x:c r="L1171" s="15" t="str">
        <x:v>beach_outing</x:v>
      </x:c>
      <x:c r="M1171" s="15" t="str">
        <x:v>beach</x:v>
      </x:c>
      <x:c r="N1171" s="15" t="str"/>
      <x:c r="O1171" s="15" t="str"/>
      <x:c r="P1171" s="15" t="str"/>
      <x:c r="Q1171" s="15" t="str"/>
      <x:c r="R1171" s="15" t="str">
        <x:v>一位女性需要一双9码的海滩夹脚拖鞋用于海边度假。</x:v>
      </x:c>
      <x:c r="S1171" s="10" t="str">
        <x:v>high_intent</x:v>
      </x:c>
      <x:c r="T1171" s="15" t="str">
        <x:v>explicit | page_validated</x:v>
      </x:c>
      <x:c r="U1171" s="10" t="str">
        <x:v>high</x:v>
      </x:c>
      <x:c r="V1171" s="15" t="str">
        <x:v>womens_flip_flops_beach_size</x:v>
      </x:c>
      <x:c r="W1171" s="15" t="str">
        <x:v>cluster_route</x:v>
      </x:c>
      <x:c r="X1171" s="15" t="str">
        <x:v>{"product_type":[{"value":"flip_flops","evidence_type":"explicit","source_span":"flip flops","fact_ids":[],"rationale":"搜索词明确提及flip flops"},{"value":"flip_flops","evidence_type":"page_validated","source_span":"","fact_ids":["style_flip_flop"],"rationale":"该槽位与商品基准中的明示页面事实一致。"}],"audience_intent":[{"value":"women","evidence_type":"explicit","source_span":"womens","fact_ids":[],"rationale":"搜索词明确提及womens"},{"value":"women","evidence_type":"page_validated","source_span":"","fact_ids":["title_womens_flip_flop"],"rationale":"该槽位与商品基准中的明示页面事实一致。"}],"location_intent":[{"value":"beach","evidence_type":"explicit","source_span":"beach","fact_ids":[],"rationale":"搜索词明确提及beach"}],"event_intent":[{"value":"beach_outing","evidence_type":"inferred","source_span":"beach","fact_ids":[],"rationale":"海滩场景暗示户外休闲活动"}],"primary_domain":[{"value":"clothing_shoes_jewelry","evidence_type":"inferred","source_span":"","fact_ids":[],"rationale":"该值由搜索词整体语义推断，未作为页面明示属性。"}],"secondary_domain":[{"value":"sports_outdoors","evidence_type":"inferred","source_span":"","fact_ids":[],"rationale":"该值由搜索词整体语义推断，未作为页面明示属性。"}]}</x:v>
      </x:c>
      <x:c r="Y1171" s="15" t="str"/>
      <x:c r="Z1171" s="10" t="str">
        <x:v>match</x:v>
      </x:c>
      <x:c r="AA1171" s="15" t="str">
        <x:v>title_womens_flip_flop | sizes_6_11 | style_outdoor</x:v>
      </x:c>
      <x:c r="AB1171" s="10" t="str">
        <x:v>accepted</x:v>
      </x:c>
      <x:c r="AC1171" s="10" t="str">
        <x:v>1.0.0</x:v>
      </x:c>
      <x:c r="AD1171" s="10" t="str">
        <x:v>1.0.0</x:v>
      </x:c>
      <x:c r="AE1171" s="10" t="str">
        <x:v>deepseek/deepseek-v4-pro</x:v>
      </x:c>
      <x:c r="AF1171" s="10" t="str">
        <x:v>aj2-y90-20260714T234810-0bea2f52</x:v>
      </x:c>
      <x:c r="AG1171" s="10" t="str">
        <x:v>full-0059</x:v>
      </x:c>
      <x:c r="AH1171" s="10" t="str">
        <x:v>full</x:v>
      </x:c>
      <x:c r="AI1171" s="10" t="n">
        <x:v>59</x:v>
      </x:c>
    </x:row>
    <x:row r="1172" ht="34" customHeight="1">
      <x:c r="A1172" s="16" t="str">
        <x:v>flip flops for women with knee arthrosis</x:v>
      </x:c>
      <x:c r="B1172" s="16" t="str">
        <x:v>flip flops for women with knee arthrosis</x:v>
      </x:c>
      <x:c r="C1172" s="13" t="str">
        <x:v>856855b1b05ca849</x:v>
      </x:c>
      <x:c r="D1172" s="13" t="str">
        <x:v>keyword</x:v>
      </x:c>
      <x:c r="E1172" s="13" t="str">
        <x:v>en</x:v>
      </x:c>
      <x:c r="F1172" s="13" t="str">
        <x:v>clothing_shoes_jewelry</x:v>
      </x:c>
      <x:c r="G1172" s="16" t="str">
        <x:v>health_household</x:v>
      </x:c>
      <x:c r="H1172" s="16" t="str">
        <x:v>flip_flops</x:v>
      </x:c>
      <x:c r="I1172" s="16" t="str">
        <x:v>women | arthrosis_patients</x:v>
      </x:c>
      <x:c r="J1172" s="16" t="str">
        <x:v>knee_pain_relief</x:v>
      </x:c>
      <x:c r="K1172" s="16" t="str"/>
      <x:c r="L1172" s="16" t="str"/>
      <x:c r="M1172" s="16" t="str"/>
      <x:c r="N1172" s="16" t="str">
        <x:v>knee_arthrosis | joint_support</x:v>
      </x:c>
      <x:c r="O1172" s="16" t="str"/>
      <x:c r="P1172" s="16" t="str"/>
      <x:c r="Q1172" s="16" t="str"/>
      <x:c r="R1172" s="16" t="str">
        <x:v>一位患膝关节病的女性需要一双能减轻膝部负担的夹脚拖鞋以辅助日常行走。</x:v>
      </x:c>
      <x:c r="S1172" s="13" t="str">
        <x:v>consideration</x:v>
      </x:c>
      <x:c r="T1172" s="16" t="str">
        <x:v>explicit | page_validated | inferred</x:v>
      </x:c>
      <x:c r="U1172" s="13" t="str">
        <x:v>medium</x:v>
      </x:c>
      <x:c r="V1172" s="16" t="str">
        <x:v>flip_flops_knee_arthrosis</x:v>
      </x:c>
      <x:c r="W1172" s="16" t="str">
        <x:v>listing_gap_review</x:v>
      </x:c>
      <x:c r="X1172" s="16" t="str">
        <x:v>{"product_type":[{"value":"flip_flops","evidence_type":"explicit","source_span":"flip flops","fact_ids":[],"rationale":"搜索词明确提及flip flops"},{"value":"flip_flops","evidence_type":"page_validated","source_span":"","fact_ids":["style_flip_flop"],"rationale":"该槽位与商品基准中的明示页面事实一致。"}],"audience_intent":[{"value":"women","evidence_type":"explicit","source_span":"women","fact_ids":[],"rationale":"搜索词明确提及women"},{"value":"arthrosis_patients","evidence_type":"explicit","source_span":"knee arthrosis","fact_ids":[],"rationale":"搜索词明确提及knee arthrosis"},{"value":"women","evidence_type":"page_validated","source_span":"","fact_ids":["title_womens_flip_flop"],"rationale":"该槽位与商品基准中的明示页面事实一致。"}],"body_need_intent":[{"value":"knee_arthrosis","evidence_type":"explicit","source_span":"knee arthrosis","fact_ids":[],"rationale":"搜索词直接表达膝关节病需求"},{"value":"joint_support","evidence_type":"inferred","source_span":"","fact_ids":[],"rationale":"该值由搜索词整体语义推断，未作为页面明示属性。"}],"function_intent":[{"value":"knee_pain_relief","evidence_type":"inferred","source_span":"knee arthrosis","fact_ids":[],"rationale":"膝关节病用户通常寻求缓解膝部不适"}],"primary_domain":[{"value":"clothing_shoes_jewelry","evidence_type":"inferred","source_span":"","fact_ids":[],"rationale":"该值由搜索词整体语义推断，未作为页面明示属性。"}],"secondary_domain":[{"value":"health_household","evidence_type":"inferred","source_span":"","fact_ids":[],"rationale":"该值由搜索词整体语义推断，未作为页面明示属性。"}]}</x:v>
      </x:c>
      <x:c r="Y1172" s="16" t="str"/>
      <x:c r="Z1172" s="13" t="str">
        <x:v>partial_match</x:v>
      </x:c>
      <x:c r="AA1172" s="16" t="str">
        <x:v>title_womens_flip_flop | arch_support</x:v>
      </x:c>
      <x:c r="AB1172" s="13" t="str">
        <x:v>accepted</x:v>
      </x:c>
      <x:c r="AC1172" s="13" t="str">
        <x:v>1.0.0</x:v>
      </x:c>
      <x:c r="AD1172" s="13" t="str">
        <x:v>1.0.0</x:v>
      </x:c>
      <x:c r="AE1172" s="13" t="str">
        <x:v>deepseek/deepseek-v4-pro</x:v>
      </x:c>
      <x:c r="AF1172" s="13" t="str">
        <x:v>aj2-y90-20260714T234810-0bea2f52</x:v>
      </x:c>
      <x:c r="AG1172" s="13" t="str">
        <x:v>full-0059</x:v>
      </x:c>
      <x:c r="AH1172" s="13" t="str">
        <x:v>full</x:v>
      </x:c>
      <x:c r="AI1172" s="13" t="n">
        <x:v>59</x:v>
      </x:c>
    </x:row>
    <x:row r="1173" ht="34" customHeight="1">
      <x:c r="A1173" s="15" t="str">
        <x:v>womens rubber flip flops size 9</x:v>
      </x:c>
      <x:c r="B1173" s="15" t="str">
        <x:v>womens rubber flip flops size 9</x:v>
      </x:c>
      <x:c r="C1173" s="10" t="str">
        <x:v>8935bcee751f23d4</x:v>
      </x:c>
      <x:c r="D1173" s="10" t="str">
        <x:v>keyword</x:v>
      </x:c>
      <x:c r="E1173" s="10" t="str">
        <x:v>en</x:v>
      </x:c>
      <x:c r="F1173" s="10" t="str">
        <x:v>clothing_shoes_jewelry</x:v>
      </x:c>
      <x:c r="G1173" s="15" t="str"/>
      <x:c r="H1173" s="15" t="str">
        <x:v>flip_flops</x:v>
      </x:c>
      <x:c r="I1173" s="15" t="str">
        <x:v>women</x:v>
      </x:c>
      <x:c r="J1173" s="15" t="str"/>
      <x:c r="K1173" s="15" t="str"/>
      <x:c r="L1173" s="15" t="str"/>
      <x:c r="M1173" s="15" t="str"/>
      <x:c r="N1173" s="15" t="str"/>
      <x:c r="O1173" s="15" t="str"/>
      <x:c r="P1173" s="15" t="str"/>
      <x:c r="Q1173" s="15" t="str"/>
      <x:c r="R1173" s="15" t="str">
        <x:v>一位女性需要一双9码的橡胶材质夹脚拖鞋。</x:v>
      </x:c>
      <x:c r="S1173" s="10" t="str">
        <x:v>high_intent</x:v>
      </x:c>
      <x:c r="T1173" s="15" t="str">
        <x:v>explicit | page_validated</x:v>
      </x:c>
      <x:c r="U1173" s="10" t="str">
        <x:v>medium</x:v>
      </x:c>
      <x:c r="V1173" s="15" t="str">
        <x:v>womens_rubber_flip_flops_size</x:v>
      </x:c>
      <x:c r="W1173" s="15" t="str">
        <x:v>listing_gap_review</x:v>
      </x:c>
      <x:c r="X1173" s="15" t="str">
        <x:v>{"product_type":[{"value":"flip_flops","evidence_type":"explicit","source_span":"flip flops","fact_ids":[],"rationale":"搜索词明确提及flip flops"},{"value":"flip_flops","evidence_type":"page_validated","source_span":"","fact_ids":["style_flip_flop"],"rationale":"该槽位与商品基准中的明示页面事实一致。"}],"audience_intent":[{"value":"women","evidence_type":"explicit","source_span":"womens","fact_ids":[],"rationale":"搜索词明确提及womens"},{"value":"women","evidence_type":"page_validated","source_span":"","fact_ids":["title_womens_flip_flop"],"rationale":"该槽位与商品基准中的明示页面事实一致。"}],"primary_domain":[{"value":"clothing_shoes_jewelry","evidence_type":"inferred","source_span":"","fact_ids":[],"rationale":"该值由搜索词整体语义推断，未作为页面明示属性。"}]}</x:v>
      </x:c>
      <x:c r="Y1173" s="15" t="str"/>
      <x:c r="Z1173" s="10" t="str">
        <x:v>partial_match</x:v>
      </x:c>
      <x:c r="AA1173" s="15" t="str">
        <x:v>title_womens_flip_flop | sizes_6_11 | material_eva</x:v>
      </x:c>
      <x:c r="AB1173" s="10" t="str">
        <x:v>accepted</x:v>
      </x:c>
      <x:c r="AC1173" s="10" t="str">
        <x:v>1.0.0</x:v>
      </x:c>
      <x:c r="AD1173" s="10" t="str">
        <x:v>1.0.0</x:v>
      </x:c>
      <x:c r="AE1173" s="10" t="str">
        <x:v>deepseek/deepseek-v4-pro</x:v>
      </x:c>
      <x:c r="AF1173" s="10" t="str">
        <x:v>aj2-y90-20260714T234810-0bea2f52</x:v>
      </x:c>
      <x:c r="AG1173" s="10" t="str">
        <x:v>full-0059</x:v>
      </x:c>
      <x:c r="AH1173" s="10" t="str">
        <x:v>full</x:v>
      </x:c>
      <x:c r="AI1173" s="10" t="n">
        <x:v>59</x:v>
      </x:c>
    </x:row>
    <x:row r="1174" ht="34" customHeight="1">
      <x:c r="A1174" s="16" t="str">
        <x:v>hot pink sandals size 11</x:v>
      </x:c>
      <x:c r="B1174" s="16" t="str">
        <x:v>hot pink sandals size 11</x:v>
      </x:c>
      <x:c r="C1174" s="13" t="str">
        <x:v>a4c325de54459056</x:v>
      </x:c>
      <x:c r="D1174" s="13" t="str">
        <x:v>keyword</x:v>
      </x:c>
      <x:c r="E1174" s="13" t="str">
        <x:v>en</x:v>
      </x:c>
      <x:c r="F1174" s="13" t="str">
        <x:v>clothing_shoes_jewelry</x:v>
      </x:c>
      <x:c r="G1174" s="16" t="str"/>
      <x:c r="H1174" s="16" t="str">
        <x:v>sandals</x:v>
      </x:c>
      <x:c r="I1174" s="16" t="str"/>
      <x:c r="J1174" s="16" t="str"/>
      <x:c r="K1174" s="16" t="str"/>
      <x:c r="L1174" s="16" t="str"/>
      <x:c r="M1174" s="16" t="str"/>
      <x:c r="N1174" s="16" t="str"/>
      <x:c r="O1174" s="16" t="str"/>
      <x:c r="P1174" s="16" t="str"/>
      <x:c r="Q1174" s="16" t="str"/>
      <x:c r="R1174" s="16" t="str">
        <x:v>用户需要一双11码的亮粉色凉鞋。</x:v>
      </x:c>
      <x:c r="S1174" s="13" t="str">
        <x:v>high_intent</x:v>
      </x:c>
      <x:c r="T1174" s="16" t="str">
        <x:v>explicit | page_validated</x:v>
      </x:c>
      <x:c r="U1174" s="13" t="str">
        <x:v>high</x:v>
      </x:c>
      <x:c r="V1174" s="16" t="str">
        <x:v>sandals_hot_pink_size_11</x:v>
      </x:c>
      <x:c r="W1174" s="16" t="str">
        <x:v>cluster_route</x:v>
      </x:c>
      <x:c r="X1174" s="16" t="str">
        <x:v>{"product_type":[{"value":"sandals","evidence_type":"explicit","source_span":"sandals","fact_ids":[],"rationale":"搜索词明确提及sandals，flip flop属于凉鞋子类"},{"value":"sandals","evidence_type":"page_validated","source_span":"","fact_ids":["title_womens_flip_flop"],"rationale":"该槽位与商品基准中的明示页面事实一致。"}],"primary_domain":[{"value":"clothing_shoes_jewelry","evidence_type":"inferred","source_span":"","fact_ids":[],"rationale":"该值由搜索词整体语义推断，未作为页面明示属性。"}]}</x:v>
      </x:c>
      <x:c r="Y1174" s="16" t="str"/>
      <x:c r="Z1174" s="13" t="str">
        <x:v>match</x:v>
      </x:c>
      <x:c r="AA1174" s="16" t="str">
        <x:v>style_flip_flop | sizes_6_11 | colors_visible</x:v>
      </x:c>
      <x:c r="AB1174" s="13" t="str">
        <x:v>accepted</x:v>
      </x:c>
      <x:c r="AC1174" s="13" t="str">
        <x:v>1.0.0</x:v>
      </x:c>
      <x:c r="AD1174" s="13" t="str">
        <x:v>1.0.0</x:v>
      </x:c>
      <x:c r="AE1174" s="13" t="str">
        <x:v>deepseek/deepseek-v4-pro</x:v>
      </x:c>
      <x:c r="AF1174" s="13" t="str">
        <x:v>aj2-y90-20260714T234810-0bea2f52</x:v>
      </x:c>
      <x:c r="AG1174" s="13" t="str">
        <x:v>full-0059</x:v>
      </x:c>
      <x:c r="AH1174" s="13" t="str">
        <x:v>full</x:v>
      </x:c>
      <x:c r="AI1174" s="13" t="n">
        <x:v>59</x:v>
      </x:c>
    </x:row>
    <x:row r="1175" ht="34" customHeight="1">
      <x:c r="A1175" s="15" t="str">
        <x:v>plain cheap flip flops</x:v>
      </x:c>
      <x:c r="B1175" s="15" t="str">
        <x:v>plain cheap flip flops</x:v>
      </x:c>
      <x:c r="C1175" s="10" t="str">
        <x:v>a4d1d4062f1f4830</x:v>
      </x:c>
      <x:c r="D1175" s="10" t="str">
        <x:v>keyword</x:v>
      </x:c>
      <x:c r="E1175" s="10" t="str">
        <x:v>en</x:v>
      </x:c>
      <x:c r="F1175" s="10" t="str">
        <x:v>clothing_shoes_jewelry</x:v>
      </x:c>
      <x:c r="G1175" s="15" t="str"/>
      <x:c r="H1175" s="15" t="str">
        <x:v>flip_flops</x:v>
      </x:c>
      <x:c r="I1175" s="15" t="str"/>
      <x:c r="J1175" s="15" t="str"/>
      <x:c r="K1175" s="15" t="str">
        <x:v>plain</x:v>
      </x:c>
      <x:c r="L1175" s="15" t="str"/>
      <x:c r="M1175" s="15" t="str"/>
      <x:c r="N1175" s="15" t="str"/>
      <x:c r="O1175" s="15" t="str"/>
      <x:c r="P1175" s="15" t="str"/>
      <x:c r="Q1175" s="15" t="str"/>
      <x:c r="R1175" s="15" t="str">
        <x:v>用户需要一双款式简洁、价格实惠的夹脚拖鞋。</x:v>
      </x:c>
      <x:c r="S1175" s="10" t="str">
        <x:v>exploration</x:v>
      </x:c>
      <x:c r="T1175" s="15" t="str">
        <x:v>explicit | page_validated</x:v>
      </x:c>
      <x:c r="U1175" s="10" t="str">
        <x:v>medium</x:v>
      </x:c>
      <x:c r="V1175" s="15" t="str">
        <x:v>flip_flops_plain_budget</x:v>
      </x:c>
      <x:c r="W1175" s="15" t="str">
        <x:v>cluster_route</x:v>
      </x:c>
      <x:c r="X1175" s="15" t="str">
        <x:v>{"product_type":[{"value":"flip_flops","evidence_type":"explicit","source_span":"flip flops","fact_ids":[],"rationale":"搜索词明确提及flip flops"},{"value":"flip_flops","evidence_type":"page_validated","source_span":"","fact_ids":["style_flip_flop"],"rationale":"该槽位与商品基准中的明示页面事实一致。"}],"capability_intent":[{"value":"plain","evidence_type":"explicit","source_span":"plain","fact_ids":[],"rationale":"搜索词明确要求简洁款式"}],"primary_domain":[{"value":"clothing_shoes_jewelry","evidence_type":"inferred","source_span":"","fact_ids":[],"rationale":"该值由搜索词整体语义推断，未作为页面明示属性。"}]}</x:v>
      </x:c>
      <x:c r="Y1175" s="15" t="str"/>
      <x:c r="Z1175" s="10" t="str">
        <x:v>match</x:v>
      </x:c>
      <x:c r="AA1175" s="15" t="str">
        <x:v>style_flip_flop</x:v>
      </x:c>
      <x:c r="AB1175" s="10" t="str">
        <x:v>accepted</x:v>
      </x:c>
      <x:c r="AC1175" s="10" t="str">
        <x:v>1.0.0</x:v>
      </x:c>
      <x:c r="AD1175" s="10" t="str">
        <x:v>1.0.0</x:v>
      </x:c>
      <x:c r="AE1175" s="10" t="str">
        <x:v>deepseek/deepseek-v4-pro</x:v>
      </x:c>
      <x:c r="AF1175" s="10" t="str">
        <x:v>aj2-y90-20260714T234810-0bea2f52</x:v>
      </x:c>
      <x:c r="AG1175" s="10" t="str">
        <x:v>full-0059</x:v>
      </x:c>
      <x:c r="AH1175" s="10" t="str">
        <x:v>full</x:v>
      </x:c>
      <x:c r="AI1175" s="10" t="n">
        <x:v>59</x:v>
      </x:c>
    </x:row>
    <x:row r="1176" ht="34" customHeight="1">
      <x:c r="A1176" s="16" t="str">
        <x:v>huaraches de mujer</x:v>
      </x:c>
      <x:c r="B1176" s="16" t="str">
        <x:v>huaraches de mujer</x:v>
      </x:c>
      <x:c r="C1176" s="13" t="str">
        <x:v>a61453a22d9ebeb7</x:v>
      </x:c>
      <x:c r="D1176" s="13" t="str">
        <x:v>keyword</x:v>
      </x:c>
      <x:c r="E1176" s="13" t="str">
        <x:v>es</x:v>
      </x:c>
      <x:c r="F1176" s="13" t="str">
        <x:v>clothing_shoes_jewelry</x:v>
      </x:c>
      <x:c r="G1176" s="16" t="str"/>
      <x:c r="H1176" s="16" t="str">
        <x:v>huaraches</x:v>
      </x:c>
      <x:c r="I1176" s="16" t="str">
        <x:v>women</x:v>
      </x:c>
      <x:c r="J1176" s="16" t="str"/>
      <x:c r="K1176" s="16" t="str"/>
      <x:c r="L1176" s="16" t="str"/>
      <x:c r="M1176" s="16" t="str"/>
      <x:c r="N1176" s="16" t="str"/>
      <x:c r="O1176" s="16" t="str"/>
      <x:c r="P1176" s="16" t="str"/>
      <x:c r="Q1176" s="16" t="str"/>
      <x:c r="R1176" s="16" t="str">
        <x:v>一位女性需要一双墨西哥传统编织凉鞋（huaraches）。</x:v>
      </x:c>
      <x:c r="S1176" s="13" t="str">
        <x:v>exploration</x:v>
      </x:c>
      <x:c r="T1176" s="16" t="str">
        <x:v>explicit | inferred</x:v>
      </x:c>
      <x:c r="U1176" s="13" t="str">
        <x:v>high</x:v>
      </x:c>
      <x:c r="V1176" s="16" t="str">
        <x:v>huaraches_women</x:v>
      </x:c>
      <x:c r="W1176" s="16" t="str">
        <x:v>semantic_negative_candidate</x:v>
      </x:c>
      <x:c r="X1176" s="16" t="str">
        <x:v>{"product_type":[{"value":"huaraches","evidence_type":"explicit","source_span":"huaraches","fact_ids":[],"rationale":"huaraches为墨西哥传统编织凉鞋，与EVA夹脚拖属不同品类"}],"audience_intent":[{"value":"women","evidence_type":"explicit","source_span":"mujer","fact_ids":[],"rationale":"mujer在西班牙语中意为女性"},{"value":"women","evidence_type":"page_validated","source_span":"","fact_ids":["title_womens_flip_flop"],"rationale":"该槽位与商品基准中的明示页面事实一致。"},{"value":"women","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1176" s="16" t="str">
        <x:v>language_mismatch</x:v>
      </x:c>
      <x:c r="Z1176" s="13" t="str">
        <x:v>mismatch</x:v>
      </x:c>
      <x:c r="AA1176" s="16" t="str">
        <x:v>title_womens_flip_flop | style_flip_flop</x:v>
      </x:c>
      <x:c r="AB1176" s="13" t="str">
        <x:v>accepted</x:v>
      </x:c>
      <x:c r="AC1176" s="13" t="str">
        <x:v>1.0.0</x:v>
      </x:c>
      <x:c r="AD1176" s="13" t="str">
        <x:v>1.0.0</x:v>
      </x:c>
      <x:c r="AE1176" s="13" t="str">
        <x:v>deepseek/deepseek-v4-pro</x:v>
      </x:c>
      <x:c r="AF1176" s="13" t="str">
        <x:v>aj2-y90-20260714T234810-0bea2f52</x:v>
      </x:c>
      <x:c r="AG1176" s="13" t="str">
        <x:v>full-0059</x:v>
      </x:c>
      <x:c r="AH1176" s="13" t="str">
        <x:v>full</x:v>
      </x:c>
      <x:c r="AI1176" s="13" t="n">
        <x:v>59</x:v>
      </x:c>
    </x:row>
    <x:row r="1177" ht="34" customHeight="1">
      <x:c r="A1177" s="15" t="str">
        <x:v>brown flip flops pool</x:v>
      </x:c>
      <x:c r="B1177" s="15" t="str">
        <x:v>brown flip flops pool</x:v>
      </x:c>
      <x:c r="C1177" s="10" t="str">
        <x:v>adafabbd5ddfbad5</x:v>
      </x:c>
      <x:c r="D1177" s="10" t="str">
        <x:v>keyword</x:v>
      </x:c>
      <x:c r="E1177" s="10" t="str">
        <x:v>en</x:v>
      </x:c>
      <x:c r="F1177" s="10" t="str">
        <x:v>clothing_shoes_jewelry</x:v>
      </x:c>
      <x:c r="G1177" s="15" t="str">
        <x:v>sports_outdoors</x:v>
      </x:c>
      <x:c r="H1177" s="15" t="str">
        <x:v>flip_flops</x:v>
      </x:c>
      <x:c r="I1177" s="15" t="str"/>
      <x:c r="J1177" s="15" t="str"/>
      <x:c r="K1177" s="15" t="str"/>
      <x:c r="L1177" s="15" t="str">
        <x:v>pool_activity</x:v>
      </x:c>
      <x:c r="M1177" s="15" t="str">
        <x:v>pool</x:v>
      </x:c>
      <x:c r="N1177" s="15" t="str"/>
      <x:c r="O1177" s="15" t="str"/>
      <x:c r="P1177" s="15" t="str"/>
      <x:c r="Q1177" s="15" t="str"/>
      <x:c r="R1177" s="15" t="str">
        <x:v>用户需要一双适合在泳池边穿着的棕色夹脚拖鞋。</x:v>
      </x:c>
      <x:c r="S1177" s="10" t="str">
        <x:v>consideration</x:v>
      </x:c>
      <x:c r="T1177" s="15" t="str">
        <x:v>explicit | page_validated | inferred</x:v>
      </x:c>
      <x:c r="U1177" s="10" t="str">
        <x:v>high</x:v>
      </x:c>
      <x:c r="V1177" s="15" t="str">
        <x:v>flip_flops_pool_brown</x:v>
      </x:c>
      <x:c r="W1177" s="15" t="str">
        <x:v>cluster_route</x:v>
      </x:c>
      <x:c r="X1177" s="15" t="str">
        <x:v>{"product_type":[{"value":"flip_flops","evidence_type":"explicit","source_span":"flip flops","fact_ids":[],"rationale":"搜索词明确提及flip flops"},{"value":"flip_flops","evidence_type":"page_validated","source_span":"","fact_ids":["style_flip_flop"],"rationale":"该槽位与商品基准中的明示页面事实一致。"}],"location_intent":[{"value":"pool","evidence_type":"explicit","source_span":"pool","fact_ids":[],"rationale":"搜索词明确提及pool"}],"event_intent":[{"value":"pool_activity","evidence_type":"inferred","source_span":"pool","fact_ids":[],"rationale":"泳池场景暗示游泳或池边休闲活动"}],"primary_domain":[{"value":"clothing_shoes_jewelry","evidence_type":"inferred","source_span":"","fact_ids":[],"rationale":"该值由搜索词整体语义推断，未作为页面明示属性。"}],"secondary_domain":[{"value":"sports_outdoors","evidence_type":"inferred","source_span":"","fact_ids":[],"rationale":"该值由搜索词整体语义推断，未作为页面明示属性。"}]}</x:v>
      </x:c>
      <x:c r="Y1177" s="15" t="str"/>
      <x:c r="Z1177" s="10" t="str">
        <x:v>match</x:v>
      </x:c>
      <x:c r="AA1177" s="15" t="str">
        <x:v>style_flip_flop | colors_visible | slip_resistant_grip | style_outdoor</x:v>
      </x:c>
      <x:c r="AB1177" s="10" t="str">
        <x:v>accepted</x:v>
      </x:c>
      <x:c r="AC1177" s="10" t="str">
        <x:v>1.0.0</x:v>
      </x:c>
      <x:c r="AD1177" s="10" t="str">
        <x:v>1.0.0</x:v>
      </x:c>
      <x:c r="AE1177" s="10" t="str">
        <x:v>deepseek/deepseek-v4-pro</x:v>
      </x:c>
      <x:c r="AF1177" s="10" t="str">
        <x:v>aj2-y90-20260714T234810-0bea2f52</x:v>
      </x:c>
      <x:c r="AG1177" s="10" t="str">
        <x:v>full-0059</x:v>
      </x:c>
      <x:c r="AH1177" s="10" t="str">
        <x:v>full</x:v>
      </x:c>
      <x:c r="AI1177" s="10" t="n">
        <x:v>59</x:v>
      </x:c>
    </x:row>
    <x:row r="1178" ht="34" customHeight="1">
      <x:c r="A1178" s="16" t="str">
        <x:v>flip flop for home and good for feet</x:v>
      </x:c>
      <x:c r="B1178" s="16" t="str">
        <x:v>flip flop for home and good for feet</x:v>
      </x:c>
      <x:c r="C1178" s="13" t="str">
        <x:v>c4aaadf3d5296e92</x:v>
      </x:c>
      <x:c r="D1178" s="13" t="str">
        <x:v>keyword</x:v>
      </x:c>
      <x:c r="E1178" s="13" t="str">
        <x:v>en</x:v>
      </x:c>
      <x:c r="F1178" s="13" t="str">
        <x:v>clothing_shoes_jewelry</x:v>
      </x:c>
      <x:c r="G1178" s="16" t="str">
        <x:v>home_kitchen</x:v>
      </x:c>
      <x:c r="H1178" s="16" t="str">
        <x:v>flip_flops</x:v>
      </x:c>
      <x:c r="I1178" s="16" t="str"/>
      <x:c r="J1178" s="16" t="str">
        <x:v>foot_health | comfort</x:v>
      </x:c>
      <x:c r="K1178" s="16" t="str">
        <x:v>comfort</x:v>
      </x:c>
      <x:c r="L1178" s="16" t="str"/>
      <x:c r="M1178" s="16" t="str">
        <x:v>indoor | home</x:v>
      </x:c>
      <x:c r="N1178" s="16" t="str">
        <x:v>foot_comfort</x:v>
      </x:c>
      <x:c r="O1178" s="16" t="str"/>
      <x:c r="P1178" s="16" t="str"/>
      <x:c r="Q1178" s="16" t="str"/>
      <x:c r="R1178" s="16" t="str">
        <x:v>用户需要一双适合在家穿着且对脚部健康有益的舒适夹脚拖鞋。</x:v>
      </x:c>
      <x:c r="S1178" s="13" t="str">
        <x:v>consideration</x:v>
      </x:c>
      <x:c r="T1178" s="16" t="str">
        <x:v>explicit | page_validated | inferred</x:v>
      </x:c>
      <x:c r="U1178" s="13" t="str">
        <x:v>medium</x:v>
      </x:c>
      <x:c r="V1178" s="16" t="str">
        <x:v>flip_flops_home_foot_health</x:v>
      </x:c>
      <x:c r="W1178" s="16" t="str">
        <x:v>cluster_route</x:v>
      </x:c>
      <x:c r="X1178" s="16" t="str">
        <x:v>{"product_type":[{"value":"flip_flops","evidence_type":"explicit","source_span":"flip flop","fact_ids":[],"rationale":"搜索词明确提及flip flop"},{"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location_intent":[{"value":"home","evidence_type":"explicit","source_span":"home","fact_ids":[],"rationale":"搜索词明确提及home"},{"value":"indoor","evidence_type":"inferred","source_span":"home","fact_ids":[],"rationale":"居家场景暗示室内使用"}],"function_intent":[{"value":"comfort","evidence_type":"explicit","source_span":"good for feet","fact_ids":[],"rationale":"搜索词表达对脚部舒适的需求"},{"value":"foot_health","evidence_type":"inferred","source_span":"","fact_ids":[],"rationale":"该值由搜索词整体语义推断，未作为页面明示属性。"},{"value":"comfort","evidence_type":"page_validated","source_span":"","fact_ids":["arch_support","padded_cushioning"],"rationale":"该槽位与商品基准中的明示页面事实一致。"},{"value":"comfort","evidence_type":"inferred","source_span":"","fact_ids":[],"rationale":"该能力由搜索词表达的任务或问题推断；页面事实仅用于验证商品承接。"}],"capability_intent":[{"value":"comfort","evidence_type":"page_validated","source_span":"","fact_ids":["arch_support","padded_cushioning"],"rationale":"该槽位与商品基准中的明示页面事实一致。"},{"value":"comfort","evidence_type":"inferred","source_span":"","fact_ids":[],"rationale":"该能力由搜索词表达的任务或问题推断；页面事实仅用于验证商品承接。"}],"body_need_intent":[{"value":"foot_comfort","evidence_type":"page_validated","source_span":"","fact_ids":["arch_support","padded_cushioning"],"rationale":"该槽位与商品基准中的明示页面事实一致。"},{"value":"foot_comfor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secondary_domain":[{"value":"home_kitchen","evidence_type":"inferred","source_span":"","fact_ids":[],"rationale":"该值由搜索词整体语义推断，未作为页面明示属性。"}]}</x:v>
      </x:c>
      <x:c r="Y1178" s="16" t="str"/>
      <x:c r="Z1178" s="13" t="str">
        <x:v>match</x:v>
      </x:c>
      <x:c r="AA1178" s="16" t="str">
        <x:v>arch_support | padded_cushioning | soft_toe_post | easy_clean | style_flip_flop</x:v>
      </x:c>
      <x:c r="AB1178" s="13" t="str">
        <x:v>accepted</x:v>
      </x:c>
      <x:c r="AC1178" s="13" t="str">
        <x:v>1.0.0</x:v>
      </x:c>
      <x:c r="AD1178" s="13" t="str">
        <x:v>1.0.0</x:v>
      </x:c>
      <x:c r="AE1178" s="13" t="str">
        <x:v>deepseek/deepseek-v4-pro</x:v>
      </x:c>
      <x:c r="AF1178" s="13" t="str">
        <x:v>aj2-y90-20260714T234810-0bea2f52</x:v>
      </x:c>
      <x:c r="AG1178" s="13" t="str">
        <x:v>full-0059</x:v>
      </x:c>
      <x:c r="AH1178" s="13" t="str">
        <x:v>full</x:v>
      </x:c>
      <x:c r="AI1178" s="13" t="n">
        <x:v>59</x:v>
      </x:c>
    </x:row>
    <x:row r="1179" ht="34" customHeight="1">
      <x:c r="A1179" s="15" t="str">
        <x:v>archies flip flops</x:v>
      </x:c>
      <x:c r="B1179" s="15" t="str">
        <x:v>archies flip flops</x:v>
      </x:c>
      <x:c r="C1179" s="10" t="str">
        <x:v>c82c77500b8b0fa9</x:v>
      </x:c>
      <x:c r="D1179" s="10" t="str">
        <x:v>keyword</x:v>
      </x:c>
      <x:c r="E1179" s="10" t="str">
        <x:v>en</x:v>
      </x:c>
      <x:c r="F1179" s="10" t="str">
        <x:v>clothing_shoes_jewelry</x:v>
      </x:c>
      <x:c r="G1179" s="15" t="str"/>
      <x:c r="H1179" s="15" t="str">
        <x:v>flip_flops</x:v>
      </x:c>
      <x:c r="I1179" s="15" t="str"/>
      <x:c r="J1179" s="15" t="str"/>
      <x:c r="K1179" s="15" t="str"/>
      <x:c r="L1179" s="15" t="str"/>
      <x:c r="M1179" s="15" t="str"/>
      <x:c r="N1179" s="15" t="str"/>
      <x:c r="O1179" s="15" t="str"/>
      <x:c r="P1179" s="15" t="str"/>
      <x:c r="Q1179" s="15" t="str"/>
      <x:c r="R1179" s="15" t="str">
        <x:v>用户需要一双Archies品牌的夹脚拖鞋。</x:v>
      </x:c>
      <x:c r="S1179" s="10" t="str">
        <x:v>brand_harvest</x:v>
      </x:c>
      <x:c r="T1179" s="15" t="str">
        <x:v>explicit</x:v>
      </x:c>
      <x:c r="U1179" s="10" t="str">
        <x:v>high</x:v>
      </x:c>
      <x:c r="V1179" s="15" t="str">
        <x:v>brand_archies_flip_flops</x:v>
      </x:c>
      <x:c r="W1179" s="15" t="str">
        <x:v>semantic_negative_candidate</x:v>
      </x:c>
      <x:c r="X1179" s="15" t="str">
        <x:v>{"product_type":[{"value":"flip_flops","evidence_type":"explicit","source_span":"flip flops","fact_ids":[],"rationale":"搜索词明确提及flip flops"},{"value":"flip_flops","evidence_type":"page_validated","source_span":"","fact_ids":["style_flip_flop"],"rationale":"该槽位与商品基准中的明示页面事实一致。"}],"primary_domain":[{"value":"clothing_shoes_jewelry","evidence_type":"inferred","source_span":"","fact_ids":[],"rationale":"该值由搜索词整体语义推断，未作为页面明示属性。"}]}</x:v>
      </x:c>
      <x:c r="Y1179" s="15" t="str"/>
      <x:c r="Z1179" s="10" t="str">
        <x:v>mismatch</x:v>
      </x:c>
      <x:c r="AA1179" s="15" t="str">
        <x:v>style_flip_flop</x:v>
      </x:c>
      <x:c r="AB1179" s="10" t="str">
        <x:v>accepted</x:v>
      </x:c>
      <x:c r="AC1179" s="10" t="str">
        <x:v>1.0.0</x:v>
      </x:c>
      <x:c r="AD1179" s="10" t="str">
        <x:v>1.0.0</x:v>
      </x:c>
      <x:c r="AE1179" s="10" t="str">
        <x:v>deepseek/deepseek-v4-pro</x:v>
      </x:c>
      <x:c r="AF1179" s="10" t="str">
        <x:v>aj2-y90-20260714T234810-0bea2f52</x:v>
      </x:c>
      <x:c r="AG1179" s="10" t="str">
        <x:v>full-0059</x:v>
      </x:c>
      <x:c r="AH1179" s="10" t="str">
        <x:v>full</x:v>
      </x:c>
      <x:c r="AI1179" s="10" t="n">
        <x:v>59</x:v>
      </x:c>
    </x:row>
    <x:row r="1180" ht="34" customHeight="1">
      <x:c r="A1180" s="16" t="str">
        <x:v>totes flip flops for women</x:v>
      </x:c>
      <x:c r="B1180" s="16" t="str">
        <x:v>totes flip flops for women</x:v>
      </x:c>
      <x:c r="C1180" s="13" t="str">
        <x:v>cba1865a9c62ed4a</x:v>
      </x:c>
      <x:c r="D1180" s="13" t="str">
        <x:v>keyword</x:v>
      </x:c>
      <x:c r="E1180" s="13" t="str">
        <x:v>en</x:v>
      </x:c>
      <x:c r="F1180" s="13" t="str">
        <x:v>clothing_shoes_jewelry</x:v>
      </x:c>
      <x:c r="G1180" s="16" t="str"/>
      <x:c r="H1180" s="16" t="str">
        <x:v>flip_flops</x:v>
      </x:c>
      <x:c r="I1180" s="16" t="str">
        <x:v>women</x:v>
      </x:c>
      <x:c r="J1180" s="16" t="str"/>
      <x:c r="K1180" s="16" t="str"/>
      <x:c r="L1180" s="16" t="str"/>
      <x:c r="M1180" s="16" t="str"/>
      <x:c r="N1180" s="16" t="str"/>
      <x:c r="O1180" s="16" t="str"/>
      <x:c r="P1180" s="16" t="str"/>
      <x:c r="Q1180" s="16" t="str"/>
      <x:c r="R1180" s="16" t="str">
        <x:v>一位女性需要一双Totes品牌的夹脚拖鞋。</x:v>
      </x:c>
      <x:c r="S1180" s="13" t="str">
        <x:v>brand_harvest</x:v>
      </x:c>
      <x:c r="T1180" s="16" t="str">
        <x:v>explicit</x:v>
      </x:c>
      <x:c r="U1180" s="13" t="str">
        <x:v>high</x:v>
      </x:c>
      <x:c r="V1180" s="16" t="str">
        <x:v>brand_totes_flip_flops_women</x:v>
      </x:c>
      <x:c r="W1180" s="16" t="str">
        <x:v>semantic_negative_candidate</x:v>
      </x:c>
      <x:c r="X1180" s="16" t="str">
        <x:v>{"product_type":[{"value":"flip_flops","evidence_type":"explicit","source_span":"flip flops","fact_ids":[],"rationale":"搜索词明确提及flip flops"},{"value":"flip_flops","evidence_type":"page_validated","source_span":"","fact_ids":["style_flip_flop"],"rationale":"该槽位与商品基准中的明示页面事实一致。"}],"audience_intent":[{"value":"women","evidence_type":"explicit","source_span":"women","fact_ids":[],"rationale":"搜索词明确提及women"},{"value":"women","evidence_type":"page_validated","source_span":"","fact_ids":["title_womens_flip_flop"],"rationale":"该槽位与商品基准中的明示页面事实一致。"}],"primary_domain":[{"value":"clothing_shoes_jewelry","evidence_type":"inferred","source_span":"","fact_ids":[],"rationale":"该值由搜索词整体语义推断，未作为页面明示属性。"}]}</x:v>
      </x:c>
      <x:c r="Y1180" s="16" t="str"/>
      <x:c r="Z1180" s="13" t="str">
        <x:v>mismatch</x:v>
      </x:c>
      <x:c r="AA1180" s="16" t="str">
        <x:v>title_womens_flip_flop</x:v>
      </x:c>
      <x:c r="AB1180" s="13" t="str">
        <x:v>accepted</x:v>
      </x:c>
      <x:c r="AC1180" s="13" t="str">
        <x:v>1.0.0</x:v>
      </x:c>
      <x:c r="AD1180" s="13" t="str">
        <x:v>1.0.0</x:v>
      </x:c>
      <x:c r="AE1180" s="13" t="str">
        <x:v>deepseek/deepseek-v4-pro</x:v>
      </x:c>
      <x:c r="AF1180" s="13" t="str">
        <x:v>aj2-y90-20260714T234810-0bea2f52</x:v>
      </x:c>
      <x:c r="AG1180" s="13" t="str">
        <x:v>full-0059</x:v>
      </x:c>
      <x:c r="AH1180" s="13" t="str">
        <x:v>full</x:v>
      </x:c>
      <x:c r="AI1180" s="13" t="n">
        <x:v>59</x:v>
      </x:c>
    </x:row>
    <x:row r="1181" ht="34" customHeight="1">
      <x:c r="A1181" s="15" t="str">
        <x:v>flip flops for flat person</x:v>
      </x:c>
      <x:c r="B1181" s="15" t="str">
        <x:v>flip flops for flat person</x:v>
      </x:c>
      <x:c r="C1181" s="10" t="str">
        <x:v>cecb517f9bc7905e</x:v>
      </x:c>
      <x:c r="D1181" s="10" t="str">
        <x:v>keyword</x:v>
      </x:c>
      <x:c r="E1181" s="10" t="str">
        <x:v>en</x:v>
      </x:c>
      <x:c r="F1181" s="10" t="str">
        <x:v>clothing_shoes_jewelry</x:v>
      </x:c>
      <x:c r="G1181" s="15" t="str"/>
      <x:c r="H1181" s="15" t="str">
        <x:v>flip_flops</x:v>
      </x:c>
      <x:c r="I1181" s="15" t="str"/>
      <x:c r="J1181" s="15" t="str"/>
      <x:c r="K1181" s="15" t="str"/>
      <x:c r="L1181" s="15" t="str"/>
      <x:c r="M1181" s="15" t="str"/>
      <x:c r="N1181" s="15" t="str">
        <x:v>flat_feet</x:v>
      </x:c>
      <x:c r="O1181" s="15" t="str"/>
      <x:c r="P1181" s="15" t="str"/>
      <x:c r="Q1181" s="15" t="str"/>
      <x:c r="R1181" s="15" t="str">
        <x:v>一位扁平足用户需要一双能提供足弓支撑的夹脚拖鞋以改善步态。</x:v>
      </x:c>
      <x:c r="S1181" s="10" t="str">
        <x:v>consideration</x:v>
      </x:c>
      <x:c r="T1181" s="15" t="str">
        <x:v>explicit | page_validated | inferred</x:v>
      </x:c>
      <x:c r="U1181" s="10" t="str">
        <x:v>medium</x:v>
      </x:c>
      <x:c r="V1181" s="15" t="str">
        <x:v>flip_flops_flat_feet</x:v>
      </x:c>
      <x:c r="W1181" s="15" t="str">
        <x:v>listing_gap_review</x:v>
      </x:c>
      <x:c r="X1181" s="15" t="str">
        <x:v>{"product_type":[{"value":"flip_flops","evidence_type":"explicit","source_span":"flip flops","fact_ids":[],"rationale":"搜索词明确提及flip flops"},{"value":"flip_flops","evidence_type":"page_validated","source_span":"","fact_ids":["style_flip_flop"],"rationale":"该槽位与商品基准中的明示页面事实一致。"}],"body_need_intent":[{"value":"flat_feet","evidence_type":"inferred","source_span":"flat person","fact_ids":[],"rationale":"flat person在鞋类语境中指扁平足"}],"primary_domain":[{"value":"clothing_shoes_jewelry","evidence_type":"inferred","source_span":"","fact_ids":[],"rationale":"该值由搜索词整体语义推断，未作为页面明示属性。"}]}</x:v>
      </x:c>
      <x:c r="Y1181" s="15" t="str">
        <x:v>terminology_ambiguity</x:v>
      </x:c>
      <x:c r="Z1181" s="10" t="str">
        <x:v>partial_match</x:v>
      </x:c>
      <x:c r="AA1181" s="15" t="str">
        <x:v>arch_support | style_flip_flop</x:v>
      </x:c>
      <x:c r="AB1181" s="10" t="str">
        <x:v>accepted</x:v>
      </x:c>
      <x:c r="AC1181" s="10" t="str">
        <x:v>1.0.0</x:v>
      </x:c>
      <x:c r="AD1181" s="10" t="str">
        <x:v>1.0.0</x:v>
      </x:c>
      <x:c r="AE1181" s="10" t="str">
        <x:v>deepseek/deepseek-v4-pro</x:v>
      </x:c>
      <x:c r="AF1181" s="10" t="str">
        <x:v>aj2-y90-20260714T234810-0bea2f52</x:v>
      </x:c>
      <x:c r="AG1181" s="10" t="str">
        <x:v>full-0059</x:v>
      </x:c>
      <x:c r="AH1181" s="10" t="str">
        <x:v>full</x:v>
      </x:c>
      <x:c r="AI1181" s="10" t="n">
        <x:v>59</x:v>
      </x:c>
    </x:row>
    <x:row r="1182" ht="34" customHeight="1">
      <x:c r="A1182" s="16" t="str">
        <x:v>black thong flip flops for women</x:v>
      </x:c>
      <x:c r="B1182" s="16" t="str">
        <x:v>black thong flip flops for women</x:v>
      </x:c>
      <x:c r="C1182" s="13" t="str">
        <x:v>08855d651541c8ef</x:v>
      </x:c>
      <x:c r="D1182" s="13" t="str">
        <x:v>keyword</x:v>
      </x:c>
      <x:c r="E1182" s="13" t="str">
        <x:v>en</x:v>
      </x:c>
      <x:c r="F1182" s="13" t="str">
        <x:v>clothing_shoes_jewelry</x:v>
      </x:c>
      <x:c r="G1182" s="16" t="str"/>
      <x:c r="H1182" s="16" t="str">
        <x:v>flip_flop</x:v>
      </x:c>
      <x:c r="I1182" s="16" t="str">
        <x:v>women</x:v>
      </x:c>
      <x:c r="J1182" s="16" t="str"/>
      <x:c r="K1182" s="16" t="str"/>
      <x:c r="L1182" s="16" t="str"/>
      <x:c r="M1182" s="16" t="str"/>
      <x:c r="N1182" s="16" t="str"/>
      <x:c r="O1182" s="16" t="str"/>
      <x:c r="P1182" s="16" t="str"/>
      <x:c r="Q1182" s="16" t="str"/>
      <x:c r="R1182" s="16" t="str">
        <x:v>用户寻找黑色夹趾款女士人字拖，颜色和款式（thong）均已明确</x:v>
      </x:c>
      <x:c r="S1182" s="13" t="str">
        <x:v>high_intent</x:v>
      </x:c>
      <x:c r="T1182" s="16" t="str">
        <x:v>explicit | page_validated</x:v>
      </x:c>
      <x:c r="U1182" s="13" t="str">
        <x:v>high</x:v>
      </x:c>
      <x:c r="V1182" s="16" t="str">
        <x:v>black_thong_flip_flop_women</x:v>
      </x:c>
      <x:c r="W1182" s="16" t="str">
        <x:v>cluster_route</x:v>
      </x:c>
      <x:c r="X1182" s="16" t="str">
        <x:v>{"product_type":[{"value":"flip_flop","evidence_type":"explicit","source_span":"flip flops","fact_ids":[],"rationale":""},{"value":"flip_flop","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产品标题标明女士拖鞋"}],"style":[{"value":"thong","evidence_type":"explicit","source_span":"thong","fact_ids":[],"rationale":""},{"value":"thong","evidence_type":"page_validated","source_span":"","fact_ids":["style_thong"],"rationale":"产品绑带类型为Thong"}],"color":[{"value":"black","evidence_type":"explicit","source_span":"black","fact_ids":[],"rationale":"该颜色在商品页面可见颜色选择中得到明确支持。"},{"value":"black","evidence_type":"page_validated","source_span":"","fact_ids":["colors_visible"],"rationale":"该颜色在商品页面可见颜色选择中得到明确支持。"}],"primary_domain":[{"value":"clothing_shoes_jewelry","evidence_type":"inferred","source_span":"","fact_ids":[],"rationale":"该值由搜索词整体语义推断，未作为页面明示属性。"}]}</x:v>
      </x:c>
      <x:c r="Y1182" s="16" t="str"/>
      <x:c r="Z1182" s="13" t="str">
        <x:v>match</x:v>
      </x:c>
      <x:c r="AA1182" s="16" t="str">
        <x:v>title_womens_flip_flop | style_thong | colors_visible</x:v>
      </x:c>
      <x:c r="AB1182" s="13" t="str">
        <x:v>accepted</x:v>
      </x:c>
      <x:c r="AC1182" s="13" t="str">
        <x:v>1.0.0</x:v>
      </x:c>
      <x:c r="AD1182" s="13" t="str">
        <x:v>1.1.0</x:v>
      </x:c>
      <x:c r="AE1182" s="13" t="str">
        <x:v>deepseek/deepseek-v4-pro</x:v>
      </x:c>
      <x:c r="AF1182" s="13" t="str">
        <x:v>aj2-y90-20260714T234810-0bea2f52</x:v>
      </x:c>
      <x:c r="AG1182" s="13" t="str">
        <x:v>full-0060</x:v>
      </x:c>
      <x:c r="AH1182" s="13" t="str">
        <x:v>full</x:v>
      </x:c>
      <x:c r="AI1182" s="13" t="n">
        <x:v>60</x:v>
      </x:c>
    </x:row>
    <x:row r="1183" ht="34" customHeight="1">
      <x:c r="A1183" s="15" t="str">
        <x:v>best flip flop</x:v>
      </x:c>
      <x:c r="B1183" s="15" t="str">
        <x:v>best flip flop</x:v>
      </x:c>
      <x:c r="C1183" s="10" t="str">
        <x:v>10e7f413f8a1d18b</x:v>
      </x:c>
      <x:c r="D1183" s="10" t="str">
        <x:v>keyword</x:v>
      </x:c>
      <x:c r="E1183" s="10" t="str">
        <x:v>en</x:v>
      </x:c>
      <x:c r="F1183" s="10" t="str">
        <x:v>clothing_shoes_jewelry</x:v>
      </x:c>
      <x:c r="G1183" s="15" t="str"/>
      <x:c r="H1183" s="15" t="str">
        <x:v>flip_flop</x:v>
      </x:c>
      <x:c r="I1183" s="15" t="str"/>
      <x:c r="J1183" s="15" t="str">
        <x:v>quality_seeking</x:v>
      </x:c>
      <x:c r="K1183" s="15" t="str"/>
      <x:c r="L1183" s="15" t="str"/>
      <x:c r="M1183" s="15" t="str"/>
      <x:c r="N1183" s="15" t="str"/>
      <x:c r="O1183" s="15" t="str"/>
      <x:c r="P1183" s="15" t="str"/>
      <x:c r="Q1183" s="15" t="str"/>
      <x:c r="R1183" s="15" t="str">
        <x:v>用户以泛化查询搜索质量最好的人字拖，处于探索比较阶段，未限定性别或功能</x:v>
      </x:c>
      <x:c r="S1183" s="10" t="str">
        <x:v>exploration</x:v>
      </x:c>
      <x:c r="T1183" s="15" t="str">
        <x:v>explicit | inferred</x:v>
      </x:c>
      <x:c r="U1183" s="10" t="str">
        <x:v>medium</x:v>
      </x:c>
      <x:c r="V1183" s="15" t="str">
        <x:v>best_flip_flop_generic</x:v>
      </x:c>
      <x:c r="W1183" s="15" t="str">
        <x:v>listing_gap_review</x:v>
      </x:c>
      <x:c r="X1183" s="15" t="str">
        <x:v>{"product_type":[{"value":"flip_flop","evidence_type":"explicit","source_span":"flip flop","fact_ids":[],"rationale":""},{"value":"flip_flop","evidence_type":"page_validated","source_span":"","fact_ids":["style_flip_flop"],"rationale":"该槽位与商品基准中的明示页面事实一致。"}],"function_intent":[{"value":"quality_seeking","evidence_type":"explicit","source_span":"best","fact_ids":[],"rationale":""}],"primary_domain":[{"value":"clothing_shoes_jewelry","evidence_type":"inferred","source_span":"","fact_ids":[],"rationale":"该值由搜索词整体语义推断，未作为页面明示属性。"}]}</x:v>
      </x:c>
      <x:c r="Y1183" s="15" t="str">
        <x:v>gender_unspecified | quality_superlative_unverifiable</x:v>
      </x:c>
      <x:c r="Z1183" s="10" t="str">
        <x:v>partial_match</x:v>
      </x:c>
      <x:c r="AA1183" s="15" t="str">
        <x:v>title_womens_flip_flop</x:v>
      </x:c>
      <x:c r="AB1183" s="10" t="str">
        <x:v>needs_review</x:v>
      </x:c>
      <x:c r="AC1183" s="10" t="str">
        <x:v>1.0.0</x:v>
      </x:c>
      <x:c r="AD1183" s="10" t="str">
        <x:v>1.1.0</x:v>
      </x:c>
      <x:c r="AE1183" s="10" t="str">
        <x:v>deepseek/deepseek-v4-pro</x:v>
      </x:c>
      <x:c r="AF1183" s="10" t="str">
        <x:v>aj2-y90-20260714T234810-0bea2f52</x:v>
      </x:c>
      <x:c r="AG1183" s="10" t="str">
        <x:v>full-0060</x:v>
      </x:c>
      <x:c r="AH1183" s="10" t="str">
        <x:v>full</x:v>
      </x:c>
      <x:c r="AI1183" s="10" t="n">
        <x:v>60</x:v>
      </x:c>
    </x:row>
    <x:row r="1184" ht="34" customHeight="1">
      <x:c r="A1184" s="16" t="str">
        <x:v>black flip flops for women comfortable</x:v>
      </x:c>
      <x:c r="B1184" s="16" t="str">
        <x:v>black flip flops for women comfortable</x:v>
      </x:c>
      <x:c r="C1184" s="13" t="str">
        <x:v>14c6927e0006cd9f</x:v>
      </x:c>
      <x:c r="D1184" s="13" t="str">
        <x:v>keyword</x:v>
      </x:c>
      <x:c r="E1184" s="13" t="str">
        <x:v>en</x:v>
      </x:c>
      <x:c r="F1184" s="13" t="str">
        <x:v>clothing_shoes_jewelry</x:v>
      </x:c>
      <x:c r="G1184" s="16" t="str"/>
      <x:c r="H1184" s="16" t="str">
        <x:v>flip_flop</x:v>
      </x:c>
      <x:c r="I1184" s="16" t="str">
        <x:v>women</x:v>
      </x:c>
      <x:c r="J1184" s="16" t="str">
        <x:v>comfort</x:v>
      </x:c>
      <x:c r="K1184" s="16" t="str"/>
      <x:c r="L1184" s="16" t="str"/>
      <x:c r="M1184" s="16" t="str"/>
      <x:c r="N1184" s="16" t="str"/>
      <x:c r="O1184" s="16" t="str"/>
      <x:c r="P1184" s="16" t="str"/>
      <x:c r="Q1184" s="16" t="str"/>
      <x:c r="R1184" s="16" t="str">
        <x:v>用户寻找黑色舒适的女士人字拖，颜色和舒适度是核心筛选条件</x:v>
      </x:c>
      <x:c r="S1184" s="13" t="str">
        <x:v>high_intent</x:v>
      </x:c>
      <x:c r="T1184" s="16" t="str">
        <x:v>explicit | page_validated</x:v>
      </x:c>
      <x:c r="U1184" s="13" t="str">
        <x:v>high</x:v>
      </x:c>
      <x:c r="V1184" s="16" t="str">
        <x:v>black_comfort_flip_flop_women</x:v>
      </x:c>
      <x:c r="W1184" s="16" t="str">
        <x:v>cluster_route</x:v>
      </x:c>
      <x:c r="X1184" s="16" t="str">
        <x:v>{"product_type":[{"value":"flip_flop","evidence_type":"explicit","source_span":"flip flops","fact_ids":[],"rationale":""},{"value":"flip_flop","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产品标题标明女士拖鞋"}],"function_intent":[{"value":"comfort","evidence_type":"explicit","source_span":"comfortable","fact_ids":[],"rationale":""},{"value":"comfort","evidence_type":"page_validated","source_span":"","fact_ids":["arch_support","padded_cushioning","lightweight_breathable","soft_toe_post"],"rationale":"产品具备足弓支撑、缓冲、轻量和柔软趾柱"}],"color":[{"value":"black","evidence_type":"explicit","source_span":"black","fact_ids":[],"rationale":"该颜色在商品页面可见颜色选择中得到明确支持。"},{"value":"black","evidence_type":"page_validated","source_span":"","fact_ids":["colors_visible"],"rationale":"该颜色在商品页面可见颜色选择中得到明确支持。"}],"primary_domain":[{"value":"clothing_shoes_jewelry","evidence_type":"inferred","source_span":"","fact_ids":[],"rationale":"该值由搜索词整体语义推断，未作为页面明示属性。"}]}</x:v>
      </x:c>
      <x:c r="Y1184" s="16" t="str"/>
      <x:c r="Z1184" s="13" t="str">
        <x:v>match</x:v>
      </x:c>
      <x:c r="AA1184" s="16" t="str">
        <x:v>title_womens_flip_flop | colors_visible | arch_support | padded_cushioning | lightweight_breathable | soft_toe_post</x:v>
      </x:c>
      <x:c r="AB1184" s="13" t="str">
        <x:v>accepted</x:v>
      </x:c>
      <x:c r="AC1184" s="13" t="str">
        <x:v>1.0.0</x:v>
      </x:c>
      <x:c r="AD1184" s="13" t="str">
        <x:v>1.1.0</x:v>
      </x:c>
      <x:c r="AE1184" s="13" t="str">
        <x:v>deepseek/deepseek-v4-pro</x:v>
      </x:c>
      <x:c r="AF1184" s="13" t="str">
        <x:v>aj2-y90-20260714T234810-0bea2f52</x:v>
      </x:c>
      <x:c r="AG1184" s="13" t="str">
        <x:v>full-0060</x:v>
      </x:c>
      <x:c r="AH1184" s="13" t="str">
        <x:v>full</x:v>
      </x:c>
      <x:c r="AI1184" s="13" t="n">
        <x:v>60</x:v>
      </x:c>
    </x:row>
    <x:row r="1185" ht="34" customHeight="1">
      <x:c r="A1185" s="15" t="str">
        <x:v>insoles for flip flops women black</x:v>
      </x:c>
      <x:c r="B1185" s="15" t="str">
        <x:v>insoles for flip flops women black</x:v>
      </x:c>
      <x:c r="C1185" s="10" t="str">
        <x:v>3579e7b8cfd87cf3</x:v>
      </x:c>
      <x:c r="D1185" s="10" t="str">
        <x:v>keyword</x:v>
      </x:c>
      <x:c r="E1185" s="10" t="str">
        <x:v>en</x:v>
      </x:c>
      <x:c r="F1185" s="10" t="str">
        <x:v>clothing_shoes_jewelry</x:v>
      </x:c>
      <x:c r="G1185" s="15" t="str">
        <x:v>health_household</x:v>
      </x:c>
      <x:c r="H1185" s="15" t="str">
        <x:v>insole</x:v>
      </x:c>
      <x:c r="I1185" s="15" t="str">
        <x:v>women</x:v>
      </x:c>
      <x:c r="J1185" s="15" t="str"/>
      <x:c r="K1185" s="15" t="str"/>
      <x:c r="L1185" s="15" t="str"/>
      <x:c r="M1185" s="15" t="str"/>
      <x:c r="N1185" s="15" t="str"/>
      <x:c r="O1185" s="15" t="str"/>
      <x:c r="P1185" s="15" t="str"/>
      <x:c r="Q1185" s="15" t="str">
        <x:v>flip_flop</x:v>
      </x:c>
      <x:c r="R1185" s="15" t="str">
        <x:v>用户为人字拖寻找女士黑色鞋垫配件，需求产品是鞋垫而非拖鞋本身</x:v>
      </x:c>
      <x:c r="S1185" s="10" t="str">
        <x:v>consideration</x:v>
      </x:c>
      <x:c r="T1185" s="15" t="str">
        <x:v>explicit | inferred</x:v>
      </x:c>
      <x:c r="U1185" s="10" t="str">
        <x:v>high</x:v>
      </x:c>
      <x:c r="V1185" s="15" t="str">
        <x:v>insole_for_flip_flop_women</x:v>
      </x:c>
      <x:c r="W1185" s="15" t="str">
        <x:v>semantic_negative_candidate</x:v>
      </x:c>
      <x:c r="X1185" s="15" t="str">
        <x:v>{"product_type":[{"value":"insole","evidence_type":"explicit","source_span":"insoles","fact_ids":[],"rationale":""}],"audience_intent":[{"value":"women","evidence_type":"explicit","source_span":"women","fact_ids":[],"rationale":""},{"value":"women","evidence_type":"page_validated","source_span":"","fact_ids":["title_womens_flip_flop"],"rationale":"该槽位与商品基准中的明示页面事实一致。"}],"complement_intent":[{"value":"flip_flop","evidence_type":"explicit","source_span":"for flip flops","fact_ids":[],"rationale":""},{"value":"flip_flop","evidence_type":"page_validated","source_span":"","fact_ids":["style_flip_flop"],"rationale":"该槽位与商品基准中的明示页面事实一致。"}],"color":[{"value":"black","evidence_type":"explicit","source_span":"black","fact_ids":[],"rationale":"该颜色在商品页面可见颜色选择中得到明确支持。"}],"primary_domain":[{"value":"clothing_shoes_jewelry","evidence_type":"inferred","source_span":"","fact_ids":[],"rationale":"该值由搜索词整体语义推断，未作为页面明示属性。"}],"secondary_domain":[{"value":"health_household","evidence_type":"inferred","source_span":"","fact_ids":[],"rationale":"该值由搜索词整体语义推断，未作为页面明示属性。"}]}</x:v>
      </x:c>
      <x:c r="Y1185" s="15" t="str"/>
      <x:c r="Z1185" s="10" t="str">
        <x:v>mismatch</x:v>
      </x:c>
      <x:c r="AA1185" s="15" t="str"/>
      <x:c r="AB1185" s="10" t="str">
        <x:v>accepted</x:v>
      </x:c>
      <x:c r="AC1185" s="10" t="str">
        <x:v>1.0.0</x:v>
      </x:c>
      <x:c r="AD1185" s="10" t="str">
        <x:v>1.1.0</x:v>
      </x:c>
      <x:c r="AE1185" s="10" t="str">
        <x:v>deepseek/deepseek-v4-pro</x:v>
      </x:c>
      <x:c r="AF1185" s="10" t="str">
        <x:v>aj2-y90-20260714T234810-0bea2f52</x:v>
      </x:c>
      <x:c r="AG1185" s="10" t="str">
        <x:v>full-0060</x:v>
      </x:c>
      <x:c r="AH1185" s="10" t="str">
        <x:v>full</x:v>
      </x:c>
      <x:c r="AI1185" s="10" t="n">
        <x:v>60</x:v>
      </x:c>
    </x:row>
    <x:row r="1186" ht="34" customHeight="1">
      <x:c r="A1186" s="16" t="str">
        <x:v>archies flip flops brown</x:v>
      </x:c>
      <x:c r="B1186" s="16" t="str">
        <x:v>archies flip flops brown</x:v>
      </x:c>
      <x:c r="C1186" s="13" t="str">
        <x:v>3afae14554dda2d2</x:v>
      </x:c>
      <x:c r="D1186" s="13" t="str">
        <x:v>keyword</x:v>
      </x:c>
      <x:c r="E1186" s="13" t="str">
        <x:v>en</x:v>
      </x:c>
      <x:c r="F1186" s="13" t="str">
        <x:v>clothing_shoes_jewelry</x:v>
      </x:c>
      <x:c r="G1186" s="16" t="str"/>
      <x:c r="H1186" s="16" t="str">
        <x:v>flip_flop</x:v>
      </x:c>
      <x:c r="I1186" s="16" t="str"/>
      <x:c r="J1186" s="16" t="str"/>
      <x:c r="K1186" s="16" t="str"/>
      <x:c r="L1186" s="16" t="str"/>
      <x:c r="M1186" s="16" t="str"/>
      <x:c r="N1186" s="16" t="str"/>
      <x:c r="O1186" s="16" t="str"/>
      <x:c r="P1186" s="16" t="str"/>
      <x:c r="Q1186" s="16" t="str"/>
      <x:c r="R1186" s="16" t="str">
        <x:v>用户搜索Archies品牌的棕色人字拖，明确指定了品牌和颜色偏好</x:v>
      </x:c>
      <x:c r="S1186" s="13" t="str">
        <x:v>brand_harvest</x:v>
      </x:c>
      <x:c r="T1186" s="16" t="str">
        <x:v>explicit</x:v>
      </x:c>
      <x:c r="U1186" s="13" t="str">
        <x:v>high</x:v>
      </x:c>
      <x:c r="V1186" s="16" t="str">
        <x:v>branded_archies_flip_flop</x:v>
      </x:c>
      <x:c r="W1186" s="16" t="str">
        <x:v>semantic_negative_candidate</x:v>
      </x:c>
      <x:c r="X1186" s="16" t="str">
        <x:v>{"product_type":[{"value":"flip_flop","evidence_type":"explicit","source_span":"flip flops","fact_ids":[],"rationale":""},{"value":"flip_flop","evidence_type":"page_validated","source_span":"","fact_ids":["style_flip_flop"],"rationale":"该槽位与商品基准中的明示页面事实一致。"}],"brand":[{"value":"archies","evidence_type":"explicit","source_span":"archies","fact_ids":[],"rationale":""}],"color":[{"value":"brown","evidence_type":"explicit","source_span":"brown","fact_ids":[],"rationale":"该颜色在商品页面可见颜色选择中得到明确支持。"}],"primary_domain":[{"value":"clothing_shoes_jewelry","evidence_type":"inferred","source_span":"","fact_ids":[],"rationale":"该值由搜索词整体语义推断，未作为页面明示属性。"}]}</x:v>
      </x:c>
      <x:c r="Y1186" s="16" t="str"/>
      <x:c r="Z1186" s="13" t="str">
        <x:v>mismatch</x:v>
      </x:c>
      <x:c r="AA1186" s="16" t="str"/>
      <x:c r="AB1186" s="13" t="str">
        <x:v>accepted</x:v>
      </x:c>
      <x:c r="AC1186" s="13" t="str">
        <x:v>1.0.0</x:v>
      </x:c>
      <x:c r="AD1186" s="13" t="str">
        <x:v>1.1.0</x:v>
      </x:c>
      <x:c r="AE1186" s="13" t="str">
        <x:v>deepseek/deepseek-v4-pro</x:v>
      </x:c>
      <x:c r="AF1186" s="13" t="str">
        <x:v>aj2-y90-20260714T234810-0bea2f52</x:v>
      </x:c>
      <x:c r="AG1186" s="13" t="str">
        <x:v>full-0060</x:v>
      </x:c>
      <x:c r="AH1186" s="13" t="str">
        <x:v>full</x:v>
      </x:c>
      <x:c r="AI1186" s="13" t="n">
        <x:v>60</x:v>
      </x:c>
    </x:row>
    <x:row r="1187" ht="34" customHeight="1">
      <x:c r="A1187" s="15" t="str">
        <x:v>womens rubber flip flop</x:v>
      </x:c>
      <x:c r="B1187" s="15" t="str">
        <x:v>womens rubber flip flop</x:v>
      </x:c>
      <x:c r="C1187" s="10" t="str">
        <x:v>6cf34a6b98db34ca</x:v>
      </x:c>
      <x:c r="D1187" s="10" t="str">
        <x:v>keyword</x:v>
      </x:c>
      <x:c r="E1187" s="10" t="str">
        <x:v>en</x:v>
      </x:c>
      <x:c r="F1187" s="10" t="str">
        <x:v>clothing_shoes_jewelry</x:v>
      </x:c>
      <x:c r="G1187" s="15" t="str"/>
      <x:c r="H1187" s="15" t="str">
        <x:v>flip_flop</x:v>
      </x:c>
      <x:c r="I1187" s="15" t="str">
        <x:v>women</x:v>
      </x:c>
      <x:c r="J1187" s="15" t="str"/>
      <x:c r="K1187" s="15" t="str"/>
      <x:c r="L1187" s="15" t="str"/>
      <x:c r="M1187" s="15" t="str"/>
      <x:c r="N1187" s="15" t="str"/>
      <x:c r="O1187" s="15" t="str"/>
      <x:c r="P1187" s="15" t="str"/>
      <x:c r="Q1187" s="15" t="str"/>
      <x:c r="R1187" s="15" t="str">
        <x:v>用户希望购买橡胶材质的女士人字拖，偏好传统橡胶材料而非EVA发泡材料</x:v>
      </x:c>
      <x:c r="S1187" s="10" t="str">
        <x:v>consideration</x:v>
      </x:c>
      <x:c r="T1187" s="15" t="str">
        <x:v>explicit | inferred</x:v>
      </x:c>
      <x:c r="U1187" s="10" t="str">
        <x:v>high</x:v>
      </x:c>
      <x:c r="V1187" s="15" t="str">
        <x:v>rubber_flip_flop_women</x:v>
      </x:c>
      <x:c r="W1187" s="15" t="str">
        <x:v>listing_gap_review</x:v>
      </x:c>
      <x:c r="X1187" s="15" t="str">
        <x:v>{"product_type":[{"value":"flip_flop","evidence_type":"explicit","source_span":"flip flop","fact_ids":[],"rationale":""},{"value":"flip_flop","evidence_type":"page_validated","source_span":"","fact_ids":["style_flip_flop"],"rationale":"该槽位与商品基准中的明示页面事实一致。"}],"audience_intent":[{"value":"women","evidence_type":"explicit","source_span":"womens","fact_ids":[],"rationale":""},{"value":"women","evidence_type":"page_validated","source_span":"","fact_ids":["title_womens_flip_flop"],"rationale":"该槽位与商品基准中的明示页面事实一致。"}],"material":[{"value":"rubber","evidence_type":"explicit","source_span":"rubber","fact_ids":[],"rationale":""}],"primary_domain":[{"value":"clothing_shoes_jewelry","evidence_type":"inferred","source_span":"","fact_ids":[],"rationale":"该值由搜索词整体语义推断，未作为页面明示属性。"}]}</x:v>
      </x:c>
      <x:c r="Y1187" s="15" t="str"/>
      <x:c r="Z1187" s="10" t="str">
        <x:v>partial_match</x:v>
      </x:c>
      <x:c r="AA1187" s="15" t="str">
        <x:v>material_eva</x:v>
      </x:c>
      <x:c r="AB1187" s="10" t="str">
        <x:v>needs_review</x:v>
      </x:c>
      <x:c r="AC1187" s="10" t="str">
        <x:v>1.0.0</x:v>
      </x:c>
      <x:c r="AD1187" s="10" t="str">
        <x:v>1.1.0</x:v>
      </x:c>
      <x:c r="AE1187" s="10" t="str">
        <x:v>deepseek/deepseek-v4-pro</x:v>
      </x:c>
      <x:c r="AF1187" s="10" t="str">
        <x:v>aj2-y90-20260714T234810-0bea2f52</x:v>
      </x:c>
      <x:c r="AG1187" s="10" t="str">
        <x:v>full-0060</x:v>
      </x:c>
      <x:c r="AH1187" s="10" t="str">
        <x:v>full</x:v>
      </x:c>
      <x:c r="AI1187" s="10" t="n">
        <x:v>60</x:v>
      </x:c>
    </x:row>
    <x:row r="1188" ht="34" customHeight="1">
      <x:c r="A1188" s="16" t="str">
        <x:v>on+purpose+flip+flops+for+women</x:v>
      </x:c>
      <x:c r="B1188" s="16" t="str">
        <x:v>on+purpose+flip+flops+for+women</x:v>
      </x:c>
      <x:c r="C1188" s="13" t="str">
        <x:v>6e718f9bb1d87dac</x:v>
      </x:c>
      <x:c r="D1188" s="13" t="str">
        <x:v>keyword</x:v>
      </x:c>
      <x:c r="E1188" s="13" t="str">
        <x:v>en</x:v>
      </x:c>
      <x:c r="F1188" s="13" t="str">
        <x:v>clothing_shoes_jewelry</x:v>
      </x:c>
      <x:c r="G1188" s="16" t="str"/>
      <x:c r="H1188" s="16" t="str">
        <x:v>flip_flop</x:v>
      </x:c>
      <x:c r="I1188" s="16" t="str">
        <x:v>women</x:v>
      </x:c>
      <x:c r="J1188" s="16" t="str"/>
      <x:c r="K1188" s="16" t="str"/>
      <x:c r="L1188" s="16" t="str"/>
      <x:c r="M1188" s="16" t="str"/>
      <x:c r="N1188" s="16" t="str"/>
      <x:c r="O1188" s="16" t="str"/>
      <x:c r="P1188" s="16" t="str"/>
      <x:c r="Q1188" s="16" t="str"/>
      <x:c r="R1188" s="16" t="str">
        <x:v>用户搜索On Purpose品牌的女士人字拖，可能希望找到该特定品牌的产品，而非其他品牌的同类商品</x:v>
      </x:c>
      <x:c r="S1188" s="13" t="str">
        <x:v>brand_harvest</x:v>
      </x:c>
      <x:c r="T1188" s="16" t="str">
        <x:v>explicit | inferred</x:v>
      </x:c>
      <x:c r="U1188" s="13" t="str">
        <x:v>medium</x:v>
      </x:c>
      <x:c r="V1188" s="16" t="str">
        <x:v>branded_flip_flop_women</x:v>
      </x:c>
      <x:c r="W1188" s="16" t="str">
        <x:v>semantic_negative_candidate</x:v>
      </x:c>
      <x:c r="X1188" s="16" t="str">
        <x:v>{"product_type":[{"value":"flip_flop","evidence_type":"explicit","source_span":"flip+flops","fact_ids":[],"rationale":""},{"value":"flip_flop","evidence_type":"page_validated","source_span":"","fact_ids":["style_flip_flop"],"rationale":"该槽位与商品基准中的明示页面事实一致。"},{"value":"flip_flop","evidence_type":"inferred","source_span":"","fact_ids":[],"rationale":"该能力由搜索词表达的任务或问题推断；页面事实仅用于验证商品承接。"}],"audience_intent":[{"value":"women","evidence_type":"explicit","source_span":"women","fact_ids":[],"rationale":""},{"value":"women","evidence_type":"page_validated","source_span":"","fact_ids":["title_womens_flip_flop"],"rationale":"该槽位与商品基准中的明示页面事实一致。"}],"brand":[{"value":"on_purpose","evidence_type":"explicit","source_span":"on+purpose","fact_ids":[],"rationale":""}],"primary_domain":[{"value":"clothing_shoes_jewelry","evidence_type":"inferred","source_span":"","fact_ids":[],"rationale":"该值由搜索词整体语义推断，未作为页面明示属性。"}]}</x:v>
      </x:c>
      <x:c r="Y1188" s="16" t="str">
        <x:v>brand_or_phrase_ambiguity</x:v>
      </x:c>
      <x:c r="Z1188" s="13" t="str">
        <x:v>mismatch</x:v>
      </x:c>
      <x:c r="AA1188" s="16" t="str"/>
      <x:c r="AB1188" s="13" t="str">
        <x:v>needs_review</x:v>
      </x:c>
      <x:c r="AC1188" s="13" t="str">
        <x:v>1.0.0</x:v>
      </x:c>
      <x:c r="AD1188" s="13" t="str">
        <x:v>1.1.0</x:v>
      </x:c>
      <x:c r="AE1188" s="13" t="str">
        <x:v>deepseek/deepseek-v4-pro</x:v>
      </x:c>
      <x:c r="AF1188" s="13" t="str">
        <x:v>aj2-y90-20260714T234810-0bea2f52</x:v>
      </x:c>
      <x:c r="AG1188" s="13" t="str">
        <x:v>full-0060</x:v>
      </x:c>
      <x:c r="AH1188" s="13" t="str">
        <x:v>full</x:v>
      </x:c>
      <x:c r="AI1188" s="13" t="n">
        <x:v>60</x:v>
      </x:c>
    </x:row>
    <x:row r="1189" ht="34" customHeight="1">
      <x:c r="A1189" s="15" t="str">
        <x:v>brown sandals women</x:v>
      </x:c>
      <x:c r="B1189" s="15" t="str">
        <x:v>brown sandals women</x:v>
      </x:c>
      <x:c r="C1189" s="10" t="str">
        <x:v>7f5459e6ccc80409</x:v>
      </x:c>
      <x:c r="D1189" s="10" t="str">
        <x:v>keyword</x:v>
      </x:c>
      <x:c r="E1189" s="10" t="str">
        <x:v>en</x:v>
      </x:c>
      <x:c r="F1189" s="10" t="str">
        <x:v>clothing_shoes_jewelry</x:v>
      </x:c>
      <x:c r="G1189" s="15" t="str"/>
      <x:c r="H1189" s="15" t="str">
        <x:v>sandal</x:v>
      </x:c>
      <x:c r="I1189" s="15" t="str">
        <x:v>women</x:v>
      </x:c>
      <x:c r="J1189" s="15" t="str"/>
      <x:c r="K1189" s="15" t="str"/>
      <x:c r="L1189" s="15" t="str"/>
      <x:c r="M1189" s="15" t="str"/>
      <x:c r="N1189" s="15" t="str"/>
      <x:c r="O1189" s="15" t="str"/>
      <x:c r="P1189" s="15" t="str"/>
      <x:c r="Q1189" s="15" t="str"/>
      <x:c r="R1189" s="15" t="str">
        <x:v>用户寻找棕色女士凉鞋，对具体款式无额外要求</x:v>
      </x:c>
      <x:c r="S1189" s="10" t="str">
        <x:v>consideration</x:v>
      </x:c>
      <x:c r="T1189" s="15" t="str">
        <x:v>explicit | page_validated</x:v>
      </x:c>
      <x:c r="U1189" s="10" t="str">
        <x:v>high</x:v>
      </x:c>
      <x:c r="V1189" s="15" t="str">
        <x:v>brown_sandal_women</x:v>
      </x:c>
      <x:c r="W1189" s="15" t="str">
        <x:v>cluster_route</x:v>
      </x:c>
      <x:c r="X1189" s="15" t="str">
        <x:v>{"product_type":[{"value":"sandal","evidence_type":"explicit","source_span":"sandals","fact_ids":[],"rationale":""},{"value":"sandal","evidence_type":"page_validated","source_span":"","fact_ids":["style_flip_flop"],"rationale":"人字拖属于凉鞋的一种"}],"audience_intent":[{"value":"women","evidence_type":"explicit","source_span":"women","fact_ids":[],"rationale":""},{"value":"women","evidence_type":"page_validated","source_span":"","fact_ids":["title_womens_flip_flop"],"rationale":"产品标题标明女士拖鞋"}],"color":[{"value":"brown","evidence_type":"explicit","source_span":"brown","fact_ids":[],"rationale":"该颜色在商品页面可见颜色选择中得到明确支持。"},{"value":"brown","evidence_type":"page_validated","source_span":"","fact_ids":["colors_visible"],"rationale":"该颜色在商品页面可见颜色选择中得到明确支持。"}],"primary_domain":[{"value":"clothing_shoes_jewelry","evidence_type":"inferred","source_span":"","fact_ids":[],"rationale":"该值由搜索词整体语义推断，未作为页面明示属性。"}]}</x:v>
      </x:c>
      <x:c r="Y1189" s="15" t="str"/>
      <x:c r="Z1189" s="10" t="str">
        <x:v>match</x:v>
      </x:c>
      <x:c r="AA1189" s="15" t="str">
        <x:v>title_womens_flip_flop | style_flip_flop | colors_visible</x:v>
      </x:c>
      <x:c r="AB1189" s="10" t="str">
        <x:v>accepted</x:v>
      </x:c>
      <x:c r="AC1189" s="10" t="str">
        <x:v>1.0.0</x:v>
      </x:c>
      <x:c r="AD1189" s="10" t="str">
        <x:v>1.1.0</x:v>
      </x:c>
      <x:c r="AE1189" s="10" t="str">
        <x:v>deepseek/deepseek-v4-pro</x:v>
      </x:c>
      <x:c r="AF1189" s="10" t="str">
        <x:v>aj2-y90-20260714T234810-0bea2f52</x:v>
      </x:c>
      <x:c r="AG1189" s="10" t="str">
        <x:v>full-0060</x:v>
      </x:c>
      <x:c r="AH1189" s="10" t="str">
        <x:v>full</x:v>
      </x:c>
      <x:c r="AI1189" s="10" t="n">
        <x:v>60</x:v>
      </x:c>
    </x:row>
    <x:row r="1190" ht="34" customHeight="1">
      <x:c r="A1190" s="16" t="str">
        <x:v>arches flip flops women</x:v>
      </x:c>
      <x:c r="B1190" s="16" t="str">
        <x:v>arches flip flops women</x:v>
      </x:c>
      <x:c r="C1190" s="13" t="str">
        <x:v>8985fc1e6d981c0c</x:v>
      </x:c>
      <x:c r="D1190" s="13" t="str">
        <x:v>keyword</x:v>
      </x:c>
      <x:c r="E1190" s="13" t="str">
        <x:v>en</x:v>
      </x:c>
      <x:c r="F1190" s="13" t="str">
        <x:v>clothing_shoes_jewelry</x:v>
      </x:c>
      <x:c r="G1190" s="16" t="str"/>
      <x:c r="H1190" s="16" t="str">
        <x:v>flip_flop</x:v>
      </x:c>
      <x:c r="I1190" s="16" t="str">
        <x:v>women</x:v>
      </x:c>
      <x:c r="J1190" s="16" t="str"/>
      <x:c r="K1190" s="16" t="str">
        <x:v>arch_support</x:v>
      </x:c>
      <x:c r="L1190" s="16" t="str"/>
      <x:c r="M1190" s="16" t="str"/>
      <x:c r="N1190" s="16" t="str">
        <x:v>arch_pain_relief</x:v>
      </x:c>
      <x:c r="O1190" s="16" t="str"/>
      <x:c r="P1190" s="16" t="str"/>
      <x:c r="Q1190" s="16" t="str"/>
      <x:c r="R1190" s="16" t="str">
        <x:v>用户搜索带足弓支撑的女士人字拖，arches可能指足弓支撑功能或Archies品牌拼写变体</x:v>
      </x:c>
      <x:c r="S1190" s="13" t="str">
        <x:v>consideration</x:v>
      </x:c>
      <x:c r="T1190" s="16" t="str">
        <x:v>explicit | page_validated | inferred</x:v>
      </x:c>
      <x:c r="U1190" s="13" t="str">
        <x:v>medium</x:v>
      </x:c>
      <x:c r="V1190" s="16" t="str">
        <x:v>arch_support_flip_flop_women</x:v>
      </x:c>
      <x:c r="W1190" s="16" t="str">
        <x:v>ambiguity_review</x:v>
      </x:c>
      <x:c r="X1190" s="16" t="str">
        <x:v>{"product_type":[{"value":"flip_flop","evidence_type":"explicit","source_span":"flip flops","fact_ids":[],"rationale":""},{"value":"flip_flop","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capability_intent":[{"value":"arch_support","evidence_type":"inferred","source_span":"arches","fact_ids":[],"rationale":"arches可理解为arch support的复数简称"},{"value":"arch_support","evidence_type":"page_validated","source_span":"","fact_ids":["arch_support"],"rationale":"该槽位与商品基准中的明示页面事实一致。"}],"body_need_intent":[{"value":"arch_pain_relief","evidence_type":"inferred","source_span":"arches","fact_ids":[],"rationale":"足弓支撑需求关联足弓不适"}],"primary_domain":[{"value":"clothing_shoes_jewelry","evidence_type":"inferred","source_span":"","fact_ids":[],"rationale":"该值由搜索词整体语义推断，未作为页面明示属性。"}]}</x:v>
      </x:c>
      <x:c r="Y1190" s="16" t="str">
        <x:v>brand_or_feature_ambiguity</x:v>
      </x:c>
      <x:c r="Z1190" s="13" t="str">
        <x:v>match</x:v>
      </x:c>
      <x:c r="AA1190" s="16" t="str">
        <x:v>arch_support | title_womens_flip_flop</x:v>
      </x:c>
      <x:c r="AB1190" s="13" t="str">
        <x:v>needs_review</x:v>
      </x:c>
      <x:c r="AC1190" s="13" t="str">
        <x:v>1.0.0</x:v>
      </x:c>
      <x:c r="AD1190" s="13" t="str">
        <x:v>1.1.0</x:v>
      </x:c>
      <x:c r="AE1190" s="13" t="str">
        <x:v>deepseek/deepseek-v4-pro</x:v>
      </x:c>
      <x:c r="AF1190" s="13" t="str">
        <x:v>aj2-y90-20260714T234810-0bea2f52</x:v>
      </x:c>
      <x:c r="AG1190" s="13" t="str">
        <x:v>full-0060</x:v>
      </x:c>
      <x:c r="AH1190" s="13" t="str">
        <x:v>full</x:v>
      </x:c>
      <x:c r="AI1190" s="13" t="n">
        <x:v>60</x:v>
      </x:c>
    </x:row>
    <x:row r="1191" ht="34" customHeight="1">
      <x:c r="A1191" s="15" t="str">
        <x:v>women rubber flip flops</x:v>
      </x:c>
      <x:c r="B1191" s="15" t="str">
        <x:v>women rubber flip flops</x:v>
      </x:c>
      <x:c r="C1191" s="10" t="str">
        <x:v>a43dc1acd6dee3b7</x:v>
      </x:c>
      <x:c r="D1191" s="10" t="str">
        <x:v>keyword</x:v>
      </x:c>
      <x:c r="E1191" s="10" t="str">
        <x:v>en</x:v>
      </x:c>
      <x:c r="F1191" s="10" t="str">
        <x:v>clothing_shoes_jewelry</x:v>
      </x:c>
      <x:c r="G1191" s="15" t="str"/>
      <x:c r="H1191" s="15" t="str">
        <x:v>flip_flop</x:v>
      </x:c>
      <x:c r="I1191" s="15" t="str">
        <x:v>women</x:v>
      </x:c>
      <x:c r="J1191" s="15" t="str"/>
      <x:c r="K1191" s="15" t="str"/>
      <x:c r="L1191" s="15" t="str"/>
      <x:c r="M1191" s="15" t="str"/>
      <x:c r="N1191" s="15" t="str"/>
      <x:c r="O1191" s="15" t="str"/>
      <x:c r="P1191" s="15" t="str"/>
      <x:c r="Q1191" s="15" t="str"/>
      <x:c r="R1191" s="15" t="str">
        <x:v>用户搜索橡胶材质的女士人字拖，偏好传统橡胶而非EVA发泡材料</x:v>
      </x:c>
      <x:c r="S1191" s="10" t="str">
        <x:v>consideration</x:v>
      </x:c>
      <x:c r="T1191" s="15" t="str">
        <x:v>explicit | inferred</x:v>
      </x:c>
      <x:c r="U1191" s="10" t="str">
        <x:v>high</x:v>
      </x:c>
      <x:c r="V1191" s="15" t="str">
        <x:v>rubber_flip_flop_women</x:v>
      </x:c>
      <x:c r="W1191" s="15" t="str">
        <x:v>listing_gap_review</x:v>
      </x:c>
      <x:c r="X1191" s="15" t="str">
        <x:v>{"product_type":[{"value":"flip_flop","evidence_type":"explicit","source_span":"flip flops","fact_ids":[],"rationale":""},{"value":"flip_flop","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material":[{"value":"rubber","evidence_type":"explicit","source_span":"rubber","fact_ids":[],"rationale":""}],"primary_domain":[{"value":"clothing_shoes_jewelry","evidence_type":"inferred","source_span":"","fact_ids":[],"rationale":"该值由搜索词整体语义推断，未作为页面明示属性。"}]}</x:v>
      </x:c>
      <x:c r="Y1191" s="15" t="str"/>
      <x:c r="Z1191" s="10" t="str">
        <x:v>partial_match</x:v>
      </x:c>
      <x:c r="AA1191" s="15" t="str">
        <x:v>material_eva</x:v>
      </x:c>
      <x:c r="AB1191" s="10" t="str">
        <x:v>needs_review</x:v>
      </x:c>
      <x:c r="AC1191" s="10" t="str">
        <x:v>1.0.0</x:v>
      </x:c>
      <x:c r="AD1191" s="10" t="str">
        <x:v>1.1.0</x:v>
      </x:c>
      <x:c r="AE1191" s="10" t="str">
        <x:v>deepseek/deepseek-v4-pro</x:v>
      </x:c>
      <x:c r="AF1191" s="10" t="str">
        <x:v>aj2-y90-20260714T234810-0bea2f52</x:v>
      </x:c>
      <x:c r="AG1191" s="10" t="str">
        <x:v>full-0060</x:v>
      </x:c>
      <x:c r="AH1191" s="10" t="str">
        <x:v>full</x:v>
      </x:c>
      <x:c r="AI1191" s="10" t="n">
        <x:v>60</x:v>
      </x:c>
    </x:row>
    <x:row r="1192" ht="34" customHeight="1">
      <x:c r="A1192" s="16" t="str">
        <x:v>womens flip flops for bathroom</x:v>
      </x:c>
      <x:c r="B1192" s="16" t="str">
        <x:v>womens flip flops for bathroom</x:v>
      </x:c>
      <x:c r="C1192" s="13" t="str">
        <x:v>a48103d7aafbc38d</x:v>
      </x:c>
      <x:c r="D1192" s="13" t="str">
        <x:v>keyword</x:v>
      </x:c>
      <x:c r="E1192" s="13" t="str">
        <x:v>en</x:v>
      </x:c>
      <x:c r="F1192" s="13" t="str">
        <x:v>clothing_shoes_jewelry</x:v>
      </x:c>
      <x:c r="G1192" s="16" t="str">
        <x:v>home_kitchen</x:v>
      </x:c>
      <x:c r="H1192" s="16" t="str">
        <x:v>flip_flop</x:v>
      </x:c>
      <x:c r="I1192" s="16" t="str">
        <x:v>women</x:v>
      </x:c>
      <x:c r="J1192" s="16" t="str"/>
      <x:c r="K1192" s="16" t="str">
        <x:v>slip_resistant | water_friendly</x:v>
      </x:c>
      <x:c r="L1192" s="16" t="str"/>
      <x:c r="M1192" s="16" t="str">
        <x:v>bathroom</x:v>
      </x:c>
      <x:c r="N1192" s="16" t="str"/>
      <x:c r="O1192" s="16" t="str"/>
      <x:c r="P1192" s="16" t="str"/>
      <x:c r="Q1192" s="16" t="str"/>
      <x:c r="R1192" s="16" t="str">
        <x:v>用户寻找女士浴室穿着的拖鞋，要求防滑且能在潮湿地面安全使用</x:v>
      </x:c>
      <x:c r="S1192" s="13" t="str">
        <x:v>consideration</x:v>
      </x:c>
      <x:c r="T1192" s="16" t="str">
        <x:v>explicit | page_validated | inferred</x:v>
      </x:c>
      <x:c r="U1192" s="13" t="str">
        <x:v>medium</x:v>
      </x:c>
      <x:c r="V1192" s="16" t="str">
        <x:v>bathroom_flip_flop_women</x:v>
      </x:c>
      <x:c r="W1192" s="16" t="str">
        <x:v>listing_gap_review</x:v>
      </x:c>
      <x:c r="X1192" s="16" t="str">
        <x:v>{"product_type":[{"value":"flip_flop","evidence_type":"explicit","source_span":"flip flops","fact_ids":[],"rationale":""},{"value":"flip_flop","evidence_type":"page_validated","source_span":"","fact_ids":["style_flip_flop"],"rationale":"该槽位与商品基准中的明示页面事实一致。"}],"audience_intent":[{"value":"women","evidence_type":"explicit","source_span":"womens","fact_ids":[],"rationale":""},{"value":"women","evidence_type":"page_validated","source_span":"","fact_ids":["title_womens_flip_flop"],"rationale":"该槽位与商品基准中的明示页面事实一致。"}],"location_intent":[{"value":"bathroom","evidence_type":"explicit","source_span":"bathroom","fact_ids":[],"rationale":""}],"capability_intent":[{"value":"slip_resistant","evidence_type":"inferred","source_span":"bathroom","fact_ids":[],"rationale":"浴室潮湿地面需要防滑功能"},{"value":"water_friendly","evidence_type":"inferred","source_span":"bathroom","fact_ids":[],"rationale":"浴室环境需要涉水和易清洁特性"},{"value":"slip_resistant","evidence_type":"page_validated","source_span":"","fact_ids":["slip_resistant_grip"],"rationale":"该槽位与商品基准中的明示页面事实一致。"}],"primary_domain":[{"value":"clothing_shoes_jewelry","evidence_type":"inferred","source_span":"","fact_ids":[],"rationale":"该值由搜索词整体语义推断，未作为页面明示属性。"}],"secondary_domain":[{"value":"home_kitchen","evidence_type":"inferred","source_span":"","fact_ids":[],"rationale":"该值由搜索词整体语义推断，未作为页面明示属性。"}]}</x:v>
      </x:c>
      <x:c r="Y1192" s="16" t="str"/>
      <x:c r="Z1192" s="13" t="str">
        <x:v>partial_match</x:v>
      </x:c>
      <x:c r="AA1192" s="16" t="str">
        <x:v>slip_resistant_grip | easy_clean</x:v>
      </x:c>
      <x:c r="AB1192" s="13" t="str">
        <x:v>needs_review</x:v>
      </x:c>
      <x:c r="AC1192" s="13" t="str">
        <x:v>1.0.0</x:v>
      </x:c>
      <x:c r="AD1192" s="13" t="str">
        <x:v>1.1.0</x:v>
      </x:c>
      <x:c r="AE1192" s="13" t="str">
        <x:v>deepseek/deepseek-v4-pro</x:v>
      </x:c>
      <x:c r="AF1192" s="13" t="str">
        <x:v>aj2-y90-20260714T234810-0bea2f52</x:v>
      </x:c>
      <x:c r="AG1192" s="13" t="str">
        <x:v>full-0060</x:v>
      </x:c>
      <x:c r="AH1192" s="13" t="str">
        <x:v>full</x:v>
      </x:c>
      <x:c r="AI1192" s="13" t="n">
        <x:v>60</x:v>
      </x:c>
    </x:row>
    <x:row r="1193" ht="34" customHeight="1">
      <x:c r="A1193" s="15" t="str">
        <x:v>cute flip flops with arch support</x:v>
      </x:c>
      <x:c r="B1193" s="15" t="str">
        <x:v>cute flip flops with arch support</x:v>
      </x:c>
      <x:c r="C1193" s="10" t="str">
        <x:v>b0fcf2a8c3a9847b</x:v>
      </x:c>
      <x:c r="D1193" s="10" t="str">
        <x:v>keyword</x:v>
      </x:c>
      <x:c r="E1193" s="10" t="str">
        <x:v>en</x:v>
      </x:c>
      <x:c r="F1193" s="10" t="str">
        <x:v>clothing_shoes_jewelry</x:v>
      </x:c>
      <x:c r="G1193" s="15" t="str"/>
      <x:c r="H1193" s="15" t="str">
        <x:v>flip_flop</x:v>
      </x:c>
      <x:c r="I1193" s="15" t="str"/>
      <x:c r="J1193" s="15" t="str">
        <x:v>aesthetics</x:v>
      </x:c>
      <x:c r="K1193" s="15" t="str">
        <x:v>arch_support</x:v>
      </x:c>
      <x:c r="L1193" s="15" t="str"/>
      <x:c r="M1193" s="15" t="str"/>
      <x:c r="N1193" s="15" t="str">
        <x:v>arch_pain_relief</x:v>
      </x:c>
      <x:c r="O1193" s="15" t="str"/>
      <x:c r="P1193" s="15" t="str"/>
      <x:c r="Q1193" s="15" t="str"/>
      <x:c r="R1193" s="15" t="str">
        <x:v>用户寻找外观可爱且具备足弓支撑的人字拖，兼顾美观与足部健康</x:v>
      </x:c>
      <x:c r="S1193" s="10" t="str">
        <x:v>consideration</x:v>
      </x:c>
      <x:c r="T1193" s="15" t="str">
        <x:v>explicit | page_validated | inferred</x:v>
      </x:c>
      <x:c r="U1193" s="10" t="str">
        <x:v>high</x:v>
      </x:c>
      <x:c r="V1193" s="15" t="str">
        <x:v>cute_arch_support_flip_flop</x:v>
      </x:c>
      <x:c r="W1193" s="15" t="str">
        <x:v>cluster_route</x:v>
      </x:c>
      <x:c r="X1193" s="15" t="str">
        <x:v>{"product_type":[{"value":"flip_flop","evidence_type":"explicit","source_span":"flip flops","fact_ids":[],"rationale":""},{"value":"flip_flop","evidence_type":"page_validated","source_span":"","fact_ids":["style_flip_flop"],"rationale":"该槽位与商品基准中的明示页面事实一致。"}],"function_intent":[{"value":"aesthetics","evidence_type":"explicit","source_span":"cute","fact_ids":[],"rationale":""}],"capability_intent":[{"value":"arch_support","evidence_type":"explicit","source_span":"arch support","fact_ids":[],"rationale":""},{"value":"arch_support","evidence_type":"page_validated","source_span":"","fact_ids":["arch_support"],"rationale":"产品具备人体工学足弓支撑"}],"body_need_intent":[{"value":"arch_pain_relief","evidence_type":"inferred","source_span":"arch support","fact_ids":[],"rationale":"足弓支撑需求暗示足弓不适"}],"primary_domain":[{"value":"clothing_shoes_jewelry","evidence_type":"inferred","source_span":"","fact_ids":[],"rationale":"该值由搜索词整体语义推断，未作为页面明示属性。"}]}</x:v>
      </x:c>
      <x:c r="Y1193" s="15" t="str"/>
      <x:c r="Z1193" s="10" t="str">
        <x:v>match</x:v>
      </x:c>
      <x:c r="AA1193" s="15" t="str">
        <x:v>arch_support</x:v>
      </x:c>
      <x:c r="AB1193" s="10" t="str">
        <x:v>accepted</x:v>
      </x:c>
      <x:c r="AC1193" s="10" t="str">
        <x:v>1.0.0</x:v>
      </x:c>
      <x:c r="AD1193" s="10" t="str">
        <x:v>1.1.0</x:v>
      </x:c>
      <x:c r="AE1193" s="10" t="str">
        <x:v>deepseek/deepseek-v4-pro</x:v>
      </x:c>
      <x:c r="AF1193" s="10" t="str">
        <x:v>aj2-y90-20260714T234810-0bea2f52</x:v>
      </x:c>
      <x:c r="AG1193" s="10" t="str">
        <x:v>full-0060</x:v>
      </x:c>
      <x:c r="AH1193" s="10" t="str">
        <x:v>full</x:v>
      </x:c>
      <x:c r="AI1193" s="10" t="n">
        <x:v>60</x:v>
      </x:c>
    </x:row>
    <x:row r="1194" ht="34" customHeight="1">
      <x:c r="A1194" s="16" t="str">
        <x:v>girls thong sandals</x:v>
      </x:c>
      <x:c r="B1194" s="16" t="str">
        <x:v>girls thong sandals</x:v>
      </x:c>
      <x:c r="C1194" s="13" t="str">
        <x:v>cd248351c720c216</x:v>
      </x:c>
      <x:c r="D1194" s="13" t="str">
        <x:v>keyword</x:v>
      </x:c>
      <x:c r="E1194" s="13" t="str">
        <x:v>en</x:v>
      </x:c>
      <x:c r="F1194" s="13" t="str">
        <x:v>clothing_shoes_jewelry</x:v>
      </x:c>
      <x:c r="G1194" s="16" t="str"/>
      <x:c r="H1194" s="16" t="str">
        <x:v>sandal | flip_flop</x:v>
      </x:c>
      <x:c r="I1194" s="16" t="str">
        <x:v>girls</x:v>
      </x:c>
      <x:c r="J1194" s="16" t="str"/>
      <x:c r="K1194" s="16" t="str"/>
      <x:c r="L1194" s="16" t="str"/>
      <x:c r="M1194" s="16" t="str"/>
      <x:c r="N1194" s="16" t="str"/>
      <x:c r="O1194" s="16" t="str"/>
      <x:c r="P1194" s="16" t="str"/>
      <x:c r="Q1194" s="16" t="str"/>
      <x:c r="R1194" s="16" t="str">
        <x:v>用户搜索女童人字拖/夹趾凉鞋，目标受众为女孩而非成年女性</x:v>
      </x:c>
      <x:c r="S1194" s="13" t="str">
        <x:v>consideration</x:v>
      </x:c>
      <x:c r="T1194" s="16" t="str">
        <x:v>explicit | inferred</x:v>
      </x:c>
      <x:c r="U1194" s="13" t="str">
        <x:v>high</x:v>
      </x:c>
      <x:c r="V1194" s="16" t="str">
        <x:v>girls_thong_sandal</x:v>
      </x:c>
      <x:c r="W1194" s="16" t="str">
        <x:v>semantic_negative_candidate</x:v>
      </x:c>
      <x:c r="X1194" s="16" t="str">
        <x:v>{"product_type":[{"value":"sandal","evidence_type":"explicit","source_span":"sandals","fact_ids":[],"rationale":""},{"value":"flip_flop","evidence_type":"explicit","source_span":"thong","fact_ids":[],"rationale":""},{"value":"flip_flop","evidence_type":"page_validated","source_span":"","fact_ids":["style_flip_flop"],"rationale":"该槽位与商品基准中的明示页面事实一致。"},{"value":"flip_flop","evidence_type":"inferred","source_span":"","fact_ids":[],"rationale":"该能力由搜索词表达的任务或问题推断；页面事实仅用于验证商品承接。"}],"audience_intent":[{"value":"girls","evidence_type":"explicit","source_span":"girls","fact_ids":[],"rationale":""}],"primary_domain":[{"value":"clothing_shoes_jewelry","evidence_type":"inferred","source_span":"","fact_ids":[],"rationale":"该值由搜索词整体语义推断，未作为页面明示属性。"}]}</x:v>
      </x:c>
      <x:c r="Y1194" s="16" t="str"/>
      <x:c r="Z1194" s="13" t="str">
        <x:v>mismatch</x:v>
      </x:c>
      <x:c r="AA1194" s="16" t="str">
        <x:v>title_womens_flip_flop</x:v>
      </x:c>
      <x:c r="AB1194" s="13" t="str">
        <x:v>accepted</x:v>
      </x:c>
      <x:c r="AC1194" s="13" t="str">
        <x:v>1.0.0</x:v>
      </x:c>
      <x:c r="AD1194" s="13" t="str">
        <x:v>1.1.0</x:v>
      </x:c>
      <x:c r="AE1194" s="13" t="str">
        <x:v>deepseek/deepseek-v4-pro</x:v>
      </x:c>
      <x:c r="AF1194" s="13" t="str">
        <x:v>aj2-y90-20260714T234810-0bea2f52</x:v>
      </x:c>
      <x:c r="AG1194" s="13" t="str">
        <x:v>full-0060</x:v>
      </x:c>
      <x:c r="AH1194" s="13" t="str">
        <x:v>full</x:v>
      </x:c>
      <x:c r="AI1194" s="13" t="n">
        <x:v>60</x:v>
      </x:c>
    </x:row>
    <x:row r="1195" ht="34" customHeight="1">
      <x:c r="A1195" s="15" t="str">
        <x:v>croc flip flops women</x:v>
      </x:c>
      <x:c r="B1195" s="15" t="str">
        <x:v>croc flip flops women</x:v>
      </x:c>
      <x:c r="C1195" s="10" t="str">
        <x:v>cf4c6453e9a830f5</x:v>
      </x:c>
      <x:c r="D1195" s="10" t="str">
        <x:v>keyword</x:v>
      </x:c>
      <x:c r="E1195" s="10" t="str">
        <x:v>en</x:v>
      </x:c>
      <x:c r="F1195" s="10" t="str">
        <x:v>clothing_shoes_jewelry</x:v>
      </x:c>
      <x:c r="G1195" s="15" t="str"/>
      <x:c r="H1195" s="15" t="str">
        <x:v>flip_flop</x:v>
      </x:c>
      <x:c r="I1195" s="15" t="str">
        <x:v>women</x:v>
      </x:c>
      <x:c r="J1195" s="15" t="str"/>
      <x:c r="K1195" s="15" t="str"/>
      <x:c r="L1195" s="15" t="str"/>
      <x:c r="M1195" s="15" t="str"/>
      <x:c r="N1195" s="15" t="str"/>
      <x:c r="O1195" s="15" t="str"/>
      <x:c r="P1195" s="15" t="str"/>
      <x:c r="Q1195" s="15" t="str"/>
      <x:c r="R1195" s="15" t="str">
        <x:v>用户搜索Crocs品牌的女士人字拖，明确指定Crocs品牌偏好</x:v>
      </x:c>
      <x:c r="S1195" s="10" t="str">
        <x:v>brand_harvest</x:v>
      </x:c>
      <x:c r="T1195" s="15" t="str">
        <x:v>explicit</x:v>
      </x:c>
      <x:c r="U1195" s="10" t="str">
        <x:v>high</x:v>
      </x:c>
      <x:c r="V1195" s="15" t="str">
        <x:v>branded_crocs_flip_flop_women</x:v>
      </x:c>
      <x:c r="W1195" s="15" t="str">
        <x:v>semantic_negative_candidate</x:v>
      </x:c>
      <x:c r="X1195" s="15" t="str">
        <x:v>{"product_type":[{"value":"flip_flop","evidence_type":"explicit","source_span":"flip flops","fact_ids":[],"rationale":""},{"value":"flip_flop","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brand":[{"value":"croc","evidence_type":"explicit","source_span":"croc","fact_ids":[],"rationale":""}],"primary_domain":[{"value":"clothing_shoes_jewelry","evidence_type":"inferred","source_span":"","fact_ids":[],"rationale":"该值由搜索词整体语义推断，未作为页面明示属性。"}]}</x:v>
      </x:c>
      <x:c r="Y1195" s="15" t="str"/>
      <x:c r="Z1195" s="10" t="str">
        <x:v>mismatch</x:v>
      </x:c>
      <x:c r="AA1195" s="15" t="str"/>
      <x:c r="AB1195" s="10" t="str">
        <x:v>accepted</x:v>
      </x:c>
      <x:c r="AC1195" s="10" t="str">
        <x:v>1.0.0</x:v>
      </x:c>
      <x:c r="AD1195" s="10" t="str">
        <x:v>1.1.0</x:v>
      </x:c>
      <x:c r="AE1195" s="10" t="str">
        <x:v>deepseek/deepseek-v4-pro</x:v>
      </x:c>
      <x:c r="AF1195" s="10" t="str">
        <x:v>aj2-y90-20260714T234810-0bea2f52</x:v>
      </x:c>
      <x:c r="AG1195" s="10" t="str">
        <x:v>full-0060</x:v>
      </x:c>
      <x:c r="AH1195" s="10" t="str">
        <x:v>full</x:v>
      </x:c>
      <x:c r="AI1195" s="10" t="n">
        <x:v>60</x:v>
      </x:c>
    </x:row>
    <x:row r="1196" ht="34" customHeight="1">
      <x:c r="A1196" s="16" t="str">
        <x:v>womens size 11 flip flops</x:v>
      </x:c>
      <x:c r="B1196" s="16" t="str">
        <x:v>womens size 11 flip flops</x:v>
      </x:c>
      <x:c r="C1196" s="13" t="str">
        <x:v>cfd203fc355192c0</x:v>
      </x:c>
      <x:c r="D1196" s="13" t="str">
        <x:v>keyword</x:v>
      </x:c>
      <x:c r="E1196" s="13" t="str">
        <x:v>en</x:v>
      </x:c>
      <x:c r="F1196" s="13" t="str">
        <x:v>clothing_shoes_jewelry</x:v>
      </x:c>
      <x:c r="G1196" s="16" t="str"/>
      <x:c r="H1196" s="16" t="str">
        <x:v>flip_flop</x:v>
      </x:c>
      <x:c r="I1196" s="16" t="str">
        <x:v>women</x:v>
      </x:c>
      <x:c r="J1196" s="16" t="str"/>
      <x:c r="K1196" s="16" t="str"/>
      <x:c r="L1196" s="16" t="str"/>
      <x:c r="M1196" s="16" t="str"/>
      <x:c r="N1196" s="16" t="str"/>
      <x:c r="O1196" s="16" t="str"/>
      <x:c r="P1196" s="16" t="str"/>
      <x:c r="Q1196" s="16" t="str"/>
      <x:c r="R1196" s="16" t="str">
        <x:v>用户寻找女士11码人字拖，对尺码有明确要求</x:v>
      </x:c>
      <x:c r="S1196" s="13" t="str">
        <x:v>high_intent</x:v>
      </x:c>
      <x:c r="T1196" s="16" t="str">
        <x:v>explicit | page_validated</x:v>
      </x:c>
      <x:c r="U1196" s="13" t="str">
        <x:v>high</x:v>
      </x:c>
      <x:c r="V1196" s="16" t="str">
        <x:v>size_11_women_flip_flop</x:v>
      </x:c>
      <x:c r="W1196" s="16" t="str">
        <x:v>cluster_route</x:v>
      </x:c>
      <x:c r="X1196" s="16" t="str">
        <x:v>{"product_type":[{"value":"flip_flop","evidence_type":"explicit","source_span":"flip flops","fact_ids":[],"rationale":""},{"value":"flip_flop","evidence_type":"page_validated","source_span":"","fact_ids":["style_flip_flop"],"rationale":"该槽位与商品基准中的明示页面事实一致。"}],"audience_intent":[{"value":"women","evidence_type":"explicit","source_span":"womens","fact_ids":[],"rationale":""},{"value":"women","evidence_type":"page_validated","source_span":"","fact_ids":["title_womens_flip_flop"],"rationale":"产品标题明确为女士拖鞋"}],"size":[{"value":"11","evidence_type":"explicit","source_span":"size 11","fact_ids":[],"rationale":""},{"value":"11","evidence_type":"page_validated","source_span":"","fact_ids":["sizes_6_11"],"rationale":"产品尺码范围包含11码"}],"primary_domain":[{"value":"clothing_shoes_jewelry","evidence_type":"inferred","source_span":"","fact_ids":[],"rationale":"该值由搜索词整体语义推断，未作为页面明示属性。"}]}</x:v>
      </x:c>
      <x:c r="Y1196" s="16" t="str"/>
      <x:c r="Z1196" s="13" t="str">
        <x:v>match</x:v>
      </x:c>
      <x:c r="AA1196" s="16" t="str">
        <x:v>title_womens_flip_flop | sizes_6_11</x:v>
      </x:c>
      <x:c r="AB1196" s="13" t="str">
        <x:v>accepted</x:v>
      </x:c>
      <x:c r="AC1196" s="13" t="str">
        <x:v>1.0.0</x:v>
      </x:c>
      <x:c r="AD1196" s="13" t="str">
        <x:v>1.1.0</x:v>
      </x:c>
      <x:c r="AE1196" s="13" t="str">
        <x:v>deepseek/deepseek-v4-pro</x:v>
      </x:c>
      <x:c r="AF1196" s="13" t="str">
        <x:v>aj2-y90-20260714T234810-0bea2f52</x:v>
      </x:c>
      <x:c r="AG1196" s="13" t="str">
        <x:v>full-0060</x:v>
      </x:c>
      <x:c r="AH1196" s="13" t="str">
        <x:v>full</x:v>
      </x:c>
      <x:c r="AI1196" s="13" t="n">
        <x:v>60</x:v>
      </x:c>
    </x:row>
    <x:row r="1197" ht="34" customHeight="1">
      <x:c r="A1197" s="15" t="str">
        <x:v>flip flops for women silicone</x:v>
      </x:c>
      <x:c r="B1197" s="15" t="str">
        <x:v>flip flops for women silicone</x:v>
      </x:c>
      <x:c r="C1197" s="10" t="str">
        <x:v>dd5d4478c014dec7</x:v>
      </x:c>
      <x:c r="D1197" s="10" t="str">
        <x:v>keyword</x:v>
      </x:c>
      <x:c r="E1197" s="10" t="str">
        <x:v>en</x:v>
      </x:c>
      <x:c r="F1197" s="10" t="str">
        <x:v>clothing_shoes_jewelry</x:v>
      </x:c>
      <x:c r="G1197" s="15" t="str"/>
      <x:c r="H1197" s="15" t="str">
        <x:v>flip_flop</x:v>
      </x:c>
      <x:c r="I1197" s="15" t="str">
        <x:v>women</x:v>
      </x:c>
      <x:c r="J1197" s="15" t="str"/>
      <x:c r="K1197" s="15" t="str"/>
      <x:c r="L1197" s="15" t="str"/>
      <x:c r="M1197" s="15" t="str"/>
      <x:c r="N1197" s="15" t="str"/>
      <x:c r="O1197" s="15" t="str"/>
      <x:c r="P1197" s="15" t="str"/>
      <x:c r="Q1197" s="15" t="str"/>
      <x:c r="R1197" s="15" t="str">
        <x:v>用户搜索硅胶材质的女士人字拖，偏好硅胶柔软触感而非EVA泡沫材料</x:v>
      </x:c>
      <x:c r="S1197" s="10" t="str">
        <x:v>consideration</x:v>
      </x:c>
      <x:c r="T1197" s="15" t="str">
        <x:v>explicit | inferred</x:v>
      </x:c>
      <x:c r="U1197" s="10" t="str">
        <x:v>high</x:v>
      </x:c>
      <x:c r="V1197" s="15" t="str">
        <x:v>silicone_flip_flop_women</x:v>
      </x:c>
      <x:c r="W1197" s="15" t="str">
        <x:v>listing_gap_review</x:v>
      </x:c>
      <x:c r="X1197" s="15" t="str">
        <x:v>{"product_type":[{"value":"flip_flop","evidence_type":"explicit","source_span":"flip flops","fact_ids":[],"rationale":""},{"value":"flip_flop","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material":[{"value":"silicone","evidence_type":"explicit","source_span":"silicone","fact_ids":[],"rationale":""}],"primary_domain":[{"value":"clothing_shoes_jewelry","evidence_type":"inferred","source_span":"","fact_ids":[],"rationale":"该值由搜索词整体语义推断，未作为页面明示属性。"}]}</x:v>
      </x:c>
      <x:c r="Y1197" s="15" t="str"/>
      <x:c r="Z1197" s="10" t="str">
        <x:v>partial_match</x:v>
      </x:c>
      <x:c r="AA1197" s="15" t="str">
        <x:v>material_eva</x:v>
      </x:c>
      <x:c r="AB1197" s="10" t="str">
        <x:v>needs_review</x:v>
      </x:c>
      <x:c r="AC1197" s="10" t="str">
        <x:v>1.0.0</x:v>
      </x:c>
      <x:c r="AD1197" s="10" t="str">
        <x:v>1.1.0</x:v>
      </x:c>
      <x:c r="AE1197" s="10" t="str">
        <x:v>deepseek/deepseek-v4-pro</x:v>
      </x:c>
      <x:c r="AF1197" s="10" t="str">
        <x:v>aj2-y90-20260714T234810-0bea2f52</x:v>
      </x:c>
      <x:c r="AG1197" s="10" t="str">
        <x:v>full-0060</x:v>
      </x:c>
      <x:c r="AH1197" s="10" t="str">
        <x:v>full</x:v>
      </x:c>
      <x:c r="AI1197" s="10" t="n">
        <x:v>60</x:v>
      </x:c>
    </x:row>
    <x:row r="1198" ht="34" customHeight="1">
      <x:c r="A1198" s="16" t="str">
        <x:v>comfy arch support flip flops</x:v>
      </x:c>
      <x:c r="B1198" s="16" t="str">
        <x:v>comfy arch support flip flops</x:v>
      </x:c>
      <x:c r="C1198" s="13" t="str">
        <x:v>e1476281a8d2a429</x:v>
      </x:c>
      <x:c r="D1198" s="13" t="str">
        <x:v>keyword</x:v>
      </x:c>
      <x:c r="E1198" s="13" t="str">
        <x:v>en</x:v>
      </x:c>
      <x:c r="F1198" s="13" t="str">
        <x:v>clothing_shoes_jewelry</x:v>
      </x:c>
      <x:c r="G1198" s="16" t="str"/>
      <x:c r="H1198" s="16" t="str">
        <x:v>flip_flop</x:v>
      </x:c>
      <x:c r="I1198" s="16" t="str"/>
      <x:c r="J1198" s="16" t="str">
        <x:v>comfort</x:v>
      </x:c>
      <x:c r="K1198" s="16" t="str">
        <x:v>arch_support</x:v>
      </x:c>
      <x:c r="L1198" s="16" t="str"/>
      <x:c r="M1198" s="16" t="str"/>
      <x:c r="N1198" s="16" t="str">
        <x:v>arch_pain_relief</x:v>
      </x:c>
      <x:c r="O1198" s="16" t="str"/>
      <x:c r="P1198" s="16" t="str"/>
      <x:c r="Q1198" s="16" t="str"/>
      <x:c r="R1198" s="16" t="str">
        <x:v>用户寻找舒适且具备足弓支撑的人字拖，希望缓解足弓不适并满足日常穿着需求</x:v>
      </x:c>
      <x:c r="S1198" s="13" t="str">
        <x:v>consideration</x:v>
      </x:c>
      <x:c r="T1198" s="16" t="str">
        <x:v>explicit | page_validated</x:v>
      </x:c>
      <x:c r="U1198" s="13" t="str">
        <x:v>high</x:v>
      </x:c>
      <x:c r="V1198" s="16" t="str">
        <x:v>arch_support_comfort_flip_flop</x:v>
      </x:c>
      <x:c r="W1198" s="16" t="str">
        <x:v>cluster_route</x:v>
      </x:c>
      <x:c r="X1198" s="16" t="str">
        <x:v>{"product_type":[{"value":"flip_flop","evidence_type":"explicit","source_span":"flip flops","fact_ids":[],"rationale":""},{"value":"flip_flop","evidence_type":"page_validated","source_span":"","fact_ids":["style_flip_flop"],"rationale":"该槽位与商品基准中的明示页面事实一致。"}],"function_intent":[{"value":"comfort","evidence_type":"explicit","source_span":"comfy","fact_ids":[],"rationale":""},{"value":"comfort","evidence_type":"page_validated","source_span":"","fact_ids":["arch_support","padded_cushioning","lightweight_breathable"],"rationale":"产品具备足弓支撑、加厚缓冲和轻量透气特性"},{"value":"comfort","evidence_type":"inferred","source_span":"","fact_ids":[],"rationale":"该能力由搜索词表达的任务或问题推断；页面事实仅用于验证商品承接。"}],"capability_intent":[{"value":"arch_support","evidence_type":"explicit","source_span":"arch support","fact_ids":[],"rationale":""},{"value":"arch_support","evidence_type":"page_validated","source_span":"","fact_ids":["arch_support"],"rationale":"产品页面明确标注人体工学足弓支撑"}],"body_need_intent":[{"value":"arch_pain_relief","evidence_type":"inferred","source_span":"arch support","fact_ids":[],"rationale":"搜索足弓支撑拖鞋暗示用户有足弓不适"}],"primary_domain":[{"value":"clothing_shoes_jewelry","evidence_type":"inferred","source_span":"","fact_ids":[],"rationale":"该值由搜索词整体语义推断，未作为页面明示属性。"}]}</x:v>
      </x:c>
      <x:c r="Y1198" s="16" t="str"/>
      <x:c r="Z1198" s="13" t="str">
        <x:v>match</x:v>
      </x:c>
      <x:c r="AA1198" s="16" t="str">
        <x:v>arch_support | padded_cushioning | lightweight_breathable</x:v>
      </x:c>
      <x:c r="AB1198" s="13" t="str">
        <x:v>accepted</x:v>
      </x:c>
      <x:c r="AC1198" s="13" t="str">
        <x:v>1.0.0</x:v>
      </x:c>
      <x:c r="AD1198" s="13" t="str">
        <x:v>1.1.0</x:v>
      </x:c>
      <x:c r="AE1198" s="13" t="str">
        <x:v>deepseek/deepseek-v4-pro</x:v>
      </x:c>
      <x:c r="AF1198" s="13" t="str">
        <x:v>aj2-y90-20260714T234810-0bea2f52</x:v>
      </x:c>
      <x:c r="AG1198" s="13" t="str">
        <x:v>full-0060</x:v>
      </x:c>
      <x:c r="AH1198" s="13" t="str">
        <x:v>full</x:v>
      </x:c>
      <x:c r="AI1198" s="13" t="n">
        <x:v>60</x:v>
      </x:c>
    </x:row>
    <x:row r="1199" ht="34" customHeight="1">
      <x:c r="A1199" s="15" t="str">
        <x:v>jooma flip flops</x:v>
      </x:c>
      <x:c r="B1199" s="15" t="str">
        <x:v>jooma flip flops</x:v>
      </x:c>
      <x:c r="C1199" s="10" t="str">
        <x:v>eba16a671974dd0d</x:v>
      </x:c>
      <x:c r="D1199" s="10" t="str">
        <x:v>keyword</x:v>
      </x:c>
      <x:c r="E1199" s="10" t="str">
        <x:v>en</x:v>
      </x:c>
      <x:c r="F1199" s="10" t="str">
        <x:v>clothing_shoes_jewelry</x:v>
      </x:c>
      <x:c r="G1199" s="15" t="str"/>
      <x:c r="H1199" s="15" t="str">
        <x:v>flip_flop</x:v>
      </x:c>
      <x:c r="I1199" s="15" t="str"/>
      <x:c r="J1199" s="15" t="str"/>
      <x:c r="K1199" s="15" t="str"/>
      <x:c r="L1199" s="15" t="str"/>
      <x:c r="M1199" s="15" t="str"/>
      <x:c r="N1199" s="15" t="str"/>
      <x:c r="O1199" s="15" t="str"/>
      <x:c r="P1199" s="15" t="str"/>
      <x:c r="Q1199" s="15" t="str"/>
      <x:c r="R1199" s="15" t="str">
        <x:v>用户搜索jooma品牌的人字拖，jooma极可能是joomra品牌的拼写变体</x:v>
      </x:c>
      <x:c r="S1199" s="10" t="str">
        <x:v>brand_harvest</x:v>
      </x:c>
      <x:c r="T1199" s="15" t="str">
        <x:v>explicit | inferred</x:v>
      </x:c>
      <x:c r="U1199" s="10" t="str">
        <x:v>high</x:v>
      </x:c>
      <x:c r="V1199" s="15" t="str">
        <x:v>branded_joomra_flip_flop</x:v>
      </x:c>
      <x:c r="W1199" s="15" t="str">
        <x:v>cluster_route</x:v>
      </x:c>
      <x:c r="X1199" s="15" t="str">
        <x:v>{"product_type":[{"value":"flip_flop","evidence_type":"explicit","source_span":"flip flops","fact_ids":[],"rationale":""},{"value":"flip_flop","evidence_type":"page_validated","source_span":"","fact_ids":["style_flip_flop","title_womens_flip_flop"],"rationale":"产品确认为人字拖款式"}],"brand":[{"value":"jooma","evidence_type":"explicit","source_span":"jooma","fact_ids":[],"rationale":""}],"primary_domain":[{"value":"clothing_shoes_jewelry","evidence_type":"inferred","source_span":"","fact_ids":[],"rationale":"该值由搜索词整体语义推断，未作为页面明示属性。"}]}</x:v>
      </x:c>
      <x:c r="Y1199" s="15" t="str">
        <x:v>brand_spelling_variant</x:v>
      </x:c>
      <x:c r="Z1199" s="10" t="str">
        <x:v>match</x:v>
      </x:c>
      <x:c r="AA1199" s="15" t="str">
        <x:v>style_flip_flop</x:v>
      </x:c>
      <x:c r="AB1199" s="10" t="str">
        <x:v>accepted</x:v>
      </x:c>
      <x:c r="AC1199" s="10" t="str">
        <x:v>1.0.0</x:v>
      </x:c>
      <x:c r="AD1199" s="10" t="str">
        <x:v>1.1.0</x:v>
      </x:c>
      <x:c r="AE1199" s="10" t="str">
        <x:v>deepseek/deepseek-v4-pro</x:v>
      </x:c>
      <x:c r="AF1199" s="10" t="str">
        <x:v>aj2-y90-20260714T234810-0bea2f52</x:v>
      </x:c>
      <x:c r="AG1199" s="10" t="str">
        <x:v>full-0060</x:v>
      </x:c>
      <x:c r="AH1199" s="10" t="str">
        <x:v>full</x:v>
      </x:c>
      <x:c r="AI1199" s="10" t="n">
        <x:v>60</x:v>
      </x:c>
    </x:row>
    <x:row r="1200" ht="34" customHeight="1">
      <x:c r="A1200" s="16" t="str">
        <x:v>nude arch flip flops</x:v>
      </x:c>
      <x:c r="B1200" s="16" t="str">
        <x:v>nude arch flip flops</x:v>
      </x:c>
      <x:c r="C1200" s="13" t="str">
        <x:v>f1e66d846ef47a26</x:v>
      </x:c>
      <x:c r="D1200" s="13" t="str">
        <x:v>keyword</x:v>
      </x:c>
      <x:c r="E1200" s="13" t="str">
        <x:v>en</x:v>
      </x:c>
      <x:c r="F1200" s="13" t="str">
        <x:v>clothing_shoes_jewelry</x:v>
      </x:c>
      <x:c r="G1200" s="16" t="str"/>
      <x:c r="H1200" s="16" t="str">
        <x:v>flip_flop</x:v>
      </x:c>
      <x:c r="I1200" s="16" t="str"/>
      <x:c r="J1200" s="16" t="str"/>
      <x:c r="K1200" s="16" t="str">
        <x:v>arch_support</x:v>
      </x:c>
      <x:c r="L1200" s="16" t="str"/>
      <x:c r="M1200" s="16" t="str"/>
      <x:c r="N1200" s="16" t="str">
        <x:v>arch_pain_relief</x:v>
      </x:c>
      <x:c r="O1200" s="16" t="str"/>
      <x:c r="P1200" s="16" t="str"/>
      <x:c r="Q1200" s="16" t="str"/>
      <x:c r="R1200" s="16" t="str">
        <x:v>用户搜索裸色且带足弓支撑的人字拖，注重外观与足部健康的结合</x:v>
      </x:c>
      <x:c r="S1200" s="13" t="str">
        <x:v>consideration</x:v>
      </x:c>
      <x:c r="T1200" s="16" t="str">
        <x:v>explicit | inferred</x:v>
      </x:c>
      <x:c r="U1200" s="13" t="str">
        <x:v>high</x:v>
      </x:c>
      <x:c r="V1200" s="16" t="str">
        <x:v>nude_arch_flip_flop</x:v>
      </x:c>
      <x:c r="W1200" s="16" t="str">
        <x:v>listing_gap_review</x:v>
      </x:c>
      <x:c r="X1200" s="16" t="str">
        <x:v>{"product_type":[{"value":"flip_flop","evidence_type":"explicit","source_span":"flip flops","fact_ids":[],"rationale":""},{"value":"flip_flop","evidence_type":"page_validated","source_span":"","fact_ids":["style_flip_flop"],"rationale":"该槽位与商品基准中的明示页面事实一致。"}],"capability_intent":[{"value":"arch_support","evidence_type":"explicit","source_span":"arch","fact_ids":[],"rationale":""},{"value":"arch_support","evidence_type":"page_validated","source_span":"","fact_ids":["arch_support"],"rationale":"产品具备人体工学足弓支撑"},{"value":"arch_support","evidence_type":"inferred","source_span":"","fact_ids":[],"rationale":"该能力由搜索词表达的任务或问题推断；页面事实仅用于验证商品承接。"}],"body_need_intent":[{"value":"arch_pain_relief","evidence_type":"inferred","source_span":"arch","fact_ids":[],"rationale":"搜索足弓支撑暗示足弓不适需求"}],"color":[{"value":"nude","evidence_type":"explicit","source_span":"nude","fact_ids":[],"rationale":""}],"primary_domain":[{"value":"clothing_shoes_jewelry","evidence_type":"inferred","source_span":"","fact_ids":[],"rationale":"该值由搜索词整体语义推断，未作为页面明示属性。"}]}</x:v>
      </x:c>
      <x:c r="Y1200" s="16" t="str"/>
      <x:c r="Z1200" s="13" t="str">
        <x:v>partial_match</x:v>
      </x:c>
      <x:c r="AA1200" s="16" t="str">
        <x:v>arch_support | colors_visible</x:v>
      </x:c>
      <x:c r="AB1200" s="13" t="str">
        <x:v>needs_review</x:v>
      </x:c>
      <x:c r="AC1200" s="13" t="str">
        <x:v>1.0.0</x:v>
      </x:c>
      <x:c r="AD1200" s="13" t="str">
        <x:v>1.1.0</x:v>
      </x:c>
      <x:c r="AE1200" s="13" t="str">
        <x:v>deepseek/deepseek-v4-pro</x:v>
      </x:c>
      <x:c r="AF1200" s="13" t="str">
        <x:v>aj2-y90-20260714T234810-0bea2f52</x:v>
      </x:c>
      <x:c r="AG1200" s="13" t="str">
        <x:v>full-0060</x:v>
      </x:c>
      <x:c r="AH1200" s="13" t="str">
        <x:v>full</x:v>
      </x:c>
      <x:c r="AI1200" s="13" t="n">
        <x:v>60</x:v>
      </x:c>
    </x:row>
    <x:row r="1201" ht="34" customHeight="1">
      <x:c r="A1201" s="15" t="str">
        <x:v>flip flops for pool women</x:v>
      </x:c>
      <x:c r="B1201" s="15" t="str">
        <x:v>flip flops for pool women</x:v>
      </x:c>
      <x:c r="C1201" s="10" t="str">
        <x:v>f68761c4c91e685e</x:v>
      </x:c>
      <x:c r="D1201" s="10" t="str">
        <x:v>keyword</x:v>
      </x:c>
      <x:c r="E1201" s="10" t="str">
        <x:v>en</x:v>
      </x:c>
      <x:c r="F1201" s="10" t="str">
        <x:v>clothing_shoes_jewelry</x:v>
      </x:c>
      <x:c r="G1201" s="15" t="str">
        <x:v>sports_outdoors</x:v>
      </x:c>
      <x:c r="H1201" s="15" t="str">
        <x:v>flip_flop</x:v>
      </x:c>
      <x:c r="I1201" s="15" t="str">
        <x:v>women</x:v>
      </x:c>
      <x:c r="J1201" s="15" t="str"/>
      <x:c r="K1201" s="15" t="str">
        <x:v>water_friendly</x:v>
      </x:c>
      <x:c r="L1201" s="15" t="str">
        <x:v>swimming</x:v>
      </x:c>
      <x:c r="M1201" s="15" t="str">
        <x:v>pool</x:v>
      </x:c>
      <x:c r="N1201" s="15" t="str"/>
      <x:c r="O1201" s="15" t="str"/>
      <x:c r="P1201" s="15" t="str"/>
      <x:c r="Q1201" s="15" t="str"/>
      <x:c r="R1201" s="15" t="str">
        <x:v>用户寻找女士泳池穿着的拖鞋，要求适合潮湿环境、防滑且方便清洁</x:v>
      </x:c>
      <x:c r="S1201" s="10" t="str">
        <x:v>consideration</x:v>
      </x:c>
      <x:c r="T1201" s="15" t="str">
        <x:v>explicit | page_validated | inferred</x:v>
      </x:c>
      <x:c r="U1201" s="10" t="str">
        <x:v>medium</x:v>
      </x:c>
      <x:c r="V1201" s="15" t="str">
        <x:v>pool_flip_flop_women</x:v>
      </x:c>
      <x:c r="W1201" s="15" t="str">
        <x:v>listing_gap_review</x:v>
      </x:c>
      <x:c r="X1201" s="15" t="str">
        <x:v>{"product_type":[{"value":"flip_flop","evidence_type":"explicit","source_span":"flip flops","fact_ids":[],"rationale":""},{"value":"flip_flop","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location_intent":[{"value":"pool","evidence_type":"explicit","source_span":"pool","fact_ids":[],"rationale":""}],"capability_intent":[{"value":"water_friendly","evidence_type":"inferred","source_span":"pool","fact_ids":[],"rationale":"泳池场景要求涉水使用、防滑和易清洁"}],"event_intent":[{"value":"swimming","evidence_type":"inferred","source_span":"pool","fact_ids":[],"rationale":"泳池场景通常关联游泳活动"}],"primary_domain":[{"value":"clothing_shoes_jewelry","evidence_type":"inferred","source_span":"","fact_ids":[],"rationale":"该值由搜索词整体语义推断，未作为页面明示属性。"}],"secondary_domain":[{"value":"sports_outdoors","evidence_type":"inferred","source_span":"","fact_ids":[],"rationale":"该值由搜索词整体语义推断，未作为页面明示属性。"}]}</x:v>
      </x:c>
      <x:c r="Y1201" s="15" t="str"/>
      <x:c r="Z1201" s="10" t="str">
        <x:v>partial_match</x:v>
      </x:c>
      <x:c r="AA1201" s="15" t="str">
        <x:v>easy_clean | slip_resistant_grip | style_outdoor</x:v>
      </x:c>
      <x:c r="AB1201" s="10" t="str">
        <x:v>needs_review</x:v>
      </x:c>
      <x:c r="AC1201" s="10" t="str">
        <x:v>1.0.0</x:v>
      </x:c>
      <x:c r="AD1201" s="10" t="str">
        <x:v>1.1.0</x:v>
      </x:c>
      <x:c r="AE1201" s="10" t="str">
        <x:v>deepseek/deepseek-v4-pro</x:v>
      </x:c>
      <x:c r="AF1201" s="10" t="str">
        <x:v>aj2-y90-20260714T234810-0bea2f52</x:v>
      </x:c>
      <x:c r="AG1201" s="10" t="str">
        <x:v>full-0060</x:v>
      </x:c>
      <x:c r="AH1201" s="10" t="str">
        <x:v>full</x:v>
      </x:c>
      <x:c r="AI1201" s="10" t="n">
        <x:v>60</x:v>
      </x:c>
    </x:row>
    <x:row r="1202" ht="34" customHeight="1">
      <x:c r="A1202" s="16" t="str">
        <x:v>womens sandals beach</x:v>
      </x:c>
      <x:c r="B1202" s="16" t="str">
        <x:v>womens sandals beach</x:v>
      </x:c>
      <x:c r="C1202" s="13" t="str">
        <x:v>0d655e5016fdb8f7</x:v>
      </x:c>
      <x:c r="D1202" s="13" t="str">
        <x:v>keyword</x:v>
      </x:c>
      <x:c r="E1202" s="13" t="str">
        <x:v>en</x:v>
      </x:c>
      <x:c r="F1202" s="13" t="str">
        <x:v>clothing_shoes_jewelry</x:v>
      </x:c>
      <x:c r="G1202" s="16" t="str">
        <x:v>sports_outdoors</x:v>
      </x:c>
      <x:c r="H1202" s="16" t="str">
        <x:v>flip_flop</x:v>
      </x:c>
      <x:c r="I1202" s="16" t="str">
        <x:v>women</x:v>
      </x:c>
      <x:c r="J1202" s="16" t="str">
        <x:v>beach_use</x:v>
      </x:c>
      <x:c r="K1202" s="16" t="str">
        <x:v>outdoor_ready</x:v>
      </x:c>
      <x:c r="L1202" s="16" t="str">
        <x:v>beach_outing</x:v>
      </x:c>
      <x:c r="M1202" s="16" t="str">
        <x:v>beach</x:v>
      </x:c>
      <x:c r="N1202" s="16" t="str"/>
      <x:c r="O1202" s="16" t="str"/>
      <x:c r="P1202" s="16" t="str">
        <x:v>sandals</x:v>
      </x:c>
      <x:c r="Q1202" s="16" t="str"/>
      <x:c r="R1202" s="16" t="str">
        <x:v>用户寻找女士沙滩凉鞋，用于海滩度假，户外人字拖可满足需求。</x:v>
      </x:c>
      <x:c r="S1202" s="13" t="str">
        <x:v>exploration</x:v>
      </x:c>
      <x:c r="T1202" s="16" t="str">
        <x:v>explicit | page_validated | inferred</x:v>
      </x:c>
      <x:c r="U1202" s="13" t="str">
        <x:v>high</x:v>
      </x:c>
      <x:c r="V1202" s="16" t="str">
        <x:v>womens_beach_sandals</x:v>
      </x:c>
      <x:c r="W1202" s="16" t="str">
        <x:v>cluster_route</x:v>
      </x:c>
      <x:c r="X1202" s="16" t="str">
        <x:v>{"product_type":[{"value":"flip_flop","evidence_type":"page_validated","source_span":"","fact_ids":["style_flip_flop"],"rationale":"Listing确认为Flip Flop"},{"value":"flip_flop","evidence_type":"inferred","source_span":"","fact_ids":[],"rationale":"该能力由搜索词表达的任务或问题推断；页面事实仅用于验证商品承接。"}],"audience_intent":[{"value":"women","evidence_type":"explicit","source_span":"womens","fact_ids":[],"rationale":"词面指定女性"},{"value":"women","evidence_type":"page_validated","source_span":"","fact_ids":["title_womens_flip_flop"],"rationale":"Listing标题为女款"}],"location_intent":[{"value":"beach","evidence_type":"explicit","source_span":"beach","fact_ids":[],"rationale":"词面明确海滩"},{"value":"beach","evidence_type":"page_validated","source_span":"","fact_ids":["style_outdoor"],"rationale":"户外场景覆盖海滩"}],"event_intent":[{"value":"beach_outing","evidence_type":"explicit","source_span":"beach","fact_ids":[],"rationale":"海滩为明确活动场景"}],"capability_intent":[{"value":"outdoor_ready","evidence_type":"inferred","source_span":"","fact_ids":[],"rationale":"该值由搜索词整体语义推断，未作为页面明示属性。"}],"substitute_intent":[{"value":"sandals","evidence_type":"page_validated","source_span":"","fact_ids":["title_womens_flip_flop"],"rationale":"该槽位与商品基准中的明示页面事实一致。"}],"function_intent":[{"value":"beach_use","evidence_type":"inferred","source_span":"","fact_ids":[],"rationale":"该值由搜索词整体语义推断，未作为页面明示属性。"}],"primary_domain":[{"value":"clothing_shoes_jewelry","evidence_type":"inferred","source_span":"","fact_ids":[],"rationale":"该值由搜索词整体语义推断，未作为页面明示属性。"}],"secondary_domain":[{"value":"sports_outdoors","evidence_type":"inferred","source_span":"","fact_ids":[],"rationale":"该值由搜索词整体语义推断，未作为页面明示属性。"}]}</x:v>
      </x:c>
      <x:c r="Y1202" s="16" t="str"/>
      <x:c r="Z1202" s="13" t="str">
        <x:v>match</x:v>
      </x:c>
      <x:c r="AA1202" s="16" t="str">
        <x:v>title_womens_flip_flop | style_flip_flop | style_outdoor</x:v>
      </x:c>
      <x:c r="AB1202" s="13" t="str">
        <x:v>accepted</x:v>
      </x:c>
      <x:c r="AC1202" s="13" t="str">
        <x:v>1.0.0</x:v>
      </x:c>
      <x:c r="AD1202" s="13" t="str">
        <x:v>1.1.0</x:v>
      </x:c>
      <x:c r="AE1202" s="13" t="str">
        <x:v>deepseek/deepseek-v4-pro</x:v>
      </x:c>
      <x:c r="AF1202" s="13" t="str">
        <x:v>aj2-y90-20260714T234810-0bea2f52</x:v>
      </x:c>
      <x:c r="AG1202" s="13" t="str">
        <x:v>full-0061</x:v>
      </x:c>
      <x:c r="AH1202" s="13" t="str">
        <x:v>full</x:v>
      </x:c>
      <x:c r="AI1202" s="13" t="n">
        <x:v>61</x:v>
      </x:c>
    </x:row>
    <x:row r="1203" ht="34" customHeight="1">
      <x:c r="A1203" s="15" t="str">
        <x:v>flip flops for women rubber</x:v>
      </x:c>
      <x:c r="B1203" s="15" t="str">
        <x:v>flip flops for women rubber</x:v>
      </x:c>
      <x:c r="C1203" s="10" t="str">
        <x:v>14de6d9820625e60</x:v>
      </x:c>
      <x:c r="D1203" s="10" t="str">
        <x:v>keyword</x:v>
      </x:c>
      <x:c r="E1203" s="10" t="str">
        <x:v>en</x:v>
      </x:c>
      <x:c r="F1203" s="10" t="str">
        <x:v>clothing_shoes_jewelry</x:v>
      </x:c>
      <x:c r="G1203" s="15" t="str"/>
      <x:c r="H1203" s="15" t="str">
        <x:v>flip_flop</x:v>
      </x:c>
      <x:c r="I1203" s="15" t="str">
        <x:v>women</x:v>
      </x:c>
      <x:c r="J1203" s="15" t="str"/>
      <x:c r="K1203" s="15" t="str"/>
      <x:c r="L1203" s="15" t="str"/>
      <x:c r="M1203" s="15" t="str"/>
      <x:c r="N1203" s="15" t="str"/>
      <x:c r="O1203" s="15" t="str"/>
      <x:c r="P1203" s="15" t="str"/>
      <x:c r="Q1203" s="15" t="str"/>
      <x:c r="R1203" s="15" t="str">
        <x:v>用户寻找女士橡胶材质人字拖，对材质有明确要求，但产品为EVA非橡胶。</x:v>
      </x:c>
      <x:c r="S1203" s="10" t="str">
        <x:v>high_intent</x:v>
      </x:c>
      <x:c r="T1203" s="15" t="str">
        <x:v>explicit | page_validated</x:v>
      </x:c>
      <x:c r="U1203" s="10" t="str">
        <x:v>high</x:v>
      </x:c>
      <x:c r="V1203" s="15" t="str">
        <x:v>womens_rubber_flip_flops</x:v>
      </x:c>
      <x:c r="W1203" s="15" t="str">
        <x:v>listing_gap_review</x:v>
      </x:c>
      <x:c r="X1203" s="15" t="str">
        <x:v>{"product_type":[{"value":"flip_flop","evidence_type":"explicit","source_span":"flip flops","fact_ids":[],"rationale":"词面明确flip flops"},{"value":"flip_flop","evidence_type":"page_validated","source_span":"","fact_ids":["style_flip_flop"],"rationale":"Listing确认为Flip Flop"}],"audience_intent":[{"value":"women","evidence_type":"explicit","source_span":"women","fact_ids":[],"rationale":"词面指定女性"},{"value":"women","evidence_type":"page_validated","source_span":"","fact_ids":["title_womens_flip_flop"],"rationale":"Listing标题为女款"}],"material":[{"value":"rubber","evidence_type":"explicit","source_span":"rubber","fact_ids":[],"rationale":"词面明确要求橡胶材质"},{"value":"eva","evidence_type":"page_validated","source_span":"","fact_ids":["material_eva"],"rationale":"Listing材质为EVA非橡胶"}],"primary_domain":[{"value":"clothing_shoes_jewelry","evidence_type":"inferred","source_span":"","fact_ids":[],"rationale":"该值由搜索词整体语义推断，未作为页面明示属性。"}]}</x:v>
      </x:c>
      <x:c r="Y1203" s="15" t="str">
        <x:v>rubber_may_be_loosely_interpreted_as_eva</x:v>
      </x:c>
      <x:c r="Z1203" s="10" t="str">
        <x:v>partial_match</x:v>
      </x:c>
      <x:c r="AA1203" s="15" t="str">
        <x:v>title_womens_flip_flop | style_flip_flop | material_eva</x:v>
      </x:c>
      <x:c r="AB1203" s="10" t="str">
        <x:v>accepted</x:v>
      </x:c>
      <x:c r="AC1203" s="10" t="str">
        <x:v>1.0.0</x:v>
      </x:c>
      <x:c r="AD1203" s="10" t="str">
        <x:v>1.1.0</x:v>
      </x:c>
      <x:c r="AE1203" s="10" t="str">
        <x:v>deepseek/deepseek-v4-pro</x:v>
      </x:c>
      <x:c r="AF1203" s="10" t="str">
        <x:v>aj2-y90-20260714T234810-0bea2f52</x:v>
      </x:c>
      <x:c r="AG1203" s="10" t="str">
        <x:v>full-0061</x:v>
      </x:c>
      <x:c r="AH1203" s="10" t="str">
        <x:v>full</x:v>
      </x:c>
      <x:c r="AI1203" s="10" t="n">
        <x:v>61</x:v>
      </x:c>
    </x:row>
    <x:row r="1204" ht="34" customHeight="1">
      <x:c r="A1204" s="16" t="str">
        <x:v>sandalias flat para mujer</x:v>
      </x:c>
      <x:c r="B1204" s="16" t="str">
        <x:v>sandalias flat para mujer</x:v>
      </x:c>
      <x:c r="C1204" s="13" t="str">
        <x:v>1ab1fdd455873f83</x:v>
      </x:c>
      <x:c r="D1204" s="13" t="str">
        <x:v>keyword</x:v>
      </x:c>
      <x:c r="E1204" s="13" t="str">
        <x:v>es</x:v>
      </x:c>
      <x:c r="F1204" s="13" t="str">
        <x:v>clothing_shoes_jewelry</x:v>
      </x:c>
      <x:c r="G1204" s="16" t="str"/>
      <x:c r="H1204" s="16" t="str">
        <x:v>flip_flop</x:v>
      </x:c>
      <x:c r="I1204" s="16" t="str">
        <x:v>women</x:v>
      </x:c>
      <x:c r="J1204" s="16" t="str">
        <x:v>flat_comfort</x:v>
      </x:c>
      <x:c r="K1204" s="16" t="str">
        <x:v>flat_sole</x:v>
      </x:c>
      <x:c r="L1204" s="16" t="str"/>
      <x:c r="M1204" s="16" t="str"/>
      <x:c r="N1204" s="16" t="str"/>
      <x:c r="O1204" s="16" t="str"/>
      <x:c r="P1204" s="16" t="str">
        <x:v>sandals</x:v>
      </x:c>
      <x:c r="Q1204" s="16" t="str"/>
      <x:c r="R1204" s="16" t="str">
        <x:v>用户寻找女士平底凉鞋，用于日常休闲穿着。</x:v>
      </x:c>
      <x:c r="S1204" s="13" t="str">
        <x:v>exploration</x:v>
      </x:c>
      <x:c r="T1204" s="16" t="str">
        <x:v>explicit | page_validated</x:v>
      </x:c>
      <x:c r="U1204" s="13" t="str">
        <x:v>high</x:v>
      </x:c>
      <x:c r="V1204" s="16" t="str">
        <x:v>womens_flat_flip_flops</x:v>
      </x:c>
      <x:c r="W1204" s="16" t="str">
        <x:v>cluster_route</x:v>
      </x:c>
      <x:c r="X1204" s="16" t="str">
        <x:v>{"product_type":[{"value":"flip_flop","evidence_type":"explicit","source_span":"sandalias","fact_ids":[],"rationale":"西语sandalias泛指凉鞋，本产品为flip flop属于凉鞋子类"},{"value":"flip_flop","evidence_type":"page_validated","source_span":"","fact_ids":["style_flip_flop"],"rationale":"Listing确认为Flip Flop款式"},{"value":"flip_flop","evidence_type":"inferred","source_span":"","fact_ids":[],"rationale":"该能力由搜索词表达的任务或问题推断；页面事实仅用于验证商品承接。"}],"audience_intent":[{"value":"women","evidence_type":"explicit","source_span":"mujer","fact_ids":[],"rationale":"mujer意为女性"},{"value":"women","evidence_type":"page_validated","source_span":"","fact_ids":["title_womens_flip_flop"],"rationale":"Listing标题明确为女款"},{"value":"women","evidence_type":"inferred","source_span":"","fact_ids":[],"rationale":"该能力由搜索词表达的任务或问题推断；页面事实仅用于验证商品承接。"}],"capability_intent":[{"value":"flat_sole","evidence_type":"explicit","source_span":"flat","fact_ids":[],"rationale":"flat明确要求平底"},{"value":"flat_sole","evidence_type":"page_validated","source_span":"","fact_ids":["style_flat"],"rationale":"Listing标注Flat跟型"}],"substitute_intent":[{"value":"sandals","evidence_type":"page_validated","source_span":"","fact_ids":["title_womens_flip_flop"],"rationale":"该槽位与商品基准中的明示页面事实一致。"},{"value":"sandals","evidence_type":"inferred","source_span":"","fact_ids":[],"rationale":"该能力由搜索词表达的任务或问题推断；页面事实仅用于验证商品承接。"}],"function_intent":[{"value":"flat_comfort","evidence_type":"inferred","source_span":"","fact_ids":[],"rationale":"该值由搜索词整体语义推断，未作为页面明示属性。"}],"primary_domain":[{"value":"clothing_shoes_jewelry","evidence_type":"inferred","source_span":"","fact_ids":[],"rationale":"该值由搜索词整体语义推断，未作为页面明示属性。"}]}</x:v>
      </x:c>
      <x:c r="Y1204" s="16" t="str"/>
      <x:c r="Z1204" s="13" t="str">
        <x:v>match</x:v>
      </x:c>
      <x:c r="AA1204" s="16" t="str">
        <x:v>title_womens_flip_flop | style_flat | style_flip_flop</x:v>
      </x:c>
      <x:c r="AB1204" s="13" t="str">
        <x:v>accepted</x:v>
      </x:c>
      <x:c r="AC1204" s="13" t="str">
        <x:v>1.0.0</x:v>
      </x:c>
      <x:c r="AD1204" s="13" t="str">
        <x:v>1.1.0</x:v>
      </x:c>
      <x:c r="AE1204" s="13" t="str">
        <x:v>deepseek/deepseek-v4-pro</x:v>
      </x:c>
      <x:c r="AF1204" s="13" t="str">
        <x:v>aj2-y90-20260714T234810-0bea2f52</x:v>
      </x:c>
      <x:c r="AG1204" s="13" t="str">
        <x:v>full-0061</x:v>
      </x:c>
      <x:c r="AH1204" s="13" t="str">
        <x:v>full</x:v>
      </x:c>
      <x:c r="AI1204" s="13" t="n">
        <x:v>61</x:v>
      </x:c>
    </x:row>
    <x:row r="1205" ht="34" customHeight="1">
      <x:c r="A1205" s="15" t="str">
        <x:v>chancletas de baño de mujer</x:v>
      </x:c>
      <x:c r="B1205" s="15" t="str">
        <x:v>chancletas de baño de mujer</x:v>
      </x:c>
      <x:c r="C1205" s="10" t="str">
        <x:v>204c5791654f6d94</x:v>
      </x:c>
      <x:c r="D1205" s="10" t="str">
        <x:v>keyword</x:v>
      </x:c>
      <x:c r="E1205" s="10" t="str">
        <x:v>es</x:v>
      </x:c>
      <x:c r="F1205" s="10" t="str">
        <x:v>clothing_shoes_jewelry</x:v>
      </x:c>
      <x:c r="G1205" s="15" t="str"/>
      <x:c r="H1205" s="15" t="str">
        <x:v>shower_shoes</x:v>
      </x:c>
      <x:c r="I1205" s="15" t="str">
        <x:v>women</x:v>
      </x:c>
      <x:c r="J1205" s="15" t="str">
        <x:v>bath_shower_use</x:v>
      </x:c>
      <x:c r="K1205" s="15" t="str">
        <x:v>water_safe</x:v>
      </x:c>
      <x:c r="L1205" s="15" t="str">
        <x:v>bathing</x:v>
      </x:c>
      <x:c r="M1205" s="15" t="str">
        <x:v>bathroom</x:v>
      </x:c>
      <x:c r="N1205" s="15" t="str"/>
      <x:c r="O1205" s="15" t="str"/>
      <x:c r="P1205" s="15" t="str"/>
      <x:c r="Q1205" s="15" t="str"/>
      <x:c r="R1205" s="15" t="str">
        <x:v>用户寻找女士浴室拖鞋，用于淋浴场景，产品为户外人字拖，用途不匹配且无防水声明。</x:v>
      </x:c>
      <x:c r="S1205" s="10" t="str">
        <x:v>exploration</x:v>
      </x:c>
      <x:c r="T1205" s="15" t="str">
        <x:v>explicit | inferred</x:v>
      </x:c>
      <x:c r="U1205" s="10" t="str">
        <x:v>high</x:v>
      </x:c>
      <x:c r="V1205" s="15" t="str">
        <x:v>womens_bath_shower_flip_flops</x:v>
      </x:c>
      <x:c r="W1205" s="15" t="str">
        <x:v>semantic_negative_candidate</x:v>
      </x:c>
      <x:c r="X1205" s="15" t="str">
        <x:v>{"product_type":[{"value":"shower_shoes","evidence_type":"explicit","source_span":"chancletas de baño","fact_ids":[],"rationale":"baño明确指向浴室/淋浴用拖鞋"}],"audience_intent":[{"value":"women","evidence_type":"explicit","source_span":"mujer","fact_ids":[],"rationale":"mujer意为女性"},{"value":"women","evidence_type":"page_validated","source_span":"","fact_ids":["title_womens_flip_flop"],"rationale":"该槽位与商品基准中的明示页面事实一致。"},{"value":"women","evidence_type":"inferred","source_span":"","fact_ids":[],"rationale":"该能力由搜索词表达的任务或问题推断；页面事实仅用于验证商品承接。"}],"location_intent":[{"value":"bathroom","evidence_type":"explicit","source_span":"baño","fact_ids":[],"rationale":"baño直接指向浴室"}],"event_intent":[{"value":"bathing","evidence_type":"explicit","source_span":"baño","fact_ids":[],"rationale":"沐浴/淋浴为明确活动场景"}],"capability_intent":[{"value":"water_safe","evidence_type":"inferred","source_span":"baño","fact_ids":[],"rationale":"浴室场景需要防水，但产品未声明waterproof"}],"function_intent":[{"value":"bath_shower_use","evidence_type":"inferred","source_span":"","fact_ids":[],"rationale":"该值由搜索词整体语义推断，未作为页面明示属性。"}],"primary_domain":[{"value":"clothing_shoes_jewelry","evidence_type":"inferred","source_span":"","fact_ids":[],"rationale":"该值由搜索词整体语义推断，未作为页面明示属性。"}]}</x:v>
      </x:c>
      <x:c r="Y1205" s="15" t="str"/>
      <x:c r="Z1205" s="10" t="str">
        <x:v>mismatch</x:v>
      </x:c>
      <x:c r="AA1205" s="15" t="str"/>
      <x:c r="AB1205" s="10" t="str">
        <x:v>accepted</x:v>
      </x:c>
      <x:c r="AC1205" s="10" t="str">
        <x:v>1.0.0</x:v>
      </x:c>
      <x:c r="AD1205" s="10" t="str">
        <x:v>1.1.0</x:v>
      </x:c>
      <x:c r="AE1205" s="10" t="str">
        <x:v>deepseek/deepseek-v4-pro</x:v>
      </x:c>
      <x:c r="AF1205" s="10" t="str">
        <x:v>aj2-y90-20260714T234810-0bea2f52</x:v>
      </x:c>
      <x:c r="AG1205" s="10" t="str">
        <x:v>full-0061</x:v>
      </x:c>
      <x:c r="AH1205" s="10" t="str">
        <x:v>full</x:v>
      </x:c>
      <x:c r="AI1205" s="10" t="n">
        <x:v>61</x:v>
      </x:c>
    </x:row>
    <x:row r="1206" ht="34" customHeight="1">
      <x:c r="A1206" s="16" t="str">
        <x:v>arch support flip flops for women brown</x:v>
      </x:c>
      <x:c r="B1206" s="16" t="str">
        <x:v>arch support flip flops for women brown</x:v>
      </x:c>
      <x:c r="C1206" s="13" t="str">
        <x:v>22b308bb93e73cbd</x:v>
      </x:c>
      <x:c r="D1206" s="13" t="str">
        <x:v>keyword</x:v>
      </x:c>
      <x:c r="E1206" s="13" t="str">
        <x:v>en</x:v>
      </x:c>
      <x:c r="F1206" s="13" t="str">
        <x:v>clothing_shoes_jewelry</x:v>
      </x:c>
      <x:c r="G1206" s="16" t="str"/>
      <x:c r="H1206" s="16" t="str">
        <x:v>flip_flop</x:v>
      </x:c>
      <x:c r="I1206" s="16" t="str">
        <x:v>women</x:v>
      </x:c>
      <x:c r="J1206" s="16" t="str">
        <x:v>arch_support_comfort</x:v>
      </x:c>
      <x:c r="K1206" s="16" t="str">
        <x:v>arch_support</x:v>
      </x:c>
      <x:c r="L1206" s="16" t="str"/>
      <x:c r="M1206" s="16" t="str"/>
      <x:c r="N1206" s="16" t="str">
        <x:v>arch_support</x:v>
      </x:c>
      <x:c r="O1206" s="16" t="str"/>
      <x:c r="P1206" s="16" t="str"/>
      <x:c r="Q1206" s="16" t="str"/>
      <x:c r="R1206" s="16" t="str">
        <x:v>用户寻找女士棕色足弓支撑人字拖，功能与颜色均与产品高度匹配。</x:v>
      </x:c>
      <x:c r="S1206" s="13" t="str">
        <x:v>high_intent</x:v>
      </x:c>
      <x:c r="T1206" s="16" t="str">
        <x:v>explicit | page_validated</x:v>
      </x:c>
      <x:c r="U1206" s="13" t="str">
        <x:v>high</x:v>
      </x:c>
      <x:c r="V1206" s="16" t="str">
        <x:v>womens_arch_support_brown_flip_flops</x:v>
      </x:c>
      <x:c r="W1206" s="16" t="str">
        <x:v>cluster_route</x:v>
      </x:c>
      <x:c r="X1206" s="16" t="str">
        <x:v>{"product_type":[{"value":"flip_flop","evidence_type":"explicit","source_span":"flip flops","fact_ids":[],"rationale":"词面明确flip flops"},{"value":"flip_flop","evidence_type":"page_validated","source_span":"","fact_ids":["style_flip_flop"],"rationale":"Listing确认为Flip Flop"}],"audience_intent":[{"value":"women","evidence_type":"explicit","source_span":"women","fact_ids":[],"rationale":"词面指定女性"},{"value":"women","evidence_type":"page_validated","source_span":"","fact_ids":["title_womens_flip_flop"],"rationale":"Listing标题为女款"}],"capability_intent":[{"value":"arch_support","evidence_type":"explicit","source_span":"arch support","fact_ids":[],"rationale":"词面明确足弓支撑"},{"value":"arch_support","evidence_type":"page_validated","source_span":"","fact_ids":["arch_support"],"rationale":"Listing声明人体工学足弓支撑"}],"color":[{"value":"brown","evidence_type":"explicit","source_span":"brown","fact_ids":[],"rationale":"该颜色在商品页面可见颜色选择中得到明确支持。"},{"value":"brown","evidence_type":"page_validated","source_span":"","fact_ids":["colors_visible"],"rationale":"该颜色在商品页面可见颜色选择中得到明确支持。"}],"function_intent":[{"value":"arch_support_comfort","evidence_type":"inferred","source_span":"","fact_ids":[],"rationale":"该值由搜索词整体语义推断，未作为页面明示属性。"}],"primary_domain":[{"value":"clothing_shoes_jewelry","evidence_type":"inferred","source_span":"","fact_ids":[],"rationale":"该值由搜索词整体语义推断，未作为页面明示属性。"}]}</x:v>
      </x:c>
      <x:c r="Y1206" s="16" t="str"/>
      <x:c r="Z1206" s="13" t="str">
        <x:v>match</x:v>
      </x:c>
      <x:c r="AA1206" s="16" t="str">
        <x:v>title_womens_flip_flop | style_flip_flop | arch_support | colors_visible</x:v>
      </x:c>
      <x:c r="AB1206" s="13" t="str">
        <x:v>accepted</x:v>
      </x:c>
      <x:c r="AC1206" s="13" t="str">
        <x:v>1.0.0</x:v>
      </x:c>
      <x:c r="AD1206" s="13" t="str">
        <x:v>1.1.0</x:v>
      </x:c>
      <x:c r="AE1206" s="13" t="str">
        <x:v>deepseek/deepseek-v4-pro</x:v>
      </x:c>
      <x:c r="AF1206" s="13" t="str">
        <x:v>aj2-y90-20260714T234810-0bea2f52</x:v>
      </x:c>
      <x:c r="AG1206" s="13" t="str">
        <x:v>full-0061</x:v>
      </x:c>
      <x:c r="AH1206" s="13" t="str">
        <x:v>full</x:v>
      </x:c>
      <x:c r="AI1206" s="13" t="n">
        <x:v>61</x:v>
      </x:c>
    </x:row>
    <x:row r="1207" ht="34" customHeight="1">
      <x:c r="A1207" s="15" t="str">
        <x:v>slip resistant flip flops for women</x:v>
      </x:c>
      <x:c r="B1207" s="15" t="str">
        <x:v>slip resistant flip flops for women</x:v>
      </x:c>
      <x:c r="C1207" s="10" t="str">
        <x:v>3f4b9da5f171b37a</x:v>
      </x:c>
      <x:c r="D1207" s="10" t="str">
        <x:v>keyword</x:v>
      </x:c>
      <x:c r="E1207" s="10" t="str">
        <x:v>en</x:v>
      </x:c>
      <x:c r="F1207" s="10" t="str">
        <x:v>clothing_shoes_jewelry</x:v>
      </x:c>
      <x:c r="G1207" s="15" t="str">
        <x:v>sports_outdoors</x:v>
      </x:c>
      <x:c r="H1207" s="15" t="str">
        <x:v>flip_flop</x:v>
      </x:c>
      <x:c r="I1207" s="15" t="str">
        <x:v>women</x:v>
      </x:c>
      <x:c r="J1207" s="15" t="str">
        <x:v>slip_prevention</x:v>
      </x:c>
      <x:c r="K1207" s="15" t="str">
        <x:v>slip_resistant</x:v>
      </x:c>
      <x:c r="L1207" s="15" t="str"/>
      <x:c r="M1207" s="15" t="str"/>
      <x:c r="N1207" s="15" t="str"/>
      <x:c r="O1207" s="15" t="str"/>
      <x:c r="P1207" s="15" t="str"/>
      <x:c r="Q1207" s="15" t="str"/>
      <x:c r="R1207" s="15" t="str">
        <x:v>用户寻找女士防滑人字拖，需要鞋底具有良好的抓地力以防止滑倒。</x:v>
      </x:c>
      <x:c r="S1207" s="10" t="str">
        <x:v>high_intent</x:v>
      </x:c>
      <x:c r="T1207" s="15" t="str">
        <x:v>explicit | page_validated</x:v>
      </x:c>
      <x:c r="U1207" s="10" t="str">
        <x:v>high</x:v>
      </x:c>
      <x:c r="V1207" s="15" t="str">
        <x:v>womens_slip_resistant_flip_flops</x:v>
      </x:c>
      <x:c r="W1207" s="15" t="str">
        <x:v>cluster_route</x:v>
      </x:c>
      <x:c r="X1207" s="15" t="str">
        <x:v>{"product_type":[{"value":"flip_flop","evidence_type":"explicit","source_span":"flip flops","fact_ids":[],"rationale":"词面明确flip flops"},{"value":"flip_flop","evidence_type":"page_validated","source_span":"","fact_ids":["style_flip_flop"],"rationale":"Listing确认为Flip Flop"}],"audience_intent":[{"value":"women","evidence_type":"explicit","source_span":"women","fact_ids":[],"rationale":"词面指定女性"},{"value":"women","evidence_type":"page_validated","source_span":"","fact_ids":["title_womens_flip_flop"],"rationale":"Listing标题为女款"}],"capability_intent":[{"value":"slip_resistant","evidence_type":"explicit","source_span":"slip resistant","fact_ids":[],"rationale":"词面明确要求防滑"},{"value":"slip_resistant","evidence_type":"page_validated","source_span":"","fact_ids":["slip_resistant_grip"],"rationale":"Listing注明deep textured lattice outsole防滑"}],"function_intent":[{"value":"slip_prevention","evidence_type":"inferred","source_span":"","fact_ids":[],"rationale":"该值由搜索词整体语义推断，未作为页面明示属性。"}],"primary_domain":[{"value":"clothing_shoes_jewelry","evidence_type":"inferred","source_span":"","fact_ids":[],"rationale":"该值由搜索词整体语义推断，未作为页面明示属性。"}],"secondary_domain":[{"value":"sports_outdoors","evidence_type":"inferred","source_span":"","fact_ids":[],"rationale":"该值由搜索词整体语义推断，未作为页面明示属性。"}]}</x:v>
      </x:c>
      <x:c r="Y1207" s="15" t="str"/>
      <x:c r="Z1207" s="10" t="str">
        <x:v>match</x:v>
      </x:c>
      <x:c r="AA1207" s="15" t="str">
        <x:v>title_womens_flip_flop | style_flip_flop | slip_resistant_grip</x:v>
      </x:c>
      <x:c r="AB1207" s="10" t="str">
        <x:v>accepted</x:v>
      </x:c>
      <x:c r="AC1207" s="10" t="str">
        <x:v>1.0.0</x:v>
      </x:c>
      <x:c r="AD1207" s="10" t="str">
        <x:v>1.1.0</x:v>
      </x:c>
      <x:c r="AE1207" s="10" t="str">
        <x:v>deepseek/deepseek-v4-pro</x:v>
      </x:c>
      <x:c r="AF1207" s="10" t="str">
        <x:v>aj2-y90-20260714T234810-0bea2f52</x:v>
      </x:c>
      <x:c r="AG1207" s="10" t="str">
        <x:v>full-0061</x:v>
      </x:c>
      <x:c r="AH1207" s="10" t="str">
        <x:v>full</x:v>
      </x:c>
      <x:c r="AI1207" s="10" t="n">
        <x:v>61</x:v>
      </x:c>
    </x:row>
    <x:row r="1208" ht="34" customHeight="1">
      <x:c r="A1208" s="16" t="str">
        <x:v>burnt orange flip flops women</x:v>
      </x:c>
      <x:c r="B1208" s="16" t="str">
        <x:v>burnt orange flip flops women</x:v>
      </x:c>
      <x:c r="C1208" s="13" t="str">
        <x:v>40b8088cc8472de1</x:v>
      </x:c>
      <x:c r="D1208" s="13" t="str">
        <x:v>keyword</x:v>
      </x:c>
      <x:c r="E1208" s="13" t="str">
        <x:v>en</x:v>
      </x:c>
      <x:c r="F1208" s="13" t="str">
        <x:v>clothing_shoes_jewelry</x:v>
      </x:c>
      <x:c r="G1208" s="16" t="str"/>
      <x:c r="H1208" s="16" t="str">
        <x:v>flip_flop</x:v>
      </x:c>
      <x:c r="I1208" s="16" t="str">
        <x:v>women</x:v>
      </x:c>
      <x:c r="J1208" s="16" t="str"/>
      <x:c r="K1208" s="16" t="str"/>
      <x:c r="L1208" s="16" t="str"/>
      <x:c r="M1208" s="16" t="str"/>
      <x:c r="N1208" s="16" t="str"/>
      <x:c r="O1208" s="16" t="str"/>
      <x:c r="P1208" s="16" t="str"/>
      <x:c r="Q1208" s="16" t="str"/>
      <x:c r="R1208" s="16" t="str">
        <x:v>用户寻找女士焦橙色人字拖，颜色不在可选项中，存在需求缺口。</x:v>
      </x:c>
      <x:c r="S1208" s="13" t="str">
        <x:v>high_intent</x:v>
      </x:c>
      <x:c r="T1208" s="16" t="str">
        <x:v>explicit | page_validated</x:v>
      </x:c>
      <x:c r="U1208" s="13" t="str">
        <x:v>high</x:v>
      </x:c>
      <x:c r="V1208" s="16" t="str">
        <x:v>womens_orange_flip_flops</x:v>
      </x:c>
      <x:c r="W1208" s="16" t="str">
        <x:v>listing_gap_review</x:v>
      </x:c>
      <x:c r="X1208" s="16" t="str">
        <x:v>{"product_type":[{"value":"flip_flop","evidence_type":"explicit","source_span":"flip flops","fact_ids":[],"rationale":"词面明确flip flops"},{"value":"flip_flop","evidence_type":"page_validated","source_span":"","fact_ids":["style_flip_flop"],"rationale":"Listing确认为Flip Flop"}],"audience_intent":[{"value":"women","evidence_type":"explicit","source_span":"women","fact_ids":[],"rationale":"词面指定女性"},{"value":"women","evidence_type":"page_validated","source_span":"","fact_ids":["title_womens_flip_flop"],"rationale":"Listing标题为女款"}],"color":[{"value":"burnt_orange","evidence_type":"explicit","source_span":"burnt orange","fact_ids":[],"rationale":"词面指定焦橙色"}],"primary_domain":[{"value":"clothing_shoes_jewelry","evidence_type":"inferred","source_span":"","fact_ids":[],"rationale":"该值由搜索词整体语义推断，未作为页面明示属性。"}]}</x:v>
      </x:c>
      <x:c r="Y1208" s="16" t="str">
        <x:v>burnt_orange_not_in_visible_colors</x:v>
      </x:c>
      <x:c r="Z1208" s="13" t="str">
        <x:v>partial_match</x:v>
      </x:c>
      <x:c r="AA1208" s="16" t="str">
        <x:v>title_womens_flip_flop | style_flip_flop | colors_visible</x:v>
      </x:c>
      <x:c r="AB1208" s="13" t="str">
        <x:v>accepted</x:v>
      </x:c>
      <x:c r="AC1208" s="13" t="str">
        <x:v>1.0.0</x:v>
      </x:c>
      <x:c r="AD1208" s="13" t="str">
        <x:v>1.1.0</x:v>
      </x:c>
      <x:c r="AE1208" s="13" t="str">
        <x:v>deepseek/deepseek-v4-pro</x:v>
      </x:c>
      <x:c r="AF1208" s="13" t="str">
        <x:v>aj2-y90-20260714T234810-0bea2f52</x:v>
      </x:c>
      <x:c r="AG1208" s="13" t="str">
        <x:v>full-0061</x:v>
      </x:c>
      <x:c r="AH1208" s="13" t="str">
        <x:v>full</x:v>
      </x:c>
      <x:c r="AI1208" s="13" t="n">
        <x:v>61</x:v>
      </x:c>
    </x:row>
    <x:row r="1209" ht="34" customHeight="1">
      <x:c r="A1209" s="15" t="str">
        <x:v>slim flip flops for women</x:v>
      </x:c>
      <x:c r="B1209" s="15" t="str">
        <x:v>slim flip flops for women</x:v>
      </x:c>
      <x:c r="C1209" s="10" t="str">
        <x:v>5052923745b8068a</x:v>
      </x:c>
      <x:c r="D1209" s="10" t="str">
        <x:v>keyword</x:v>
      </x:c>
      <x:c r="E1209" s="10" t="str">
        <x:v>en</x:v>
      </x:c>
      <x:c r="F1209" s="10" t="str">
        <x:v>clothing_shoes_jewelry</x:v>
      </x:c>
      <x:c r="G1209" s="15" t="str"/>
      <x:c r="H1209" s="15" t="str">
        <x:v>flip_flop</x:v>
      </x:c>
      <x:c r="I1209" s="15" t="str">
        <x:v>women</x:v>
      </x:c>
      <x:c r="J1209" s="15" t="str"/>
      <x:c r="K1209" s="15" t="str">
        <x:v>narrow_fit</x:v>
      </x:c>
      <x:c r="L1209" s="15" t="str"/>
      <x:c r="M1209" s="15" t="str"/>
      <x:c r="N1209" s="15" t="str">
        <x:v>narrow_feet</x:v>
      </x:c>
      <x:c r="O1209" s="15" t="str"/>
      <x:c r="P1209" s="15" t="str"/>
      <x:c r="Q1209" s="15" t="str"/>
      <x:c r="R1209" s="15" t="str">
        <x:v>用户寻找女士修身/窄版人字拖，需要较窄鞋型，产品未声明窄版设计。</x:v>
      </x:c>
      <x:c r="S1209" s="10" t="str">
        <x:v>high_intent</x:v>
      </x:c>
      <x:c r="T1209" s="15" t="str">
        <x:v>explicit | page_validated</x:v>
      </x:c>
      <x:c r="U1209" s="10" t="str">
        <x:v>medium</x:v>
      </x:c>
      <x:c r="V1209" s="15" t="str">
        <x:v>womens_slim_flip_flops</x:v>
      </x:c>
      <x:c r="W1209" s="15" t="str">
        <x:v>listing_gap_review</x:v>
      </x:c>
      <x:c r="X1209" s="15" t="str">
        <x:v>{"product_type":[{"value":"flip_flop","evidence_type":"explicit","source_span":"flip flops","fact_ids":[],"rationale":"词面明确flip flops"},{"value":"flip_flop","evidence_type":"page_validated","source_span":"","fact_ids":["style_flip_flop"],"rationale":"Listing确认为Flip Flop"}],"audience_intent":[{"value":"women","evidence_type":"explicit","source_span":"women","fact_ids":[],"rationale":"词面指定女性"},{"value":"women","evidence_type":"page_validated","source_span":"","fact_ids":["title_womens_flip_flop"],"rationale":"Listing标题为女款"}],"capability_intent":[{"value":"narrow_fit","evidence_type":"explicit","source_span":"slim","fact_ids":[],"rationale":"slim明确要求窄版/修身"}],"body_need_intent":[{"value":"narrow_feet","evidence_type":"inferred","source_span":"slim","fact_ids":[],"rationale":"slim暗示用户可能脚型偏窄"}],"primary_domain":[{"value":"clothing_shoes_jewelry","evidence_type":"inferred","source_span":"","fact_ids":[],"rationale":"该值由搜索词整体语义推断，未作为页面明示属性。"}]}</x:v>
      </x:c>
      <x:c r="Y1209" s="15" t="str">
        <x:v>slim_fit_not_claimed_on_page</x:v>
      </x:c>
      <x:c r="Z1209" s="10" t="str">
        <x:v>partial_match</x:v>
      </x:c>
      <x:c r="AA1209" s="15" t="str">
        <x:v>title_womens_flip_flop | style_flip_flop</x:v>
      </x:c>
      <x:c r="AB1209" s="10" t="str">
        <x:v>accepted</x:v>
      </x:c>
      <x:c r="AC1209" s="10" t="str">
        <x:v>1.0.0</x:v>
      </x:c>
      <x:c r="AD1209" s="10" t="str">
        <x:v>1.1.0</x:v>
      </x:c>
      <x:c r="AE1209" s="10" t="str">
        <x:v>deepseek/deepseek-v4-pro</x:v>
      </x:c>
      <x:c r="AF1209" s="10" t="str">
        <x:v>aj2-y90-20260714T234810-0bea2f52</x:v>
      </x:c>
      <x:c r="AG1209" s="10" t="str">
        <x:v>full-0061</x:v>
      </x:c>
      <x:c r="AH1209" s="10" t="str">
        <x:v>full</x:v>
      </x:c>
      <x:c r="AI1209" s="10" t="n">
        <x:v>61</x:v>
      </x:c>
    </x:row>
    <x:row r="1210" ht="34" customHeight="1">
      <x:c r="A1210" s="16" t="str">
        <x:v>sleepers flip flops for women</x:v>
      </x:c>
      <x:c r="B1210" s="16" t="str">
        <x:v>sleepers flip flops for women</x:v>
      </x:c>
      <x:c r="C1210" s="13" t="str">
        <x:v>6aec31bec4313b06</x:v>
      </x:c>
      <x:c r="D1210" s="13" t="str">
        <x:v>keyword</x:v>
      </x:c>
      <x:c r="E1210" s="13" t="str">
        <x:v>en</x:v>
      </x:c>
      <x:c r="F1210" s="13" t="str">
        <x:v>clothing_shoes_jewelry</x:v>
      </x:c>
      <x:c r="G1210" s="16" t="str"/>
      <x:c r="H1210" s="16" t="str">
        <x:v>flip_flop | slippers</x:v>
      </x:c>
      <x:c r="I1210" s="16" t="str">
        <x:v>women</x:v>
      </x:c>
      <x:c r="J1210" s="16" t="str"/>
      <x:c r="K1210" s="16" t="str"/>
      <x:c r="L1210" s="16" t="str">
        <x:v>sleep_lounge</x:v>
      </x:c>
      <x:c r="M1210" s="16" t="str">
        <x:v>indoor</x:v>
      </x:c>
      <x:c r="N1210" s="16" t="str"/>
      <x:c r="O1210" s="16" t="str">
        <x:v>nighttime</x:v>
      </x:c>
      <x:c r="P1210" s="16" t="str"/>
      <x:c r="Q1210" s="16" t="str"/>
      <x:c r="R1210" s="16" t="str">
        <x:v>用户寻找女士睡眠/居家拖鞋，用于夜间或室内穿着，可能与户外人字拖定位冲突。</x:v>
      </x:c>
      <x:c r="S1210" s="13" t="str">
        <x:v>exploration</x:v>
      </x:c>
      <x:c r="T1210" s="16" t="str">
        <x:v>explicit | inferred</x:v>
      </x:c>
      <x:c r="U1210" s="13" t="str">
        <x:v>medium</x:v>
      </x:c>
      <x:c r="V1210" s="16" t="str">
        <x:v>womens_sleepwear_flip_flop_ambiguous</x:v>
      </x:c>
      <x:c r="W1210" s="16" t="str">
        <x:v>semantic_negative_candidate</x:v>
      </x:c>
      <x:c r="X1210" s="16" t="str">
        <x:v>{"product_type":[{"value":"flip_flop","evidence_type":"explicit","source_span":"flip flops","fact_ids":[],"rationale":"词面明确flip flops"},{"value":"slippers","evidence_type":"inferred","source_span":"sleepers","fact_ids":[],"rationale":"sleepers可能为slippers误拼，指室内拖鞋"},{"value":"flip_flop","evidence_type":"page_validated","source_span":"","fact_ids":["style_flip_flop"],"rationale":"该槽位与商品基准中的明示页面事实一致。"}],"audience_intent":[{"value":"women","evidence_type":"explicit","source_span":"women","fact_ids":[],"rationale":"词面指定女性"},{"value":"women","evidence_type":"page_validated","source_span":"","fact_ids":["title_womens_flip_flop"],"rationale":"该槽位与商品基准中的明示页面事实一致。"}],"location_intent":[{"value":"indoor","evidence_type":"inferred","source_span":"sleepers","fact_ids":[],"rationale":"sleepers暗示睡眠室内场景"}],"event_intent":[{"value":"sleep_lounge","evidence_type":"inferred","source_span":"sleepers","fact_ids":[],"rationale":"睡眠/休息场景与户外产品冲突"}],"time_intent":[{"value":"nighttime","evidence_type":"inferred","source_span":"sleepers","fact_ids":[],"rationale":"睡眠关联夜间时段"}],"primary_domain":[{"value":"clothing_shoes_jewelry","evidence_type":"inferred","source_span":"","fact_ids":[],"rationale":"该值由搜索词整体语义推断，未作为页面明示属性。"}]}</x:v>
      </x:c>
      <x:c r="Y1210" s="16" t="str">
        <x:v>sleepers_may_be_slippers_typo</x:v>
      </x:c>
      <x:c r="Z1210" s="13" t="str">
        <x:v>mismatch</x:v>
      </x:c>
      <x:c r="AA1210" s="16" t="str"/>
      <x:c r="AB1210" s="13" t="str">
        <x:v>accepted</x:v>
      </x:c>
      <x:c r="AC1210" s="13" t="str">
        <x:v>1.0.0</x:v>
      </x:c>
      <x:c r="AD1210" s="13" t="str">
        <x:v>1.1.0</x:v>
      </x:c>
      <x:c r="AE1210" s="13" t="str">
        <x:v>deepseek/deepseek-v4-pro</x:v>
      </x:c>
      <x:c r="AF1210" s="13" t="str">
        <x:v>aj2-y90-20260714T234810-0bea2f52</x:v>
      </x:c>
      <x:c r="AG1210" s="13" t="str">
        <x:v>full-0061</x:v>
      </x:c>
      <x:c r="AH1210" s="13" t="str">
        <x:v>full</x:v>
      </x:c>
      <x:c r="AI1210" s="13" t="n">
        <x:v>61</x:v>
      </x:c>
    </x:row>
    <x:row r="1211" ht="34" customHeight="1">
      <x:c r="A1211" s="15" t="str">
        <x:v>womens rubber black flip flops</x:v>
      </x:c>
      <x:c r="B1211" s="15" t="str">
        <x:v>womens rubber black flip flops</x:v>
      </x:c>
      <x:c r="C1211" s="10" t="str">
        <x:v>6f979c66dd93804d</x:v>
      </x:c>
      <x:c r="D1211" s="10" t="str">
        <x:v>keyword</x:v>
      </x:c>
      <x:c r="E1211" s="10" t="str">
        <x:v>en</x:v>
      </x:c>
      <x:c r="F1211" s="10" t="str">
        <x:v>clothing_shoes_jewelry</x:v>
      </x:c>
      <x:c r="G1211" s="15" t="str"/>
      <x:c r="H1211" s="15" t="str">
        <x:v>flip_flop</x:v>
      </x:c>
      <x:c r="I1211" s="15" t="str">
        <x:v>women</x:v>
      </x:c>
      <x:c r="J1211" s="15" t="str"/>
      <x:c r="K1211" s="15" t="str"/>
      <x:c r="L1211" s="15" t="str"/>
      <x:c r="M1211" s="15" t="str"/>
      <x:c r="N1211" s="15" t="str"/>
      <x:c r="O1211" s="15" t="str"/>
      <x:c r="P1211" s="15" t="str"/>
      <x:c r="Q1211" s="15" t="str"/>
      <x:c r="R1211" s="15" t="str">
        <x:v>用户寻找女士黑色橡胶人字拖，颜色匹配但材质不匹配，产品为EVA非橡胶。</x:v>
      </x:c>
      <x:c r="S1211" s="10" t="str">
        <x:v>high_intent</x:v>
      </x:c>
      <x:c r="T1211" s="15" t="str">
        <x:v>explicit | page_validated</x:v>
      </x:c>
      <x:c r="U1211" s="10" t="str">
        <x:v>high</x:v>
      </x:c>
      <x:c r="V1211" s="15" t="str">
        <x:v>womens_black_rubber_flip_flops</x:v>
      </x:c>
      <x:c r="W1211" s="15" t="str">
        <x:v>listing_gap_review</x:v>
      </x:c>
      <x:c r="X1211" s="15" t="str">
        <x:v>{"product_type":[{"value":"flip_flop","evidence_type":"explicit","source_span":"flip flops","fact_ids":[],"rationale":"词面明确flip flops"},{"value":"flip_flop","evidence_type":"page_validated","source_span":"","fact_ids":["style_flip_flop"],"rationale":"Listing确认为Flip Flop"}],"audience_intent":[{"value":"women","evidence_type":"explicit","source_span":"womens","fact_ids":[],"rationale":"词面指定女性"},{"value":"women","evidence_type":"page_validated","source_span":"","fact_ids":["title_womens_flip_flop"],"rationale":"Listing标题为女款"}],"material":[{"value":"rubber","evidence_type":"explicit","source_span":"rubber","fact_ids":[],"rationale":"词面要求橡胶材质"},{"value":"eva","evidence_type":"page_validated","source_span":"","fact_ids":["material_eva"],"rationale":"Listing材质为EVA非橡胶"}],"color":[{"value":"black","evidence_type":"explicit","source_span":"black","fact_ids":[],"rationale":"该颜色在商品页面可见颜色选择中得到明确支持。"},{"value":"black","evidence_type":"page_validated","source_span":"","fact_ids":["colors_visible"],"rationale":"该颜色在商品页面可见颜色选择中得到明确支持。"}],"primary_domain":[{"value":"clothing_shoes_jewelry","evidence_type":"inferred","source_span":"","fact_ids":[],"rationale":"该值由搜索词整体语义推断，未作为页面明示属性。"}]}</x:v>
      </x:c>
      <x:c r="Y1211" s="15" t="str">
        <x:v>rubber_may_be_loosely_interpreted_as_eva</x:v>
      </x:c>
      <x:c r="Z1211" s="10" t="str">
        <x:v>partial_match</x:v>
      </x:c>
      <x:c r="AA1211" s="15" t="str">
        <x:v>title_womens_flip_flop | style_flip_flop | colors_visible | material_eva</x:v>
      </x:c>
      <x:c r="AB1211" s="10" t="str">
        <x:v>accepted</x:v>
      </x:c>
      <x:c r="AC1211" s="10" t="str">
        <x:v>1.0.0</x:v>
      </x:c>
      <x:c r="AD1211" s="10" t="str">
        <x:v>1.1.0</x:v>
      </x:c>
      <x:c r="AE1211" s="10" t="str">
        <x:v>deepseek/deepseek-v4-pro</x:v>
      </x:c>
      <x:c r="AF1211" s="10" t="str">
        <x:v>aj2-y90-20260714T234810-0bea2f52</x:v>
      </x:c>
      <x:c r="AG1211" s="10" t="str">
        <x:v>full-0061</x:v>
      </x:c>
      <x:c r="AH1211" s="10" t="str">
        <x:v>full</x:v>
      </x:c>
      <x:c r="AI1211" s="10" t="n">
        <x:v>61</x:v>
      </x:c>
    </x:row>
    <x:row r="1212" ht="34" customHeight="1">
      <x:c r="A1212" s="16" t="str">
        <x:v>blue flip flops</x:v>
      </x:c>
      <x:c r="B1212" s="16" t="str">
        <x:v>blue flip flops</x:v>
      </x:c>
      <x:c r="C1212" s="13" t="str">
        <x:v>755a81dcf0bfb286</x:v>
      </x:c>
      <x:c r="D1212" s="13" t="str">
        <x:v>keyword</x:v>
      </x:c>
      <x:c r="E1212" s="13" t="str">
        <x:v>en</x:v>
      </x:c>
      <x:c r="F1212" s="13" t="str">
        <x:v>clothing_shoes_jewelry</x:v>
      </x:c>
      <x:c r="G1212" s="16" t="str"/>
      <x:c r="H1212" s="16" t="str">
        <x:v>flip_flop</x:v>
      </x:c>
      <x:c r="I1212" s="16" t="str"/>
      <x:c r="J1212" s="16" t="str"/>
      <x:c r="K1212" s="16" t="str"/>
      <x:c r="L1212" s="16" t="str"/>
      <x:c r="M1212" s="16" t="str"/>
      <x:c r="N1212" s="16" t="str"/>
      <x:c r="O1212" s="16" t="str"/>
      <x:c r="P1212" s="16" t="str"/>
      <x:c r="Q1212" s="16" t="str"/>
      <x:c r="R1212" s="16" t="str">
        <x:v>用户搜索蓝色人字拖，未指定性别，产品为女款且含浅蓝色选项，性别可能不完全匹配。</x:v>
      </x:c>
      <x:c r="S1212" s="13" t="str">
        <x:v>exploration</x:v>
      </x:c>
      <x:c r="T1212" s="16" t="str">
        <x:v>explicit | page_validated</x:v>
      </x:c>
      <x:c r="U1212" s="13" t="str">
        <x:v>medium</x:v>
      </x:c>
      <x:c r="V1212" s="16" t="str">
        <x:v>blue_flip_flops_unisex</x:v>
      </x:c>
      <x:c r="W1212" s="16" t="str">
        <x:v>cluster_route</x:v>
      </x:c>
      <x:c r="X1212" s="16" t="str">
        <x:v>{"product_type":[{"value":"flip_flop","evidence_type":"explicit","source_span":"flip flops","fact_ids":[],"rationale":"词面明确flip flops"},{"value":"flip_flop","evidence_type":"page_validated","source_span":"","fact_ids":["style_flip_flop"],"rationale":"Listing确认为Flip Flop"}],"color":[{"value":"blue","evidence_type":"explicit","source_span":"blue","fact_ids":[],"rationale":"词面指定蓝色"},{"value":"light_blue","evidence_type":"page_validated","source_span":"","fact_ids":["colors_visible"],"rationale":"该颜色在商品页面可见颜色选择中得到明确支持。"}],"primary_domain":[{"value":"clothing_shoes_jewelry","evidence_type":"inferred","source_span":"","fact_ids":[],"rationale":"该值由搜索词整体语义推断，未作为页面明示属性。"}]}</x:v>
      </x:c>
      <x:c r="Y1212" s="16" t="str">
        <x:v>gender_not_specified_product_is_womens</x:v>
      </x:c>
      <x:c r="Z1212" s="13" t="str">
        <x:v>partial_match</x:v>
      </x:c>
      <x:c r="AA1212" s="16" t="str">
        <x:v>style_flip_flop | colors_visible | title_womens_flip_flop</x:v>
      </x:c>
      <x:c r="AB1212" s="13" t="str">
        <x:v>accepted</x:v>
      </x:c>
      <x:c r="AC1212" s="13" t="str">
        <x:v>1.0.0</x:v>
      </x:c>
      <x:c r="AD1212" s="13" t="str">
        <x:v>1.1.0</x:v>
      </x:c>
      <x:c r="AE1212" s="13" t="str">
        <x:v>deepseek/deepseek-v4-pro</x:v>
      </x:c>
      <x:c r="AF1212" s="13" t="str">
        <x:v>aj2-y90-20260714T234810-0bea2f52</x:v>
      </x:c>
      <x:c r="AG1212" s="13" t="str">
        <x:v>full-0061</x:v>
      </x:c>
      <x:c r="AH1212" s="13" t="str">
        <x:v>full</x:v>
      </x:c>
      <x:c r="AI1212" s="13" t="n">
        <x:v>61</x:v>
      </x:c>
    </x:row>
    <x:row r="1213" ht="34" customHeight="1">
      <x:c r="A1213" s="15" t="str">
        <x:v>shower shoes women</x:v>
      </x:c>
      <x:c r="B1213" s="15" t="str">
        <x:v>shower shoes women</x:v>
      </x:c>
      <x:c r="C1213" s="10" t="str">
        <x:v>77e1cf03d0f56ee8</x:v>
      </x:c>
      <x:c r="D1213" s="10" t="str">
        <x:v>keyword</x:v>
      </x:c>
      <x:c r="E1213" s="10" t="str">
        <x:v>en</x:v>
      </x:c>
      <x:c r="F1213" s="10" t="str">
        <x:v>clothing_shoes_jewelry</x:v>
      </x:c>
      <x:c r="G1213" s="15" t="str"/>
      <x:c r="H1213" s="15" t="str">
        <x:v>shower_shoes</x:v>
      </x:c>
      <x:c r="I1213" s="15" t="str">
        <x:v>women</x:v>
      </x:c>
      <x:c r="J1213" s="15" t="str">
        <x:v>shower_use</x:v>
      </x:c>
      <x:c r="K1213" s="15" t="str">
        <x:v>water_safe</x:v>
      </x:c>
      <x:c r="L1213" s="15" t="str">
        <x:v>bathing</x:v>
      </x:c>
      <x:c r="M1213" s="15" t="str">
        <x:v>bathroom</x:v>
      </x:c>
      <x:c r="N1213" s="15" t="str"/>
      <x:c r="O1213" s="15" t="str"/>
      <x:c r="P1213" s="15" t="str"/>
      <x:c r="Q1213" s="15" t="str"/>
      <x:c r="R1213" s="15" t="str">
        <x:v>用户寻找女士沐浴/淋浴鞋，需要在湿滑浴室环境中使用，产品为户外人字拖，用途不匹配。</x:v>
      </x:c>
      <x:c r="S1213" s="10" t="str">
        <x:v>exploration</x:v>
      </x:c>
      <x:c r="T1213" s="15" t="str">
        <x:v>explicit | inferred</x:v>
      </x:c>
      <x:c r="U1213" s="10" t="str">
        <x:v>high</x:v>
      </x:c>
      <x:c r="V1213" s="15" t="str">
        <x:v>womens_shower_shoes</x:v>
      </x:c>
      <x:c r="W1213" s="15" t="str">
        <x:v>semantic_negative_candidate</x:v>
      </x:c>
      <x:c r="X1213" s="15" t="str">
        <x:v>{"product_type":[{"value":"shower_shoes","evidence_type":"explicit","source_span":"shower shoes","fact_ids":[],"rationale":"词面明确为淋浴鞋"}],"audience_intent":[{"value":"women","evidence_type":"explicit","source_span":"women","fact_ids":[],"rationale":"词面指定女性"},{"value":"women","evidence_type":"page_validated","source_span":"","fact_ids":["title_womens_flip_flop"],"rationale":"该槽位与商品基准中的明示页面事实一致。"}],"location_intent":[{"value":"bathroom","evidence_type":"explicit","source_span":"shower","fact_ids":[],"rationale":"shower直接指向浴室"}],"event_intent":[{"value":"bathing","evidence_type":"explicit","source_span":"shower","fact_ids":[],"rationale":"淋浴为明确活动场景"}],"capability_intent":[{"value":"water_safe","evidence_type":"inferred","source_span":"shower","fact_ids":[],"rationale":"淋浴场景需要防水防滑能力，但产品未声明waterproof"}],"function_intent":[{"value":"shower_use","evidence_type":"inferred","source_span":"","fact_ids":[],"rationale":"该值由搜索词整体语义推断，未作为页面明示属性。"}],"primary_domain":[{"value":"clothing_shoes_jewelry","evidence_type":"inferred","source_span":"","fact_ids":[],"rationale":"该值由搜索词整体语义推断，未作为页面明示属性。"}]}</x:v>
      </x:c>
      <x:c r="Y1213" s="15" t="str"/>
      <x:c r="Z1213" s="10" t="str">
        <x:v>mismatch</x:v>
      </x:c>
      <x:c r="AA1213" s="15" t="str"/>
      <x:c r="AB1213" s="10" t="str">
        <x:v>accepted</x:v>
      </x:c>
      <x:c r="AC1213" s="10" t="str">
        <x:v>1.0.0</x:v>
      </x:c>
      <x:c r="AD1213" s="10" t="str">
        <x:v>1.1.0</x:v>
      </x:c>
      <x:c r="AE1213" s="10" t="str">
        <x:v>deepseek/deepseek-v4-pro</x:v>
      </x:c>
      <x:c r="AF1213" s="10" t="str">
        <x:v>aj2-y90-20260714T234810-0bea2f52</x:v>
      </x:c>
      <x:c r="AG1213" s="10" t="str">
        <x:v>full-0061</x:v>
      </x:c>
      <x:c r="AH1213" s="10" t="str">
        <x:v>full</x:v>
      </x:c>
      <x:c r="AI1213" s="10" t="n">
        <x:v>61</x:v>
      </x:c>
    </x:row>
    <x:row r="1214" ht="34" customHeight="1">
      <x:c r="A1214" s="16" t="str">
        <x:v>cheap beach flip flops</x:v>
      </x:c>
      <x:c r="B1214" s="16" t="str">
        <x:v>cheap beach flip flops</x:v>
      </x:c>
      <x:c r="C1214" s="13" t="str">
        <x:v>7ef3bf1f81a4b1ae</x:v>
      </x:c>
      <x:c r="D1214" s="13" t="str">
        <x:v>keyword</x:v>
      </x:c>
      <x:c r="E1214" s="13" t="str">
        <x:v>en</x:v>
      </x:c>
      <x:c r="F1214" s="13" t="str">
        <x:v>clothing_shoes_jewelry</x:v>
      </x:c>
      <x:c r="G1214" s="16" t="str">
        <x:v>sports_outdoors</x:v>
      </x:c>
      <x:c r="H1214" s="16" t="str">
        <x:v>flip_flop</x:v>
      </x:c>
      <x:c r="I1214" s="16" t="str"/>
      <x:c r="J1214" s="16" t="str">
        <x:v>affordable | beach_use</x:v>
      </x:c>
      <x:c r="K1214" s="16" t="str"/>
      <x:c r="L1214" s="16" t="str">
        <x:v>beach_outing</x:v>
      </x:c>
      <x:c r="M1214" s="16" t="str">
        <x:v>beach</x:v>
      </x:c>
      <x:c r="N1214" s="16" t="str"/>
      <x:c r="O1214" s="16" t="str"/>
      <x:c r="P1214" s="16" t="str"/>
      <x:c r="Q1214" s="16" t="str"/>
      <x:c r="R1214" s="16" t="str">
        <x:v>用户寻找廉价沙滩人字拖，价格诉求无法由产品基线验证，产品类型和场景匹配。</x:v>
      </x:c>
      <x:c r="S1214" s="13" t="str">
        <x:v>consideration</x:v>
      </x:c>
      <x:c r="T1214" s="16" t="str">
        <x:v>explicit | page_validated</x:v>
      </x:c>
      <x:c r="U1214" s="13" t="str">
        <x:v>medium</x:v>
      </x:c>
      <x:c r="V1214" s="16" t="str">
        <x:v>cheap_beach_flip_flops</x:v>
      </x:c>
      <x:c r="W1214" s="16" t="str">
        <x:v>listing_gap_review</x:v>
      </x:c>
      <x:c r="X1214" s="16" t="str">
        <x:v>{"product_type":[{"value":"flip_flop","evidence_type":"explicit","source_span":"flip flops","fact_ids":[],"rationale":"词面明确flip flops"},{"value":"flip_flop","evidence_type":"page_validated","source_span":"","fact_ids":["style_flip_flop"],"rationale":"Listing确认为Flip Flop"}],"location_intent":[{"value":"beach","evidence_type":"explicit","source_span":"beach","fact_ids":[],"rationale":"词面明确海滩"},{"value":"beach","evidence_type":"page_validated","source_span":"","fact_ids":["style_outdoor"],"rationale":"户外场景覆盖海滩使用"}],"event_intent":[{"value":"beach_outing","evidence_type":"explicit","source_span":"beach","fact_ids":[],"rationale":"海滩为明确活动场景"}],"price":[{"value":"cheap","evidence_type":"explicit","source_span":"cheap","fact_ids":[],"rationale":"词面要求低价，但价格信息不在基线中"}],"function_intent":[{"value":"affordable","evidence_type":"inferred","source_span":"","fact_ids":[],"rationale":"该值由搜索词整体语义推断，未作为页面明示属性。"},{"value":"beach_use","evidence_type":"inferred","source_span":"","fact_ids":[],"rationale":"该值由搜索词整体语义推断，未作为页面明示属性。"}],"primary_domain":[{"value":"clothing_shoes_jewelry","evidence_type":"inferred","source_span":"","fact_ids":[],"rationale":"该值由搜索词整体语义推断，未作为页面明示属性。"}],"secondary_domain":[{"value":"sports_outdoors","evidence_type":"inferred","source_span":"","fact_ids":[],"rationale":"该值由搜索词整体语义推断，未作为页面明示属性。"}]}</x:v>
      </x:c>
      <x:c r="Y1214" s="16" t="str">
        <x:v>price_claim_cannot_be_validated</x:v>
      </x:c>
      <x:c r="Z1214" s="13" t="str">
        <x:v>partial_match</x:v>
      </x:c>
      <x:c r="AA1214" s="16" t="str">
        <x:v>style_flip_flop | style_outdoor</x:v>
      </x:c>
      <x:c r="AB1214" s="13" t="str">
        <x:v>accepted</x:v>
      </x:c>
      <x:c r="AC1214" s="13" t="str">
        <x:v>1.0.0</x:v>
      </x:c>
      <x:c r="AD1214" s="13" t="str">
        <x:v>1.1.0</x:v>
      </x:c>
      <x:c r="AE1214" s="13" t="str">
        <x:v>deepseek/deepseek-v4-pro</x:v>
      </x:c>
      <x:c r="AF1214" s="13" t="str">
        <x:v>aj2-y90-20260714T234810-0bea2f52</x:v>
      </x:c>
      <x:c r="AG1214" s="13" t="str">
        <x:v>full-0061</x:v>
      </x:c>
      <x:c r="AH1214" s="13" t="str">
        <x:v>full</x:v>
      </x:c>
      <x:c r="AI1214" s="13" t="n">
        <x:v>61</x:v>
      </x:c>
    </x:row>
    <x:row r="1215" ht="34" customHeight="1">
      <x:c r="A1215" s="15" t="str">
        <x:v>beach sandals for woman</x:v>
      </x:c>
      <x:c r="B1215" s="15" t="str">
        <x:v>beach sandals for woman</x:v>
      </x:c>
      <x:c r="C1215" s="10" t="str">
        <x:v>7f80d0d72e6cc33e</x:v>
      </x:c>
      <x:c r="D1215" s="10" t="str">
        <x:v>keyword</x:v>
      </x:c>
      <x:c r="E1215" s="10" t="str">
        <x:v>en</x:v>
      </x:c>
      <x:c r="F1215" s="10" t="str">
        <x:v>clothing_shoes_jewelry</x:v>
      </x:c>
      <x:c r="G1215" s="15" t="str">
        <x:v>sports_outdoors</x:v>
      </x:c>
      <x:c r="H1215" s="15" t="str">
        <x:v>flip_flop</x:v>
      </x:c>
      <x:c r="I1215" s="15" t="str">
        <x:v>women</x:v>
      </x:c>
      <x:c r="J1215" s="15" t="str">
        <x:v>beach_use</x:v>
      </x:c>
      <x:c r="K1215" s="15" t="str">
        <x:v>outdoor_ready</x:v>
      </x:c>
      <x:c r="L1215" s="15" t="str">
        <x:v>beach_outing</x:v>
      </x:c>
      <x:c r="M1215" s="15" t="str">
        <x:v>beach</x:v>
      </x:c>
      <x:c r="N1215" s="15" t="str"/>
      <x:c r="O1215" s="15" t="str"/>
      <x:c r="P1215" s="15" t="str"/>
      <x:c r="Q1215" s="15" t="str"/>
      <x:c r="R1215" s="15" t="str">
        <x:v>用户寻找女士沙滩凉鞋，用于海滩度假穿着，需要户外适用且易于打理。</x:v>
      </x:c>
      <x:c r="S1215" s="10" t="str">
        <x:v>exploration</x:v>
      </x:c>
      <x:c r="T1215" s="15" t="str">
        <x:v>explicit | page_validated | inferred</x:v>
      </x:c>
      <x:c r="U1215" s="10" t="str">
        <x:v>high</x:v>
      </x:c>
      <x:c r="V1215" s="15" t="str">
        <x:v>womens_beach_flip_flops</x:v>
      </x:c>
      <x:c r="W1215" s="15" t="str">
        <x:v>cluster_route</x:v>
      </x:c>
      <x:c r="X1215" s="15" t="str">
        <x:v>{"product_type":[{"value":"flip_flop","evidence_type":"page_validated","source_span":"","fact_ids":["style_flip_flop"],"rationale":"Listing确认为Flip Flop"},{"value":"flip_flop","evidence_type":"inferred","source_span":"","fact_ids":[],"rationale":"该能力由搜索词表达的任务或问题推断；页面事实仅用于验证商品承接。"}],"audience_intent":[{"value":"women","evidence_type":"explicit","source_span":"woman","fact_ids":[],"rationale":"词面指定女性"},{"value":"women","evidence_type":"page_validated","source_span":"","fact_ids":["title_womens_flip_flop"],"rationale":"Listing标题为女款"},{"value":"women","evidence_type":"inferred","source_span":"","fact_ids":[],"rationale":"该能力由搜索词表达的任务或问题推断；页面事实仅用于验证商品承接。"}],"location_intent":[{"value":"beach","evidence_type":"explicit","source_span":"beach","fact_ids":[],"rationale":"词面明确海滩场景"},{"value":"beach","evidence_type":"page_validated","source_span":"","fact_ids":["style_outdoor"],"rationale":"户外场景覆盖海滩使用"}],"event_intent":[{"value":"beach_outing","evidence_type":"explicit","source_span":"beach","fact_ids":[],"rationale":"海滩为明确活动场景"}],"capability_intent":[{"value":"outdoor_ready","evidence_type":"page_validated","source_span":"","fact_ids":["style_outdoor","easy_clean"],"rationale":"户外定位及易清洁特性适合海滩"}],"function_intent":[{"value":"beach_use","evidence_type":"inferred","source_span":"","fact_ids":[],"rationale":"该值由搜索词整体语义推断，未作为页面明示属性。"}],"primary_domain":[{"value":"clothing_shoes_jewelry","evidence_type":"inferred","source_span":"","fact_ids":[],"rationale":"该值由搜索词整体语义推断，未作为页面明示属性。"}],"secondary_domain":[{"value":"sports_outdoors","evidence_type":"inferred","source_span":"","fact_ids":[],"rationale":"该值由搜索词整体语义推断，未作为页面明示属性。"}]}</x:v>
      </x:c>
      <x:c r="Y1215" s="15" t="str"/>
      <x:c r="Z1215" s="10" t="str">
        <x:v>match</x:v>
      </x:c>
      <x:c r="AA1215" s="15" t="str">
        <x:v>title_womens_flip_flop | style_flip_flop | style_outdoor | easy_clean</x:v>
      </x:c>
      <x:c r="AB1215" s="10" t="str">
        <x:v>accepted</x:v>
      </x:c>
      <x:c r="AC1215" s="10" t="str">
        <x:v>1.0.0</x:v>
      </x:c>
      <x:c r="AD1215" s="10" t="str">
        <x:v>1.1.0</x:v>
      </x:c>
      <x:c r="AE1215" s="10" t="str">
        <x:v>deepseek/deepseek-v4-pro</x:v>
      </x:c>
      <x:c r="AF1215" s="10" t="str">
        <x:v>aj2-y90-20260714T234810-0bea2f52</x:v>
      </x:c>
      <x:c r="AG1215" s="10" t="str">
        <x:v>full-0061</x:v>
      </x:c>
      <x:c r="AH1215" s="10" t="str">
        <x:v>full</x:v>
      </x:c>
      <x:c r="AI1215" s="10" t="n">
        <x:v>61</x:v>
      </x:c>
    </x:row>
    <x:row r="1216" ht="34" customHeight="1">
      <x:c r="A1216" s="16" t="str">
        <x:v>womens navy blue flip flops</x:v>
      </x:c>
      <x:c r="B1216" s="16" t="str">
        <x:v>womens navy blue flip flops</x:v>
      </x:c>
      <x:c r="C1216" s="13" t="str">
        <x:v>84de50ce5bcb2442</x:v>
      </x:c>
      <x:c r="D1216" s="13" t="str">
        <x:v>keyword</x:v>
      </x:c>
      <x:c r="E1216" s="13" t="str">
        <x:v>en</x:v>
      </x:c>
      <x:c r="F1216" s="13" t="str">
        <x:v>clothing_shoes_jewelry</x:v>
      </x:c>
      <x:c r="G1216" s="16" t="str"/>
      <x:c r="H1216" s="16" t="str">
        <x:v>flip_flop</x:v>
      </x:c>
      <x:c r="I1216" s="16" t="str">
        <x:v>women</x:v>
      </x:c>
      <x:c r="J1216" s="16" t="str"/>
      <x:c r="K1216" s="16" t="str"/>
      <x:c r="L1216" s="16" t="str"/>
      <x:c r="M1216" s="16" t="str"/>
      <x:c r="N1216" s="16" t="str"/>
      <x:c r="O1216" s="16" t="str"/>
      <x:c r="P1216" s="16" t="str"/>
      <x:c r="Q1216" s="16" t="str"/>
      <x:c r="R1216" s="16" t="str">
        <x:v>用户寻找女士海军蓝人字拖，颜色不在可选项中，浅蓝和深灰接近但非精确匹配。</x:v>
      </x:c>
      <x:c r="S1216" s="13" t="str">
        <x:v>high_intent</x:v>
      </x:c>
      <x:c r="T1216" s="16" t="str">
        <x:v>explicit | page_validated</x:v>
      </x:c>
      <x:c r="U1216" s="13" t="str">
        <x:v>high</x:v>
      </x:c>
      <x:c r="V1216" s="16" t="str">
        <x:v>womens_navy_flip_flops</x:v>
      </x:c>
      <x:c r="W1216" s="16" t="str">
        <x:v>listing_gap_review</x:v>
      </x:c>
      <x:c r="X1216" s="16" t="str">
        <x:v>{"product_type":[{"value":"flip_flop","evidence_type":"explicit","source_span":"flip flops","fact_ids":[],"rationale":"词面明确flip flops"},{"value":"flip_flop","evidence_type":"page_validated","source_span":"","fact_ids":["style_flip_flop"],"rationale":"Listing确认为Flip Flop"}],"audience_intent":[{"value":"women","evidence_type":"explicit","source_span":"womens","fact_ids":[],"rationale":"词面指定女性"},{"value":"women","evidence_type":"page_validated","source_span":"","fact_ids":["title_womens_flip_flop"],"rationale":"Listing标题为女款"}],"color":[{"value":"navy_blue","evidence_type":"explicit","source_span":"navy blue","fact_ids":[],"rationale":"词面指定海军蓝"}],"primary_domain":[{"value":"clothing_shoes_jewelry","evidence_type":"inferred","source_span":"","fact_ids":[],"rationale":"该值由搜索词整体语义推断，未作为页面明示属性。"}]}</x:v>
      </x:c>
      <x:c r="Y1216" s="16" t="str">
        <x:v>navy_blue_not_in_visible_colors</x:v>
      </x:c>
      <x:c r="Z1216" s="13" t="str">
        <x:v>partial_match</x:v>
      </x:c>
      <x:c r="AA1216" s="16" t="str">
        <x:v>title_womens_flip_flop | style_flip_flop | colors_visible</x:v>
      </x:c>
      <x:c r="AB1216" s="13" t="str">
        <x:v>accepted</x:v>
      </x:c>
      <x:c r="AC1216" s="13" t="str">
        <x:v>1.0.0</x:v>
      </x:c>
      <x:c r="AD1216" s="13" t="str">
        <x:v>1.1.0</x:v>
      </x:c>
      <x:c r="AE1216" s="13" t="str">
        <x:v>deepseek/deepseek-v4-pro</x:v>
      </x:c>
      <x:c r="AF1216" s="13" t="str">
        <x:v>aj2-y90-20260714T234810-0bea2f52</x:v>
      </x:c>
      <x:c r="AG1216" s="13" t="str">
        <x:v>full-0061</x:v>
      </x:c>
      <x:c r="AH1216" s="13" t="str">
        <x:v>full</x:v>
      </x:c>
      <x:c r="AI1216" s="13" t="n">
        <x:v>61</x:v>
      </x:c>
    </x:row>
    <x:row r="1217" ht="34" customHeight="1">
      <x:c r="A1217" s="15" t="str">
        <x:v>womens light weight flip flops 10</x:v>
      </x:c>
      <x:c r="B1217" s="15" t="str">
        <x:v>womens light weight flip flops 10</x:v>
      </x:c>
      <x:c r="C1217" s="10" t="str">
        <x:v>8cf7662e48ecd7a7</x:v>
      </x:c>
      <x:c r="D1217" s="10" t="str">
        <x:v>keyword</x:v>
      </x:c>
      <x:c r="E1217" s="10" t="str">
        <x:v>en</x:v>
      </x:c>
      <x:c r="F1217" s="10" t="str">
        <x:v>clothing_shoes_jewelry</x:v>
      </x:c>
      <x:c r="G1217" s="15" t="str"/>
      <x:c r="H1217" s="15" t="str">
        <x:v>flip_flop</x:v>
      </x:c>
      <x:c r="I1217" s="15" t="str">
        <x:v>women</x:v>
      </x:c>
      <x:c r="J1217" s="15" t="str">
        <x:v>lightweight_comfort</x:v>
      </x:c>
      <x:c r="K1217" s="15" t="str">
        <x:v>lightweight</x:v>
      </x:c>
      <x:c r="L1217" s="15" t="str"/>
      <x:c r="M1217" s="15" t="str"/>
      <x:c r="N1217" s="15" t="str"/>
      <x:c r="O1217" s="15" t="str"/>
      <x:c r="P1217" s="15" t="str"/>
      <x:c r="Q1217" s="15" t="str"/>
      <x:c r="R1217" s="15" t="str">
        <x:v>用户寻找女士10码轻量人字拖，轻便特性与尺码均与产品匹配。</x:v>
      </x:c>
      <x:c r="S1217" s="10" t="str">
        <x:v>high_intent</x:v>
      </x:c>
      <x:c r="T1217" s="15" t="str">
        <x:v>explicit | page_validated</x:v>
      </x:c>
      <x:c r="U1217" s="10" t="str">
        <x:v>high</x:v>
      </x:c>
      <x:c r="V1217" s="15" t="str">
        <x:v>womens_lightweight_flip_flops_size10</x:v>
      </x:c>
      <x:c r="W1217" s="15" t="str">
        <x:v>cluster_route</x:v>
      </x:c>
      <x:c r="X1217" s="15" t="str">
        <x:v>{"product_type":[{"value":"flip_flop","evidence_type":"explicit","source_span":"flip flops","fact_ids":[],"rationale":"词面明确flip flops"},{"value":"flip_flop","evidence_type":"page_validated","source_span":"","fact_ids":["style_flip_flop"],"rationale":"Listing确认为Flip Flop"}],"audience_intent":[{"value":"women","evidence_type":"explicit","source_span":"womens","fact_ids":[],"rationale":"词面指定女性"},{"value":"women","evidence_type":"page_validated","source_span":"","fact_ids":["title_womens_flip_flop"],"rationale":"Listing标题为女款"}],"capability_intent":[{"value":"lightweight","evidence_type":"explicit","source_span":"light weight","fact_ids":[],"rationale":"词面明确轻量"},{"value":"lightweight","evidence_type":"page_validated","source_span":"","fact_ids":["lightweight_breathable"],"rationale":"Listing声明super lightweight"},{"value":"lightweight","evidence_type":"inferred","source_span":"","fact_ids":[],"rationale":"该能力由搜索词表达的任务或问题推断；页面事实仅用于验证商品承接。"}],"size":[{"value":"10","evidence_type":"explicit","source_span":"10","fact_ids":[],"rationale":"词面指定US10码"},{"value":"10","evidence_type":"page_validated","source_span":"","fact_ids":["sizes_6_11"],"rationale":"尺码范围含10"}],"function_intent":[{"value":"lightweight_comfort","evidence_type":"inferred","source_span":"","fact_ids":[],"rationale":"该值由搜索词整体语义推断，未作为页面明示属性。"}],"primary_domain":[{"value":"clothing_shoes_jewelry","evidence_type":"inferred","source_span":"","fact_ids":[],"rationale":"该值由搜索词整体语义推断，未作为页面明示属性。"}]}</x:v>
      </x:c>
      <x:c r="Y1217" s="15" t="str"/>
      <x:c r="Z1217" s="10" t="str">
        <x:v>match</x:v>
      </x:c>
      <x:c r="AA1217" s="15" t="str">
        <x:v>title_womens_flip_flop | style_flip_flop | lightweight_breathable | sizes_6_11</x:v>
      </x:c>
      <x:c r="AB1217" s="10" t="str">
        <x:v>accepted</x:v>
      </x:c>
      <x:c r="AC1217" s="10" t="str">
        <x:v>1.0.0</x:v>
      </x:c>
      <x:c r="AD1217" s="10" t="str">
        <x:v>1.1.0</x:v>
      </x:c>
      <x:c r="AE1217" s="10" t="str">
        <x:v>deepseek/deepseek-v4-pro</x:v>
      </x:c>
      <x:c r="AF1217" s="10" t="str">
        <x:v>aj2-y90-20260714T234810-0bea2f52</x:v>
      </x:c>
      <x:c r="AG1217" s="10" t="str">
        <x:v>full-0061</x:v>
      </x:c>
      <x:c r="AH1217" s="10" t="str">
        <x:v>full</x:v>
      </x:c>
      <x:c r="AI1217" s="10" t="n">
        <x:v>61</x:v>
      </x:c>
    </x:row>
    <x:row r="1218" ht="34" customHeight="1">
      <x:c r="A1218" s="16" t="str">
        <x:v>womens white flip flop sandals</x:v>
      </x:c>
      <x:c r="B1218" s="16" t="str">
        <x:v>womens white flip flop sandals</x:v>
      </x:c>
      <x:c r="C1218" s="13" t="str">
        <x:v>d7dffe493198fc6d</x:v>
      </x:c>
      <x:c r="D1218" s="13" t="str">
        <x:v>keyword</x:v>
      </x:c>
      <x:c r="E1218" s="13" t="str">
        <x:v>en</x:v>
      </x:c>
      <x:c r="F1218" s="13" t="str">
        <x:v>clothing_shoes_jewelry</x:v>
      </x:c>
      <x:c r="G1218" s="16" t="str"/>
      <x:c r="H1218" s="16" t="str">
        <x:v>flip_flop</x:v>
      </x:c>
      <x:c r="I1218" s="16" t="str">
        <x:v>women</x:v>
      </x:c>
      <x:c r="J1218" s="16" t="str"/>
      <x:c r="K1218" s="16" t="str"/>
      <x:c r="L1218" s="16" t="str"/>
      <x:c r="M1218" s="16" t="str"/>
      <x:c r="N1218" s="16" t="str"/>
      <x:c r="O1218" s="16" t="str"/>
      <x:c r="P1218" s="16" t="str">
        <x:v>sandals</x:v>
      </x:c>
      <x:c r="Q1218" s="16" t="str"/>
      <x:c r="R1218" s="16" t="str">
        <x:v>用户寻找女士白色人字拖鞋，对颜色和性别有明确要求。</x:v>
      </x:c>
      <x:c r="S1218" s="13" t="str">
        <x:v>high_intent</x:v>
      </x:c>
      <x:c r="T1218" s="16" t="str">
        <x:v>explicit | page_validated</x:v>
      </x:c>
      <x:c r="U1218" s="13" t="str">
        <x:v>high</x:v>
      </x:c>
      <x:c r="V1218" s="16" t="str">
        <x:v>womens_white_flip_flops</x:v>
      </x:c>
      <x:c r="W1218" s="16" t="str">
        <x:v>cluster_route</x:v>
      </x:c>
      <x:c r="X1218" s="16" t="str">
        <x:v>{"product_type":[{"value":"flip_flop","evidence_type":"explicit","source_span":"flip flop","fact_ids":[],"rationale":"词面明确flip flop"},{"value":"flip_flop","evidence_type":"page_validated","source_span":"","fact_ids":["style_flip_flop"],"rationale":"Listing确认为Flip Flop"}],"audience_intent":[{"value":"women","evidence_type":"explicit","source_span":"womens","fact_ids":[],"rationale":"词面指定女性"},{"value":"women","evidence_type":"page_validated","source_span":"","fact_ids":["title_womens_flip_flop"],"rationale":"Listing标题为女款"}],"color":[{"value":"white","evidence_type":"explicit","source_span":"white","fact_ids":[],"rationale":"该颜色在商品页面可见颜色选择中得到明确支持。"},{"value":"white","evidence_type":"page_validated","source_span":"","fact_ids":["colors_visible"],"rationale":"该颜色在商品页面可见颜色选择中得到明确支持。"}],"substitute_intent":[{"value":"sandals","evidence_type":"page_validated","source_span":"","fact_ids":["title_womens_flip_flop"],"rationale":"该槽位与商品基准中的明示页面事实一致。"}],"primary_domain":[{"value":"clothing_shoes_jewelry","evidence_type":"inferred","source_span":"","fact_ids":[],"rationale":"该值由搜索词整体语义推断，未作为页面明示属性。"}]}</x:v>
      </x:c>
      <x:c r="Y1218" s="16" t="str"/>
      <x:c r="Z1218" s="13" t="str">
        <x:v>match</x:v>
      </x:c>
      <x:c r="AA1218" s="16" t="str">
        <x:v>title_womens_flip_flop | style_flip_flop | colors_visible</x:v>
      </x:c>
      <x:c r="AB1218" s="13" t="str">
        <x:v>accepted</x:v>
      </x:c>
      <x:c r="AC1218" s="13" t="str">
        <x:v>1.0.0</x:v>
      </x:c>
      <x:c r="AD1218" s="13" t="str">
        <x:v>1.1.0</x:v>
      </x:c>
      <x:c r="AE1218" s="13" t="str">
        <x:v>deepseek/deepseek-v4-pro</x:v>
      </x:c>
      <x:c r="AF1218" s="13" t="str">
        <x:v>aj2-y90-20260714T234810-0bea2f52</x:v>
      </x:c>
      <x:c r="AG1218" s="13" t="str">
        <x:v>full-0061</x:v>
      </x:c>
      <x:c r="AH1218" s="13" t="str">
        <x:v>full</x:v>
      </x:c>
      <x:c r="AI1218" s="13" t="n">
        <x:v>61</x:v>
      </x:c>
    </x:row>
    <x:row r="1219" ht="34" customHeight="1">
      <x:c r="A1219" s="15" t="str">
        <x:v>beige rubber flip flops</x:v>
      </x:c>
      <x:c r="B1219" s="15" t="str">
        <x:v>beige rubber flip flops</x:v>
      </x:c>
      <x:c r="C1219" s="10" t="str">
        <x:v>e5287bc44e4a03b9</x:v>
      </x:c>
      <x:c r="D1219" s="10" t="str">
        <x:v>keyword</x:v>
      </x:c>
      <x:c r="E1219" s="10" t="str">
        <x:v>en</x:v>
      </x:c>
      <x:c r="F1219" s="10" t="str">
        <x:v>clothing_shoes_jewelry</x:v>
      </x:c>
      <x:c r="G1219" s="15" t="str"/>
      <x:c r="H1219" s="15" t="str">
        <x:v>flip_flop</x:v>
      </x:c>
      <x:c r="I1219" s="15" t="str"/>
      <x:c r="J1219" s="15" t="str"/>
      <x:c r="K1219" s="15" t="str"/>
      <x:c r="L1219" s="15" t="str"/>
      <x:c r="M1219" s="15" t="str"/>
      <x:c r="N1219" s="15" t="str"/>
      <x:c r="O1219" s="15" t="str"/>
      <x:c r="P1219" s="15" t="str"/>
      <x:c r="Q1219" s="15" t="str"/>
      <x:c r="R1219" s="15" t="str">
        <x:v>用户寻找米色橡胶人字拖，米色不在颜色选项中且材质为EVA非橡胶，双重缺口。</x:v>
      </x:c>
      <x:c r="S1219" s="10" t="str">
        <x:v>high_intent</x:v>
      </x:c>
      <x:c r="T1219" s="15" t="str">
        <x:v>explicit | page_validated</x:v>
      </x:c>
      <x:c r="U1219" s="10" t="str">
        <x:v>high</x:v>
      </x:c>
      <x:c r="V1219" s="15" t="str">
        <x:v>beige_rubber_flip_flops</x:v>
      </x:c>
      <x:c r="W1219" s="15" t="str">
        <x:v>listing_gap_review</x:v>
      </x:c>
      <x:c r="X1219" s="15" t="str">
        <x:v>{"product_type":[{"value":"flip_flop","evidence_type":"explicit","source_span":"flip flops","fact_ids":[],"rationale":"词面明确flip flops"},{"value":"flip_flop","evidence_type":"page_validated","source_span":"","fact_ids":["style_flip_flop"],"rationale":"Listing确认为Flip Flop"}],"material":[{"value":"rubber","evidence_type":"explicit","source_span":"rubber","fact_ids":[],"rationale":"词面要求橡胶材质"},{"value":"eva","evidence_type":"page_validated","source_span":"","fact_ids":["material_eva"],"rationale":"Listing材质为EVA非橡胶"}],"color":[{"value":"beige","evidence_type":"explicit","source_span":"beige","fact_ids":[],"rationale":"词面指定米色"}],"primary_domain":[{"value":"clothing_shoes_jewelry","evidence_type":"inferred","source_span":"","fact_ids":[],"rationale":"该值由搜索词整体语义推断，未作为页面明示属性。"}]}</x:v>
      </x:c>
      <x:c r="Y1219" s="15" t="str">
        <x:v>beige_not_in_visible_colors | rubber_may_be_loosely_interpreted_as_eva</x:v>
      </x:c>
      <x:c r="Z1219" s="10" t="str">
        <x:v>partial_match</x:v>
      </x:c>
      <x:c r="AA1219" s="15" t="str">
        <x:v>style_flip_flop | colors_visible | material_eva</x:v>
      </x:c>
      <x:c r="AB1219" s="10" t="str">
        <x:v>accepted</x:v>
      </x:c>
      <x:c r="AC1219" s="10" t="str">
        <x:v>1.0.0</x:v>
      </x:c>
      <x:c r="AD1219" s="10" t="str">
        <x:v>1.1.0</x:v>
      </x:c>
      <x:c r="AE1219" s="10" t="str">
        <x:v>deepseek/deepseek-v4-pro</x:v>
      </x:c>
      <x:c r="AF1219" s="10" t="str">
        <x:v>aj2-y90-20260714T234810-0bea2f52</x:v>
      </x:c>
      <x:c r="AG1219" s="10" t="str">
        <x:v>full-0061</x:v>
      </x:c>
      <x:c r="AH1219" s="10" t="str">
        <x:v>full</x:v>
      </x:c>
      <x:c r="AI1219" s="10" t="n">
        <x:v>61</x:v>
      </x:c>
    </x:row>
    <x:row r="1220" ht="34" customHeight="1">
      <x:c r="A1220" s="16" t="str">
        <x:v>memory foam flip flops for women</x:v>
      </x:c>
      <x:c r="B1220" s="16" t="str">
        <x:v>memory foam flip flops for women</x:v>
      </x:c>
      <x:c r="C1220" s="13" t="str">
        <x:v>ee8b7d779a993c35</x:v>
      </x:c>
      <x:c r="D1220" s="13" t="str">
        <x:v>keyword</x:v>
      </x:c>
      <x:c r="E1220" s="13" t="str">
        <x:v>en</x:v>
      </x:c>
      <x:c r="F1220" s="13" t="str">
        <x:v>clothing_shoes_jewelry</x:v>
      </x:c>
      <x:c r="G1220" s="16" t="str"/>
      <x:c r="H1220" s="16" t="str">
        <x:v>flip_flop</x:v>
      </x:c>
      <x:c r="I1220" s="16" t="str">
        <x:v>women</x:v>
      </x:c>
      <x:c r="J1220" s="16" t="str">
        <x:v>cushioning_comfort</x:v>
      </x:c>
      <x:c r="K1220" s="16" t="str">
        <x:v>memory_foam</x:v>
      </x:c>
      <x:c r="L1220" s="16" t="str"/>
      <x:c r="M1220" s="16" t="str"/>
      <x:c r="N1220" s="16" t="str">
        <x:v>foot_comfort</x:v>
      </x:c>
      <x:c r="O1220" s="16" t="str"/>
      <x:c r="P1220" s="16" t="str"/>
      <x:c r="Q1220" s="16" t="str"/>
      <x:c r="R1220" s="16" t="str">
        <x:v>用户寻找女士记忆棉人字拖，追求柔软缓震脚感，产品虽有填充但未声明记忆棉材料。</x:v>
      </x:c>
      <x:c r="S1220" s="13" t="str">
        <x:v>high_intent</x:v>
      </x:c>
      <x:c r="T1220" s="16" t="str">
        <x:v>explicit | page_validated</x:v>
      </x:c>
      <x:c r="U1220" s="13" t="str">
        <x:v>medium</x:v>
      </x:c>
      <x:c r="V1220" s="16" t="str">
        <x:v>womens_memory_foam_flip_flops</x:v>
      </x:c>
      <x:c r="W1220" s="16" t="str">
        <x:v>listing_gap_review</x:v>
      </x:c>
      <x:c r="X1220" s="16" t="str">
        <x:v>{"product_type":[{"value":"flip_flop","evidence_type":"explicit","source_span":"flip flops","fact_ids":[],"rationale":"词面明确flip flops"},{"value":"flip_flop","evidence_type":"page_validated","source_span":"","fact_ids":["style_flip_flop"],"rationale":"Listing确认为Flip Flop"}],"audience_intent":[{"value":"women","evidence_type":"explicit","source_span":"women","fact_ids":[],"rationale":"词面指定女性"},{"value":"women","evidence_type":"page_validated","source_span":"","fact_ids":["title_womens_flip_flop"],"rationale":"Listing标题为女款"}],"capability_intent":[{"value":"memory_foam","evidence_type":"explicit","source_span":"memory foam","fact_ids":[],"rationale":"词面明确要求记忆棉"}],"material":[{"value":"memory_foam","evidence_type":"explicit","source_span":"memory foam","fact_ids":[],"rationale":"词面指定记忆棉材质"},{"value":"padded","evidence_type":"page_validated","source_span":"","fact_ids":["padded_cushioning"],"rationale":"产品有填充缓震但非记忆棉"}],"function_intent":[{"value":"cushioning_comfort","evidence_type":"inferred","source_span":"","fact_ids":[],"rationale":"该值由搜索词整体语义推断，未作为页面明示属性。"}],"body_need_intent":[{"value":"foot_comfort","evidence_type":"page_validated","source_span":"","fact_ids":["arch_support","padded_cushioning"],"rationale":"该槽位与商品基准中的明示页面事实一致。"},{"value":"foot_comfor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1220" s="16" t="str">
        <x:v>memory_foam_not_claimed_on_page</x:v>
      </x:c>
      <x:c r="Z1220" s="13" t="str">
        <x:v>partial_match</x:v>
      </x:c>
      <x:c r="AA1220" s="16" t="str">
        <x:v>title_womens_flip_flop | style_flip_flop | padded_cushioning</x:v>
      </x:c>
      <x:c r="AB1220" s="13" t="str">
        <x:v>accepted</x:v>
      </x:c>
      <x:c r="AC1220" s="13" t="str">
        <x:v>1.0.0</x:v>
      </x:c>
      <x:c r="AD1220" s="13" t="str">
        <x:v>1.1.0</x:v>
      </x:c>
      <x:c r="AE1220" s="13" t="str">
        <x:v>deepseek/deepseek-v4-pro</x:v>
      </x:c>
      <x:c r="AF1220" s="13" t="str">
        <x:v>aj2-y90-20260714T234810-0bea2f52</x:v>
      </x:c>
      <x:c r="AG1220" s="13" t="str">
        <x:v>full-0061</x:v>
      </x:c>
      <x:c r="AH1220" s="13" t="str">
        <x:v>full</x:v>
      </x:c>
      <x:c r="AI1220" s="13" t="n">
        <x:v>61</x:v>
      </x:c>
    </x:row>
    <x:row r="1221" ht="34" customHeight="1">
      <x:c r="A1221" s="15" t="str">
        <x:v>archies flip flops for women</x:v>
      </x:c>
      <x:c r="B1221" s="15" t="str">
        <x:v>archies flip flops for women</x:v>
      </x:c>
      <x:c r="C1221" s="10" t="str">
        <x:v>eeec74627e43fc46</x:v>
      </x:c>
      <x:c r="D1221" s="10" t="str">
        <x:v>keyword</x:v>
      </x:c>
      <x:c r="E1221" s="10" t="str">
        <x:v>en</x:v>
      </x:c>
      <x:c r="F1221" s="10" t="str">
        <x:v>clothing_shoes_jewelry</x:v>
      </x:c>
      <x:c r="G1221" s="15" t="str"/>
      <x:c r="H1221" s="15" t="str">
        <x:v>flip_flop</x:v>
      </x:c>
      <x:c r="I1221" s="15" t="str">
        <x:v>women</x:v>
      </x:c>
      <x:c r="J1221" s="15" t="str"/>
      <x:c r="K1221" s="15" t="str">
        <x:v>arch_support</x:v>
      </x:c>
      <x:c r="L1221" s="15" t="str"/>
      <x:c r="M1221" s="15" t="str"/>
      <x:c r="N1221" s="15" t="str">
        <x:v>arch_support</x:v>
      </x:c>
      <x:c r="O1221" s="15" t="str"/>
      <x:c r="P1221" s="15" t="str"/>
      <x:c r="Q1221" s="15" t="str"/>
      <x:c r="R1221" s="15" t="str">
        <x:v>用户搜索archies品牌或拱形支撑人字拖，词面歧义：可能为竞品品牌检索或足弓支撑需求。</x:v>
      </x:c>
      <x:c r="S1221" s="10" t="str">
        <x:v>consideration</x:v>
      </x:c>
      <x:c r="T1221" s="15" t="str">
        <x:v>explicit | inferred | page_validated</x:v>
      </x:c>
      <x:c r="U1221" s="10" t="str">
        <x:v>low</x:v>
      </x:c>
      <x:c r="V1221" s="15" t="str">
        <x:v>archies_flip_flops_ambiguous</x:v>
      </x:c>
      <x:c r="W1221" s="15" t="str">
        <x:v>ambiguity_review</x:v>
      </x:c>
      <x:c r="X1221" s="15" t="str">
        <x:v>{"product_type":[{"value":"flip_flop","evidence_type":"explicit","source_span":"flip flops","fact_ids":[],"rationale":"词面明确flip flops"},{"value":"flip_flop","evidence_type":"page_validated","source_span":"","fact_ids":["style_flip_flop"],"rationale":"Listing确认为Flip Flop"}],"audience_intent":[{"value":"women","evidence_type":"explicit","source_span":"women","fact_ids":[],"rationale":"词面指定女性"},{"value":"women","evidence_type":"page_validated","source_span":"","fact_ids":["title_womens_flip_flop"],"rationale":"Listing标题为女款"}],"capability_intent":[{"value":"arch_support","evidence_type":"page_validated","source_span":"","fact_ids":["arch_support"],"rationale":"Listing具备足弓支撑"},{"value":"arch_support","evidence_type":"inferred","source_span":"","fact_ids":[],"rationale":"该能力由搜索词表达的任务或问题推断；页面事实仅用于验证商品承接。"}],"brand":[{"value":"archies","evidence_type":"inferred","source_span":"archies","fact_ids":[],"rationale":"archies可能为竞品品牌名Archies Footwear"}],"primary_domain":[{"value":"clothing_shoes_jewelry","evidence_type":"inferred","source_span":"","fact_ids":[],"rationale":"该值由搜索词整体语义推断，未作为页面明示属性。"}]}</x:v>
      </x:c>
      <x:c r="Y1221" s="15" t="str">
        <x:v>archies_could_be_brand_or_arch_descriptor</x:v>
      </x:c>
      <x:c r="Z1221" s="10" t="str">
        <x:v>unknown</x:v>
      </x:c>
      <x:c r="AA1221" s="15" t="str"/>
      <x:c r="AB1221" s="10" t="str">
        <x:v>accepted</x:v>
      </x:c>
      <x:c r="AC1221" s="10" t="str">
        <x:v>1.0.0</x:v>
      </x:c>
      <x:c r="AD1221" s="10" t="str">
        <x:v>1.1.0</x:v>
      </x:c>
      <x:c r="AE1221" s="10" t="str">
        <x:v>deepseek/deepseek-v4-pro</x:v>
      </x:c>
      <x:c r="AF1221" s="10" t="str">
        <x:v>aj2-y90-20260714T234810-0bea2f52</x:v>
      </x:c>
      <x:c r="AG1221" s="10" t="str">
        <x:v>full-0061</x:v>
      </x:c>
      <x:c r="AH1221" s="10" t="str">
        <x:v>full</x:v>
      </x:c>
      <x:c r="AI1221" s="10" t="n">
        <x:v>61</x:v>
      </x:c>
    </x:row>
    <x:row r="1222" ht="34" customHeight="1">
      <x:c r="A1222" s="16" t="str">
        <x:v>womens sandals for pool</x:v>
      </x:c>
      <x:c r="B1222" s="16" t="str">
        <x:v>womens sandals for pool</x:v>
      </x:c>
      <x:c r="C1222" s="13" t="str">
        <x:v>03d946bc8f970c69</x:v>
      </x:c>
      <x:c r="D1222" s="13" t="str">
        <x:v>keyword</x:v>
      </x:c>
      <x:c r="E1222" s="13" t="str">
        <x:v>en</x:v>
      </x:c>
      <x:c r="F1222" s="13" t="str">
        <x:v>clothing_shoes_jewelry</x:v>
      </x:c>
      <x:c r="G1222" s="16" t="str"/>
      <x:c r="H1222" s="16" t="str">
        <x:v>sandals</x:v>
      </x:c>
      <x:c r="I1222" s="16" t="str">
        <x:v>women</x:v>
      </x:c>
      <x:c r="J1222" s="16" t="str"/>
      <x:c r="K1222" s="16" t="str">
        <x:v>slip_resistant</x:v>
      </x:c>
      <x:c r="L1222" s="16" t="str">
        <x:v>pool</x:v>
      </x:c>
      <x:c r="M1222" s="16" t="str">
        <x:v>pool</x:v>
      </x:c>
      <x:c r="N1222" s="16" t="str"/>
      <x:c r="O1222" s="16" t="str">
        <x:v>summer</x:v>
      </x:c>
      <x:c r="P1222" s="16" t="str"/>
      <x:c r="Q1222" s="16" t="str"/>
      <x:c r="R1222" s="16" t="str">
        <x:v>女性用户需要适合泳池环境穿着的凉鞋，期望防滑和耐水特性。</x:v>
      </x:c>
      <x:c r="S1222" s="13" t="str">
        <x:v>consideration</x:v>
      </x:c>
      <x:c r="T1222" s="16" t="str">
        <x:v>explicit | page_validated | inferred</x:v>
      </x:c>
      <x:c r="U1222" s="13" t="str">
        <x:v>medium</x:v>
      </x:c>
      <x:c r="V1222" s="16" t="str">
        <x:v>womens_pool_sandals</x:v>
      </x:c>
      <x:c r="W1222" s="16" t="str">
        <x:v>listing_gap_review</x:v>
      </x:c>
      <x:c r="X1222" s="16" t="str">
        <x:v>{"product_type":[{"value":"sandals","evidence_type":"explicit","source_span":"sandals","fact_ids":[],"rationale":""},{"value":"sandals","evidence_type":"page_validated","source_span":"","fact_ids":["style_flip_flop","style_open_toe"],"rationale":"产品为凉鞋类"}],"audience_intent":[{"value":"women","evidence_type":"explicit","source_span":"womens","fact_ids":[],"rationale":""},{"value":"women","evidence_type":"page_validated","source_span":"","fact_ids":["title_womens_flip_flop"],"rationale":""}],"event_intent":[{"value":"pool","evidence_type":"explicit","source_span":"pool","fact_ids":[],"rationale":""}],"location_intent":[{"value":"pool","evidence_type":"explicit","source_span":"pool","fact_ids":[],"rationale":""}],"capability_intent":[{"value":"slip_resistant","evidence_type":"page_validated","source_span":"","fact_ids":["slip_resistant_grip"],"rationale":"泳池环境需要防滑"},{"value":"slip_resistant","evidence_type":"inferred","source_span":"","fact_ids":[],"rationale":"该能力由搜索词表达的任务或问题推断；页面事实仅用于验证商品承接。"}],"time_intent":[{"value":"summer","evidence_type":"inferred","source_span":"","fact_ids":[],"rationale":"泳池活动多在夏季"}],"primary_domain":[{"value":"clothing_shoes_jewelry","evidence_type":"inferred","source_span":"","fact_ids":[],"rationale":"该值由搜索词整体语义推断，未作为页面明示属性。"}]}</x:v>
      </x:c>
      <x:c r="Y1222" s="16" t="str"/>
      <x:c r="Z1222" s="13" t="str">
        <x:v>partial_match</x:v>
      </x:c>
      <x:c r="AA1222" s="16" t="str">
        <x:v>title_womens_flip_flop | style_flip_flop | slip_resistant_grip | style_outdoor | material_eva | easy_clean</x:v>
      </x:c>
      <x:c r="AB1222" s="13" t="str">
        <x:v>accepted</x:v>
      </x:c>
      <x:c r="AC1222" s="13" t="str">
        <x:v>1.0.0</x:v>
      </x:c>
      <x:c r="AD1222" s="13" t="str">
        <x:v>1.1.0</x:v>
      </x:c>
      <x:c r="AE1222" s="13" t="str">
        <x:v>deepseek/deepseek-v4-pro</x:v>
      </x:c>
      <x:c r="AF1222" s="13" t="str">
        <x:v>aj2-y90-20260714T234810-0bea2f52</x:v>
      </x:c>
      <x:c r="AG1222" s="13" t="str">
        <x:v>full-0062</x:v>
      </x:c>
      <x:c r="AH1222" s="13" t="str">
        <x:v>full</x:v>
      </x:c>
      <x:c r="AI1222" s="13" t="n">
        <x:v>62</x:v>
      </x:c>
    </x:row>
    <x:row r="1223" ht="34" customHeight="1">
      <x:c r="A1223" s="15" t="str">
        <x:v>black heels</x:v>
      </x:c>
      <x:c r="B1223" s="15" t="str">
        <x:v>black heels</x:v>
      </x:c>
      <x:c r="C1223" s="10" t="str">
        <x:v>068e0c98d151d132</x:v>
      </x:c>
      <x:c r="D1223" s="10" t="str">
        <x:v>keyword</x:v>
      </x:c>
      <x:c r="E1223" s="10" t="str">
        <x:v>en</x:v>
      </x:c>
      <x:c r="F1223" s="10" t="str">
        <x:v>clothing_shoes_jewelry</x:v>
      </x:c>
      <x:c r="G1223" s="15" t="str"/>
      <x:c r="H1223" s="15" t="str">
        <x:v>heels</x:v>
      </x:c>
      <x:c r="I1223" s="15" t="str"/>
      <x:c r="J1223" s="15" t="str"/>
      <x:c r="K1223" s="15" t="str"/>
      <x:c r="L1223" s="15" t="str"/>
      <x:c r="M1223" s="15" t="str"/>
      <x:c r="N1223" s="15" t="str"/>
      <x:c r="O1223" s="15" t="str"/>
      <x:c r="P1223" s="15" t="str"/>
      <x:c r="Q1223" s="15" t="str"/>
      <x:c r="R1223" s="15" t="str">
        <x:v>用户搜索黑色高跟鞋，与当前平底夹脚拖鞋产品完全不符。</x:v>
      </x:c>
      <x:c r="S1223" s="10" t="str">
        <x:v>unknown</x:v>
      </x:c>
      <x:c r="T1223" s="15" t="str">
        <x:v>explicit | inferred</x:v>
      </x:c>
      <x:c r="U1223" s="10" t="str">
        <x:v>high</x:v>
      </x:c>
      <x:c r="V1223" s="15" t="str">
        <x:v>black_heels</x:v>
      </x:c>
      <x:c r="W1223" s="15" t="str">
        <x:v>semantic_negative_candidate</x:v>
      </x:c>
      <x:c r="X1223" s="15" t="str">
        <x:v>{"product_type":[{"value":"heels","evidence_type":"explicit","source_span":"heels","fact_ids":[],"rationale":""}],"primary_domain":[{"value":"clothing_shoes_jewelry","evidence_type":"inferred","source_span":"","fact_ids":[],"rationale":"该值由搜索词整体语义推断，未作为页面明示属性。"}]}</x:v>
      </x:c>
      <x:c r="Y1223" s="15" t="str"/>
      <x:c r="Z1223" s="10" t="str">
        <x:v>mismatch</x:v>
      </x:c>
      <x:c r="AA1223" s="15" t="str"/>
      <x:c r="AB1223" s="10" t="str">
        <x:v>accepted</x:v>
      </x:c>
      <x:c r="AC1223" s="10" t="str">
        <x:v>1.0.0</x:v>
      </x:c>
      <x:c r="AD1223" s="10" t="str">
        <x:v>1.1.0</x:v>
      </x:c>
      <x:c r="AE1223" s="10" t="str">
        <x:v>deepseek/deepseek-v4-pro</x:v>
      </x:c>
      <x:c r="AF1223" s="10" t="str">
        <x:v>aj2-y90-20260714T234810-0bea2f52</x:v>
      </x:c>
      <x:c r="AG1223" s="10" t="str">
        <x:v>full-0062</x:v>
      </x:c>
      <x:c r="AH1223" s="10" t="str">
        <x:v>full</x:v>
      </x:c>
      <x:c r="AI1223" s="10" t="n">
        <x:v>62</x:v>
      </x:c>
    </x:row>
    <x:row r="1224" ht="34" customHeight="1">
      <x:c r="A1224" s="16" t="str">
        <x:v>sandalias para la playa</x:v>
      </x:c>
      <x:c r="B1224" s="16" t="str">
        <x:v>sandalias para la playa</x:v>
      </x:c>
      <x:c r="C1224" s="13" t="str">
        <x:v>08b435796029a4be</x:v>
      </x:c>
      <x:c r="D1224" s="13" t="str">
        <x:v>keyword</x:v>
      </x:c>
      <x:c r="E1224" s="13" t="str">
        <x:v>es</x:v>
      </x:c>
      <x:c r="F1224" s="13" t="str">
        <x:v>clothing_shoes_jewelry</x:v>
      </x:c>
      <x:c r="G1224" s="16" t="str"/>
      <x:c r="H1224" s="16" t="str">
        <x:v>sandals</x:v>
      </x:c>
      <x:c r="I1224" s="16" t="str"/>
      <x:c r="J1224" s="16" t="str"/>
      <x:c r="K1224" s="16" t="str">
        <x:v>slip_resistant</x:v>
      </x:c>
      <x:c r="L1224" s="16" t="str">
        <x:v>beach</x:v>
      </x:c>
      <x:c r="M1224" s="16" t="str">
        <x:v>beach</x:v>
      </x:c>
      <x:c r="N1224" s="16" t="str"/>
      <x:c r="O1224" s="16" t="str">
        <x:v>summer</x:v>
      </x:c>
      <x:c r="P1224" s="16" t="str"/>
      <x:c r="Q1224" s="16" t="str"/>
      <x:c r="R1224" s="16" t="str">
        <x:v>用户需要适合海滩穿着的凉鞋，注重防滑和亲水环境使用。</x:v>
      </x:c>
      <x:c r="S1224" s="13" t="str">
        <x:v>consideration</x:v>
      </x:c>
      <x:c r="T1224" s="16" t="str">
        <x:v>explicit | page_validated | inferred</x:v>
      </x:c>
      <x:c r="U1224" s="13" t="str">
        <x:v>high</x:v>
      </x:c>
      <x:c r="V1224" s="16" t="str">
        <x:v>beach_sandals</x:v>
      </x:c>
      <x:c r="W1224" s="16" t="str">
        <x:v>cluster_route</x:v>
      </x:c>
      <x:c r="X1224" s="16" t="str">
        <x:v>{"product_type":[{"value":"sandals","evidence_type":"explicit","source_span":"sandalias","fact_ids":[],"rationale":""},{"value":"sandals","evidence_type":"page_validated","source_span":"","fact_ids":["style_flip_flop","style_open_toe"],"rationale":"产品为夹脚凉鞋"},{"value":"sandals","evidence_type":"inferred","source_span":"","fact_ids":[],"rationale":"该能力由搜索词表达的任务或问题推断；页面事实仅用于验证商品承接。"}],"event_intent":[{"value":"beach","evidence_type":"explicit","source_span":"playa","fact_ids":[],"rationale":""}],"location_intent":[{"value":"beach","evidence_type":"explicit","source_span":"playa","fact_ids":[],"rationale":""}],"capability_intent":[{"value":"slip_resistant","evidence_type":"page_validated","source_span":"","fact_ids":["slip_resistant_grip"],"rationale":"海滩环境需要防滑"},{"value":"slip_resistant","evidence_type":"inferred","source_span":"","fact_ids":[],"rationale":"该能力由搜索词表达的任务或问题推断；页面事实仅用于验证商品承接。"}],"time_intent":[{"value":"summer","evidence_type":"inferred","source_span":"","fact_ids":[],"rationale":"海滩活动通常发生在夏季"}],"primary_domain":[{"value":"clothing_shoes_jewelry","evidence_type":"inferred","source_span":"","fact_ids":[],"rationale":"该值由搜索词整体语义推断，未作为页面明示属性。"}]}</x:v>
      </x:c>
      <x:c r="Y1224" s="16" t="str"/>
      <x:c r="Z1224" s="13" t="str">
        <x:v>match</x:v>
      </x:c>
      <x:c r="AA1224" s="16" t="str">
        <x:v>style_outdoor | slip_resistant_grip | style_flip_flop</x:v>
      </x:c>
      <x:c r="AB1224" s="13" t="str">
        <x:v>accepted</x:v>
      </x:c>
      <x:c r="AC1224" s="13" t="str">
        <x:v>1.0.0</x:v>
      </x:c>
      <x:c r="AD1224" s="13" t="str">
        <x:v>1.1.0</x:v>
      </x:c>
      <x:c r="AE1224" s="13" t="str">
        <x:v>deepseek/deepseek-v4-pro</x:v>
      </x:c>
      <x:c r="AF1224" s="13" t="str">
        <x:v>aj2-y90-20260714T234810-0bea2f52</x:v>
      </x:c>
      <x:c r="AG1224" s="13" t="str">
        <x:v>full-0062</x:v>
      </x:c>
      <x:c r="AH1224" s="13" t="str">
        <x:v>full</x:v>
      </x:c>
      <x:c r="AI1224" s="13" t="n">
        <x:v>62</x:v>
      </x:c>
    </x:row>
    <x:row r="1225" ht="34" customHeight="1">
      <x:c r="A1225" s="15" t="str">
        <x:v>flip flops</x:v>
      </x:c>
      <x:c r="B1225" s="15" t="str">
        <x:v>flip flops</x:v>
      </x:c>
      <x:c r="C1225" s="10" t="str">
        <x:v>0cfc297c1a745597</x:v>
      </x:c>
      <x:c r="D1225" s="10" t="str">
        <x:v>keyword</x:v>
      </x:c>
      <x:c r="E1225" s="10" t="str">
        <x:v>en</x:v>
      </x:c>
      <x:c r="F1225" s="10" t="str">
        <x:v>clothing_shoes_jewelry</x:v>
      </x:c>
      <x:c r="G1225" s="15" t="str"/>
      <x:c r="H1225" s="15" t="str">
        <x:v>flip_flops</x:v>
      </x:c>
      <x:c r="I1225" s="15" t="str"/>
      <x:c r="J1225" s="15" t="str"/>
      <x:c r="K1225" s="15" t="str"/>
      <x:c r="L1225" s="15" t="str"/>
      <x:c r="M1225" s="15" t="str"/>
      <x:c r="N1225" s="15" t="str"/>
      <x:c r="O1225" s="15" t="str"/>
      <x:c r="P1225" s="15" t="str"/>
      <x:c r="Q1225" s="15" t="str"/>
      <x:c r="R1225" s="15" t="str">
        <x:v>用户笼统搜索夹脚拖鞋品类，无明确功能或人群限定。</x:v>
      </x:c>
      <x:c r="S1225" s="10" t="str">
        <x:v>exploration</x:v>
      </x:c>
      <x:c r="T1225" s="15" t="str">
        <x:v>explicit | page_validated</x:v>
      </x:c>
      <x:c r="U1225" s="10" t="str">
        <x:v>high</x:v>
      </x:c>
      <x:c r="V1225" s="15" t="str">
        <x:v>generic_flip_flops</x:v>
      </x:c>
      <x:c r="W1225" s="15" t="str">
        <x:v>cluster_route</x:v>
      </x:c>
      <x:c r="X1225" s="15" t="str">
        <x:v>{"product_type":[{"value":"flip_flops","evidence_type":"explicit","source_span":"flip flops","fact_ids":[],"rationale":""},{"value":"flip_flops","evidence_type":"page_validated","source_span":"","fact_ids":["style_flip_flop"],"rationale":""}],"primary_domain":[{"value":"clothing_shoes_jewelry","evidence_type":"inferred","source_span":"","fact_ids":[],"rationale":"该值由搜索词整体语义推断，未作为页面明示属性。"}]}</x:v>
      </x:c>
      <x:c r="Y1225" s="15" t="str">
        <x:v>broad_category_term</x:v>
      </x:c>
      <x:c r="Z1225" s="10" t="str">
        <x:v>match</x:v>
      </x:c>
      <x:c r="AA1225" s="15" t="str">
        <x:v>style_flip_flop</x:v>
      </x:c>
      <x:c r="AB1225" s="10" t="str">
        <x:v>accepted</x:v>
      </x:c>
      <x:c r="AC1225" s="10" t="str">
        <x:v>1.0.0</x:v>
      </x:c>
      <x:c r="AD1225" s="10" t="str">
        <x:v>1.1.0</x:v>
      </x:c>
      <x:c r="AE1225" s="10" t="str">
        <x:v>deepseek/deepseek-v4-pro</x:v>
      </x:c>
      <x:c r="AF1225" s="10" t="str">
        <x:v>aj2-y90-20260714T234810-0bea2f52</x:v>
      </x:c>
      <x:c r="AG1225" s="10" t="str">
        <x:v>full-0062</x:v>
      </x:c>
      <x:c r="AH1225" s="10" t="str">
        <x:v>full</x:v>
      </x:c>
      <x:c r="AI1225" s="10" t="n">
        <x:v>62</x:v>
      </x:c>
    </x:row>
    <x:row r="1226" ht="34" customHeight="1">
      <x:c r="A1226" s="16" t="str">
        <x:v>comfy flip flops with arch support</x:v>
      </x:c>
      <x:c r="B1226" s="16" t="str">
        <x:v>comfy flip flops with arch support</x:v>
      </x:c>
      <x:c r="C1226" s="13" t="str">
        <x:v>0ea61de58776a085</x:v>
      </x:c>
      <x:c r="D1226" s="13" t="str">
        <x:v>keyword</x:v>
      </x:c>
      <x:c r="E1226" s="13" t="str">
        <x:v>en</x:v>
      </x:c>
      <x:c r="F1226" s="13" t="str">
        <x:v>clothing_shoes_jewelry</x:v>
      </x:c>
      <x:c r="G1226" s="16" t="str"/>
      <x:c r="H1226" s="16" t="str">
        <x:v>flip_flops</x:v>
      </x:c>
      <x:c r="I1226" s="16" t="str"/>
      <x:c r="J1226" s="16" t="str">
        <x:v>comfort</x:v>
      </x:c>
      <x:c r="K1226" s="16" t="str">
        <x:v>arch_support</x:v>
      </x:c>
      <x:c r="L1226" s="16" t="str"/>
      <x:c r="M1226" s="16" t="str"/>
      <x:c r="N1226" s="16" t="str">
        <x:v>arch_support | all_day_comfort</x:v>
      </x:c>
      <x:c r="O1226" s="16" t="str"/>
      <x:c r="P1226" s="16" t="str"/>
      <x:c r="Q1226" s="16" t="str"/>
      <x:c r="R1226" s="16" t="str">
        <x:v>用户需要舒适且带足弓支撑的夹脚拖鞋，满足日常长时间穿着。</x:v>
      </x:c>
      <x:c r="S1226" s="13" t="str">
        <x:v>high_intent</x:v>
      </x:c>
      <x:c r="T1226" s="16" t="str">
        <x:v>explicit | page_validated | inferred</x:v>
      </x:c>
      <x:c r="U1226" s="13" t="str">
        <x:v>high</x:v>
      </x:c>
      <x:c r="V1226" s="16" t="str">
        <x:v>comfy_flip_flops_arch_support</x:v>
      </x:c>
      <x:c r="W1226" s="16" t="str">
        <x:v>cluster_route</x:v>
      </x:c>
      <x:c r="X1226" s="16" t="str">
        <x:v>{"product_type":[{"value":"flip_flops","evidence_type":"explicit","source_span":"flip flops","fact_ids":[],"rationale":""},{"value":"flip_flops","evidence_type":"page_validated","source_span":"","fact_ids":["style_flip_flop"],"rationale":""}],"function_intent":[{"value":"comfort","evidence_type":"explicit","source_span":"comfy","fact_ids":[],"rationale":""},{"value":"comfort","evidence_type":"page_validated","source_span":"","fact_ids":["arch_support","padded_cushioning","lightweight_breathable"],"rationale":"产品具备多项舒适特性"},{"value":"comfort","evidence_type":"inferred","source_span":"","fact_ids":[],"rationale":"该能力由搜索词表达的任务或问题推断；页面事实仅用于验证商品承接。"}],"capability_intent":[{"value":"arch_support","evidence_type":"explicit","source_span":"arch support","fact_ids":[],"rationale":""},{"value":"arch_support","evidence_type":"page_validated","source_span":"","fact_ids":["arch_support"],"rationale":""}],"body_need_intent":[{"value":"all_day_comfort","evidence_type":"inferred","source_span":"","fact_ids":[],"rationale":"舒适诉求隐含全天候需求"}],"primary_domain":[{"value":"clothing_shoes_jewelry","evidence_type":"inferred","source_span":"","fact_ids":[],"rationale":"该值由搜索词整体语义推断，未作为页面明示属性。"}]}</x:v>
      </x:c>
      <x:c r="Y1226" s="16" t="str"/>
      <x:c r="Z1226" s="13" t="str">
        <x:v>match</x:v>
      </x:c>
      <x:c r="AA1226" s="16" t="str">
        <x:v>style_flip_flop | arch_support | padded_cushioning | lightweight_breathable</x:v>
      </x:c>
      <x:c r="AB1226" s="13" t="str">
        <x:v>accepted</x:v>
      </x:c>
      <x:c r="AC1226" s="13" t="str">
        <x:v>1.0.0</x:v>
      </x:c>
      <x:c r="AD1226" s="13" t="str">
        <x:v>1.1.0</x:v>
      </x:c>
      <x:c r="AE1226" s="13" t="str">
        <x:v>deepseek/deepseek-v4-pro</x:v>
      </x:c>
      <x:c r="AF1226" s="13" t="str">
        <x:v>aj2-y90-20260714T234810-0bea2f52</x:v>
      </x:c>
      <x:c r="AG1226" s="13" t="str">
        <x:v>full-0062</x:v>
      </x:c>
      <x:c r="AH1226" s="13" t="str">
        <x:v>full</x:v>
      </x:c>
      <x:c r="AI1226" s="13" t="n">
        <x:v>62</x:v>
      </x:c>
    </x:row>
    <x:row r="1227" ht="34" customHeight="1">
      <x:c r="A1227" s="15" t="str">
        <x:v>archie flops</x:v>
      </x:c>
      <x:c r="B1227" s="15" t="str">
        <x:v>archie flops</x:v>
      </x:c>
      <x:c r="C1227" s="10" t="str">
        <x:v>15eb77b14d5e133e</x:v>
      </x:c>
      <x:c r="D1227" s="10" t="str">
        <x:v>keyword</x:v>
      </x:c>
      <x:c r="E1227" s="10" t="str">
        <x:v>en</x:v>
      </x:c>
      <x:c r="F1227" s="10" t="str">
        <x:v>clothing_shoes_jewelry</x:v>
      </x:c>
      <x:c r="G1227" s="15" t="str"/>
      <x:c r="H1227" s="15" t="str">
        <x:v>flip_flops</x:v>
      </x:c>
      <x:c r="I1227" s="15" t="str"/>
      <x:c r="J1227" s="15" t="str"/>
      <x:c r="K1227" s="15" t="str">
        <x:v>arch_support</x:v>
      </x:c>
      <x:c r="L1227" s="15" t="str"/>
      <x:c r="M1227" s="15" t="str"/>
      <x:c r="N1227" s="15" t="str"/>
      <x:c r="O1227" s="15" t="str"/>
      <x:c r="P1227" s="15" t="str"/>
      <x:c r="Q1227" s="15" t="str"/>
      <x:c r="R1227" s="15" t="str">
        <x:v>用户搜索Archie品牌夹脚拖鞋，可能为品牌忠诚用户寻求该品牌产品。</x:v>
      </x:c>
      <x:c r="S1227" s="10" t="str">
        <x:v>brand_harvest</x:v>
      </x:c>
      <x:c r="T1227" s="15" t="str">
        <x:v>explicit | inferred</x:v>
      </x:c>
      <x:c r="U1227" s="10" t="str">
        <x:v>medium</x:v>
      </x:c>
      <x:c r="V1227" s="15" t="str">
        <x:v>archie_brand_flip_flops</x:v>
      </x:c>
      <x:c r="W1227" s="15" t="str">
        <x:v>semantic_negative_candidate</x:v>
      </x:c>
      <x:c r="X1227" s="15" t="str">
        <x:v>{"product_type":[{"value":"flip_flops","evidence_type":"explicit","source_span":"flops","fact_ids":[],"rationale":""},{"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capability_intent":[{"value":"arch_support","evidence_type":"inferred","source_span":"","fact_ids":[],"rationale":"Archie品牌以足弓支撑闻名"},{"value":"arch_support","evidence_type":"page_validated","source_span":"","fact_ids":["arch_support"],"rationale":"该槽位与商品基准中的明示页面事实一致。"}],"primary_domain":[{"value":"clothing_shoes_jewelry","evidence_type":"inferred","source_span":"","fact_ids":[],"rationale":"该值由搜索词整体语义推断，未作为页面明示属性。"}]}</x:v>
      </x:c>
      <x:c r="Y1227" s="15" t="str">
        <x:v>brand_as_product_term</x:v>
      </x:c>
      <x:c r="Z1227" s="10" t="str">
        <x:v>mismatch</x:v>
      </x:c>
      <x:c r="AA1227" s="15" t="str"/>
      <x:c r="AB1227" s="10" t="str">
        <x:v>accepted</x:v>
      </x:c>
      <x:c r="AC1227" s="10" t="str">
        <x:v>1.0.0</x:v>
      </x:c>
      <x:c r="AD1227" s="10" t="str">
        <x:v>1.1.0</x:v>
      </x:c>
      <x:c r="AE1227" s="10" t="str">
        <x:v>deepseek/deepseek-v4-pro</x:v>
      </x:c>
      <x:c r="AF1227" s="10" t="str">
        <x:v>aj2-y90-20260714T234810-0bea2f52</x:v>
      </x:c>
      <x:c r="AG1227" s="10" t="str">
        <x:v>full-0062</x:v>
      </x:c>
      <x:c r="AH1227" s="10" t="str">
        <x:v>full</x:v>
      </x:c>
      <x:c r="AI1227" s="10" t="n">
        <x:v>62</x:v>
      </x:c>
    </x:row>
    <x:row r="1228" ht="34" customHeight="1">
      <x:c r="A1228" s="16" t="str">
        <x:v>size 11 flip flops</x:v>
      </x:c>
      <x:c r="B1228" s="16" t="str">
        <x:v>size 11 flip flops</x:v>
      </x:c>
      <x:c r="C1228" s="13" t="str">
        <x:v>1e1b1e85ac60121d</x:v>
      </x:c>
      <x:c r="D1228" s="13" t="str">
        <x:v>keyword</x:v>
      </x:c>
      <x:c r="E1228" s="13" t="str">
        <x:v>en</x:v>
      </x:c>
      <x:c r="F1228" s="13" t="str">
        <x:v>clothing_shoes_jewelry</x:v>
      </x:c>
      <x:c r="G1228" s="16" t="str"/>
      <x:c r="H1228" s="16" t="str">
        <x:v>flip_flops</x:v>
      </x:c>
      <x:c r="I1228" s="16" t="str"/>
      <x:c r="J1228" s="16" t="str"/>
      <x:c r="K1228" s="16" t="str"/>
      <x:c r="L1228" s="16" t="str"/>
      <x:c r="M1228" s="16" t="str"/>
      <x:c r="N1228" s="16" t="str"/>
      <x:c r="O1228" s="16" t="str"/>
      <x:c r="P1228" s="16" t="str"/>
      <x:c r="Q1228" s="16" t="str"/>
      <x:c r="R1228" s="16" t="str">
        <x:v>用户搜索11码夹脚拖鞋，已明确尺码需求。</x:v>
      </x:c>
      <x:c r="S1228" s="13" t="str">
        <x:v>high_intent</x:v>
      </x:c>
      <x:c r="T1228" s="16" t="str">
        <x:v>explicit | page_validated</x:v>
      </x:c>
      <x:c r="U1228" s="13" t="str">
        <x:v>high</x:v>
      </x:c>
      <x:c r="V1228" s="16" t="str">
        <x:v>sized_flip_flops_11</x:v>
      </x:c>
      <x:c r="W1228" s="16" t="str">
        <x:v>cluster_route</x:v>
      </x:c>
      <x:c r="X1228" s="16" t="str">
        <x:v>{"product_type":[{"value":"flip_flops","evidence_type":"explicit","source_span":"flip flops","fact_ids":[],"rationale":""},{"value":"flip_flops","evidence_type":"page_validated","source_span":"","fact_ids":["style_flip_flop"],"rationale":""}],"primary_domain":[{"value":"clothing_shoes_jewelry","evidence_type":"inferred","source_span":"","fact_ids":[],"rationale":"该值由搜索词整体语义推断，未作为页面明示属性。"}]}</x:v>
      </x:c>
      <x:c r="Y1228" s="16" t="str"/>
      <x:c r="Z1228" s="13" t="str">
        <x:v>match</x:v>
      </x:c>
      <x:c r="AA1228" s="16" t="str">
        <x:v>style_flip_flop | sizes_6_11</x:v>
      </x:c>
      <x:c r="AB1228" s="13" t="str">
        <x:v>accepted</x:v>
      </x:c>
      <x:c r="AC1228" s="13" t="str">
        <x:v>1.0.0</x:v>
      </x:c>
      <x:c r="AD1228" s="13" t="str">
        <x:v>1.1.0</x:v>
      </x:c>
      <x:c r="AE1228" s="13" t="str">
        <x:v>deepseek/deepseek-v4-pro</x:v>
      </x:c>
      <x:c r="AF1228" s="13" t="str">
        <x:v>aj2-y90-20260714T234810-0bea2f52</x:v>
      </x:c>
      <x:c r="AG1228" s="13" t="str">
        <x:v>full-0062</x:v>
      </x:c>
      <x:c r="AH1228" s="13" t="str">
        <x:v>full</x:v>
      </x:c>
      <x:c r="AI1228" s="13" t="n">
        <x:v>62</x:v>
      </x:c>
    </x:row>
    <x:row r="1229" ht="34" customHeight="1">
      <x:c r="A1229" s="15" t="str">
        <x:v>square flip flops for women</x:v>
      </x:c>
      <x:c r="B1229" s="15" t="str">
        <x:v>square flip flops for women</x:v>
      </x:c>
      <x:c r="C1229" s="10" t="str">
        <x:v>2d93e36d71e31b88</x:v>
      </x:c>
      <x:c r="D1229" s="10" t="str">
        <x:v>keyword</x:v>
      </x:c>
      <x:c r="E1229" s="10" t="str">
        <x:v>en</x:v>
      </x:c>
      <x:c r="F1229" s="10" t="str">
        <x:v>clothing_shoes_jewelry</x:v>
      </x:c>
      <x:c r="G1229" s="15" t="str"/>
      <x:c r="H1229" s="15" t="str">
        <x:v>flip_flops</x:v>
      </x:c>
      <x:c r="I1229" s="15" t="str">
        <x:v>women</x:v>
      </x:c>
      <x:c r="J1229" s="15" t="str"/>
      <x:c r="K1229" s="15" t="str"/>
      <x:c r="L1229" s="15" t="str"/>
      <x:c r="M1229" s="15" t="str"/>
      <x:c r="N1229" s="15" t="str"/>
      <x:c r="O1229" s="15" t="str"/>
      <x:c r="P1229" s="15" t="str"/>
      <x:c r="Q1229" s="15" t="str"/>
      <x:c r="R1229" s="15" t="str">
        <x:v>女性用户搜索方形外观设计的夹脚拖鞋，关注鞋型款式而非功能特性。</x:v>
      </x:c>
      <x:c r="S1229" s="10" t="str">
        <x:v>consideration</x:v>
      </x:c>
      <x:c r="T1229" s="15" t="str">
        <x:v>explicit | inferred</x:v>
      </x:c>
      <x:c r="U1229" s="10" t="str">
        <x:v>medium</x:v>
      </x:c>
      <x:c r="V1229" s="15" t="str">
        <x:v>womens_square_flip_flops</x:v>
      </x:c>
      <x:c r="W1229" s="15" t="str">
        <x:v>listing_gap_review</x:v>
      </x:c>
      <x:c r="X1229" s="15" t="str">
        <x:v>{"product_type":[{"value":"flip_flops","evidence_type":"explicit","source_span":"flip flops","fact_ids":[],"rationale":""},{"value":"flip_flops","evidence_type":"page_validated","source_span":"","fact_ids":["style_flip_flop"],"rationale":"该槽位与商品基准中的明示页面事实一致。"}],"audience_intent":[{"value":"women","evidence_type":"explicit","source_span":"women","fact_ids":[],"rationale":""},{"value":"women","evidence_type":"page_validated","source_span":"","fact_ids":["title_womens_flip_flop"],"rationale":"该槽位与商品基准中的明示页面事实一致。"}],"primary_domain":[{"value":"clothing_shoes_jewelry","evidence_type":"inferred","source_span":"","fact_ids":[],"rationale":"该值由搜索词整体语义推断，未作为页面明示属性。"}]}</x:v>
      </x:c>
      <x:c r="Y1229" s="15" t="str"/>
      <x:c r="Z1229" s="10" t="str">
        <x:v>partial_match</x:v>
      </x:c>
      <x:c r="AA1229" s="15" t="str">
        <x:v>title_womens_flip_flop | style_flip_flop</x:v>
      </x:c>
      <x:c r="AB1229" s="10" t="str">
        <x:v>accepted</x:v>
      </x:c>
      <x:c r="AC1229" s="10" t="str">
        <x:v>1.0.0</x:v>
      </x:c>
      <x:c r="AD1229" s="10" t="str">
        <x:v>1.1.0</x:v>
      </x:c>
      <x:c r="AE1229" s="10" t="str">
        <x:v>deepseek/deepseek-v4-pro</x:v>
      </x:c>
      <x:c r="AF1229" s="10" t="str">
        <x:v>aj2-y90-20260714T234810-0bea2f52</x:v>
      </x:c>
      <x:c r="AG1229" s="10" t="str">
        <x:v>full-0062</x:v>
      </x:c>
      <x:c r="AH1229" s="10" t="str">
        <x:v>full</x:v>
      </x:c>
      <x:c r="AI1229" s="10" t="n">
        <x:v>62</x:v>
      </x:c>
    </x:row>
    <x:row r="1230" ht="34" customHeight="1">
      <x:c r="A1230" s="16" t="str">
        <x:v>arch support flip flop brown</x:v>
      </x:c>
      <x:c r="B1230" s="16" t="str">
        <x:v>arch support flip flop brown</x:v>
      </x:c>
      <x:c r="C1230" s="13" t="str">
        <x:v>32f5122fd786073d</x:v>
      </x:c>
      <x:c r="D1230" s="13" t="str">
        <x:v>keyword</x:v>
      </x:c>
      <x:c r="E1230" s="13" t="str">
        <x:v>en</x:v>
      </x:c>
      <x:c r="F1230" s="13" t="str">
        <x:v>clothing_shoes_jewelry</x:v>
      </x:c>
      <x:c r="G1230" s="16" t="str"/>
      <x:c r="H1230" s="16" t="str">
        <x:v>flip_flops</x:v>
      </x:c>
      <x:c r="I1230" s="16" t="str"/>
      <x:c r="J1230" s="16" t="str"/>
      <x:c r="K1230" s="16" t="str">
        <x:v>arch_support</x:v>
      </x:c>
      <x:c r="L1230" s="16" t="str"/>
      <x:c r="M1230" s="16" t="str"/>
      <x:c r="N1230" s="16" t="str">
        <x:v>arch_support</x:v>
      </x:c>
      <x:c r="O1230" s="16" t="str"/>
      <x:c r="P1230" s="16" t="str"/>
      <x:c r="Q1230" s="16" t="str"/>
      <x:c r="R1230" s="16" t="str">
        <x:v>用户需要一双棕色且带足弓支撑的夹脚拖鞋，颜色与功能并重。</x:v>
      </x:c>
      <x:c r="S1230" s="13" t="str">
        <x:v>high_intent</x:v>
      </x:c>
      <x:c r="T1230" s="16" t="str">
        <x:v>explicit | page_validated</x:v>
      </x:c>
      <x:c r="U1230" s="13" t="str">
        <x:v>high</x:v>
      </x:c>
      <x:c r="V1230" s="16" t="str">
        <x:v>arch_support_flip_flop_colored</x:v>
      </x:c>
      <x:c r="W1230" s="16" t="str">
        <x:v>cluster_route</x:v>
      </x:c>
      <x:c r="X1230" s="16" t="str">
        <x:v>{"product_type":[{"value":"flip_flops","evidence_type":"explicit","source_span":"flip flop","fact_ids":[],"rationale":""},{"value":"flip_flops","evidence_type":"page_validated","source_span":"","fact_ids":["style_flip_flop"],"rationale":""},{"value":"flip_flops","evidence_type":"inferred","source_span":"","fact_ids":[],"rationale":"该能力由搜索词表达的任务或问题推断；页面事实仅用于验证商品承接。"}],"capability_intent":[{"value":"arch_support","evidence_type":"explicit","source_span":"arch support","fact_ids":[],"rationale":""},{"value":"arch_support","evidence_type":"page_validated","source_span":"","fact_ids":["arch_support"],"rationale":""}],"primary_domain":[{"value":"clothing_shoes_jewelry","evidence_type":"inferred","source_span":"","fact_ids":[],"rationale":"该值由搜索词整体语义推断，未作为页面明示属性。"}]}</x:v>
      </x:c>
      <x:c r="Y1230" s="16" t="str"/>
      <x:c r="Z1230" s="13" t="str">
        <x:v>match</x:v>
      </x:c>
      <x:c r="AA1230" s="16" t="str">
        <x:v>style_flip_flop | arch_support | colors_visible</x:v>
      </x:c>
      <x:c r="AB1230" s="13" t="str">
        <x:v>accepted</x:v>
      </x:c>
      <x:c r="AC1230" s="13" t="str">
        <x:v>1.0.0</x:v>
      </x:c>
      <x:c r="AD1230" s="13" t="str">
        <x:v>1.1.0</x:v>
      </x:c>
      <x:c r="AE1230" s="13" t="str">
        <x:v>deepseek/deepseek-v4-pro</x:v>
      </x:c>
      <x:c r="AF1230" s="13" t="str">
        <x:v>aj2-y90-20260714T234810-0bea2f52</x:v>
      </x:c>
      <x:c r="AG1230" s="13" t="str">
        <x:v>full-0062</x:v>
      </x:c>
      <x:c r="AH1230" s="13" t="str">
        <x:v>full</x:v>
      </x:c>
      <x:c r="AI1230" s="13" t="n">
        <x:v>62</x:v>
      </x:c>
    </x:row>
    <x:row r="1231" ht="34" customHeight="1">
      <x:c r="A1231" s="15" t="str">
        <x:v>womens size 5 flip flops</x:v>
      </x:c>
      <x:c r="B1231" s="15" t="str">
        <x:v>womens size 5 flip flops</x:v>
      </x:c>
      <x:c r="C1231" s="10" t="str">
        <x:v>3b4b2eeccfa7d0a6</x:v>
      </x:c>
      <x:c r="D1231" s="10" t="str">
        <x:v>keyword</x:v>
      </x:c>
      <x:c r="E1231" s="10" t="str">
        <x:v>en</x:v>
      </x:c>
      <x:c r="F1231" s="10" t="str">
        <x:v>clothing_shoes_jewelry</x:v>
      </x:c>
      <x:c r="G1231" s="15" t="str"/>
      <x:c r="H1231" s="15" t="str">
        <x:v>flip_flops</x:v>
      </x:c>
      <x:c r="I1231" s="15" t="str">
        <x:v>women</x:v>
      </x:c>
      <x:c r="J1231" s="15" t="str"/>
      <x:c r="K1231" s="15" t="str"/>
      <x:c r="L1231" s="15" t="str"/>
      <x:c r="M1231" s="15" t="str"/>
      <x:c r="N1231" s="15" t="str"/>
      <x:c r="O1231" s="15" t="str"/>
      <x:c r="P1231" s="15" t="str"/>
      <x:c r="Q1231" s="15" t="str"/>
      <x:c r="R1231" s="15" t="str">
        <x:v>女性用户需要5码夹脚拖鞋，产品仅提供6-11码。</x:v>
      </x:c>
      <x:c r="S1231" s="10" t="str">
        <x:v>high_intent</x:v>
      </x:c>
      <x:c r="T1231" s="15" t="str">
        <x:v>explicit | page_validated | inferred</x:v>
      </x:c>
      <x:c r="U1231" s="10" t="str">
        <x:v>medium</x:v>
      </x:c>
      <x:c r="V1231" s="15" t="str">
        <x:v>womens_flip_flops_size_5</x:v>
      </x:c>
      <x:c r="W1231" s="15" t="str">
        <x:v>listing_gap_review</x:v>
      </x:c>
      <x:c r="X1231" s="15" t="str">
        <x:v>{"product_type":[{"value":"flip_flops","evidence_type":"explicit","source_span":"flip flops","fact_ids":[],"rationale":""},{"value":"flip_flops","evidence_type":"page_validated","source_span":"","fact_ids":["style_flip_flop"],"rationale":""}],"audience_intent":[{"value":"women","evidence_type":"explicit","source_span":"womens","fact_ids":[],"rationale":""},{"value":"women","evidence_type":"page_validated","source_span":"","fact_ids":["title_womens_flip_flop"],"rationale":""}],"primary_domain":[{"value":"clothing_shoes_jewelry","evidence_type":"inferred","source_span":"","fact_ids":[],"rationale":"该值由搜索词整体语义推断，未作为页面明示属性。"}]}</x:v>
      </x:c>
      <x:c r="Y1231" s="15" t="str"/>
      <x:c r="Z1231" s="10" t="str">
        <x:v>partial_match</x:v>
      </x:c>
      <x:c r="AA1231" s="15" t="str">
        <x:v>title_womens_flip_flop | style_flip_flop | sizes_6_11</x:v>
      </x:c>
      <x:c r="AB1231" s="10" t="str">
        <x:v>accepted</x:v>
      </x:c>
      <x:c r="AC1231" s="10" t="str">
        <x:v>1.0.0</x:v>
      </x:c>
      <x:c r="AD1231" s="10" t="str">
        <x:v>1.1.0</x:v>
      </x:c>
      <x:c r="AE1231" s="10" t="str">
        <x:v>deepseek/deepseek-v4-pro</x:v>
      </x:c>
      <x:c r="AF1231" s="10" t="str">
        <x:v>aj2-y90-20260714T234810-0bea2f52</x:v>
      </x:c>
      <x:c r="AG1231" s="10" t="str">
        <x:v>full-0062</x:v>
      </x:c>
      <x:c r="AH1231" s="10" t="str">
        <x:v>full</x:v>
      </x:c>
      <x:c r="AI1231" s="10" t="n">
        <x:v>62</x:v>
      </x:c>
    </x:row>
    <x:row r="1232" ht="34" customHeight="1">
      <x:c r="A1232" s="16" t="str">
        <x:v>comfort flip flops for women black</x:v>
      </x:c>
      <x:c r="B1232" s="16" t="str">
        <x:v>comfort flip flops for women black</x:v>
      </x:c>
      <x:c r="C1232" s="13" t="str">
        <x:v>3f5f9649f3a1a83f</x:v>
      </x:c>
      <x:c r="D1232" s="13" t="str">
        <x:v>keyword</x:v>
      </x:c>
      <x:c r="E1232" s="13" t="str">
        <x:v>en</x:v>
      </x:c>
      <x:c r="F1232" s="13" t="str">
        <x:v>clothing_shoes_jewelry</x:v>
      </x:c>
      <x:c r="G1232" s="16" t="str"/>
      <x:c r="H1232" s="16" t="str">
        <x:v>flip_flops</x:v>
      </x:c>
      <x:c r="I1232" s="16" t="str">
        <x:v>women</x:v>
      </x:c>
      <x:c r="J1232" s="16" t="str">
        <x:v>comfort</x:v>
      </x:c>
      <x:c r="K1232" s="16" t="str">
        <x:v>cushioning | arch_support</x:v>
      </x:c>
      <x:c r="L1232" s="16" t="str"/>
      <x:c r="M1232" s="16" t="str"/>
      <x:c r="N1232" s="16" t="str">
        <x:v>all_day_comfort</x:v>
      </x:c>
      <x:c r="O1232" s="16" t="str"/>
      <x:c r="P1232" s="16" t="str"/>
      <x:c r="Q1232" s="16" t="str"/>
      <x:c r="R1232" s="16" t="str">
        <x:v>女性用户需要一双黑色舒适夹脚拖鞋，追求全天候穿着舒适体验。</x:v>
      </x:c>
      <x:c r="S1232" s="13" t="str">
        <x:v>high_intent</x:v>
      </x:c>
      <x:c r="T1232" s="16" t="str">
        <x:v>explicit | page_validated | inferred</x:v>
      </x:c>
      <x:c r="U1232" s="13" t="str">
        <x:v>high</x:v>
      </x:c>
      <x:c r="V1232" s="16" t="str">
        <x:v>comfort_flip_flops_women_black</x:v>
      </x:c>
      <x:c r="W1232" s="16" t="str">
        <x:v>cluster_route</x:v>
      </x:c>
      <x:c r="X1232" s="16" t="str">
        <x:v>{"product_type":[{"value":"flip_flops","evidence_type":"explicit","source_span":"flip flops","fact_ids":[],"rationale":""},{"value":"flip_flops","evidence_type":"page_validated","source_span":"","fact_ids":["style_flip_flop"],"rationale":""}],"audience_intent":[{"value":"women","evidence_type":"explicit","source_span":"women","fact_ids":[],"rationale":""},{"value":"women","evidence_type":"page_validated","source_span":"","fact_ids":["title_womens_flip_flop"],"rationale":""}],"function_intent":[{"value":"comfort","evidence_type":"explicit","source_span":"comfort","fact_ids":[],"rationale":""},{"value":"comfort","evidence_type":"page_validated","source_span":"","fact_ids":["arch_support","padded_cushioning","lightweight_breathable"],"rationale":""}],"capability_intent":[{"value":"cushioning","evidence_type":"page_validated","source_span":"","fact_ids":["padded_cushioning"],"rationale":""},{"value":"arch_support","evidence_type":"page_validated","source_span":"","fact_ids":["arch_support"],"rationale":""},{"value":"cushioning","evidence_type":"inferred","source_span":"","fact_ids":[],"rationale":"该能力由搜索词表达的任务或问题推断；页面事实仅用于验证商品承接。"},{"value":"arch_support","evidence_type":"inferred","source_span":"","fact_ids":[],"rationale":"该能力由搜索词表达的任务或问题推断；页面事实仅用于验证商品承接。"}],"body_need_intent":[{"value":"all_day_comfort","evidence_type":"inferred","source_span":"","fact_ids":[],"rationale":"舒适需求可推断为全天舒适"}],"primary_domain":[{"value":"clothing_shoes_jewelry","evidence_type":"inferred","source_span":"","fact_ids":[],"rationale":"该值由搜索词整体语义推断，未作为页面明示属性。"}]}</x:v>
      </x:c>
      <x:c r="Y1232" s="16" t="str"/>
      <x:c r="Z1232" s="13" t="str">
        <x:v>match</x:v>
      </x:c>
      <x:c r="AA1232" s="16" t="str">
        <x:v>title_womens_flip_flop | style_flip_flop | arch_support | padded_cushioning | lightweight_breathable | colors_visible</x:v>
      </x:c>
      <x:c r="AB1232" s="13" t="str">
        <x:v>accepted</x:v>
      </x:c>
      <x:c r="AC1232" s="13" t="str">
        <x:v>1.0.0</x:v>
      </x:c>
      <x:c r="AD1232" s="13" t="str">
        <x:v>1.1.0</x:v>
      </x:c>
      <x:c r="AE1232" s="13" t="str">
        <x:v>deepseek/deepseek-v4-pro</x:v>
      </x:c>
      <x:c r="AF1232" s="13" t="str">
        <x:v>aj2-y90-20260714T234810-0bea2f52</x:v>
      </x:c>
      <x:c r="AG1232" s="13" t="str">
        <x:v>full-0062</x:v>
      </x:c>
      <x:c r="AH1232" s="13" t="str">
        <x:v>full</x:v>
      </x:c>
      <x:c r="AI1232" s="13" t="n">
        <x:v>62</x:v>
      </x:c>
    </x:row>
    <x:row r="1233" ht="34" customHeight="1">
      <x:c r="A1233" s="15" t="str">
        <x:v>womens flip flops size 5.5 with arch support</x:v>
      </x:c>
      <x:c r="B1233" s="15" t="str">
        <x:v>womens flip flops size 5.5 with arch support</x:v>
      </x:c>
      <x:c r="C1233" s="10" t="str">
        <x:v>483cc98187278e6f</x:v>
      </x:c>
      <x:c r="D1233" s="10" t="str">
        <x:v>keyword</x:v>
      </x:c>
      <x:c r="E1233" s="10" t="str">
        <x:v>en</x:v>
      </x:c>
      <x:c r="F1233" s="10" t="str">
        <x:v>clothing_shoes_jewelry</x:v>
      </x:c>
      <x:c r="G1233" s="15" t="str"/>
      <x:c r="H1233" s="15" t="str">
        <x:v>flip_flops</x:v>
      </x:c>
      <x:c r="I1233" s="15" t="str">
        <x:v>women</x:v>
      </x:c>
      <x:c r="J1233" s="15" t="str"/>
      <x:c r="K1233" s="15" t="str">
        <x:v>arch_support</x:v>
      </x:c>
      <x:c r="L1233" s="15" t="str"/>
      <x:c r="M1233" s="15" t="str"/>
      <x:c r="N1233" s="15" t="str">
        <x:v>arch_support</x:v>
      </x:c>
      <x:c r="O1233" s="15" t="str"/>
      <x:c r="P1233" s="15" t="str"/>
      <x:c r="Q1233" s="15" t="str"/>
      <x:c r="R1233" s="15" t="str">
        <x:v>女性用户需要5.5码且带足弓支撑的夹脚拖鞋，但产品仅提供6-11码。</x:v>
      </x:c>
      <x:c r="S1233" s="10" t="str">
        <x:v>high_intent</x:v>
      </x:c>
      <x:c r="T1233" s="15" t="str">
        <x:v>explicit | page_validated | inferred</x:v>
      </x:c>
      <x:c r="U1233" s="10" t="str">
        <x:v>medium</x:v>
      </x:c>
      <x:c r="V1233" s="15" t="str">
        <x:v>womens_flip_flops_size_5_5_arch</x:v>
      </x:c>
      <x:c r="W1233" s="15" t="str">
        <x:v>listing_gap_review</x:v>
      </x:c>
      <x:c r="X1233" s="15" t="str">
        <x:v>{"product_type":[{"value":"flip_flops","evidence_type":"explicit","source_span":"flip flops","fact_ids":[],"rationale":""},{"value":"flip_flops","evidence_type":"page_validated","source_span":"","fact_ids":["style_flip_flop"],"rationale":""}],"audience_intent":[{"value":"women","evidence_type":"explicit","source_span":"womens","fact_ids":[],"rationale":""},{"value":"women","evidence_type":"page_validated","source_span":"","fact_ids":["title_womens_flip_flop"],"rationale":""}],"capability_intent":[{"value":"arch_support","evidence_type":"explicit","source_span":"arch support","fact_ids":[],"rationale":""},{"value":"arch_support","evidence_type":"page_validated","source_span":"","fact_ids":["arch_support"],"rationale":""}],"primary_domain":[{"value":"clothing_shoes_jewelry","evidence_type":"inferred","source_span":"","fact_ids":[],"rationale":"该值由搜索词整体语义推断，未作为页面明示属性。"}]}</x:v>
      </x:c>
      <x:c r="Y1233" s="15" t="str"/>
      <x:c r="Z1233" s="10" t="str">
        <x:v>partial_match</x:v>
      </x:c>
      <x:c r="AA1233" s="15" t="str">
        <x:v>title_womens_flip_flop | style_flip_flop | arch_support | sizes_6_11</x:v>
      </x:c>
      <x:c r="AB1233" s="10" t="str">
        <x:v>accepted</x:v>
      </x:c>
      <x:c r="AC1233" s="10" t="str">
        <x:v>1.0.0</x:v>
      </x:c>
      <x:c r="AD1233" s="10" t="str">
        <x:v>1.1.0</x:v>
      </x:c>
      <x:c r="AE1233" s="10" t="str">
        <x:v>deepseek/deepseek-v4-pro</x:v>
      </x:c>
      <x:c r="AF1233" s="10" t="str">
        <x:v>aj2-y90-20260714T234810-0bea2f52</x:v>
      </x:c>
      <x:c r="AG1233" s="10" t="str">
        <x:v>full-0062</x:v>
      </x:c>
      <x:c r="AH1233" s="10" t="str">
        <x:v>full</x:v>
      </x:c>
      <x:c r="AI1233" s="10" t="n">
        <x:v>62</x:v>
      </x:c>
    </x:row>
    <x:row r="1234" ht="34" customHeight="1">
      <x:c r="A1234" s="16" t="str">
        <x:v>flip-flops with an arch</x:v>
      </x:c>
      <x:c r="B1234" s="16" t="str">
        <x:v>flip-flops with an arch</x:v>
      </x:c>
      <x:c r="C1234" s="13" t="str">
        <x:v>4870aa8df2c24d83</x:v>
      </x:c>
      <x:c r="D1234" s="13" t="str">
        <x:v>keyword</x:v>
      </x:c>
      <x:c r="E1234" s="13" t="str">
        <x:v>en</x:v>
      </x:c>
      <x:c r="F1234" s="13" t="str">
        <x:v>clothing_shoes_jewelry</x:v>
      </x:c>
      <x:c r="G1234" s="16" t="str"/>
      <x:c r="H1234" s="16" t="str">
        <x:v>flip_flops</x:v>
      </x:c>
      <x:c r="I1234" s="16" t="str"/>
      <x:c r="J1234" s="16" t="str"/>
      <x:c r="K1234" s="16" t="str">
        <x:v>arch_support</x:v>
      </x:c>
      <x:c r="L1234" s="16" t="str"/>
      <x:c r="M1234" s="16" t="str"/>
      <x:c r="N1234" s="16" t="str">
        <x:v>arch_support</x:v>
      </x:c>
      <x:c r="O1234" s="16" t="str"/>
      <x:c r="P1234" s="16" t="str"/>
      <x:c r="Q1234" s="16" t="str"/>
      <x:c r="R1234" s="16" t="str">
        <x:v>用户需要带足弓支撑的夹脚拖鞋，用于缓解足弓不适或日常穿着。</x:v>
      </x:c>
      <x:c r="S1234" s="13" t="str">
        <x:v>high_intent</x:v>
      </x:c>
      <x:c r="T1234" s="16" t="str">
        <x:v>explicit | page_validated</x:v>
      </x:c>
      <x:c r="U1234" s="13" t="str">
        <x:v>high</x:v>
      </x:c>
      <x:c r="V1234" s="16" t="str">
        <x:v>flip_flops_with_arch_support</x:v>
      </x:c>
      <x:c r="W1234" s="16" t="str">
        <x:v>cluster_route</x:v>
      </x:c>
      <x:c r="X1234" s="16" t="str">
        <x:v>{"product_type":[{"value":"flip_flops","evidence_type":"explicit","source_span":"flip-flops","fact_ids":[],"rationale":""},{"value":"flip_flops","evidence_type":"page_validated","source_span":"","fact_ids":["style_flip_flop"],"rationale":""}],"capability_intent":[{"value":"arch_support","evidence_type":"explicit","source_span":"arch","fact_ids":[],"rationale":""},{"value":"arch_support","evidence_type":"page_validated","source_span":"","fact_ids":["arch_support"],"rationale":""},{"value":"arch_suppor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1234" s="16" t="str"/>
      <x:c r="Z1234" s="13" t="str">
        <x:v>match</x:v>
      </x:c>
      <x:c r="AA1234" s="16" t="str">
        <x:v>style_flip_flop | arch_support</x:v>
      </x:c>
      <x:c r="AB1234" s="13" t="str">
        <x:v>accepted</x:v>
      </x:c>
      <x:c r="AC1234" s="13" t="str">
        <x:v>1.0.0</x:v>
      </x:c>
      <x:c r="AD1234" s="13" t="str">
        <x:v>1.1.0</x:v>
      </x:c>
      <x:c r="AE1234" s="13" t="str">
        <x:v>deepseek/deepseek-v4-pro</x:v>
      </x:c>
      <x:c r="AF1234" s="13" t="str">
        <x:v>aj2-y90-20260714T234810-0bea2f52</x:v>
      </x:c>
      <x:c r="AG1234" s="13" t="str">
        <x:v>full-0062</x:v>
      </x:c>
      <x:c r="AH1234" s="13" t="str">
        <x:v>full</x:v>
      </x:c>
      <x:c r="AI1234" s="13" t="n">
        <x:v>62</x:v>
      </x:c>
    </x:row>
    <x:row r="1235" ht="34" customHeight="1">
      <x:c r="A1235" s="15" t="str">
        <x:v>thongs with support and soft toe</x:v>
      </x:c>
      <x:c r="B1235" s="15" t="str">
        <x:v>thongs with support and soft toe</x:v>
      </x:c>
      <x:c r="C1235" s="10" t="str">
        <x:v>4b8577763ce61f7a</x:v>
      </x:c>
      <x:c r="D1235" s="10" t="str">
        <x:v>keyword</x:v>
      </x:c>
      <x:c r="E1235" s="10" t="str">
        <x:v>en</x:v>
      </x:c>
      <x:c r="F1235" s="10" t="str">
        <x:v>clothing_shoes_jewelry</x:v>
      </x:c>
      <x:c r="G1235" s="15" t="str"/>
      <x:c r="H1235" s="15" t="str">
        <x:v>flip_flops</x:v>
      </x:c>
      <x:c r="I1235" s="15" t="str"/>
      <x:c r="J1235" s="15" t="str">
        <x:v>comfort</x:v>
      </x:c>
      <x:c r="K1235" s="15" t="str">
        <x:v>arch_support | soft_toe_post</x:v>
      </x:c>
      <x:c r="L1235" s="15" t="str"/>
      <x:c r="M1235" s="15" t="str"/>
      <x:c r="N1235" s="15" t="str">
        <x:v>arch_support</x:v>
      </x:c>
      <x:c r="O1235" s="15" t="str"/>
      <x:c r="P1235" s="15" t="str"/>
      <x:c r="Q1235" s="15" t="str"/>
      <x:c r="R1235" s="15" t="str">
        <x:v>用户需要人字拖款式且兼具足弓支撑和柔软趾柱的夹脚拖鞋。</x:v>
      </x:c>
      <x:c r="S1235" s="10" t="str">
        <x:v>high_intent</x:v>
      </x:c>
      <x:c r="T1235" s="15" t="str">
        <x:v>explicit | page_validated</x:v>
      </x:c>
      <x:c r="U1235" s="10" t="str">
        <x:v>high</x:v>
      </x:c>
      <x:c r="V1235" s="15" t="str">
        <x:v>thongs_with_support_soft_toe</x:v>
      </x:c>
      <x:c r="W1235" s="15" t="str">
        <x:v>cluster_route</x:v>
      </x:c>
      <x:c r="X1235" s="15" t="str">
        <x:v>{"product_type":[{"value":"flip_flops","evidence_type":"explicit","source_span":"thongs","fact_ids":[],"rationale":""},{"value":"flip_flops","evidence_type":"page_validated","source_span":"","fact_ids":["style_thong","style_flip_flop"],"rationale":""},{"value":"flip_flops","evidence_type":"inferred","source_span":"","fact_ids":[],"rationale":"该能力由搜索词表达的任务或问题推断；页面事实仅用于验证商品承接。"}],"function_intent":[{"value":"comfort","evidence_type":"inferred","source_span":"","fact_ids":[],"rationale":"支撑与柔软趾柱指向舒适"},{"value":"comfort","evidence_type":"page_validated","source_span":"","fact_ids":["arch_support","padded_cushioning"],"rationale":"该槽位与商品基准中的明示页面事实一致。"}],"capability_intent":[{"value":"arch_support","evidence_type":"explicit","source_span":"support","fact_ids":[],"rationale":""},{"value":"arch_support","evidence_type":"page_validated","source_span":"","fact_ids":["arch_support"],"rationale":""},{"value":"soft_toe_post","evidence_type":"explicit","source_span":"soft toe","fact_ids":[],"rationale":""},{"value":"soft_toe_post","evidence_type":"page_validated","source_span":"","fact_ids":["soft_toe_post"],"rationale":""},{"value":"arch_suppor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1235" s="15" t="str"/>
      <x:c r="Z1235" s="10" t="str">
        <x:v>match</x:v>
      </x:c>
      <x:c r="AA1235" s="15" t="str">
        <x:v>style_thong | style_flip_flop | arch_support | soft_toe_post</x:v>
      </x:c>
      <x:c r="AB1235" s="10" t="str">
        <x:v>accepted</x:v>
      </x:c>
      <x:c r="AC1235" s="10" t="str">
        <x:v>1.0.0</x:v>
      </x:c>
      <x:c r="AD1235" s="10" t="str">
        <x:v>1.1.0</x:v>
      </x:c>
      <x:c r="AE1235" s="10" t="str">
        <x:v>deepseek/deepseek-v4-pro</x:v>
      </x:c>
      <x:c r="AF1235" s="10" t="str">
        <x:v>aj2-y90-20260714T234810-0bea2f52</x:v>
      </x:c>
      <x:c r="AG1235" s="10" t="str">
        <x:v>full-0062</x:v>
      </x:c>
      <x:c r="AH1235" s="10" t="str">
        <x:v>full</x:v>
      </x:c>
      <x:c r="AI1235" s="10" t="n">
        <x:v>62</x:v>
      </x:c>
    </x:row>
    <x:row r="1236" ht="34" customHeight="1">
      <x:c r="A1236" s="16" t="str">
        <x:v>waterproof sandals for women</x:v>
      </x:c>
      <x:c r="B1236" s="16" t="str">
        <x:v>waterproof sandals for women</x:v>
      </x:c>
      <x:c r="C1236" s="13" t="str">
        <x:v>6697d2c84701d829</x:v>
      </x:c>
      <x:c r="D1236" s="13" t="str">
        <x:v>keyword</x:v>
      </x:c>
      <x:c r="E1236" s="13" t="str">
        <x:v>en</x:v>
      </x:c>
      <x:c r="F1236" s="13" t="str">
        <x:v>clothing_shoes_jewelry</x:v>
      </x:c>
      <x:c r="G1236" s="16" t="str"/>
      <x:c r="H1236" s="16" t="str">
        <x:v>sandals</x:v>
      </x:c>
      <x:c r="I1236" s="16" t="str">
        <x:v>women</x:v>
      </x:c>
      <x:c r="J1236" s="16" t="str"/>
      <x:c r="K1236" s="16" t="str">
        <x:v>waterproof</x:v>
      </x:c>
      <x:c r="L1236" s="16" t="str"/>
      <x:c r="M1236" s="16" t="str"/>
      <x:c r="N1236" s="16" t="str"/>
      <x:c r="O1236" s="16" t="str"/>
      <x:c r="P1236" s="16" t="str"/>
      <x:c r="Q1236" s="16" t="str"/>
      <x:c r="R1236" s="16" t="str">
        <x:v>女性用户需要防水凉鞋，产品页面未宣称防水性能。</x:v>
      </x:c>
      <x:c r="S1236" s="13" t="str">
        <x:v>consideration</x:v>
      </x:c>
      <x:c r="T1236" s="16" t="str">
        <x:v>explicit | inferred</x:v>
      </x:c>
      <x:c r="U1236" s="13" t="str">
        <x:v>medium</x:v>
      </x:c>
      <x:c r="V1236" s="16" t="str">
        <x:v>waterproof_womens_sandals</x:v>
      </x:c>
      <x:c r="W1236" s="16" t="str">
        <x:v>listing_gap_review</x:v>
      </x:c>
      <x:c r="X1236" s="16" t="str">
        <x:v>{"product_type":[{"value":"sandals","evidence_type":"explicit","source_span":"sandals","fact_ids":[],"rationale":""},{"value":"sandals","evidence_type":"page_validated","source_span":"","fact_ids":["style_flip_flop","style_open_toe"],"rationale":"产品为凉鞋类"}],"audience_intent":[{"value":"women","evidence_type":"explicit","source_span":"women","fact_ids":[],"rationale":""},{"value":"women","evidence_type":"page_validated","source_span":"","fact_ids":["title_womens_flip_flop"],"rationale":""}],"capability_intent":[{"value":"waterproof","evidence_type":"explicit","source_span":"waterproof","fact_ids":[],"rationale":""}],"primary_domain":[{"value":"clothing_shoes_jewelry","evidence_type":"inferred","source_span":"","fact_ids":[],"rationale":"该值由搜索词整体语义推断，未作为页面明示属性。"}]}</x:v>
      </x:c>
      <x:c r="Y1236" s="16" t="str"/>
      <x:c r="Z1236" s="13" t="str">
        <x:v>partial_match</x:v>
      </x:c>
      <x:c r="AA1236" s="16" t="str">
        <x:v>title_womens_flip_flop | style_flip_flop | material_eva | easy_clean</x:v>
      </x:c>
      <x:c r="AB1236" s="13" t="str">
        <x:v>accepted</x:v>
      </x:c>
      <x:c r="AC1236" s="13" t="str">
        <x:v>1.0.0</x:v>
      </x:c>
      <x:c r="AD1236" s="13" t="str">
        <x:v>1.1.0</x:v>
      </x:c>
      <x:c r="AE1236" s="13" t="str">
        <x:v>deepseek/deepseek-v4-pro</x:v>
      </x:c>
      <x:c r="AF1236" s="13" t="str">
        <x:v>aj2-y90-20260714T234810-0bea2f52</x:v>
      </x:c>
      <x:c r="AG1236" s="13" t="str">
        <x:v>full-0062</x:v>
      </x:c>
      <x:c r="AH1236" s="13" t="str">
        <x:v>full</x:v>
      </x:c>
      <x:c r="AI1236" s="13" t="n">
        <x:v>62</x:v>
      </x:c>
    </x:row>
    <x:row r="1237" ht="34" customHeight="1">
      <x:c r="A1237" s="15" t="str">
        <x:v>womens summer shoes</x:v>
      </x:c>
      <x:c r="B1237" s="15" t="str">
        <x:v>womens summer shoes</x:v>
      </x:c>
      <x:c r="C1237" s="10" t="str">
        <x:v>8151b230d40de865</x:v>
      </x:c>
      <x:c r="D1237" s="10" t="str">
        <x:v>keyword</x:v>
      </x:c>
      <x:c r="E1237" s="10" t="str">
        <x:v>en</x:v>
      </x:c>
      <x:c r="F1237" s="10" t="str">
        <x:v>clothing_shoes_jewelry</x:v>
      </x:c>
      <x:c r="G1237" s="15" t="str"/>
      <x:c r="H1237" s="15" t="str">
        <x:v>shoes | sandals</x:v>
      </x:c>
      <x:c r="I1237" s="15" t="str">
        <x:v>women</x:v>
      </x:c>
      <x:c r="J1237" s="15" t="str"/>
      <x:c r="K1237" s="15" t="str"/>
      <x:c r="L1237" s="15" t="str"/>
      <x:c r="M1237" s="15" t="str"/>
      <x:c r="N1237" s="15" t="str"/>
      <x:c r="O1237" s="15" t="str">
        <x:v>summer</x:v>
      </x:c>
      <x:c r="P1237" s="15" t="str"/>
      <x:c r="Q1237" s="15" t="str"/>
      <x:c r="R1237" s="15" t="str">
        <x:v>女性用户搜索夏季鞋履，产品为夏季夹脚凉鞋可匹配该广义需求。</x:v>
      </x:c>
      <x:c r="S1237" s="10" t="str">
        <x:v>exploration</x:v>
      </x:c>
      <x:c r="T1237" s="15" t="str">
        <x:v>explicit | page_validated | inferred</x:v>
      </x:c>
      <x:c r="U1237" s="10" t="str">
        <x:v>medium</x:v>
      </x:c>
      <x:c r="V1237" s="15" t="str">
        <x:v>womens_summer_shoes</x:v>
      </x:c>
      <x:c r="W1237" s="15" t="str">
        <x:v>cluster_route</x:v>
      </x:c>
      <x:c r="X1237" s="15" t="str">
        <x:v>{"product_type":[{"value":"shoes","evidence_type":"explicit","source_span":"shoes","fact_ids":[],"rationale":""},{"value":"sandals","evidence_type":"page_validated","source_span":"","fact_ids":["style_flip_flop","style_open_toe"],"rationale":"产品为夏季凉鞋"},{"value":"sandals","evidence_type":"inferred","source_span":"","fact_ids":[],"rationale":"该能力由搜索词表达的任务或问题推断；页面事实仅用于验证商品承接。"}],"audience_intent":[{"value":"women","evidence_type":"explicit","source_span":"womens","fact_ids":[],"rationale":""},{"value":"women","evidence_type":"page_validated","source_span":"","fact_ids":["title_womens_flip_flop"],"rationale":""}],"time_intent":[{"value":"summer","evidence_type":"explicit","source_span":"summer","fact_ids":[],"rationale":""}],"primary_domain":[{"value":"clothing_shoes_jewelry","evidence_type":"inferred","source_span":"","fact_ids":[],"rationale":"该值由搜索词整体语义推断，未作为页面明示属性。"}]}</x:v>
      </x:c>
      <x:c r="Y1237" s="15" t="str">
        <x:v>broad_category_term</x:v>
      </x:c>
      <x:c r="Z1237" s="10" t="str">
        <x:v>match</x:v>
      </x:c>
      <x:c r="AA1237" s="15" t="str">
        <x:v>title_womens_flip_flop | style_flip_flop | style_outdoor</x:v>
      </x:c>
      <x:c r="AB1237" s="10" t="str">
        <x:v>accepted</x:v>
      </x:c>
      <x:c r="AC1237" s="10" t="str">
        <x:v>1.0.0</x:v>
      </x:c>
      <x:c r="AD1237" s="10" t="str">
        <x:v>1.1.0</x:v>
      </x:c>
      <x:c r="AE1237" s="10" t="str">
        <x:v>deepseek/deepseek-v4-pro</x:v>
      </x:c>
      <x:c r="AF1237" s="10" t="str">
        <x:v>aj2-y90-20260714T234810-0bea2f52</x:v>
      </x:c>
      <x:c r="AG1237" s="10" t="str">
        <x:v>full-0062</x:v>
      </x:c>
      <x:c r="AH1237" s="10" t="str">
        <x:v>full</x:v>
      </x:c>
      <x:c r="AI1237" s="10" t="n">
        <x:v>62</x:v>
      </x:c>
    </x:row>
    <x:row r="1238" ht="34" customHeight="1">
      <x:c r="A1238" s="16" t="str">
        <x:v>womens black flip flops size 7</x:v>
      </x:c>
      <x:c r="B1238" s="16" t="str">
        <x:v>womens black flip flops size 7</x:v>
      </x:c>
      <x:c r="C1238" s="13" t="str">
        <x:v>937058db1f571d1e</x:v>
      </x:c>
      <x:c r="D1238" s="13" t="str">
        <x:v>keyword</x:v>
      </x:c>
      <x:c r="E1238" s="13" t="str">
        <x:v>en</x:v>
      </x:c>
      <x:c r="F1238" s="13" t="str">
        <x:v>clothing_shoes_jewelry</x:v>
      </x:c>
      <x:c r="G1238" s="16" t="str"/>
      <x:c r="H1238" s="16" t="str">
        <x:v>flip_flops</x:v>
      </x:c>
      <x:c r="I1238" s="16" t="str">
        <x:v>women</x:v>
      </x:c>
      <x:c r="J1238" s="16" t="str"/>
      <x:c r="K1238" s="16" t="str"/>
      <x:c r="L1238" s="16" t="str"/>
      <x:c r="M1238" s="16" t="str"/>
      <x:c r="N1238" s="16" t="str"/>
      <x:c r="O1238" s="16" t="str"/>
      <x:c r="P1238" s="16" t="str"/>
      <x:c r="Q1238" s="16" t="str"/>
      <x:c r="R1238" s="16" t="str">
        <x:v>女性用户需要一双黑色7码夹脚拖鞋，已明确颜色和尺码。</x:v>
      </x:c>
      <x:c r="S1238" s="13" t="str">
        <x:v>high_intent</x:v>
      </x:c>
      <x:c r="T1238" s="16" t="str">
        <x:v>explicit | page_validated</x:v>
      </x:c>
      <x:c r="U1238" s="13" t="str">
        <x:v>high</x:v>
      </x:c>
      <x:c r="V1238" s="16" t="str">
        <x:v>womens_black_flip_flops_sized</x:v>
      </x:c>
      <x:c r="W1238" s="16" t="str">
        <x:v>cluster_route</x:v>
      </x:c>
      <x:c r="X1238" s="16" t="str">
        <x:v>{"product_type":[{"value":"flip_flops","evidence_type":"explicit","source_span":"flip flops","fact_ids":[],"rationale":""},{"value":"flip_flops","evidence_type":"page_validated","source_span":"","fact_ids":["style_flip_flop"],"rationale":""}],"audience_intent":[{"value":"women","evidence_type":"explicit","source_span":"womens","fact_ids":[],"rationale":""},{"value":"women","evidence_type":"page_validated","source_span":"","fact_ids":["title_womens_flip_flop"],"rationale":""}],"primary_domain":[{"value":"clothing_shoes_jewelry","evidence_type":"inferred","source_span":"","fact_ids":[],"rationale":"该值由搜索词整体语义推断，未作为页面明示属性。"}]}</x:v>
      </x:c>
      <x:c r="Y1238" s="16" t="str"/>
      <x:c r="Z1238" s="13" t="str">
        <x:v>match</x:v>
      </x:c>
      <x:c r="AA1238" s="16" t="str">
        <x:v>title_womens_flip_flop | style_flip_flop | colors_visible | sizes_6_11</x:v>
      </x:c>
      <x:c r="AB1238" s="13" t="str">
        <x:v>accepted</x:v>
      </x:c>
      <x:c r="AC1238" s="13" t="str">
        <x:v>1.0.0</x:v>
      </x:c>
      <x:c r="AD1238" s="13" t="str">
        <x:v>1.1.0</x:v>
      </x:c>
      <x:c r="AE1238" s="13" t="str">
        <x:v>deepseek/deepseek-v4-pro</x:v>
      </x:c>
      <x:c r="AF1238" s="13" t="str">
        <x:v>aj2-y90-20260714T234810-0bea2f52</x:v>
      </x:c>
      <x:c r="AG1238" s="13" t="str">
        <x:v>full-0062</x:v>
      </x:c>
      <x:c r="AH1238" s="13" t="str">
        <x:v>full</x:v>
      </x:c>
      <x:c r="AI1238" s="13" t="n">
        <x:v>62</x:v>
      </x:c>
    </x:row>
    <x:row r="1239" ht="34" customHeight="1">
      <x:c r="A1239" s="15" t="str">
        <x:v>white rubber flip flops</x:v>
      </x:c>
      <x:c r="B1239" s="15" t="str">
        <x:v>white rubber flip flops</x:v>
      </x:c>
      <x:c r="C1239" s="10" t="str">
        <x:v>a4033c6ee8c02fd7</x:v>
      </x:c>
      <x:c r="D1239" s="10" t="str">
        <x:v>keyword</x:v>
      </x:c>
      <x:c r="E1239" s="10" t="str">
        <x:v>en</x:v>
      </x:c>
      <x:c r="F1239" s="10" t="str">
        <x:v>clothing_shoes_jewelry</x:v>
      </x:c>
      <x:c r="G1239" s="15" t="str"/>
      <x:c r="H1239" s="15" t="str">
        <x:v>flip_flops</x:v>
      </x:c>
      <x:c r="I1239" s="15" t="str"/>
      <x:c r="J1239" s="15" t="str"/>
      <x:c r="K1239" s="15" t="str"/>
      <x:c r="L1239" s="15" t="str"/>
      <x:c r="M1239" s="15" t="str"/>
      <x:c r="N1239" s="15" t="str"/>
      <x:c r="O1239" s="15" t="str"/>
      <x:c r="P1239" s="15" t="str"/>
      <x:c r="Q1239" s="15" t="str"/>
      <x:c r="R1239" s="15" t="str">
        <x:v>用户搜索白色橡胶材质夹脚拖鞋，产品为EVA材质非橡胶。</x:v>
      </x:c>
      <x:c r="S1239" s="10" t="str">
        <x:v>consideration</x:v>
      </x:c>
      <x:c r="T1239" s="15" t="str">
        <x:v>explicit | inferred</x:v>
      </x:c>
      <x:c r="U1239" s="10" t="str">
        <x:v>medium</x:v>
      </x:c>
      <x:c r="V1239" s="15" t="str">
        <x:v>white_rubber_flip_flops</x:v>
      </x:c>
      <x:c r="W1239" s="15" t="str">
        <x:v>semantic_negative_candidate</x:v>
      </x:c>
      <x:c r="X1239" s="15" t="str">
        <x:v>{"product_type":[{"value":"flip_flops","evidence_type":"explicit","source_span":"flip flops","fact_ids":[],"rationale":""},{"value":"flip_flops","evidence_type":"page_validated","source_span":"","fact_ids":["style_flip_flop"],"rationale":""}],"primary_domain":[{"value":"clothing_shoes_jewelry","evidence_type":"inferred","source_span":"","fact_ids":[],"rationale":"该值由搜索词整体语义推断，未作为页面明示属性。"}]}</x:v>
      </x:c>
      <x:c r="Y1239" s="15" t="str"/>
      <x:c r="Z1239" s="10" t="str">
        <x:v>partial_match</x:v>
      </x:c>
      <x:c r="AA1239" s="15" t="str">
        <x:v>style_flip_flop | colors_visible | material_eva</x:v>
      </x:c>
      <x:c r="AB1239" s="10" t="str">
        <x:v>accepted</x:v>
      </x:c>
      <x:c r="AC1239" s="10" t="str">
        <x:v>1.0.0</x:v>
      </x:c>
      <x:c r="AD1239" s="10" t="str">
        <x:v>1.1.0</x:v>
      </x:c>
      <x:c r="AE1239" s="10" t="str">
        <x:v>deepseek/deepseek-v4-pro</x:v>
      </x:c>
      <x:c r="AF1239" s="10" t="str">
        <x:v>aj2-y90-20260714T234810-0bea2f52</x:v>
      </x:c>
      <x:c r="AG1239" s="10" t="str">
        <x:v>full-0062</x:v>
      </x:c>
      <x:c r="AH1239" s="10" t="str">
        <x:v>full</x:v>
      </x:c>
      <x:c r="AI1239" s="10" t="n">
        <x:v>62</x:v>
      </x:c>
    </x:row>
    <x:row r="1240" ht="34" customHeight="1">
      <x:c r="A1240" s="16" t="str">
        <x:v>kuailu+flip+flops+for+women</x:v>
      </x:c>
      <x:c r="B1240" s="16" t="str">
        <x:v>kuailu+flip+flops+for+women</x:v>
      </x:c>
      <x:c r="C1240" s="13" t="str">
        <x:v>ec3ef1c57403349e</x:v>
      </x:c>
      <x:c r="D1240" s="13" t="str">
        <x:v>keyword</x:v>
      </x:c>
      <x:c r="E1240" s="13" t="str">
        <x:v>en</x:v>
      </x:c>
      <x:c r="F1240" s="13" t="str">
        <x:v>clothing_shoes_jewelry</x:v>
      </x:c>
      <x:c r="G1240" s="16" t="str"/>
      <x:c r="H1240" s="16" t="str">
        <x:v>flip_flops</x:v>
      </x:c>
      <x:c r="I1240" s="16" t="str">
        <x:v>women</x:v>
      </x:c>
      <x:c r="J1240" s="16" t="str"/>
      <x:c r="K1240" s="16" t="str"/>
      <x:c r="L1240" s="16" t="str"/>
      <x:c r="M1240" s="16" t="str"/>
      <x:c r="N1240" s="16" t="str"/>
      <x:c r="O1240" s="16" t="str"/>
      <x:c r="P1240" s="16" t="str"/>
      <x:c r="Q1240" s="16" t="str"/>
      <x:c r="R1240" s="16" t="str">
        <x:v>用户搜索KuaiLu品牌女性夹脚拖鞋，为竞品品牌定向搜索。</x:v>
      </x:c>
      <x:c r="S1240" s="13" t="str">
        <x:v>brand_harvest</x:v>
      </x:c>
      <x:c r="T1240" s="16" t="str">
        <x:v>explicit | inferred</x:v>
      </x:c>
      <x:c r="U1240" s="13" t="str">
        <x:v>high</x:v>
      </x:c>
      <x:c r="V1240" s="16" t="str">
        <x:v>kuailu_brand_womens_flip_flops</x:v>
      </x:c>
      <x:c r="W1240" s="16" t="str">
        <x:v>semantic_negative_candidate</x:v>
      </x:c>
      <x:c r="X1240" s="16" t="str">
        <x:v>{"product_type":[{"value":"flip_flops","evidence_type":"explicit","source_span":"flip+flops","fact_ids":[],"rationale":""},{"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audience_intent":[{"value":"women","evidence_type":"explicit","source_span":"women","fact_ids":[],"rationale":""},{"value":"women","evidence_type":"page_validated","source_span":"","fact_ids":["title_womens_flip_flop"],"rationale":"该槽位与商品基准中的明示页面事实一致。"}],"primary_domain":[{"value":"clothing_shoes_jewelry","evidence_type":"inferred","source_span":"","fact_ids":[],"rationale":"该值由搜索词整体语义推断，未作为页面明示属性。"}]}</x:v>
      </x:c>
      <x:c r="Y1240" s="16" t="str">
        <x:v>brand_as_product_term</x:v>
      </x:c>
      <x:c r="Z1240" s="13" t="str">
        <x:v>mismatch</x:v>
      </x:c>
      <x:c r="AA1240" s="16" t="str"/>
      <x:c r="AB1240" s="13" t="str">
        <x:v>accepted</x:v>
      </x:c>
      <x:c r="AC1240" s="13" t="str">
        <x:v>1.0.0</x:v>
      </x:c>
      <x:c r="AD1240" s="13" t="str">
        <x:v>1.1.0</x:v>
      </x:c>
      <x:c r="AE1240" s="13" t="str">
        <x:v>deepseek/deepseek-v4-pro</x:v>
      </x:c>
      <x:c r="AF1240" s="13" t="str">
        <x:v>aj2-y90-20260714T234810-0bea2f52</x:v>
      </x:c>
      <x:c r="AG1240" s="13" t="str">
        <x:v>full-0062</x:v>
      </x:c>
      <x:c r="AH1240" s="13" t="str">
        <x:v>full</x:v>
      </x:c>
      <x:c r="AI1240" s="13" t="n">
        <x:v>62</x:v>
      </x:c>
    </x:row>
    <x:row r="1241" ht="34" customHeight="1">
      <x:c r="A1241" s="15" t="str">
        <x:v>flip+flops+with+flower+on+top</x:v>
      </x:c>
      <x:c r="B1241" s="15" t="str">
        <x:v>flip+flops+with+flower+on+top</x:v>
      </x:c>
      <x:c r="C1241" s="10" t="str">
        <x:v>f7fb89e431b52c12</x:v>
      </x:c>
      <x:c r="D1241" s="10" t="str">
        <x:v>keyword</x:v>
      </x:c>
      <x:c r="E1241" s="10" t="str">
        <x:v>en</x:v>
      </x:c>
      <x:c r="F1241" s="10" t="str">
        <x:v>clothing_shoes_jewelry</x:v>
      </x:c>
      <x:c r="G1241" s="15" t="str"/>
      <x:c r="H1241" s="15" t="str">
        <x:v>flip_flops</x:v>
      </x:c>
      <x:c r="I1241" s="15" t="str"/>
      <x:c r="J1241" s="15" t="str"/>
      <x:c r="K1241" s="15" t="str"/>
      <x:c r="L1241" s="15" t="str"/>
      <x:c r="M1241" s="15" t="str"/>
      <x:c r="N1241" s="15" t="str"/>
      <x:c r="O1241" s="15" t="str"/>
      <x:c r="P1241" s="15" t="str"/>
      <x:c r="Q1241" s="15" t="str"/>
      <x:c r="R1241" s="15" t="str">
        <x:v>用户寻找鞋面带有花朵装饰的夹脚拖鞋，注重外观装饰元素。</x:v>
      </x:c>
      <x:c r="S1241" s="10" t="str">
        <x:v>consideration</x:v>
      </x:c>
      <x:c r="T1241" s="15" t="str">
        <x:v>explicit | inferred</x:v>
      </x:c>
      <x:c r="U1241" s="10" t="str">
        <x:v>medium</x:v>
      </x:c>
      <x:c r="V1241" s="15" t="str">
        <x:v>flip_flops_with_flower_decoration</x:v>
      </x:c>
      <x:c r="W1241" s="15" t="str">
        <x:v>semantic_negative_candidate</x:v>
      </x:c>
      <x:c r="X1241" s="15" t="str">
        <x:v>{"product_type":[{"value":"flip_flops","evidence_type":"explicit","source_span":"flip+flops","fact_ids":[],"rationale":""},{"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1241" s="15" t="str"/>
      <x:c r="Z1241" s="10" t="str">
        <x:v>mismatch</x:v>
      </x:c>
      <x:c r="AA1241" s="15" t="str"/>
      <x:c r="AB1241" s="10" t="str">
        <x:v>accepted</x:v>
      </x:c>
      <x:c r="AC1241" s="10" t="str">
        <x:v>1.0.0</x:v>
      </x:c>
      <x:c r="AD1241" s="10" t="str">
        <x:v>1.1.0</x:v>
      </x:c>
      <x:c r="AE1241" s="10" t="str">
        <x:v>deepseek/deepseek-v4-pro</x:v>
      </x:c>
      <x:c r="AF1241" s="10" t="str">
        <x:v>aj2-y90-20260714T234810-0bea2f52</x:v>
      </x:c>
      <x:c r="AG1241" s="10" t="str">
        <x:v>full-0062</x:v>
      </x:c>
      <x:c r="AH1241" s="10" t="str">
        <x:v>full</x:v>
      </x:c>
      <x:c r="AI1241" s="10" t="n">
        <x:v>62</x:v>
      </x:c>
    </x:row>
    <x:row r="1242" ht="34" customHeight="1">
      <x:c r="A1242" s="16" t="str">
        <x:v>womens flip flops for beachwear</x:v>
      </x:c>
      <x:c r="B1242" s="16" t="str">
        <x:v>womens flip flops for beachwear</x:v>
      </x:c>
      <x:c r="C1242" s="13" t="str">
        <x:v>0f8fff3e8ee758ed</x:v>
      </x:c>
      <x:c r="D1242" s="13" t="str">
        <x:v>keyword</x:v>
      </x:c>
      <x:c r="E1242" s="13" t="str">
        <x:v>en</x:v>
      </x:c>
      <x:c r="F1242" s="13" t="str">
        <x:v>clothing_shoes_jewelry</x:v>
      </x:c>
      <x:c r="G1242" s="16" t="str"/>
      <x:c r="H1242" s="16" t="str">
        <x:v>flip_flops</x:v>
      </x:c>
      <x:c r="I1242" s="16" t="str">
        <x:v>women</x:v>
      </x:c>
      <x:c r="J1242" s="16" t="str"/>
      <x:c r="K1242" s="16" t="str"/>
      <x:c r="L1242" s="16" t="str">
        <x:v>beach</x:v>
      </x:c>
      <x:c r="M1242" s="16" t="str">
        <x:v>beach</x:v>
      </x:c>
      <x:c r="N1242" s="16" t="str"/>
      <x:c r="O1242" s="16" t="str"/>
      <x:c r="P1242" s="16" t="str"/>
      <x:c r="Q1242" s="16" t="str"/>
      <x:c r="R1242" s="16" t="str">
        <x:v>女性顾客寻找适合海滩穿着的夹脚拖鞋。</x:v>
      </x:c>
      <x:c r="S1242" s="13" t="str">
        <x:v>consideration</x:v>
      </x:c>
      <x:c r="T1242" s="16" t="str">
        <x:v>explicit | page_validated</x:v>
      </x:c>
      <x:c r="U1242" s="13" t="str">
        <x:v>high</x:v>
      </x:c>
      <x:c r="V1242" s="16" t="str">
        <x:v>womens_beach_flip_flops</x:v>
      </x:c>
      <x:c r="W1242" s="16" t="str">
        <x:v>cluster_route</x:v>
      </x:c>
      <x:c r="X1242" s="16" t="str">
        <x:v>{"product_type":[{"value":"flip_flops","evidence_type":"explicit","source_span":"flip flops","fact_ids":[],"rationale":"搜索词明确要求夹脚拖鞋"},{"value":"flip_flops","evidence_type":"page_validated","source_span":"","fact_ids":["style_flip_flop"],"rationale":"产品确认为夹脚拖鞋款式"}],"audience_intent":[{"value":"women","evidence_type":"explicit","source_span":"womens","fact_ids":[],"rationale":"搜索词指定女性"},{"value":"women","evidence_type":"page_validated","source_span":"","fact_ids":["title_womens_flip_flop"],"rationale":"产品标题标注女款"}],"event_intent":[{"value":"beach","evidence_type":"explicit","source_span":"beachwear","fact_ids":[],"rationale":"搜索词指定海滩穿搭场景"}],"location_intent":[{"value":"beach","evidence_type":"explicit","source_span":"beachwear","fact_ids":[],"rationale":"海滩穿搭隐含海滩使用地点"},{"value":"beach","evidence_type":"page_validated","source_span":"","fact_ids":["style_outdoor"],"rationale":"产品定位户外生活，适宜海滩场景"}],"primary_domain":[{"value":"clothing_shoes_jewelry","evidence_type":"inferred","source_span":"","fact_ids":[],"rationale":"该值由搜索词整体语义推断，未作为页面明示属性。"}]}</x:v>
      </x:c>
      <x:c r="Y1242" s="16" t="str"/>
      <x:c r="Z1242" s="13" t="str">
        <x:v>match</x:v>
      </x:c>
      <x:c r="AA1242" s="16" t="str">
        <x:v>style_flip_flop | title_womens_flip_flop | style_outdoor</x:v>
      </x:c>
      <x:c r="AB1242" s="13" t="str">
        <x:v>needs_review</x:v>
      </x:c>
      <x:c r="AC1242" s="13" t="str">
        <x:v>1.0.0</x:v>
      </x:c>
      <x:c r="AD1242" s="13" t="str">
        <x:v>1.0.0</x:v>
      </x:c>
      <x:c r="AE1242" s="13" t="str">
        <x:v>deepseek/deepseek-v4-pro</x:v>
      </x:c>
      <x:c r="AF1242" s="13" t="str">
        <x:v>aj2-y90-20260714T234810-0bea2f52</x:v>
      </x:c>
      <x:c r="AG1242" s="13" t="str">
        <x:v>full-0063</x:v>
      </x:c>
      <x:c r="AH1242" s="13" t="str">
        <x:v>full</x:v>
      </x:c>
      <x:c r="AI1242" s="13" t="n">
        <x:v>63</x:v>
      </x:c>
    </x:row>
    <x:row r="1243" ht="34" customHeight="1">
      <x:c r="A1243" s="15" t="str">
        <x:v>snake skin sandals for woman</x:v>
      </x:c>
      <x:c r="B1243" s="15" t="str">
        <x:v>snake skin sandals for woman</x:v>
      </x:c>
      <x:c r="C1243" s="10" t="str">
        <x:v>1c44e2b898cf1925</x:v>
      </x:c>
      <x:c r="D1243" s="10" t="str">
        <x:v>keyword</x:v>
      </x:c>
      <x:c r="E1243" s="10" t="str">
        <x:v>en</x:v>
      </x:c>
      <x:c r="F1243" s="10" t="str">
        <x:v>clothing_shoes_jewelry</x:v>
      </x:c>
      <x:c r="G1243" s="15" t="str"/>
      <x:c r="H1243" s="15" t="str">
        <x:v>sandals</x:v>
      </x:c>
      <x:c r="I1243" s="15" t="str">
        <x:v>women</x:v>
      </x:c>
      <x:c r="J1243" s="15" t="str"/>
      <x:c r="K1243" s="15" t="str"/>
      <x:c r="L1243" s="15" t="str"/>
      <x:c r="M1243" s="15" t="str"/>
      <x:c r="N1243" s="15" t="str"/>
      <x:c r="O1243" s="15" t="str"/>
      <x:c r="P1243" s="15" t="str"/>
      <x:c r="Q1243" s="15" t="str"/>
      <x:c r="R1243" s="15" t="str">
        <x:v>一位女性顾客寻找蛇皮纹凉鞋用于日常时尚穿搭。</x:v>
      </x:c>
      <x:c r="S1243" s="10" t="str">
        <x:v>consideration</x:v>
      </x:c>
      <x:c r="T1243" s="15" t="str">
        <x:v>explicit | page_validated</x:v>
      </x:c>
      <x:c r="U1243" s="10" t="str">
        <x:v>medium</x:v>
      </x:c>
      <x:c r="V1243" s="15" t="str">
        <x:v>patterned_womens_sandals</x:v>
      </x:c>
      <x:c r="W1243" s="15" t="str">
        <x:v>listing_gap_review</x:v>
      </x:c>
      <x:c r="X1243" s="15" t="str">
        <x:v>{"product_type":[{"value":"sandals","evidence_type":"explicit","source_span":"sandals","fact_ids":[],"rationale":"搜索词中直接提及凉鞋品类"},{"value":"sandals","evidence_type":"page_validated","source_span":"","fact_ids":["title_womens_flip_flop","style_flip_flop"],"rationale":"产品为夹脚凉鞋，属于凉鞋范畴"}],"audience_intent":[{"value":"women","evidence_type":"explicit","source_span":"woman","fact_ids":[],"rationale":"搜索词明确指定女性受众"},{"value":"women","evidence_type":"page_validated","source_span":"","fact_ids":["title_womens_flip_flop"],"rationale":"产品标题标明为女款"},{"value":"women","evidence_type":"inferred","source_span":"","fact_ids":[],"rationale":"该能力由搜索词表达的任务或问题推断；页面事实仅用于验证商品承接。"}],"pattern":[{"value":"snake_skin","evidence_type":"explicit","source_span":"snake skin","fact_ids":[],"rationale":"用户要求蛇皮纹图案"}],"primary_domain":[{"value":"clothing_shoes_jewelry","evidence_type":"inferred","source_span":"","fact_ids":[],"rationale":"该值由搜索词整体语义推断，未作为页面明示属性。"}]}</x:v>
      </x:c>
      <x:c r="Y1243" s="15" t="str"/>
      <x:c r="Z1243" s="10" t="str">
        <x:v>partial_match</x:v>
      </x:c>
      <x:c r="AA1243" s="15" t="str">
        <x:v>title_womens_flip_flop | style_flip_flop</x:v>
      </x:c>
      <x:c r="AB1243" s="10" t="str">
        <x:v>needs_review</x:v>
      </x:c>
      <x:c r="AC1243" s="10" t="str">
        <x:v>1.0.0</x:v>
      </x:c>
      <x:c r="AD1243" s="10" t="str">
        <x:v>1.0.0</x:v>
      </x:c>
      <x:c r="AE1243" s="10" t="str">
        <x:v>deepseek/deepseek-v4-pro</x:v>
      </x:c>
      <x:c r="AF1243" s="10" t="str">
        <x:v>aj2-y90-20260714T234810-0bea2f52</x:v>
      </x:c>
      <x:c r="AG1243" s="10" t="str">
        <x:v>full-0063</x:v>
      </x:c>
      <x:c r="AH1243" s="10" t="str">
        <x:v>full</x:v>
      </x:c>
      <x:c r="AI1243" s="10" t="n">
        <x:v>63</x:v>
      </x:c>
    </x:row>
    <x:row r="1244" ht="34" customHeight="1">
      <x:c r="A1244" s="16" t="str">
        <x:v>white flips flops women</x:v>
      </x:c>
      <x:c r="B1244" s="16" t="str">
        <x:v>white flips flops women</x:v>
      </x:c>
      <x:c r="C1244" s="13" t="str">
        <x:v>2358dc8378d7c8c1</x:v>
      </x:c>
      <x:c r="D1244" s="13" t="str">
        <x:v>keyword</x:v>
      </x:c>
      <x:c r="E1244" s="13" t="str">
        <x:v>en</x:v>
      </x:c>
      <x:c r="F1244" s="13" t="str">
        <x:v>clothing_shoes_jewelry</x:v>
      </x:c>
      <x:c r="G1244" s="16" t="str"/>
      <x:c r="H1244" s="16" t="str">
        <x:v>flip_flops</x:v>
      </x:c>
      <x:c r="I1244" s="16" t="str">
        <x:v>women</x:v>
      </x:c>
      <x:c r="J1244" s="16" t="str"/>
      <x:c r="K1244" s="16" t="str"/>
      <x:c r="L1244" s="16" t="str"/>
      <x:c r="M1244" s="16" t="str"/>
      <x:c r="N1244" s="16" t="str"/>
      <x:c r="O1244" s="16" t="str"/>
      <x:c r="P1244" s="16" t="str"/>
      <x:c r="Q1244" s="16" t="str"/>
      <x:c r="R1244" s="16" t="str">
        <x:v>女性顾客寻找白色夹脚拖鞋。</x:v>
      </x:c>
      <x:c r="S1244" s="13" t="str">
        <x:v>high_intent</x:v>
      </x:c>
      <x:c r="T1244" s="16" t="str">
        <x:v>explicit | page_validated</x:v>
      </x:c>
      <x:c r="U1244" s="13" t="str">
        <x:v>high</x:v>
      </x:c>
      <x:c r="V1244" s="16" t="str">
        <x:v>white_womens_flip_flops</x:v>
      </x:c>
      <x:c r="W1244" s="16" t="str">
        <x:v>cluster_route</x:v>
      </x:c>
      <x:c r="X1244" s="16" t="str">
        <x:v>{"product_type":[{"value":"flip_flops","evidence_type":"explicit","source_span":"flips flops","fact_ids":[],"rationale":"flips flops 为 flip flops 拼写变体"},{"value":"flip_flops","evidence_type":"page_validated","source_span":"","fact_ids":["style_flip_flop"],"rationale":"产品确认为夹脚拖鞋"},{"value":"flip_flops","evidence_type":"inferred","source_span":"","fact_ids":[],"rationale":"该能力由搜索词表达的任务或问题推断；页面事实仅用于验证商品承接。"}],"audience_intent":[{"value":"women","evidence_type":"explicit","source_span":"women","fact_ids":[],"rationale":"搜索词指定女性"},{"value":"women","evidence_type":"page_validated","source_span":"","fact_ids":["title_womens_flip_flop"],"rationale":"产品为女款夹脚拖鞋"}],"color":[{"value":"white","evidence_type":"explicit","source_span":"white","fact_ids":[],"rationale":"该颜色在商品页面可见颜色选择中得到明确支持。"},{"value":"white","evidence_type":"page_validated","source_span":"","fact_ids":["colors_visible"],"rationale":"该颜色在商品页面可见颜色选择中得到明确支持。"}],"primary_domain":[{"value":"clothing_shoes_jewelry","evidence_type":"inferred","source_span":"","fact_ids":[],"rationale":"该值由搜索词整体语义推断，未作为页面明示属性。"}]}</x:v>
      </x:c>
      <x:c r="Y1244" s="16" t="str">
        <x:v>misspelling</x:v>
      </x:c>
      <x:c r="Z1244" s="13" t="str">
        <x:v>match</x:v>
      </x:c>
      <x:c r="AA1244" s="16" t="str">
        <x:v>style_flip_flop | title_womens_flip_flop | colors_visible</x:v>
      </x:c>
      <x:c r="AB1244" s="13" t="str">
        <x:v>needs_review</x:v>
      </x:c>
      <x:c r="AC1244" s="13" t="str">
        <x:v>1.0.0</x:v>
      </x:c>
      <x:c r="AD1244" s="13" t="str">
        <x:v>1.0.0</x:v>
      </x:c>
      <x:c r="AE1244" s="13" t="str">
        <x:v>deepseek/deepseek-v4-pro</x:v>
      </x:c>
      <x:c r="AF1244" s="13" t="str">
        <x:v>aj2-y90-20260714T234810-0bea2f52</x:v>
      </x:c>
      <x:c r="AG1244" s="13" t="str">
        <x:v>full-0063</x:v>
      </x:c>
      <x:c r="AH1244" s="13" t="str">
        <x:v>full</x:v>
      </x:c>
      <x:c r="AI1244" s="13" t="n">
        <x:v>63</x:v>
      </x:c>
    </x:row>
    <x:row r="1245" ht="34" customHeight="1">
      <x:c r="A1245" s="15" t="str">
        <x:v>beach foot wear women</x:v>
      </x:c>
      <x:c r="B1245" s="15" t="str">
        <x:v>beach foot wear women</x:v>
      </x:c>
      <x:c r="C1245" s="10" t="str">
        <x:v>26f01c39ce60a1b1</x:v>
      </x:c>
      <x:c r="D1245" s="10" t="str">
        <x:v>keyword</x:v>
      </x:c>
      <x:c r="E1245" s="10" t="str">
        <x:v>en</x:v>
      </x:c>
      <x:c r="F1245" s="10" t="str">
        <x:v>clothing_shoes_jewelry</x:v>
      </x:c>
      <x:c r="G1245" s="15" t="str"/>
      <x:c r="H1245" s="15" t="str">
        <x:v>footwear</x:v>
      </x:c>
      <x:c r="I1245" s="15" t="str">
        <x:v>women</x:v>
      </x:c>
      <x:c r="J1245" s="15" t="str"/>
      <x:c r="K1245" s="15" t="str"/>
      <x:c r="L1245" s="15" t="str">
        <x:v>beach</x:v>
      </x:c>
      <x:c r="M1245" s="15" t="str">
        <x:v>beach</x:v>
      </x:c>
      <x:c r="N1245" s="15" t="str"/>
      <x:c r="O1245" s="15" t="str"/>
      <x:c r="P1245" s="15" t="str"/>
      <x:c r="Q1245" s="15" t="str"/>
      <x:c r="R1245" s="15" t="str">
        <x:v>女性顾客寻找适合海滩穿着的鞋类。</x:v>
      </x:c>
      <x:c r="S1245" s="10" t="str">
        <x:v>exploration</x:v>
      </x:c>
      <x:c r="T1245" s="15" t="str">
        <x:v>explicit | page_validated</x:v>
      </x:c>
      <x:c r="U1245" s="10" t="str">
        <x:v>high</x:v>
      </x:c>
      <x:c r="V1245" s="15" t="str">
        <x:v>womens_beach_footwear</x:v>
      </x:c>
      <x:c r="W1245" s="15" t="str">
        <x:v>cluster_route</x:v>
      </x:c>
      <x:c r="X1245" s="15" t="str">
        <x:v>{"product_type":[{"value":"footwear","evidence_type":"explicit","source_span":"foot wear","fact_ids":[],"rationale":"搜索词请求鞋类产品"},{"value":"footwear","evidence_type":"page_validated","source_span":"","fact_ids":["title_womens_flip_flop","style_flip_flop"],"rationale":"夹脚拖鞋属于鞋类范畴"}],"audience_intent":[{"value":"women","evidence_type":"explicit","source_span":"women","fact_ids":[],"rationale":"搜索词指定女性"},{"value":"women","evidence_type":"page_validated","source_span":"","fact_ids":["title_womens_flip_flop"],"rationale":"产品为女款设计"}],"event_intent":[{"value":"beach","evidence_type":"explicit","source_span":"beach","fact_ids":[],"rationale":"搜索词指定海滩场景"}],"location_intent":[{"value":"beach","evidence_type":"explicit","source_span":"beach","fact_ids":[],"rationale":"搜索词标注海滩使用地点"},{"value":"beach","evidence_type":"page_validated","source_span":"","fact_ids":["style_outdoor"],"rationale":"产品定位户外生活，适合海滩"}],"primary_domain":[{"value":"clothing_shoes_jewelry","evidence_type":"inferred","source_span":"","fact_ids":[],"rationale":"该值由搜索词整体语义推断，未作为页面明示属性。"}]}</x:v>
      </x:c>
      <x:c r="Y1245" s="15" t="str"/>
      <x:c r="Z1245" s="10" t="str">
        <x:v>match</x:v>
      </x:c>
      <x:c r="AA1245" s="15" t="str">
        <x:v>title_womens_flip_flop | style_flip_flop | style_outdoor</x:v>
      </x:c>
      <x:c r="AB1245" s="10" t="str">
        <x:v>needs_review</x:v>
      </x:c>
      <x:c r="AC1245" s="10" t="str">
        <x:v>1.0.0</x:v>
      </x:c>
      <x:c r="AD1245" s="10" t="str">
        <x:v>1.0.0</x:v>
      </x:c>
      <x:c r="AE1245" s="10" t="str">
        <x:v>deepseek/deepseek-v4-pro</x:v>
      </x:c>
      <x:c r="AF1245" s="10" t="str">
        <x:v>aj2-y90-20260714T234810-0bea2f52</x:v>
      </x:c>
      <x:c r="AG1245" s="10" t="str">
        <x:v>full-0063</x:v>
      </x:c>
      <x:c r="AH1245" s="10" t="str">
        <x:v>full</x:v>
      </x:c>
      <x:c r="AI1245" s="10" t="n">
        <x:v>63</x:v>
      </x:c>
    </x:row>
    <x:row r="1246" ht="34" customHeight="1">
      <x:c r="A1246" s="16" t="str">
        <x:v>gray arch support flip-flops for women</x:v>
      </x:c>
      <x:c r="B1246" s="16" t="str">
        <x:v>gray arch support flip-flops for women</x:v>
      </x:c>
      <x:c r="C1246" s="13" t="str">
        <x:v>327907412a8a48b0</x:v>
      </x:c>
      <x:c r="D1246" s="13" t="str">
        <x:v>keyword</x:v>
      </x:c>
      <x:c r="E1246" s="13" t="str">
        <x:v>en</x:v>
      </x:c>
      <x:c r="F1246" s="13" t="str">
        <x:v>clothing_shoes_jewelry</x:v>
      </x:c>
      <x:c r="G1246" s="16" t="str"/>
      <x:c r="H1246" s="16" t="str">
        <x:v>flip_flops</x:v>
      </x:c>
      <x:c r="I1246" s="16" t="str">
        <x:v>women</x:v>
      </x:c>
      <x:c r="J1246" s="16" t="str"/>
      <x:c r="K1246" s="16" t="str">
        <x:v>arch_support</x:v>
      </x:c>
      <x:c r="L1246" s="16" t="str"/>
      <x:c r="M1246" s="16" t="str"/>
      <x:c r="N1246" s="16" t="str"/>
      <x:c r="O1246" s="16" t="str"/>
      <x:c r="P1246" s="16" t="str"/>
      <x:c r="Q1246" s="16" t="str"/>
      <x:c r="R1246" s="16" t="str">
        <x:v>女性顾客寻找灰色具有足弓支撑的夹脚拖鞋。</x:v>
      </x:c>
      <x:c r="S1246" s="13" t="str">
        <x:v>high_intent</x:v>
      </x:c>
      <x:c r="T1246" s="16" t="str">
        <x:v>explicit | page_validated</x:v>
      </x:c>
      <x:c r="U1246" s="13" t="str">
        <x:v>high</x:v>
      </x:c>
      <x:c r="V1246" s="16" t="str">
        <x:v>arch_support_womens_flip_flops</x:v>
      </x:c>
      <x:c r="W1246" s="16" t="str">
        <x:v>cluster_route</x:v>
      </x:c>
      <x:c r="X1246" s="16" t="str">
        <x:v>{"product_type":[{"value":"flip_flops","evidence_type":"explicit","source_span":"flip-flops","fact_ids":[],"rationale":"搜索词明确要求夹脚拖鞋"},{"value":"flip_flops","evidence_type":"page_validated","source_span":"","fact_ids":["style_flip_flop"],"rationale":"产品为夹脚拖鞋款式"}],"audience_intent":[{"value":"women","evidence_type":"explicit","source_span":"women","fact_ids":[],"rationale":"搜索词指定女性"},{"value":"women","evidence_type":"page_validated","source_span":"","fact_ids":["title_womens_flip_flop"],"rationale":"产品标题标注女款"}],"capability_intent":[{"value":"arch_support","evidence_type":"explicit","source_span":"arch support","fact_ids":[],"rationale":"搜索词要求足弓支撑"},{"value":"arch_support","evidence_type":"page_validated","source_span":"","fact_ids":["arch_support"],"rationale":"页面声明人体工学足弓支撑"}],"color":[{"value":"gray","evidence_type":"explicit","source_span":"gray","fact_ids":[],"rationale":"搜索词指定灰色"},{"value":"gray","evidence_type":"inferred","source_span":"","fact_ids":[],"rationale":"这是搜索词中的颜色约束，但商品页面基准未确认该具体颜色。"}],"primary_domain":[{"value":"clothing_shoes_jewelry","evidence_type":"inferred","source_span":"","fact_ids":[],"rationale":"该值由搜索词整体语义推断，未作为页面明示属性。"}]}</x:v>
      </x:c>
      <x:c r="Y1246" s="16" t="str"/>
      <x:c r="Z1246" s="13" t="str">
        <x:v>match</x:v>
      </x:c>
      <x:c r="AA1246" s="16" t="str">
        <x:v>style_flip_flop | title_womens_flip_flop | arch_support | colors_visible</x:v>
      </x:c>
      <x:c r="AB1246" s="13" t="str">
        <x:v>needs_review</x:v>
      </x:c>
      <x:c r="AC1246" s="13" t="str">
        <x:v>1.0.0</x:v>
      </x:c>
      <x:c r="AD1246" s="13" t="str">
        <x:v>1.0.0</x:v>
      </x:c>
      <x:c r="AE1246" s="13" t="str">
        <x:v>deepseek/deepseek-v4-pro</x:v>
      </x:c>
      <x:c r="AF1246" s="13" t="str">
        <x:v>aj2-y90-20260714T234810-0bea2f52</x:v>
      </x:c>
      <x:c r="AG1246" s="13" t="str">
        <x:v>full-0063</x:v>
      </x:c>
      <x:c r="AH1246" s="13" t="str">
        <x:v>full</x:v>
      </x:c>
      <x:c r="AI1246" s="13" t="n">
        <x:v>63</x:v>
      </x:c>
    </x:row>
    <x:row r="1247" ht="34" customHeight="1">
      <x:c r="A1247" s="15" t="str">
        <x:v>hot pink flip flops</x:v>
      </x:c>
      <x:c r="B1247" s="15" t="str">
        <x:v>hot pink flip flops</x:v>
      </x:c>
      <x:c r="C1247" s="10" t="str">
        <x:v>34985d41cdbd4cc8</x:v>
      </x:c>
      <x:c r="D1247" s="10" t="str">
        <x:v>keyword</x:v>
      </x:c>
      <x:c r="E1247" s="10" t="str">
        <x:v>en</x:v>
      </x:c>
      <x:c r="F1247" s="10" t="str">
        <x:v>clothing_shoes_jewelry</x:v>
      </x:c>
      <x:c r="G1247" s="15" t="str"/>
      <x:c r="H1247" s="15" t="str">
        <x:v>flip_flops</x:v>
      </x:c>
      <x:c r="I1247" s="15" t="str"/>
      <x:c r="J1247" s="15" t="str"/>
      <x:c r="K1247" s="15" t="str"/>
      <x:c r="L1247" s="15" t="str"/>
      <x:c r="M1247" s="15" t="str"/>
      <x:c r="N1247" s="15" t="str"/>
      <x:c r="O1247" s="15" t="str"/>
      <x:c r="P1247" s="15" t="str"/>
      <x:c r="Q1247" s="15" t="str"/>
      <x:c r="R1247" s="15" t="str">
        <x:v>顾客寻找亮粉色夹脚拖鞋。</x:v>
      </x:c>
      <x:c r="S1247" s="10" t="str">
        <x:v>consideration</x:v>
      </x:c>
      <x:c r="T1247" s="15" t="str">
        <x:v>explicit | page_validated</x:v>
      </x:c>
      <x:c r="U1247" s="10" t="str">
        <x:v>medium</x:v>
      </x:c>
      <x:c r="V1247" s="15" t="str">
        <x:v>pink_flip_flops</x:v>
      </x:c>
      <x:c r="W1247" s="15" t="str">
        <x:v>ambiguity_review</x:v>
      </x:c>
      <x:c r="X1247" s="15" t="str">
        <x:v>{"product_type":[{"value":"flip_flops","evidence_type":"explicit","source_span":"flip flops","fact_ids":[],"rationale":"搜索词要求夹脚拖鞋"},{"value":"flip_flops","evidence_type":"page_validated","source_span":"","fact_ids":["style_flip_flop"],"rationale":"产品确认为夹脚拖鞋"}],"color":[{"value":"hot_pink","evidence_type":"explicit","source_span":"hot pink","fact_ids":[],"rationale":"搜索词指定亮粉色"},{"value":"hot_pink","evidence_type":"inferred","source_span":"","fact_ids":[],"rationale":"这是搜索词中的颜色约束，但商品页面基准未确认该具体颜色。"}],"primary_domain":[{"value":"clothing_shoes_jewelry","evidence_type":"inferred","source_span":"","fact_ids":[],"rationale":"该值由搜索词整体语义推断，未作为页面明示属性。"}]}</x:v>
      </x:c>
      <x:c r="Y1247" s="15" t="str">
        <x:v>unspecified_audience | color_shade_precision</x:v>
      </x:c>
      <x:c r="Z1247" s="10" t="str">
        <x:v>partial_match</x:v>
      </x:c>
      <x:c r="AA1247" s="15" t="str">
        <x:v>style_flip_flop | colors_visible</x:v>
      </x:c>
      <x:c r="AB1247" s="10" t="str">
        <x:v>needs_review</x:v>
      </x:c>
      <x:c r="AC1247" s="10" t="str">
        <x:v>1.0.0</x:v>
      </x:c>
      <x:c r="AD1247" s="10" t="str">
        <x:v>1.0.0</x:v>
      </x:c>
      <x:c r="AE1247" s="10" t="str">
        <x:v>deepseek/deepseek-v4-pro</x:v>
      </x:c>
      <x:c r="AF1247" s="10" t="str">
        <x:v>aj2-y90-20260714T234810-0bea2f52</x:v>
      </x:c>
      <x:c r="AG1247" s="10" t="str">
        <x:v>full-0063</x:v>
      </x:c>
      <x:c r="AH1247" s="10" t="str">
        <x:v>full</x:v>
      </x:c>
      <x:c r="AI1247" s="10" t="n">
        <x:v>63</x:v>
      </x:c>
    </x:row>
    <x:row r="1248" ht="34" customHeight="1">
      <x:c r="A1248" s="16" t="str">
        <x:v>bathroom slippers women non slip</x:v>
      </x:c>
      <x:c r="B1248" s="16" t="str">
        <x:v>bathroom slippers women non slip</x:v>
      </x:c>
      <x:c r="C1248" s="13" t="str">
        <x:v>38d31c9da60c8c3a</x:v>
      </x:c>
      <x:c r="D1248" s="13" t="str">
        <x:v>keyword</x:v>
      </x:c>
      <x:c r="E1248" s="13" t="str">
        <x:v>en</x:v>
      </x:c>
      <x:c r="F1248" s="13" t="str">
        <x:v>clothing_shoes_jewelry</x:v>
      </x:c>
      <x:c r="G1248" s="16" t="str"/>
      <x:c r="H1248" s="16" t="str">
        <x:v>slippers</x:v>
      </x:c>
      <x:c r="I1248" s="16" t="str">
        <x:v>women</x:v>
      </x:c>
      <x:c r="J1248" s="16" t="str"/>
      <x:c r="K1248" s="16" t="str">
        <x:v>slip_resistant</x:v>
      </x:c>
      <x:c r="L1248" s="16" t="str"/>
      <x:c r="M1248" s="16" t="str">
        <x:v>bathroom</x:v>
      </x:c>
      <x:c r="N1248" s="16" t="str"/>
      <x:c r="O1248" s="16" t="str"/>
      <x:c r="P1248" s="16" t="str"/>
      <x:c r="Q1248" s="16" t="str"/>
      <x:c r="R1248" s="16" t="str">
        <x:v>女性顾客寻找浴室使用的防滑拖鞋。</x:v>
      </x:c>
      <x:c r="S1248" s="13" t="str">
        <x:v>consideration</x:v>
      </x:c>
      <x:c r="T1248" s="16" t="str">
        <x:v>explicit | page_validated</x:v>
      </x:c>
      <x:c r="U1248" s="13" t="str">
        <x:v>medium</x:v>
      </x:c>
      <x:c r="V1248" s="16" t="str">
        <x:v>bathroom_slip_resistant_slippers_women</x:v>
      </x:c>
      <x:c r="W1248" s="16" t="str">
        <x:v>performance_observation</x:v>
      </x:c>
      <x:c r="X1248" s="16" t="str">
        <x:v>{"product_type":[{"value":"slippers","evidence_type":"explicit","source_span":"slippers","fact_ids":[],"rationale":"搜索词明确要求拖鞋品类"}],"audience_intent":[{"value":"women","evidence_type":"explicit","source_span":"women","fact_ids":[],"rationale":"搜索词指定女性受众"},{"value":"women","evidence_type":"page_validated","source_span":"","fact_ids":["title_womens_flip_flop"],"rationale":"产品为女款设计"}],"capability_intent":[{"value":"slip_resistant","evidence_type":"explicit","source_span":"non slip","fact_ids":[],"rationale":"搜索词要求防滑功能"},{"value":"slip_resistant","evidence_type":"page_validated","source_span":"","fact_ids":["slip_resistant_grip"],"rationale":"页面声明防滑纹理外底"},{"value":"slip_resistant","evidence_type":"inferred","source_span":"","fact_ids":[],"rationale":"该能力由搜索词表达的任务或问题推断；页面事实仅用于验证商品承接。"}],"location_intent":[{"value":"bathroom","evidence_type":"explicit","source_span":"bathroom","fact_ids":[],"rationale":"搜索词指定浴室使用场景"}],"primary_domain":[{"value":"clothing_shoes_jewelry","evidence_type":"inferred","source_span":"","fact_ids":[],"rationale":"该值由搜索词整体语义推断，未作为页面明示属性。"}]}</x:v>
      </x:c>
      <x:c r="Y1248" s="16" t="str"/>
      <x:c r="Z1248" s="13" t="str">
        <x:v>partial_match</x:v>
      </x:c>
      <x:c r="AA1248" s="16" t="str">
        <x:v>title_womens_flip_flop | slip_resistant_grip</x:v>
      </x:c>
      <x:c r="AB1248" s="13" t="str">
        <x:v>needs_review</x:v>
      </x:c>
      <x:c r="AC1248" s="13" t="str">
        <x:v>1.0.0</x:v>
      </x:c>
      <x:c r="AD1248" s="13" t="str">
        <x:v>1.0.0</x:v>
      </x:c>
      <x:c r="AE1248" s="13" t="str">
        <x:v>deepseek/deepseek-v4-pro</x:v>
      </x:c>
      <x:c r="AF1248" s="13" t="str">
        <x:v>aj2-y90-20260714T234810-0bea2f52</x:v>
      </x:c>
      <x:c r="AG1248" s="13" t="str">
        <x:v>full-0063</x:v>
      </x:c>
      <x:c r="AH1248" s="13" t="str">
        <x:v>full</x:v>
      </x:c>
      <x:c r="AI1248" s="13" t="n">
        <x:v>63</x:v>
      </x:c>
    </x:row>
    <x:row r="1249" ht="34" customHeight="1">
      <x:c r="A1249" s="15" t="str">
        <x:v>zories flip flops women</x:v>
      </x:c>
      <x:c r="B1249" s="15" t="str">
        <x:v>zories flip flops women</x:v>
      </x:c>
      <x:c r="C1249" s="10" t="str">
        <x:v>39912cfdb7f94a09</x:v>
      </x:c>
      <x:c r="D1249" s="10" t="str">
        <x:v>keyword</x:v>
      </x:c>
      <x:c r="E1249" s="10" t="str">
        <x:v>en</x:v>
      </x:c>
      <x:c r="F1249" s="10" t="str">
        <x:v>clothing_shoes_jewelry</x:v>
      </x:c>
      <x:c r="G1249" s="15" t="str"/>
      <x:c r="H1249" s="15" t="str">
        <x:v>flip_flops</x:v>
      </x:c>
      <x:c r="I1249" s="15" t="str">
        <x:v>women</x:v>
      </x:c>
      <x:c r="J1249" s="15" t="str"/>
      <x:c r="K1249" s="15" t="str"/>
      <x:c r="L1249" s="15" t="str"/>
      <x:c r="M1249" s="15" t="str"/>
      <x:c r="N1249" s="15" t="str"/>
      <x:c r="O1249" s="15" t="str"/>
      <x:c r="P1249" s="15" t="str"/>
      <x:c r="Q1249" s="15" t="str"/>
      <x:c r="R1249" s="15" t="str">
        <x:v>女性顾客寻找人字拖或夹脚拖鞋。</x:v>
      </x:c>
      <x:c r="S1249" s="10" t="str">
        <x:v>consideration</x:v>
      </x:c>
      <x:c r="T1249" s="15" t="str">
        <x:v>explicit | page_validated</x:v>
      </x:c>
      <x:c r="U1249" s="10" t="str">
        <x:v>high</x:v>
      </x:c>
      <x:c r="V1249" s="15" t="str">
        <x:v>womens_flip_flops_general</x:v>
      </x:c>
      <x:c r="W1249" s="15" t="str">
        <x:v>cluster_route</x:v>
      </x:c>
      <x:c r="X1249" s="15" t="str">
        <x:v>{"product_type":[{"value":"flip_flops","evidence_type":"explicit","source_span":"zories flip flops","fact_ids":[],"rationale":"zories 为夹脚拖鞋的同义词"},{"value":"flip_flops","evidence_type":"page_validated","source_span":"","fact_ids":["style_flip_flop"],"rationale":"产品确认为夹脚拖鞋款式"}],"audience_intent":[{"value":"women","evidence_type":"explicit","source_span":"women","fact_ids":[],"rationale":"搜索词指定女性受众"},{"value":"women","evidence_type":"page_validated","source_span":"","fact_ids":["title_womens_flip_flop"],"rationale":"产品标题标明女款"}],"primary_domain":[{"value":"clothing_shoes_jewelry","evidence_type":"inferred","source_span":"","fact_ids":[],"rationale":"该值由搜索词整体语义推断，未作为页面明示属性。"}]}</x:v>
      </x:c>
      <x:c r="Y1249" s="15" t="str"/>
      <x:c r="Z1249" s="10" t="str">
        <x:v>match</x:v>
      </x:c>
      <x:c r="AA1249" s="15" t="str">
        <x:v>style_flip_flop | title_womens_flip_flop</x:v>
      </x:c>
      <x:c r="AB1249" s="10" t="str">
        <x:v>needs_review</x:v>
      </x:c>
      <x:c r="AC1249" s="10" t="str">
        <x:v>1.0.0</x:v>
      </x:c>
      <x:c r="AD1249" s="10" t="str">
        <x:v>1.0.0</x:v>
      </x:c>
      <x:c r="AE1249" s="10" t="str">
        <x:v>deepseek/deepseek-v4-pro</x:v>
      </x:c>
      <x:c r="AF1249" s="10" t="str">
        <x:v>aj2-y90-20260714T234810-0bea2f52</x:v>
      </x:c>
      <x:c r="AG1249" s="10" t="str">
        <x:v>full-0063</x:v>
      </x:c>
      <x:c r="AH1249" s="10" t="str">
        <x:v>full</x:v>
      </x:c>
      <x:c r="AI1249" s="10" t="n">
        <x:v>63</x:v>
      </x:c>
    </x:row>
    <x:row r="1250" ht="34" customHeight="1">
      <x:c r="A1250" s="16" t="str">
        <x:v>flip flops black squishy</x:v>
      </x:c>
      <x:c r="B1250" s="16" t="str">
        <x:v>flip flops black squishy</x:v>
      </x:c>
      <x:c r="C1250" s="13" t="str">
        <x:v>612f6990ddd0b78c</x:v>
      </x:c>
      <x:c r="D1250" s="13" t="str">
        <x:v>keyword</x:v>
      </x:c>
      <x:c r="E1250" s="13" t="str">
        <x:v>en</x:v>
      </x:c>
      <x:c r="F1250" s="13" t="str">
        <x:v>clothing_shoes_jewelry</x:v>
      </x:c>
      <x:c r="G1250" s="16" t="str"/>
      <x:c r="H1250" s="16" t="str">
        <x:v>flip_flops</x:v>
      </x:c>
      <x:c r="I1250" s="16" t="str"/>
      <x:c r="J1250" s="16" t="str"/>
      <x:c r="K1250" s="16" t="str">
        <x:v>soft_cushioning</x:v>
      </x:c>
      <x:c r="L1250" s="16" t="str"/>
      <x:c r="M1250" s="16" t="str"/>
      <x:c r="N1250" s="16" t="str"/>
      <x:c r="O1250" s="16" t="str"/>
      <x:c r="P1250" s="16" t="str"/>
      <x:c r="Q1250" s="16" t="str"/>
      <x:c r="R1250" s="16" t="str">
        <x:v>顾客寻找黑色柔软有弹性的夹脚拖鞋。</x:v>
      </x:c>
      <x:c r="S1250" s="13" t="str">
        <x:v>consideration</x:v>
      </x:c>
      <x:c r="T1250" s="16" t="str">
        <x:v>explicit | page_validated</x:v>
      </x:c>
      <x:c r="U1250" s="13" t="str">
        <x:v>medium</x:v>
      </x:c>
      <x:c r="V1250" s="16" t="str">
        <x:v>squishy_black_flip_flops</x:v>
      </x:c>
      <x:c r="W1250" s="16" t="str">
        <x:v>ambiguity_review</x:v>
      </x:c>
      <x:c r="X1250" s="16" t="str">
        <x:v>{"product_type":[{"value":"flip_flops","evidence_type":"explicit","source_span":"flip flops","fact_ids":[],"rationale":"搜索词要求夹脚拖鞋"},{"value":"flip_flops","evidence_type":"page_validated","source_span":"","fact_ids":["style_flip_flop"],"rationale":"产品确认为夹脚拖鞋"}],"capability_intent":[{"value":"soft_cushioning","evidence_type":"explicit","source_span":"squishy","fact_ids":[],"rationale":"squishy 表示柔软有弹性的触感"},{"value":"soft_cushioning","evidence_type":"page_validated","source_span":"","fact_ids":["padded_cushioning","material_eva"],"rationale":"EVA材质加缓冲垫提供柔软弹性脚感"}],"color":[{"value":"black","evidence_type":"explicit","source_span":"black","fact_ids":[],"rationale":"该颜色在商品页面可见颜色选择中得到明确支持。"},{"value":"black","evidence_type":"page_validated","source_span":"","fact_ids":["colors_visible"],"rationale":"该颜色在商品页面可见颜色选择中得到明确支持。"}],"primary_domain":[{"value":"clothing_shoes_jewelry","evidence_type":"inferred","source_span":"","fact_ids":[],"rationale":"该值由搜索词整体语义推断，未作为页面明示属性。"}]}</x:v>
      </x:c>
      <x:c r="Y1250" s="16" t="str">
        <x:v>unspecified_audience</x:v>
      </x:c>
      <x:c r="Z1250" s="13" t="str">
        <x:v>partial_match</x:v>
      </x:c>
      <x:c r="AA1250" s="16" t="str">
        <x:v>style_flip_flop | padded_cushioning | material_eva | colors_visible</x:v>
      </x:c>
      <x:c r="AB1250" s="13" t="str">
        <x:v>needs_review</x:v>
      </x:c>
      <x:c r="AC1250" s="13" t="str">
        <x:v>1.0.0</x:v>
      </x:c>
      <x:c r="AD1250" s="13" t="str">
        <x:v>1.0.0</x:v>
      </x:c>
      <x:c r="AE1250" s="13" t="str">
        <x:v>deepseek/deepseek-v4-pro</x:v>
      </x:c>
      <x:c r="AF1250" s="13" t="str">
        <x:v>aj2-y90-20260714T234810-0bea2f52</x:v>
      </x:c>
      <x:c r="AG1250" s="13" t="str">
        <x:v>full-0063</x:v>
      </x:c>
      <x:c r="AH1250" s="13" t="str">
        <x:v>full</x:v>
      </x:c>
      <x:c r="AI1250" s="13" t="n">
        <x:v>63</x:v>
      </x:c>
    </x:row>
    <x:row r="1251" ht="34" customHeight="1">
      <x:c r="A1251" s="15" t="str">
        <x:v>grey flip flops for women</x:v>
      </x:c>
      <x:c r="B1251" s="15" t="str">
        <x:v>grey flip flops for women</x:v>
      </x:c>
      <x:c r="C1251" s="10" t="str">
        <x:v>66dbab6185c57a21</x:v>
      </x:c>
      <x:c r="D1251" s="10" t="str">
        <x:v>keyword</x:v>
      </x:c>
      <x:c r="E1251" s="10" t="str">
        <x:v>en</x:v>
      </x:c>
      <x:c r="F1251" s="10" t="str">
        <x:v>clothing_shoes_jewelry</x:v>
      </x:c>
      <x:c r="G1251" s="15" t="str"/>
      <x:c r="H1251" s="15" t="str">
        <x:v>flip_flops</x:v>
      </x:c>
      <x:c r="I1251" s="15" t="str">
        <x:v>women</x:v>
      </x:c>
      <x:c r="J1251" s="15" t="str"/>
      <x:c r="K1251" s="15" t="str"/>
      <x:c r="L1251" s="15" t="str"/>
      <x:c r="M1251" s="15" t="str"/>
      <x:c r="N1251" s="15" t="str"/>
      <x:c r="O1251" s="15" t="str"/>
      <x:c r="P1251" s="15" t="str"/>
      <x:c r="Q1251" s="15" t="str"/>
      <x:c r="R1251" s="15" t="str">
        <x:v>女性顾客寻找灰色夹脚拖鞋。</x:v>
      </x:c>
      <x:c r="S1251" s="10" t="str">
        <x:v>high_intent</x:v>
      </x:c>
      <x:c r="T1251" s="15" t="str">
        <x:v>explicit | page_validated</x:v>
      </x:c>
      <x:c r="U1251" s="10" t="str">
        <x:v>high</x:v>
      </x:c>
      <x:c r="V1251" s="15" t="str">
        <x:v>womens_flip_flops_by_color</x:v>
      </x:c>
      <x:c r="W1251" s="15" t="str">
        <x:v>cluster_route</x:v>
      </x:c>
      <x:c r="X1251" s="15" t="str">
        <x:v>{"product_type":[{"value":"flip_flops","evidence_type":"explicit","source_span":"flip flops","fact_ids":[],"rationale":"搜索词明确要求夹脚拖鞋"},{"value":"flip_flops","evidence_type":"page_validated","source_span":"","fact_ids":["style_flip_flop"],"rationale":"产品确认为夹脚拖鞋款式"}],"audience_intent":[{"value":"women","evidence_type":"explicit","source_span":"women","fact_ids":[],"rationale":"搜索词指定女性受众"},{"value":"women","evidence_type":"page_validated","source_span":"","fact_ids":["title_womens_flip_flop"],"rationale":"产品标题标注女款"}],"color":[{"value":"grey","evidence_type":"explicit","source_span":"grey","fact_ids":[],"rationale":"搜索词指定灰色"},{"value":"grey","evidence_type":"inferred","source_span":"","fact_ids":[],"rationale":"这是搜索词中的颜色约束，但商品页面基准未确认该具体颜色。"}],"primary_domain":[{"value":"clothing_shoes_jewelry","evidence_type":"inferred","source_span":"","fact_ids":[],"rationale":"该值由搜索词整体语义推断，未作为页面明示属性。"}]}</x:v>
      </x:c>
      <x:c r="Y1251" s="15" t="str"/>
      <x:c r="Z1251" s="10" t="str">
        <x:v>match</x:v>
      </x:c>
      <x:c r="AA1251" s="15" t="str">
        <x:v>style_flip_flop | title_womens_flip_flop | colors_visible</x:v>
      </x:c>
      <x:c r="AB1251" s="10" t="str">
        <x:v>needs_review</x:v>
      </x:c>
      <x:c r="AC1251" s="10" t="str">
        <x:v>1.0.0</x:v>
      </x:c>
      <x:c r="AD1251" s="10" t="str">
        <x:v>1.0.0</x:v>
      </x:c>
      <x:c r="AE1251" s="10" t="str">
        <x:v>deepseek/deepseek-v4-pro</x:v>
      </x:c>
      <x:c r="AF1251" s="10" t="str">
        <x:v>aj2-y90-20260714T234810-0bea2f52</x:v>
      </x:c>
      <x:c r="AG1251" s="10" t="str">
        <x:v>full-0063</x:v>
      </x:c>
      <x:c r="AH1251" s="10" t="str">
        <x:v>full</x:v>
      </x:c>
      <x:c r="AI1251" s="10" t="n">
        <x:v>63</x:v>
      </x:c>
    </x:row>
    <x:row r="1252" ht="34" customHeight="1">
      <x:c r="A1252" s="16" t="str">
        <x:v>waterproof sandals for pool with arch support</x:v>
      </x:c>
      <x:c r="B1252" s="16" t="str">
        <x:v>waterproof sandals for pool with arch support</x:v>
      </x:c>
      <x:c r="C1252" s="13" t="str">
        <x:v>6ebd2b1f388cb039</x:v>
      </x:c>
      <x:c r="D1252" s="13" t="str">
        <x:v>keyword</x:v>
      </x:c>
      <x:c r="E1252" s="13" t="str">
        <x:v>en</x:v>
      </x:c>
      <x:c r="F1252" s="13" t="str">
        <x:v>clothing_shoes_jewelry</x:v>
      </x:c>
      <x:c r="G1252" s="16" t="str"/>
      <x:c r="H1252" s="16" t="str">
        <x:v>sandals</x:v>
      </x:c>
      <x:c r="I1252" s="16" t="str"/>
      <x:c r="J1252" s="16" t="str"/>
      <x:c r="K1252" s="16" t="str">
        <x:v>waterproof | arch_support</x:v>
      </x:c>
      <x:c r="L1252" s="16" t="str"/>
      <x:c r="M1252" s="16" t="str">
        <x:v>pool</x:v>
      </x:c>
      <x:c r="N1252" s="16" t="str"/>
      <x:c r="O1252" s="16" t="str"/>
      <x:c r="P1252" s="16" t="str"/>
      <x:c r="Q1252" s="16" t="str"/>
      <x:c r="R1252" s="16" t="str">
        <x:v>用户需要具有足弓支撑的防水凉鞋在泳池边穿着。</x:v>
      </x:c>
      <x:c r="S1252" s="13" t="str">
        <x:v>high_intent</x:v>
      </x:c>
      <x:c r="T1252" s="16" t="str">
        <x:v>explicit | page_validated</x:v>
      </x:c>
      <x:c r="U1252" s="13" t="str">
        <x:v>medium</x:v>
      </x:c>
      <x:c r="V1252" s="16" t="str">
        <x:v>waterproof_arch_support_pool_sandals</x:v>
      </x:c>
      <x:c r="W1252" s="16" t="str">
        <x:v>listing_gap_review</x:v>
      </x:c>
      <x:c r="X1252" s="16" t="str">
        <x:v>{"product_type":[{"value":"sandals","evidence_type":"explicit","source_span":"sandals","fact_ids":[],"rationale":"搜索词明确要求凉鞋"},{"value":"sandals","evidence_type":"page_validated","source_span":"","fact_ids":["title_womens_flip_flop","style_flip_flop"],"rationale":"夹脚凉鞋属于凉鞋范畴"}],"capability_intent":[{"value":"waterproof","evidence_type":"explicit","source_span":"waterproof","fact_ids":[],"rationale":"搜索词要求防水特性"},{"value":"arch_support","evidence_type":"explicit","source_span":"arch support","fact_ids":[],"rationale":"搜索词要求足弓支撑"},{"value":"arch_support","evidence_type":"page_validated","source_span":"","fact_ids":["arch_support"],"rationale":"页面声明人体工学足弓支撑"}],"location_intent":[{"value":"pool","evidence_type":"explicit","source_span":"pool","fact_ids":[],"rationale":"搜索词指定泳池使用场景"}],"primary_domain":[{"value":"clothing_shoes_jewelry","evidence_type":"inferred","source_span":"","fact_ids":[],"rationale":"该值由搜索词整体语义推断，未作为页面明示属性。"}]}</x:v>
      </x:c>
      <x:c r="Y1252" s="16" t="str"/>
      <x:c r="Z1252" s="13" t="str">
        <x:v>partial_match</x:v>
      </x:c>
      <x:c r="AA1252" s="16" t="str">
        <x:v>title_womens_flip_flop | style_flip_flop | arch_support</x:v>
      </x:c>
      <x:c r="AB1252" s="13" t="str">
        <x:v>needs_review</x:v>
      </x:c>
      <x:c r="AC1252" s="13" t="str">
        <x:v>1.0.0</x:v>
      </x:c>
      <x:c r="AD1252" s="13" t="str">
        <x:v>1.0.0</x:v>
      </x:c>
      <x:c r="AE1252" s="13" t="str">
        <x:v>deepseek/deepseek-v4-pro</x:v>
      </x:c>
      <x:c r="AF1252" s="13" t="str">
        <x:v>aj2-y90-20260714T234810-0bea2f52</x:v>
      </x:c>
      <x:c r="AG1252" s="13" t="str">
        <x:v>full-0063</x:v>
      </x:c>
      <x:c r="AH1252" s="13" t="str">
        <x:v>full</x:v>
      </x:c>
      <x:c r="AI1252" s="13" t="n">
        <x:v>63</x:v>
      </x:c>
    </x:row>
    <x:row r="1253" ht="34" customHeight="1">
      <x:c r="A1253" s="15" t="str">
        <x:v>white toe thongs</x:v>
      </x:c>
      <x:c r="B1253" s="15" t="str">
        <x:v>white toe thongs</x:v>
      </x:c>
      <x:c r="C1253" s="10" t="str">
        <x:v>bfaf1b6fb0a9da15</x:v>
      </x:c>
      <x:c r="D1253" s="10" t="str">
        <x:v>keyword</x:v>
      </x:c>
      <x:c r="E1253" s="10" t="str">
        <x:v>en</x:v>
      </x:c>
      <x:c r="F1253" s="10" t="str">
        <x:v>clothing_shoes_jewelry</x:v>
      </x:c>
      <x:c r="G1253" s="15" t="str"/>
      <x:c r="H1253" s="15" t="str">
        <x:v>flip_flops | thong_sandals</x:v>
      </x:c>
      <x:c r="I1253" s="15" t="str"/>
      <x:c r="J1253" s="15" t="str"/>
      <x:c r="K1253" s="15" t="str"/>
      <x:c r="L1253" s="15" t="str"/>
      <x:c r="M1253" s="15" t="str"/>
      <x:c r="N1253" s="15" t="str"/>
      <x:c r="O1253" s="15" t="str"/>
      <x:c r="P1253" s="15" t="str"/>
      <x:c r="Q1253" s="15" t="str"/>
      <x:c r="R1253" s="15" t="str">
        <x:v>顾客寻找白色夹脚人字拖鞋。</x:v>
      </x:c>
      <x:c r="S1253" s="10" t="str">
        <x:v>consideration</x:v>
      </x:c>
      <x:c r="T1253" s="15" t="str">
        <x:v>explicit | page_validated</x:v>
      </x:c>
      <x:c r="U1253" s="10" t="str">
        <x:v>medium</x:v>
      </x:c>
      <x:c r="V1253" s="15" t="str">
        <x:v>white_thong_sandals</x:v>
      </x:c>
      <x:c r="W1253" s="15" t="str">
        <x:v>ambiguity_review</x:v>
      </x:c>
      <x:c r="X1253" s="15" t="str">
        <x:v>{"product_type":[{"value":"flip_flops","evidence_type":"explicit","source_span":"toe thongs","fact_ids":[],"rationale":"toe thongs 即夹脚人字拖鞋的英文别称"},{"value":"flip_flops","evidence_type":"page_validated","source_span":"","fact_ids":["style_flip_flop","style_thong"],"rationale":"产品为夹脚/人字带凉鞋"},{"value":"flip_flops","evidence_type":"inferred","source_span":"","fact_ids":[],"rationale":"该能力由搜索词表达的任务或问题推断；页面事实仅用于验证商品承接。"},{"value":"thong_sandals","evidence_type":"page_validated","source_span":"","fact_ids":["style_thong","style_flip_flop"],"rationale":"该槽位与商品基准中的明示页面事实一致。"},{"value":"thong_sandals","evidence_type":"inferred","source_span":"","fact_ids":[],"rationale":"该能力由搜索词表达的任务或问题推断；页面事实仅用于验证商品承接。"}],"color":[{"value":"white","evidence_type":"explicit","source_span":"white","fact_ids":[],"rationale":"该颜色在商品页面可见颜色选择中得到明确支持。"},{"value":"white","evidence_type":"page_validated","source_span":"","fact_ids":["colors_visible"],"rationale":"该颜色在商品页面可见颜色选择中得到明确支持。"}],"primary_domain":[{"value":"clothing_shoes_jewelry","evidence_type":"inferred","source_span":"","fact_ids":[],"rationale":"该值由搜索词整体语义推断，未作为页面明示属性。"}]}</x:v>
      </x:c>
      <x:c r="Y1253" s="15" t="str">
        <x:v>unspecified_audience</x:v>
      </x:c>
      <x:c r="Z1253" s="10" t="str">
        <x:v>partial_match</x:v>
      </x:c>
      <x:c r="AA1253" s="15" t="str">
        <x:v>style_flip_flop | style_thong | colors_visible</x:v>
      </x:c>
      <x:c r="AB1253" s="10" t="str">
        <x:v>needs_review</x:v>
      </x:c>
      <x:c r="AC1253" s="10" t="str">
        <x:v>1.0.0</x:v>
      </x:c>
      <x:c r="AD1253" s="10" t="str">
        <x:v>1.0.0</x:v>
      </x:c>
      <x:c r="AE1253" s="10" t="str">
        <x:v>deepseek/deepseek-v4-pro</x:v>
      </x:c>
      <x:c r="AF1253" s="10" t="str">
        <x:v>aj2-y90-20260714T234810-0bea2f52</x:v>
      </x:c>
      <x:c r="AG1253" s="10" t="str">
        <x:v>full-0063</x:v>
      </x:c>
      <x:c r="AH1253" s="10" t="str">
        <x:v>full</x:v>
      </x:c>
      <x:c r="AI1253" s="10" t="n">
        <x:v>63</x:v>
      </x:c>
    </x:row>
    <x:row r="1254" ht="34" customHeight="1">
      <x:c r="A1254" s="16" t="str">
        <x:v>joomra women's arch support</x:v>
      </x:c>
      <x:c r="B1254" s="16" t="str">
        <x:v>joomra women's arch support</x:v>
      </x:c>
      <x:c r="C1254" s="13" t="str">
        <x:v>cc59fcacd0002a94</x:v>
      </x:c>
      <x:c r="D1254" s="13" t="str">
        <x:v>keyword</x:v>
      </x:c>
      <x:c r="E1254" s="13" t="str">
        <x:v>en</x:v>
      </x:c>
      <x:c r="F1254" s="13" t="str">
        <x:v>clothing_shoes_jewelry</x:v>
      </x:c>
      <x:c r="G1254" s="16" t="str"/>
      <x:c r="H1254" s="16" t="str">
        <x:v>footwear | flip_flops</x:v>
      </x:c>
      <x:c r="I1254" s="16" t="str">
        <x:v>women</x:v>
      </x:c>
      <x:c r="J1254" s="16" t="str"/>
      <x:c r="K1254" s="16" t="str">
        <x:v>arch_support</x:v>
      </x:c>
      <x:c r="L1254" s="16" t="str"/>
      <x:c r="M1254" s="16" t="str"/>
      <x:c r="N1254" s="16" t="str"/>
      <x:c r="O1254" s="16" t="str"/>
      <x:c r="P1254" s="16" t="str"/>
      <x:c r="Q1254" s="16" t="str"/>
      <x:c r="R1254" s="16" t="str">
        <x:v>女性顾客搜索 Joomra 品牌具有足弓支撑功能的产品。</x:v>
      </x:c>
      <x:c r="S1254" s="13" t="str">
        <x:v>brand_harvest</x:v>
      </x:c>
      <x:c r="T1254" s="16" t="str">
        <x:v>explicit | page_validated | inferred</x:v>
      </x:c>
      <x:c r="U1254" s="13" t="str">
        <x:v>high</x:v>
      </x:c>
      <x:c r="V1254" s="16" t="str">
        <x:v>joomra_arch_support_womens</x:v>
      </x:c>
      <x:c r="W1254" s="16" t="str">
        <x:v>cluster_route</x:v>
      </x:c>
      <x:c r="X1254" s="16" t="str">
        <x:v>{"product_type":[{"value":"footwear","evidence_type":"inferred","source_span":"","fact_ids":[],"rationale":"未提品类，由足弓支撑推断为鞋类"},{"value":"flip_flops","evidence_type":"inferred","source_span":"","fact_ids":[],"rationale":"joomra 该产品为夹脚拖鞋"},{"value":"flip_flops","evidence_type":"page_validated","source_span":"","fact_ids":["style_flip_flop"],"rationale":"该槽位与商品基准中的明示页面事实一致。"}],"audience_intent":[{"value":"women","evidence_type":"explicit","source_span":"women","fact_ids":[],"rationale":"搜索词指定女性"},{"value":"women","evidence_type":"page_validated","source_span":"","fact_ids":["title_womens_flip_flop"],"rationale":"产品标题标注女款"}],"capability_intent":[{"value":"arch_support","evidence_type":"explicit","source_span":"arch support","fact_ids":[],"rationale":"搜索词要求足弓支撑"},{"value":"arch_support","evidence_type":"page_validated","source_span":"","fact_ids":["arch_support"],"rationale":"页面声明人体工学足弓支撑"}],"brand":[{"value":"joomra","evidence_type":"explicit","source_span":"joomra","fact_ids":[],"rationale":"搜索词明确包含品牌名称。"}],"primary_domain":[{"value":"clothing_shoes_jewelry","evidence_type":"inferred","source_span":"","fact_ids":[],"rationale":"该值由搜索词整体语义推断，未作为页面明示属性。"}]}</x:v>
      </x:c>
      <x:c r="Y1254" s="16" t="str">
        <x:v>unspecified_product_type</x:v>
      </x:c>
      <x:c r="Z1254" s="13" t="str">
        <x:v>match</x:v>
      </x:c>
      <x:c r="AA1254" s="16" t="str">
        <x:v>title_womens_flip_flop | arch_support | style_flip_flop</x:v>
      </x:c>
      <x:c r="AB1254" s="13" t="str">
        <x:v>needs_review</x:v>
      </x:c>
      <x:c r="AC1254" s="13" t="str">
        <x:v>1.0.0</x:v>
      </x:c>
      <x:c r="AD1254" s="13" t="str">
        <x:v>1.0.0</x:v>
      </x:c>
      <x:c r="AE1254" s="13" t="str">
        <x:v>deepseek/deepseek-v4-pro</x:v>
      </x:c>
      <x:c r="AF1254" s="13" t="str">
        <x:v>aj2-y90-20260714T234810-0bea2f52</x:v>
      </x:c>
      <x:c r="AG1254" s="13" t="str">
        <x:v>full-0063</x:v>
      </x:c>
      <x:c r="AH1254" s="13" t="str">
        <x:v>full</x:v>
      </x:c>
      <x:c r="AI1254" s="13" t="n">
        <x:v>63</x:v>
      </x:c>
    </x:row>
    <x:row r="1255" ht="34" customHeight="1">
      <x:c r="A1255" s="15" t="str">
        <x:v>womens jawuayanas flip flops</x:v>
      </x:c>
      <x:c r="B1255" s="15" t="str">
        <x:v>womens jawuayanas flip flops</x:v>
      </x:c>
      <x:c r="C1255" s="10" t="str">
        <x:v>d5eef37347d81600</x:v>
      </x:c>
      <x:c r="D1255" s="10" t="str">
        <x:v>keyword</x:v>
      </x:c>
      <x:c r="E1255" s="10" t="str">
        <x:v>en</x:v>
      </x:c>
      <x:c r="F1255" s="10" t="str">
        <x:v>clothing_shoes_jewelry</x:v>
      </x:c>
      <x:c r="G1255" s="15" t="str"/>
      <x:c r="H1255" s="15" t="str">
        <x:v>flip_flops</x:v>
      </x:c>
      <x:c r="I1255" s="15" t="str">
        <x:v>women</x:v>
      </x:c>
      <x:c r="J1255" s="15" t="str"/>
      <x:c r="K1255" s="15" t="str"/>
      <x:c r="L1255" s="15" t="str"/>
      <x:c r="M1255" s="15" t="str"/>
      <x:c r="N1255" s="15" t="str"/>
      <x:c r="O1255" s="15" t="str"/>
      <x:c r="P1255" s="15" t="str"/>
      <x:c r="Q1255" s="15" t="str"/>
      <x:c r="R1255" s="15" t="str">
        <x:v>女性顾客在搜索类似哈瓦那品牌的夹脚拖鞋。</x:v>
      </x:c>
      <x:c r="S1255" s="10" t="str">
        <x:v>brand_harvest</x:v>
      </x:c>
      <x:c r="T1255" s="15" t="str">
        <x:v>explicit</x:v>
      </x:c>
      <x:c r="U1255" s="10" t="str">
        <x:v>high</x:v>
      </x:c>
      <x:c r="V1255" s="15" t="str">
        <x:v>brand_specific_flip_flops</x:v>
      </x:c>
      <x:c r="W1255" s="15" t="str">
        <x:v>semantic_negative_candidate</x:v>
      </x:c>
      <x:c r="X1255" s="15" t="str">
        <x:v>{"product_type":[{"value":"flip_flops","evidence_type":"explicit","source_span":"flip flops","fact_ids":[],"rationale":"搜索词明确要求夹脚拖鞋"},{"value":"flip_flops","evidence_type":"page_validated","source_span":"","fact_ids":["style_flip_flop"],"rationale":"该槽位与商品基准中的明示页面事实一致。"}],"audience_intent":[{"value":"women","evidence_type":"explicit","source_span":"womens","fact_ids":[],"rationale":"搜索词指定女性"},{"value":"women","evidence_type":"page_validated","source_span":"","fact_ids":["title_womens_flip_flop"],"rationale":"该槽位与商品基准中的明示页面事实一致。"}],"brand":[{"value":"jawuayanas","evidence_type":"explicit","source_span":"jawuayanas","fact_ids":[],"rationale":"jawuayanas 疑似 Havaianas 品牌拼写，非 joomra"}],"primary_domain":[{"value":"clothing_shoes_jewelry","evidence_type":"inferred","source_span":"","fact_ids":[],"rationale":"该值由搜索词整体语义推断，未作为页面明示属性。"}]}</x:v>
      </x:c>
      <x:c r="Y1255" s="15" t="str">
        <x:v>brand_misspelling</x:v>
      </x:c>
      <x:c r="Z1255" s="10" t="str">
        <x:v>mismatch</x:v>
      </x:c>
      <x:c r="AA1255" s="15" t="str"/>
      <x:c r="AB1255" s="10" t="str">
        <x:v>needs_review</x:v>
      </x:c>
      <x:c r="AC1255" s="10" t="str">
        <x:v>1.0.0</x:v>
      </x:c>
      <x:c r="AD1255" s="10" t="str">
        <x:v>1.0.0</x:v>
      </x:c>
      <x:c r="AE1255" s="10" t="str">
        <x:v>deepseek/deepseek-v4-pro</x:v>
      </x:c>
      <x:c r="AF1255" s="10" t="str">
        <x:v>aj2-y90-20260714T234810-0bea2f52</x:v>
      </x:c>
      <x:c r="AG1255" s="10" t="str">
        <x:v>full-0063</x:v>
      </x:c>
      <x:c r="AH1255" s="10" t="str">
        <x:v>full</x:v>
      </x:c>
      <x:c r="AI1255" s="10" t="n">
        <x:v>63</x:v>
      </x:c>
    </x:row>
    <x:row r="1256" ht="34" customHeight="1">
      <x:c r="A1256" s="16" t="str">
        <x:v>black sandals women</x:v>
      </x:c>
      <x:c r="B1256" s="16" t="str">
        <x:v>black sandals women</x:v>
      </x:c>
      <x:c r="C1256" s="13" t="str">
        <x:v>e1852ffccd712148</x:v>
      </x:c>
      <x:c r="D1256" s="13" t="str">
        <x:v>keyword</x:v>
      </x:c>
      <x:c r="E1256" s="13" t="str">
        <x:v>en</x:v>
      </x:c>
      <x:c r="F1256" s="13" t="str">
        <x:v>clothing_shoes_jewelry</x:v>
      </x:c>
      <x:c r="G1256" s="16" t="str"/>
      <x:c r="H1256" s="16" t="str">
        <x:v>sandals</x:v>
      </x:c>
      <x:c r="I1256" s="16" t="str">
        <x:v>women</x:v>
      </x:c>
      <x:c r="J1256" s="16" t="str"/>
      <x:c r="K1256" s="16" t="str"/>
      <x:c r="L1256" s="16" t="str"/>
      <x:c r="M1256" s="16" t="str"/>
      <x:c r="N1256" s="16" t="str"/>
      <x:c r="O1256" s="16" t="str"/>
      <x:c r="P1256" s="16" t="str"/>
      <x:c r="Q1256" s="16" t="str"/>
      <x:c r="R1256" s="16" t="str">
        <x:v>女性顾客寻找黑色凉鞋。</x:v>
      </x:c>
      <x:c r="S1256" s="13" t="str">
        <x:v>consideration</x:v>
      </x:c>
      <x:c r="T1256" s="16" t="str">
        <x:v>explicit | page_validated</x:v>
      </x:c>
      <x:c r="U1256" s="13" t="str">
        <x:v>high</x:v>
      </x:c>
      <x:c r="V1256" s="16" t="str">
        <x:v>womens_sandals_by_color</x:v>
      </x:c>
      <x:c r="W1256" s="16" t="str">
        <x:v>cluster_route</x:v>
      </x:c>
      <x:c r="X1256" s="16" t="str">
        <x:v>{"product_type":[{"value":"sandals","evidence_type":"explicit","source_span":"sandals","fact_ids":[],"rationale":"搜索词请求凉鞋品类"},{"value":"sandals","evidence_type":"page_validated","source_span":"","fact_ids":["title_womens_flip_flop","style_flip_flop"],"rationale":"夹脚凉鞋属于凉鞋范畴"}],"audience_intent":[{"value":"women","evidence_type":"explicit","source_span":"women","fact_ids":[],"rationale":"搜索词指定女性"},{"value":"women","evidence_type":"page_validated","source_span":"","fact_ids":["title_womens_flip_flop"],"rationale":"产品为女款设计"}],"color":[{"value":"black","evidence_type":"explicit","source_span":"black","fact_ids":[],"rationale":"该颜色在商品页面可见颜色选择中得到明确支持。"},{"value":"black","evidence_type":"page_validated","source_span":"","fact_ids":["colors_visible"],"rationale":"该颜色在商品页面可见颜色选择中得到明确支持。"}],"primary_domain":[{"value":"clothing_shoes_jewelry","evidence_type":"inferred","source_span":"","fact_ids":[],"rationale":"该值由搜索词整体语义推断，未作为页面明示属性。"}]}</x:v>
      </x:c>
      <x:c r="Y1256" s="16" t="str"/>
      <x:c r="Z1256" s="13" t="str">
        <x:v>match</x:v>
      </x:c>
      <x:c r="AA1256" s="16" t="str">
        <x:v>title_womens_flip_flop | style_flip_flop | colors_visible</x:v>
      </x:c>
      <x:c r="AB1256" s="13" t="str">
        <x:v>needs_review</x:v>
      </x:c>
      <x:c r="AC1256" s="13" t="str">
        <x:v>1.0.0</x:v>
      </x:c>
      <x:c r="AD1256" s="13" t="str">
        <x:v>1.0.0</x:v>
      </x:c>
      <x:c r="AE1256" s="13" t="str">
        <x:v>deepseek/deepseek-v4-pro</x:v>
      </x:c>
      <x:c r="AF1256" s="13" t="str">
        <x:v>aj2-y90-20260714T234810-0bea2f52</x:v>
      </x:c>
      <x:c r="AG1256" s="13" t="str">
        <x:v>full-0063</x:v>
      </x:c>
      <x:c r="AH1256" s="13" t="str">
        <x:v>full</x:v>
      </x:c>
      <x:c r="AI1256" s="13" t="n">
        <x:v>63</x:v>
      </x:c>
    </x:row>
    <x:row r="1257" ht="34" customHeight="1">
      <x:c r="A1257" s="15" t="str">
        <x:v>flip flops for women soft</x:v>
      </x:c>
      <x:c r="B1257" s="15" t="str">
        <x:v>flip flops for women soft</x:v>
      </x:c>
      <x:c r="C1257" s="10" t="str">
        <x:v>ea2d3071a3fffa1c</x:v>
      </x:c>
      <x:c r="D1257" s="10" t="str">
        <x:v>keyword</x:v>
      </x:c>
      <x:c r="E1257" s="10" t="str">
        <x:v>en</x:v>
      </x:c>
      <x:c r="F1257" s="10" t="str">
        <x:v>clothing_shoes_jewelry</x:v>
      </x:c>
      <x:c r="G1257" s="15" t="str"/>
      <x:c r="H1257" s="15" t="str">
        <x:v>flip_flops</x:v>
      </x:c>
      <x:c r="I1257" s="15" t="str">
        <x:v>women</x:v>
      </x:c>
      <x:c r="J1257" s="15" t="str"/>
      <x:c r="K1257" s="15" t="str">
        <x:v>soft_cushioning</x:v>
      </x:c>
      <x:c r="L1257" s="15" t="str"/>
      <x:c r="M1257" s="15" t="str"/>
      <x:c r="N1257" s="15" t="str"/>
      <x:c r="O1257" s="15" t="str"/>
      <x:c r="P1257" s="15" t="str"/>
      <x:c r="Q1257" s="15" t="str"/>
      <x:c r="R1257" s="15" t="str">
        <x:v>女性顾客寻找柔软的夹脚拖鞋。</x:v>
      </x:c>
      <x:c r="S1257" s="10" t="str">
        <x:v>high_intent</x:v>
      </x:c>
      <x:c r="T1257" s="15" t="str">
        <x:v>explicit | page_validated</x:v>
      </x:c>
      <x:c r="U1257" s="10" t="str">
        <x:v>high</x:v>
      </x:c>
      <x:c r="V1257" s="15" t="str">
        <x:v>soft_womens_flip_flops</x:v>
      </x:c>
      <x:c r="W1257" s="15" t="str">
        <x:v>cluster_route</x:v>
      </x:c>
      <x:c r="X1257" s="15" t="str">
        <x:v>{"product_type":[{"value":"flip_flops","evidence_type":"explicit","source_span":"flip flops","fact_ids":[],"rationale":"搜索词要求夹脚拖鞋"},{"value":"flip_flops","evidence_type":"page_validated","source_span":"","fact_ids":["style_flip_flop"],"rationale":"产品确认为夹脚拖鞋"}],"audience_intent":[{"value":"women","evidence_type":"explicit","source_span":"women","fact_ids":[],"rationale":"搜索词指定女性"},{"value":"women","evidence_type":"page_validated","source_span":"","fact_ids":["title_womens_flip_flop"],"rationale":"产品标题标注女款"}],"capability_intent":[{"value":"soft_cushioning","evidence_type":"explicit","source_span":"soft","fact_ids":[],"rationale":"搜索词要求柔软特性"},{"value":"soft_cushioning","evidence_type":"page_validated","source_span":"","fact_ids":["soft_toe_post","padded_cushioning"],"rationale":"页面声明柔软趾柱和加厚缓冲垫"}],"primary_domain":[{"value":"clothing_shoes_jewelry","evidence_type":"inferred","source_span":"","fact_ids":[],"rationale":"该值由搜索词整体语义推断，未作为页面明示属性。"}]}</x:v>
      </x:c>
      <x:c r="Y1257" s="15" t="str"/>
      <x:c r="Z1257" s="10" t="str">
        <x:v>match</x:v>
      </x:c>
      <x:c r="AA1257" s="15" t="str">
        <x:v>style_flip_flop | title_womens_flip_flop | soft_toe_post | padded_cushioning</x:v>
      </x:c>
      <x:c r="AB1257" s="10" t="str">
        <x:v>needs_review</x:v>
      </x:c>
      <x:c r="AC1257" s="10" t="str">
        <x:v>1.0.0</x:v>
      </x:c>
      <x:c r="AD1257" s="10" t="str">
        <x:v>1.0.0</x:v>
      </x:c>
      <x:c r="AE1257" s="10" t="str">
        <x:v>deepseek/deepseek-v4-pro</x:v>
      </x:c>
      <x:c r="AF1257" s="10" t="str">
        <x:v>aj2-y90-20260714T234810-0bea2f52</x:v>
      </x:c>
      <x:c r="AG1257" s="10" t="str">
        <x:v>full-0063</x:v>
      </x:c>
      <x:c r="AH1257" s="10" t="str">
        <x:v>full</x:v>
      </x:c>
      <x:c r="AI1257" s="10" t="n">
        <x:v>63</x:v>
      </x:c>
    </x:row>
    <x:row r="1258" ht="34" customHeight="1">
      <x:c r="A1258" s="16" t="str">
        <x:v>light weight flip flops for women</x:v>
      </x:c>
      <x:c r="B1258" s="16" t="str">
        <x:v>light weight flip flops for women</x:v>
      </x:c>
      <x:c r="C1258" s="13" t="str">
        <x:v>ee82e823ab77bdd6</x:v>
      </x:c>
      <x:c r="D1258" s="13" t="str">
        <x:v>keyword</x:v>
      </x:c>
      <x:c r="E1258" s="13" t="str">
        <x:v>en</x:v>
      </x:c>
      <x:c r="F1258" s="13" t="str">
        <x:v>clothing_shoes_jewelry</x:v>
      </x:c>
      <x:c r="G1258" s="16" t="str"/>
      <x:c r="H1258" s="16" t="str">
        <x:v>flip_flops</x:v>
      </x:c>
      <x:c r="I1258" s="16" t="str">
        <x:v>women</x:v>
      </x:c>
      <x:c r="J1258" s="16" t="str"/>
      <x:c r="K1258" s="16" t="str">
        <x:v>lightweight</x:v>
      </x:c>
      <x:c r="L1258" s="16" t="str"/>
      <x:c r="M1258" s="16" t="str"/>
      <x:c r="N1258" s="16" t="str"/>
      <x:c r="O1258" s="16" t="str"/>
      <x:c r="P1258" s="16" t="str"/>
      <x:c r="Q1258" s="16" t="str"/>
      <x:c r="R1258" s="16" t="str">
        <x:v>女性顾客寻找轻便的夹脚拖鞋。</x:v>
      </x:c>
      <x:c r="S1258" s="13" t="str">
        <x:v>high_intent</x:v>
      </x:c>
      <x:c r="T1258" s="16" t="str">
        <x:v>explicit | page_validated</x:v>
      </x:c>
      <x:c r="U1258" s="13" t="str">
        <x:v>high</x:v>
      </x:c>
      <x:c r="V1258" s="16" t="str">
        <x:v>lightweight_womens_flip_flops</x:v>
      </x:c>
      <x:c r="W1258" s="16" t="str">
        <x:v>cluster_route</x:v>
      </x:c>
      <x:c r="X1258" s="16" t="str">
        <x:v>{"product_type":[{"value":"flip_flops","evidence_type":"explicit","source_span":"flip flops","fact_ids":[],"rationale":"搜索词明确要求夹脚拖鞋"},{"value":"flip_flops","evidence_type":"page_validated","source_span":"","fact_ids":["style_flip_flop"],"rationale":"产品为夹脚拖鞋款式"}],"audience_intent":[{"value":"women","evidence_type":"explicit","source_span":"women","fact_ids":[],"rationale":"搜索词指定女性"},{"value":"women","evidence_type":"page_validated","source_span":"","fact_ids":["title_womens_flip_flop"],"rationale":"产品标题标注女款"}],"capability_intent":[{"value":"lightweight","evidence_type":"explicit","source_span":"light weight","fact_ids":[],"rationale":"搜索词要求轻便特性"},{"value":"lightweight","evidence_type":"page_validated","source_span":"","fact_ids":["lightweight_breathable"],"rationale":"页面声明超轻便透气"},{"value":"lightweigh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1258" s="16" t="str"/>
      <x:c r="Z1258" s="13" t="str">
        <x:v>match</x:v>
      </x:c>
      <x:c r="AA1258" s="16" t="str">
        <x:v>style_flip_flop | title_womens_flip_flop | lightweight_breathable</x:v>
      </x:c>
      <x:c r="AB1258" s="13" t="str">
        <x:v>needs_review</x:v>
      </x:c>
      <x:c r="AC1258" s="13" t="str">
        <x:v>1.0.0</x:v>
      </x:c>
      <x:c r="AD1258" s="13" t="str">
        <x:v>1.0.0</x:v>
      </x:c>
      <x:c r="AE1258" s="13" t="str">
        <x:v>deepseek/deepseek-v4-pro</x:v>
      </x:c>
      <x:c r="AF1258" s="13" t="str">
        <x:v>aj2-y90-20260714T234810-0bea2f52</x:v>
      </x:c>
      <x:c r="AG1258" s="13" t="str">
        <x:v>full-0063</x:v>
      </x:c>
      <x:c r="AH1258" s="13" t="str">
        <x:v>full</x:v>
      </x:c>
      <x:c r="AI1258" s="13" t="n">
        <x:v>63</x:v>
      </x:c>
    </x:row>
    <x:row r="1259" ht="34" customHeight="1">
      <x:c r="A1259" s="15" t="str">
        <x:v>white non slip waterproof flip flops</x:v>
      </x:c>
      <x:c r="B1259" s="15" t="str">
        <x:v>white non slip waterproof flip flops</x:v>
      </x:c>
      <x:c r="C1259" s="10" t="str">
        <x:v>f25f0904938ba794</x:v>
      </x:c>
      <x:c r="D1259" s="10" t="str">
        <x:v>keyword</x:v>
      </x:c>
      <x:c r="E1259" s="10" t="str">
        <x:v>en</x:v>
      </x:c>
      <x:c r="F1259" s="10" t="str">
        <x:v>clothing_shoes_jewelry</x:v>
      </x:c>
      <x:c r="G1259" s="15" t="str"/>
      <x:c r="H1259" s="15" t="str">
        <x:v>flip_flops</x:v>
      </x:c>
      <x:c r="I1259" s="15" t="str"/>
      <x:c r="J1259" s="15" t="str"/>
      <x:c r="K1259" s="15" t="str">
        <x:v>slip_resistant | waterproof</x:v>
      </x:c>
      <x:c r="L1259" s="15" t="str"/>
      <x:c r="M1259" s="15" t="str"/>
      <x:c r="N1259" s="15" t="str"/>
      <x:c r="O1259" s="15" t="str"/>
      <x:c r="P1259" s="15" t="str"/>
      <x:c r="Q1259" s="15" t="str"/>
      <x:c r="R1259" s="15" t="str">
        <x:v>用户需要白色防滑且防水的夹脚拖鞋。</x:v>
      </x:c>
      <x:c r="S1259" s="10" t="str">
        <x:v>high_intent</x:v>
      </x:c>
      <x:c r="T1259" s="15" t="str">
        <x:v>explicit | page_validated</x:v>
      </x:c>
      <x:c r="U1259" s="10" t="str">
        <x:v>medium</x:v>
      </x:c>
      <x:c r="V1259" s="15" t="str">
        <x:v>waterproof_slip_resistant_flip_flops</x:v>
      </x:c>
      <x:c r="W1259" s="15" t="str">
        <x:v>listing_gap_review</x:v>
      </x:c>
      <x:c r="X1259" s="15" t="str">
        <x:v>{"product_type":[{"value":"flip_flops","evidence_type":"explicit","source_span":"flip flops","fact_ids":[],"rationale":"搜索词明确要求夹脚拖鞋"},{"value":"flip_flops","evidence_type":"page_validated","source_span":"","fact_ids":["style_flip_flop"],"rationale":"产品页面确认夹脚拖鞋类型"}],"capability_intent":[{"value":"slip_resistant","evidence_type":"explicit","source_span":"non slip","fact_ids":[],"rationale":"搜索词明确要求防滑功能"},{"value":"slip_resistant","evidence_type":"page_validated","source_span":"","fact_ids":["slip_resistant_grip"],"rationale":"页面声明防滑纹理外底"},{"value":"waterproof","evidence_type":"explicit","source_span":"waterproof","fact_ids":[],"rationale":"搜索词明确要求防水特性"},{"value":"slip_resistant","evidence_type":"inferred","source_span":"","fact_ids":[],"rationale":"该能力由搜索词表达的任务或问题推断；页面事实仅用于验证商品承接。"}],"color":[{"value":"white","evidence_type":"explicit","source_span":"white","fact_ids":[],"rationale":"该颜色在商品页面可见颜色选择中得到明确支持。"},{"value":"white","evidence_type":"page_validated","source_span":"","fact_ids":["colors_visible"],"rationale":"该颜色在商品页面可见颜色选择中得到明确支持。"}],"primary_domain":[{"value":"clothing_shoes_jewelry","evidence_type":"inferred","source_span":"","fact_ids":[],"rationale":"该值由搜索词整体语义推断，未作为页面明示属性。"}]}</x:v>
      </x:c>
      <x:c r="Y1259" s="15" t="str"/>
      <x:c r="Z1259" s="10" t="str">
        <x:v>partial_match</x:v>
      </x:c>
      <x:c r="AA1259" s="15" t="str">
        <x:v>style_flip_flop | slip_resistant_grip | colors_visible</x:v>
      </x:c>
      <x:c r="AB1259" s="10" t="str">
        <x:v>needs_review</x:v>
      </x:c>
      <x:c r="AC1259" s="10" t="str">
        <x:v>1.0.0</x:v>
      </x:c>
      <x:c r="AD1259" s="10" t="str">
        <x:v>1.0.0</x:v>
      </x:c>
      <x:c r="AE1259" s="10" t="str">
        <x:v>deepseek/deepseek-v4-pro</x:v>
      </x:c>
      <x:c r="AF1259" s="10" t="str">
        <x:v>aj2-y90-20260714T234810-0bea2f52</x:v>
      </x:c>
      <x:c r="AG1259" s="10" t="str">
        <x:v>full-0063</x:v>
      </x:c>
      <x:c r="AH1259" s="10" t="str">
        <x:v>full</x:v>
      </x:c>
      <x:c r="AI1259" s="10" t="n">
        <x:v>63</x:v>
      </x:c>
    </x:row>
    <x:row r="1260" ht="34" customHeight="1">
      <x:c r="A1260" s="16" t="str">
        <x:v>archies flip flop</x:v>
      </x:c>
      <x:c r="B1260" s="16" t="str">
        <x:v>archies flip flop</x:v>
      </x:c>
      <x:c r="C1260" s="13" t="str">
        <x:v>f60a0965f72eeb4b</x:v>
      </x:c>
      <x:c r="D1260" s="13" t="str">
        <x:v>keyword</x:v>
      </x:c>
      <x:c r="E1260" s="13" t="str">
        <x:v>en</x:v>
      </x:c>
      <x:c r="F1260" s="13" t="str">
        <x:v>clothing_shoes_jewelry</x:v>
      </x:c>
      <x:c r="G1260" s="16" t="str"/>
      <x:c r="H1260" s="16" t="str">
        <x:v>flip_flops</x:v>
      </x:c>
      <x:c r="I1260" s="16" t="str"/>
      <x:c r="J1260" s="16" t="str"/>
      <x:c r="K1260" s="16" t="str"/>
      <x:c r="L1260" s="16" t="str"/>
      <x:c r="M1260" s="16" t="str"/>
      <x:c r="N1260" s="16" t="str"/>
      <x:c r="O1260" s="16" t="str"/>
      <x:c r="P1260" s="16" t="str"/>
      <x:c r="Q1260" s="16" t="str"/>
      <x:c r="R1260" s="16" t="str">
        <x:v>顾客搜索 Archies 品牌的夹脚拖鞋。</x:v>
      </x:c>
      <x:c r="S1260" s="13" t="str">
        <x:v>brand_harvest</x:v>
      </x:c>
      <x:c r="T1260" s="16" t="str">
        <x:v>explicit</x:v>
      </x:c>
      <x:c r="U1260" s="13" t="str">
        <x:v>high</x:v>
      </x:c>
      <x:c r="V1260" s="16" t="str">
        <x:v>brand_specific_flip_flops</x:v>
      </x:c>
      <x:c r="W1260" s="16" t="str">
        <x:v>semantic_negative_candidate</x:v>
      </x:c>
      <x:c r="X1260" s="16" t="str">
        <x:v>{"product_type":[{"value":"flip_flops","evidence_type":"explicit","source_span":"flip flop","fact_ids":[],"rationale":"搜索词明确要求夹脚拖鞋"},{"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brand":[{"value":"archies","evidence_type":"explicit","source_span":"archies","fact_ids":[],"rationale":"Archies 为澳大利亚夹脚拖鞋品牌，非 joomra"}],"primary_domain":[{"value":"clothing_shoes_jewelry","evidence_type":"inferred","source_span":"","fact_ids":[],"rationale":"该值由搜索词整体语义推断，未作为页面明示属性。"}]}</x:v>
      </x:c>
      <x:c r="Y1260" s="16" t="str"/>
      <x:c r="Z1260" s="13" t="str">
        <x:v>mismatch</x:v>
      </x:c>
      <x:c r="AA1260" s="16" t="str"/>
      <x:c r="AB1260" s="13" t="str">
        <x:v>needs_review</x:v>
      </x:c>
      <x:c r="AC1260" s="13" t="str">
        <x:v>1.0.0</x:v>
      </x:c>
      <x:c r="AD1260" s="13" t="str">
        <x:v>1.0.0</x:v>
      </x:c>
      <x:c r="AE1260" s="13" t="str">
        <x:v>deepseek/deepseek-v4-pro</x:v>
      </x:c>
      <x:c r="AF1260" s="13" t="str">
        <x:v>aj2-y90-20260714T234810-0bea2f52</x:v>
      </x:c>
      <x:c r="AG1260" s="13" t="str">
        <x:v>full-0063</x:v>
      </x:c>
      <x:c r="AH1260" s="13" t="str">
        <x:v>full</x:v>
      </x:c>
      <x:c r="AI1260" s="13" t="n">
        <x:v>63</x:v>
      </x:c>
    </x:row>
    <x:row r="1261" ht="34" customHeight="1">
      <x:c r="A1261" s="15" t="str">
        <x:v>flipflops for women</x:v>
      </x:c>
      <x:c r="B1261" s="15" t="str">
        <x:v>flipflops for women</x:v>
      </x:c>
      <x:c r="C1261" s="10" t="str">
        <x:v>f6f9e72f1de7ea27</x:v>
      </x:c>
      <x:c r="D1261" s="10" t="str">
        <x:v>keyword</x:v>
      </x:c>
      <x:c r="E1261" s="10" t="str">
        <x:v>en</x:v>
      </x:c>
      <x:c r="F1261" s="10" t="str">
        <x:v>clothing_shoes_jewelry</x:v>
      </x:c>
      <x:c r="G1261" s="15" t="str"/>
      <x:c r="H1261" s="15" t="str">
        <x:v>flip_flops</x:v>
      </x:c>
      <x:c r="I1261" s="15" t="str">
        <x:v>women</x:v>
      </x:c>
      <x:c r="J1261" s="15" t="str"/>
      <x:c r="K1261" s="15" t="str"/>
      <x:c r="L1261" s="15" t="str"/>
      <x:c r="M1261" s="15" t="str"/>
      <x:c r="N1261" s="15" t="str"/>
      <x:c r="O1261" s="15" t="str"/>
      <x:c r="P1261" s="15" t="str"/>
      <x:c r="Q1261" s="15" t="str"/>
      <x:c r="R1261" s="15" t="str">
        <x:v>女性顾客寻找夹脚拖鞋。</x:v>
      </x:c>
      <x:c r="S1261" s="10" t="str">
        <x:v>consideration</x:v>
      </x:c>
      <x:c r="T1261" s="15" t="str">
        <x:v>explicit | page_validated</x:v>
      </x:c>
      <x:c r="U1261" s="10" t="str">
        <x:v>high</x:v>
      </x:c>
      <x:c r="V1261" s="15" t="str">
        <x:v>womens_flip_flops_general</x:v>
      </x:c>
      <x:c r="W1261" s="15" t="str">
        <x:v>cluster_route</x:v>
      </x:c>
      <x:c r="X1261" s="15" t="str">
        <x:v>{"product_type":[{"value":"flip_flops","evidence_type":"explicit","source_span":"flipflops","fact_ids":[],"rationale":"flipflops 为 flip flops 拼写变体"},{"value":"flip_flops","evidence_type":"page_validated","source_span":"","fact_ids":["style_flip_flop"],"rationale":"产品确认夹脚拖鞋类型"},{"value":"flip_flops","evidence_type":"inferred","source_span":"","fact_ids":[],"rationale":"该能力由搜索词表达的任务或问题推断；页面事实仅用于验证商品承接。"}],"audience_intent":[{"value":"women","evidence_type":"explicit","source_span":"women","fact_ids":[],"rationale":"搜索词指定女性"},{"value":"women","evidence_type":"page_validated","source_span":"","fact_ids":["title_womens_flip_flop"],"rationale":"产品为女款夹脚拖鞋"}],"primary_domain":[{"value":"clothing_shoes_jewelry","evidence_type":"inferred","source_span":"","fact_ids":[],"rationale":"该值由搜索词整体语义推断，未作为页面明示属性。"}]}</x:v>
      </x:c>
      <x:c r="Y1261" s="15" t="str">
        <x:v>misspelling</x:v>
      </x:c>
      <x:c r="Z1261" s="10" t="str">
        <x:v>match</x:v>
      </x:c>
      <x:c r="AA1261" s="15" t="str">
        <x:v>style_flip_flop | title_womens_flip_flop</x:v>
      </x:c>
      <x:c r="AB1261" s="10" t="str">
        <x:v>needs_review</x:v>
      </x:c>
      <x:c r="AC1261" s="10" t="str">
        <x:v>1.0.0</x:v>
      </x:c>
      <x:c r="AD1261" s="10" t="str">
        <x:v>1.0.0</x:v>
      </x:c>
      <x:c r="AE1261" s="10" t="str">
        <x:v>deepseek/deepseek-v4-pro</x:v>
      </x:c>
      <x:c r="AF1261" s="10" t="str">
        <x:v>aj2-y90-20260714T234810-0bea2f52</x:v>
      </x:c>
      <x:c r="AG1261" s="10" t="str">
        <x:v>full-0063</x:v>
      </x:c>
      <x:c r="AH1261" s="10" t="str">
        <x:v>full</x:v>
      </x:c>
      <x:c r="AI1261" s="10" t="n">
        <x:v>63</x:v>
      </x:c>
    </x:row>
    <x:row r="1262" ht="34" customHeight="1">
      <x:c r="A1262" s="16" t="str">
        <x:v>soft flip flops for women size 5</x:v>
      </x:c>
      <x:c r="B1262" s="16" t="str">
        <x:v>soft flip flops for women size 5</x:v>
      </x:c>
      <x:c r="C1262" s="13" t="str">
        <x:v>0bddc33cab9bce98</x:v>
      </x:c>
      <x:c r="D1262" s="13" t="str">
        <x:v>keyword</x:v>
      </x:c>
      <x:c r="E1262" s="13" t="str">
        <x:v>en</x:v>
      </x:c>
      <x:c r="F1262" s="13" t="str">
        <x:v>clothing_shoes_jewelry</x:v>
      </x:c>
      <x:c r="G1262" s="16" t="str"/>
      <x:c r="H1262" s="16" t="str">
        <x:v>flip_flops</x:v>
      </x:c>
      <x:c r="I1262" s="16" t="str">
        <x:v>women</x:v>
      </x:c>
      <x:c r="J1262" s="16" t="str"/>
      <x:c r="K1262" s="16" t="str">
        <x:v>soft</x:v>
      </x:c>
      <x:c r="L1262" s="16" t="str"/>
      <x:c r="M1262" s="16" t="str"/>
      <x:c r="N1262" s="16" t="str"/>
      <x:c r="O1262" s="16" t="str"/>
      <x:c r="P1262" s="16" t="str"/>
      <x:c r="Q1262" s="16" t="str"/>
      <x:c r="R1262" s="16" t="str">
        <x:v>用户需要柔软舒适的女士5码人字拖，柔软特性匹配但5码超出页面可选6-11码范围。</x:v>
      </x:c>
      <x:c r="S1262" s="13" t="str">
        <x:v>high_intent</x:v>
      </x:c>
      <x:c r="T1262" s="16" t="str">
        <x:v>explicit | page_validated</x:v>
      </x:c>
      <x:c r="U1262" s="13" t="str">
        <x:v>high</x:v>
      </x:c>
      <x:c r="V1262" s="16" t="str">
        <x:v>soft_flip_flops_women_size</x:v>
      </x:c>
      <x:c r="W1262" s="16" t="str">
        <x:v>listing_gap_review</x:v>
      </x:c>
      <x:c r="X1262" s="16" t="str">
        <x:v>{"product_type":[{"value":"flip_flops","evidence_type":"explicit","source_span":"flip flops","fact_ids":[],"rationale":"搜索词明确包含flip flops。"},{"value":"flip_flops","evidence_type":"page_validated","source_span":"","fact_ids":["style_flip_flop"],"rationale":"产品确认为人字拖。"}],"audience_intent":[{"value":"women","evidence_type":"explicit","source_span":"women","fact_ids":[],"rationale":"搜索词明确包含women。"},{"value":"women","evidence_type":"page_validated","source_span":"","fact_ids":["title_womens_flip_flop"],"rationale":"产品定位为女式。"}],"capability_intent":[{"value":"soft","evidence_type":"explicit","source_span":"soft","fact_ids":[],"rationale":"搜索词明确要求soft。"},{"value":"soft","evidence_type":"page_validated","source_span":"","fact_ids":["soft_toe_post","padded_cushioning"],"rationale":"页面声称柔软趾柱和缓冲软垫。"}],"size":[{"value":"5","evidence_type":"explicit","source_span":"size 5","fact_ids":[],"rationale":"搜索词明确包含size 5，页面可选尺码6-11不含5码。"}],"primary_domain":[{"value":"clothing_shoes_jewelry","evidence_type":"inferred","source_span":"","fact_ids":[],"rationale":"该值由搜索词整体语义推断，未作为页面明示属性。"}]}</x:v>
      </x:c>
      <x:c r="Y1262" s="16" t="str"/>
      <x:c r="Z1262" s="13" t="str">
        <x:v>partial_match</x:v>
      </x:c>
      <x:c r="AA1262" s="16" t="str">
        <x:v>style_flip_flop | title_womens_flip_flop | soft_toe_post | padded_cushioning</x:v>
      </x:c>
      <x:c r="AB1262" s="13" t="str">
        <x:v>accepted</x:v>
      </x:c>
      <x:c r="AC1262" s="13" t="str">
        <x:v>1.0.0</x:v>
      </x:c>
      <x:c r="AD1262" s="13" t="str">
        <x:v>1.0.0</x:v>
      </x:c>
      <x:c r="AE1262" s="13" t="str">
        <x:v>deepseek/deepseek-v4-pro</x:v>
      </x:c>
      <x:c r="AF1262" s="13" t="str">
        <x:v>aj2-y90-20260714T234810-0bea2f52</x:v>
      </x:c>
      <x:c r="AG1262" s="13" t="str">
        <x:v>full-0064</x:v>
      </x:c>
      <x:c r="AH1262" s="13" t="str">
        <x:v>full</x:v>
      </x:c>
      <x:c r="AI1262" s="13" t="n">
        <x:v>64</x:v>
      </x:c>
    </x:row>
    <x:row r="1263" ht="34" customHeight="1">
      <x:c r="A1263" s="15" t="str">
        <x:v>women's quick dry sandals eva</x:v>
      </x:c>
      <x:c r="B1263" s="15" t="str">
        <x:v>women's quick dry sandals eva</x:v>
      </x:c>
      <x:c r="C1263" s="10" t="str">
        <x:v>1f00859a27a2c6c0</x:v>
      </x:c>
      <x:c r="D1263" s="10" t="str">
        <x:v>keyword</x:v>
      </x:c>
      <x:c r="E1263" s="10" t="str">
        <x:v>en</x:v>
      </x:c>
      <x:c r="F1263" s="10" t="str">
        <x:v>clothing_shoes_jewelry</x:v>
      </x:c>
      <x:c r="G1263" s="15" t="str"/>
      <x:c r="H1263" s="15" t="str">
        <x:v>sandals</x:v>
      </x:c>
      <x:c r="I1263" s="15" t="str">
        <x:v>women</x:v>
      </x:c>
      <x:c r="J1263" s="15" t="str"/>
      <x:c r="K1263" s="15" t="str">
        <x:v>quick_dry</x:v>
      </x:c>
      <x:c r="L1263" s="15" t="str"/>
      <x:c r="M1263" s="15" t="str"/>
      <x:c r="N1263" s="15" t="str"/>
      <x:c r="O1263" s="15" t="str"/>
      <x:c r="P1263" s="15" t="str"/>
      <x:c r="Q1263" s="15" t="str"/>
      <x:c r="R1263" s="15" t="str">
        <x:v>用户需要一款EVA材质且具备速干功能的女式凉鞋，用于需要快速排水的场景，但产品页面未声称速干性能。</x:v>
      </x:c>
      <x:c r="S1263" s="10" t="str">
        <x:v>consideration</x:v>
      </x:c>
      <x:c r="T1263" s="15" t="str">
        <x:v>explicit | page_validated</x:v>
      </x:c>
      <x:c r="U1263" s="10" t="str">
        <x:v>high</x:v>
      </x:c>
      <x:c r="V1263" s="15" t="str">
        <x:v>womens_quick_dry_sandals</x:v>
      </x:c>
      <x:c r="W1263" s="15" t="str">
        <x:v>listing_gap_review</x:v>
      </x:c>
      <x:c r="X1263" s="15" t="str">
        <x:v>{"product_type":[{"value":"sandals","evidence_type":"explicit","source_span":"sandals","fact_ids":[],"rationale":"搜索词明确包含sandals。"},{"value":"sandals","evidence_type":"page_validated","source_span":"","fact_ids":["title_womens_flip_flop"],"rationale":"产品为人字拖属于凉鞋类别。"}],"audience_intent":[{"value":"women","evidence_type":"explicit","source_span":"women","fact_ids":[],"rationale":"搜索词明确包含women。"},{"value":"women","evidence_type":"page_validated","source_span":"","fact_ids":["title_womens_flip_flop"],"rationale":"产品定位为女式。"}],"capability_intent":[{"value":"quick_dry","evidence_type":"explicit","source_span":"quick dry","fact_ids":[],"rationale":"搜索词明确要求quick dry，页面未声称速干功能属排除范畴。"}],"material":[{"value":"eva","evidence_type":"explicit","source_span":"eva","fact_ids":["material_eva"],"rationale":"搜索词明确要求EVA材质，页面确认EVA外材。"}],"primary_domain":[{"value":"clothing_shoes_jewelry","evidence_type":"inferred","source_span":"","fact_ids":[],"rationale":"该值由搜索词整体语义推断，未作为页面明示属性。"}]}</x:v>
      </x:c>
      <x:c r="Y1263" s="15" t="str"/>
      <x:c r="Z1263" s="10" t="str">
        <x:v>partial_match</x:v>
      </x:c>
      <x:c r="AA1263" s="15" t="str">
        <x:v>title_womens_flip_flop | material_eva</x:v>
      </x:c>
      <x:c r="AB1263" s="10" t="str">
        <x:v>accepted</x:v>
      </x:c>
      <x:c r="AC1263" s="10" t="str">
        <x:v>1.0.0</x:v>
      </x:c>
      <x:c r="AD1263" s="10" t="str">
        <x:v>1.0.0</x:v>
      </x:c>
      <x:c r="AE1263" s="10" t="str">
        <x:v>deepseek/deepseek-v4-pro</x:v>
      </x:c>
      <x:c r="AF1263" s="10" t="str">
        <x:v>aj2-y90-20260714T234810-0bea2f52</x:v>
      </x:c>
      <x:c r="AG1263" s="10" t="str">
        <x:v>full-0064</x:v>
      </x:c>
      <x:c r="AH1263" s="10" t="str">
        <x:v>full</x:v>
      </x:c>
      <x:c r="AI1263" s="10" t="n">
        <x:v>64</x:v>
      </x:c>
    </x:row>
    <x:row r="1264" ht="34" customHeight="1">
      <x:c r="A1264" s="16" t="str">
        <x:v>womens white flip flos</x:v>
      </x:c>
      <x:c r="B1264" s="16" t="str">
        <x:v>womens white flip flos</x:v>
      </x:c>
      <x:c r="C1264" s="13" t="str">
        <x:v>2006d2fa7c5425a0</x:v>
      </x:c>
      <x:c r="D1264" s="13" t="str">
        <x:v>keyword</x:v>
      </x:c>
      <x:c r="E1264" s="13" t="str">
        <x:v>en</x:v>
      </x:c>
      <x:c r="F1264" s="13" t="str">
        <x:v>clothing_shoes_jewelry</x:v>
      </x:c>
      <x:c r="G1264" s="16" t="str"/>
      <x:c r="H1264" s="16" t="str">
        <x:v>flip_flops</x:v>
      </x:c>
      <x:c r="I1264" s="16" t="str">
        <x:v>women</x:v>
      </x:c>
      <x:c r="J1264" s="16" t="str"/>
      <x:c r="K1264" s="16" t="str"/>
      <x:c r="L1264" s="16" t="str"/>
      <x:c r="M1264" s="16" t="str"/>
      <x:c r="N1264" s="16" t="str"/>
      <x:c r="O1264" s="16" t="str"/>
      <x:c r="P1264" s="16" t="str"/>
      <x:c r="Q1264" s="16" t="str"/>
      <x:c r="R1264" s="16" t="str">
        <x:v>用户需要一款白色女式人字拖，颜色和性别要求明确，flos为flops的拼写变体。</x:v>
      </x:c>
      <x:c r="S1264" s="13" t="str">
        <x:v>high_intent</x:v>
      </x:c>
      <x:c r="T1264" s="16" t="str">
        <x:v>explicit | page_validated</x:v>
      </x:c>
      <x:c r="U1264" s="13" t="str">
        <x:v>high</x:v>
      </x:c>
      <x:c r="V1264" s="16" t="str">
        <x:v>womens_white_flip_flops</x:v>
      </x:c>
      <x:c r="W1264" s="16" t="str">
        <x:v>cluster_route</x:v>
      </x:c>
      <x:c r="X1264" s="16" t="str">
        <x:v>{"product_type":[{"value":"flip_flops","evidence_type":"explicit","source_span":"flip flos","fact_ids":[],"rationale":"搜索词中flip flos为flip flops的拼写变体。"},{"value":"flip_flops","evidence_type":"page_validated","source_span":"","fact_ids":["style_flip_flop"],"rationale":"产品页面确认为人字拖。"},{"value":"flip_flops","evidence_type":"inferred","source_span":"","fact_ids":[],"rationale":"该能力由搜索词表达的任务或问题推断；页面事实仅用于验证商品承接。"}],"audience_intent":[{"value":"women","evidence_type":"explicit","source_span":"womens","fact_ids":[],"rationale":"搜索词明确包含womens。"},{"value":"women","evidence_type":"page_validated","source_span":"","fact_ids":["title_womens_flip_flop"],"rationale":"产品定位为女式。"}],"color":[{"value":"white","evidence_type":"explicit","source_span":"white","fact_ids":[],"rationale":"该颜色在商品页面可见颜色选择中得到明确支持。"},{"value":"white","evidence_type":"page_validated","source_span":"","fact_ids":["colors_visible"],"rationale":"该颜色在商品页面可见颜色选择中得到明确支持。"}],"primary_domain":[{"value":"clothing_shoes_jewelry","evidence_type":"inferred","source_span":"","fact_ids":[],"rationale":"该值由搜索词整体语义推断，未作为页面明示属性。"}]}</x:v>
      </x:c>
      <x:c r="Y1264" s="16" t="str"/>
      <x:c r="Z1264" s="13" t="str">
        <x:v>match</x:v>
      </x:c>
      <x:c r="AA1264" s="16" t="str">
        <x:v>style_flip_flop | title_womens_flip_flop | colors_visible</x:v>
      </x:c>
      <x:c r="AB1264" s="13" t="str">
        <x:v>accepted</x:v>
      </x:c>
      <x:c r="AC1264" s="13" t="str">
        <x:v>1.0.0</x:v>
      </x:c>
      <x:c r="AD1264" s="13" t="str">
        <x:v>1.0.0</x:v>
      </x:c>
      <x:c r="AE1264" s="13" t="str">
        <x:v>deepseek/deepseek-v4-pro</x:v>
      </x:c>
      <x:c r="AF1264" s="13" t="str">
        <x:v>aj2-y90-20260714T234810-0bea2f52</x:v>
      </x:c>
      <x:c r="AG1264" s="13" t="str">
        <x:v>full-0064</x:v>
      </x:c>
      <x:c r="AH1264" s="13" t="str">
        <x:v>full</x:v>
      </x:c>
      <x:c r="AI1264" s="13" t="n">
        <x:v>64</x:v>
      </x:c>
    </x:row>
    <x:row r="1265" ht="34" customHeight="1">
      <x:c r="A1265" s="15" t="str">
        <x:v>plastic thong sandals women</x:v>
      </x:c>
      <x:c r="B1265" s="15" t="str">
        <x:v>plastic thong sandals women</x:v>
      </x:c>
      <x:c r="C1265" s="10" t="str">
        <x:v>2c4e9fc334265c87</x:v>
      </x:c>
      <x:c r="D1265" s="10" t="str">
        <x:v>keyword</x:v>
      </x:c>
      <x:c r="E1265" s="10" t="str">
        <x:v>en</x:v>
      </x:c>
      <x:c r="F1265" s="10" t="str">
        <x:v>clothing_shoes_jewelry</x:v>
      </x:c>
      <x:c r="G1265" s="15" t="str"/>
      <x:c r="H1265" s="15" t="str">
        <x:v>thong_sandals</x:v>
      </x:c>
      <x:c r="I1265" s="15" t="str">
        <x:v>women</x:v>
      </x:c>
      <x:c r="J1265" s="15" t="str"/>
      <x:c r="K1265" s="15" t="str"/>
      <x:c r="L1265" s="15" t="str"/>
      <x:c r="M1265" s="15" t="str"/>
      <x:c r="N1265" s="15" t="str"/>
      <x:c r="O1265" s="15" t="str"/>
      <x:c r="P1265" s="15" t="str"/>
      <x:c r="Q1265" s="15" t="str"/>
      <x:c r="R1265" s="15" t="str">
        <x:v>用户需要一款塑料材质的人字拖凉鞋，面向女性穿着者，材质和款式的匹配度较高。</x:v>
      </x:c>
      <x:c r="S1265" s="10" t="str">
        <x:v>consideration</x:v>
      </x:c>
      <x:c r="T1265" s="15" t="str">
        <x:v>explicit | page_validated | inferred</x:v>
      </x:c>
      <x:c r="U1265" s="10" t="str">
        <x:v>high</x:v>
      </x:c>
      <x:c r="V1265" s="15" t="str">
        <x:v>plastic_thong_sandals_women</x:v>
      </x:c>
      <x:c r="W1265" s="15" t="str">
        <x:v>cluster_route</x:v>
      </x:c>
      <x:c r="X1265" s="15" t="str">
        <x:v>{"product_type":[{"value":"thong_sandals","evidence_type":"explicit","source_span":"thong sandals","fact_ids":[],"rationale":"搜索词明确包含thong sandals。"},{"value":"thong_sandals","evidence_type":"page_validated","source_span":"","fact_ids":["style_thong"],"rationale":"产品为thong strap款式。"}],"audience_intent":[{"value":"women","evidence_type":"explicit","source_span":"women","fact_ids":[],"rationale":"搜索词明确包含women。"},{"value":"women","evidence_type":"page_validated","source_span":"","fact_ids":["title_womens_flip_flop"],"rationale":"产品定位为女式。"}],"material":[{"value":"plastic","evidence_type":"explicit","source_span":"plastic","fact_ids":[],"rationale":"搜索词明确要求plastic材质。"},{"value":"eva","evidence_type":"inferred","source_span":"","fact_ids":[],"rationale":"EVA为塑料类材料，可对应plastic需求。"}],"primary_domain":[{"value":"clothing_shoes_jewelry","evidence_type":"inferred","source_span":"","fact_ids":[],"rationale":"该值由搜索词整体语义推断，未作为页面明示属性。"}]}</x:v>
      </x:c>
      <x:c r="Y1265" s="15" t="str"/>
      <x:c r="Z1265" s="10" t="str">
        <x:v>match</x:v>
      </x:c>
      <x:c r="AA1265" s="15" t="str">
        <x:v>style_thong | title_womens_flip_flop | material_eva</x:v>
      </x:c>
      <x:c r="AB1265" s="10" t="str">
        <x:v>accepted</x:v>
      </x:c>
      <x:c r="AC1265" s="10" t="str">
        <x:v>1.0.0</x:v>
      </x:c>
      <x:c r="AD1265" s="10" t="str">
        <x:v>1.0.0</x:v>
      </x:c>
      <x:c r="AE1265" s="10" t="str">
        <x:v>deepseek/deepseek-v4-pro</x:v>
      </x:c>
      <x:c r="AF1265" s="10" t="str">
        <x:v>aj2-y90-20260714T234810-0bea2f52</x:v>
      </x:c>
      <x:c r="AG1265" s="10" t="str">
        <x:v>full-0064</x:v>
      </x:c>
      <x:c r="AH1265" s="10" t="str">
        <x:v>full</x:v>
      </x:c>
      <x:c r="AI1265" s="10" t="n">
        <x:v>64</x:v>
      </x:c>
    </x:row>
    <x:row r="1266" ht="34" customHeight="1">
      <x:c r="A1266" s="16" t="str">
        <x:v>joomra shoes for women</x:v>
      </x:c>
      <x:c r="B1266" s="16" t="str">
        <x:v>joomra shoes for women</x:v>
      </x:c>
      <x:c r="C1266" s="13" t="str">
        <x:v>2c86cc0ecdf55a5c</x:v>
      </x:c>
      <x:c r="D1266" s="13" t="str">
        <x:v>keyword</x:v>
      </x:c>
      <x:c r="E1266" s="13" t="str">
        <x:v>en</x:v>
      </x:c>
      <x:c r="F1266" s="13" t="str">
        <x:v>clothing_shoes_jewelry</x:v>
      </x:c>
      <x:c r="G1266" s="16" t="str"/>
      <x:c r="H1266" s="16" t="str">
        <x:v>shoes</x:v>
      </x:c>
      <x:c r="I1266" s="16" t="str">
        <x:v>women</x:v>
      </x:c>
      <x:c r="J1266" s="16" t="str"/>
      <x:c r="K1266" s="16" t="str"/>
      <x:c r="L1266" s="16" t="str"/>
      <x:c r="M1266" s="16" t="str"/>
      <x:c r="N1266" s="16" t="str"/>
      <x:c r="O1266" s="16" t="str"/>
      <x:c r="P1266" s="16" t="str"/>
      <x:c r="Q1266" s="16" t="str"/>
      <x:c r="R1266" s="16" t="str">
        <x:v>用户专门搜索Joomra品牌女鞋，品牌忠诚度高，处于品牌收割阶段。</x:v>
      </x:c>
      <x:c r="S1266" s="13" t="str">
        <x:v>brand_harvest</x:v>
      </x:c>
      <x:c r="T1266" s="16" t="str">
        <x:v>explicit | page_validated</x:v>
      </x:c>
      <x:c r="U1266" s="13" t="str">
        <x:v>high</x:v>
      </x:c>
      <x:c r="V1266" s="16" t="str">
        <x:v>joomra_brand_women</x:v>
      </x:c>
      <x:c r="W1266" s="16" t="str">
        <x:v>cluster_route</x:v>
      </x:c>
      <x:c r="X1266" s="16" t="str">
        <x:v>{"brand":[{"value":"joomra","evidence_type":"explicit","source_span":"joomra","fact_ids":[],"rationale":"搜索词明确包含品牌名称。"}],"product_type":[{"value":"shoes","evidence_type":"explicit","source_span":"shoes","fact_ids":[],"rationale":"搜索词明确包含shoes。"},{"value":"shoes","evidence_type":"page_validated","source_span":"","fact_ids":["title_womens_flip_flop"],"rationale":"人字拖属于鞋类。"}],"audience_intent":[{"value":"women","evidence_type":"explicit","source_span":"women","fact_ids":[],"rationale":"搜索词明确包含women。"},{"value":"women","evidence_type":"page_validated","source_span":"","fact_ids":["title_womens_flip_flop"],"rationale":"产品定位为女式。"}],"primary_domain":[{"value":"clothing_shoes_jewelry","evidence_type":"inferred","source_span":"","fact_ids":[],"rationale":"该值由搜索词整体语义推断，未作为页面明示属性。"}]}</x:v>
      </x:c>
      <x:c r="Y1266" s="16" t="str"/>
      <x:c r="Z1266" s="13" t="str">
        <x:v>match</x:v>
      </x:c>
      <x:c r="AA1266" s="16" t="str">
        <x:v>title_womens_flip_flop</x:v>
      </x:c>
      <x:c r="AB1266" s="13" t="str">
        <x:v>accepted</x:v>
      </x:c>
      <x:c r="AC1266" s="13" t="str">
        <x:v>1.0.0</x:v>
      </x:c>
      <x:c r="AD1266" s="13" t="str">
        <x:v>1.0.0</x:v>
      </x:c>
      <x:c r="AE1266" s="13" t="str">
        <x:v>deepseek/deepseek-v4-pro</x:v>
      </x:c>
      <x:c r="AF1266" s="13" t="str">
        <x:v>aj2-y90-20260714T234810-0bea2f52</x:v>
      </x:c>
      <x:c r="AG1266" s="13" t="str">
        <x:v>full-0064</x:v>
      </x:c>
      <x:c r="AH1266" s="13" t="str">
        <x:v>full</x:v>
      </x:c>
      <x:c r="AI1266" s="13" t="n">
        <x:v>64</x:v>
      </x:c>
    </x:row>
    <x:row r="1267" ht="34" customHeight="1">
      <x:c r="A1267" s="15" t="str">
        <x:v>flipflop black</x:v>
      </x:c>
      <x:c r="B1267" s="15" t="str">
        <x:v>flipflop black</x:v>
      </x:c>
      <x:c r="C1267" s="10" t="str">
        <x:v>2dde3e4b7efe8be4</x:v>
      </x:c>
      <x:c r="D1267" s="10" t="str">
        <x:v>keyword</x:v>
      </x:c>
      <x:c r="E1267" s="10" t="str">
        <x:v>en</x:v>
      </x:c>
      <x:c r="F1267" s="10" t="str">
        <x:v>clothing_shoes_jewelry</x:v>
      </x:c>
      <x:c r="G1267" s="15" t="str"/>
      <x:c r="H1267" s="15" t="str">
        <x:v>flip_flops</x:v>
      </x:c>
      <x:c r="I1267" s="15" t="str"/>
      <x:c r="J1267" s="15" t="str"/>
      <x:c r="K1267" s="15" t="str"/>
      <x:c r="L1267" s="15" t="str"/>
      <x:c r="M1267" s="15" t="str"/>
      <x:c r="N1267" s="15" t="str"/>
      <x:c r="O1267" s="15" t="str"/>
      <x:c r="P1267" s="15" t="str"/>
      <x:c r="Q1267" s="15" t="str"/>
      <x:c r="R1267" s="15" t="str">
        <x:v>用户需要一款黑色人字拖，颜色明确但未指定性别和尺码。</x:v>
      </x:c>
      <x:c r="S1267" s="10" t="str">
        <x:v>high_intent</x:v>
      </x:c>
      <x:c r="T1267" s="15" t="str">
        <x:v>explicit | page_validated</x:v>
      </x:c>
      <x:c r="U1267" s="10" t="str">
        <x:v>high</x:v>
      </x:c>
      <x:c r="V1267" s="15" t="str">
        <x:v>black_flip_flops</x:v>
      </x:c>
      <x:c r="W1267" s="15" t="str">
        <x:v>cluster_route</x:v>
      </x:c>
      <x:c r="X1267" s="15" t="str">
        <x:v>{"product_type":[{"value":"flip_flops","evidence_type":"explicit","source_span":"flipflop","fact_ids":[],"rationale":"搜索词明确包含flipflop。"},{"value":"flip_flops","evidence_type":"page_validated","source_span":"","fact_ids":["style_flip_flop"],"rationale":"产品确认为人字拖。"},{"value":"flip_flops","evidence_type":"inferred","source_span":"","fact_ids":[],"rationale":"该能力由搜索词表达的任务或问题推断；页面事实仅用于验证商品承接。"}],"color":[{"value":"black","evidence_type":"explicit","source_span":"black","fact_ids":[],"rationale":"该颜色在商品页面可见颜色选择中得到明确支持。"},{"value":"black","evidence_type":"page_validated","source_span":"","fact_ids":["colors_visible"],"rationale":"该颜色在商品页面可见颜色选择中得到明确支持。"}],"primary_domain":[{"value":"clothing_shoes_jewelry","evidence_type":"inferred","source_span":"","fact_ids":[],"rationale":"该值由搜索词整体语义推断，未作为页面明示属性。"}]}</x:v>
      </x:c>
      <x:c r="Y1267" s="15" t="str"/>
      <x:c r="Z1267" s="10" t="str">
        <x:v>match</x:v>
      </x:c>
      <x:c r="AA1267" s="15" t="str">
        <x:v>style_flip_flop | colors_visible</x:v>
      </x:c>
      <x:c r="AB1267" s="10" t="str">
        <x:v>accepted</x:v>
      </x:c>
      <x:c r="AC1267" s="10" t="str">
        <x:v>1.0.0</x:v>
      </x:c>
      <x:c r="AD1267" s="10" t="str">
        <x:v>1.0.0</x:v>
      </x:c>
      <x:c r="AE1267" s="10" t="str">
        <x:v>deepseek/deepseek-v4-pro</x:v>
      </x:c>
      <x:c r="AF1267" s="10" t="str">
        <x:v>aj2-y90-20260714T234810-0bea2f52</x:v>
      </x:c>
      <x:c r="AG1267" s="10" t="str">
        <x:v>full-0064</x:v>
      </x:c>
      <x:c r="AH1267" s="10" t="str">
        <x:v>full</x:v>
      </x:c>
      <x:c r="AI1267" s="10" t="n">
        <x:v>64</x:v>
      </x:c>
    </x:row>
    <x:row r="1268" ht="34" customHeight="1">
      <x:c r="A1268" s="16" t="str">
        <x:v>black rubber flip flops</x:v>
      </x:c>
      <x:c r="B1268" s="16" t="str">
        <x:v>black rubber flip flops</x:v>
      </x:c>
      <x:c r="C1268" s="13" t="str">
        <x:v>2e91a84d787f8721</x:v>
      </x:c>
      <x:c r="D1268" s="13" t="str">
        <x:v>keyword</x:v>
      </x:c>
      <x:c r="E1268" s="13" t="str">
        <x:v>en</x:v>
      </x:c>
      <x:c r="F1268" s="13" t="str">
        <x:v>clothing_shoes_jewelry</x:v>
      </x:c>
      <x:c r="G1268" s="16" t="str"/>
      <x:c r="H1268" s="16" t="str">
        <x:v>flip_flops</x:v>
      </x:c>
      <x:c r="I1268" s="16" t="str"/>
      <x:c r="J1268" s="16" t="str"/>
      <x:c r="K1268" s="16" t="str"/>
      <x:c r="L1268" s="16" t="str"/>
      <x:c r="M1268" s="16" t="str"/>
      <x:c r="N1268" s="16" t="str"/>
      <x:c r="O1268" s="16" t="str"/>
      <x:c r="P1268" s="16" t="str"/>
      <x:c r="Q1268" s="16" t="str"/>
      <x:c r="R1268" s="16" t="str">
        <x:v>用户需要黑色橡胶材质人字拖，颜色和类型匹配但产品材质为EVA而非橡胶。</x:v>
      </x:c>
      <x:c r="S1268" s="13" t="str">
        <x:v>consideration</x:v>
      </x:c>
      <x:c r="T1268" s="16" t="str">
        <x:v>explicit | page_validated</x:v>
      </x:c>
      <x:c r="U1268" s="13" t="str">
        <x:v>high</x:v>
      </x:c>
      <x:c r="V1268" s="16" t="str">
        <x:v>black_rubber_flip_flops</x:v>
      </x:c>
      <x:c r="W1268" s="16" t="str">
        <x:v>listing_gap_review</x:v>
      </x:c>
      <x:c r="X1268" s="16" t="str">
        <x:v>{"product_type":[{"value":"flip_flops","evidence_type":"explicit","source_span":"flip flops","fact_ids":[],"rationale":"搜索词明确包含flip flops。"},{"value":"flip_flops","evidence_type":"page_validated","source_span":"","fact_ids":["style_flip_flop"],"rationale":"产品确认为人字拖。"}],"color":[{"value":"black","evidence_type":"explicit","source_span":"black","fact_ids":[],"rationale":"该颜色在商品页面可见颜色选择中得到明确支持。"},{"value":"black","evidence_type":"page_validated","source_span":"","fact_ids":["colors_visible"],"rationale":"该颜色在商品页面可见颜色选择中得到明确支持。"}],"material":[{"value":"rubber","evidence_type":"explicit","source_span":"rubber","fact_ids":[],"rationale":"搜索词明确要求rubber，产品材质为EVA而非橡胶。"}],"primary_domain":[{"value":"clothing_shoes_jewelry","evidence_type":"inferred","source_span":"","fact_ids":[],"rationale":"该值由搜索词整体语义推断，未作为页面明示属性。"}]}</x:v>
      </x:c>
      <x:c r="Y1268" s="16" t="str"/>
      <x:c r="Z1268" s="13" t="str">
        <x:v>partial_match</x:v>
      </x:c>
      <x:c r="AA1268" s="16" t="str">
        <x:v>style_flip_flop | colors_visible</x:v>
      </x:c>
      <x:c r="AB1268" s="13" t="str">
        <x:v>accepted</x:v>
      </x:c>
      <x:c r="AC1268" s="13" t="str">
        <x:v>1.0.0</x:v>
      </x:c>
      <x:c r="AD1268" s="13" t="str">
        <x:v>1.0.0</x:v>
      </x:c>
      <x:c r="AE1268" s="13" t="str">
        <x:v>deepseek/deepseek-v4-pro</x:v>
      </x:c>
      <x:c r="AF1268" s="13" t="str">
        <x:v>aj2-y90-20260714T234810-0bea2f52</x:v>
      </x:c>
      <x:c r="AG1268" s="13" t="str">
        <x:v>full-0064</x:v>
      </x:c>
      <x:c r="AH1268" s="13" t="str">
        <x:v>full</x:v>
      </x:c>
      <x:c r="AI1268" s="13" t="n">
        <x:v>64</x:v>
      </x:c>
    </x:row>
    <x:row r="1269" ht="34" customHeight="1">
      <x:c r="A1269" s="15" t="str">
        <x:v>brown beach flip flops</x:v>
      </x:c>
      <x:c r="B1269" s="15" t="str">
        <x:v>brown beach flip flops</x:v>
      </x:c>
      <x:c r="C1269" s="10" t="str">
        <x:v>566250bf46fae6a9</x:v>
      </x:c>
      <x:c r="D1269" s="10" t="str">
        <x:v>keyword</x:v>
      </x:c>
      <x:c r="E1269" s="10" t="str">
        <x:v>en</x:v>
      </x:c>
      <x:c r="F1269" s="10" t="str">
        <x:v>clothing_shoes_jewelry</x:v>
      </x:c>
      <x:c r="G1269" s="15" t="str">
        <x:v>sports_outdoors</x:v>
      </x:c>
      <x:c r="H1269" s="15" t="str">
        <x:v>flip_flops</x:v>
      </x:c>
      <x:c r="I1269" s="15" t="str"/>
      <x:c r="J1269" s="15" t="str"/>
      <x:c r="K1269" s="15" t="str"/>
      <x:c r="L1269" s="15" t="str">
        <x:v>beach</x:v>
      </x:c>
      <x:c r="M1269" s="15" t="str">
        <x:v>beach</x:v>
      </x:c>
      <x:c r="N1269" s="15" t="str"/>
      <x:c r="O1269" s="15" t="str"/>
      <x:c r="P1269" s="15" t="str"/>
      <x:c r="Q1269" s="15" t="str"/>
      <x:c r="R1269" s="15" t="str">
        <x:v>用户需要棕色人字拖用于海滩场景，颜色和户外属性与产品匹配。</x:v>
      </x:c>
      <x:c r="S1269" s="10" t="str">
        <x:v>consideration</x:v>
      </x:c>
      <x:c r="T1269" s="15" t="str">
        <x:v>explicit | page_validated | inferred</x:v>
      </x:c>
      <x:c r="U1269" s="10" t="str">
        <x:v>high</x:v>
      </x:c>
      <x:c r="V1269" s="15" t="str">
        <x:v>brown_beach_flip_flops</x:v>
      </x:c>
      <x:c r="W1269" s="15" t="str">
        <x:v>cluster_route</x:v>
      </x:c>
      <x:c r="X1269" s="15" t="str">
        <x:v>{"product_type":[{"value":"flip_flops","evidence_type":"explicit","source_span":"flip flops","fact_ids":[],"rationale":"搜索词明确包含flip flops。"},{"value":"flip_flops","evidence_type":"page_validated","source_span":"","fact_ids":["style_flip_flop"],"rationale":"产品确认为人字拖。"}],"color":[{"value":"brown","evidence_type":"explicit","source_span":"brown","fact_ids":[],"rationale":"该颜色在商品页面可见颜色选择中得到明确支持。"},{"value":"brown","evidence_type":"page_validated","source_span":"","fact_ids":["colors_visible"],"rationale":"该颜色在商品页面可见颜色选择中得到明确支持。"}],"location_intent":[{"value":"beach","evidence_type":"explicit","source_span":"beach","fact_ids":[],"rationale":"搜索词明确包含beach。"},{"value":"outdoor","evidence_type":"inferred","source_span":"","fact_ids":[],"rationale":"户外定位适配海滩使用场景。"}],"event_intent":[{"value":"beach","evidence_type":"inferred","source_span":"","fact_ids":[],"rationale":"该值由搜索词整体语义推断，未作为页面明示属性。"}],"primary_domain":[{"value":"clothing_shoes_jewelry","evidence_type":"inferred","source_span":"","fact_ids":[],"rationale":"该值由搜索词整体语义推断，未作为页面明示属性。"}],"secondary_domain":[{"value":"sports_outdoors","evidence_type":"inferred","source_span":"","fact_ids":[],"rationale":"该值由搜索词整体语义推断，未作为页面明示属性。"}]}</x:v>
      </x:c>
      <x:c r="Y1269" s="15" t="str"/>
      <x:c r="Z1269" s="10" t="str">
        <x:v>match</x:v>
      </x:c>
      <x:c r="AA1269" s="15" t="str">
        <x:v>style_flip_flop | colors_visible | style_outdoor</x:v>
      </x:c>
      <x:c r="AB1269" s="10" t="str">
        <x:v>accepted</x:v>
      </x:c>
      <x:c r="AC1269" s="10" t="str">
        <x:v>1.0.0</x:v>
      </x:c>
      <x:c r="AD1269" s="10" t="str">
        <x:v>1.0.0</x:v>
      </x:c>
      <x:c r="AE1269" s="10" t="str">
        <x:v>deepseek/deepseek-v4-pro</x:v>
      </x:c>
      <x:c r="AF1269" s="10" t="str">
        <x:v>aj2-y90-20260714T234810-0bea2f52</x:v>
      </x:c>
      <x:c r="AG1269" s="10" t="str">
        <x:v>full-0064</x:v>
      </x:c>
      <x:c r="AH1269" s="10" t="str">
        <x:v>full</x:v>
      </x:c>
      <x:c r="AI1269" s="10" t="n">
        <x:v>64</x:v>
      </x:c>
    </x:row>
    <x:row r="1270" ht="34" customHeight="1">
      <x:c r="A1270" s="16" t="str">
        <x:v>womens 8 flip flops</x:v>
      </x:c>
      <x:c r="B1270" s="16" t="str">
        <x:v>womens 8 flip flops</x:v>
      </x:c>
      <x:c r="C1270" s="13" t="str">
        <x:v>70d9f35f1f67afc4</x:v>
      </x:c>
      <x:c r="D1270" s="13" t="str">
        <x:v>keyword</x:v>
      </x:c>
      <x:c r="E1270" s="13" t="str">
        <x:v>en</x:v>
      </x:c>
      <x:c r="F1270" s="13" t="str">
        <x:v>clothing_shoes_jewelry</x:v>
      </x:c>
      <x:c r="G1270" s="16" t="str"/>
      <x:c r="H1270" s="16" t="str">
        <x:v>flip_flops</x:v>
      </x:c>
      <x:c r="I1270" s="16" t="str">
        <x:v>women</x:v>
      </x:c>
      <x:c r="J1270" s="16" t="str"/>
      <x:c r="K1270" s="16" t="str"/>
      <x:c r="L1270" s="16" t="str"/>
      <x:c r="M1270" s="16" t="str"/>
      <x:c r="N1270" s="16" t="str"/>
      <x:c r="O1270" s="16" t="str"/>
      <x:c r="P1270" s="16" t="str"/>
      <x:c r="Q1270" s="16" t="str"/>
      <x:c r="R1270" s="16" t="str">
        <x:v>用户需要女士8码人字拖，尺码和性别要求明确，8码在页面6-11码范围内。</x:v>
      </x:c>
      <x:c r="S1270" s="13" t="str">
        <x:v>high_intent</x:v>
      </x:c>
      <x:c r="T1270" s="16" t="str">
        <x:v>explicit | page_validated</x:v>
      </x:c>
      <x:c r="U1270" s="13" t="str">
        <x:v>high</x:v>
      </x:c>
      <x:c r="V1270" s="16" t="str">
        <x:v>womens_size_flip_flops</x:v>
      </x:c>
      <x:c r="W1270" s="16" t="str">
        <x:v>cluster_route</x:v>
      </x:c>
      <x:c r="X1270" s="16" t="str">
        <x:v>{"product_type":[{"value":"flip_flops","evidence_type":"explicit","source_span":"flip flops","fact_ids":[],"rationale":"搜索词明确包含flip flops。"},{"value":"flip_flops","evidence_type":"page_validated","source_span":"","fact_ids":["style_flip_flop"],"rationale":"产品确认为人字拖。"}],"audience_intent":[{"value":"women","evidence_type":"explicit","source_span":"womens","fact_ids":[],"rationale":"搜索词明确包含womens。"},{"value":"women","evidence_type":"page_validated","source_span":"","fact_ids":["title_womens_flip_flop"],"rationale":"产品定位为女式。"}],"size":[{"value":"8","evidence_type":"explicit","source_span":"8","fact_ids":[],"rationale":"搜索词明确包含尺码8。"},{"value":"8","evidence_type":"page_validated","source_span":"","fact_ids":["sizes_6_11"],"rationale":"8码在页面可选6-11码范围内。"}],"primary_domain":[{"value":"clothing_shoes_jewelry","evidence_type":"inferred","source_span":"","fact_ids":[],"rationale":"该值由搜索词整体语义推断，未作为页面明示属性。"}]}</x:v>
      </x:c>
      <x:c r="Y1270" s="16" t="str"/>
      <x:c r="Z1270" s="13" t="str">
        <x:v>match</x:v>
      </x:c>
      <x:c r="AA1270" s="16" t="str">
        <x:v>style_flip_flop | title_womens_flip_flop | sizes_6_11</x:v>
      </x:c>
      <x:c r="AB1270" s="13" t="str">
        <x:v>accepted</x:v>
      </x:c>
      <x:c r="AC1270" s="13" t="str">
        <x:v>1.0.0</x:v>
      </x:c>
      <x:c r="AD1270" s="13" t="str">
        <x:v>1.0.0</x:v>
      </x:c>
      <x:c r="AE1270" s="13" t="str">
        <x:v>deepseek/deepseek-v4-pro</x:v>
      </x:c>
      <x:c r="AF1270" s="13" t="str">
        <x:v>aj2-y90-20260714T234810-0bea2f52</x:v>
      </x:c>
      <x:c r="AG1270" s="13" t="str">
        <x:v>full-0064</x:v>
      </x:c>
      <x:c r="AH1270" s="13" t="str">
        <x:v>full</x:v>
      </x:c>
      <x:c r="AI1270" s="13" t="n">
        <x:v>64</x:v>
      </x:c>
    </x:row>
    <x:row r="1271" ht="34" customHeight="1">
      <x:c r="A1271" s="15" t="str">
        <x:v>flip flops for women no arch support</x:v>
      </x:c>
      <x:c r="B1271" s="15" t="str">
        <x:v>flip flops for women no arch support</x:v>
      </x:c>
      <x:c r="C1271" s="10" t="str">
        <x:v>7105263bd884be04</x:v>
      </x:c>
      <x:c r="D1271" s="10" t="str">
        <x:v>keyword</x:v>
      </x:c>
      <x:c r="E1271" s="10" t="str">
        <x:v>en</x:v>
      </x:c>
      <x:c r="F1271" s="10" t="str">
        <x:v>clothing_shoes_jewelry</x:v>
      </x:c>
      <x:c r="G1271" s="15" t="str"/>
      <x:c r="H1271" s="15" t="str">
        <x:v>flip_flops</x:v>
      </x:c>
      <x:c r="I1271" s="15" t="str">
        <x:v>women</x:v>
      </x:c>
      <x:c r="J1271" s="15" t="str"/>
      <x:c r="K1271" s="15" t="str"/>
      <x:c r="L1271" s="15" t="str"/>
      <x:c r="M1271" s="15" t="str"/>
      <x:c r="N1271" s="15" t="str"/>
      <x:c r="O1271" s="15" t="str"/>
      <x:c r="P1271" s="15" t="str"/>
      <x:c r="Q1271" s="15" t="str"/>
      <x:c r="R1271" s="15" t="str">
        <x:v>用户明确需要无足弓支撑的女式人字拖，与产品核心卖点足弓支撑直接矛盾。</x:v>
      </x:c>
      <x:c r="S1271" s="10" t="str">
        <x:v>consideration</x:v>
      </x:c>
      <x:c r="T1271" s="15" t="str">
        <x:v>explicit | page_validated</x:v>
      </x:c>
      <x:c r="U1271" s="10" t="str">
        <x:v>high</x:v>
      </x:c>
      <x:c r="V1271" s="15" t="str">
        <x:v>no_arch_support_flip_flops</x:v>
      </x:c>
      <x:c r="W1271" s="15" t="str">
        <x:v>semantic_negative_candidate</x:v>
      </x:c>
      <x:c r="X1271" s="15" t="str">
        <x:v>{"product_type":[{"value":"flip_flops","evidence_type":"explicit","source_span":"flip flops","fact_ids":[],"rationale":"搜索词明确包含flip flops。"},{"value":"flip_flops","evidence_type":"page_validated","source_span":"","fact_ids":["style_flip_flop"],"rationale":"产品确认为人字拖。"}],"audience_intent":[{"value":"women","evidence_type":"explicit","source_span":"women","fact_ids":[],"rationale":"搜索词明确包含women。"},{"value":"women","evidence_type":"page_validated","source_span":"","fact_ids":["title_womens_flip_flop"],"rationale":"产品定位为女式。"}],"negation":[{"value":"no_arch_support","evidence_type":"explicit","source_span":"no arch support","fact_ids":[],"rationale":"搜索词明确排除足弓支撑，产品核心功能与之冲突。"}],"primary_domain":[{"value":"clothing_shoes_jewelry","evidence_type":"inferred","source_span":"","fact_ids":[],"rationale":"该值由搜索词整体语义推断，未作为页面明示属性。"}]}</x:v>
      </x:c>
      <x:c r="Y1271" s="15" t="str"/>
      <x:c r="Z1271" s="10" t="str">
        <x:v>mismatch</x:v>
      </x:c>
      <x:c r="AA1271" s="15" t="str">
        <x:v>arch_support</x:v>
      </x:c>
      <x:c r="AB1271" s="10" t="str">
        <x:v>accepted</x:v>
      </x:c>
      <x:c r="AC1271" s="10" t="str">
        <x:v>1.0.0</x:v>
      </x:c>
      <x:c r="AD1271" s="10" t="str">
        <x:v>1.0.0</x:v>
      </x:c>
      <x:c r="AE1271" s="10" t="str">
        <x:v>deepseek/deepseek-v4-pro</x:v>
      </x:c>
      <x:c r="AF1271" s="10" t="str">
        <x:v>aj2-y90-20260714T234810-0bea2f52</x:v>
      </x:c>
      <x:c r="AG1271" s="10" t="str">
        <x:v>full-0064</x:v>
      </x:c>
      <x:c r="AH1271" s="10" t="str">
        <x:v>full</x:v>
      </x:c>
      <x:c r="AI1271" s="10" t="n">
        <x:v>64</x:v>
      </x:c>
    </x:row>
    <x:row r="1272" ht="34" customHeight="1">
      <x:c r="A1272" s="16" t="str">
        <x:v>blue flip flops women</x:v>
      </x:c>
      <x:c r="B1272" s="16" t="str">
        <x:v>blue flip flops women</x:v>
      </x:c>
      <x:c r="C1272" s="13" t="str">
        <x:v>734fe7cd1e2fc868</x:v>
      </x:c>
      <x:c r="D1272" s="13" t="str">
        <x:v>keyword</x:v>
      </x:c>
      <x:c r="E1272" s="13" t="str">
        <x:v>en</x:v>
      </x:c>
      <x:c r="F1272" s="13" t="str">
        <x:v>clothing_shoes_jewelry</x:v>
      </x:c>
      <x:c r="G1272" s="16" t="str"/>
      <x:c r="H1272" s="16" t="str">
        <x:v>flip_flops</x:v>
      </x:c>
      <x:c r="I1272" s="16" t="str">
        <x:v>women</x:v>
      </x:c>
      <x:c r="J1272" s="16" t="str"/>
      <x:c r="K1272" s="16" t="str"/>
      <x:c r="L1272" s="16" t="str"/>
      <x:c r="M1272" s="16" t="str"/>
      <x:c r="N1272" s="16" t="str"/>
      <x:c r="O1272" s="16" t="str"/>
      <x:c r="P1272" s="16" t="str"/>
      <x:c r="Q1272" s="16" t="str"/>
      <x:c r="R1272" s="16" t="str">
        <x:v>用户需要蓝色女式人字拖，颜色和性别匹配页面可选范围。</x:v>
      </x:c>
      <x:c r="S1272" s="13" t="str">
        <x:v>high_intent</x:v>
      </x:c>
      <x:c r="T1272" s="16" t="str">
        <x:v>explicit | page_validated</x:v>
      </x:c>
      <x:c r="U1272" s="13" t="str">
        <x:v>high</x:v>
      </x:c>
      <x:c r="V1272" s="16" t="str">
        <x:v>blue_flip_flops_women</x:v>
      </x:c>
      <x:c r="W1272" s="16" t="str">
        <x:v>cluster_route</x:v>
      </x:c>
      <x:c r="X1272" s="16" t="str">
        <x:v>{"product_type":[{"value":"flip_flops","evidence_type":"explicit","source_span":"flip flops","fact_ids":[],"rationale":"搜索词明确包含flip flops。"},{"value":"flip_flops","evidence_type":"page_validated","source_span":"","fact_ids":["style_flip_flop"],"rationale":"产品确认为人字拖。"}],"audience_intent":[{"value":"women","evidence_type":"explicit","source_span":"women","fact_ids":[],"rationale":"搜索词明确包含women。"},{"value":"women","evidence_type":"page_validated","source_span":"","fact_ids":["title_womens_flip_flop"],"rationale":"产品定位为女式。"}],"color":[{"value":"blue","evidence_type":"explicit","source_span":"blue","fact_ids":[],"rationale":"搜索词明确包含blue。"},{"value":"light_blue","evidence_type":"page_validated","source_span":"","fact_ids":["colors_visible"],"rationale":"该颜色在商品页面可见颜色选择中得到明确支持。"}],"primary_domain":[{"value":"clothing_shoes_jewelry","evidence_type":"inferred","source_span":"","fact_ids":[],"rationale":"该值由搜索词整体语义推断，未作为页面明示属性。"}]}</x:v>
      </x:c>
      <x:c r="Y1272" s="16" t="str"/>
      <x:c r="Z1272" s="13" t="str">
        <x:v>match</x:v>
      </x:c>
      <x:c r="AA1272" s="16" t="str">
        <x:v>style_flip_flop | title_womens_flip_flop | colors_visible</x:v>
      </x:c>
      <x:c r="AB1272" s="13" t="str">
        <x:v>accepted</x:v>
      </x:c>
      <x:c r="AC1272" s="13" t="str">
        <x:v>1.0.0</x:v>
      </x:c>
      <x:c r="AD1272" s="13" t="str">
        <x:v>1.0.0</x:v>
      </x:c>
      <x:c r="AE1272" s="13" t="str">
        <x:v>deepseek/deepseek-v4-pro</x:v>
      </x:c>
      <x:c r="AF1272" s="13" t="str">
        <x:v>aj2-y90-20260714T234810-0bea2f52</x:v>
      </x:c>
      <x:c r="AG1272" s="13" t="str">
        <x:v>full-0064</x:v>
      </x:c>
      <x:c r="AH1272" s="13" t="str">
        <x:v>full</x:v>
      </x:c>
      <x:c r="AI1272" s="13" t="n">
        <x:v>64</x:v>
      </x:c>
    </x:row>
    <x:row r="1273" ht="34" customHeight="1">
      <x:c r="A1273" s="15" t="str">
        <x:v>archies flip flops women</x:v>
      </x:c>
      <x:c r="B1273" s="15" t="str">
        <x:v>archies flip flops women</x:v>
      </x:c>
      <x:c r="C1273" s="10" t="str">
        <x:v>7ee427ecb60d1747</x:v>
      </x:c>
      <x:c r="D1273" s="10" t="str">
        <x:v>keyword</x:v>
      </x:c>
      <x:c r="E1273" s="10" t="str">
        <x:v>en</x:v>
      </x:c>
      <x:c r="F1273" s="10" t="str">
        <x:v>clothing_shoes_jewelry</x:v>
      </x:c>
      <x:c r="G1273" s="15" t="str"/>
      <x:c r="H1273" s="15" t="str">
        <x:v>flip_flops</x:v>
      </x:c>
      <x:c r="I1273" s="15" t="str">
        <x:v>women</x:v>
      </x:c>
      <x:c r="J1273" s="15" t="str"/>
      <x:c r="K1273" s="15" t="str"/>
      <x:c r="L1273" s="15" t="str"/>
      <x:c r="M1273" s="15" t="str"/>
      <x:c r="N1273" s="15" t="str"/>
      <x:c r="O1273" s="15" t="str"/>
      <x:c r="P1273" s="15" t="str"/>
      <x:c r="Q1273" s="15" t="str"/>
      <x:c r="R1273" s="15" t="str">
        <x:v>用户搜索词存在歧义，可能指Archies品牌女式人字拖，也可能是arches拼写错误指代足弓支撑人字拖，需进一步判断真实意图。</x:v>
      </x:c>
      <x:c r="S1273" s="10" t="str">
        <x:v>consideration</x:v>
      </x:c>
      <x:c r="T1273" s="15" t="str">
        <x:v>explicit | inferred</x:v>
      </x:c>
      <x:c r="U1273" s="10" t="str">
        <x:v>low</x:v>
      </x:c>
      <x:c r="V1273" s="15" t="str">
        <x:v>archies_flip_flops_women</x:v>
      </x:c>
      <x:c r="W1273" s="15" t="str">
        <x:v>ambiguity_review</x:v>
      </x:c>
      <x:c r="X1273" s="15" t="str">
        <x:v>{"product_type":[{"value":"flip_flops","evidence_type":"explicit","source_span":"flip flops","fact_ids":[],"rationale":"搜索词明确包含flip flops。"},{"value":"flip_flops","evidence_type":"page_validated","source_span":"","fact_ids":["style_flip_flop"],"rationale":"该槽位与商品基准中的明示页面事实一致。"}],"audience_intent":[{"value":"women","evidence_type":"explicit","source_span":"women","fact_ids":[],"rationale":"搜索词明确包含women。"},{"value":"women","evidence_type":"page_validated","source_span":"","fact_ids":["title_womens_flip_flop"],"rationale":"该槽位与商品基准中的明示页面事实一致。"}],"brand":[{"value":"archies","evidence_type":"inferred","source_span":"archies","fact_ids":[],"rationale":"archies可能是Archies品牌名或arches拼写错误。"}],"primary_domain":[{"value":"clothing_shoes_jewelry","evidence_type":"inferred","source_span":"","fact_ids":[],"rationale":"该值由搜索词整体语义推断，未作为页面明示属性。"}]}</x:v>
      </x:c>
      <x:c r="Y1273" s="15" t="str">
        <x:v>brand_vs_feature_ambiguity | archies_may_be_arches_misspelling</x:v>
      </x:c>
      <x:c r="Z1273" s="10" t="str">
        <x:v>unknown</x:v>
      </x:c>
      <x:c r="AA1273" s="15" t="str"/>
      <x:c r="AB1273" s="10" t="str">
        <x:v>accepted</x:v>
      </x:c>
      <x:c r="AC1273" s="10" t="str">
        <x:v>1.0.0</x:v>
      </x:c>
      <x:c r="AD1273" s="10" t="str">
        <x:v>1.0.0</x:v>
      </x:c>
      <x:c r="AE1273" s="10" t="str">
        <x:v>deepseek/deepseek-v4-pro</x:v>
      </x:c>
      <x:c r="AF1273" s="10" t="str">
        <x:v>aj2-y90-20260714T234810-0bea2f52</x:v>
      </x:c>
      <x:c r="AG1273" s="10" t="str">
        <x:v>full-0064</x:v>
      </x:c>
      <x:c r="AH1273" s="10" t="str">
        <x:v>full</x:v>
      </x:c>
      <x:c r="AI1273" s="10" t="n">
        <x:v>64</x:v>
      </x:c>
    </x:row>
    <x:row r="1274" ht="34" customHeight="1">
      <x:c r="A1274" s="16" t="str">
        <x:v>tortoise print flip flops for women</x:v>
      </x:c>
      <x:c r="B1274" s="16" t="str">
        <x:v>tortoise print flip flops for women</x:v>
      </x:c>
      <x:c r="C1274" s="13" t="str">
        <x:v>8fd8428794704bcb</x:v>
      </x:c>
      <x:c r="D1274" s="13" t="str">
        <x:v>keyword</x:v>
      </x:c>
      <x:c r="E1274" s="13" t="str">
        <x:v>en</x:v>
      </x:c>
      <x:c r="F1274" s="13" t="str">
        <x:v>clothing_shoes_jewelry</x:v>
      </x:c>
      <x:c r="G1274" s="16" t="str"/>
      <x:c r="H1274" s="16" t="str">
        <x:v>flip_flops</x:v>
      </x:c>
      <x:c r="I1274" s="16" t="str">
        <x:v>women</x:v>
      </x:c>
      <x:c r="J1274" s="16" t="str"/>
      <x:c r="K1274" s="16" t="str"/>
      <x:c r="L1274" s="16" t="str"/>
      <x:c r="M1274" s="16" t="str"/>
      <x:c r="N1274" s="16" t="str"/>
      <x:c r="O1274" s="16" t="str"/>
      <x:c r="P1274" s="16" t="str"/>
      <x:c r="Q1274" s="16" t="str"/>
      <x:c r="R1274" s="16" t="str">
        <x:v>用户需要一款龟甲纹图案的女式人字拖，对特定花色图案有明确偏好。</x:v>
      </x:c>
      <x:c r="S1274" s="13" t="str">
        <x:v>consideration</x:v>
      </x:c>
      <x:c r="T1274" s="16" t="str">
        <x:v>explicit | page_validated</x:v>
      </x:c>
      <x:c r="U1274" s="13" t="str">
        <x:v>high</x:v>
      </x:c>
      <x:c r="V1274" s="16" t="str">
        <x:v>patterned_flip_flops_women</x:v>
      </x:c>
      <x:c r="W1274" s="16" t="str">
        <x:v>listing_gap_review</x:v>
      </x:c>
      <x:c r="X1274" s="16" t="str">
        <x:v>{"product_type":[{"value":"flip_flops","evidence_type":"explicit","source_span":"flip flops","fact_ids":[],"rationale":"搜索词明确包含flip flops。"},{"value":"flip_flops","evidence_type":"page_validated","source_span":"","fact_ids":["style_flip_flop"],"rationale":"产品页面确认为人字拖类型。"}],"audience_intent":[{"value":"women","evidence_type":"explicit","source_span":"women","fact_ids":[],"rationale":"搜索词明确包含women。"},{"value":"women","evidence_type":"page_validated","source_span":"","fact_ids":["title_womens_flip_flop"],"rationale":"产品标题定位为女式人字拖。"}],"pattern":[{"value":"tortoise_print","evidence_type":"explicit","source_span":"tortoise print","fact_ids":[],"rationale":"搜索词明确要求龟甲纹图案，页面可见颜色不含该花色。"}],"primary_domain":[{"value":"clothing_shoes_jewelry","evidence_type":"inferred","source_span":"","fact_ids":[],"rationale":"该值由搜索词整体语义推断，未作为页面明示属性。"}]}</x:v>
      </x:c>
      <x:c r="Y1274" s="16" t="str"/>
      <x:c r="Z1274" s="13" t="str">
        <x:v>partial_match</x:v>
      </x:c>
      <x:c r="AA1274" s="16" t="str">
        <x:v>title_womens_flip_flop | style_flip_flop</x:v>
      </x:c>
      <x:c r="AB1274" s="13" t="str">
        <x:v>accepted</x:v>
      </x:c>
      <x:c r="AC1274" s="13" t="str">
        <x:v>1.0.0</x:v>
      </x:c>
      <x:c r="AD1274" s="13" t="str">
        <x:v>1.0.0</x:v>
      </x:c>
      <x:c r="AE1274" s="13" t="str">
        <x:v>deepseek/deepseek-v4-pro</x:v>
      </x:c>
      <x:c r="AF1274" s="13" t="str">
        <x:v>aj2-y90-20260714T234810-0bea2f52</x:v>
      </x:c>
      <x:c r="AG1274" s="13" t="str">
        <x:v>full-0064</x:v>
      </x:c>
      <x:c r="AH1274" s="13" t="str">
        <x:v>full</x:v>
      </x:c>
      <x:c r="AI1274" s="13" t="n">
        <x:v>64</x:v>
      </x:c>
    </x:row>
    <x:row r="1275" ht="34" customHeight="1">
      <x:c r="A1275" s="15" t="str">
        <x:v>brown womens flip flops</x:v>
      </x:c>
      <x:c r="B1275" s="15" t="str">
        <x:v>brown womens flip flops</x:v>
      </x:c>
      <x:c r="C1275" s="10" t="str">
        <x:v>a7dd1628fb729583</x:v>
      </x:c>
      <x:c r="D1275" s="10" t="str">
        <x:v>keyword</x:v>
      </x:c>
      <x:c r="E1275" s="10" t="str">
        <x:v>en</x:v>
      </x:c>
      <x:c r="F1275" s="10" t="str">
        <x:v>clothing_shoes_jewelry</x:v>
      </x:c>
      <x:c r="G1275" s="15" t="str"/>
      <x:c r="H1275" s="15" t="str">
        <x:v>flip_flops</x:v>
      </x:c>
      <x:c r="I1275" s="15" t="str">
        <x:v>women</x:v>
      </x:c>
      <x:c r="J1275" s="15" t="str"/>
      <x:c r="K1275" s="15" t="str"/>
      <x:c r="L1275" s="15" t="str"/>
      <x:c r="M1275" s="15" t="str"/>
      <x:c r="N1275" s="15" t="str"/>
      <x:c r="O1275" s="15" t="str"/>
      <x:c r="P1275" s="15" t="str"/>
      <x:c r="Q1275" s="15" t="str"/>
      <x:c r="R1275" s="15" t="str">
        <x:v>用户需要棕色女式人字拖，颜色和性别均与产品可选项匹配。</x:v>
      </x:c>
      <x:c r="S1275" s="10" t="str">
        <x:v>high_intent</x:v>
      </x:c>
      <x:c r="T1275" s="15" t="str">
        <x:v>explicit | page_validated</x:v>
      </x:c>
      <x:c r="U1275" s="10" t="str">
        <x:v>high</x:v>
      </x:c>
      <x:c r="V1275" s="15" t="str">
        <x:v>brown_womens_flip_flops</x:v>
      </x:c>
      <x:c r="W1275" s="15" t="str">
        <x:v>cluster_route</x:v>
      </x:c>
      <x:c r="X1275" s="15" t="str">
        <x:v>{"product_type":[{"value":"flip_flops","evidence_type":"explicit","source_span":"flip flops","fact_ids":[],"rationale":"搜索词明确包含flip flops。"},{"value":"flip_flops","evidence_type":"page_validated","source_span":"","fact_ids":["style_flip_flop"],"rationale":"产品确认为人字拖。"}],"audience_intent":[{"value":"women","evidence_type":"explicit","source_span":"womens","fact_ids":[],"rationale":"搜索词明确包含womens。"},{"value":"women","evidence_type":"page_validated","source_span":"","fact_ids":["title_womens_flip_flop"],"rationale":"产品定位为女式。"}],"color":[{"value":"brown","evidence_type":"explicit","source_span":"brown","fact_ids":[],"rationale":"该颜色在商品页面可见颜色选择中得到明确支持。"},{"value":"brown","evidence_type":"page_validated","source_span":"","fact_ids":["colors_visible"],"rationale":"该颜色在商品页面可见颜色选择中得到明确支持。"}],"primary_domain":[{"value":"clothing_shoes_jewelry","evidence_type":"inferred","source_span":"","fact_ids":[],"rationale":"该值由搜索词整体语义推断，未作为页面明示属性。"}]}</x:v>
      </x:c>
      <x:c r="Y1275" s="15" t="str"/>
      <x:c r="Z1275" s="10" t="str">
        <x:v>match</x:v>
      </x:c>
      <x:c r="AA1275" s="15" t="str">
        <x:v>style_flip_flop | title_womens_flip_flop | colors_visible</x:v>
      </x:c>
      <x:c r="AB1275" s="10" t="str">
        <x:v>accepted</x:v>
      </x:c>
      <x:c r="AC1275" s="10" t="str">
        <x:v>1.0.0</x:v>
      </x:c>
      <x:c r="AD1275" s="10" t="str">
        <x:v>1.0.0</x:v>
      </x:c>
      <x:c r="AE1275" s="10" t="str">
        <x:v>deepseek/deepseek-v4-pro</x:v>
      </x:c>
      <x:c r="AF1275" s="10" t="str">
        <x:v>aj2-y90-20260714T234810-0bea2f52</x:v>
      </x:c>
      <x:c r="AG1275" s="10" t="str">
        <x:v>full-0064</x:v>
      </x:c>
      <x:c r="AH1275" s="10" t="str">
        <x:v>full</x:v>
      </x:c>
      <x:c r="AI1275" s="10" t="n">
        <x:v>64</x:v>
      </x:c>
    </x:row>
    <x:row r="1276" ht="34" customHeight="1">
      <x:c r="A1276" s="16" t="str">
        <x:v>ladies flip flops size 7</x:v>
      </x:c>
      <x:c r="B1276" s="16" t="str">
        <x:v>ladies flip flops size 7</x:v>
      </x:c>
      <x:c r="C1276" s="13" t="str">
        <x:v>c1094782c3483412</x:v>
      </x:c>
      <x:c r="D1276" s="13" t="str">
        <x:v>keyword</x:v>
      </x:c>
      <x:c r="E1276" s="13" t="str">
        <x:v>en</x:v>
      </x:c>
      <x:c r="F1276" s="13" t="str">
        <x:v>clothing_shoes_jewelry</x:v>
      </x:c>
      <x:c r="G1276" s="16" t="str"/>
      <x:c r="H1276" s="16" t="str">
        <x:v>flip_flops</x:v>
      </x:c>
      <x:c r="I1276" s="16" t="str">
        <x:v>ladies</x:v>
      </x:c>
      <x:c r="J1276" s="16" t="str"/>
      <x:c r="K1276" s="16" t="str"/>
      <x:c r="L1276" s="16" t="str"/>
      <x:c r="M1276" s="16" t="str"/>
      <x:c r="N1276" s="16" t="str"/>
      <x:c r="O1276" s="16" t="str"/>
      <x:c r="P1276" s="16" t="str"/>
      <x:c r="Q1276" s="16" t="str"/>
      <x:c r="R1276" s="16" t="str">
        <x:v>用户需要女士7码人字拖，尺码和性别要求明确，7码在页面可选6-11码范围内。</x:v>
      </x:c>
      <x:c r="S1276" s="13" t="str">
        <x:v>high_intent</x:v>
      </x:c>
      <x:c r="T1276" s="16" t="str">
        <x:v>explicit | page_validated</x:v>
      </x:c>
      <x:c r="U1276" s="13" t="str">
        <x:v>high</x:v>
      </x:c>
      <x:c r="V1276" s="16" t="str">
        <x:v>ladies_flip_flops_size</x:v>
      </x:c>
      <x:c r="W1276" s="16" t="str">
        <x:v>cluster_route</x:v>
      </x:c>
      <x:c r="X1276" s="16" t="str">
        <x:v>{"product_type":[{"value":"flip_flops","evidence_type":"explicit","source_span":"flip flops","fact_ids":[],"rationale":"搜索词明确包含flip flops。"},{"value":"flip_flops","evidence_type":"page_validated","source_span":"","fact_ids":["style_flip_flop"],"rationale":"产品确认为人字拖。"}],"audience_intent":[{"value":"ladies","evidence_type":"explicit","source_span":"ladies","fact_ids":[],"rationale":"搜索词明确包含ladies指代女性。"},{"value":"women","evidence_type":"page_validated","source_span":"","fact_ids":["title_womens_flip_flop"],"rationale":"产品定位为女式。"}],"size":[{"value":"7","evidence_type":"explicit","source_span":"size 7","fact_ids":[],"rationale":"搜索词明确包含size 7。"},{"value":"7","evidence_type":"page_validated","source_span":"","fact_ids":["sizes_6_11"],"rationale":"7码在页面可选6-11码范围内。"}],"primary_domain":[{"value":"clothing_shoes_jewelry","evidence_type":"inferred","source_span":"","fact_ids":[],"rationale":"该值由搜索词整体语义推断，未作为页面明示属性。"}]}</x:v>
      </x:c>
      <x:c r="Y1276" s="16" t="str"/>
      <x:c r="Z1276" s="13" t="str">
        <x:v>match</x:v>
      </x:c>
      <x:c r="AA1276" s="16" t="str">
        <x:v>style_flip_flop | title_womens_flip_flop | sizes_6_11</x:v>
      </x:c>
      <x:c r="AB1276" s="13" t="str">
        <x:v>accepted</x:v>
      </x:c>
      <x:c r="AC1276" s="13" t="str">
        <x:v>1.0.0</x:v>
      </x:c>
      <x:c r="AD1276" s="13" t="str">
        <x:v>1.0.0</x:v>
      </x:c>
      <x:c r="AE1276" s="13" t="str">
        <x:v>deepseek/deepseek-v4-pro</x:v>
      </x:c>
      <x:c r="AF1276" s="13" t="str">
        <x:v>aj2-y90-20260714T234810-0bea2f52</x:v>
      </x:c>
      <x:c r="AG1276" s="13" t="str">
        <x:v>full-0064</x:v>
      </x:c>
      <x:c r="AH1276" s="13" t="str">
        <x:v>full</x:v>
      </x:c>
      <x:c r="AI1276" s="13" t="n">
        <x:v>64</x:v>
      </x:c>
    </x:row>
    <x:row r="1277" ht="34" customHeight="1">
      <x:c r="A1277" s="15" t="str">
        <x:v>women cheap flip flops</x:v>
      </x:c>
      <x:c r="B1277" s="15" t="str">
        <x:v>women cheap flip flops</x:v>
      </x:c>
      <x:c r="C1277" s="10" t="str">
        <x:v>def4b73cd972e62e</x:v>
      </x:c>
      <x:c r="D1277" s="10" t="str">
        <x:v>keyword</x:v>
      </x:c>
      <x:c r="E1277" s="10" t="str">
        <x:v>en</x:v>
      </x:c>
      <x:c r="F1277" s="10" t="str">
        <x:v>clothing_shoes_jewelry</x:v>
      </x:c>
      <x:c r="G1277" s="15" t="str"/>
      <x:c r="H1277" s="15" t="str">
        <x:v>flip_flops</x:v>
      </x:c>
      <x:c r="I1277" s="15" t="str">
        <x:v>women</x:v>
      </x:c>
      <x:c r="J1277" s="15" t="str"/>
      <x:c r="K1277" s="15" t="str"/>
      <x:c r="L1277" s="15" t="str"/>
      <x:c r="M1277" s="15" t="str"/>
      <x:c r="N1277" s="15" t="str"/>
      <x:c r="O1277" s="15" t="str"/>
      <x:c r="P1277" s="15" t="str"/>
      <x:c r="Q1277" s="15" t="str"/>
      <x:c r="R1277" s="15" t="str">
        <x:v>用户需要价格低廉的女式人字拖，产品类型和性别匹配但价格无法在当前证据框架内验证。</x:v>
      </x:c>
      <x:c r="S1277" s="10" t="str">
        <x:v>consideration</x:v>
      </x:c>
      <x:c r="T1277" s="15" t="str">
        <x:v>explicit | page_validated</x:v>
      </x:c>
      <x:c r="U1277" s="10" t="str">
        <x:v>medium</x:v>
      </x:c>
      <x:c r="V1277" s="15" t="str">
        <x:v>women_cheap_flip_flops</x:v>
      </x:c>
      <x:c r="W1277" s="15" t="str">
        <x:v>performance_observation</x:v>
      </x:c>
      <x:c r="X1277" s="15" t="str">
        <x:v>{"product_type":[{"value":"flip_flops","evidence_type":"explicit","source_span":"flip flops","fact_ids":[],"rationale":"搜索词明确包含flip flops。"},{"value":"flip_flops","evidence_type":"page_validated","source_span":"","fact_ids":["style_flip_flop"],"rationale":"产品确认为人字拖。"}],"audience_intent":[{"value":"women","evidence_type":"explicit","source_span":"women","fact_ids":[],"rationale":"搜索词明确包含women。"},{"value":"women","evidence_type":"page_validated","source_span":"","fact_ids":["title_womens_flip_flop"],"rationale":"产品定位为女式。"}],"price":[{"value":"cheap","evidence_type":"explicit","source_span":"cheap","fact_ids":[],"rationale":"搜索词明确要求cheap，价格信息不在模型证据范围内。"}],"primary_domain":[{"value":"clothing_shoes_jewelry","evidence_type":"inferred","source_span":"","fact_ids":[],"rationale":"该值由搜索词整体语义推断，未作为页面明示属性。"}]}</x:v>
      </x:c>
      <x:c r="Y1277" s="15" t="str"/>
      <x:c r="Z1277" s="10" t="str">
        <x:v>unknown</x:v>
      </x:c>
      <x:c r="AA1277" s="15" t="str"/>
      <x:c r="AB1277" s="10" t="str">
        <x:v>accepted</x:v>
      </x:c>
      <x:c r="AC1277" s="10" t="str">
        <x:v>1.0.0</x:v>
      </x:c>
      <x:c r="AD1277" s="10" t="str">
        <x:v>1.0.0</x:v>
      </x:c>
      <x:c r="AE1277" s="10" t="str">
        <x:v>deepseek/deepseek-v4-pro</x:v>
      </x:c>
      <x:c r="AF1277" s="10" t="str">
        <x:v>aj2-y90-20260714T234810-0bea2f52</x:v>
      </x:c>
      <x:c r="AG1277" s="10" t="str">
        <x:v>full-0064</x:v>
      </x:c>
      <x:c r="AH1277" s="10" t="str">
        <x:v>full</x:v>
      </x:c>
      <x:c r="AI1277" s="10" t="n">
        <x:v>64</x:v>
      </x:c>
    </x:row>
    <x:row r="1278" ht="34" customHeight="1">
      <x:c r="A1278" s="16" t="str">
        <x:v>flip+flops+women</x:v>
      </x:c>
      <x:c r="B1278" s="16" t="str">
        <x:v>flip+flops+women</x:v>
      </x:c>
      <x:c r="C1278" s="13" t="str">
        <x:v>ee6bd520556f5068</x:v>
      </x:c>
      <x:c r="D1278" s="13" t="str">
        <x:v>keyword</x:v>
      </x:c>
      <x:c r="E1278" s="13" t="str">
        <x:v>en</x:v>
      </x:c>
      <x:c r="F1278" s="13" t="str">
        <x:v>clothing_shoes_jewelry</x:v>
      </x:c>
      <x:c r="G1278" s="16" t="str"/>
      <x:c r="H1278" s="16" t="str">
        <x:v>flip_flops</x:v>
      </x:c>
      <x:c r="I1278" s="16" t="str">
        <x:v>women</x:v>
      </x:c>
      <x:c r="J1278" s="16" t="str"/>
      <x:c r="K1278" s="16" t="str"/>
      <x:c r="L1278" s="16" t="str"/>
      <x:c r="M1278" s="16" t="str"/>
      <x:c r="N1278" s="16" t="str"/>
      <x:c r="O1278" s="16" t="str"/>
      <x:c r="P1278" s="16" t="str"/>
      <x:c r="Q1278" s="16" t="str"/>
      <x:c r="R1278" s="16" t="str">
        <x:v>用户广泛搜索女式人字拖，处于品类浏览阶段，加号为URL编码残留无特殊含义。</x:v>
      </x:c>
      <x:c r="S1278" s="13" t="str">
        <x:v>exploration</x:v>
      </x:c>
      <x:c r="T1278" s="16" t="str">
        <x:v>explicit | page_validated</x:v>
      </x:c>
      <x:c r="U1278" s="13" t="str">
        <x:v>high</x:v>
      </x:c>
      <x:c r="V1278" s="16" t="str">
        <x:v>flip_flops_women_generic</x:v>
      </x:c>
      <x:c r="W1278" s="16" t="str">
        <x:v>cluster_route</x:v>
      </x:c>
      <x:c r="X1278" s="16" t="str">
        <x:v>{"product_type":[{"value":"flip_flops","evidence_type":"explicit","source_span":"flip+flops","fact_ids":[],"rationale":"搜索词中flip+flops为flip flops的URL编码形式。"},{"value":"flip_flops","evidence_type":"page_validated","source_span":"","fact_ids":["style_flip_flop"],"rationale":"产品确认为人字拖。"},{"value":"flip_flops","evidence_type":"inferred","source_span":"","fact_ids":[],"rationale":"该能力由搜索词表达的任务或问题推断；页面事实仅用于验证商品承接。"}],"audience_intent":[{"value":"women","evidence_type":"explicit","source_span":"women","fact_ids":[],"rationale":"搜索词明确包含women。"},{"value":"women","evidence_type":"page_validated","source_span":"","fact_ids":["title_womens_flip_flop"],"rationale":"产品定位为女式。"}],"primary_domain":[{"value":"clothing_shoes_jewelry","evidence_type":"inferred","source_span":"","fact_ids":[],"rationale":"该值由搜索词整体语义推断，未作为页面明示属性。"}]}</x:v>
      </x:c>
      <x:c r="Y1278" s="16" t="str"/>
      <x:c r="Z1278" s="13" t="str">
        <x:v>match</x:v>
      </x:c>
      <x:c r="AA1278" s="16" t="str">
        <x:v>style_flip_flop | title_womens_flip_flop</x:v>
      </x:c>
      <x:c r="AB1278" s="13" t="str">
        <x:v>accepted</x:v>
      </x:c>
      <x:c r="AC1278" s="13" t="str">
        <x:v>1.0.0</x:v>
      </x:c>
      <x:c r="AD1278" s="13" t="str">
        <x:v>1.0.0</x:v>
      </x:c>
      <x:c r="AE1278" s="13" t="str">
        <x:v>deepseek/deepseek-v4-pro</x:v>
      </x:c>
      <x:c r="AF1278" s="13" t="str">
        <x:v>aj2-y90-20260714T234810-0bea2f52</x:v>
      </x:c>
      <x:c r="AG1278" s="13" t="str">
        <x:v>full-0064</x:v>
      </x:c>
      <x:c r="AH1278" s="13" t="str">
        <x:v>full</x:v>
      </x:c>
      <x:c r="AI1278" s="13" t="n">
        <x:v>64</x:v>
      </x:c>
    </x:row>
    <x:row r="1279" ht="34" customHeight="1">
      <x:c r="A1279" s="15" t="str">
        <x:v>white rubber sandals</x:v>
      </x:c>
      <x:c r="B1279" s="15" t="str">
        <x:v>white rubber sandals</x:v>
      </x:c>
      <x:c r="C1279" s="10" t="str">
        <x:v>f1e1ae1fa06b8e95</x:v>
      </x:c>
      <x:c r="D1279" s="10" t="str">
        <x:v>keyword</x:v>
      </x:c>
      <x:c r="E1279" s="10" t="str">
        <x:v>en</x:v>
      </x:c>
      <x:c r="F1279" s="10" t="str">
        <x:v>clothing_shoes_jewelry</x:v>
      </x:c>
      <x:c r="G1279" s="15" t="str"/>
      <x:c r="H1279" s="15" t="str">
        <x:v>sandals</x:v>
      </x:c>
      <x:c r="I1279" s="15" t="str"/>
      <x:c r="J1279" s="15" t="str"/>
      <x:c r="K1279" s="15" t="str"/>
      <x:c r="L1279" s="15" t="str"/>
      <x:c r="M1279" s="15" t="str"/>
      <x:c r="N1279" s="15" t="str"/>
      <x:c r="O1279" s="15" t="str"/>
      <x:c r="P1279" s="15" t="str"/>
      <x:c r="Q1279" s="15" t="str"/>
      <x:c r="R1279" s="15" t="str">
        <x:v>用户需要白色橡胶材质凉鞋，颜色匹配但材质为EVA而非橡胶。</x:v>
      </x:c>
      <x:c r="S1279" s="10" t="str">
        <x:v>consideration</x:v>
      </x:c>
      <x:c r="T1279" s="15" t="str">
        <x:v>explicit | page_validated</x:v>
      </x:c>
      <x:c r="U1279" s="10" t="str">
        <x:v>high</x:v>
      </x:c>
      <x:c r="V1279" s="15" t="str">
        <x:v>white_rubber_sandals</x:v>
      </x:c>
      <x:c r="W1279" s="15" t="str">
        <x:v>listing_gap_review</x:v>
      </x:c>
      <x:c r="X1279" s="15" t="str">
        <x:v>{"product_type":[{"value":"sandals","evidence_type":"explicit","source_span":"sandals","fact_ids":[],"rationale":"搜索词明确包含sandals。"},{"value":"sandals","evidence_type":"page_validated","source_span":"","fact_ids":["style_flip_flop"],"rationale":"人字拖属于凉鞋类别。"}],"color":[{"value":"white","evidence_type":"explicit","source_span":"white","fact_ids":[],"rationale":"该颜色在商品页面可见颜色选择中得到明确支持。"},{"value":"white","evidence_type":"page_validated","source_span":"","fact_ids":["colors_visible"],"rationale":"该颜色在商品页面可见颜色选择中得到明确支持。"}],"material":[{"value":"rubber","evidence_type":"explicit","source_span":"rubber","fact_ids":[],"rationale":"搜索词明确要求rubber，产品材质为EVA。"}],"primary_domain":[{"value":"clothing_shoes_jewelry","evidence_type":"inferred","source_span":"","fact_ids":[],"rationale":"该值由搜索词整体语义推断，未作为页面明示属性。"}]}</x:v>
      </x:c>
      <x:c r="Y1279" s="15" t="str"/>
      <x:c r="Z1279" s="10" t="str">
        <x:v>partial_match</x:v>
      </x:c>
      <x:c r="AA1279" s="15" t="str">
        <x:v>colors_visible</x:v>
      </x:c>
      <x:c r="AB1279" s="10" t="str">
        <x:v>accepted</x:v>
      </x:c>
      <x:c r="AC1279" s="10" t="str">
        <x:v>1.0.0</x:v>
      </x:c>
      <x:c r="AD1279" s="10" t="str">
        <x:v>1.0.0</x:v>
      </x:c>
      <x:c r="AE1279" s="10" t="str">
        <x:v>deepseek/deepseek-v4-pro</x:v>
      </x:c>
      <x:c r="AF1279" s="10" t="str">
        <x:v>aj2-y90-20260714T234810-0bea2f52</x:v>
      </x:c>
      <x:c r="AG1279" s="10" t="str">
        <x:v>full-0064</x:v>
      </x:c>
      <x:c r="AH1279" s="10" t="str">
        <x:v>full</x:v>
      </x:c>
      <x:c r="AI1279" s="10" t="n">
        <x:v>64</x:v>
      </x:c>
    </x:row>
    <x:row r="1280" ht="34" customHeight="1">
      <x:c r="A1280" s="16" t="str">
        <x:v>anti sweat arch support flip flops</x:v>
      </x:c>
      <x:c r="B1280" s="16" t="str">
        <x:v>anti sweat arch support flip flops</x:v>
      </x:c>
      <x:c r="C1280" s="13" t="str">
        <x:v>f70a09c03482ccc8</x:v>
      </x:c>
      <x:c r="D1280" s="13" t="str">
        <x:v>keyword</x:v>
      </x:c>
      <x:c r="E1280" s="13" t="str">
        <x:v>en</x:v>
      </x:c>
      <x:c r="F1280" s="13" t="str">
        <x:v>clothing_shoes_jewelry</x:v>
      </x:c>
      <x:c r="G1280" s="16" t="str"/>
      <x:c r="H1280" s="16" t="str">
        <x:v>flip_flops</x:v>
      </x:c>
      <x:c r="I1280" s="16" t="str"/>
      <x:c r="J1280" s="16" t="str"/>
      <x:c r="K1280" s="16" t="str">
        <x:v>arch_support | anti_sweat</x:v>
      </x:c>
      <x:c r="L1280" s="16" t="str"/>
      <x:c r="M1280" s="16" t="str"/>
      <x:c r="N1280" s="16" t="str"/>
      <x:c r="O1280" s="16" t="str"/>
      <x:c r="P1280" s="16" t="str"/>
      <x:c r="Q1280" s="16" t="str"/>
      <x:c r="R1280" s="16" t="str">
        <x:v>用户需要兼具防汗功能和足弓支撑的人字拖，足弓支撑匹配但防汗功能未被页面明确声称。</x:v>
      </x:c>
      <x:c r="S1280" s="13" t="str">
        <x:v>consideration</x:v>
      </x:c>
      <x:c r="T1280" s="16" t="str">
        <x:v>explicit | page_validated</x:v>
      </x:c>
      <x:c r="U1280" s="13" t="str">
        <x:v>high</x:v>
      </x:c>
      <x:c r="V1280" s="16" t="str">
        <x:v>anti_sweat_arch_support_flip_flops</x:v>
      </x:c>
      <x:c r="W1280" s="16" t="str">
        <x:v>listing_gap_review</x:v>
      </x:c>
      <x:c r="X1280" s="16" t="str">
        <x:v>{"product_type":[{"value":"flip_flops","evidence_type":"explicit","source_span":"flip flops","fact_ids":[],"rationale":"搜索词明确包含flip flops。"},{"value":"flip_flops","evidence_type":"page_validated","source_span":"","fact_ids":["style_flip_flop"],"rationale":"产品确认为人字拖。"}],"capability_intent":[{"value":"arch_support","evidence_type":"explicit","source_span":"arch support","fact_ids":["arch_support"],"rationale":"搜索词明确要求arch support，页面声称人体工学足弓支撑。"},{"value":"anti_sweat","evidence_type":"explicit","source_span":"anti sweat","fact_ids":[],"rationale":"搜索词要求anti sweat，页面仅声称透气未声称防汗。"},{"value":"arch_support","evidence_type":"page_validated","source_span":"","fact_ids":["arch_support"],"rationale":"该槽位与商品基准中的明示页面事实一致。"}],"primary_domain":[{"value":"clothing_shoes_jewelry","evidence_type":"inferred","source_span":"","fact_ids":[],"rationale":"该值由搜索词整体语义推断，未作为页面明示属性。"}]}</x:v>
      </x:c>
      <x:c r="Y1280" s="16" t="str"/>
      <x:c r="Z1280" s="13" t="str">
        <x:v>partial_match</x:v>
      </x:c>
      <x:c r="AA1280" s="16" t="str">
        <x:v>arch_support | style_flip_flop | lightweight_breathable</x:v>
      </x:c>
      <x:c r="AB1280" s="13" t="str">
        <x:v>accepted</x:v>
      </x:c>
      <x:c r="AC1280" s="13" t="str">
        <x:v>1.0.0</x:v>
      </x:c>
      <x:c r="AD1280" s="13" t="str">
        <x:v>1.0.0</x:v>
      </x:c>
      <x:c r="AE1280" s="13" t="str">
        <x:v>deepseek/deepseek-v4-pro</x:v>
      </x:c>
      <x:c r="AF1280" s="13" t="str">
        <x:v>aj2-y90-20260714T234810-0bea2f52</x:v>
      </x:c>
      <x:c r="AG1280" s="13" t="str">
        <x:v>full-0064</x:v>
      </x:c>
      <x:c r="AH1280" s="13" t="str">
        <x:v>full</x:v>
      </x:c>
      <x:c r="AI1280" s="13" t="n">
        <x:v>64</x:v>
      </x:c>
    </x:row>
    <x:row r="1281" ht="34" customHeight="1">
      <x:c r="A1281" s="15" t="str">
        <x:v>indoor flip flops for women</x:v>
      </x:c>
      <x:c r="B1281" s="15" t="str">
        <x:v>indoor flip flops for women</x:v>
      </x:c>
      <x:c r="C1281" s="10" t="str">
        <x:v>f7c1af118f72455b</x:v>
      </x:c>
      <x:c r="D1281" s="10" t="str">
        <x:v>keyword</x:v>
      </x:c>
      <x:c r="E1281" s="10" t="str">
        <x:v>en</x:v>
      </x:c>
      <x:c r="F1281" s="10" t="str">
        <x:v>clothing_shoes_jewelry</x:v>
      </x:c>
      <x:c r="G1281" s="15" t="str"/>
      <x:c r="H1281" s="15" t="str">
        <x:v>flip_flops</x:v>
      </x:c>
      <x:c r="I1281" s="15" t="str">
        <x:v>women</x:v>
      </x:c>
      <x:c r="J1281" s="15" t="str"/>
      <x:c r="K1281" s="15" t="str"/>
      <x:c r="L1281" s="15" t="str"/>
      <x:c r="M1281" s="15" t="str">
        <x:v>indoor</x:v>
      </x:c>
      <x:c r="N1281" s="15" t="str"/>
      <x:c r="O1281" s="15" t="str"/>
      <x:c r="P1281" s="15" t="str"/>
      <x:c r="Q1281" s="15" t="str"/>
      <x:c r="R1281" s="15" t="str">
        <x:v>用户需要适合室内穿着的女式人字拖，产品类型匹配但页面定位为户外生活方式。</x:v>
      </x:c>
      <x:c r="S1281" s="10" t="str">
        <x:v>consideration</x:v>
      </x:c>
      <x:c r="T1281" s="15" t="str">
        <x:v>explicit | page_validated</x:v>
      </x:c>
      <x:c r="U1281" s="10" t="str">
        <x:v>high</x:v>
      </x:c>
      <x:c r="V1281" s="15" t="str">
        <x:v>indoor_flip_flops_women</x:v>
      </x:c>
      <x:c r="W1281" s="15" t="str">
        <x:v>listing_gap_review</x:v>
      </x:c>
      <x:c r="X1281" s="15" t="str">
        <x:v>{"product_type":[{"value":"flip_flops","evidence_type":"explicit","source_span":"flip flops","fact_ids":[],"rationale":"搜索词明确包含flip flops。"},{"value":"flip_flops","evidence_type":"page_validated","source_span":"","fact_ids":["style_flip_flop"],"rationale":"产品确认为人字拖。"}],"audience_intent":[{"value":"women","evidence_type":"explicit","source_span":"women","fact_ids":[],"rationale":"搜索词明确包含women。"},{"value":"women","evidence_type":"page_validated","source_span":"","fact_ids":["title_womens_flip_flop"],"rationale":"产品定位为女式。"}],"location_intent":[{"value":"indoor","evidence_type":"explicit","source_span":"indoor","fact_ids":[],"rationale":"搜索词明确要求indoor使用场景，页面声明outdoor定位存在差异。"}],"primary_domain":[{"value":"clothing_shoes_jewelry","evidence_type":"inferred","source_span":"","fact_ids":[],"rationale":"该值由搜索词整体语义推断，未作为页面明示属性。"}]}</x:v>
      </x:c>
      <x:c r="Y1281" s="15" t="str"/>
      <x:c r="Z1281" s="10" t="str">
        <x:v>partial_match</x:v>
      </x:c>
      <x:c r="AA1281" s="15" t="str">
        <x:v>style_flip_flop | title_womens_flip_flop</x:v>
      </x:c>
      <x:c r="AB1281" s="10" t="str">
        <x:v>accepted</x:v>
      </x:c>
      <x:c r="AC1281" s="10" t="str">
        <x:v>1.0.0</x:v>
      </x:c>
      <x:c r="AD1281" s="10" t="str">
        <x:v>1.0.0</x:v>
      </x:c>
      <x:c r="AE1281" s="10" t="str">
        <x:v>deepseek/deepseek-v4-pro</x:v>
      </x:c>
      <x:c r="AF1281" s="10" t="str">
        <x:v>aj2-y90-20260714T234810-0bea2f52</x:v>
      </x:c>
      <x:c r="AG1281" s="10" t="str">
        <x:v>full-0064</x:v>
      </x:c>
      <x:c r="AH1281" s="10" t="str">
        <x:v>full</x:v>
      </x:c>
      <x:c r="AI1281" s="10" t="n">
        <x:v>64</x:v>
      </x:c>
    </x:row>
    <x:row r="1282" ht="34" customHeight="1">
      <x:c r="A1282" s="16" t="str">
        <x:v>quick dry arch flip flops</x:v>
      </x:c>
      <x:c r="B1282" s="16" t="str">
        <x:v>quick dry arch flip flops</x:v>
      </x:c>
      <x:c r="C1282" s="13" t="str">
        <x:v>0384f1db811b2da4</x:v>
      </x:c>
      <x:c r="D1282" s="13" t="str">
        <x:v>keyword</x:v>
      </x:c>
      <x:c r="E1282" s="13" t="str">
        <x:v>en</x:v>
      </x:c>
      <x:c r="F1282" s="13" t="str">
        <x:v>clothing_shoes_jewelry</x:v>
      </x:c>
      <x:c r="G1282" s="16" t="str"/>
      <x:c r="H1282" s="16" t="str">
        <x:v>flip_flops</x:v>
      </x:c>
      <x:c r="I1282" s="16" t="str"/>
      <x:c r="J1282" s="16" t="str">
        <x:v>arch_support</x:v>
      </x:c>
      <x:c r="K1282" s="16" t="str">
        <x:v>quick_dry</x:v>
      </x:c>
      <x:c r="L1282" s="16" t="str"/>
      <x:c r="M1282" s="16" t="str"/>
      <x:c r="N1282" s="16" t="str"/>
      <x:c r="O1282" s="16" t="str"/>
      <x:c r="P1282" s="16" t="str"/>
      <x:c r="Q1282" s="16" t="str"/>
      <x:c r="R1282" s="16" t="str">
        <x:v>用户需要一双既能提供足弓支撑又能快速干燥的人字拖鞋，可能用于涉水或潮湿环境。</x:v>
      </x:c>
      <x:c r="S1282" s="13" t="str">
        <x:v>consideration</x:v>
      </x:c>
      <x:c r="T1282" s="16" t="str">
        <x:v>explicit | page_validated</x:v>
      </x:c>
      <x:c r="U1282" s="13" t="str">
        <x:v>medium</x:v>
      </x:c>
      <x:c r="V1282" s="16" t="str">
        <x:v>arch_support_flip_flops</x:v>
      </x:c>
      <x:c r="W1282" s="16" t="str">
        <x:v>listing_gap_review</x:v>
      </x:c>
      <x:c r="X1282" s="16" t="str">
        <x:v>{"primary_domain":[{"value":"clothing_shoes_jewelry","evidence_type":"explicit","source_span":"flip flops","fact_ids":[],"rationale":"Flip flops explicitly indicates footwear category."}],"product_type":[{"value":"flip_flops","evidence_type":"explicit","source_span":"flip flops","fact_ids":["style_flip_flop"],"rationale":"Term explicitly names flip flops; baseline confirms flip flop style."},{"value":"flip_flops","evidence_type":"page_validated","source_span":"","fact_ids":["style_flip_flop"],"rationale":"该槽位与商品基准中的明示页面事实一致。"}],"function_intent":[{"value":"arch_support","evidence_type":"explicit","source_span":"arch","fact_ids":["arch_support"],"rationale":"Arch explicitly requests arch support; baseline confirms ergonomic arch support."},{"value":"arch_support","evidence_type":"page_validated","source_span":"","fact_ids":["arch_support"],"rationale":"该槽位与商品基准中的明示页面事实一致。"},{"value":"arch_support","evidence_type":"inferred","source_span":"","fact_ids":[],"rationale":"该能力由搜索词表达的任务或问题推断；页面事实仅用于验证商品承接。"}],"capability_intent":[{"value":"quick_dry","evidence_type":"explicit","source_span":"quick dry","fact_ids":[],"rationale":"Term explicitly requests quick dry capability; not evidenced on product page."}]}</x:v>
      </x:c>
      <x:c r="Y1282" s="16" t="str"/>
      <x:c r="Z1282" s="13" t="str">
        <x:v>partial_match</x:v>
      </x:c>
      <x:c r="AA1282" s="16" t="str">
        <x:v>style_flip_flop | arch_support</x:v>
      </x:c>
      <x:c r="AB1282" s="13" t="str">
        <x:v>accepted</x:v>
      </x:c>
      <x:c r="AC1282" s="13" t="str">
        <x:v>1.0.0</x:v>
      </x:c>
      <x:c r="AD1282" s="13" t="str">
        <x:v>1.1.0</x:v>
      </x:c>
      <x:c r="AE1282" s="13" t="str">
        <x:v>deepseek/deepseek-v4-pro</x:v>
      </x:c>
      <x:c r="AF1282" s="13" t="str">
        <x:v>aj2-y90-20260714T234810-0bea2f52</x:v>
      </x:c>
      <x:c r="AG1282" s="13" t="str">
        <x:v>full-0065</x:v>
      </x:c>
      <x:c r="AH1282" s="13" t="str">
        <x:v>full</x:v>
      </x:c>
      <x:c r="AI1282" s="13" t="n">
        <x:v>65</x:v>
      </x:c>
    </x:row>
    <x:row r="1283" ht="34" customHeight="1">
      <x:c r="A1283" s="15" t="str">
        <x:v>cheap womens flip flops</x:v>
      </x:c>
      <x:c r="B1283" s="15" t="str">
        <x:v>cheap womens flip flops</x:v>
      </x:c>
      <x:c r="C1283" s="10" t="str">
        <x:v>03acc1f126b9c9fc</x:v>
      </x:c>
      <x:c r="D1283" s="10" t="str">
        <x:v>keyword</x:v>
      </x:c>
      <x:c r="E1283" s="10" t="str">
        <x:v>en</x:v>
      </x:c>
      <x:c r="F1283" s="10" t="str">
        <x:v>clothing_shoes_jewelry</x:v>
      </x:c>
      <x:c r="G1283" s="15" t="str"/>
      <x:c r="H1283" s="15" t="str">
        <x:v>flip_flops</x:v>
      </x:c>
      <x:c r="I1283" s="15" t="str">
        <x:v>women</x:v>
      </x:c>
      <x:c r="J1283" s="15" t="str"/>
      <x:c r="K1283" s="15" t="str"/>
      <x:c r="L1283" s="15" t="str"/>
      <x:c r="M1283" s="15" t="str"/>
      <x:c r="N1283" s="15" t="str"/>
      <x:c r="O1283" s="15" t="str"/>
      <x:c r="P1283" s="15" t="str"/>
      <x:c r="Q1283" s="15" t="str"/>
      <x:c r="R1283" s="15" t="str">
        <x:v>一位女性用户在寻找价格低廉的人字拖鞋，对价格敏感。</x:v>
      </x:c>
      <x:c r="S1283" s="10" t="str">
        <x:v>consideration</x:v>
      </x:c>
      <x:c r="T1283" s="15" t="str">
        <x:v>explicit | page_validated</x:v>
      </x:c>
      <x:c r="U1283" s="10" t="str">
        <x:v>medium</x:v>
      </x:c>
      <x:c r="V1283" s="15" t="str">
        <x:v>womens_flip_flops</x:v>
      </x:c>
      <x:c r="W1283" s="15" t="str">
        <x:v>listing_gap_review</x:v>
      </x:c>
      <x:c r="X1283" s="15" t="str">
        <x:v>{"primary_domain":[{"value":"clothing_shoes_jewelry","evidence_type":"explicit","source_span":"flip flops","fact_ids":[],"rationale":"Flip flops explicitly indicates footwear category."}],"product_type":[{"value":"flip_flops","evidence_type":"explicit","source_span":"flip flops","fact_ids":["style_flip_flop"],"rationale":"Term explicitly names flip flops; baseline confirms flip flop style."},{"value":"flip_flops","evidence_type":"page_validated","source_span":"","fact_ids":["style_flip_flop"],"rationale":"该槽位与商品基准中的明示页面事实一致。"}],"audience_intent":[{"value":"women","evidence_type":"explicit","source_span":"womens","fact_ids":["title_womens_flip_flop"],"rationale":"Term explicitly targets women; product title confirms women's flip flop."},{"value":"women","evidence_type":"page_validated","source_span":"","fact_ids":["title_womens_flip_flop"],"rationale":"该槽位与商品基准中的明示页面事实一致。"}]}</x:v>
      </x:c>
      <x:c r="Y1283" s="15" t="str"/>
      <x:c r="Z1283" s="10" t="str">
        <x:v>partial_match</x:v>
      </x:c>
      <x:c r="AA1283" s="15" t="str">
        <x:v>title_womens_flip_flop | style_flip_flop</x:v>
      </x:c>
      <x:c r="AB1283" s="10" t="str">
        <x:v>accepted</x:v>
      </x:c>
      <x:c r="AC1283" s="10" t="str">
        <x:v>1.0.0</x:v>
      </x:c>
      <x:c r="AD1283" s="10" t="str">
        <x:v>1.1.0</x:v>
      </x:c>
      <x:c r="AE1283" s="10" t="str">
        <x:v>deepseek/deepseek-v4-pro</x:v>
      </x:c>
      <x:c r="AF1283" s="10" t="str">
        <x:v>aj2-y90-20260714T234810-0bea2f52</x:v>
      </x:c>
      <x:c r="AG1283" s="10" t="str">
        <x:v>full-0065</x:v>
      </x:c>
      <x:c r="AH1283" s="10" t="str">
        <x:v>full</x:v>
      </x:c>
      <x:c r="AI1283" s="10" t="n">
        <x:v>65</x:v>
      </x:c>
    </x:row>
    <x:row r="1284" ht="34" customHeight="1">
      <x:c r="A1284" s="16" t="str">
        <x:v>black womens flip flop</x:v>
      </x:c>
      <x:c r="B1284" s="16" t="str">
        <x:v>black womens flip flop</x:v>
      </x:c>
      <x:c r="C1284" s="13" t="str">
        <x:v>0cc3a8c6385e8542</x:v>
      </x:c>
      <x:c r="D1284" s="13" t="str">
        <x:v>keyword</x:v>
      </x:c>
      <x:c r="E1284" s="13" t="str">
        <x:v>en</x:v>
      </x:c>
      <x:c r="F1284" s="13" t="str">
        <x:v>clothing_shoes_jewelry</x:v>
      </x:c>
      <x:c r="G1284" s="16" t="str"/>
      <x:c r="H1284" s="16" t="str">
        <x:v>flip_flops</x:v>
      </x:c>
      <x:c r="I1284" s="16" t="str">
        <x:v>women</x:v>
      </x:c>
      <x:c r="J1284" s="16" t="str"/>
      <x:c r="K1284" s="16" t="str"/>
      <x:c r="L1284" s="16" t="str"/>
      <x:c r="M1284" s="16" t="str"/>
      <x:c r="N1284" s="16" t="str"/>
      <x:c r="O1284" s="16" t="str"/>
      <x:c r="P1284" s="16" t="str"/>
      <x:c r="Q1284" s="16" t="str"/>
      <x:c r="R1284" s="16" t="str">
        <x:v>一位女性用户想购买一双黑色的人字拖鞋，颜色和款式明确。</x:v>
      </x:c>
      <x:c r="S1284" s="13" t="str">
        <x:v>consideration</x:v>
      </x:c>
      <x:c r="T1284" s="16" t="str">
        <x:v>explicit | page_validated</x:v>
      </x:c>
      <x:c r="U1284" s="13" t="str">
        <x:v>high</x:v>
      </x:c>
      <x:c r="V1284" s="16" t="str">
        <x:v>womens_black_flip_flops</x:v>
      </x:c>
      <x:c r="W1284" s="16" t="str">
        <x:v>cluster_route</x:v>
      </x:c>
      <x:c r="X1284" s="16" t="str">
        <x:v>{"primary_domain":[{"value":"clothing_shoes_jewelry","evidence_type":"explicit","source_span":"flip flop","fact_ids":[],"rationale":"Flip flop explicitly indicates footwear category."}],"product_type":[{"value":"flip_flops","evidence_type":"explicit","source_span":"flip flop","fact_ids":["style_flip_flop"],"rationale":"Term explicitly names flip flop; baseline confirms flip flop style."},{"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audience_intent":[{"value":"women","evidence_type":"explicit","source_span":"womens","fact_ids":["title_womens_flip_flop"],"rationale":"Term explicitly targets women; product title confirms women's flip flop."},{"value":"women","evidence_type":"page_validated","source_span":"","fact_ids":["title_womens_flip_flop"],"rationale":"该槽位与商品基准中的明示页面事实一致。"}]}</x:v>
      </x:c>
      <x:c r="Y1284" s="16" t="str"/>
      <x:c r="Z1284" s="13" t="str">
        <x:v>match</x:v>
      </x:c>
      <x:c r="AA1284" s="16" t="str">
        <x:v>title_womens_flip_flop | style_flip_flop | colors_visible</x:v>
      </x:c>
      <x:c r="AB1284" s="13" t="str">
        <x:v>accepted</x:v>
      </x:c>
      <x:c r="AC1284" s="13" t="str">
        <x:v>1.0.0</x:v>
      </x:c>
      <x:c r="AD1284" s="13" t="str">
        <x:v>1.1.0</x:v>
      </x:c>
      <x:c r="AE1284" s="13" t="str">
        <x:v>deepseek/deepseek-v4-pro</x:v>
      </x:c>
      <x:c r="AF1284" s="13" t="str">
        <x:v>aj2-y90-20260714T234810-0bea2f52</x:v>
      </x:c>
      <x:c r="AG1284" s="13" t="str">
        <x:v>full-0065</x:v>
      </x:c>
      <x:c r="AH1284" s="13" t="str">
        <x:v>full</x:v>
      </x:c>
      <x:c r="AI1284" s="13" t="n">
        <x:v>65</x:v>
      </x:c>
    </x:row>
    <x:row r="1285" ht="34" customHeight="1">
      <x:c r="A1285" s="15" t="str">
        <x:v>lake flip flops women waterproof</x:v>
      </x:c>
      <x:c r="B1285" s="15" t="str">
        <x:v>lake flip flops women waterproof</x:v>
      </x:c>
      <x:c r="C1285" s="10" t="str">
        <x:v>1f608a49eb9f3ba3</x:v>
      </x:c>
      <x:c r="D1285" s="10" t="str">
        <x:v>keyword</x:v>
      </x:c>
      <x:c r="E1285" s="10" t="str">
        <x:v>en</x:v>
      </x:c>
      <x:c r="F1285" s="10" t="str">
        <x:v>clothing_shoes_jewelry</x:v>
      </x:c>
      <x:c r="G1285" s="15" t="str">
        <x:v>sports_outdoors</x:v>
      </x:c>
      <x:c r="H1285" s="15" t="str">
        <x:v>flip_flops</x:v>
      </x:c>
      <x:c r="I1285" s="15" t="str">
        <x:v>women</x:v>
      </x:c>
      <x:c r="J1285" s="15" t="str"/>
      <x:c r="K1285" s="15" t="str">
        <x:v>waterproof</x:v>
      </x:c>
      <x:c r="L1285" s="15" t="str">
        <x:v>lake_trip</x:v>
      </x:c>
      <x:c r="M1285" s="15" t="str">
        <x:v>lake</x:v>
      </x:c>
      <x:c r="N1285" s="15" t="str"/>
      <x:c r="O1285" s="15" t="str"/>
      <x:c r="P1285" s="15" t="str"/>
      <x:c r="Q1285" s="15" t="str"/>
      <x:c r="R1285" s="15" t="str">
        <x:v>一位女性用户需要防水人字拖鞋用于湖边活动，兼具防水性能和户外场景适应。</x:v>
      </x:c>
      <x:c r="S1285" s="10" t="str">
        <x:v>consideration</x:v>
      </x:c>
      <x:c r="T1285" s="15" t="str">
        <x:v>explicit | page_validated</x:v>
      </x:c>
      <x:c r="U1285" s="10" t="str">
        <x:v>medium</x:v>
      </x:c>
      <x:c r="V1285" s="15" t="str">
        <x:v>womens_waterproof_flip_flops</x:v>
      </x:c>
      <x:c r="W1285" s="15" t="str">
        <x:v>listing_gap_review</x:v>
      </x:c>
      <x:c r="X1285" s="15" t="str">
        <x:v>{"primary_domain":[{"value":"clothing_shoes_jewelry","evidence_type":"explicit","source_span":"flip flops","fact_ids":[],"rationale":"Flip flops explicitly indicates footwear category."}],"secondary_domain":[{"value":"sports_outdoors","evidence_type":"explicit","source_span":"lake","fact_ids":[],"rationale":"Lake usage suggests outdoor sports domain."}],"product_type":[{"value":"flip_flops","evidence_type":"explicit","source_span":"flip flops","fact_ids":["style_flip_flop"],"rationale":"Term explicitly names flip flops; baseline confirms flip flop style."},{"value":"flip_flops","evidence_type":"page_validated","source_span":"","fact_ids":["style_flip_flop"],"rationale":"该槽位与商品基准中的明示页面事实一致。"}],"audience_intent":[{"value":"women","evidence_type":"explicit","source_span":"women","fact_ids":["title_womens_flip_flop"],"rationale":"Term explicitly targets women; product title confirms women's flip flop."},{"value":"women","evidence_type":"page_validated","source_span":"","fact_ids":["title_womens_flip_flop"],"rationale":"该槽位与商品基准中的明示页面事实一致。"}],"capability_intent":[{"value":"waterproof","evidence_type":"explicit","source_span":"waterproof","fact_ids":[],"rationale":"Term explicitly requests waterproof; not evidenced on product page."}],"event_intent":[{"value":"lake_trip","evidence_type":"explicit","source_span":"lake","fact_ids":["style_outdoor"],"rationale":"Lake explicitly stated; outdoor lifestyle supports lakeside use."}],"location_intent":[{"value":"lake","evidence_type":"explicit","source_span":"lake","fact_ids":["style_outdoor"],"rationale":"Lake explicitly stated; outdoor lifestyle supports lake location."}]}</x:v>
      </x:c>
      <x:c r="Y1285" s="15" t="str"/>
      <x:c r="Z1285" s="10" t="str">
        <x:v>partial_match</x:v>
      </x:c>
      <x:c r="AA1285" s="15" t="str">
        <x:v>title_womens_flip_flop | style_flip_flop | style_outdoor</x:v>
      </x:c>
      <x:c r="AB1285" s="10" t="str">
        <x:v>accepted</x:v>
      </x:c>
      <x:c r="AC1285" s="10" t="str">
        <x:v>1.0.0</x:v>
      </x:c>
      <x:c r="AD1285" s="10" t="str">
        <x:v>1.1.0</x:v>
      </x:c>
      <x:c r="AE1285" s="10" t="str">
        <x:v>deepseek/deepseek-v4-pro</x:v>
      </x:c>
      <x:c r="AF1285" s="10" t="str">
        <x:v>aj2-y90-20260714T234810-0bea2f52</x:v>
      </x:c>
      <x:c r="AG1285" s="10" t="str">
        <x:v>full-0065</x:v>
      </x:c>
      <x:c r="AH1285" s="10" t="str">
        <x:v>full</x:v>
      </x:c>
      <x:c r="AI1285" s="10" t="n">
        <x:v>65</x:v>
      </x:c>
    </x:row>
    <x:row r="1286" ht="34" customHeight="1">
      <x:c r="A1286" s="16" t="str">
        <x:v>flip flops for women size 9</x:v>
      </x:c>
      <x:c r="B1286" s="16" t="str">
        <x:v>flip flops for women size 9</x:v>
      </x:c>
      <x:c r="C1286" s="13" t="str">
        <x:v>27cc17140eee4f96</x:v>
      </x:c>
      <x:c r="D1286" s="13" t="str">
        <x:v>keyword</x:v>
      </x:c>
      <x:c r="E1286" s="13" t="str">
        <x:v>en</x:v>
      </x:c>
      <x:c r="F1286" s="13" t="str">
        <x:v>clothing_shoes_jewelry</x:v>
      </x:c>
      <x:c r="G1286" s="16" t="str"/>
      <x:c r="H1286" s="16" t="str">
        <x:v>flip_flops</x:v>
      </x:c>
      <x:c r="I1286" s="16" t="str">
        <x:v>women</x:v>
      </x:c>
      <x:c r="J1286" s="16" t="str"/>
      <x:c r="K1286" s="16" t="str"/>
      <x:c r="L1286" s="16" t="str"/>
      <x:c r="M1286" s="16" t="str"/>
      <x:c r="N1286" s="16" t="str"/>
      <x:c r="O1286" s="16" t="str"/>
      <x:c r="P1286" s="16" t="str"/>
      <x:c r="Q1286" s="16" t="str"/>
      <x:c r="R1286" s="16" t="str">
        <x:v>一位女性用户需要购买尺码为9的人字拖鞋，尺寸要求明确。</x:v>
      </x:c>
      <x:c r="S1286" s="13" t="str">
        <x:v>high_intent</x:v>
      </x:c>
      <x:c r="T1286" s="16" t="str">
        <x:v>explicit | page_validated</x:v>
      </x:c>
      <x:c r="U1286" s="13" t="str">
        <x:v>high</x:v>
      </x:c>
      <x:c r="V1286" s="16" t="str">
        <x:v>womens_sized_flip_flops</x:v>
      </x:c>
      <x:c r="W1286" s="16" t="str">
        <x:v>cluster_route</x:v>
      </x:c>
      <x:c r="X1286" s="16" t="str">
        <x:v>{"primary_domain":[{"value":"clothing_shoes_jewelry","evidence_type":"explicit","source_span":"flip flops","fact_ids":[],"rationale":"Flip flops explicitly indicates footwear category."}],"product_type":[{"value":"flip_flops","evidence_type":"explicit","source_span":"flip flops","fact_ids":["style_flip_flop"],"rationale":"Term explicitly names flip flops; baseline confirms flip flop style."},{"value":"flip_flops","evidence_type":"page_validated","source_span":"","fact_ids":["style_flip_flop"],"rationale":"该槽位与商品基准中的明示页面事实一致。"}],"audience_intent":[{"value":"women","evidence_type":"explicit","source_span":"for women","fact_ids":["title_womens_flip_flop"],"rationale":"Term explicitly targets women; product title confirms women's flip flop."},{"value":"women","evidence_type":"page_validated","source_span":"","fact_ids":["title_womens_flip_flop"],"rationale":"该槽位与商品基准中的明示页面事实一致。"}]}</x:v>
      </x:c>
      <x:c r="Y1286" s="16" t="str"/>
      <x:c r="Z1286" s="13" t="str">
        <x:v>match</x:v>
      </x:c>
      <x:c r="AA1286" s="16" t="str">
        <x:v>title_womens_flip_flop | style_flip_flop | sizes_6_11</x:v>
      </x:c>
      <x:c r="AB1286" s="13" t="str">
        <x:v>accepted</x:v>
      </x:c>
      <x:c r="AC1286" s="13" t="str">
        <x:v>1.0.0</x:v>
      </x:c>
      <x:c r="AD1286" s="13" t="str">
        <x:v>1.1.0</x:v>
      </x:c>
      <x:c r="AE1286" s="13" t="str">
        <x:v>deepseek/deepseek-v4-pro</x:v>
      </x:c>
      <x:c r="AF1286" s="13" t="str">
        <x:v>aj2-y90-20260714T234810-0bea2f52</x:v>
      </x:c>
      <x:c r="AG1286" s="13" t="str">
        <x:v>full-0065</x:v>
      </x:c>
      <x:c r="AH1286" s="13" t="str">
        <x:v>full</x:v>
      </x:c>
      <x:c r="AI1286" s="13" t="n">
        <x:v>65</x:v>
      </x:c>
    </x:row>
    <x:row r="1287" ht="34" customHeight="1">
      <x:c r="A1287" s="15" t="str">
        <x:v>white waterproof flip flops</x:v>
      </x:c>
      <x:c r="B1287" s="15" t="str">
        <x:v>white waterproof flip flops</x:v>
      </x:c>
      <x:c r="C1287" s="10" t="str">
        <x:v>30d4d1ae87d4d472</x:v>
      </x:c>
      <x:c r="D1287" s="10" t="str">
        <x:v>keyword</x:v>
      </x:c>
      <x:c r="E1287" s="10" t="str">
        <x:v>en</x:v>
      </x:c>
      <x:c r="F1287" s="10" t="str">
        <x:v>clothing_shoes_jewelry</x:v>
      </x:c>
      <x:c r="G1287" s="15" t="str"/>
      <x:c r="H1287" s="15" t="str">
        <x:v>flip_flops</x:v>
      </x:c>
      <x:c r="I1287" s="15" t="str"/>
      <x:c r="J1287" s="15" t="str"/>
      <x:c r="K1287" s="15" t="str">
        <x:v>waterproof</x:v>
      </x:c>
      <x:c r="L1287" s="15" t="str"/>
      <x:c r="M1287" s="15" t="str"/>
      <x:c r="N1287" s="15" t="str"/>
      <x:c r="O1287" s="15" t="str"/>
      <x:c r="P1287" s="15" t="str"/>
      <x:c r="Q1287" s="15" t="str"/>
      <x:c r="R1287" s="15" t="str">
        <x:v>用户需要一双白色的防水人字拖鞋，可能用于潮湿或多水环境。</x:v>
      </x:c>
      <x:c r="S1287" s="10" t="str">
        <x:v>consideration</x:v>
      </x:c>
      <x:c r="T1287" s="15" t="str">
        <x:v>explicit | page_validated</x:v>
      </x:c>
      <x:c r="U1287" s="10" t="str">
        <x:v>medium</x:v>
      </x:c>
      <x:c r="V1287" s="15" t="str">
        <x:v>white_flip_flops</x:v>
      </x:c>
      <x:c r="W1287" s="15" t="str">
        <x:v>listing_gap_review</x:v>
      </x:c>
      <x:c r="X1287" s="15" t="str">
        <x:v>{"primary_domain":[{"value":"clothing_shoes_jewelry","evidence_type":"explicit","source_span":"flip flops","fact_ids":[],"rationale":"Flip flops explicitly indicates footwear category."}],"product_type":[{"value":"flip_flops","evidence_type":"explicit","source_span":"flip flops","fact_ids":["style_flip_flop"],"rationale":"Term explicitly names flip flops; baseline confirms flip flop style."},{"value":"flip_flops","evidence_type":"page_validated","source_span":"","fact_ids":["style_flip_flop"],"rationale":"该槽位与商品基准中的明示页面事实一致。"}],"capability_intent":[{"value":"waterproof","evidence_type":"explicit","source_span":"waterproof","fact_ids":[],"rationale":"Term explicitly requests waterproof; not evidenced on product page."}]}</x:v>
      </x:c>
      <x:c r="Y1287" s="15" t="str"/>
      <x:c r="Z1287" s="10" t="str">
        <x:v>partial_match</x:v>
      </x:c>
      <x:c r="AA1287" s="15" t="str">
        <x:v>style_flip_flop | colors_visible</x:v>
      </x:c>
      <x:c r="AB1287" s="10" t="str">
        <x:v>accepted</x:v>
      </x:c>
      <x:c r="AC1287" s="10" t="str">
        <x:v>1.0.0</x:v>
      </x:c>
      <x:c r="AD1287" s="10" t="str">
        <x:v>1.1.0</x:v>
      </x:c>
      <x:c r="AE1287" s="10" t="str">
        <x:v>deepseek/deepseek-v4-pro</x:v>
      </x:c>
      <x:c r="AF1287" s="10" t="str">
        <x:v>aj2-y90-20260714T234810-0bea2f52</x:v>
      </x:c>
      <x:c r="AG1287" s="10" t="str">
        <x:v>full-0065</x:v>
      </x:c>
      <x:c r="AH1287" s="10" t="str">
        <x:v>full</x:v>
      </x:c>
      <x:c r="AI1287" s="10" t="n">
        <x:v>65</x:v>
      </x:c>
    </x:row>
    <x:row r="1288" ht="34" customHeight="1">
      <x:c r="A1288" s="16" t="str">
        <x:v>flip flops for beach</x:v>
      </x:c>
      <x:c r="B1288" s="16" t="str">
        <x:v>flip flops for beach</x:v>
      </x:c>
      <x:c r="C1288" s="13" t="str">
        <x:v>455698b1b4b3d0b3</x:v>
      </x:c>
      <x:c r="D1288" s="13" t="str">
        <x:v>keyword</x:v>
      </x:c>
      <x:c r="E1288" s="13" t="str">
        <x:v>en</x:v>
      </x:c>
      <x:c r="F1288" s="13" t="str">
        <x:v>clothing_shoes_jewelry</x:v>
      </x:c>
      <x:c r="G1288" s="16" t="str">
        <x:v>sports_outdoors</x:v>
      </x:c>
      <x:c r="H1288" s="16" t="str">
        <x:v>flip_flops</x:v>
      </x:c>
      <x:c r="I1288" s="16" t="str"/>
      <x:c r="J1288" s="16" t="str"/>
      <x:c r="K1288" s="16" t="str"/>
      <x:c r="L1288" s="16" t="str">
        <x:v>beach_trip</x:v>
      </x:c>
      <x:c r="M1288" s="16" t="str">
        <x:v>beach</x:v>
      </x:c>
      <x:c r="N1288" s="16" t="str"/>
      <x:c r="O1288" s="16" t="str"/>
      <x:c r="P1288" s="16" t="str"/>
      <x:c r="Q1288" s="16" t="str"/>
      <x:c r="R1288" s="16" t="str">
        <x:v>用户需要一双适合在海滩穿着的人字拖鞋，用于户外沙滩活动。</x:v>
      </x:c>
      <x:c r="S1288" s="13" t="str">
        <x:v>consideration</x:v>
      </x:c>
      <x:c r="T1288" s="16" t="str">
        <x:v>explicit | page_validated</x:v>
      </x:c>
      <x:c r="U1288" s="13" t="str">
        <x:v>high</x:v>
      </x:c>
      <x:c r="V1288" s="16" t="str">
        <x:v>beach_flip_flops</x:v>
      </x:c>
      <x:c r="W1288" s="16" t="str">
        <x:v>cluster_route</x:v>
      </x:c>
      <x:c r="X1288" s="16" t="str">
        <x:v>{"primary_domain":[{"value":"clothing_shoes_jewelry","evidence_type":"explicit","source_span":"flip flops","fact_ids":[],"rationale":"Flip flops explicitly indicates footwear category."}],"secondary_domain":[{"value":"sports_outdoors","evidence_type":"explicit","source_span":"beach","fact_ids":[],"rationale":"Beach usage suggests outdoor sports domain."}],"product_type":[{"value":"flip_flops","evidence_type":"explicit","source_span":"flip flops","fact_ids":["style_flip_flop"],"rationale":"Term explicitly names flip flops; baseline confirms flip flop style."},{"value":"flip_flops","evidence_type":"page_validated","source_span":"","fact_ids":["style_flip_flop"],"rationale":"该槽位与商品基准中的明示页面事实一致。"}],"event_intent":[{"value":"beach_trip","evidence_type":"explicit","source_span":"beach","fact_ids":["style_outdoor"],"rationale":"Beach explicitly stated; baseline lifestyle is outdoor."}],"location_intent":[{"value":"beach","evidence_type":"explicit","source_span":"beach","fact_ids":["style_outdoor"],"rationale":"Beach explicitly stated; outdoor lifestyle supports beach use."}]}</x:v>
      </x:c>
      <x:c r="Y1288" s="16" t="str"/>
      <x:c r="Z1288" s="13" t="str">
        <x:v>match</x:v>
      </x:c>
      <x:c r="AA1288" s="16" t="str">
        <x:v>style_flip_flop | style_outdoor</x:v>
      </x:c>
      <x:c r="AB1288" s="13" t="str">
        <x:v>accepted</x:v>
      </x:c>
      <x:c r="AC1288" s="13" t="str">
        <x:v>1.0.0</x:v>
      </x:c>
      <x:c r="AD1288" s="13" t="str">
        <x:v>1.1.0</x:v>
      </x:c>
      <x:c r="AE1288" s="13" t="str">
        <x:v>deepseek/deepseek-v4-pro</x:v>
      </x:c>
      <x:c r="AF1288" s="13" t="str">
        <x:v>aj2-y90-20260714T234810-0bea2f52</x:v>
      </x:c>
      <x:c r="AG1288" s="13" t="str">
        <x:v>full-0065</x:v>
      </x:c>
      <x:c r="AH1288" s="13" t="str">
        <x:v>full</x:v>
      </x:c>
      <x:c r="AI1288" s="13" t="n">
        <x:v>65</x:v>
      </x:c>
    </x:row>
    <x:row r="1289" ht="34" customHeight="1">
      <x:c r="A1289" s="15" t="str">
        <x:v>mcm flip flops women</x:v>
      </x:c>
      <x:c r="B1289" s="15" t="str">
        <x:v>mcm flip flops women</x:v>
      </x:c>
      <x:c r="C1289" s="10" t="str">
        <x:v>5f6030687a33ac43</x:v>
      </x:c>
      <x:c r="D1289" s="10" t="str">
        <x:v>keyword</x:v>
      </x:c>
      <x:c r="E1289" s="10" t="str">
        <x:v>en</x:v>
      </x:c>
      <x:c r="F1289" s="10" t="str">
        <x:v>clothing_shoes_jewelry</x:v>
      </x:c>
      <x:c r="G1289" s="15" t="str"/>
      <x:c r="H1289" s="15" t="str">
        <x:v>flip_flops</x:v>
      </x:c>
      <x:c r="I1289" s="15" t="str">
        <x:v>women</x:v>
      </x:c>
      <x:c r="J1289" s="15" t="str"/>
      <x:c r="K1289" s="15" t="str"/>
      <x:c r="L1289" s="15" t="str"/>
      <x:c r="M1289" s="15" t="str"/>
      <x:c r="N1289" s="15" t="str"/>
      <x:c r="O1289" s="15" t="str"/>
      <x:c r="P1289" s="15" t="str"/>
      <x:c r="Q1289" s="15" t="str"/>
      <x:c r="R1289" s="15" t="str">
        <x:v>一位女性用户想购买MCM品牌的人字拖鞋，品牌偏好明确。</x:v>
      </x:c>
      <x:c r="S1289" s="10" t="str">
        <x:v>brand_harvest</x:v>
      </x:c>
      <x:c r="T1289" s="15" t="str">
        <x:v>explicit</x:v>
      </x:c>
      <x:c r="U1289" s="10" t="str">
        <x:v>high</x:v>
      </x:c>
      <x:c r="V1289" s="15" t="str">
        <x:v>branded_flip_flops</x:v>
      </x:c>
      <x:c r="W1289" s="15" t="str">
        <x:v>semantic_negative_candidate</x:v>
      </x:c>
      <x:c r="X1289" s="15" t="str">
        <x:v>{"primary_domain":[{"value":"clothing_shoes_jewelry","evidence_type":"explicit","source_span":"flip flops","fact_ids":[],"rationale":"Flip flops explicitly indicates footwear category."}],"product_type":[{"value":"flip_flops","evidence_type":"explicit","source_span":"flip flops","fact_ids":[],"rationale":"Term explicitly names flip flops."},{"value":"flip_flops","evidence_type":"page_validated","source_span":"","fact_ids":["style_flip_flop"],"rationale":"该槽位与商品基准中的明示页面事实一致。"}],"audience_intent":[{"value":"women","evidence_type":"explicit","source_span":"women","fact_ids":[],"rationale":"Term explicitly targets women."},{"value":"women","evidence_type":"page_validated","source_span":"","fact_ids":["title_womens_flip_flop"],"rationale":"该槽位与商品基准中的明示页面事实一致。"}]}</x:v>
      </x:c>
      <x:c r="Y1289" s="15" t="str"/>
      <x:c r="Z1289" s="10" t="str">
        <x:v>mismatch</x:v>
      </x:c>
      <x:c r="AA1289" s="15" t="str"/>
      <x:c r="AB1289" s="10" t="str">
        <x:v>accepted</x:v>
      </x:c>
      <x:c r="AC1289" s="10" t="str">
        <x:v>1.0.0</x:v>
      </x:c>
      <x:c r="AD1289" s="10" t="str">
        <x:v>1.1.0</x:v>
      </x:c>
      <x:c r="AE1289" s="10" t="str">
        <x:v>deepseek/deepseek-v4-pro</x:v>
      </x:c>
      <x:c r="AF1289" s="10" t="str">
        <x:v>aj2-y90-20260714T234810-0bea2f52</x:v>
      </x:c>
      <x:c r="AG1289" s="10" t="str">
        <x:v>full-0065</x:v>
      </x:c>
      <x:c r="AH1289" s="10" t="str">
        <x:v>full</x:v>
      </x:c>
      <x:c r="AI1289" s="10" t="n">
        <x:v>65</x:v>
      </x:c>
    </x:row>
    <x:row r="1290" ht="34" customHeight="1">
      <x:c r="A1290" s="16" t="str">
        <x:v>navy arch support flip flops</x:v>
      </x:c>
      <x:c r="B1290" s="16" t="str">
        <x:v>navy arch support flip flops</x:v>
      </x:c>
      <x:c r="C1290" s="13" t="str">
        <x:v>744c49ef5b5c0bd9</x:v>
      </x:c>
      <x:c r="D1290" s="13" t="str">
        <x:v>keyword</x:v>
      </x:c>
      <x:c r="E1290" s="13" t="str">
        <x:v>en</x:v>
      </x:c>
      <x:c r="F1290" s="13" t="str">
        <x:v>clothing_shoes_jewelry</x:v>
      </x:c>
      <x:c r="G1290" s="16" t="str"/>
      <x:c r="H1290" s="16" t="str">
        <x:v>flip_flops</x:v>
      </x:c>
      <x:c r="I1290" s="16" t="str"/>
      <x:c r="J1290" s="16" t="str">
        <x:v>arch_support</x:v>
      </x:c>
      <x:c r="K1290" s="16" t="str"/>
      <x:c r="L1290" s="16" t="str"/>
      <x:c r="M1290" s="16" t="str"/>
      <x:c r="N1290" s="16" t="str"/>
      <x:c r="O1290" s="16" t="str"/>
      <x:c r="P1290" s="16" t="str"/>
      <x:c r="Q1290" s="16" t="str"/>
      <x:c r="R1290" s="16" t="str">
        <x:v>用户需要一双海军蓝色的足弓支撑人字拖鞋，颜色和功能需求明确。</x:v>
      </x:c>
      <x:c r="S1290" s="13" t="str">
        <x:v>consideration</x:v>
      </x:c>
      <x:c r="T1290" s="16" t="str">
        <x:v>explicit | page_validated</x:v>
      </x:c>
      <x:c r="U1290" s="13" t="str">
        <x:v>medium</x:v>
      </x:c>
      <x:c r="V1290" s="16" t="str">
        <x:v>arch_support_flip_flops</x:v>
      </x:c>
      <x:c r="W1290" s="16" t="str">
        <x:v>listing_gap_review</x:v>
      </x:c>
      <x:c r="X1290" s="16" t="str">
        <x:v>{"primary_domain":[{"value":"clothing_shoes_jewelry","evidence_type":"explicit","source_span":"flip flops","fact_ids":[],"rationale":"Flip flops explicitly indicates footwear category."}],"product_type":[{"value":"flip_flops","evidence_type":"explicit","source_span":"flip flops","fact_ids":["style_flip_flop"],"rationale":"Term explicitly names flip flops; baseline confirms flip flop style."},{"value":"flip_flops","evidence_type":"page_validated","source_span":"","fact_ids":["style_flip_flop"],"rationale":"该槽位与商品基准中的明示页面事实一致。"}],"function_intent":[{"value":"arch_support","evidence_type":"explicit","source_span":"arch support","fact_ids":["arch_support"],"rationale":"Term explicitly requests arch support; baseline confirms ergonomic arch support."},{"value":"arch_support","evidence_type":"page_validated","source_span":"","fact_ids":["arch_support"],"rationale":"该槽位与商品基准中的明示页面事实一致。"}]}</x:v>
      </x:c>
      <x:c r="Y1290" s="16" t="str"/>
      <x:c r="Z1290" s="13" t="str">
        <x:v>partial_match</x:v>
      </x:c>
      <x:c r="AA1290" s="16" t="str">
        <x:v>style_flip_flop | arch_support</x:v>
      </x:c>
      <x:c r="AB1290" s="13" t="str">
        <x:v>accepted</x:v>
      </x:c>
      <x:c r="AC1290" s="13" t="str">
        <x:v>1.0.0</x:v>
      </x:c>
      <x:c r="AD1290" s="13" t="str">
        <x:v>1.1.0</x:v>
      </x:c>
      <x:c r="AE1290" s="13" t="str">
        <x:v>deepseek/deepseek-v4-pro</x:v>
      </x:c>
      <x:c r="AF1290" s="13" t="str">
        <x:v>aj2-y90-20260714T234810-0bea2f52</x:v>
      </x:c>
      <x:c r="AG1290" s="13" t="str">
        <x:v>full-0065</x:v>
      </x:c>
      <x:c r="AH1290" s="13" t="str">
        <x:v>full</x:v>
      </x:c>
      <x:c r="AI1290" s="13" t="n">
        <x:v>65</x:v>
      </x:c>
    </x:row>
    <x:row r="1291" ht="34" customHeight="1">
      <x:c r="A1291" s="15" t="str">
        <x:v>ladies sandals</x:v>
      </x:c>
      <x:c r="B1291" s="15" t="str">
        <x:v>ladies sandals</x:v>
      </x:c>
      <x:c r="C1291" s="10" t="str">
        <x:v>7ccff8656a9055f3</x:v>
      </x:c>
      <x:c r="D1291" s="10" t="str">
        <x:v>keyword</x:v>
      </x:c>
      <x:c r="E1291" s="10" t="str">
        <x:v>en</x:v>
      </x:c>
      <x:c r="F1291" s="10" t="str">
        <x:v>clothing_shoes_jewelry</x:v>
      </x:c>
      <x:c r="G1291" s="15" t="str"/>
      <x:c r="H1291" s="15" t="str">
        <x:v>sandals</x:v>
      </x:c>
      <x:c r="I1291" s="15" t="str">
        <x:v>women</x:v>
      </x:c>
      <x:c r="J1291" s="15" t="str"/>
      <x:c r="K1291" s="15" t="str"/>
      <x:c r="L1291" s="15" t="str"/>
      <x:c r="M1291" s="15" t="str"/>
      <x:c r="N1291" s="15" t="str"/>
      <x:c r="O1291" s="15" t="str"/>
      <x:c r="P1291" s="15" t="str"/>
      <x:c r="Q1291" s="15" t="str"/>
      <x:c r="R1291" s="15" t="str">
        <x:v>一位女性用户在寻找凉鞋，品类较为宽泛，未限定具体款式。</x:v>
      </x:c>
      <x:c r="S1291" s="10" t="str">
        <x:v>exploration</x:v>
      </x:c>
      <x:c r="T1291" s="15" t="str">
        <x:v>explicit | page_validated</x:v>
      </x:c>
      <x:c r="U1291" s="10" t="str">
        <x:v>medium</x:v>
      </x:c>
      <x:c r="V1291" s="15" t="str">
        <x:v>womens_sandals_broad</x:v>
      </x:c>
      <x:c r="W1291" s="15" t="str">
        <x:v>cluster_route</x:v>
      </x:c>
      <x:c r="X1291" s="15" t="str">
        <x:v>{"primary_domain":[{"value":"clothing_shoes_jewelry","evidence_type":"explicit","source_span":"sandals","fact_ids":[],"rationale":"Sandals explicitly indicates footwear category."}],"product_type":[{"value":"sandals","evidence_type":"explicit","source_span":"sandals","fact_ids":["style_flip_flop"],"rationale":"Term names sandals; flip flops are a sandal subtype."},{"value":"sandals","evidence_type":"page_validated","source_span":"","fact_ids":["title_womens_flip_flop"],"rationale":"该槽位与商品基准中的明示页面事实一致。"}],"audience_intent":[{"value":"women","evidence_type":"explicit","source_span":"ladies","fact_ids":["title_womens_flip_flop"],"rationale":"Ladies explicitly targets women; product title confirms women's flip flop."},{"value":"women","evidence_type":"page_validated","source_span":"","fact_ids":["title_womens_flip_flop"],"rationale":"该槽位与商品基准中的明示页面事实一致。"},{"value":"women","evidence_type":"inferred","source_span":"","fact_ids":[],"rationale":"该能力由搜索词表达的任务或问题推断；页面事实仅用于验证商品承接。"}]}</x:v>
      </x:c>
      <x:c r="Y1291" s="15" t="str"/>
      <x:c r="Z1291" s="10" t="str">
        <x:v>partial_match</x:v>
      </x:c>
      <x:c r="AA1291" s="15" t="str">
        <x:v>title_womens_flip_flop | style_flip_flop</x:v>
      </x:c>
      <x:c r="AB1291" s="10" t="str">
        <x:v>accepted</x:v>
      </x:c>
      <x:c r="AC1291" s="10" t="str">
        <x:v>1.0.0</x:v>
      </x:c>
      <x:c r="AD1291" s="10" t="str">
        <x:v>1.1.0</x:v>
      </x:c>
      <x:c r="AE1291" s="10" t="str">
        <x:v>deepseek/deepseek-v4-pro</x:v>
      </x:c>
      <x:c r="AF1291" s="10" t="str">
        <x:v>aj2-y90-20260714T234810-0bea2f52</x:v>
      </x:c>
      <x:c r="AG1291" s="10" t="str">
        <x:v>full-0065</x:v>
      </x:c>
      <x:c r="AH1291" s="10" t="str">
        <x:v>full</x:v>
      </x:c>
      <x:c r="AI1291" s="10" t="n">
        <x:v>65</x:v>
      </x:c>
    </x:row>
    <x:row r="1292" ht="34" customHeight="1">
      <x:c r="A1292" s="16" t="str">
        <x:v>slip resistant flip flops</x:v>
      </x:c>
      <x:c r="B1292" s="16" t="str">
        <x:v>slip resistant flip flops</x:v>
      </x:c>
      <x:c r="C1292" s="13" t="str">
        <x:v>7f488812b1651791</x:v>
      </x:c>
      <x:c r="D1292" s="13" t="str">
        <x:v>keyword</x:v>
      </x:c>
      <x:c r="E1292" s="13" t="str">
        <x:v>en</x:v>
      </x:c>
      <x:c r="F1292" s="13" t="str">
        <x:v>clothing_shoes_jewelry</x:v>
      </x:c>
      <x:c r="G1292" s="16" t="str"/>
      <x:c r="H1292" s="16" t="str">
        <x:v>flip_flops</x:v>
      </x:c>
      <x:c r="I1292" s="16" t="str"/>
      <x:c r="J1292" s="16" t="str"/>
      <x:c r="K1292" s="16" t="str">
        <x:v>slip_resistant</x:v>
      </x:c>
      <x:c r="L1292" s="16" t="str"/>
      <x:c r="M1292" s="16" t="str"/>
      <x:c r="N1292" s="16" t="str"/>
      <x:c r="O1292" s="16" t="str"/>
      <x:c r="P1292" s="16" t="str"/>
      <x:c r="Q1292" s="16" t="str"/>
      <x:c r="R1292" s="16" t="str">
        <x:v>用户需要具有防滑功能的人字拖鞋，注重行走安全。</x:v>
      </x:c>
      <x:c r="S1292" s="13" t="str">
        <x:v>consideration</x:v>
      </x:c>
      <x:c r="T1292" s="16" t="str">
        <x:v>explicit | page_validated</x:v>
      </x:c>
      <x:c r="U1292" s="13" t="str">
        <x:v>high</x:v>
      </x:c>
      <x:c r="V1292" s="16" t="str">
        <x:v>slip_resistant_flip_flops</x:v>
      </x:c>
      <x:c r="W1292" s="16" t="str">
        <x:v>cluster_route</x:v>
      </x:c>
      <x:c r="X1292" s="16" t="str">
        <x:v>{"primary_domain":[{"value":"clothing_shoes_jewelry","evidence_type":"explicit","source_span":"flip flops","fact_ids":[],"rationale":"Flip flops explicitly indicates footwear category."}],"product_type":[{"value":"flip_flops","evidence_type":"explicit","source_span":"flip flops","fact_ids":["style_flip_flop"],"rationale":"Term explicitly names flip flops; baseline confirms flip flop style."},{"value":"flip_flops","evidence_type":"page_validated","source_span":"","fact_ids":["style_flip_flop"],"rationale":"该槽位与商品基准中的明示页面事实一致。"}],"capability_intent":[{"value":"slip_resistant","evidence_type":"explicit","source_span":"slip resistant","fact_ids":["slip_resistant_grip"],"rationale":"Term explicitly requests slip resistant; baseline states deep textured lattice outsole for grip and slip-resistant steps."},{"value":"slip_resistant","evidence_type":"page_validated","source_span":"","fact_ids":["slip_resistant_grip"],"rationale":"该槽位与商品基准中的明示页面事实一致。"}]}</x:v>
      </x:c>
      <x:c r="Y1292" s="16" t="str"/>
      <x:c r="Z1292" s="13" t="str">
        <x:v>match</x:v>
      </x:c>
      <x:c r="AA1292" s="16" t="str">
        <x:v>style_flip_flop | slip_resistant_grip</x:v>
      </x:c>
      <x:c r="AB1292" s="13" t="str">
        <x:v>accepted</x:v>
      </x:c>
      <x:c r="AC1292" s="13" t="str">
        <x:v>1.0.0</x:v>
      </x:c>
      <x:c r="AD1292" s="13" t="str">
        <x:v>1.1.0</x:v>
      </x:c>
      <x:c r="AE1292" s="13" t="str">
        <x:v>deepseek/deepseek-v4-pro</x:v>
      </x:c>
      <x:c r="AF1292" s="13" t="str">
        <x:v>aj2-y90-20260714T234810-0bea2f52</x:v>
      </x:c>
      <x:c r="AG1292" s="13" t="str">
        <x:v>full-0065</x:v>
      </x:c>
      <x:c r="AH1292" s="13" t="str">
        <x:v>full</x:v>
      </x:c>
      <x:c r="AI1292" s="13" t="n">
        <x:v>65</x:v>
      </x:c>
    </x:row>
    <x:row r="1293" ht="34" customHeight="1">
      <x:c r="A1293" s="15" t="str">
        <x:v>women's waterproof flip flops</x:v>
      </x:c>
      <x:c r="B1293" s="15" t="str">
        <x:v>women's waterproof flip flops</x:v>
      </x:c>
      <x:c r="C1293" s="10" t="str">
        <x:v>92f304e608782f01</x:v>
      </x:c>
      <x:c r="D1293" s="10" t="str">
        <x:v>keyword</x:v>
      </x:c>
      <x:c r="E1293" s="10" t="str">
        <x:v>en</x:v>
      </x:c>
      <x:c r="F1293" s="10" t="str">
        <x:v>clothing_shoes_jewelry</x:v>
      </x:c>
      <x:c r="G1293" s="15" t="str"/>
      <x:c r="H1293" s="15" t="str">
        <x:v>flip_flops</x:v>
      </x:c>
      <x:c r="I1293" s="15" t="str">
        <x:v>women</x:v>
      </x:c>
      <x:c r="J1293" s="15" t="str"/>
      <x:c r="K1293" s="15" t="str">
        <x:v>waterproof</x:v>
      </x:c>
      <x:c r="L1293" s="15" t="str"/>
      <x:c r="M1293" s="15" t="str"/>
      <x:c r="N1293" s="15" t="str"/>
      <x:c r="O1293" s="15" t="str"/>
      <x:c r="P1293" s="15" t="str"/>
      <x:c r="Q1293" s="15" t="str"/>
      <x:c r="R1293" s="15" t="str">
        <x:v>一位女性用户需要防水人字拖鞋，用于涉水或潮湿环境中的日常穿着。</x:v>
      </x:c>
      <x:c r="S1293" s="10" t="str">
        <x:v>consideration</x:v>
      </x:c>
      <x:c r="T1293" s="15" t="str">
        <x:v>explicit | page_validated</x:v>
      </x:c>
      <x:c r="U1293" s="10" t="str">
        <x:v>medium</x:v>
      </x:c>
      <x:c r="V1293" s="15" t="str">
        <x:v>womens_waterproof_flip_flops</x:v>
      </x:c>
      <x:c r="W1293" s="15" t="str">
        <x:v>listing_gap_review</x:v>
      </x:c>
      <x:c r="X1293" s="15" t="str">
        <x:v>{"primary_domain":[{"value":"clothing_shoes_jewelry","evidence_type":"explicit","source_span":"flip flops","fact_ids":[],"rationale":"Flip flops explicitly indicates footwear category."}],"product_type":[{"value":"flip_flops","evidence_type":"explicit","source_span":"flip flops","fact_ids":["style_flip_flop"],"rationale":"Term explicitly names flip flops; baseline confirms flip flop style."},{"value":"flip_flops","evidence_type":"page_validated","source_span":"","fact_ids":["style_flip_flop"],"rationale":"该槽位与商品基准中的明示页面事实一致。"}],"audience_intent":[{"value":"women","evidence_type":"explicit","source_span":"women's","fact_ids":["title_womens_flip_flop"],"rationale":"Term explicitly targets women; product title confirms women's flip flop."},{"value":"women","evidence_type":"page_validated","source_span":"","fact_ids":["title_womens_flip_flop"],"rationale":"该槽位与商品基准中的明示页面事实一致。"}],"capability_intent":[{"value":"waterproof","evidence_type":"explicit","source_span":"waterproof","fact_ids":[],"rationale":"Term explicitly requests waterproof; not evidenced on product page."}]}</x:v>
      </x:c>
      <x:c r="Y1293" s="15" t="str"/>
      <x:c r="Z1293" s="10" t="str">
        <x:v>partial_match</x:v>
      </x:c>
      <x:c r="AA1293" s="15" t="str">
        <x:v>title_womens_flip_flop | style_flip_flop</x:v>
      </x:c>
      <x:c r="AB1293" s="10" t="str">
        <x:v>accepted</x:v>
      </x:c>
      <x:c r="AC1293" s="10" t="str">
        <x:v>1.0.0</x:v>
      </x:c>
      <x:c r="AD1293" s="10" t="str">
        <x:v>1.1.0</x:v>
      </x:c>
      <x:c r="AE1293" s="10" t="str">
        <x:v>deepseek/deepseek-v4-pro</x:v>
      </x:c>
      <x:c r="AF1293" s="10" t="str">
        <x:v>aj2-y90-20260714T234810-0bea2f52</x:v>
      </x:c>
      <x:c r="AG1293" s="10" t="str">
        <x:v>full-0065</x:v>
      </x:c>
      <x:c r="AH1293" s="10" t="str">
        <x:v>full</x:v>
      </x:c>
      <x:c r="AI1293" s="10" t="n">
        <x:v>65</x:v>
      </x:c>
    </x:row>
    <x:row r="1294" ht="34" customHeight="1">
      <x:c r="A1294" s="16" t="str">
        <x:v>women's support flip flops</x:v>
      </x:c>
      <x:c r="B1294" s="16" t="str">
        <x:v>women's support flip flops</x:v>
      </x:c>
      <x:c r="C1294" s="13" t="str">
        <x:v>94ca2a26ec705a70</x:v>
      </x:c>
      <x:c r="D1294" s="13" t="str">
        <x:v>keyword</x:v>
      </x:c>
      <x:c r="E1294" s="13" t="str">
        <x:v>en</x:v>
      </x:c>
      <x:c r="F1294" s="13" t="str">
        <x:v>clothing_shoes_jewelry</x:v>
      </x:c>
      <x:c r="G1294" s="16" t="str"/>
      <x:c r="H1294" s="16" t="str">
        <x:v>flip_flops</x:v>
      </x:c>
      <x:c r="I1294" s="16" t="str">
        <x:v>women</x:v>
      </x:c>
      <x:c r="J1294" s="16" t="str">
        <x:v>arch_support</x:v>
      </x:c>
      <x:c r="K1294" s="16" t="str"/>
      <x:c r="L1294" s="16" t="str"/>
      <x:c r="M1294" s="16" t="str"/>
      <x:c r="N1294" s="16" t="str"/>
      <x:c r="O1294" s="16" t="str"/>
      <x:c r="P1294" s="16" t="str"/>
      <x:c r="Q1294" s="16" t="str"/>
      <x:c r="R1294" s="16" t="str">
        <x:v>一位女性用户需要具有支撑功能的人字拖鞋，追求穿着舒适和足部支撑。</x:v>
      </x:c>
      <x:c r="S1294" s="13" t="str">
        <x:v>consideration</x:v>
      </x:c>
      <x:c r="T1294" s="16" t="str">
        <x:v>explicit | page_validated | inferred</x:v>
      </x:c>
      <x:c r="U1294" s="13" t="str">
        <x:v>high</x:v>
      </x:c>
      <x:c r="V1294" s="16" t="str">
        <x:v>womens_arch_support_flip_flops</x:v>
      </x:c>
      <x:c r="W1294" s="16" t="str">
        <x:v>cluster_route</x:v>
      </x:c>
      <x:c r="X1294" s="16" t="str">
        <x:v>{"primary_domain":[{"value":"clothing_shoes_jewelry","evidence_type":"explicit","source_span":"flip flops","fact_ids":[],"rationale":"Flip flops explicitly indicates footwear category."}],"product_type":[{"value":"flip_flops","evidence_type":"explicit","source_span":"flip flops","fact_ids":["style_flip_flop"],"rationale":"Term explicitly names flip flops; baseline confirms flip flop style."},{"value":"flip_flops","evidence_type":"page_validated","source_span":"","fact_ids":["style_flip_flop"],"rationale":"该槽位与商品基准中的明示页面事实一致。"}],"audience_intent":[{"value":"women","evidence_type":"explicit","source_span":"women's","fact_ids":["title_womens_flip_flop"],"rationale":"Term explicitly targets women; product title confirms women's flip flop."},{"value":"women","evidence_type":"page_validated","source_span":"","fact_ids":["title_womens_flip_flop"],"rationale":"该槽位与商品基准中的明示页面事实一致。"}],"function_intent":[{"value":"arch_support","evidence_type":"inferred","source_span":"support","fact_ids":[],"rationale":"Support in footwear context most commonly implies arch support; baseline confirms arch support feature."},{"value":"arch_support","evidence_type":"page_validated","source_span":"","fact_ids":["arch_support"],"rationale":"该槽位与商品基准中的明示页面事实一致。"}]}</x:v>
      </x:c>
      <x:c r="Y1294" s="16" t="str"/>
      <x:c r="Z1294" s="13" t="str">
        <x:v>match</x:v>
      </x:c>
      <x:c r="AA1294" s="16" t="str">
        <x:v>title_womens_flip_flop | style_flip_flop | arch_support</x:v>
      </x:c>
      <x:c r="AB1294" s="13" t="str">
        <x:v>accepted</x:v>
      </x:c>
      <x:c r="AC1294" s="13" t="str">
        <x:v>1.0.0</x:v>
      </x:c>
      <x:c r="AD1294" s="13" t="str">
        <x:v>1.1.0</x:v>
      </x:c>
      <x:c r="AE1294" s="13" t="str">
        <x:v>deepseek/deepseek-v4-pro</x:v>
      </x:c>
      <x:c r="AF1294" s="13" t="str">
        <x:v>aj2-y90-20260714T234810-0bea2f52</x:v>
      </x:c>
      <x:c r="AG1294" s="13" t="str">
        <x:v>full-0065</x:v>
      </x:c>
      <x:c r="AH1294" s="13" t="str">
        <x:v>full</x:v>
      </x:c>
      <x:c r="AI1294" s="13" t="n">
        <x:v>65</x:v>
      </x:c>
    </x:row>
    <x:row r="1295" ht="34" customHeight="1">
      <x:c r="A1295" s="15" t="str">
        <x:v>denim blue thong sandals</x:v>
      </x:c>
      <x:c r="B1295" s="15" t="str">
        <x:v>denim blue thong sandals</x:v>
      </x:c>
      <x:c r="C1295" s="10" t="str">
        <x:v>a1638c69ae68fca6</x:v>
      </x:c>
      <x:c r="D1295" s="10" t="str">
        <x:v>keyword</x:v>
      </x:c>
      <x:c r="E1295" s="10" t="str">
        <x:v>en</x:v>
      </x:c>
      <x:c r="F1295" s="10" t="str">
        <x:v>clothing_shoes_jewelry</x:v>
      </x:c>
      <x:c r="G1295" s="15" t="str"/>
      <x:c r="H1295" s="15" t="str">
        <x:v>thong_sandals</x:v>
      </x:c>
      <x:c r="I1295" s="15" t="str"/>
      <x:c r="J1295" s="15" t="str"/>
      <x:c r="K1295" s="15" t="str"/>
      <x:c r="L1295" s="15" t="str"/>
      <x:c r="M1295" s="15" t="str"/>
      <x:c r="N1295" s="15" t="str"/>
      <x:c r="O1295" s="15" t="str"/>
      <x:c r="P1295" s="15" t="str"/>
      <x:c r="Q1295" s="15" t="str"/>
      <x:c r="R1295" s="15" t="str">
        <x:v>用户想找一双丹宁蓝色的人字拖凉鞋，颜色偏好明确但产品页面未列出该色。</x:v>
      </x:c>
      <x:c r="S1295" s="10" t="str">
        <x:v>consideration</x:v>
      </x:c>
      <x:c r="T1295" s="15" t="str">
        <x:v>explicit | page_validated</x:v>
      </x:c>
      <x:c r="U1295" s="10" t="str">
        <x:v>medium</x:v>
      </x:c>
      <x:c r="V1295" s="15" t="str">
        <x:v>thong_sandals_color_specific</x:v>
      </x:c>
      <x:c r="W1295" s="15" t="str">
        <x:v>listing_gap_review</x:v>
      </x:c>
      <x:c r="X1295" s="15" t="str">
        <x:v>{"primary_domain":[{"value":"clothing_shoes_jewelry","evidence_type":"explicit","source_span":"sandals","fact_ids":[],"rationale":"Sandals explicitly indicates footwear category."}],"product_type":[{"value":"thong_sandals","evidence_type":"explicit","source_span":"thong sandals","fact_ids":["style_thong"],"rationale":"Term explicitly names thong sandals; baseline confirms thong strap type."},{"value":"thong_sandals","evidence_type":"page_validated","source_span":"","fact_ids":["style_thong","style_flip_flop"],"rationale":"该槽位与商品基准中的明示页面事实一致。"}]}</x:v>
      </x:c>
      <x:c r="Y1295" s="15" t="str"/>
      <x:c r="Z1295" s="10" t="str">
        <x:v>partial_match</x:v>
      </x:c>
      <x:c r="AA1295" s="15" t="str">
        <x:v>style_thong | style_flip_flop</x:v>
      </x:c>
      <x:c r="AB1295" s="10" t="str">
        <x:v>accepted</x:v>
      </x:c>
      <x:c r="AC1295" s="10" t="str">
        <x:v>1.0.0</x:v>
      </x:c>
      <x:c r="AD1295" s="10" t="str">
        <x:v>1.1.0</x:v>
      </x:c>
      <x:c r="AE1295" s="10" t="str">
        <x:v>deepseek/deepseek-v4-pro</x:v>
      </x:c>
      <x:c r="AF1295" s="10" t="str">
        <x:v>aj2-y90-20260714T234810-0bea2f52</x:v>
      </x:c>
      <x:c r="AG1295" s="10" t="str">
        <x:v>full-0065</x:v>
      </x:c>
      <x:c r="AH1295" s="10" t="str">
        <x:v>full</x:v>
      </x:c>
      <x:c r="AI1295" s="10" t="n">
        <x:v>65</x:v>
      </x:c>
    </x:row>
    <x:row r="1296" ht="34" customHeight="1">
      <x:c r="A1296" s="16" t="str">
        <x:v>womens thong sandals</x:v>
      </x:c>
      <x:c r="B1296" s="16" t="str">
        <x:v>womens thong sandals</x:v>
      </x:c>
      <x:c r="C1296" s="13" t="str">
        <x:v>c3c2e194f21c739e</x:v>
      </x:c>
      <x:c r="D1296" s="13" t="str">
        <x:v>keyword</x:v>
      </x:c>
      <x:c r="E1296" s="13" t="str">
        <x:v>en</x:v>
      </x:c>
      <x:c r="F1296" s="13" t="str">
        <x:v>clothing_shoes_jewelry</x:v>
      </x:c>
      <x:c r="G1296" s="16" t="str"/>
      <x:c r="H1296" s="16" t="str">
        <x:v>thong_sandals</x:v>
      </x:c>
      <x:c r="I1296" s="16" t="str">
        <x:v>women</x:v>
      </x:c>
      <x:c r="J1296" s="16" t="str"/>
      <x:c r="K1296" s="16" t="str"/>
      <x:c r="L1296" s="16" t="str"/>
      <x:c r="M1296" s="16" t="str"/>
      <x:c r="N1296" s="16" t="str"/>
      <x:c r="O1296" s="16" t="str"/>
      <x:c r="P1296" s="16" t="str"/>
      <x:c r="Q1296" s="16" t="str"/>
      <x:c r="R1296" s="16" t="str">
        <x:v>一位女性用户在寻找人字拖款式的凉鞋，品类和受众明确。</x:v>
      </x:c>
      <x:c r="S1296" s="13" t="str">
        <x:v>consideration</x:v>
      </x:c>
      <x:c r="T1296" s="16" t="str">
        <x:v>explicit | page_validated</x:v>
      </x:c>
      <x:c r="U1296" s="13" t="str">
        <x:v>high</x:v>
      </x:c>
      <x:c r="V1296" s="16" t="str">
        <x:v>womens_thong_sandals</x:v>
      </x:c>
      <x:c r="W1296" s="16" t="str">
        <x:v>cluster_route</x:v>
      </x:c>
      <x:c r="X1296" s="16" t="str">
        <x:v>{"primary_domain":[{"value":"clothing_shoes_jewelry","evidence_type":"explicit","source_span":"sandals","fact_ids":[],"rationale":"Sandals explicitly indicates footwear category."}],"product_type":[{"value":"thong_sandals","evidence_type":"explicit","source_span":"thong sandals","fact_ids":["style_thong","style_flip_flop"],"rationale":"Term explicitly names thong sandals; baseline confirms thong strap and flip flop style."},{"value":"thong_sandals","evidence_type":"page_validated","source_span":"","fact_ids":["style_thong","style_flip_flop"],"rationale":"该槽位与商品基准中的明示页面事实一致。"}],"audience_intent":[{"value":"women","evidence_type":"explicit","source_span":"womens","fact_ids":["title_womens_flip_flop"],"rationale":"Term explicitly targets women; product title confirms women's flip flop."},{"value":"women","evidence_type":"page_validated","source_span":"","fact_ids":["title_womens_flip_flop"],"rationale":"该槽位与商品基准中的明示页面事实一致。"}]}</x:v>
      </x:c>
      <x:c r="Y1296" s="16" t="str"/>
      <x:c r="Z1296" s="13" t="str">
        <x:v>match</x:v>
      </x:c>
      <x:c r="AA1296" s="16" t="str">
        <x:v>title_womens_flip_flop | style_thong | style_flip_flop</x:v>
      </x:c>
      <x:c r="AB1296" s="13" t="str">
        <x:v>accepted</x:v>
      </x:c>
      <x:c r="AC1296" s="13" t="str">
        <x:v>1.0.0</x:v>
      </x:c>
      <x:c r="AD1296" s="13" t="str">
        <x:v>1.1.0</x:v>
      </x:c>
      <x:c r="AE1296" s="13" t="str">
        <x:v>deepseek/deepseek-v4-pro</x:v>
      </x:c>
      <x:c r="AF1296" s="13" t="str">
        <x:v>aj2-y90-20260714T234810-0bea2f52</x:v>
      </x:c>
      <x:c r="AG1296" s="13" t="str">
        <x:v>full-0065</x:v>
      </x:c>
      <x:c r="AH1296" s="13" t="str">
        <x:v>full</x:v>
      </x:c>
      <x:c r="AI1296" s="13" t="n">
        <x:v>65</x:v>
      </x:c>
    </x:row>
    <x:row r="1297" ht="34" customHeight="1">
      <x:c r="A1297" s="15" t="str">
        <x:v>arch support flip flops for women thong sandals with soft straps for summer pool slides orthopedic plantar fasciitis beach recovery slides</x:v>
      </x:c>
      <x:c r="B1297" s="15" t="str">
        <x:v>arch support flip flops for women thong sandals with soft straps for summer pool slides orthopedic plantar fasciitis beach recovery slides</x:v>
      </x:c>
      <x:c r="C1297" s="10" t="str">
        <x:v>c837e4fca918046e</x:v>
      </x:c>
      <x:c r="D1297" s="10" t="str">
        <x:v>keyword</x:v>
      </x:c>
      <x:c r="E1297" s="10" t="str">
        <x:v>en</x:v>
      </x:c>
      <x:c r="F1297" s="10" t="str">
        <x:v>clothing_shoes_jewelry</x:v>
      </x:c>
      <x:c r="G1297" s="15" t="str">
        <x:v>sports_outdoors</x:v>
      </x:c>
      <x:c r="H1297" s="15" t="str">
        <x:v>flip_flops | thong_sandals | slides</x:v>
      </x:c>
      <x:c r="I1297" s="15" t="str">
        <x:v>women</x:v>
      </x:c>
      <x:c r="J1297" s="15" t="str">
        <x:v>arch_support | foot_pain_relief | post_injury_recovery</x:v>
      </x:c>
      <x:c r="K1297" s="15" t="str">
        <x:v>soft_straps | cushioned</x:v>
      </x:c>
      <x:c r="L1297" s="15" t="str">
        <x:v>summer_vacation | pool_day | beach_trip</x:v>
      </x:c>
      <x:c r="M1297" s="15" t="str">
        <x:v>pool | beach</x:v>
      </x:c>
      <x:c r="N1297" s="15" t="str">
        <x:v>plantar_fasciitis | orthopedic</x:v>
      </x:c>
      <x:c r="O1297" s="15" t="str">
        <x:v>summer</x:v>
      </x:c>
      <x:c r="P1297" s="15" t="str"/>
      <x:c r="Q1297" s="15" t="str"/>
      <x:c r="R1297" s="15" t="str">
        <x:v>一位患有足底筋膜炎的女性需要在夏季日常和海滩、泳池等场景中穿着具有足弓支撑和柔软绑带的平底人字拖鞋，以缓解足部不适并辅助恢复。</x:v>
      </x:c>
      <x:c r="S1297" s="10" t="str">
        <x:v>high_intent</x:v>
      </x:c>
      <x:c r="T1297" s="15" t="str">
        <x:v>explicit | page_validated | inferred</x:v>
      </x:c>
      <x:c r="U1297" s="10" t="str">
        <x:v>high</x:v>
      </x:c>
      <x:c r="V1297" s="15" t="str">
        <x:v>womens_arch_support_flip_flops_summer_beach</x:v>
      </x:c>
      <x:c r="W1297" s="15" t="str">
        <x:v>listing_gap_review</x:v>
      </x:c>
      <x:c r="X1297" s="15" t="str">
        <x:v>{"primary_domain":[{"value":"clothing_shoes_jewelry","evidence_type":"explicit","source_span":"flip flops","fact_ids":[],"rationale":"flip flops explicitly indicates footwear category."}],"secondary_domain":[{"value":"sports_outdoors","evidence_type":"explicit","source_span":"beach","fact_ids":[],"rationale":"beach usage suggests outdoor sports domain."}],"product_type":[{"value":"flip_flops","evidence_type":"explicit","source_span":"flip flops","fact_ids":["style_flip_flop"],"rationale":"Term explicitly names flip flops; product baseline confirms flip flop style."},{"value":"thong_sandals","evidence_type":"explicit","source_span":"thong sandals","fact_ids":["style_thong"],"rationale":"Term explicitly names thong sandals; baseline confirms thong strap type."},{"value":"slides","evidence_type":"explicit","source_span":"slides","fact_ids":[],"rationale":"Term explicitly names slides as a product variant."},{"value":"flip_flops","evidence_type":"page_validated","source_span":"","fact_ids":["style_flip_flop"],"rationale":"该槽位与商品基准中的明示页面事实一致。"},{"value":"thong_sandals","evidence_type":"page_validated","source_span":"","fact_ids":["style_thong","style_flip_flop"],"rationale":"该槽位与商品基准中的明示页面事实一致。"}],"audience_intent":[{"value":"women","evidence_type":"explicit","source_span":"for women","fact_ids":["title_womens_flip_flop"],"rationale":"Term explicitly targets women; product title confirms women's flip flop."},{"value":"women","evidence_type":"page_validated","source_span":"","fact_ids":["title_womens_flip_flop"],"rationale":"该槽位与商品基准中的明示页面事实一致。"}],"function_intent":[{"value":"arch_support","evidence_type":"explicit","source_span":"arch support","fact_ids":["arch_support"],"rationale":"Term explicitly requests arch support; baseline confirms ergonomic arch support."},{"value":"foot_pain_relief","evidence_type":"inferred","source_span":"orthopedic plantar fasciitis","fact_ids":[],"rationale":"Plantar fasciitis implies foot pain needing relief."},{"value":"post_injury_recovery","evidence_type":"explicit","source_span":"recovery slides","fact_ids":[],"rationale":"Term explicitly mentions recovery as a use case."},{"value":"arch_support","evidence_type":"page_validated","source_span":"","fact_ids":["arch_support"],"rationale":"该槽位与商品基准中的明示页面事实一致。"}],"capability_intent":[{"value":"soft_straps","evidence_type":"explicit","source_span":"soft straps","fact_ids":["soft_toe_post"],"rationale":"Term explicitly requests soft straps; baseline mentions upgraded soft toe post."},{"value":"cushioned","evidence_type":"page_validated","source_span":"","fact_ids":["padded_cushioning"],"rationale":"Orthopedic use implies cushioning need; baseline states padded special feature."}],"event_intent":[{"value":"summer_vacation","evidence_type":"explicit","source_span":"summer","fact_ids":[],"rationale":"Summer explicitly stated as seasonal context."},{"value":"pool_day","evidence_type":"explicit","source_span":"pool","fact_ids":[],"rationale":"Pool explicitly stated as activity context."},{"value":"beach_trip","evidence_type":"explicit","source_span":"beach","fact_ids":[],"rationale":"Beach explicitly stated as activity context."}],"location_intent":[{"value":"pool","evidence_type":"explicit","source_span":"pool","fact_ids":[],"rationale":"Pool explicitly stated as location."},{"value":"beach","evidence_type":"explicit","source_span":"beach","fact_ids":[],"rationale":"Beach explicitly stated as location."}],"body_need_intent":[{"value":"plantar_fasciitis","evidence_type":"explicit","source_span":"plantar fasciitis","fact_ids":[],"rationale":"Term explicitly mentions plantar fasciitis condition."},{"value":"orthopedic","evidence_type":"explicit","source_span":"orthopedic","fact_ids":[],"rationale":"Term explicitly requests orthopedic footwear."}],"time_intent":[{"value":"summer","evidence_type":"explicit","source_span":"summer","fact_ids":[],"rationale":"Summer explicitly stated as temporal context."}]}</x:v>
      </x:c>
      <x:c r="Y1297" s="15" t="str"/>
      <x:c r="Z1297" s="10" t="str">
        <x:v>partial_match</x:v>
      </x:c>
      <x:c r="AA1297" s="15" t="str">
        <x:v>title_womens_flip_flop | style_flip_flop | style_thong | arch_support | soft_toe_post | padded_cushioning | style_outdoor</x:v>
      </x:c>
      <x:c r="AB1297" s="10" t="str">
        <x:v>accepted</x:v>
      </x:c>
      <x:c r="AC1297" s="10" t="str">
        <x:v>1.0.0</x:v>
      </x:c>
      <x:c r="AD1297" s="10" t="str">
        <x:v>1.1.0</x:v>
      </x:c>
      <x:c r="AE1297" s="10" t="str">
        <x:v>deepseek/deepseek-v4-pro</x:v>
      </x:c>
      <x:c r="AF1297" s="10" t="str">
        <x:v>aj2-y90-20260714T234810-0bea2f52</x:v>
      </x:c>
      <x:c r="AG1297" s="10" t="str">
        <x:v>full-0065</x:v>
      </x:c>
      <x:c r="AH1297" s="10" t="str">
        <x:v>full</x:v>
      </x:c>
      <x:c r="AI1297" s="10" t="n">
        <x:v>65</x:v>
      </x:c>
    </x:row>
    <x:row r="1298" ht="34" customHeight="1">
      <x:c r="A1298" s="16" t="str">
        <x:v>7.5 flip flops for women</x:v>
      </x:c>
      <x:c r="B1298" s="16" t="str">
        <x:v>7.5 flip flops for women</x:v>
      </x:c>
      <x:c r="C1298" s="13" t="str">
        <x:v>ccd237aebb06f9a8</x:v>
      </x:c>
      <x:c r="D1298" s="13" t="str">
        <x:v>keyword</x:v>
      </x:c>
      <x:c r="E1298" s="13" t="str">
        <x:v>en</x:v>
      </x:c>
      <x:c r="F1298" s="13" t="str">
        <x:v>clothing_shoes_jewelry</x:v>
      </x:c>
      <x:c r="G1298" s="16" t="str"/>
      <x:c r="H1298" s="16" t="str">
        <x:v>flip_flops</x:v>
      </x:c>
      <x:c r="I1298" s="16" t="str">
        <x:v>women</x:v>
      </x:c>
      <x:c r="J1298" s="16" t="str"/>
      <x:c r="K1298" s="16" t="str"/>
      <x:c r="L1298" s="16" t="str"/>
      <x:c r="M1298" s="16" t="str"/>
      <x:c r="N1298" s="16" t="str"/>
      <x:c r="O1298" s="16" t="str"/>
      <x:c r="P1298" s="16" t="str"/>
      <x:c r="Q1298" s="16" t="str"/>
      <x:c r="R1298" s="16" t="str">
        <x:v>一位女性用户需要购买尺码为7.5的人字拖鞋，尺寸要求明确。</x:v>
      </x:c>
      <x:c r="S1298" s="13" t="str">
        <x:v>high_intent</x:v>
      </x:c>
      <x:c r="T1298" s="16" t="str">
        <x:v>explicit | page_validated</x:v>
      </x:c>
      <x:c r="U1298" s="13" t="str">
        <x:v>high</x:v>
      </x:c>
      <x:c r="V1298" s="16" t="str">
        <x:v>womens_sized_flip_flops</x:v>
      </x:c>
      <x:c r="W1298" s="16" t="str">
        <x:v>cluster_route</x:v>
      </x:c>
      <x:c r="X1298" s="16" t="str">
        <x:v>{"primary_domain":[{"value":"clothing_shoes_jewelry","evidence_type":"explicit","source_span":"flip flops","fact_ids":[],"rationale":"Flip flops explicitly indicates footwear category."}],"product_type":[{"value":"flip_flops","evidence_type":"explicit","source_span":"flip flops","fact_ids":["style_flip_flop"],"rationale":"Term explicitly names flip flops; baseline confirms flip flop style."},{"value":"flip_flops","evidence_type":"page_validated","source_span":"","fact_ids":["style_flip_flop"],"rationale":"该槽位与商品基准中的明示页面事实一致。"}],"audience_intent":[{"value":"women","evidence_type":"explicit","source_span":"for women","fact_ids":["title_womens_flip_flop"],"rationale":"Term explicitly targets women; product title confirms women's flip flop."},{"value":"women","evidence_type":"page_validated","source_span":"","fact_ids":["title_womens_flip_flop"],"rationale":"该槽位与商品基准中的明示页面事实一致。"}]}</x:v>
      </x:c>
      <x:c r="Y1298" s="16" t="str"/>
      <x:c r="Z1298" s="13" t="str">
        <x:v>match</x:v>
      </x:c>
      <x:c r="AA1298" s="16" t="str">
        <x:v>title_womens_flip_flop | style_flip_flop | sizes_6_11</x:v>
      </x:c>
      <x:c r="AB1298" s="13" t="str">
        <x:v>accepted</x:v>
      </x:c>
      <x:c r="AC1298" s="13" t="str">
        <x:v>1.0.0</x:v>
      </x:c>
      <x:c r="AD1298" s="13" t="str">
        <x:v>1.1.0</x:v>
      </x:c>
      <x:c r="AE1298" s="13" t="str">
        <x:v>deepseek/deepseek-v4-pro</x:v>
      </x:c>
      <x:c r="AF1298" s="13" t="str">
        <x:v>aj2-y90-20260714T234810-0bea2f52</x:v>
      </x:c>
      <x:c r="AG1298" s="13" t="str">
        <x:v>full-0065</x:v>
      </x:c>
      <x:c r="AH1298" s="13" t="str">
        <x:v>full</x:v>
      </x:c>
      <x:c r="AI1298" s="13" t="n">
        <x:v>65</x:v>
      </x:c>
    </x:row>
    <x:row r="1299" ht="34" customHeight="1">
      <x:c r="A1299" s="15" t="str">
        <x:v>women's white flip flop</x:v>
      </x:c>
      <x:c r="B1299" s="15" t="str">
        <x:v>women's white flip flop</x:v>
      </x:c>
      <x:c r="C1299" s="10" t="str">
        <x:v>d073e4f9a7fa1001</x:v>
      </x:c>
      <x:c r="D1299" s="10" t="str">
        <x:v>keyword</x:v>
      </x:c>
      <x:c r="E1299" s="10" t="str">
        <x:v>en</x:v>
      </x:c>
      <x:c r="F1299" s="10" t="str">
        <x:v>clothing_shoes_jewelry</x:v>
      </x:c>
      <x:c r="G1299" s="15" t="str"/>
      <x:c r="H1299" s="15" t="str">
        <x:v>flip_flops</x:v>
      </x:c>
      <x:c r="I1299" s="15" t="str">
        <x:v>women</x:v>
      </x:c>
      <x:c r="J1299" s="15" t="str"/>
      <x:c r="K1299" s="15" t="str"/>
      <x:c r="L1299" s="15" t="str"/>
      <x:c r="M1299" s="15" t="str"/>
      <x:c r="N1299" s="15" t="str"/>
      <x:c r="O1299" s="15" t="str"/>
      <x:c r="P1299" s="15" t="str"/>
      <x:c r="Q1299" s="15" t="str"/>
      <x:c r="R1299" s="15" t="str">
        <x:v>一位女性用户想购买一双白色的平底人字拖鞋，颜色和款式明确，用于日常穿着。</x:v>
      </x:c>
      <x:c r="S1299" s="10" t="str">
        <x:v>consideration</x:v>
      </x:c>
      <x:c r="T1299" s="15" t="str">
        <x:v>explicit | page_validated</x:v>
      </x:c>
      <x:c r="U1299" s="10" t="str">
        <x:v>high</x:v>
      </x:c>
      <x:c r="V1299" s="15" t="str">
        <x:v>womens_white_flip_flops</x:v>
      </x:c>
      <x:c r="W1299" s="15" t="str">
        <x:v>cluster_route</x:v>
      </x:c>
      <x:c r="X1299" s="15" t="str">
        <x:v>{"primary_domain":[{"value":"clothing_shoes_jewelry","evidence_type":"explicit","source_span":"flip flop","fact_ids":[],"rationale":"Flip flop explicitly indicates footwear category."}],"product_type":[{"value":"flip_flops","evidence_type":"explicit","source_span":"flip flop","fact_ids":["style_flip_flop"],"rationale":"Term explicitly names flip flop; baseline confirms flip flop style."},{"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audience_intent":[{"value":"women","evidence_type":"explicit","source_span":"women's","fact_ids":["title_womens_flip_flop"],"rationale":"Term explicitly targets women; product title confirms women's flip flop."},{"value":"women","evidence_type":"page_validated","source_span":"","fact_ids":["title_womens_flip_flop"],"rationale":"该槽位与商品基准中的明示页面事实一致。"}]}</x:v>
      </x:c>
      <x:c r="Y1299" s="15" t="str"/>
      <x:c r="Z1299" s="10" t="str">
        <x:v>match</x:v>
      </x:c>
      <x:c r="AA1299" s="15" t="str">
        <x:v>title_womens_flip_flop | style_flip_flop | colors_visible</x:v>
      </x:c>
      <x:c r="AB1299" s="10" t="str">
        <x:v>accepted</x:v>
      </x:c>
      <x:c r="AC1299" s="10" t="str">
        <x:v>1.0.0</x:v>
      </x:c>
      <x:c r="AD1299" s="10" t="str">
        <x:v>1.1.0</x:v>
      </x:c>
      <x:c r="AE1299" s="10" t="str">
        <x:v>deepseek/deepseek-v4-pro</x:v>
      </x:c>
      <x:c r="AF1299" s="10" t="str">
        <x:v>aj2-y90-20260714T234810-0bea2f52</x:v>
      </x:c>
      <x:c r="AG1299" s="10" t="str">
        <x:v>full-0065</x:v>
      </x:c>
      <x:c r="AH1299" s="10" t="str">
        <x:v>full</x:v>
      </x:c>
      <x:c r="AI1299" s="10" t="n">
        <x:v>65</x:v>
      </x:c>
    </x:row>
    <x:row r="1300" ht="34" customHeight="1">
      <x:c r="A1300" s="16" t="str">
        <x:v>black rubber flip flops for beach</x:v>
      </x:c>
      <x:c r="B1300" s="16" t="str">
        <x:v>black rubber flip flops for beach</x:v>
      </x:c>
      <x:c r="C1300" s="13" t="str">
        <x:v>eab647d71f038c5c</x:v>
      </x:c>
      <x:c r="D1300" s="13" t="str">
        <x:v>keyword</x:v>
      </x:c>
      <x:c r="E1300" s="13" t="str">
        <x:v>en</x:v>
      </x:c>
      <x:c r="F1300" s="13" t="str">
        <x:v>clothing_shoes_jewelry</x:v>
      </x:c>
      <x:c r="G1300" s="16" t="str">
        <x:v>sports_outdoors</x:v>
      </x:c>
      <x:c r="H1300" s="16" t="str">
        <x:v>flip_flops</x:v>
      </x:c>
      <x:c r="I1300" s="16" t="str"/>
      <x:c r="J1300" s="16" t="str"/>
      <x:c r="K1300" s="16" t="str"/>
      <x:c r="L1300" s="16" t="str">
        <x:v>beach_trip</x:v>
      </x:c>
      <x:c r="M1300" s="16" t="str">
        <x:v>beach</x:v>
      </x:c>
      <x:c r="N1300" s="16" t="str"/>
      <x:c r="O1300" s="16" t="str"/>
      <x:c r="P1300" s="16" t="str"/>
      <x:c r="Q1300" s="16" t="str"/>
      <x:c r="R1300" s="16" t="str">
        <x:v>用户需要一双黑色的橡胶材质人字拖鞋用于海滩活动，材质和场景偏好明确。</x:v>
      </x:c>
      <x:c r="S1300" s="13" t="str">
        <x:v>consideration</x:v>
      </x:c>
      <x:c r="T1300" s="16" t="str">
        <x:v>explicit | page_validated</x:v>
      </x:c>
      <x:c r="U1300" s="13" t="str">
        <x:v>medium</x:v>
      </x:c>
      <x:c r="V1300" s="16" t="str">
        <x:v>beach_flip_flops</x:v>
      </x:c>
      <x:c r="W1300" s="16" t="str">
        <x:v>listing_gap_review</x:v>
      </x:c>
      <x:c r="X1300" s="16" t="str">
        <x:v>{"primary_domain":[{"value":"clothing_shoes_jewelry","evidence_type":"explicit","source_span":"flip flops","fact_ids":[],"rationale":"Flip flops explicitly indicates footwear category."}],"secondary_domain":[{"value":"sports_outdoors","evidence_type":"explicit","source_span":"beach","fact_ids":[],"rationale":"Beach usage suggests outdoor sports domain."}],"product_type":[{"value":"flip_flops","evidence_type":"explicit","source_span":"flip flops","fact_ids":["style_flip_flop"],"rationale":"Term explicitly names flip flops; baseline confirms flip flop style."},{"value":"flip_flops","evidence_type":"page_validated","source_span":"","fact_ids":["style_flip_flop"],"rationale":"该槽位与商品基准中的明示页面事实一致。"}],"event_intent":[{"value":"beach_trip","evidence_type":"explicit","source_span":"beach","fact_ids":["style_outdoor"],"rationale":"Beach explicitly stated; baseline outdoor lifestyle supports beach use."}],"location_intent":[{"value":"beach","evidence_type":"explicit","source_span":"beach","fact_ids":["style_outdoor"],"rationale":"Beach explicitly stated; outdoor lifestyle supports beach location."}]}</x:v>
      </x:c>
      <x:c r="Y1300" s="16" t="str"/>
      <x:c r="Z1300" s="13" t="str">
        <x:v>partial_match</x:v>
      </x:c>
      <x:c r="AA1300" s="16" t="str">
        <x:v>style_flip_flop | style_outdoor | colors_visible</x:v>
      </x:c>
      <x:c r="AB1300" s="13" t="str">
        <x:v>accepted</x:v>
      </x:c>
      <x:c r="AC1300" s="13" t="str">
        <x:v>1.0.0</x:v>
      </x:c>
      <x:c r="AD1300" s="13" t="str">
        <x:v>1.1.0</x:v>
      </x:c>
      <x:c r="AE1300" s="13" t="str">
        <x:v>deepseek/deepseek-v4-pro</x:v>
      </x:c>
      <x:c r="AF1300" s="13" t="str">
        <x:v>aj2-y90-20260714T234810-0bea2f52</x:v>
      </x:c>
      <x:c r="AG1300" s="13" t="str">
        <x:v>full-0065</x:v>
      </x:c>
      <x:c r="AH1300" s="13" t="str">
        <x:v>full</x:v>
      </x:c>
      <x:c r="AI1300" s="13" t="n">
        <x:v>65</x:v>
      </x:c>
    </x:row>
    <x:row r="1301" ht="34" customHeight="1">
      <x:c r="A1301" s="15" t="str">
        <x:v>patent arch flip flop</x:v>
      </x:c>
      <x:c r="B1301" s="15" t="str">
        <x:v>patent arch flip flop</x:v>
      </x:c>
      <x:c r="C1301" s="10" t="str">
        <x:v>efa053227237f876</x:v>
      </x:c>
      <x:c r="D1301" s="10" t="str">
        <x:v>keyword</x:v>
      </x:c>
      <x:c r="E1301" s="10" t="str">
        <x:v>en</x:v>
      </x:c>
      <x:c r="F1301" s="10" t="str">
        <x:v>clothing_shoes_jewelry</x:v>
      </x:c>
      <x:c r="G1301" s="15" t="str"/>
      <x:c r="H1301" s="15" t="str">
        <x:v>flip_flops</x:v>
      </x:c>
      <x:c r="I1301" s="15" t="str"/>
      <x:c r="J1301" s="15" t="str">
        <x:v>arch_support</x:v>
      </x:c>
      <x:c r="K1301" s="15" t="str"/>
      <x:c r="L1301" s="15" t="str"/>
      <x:c r="M1301" s="15" t="str"/>
      <x:c r="N1301" s="15" t="str"/>
      <x:c r="O1301" s="15" t="str"/>
      <x:c r="P1301" s="15" t="str"/>
      <x:c r="Q1301" s="15" t="str"/>
      <x:c r="R1301" s="15" t="str">
        <x:v>用户搜索具有足弓支撑的人字拖鞋，但对「patent」的具体含义不明确，可能指漆皮材质或专利技术。</x:v>
      </x:c>
      <x:c r="S1301" s="10" t="str">
        <x:v>consideration</x:v>
      </x:c>
      <x:c r="T1301" s="15" t="str">
        <x:v>explicit | page_validated</x:v>
      </x:c>
      <x:c r="U1301" s="10" t="str">
        <x:v>medium</x:v>
      </x:c>
      <x:c r="V1301" s="15" t="str">
        <x:v>arch_support_flip_flops</x:v>
      </x:c>
      <x:c r="W1301" s="15" t="str">
        <x:v>ambiguity_review</x:v>
      </x:c>
      <x:c r="X1301" s="15" t="str">
        <x:v>{"primary_domain":[{"value":"clothing_shoes_jewelry","evidence_type":"explicit","source_span":"flip flop","fact_ids":[],"rationale":"Flip flop explicitly indicates footwear category."}],"product_type":[{"value":"flip_flops","evidence_type":"explicit","source_span":"flip flop","fact_ids":["style_flip_flop"],"rationale":"Term explicitly names flip flop; baseline confirms flip flop style."},{"value":"flip_flops","evidence_type":"page_validated","source_span":"","fact_ids":["style_flip_flop"],"rationale":"该槽位与商品基准中的明示页面事实一致。"},{"value":"flip_flops","evidence_type":"inferred","source_span":"","fact_ids":[],"rationale":"该能力由搜索词表达的任务或问题推断；页面事实仅用于验证商品承接。"}],"function_intent":[{"value":"arch_support","evidence_type":"explicit","source_span":"arch","fact_ids":["arch_support"],"rationale":"Arch explicitly requests arch-related function; baseline confirms ergonomic arch support."},{"value":"arch_support","evidence_type":"page_validated","source_span":"","fact_ids":["arch_support"],"rationale":"该槽位与商品基准中的明示页面事实一致。"},{"value":"arch_support","evidence_type":"inferred","source_span":"","fact_ids":[],"rationale":"该能力由搜索词表达的任务或问题推断；页面事实仅用于验证商品承接。"}]}</x:v>
      </x:c>
      <x:c r="Y1301" s="15" t="str">
        <x:v>patent_ambiguous_material_or_ip</x:v>
      </x:c>
      <x:c r="Z1301" s="10" t="str">
        <x:v>partial_match</x:v>
      </x:c>
      <x:c r="AA1301" s="15" t="str">
        <x:v>style_flip_flop | arch_support</x:v>
      </x:c>
      <x:c r="AB1301" s="10" t="str">
        <x:v>accepted</x:v>
      </x:c>
      <x:c r="AC1301" s="10" t="str">
        <x:v>1.0.0</x:v>
      </x:c>
      <x:c r="AD1301" s="10" t="str">
        <x:v>1.1.0</x:v>
      </x:c>
      <x:c r="AE1301" s="10" t="str">
        <x:v>deepseek/deepseek-v4-pro</x:v>
      </x:c>
      <x:c r="AF1301" s="10" t="str">
        <x:v>aj2-y90-20260714T234810-0bea2f52</x:v>
      </x:c>
      <x:c r="AG1301" s="10" t="str">
        <x:v>full-0065</x:v>
      </x:c>
      <x:c r="AH1301" s="10" t="str">
        <x:v>full</x:v>
      </x:c>
      <x:c r="AI1301" s="10" t="n">
        <x:v>65</x:v>
      </x:c>
    </x:row>
    <x:row r="1302" ht="34" customHeight="1">
      <x:c r="A1302" s="16" t="str">
        <x:v>chocolate flip flops women</x:v>
      </x:c>
      <x:c r="B1302" s="16" t="str">
        <x:v>chocolate flip flops women</x:v>
      </x:c>
      <x:c r="C1302" s="13" t="str">
        <x:v>05a23f432615f8bf</x:v>
      </x:c>
      <x:c r="D1302" s="13" t="str">
        <x:v>keyword</x:v>
      </x:c>
      <x:c r="E1302" s="13" t="str">
        <x:v>en</x:v>
      </x:c>
      <x:c r="F1302" s="13" t="str">
        <x:v>clothing_shoes_jewelry</x:v>
      </x:c>
      <x:c r="G1302" s="16" t="str"/>
      <x:c r="H1302" s="16" t="str">
        <x:v>flip_flop</x:v>
      </x:c>
      <x:c r="I1302" s="16" t="str">
        <x:v>women</x:v>
      </x:c>
      <x:c r="J1302" s="16" t="str"/>
      <x:c r="K1302" s="16" t="str"/>
      <x:c r="L1302" s="16" t="str"/>
      <x:c r="M1302" s="16" t="str"/>
      <x:c r="N1302" s="16" t="str"/>
      <x:c r="O1302" s="16" t="str"/>
      <x:c r="P1302" s="16" t="str"/>
      <x:c r="Q1302" s="16" t="str"/>
      <x:c r="R1302" s="16" t="str">
        <x:v>女性用户想找巧克力色的夹脚拖鞋。</x:v>
      </x:c>
      <x:c r="S1302" s="13" t="str">
        <x:v>high_intent</x:v>
      </x:c>
      <x:c r="T1302" s="16" t="str">
        <x:v>explicit | inferred</x:v>
      </x:c>
      <x:c r="U1302" s="13" t="str">
        <x:v>medium</x:v>
      </x:c>
      <x:c r="V1302" s="16" t="str">
        <x:v>womens_flip_flops_color</x:v>
      </x:c>
      <x:c r="W1302" s="16" t="str">
        <x:v>cluster_route</x:v>
      </x:c>
      <x:c r="X1302" s="16" t="str">
        <x:v>{"product_type":[{"value":"flip_flop","evidence_type":"explicit","source_span":"flip flops","fact_ids":["style_flip_flop"],"rationale":"搜索词明确表达产品类型。"},{"value":"flip_flop","evidence_type":"page_validated","source_span":"","fact_ids":["style_flip_flop"],"rationale":"该槽位与商品基准中的明示页面事实一致。"}],"audience_intent":[{"value":"women","evidence_type":"explicit","source_span":"women","fact_ids":["title_womens_flip_flop"],"rationale":"产品为女式。"},{"value":"women","evidence_type":"page_validated","source_span":"","fact_ids":["title_womens_flip_flop"],"rationale":"该槽位与商品基准中的明示页面事实一致。"}],"color":[{"value":"chocolate","evidence_type":"explicit","source_span":"chocolate","fact_ids":[],"rationale":"这是搜索词中的颜色约束，但商品页面基准未确认该具体颜色。"}],"primary_domain":[{"value":"clothing_shoes_jewelry","evidence_type":"inferred","source_span":"","fact_ids":[],"rationale":"该值由搜索词整体语义推断，未作为页面明示属性。"}]}</x:v>
      </x:c>
      <x:c r="Y1302" s="16" t="str"/>
      <x:c r="Z1302" s="13" t="str">
        <x:v>match</x:v>
      </x:c>
      <x:c r="AA1302" s="16" t="str">
        <x:v>style_flip_flop | title_womens_flip_flop | colors_visible</x:v>
      </x:c>
      <x:c r="AB1302" s="13" t="str">
        <x:v>accepted</x:v>
      </x:c>
      <x:c r="AC1302" s="13" t="str">
        <x:v>1.0.0</x:v>
      </x:c>
      <x:c r="AD1302" s="13" t="str">
        <x:v>1.1.0</x:v>
      </x:c>
      <x:c r="AE1302" s="13" t="str">
        <x:v>deepseek/deepseek-v4-pro</x:v>
      </x:c>
      <x:c r="AF1302" s="13" t="str">
        <x:v>aj2-y90-20260714T234810-0bea2f52</x:v>
      </x:c>
      <x:c r="AG1302" s="13" t="str">
        <x:v>full-0066</x:v>
      </x:c>
      <x:c r="AH1302" s="13" t="str">
        <x:v>full</x:v>
      </x:c>
      <x:c r="AI1302" s="13" t="n">
        <x:v>66</x:v>
      </x:c>
    </x:row>
    <x:row r="1303" ht="34" customHeight="1">
      <x:c r="A1303" s="15" t="str">
        <x:v>basic flip flops</x:v>
      </x:c>
      <x:c r="B1303" s="15" t="str">
        <x:v>basic flip flops</x:v>
      </x:c>
      <x:c r="C1303" s="10" t="str">
        <x:v>154d9d2c9a72d975</x:v>
      </x:c>
      <x:c r="D1303" s="10" t="str">
        <x:v>keyword</x:v>
      </x:c>
      <x:c r="E1303" s="10" t="str">
        <x:v>en</x:v>
      </x:c>
      <x:c r="F1303" s="10" t="str">
        <x:v>clothing_shoes_jewelry</x:v>
      </x:c>
      <x:c r="G1303" s="15" t="str"/>
      <x:c r="H1303" s="15" t="str">
        <x:v>flip_flop</x:v>
      </x:c>
      <x:c r="I1303" s="15" t="str"/>
      <x:c r="J1303" s="15" t="str"/>
      <x:c r="K1303" s="15" t="str"/>
      <x:c r="L1303" s="15" t="str"/>
      <x:c r="M1303" s="15" t="str"/>
      <x:c r="N1303" s="15" t="str"/>
      <x:c r="O1303" s="15" t="str"/>
      <x:c r="P1303" s="15" t="str"/>
      <x:c r="Q1303" s="15" t="str"/>
      <x:c r="R1303" s="15" t="str">
        <x:v>用户想找基础款式的夹脚拖鞋。</x:v>
      </x:c>
      <x:c r="S1303" s="10" t="str">
        <x:v>exploration</x:v>
      </x:c>
      <x:c r="T1303" s="15" t="str">
        <x:v>explicit</x:v>
      </x:c>
      <x:c r="U1303" s="10" t="str">
        <x:v>high</x:v>
      </x:c>
      <x:c r="V1303" s="15" t="str">
        <x:v>basic_flip_flops</x:v>
      </x:c>
      <x:c r="W1303" s="15" t="str">
        <x:v>cluster_route</x:v>
      </x:c>
      <x:c r="X1303" s="15" t="str">
        <x:v>{"product_type":[{"value":"flip_flop","evidence_type":"explicit","source_span":"flip flops","fact_ids":["style_flip_flop"],"rationale":"搜索词明确表达产品类型。"},{"value":"flip_flop","evidence_type":"page_validated","source_span":"","fact_ids":["style_flip_flop"],"rationale":"该槽位与商品基准中的明示页面事实一致。"}],"style":[{"value":"basic","evidence_type":"explicit","source_span":"basic","fact_ids":["style_flip_flop"],"rationale":"基础款与产品简约设计风格匹配。"}],"primary_domain":[{"value":"clothing_shoes_jewelry","evidence_type":"inferred","source_span":"","fact_ids":[],"rationale":"该值由搜索词整体语义推断，未作为页面明示属性。"}]}</x:v>
      </x:c>
      <x:c r="Y1303" s="15" t="str"/>
      <x:c r="Z1303" s="10" t="str">
        <x:v>match</x:v>
      </x:c>
      <x:c r="AA1303" s="15" t="str">
        <x:v>style_flip_flop</x:v>
      </x:c>
      <x:c r="AB1303" s="10" t="str">
        <x:v>accepted</x:v>
      </x:c>
      <x:c r="AC1303" s="10" t="str">
        <x:v>1.0.0</x:v>
      </x:c>
      <x:c r="AD1303" s="10" t="str">
        <x:v>1.1.0</x:v>
      </x:c>
      <x:c r="AE1303" s="10" t="str">
        <x:v>deepseek/deepseek-v4-pro</x:v>
      </x:c>
      <x:c r="AF1303" s="10" t="str">
        <x:v>aj2-y90-20260714T234810-0bea2f52</x:v>
      </x:c>
      <x:c r="AG1303" s="10" t="str">
        <x:v>full-0066</x:v>
      </x:c>
      <x:c r="AH1303" s="10" t="str">
        <x:v>full</x:v>
      </x:c>
      <x:c r="AI1303" s="10" t="n">
        <x:v>66</x:v>
      </x:c>
    </x:row>
    <x:row r="1304" ht="34" customHeight="1">
      <x:c r="A1304" s="16" t="str">
        <x:v>waterproof flip flops thin</x:v>
      </x:c>
      <x:c r="B1304" s="16" t="str">
        <x:v>waterproof flip flops thin</x:v>
      </x:c>
      <x:c r="C1304" s="13" t="str">
        <x:v>272571bea376885c</x:v>
      </x:c>
      <x:c r="D1304" s="13" t="str">
        <x:v>keyword</x:v>
      </x:c>
      <x:c r="E1304" s="13" t="str">
        <x:v>en</x:v>
      </x:c>
      <x:c r="F1304" s="13" t="str">
        <x:v>clothing_shoes_jewelry</x:v>
      </x:c>
      <x:c r="G1304" s="16" t="str"/>
      <x:c r="H1304" s="16" t="str">
        <x:v>flip_flop</x:v>
      </x:c>
      <x:c r="I1304" s="16" t="str"/>
      <x:c r="J1304" s="16" t="str"/>
      <x:c r="K1304" s="16" t="str">
        <x:v>waterproof</x:v>
      </x:c>
      <x:c r="L1304" s="16" t="str"/>
      <x:c r="M1304" s="16" t="str"/>
      <x:c r="N1304" s="16" t="str"/>
      <x:c r="O1304" s="16" t="str"/>
      <x:c r="P1304" s="16" t="str"/>
      <x:c r="Q1304" s="16" t="str"/>
      <x:c r="R1304" s="16" t="str">
        <x:v>用户想找薄款防水夹脚拖鞋。</x:v>
      </x:c>
      <x:c r="S1304" s="13" t="str">
        <x:v>high_intent</x:v>
      </x:c>
      <x:c r="T1304" s="16" t="str">
        <x:v>explicit</x:v>
      </x:c>
      <x:c r="U1304" s="13" t="str">
        <x:v>medium</x:v>
      </x:c>
      <x:c r="V1304" s="16" t="str">
        <x:v>waterproof_thin_flip_flops</x:v>
      </x:c>
      <x:c r="W1304" s="16" t="str">
        <x:v>semantic_negative_candidate</x:v>
      </x:c>
      <x:c r="X1304" s="16" t="str">
        <x:v>{"product_type":[{"value":"flip_flop","evidence_type":"explicit","source_span":"flip flops","fact_ids":["style_flip_flop"],"rationale":"搜索词明确表达产品类型。"},{"value":"flip_flop","evidence_type":"page_validated","source_span":"","fact_ids":["style_flip_flop"],"rationale":"该槽位与商品基准中的明示页面事实一致。"}],"capability_intent":[{"value":"waterproof","evidence_type":"explicit","source_span":"waterproof","fact_ids":[],"rationale":"产品未声明防水性能，该特性属排除声明。"}],"style":[{"value":"thin","evidence_type":"explicit","source_span":"thin","fact_ids":[],"rationale":"薄款非产品页面所列特性。"}],"primary_domain":[{"value":"clothing_shoes_jewelry","evidence_type":"inferred","source_span":"","fact_ids":[],"rationale":"该值由搜索词整体语义推断，未作为页面明示属性。"}]}</x:v>
      </x:c>
      <x:c r="Y1304" s="16" t="str">
        <x:v>waterproof_excluded_claim | thin_not_a_feature</x:v>
      </x:c>
      <x:c r="Z1304" s="13" t="str">
        <x:v>mismatch</x:v>
      </x:c>
      <x:c r="AA1304" s="16" t="str"/>
      <x:c r="AB1304" s="13" t="str">
        <x:v>accepted</x:v>
      </x:c>
      <x:c r="AC1304" s="13" t="str">
        <x:v>1.0.0</x:v>
      </x:c>
      <x:c r="AD1304" s="13" t="str">
        <x:v>1.1.0</x:v>
      </x:c>
      <x:c r="AE1304" s="13" t="str">
        <x:v>deepseek/deepseek-v4-pro</x:v>
      </x:c>
      <x:c r="AF1304" s="13" t="str">
        <x:v>aj2-y90-20260714T234810-0bea2f52</x:v>
      </x:c>
      <x:c r="AG1304" s="13" t="str">
        <x:v>full-0066</x:v>
      </x:c>
      <x:c r="AH1304" s="13" t="str">
        <x:v>full</x:v>
      </x:c>
      <x:c r="AI1304" s="13" t="n">
        <x:v>66</x:v>
      </x:c>
    </x:row>
    <x:row r="1305" ht="34" customHeight="1">
      <x:c r="A1305" s="15" t="str">
        <x:v>orthopedic sandals</x:v>
      </x:c>
      <x:c r="B1305" s="15" t="str">
        <x:v>orthopedic sandals</x:v>
      </x:c>
      <x:c r="C1305" s="10" t="str">
        <x:v>36aac80290cc7ee9</x:v>
      </x:c>
      <x:c r="D1305" s="10" t="str">
        <x:v>keyword</x:v>
      </x:c>
      <x:c r="E1305" s="10" t="str">
        <x:v>en</x:v>
      </x:c>
      <x:c r="F1305" s="10" t="str">
        <x:v>clothing_shoes_jewelry</x:v>
      </x:c>
      <x:c r="G1305" s="15" t="str">
        <x:v>health_household</x:v>
      </x:c>
      <x:c r="H1305" s="15" t="str">
        <x:v>sandal</x:v>
      </x:c>
      <x:c r="I1305" s="15" t="str"/>
      <x:c r="J1305" s="15" t="str">
        <x:v>orthopedic_support</x:v>
      </x:c>
      <x:c r="K1305" s="15" t="str">
        <x:v>orthopedic_support</x:v>
      </x:c>
      <x:c r="L1305" s="15" t="str"/>
      <x:c r="M1305" s="15" t="str"/>
      <x:c r="N1305" s="15" t="str">
        <x:v>foot_condition</x:v>
      </x:c>
      <x:c r="O1305" s="15" t="str"/>
      <x:c r="P1305" s="15" t="str"/>
      <x:c r="Q1305" s="15" t="str"/>
      <x:c r="R1305" s="15" t="str">
        <x:v>用户需要具有矫形功能的凉鞋来缓解足部疾病。</x:v>
      </x:c>
      <x:c r="S1305" s="10" t="str">
        <x:v>consideration</x:v>
      </x:c>
      <x:c r="T1305" s="15" t="str">
        <x:v>explicit | inferred</x:v>
      </x:c>
      <x:c r="U1305" s="10" t="str">
        <x:v>medium</x:v>
      </x:c>
      <x:c r="V1305" s="15" t="str">
        <x:v>orthopedic_sandals</x:v>
      </x:c>
      <x:c r="W1305" s="15" t="str">
        <x:v>semantic_negative_candidate</x:v>
      </x:c>
      <x:c r="X1305" s="15" t="str">
        <x:v>{"product_type":[{"value":"sandal","evidence_type":"explicit","source_span":"sandals","fact_ids":["style_flip_flop"],"rationale":"夹脚拖鞋属凉鞋大类，但矫形要求超出产品定位。"}],"function_intent":[{"value":"orthopedic_support","evidence_type":"explicit","source_span":"orthopedic","fact_ids":[],"rationale":"产品未声明矫形或治疗功能。"}],"capability_intent":[{"value":"orthopedic_support","evidence_type":"explicit","source_span":"orthopedic","fact_ids":[],"rationale":"矫形功能超出舒适支撑范畴。"}],"body_need_intent":[{"value":"foot_condition","evidence_type":"inferred","source_span":"orthopedic","fact_ids":[],"rationale":"矫形暗示用户有足部病理需求。"}],"primary_domain":[{"value":"clothing_shoes_jewelry","evidence_type":"inferred","source_span":"","fact_ids":[],"rationale":"该值由搜索词整体语义推断，未作为页面明示属性。"}],"secondary_domain":[{"value":"health_household","evidence_type":"inferred","source_span":"","fact_ids":[],"rationale":"该值由搜索词整体语义推断，未作为页面明示属性。"}]}</x:v>
      </x:c>
      <x:c r="Y1305" s="15" t="str">
        <x:v>orthopedic_medical_claim_unsupported</x:v>
      </x:c>
      <x:c r="Z1305" s="10" t="str">
        <x:v>mismatch</x:v>
      </x:c>
      <x:c r="AA1305" s="15" t="str"/>
      <x:c r="AB1305" s="10" t="str">
        <x:v>accepted</x:v>
      </x:c>
      <x:c r="AC1305" s="10" t="str">
        <x:v>1.0.0</x:v>
      </x:c>
      <x:c r="AD1305" s="10" t="str">
        <x:v>1.1.0</x:v>
      </x:c>
      <x:c r="AE1305" s="10" t="str">
        <x:v>deepseek/deepseek-v4-pro</x:v>
      </x:c>
      <x:c r="AF1305" s="10" t="str">
        <x:v>aj2-y90-20260714T234810-0bea2f52</x:v>
      </x:c>
      <x:c r="AG1305" s="10" t="str">
        <x:v>full-0066</x:v>
      </x:c>
      <x:c r="AH1305" s="10" t="str">
        <x:v>full</x:v>
      </x:c>
      <x:c r="AI1305" s="10" t="n">
        <x:v>66</x:v>
      </x:c>
    </x:row>
    <x:row r="1306" ht="34" customHeight="1">
      <x:c r="A1306" s="16" t="str">
        <x:v>women's thong sandals beach</x:v>
      </x:c>
      <x:c r="B1306" s="16" t="str">
        <x:v>women's thong sandals beach</x:v>
      </x:c>
      <x:c r="C1306" s="13" t="str">
        <x:v>3a41c13e06d506b4</x:v>
      </x:c>
      <x:c r="D1306" s="13" t="str">
        <x:v>keyword</x:v>
      </x:c>
      <x:c r="E1306" s="13" t="str">
        <x:v>en</x:v>
      </x:c>
      <x:c r="F1306" s="13" t="str">
        <x:v>clothing_shoes_jewelry</x:v>
      </x:c>
      <x:c r="G1306" s="16" t="str">
        <x:v>sports_outdoors</x:v>
      </x:c>
      <x:c r="H1306" s="16" t="str">
        <x:v>thong_sandal</x:v>
      </x:c>
      <x:c r="I1306" s="16" t="str">
        <x:v>women</x:v>
      </x:c>
      <x:c r="J1306" s="16" t="str"/>
      <x:c r="K1306" s="16" t="str"/>
      <x:c r="L1306" s="16" t="str">
        <x:v>beach</x:v>
      </x:c>
      <x:c r="M1306" s="16" t="str">
        <x:v>beach</x:v>
      </x:c>
      <x:c r="N1306" s="16" t="str"/>
      <x:c r="O1306" s="16" t="str"/>
      <x:c r="P1306" s="16" t="str"/>
      <x:c r="Q1306" s="16" t="str"/>
      <x:c r="R1306" s="16" t="str">
        <x:v>女性用户想去海滩时需要一双夹脚凉鞋。</x:v>
      </x:c>
      <x:c r="S1306" s="13" t="str">
        <x:v>consideration</x:v>
      </x:c>
      <x:c r="T1306" s="16" t="str">
        <x:v>explicit</x:v>
      </x:c>
      <x:c r="U1306" s="13" t="str">
        <x:v>high</x:v>
      </x:c>
      <x:c r="V1306" s="16" t="str">
        <x:v>womens_thong_sandals_beach</x:v>
      </x:c>
      <x:c r="W1306" s="16" t="str">
        <x:v>cluster_route</x:v>
      </x:c>
      <x:c r="X1306" s="16" t="str">
        <x:v>{"product_type":[{"value":"thong_sandal","evidence_type":"explicit","source_span":"thong sandals","fact_ids":["style_thong","style_flip_flop"],"rationale":"夹脚凉鞋与产品人字拖类型匹配。"},{"value":"thong_sandal","evidence_type":"page_validated","source_span":"","fact_ids":["style_thong","style_flip_flop"],"rationale":"该槽位与商品基准中的明示页面事实一致。"}],"audience_intent":[{"value":"women","evidence_type":"explicit","source_span":"women's","fact_ids":["title_womens_flip_flop"],"rationale":"产品标题明确为女式。"},{"value":"women","evidence_type":"page_validated","source_span":"","fact_ids":["title_womens_flip_flop"],"rationale":"该槽位与商品基准中的明示页面事实一致。"}],"event_intent":[{"value":"beach","evidence_type":"explicit","source_span":"beach","fact_ids":["style_outdoor"],"rationale":"户外定位适合海滩场景。"}],"location_intent":[{"value":"beach","evidence_type":"explicit","source_span":"beach","fact_ids":["style_outdoor"],"rationale":"海滩为户外使用场所。"}],"primary_domain":[{"value":"clothing_shoes_jewelry","evidence_type":"inferred","source_span":"","fact_ids":[],"rationale":"该值由搜索词整体语义推断，未作为页面明示属性。"}],"secondary_domain":[{"value":"sports_outdoors","evidence_type":"inferred","source_span":"","fact_ids":[],"rationale":"该值由搜索词整体语义推断，未作为页面明示属性。"}]}</x:v>
      </x:c>
      <x:c r="Y1306" s="16" t="str"/>
      <x:c r="Z1306" s="13" t="str">
        <x:v>match</x:v>
      </x:c>
      <x:c r="AA1306" s="16" t="str">
        <x:v>title_womens_flip_flop | style_thong | style_outdoor</x:v>
      </x:c>
      <x:c r="AB1306" s="13" t="str">
        <x:v>accepted</x:v>
      </x:c>
      <x:c r="AC1306" s="13" t="str">
        <x:v>1.0.0</x:v>
      </x:c>
      <x:c r="AD1306" s="13" t="str">
        <x:v>1.1.0</x:v>
      </x:c>
      <x:c r="AE1306" s="13" t="str">
        <x:v>deepseek/deepseek-v4-pro</x:v>
      </x:c>
      <x:c r="AF1306" s="13" t="str">
        <x:v>aj2-y90-20260714T234810-0bea2f52</x:v>
      </x:c>
      <x:c r="AG1306" s="13" t="str">
        <x:v>full-0066</x:v>
      </x:c>
      <x:c r="AH1306" s="13" t="str">
        <x:v>full</x:v>
      </x:c>
      <x:c r="AI1306" s="13" t="n">
        <x:v>66</x:v>
      </x:c>
    </x:row>
    <x:row r="1307" ht="34" customHeight="1">
      <x:c r="A1307" s="15" t="str">
        <x:v>lemon flip flops for women</x:v>
      </x:c>
      <x:c r="B1307" s="15" t="str">
        <x:v>lemon flip flops for women</x:v>
      </x:c>
      <x:c r="C1307" s="10" t="str">
        <x:v>3da819eea8012f3f</x:v>
      </x:c>
      <x:c r="D1307" s="10" t="str">
        <x:v>keyword</x:v>
      </x:c>
      <x:c r="E1307" s="10" t="str">
        <x:v>en</x:v>
      </x:c>
      <x:c r="F1307" s="10" t="str">
        <x:v>clothing_shoes_jewelry</x:v>
      </x:c>
      <x:c r="G1307" s="15" t="str"/>
      <x:c r="H1307" s="15" t="str">
        <x:v>flip_flop</x:v>
      </x:c>
      <x:c r="I1307" s="15" t="str">
        <x:v>women</x:v>
      </x:c>
      <x:c r="J1307" s="15" t="str"/>
      <x:c r="K1307" s="15" t="str"/>
      <x:c r="L1307" s="15" t="str"/>
      <x:c r="M1307" s="15" t="str"/>
      <x:c r="N1307" s="15" t="str"/>
      <x:c r="O1307" s="15" t="str"/>
      <x:c r="P1307" s="15" t="str"/>
      <x:c r="Q1307" s="15" t="str"/>
      <x:c r="R1307" s="15" t="str">
        <x:v>女性用户想找柠檬色或柠檬图案的夹脚拖鞋。</x:v>
      </x:c>
      <x:c r="S1307" s="10" t="str">
        <x:v>high_intent</x:v>
      </x:c>
      <x:c r="T1307" s="15" t="str">
        <x:v>explicit</x:v>
      </x:c>
      <x:c r="U1307" s="10" t="str">
        <x:v>medium</x:v>
      </x:c>
      <x:c r="V1307" s="15" t="str">
        <x:v>womens_flip_flops_color</x:v>
      </x:c>
      <x:c r="W1307" s="15" t="str">
        <x:v>listing_gap_review</x:v>
      </x:c>
      <x:c r="X1307" s="15" t="str">
        <x:v>{"product_type":[{"value":"flip_flop","evidence_type":"explicit","source_span":"flip flops","fact_ids":["style_flip_flop"],"rationale":"搜索词明确表达产品类型。"},{"value":"flip_flop","evidence_type":"page_validated","source_span":"","fact_ids":["style_flip_flop"],"rationale":"该槽位与商品基准中的明示页面事实一致。"}],"audience_intent":[{"value":"women","evidence_type":"explicit","source_span":"women","fact_ids":["title_womens_flip_flop"],"rationale":"产品为女式。"},{"value":"women","evidence_type":"page_validated","source_span":"","fact_ids":["title_womens_flip_flop"],"rationale":"该槽位与商品基准中的明示页面事实一致。"}],"color":[{"value":"lemon","evidence_type":"explicit","source_span":"lemon","fact_ids":[],"rationale":"柠檬黄不在页面可选颜色中。"}],"primary_domain":[{"value":"clothing_shoes_jewelry","evidence_type":"inferred","source_span":"","fact_ids":[],"rationale":"该值由搜索词整体语义推断，未作为页面明示属性。"}]}</x:v>
      </x:c>
      <x:c r="Y1307" s="15" t="str">
        <x:v>lemon_color_or_pattern | lemon_not_in_colors</x:v>
      </x:c>
      <x:c r="Z1307" s="10" t="str">
        <x:v>partial_match</x:v>
      </x:c>
      <x:c r="AA1307" s="15" t="str">
        <x:v>style_flip_flop | title_womens_flip_flop</x:v>
      </x:c>
      <x:c r="AB1307" s="10" t="str">
        <x:v>accepted</x:v>
      </x:c>
      <x:c r="AC1307" s="10" t="str">
        <x:v>1.0.0</x:v>
      </x:c>
      <x:c r="AD1307" s="10" t="str">
        <x:v>1.1.0</x:v>
      </x:c>
      <x:c r="AE1307" s="10" t="str">
        <x:v>deepseek/deepseek-v4-pro</x:v>
      </x:c>
      <x:c r="AF1307" s="10" t="str">
        <x:v>aj2-y90-20260714T234810-0bea2f52</x:v>
      </x:c>
      <x:c r="AG1307" s="10" t="str">
        <x:v>full-0066</x:v>
      </x:c>
      <x:c r="AH1307" s="10" t="str">
        <x:v>full</x:v>
      </x:c>
      <x:c r="AI1307" s="10" t="n">
        <x:v>66</x:v>
      </x:c>
    </x:row>
    <x:row r="1308" ht="34" customHeight="1">
      <x:c r="A1308" s="16" t="str">
        <x:v>women flipflops size 8</x:v>
      </x:c>
      <x:c r="B1308" s="16" t="str">
        <x:v>women flipflops size 8</x:v>
      </x:c>
      <x:c r="C1308" s="13" t="str">
        <x:v>4a402269fca3e876</x:v>
      </x:c>
      <x:c r="D1308" s="13" t="str">
        <x:v>keyword</x:v>
      </x:c>
      <x:c r="E1308" s="13" t="str">
        <x:v>en</x:v>
      </x:c>
      <x:c r="F1308" s="13" t="str">
        <x:v>clothing_shoes_jewelry</x:v>
      </x:c>
      <x:c r="G1308" s="16" t="str"/>
      <x:c r="H1308" s="16" t="str">
        <x:v>flip_flop</x:v>
      </x:c>
      <x:c r="I1308" s="16" t="str">
        <x:v>women</x:v>
      </x:c>
      <x:c r="J1308" s="16" t="str"/>
      <x:c r="K1308" s="16" t="str"/>
      <x:c r="L1308" s="16" t="str"/>
      <x:c r="M1308" s="16" t="str"/>
      <x:c r="N1308" s="16" t="str"/>
      <x:c r="O1308" s="16" t="str"/>
      <x:c r="P1308" s="16" t="str"/>
      <x:c r="Q1308" s="16" t="str"/>
      <x:c r="R1308" s="16" t="str">
        <x:v>女性用户想找8码的夹脚拖鞋。</x:v>
      </x:c>
      <x:c r="S1308" s="13" t="str">
        <x:v>high_intent</x:v>
      </x:c>
      <x:c r="T1308" s="16" t="str">
        <x:v>explicit</x:v>
      </x:c>
      <x:c r="U1308" s="13" t="str">
        <x:v>high</x:v>
      </x:c>
      <x:c r="V1308" s="16" t="str">
        <x:v>womens_flip_flops_size</x:v>
      </x:c>
      <x:c r="W1308" s="16" t="str">
        <x:v>cluster_route</x:v>
      </x:c>
      <x:c r="X1308" s="16" t="str">
        <x:v>{"product_type":[{"value":"flip_flop","evidence_type":"explicit","source_span":"flipflops","fact_ids":["style_flip_flop"],"rationale":"flipflops即夹脚拖鞋。"},{"value":"flip_flop","evidence_type":"page_validated","source_span":"","fact_ids":["style_flip_flop"],"rationale":"该槽位与商品基准中的明示页面事实一致。"},{"value":"flip_flop","evidence_type":"inferred","source_span":"","fact_ids":[],"rationale":"该能力由搜索词表达的任务或问题推断；页面事实仅用于验证商品承接。"}],"audience_intent":[{"value":"women","evidence_type":"explicit","source_span":"women","fact_ids":["title_womens_flip_flop"],"rationale":"产品为女式。"},{"value":"women","evidence_type":"page_validated","source_span":"","fact_ids":["title_womens_flip_flop"],"rationale":"该槽位与商品基准中的明示页面事实一致。"}],"size":[{"value":"size_8","evidence_type":"explicit","source_span":"size 8","fact_ids":["sizes_6_11"],"rationale":"8码在尺码范围6-11内。"}],"primary_domain":[{"value":"clothing_shoes_jewelry","evidence_type":"inferred","source_span":"","fact_ids":[],"rationale":"该值由搜索词整体语义推断，未作为页面明示属性。"}]}</x:v>
      </x:c>
      <x:c r="Y1308" s="16" t="str"/>
      <x:c r="Z1308" s="13" t="str">
        <x:v>match</x:v>
      </x:c>
      <x:c r="AA1308" s="16" t="str">
        <x:v>style_flip_flop | title_womens_flip_flop | sizes_6_11</x:v>
      </x:c>
      <x:c r="AB1308" s="13" t="str">
        <x:v>accepted</x:v>
      </x:c>
      <x:c r="AC1308" s="13" t="str">
        <x:v>1.0.0</x:v>
      </x:c>
      <x:c r="AD1308" s="13" t="str">
        <x:v>1.1.0</x:v>
      </x:c>
      <x:c r="AE1308" s="13" t="str">
        <x:v>deepseek/deepseek-v4-pro</x:v>
      </x:c>
      <x:c r="AF1308" s="13" t="str">
        <x:v>aj2-y90-20260714T234810-0bea2f52</x:v>
      </x:c>
      <x:c r="AG1308" s="13" t="str">
        <x:v>full-0066</x:v>
      </x:c>
      <x:c r="AH1308" s="13" t="str">
        <x:v>full</x:v>
      </x:c>
      <x:c r="AI1308" s="13" t="n">
        <x:v>66</x:v>
      </x:c>
    </x:row>
    <x:row r="1309" ht="34" customHeight="1">
      <x:c r="A1309" s="15" t="str">
        <x:v>camel color flip flops for women</x:v>
      </x:c>
      <x:c r="B1309" s="15" t="str">
        <x:v>camel color flip flops for women</x:v>
      </x:c>
      <x:c r="C1309" s="10" t="str">
        <x:v>5139e4504f5f1b85</x:v>
      </x:c>
      <x:c r="D1309" s="10" t="str">
        <x:v>keyword</x:v>
      </x:c>
      <x:c r="E1309" s="10" t="str">
        <x:v>en</x:v>
      </x:c>
      <x:c r="F1309" s="10" t="str">
        <x:v>clothing_shoes_jewelry</x:v>
      </x:c>
      <x:c r="G1309" s="15" t="str"/>
      <x:c r="H1309" s="15" t="str">
        <x:v>flip_flop</x:v>
      </x:c>
      <x:c r="I1309" s="15" t="str">
        <x:v>women</x:v>
      </x:c>
      <x:c r="J1309" s="15" t="str"/>
      <x:c r="K1309" s="15" t="str"/>
      <x:c r="L1309" s="15" t="str"/>
      <x:c r="M1309" s="15" t="str"/>
      <x:c r="N1309" s="15" t="str"/>
      <x:c r="O1309" s="15" t="str"/>
      <x:c r="P1309" s="15" t="str"/>
      <x:c r="Q1309" s="15" t="str"/>
      <x:c r="R1309" s="15" t="str">
        <x:v>女性用户想找驼色的夹脚拖鞋。</x:v>
      </x:c>
      <x:c r="S1309" s="10" t="str">
        <x:v>high_intent</x:v>
      </x:c>
      <x:c r="T1309" s="15" t="str">
        <x:v>explicit | inferred</x:v>
      </x:c>
      <x:c r="U1309" s="10" t="str">
        <x:v>medium</x:v>
      </x:c>
      <x:c r="V1309" s="15" t="str">
        <x:v>womens_flip_flops_color</x:v>
      </x:c>
      <x:c r="W1309" s="15" t="str">
        <x:v>cluster_route</x:v>
      </x:c>
      <x:c r="X1309" s="15" t="str">
        <x:v>{"product_type":[{"value":"flip_flop","evidence_type":"explicit","source_span":"flip flops","fact_ids":["style_flip_flop"],"rationale":"搜索词明确表达产品类型。"},{"value":"flip_flop","evidence_type":"page_validated","source_span":"","fact_ids":["style_flip_flop"],"rationale":"该槽位与商品基准中的明示页面事实一致。"}],"audience_intent":[{"value":"women","evidence_type":"explicit","source_span":"women","fact_ids":["title_womens_flip_flop"],"rationale":"产品为女式。"},{"value":"women","evidence_type":"page_validated","source_span":"","fact_ids":["title_womens_flip_flop"],"rationale":"该槽位与商品基准中的明示页面事实一致。"}],"color":[{"value":"camel","evidence_type":"explicit","source_span":"camel color","fact_ids":[],"rationale":"这是搜索词中的颜色约束，但商品页面基准未确认该具体颜色。"}],"primary_domain":[{"value":"clothing_shoes_jewelry","evidence_type":"inferred","source_span":"","fact_ids":[],"rationale":"该值由搜索词整体语义推断，未作为页面明示属性。"}]}</x:v>
      </x:c>
      <x:c r="Y1309" s="15" t="str"/>
      <x:c r="Z1309" s="10" t="str">
        <x:v>match</x:v>
      </x:c>
      <x:c r="AA1309" s="15" t="str">
        <x:v>style_flip_flop | title_womens_flip_flop | colors_visible</x:v>
      </x:c>
      <x:c r="AB1309" s="10" t="str">
        <x:v>accepted</x:v>
      </x:c>
      <x:c r="AC1309" s="10" t="str">
        <x:v>1.0.0</x:v>
      </x:c>
      <x:c r="AD1309" s="10" t="str">
        <x:v>1.1.0</x:v>
      </x:c>
      <x:c r="AE1309" s="10" t="str">
        <x:v>deepseek/deepseek-v4-pro</x:v>
      </x:c>
      <x:c r="AF1309" s="10" t="str">
        <x:v>aj2-y90-20260714T234810-0bea2f52</x:v>
      </x:c>
      <x:c r="AG1309" s="10" t="str">
        <x:v>full-0066</x:v>
      </x:c>
      <x:c r="AH1309" s="10" t="str">
        <x:v>full</x:v>
      </x:c>
      <x:c r="AI1309" s="10" t="n">
        <x:v>66</x:v>
      </x:c>
    </x:row>
    <x:row r="1310" ht="34" customHeight="1">
      <x:c r="A1310" s="16" t="str">
        <x:v>flip flops for women archies</x:v>
      </x:c>
      <x:c r="B1310" s="16" t="str">
        <x:v>flip flops for women archies</x:v>
      </x:c>
      <x:c r="C1310" s="13" t="str">
        <x:v>5869941f349025c3</x:v>
      </x:c>
      <x:c r="D1310" s="13" t="str">
        <x:v>keyword</x:v>
      </x:c>
      <x:c r="E1310" s="13" t="str">
        <x:v>en</x:v>
      </x:c>
      <x:c r="F1310" s="13" t="str">
        <x:v>clothing_shoes_jewelry</x:v>
      </x:c>
      <x:c r="G1310" s="16" t="str"/>
      <x:c r="H1310" s="16" t="str">
        <x:v>flip_flop</x:v>
      </x:c>
      <x:c r="I1310" s="16" t="str">
        <x:v>women</x:v>
      </x:c>
      <x:c r="J1310" s="16" t="str">
        <x:v>arch_support</x:v>
      </x:c>
      <x:c r="K1310" s="16" t="str">
        <x:v>arch_support</x:v>
      </x:c>
      <x:c r="L1310" s="16" t="str"/>
      <x:c r="M1310" s="16" t="str"/>
      <x:c r="N1310" s="16" t="str">
        <x:v>arch_support</x:v>
      </x:c>
      <x:c r="O1310" s="16" t="str"/>
      <x:c r="P1310" s="16" t="str"/>
      <x:c r="Q1310" s="16" t="str"/>
      <x:c r="R1310" s="16" t="str">
        <x:v>女性用户想找Archies品牌或带足弓支撑的夹脚拖鞋。</x:v>
      </x:c>
      <x:c r="S1310" s="13" t="str">
        <x:v>brand_harvest</x:v>
      </x:c>
      <x:c r="T1310" s="16" t="str">
        <x:v>explicit | inferred</x:v>
      </x:c>
      <x:c r="U1310" s="13" t="str">
        <x:v>medium</x:v>
      </x:c>
      <x:c r="V1310" s="16" t="str">
        <x:v>womens_arch_support_flip_flops</x:v>
      </x:c>
      <x:c r="W1310" s="16" t="str">
        <x:v>ambiguity_review</x:v>
      </x:c>
      <x:c r="X1310" s="16" t="str">
        <x:v>{"product_type":[{"value":"flip_flop","evidence_type":"explicit","source_span":"flip flops","fact_ids":["style_flip_flop"],"rationale":"搜索词明确表达产品类型。"},{"value":"flip_flop","evidence_type":"page_validated","source_span":"","fact_ids":["style_flip_flop"],"rationale":"该槽位与商品基准中的明示页面事实一致。"}],"audience_intent":[{"value":"women","evidence_type":"explicit","source_span":"women","fact_ids":["title_womens_flip_flop"],"rationale":"产品为女式。"},{"value":"women","evidence_type":"page_validated","source_span":"","fact_ids":["title_womens_flip_flop"],"rationale":"该槽位与商品基准中的明示页面事实一致。"}],"brand":[{"value":"archies","evidence_type":"explicit","source_span":"archies","fact_ids":[],"rationale":"Archies为知名足弓支撑拖鞋品牌，本产品为joomra品牌。"}],"capability_intent":[{"value":"arch_support","evidence_type":"page_validated","source_span":"","fact_ids":["arch_support"],"rationale":"该槽位与商品基准中的明示页面事实一致。"},{"value":"arch_support","evidence_type":"inferred","source_span":"","fact_ids":[],"rationale":"该能力由搜索词表达的任务或问题推断；页面事实仅用于验证商品承接。"}],"primary_domain":[{"value":"clothing_shoes_jewelry","evidence_type":"inferred","source_span":"","fact_ids":[],"rationale":"该值由搜索词整体语义推断，未作为页面明示属性。"}]}</x:v>
      </x:c>
      <x:c r="Y1310" s="16" t="str">
        <x:v>archies_brand_or_arch_support_shorthand</x:v>
      </x:c>
      <x:c r="Z1310" s="13" t="str">
        <x:v>partial_match</x:v>
      </x:c>
      <x:c r="AA1310" s="16" t="str">
        <x:v>style_flip_flop | title_womens_flip_flop | arch_support</x:v>
      </x:c>
      <x:c r="AB1310" s="13" t="str">
        <x:v>accepted</x:v>
      </x:c>
      <x:c r="AC1310" s="13" t="str">
        <x:v>1.0.0</x:v>
      </x:c>
      <x:c r="AD1310" s="13" t="str">
        <x:v>1.1.0</x:v>
      </x:c>
      <x:c r="AE1310" s="13" t="str">
        <x:v>deepseek/deepseek-v4-pro</x:v>
      </x:c>
      <x:c r="AF1310" s="13" t="str">
        <x:v>aj2-y90-20260714T234810-0bea2f52</x:v>
      </x:c>
      <x:c r="AG1310" s="13" t="str">
        <x:v>full-0066</x:v>
      </x:c>
      <x:c r="AH1310" s="13" t="str">
        <x:v>full</x:v>
      </x:c>
      <x:c r="AI1310" s="13" t="n">
        <x:v>66</x:v>
      </x:c>
    </x:row>
    <x:row r="1311" ht="34" customHeight="1">
      <x:c r="A1311" s="15" t="str">
        <x:v>flip flops today</x:v>
      </x:c>
      <x:c r="B1311" s="15" t="str">
        <x:v>flip flops today</x:v>
      </x:c>
      <x:c r="C1311" s="10" t="str">
        <x:v>672f8441cb743205</x:v>
      </x:c>
      <x:c r="D1311" s="10" t="str">
        <x:v>keyword</x:v>
      </x:c>
      <x:c r="E1311" s="10" t="str">
        <x:v>en</x:v>
      </x:c>
      <x:c r="F1311" s="10" t="str">
        <x:v>clothing_shoes_jewelry</x:v>
      </x:c>
      <x:c r="G1311" s="15" t="str"/>
      <x:c r="H1311" s="15" t="str">
        <x:v>flip_flop</x:v>
      </x:c>
      <x:c r="I1311" s="15" t="str"/>
      <x:c r="J1311" s="15" t="str"/>
      <x:c r="K1311" s="15" t="str"/>
      <x:c r="L1311" s="15" t="str"/>
      <x:c r="M1311" s="15" t="str"/>
      <x:c r="N1311" s="15" t="str"/>
      <x:c r="O1311" s="15" t="str">
        <x:v>urgent</x:v>
      </x:c>
      <x:c r="P1311" s="15" t="str"/>
      <x:c r="Q1311" s="15" t="str"/>
      <x:c r="R1311" s="15" t="str">
        <x:v>用户想今天就买到夹脚拖鞋，强调即时配送需求。</x:v>
      </x:c>
      <x:c r="S1311" s="10" t="str">
        <x:v>high_intent</x:v>
      </x:c>
      <x:c r="T1311" s="15" t="str">
        <x:v>explicit | inferred</x:v>
      </x:c>
      <x:c r="U1311" s="10" t="str">
        <x:v>medium</x:v>
      </x:c>
      <x:c r="V1311" s="15" t="str">
        <x:v>flip_flops_urgent</x:v>
      </x:c>
      <x:c r="W1311" s="15" t="str">
        <x:v>performance_observation</x:v>
      </x:c>
      <x:c r="X1311" s="15" t="str">
        <x:v>{"product_type":[{"value":"flip_flop","evidence_type":"explicit","source_span":"flip flops","fact_ids":["style_flip_flop"],"rationale":"搜索词明确表达产品类型。"},{"value":"flip_flop","evidence_type":"page_validated","source_span":"","fact_ids":["style_flip_flop"],"rationale":"该槽位与商品基准中的明示页面事实一致。"}],"time_intent":[{"value":"urgent","evidence_type":"explicit","source_span":"today","fact_ids":[],"rationale":"today暗示当日送达需求，需配送数据验证。"}],"primary_domain":[{"value":"clothing_shoes_jewelry","evidence_type":"inferred","source_span":"","fact_ids":[],"rationale":"该值由搜索词整体语义推断，未作为页面明示属性。"}]}</x:v>
      </x:c>
      <x:c r="Y1311" s="15" t="str">
        <x:v>delivery_timing_unknown</x:v>
      </x:c>
      <x:c r="Z1311" s="10" t="str">
        <x:v>match</x:v>
      </x:c>
      <x:c r="AA1311" s="15" t="str">
        <x:v>style_flip_flop</x:v>
      </x:c>
      <x:c r="AB1311" s="10" t="str">
        <x:v>accepted</x:v>
      </x:c>
      <x:c r="AC1311" s="10" t="str">
        <x:v>1.0.0</x:v>
      </x:c>
      <x:c r="AD1311" s="10" t="str">
        <x:v>1.1.0</x:v>
      </x:c>
      <x:c r="AE1311" s="10" t="str">
        <x:v>deepseek/deepseek-v4-pro</x:v>
      </x:c>
      <x:c r="AF1311" s="10" t="str">
        <x:v>aj2-y90-20260714T234810-0bea2f52</x:v>
      </x:c>
      <x:c r="AG1311" s="10" t="str">
        <x:v>full-0066</x:v>
      </x:c>
      <x:c r="AH1311" s="10" t="str">
        <x:v>full</x:v>
      </x:c>
      <x:c r="AI1311" s="10" t="n">
        <x:v>66</x:v>
      </x:c>
    </x:row>
    <x:row r="1312" ht="34" customHeight="1">
      <x:c r="A1312" s="16" t="str">
        <x:v>navy blue flip flops for women</x:v>
      </x:c>
      <x:c r="B1312" s="16" t="str">
        <x:v>navy blue flip flops for women</x:v>
      </x:c>
      <x:c r="C1312" s="13" t="str">
        <x:v>6cb187964db1b77e</x:v>
      </x:c>
      <x:c r="D1312" s="13" t="str">
        <x:v>keyword</x:v>
      </x:c>
      <x:c r="E1312" s="13" t="str">
        <x:v>en</x:v>
      </x:c>
      <x:c r="F1312" s="13" t="str">
        <x:v>clothing_shoes_jewelry</x:v>
      </x:c>
      <x:c r="G1312" s="16" t="str"/>
      <x:c r="H1312" s="16" t="str">
        <x:v>flip_flop</x:v>
      </x:c>
      <x:c r="I1312" s="16" t="str">
        <x:v>women</x:v>
      </x:c>
      <x:c r="J1312" s="16" t="str"/>
      <x:c r="K1312" s="16" t="str"/>
      <x:c r="L1312" s="16" t="str"/>
      <x:c r="M1312" s="16" t="str"/>
      <x:c r="N1312" s="16" t="str"/>
      <x:c r="O1312" s="16" t="str"/>
      <x:c r="P1312" s="16" t="str"/>
      <x:c r="Q1312" s="16" t="str"/>
      <x:c r="R1312" s="16" t="str">
        <x:v>女性用户想找海军蓝色的夹脚拖鞋。</x:v>
      </x:c>
      <x:c r="S1312" s="13" t="str">
        <x:v>high_intent</x:v>
      </x:c>
      <x:c r="T1312" s="16" t="str">
        <x:v>explicit</x:v>
      </x:c>
      <x:c r="U1312" s="13" t="str">
        <x:v>medium</x:v>
      </x:c>
      <x:c r="V1312" s="16" t="str">
        <x:v>womens_flip_flops_color</x:v>
      </x:c>
      <x:c r="W1312" s="16" t="str">
        <x:v>listing_gap_review</x:v>
      </x:c>
      <x:c r="X1312" s="16" t="str">
        <x:v>{"product_type":[{"value":"flip_flop","evidence_type":"explicit","source_span":"flip flops","fact_ids":["style_flip_flop"],"rationale":"搜索词明确表达产品类型。"},{"value":"flip_flop","evidence_type":"page_validated","source_span":"","fact_ids":["style_flip_flop"],"rationale":"该槽位与商品基准中的明示页面事实一致。"}],"audience_intent":[{"value":"women","evidence_type":"explicit","source_span":"women","fact_ids":["title_womens_flip_flop"],"rationale":"产品为女式。"},{"value":"women","evidence_type":"page_validated","source_span":"","fact_ids":["title_womens_flip_flop"],"rationale":"该槽位与商品基准中的明示页面事实一致。"}],"color":[{"value":"navy_blue","evidence_type":"explicit","source_span":"navy blue","fact_ids":[],"rationale":"海军蓝不在页面可选颜色列表中。"}],"primary_domain":[{"value":"clothing_shoes_jewelry","evidence_type":"inferred","source_span":"","fact_ids":[],"rationale":"该值由搜索词整体语义推断，未作为页面明示属性。"}]}</x:v>
      </x:c>
      <x:c r="Y1312" s="16" t="str">
        <x:v>navy_blue_not_in_colors</x:v>
      </x:c>
      <x:c r="Z1312" s="13" t="str">
        <x:v>partial_match</x:v>
      </x:c>
      <x:c r="AA1312" s="16" t="str">
        <x:v>style_flip_flop | title_womens_flip_flop</x:v>
      </x:c>
      <x:c r="AB1312" s="13" t="str">
        <x:v>accepted</x:v>
      </x:c>
      <x:c r="AC1312" s="13" t="str">
        <x:v>1.0.0</x:v>
      </x:c>
      <x:c r="AD1312" s="13" t="str">
        <x:v>1.1.0</x:v>
      </x:c>
      <x:c r="AE1312" s="13" t="str">
        <x:v>deepseek/deepseek-v4-pro</x:v>
      </x:c>
      <x:c r="AF1312" s="13" t="str">
        <x:v>aj2-y90-20260714T234810-0bea2f52</x:v>
      </x:c>
      <x:c r="AG1312" s="13" t="str">
        <x:v>full-0066</x:v>
      </x:c>
      <x:c r="AH1312" s="13" t="str">
        <x:v>full</x:v>
      </x:c>
      <x:c r="AI1312" s="13" t="n">
        <x:v>66</x:v>
      </x:c>
    </x:row>
    <x:row r="1313" ht="34" customHeight="1">
      <x:c r="A1313" s="15" t="str">
        <x:v>flip flops white</x:v>
      </x:c>
      <x:c r="B1313" s="15" t="str">
        <x:v>flip flops white</x:v>
      </x:c>
      <x:c r="C1313" s="10" t="str">
        <x:v>7c6f4499c8d09d3b</x:v>
      </x:c>
      <x:c r="D1313" s="10" t="str">
        <x:v>keyword</x:v>
      </x:c>
      <x:c r="E1313" s="10" t="str">
        <x:v>en</x:v>
      </x:c>
      <x:c r="F1313" s="10" t="str">
        <x:v>clothing_shoes_jewelry</x:v>
      </x:c>
      <x:c r="G1313" s="15" t="str"/>
      <x:c r="H1313" s="15" t="str">
        <x:v>flip_flop</x:v>
      </x:c>
      <x:c r="I1313" s="15" t="str"/>
      <x:c r="J1313" s="15" t="str"/>
      <x:c r="K1313" s="15" t="str"/>
      <x:c r="L1313" s="15" t="str"/>
      <x:c r="M1313" s="15" t="str"/>
      <x:c r="N1313" s="15" t="str"/>
      <x:c r="O1313" s="15" t="str"/>
      <x:c r="P1313" s="15" t="str"/>
      <x:c r="Q1313" s="15" t="str"/>
      <x:c r="R1313" s="15" t="str">
        <x:v>用户想找一双白色的夹脚拖鞋。</x:v>
      </x:c>
      <x:c r="S1313" s="10" t="str">
        <x:v>high_intent</x:v>
      </x:c>
      <x:c r="T1313" s="15" t="str">
        <x:v>explicit</x:v>
      </x:c>
      <x:c r="U1313" s="10" t="str">
        <x:v>high</x:v>
      </x:c>
      <x:c r="V1313" s="15" t="str">
        <x:v>flip_flops_color</x:v>
      </x:c>
      <x:c r="W1313" s="15" t="str">
        <x:v>cluster_route</x:v>
      </x:c>
      <x:c r="X1313" s="15" t="str">
        <x:v>{"product_type":[{"value":"flip_flop","evidence_type":"explicit","source_span":"flip flops","fact_ids":["style_flip_flop"],"rationale":"搜索词明确表达产品类型为夹脚拖鞋。"},{"value":"flip_flop","evidence_type":"page_validated","source_span":"","fact_ids":["style_flip_flop"],"rationale":"该槽位与商品基准中的明示页面事实一致。"}],"color":[{"value":"white","evidence_type":"explicit","source_span":"white","fact_ids":["colors_visible"],"rationale":"该颜色在商品页面可见颜色选择中得到明确支持。"}],"primary_domain":[{"value":"clothing_shoes_jewelry","evidence_type":"inferred","source_span":"","fact_ids":[],"rationale":"该值由搜索词整体语义推断，未作为页面明示属性。"}]}</x:v>
      </x:c>
      <x:c r="Y1313" s="15" t="str"/>
      <x:c r="Z1313" s="10" t="str">
        <x:v>match</x:v>
      </x:c>
      <x:c r="AA1313" s="15" t="str">
        <x:v>style_flip_flop | colors_visible</x:v>
      </x:c>
      <x:c r="AB1313" s="10" t="str">
        <x:v>accepted</x:v>
      </x:c>
      <x:c r="AC1313" s="10" t="str">
        <x:v>1.0.0</x:v>
      </x:c>
      <x:c r="AD1313" s="10" t="str">
        <x:v>1.1.0</x:v>
      </x:c>
      <x:c r="AE1313" s="10" t="str">
        <x:v>deepseek/deepseek-v4-pro</x:v>
      </x:c>
      <x:c r="AF1313" s="10" t="str">
        <x:v>aj2-y90-20260714T234810-0bea2f52</x:v>
      </x:c>
      <x:c r="AG1313" s="10" t="str">
        <x:v>full-0066</x:v>
      </x:c>
      <x:c r="AH1313" s="10" t="str">
        <x:v>full</x:v>
      </x:c>
      <x:c r="AI1313" s="10" t="n">
        <x:v>66</x:v>
      </x:c>
    </x:row>
    <x:row r="1314" ht="34" customHeight="1">
      <x:c r="A1314" s="16" t="str">
        <x:v>orthotic flip flops</x:v>
      </x:c>
      <x:c r="B1314" s="16" t="str">
        <x:v>orthotic flip flops</x:v>
      </x:c>
      <x:c r="C1314" s="13" t="str">
        <x:v>933e001a6450abac</x:v>
      </x:c>
      <x:c r="D1314" s="13" t="str">
        <x:v>keyword</x:v>
      </x:c>
      <x:c r="E1314" s="13" t="str">
        <x:v>en</x:v>
      </x:c>
      <x:c r="F1314" s="13" t="str">
        <x:v>clothing_shoes_jewelry</x:v>
      </x:c>
      <x:c r="G1314" s="16" t="str">
        <x:v>health_household</x:v>
      </x:c>
      <x:c r="H1314" s="16" t="str">
        <x:v>flip_flop</x:v>
      </x:c>
      <x:c r="I1314" s="16" t="str"/>
      <x:c r="J1314" s="16" t="str">
        <x:v>orthotic_support</x:v>
      </x:c>
      <x:c r="K1314" s="16" t="str">
        <x:v>orthotic_support</x:v>
      </x:c>
      <x:c r="L1314" s="16" t="str"/>
      <x:c r="M1314" s="16" t="str"/>
      <x:c r="N1314" s="16" t="str">
        <x:v>foot_condition</x:v>
      </x:c>
      <x:c r="O1314" s="16" t="str"/>
      <x:c r="P1314" s="16" t="str"/>
      <x:c r="Q1314" s="16" t="str"/>
      <x:c r="R1314" s="16" t="str">
        <x:v>用户需要具有矫形功能的夹脚拖鞋来缓解足部问题。</x:v>
      </x:c>
      <x:c r="S1314" s="13" t="str">
        <x:v>consideration</x:v>
      </x:c>
      <x:c r="T1314" s="16" t="str">
        <x:v>explicit | inferred</x:v>
      </x:c>
      <x:c r="U1314" s="13" t="str">
        <x:v>medium</x:v>
      </x:c>
      <x:c r="V1314" s="16" t="str">
        <x:v>orthotic_flip_flops</x:v>
      </x:c>
      <x:c r="W1314" s="16" t="str">
        <x:v>semantic_negative_candidate</x:v>
      </x:c>
      <x:c r="X1314" s="16" t="str">
        <x:v>{"product_type":[{"value":"flip_flop","evidence_type":"explicit","source_span":"flip flops","fact_ids":["style_flip_flop"],"rationale":"搜索词明确表达产品类型。"},{"value":"flip_flop","evidence_type":"page_validated","source_span":"","fact_ids":["style_flip_flop"],"rationale":"该槽位与商品基准中的明示页面事实一致。"}],"function_intent":[{"value":"orthotic_support","evidence_type":"explicit","source_span":"orthotic","fact_ids":[],"rationale":"产品未声明矫形医疗功能。"}],"capability_intent":[{"value":"orthotic_support","evidence_type":"explicit","source_span":"orthotic","fact_ids":[],"rationale":"矫形功能超出产品舒适支撑定位。"}],"body_need_intent":[{"value":"foot_condition","evidence_type":"inferred","source_span":"orthotic","fact_ids":[],"rationale":"矫形暗示用户有足部病理需求。"}],"primary_domain":[{"value":"clothing_shoes_jewelry","evidence_type":"inferred","source_span":"","fact_ids":[],"rationale":"该值由搜索词整体语义推断，未作为页面明示属性。"}],"secondary_domain":[{"value":"health_household","evidence_type":"inferred","source_span":"","fact_ids":[],"rationale":"该值由搜索词整体语义推断，未作为页面明示属性。"}]}</x:v>
      </x:c>
      <x:c r="Y1314" s="16" t="str">
        <x:v>orthotic_medical_claim_unsupported</x:v>
      </x:c>
      <x:c r="Z1314" s="13" t="str">
        <x:v>mismatch</x:v>
      </x:c>
      <x:c r="AA1314" s="16" t="str"/>
      <x:c r="AB1314" s="13" t="str">
        <x:v>accepted</x:v>
      </x:c>
      <x:c r="AC1314" s="13" t="str">
        <x:v>1.0.0</x:v>
      </x:c>
      <x:c r="AD1314" s="13" t="str">
        <x:v>1.1.0</x:v>
      </x:c>
      <x:c r="AE1314" s="13" t="str">
        <x:v>deepseek/deepseek-v4-pro</x:v>
      </x:c>
      <x:c r="AF1314" s="13" t="str">
        <x:v>aj2-y90-20260714T234810-0bea2f52</x:v>
      </x:c>
      <x:c r="AG1314" s="13" t="str">
        <x:v>full-0066</x:v>
      </x:c>
      <x:c r="AH1314" s="13" t="str">
        <x:v>full</x:v>
      </x:c>
      <x:c r="AI1314" s="13" t="n">
        <x:v>66</x:v>
      </x:c>
    </x:row>
    <x:row r="1315" ht="34" customHeight="1">
      <x:c r="A1315" s="15" t="str">
        <x:v>women's flip flops size 7.5 or 8</x:v>
      </x:c>
      <x:c r="B1315" s="15" t="str">
        <x:v>women's flip flops size 7.5 or 8</x:v>
      </x:c>
      <x:c r="C1315" s="10" t="str">
        <x:v>afca10c4599f6a59</x:v>
      </x:c>
      <x:c r="D1315" s="10" t="str">
        <x:v>keyword</x:v>
      </x:c>
      <x:c r="E1315" s="10" t="str">
        <x:v>en</x:v>
      </x:c>
      <x:c r="F1315" s="10" t="str">
        <x:v>clothing_shoes_jewelry</x:v>
      </x:c>
      <x:c r="G1315" s="15" t="str"/>
      <x:c r="H1315" s="15" t="str">
        <x:v>flip_flop</x:v>
      </x:c>
      <x:c r="I1315" s="15" t="str">
        <x:v>women</x:v>
      </x:c>
      <x:c r="J1315" s="15" t="str"/>
      <x:c r="K1315" s="15" t="str"/>
      <x:c r="L1315" s="15" t="str"/>
      <x:c r="M1315" s="15" t="str"/>
      <x:c r="N1315" s="15" t="str"/>
      <x:c r="O1315" s="15" t="str"/>
      <x:c r="P1315" s="15" t="str"/>
      <x:c r="Q1315" s="15" t="str"/>
      <x:c r="R1315" s="15" t="str">
        <x:v>女性用户想找7.5或8码的夹脚拖鞋。</x:v>
      </x:c>
      <x:c r="S1315" s="10" t="str">
        <x:v>high_intent</x:v>
      </x:c>
      <x:c r="T1315" s="15" t="str">
        <x:v>explicit</x:v>
      </x:c>
      <x:c r="U1315" s="10" t="str">
        <x:v>high</x:v>
      </x:c>
      <x:c r="V1315" s="15" t="str">
        <x:v>womens_flip_flops_size</x:v>
      </x:c>
      <x:c r="W1315" s="15" t="str">
        <x:v>cluster_route</x:v>
      </x:c>
      <x:c r="X1315" s="15" t="str">
        <x:v>{"product_type":[{"value":"flip_flop","evidence_type":"explicit","source_span":"flip flops","fact_ids":["style_flip_flop"],"rationale":"搜索词明确表达产品类型。"},{"value":"flip_flop","evidence_type":"page_validated","source_span":"","fact_ids":["style_flip_flop"],"rationale":"该槽位与商品基准中的明示页面事实一致。"}],"audience_intent":[{"value":"women","evidence_type":"explicit","source_span":"women's","fact_ids":["title_womens_flip_flop"],"rationale":"产品为女式。"},{"value":"women","evidence_type":"page_validated","source_span":"","fact_ids":["title_womens_flip_flop"],"rationale":"该槽位与商品基准中的明示页面事实一致。"}],"size":[{"value":"7.5_or_8","evidence_type":"explicit","source_span":"size 7.5 or 8","fact_ids":["sizes_6_11"],"rationale":"尺码6-11覆盖7、8码，半码7.5可能可选。"}],"primary_domain":[{"value":"clothing_shoes_jewelry","evidence_type":"inferred","source_span":"","fact_ids":[],"rationale":"该值由搜索词整体语义推断，未作为页面明示属性。"}]}</x:v>
      </x:c>
      <x:c r="Y1315" s="15" t="str">
        <x:v>half_size_7_5_availability</x:v>
      </x:c>
      <x:c r="Z1315" s="10" t="str">
        <x:v>match</x:v>
      </x:c>
      <x:c r="AA1315" s="15" t="str">
        <x:v>style_flip_flop | title_womens_flip_flop | sizes_6_11</x:v>
      </x:c>
      <x:c r="AB1315" s="10" t="str">
        <x:v>accepted</x:v>
      </x:c>
      <x:c r="AC1315" s="10" t="str">
        <x:v>1.0.0</x:v>
      </x:c>
      <x:c r="AD1315" s="10" t="str">
        <x:v>1.1.0</x:v>
      </x:c>
      <x:c r="AE1315" s="10" t="str">
        <x:v>deepseek/deepseek-v4-pro</x:v>
      </x:c>
      <x:c r="AF1315" s="10" t="str">
        <x:v>aj2-y90-20260714T234810-0bea2f52</x:v>
      </x:c>
      <x:c r="AG1315" s="10" t="str">
        <x:v>full-0066</x:v>
      </x:c>
      <x:c r="AH1315" s="10" t="str">
        <x:v>full</x:v>
      </x:c>
      <x:c r="AI1315" s="10" t="n">
        <x:v>66</x:v>
      </x:c>
    </x:row>
    <x:row r="1316" ht="34" customHeight="1">
      <x:c r="A1316" s="16" t="str">
        <x:v>plain beige rubber flip flops for women</x:v>
      </x:c>
      <x:c r="B1316" s="16" t="str">
        <x:v>plain beige rubber flip flops for women</x:v>
      </x:c>
      <x:c r="C1316" s="13" t="str">
        <x:v>b14f1c8b4fcc5341</x:v>
      </x:c>
      <x:c r="D1316" s="13" t="str">
        <x:v>keyword</x:v>
      </x:c>
      <x:c r="E1316" s="13" t="str">
        <x:v>en</x:v>
      </x:c>
      <x:c r="F1316" s="13" t="str">
        <x:v>clothing_shoes_jewelry</x:v>
      </x:c>
      <x:c r="G1316" s="16" t="str"/>
      <x:c r="H1316" s="16" t="str">
        <x:v>flip_flop</x:v>
      </x:c>
      <x:c r="I1316" s="16" t="str">
        <x:v>women</x:v>
      </x:c>
      <x:c r="J1316" s="16" t="str"/>
      <x:c r="K1316" s="16" t="str"/>
      <x:c r="L1316" s="16" t="str"/>
      <x:c r="M1316" s="16" t="str"/>
      <x:c r="N1316" s="16" t="str"/>
      <x:c r="O1316" s="16" t="str"/>
      <x:c r="P1316" s="16" t="str"/>
      <x:c r="Q1316" s="16" t="str"/>
      <x:c r="R1316" s="16" t="str">
        <x:v>女性用户想找一双素色米色橡胶材质的夹脚拖鞋。</x:v>
      </x:c>
      <x:c r="S1316" s="13" t="str">
        <x:v>high_intent</x:v>
      </x:c>
      <x:c r="T1316" s="16" t="str">
        <x:v>explicit | inferred</x:v>
      </x:c>
      <x:c r="U1316" s="13" t="str">
        <x:v>medium</x:v>
      </x:c>
      <x:c r="V1316" s="16" t="str">
        <x:v>womens_flip_flops_color_material</x:v>
      </x:c>
      <x:c r="W1316" s="16" t="str">
        <x:v>listing_gap_review</x:v>
      </x:c>
      <x:c r="X1316" s="16" t="str">
        <x:v>{"product_type":[{"value":"flip_flop","evidence_type":"explicit","source_span":"flip flops","fact_ids":["style_flip_flop"],"rationale":"搜索词明确表达产品类型。"},{"value":"flip_flop","evidence_type":"page_validated","source_span":"","fact_ids":["style_flip_flop"],"rationale":"该槽位与商品基准中的明示页面事实一致。"}],"audience_intent":[{"value":"women","evidence_type":"explicit","source_span":"women","fact_ids":["title_womens_flip_flop"],"rationale":"产品为女式。"},{"value":"women","evidence_type":"page_validated","source_span":"","fact_ids":["title_womens_flip_flop"],"rationale":"该槽位与商品基准中的明示页面事实一致。"}],"style":[{"value":"plain","evidence_type":"explicit","source_span":"plain","fact_ids":[],"rationale":"素色简约风格，产品基础款外观兼容。"}],"color":[{"value":"beige","evidence_type":"explicit","source_span":"beige","fact_ids":[],"rationale":"米色不在页面可选颜色列表中。"}],"material":[{"value":"rubber","evidence_type":"explicit","source_span":"rubber","fact_ids":["material_eva"],"rationale":"产品为EVA材质，非橡胶，但EVA常被视作类橡胶发泡材料。"}],"primary_domain":[{"value":"clothing_shoes_jewelry","evidence_type":"inferred","source_span":"","fact_ids":[],"rationale":"该值由搜索词整体语义推断，未作为页面明示属性。"}]}</x:v>
      </x:c>
      <x:c r="Y1316" s="16" t="str">
        <x:v>beige_not_in_colors | material_rubber_vs_eva</x:v>
      </x:c>
      <x:c r="Z1316" s="13" t="str">
        <x:v>partial_match</x:v>
      </x:c>
      <x:c r="AA1316" s="16" t="str">
        <x:v>style_flip_flop | title_womens_flip_flop</x:v>
      </x:c>
      <x:c r="AB1316" s="13" t="str">
        <x:v>accepted</x:v>
      </x:c>
      <x:c r="AC1316" s="13" t="str">
        <x:v>1.0.0</x:v>
      </x:c>
      <x:c r="AD1316" s="13" t="str">
        <x:v>1.1.0</x:v>
      </x:c>
      <x:c r="AE1316" s="13" t="str">
        <x:v>deepseek/deepseek-v4-pro</x:v>
      </x:c>
      <x:c r="AF1316" s="13" t="str">
        <x:v>aj2-y90-20260714T234810-0bea2f52</x:v>
      </x:c>
      <x:c r="AG1316" s="13" t="str">
        <x:v>full-0066</x:v>
      </x:c>
      <x:c r="AH1316" s="13" t="str">
        <x:v>full</x:v>
      </x:c>
      <x:c r="AI1316" s="13" t="n">
        <x:v>66</x:v>
      </x:c>
    </x:row>
    <x:row r="1317" ht="34" customHeight="1">
      <x:c r="A1317" s="15" t="str">
        <x:v>black sandals thong</x:v>
      </x:c>
      <x:c r="B1317" s="15" t="str">
        <x:v>black sandals thong</x:v>
      </x:c>
      <x:c r="C1317" s="10" t="str">
        <x:v>de831524dfe91cff</x:v>
      </x:c>
      <x:c r="D1317" s="10" t="str">
        <x:v>keyword</x:v>
      </x:c>
      <x:c r="E1317" s="10" t="str">
        <x:v>en</x:v>
      </x:c>
      <x:c r="F1317" s="10" t="str">
        <x:v>clothing_shoes_jewelry</x:v>
      </x:c>
      <x:c r="G1317" s="15" t="str"/>
      <x:c r="H1317" s="15" t="str">
        <x:v>thong_sandal</x:v>
      </x:c>
      <x:c r="I1317" s="15" t="str"/>
      <x:c r="J1317" s="15" t="str"/>
      <x:c r="K1317" s="15" t="str"/>
      <x:c r="L1317" s="15" t="str"/>
      <x:c r="M1317" s="15" t="str"/>
      <x:c r="N1317" s="15" t="str"/>
      <x:c r="O1317" s="15" t="str"/>
      <x:c r="P1317" s="15" t="str"/>
      <x:c r="Q1317" s="15" t="str"/>
      <x:c r="R1317" s="15" t="str">
        <x:v>用户想找黑色的夹脚凉鞋。</x:v>
      </x:c>
      <x:c r="S1317" s="10" t="str">
        <x:v>high_intent</x:v>
      </x:c>
      <x:c r="T1317" s="15" t="str">
        <x:v>explicit</x:v>
      </x:c>
      <x:c r="U1317" s="10" t="str">
        <x:v>high</x:v>
      </x:c>
      <x:c r="V1317" s="15" t="str">
        <x:v>black_thong_sandals</x:v>
      </x:c>
      <x:c r="W1317" s="15" t="str">
        <x:v>cluster_route</x:v>
      </x:c>
      <x:c r="X1317" s="15" t="str">
        <x:v>{"product_type":[{"value":"thong_sandal","evidence_type":"explicit","source_span":"sandals thong","fact_ids":["style_thong","style_flip_flop"],"rationale":"夹脚凉鞋与产品人字拖类型匹配。"},{"value":"thong_sandal","evidence_type":"page_validated","source_span":"","fact_ids":["style_thong","style_flip_flop"],"rationale":"该槽位与商品基准中的明示页面事实一致。"},{"value":"thong_sandal","evidence_type":"inferred","source_span":"","fact_ids":[],"rationale":"该能力由搜索词表达的任务或问题推断；页面事实仅用于验证商品承接。"}],"color":[{"value":"black","evidence_type":"explicit","source_span":"black","fact_ids":["colors_visible"],"rationale":"该颜色在商品页面可见颜色选择中得到明确支持。"}],"primary_domain":[{"value":"clothing_shoes_jewelry","evidence_type":"inferred","source_span":"","fact_ids":[],"rationale":"该值由搜索词整体语义推断，未作为页面明示属性。"}]}</x:v>
      </x:c>
      <x:c r="Y1317" s="15" t="str"/>
      <x:c r="Z1317" s="10" t="str">
        <x:v>match</x:v>
      </x:c>
      <x:c r="AA1317" s="15" t="str">
        <x:v>style_thong | style_flip_flop | colors_visible</x:v>
      </x:c>
      <x:c r="AB1317" s="10" t="str">
        <x:v>accepted</x:v>
      </x:c>
      <x:c r="AC1317" s="10" t="str">
        <x:v>1.0.0</x:v>
      </x:c>
      <x:c r="AD1317" s="10" t="str">
        <x:v>1.1.0</x:v>
      </x:c>
      <x:c r="AE1317" s="10" t="str">
        <x:v>deepseek/deepseek-v4-pro</x:v>
      </x:c>
      <x:c r="AF1317" s="10" t="str">
        <x:v>aj2-y90-20260714T234810-0bea2f52</x:v>
      </x:c>
      <x:c r="AG1317" s="10" t="str">
        <x:v>full-0066</x:v>
      </x:c>
      <x:c r="AH1317" s="10" t="str">
        <x:v>full</x:v>
      </x:c>
      <x:c r="AI1317" s="10" t="n">
        <x:v>66</x:v>
      </x:c>
    </x:row>
    <x:row r="1318" ht="34" customHeight="1">
      <x:c r="A1318" s="16" t="str">
        <x:v>white flip flops for women</x:v>
      </x:c>
      <x:c r="B1318" s="16" t="str">
        <x:v>white flip flops for women</x:v>
      </x:c>
      <x:c r="C1318" s="13" t="str">
        <x:v>e40f5375127b7f47</x:v>
      </x:c>
      <x:c r="D1318" s="13" t="str">
        <x:v>keyword</x:v>
      </x:c>
      <x:c r="E1318" s="13" t="str">
        <x:v>en</x:v>
      </x:c>
      <x:c r="F1318" s="13" t="str">
        <x:v>clothing_shoes_jewelry</x:v>
      </x:c>
      <x:c r="G1318" s="16" t="str"/>
      <x:c r="H1318" s="16" t="str">
        <x:v>flip_flop</x:v>
      </x:c>
      <x:c r="I1318" s="16" t="str">
        <x:v>women</x:v>
      </x:c>
      <x:c r="J1318" s="16" t="str"/>
      <x:c r="K1318" s="16" t="str"/>
      <x:c r="L1318" s="16" t="str"/>
      <x:c r="M1318" s="16" t="str"/>
      <x:c r="N1318" s="16" t="str"/>
      <x:c r="O1318" s="16" t="str"/>
      <x:c r="P1318" s="16" t="str"/>
      <x:c r="Q1318" s="16" t="str"/>
      <x:c r="R1318" s="16" t="str">
        <x:v>女性用户想找一双白色的夹脚拖鞋。</x:v>
      </x:c>
      <x:c r="S1318" s="13" t="str">
        <x:v>high_intent</x:v>
      </x:c>
      <x:c r="T1318" s="16" t="str">
        <x:v>explicit</x:v>
      </x:c>
      <x:c r="U1318" s="13" t="str">
        <x:v>high</x:v>
      </x:c>
      <x:c r="V1318" s="16" t="str">
        <x:v>womens_flip_flops_color</x:v>
      </x:c>
      <x:c r="W1318" s="16" t="str">
        <x:v>cluster_route</x:v>
      </x:c>
      <x:c r="X1318" s="16" t="str">
        <x:v>{"product_type":[{"value":"flip_flop","evidence_type":"explicit","source_span":"flip flops","fact_ids":["style_flip_flop"],"rationale":"搜索词明确表达产品类型。"},{"value":"flip_flop","evidence_type":"page_validated","source_span":"","fact_ids":["style_flip_flop"],"rationale":"该槽位与商品基准中的明示页面事实一致。"}],"audience_intent":[{"value":"women","evidence_type":"explicit","source_span":"women","fact_ids":["title_womens_flip_flop"],"rationale":"产品为女式。"},{"value":"women","evidence_type":"page_validated","source_span":"","fact_ids":["title_womens_flip_flop"],"rationale":"该槽位与商品基准中的明示页面事实一致。"}],"color":[{"value":"white","evidence_type":"explicit","source_span":"white","fact_ids":["colors_visible"],"rationale":"该颜色在商品页面可见颜色选择中得到明确支持。"}],"primary_domain":[{"value":"clothing_shoes_jewelry","evidence_type":"inferred","source_span":"","fact_ids":[],"rationale":"该值由搜索词整体语义推断，未作为页面明示属性。"}]}</x:v>
      </x:c>
      <x:c r="Y1318" s="16" t="str"/>
      <x:c r="Z1318" s="13" t="str">
        <x:v>match</x:v>
      </x:c>
      <x:c r="AA1318" s="16" t="str">
        <x:v>style_flip_flop | title_womens_flip_flop | colors_visible</x:v>
      </x:c>
      <x:c r="AB1318" s="13" t="str">
        <x:v>accepted</x:v>
      </x:c>
      <x:c r="AC1318" s="13" t="str">
        <x:v>1.0.0</x:v>
      </x:c>
      <x:c r="AD1318" s="13" t="str">
        <x:v>1.1.0</x:v>
      </x:c>
      <x:c r="AE1318" s="13" t="str">
        <x:v>deepseek/deepseek-v4-pro</x:v>
      </x:c>
      <x:c r="AF1318" s="13" t="str">
        <x:v>aj2-y90-20260714T234810-0bea2f52</x:v>
      </x:c>
      <x:c r="AG1318" s="13" t="str">
        <x:v>full-0066</x:v>
      </x:c>
      <x:c r="AH1318" s="13" t="str">
        <x:v>full</x:v>
      </x:c>
      <x:c r="AI1318" s="13" t="n">
        <x:v>66</x:v>
      </x:c>
    </x:row>
    <x:row r="1319" ht="34" customHeight="1">
      <x:c r="A1319" s="15" t="str">
        <x:v>cream arch support sandals</x:v>
      </x:c>
      <x:c r="B1319" s="15" t="str">
        <x:v>cream arch support sandals</x:v>
      </x:c>
      <x:c r="C1319" s="10" t="str">
        <x:v>e54bd2a71af180b2</x:v>
      </x:c>
      <x:c r="D1319" s="10" t="str">
        <x:v>keyword</x:v>
      </x:c>
      <x:c r="E1319" s="10" t="str">
        <x:v>en</x:v>
      </x:c>
      <x:c r="F1319" s="10" t="str">
        <x:v>clothing_shoes_jewelry</x:v>
      </x:c>
      <x:c r="G1319" s="15" t="str"/>
      <x:c r="H1319" s="15" t="str">
        <x:v>sandal</x:v>
      </x:c>
      <x:c r="I1319" s="15" t="str"/>
      <x:c r="J1319" s="15" t="str">
        <x:v>arch_support</x:v>
      </x:c>
      <x:c r="K1319" s="15" t="str">
        <x:v>arch_support</x:v>
      </x:c>
      <x:c r="L1319" s="15" t="str"/>
      <x:c r="M1319" s="15" t="str"/>
      <x:c r="N1319" s="15" t="str">
        <x:v>arch_support</x:v>
      </x:c>
      <x:c r="O1319" s="15" t="str"/>
      <x:c r="P1319" s="15" t="str"/>
      <x:c r="Q1319" s="15" t="str"/>
      <x:c r="R1319" s="15" t="str">
        <x:v>用户想找一双米色带足弓支撑的凉鞋。</x:v>
      </x:c>
      <x:c r="S1319" s="10" t="str">
        <x:v>high_intent</x:v>
      </x:c>
      <x:c r="T1319" s="15" t="str">
        <x:v>explicit | inferred</x:v>
      </x:c>
      <x:c r="U1319" s="10" t="str">
        <x:v>medium</x:v>
      </x:c>
      <x:c r="V1319" s="15" t="str">
        <x:v>arch_support_sandals_color</x:v>
      </x:c>
      <x:c r="W1319" s="15" t="str">
        <x:v>cluster_route</x:v>
      </x:c>
      <x:c r="X1319" s="15" t="str">
        <x:v>{"product_type":[{"value":"sandal","evidence_type":"explicit","source_span":"sandals","fact_ids":["style_flip_flop"],"rationale":"夹脚拖鞋是凉鞋的一种。"}],"capability_intent":[{"value":"arch_support","evidence_type":"explicit","source_span":"arch support","fact_ids":["arch_support"],"rationale":"人体工学足弓支撑为核心功能。"},{"value":"arch_support","evidence_type":"page_validated","source_span":"","fact_ids":["arch_support"],"rationale":"该槽位与商品基准中的明示页面事实一致。"}],"color":[{"value":"cream","evidence_type":"explicit","source_span":"cream","fact_ids":[],"rationale":"奶油色不在可选颜色中，白色最为接近。"}],"primary_domain":[{"value":"clothing_shoes_jewelry","evidence_type":"inferred","source_span":"","fact_ids":[],"rationale":"该值由搜索词整体语义推断，未作为页面明示属性。"}]}</x:v>
      </x:c>
      <x:c r="Y1319" s="15" t="str">
        <x:v>cream_not_in_colors</x:v>
      </x:c>
      <x:c r="Z1319" s="10" t="str">
        <x:v>partial_match</x:v>
      </x:c>
      <x:c r="AA1319" s="15" t="str">
        <x:v>arch_support | style_flip_flop</x:v>
      </x:c>
      <x:c r="AB1319" s="10" t="str">
        <x:v>accepted</x:v>
      </x:c>
      <x:c r="AC1319" s="10" t="str">
        <x:v>1.0.0</x:v>
      </x:c>
      <x:c r="AD1319" s="10" t="str">
        <x:v>1.1.0</x:v>
      </x:c>
      <x:c r="AE1319" s="10" t="str">
        <x:v>deepseek/deepseek-v4-pro</x:v>
      </x:c>
      <x:c r="AF1319" s="10" t="str">
        <x:v>aj2-y90-20260714T234810-0bea2f52</x:v>
      </x:c>
      <x:c r="AG1319" s="10" t="str">
        <x:v>full-0066</x:v>
      </x:c>
      <x:c r="AH1319" s="10" t="str">
        <x:v>full</x:v>
      </x:c>
      <x:c r="AI1319" s="10" t="n">
        <x:v>66</x:v>
      </x:c>
    </x:row>
    <x:row r="1320" ht="34" customHeight="1">
      <x:c r="A1320" s="16" t="str">
        <x:v>grey flip flops</x:v>
      </x:c>
      <x:c r="B1320" s="16" t="str">
        <x:v>grey flip flops</x:v>
      </x:c>
      <x:c r="C1320" s="13" t="str">
        <x:v>f2c8be3fda040864</x:v>
      </x:c>
      <x:c r="D1320" s="13" t="str">
        <x:v>keyword</x:v>
      </x:c>
      <x:c r="E1320" s="13" t="str">
        <x:v>en</x:v>
      </x:c>
      <x:c r="F1320" s="13" t="str">
        <x:v>clothing_shoes_jewelry</x:v>
      </x:c>
      <x:c r="G1320" s="16" t="str"/>
      <x:c r="H1320" s="16" t="str">
        <x:v>flip_flop</x:v>
      </x:c>
      <x:c r="I1320" s="16" t="str"/>
      <x:c r="J1320" s="16" t="str"/>
      <x:c r="K1320" s="16" t="str"/>
      <x:c r="L1320" s="16" t="str"/>
      <x:c r="M1320" s="16" t="str"/>
      <x:c r="N1320" s="16" t="str"/>
      <x:c r="O1320" s="16" t="str"/>
      <x:c r="P1320" s="16" t="str"/>
      <x:c r="Q1320" s="16" t="str"/>
      <x:c r="R1320" s="16" t="str">
        <x:v>用户想找一双灰色的夹脚拖鞋。</x:v>
      </x:c>
      <x:c r="S1320" s="13" t="str">
        <x:v>high_intent</x:v>
      </x:c>
      <x:c r="T1320" s="16" t="str">
        <x:v>explicit</x:v>
      </x:c>
      <x:c r="U1320" s="13" t="str">
        <x:v>high</x:v>
      </x:c>
      <x:c r="V1320" s="16" t="str">
        <x:v>flip_flops_color</x:v>
      </x:c>
      <x:c r="W1320" s="16" t="str">
        <x:v>cluster_route</x:v>
      </x:c>
      <x:c r="X1320" s="16" t="str">
        <x:v>{"product_type":[{"value":"flip_flop","evidence_type":"explicit","source_span":"flip flops","fact_ids":["style_flip_flop"],"rationale":"搜索词明确表达产品类型为夹脚拖鞋。"},{"value":"flip_flop","evidence_type":"page_validated","source_span":"","fact_ids":["style_flip_flop"],"rationale":"该槽位与商品基准中的明示页面事实一致。"}],"color":[{"value":"grey","evidence_type":"explicit","source_span":"grey","fact_ids":[],"rationale":"这是搜索词中的颜色约束，但商品页面基准未确认该具体颜色。"}],"primary_domain":[{"value":"clothing_shoes_jewelry","evidence_type":"inferred","source_span":"","fact_ids":[],"rationale":"该值由搜索词整体语义推断，未作为页面明示属性。"}]}</x:v>
      </x:c>
      <x:c r="Y1320" s="16" t="str"/>
      <x:c r="Z1320" s="13" t="str">
        <x:v>match</x:v>
      </x:c>
      <x:c r="AA1320" s="16" t="str">
        <x:v>style_flip_flop | colors_visible</x:v>
      </x:c>
      <x:c r="AB1320" s="13" t="str">
        <x:v>accepted</x:v>
      </x:c>
      <x:c r="AC1320" s="13" t="str">
        <x:v>1.0.0</x:v>
      </x:c>
      <x:c r="AD1320" s="13" t="str">
        <x:v>1.1.0</x:v>
      </x:c>
      <x:c r="AE1320" s="13" t="str">
        <x:v>deepseek/deepseek-v4-pro</x:v>
      </x:c>
      <x:c r="AF1320" s="13" t="str">
        <x:v>aj2-y90-20260714T234810-0bea2f52</x:v>
      </x:c>
      <x:c r="AG1320" s="13" t="str">
        <x:v>full-0066</x:v>
      </x:c>
      <x:c r="AH1320" s="13" t="str">
        <x:v>full</x:v>
      </x:c>
      <x:c r="AI1320" s="13" t="n">
        <x:v>66</x:v>
      </x:c>
    </x:row>
    <x:row r="1321" ht="34" customHeight="1">
      <x:c r="A1321" s="15" t="str">
        <x:v>arch support flip-flop</x:v>
      </x:c>
      <x:c r="B1321" s="15" t="str">
        <x:v>arch support flip-flop</x:v>
      </x:c>
      <x:c r="C1321" s="10" t="str">
        <x:v>fdcf905523b3a443</x:v>
      </x:c>
      <x:c r="D1321" s="10" t="str">
        <x:v>keyword</x:v>
      </x:c>
      <x:c r="E1321" s="10" t="str">
        <x:v>en</x:v>
      </x:c>
      <x:c r="F1321" s="10" t="str">
        <x:v>clothing_shoes_jewelry</x:v>
      </x:c>
      <x:c r="G1321" s="15" t="str"/>
      <x:c r="H1321" s="15" t="str">
        <x:v>flip_flop</x:v>
      </x:c>
      <x:c r="I1321" s="15" t="str"/>
      <x:c r="J1321" s="15" t="str">
        <x:v>arch_support</x:v>
      </x:c>
      <x:c r="K1321" s="15" t="str">
        <x:v>arch_support</x:v>
      </x:c>
      <x:c r="L1321" s="15" t="str"/>
      <x:c r="M1321" s="15" t="str"/>
      <x:c r="N1321" s="15" t="str">
        <x:v>arch_support</x:v>
      </x:c>
      <x:c r="O1321" s="15" t="str"/>
      <x:c r="P1321" s="15" t="str"/>
      <x:c r="Q1321" s="15" t="str"/>
      <x:c r="R1321" s="15" t="str">
        <x:v>用户想找一双带足弓支撑的夹脚拖鞋以缓解足部不适。</x:v>
      </x:c>
      <x:c r="S1321" s="10" t="str">
        <x:v>high_intent</x:v>
      </x:c>
      <x:c r="T1321" s="15" t="str">
        <x:v>explicit | inferred</x:v>
      </x:c>
      <x:c r="U1321" s="10" t="str">
        <x:v>high</x:v>
      </x:c>
      <x:c r="V1321" s="15" t="str">
        <x:v>arch_support_flip_flops</x:v>
      </x:c>
      <x:c r="W1321" s="15" t="str">
        <x:v>cluster_route</x:v>
      </x:c>
      <x:c r="X1321" s="15" t="str">
        <x:v>{"product_type":[{"value":"flip_flop","evidence_type":"explicit","source_span":"flip-flop","fact_ids":["style_flip_flop"],"rationale":"搜索词明确表达产品类型。"},{"value":"flip_flop","evidence_type":"page_validated","source_span":"","fact_ids":["style_flip_flop"],"rationale":"该槽位与商品基准中的明示页面事实一致。"}],"capability_intent":[{"value":"arch_support","evidence_type":"explicit","source_span":"arch support","fact_ids":["arch_support"],"rationale":"人体工学足弓支撑为产品核心功能。"},{"value":"arch_support","evidence_type":"page_validated","source_span":"","fact_ids":["arch_support"],"rationale":"该槽位与商品基准中的明示页面事实一致。"}],"primary_domain":[{"value":"clothing_shoes_jewelry","evidence_type":"inferred","source_span":"","fact_ids":[],"rationale":"该值由搜索词整体语义推断，未作为页面明示属性。"}]}</x:v>
      </x:c>
      <x:c r="Y1321" s="15" t="str"/>
      <x:c r="Z1321" s="10" t="str">
        <x:v>match</x:v>
      </x:c>
      <x:c r="AA1321" s="15" t="str">
        <x:v>style_flip_flop | arch_support</x:v>
      </x:c>
      <x:c r="AB1321" s="10" t="str">
        <x:v>accepted</x:v>
      </x:c>
      <x:c r="AC1321" s="10" t="str">
        <x:v>1.0.0</x:v>
      </x:c>
      <x:c r="AD1321" s="10" t="str">
        <x:v>1.1.0</x:v>
      </x:c>
      <x:c r="AE1321" s="10" t="str">
        <x:v>deepseek/deepseek-v4-pro</x:v>
      </x:c>
      <x:c r="AF1321" s="10" t="str">
        <x:v>aj2-y90-20260714T234810-0bea2f52</x:v>
      </x:c>
      <x:c r="AG1321" s="10" t="str">
        <x:v>full-0066</x:v>
      </x:c>
      <x:c r="AH1321" s="10" t="str">
        <x:v>full</x:v>
      </x:c>
      <x:c r="AI1321" s="10" t="n">
        <x:v>66</x:v>
      </x:c>
    </x:row>
    <x:row r="1322" ht="34" customHeight="1">
      <x:c r="A1322" s="16" t="str">
        <x:v>sweat less flipflops women</x:v>
      </x:c>
      <x:c r="B1322" s="16" t="str">
        <x:v>sweat less flipflops women</x:v>
      </x:c>
      <x:c r="C1322" s="13" t="str">
        <x:v>0493b034eaeb787d</x:v>
      </x:c>
      <x:c r="D1322" s="13" t="str">
        <x:v>keyword</x:v>
      </x:c>
      <x:c r="E1322" s="13" t="str">
        <x:v>en</x:v>
      </x:c>
      <x:c r="F1322" s="13" t="str">
        <x:v>clothing_shoes_jewelry</x:v>
      </x:c>
      <x:c r="G1322" s="16" t="str"/>
      <x:c r="H1322" s="16" t="str">
        <x:v>flip_flop</x:v>
      </x:c>
      <x:c r="I1322" s="16" t="str">
        <x:v>women</x:v>
      </x:c>
      <x:c r="J1322" s="16" t="str">
        <x:v>sweat_reduction | breathability</x:v>
      </x:c>
      <x:c r="K1322" s="16" t="str">
        <x:v>breathable</x:v>
      </x:c>
      <x:c r="L1322" s="16" t="str"/>
      <x:c r="M1322" s="16" t="str"/>
      <x:c r="N1322" s="16" t="str">
        <x:v>sweat_control</x:v>
      </x:c>
      <x:c r="O1322" s="16" t="str"/>
      <x:c r="P1322" s="16" t="str"/>
      <x:c r="Q1322" s="16" t="str"/>
      <x:c r="R1322" s="16" t="str">
        <x:v>女性用户寻找能减少脚部出汗的人字拖，需要透气性好的材质和设计。</x:v>
      </x:c>
      <x:c r="S1322" s="13" t="str">
        <x:v>consideration</x:v>
      </x:c>
      <x:c r="T1322" s="16" t="str">
        <x:v>explicit | page_validated | inferred</x:v>
      </x:c>
      <x:c r="U1322" s="13" t="str">
        <x:v>medium</x:v>
      </x:c>
      <x:c r="V1322" s="16" t="str">
        <x:v>sweat_less_women_flip_flops</x:v>
      </x:c>
      <x:c r="W1322" s="16" t="str">
        <x:v>listing_gap_review</x:v>
      </x:c>
      <x:c r="X1322" s="16" t="str">
        <x:v>{"primary_domain":[{"value":"clothing_shoes_jewelry","evidence_type":"inferred","source_span":"flipflops","fact_ids":[],"rationale":"人字拖属于鞋类。"}],"product_type":[{"value":"flip_flop","evidence_type":"explicit","source_span":"flipflops","fact_ids":[],"rationale":"搜索词直接提及flipflops。"},{"value":"flip_flop","evidence_type":"page_validated","source_span":"","fact_ids":["style_flip_flop","title_womens_flip_flop"],"rationale":"产品为女士人字拖。"},{"value":"flip_flop","evidence_type":"inferred","source_span":"","fact_ids":[],"rationale":"该能力由搜索词表达的任务或问题推断；页面事实仅用于验证商品承接。"}],"audience_intent":[{"value":"women","evidence_type":"explicit","source_span":"women","fact_ids":[],"rationale":"搜索词直接指明women。"},{"value":"women","evidence_type":"page_validated","source_span":"","fact_ids":["title_womens_flip_flop"],"rationale":"产品标题为女士款。"}],"function_intent":[{"value":"sweat_reduction","evidence_type":"explicit","source_span":"sweat less","fact_ids":[],"rationale":"搜索词明确要求减少出汗。"},{"value":"breathability","evidence_type":"inferred","source_span":"sweat less","fact_ids":[],"rationale":"减少出汗通常依赖于透气性能。"}],"capability_intent":[{"value":"breathable","evidence_type":"page_validated","source_span":"","fact_ids":["lightweight_breathable","style_open_toe"],"rationale":"产品透气且露趾设计有助空气流通。"},{"value":"breathable","evidence_type":"inferred","source_span":"","fact_ids":[],"rationale":"该能力由搜索词表达的任务或问题推断；页面事实仅用于验证商品承接。"}],"body_need_intent":[{"value":"sweat_control","evidence_type":"explicit","source_span":"sweat less","fact_ids":[],"rationale":"sweat less表达控制脚汗的身体需求。"}]}</x:v>
      </x:c>
      <x:c r="Y1322" s="16" t="str"/>
      <x:c r="Z1322" s="13" t="str">
        <x:v>partial_match</x:v>
      </x:c>
      <x:c r="AA1322" s="16" t="str">
        <x:v>title_womens_flip_flop | lightweight_breathable | style_open_toe</x:v>
      </x:c>
      <x:c r="AB1322" s="13" t="str">
        <x:v>needs_review</x:v>
      </x:c>
      <x:c r="AC1322" s="13" t="str">
        <x:v>1.0.0</x:v>
      </x:c>
      <x:c r="AD1322" s="13" t="str">
        <x:v>1.1.0</x:v>
      </x:c>
      <x:c r="AE1322" s="13" t="str">
        <x:v>deepseek/deepseek-v4-pro</x:v>
      </x:c>
      <x:c r="AF1322" s="13" t="str">
        <x:v>aj2-y90-20260714T234810-0bea2f52</x:v>
      </x:c>
      <x:c r="AG1322" s="13" t="str">
        <x:v>full-0067</x:v>
      </x:c>
      <x:c r="AH1322" s="13" t="str">
        <x:v>full</x:v>
      </x:c>
      <x:c r="AI1322" s="13" t="n">
        <x:v>67</x:v>
      </x:c>
    </x:row>
    <x:row r="1323" ht="34" customHeight="1">
      <x:c r="A1323" s="15" t="str">
        <x:v>navy archies flip flops</x:v>
      </x:c>
      <x:c r="B1323" s="15" t="str">
        <x:v>navy archies flip flops</x:v>
      </x:c>
      <x:c r="C1323" s="10" t="str">
        <x:v>0957c5ac21df93ce</x:v>
      </x:c>
      <x:c r="D1323" s="10" t="str">
        <x:v>keyword</x:v>
      </x:c>
      <x:c r="E1323" s="10" t="str">
        <x:v>en</x:v>
      </x:c>
      <x:c r="F1323" s="10" t="str">
        <x:v>clothing_shoes_jewelry</x:v>
      </x:c>
      <x:c r="G1323" s="15" t="str"/>
      <x:c r="H1323" s="15" t="str">
        <x:v>flip_flop</x:v>
      </x:c>
      <x:c r="I1323" s="15" t="str"/>
      <x:c r="J1323" s="15" t="str">
        <x:v>arch_support</x:v>
      </x:c>
      <x:c r="K1323" s="15" t="str"/>
      <x:c r="L1323" s="15" t="str"/>
      <x:c r="M1323" s="15" t="str"/>
      <x:c r="N1323" s="15" t="str">
        <x:v>arch_support</x:v>
      </x:c>
      <x:c r="O1323" s="15" t="str"/>
      <x:c r="P1323" s="15" t="str">
        <x:v>archies_alternative</x:v>
      </x:c>
      <x:c r="Q1323" s="15" t="str"/>
      <x:c r="R1323" s="15" t="str">
        <x:v>用户搜索海军蓝色的Archies品牌人字拖，可能需要有足弓支撑功能的替代产品。</x:v>
      </x:c>
      <x:c r="S1323" s="10" t="str">
        <x:v>consideration</x:v>
      </x:c>
      <x:c r="T1323" s="15" t="str">
        <x:v>explicit | inferred</x:v>
      </x:c>
      <x:c r="U1323" s="10" t="str">
        <x:v>medium</x:v>
      </x:c>
      <x:c r="V1323" s="15" t="str">
        <x:v>archies_brand_flip_flops</x:v>
      </x:c>
      <x:c r="W1323" s="15" t="str">
        <x:v>semantic_negative_candidate</x:v>
      </x:c>
      <x:c r="X1323" s="15" t="str">
        <x:v>{"primary_domain":[{"value":"clothing_shoes_jewelry","evidence_type":"inferred","source_span":"flip flops","fact_ids":[],"rationale":"人字拖属于鞋类产品。"}],"product_type":[{"value":"flip_flop","evidence_type":"explicit","source_span":"flip flops","fact_ids":[],"rationale":"搜索词直接提及flip flops。"},{"value":"flip_flop","evidence_type":"page_validated","source_span":"","fact_ids":["style_flip_flop"],"rationale":"该槽位与商品基准中的明示页面事实一致。"}],"substitute_intent":[{"value":"archies_alternative","evidence_type":"inferred","source_span":"archies","fact_ids":[],"rationale":"搜索Archies品牌可能寻找同类替代品。"}],"capability_intent":[{"value":"arch_support","evidence_type":"page_validated","source_span":"","fact_ids":["arch_support"],"rationale":"该槽位与商品基准中的明示页面事实一致。"},{"value":"arch_support","evidence_type":"inferred","source_span":"","fact_ids":[],"rationale":"该能力由搜索词表达的任务或问题推断；页面事实仅用于验证商品承接。"}]}</x:v>
      </x:c>
      <x:c r="Y1323" s="15" t="str">
        <x:v>archies_brand_or_feature</x:v>
      </x:c>
      <x:c r="Z1323" s="10" t="str">
        <x:v>mismatch</x:v>
      </x:c>
      <x:c r="AA1323" s="15" t="str">
        <x:v>arch_support | style_flip_flop</x:v>
      </x:c>
      <x:c r="AB1323" s="10" t="str">
        <x:v>needs_review</x:v>
      </x:c>
      <x:c r="AC1323" s="10" t="str">
        <x:v>1.0.0</x:v>
      </x:c>
      <x:c r="AD1323" s="10" t="str">
        <x:v>1.1.0</x:v>
      </x:c>
      <x:c r="AE1323" s="10" t="str">
        <x:v>deepseek/deepseek-v4-pro</x:v>
      </x:c>
      <x:c r="AF1323" s="10" t="str">
        <x:v>aj2-y90-20260714T234810-0bea2f52</x:v>
      </x:c>
      <x:c r="AG1323" s="10" t="str">
        <x:v>full-0067</x:v>
      </x:c>
      <x:c r="AH1323" s="10" t="str">
        <x:v>full</x:v>
      </x:c>
      <x:c r="AI1323" s="10" t="n">
        <x:v>67</x:v>
      </x:c>
    </x:row>
    <x:row r="1324" ht="34" customHeight="1">
      <x:c r="A1324" s="16" t="str">
        <x:v>women's beach flip-flops eva</x:v>
      </x:c>
      <x:c r="B1324" s="16" t="str">
        <x:v>women's beach flip-flops eva</x:v>
      </x:c>
      <x:c r="C1324" s="13" t="str">
        <x:v>0c587626ad6b4a06</x:v>
      </x:c>
      <x:c r="D1324" s="13" t="str">
        <x:v>keyword</x:v>
      </x:c>
      <x:c r="E1324" s="13" t="str">
        <x:v>en</x:v>
      </x:c>
      <x:c r="F1324" s="13" t="str">
        <x:v>clothing_shoes_jewelry</x:v>
      </x:c>
      <x:c r="G1324" s="16" t="str"/>
      <x:c r="H1324" s="16" t="str">
        <x:v>flip_flop</x:v>
      </x:c>
      <x:c r="I1324" s="16" t="str">
        <x:v>women</x:v>
      </x:c>
      <x:c r="J1324" s="16" t="str"/>
      <x:c r="K1324" s="16" t="str">
        <x:v>eva_material</x:v>
      </x:c>
      <x:c r="L1324" s="16" t="str">
        <x:v>beach</x:v>
      </x:c>
      <x:c r="M1324" s="16" t="str">
        <x:v>beach</x:v>
      </x:c>
      <x:c r="N1324" s="16" t="str"/>
      <x:c r="O1324" s="16" t="str"/>
      <x:c r="P1324" s="16" t="str"/>
      <x:c r="Q1324" s="16" t="str"/>
      <x:c r="R1324" s="16" t="str">
        <x:v>女性用户寻找EVA材质的沙滩人字拖，适合海滩环境使用。</x:v>
      </x:c>
      <x:c r="S1324" s="13" t="str">
        <x:v>high_intent</x:v>
      </x:c>
      <x:c r="T1324" s="16" t="str">
        <x:v>explicit | page_validated | inferred</x:v>
      </x:c>
      <x:c r="U1324" s="13" t="str">
        <x:v>high</x:v>
      </x:c>
      <x:c r="V1324" s="16" t="str">
        <x:v>women_beach_eva_flip_flops</x:v>
      </x:c>
      <x:c r="W1324" s="16" t="str">
        <x:v>cluster_route</x:v>
      </x:c>
      <x:c r="X1324" s="16" t="str">
        <x:v>{"primary_domain":[{"value":"clothing_shoes_jewelry","evidence_type":"inferred","source_span":"flip-flops","fact_ids":[],"rationale":"人字拖属于鞋类。"}],"product_type":[{"value":"flip_flop","evidence_type":"explicit","source_span":"flip-flops","fact_ids":[],"rationale":"搜索词直接提及flip-flops。"},{"value":"flip_flop","evidence_type":"page_validated","source_span":"","fact_ids":["style_flip_flop","title_womens_flip_flop"],"rationale":"产品为女士人字拖。"}],"audience_intent":[{"value":"women","evidence_type":"explicit","source_span":"women's","fact_ids":[],"rationale":"搜索词直接指明women's。"},{"value":"women","evidence_type":"page_validated","source_span":"","fact_ids":["title_womens_flip_flop"],"rationale":"产品标题为女士款。"}],"capability_intent":[{"value":"eva_material","evidence_type":"explicit","source_span":"eva","fact_ids":[],"rationale":"搜索词明确要求EVA材质。"},{"value":"eva_material","evidence_type":"page_validated","source_span":"","fact_ids":["material_eva"],"rationale":"产品外底材质为EVA。"}],"event_intent":[{"value":"beach","evidence_type":"explicit","source_span":"beach","fact_ids":[],"rationale":"搜索词直接指定beach场景。"},{"value":"beach","evidence_type":"page_validated","source_span":"","fact_ids":["style_outdoor"],"rationale":"产品定位户外生活，适合海滩。"}],"location_intent":[{"value":"beach","evidence_type":"explicit","source_span":"beach","fact_ids":[],"rationale":"搜索词直接指定海滩地点。"}]}</x:v>
      </x:c>
      <x:c r="Y1324" s="16" t="str"/>
      <x:c r="Z1324" s="13" t="str">
        <x:v>match</x:v>
      </x:c>
      <x:c r="AA1324" s="16" t="str">
        <x:v>title_womens_flip_flop | style_flip_flop | material_eva | style_outdoor</x:v>
      </x:c>
      <x:c r="AB1324" s="13" t="str">
        <x:v>accepted</x:v>
      </x:c>
      <x:c r="AC1324" s="13" t="str">
        <x:v>1.0.0</x:v>
      </x:c>
      <x:c r="AD1324" s="13" t="str">
        <x:v>1.1.0</x:v>
      </x:c>
      <x:c r="AE1324" s="13" t="str">
        <x:v>deepseek/deepseek-v4-pro</x:v>
      </x:c>
      <x:c r="AF1324" s="13" t="str">
        <x:v>aj2-y90-20260714T234810-0bea2f52</x:v>
      </x:c>
      <x:c r="AG1324" s="13" t="str">
        <x:v>full-0067</x:v>
      </x:c>
      <x:c r="AH1324" s="13" t="str">
        <x:v>full</x:v>
      </x:c>
      <x:c r="AI1324" s="13" t="n">
        <x:v>67</x:v>
      </x:c>
    </x:row>
    <x:row r="1325" ht="34" customHeight="1">
      <x:c r="A1325" s="15" t="str">
        <x:v>blue arch support flip flops</x:v>
      </x:c>
      <x:c r="B1325" s="15" t="str">
        <x:v>blue arch support flip flops</x:v>
      </x:c>
      <x:c r="C1325" s="10" t="str">
        <x:v>3410549ca57c5d13</x:v>
      </x:c>
      <x:c r="D1325" s="10" t="str">
        <x:v>keyword</x:v>
      </x:c>
      <x:c r="E1325" s="10" t="str">
        <x:v>en</x:v>
      </x:c>
      <x:c r="F1325" s="10" t="str">
        <x:v>clothing_shoes_jewelry</x:v>
      </x:c>
      <x:c r="G1325" s="15" t="str"/>
      <x:c r="H1325" s="15" t="str">
        <x:v>flip_flop</x:v>
      </x:c>
      <x:c r="I1325" s="15" t="str"/>
      <x:c r="J1325" s="15" t="str">
        <x:v>arch_support | color_blue</x:v>
      </x:c>
      <x:c r="K1325" s="15" t="str"/>
      <x:c r="L1325" s="15" t="str"/>
      <x:c r="M1325" s="15" t="str"/>
      <x:c r="N1325" s="15" t="str">
        <x:v>arch_support</x:v>
      </x:c>
      <x:c r="O1325" s="15" t="str"/>
      <x:c r="P1325" s="15" t="str"/>
      <x:c r="Q1325" s="15" t="str"/>
      <x:c r="R1325" s="15" t="str">
        <x:v>用户寻找蓝色且有足弓支撑的人字拖，颜色和功能均为明确筛选条件。</x:v>
      </x:c>
      <x:c r="S1325" s="10" t="str">
        <x:v>consideration</x:v>
      </x:c>
      <x:c r="T1325" s="15" t="str">
        <x:v>explicit | page_validated | inferred</x:v>
      </x:c>
      <x:c r="U1325" s="10" t="str">
        <x:v>high</x:v>
      </x:c>
      <x:c r="V1325" s="15" t="str">
        <x:v>blue_arch_flip_flops</x:v>
      </x:c>
      <x:c r="W1325" s="15" t="str">
        <x:v>cluster_route</x:v>
      </x:c>
      <x:c r="X1325" s="15" t="str">
        <x:v>{"primary_domain":[{"value":"clothing_shoes_jewelry","evidence_type":"inferred","source_span":"flip flops","fact_ids":[],"rationale":"人字拖属于鞋类。"}],"product_type":[{"value":"flip_flop","evidence_type":"explicit","source_span":"flip flops","fact_ids":[],"rationale":"搜索词直接提及flip flops。"},{"value":"flip_flop","evidence_type":"page_validated","source_span":"","fact_ids":["style_flip_flop"],"rationale":"产品页面确认为人字拖。"}],"function_intent":[{"value":"color_blue","evidence_type":"explicit","source_span":"blue","fact_ids":[],"rationale":"搜索词明确要求blue颜色。"},{"value":"color_blue","evidence_type":"page_validated","source_span":"","fact_ids":["colors_visible"],"rationale":"产品颜色选择器含light blue，蓝色系可匹配。"}],"capability_intent":[{"value":"arch_support","evidence_type":"page_validated","source_span":"","fact_ids":["arch_support"],"rationale":"该槽位与商品基准中的明示页面事实一致。"}]}</x:v>
      </x:c>
      <x:c r="Y1325" s="15" t="str"/>
      <x:c r="Z1325" s="10" t="str">
        <x:v>match</x:v>
      </x:c>
      <x:c r="AA1325" s="15" t="str">
        <x:v>style_flip_flop | arch_support | colors_visible</x:v>
      </x:c>
      <x:c r="AB1325" s="10" t="str">
        <x:v>accepted</x:v>
      </x:c>
      <x:c r="AC1325" s="10" t="str">
        <x:v>1.0.0</x:v>
      </x:c>
      <x:c r="AD1325" s="10" t="str">
        <x:v>1.1.0</x:v>
      </x:c>
      <x:c r="AE1325" s="10" t="str">
        <x:v>deepseek/deepseek-v4-pro</x:v>
      </x:c>
      <x:c r="AF1325" s="10" t="str">
        <x:v>aj2-y90-20260714T234810-0bea2f52</x:v>
      </x:c>
      <x:c r="AG1325" s="10" t="str">
        <x:v>full-0067</x:v>
      </x:c>
      <x:c r="AH1325" s="10" t="str">
        <x:v>full</x:v>
      </x:c>
      <x:c r="AI1325" s="10" t="n">
        <x:v>67</x:v>
      </x:c>
    </x:row>
    <x:row r="1326" ht="34" customHeight="1">
      <x:c r="A1326" s="16" t="str">
        <x:v>qzie flip flops</x:v>
      </x:c>
      <x:c r="B1326" s="16" t="str">
        <x:v>qzie flip flops</x:v>
      </x:c>
      <x:c r="C1326" s="13" t="str">
        <x:v>37dc45e2ee140ef6</x:v>
      </x:c>
      <x:c r="D1326" s="13" t="str">
        <x:v>keyword</x:v>
      </x:c>
      <x:c r="E1326" s="13" t="str">
        <x:v>en</x:v>
      </x:c>
      <x:c r="F1326" s="13" t="str">
        <x:v>clothing_shoes_jewelry</x:v>
      </x:c>
      <x:c r="G1326" s="16" t="str"/>
      <x:c r="H1326" s="16" t="str">
        <x:v>flip_flop</x:v>
      </x:c>
      <x:c r="I1326" s="16" t="str"/>
      <x:c r="J1326" s="16" t="str"/>
      <x:c r="K1326" s="16" t="str"/>
      <x:c r="L1326" s="16" t="str"/>
      <x:c r="M1326" s="16" t="str"/>
      <x:c r="N1326" s="16" t="str"/>
      <x:c r="O1326" s="16" t="str"/>
      <x:c r="P1326" s="16" t="str"/>
      <x:c r="Q1326" s="16" t="str"/>
      <x:c r="R1326" s="16" t="str">
        <x:v>用户搜索qzie品牌或拼写的人字拖，品牌意图不明。</x:v>
      </x:c>
      <x:c r="S1326" s="13" t="str">
        <x:v>unknown</x:v>
      </x:c>
      <x:c r="T1326" s="16" t="str">
        <x:v>explicit | inferred</x:v>
      </x:c>
      <x:c r="U1326" s="13" t="str">
        <x:v>low</x:v>
      </x:c>
      <x:c r="V1326" s="16" t="str">
        <x:v>unclassified</x:v>
      </x:c>
      <x:c r="W1326" s="16" t="str">
        <x:v>ambiguity_review</x:v>
      </x:c>
      <x:c r="X1326" s="16" t="str">
        <x:v>{"primary_domain":[{"value":"clothing_shoes_jewelry","evidence_type":"inferred","source_span":"flip flops","fact_ids":[],"rationale":"人字拖属于鞋类。"}],"product_type":[{"value":"flip_flop","evidence_type":"explicit","source_span":"flip flops","fact_ids":[],"rationale":"搜索词直接提及flip flops。"},{"value":"flip_flop","evidence_type":"page_validated","source_span":"","fact_ids":["style_flip_flop"],"rationale":"该槽位与商品基准中的明示页面事实一致。"}]}</x:v>
      </x:c>
      <x:c r="Y1326" s="16" t="str">
        <x:v>unknown_brand_qzie | possible_typo</x:v>
      </x:c>
      <x:c r="Z1326" s="13" t="str">
        <x:v>unknown</x:v>
      </x:c>
      <x:c r="AA1326" s="16" t="str"/>
      <x:c r="AB1326" s="13" t="str">
        <x:v>needs_review</x:v>
      </x:c>
      <x:c r="AC1326" s="13" t="str">
        <x:v>1.0.0</x:v>
      </x:c>
      <x:c r="AD1326" s="13" t="str">
        <x:v>1.1.0</x:v>
      </x:c>
      <x:c r="AE1326" s="13" t="str">
        <x:v>deepseek/deepseek-v4-pro</x:v>
      </x:c>
      <x:c r="AF1326" s="13" t="str">
        <x:v>aj2-y90-20260714T234810-0bea2f52</x:v>
      </x:c>
      <x:c r="AG1326" s="13" t="str">
        <x:v>full-0067</x:v>
      </x:c>
      <x:c r="AH1326" s="13" t="str">
        <x:v>full</x:v>
      </x:c>
      <x:c r="AI1326" s="13" t="n">
        <x:v>67</x:v>
      </x:c>
    </x:row>
    <x:row r="1327" ht="34" customHeight="1">
      <x:c r="A1327" s="15" t="str">
        <x:v>lynco flip flops</x:v>
      </x:c>
      <x:c r="B1327" s="15" t="str">
        <x:v>lynco flip flops</x:v>
      </x:c>
      <x:c r="C1327" s="10" t="str">
        <x:v>3e018e77e72cb519</x:v>
      </x:c>
      <x:c r="D1327" s="10" t="str">
        <x:v>keyword</x:v>
      </x:c>
      <x:c r="E1327" s="10" t="str">
        <x:v>en</x:v>
      </x:c>
      <x:c r="F1327" s="10" t="str">
        <x:v>clothing_shoes_jewelry</x:v>
      </x:c>
      <x:c r="G1327" s="15" t="str"/>
      <x:c r="H1327" s="15" t="str">
        <x:v>flip_flop</x:v>
      </x:c>
      <x:c r="I1327" s="15" t="str"/>
      <x:c r="J1327" s="15" t="str"/>
      <x:c r="K1327" s="15" t="str"/>
      <x:c r="L1327" s="15" t="str"/>
      <x:c r="M1327" s="15" t="str"/>
      <x:c r="N1327" s="15" t="str"/>
      <x:c r="O1327" s="15" t="str"/>
      <x:c r="P1327" s="15" t="str"/>
      <x:c r="Q1327" s="15" t="str"/>
      <x:c r="R1327" s="15" t="str">
        <x:v>用户搜索lynco品牌或拼写的人字拖，品牌意图不明确。</x:v>
      </x:c>
      <x:c r="S1327" s="10" t="str">
        <x:v>unknown</x:v>
      </x:c>
      <x:c r="T1327" s="15" t="str">
        <x:v>explicit | inferred</x:v>
      </x:c>
      <x:c r="U1327" s="10" t="str">
        <x:v>low</x:v>
      </x:c>
      <x:c r="V1327" s="15" t="str">
        <x:v>unclassified</x:v>
      </x:c>
      <x:c r="W1327" s="15" t="str">
        <x:v>ambiguity_review</x:v>
      </x:c>
      <x:c r="X1327" s="15" t="str">
        <x:v>{"primary_domain":[{"value":"clothing_shoes_jewelry","evidence_type":"inferred","source_span":"flip flops","fact_ids":[],"rationale":"人字拖属于鞋类。"}],"product_type":[{"value":"flip_flop","evidence_type":"explicit","source_span":"flip flops","fact_ids":[],"rationale":"搜索词直接提及flip flops。"},{"value":"flip_flop","evidence_type":"page_validated","source_span":"","fact_ids":["style_flip_flop"],"rationale":"该槽位与商品基准中的明示页面事实一致。"}]}</x:v>
      </x:c>
      <x:c r="Y1327" s="15" t="str">
        <x:v>unknown_brand_lynco | possible_typo_or_orthotic_brand</x:v>
      </x:c>
      <x:c r="Z1327" s="10" t="str">
        <x:v>unknown</x:v>
      </x:c>
      <x:c r="AA1327" s="15" t="str"/>
      <x:c r="AB1327" s="10" t="str">
        <x:v>needs_review</x:v>
      </x:c>
      <x:c r="AC1327" s="10" t="str">
        <x:v>1.0.0</x:v>
      </x:c>
      <x:c r="AD1327" s="10" t="str">
        <x:v>1.1.0</x:v>
      </x:c>
      <x:c r="AE1327" s="10" t="str">
        <x:v>deepseek/deepseek-v4-pro</x:v>
      </x:c>
      <x:c r="AF1327" s="10" t="str">
        <x:v>aj2-y90-20260714T234810-0bea2f52</x:v>
      </x:c>
      <x:c r="AG1327" s="10" t="str">
        <x:v>full-0067</x:v>
      </x:c>
      <x:c r="AH1327" s="10" t="str">
        <x:v>full</x:v>
      </x:c>
      <x:c r="AI1327" s="10" t="n">
        <x:v>67</x:v>
      </x:c>
    </x:row>
    <x:row r="1328" ht="34" customHeight="1">
      <x:c r="A1328" s="16" t="str">
        <x:v>archies lemon flip flops</x:v>
      </x:c>
      <x:c r="B1328" s="16" t="str">
        <x:v>archies lemon flip flops</x:v>
      </x:c>
      <x:c r="C1328" s="13" t="str">
        <x:v>49ac5c526281786c</x:v>
      </x:c>
      <x:c r="D1328" s="13" t="str">
        <x:v>keyword</x:v>
      </x:c>
      <x:c r="E1328" s="13" t="str">
        <x:v>en</x:v>
      </x:c>
      <x:c r="F1328" s="13" t="str">
        <x:v>clothing_shoes_jewelry</x:v>
      </x:c>
      <x:c r="G1328" s="16" t="str"/>
      <x:c r="H1328" s="16" t="str">
        <x:v>flip_flop</x:v>
      </x:c>
      <x:c r="I1328" s="16" t="str"/>
      <x:c r="J1328" s="16" t="str">
        <x:v>arch_support | color_yellow</x:v>
      </x:c>
      <x:c r="K1328" s="16" t="str"/>
      <x:c r="L1328" s="16" t="str"/>
      <x:c r="M1328" s="16" t="str"/>
      <x:c r="N1328" s="16" t="str">
        <x:v>arch_support</x:v>
      </x:c>
      <x:c r="O1328" s="16" t="str"/>
      <x:c r="P1328" s="16" t="str">
        <x:v>archies_alternative</x:v>
      </x:c>
      <x:c r="Q1328" s="16" t="str"/>
      <x:c r="R1328" s="16" t="str">
        <x:v>用户搜索柠檬黄色Archies品牌人字拖，对品牌和颜色均有指定，可能接受同类替代品。</x:v>
      </x:c>
      <x:c r="S1328" s="13" t="str">
        <x:v>consideration</x:v>
      </x:c>
      <x:c r="T1328" s="16" t="str">
        <x:v>explicit | inferred</x:v>
      </x:c>
      <x:c r="U1328" s="13" t="str">
        <x:v>medium</x:v>
      </x:c>
      <x:c r="V1328" s="16" t="str">
        <x:v>archies_lemon_flip_flops</x:v>
      </x:c>
      <x:c r="W1328" s="16" t="str">
        <x:v>semantic_negative_candidate</x:v>
      </x:c>
      <x:c r="X1328" s="16" t="str">
        <x:v>{"primary_domain":[{"value":"clothing_shoes_jewelry","evidence_type":"inferred","source_span":"flip flops","fact_ids":[],"rationale":"人字拖属于鞋类。"}],"product_type":[{"value":"flip_flop","evidence_type":"explicit","source_span":"flip flops","fact_ids":[],"rationale":"搜索词直接提及flip flops。"},{"value":"flip_flop","evidence_type":"page_validated","source_span":"","fact_ids":["style_flip_flop"],"rationale":"该槽位与商品基准中的明示页面事实一致。"}],"function_intent":[{"value":"color_yellow","evidence_type":"explicit","source_span":"lemon","fact_ids":[],"rationale":"lemon直接表达柠檬黄颜色需求。"}],"substitute_intent":[{"value":"archies_alternative","evidence_type":"inferred","source_span":"archies","fact_ids":[],"rationale":"搜索特定品牌可能接受功能相似的替代品。"}],"capability_intent":[{"value":"arch_support","evidence_type":"page_validated","source_span":"","fact_ids":["arch_support"],"rationale":"该槽位与商品基准中的明示页面事实一致。"},{"value":"arch_support","evidence_type":"inferred","source_span":"","fact_ids":[],"rationale":"该能力由搜索词表达的任务或问题推断；页面事实仅用于验证商品承接。"}]}</x:v>
      </x:c>
      <x:c r="Y1328" s="16" t="str">
        <x:v>archies_brand_specific | lemon_color_unavailable</x:v>
      </x:c>
      <x:c r="Z1328" s="13" t="str">
        <x:v>mismatch</x:v>
      </x:c>
      <x:c r="AA1328" s="16" t="str">
        <x:v>arch_support | style_flip_flop</x:v>
      </x:c>
      <x:c r="AB1328" s="13" t="str">
        <x:v>needs_review</x:v>
      </x:c>
      <x:c r="AC1328" s="13" t="str">
        <x:v>1.0.0</x:v>
      </x:c>
      <x:c r="AD1328" s="13" t="str">
        <x:v>1.1.0</x:v>
      </x:c>
      <x:c r="AE1328" s="13" t="str">
        <x:v>deepseek/deepseek-v4-pro</x:v>
      </x:c>
      <x:c r="AF1328" s="13" t="str">
        <x:v>aj2-y90-20260714T234810-0bea2f52</x:v>
      </x:c>
      <x:c r="AG1328" s="13" t="str">
        <x:v>full-0067</x:v>
      </x:c>
      <x:c r="AH1328" s="13" t="str">
        <x:v>full</x:v>
      </x:c>
      <x:c r="AI1328" s="13" t="n">
        <x:v>67</x:v>
      </x:c>
    </x:row>
    <x:row r="1329" ht="34" customHeight="1">
      <x:c r="A1329" s="15" t="str">
        <x:v>orthopedic flip flops</x:v>
      </x:c>
      <x:c r="B1329" s="15" t="str">
        <x:v>orthopedic flip flops</x:v>
      </x:c>
      <x:c r="C1329" s="10" t="str">
        <x:v>550092669e68d482</x:v>
      </x:c>
      <x:c r="D1329" s="10" t="str">
        <x:v>keyword</x:v>
      </x:c>
      <x:c r="E1329" s="10" t="str">
        <x:v>en</x:v>
      </x:c>
      <x:c r="F1329" s="10" t="str">
        <x:v>clothing_shoes_jewelry</x:v>
      </x:c>
      <x:c r="G1329" s="15" t="str">
        <x:v>health_household</x:v>
      </x:c>
      <x:c r="H1329" s="15" t="str">
        <x:v>flip_flop | orthopedic_footwear</x:v>
      </x:c>
      <x:c r="I1329" s="15" t="str"/>
      <x:c r="J1329" s="15" t="str">
        <x:v>orthopedic_support | arch_support</x:v>
      </x:c>
      <x:c r="K1329" s="15" t="str">
        <x:v>arch_support | cushioning</x:v>
      </x:c>
      <x:c r="L1329" s="15" t="str"/>
      <x:c r="M1329" s="15" t="str"/>
      <x:c r="N1329" s="15" t="str">
        <x:v>foot_pain_relief | arch_support</x:v>
      </x:c>
      <x:c r="O1329" s="15" t="str">
        <x:v>all_day_wear</x:v>
      </x:c>
      <x:c r="P1329" s="15" t="str"/>
      <x:c r="Q1329" s="15" t="str"/>
      <x:c r="R1329" s="15" t="str">
        <x:v>用户寻找具有矫形功能的医用级人字拖，用于缓解足部不适和提供足弓支撑。</x:v>
      </x:c>
      <x:c r="S1329" s="10" t="str">
        <x:v>consideration</x:v>
      </x:c>
      <x:c r="T1329" s="15" t="str">
        <x:v>explicit | page_validated | inferred</x:v>
      </x:c>
      <x:c r="U1329" s="10" t="str">
        <x:v>medium</x:v>
      </x:c>
      <x:c r="V1329" s="15" t="str">
        <x:v>orthopedic_flip_flops</x:v>
      </x:c>
      <x:c r="W1329" s="15" t="str">
        <x:v>listing_gap_review</x:v>
      </x:c>
      <x:c r="X1329" s="15" t="str">
        <x:v>{"primary_domain":[{"value":"clothing_shoes_jewelry","evidence_type":"inferred","source_span":"flip flops","fact_ids":[],"rationale":"人字拖属于鞋类。"}],"secondary_domain":[{"value":"health_household","evidence_type":"inferred","source_span":"orthopedic","fact_ids":[],"rationale":"矫形需求涉及健康护理领域。"}],"product_type":[{"value":"flip_flop","evidence_type":"explicit","source_span":"flip flops","fact_ids":[],"rationale":"搜索词直接提及flip flops。"},{"value":"flip_flop","evidence_type":"page_validated","source_span":"","fact_ids":["style_flip_flop"],"rationale":"产品页面确认为人字拖。"},{"value":"orthopedic_footwear","evidence_type":"inferred","source_span":"orthopedic","fact_ids":[],"rationale":"orthopedic暗示矫形鞋类需求。"}],"function_intent":[{"value":"orthopedic_support","evidence_type":"explicit","source_span":"orthopedic","fact_ids":[],"rationale":"搜索词明确要求orthopedic功能。"}],"capability_intent":[{"value":"arch_support","evidence_type":"page_validated","source_span":"","fact_ids":["arch_support"],"rationale":"产品具有人体工学足弓支撑。"},{"value":"cushioning","evidence_type":"page_validated","source_span":"","fact_ids":["padded_cushioning"],"rationale":"产品具有加厚缓冲功能。"},{"value":"arch_support","evidence_type":"inferred","source_span":"","fact_ids":[],"rationale":"该能力由搜索词表达的任务或问题推断；页面事实仅用于验证商品承接。"},{"value":"cushioning","evidence_type":"inferred","source_span":"","fact_ids":[],"rationale":"该能力由搜索词表达的任务或问题推断；页面事实仅用于验证商品承接。"}],"body_need_intent":[{"value":"foot_pain_relief","evidence_type":"inferred","source_span":"orthopedic","fact_ids":[],"rationale":"矫形需求通常源于足部疼痛。"}],"time_intent":[{"value":"all_day_wear","evidence_type":"inferred","source_span":"","fact_ids":[],"rationale":"该值由搜索词整体语义推断，未作为页面明示属性。"}]}</x:v>
      </x:c>
      <x:c r="Y1329" s="15" t="str"/>
      <x:c r="Z1329" s="10" t="str">
        <x:v>partial_match</x:v>
      </x:c>
      <x:c r="AA1329" s="15" t="str">
        <x:v>arch_support | padded_cushioning | style_flip_flop</x:v>
      </x:c>
      <x:c r="AB1329" s="10" t="str">
        <x:v>needs_review</x:v>
      </x:c>
      <x:c r="AC1329" s="10" t="str">
        <x:v>1.0.0</x:v>
      </x:c>
      <x:c r="AD1329" s="10" t="str">
        <x:v>1.1.0</x:v>
      </x:c>
      <x:c r="AE1329" s="10" t="str">
        <x:v>deepseek/deepseek-v4-pro</x:v>
      </x:c>
      <x:c r="AF1329" s="10" t="str">
        <x:v>aj2-y90-20260714T234810-0bea2f52</x:v>
      </x:c>
      <x:c r="AG1329" s="10" t="str">
        <x:v>full-0067</x:v>
      </x:c>
      <x:c r="AH1329" s="10" t="str">
        <x:v>full</x:v>
      </x:c>
      <x:c r="AI1329" s="10" t="n">
        <x:v>67</x:v>
      </x:c>
    </x:row>
    <x:row r="1330" ht="34" customHeight="1">
      <x:c r="A1330" s="16" t="str">
        <x:v>sporty flip flops</x:v>
      </x:c>
      <x:c r="B1330" s="16" t="str">
        <x:v>sporty flip flops</x:v>
      </x:c>
      <x:c r="C1330" s="13" t="str">
        <x:v>5a0fa03d4057b4d4</x:v>
      </x:c>
      <x:c r="D1330" s="13" t="str">
        <x:v>keyword</x:v>
      </x:c>
      <x:c r="E1330" s="13" t="str">
        <x:v>en</x:v>
      </x:c>
      <x:c r="F1330" s="13" t="str">
        <x:v>clothing_shoes_jewelry</x:v>
      </x:c>
      <x:c r="G1330" s="16" t="str">
        <x:v>sports_outdoors</x:v>
      </x:c>
      <x:c r="H1330" s="16" t="str">
        <x:v>flip_flop</x:v>
      </x:c>
      <x:c r="I1330" s="16" t="str"/>
      <x:c r="J1330" s="16" t="str">
        <x:v>athletic_style</x:v>
      </x:c>
      <x:c r="K1330" s="16" t="str">
        <x:v>slip_resistance</x:v>
      </x:c>
      <x:c r="L1330" s="16" t="str">
        <x:v>outdoor_activity</x:v>
      </x:c>
      <x:c r="M1330" s="16" t="str">
        <x:v>outdoor</x:v>
      </x:c>
      <x:c r="N1330" s="16" t="str"/>
      <x:c r="O1330" s="16" t="str"/>
      <x:c r="P1330" s="16" t="str"/>
      <x:c r="Q1330" s="16" t="str"/>
      <x:c r="R1330" s="16" t="str">
        <x:v>用户寻找具有运动风格的人字拖，适合户外活动并具备防滑性能。</x:v>
      </x:c>
      <x:c r="S1330" s="13" t="str">
        <x:v>exploration</x:v>
      </x:c>
      <x:c r="T1330" s="16" t="str">
        <x:v>explicit | page_validated | inferred</x:v>
      </x:c>
      <x:c r="U1330" s="13" t="str">
        <x:v>high</x:v>
      </x:c>
      <x:c r="V1330" s="16" t="str">
        <x:v>sporty_flip_flops</x:v>
      </x:c>
      <x:c r="W1330" s="16" t="str">
        <x:v>cluster_route</x:v>
      </x:c>
      <x:c r="X1330" s="16" t="str">
        <x:v>{"primary_domain":[{"value":"clothing_shoes_jewelry","evidence_type":"inferred","source_span":"flip flops","fact_ids":[],"rationale":"人字拖属于鞋类。"}],"secondary_domain":[{"value":"sports_outdoors","evidence_type":"inferred","source_span":"sporty","fact_ids":[],"rationale":"运动风格关联户外运动领域。"}],"product_type":[{"value":"flip_flop","evidence_type":"explicit","source_span":"flip flops","fact_ids":[],"rationale":"搜索词直接提及flip flops。"},{"value":"flip_flop","evidence_type":"page_validated","source_span":"","fact_ids":["style_flip_flop"],"rationale":"产品页面确认为人字拖。"}],"function_intent":[{"value":"athletic_style","evidence_type":"explicit","source_span":"sporty","fact_ids":[],"rationale":"sporty直接表达运动风格需求。"}],"capability_intent":[{"value":"slip_resistance","evidence_type":"page_validated","source_span":"","fact_ids":["slip_resistant_grip"],"rationale":"产品具有防滑纹理外底，适合运动场景。"}],"event_intent":[{"value":"outdoor_activity","evidence_type":"page_validated","source_span":"","fact_ids":["style_outdoor"],"rationale":"产品定位为户外生活场景。"}],"location_intent":[{"value":"outdoor","evidence_type":"page_validated","source_span":"","fact_ids":["style_outdoor"],"rationale":"产品定位为户外使用。"},{"value":"outdoor","evidence_type":"inferred","source_span":"","fact_ids":[],"rationale":"该能力由搜索词表达的任务或问题推断；页面事实仅用于验证商品承接。"}]}</x:v>
      </x:c>
      <x:c r="Y1330" s="16" t="str"/>
      <x:c r="Z1330" s="13" t="str">
        <x:v>match</x:v>
      </x:c>
      <x:c r="AA1330" s="16" t="str">
        <x:v>style_flip_flop | style_outdoor | slip_resistant_grip</x:v>
      </x:c>
      <x:c r="AB1330" s="13" t="str">
        <x:v>accepted</x:v>
      </x:c>
      <x:c r="AC1330" s="13" t="str">
        <x:v>1.0.0</x:v>
      </x:c>
      <x:c r="AD1330" s="13" t="str">
        <x:v>1.1.0</x:v>
      </x:c>
      <x:c r="AE1330" s="13" t="str">
        <x:v>deepseek/deepseek-v4-pro</x:v>
      </x:c>
      <x:c r="AF1330" s="13" t="str">
        <x:v>aj2-y90-20260714T234810-0bea2f52</x:v>
      </x:c>
      <x:c r="AG1330" s="13" t="str">
        <x:v>full-0067</x:v>
      </x:c>
      <x:c r="AH1330" s="13" t="str">
        <x:v>full</x:v>
      </x:c>
      <x:c r="AI1330" s="13" t="n">
        <x:v>67</x:v>
      </x:c>
    </x:row>
    <x:row r="1331" ht="34" customHeight="1">
      <x:c r="A1331" s="15" t="str">
        <x:v>joomra womens flip flops arch support</x:v>
      </x:c>
      <x:c r="B1331" s="15" t="str">
        <x:v>joomra womens flip flops arch support</x:v>
      </x:c>
      <x:c r="C1331" s="10" t="str">
        <x:v>5c655693c0d2a9db</x:v>
      </x:c>
      <x:c r="D1331" s="10" t="str">
        <x:v>keyword</x:v>
      </x:c>
      <x:c r="E1331" s="10" t="str">
        <x:v>en</x:v>
      </x:c>
      <x:c r="F1331" s="10" t="str">
        <x:v>clothing_shoes_jewelry</x:v>
      </x:c>
      <x:c r="G1331" s="15" t="str"/>
      <x:c r="H1331" s="15" t="str">
        <x:v>flip_flop</x:v>
      </x:c>
      <x:c r="I1331" s="15" t="str">
        <x:v>women</x:v>
      </x:c>
      <x:c r="J1331" s="15" t="str">
        <x:v>arch_support</x:v>
      </x:c>
      <x:c r="K1331" s="15" t="str"/>
      <x:c r="L1331" s="15" t="str"/>
      <x:c r="M1331" s="15" t="str"/>
      <x:c r="N1331" s="15" t="str">
        <x:v>arch_support</x:v>
      </x:c>
      <x:c r="O1331" s="15" t="str"/>
      <x:c r="P1331" s="15" t="str"/>
      <x:c r="Q1331" s="15" t="str"/>
      <x:c r="R1331" s="15" t="str">
        <x:v>用户直接搜索joomra品牌的女士足弓支撑人字拖，表现出明确的品牌和产品认知。</x:v>
      </x:c>
      <x:c r="S1331" s="10" t="str">
        <x:v>brand_harvest</x:v>
      </x:c>
      <x:c r="T1331" s="15" t="str">
        <x:v>explicit | page_validated | inferred</x:v>
      </x:c>
      <x:c r="U1331" s="10" t="str">
        <x:v>high</x:v>
      </x:c>
      <x:c r="V1331" s="15" t="str">
        <x:v>joomra_women_arch_flip_flops</x:v>
      </x:c>
      <x:c r="W1331" s="15" t="str">
        <x:v>cluster_route</x:v>
      </x:c>
      <x:c r="X1331" s="15" t="str">
        <x:v>{"primary_domain":[{"value":"clothing_shoes_jewelry","evidence_type":"inferred","source_span":"flip flops","fact_ids":[],"rationale":"人字拖属于鞋类。"}],"product_type":[{"value":"flip_flop","evidence_type":"explicit","source_span":"flip flops","fact_ids":[],"rationale":"搜索词直接提及flip flops。"},{"value":"flip_flop","evidence_type":"page_validated","source_span":"","fact_ids":["style_flip_flop","title_womens_flip_flop"],"rationale":"产品页面确认为女士人字拖。"}],"audience_intent":[{"value":"women","evidence_type":"explicit","source_span":"womens","fact_ids":[],"rationale":"搜索词直接指明womens。"},{"value":"women","evidence_type":"page_validated","source_span":"","fact_ids":["title_womens_flip_flop"],"rationale":"产品标题确认为女士款。"}],"capability_intent":[{"value":"arch_support","evidence_type":"page_validated","source_span":"","fact_ids":["arch_support"],"rationale":"该槽位与商品基准中的明示页面事实一致。"}],"brand":[{"value":"joomra","evidence_type":"explicit","source_span":"joomra","fact_ids":[],"rationale":"搜索词明确包含品牌名称。"}]}</x:v>
      </x:c>
      <x:c r="Y1331" s="15" t="str"/>
      <x:c r="Z1331" s="10" t="str">
        <x:v>match</x:v>
      </x:c>
      <x:c r="AA1331" s="15" t="str">
        <x:v>title_womens_flip_flop | style_flip_flop | arch_support</x:v>
      </x:c>
      <x:c r="AB1331" s="10" t="str">
        <x:v>accepted</x:v>
      </x:c>
      <x:c r="AC1331" s="10" t="str">
        <x:v>1.0.0</x:v>
      </x:c>
      <x:c r="AD1331" s="10" t="str">
        <x:v>1.1.0</x:v>
      </x:c>
      <x:c r="AE1331" s="10" t="str">
        <x:v>deepseek/deepseek-v4-pro</x:v>
      </x:c>
      <x:c r="AF1331" s="10" t="str">
        <x:v>aj2-y90-20260714T234810-0bea2f52</x:v>
      </x:c>
      <x:c r="AG1331" s="10" t="str">
        <x:v>full-0067</x:v>
      </x:c>
      <x:c r="AH1331" s="10" t="str">
        <x:v>full</x:v>
      </x:c>
      <x:c r="AI1331" s="10" t="n">
        <x:v>67</x:v>
      </x:c>
    </x:row>
    <x:row r="1332" ht="34" customHeight="1">
      <x:c r="A1332" s="16" t="str">
        <x:v>archies. dupe</x:v>
      </x:c>
      <x:c r="B1332" s="16" t="str">
        <x:v>archies. dupe</x:v>
      </x:c>
      <x:c r="C1332" s="13" t="str">
        <x:v>704f4d8602b0e4b1</x:v>
      </x:c>
      <x:c r="D1332" s="13" t="str">
        <x:v>keyword</x:v>
      </x:c>
      <x:c r="E1332" s="13" t="str">
        <x:v>en</x:v>
      </x:c>
      <x:c r="F1332" s="13" t="str">
        <x:v>clothing_shoes_jewelry</x:v>
      </x:c>
      <x:c r="G1332" s="16" t="str"/>
      <x:c r="H1332" s="16" t="str">
        <x:v>flip_flop</x:v>
      </x:c>
      <x:c r="I1332" s="16" t="str"/>
      <x:c r="J1332" s="16" t="str">
        <x:v>arch_support</x:v>
      </x:c>
      <x:c r="K1332" s="16" t="str"/>
      <x:c r="L1332" s="16" t="str"/>
      <x:c r="M1332" s="16" t="str"/>
      <x:c r="N1332" s="16" t="str">
        <x:v>arch_support</x:v>
      </x:c>
      <x:c r="O1332" s="16" t="str"/>
      <x:c r="P1332" s="16" t="str">
        <x:v>archies_dupe_alternative</x:v>
      </x:c>
      <x:c r="Q1332" s="16" t="str"/>
      <x:c r="R1332" s="16" t="str">
        <x:v>用户寻找Archies品牌人字拖的平价替代品，需要类似的足弓支撑功能。</x:v>
      </x:c>
      <x:c r="S1332" s="13" t="str">
        <x:v>high_intent</x:v>
      </x:c>
      <x:c r="T1332" s="16" t="str">
        <x:v>explicit | page_validated | inferred</x:v>
      </x:c>
      <x:c r="U1332" s="13" t="str">
        <x:v>high</x:v>
      </x:c>
      <x:c r="V1332" s="16" t="str">
        <x:v>archies_dupe_alternative</x:v>
      </x:c>
      <x:c r="W1332" s="16" t="str">
        <x:v>cluster_route</x:v>
      </x:c>
      <x:c r="X1332" s="16" t="str">
        <x:v>{"primary_domain":[{"value":"clothing_shoes_jewelry","evidence_type":"inferred","source_span":"archies","fact_ids":[],"rationale":"Archies是知名人字拖品牌，属于鞋类。"}],"product_type":[{"value":"flip_flop","evidence_type":"page_validated","source_span":"","fact_ids":["style_flip_flop","arch_support"],"rationale":"产品同为足弓支撑人字拖，可作替代。"},{"value":"flip_flop","evidence_type":"inferred","source_span":"","fact_ids":[],"rationale":"该能力由搜索词表达的任务或问题推断；页面事实仅用于验证商品承接。"}],"substitute_intent":[{"value":"archies_dupe_alternative","evidence_type":"explicit","source_span":"dupe","fact_ids":[],"rationale":"dupe明确表示寻找替代品。"}],"capability_intent":[{"value":"arch_support","evidence_type":"page_validated","source_span":"","fact_ids":["arch_support"],"rationale":"该槽位与商品基准中的明示页面事实一致。"},{"value":"arch_support","evidence_type":"inferred","source_span":"","fact_ids":[],"rationale":"该能力由搜索词表达的任务或问题推断；页面事实仅用于验证商品承接。"}]}</x:v>
      </x:c>
      <x:c r="Y1332" s="16" t="str"/>
      <x:c r="Z1332" s="13" t="str">
        <x:v>match</x:v>
      </x:c>
      <x:c r="AA1332" s="16" t="str">
        <x:v>style_flip_flop | arch_support | title_womens_flip_flop</x:v>
      </x:c>
      <x:c r="AB1332" s="13" t="str">
        <x:v>accepted</x:v>
      </x:c>
      <x:c r="AC1332" s="13" t="str">
        <x:v>1.0.0</x:v>
      </x:c>
      <x:c r="AD1332" s="13" t="str">
        <x:v>1.1.0</x:v>
      </x:c>
      <x:c r="AE1332" s="13" t="str">
        <x:v>deepseek/deepseek-v4-pro</x:v>
      </x:c>
      <x:c r="AF1332" s="13" t="str">
        <x:v>aj2-y90-20260714T234810-0bea2f52</x:v>
      </x:c>
      <x:c r="AG1332" s="13" t="str">
        <x:v>full-0067</x:v>
      </x:c>
      <x:c r="AH1332" s="13" t="str">
        <x:v>full</x:v>
      </x:c>
      <x:c r="AI1332" s="13" t="n">
        <x:v>67</x:v>
      </x:c>
    </x:row>
    <x:row r="1333" ht="34" customHeight="1">
      <x:c r="A1333" s="15" t="str">
        <x:v>flip flops light blue</x:v>
      </x:c>
      <x:c r="B1333" s="15" t="str">
        <x:v>flip flops light blue</x:v>
      </x:c>
      <x:c r="C1333" s="10" t="str">
        <x:v>7e79d4d0a611cf2c</x:v>
      </x:c>
      <x:c r="D1333" s="10" t="str">
        <x:v>keyword</x:v>
      </x:c>
      <x:c r="E1333" s="10" t="str">
        <x:v>en</x:v>
      </x:c>
      <x:c r="F1333" s="10" t="str">
        <x:v>clothing_shoes_jewelry</x:v>
      </x:c>
      <x:c r="G1333" s="15" t="str"/>
      <x:c r="H1333" s="15" t="str">
        <x:v>flip_flop</x:v>
      </x:c>
      <x:c r="I1333" s="15" t="str"/>
      <x:c r="J1333" s="15" t="str">
        <x:v>color_light_blue</x:v>
      </x:c>
      <x:c r="K1333" s="15" t="str"/>
      <x:c r="L1333" s="15" t="str"/>
      <x:c r="M1333" s="15" t="str"/>
      <x:c r="N1333" s="15" t="str"/>
      <x:c r="O1333" s="15" t="str"/>
      <x:c r="P1333" s="15" t="str"/>
      <x:c r="Q1333" s="15" t="str"/>
      <x:c r="R1333" s="15" t="str">
        <x:v>用户寻找浅蓝色的人字拖，颜色是主要选择标准。</x:v>
      </x:c>
      <x:c r="S1333" s="10" t="str">
        <x:v>consideration</x:v>
      </x:c>
      <x:c r="T1333" s="15" t="str">
        <x:v>explicit | page_validated | inferred</x:v>
      </x:c>
      <x:c r="U1333" s="10" t="str">
        <x:v>high</x:v>
      </x:c>
      <x:c r="V1333" s="15" t="str">
        <x:v>light_blue_flip_flops</x:v>
      </x:c>
      <x:c r="W1333" s="15" t="str">
        <x:v>cluster_route</x:v>
      </x:c>
      <x:c r="X1333" s="15" t="str">
        <x:v>{"primary_domain":[{"value":"clothing_shoes_jewelry","evidence_type":"inferred","source_span":"flip flops","fact_ids":[],"rationale":"人字拖属于鞋类产品。"}],"product_type":[{"value":"flip_flop","evidence_type":"explicit","source_span":"flip flops","fact_ids":[],"rationale":"搜索词直接提及flip flops。"},{"value":"flip_flop","evidence_type":"page_validated","source_span":"","fact_ids":["style_flip_flop"],"rationale":"产品页面确认为人字拖。"}],"function_intent":[{"value":"color_light_blue","evidence_type":"explicit","source_span":"light blue","fact_ids":[],"rationale":"搜索词明确要求light blue颜色。"},{"value":"color_light_blue","evidence_type":"page_validated","source_span":"","fact_ids":["colors_visible"],"rationale":"产品颜色选择器包含light blue。"}]}</x:v>
      </x:c>
      <x:c r="Y1333" s="15" t="str"/>
      <x:c r="Z1333" s="10" t="str">
        <x:v>match</x:v>
      </x:c>
      <x:c r="AA1333" s="15" t="str">
        <x:v>style_flip_flop | colors_visible</x:v>
      </x:c>
      <x:c r="AB1333" s="10" t="str">
        <x:v>accepted</x:v>
      </x:c>
      <x:c r="AC1333" s="10" t="str">
        <x:v>1.0.0</x:v>
      </x:c>
      <x:c r="AD1333" s="10" t="str">
        <x:v>1.1.0</x:v>
      </x:c>
      <x:c r="AE1333" s="10" t="str">
        <x:v>deepseek/deepseek-v4-pro</x:v>
      </x:c>
      <x:c r="AF1333" s="10" t="str">
        <x:v>aj2-y90-20260714T234810-0bea2f52</x:v>
      </x:c>
      <x:c r="AG1333" s="10" t="str">
        <x:v>full-0067</x:v>
      </x:c>
      <x:c r="AH1333" s="10" t="str">
        <x:v>full</x:v>
      </x:c>
      <x:c r="AI1333" s="10" t="n">
        <x:v>67</x:v>
      </x:c>
    </x:row>
    <x:row r="1334" ht="34" customHeight="1">
      <x:c r="A1334" s="16" t="str">
        <x:v>archies lemon drop flip</x:v>
      </x:c>
      <x:c r="B1334" s="16" t="str">
        <x:v>archies lemon drop flip</x:v>
      </x:c>
      <x:c r="C1334" s="13" t="str">
        <x:v>9c87196cf2e09871</x:v>
      </x:c>
      <x:c r="D1334" s="13" t="str">
        <x:v>keyword</x:v>
      </x:c>
      <x:c r="E1334" s="13" t="str">
        <x:v>en</x:v>
      </x:c>
      <x:c r="F1334" s="13" t="str">
        <x:v>clothing_shoes_jewelry</x:v>
      </x:c>
      <x:c r="G1334" s="16" t="str"/>
      <x:c r="H1334" s="16" t="str">
        <x:v>flip_flop</x:v>
      </x:c>
      <x:c r="I1334" s="16" t="str"/>
      <x:c r="J1334" s="16" t="str">
        <x:v>arch_support | color_lemon</x:v>
      </x:c>
      <x:c r="K1334" s="16" t="str"/>
      <x:c r="L1334" s="16" t="str"/>
      <x:c r="M1334" s="16" t="str"/>
      <x:c r="N1334" s="16" t="str">
        <x:v>arch_support</x:v>
      </x:c>
      <x:c r="O1334" s="16" t="str"/>
      <x:c r="P1334" s="16" t="str">
        <x:v>archies_alternative</x:v>
      </x:c>
      <x:c r="Q1334" s="16" t="str"/>
      <x:c r="R1334" s="16" t="str">
        <x:v>用户搜索Archies品牌lemon drop配色的特定型号人字拖，品牌和颜色高度锁定。</x:v>
      </x:c>
      <x:c r="S1334" s="13" t="str">
        <x:v>high_intent</x:v>
      </x:c>
      <x:c r="T1334" s="16" t="str">
        <x:v>explicit | inferred</x:v>
      </x:c>
      <x:c r="U1334" s="13" t="str">
        <x:v>medium</x:v>
      </x:c>
      <x:c r="V1334" s="16" t="str">
        <x:v>archies_lemon_drop_flip</x:v>
      </x:c>
      <x:c r="W1334" s="16" t="str">
        <x:v>semantic_negative_candidate</x:v>
      </x:c>
      <x:c r="X1334" s="16" t="str">
        <x:v>{"primary_domain":[{"value":"clothing_shoes_jewelry","evidence_type":"inferred","source_span":"flip","fact_ids":[],"rationale":"flip指人字拖，属于鞋类。"}],"product_type":[{"value":"flip_flop","evidence_type":"explicit","source_span":"flip","fact_ids":[],"rationale":"flip是flip flop的简称。"},{"value":"flip_flop","evidence_type":"page_validated","source_span":"","fact_ids":["style_flip_flop"],"rationale":"该槽位与商品基准中的明示页面事实一致。"},{"value":"flip_flop","evidence_type":"inferred","source_span":"","fact_ids":[],"rationale":"该能力由搜索词表达的任务或问题推断；页面事实仅用于验证商品承接。"}],"function_intent":[{"value":"color_lemon","evidence_type":"explicit","source_span":"lemon drop","fact_ids":[],"rationale":"lemon drop为Archies特定配色名称。"}],"substitute_intent":[{"value":"archies_alternative","evidence_type":"inferred","source_span":"archies","fact_ids":[],"rationale":"搜索Archies特定型号，可能接受功能替代品。"}],"capability_intent":[{"value":"arch_support","evidence_type":"page_validated","source_span":"","fact_ids":["arch_support"],"rationale":"该槽位与商品基准中的明示页面事实一致。"},{"value":"arch_support","evidence_type":"inferred","source_span":"","fact_ids":[],"rationale":"该能力由搜索词表达的任务或问题推断；页面事实仅用于验证商品承接。"}]}</x:v>
      </x:c>
      <x:c r="Y1334" s="16" t="str">
        <x:v>archies_specific_model | lemon_drop_color_unavailable</x:v>
      </x:c>
      <x:c r="Z1334" s="13" t="str">
        <x:v>mismatch</x:v>
      </x:c>
      <x:c r="AA1334" s="16" t="str">
        <x:v>arch_support | style_flip_flop</x:v>
      </x:c>
      <x:c r="AB1334" s="13" t="str">
        <x:v>needs_review</x:v>
      </x:c>
      <x:c r="AC1334" s="13" t="str">
        <x:v>1.0.0</x:v>
      </x:c>
      <x:c r="AD1334" s="13" t="str">
        <x:v>1.1.0</x:v>
      </x:c>
      <x:c r="AE1334" s="13" t="str">
        <x:v>deepseek/deepseek-v4-pro</x:v>
      </x:c>
      <x:c r="AF1334" s="13" t="str">
        <x:v>aj2-y90-20260714T234810-0bea2f52</x:v>
      </x:c>
      <x:c r="AG1334" s="13" t="str">
        <x:v>full-0067</x:v>
      </x:c>
      <x:c r="AH1334" s="13" t="str">
        <x:v>full</x:v>
      </x:c>
      <x:c r="AI1334" s="13" t="n">
        <x:v>67</x:v>
      </x:c>
    </x:row>
    <x:row r="1335" ht="34" customHeight="1">
      <x:c r="A1335" s="15" t="str">
        <x:v>comfy flip flopsfor women</x:v>
      </x:c>
      <x:c r="B1335" s="15" t="str">
        <x:v>comfy flip flopsfor women</x:v>
      </x:c>
      <x:c r="C1335" s="10" t="str">
        <x:v>ac846b6915be062d</x:v>
      </x:c>
      <x:c r="D1335" s="10" t="str">
        <x:v>keyword</x:v>
      </x:c>
      <x:c r="E1335" s="10" t="str">
        <x:v>en</x:v>
      </x:c>
      <x:c r="F1335" s="10" t="str">
        <x:v>clothing_shoes_jewelry</x:v>
      </x:c>
      <x:c r="G1335" s="15" t="str"/>
      <x:c r="H1335" s="15" t="str">
        <x:v>flip_flop</x:v>
      </x:c>
      <x:c r="I1335" s="15" t="str">
        <x:v>women</x:v>
      </x:c>
      <x:c r="J1335" s="15" t="str">
        <x:v>comfort</x:v>
      </x:c>
      <x:c r="K1335" s="15" t="str">
        <x:v>cushioning</x:v>
      </x:c>
      <x:c r="L1335" s="15" t="str"/>
      <x:c r="M1335" s="15" t="str"/>
      <x:c r="N1335" s="15" t="str">
        <x:v>comfort_seeking</x:v>
      </x:c>
      <x:c r="O1335" s="15" t="str"/>
      <x:c r="P1335" s="15" t="str"/>
      <x:c r="Q1335" s="15" t="str"/>
      <x:c r="R1335" s="15" t="str">
        <x:v>女性用户寻找舒适的人字拖，注重穿着舒适度和缓冲性能。</x:v>
      </x:c>
      <x:c r="S1335" s="10" t="str">
        <x:v>consideration</x:v>
      </x:c>
      <x:c r="T1335" s="15" t="str">
        <x:v>explicit | page_validated | inferred</x:v>
      </x:c>
      <x:c r="U1335" s="10" t="str">
        <x:v>high</x:v>
      </x:c>
      <x:c r="V1335" s="15" t="str">
        <x:v>comfy_women_flip_flops</x:v>
      </x:c>
      <x:c r="W1335" s="15" t="str">
        <x:v>cluster_route</x:v>
      </x:c>
      <x:c r="X1335" s="15" t="str">
        <x:v>{"primary_domain":[{"value":"clothing_shoes_jewelry","evidence_type":"inferred","source_span":"flip flopsfor","fact_ids":[],"rationale":"flip flops属于鞋类。"}],"product_type":[{"value":"flip_flop","evidence_type":"explicit","source_span":"flip flopsfor","fact_ids":[],"rationale":"搜索词含flip flops拼写变体。"},{"value":"flip_flop","evidence_type":"page_validated","source_span":"","fact_ids":["style_flip_flop","title_womens_flip_flop"],"rationale":"产品为女士人字拖。"}],"audience_intent":[{"value":"women","evidence_type":"explicit","source_span":"women","fact_ids":[],"rationale":"搜索词直接指明women。"},{"value":"women","evidence_type":"page_validated","source_span":"","fact_ids":["title_womens_flip_flop"],"rationale":"产品标题为女士款。"}],"function_intent":[{"value":"comfort","evidence_type":"explicit","source_span":"comfy","fact_ids":[],"rationale":"comfy直接表达舒适需求。"},{"value":"comfort","evidence_type":"page_validated","source_span":"","fact_ids":["arch_support","padded_cushioning"],"rationale":"该槽位与商品基准中的明示页面事实一致。"},{"value":"comfort","evidence_type":"inferred","source_span":"","fact_ids":[],"rationale":"该能力由搜索词表达的任务或问题推断；页面事实仅用于验证商品承接。"}],"capability_intent":[{"value":"cushioning","evidence_type":"page_validated","source_span":"","fact_ids":["padded_cushioning","arch_support"],"rationale":"产品具有加厚缓冲和足弓支撑以提供舒适感。"},{"value":"cushioning","evidence_type":"inferred","source_span":"","fact_ids":[],"rationale":"该能力由搜索词表达的任务或问题推断；页面事实仅用于验证商品承接。"}],"body_need_intent":[{"value":"comfort_seeking","evidence_type":"explicit","source_span":"comfy","fact_ids":[],"rationale":"comfy表达对舒适穿着的身体需求。"}]}</x:v>
      </x:c>
      <x:c r="Y1335" s="15" t="str"/>
      <x:c r="Z1335" s="10" t="str">
        <x:v>match</x:v>
      </x:c>
      <x:c r="AA1335" s="15" t="str">
        <x:v>title_womens_flip_flop | style_flip_flop | padded_cushioning | arch_support | lightweight_breathable</x:v>
      </x:c>
      <x:c r="AB1335" s="10" t="str">
        <x:v>accepted</x:v>
      </x:c>
      <x:c r="AC1335" s="10" t="str">
        <x:v>1.0.0</x:v>
      </x:c>
      <x:c r="AD1335" s="10" t="str">
        <x:v>1.1.0</x:v>
      </x:c>
      <x:c r="AE1335" s="10" t="str">
        <x:v>deepseek/deepseek-v4-pro</x:v>
      </x:c>
      <x:c r="AF1335" s="10" t="str">
        <x:v>aj2-y90-20260714T234810-0bea2f52</x:v>
      </x:c>
      <x:c r="AG1335" s="10" t="str">
        <x:v>full-0067</x:v>
      </x:c>
      <x:c r="AH1335" s="10" t="str">
        <x:v>full</x:v>
      </x:c>
      <x:c r="AI1335" s="10" t="n">
        <x:v>67</x:v>
      </x:c>
    </x:row>
    <x:row r="1336" ht="34" customHeight="1">
      <x:c r="A1336" s="16" t="str">
        <x:v>island surf flip flops women</x:v>
      </x:c>
      <x:c r="B1336" s="16" t="str">
        <x:v>island surf flip flops women</x:v>
      </x:c>
      <x:c r="C1336" s="13" t="str">
        <x:v>b8bda451ea451376</x:v>
      </x:c>
      <x:c r="D1336" s="13" t="str">
        <x:v>keyword</x:v>
      </x:c>
      <x:c r="E1336" s="13" t="str">
        <x:v>en</x:v>
      </x:c>
      <x:c r="F1336" s="13" t="str">
        <x:v>clothing_shoes_jewelry</x:v>
      </x:c>
      <x:c r="G1336" s="16" t="str">
        <x:v>sports_outdoors</x:v>
      </x:c>
      <x:c r="H1336" s="16" t="str">
        <x:v>flip_flop</x:v>
      </x:c>
      <x:c r="I1336" s="16" t="str">
        <x:v>women</x:v>
      </x:c>
      <x:c r="J1336" s="16" t="str"/>
      <x:c r="K1336" s="16" t="str"/>
      <x:c r="L1336" s="16" t="str">
        <x:v>beach | surf</x:v>
      </x:c>
      <x:c r="M1336" s="16" t="str">
        <x:v>beach</x:v>
      </x:c>
      <x:c r="N1336" s="16" t="str"/>
      <x:c r="O1336" s="16" t="str"/>
      <x:c r="P1336" s="16" t="str">
        <x:v>island_surf_alternative</x:v>
      </x:c>
      <x:c r="Q1336" s="16" t="str"/>
      <x:c r="R1336" s="16" t="str">
        <x:v>女性用户寻找适合海滩冲浪场景的人字拖，可能指Island Surf品牌或海岛冲浪风格。</x:v>
      </x:c>
      <x:c r="S1336" s="13" t="str">
        <x:v>consideration</x:v>
      </x:c>
      <x:c r="T1336" s="16" t="str">
        <x:v>explicit | page_validated | inferred</x:v>
      </x:c>
      <x:c r="U1336" s="13" t="str">
        <x:v>medium</x:v>
      </x:c>
      <x:c r="V1336" s="16" t="str">
        <x:v>island_surf_women_flip_flops</x:v>
      </x:c>
      <x:c r="W1336" s="16" t="str">
        <x:v>semantic_negative_candidate</x:v>
      </x:c>
      <x:c r="X1336" s="16" t="str">
        <x:v>{"primary_domain":[{"value":"clothing_shoes_jewelry","evidence_type":"inferred","source_span":"flip flops","fact_ids":[],"rationale":"人字拖属于鞋类。"}],"secondary_domain":[{"value":"sports_outdoors","evidence_type":"inferred","source_span":"surf","fact_ids":[],"rationale":"冲浪属于户外运动场景。"}],"product_type":[{"value":"flip_flop","evidence_type":"explicit","source_span":"flip flops","fact_ids":[],"rationale":"搜索词直接提及flip flops。"},{"value":"flip_flop","evidence_type":"page_validated","source_span":"","fact_ids":["style_flip_flop"],"rationale":"产品页面确认为人字拖。"}],"audience_intent":[{"value":"women","evidence_type":"explicit","source_span":"women","fact_ids":[],"rationale":"搜索词直接指明women。"},{"value":"women","evidence_type":"page_validated","source_span":"","fact_ids":["title_womens_flip_flop"],"rationale":"产品标题确认为女士款。"}],"event_intent":[{"value":"beach","evidence_type":"inferred","source_span":"island surf","fact_ids":[],"rationale":"海岛冲浪场景暗示海滩使用。"},{"value":"surf","evidence_type":"inferred","source_span":"surf","fact_ids":[],"rationale":"冲浪为明确的活动场景。"}],"location_intent":[{"value":"beach","evidence_type":"inferred","source_span":"island surf","fact_ids":[],"rationale":"island和surf均指向海滩场景。"}],"substitute_intent":[{"value":"island_surf_alternative","evidence_type":"inferred","source_span":"island surf","fact_ids":[],"rationale":"island surf可能为品牌名，搜索同类替代品。"}]}</x:v>
      </x:c>
      <x:c r="Y1336" s="16" t="str">
        <x:v>island_surf_brand_or_style | surf_water_use_unvalidated</x:v>
      </x:c>
      <x:c r="Z1336" s="13" t="str">
        <x:v>mismatch</x:v>
      </x:c>
      <x:c r="AA1336" s="16" t="str">
        <x:v>style_flip_flop | title_womens_flip_flop | style_outdoor</x:v>
      </x:c>
      <x:c r="AB1336" s="13" t="str">
        <x:v>needs_review</x:v>
      </x:c>
      <x:c r="AC1336" s="13" t="str">
        <x:v>1.0.0</x:v>
      </x:c>
      <x:c r="AD1336" s="13" t="str">
        <x:v>1.1.0</x:v>
      </x:c>
      <x:c r="AE1336" s="13" t="str">
        <x:v>deepseek/deepseek-v4-pro</x:v>
      </x:c>
      <x:c r="AF1336" s="13" t="str">
        <x:v>aj2-y90-20260714T234810-0bea2f52</x:v>
      </x:c>
      <x:c r="AG1336" s="13" t="str">
        <x:v>full-0067</x:v>
      </x:c>
      <x:c r="AH1336" s="13" t="str">
        <x:v>full</x:v>
      </x:c>
      <x:c r="AI1336" s="13" t="n">
        <x:v>67</x:v>
      </x:c>
    </x:row>
    <x:row r="1337" ht="34" customHeight="1">
      <x:c r="A1337" s="15" t="str">
        <x:v>orange flip flops arch</x:v>
      </x:c>
      <x:c r="B1337" s="15" t="str">
        <x:v>orange flip flops arch</x:v>
      </x:c>
      <x:c r="C1337" s="10" t="str">
        <x:v>c1d6e744d8932c3f</x:v>
      </x:c>
      <x:c r="D1337" s="10" t="str">
        <x:v>keyword</x:v>
      </x:c>
      <x:c r="E1337" s="10" t="str">
        <x:v>en</x:v>
      </x:c>
      <x:c r="F1337" s="10" t="str">
        <x:v>clothing_shoes_jewelry</x:v>
      </x:c>
      <x:c r="G1337" s="15" t="str"/>
      <x:c r="H1337" s="15" t="str">
        <x:v>flip_flop</x:v>
      </x:c>
      <x:c r="I1337" s="15" t="str"/>
      <x:c r="J1337" s="15" t="str">
        <x:v>arch_support | color_orange</x:v>
      </x:c>
      <x:c r="K1337" s="15" t="str"/>
      <x:c r="L1337" s="15" t="str"/>
      <x:c r="M1337" s="15" t="str"/>
      <x:c r="N1337" s="15" t="str">
        <x:v>arch_support</x:v>
      </x:c>
      <x:c r="O1337" s="15" t="str"/>
      <x:c r="P1337" s="15" t="str"/>
      <x:c r="Q1337" s="15" t="str"/>
      <x:c r="R1337" s="15" t="str">
        <x:v>用户寻找橙色且有足弓支撑的人字拖，颜色和支撑功能均为明确需求。</x:v>
      </x:c>
      <x:c r="S1337" s="10" t="str">
        <x:v>consideration</x:v>
      </x:c>
      <x:c r="T1337" s="15" t="str">
        <x:v>explicit | page_validated | inferred</x:v>
      </x:c>
      <x:c r="U1337" s="10" t="str">
        <x:v>high</x:v>
      </x:c>
      <x:c r="V1337" s="15" t="str">
        <x:v>orange_arch_flip_flops</x:v>
      </x:c>
      <x:c r="W1337" s="15" t="str">
        <x:v>listing_gap_review</x:v>
      </x:c>
      <x:c r="X1337" s="15" t="str">
        <x:v>{"primary_domain":[{"value":"clothing_shoes_jewelry","evidence_type":"inferred","source_span":"flip flops","fact_ids":[],"rationale":"人字拖属于鞋类。"}],"product_type":[{"value":"flip_flop","evidence_type":"explicit","source_span":"flip flops","fact_ids":[],"rationale":"搜索词直接提及flip flops。"},{"value":"flip_flop","evidence_type":"page_validated","source_span":"","fact_ids":["style_flip_flop"],"rationale":"产品页面确认为人字拖。"}],"function_intent":[{"value":"color_orange","evidence_type":"explicit","source_span":"orange","fact_ids":[],"rationale":"搜索词明确要求orange颜色。"}],"capability_intent":[{"value":"arch_support","evidence_type":"page_validated","source_span":"","fact_ids":["arch_support"],"rationale":"该槽位与商品基准中的明示页面事实一致。"},{"value":"arch_support","evidence_type":"inferred","source_span":"","fact_ids":[],"rationale":"该能力由搜索词表达的任务或问题推断；页面事实仅用于验证商品承接。"}]}</x:v>
      </x:c>
      <x:c r="Y1337" s="15" t="str"/>
      <x:c r="Z1337" s="10" t="str">
        <x:v>partial_match</x:v>
      </x:c>
      <x:c r="AA1337" s="15" t="str">
        <x:v>style_flip_flop | arch_support</x:v>
      </x:c>
      <x:c r="AB1337" s="10" t="str">
        <x:v>needs_review</x:v>
      </x:c>
      <x:c r="AC1337" s="10" t="str">
        <x:v>1.0.0</x:v>
      </x:c>
      <x:c r="AD1337" s="10" t="str">
        <x:v>1.1.0</x:v>
      </x:c>
      <x:c r="AE1337" s="10" t="str">
        <x:v>deepseek/deepseek-v4-pro</x:v>
      </x:c>
      <x:c r="AF1337" s="10" t="str">
        <x:v>aj2-y90-20260714T234810-0bea2f52</x:v>
      </x:c>
      <x:c r="AG1337" s="10" t="str">
        <x:v>full-0067</x:v>
      </x:c>
      <x:c r="AH1337" s="10" t="str">
        <x:v>full</x:v>
      </x:c>
      <x:c r="AI1337" s="10" t="n">
        <x:v>67</x:v>
      </x:c>
    </x:row>
    <x:row r="1338" ht="34" customHeight="1">
      <x:c r="A1338" s="16" t="str">
        <x:v>olive flip flops</x:v>
      </x:c>
      <x:c r="B1338" s="16" t="str">
        <x:v>olive flip flops</x:v>
      </x:c>
      <x:c r="C1338" s="13" t="str">
        <x:v>d69ce308c73cbb74</x:v>
      </x:c>
      <x:c r="D1338" s="13" t="str">
        <x:v>keyword</x:v>
      </x:c>
      <x:c r="E1338" s="13" t="str">
        <x:v>en</x:v>
      </x:c>
      <x:c r="F1338" s="13" t="str">
        <x:v>clothing_shoes_jewelry</x:v>
      </x:c>
      <x:c r="G1338" s="16" t="str"/>
      <x:c r="H1338" s="16" t="str">
        <x:v>flip_flop</x:v>
      </x:c>
      <x:c r="I1338" s="16" t="str"/>
      <x:c r="J1338" s="16" t="str"/>
      <x:c r="K1338" s="16" t="str"/>
      <x:c r="L1338" s="16" t="str"/>
      <x:c r="M1338" s="16" t="str"/>
      <x:c r="N1338" s="16" t="str"/>
      <x:c r="O1338" s="16" t="str"/>
      <x:c r="P1338" s="16" t="str"/>
      <x:c r="Q1338" s="16" t="str"/>
      <x:c r="R1338" s="16" t="str">
        <x:v>用户寻找橄榄绿色的人字拖，对颜色有明确偏好。</x:v>
      </x:c>
      <x:c r="S1338" s="13" t="str">
        <x:v>consideration</x:v>
      </x:c>
      <x:c r="T1338" s="16" t="str">
        <x:v>explicit | page_validated | inferred</x:v>
      </x:c>
      <x:c r="U1338" s="13" t="str">
        <x:v>high</x:v>
      </x:c>
      <x:c r="V1338" s="16" t="str">
        <x:v>olive_color_flip_flops</x:v>
      </x:c>
      <x:c r="W1338" s="16" t="str">
        <x:v>listing_gap_review</x:v>
      </x:c>
      <x:c r="X1338" s="16" t="str">
        <x:v>{"primary_domain":[{"value":"clothing_shoes_jewelry","evidence_type":"inferred","source_span":"flip flops","fact_ids":[],"rationale":"人字拖属于鞋类产品。"}],"product_type":[{"value":"flip_flop","evidence_type":"explicit","source_span":"flip flops","fact_ids":[],"rationale":"搜索词直接提及flip flops。"},{"value":"flip_flop","evidence_type":"page_validated","source_span":"","fact_ids":["style_flip_flop"],"rationale":"产品页面确认为人字拖。"}]}</x:v>
      </x:c>
      <x:c r="Y1338" s="16" t="str"/>
      <x:c r="Z1338" s="13" t="str">
        <x:v>partial_match</x:v>
      </x:c>
      <x:c r="AA1338" s="16" t="str">
        <x:v>style_flip_flop</x:v>
      </x:c>
      <x:c r="AB1338" s="13" t="str">
        <x:v>needs_review</x:v>
      </x:c>
      <x:c r="AC1338" s="13" t="str">
        <x:v>1.0.0</x:v>
      </x:c>
      <x:c r="AD1338" s="13" t="str">
        <x:v>1.1.0</x:v>
      </x:c>
      <x:c r="AE1338" s="13" t="str">
        <x:v>deepseek/deepseek-v4-pro</x:v>
      </x:c>
      <x:c r="AF1338" s="13" t="str">
        <x:v>aj2-y90-20260714T234810-0bea2f52</x:v>
      </x:c>
      <x:c r="AG1338" s="13" t="str">
        <x:v>full-0067</x:v>
      </x:c>
      <x:c r="AH1338" s="13" t="str">
        <x:v>full</x:v>
      </x:c>
      <x:c r="AI1338" s="13" t="n">
        <x:v>67</x:v>
      </x:c>
    </x:row>
    <x:row r="1339" ht="34" customHeight="1">
      <x:c r="A1339" s="15" t="str">
        <x:v>navy blue flip flops women arch support</x:v>
      </x:c>
      <x:c r="B1339" s="15" t="str">
        <x:v>navy blue flip flops women arch support</x:v>
      </x:c>
      <x:c r="C1339" s="10" t="str">
        <x:v>eb0d955705b3e7d0</x:v>
      </x:c>
      <x:c r="D1339" s="10" t="str">
        <x:v>keyword</x:v>
      </x:c>
      <x:c r="E1339" s="10" t="str">
        <x:v>en</x:v>
      </x:c>
      <x:c r="F1339" s="10" t="str">
        <x:v>clothing_shoes_jewelry</x:v>
      </x:c>
      <x:c r="G1339" s="15" t="str"/>
      <x:c r="H1339" s="15" t="str">
        <x:v>flip_flop</x:v>
      </x:c>
      <x:c r="I1339" s="15" t="str">
        <x:v>women</x:v>
      </x:c>
      <x:c r="J1339" s="15" t="str">
        <x:v>arch_support | color_navy_blue</x:v>
      </x:c>
      <x:c r="K1339" s="15" t="str"/>
      <x:c r="L1339" s="15" t="str"/>
      <x:c r="M1339" s="15" t="str"/>
      <x:c r="N1339" s="15" t="str">
        <x:v>arch_support</x:v>
      </x:c>
      <x:c r="O1339" s="15" t="str"/>
      <x:c r="P1339" s="15" t="str"/>
      <x:c r="Q1339" s="15" t="str"/>
      <x:c r="R1339" s="15" t="str">
        <x:v>女性用户寻找海军蓝色且有足弓支撑功能的人字拖，对颜色和支撑功能都有明确要求。</x:v>
      </x:c>
      <x:c r="S1339" s="10" t="str">
        <x:v>high_intent</x:v>
      </x:c>
      <x:c r="T1339" s="15" t="str">
        <x:v>explicit | page_validated | inferred</x:v>
      </x:c>
      <x:c r="U1339" s="10" t="str">
        <x:v>high</x:v>
      </x:c>
      <x:c r="V1339" s="15" t="str">
        <x:v>navy_women_arch_flip_flops</x:v>
      </x:c>
      <x:c r="W1339" s="15" t="str">
        <x:v>listing_gap_review</x:v>
      </x:c>
      <x:c r="X1339" s="15" t="str">
        <x:v>{"primary_domain":[{"value":"clothing_shoes_jewelry","evidence_type":"inferred","source_span":"flip flops","fact_ids":[],"rationale":"人字拖属于鞋类产品。"}],"product_type":[{"value":"flip_flop","evidence_type":"explicit","source_span":"flip flops","fact_ids":[],"rationale":"搜索词直接提及flip flops。"},{"value":"flip_flop","evidence_type":"page_validated","source_span":"","fact_ids":["style_flip_flop","title_womens_flip_flop"],"rationale":"产品页面确认为女士人字拖。"}],"audience_intent":[{"value":"women","evidence_type":"explicit","source_span":"women","fact_ids":[],"rationale":"搜索词直接指明women。"},{"value":"women","evidence_type":"page_validated","source_span":"","fact_ids":["title_womens_flip_flop"],"rationale":"产品标题确认为女士人字拖。"}],"function_intent":[{"value":"color_navy_blue","evidence_type":"explicit","source_span":"navy blue","fact_ids":[],"rationale":"搜索词明确要求navy blue颜色。"}],"capability_intent":[{"value":"arch_support","evidence_type":"page_validated","source_span":"","fact_ids":["arch_support"],"rationale":"该槽位与商品基准中的明示页面事实一致。"}]}</x:v>
      </x:c>
      <x:c r="Y1339" s="15" t="str"/>
      <x:c r="Z1339" s="10" t="str">
        <x:v>partial_match</x:v>
      </x:c>
      <x:c r="AA1339" s="15" t="str">
        <x:v>title_womens_flip_flop | arch_support | style_flip_flop</x:v>
      </x:c>
      <x:c r="AB1339" s="10" t="str">
        <x:v>needs_review</x:v>
      </x:c>
      <x:c r="AC1339" s="10" t="str">
        <x:v>1.0.0</x:v>
      </x:c>
      <x:c r="AD1339" s="10" t="str">
        <x:v>1.1.0</x:v>
      </x:c>
      <x:c r="AE1339" s="10" t="str">
        <x:v>deepseek/deepseek-v4-pro</x:v>
      </x:c>
      <x:c r="AF1339" s="10" t="str">
        <x:v>aj2-y90-20260714T234810-0bea2f52</x:v>
      </x:c>
      <x:c r="AG1339" s="10" t="str">
        <x:v>full-0067</x:v>
      </x:c>
      <x:c r="AH1339" s="10" t="str">
        <x:v>full</x:v>
      </x:c>
      <x:c r="AI1339" s="10" t="n">
        <x:v>67</x:v>
      </x:c>
    </x:row>
    <x:row r="1340" ht="34" customHeight="1">
      <x:c r="A1340" s="16" t="str">
        <x:v>arch support sandals</x:v>
      </x:c>
      <x:c r="B1340" s="16" t="str">
        <x:v>arch support sandals</x:v>
      </x:c>
      <x:c r="C1340" s="13" t="str">
        <x:v>f1281d77f03fb50e</x:v>
      </x:c>
      <x:c r="D1340" s="13" t="str">
        <x:v>keyword</x:v>
      </x:c>
      <x:c r="E1340" s="13" t="str">
        <x:v>en</x:v>
      </x:c>
      <x:c r="F1340" s="13" t="str">
        <x:v>clothing_shoes_jewelry</x:v>
      </x:c>
      <x:c r="G1340" s="16" t="str"/>
      <x:c r="H1340" s="16" t="str">
        <x:v>sandal</x:v>
      </x:c>
      <x:c r="I1340" s="16" t="str"/>
      <x:c r="J1340" s="16" t="str">
        <x:v>arch_support</x:v>
      </x:c>
      <x:c r="K1340" s="16" t="str"/>
      <x:c r="L1340" s="16" t="str"/>
      <x:c r="M1340" s="16" t="str"/>
      <x:c r="N1340" s="16" t="str">
        <x:v>arch_support</x:v>
      </x:c>
      <x:c r="O1340" s="16" t="str"/>
      <x:c r="P1340" s="16" t="str"/>
      <x:c r="Q1340" s="16" t="str"/>
      <x:c r="R1340" s="16" t="str">
        <x:v>用户广泛搜索具有足弓支撑功能的凉鞋，对具体款式未做限制。</x:v>
      </x:c>
      <x:c r="S1340" s="13" t="str">
        <x:v>exploration</x:v>
      </x:c>
      <x:c r="T1340" s="16" t="str">
        <x:v>explicit | page_validated | inferred</x:v>
      </x:c>
      <x:c r="U1340" s="13" t="str">
        <x:v>high</x:v>
      </x:c>
      <x:c r="V1340" s="16" t="str">
        <x:v>arch_support_sandals</x:v>
      </x:c>
      <x:c r="W1340" s="16" t="str">
        <x:v>cluster_route</x:v>
      </x:c>
      <x:c r="X1340" s="16" t="str">
        <x:v>{"primary_domain":[{"value":"clothing_shoes_jewelry","evidence_type":"inferred","source_span":"sandals","fact_ids":[],"rationale":"凉鞋属于鞋类产品。"}],"product_type":[{"value":"sandal","evidence_type":"explicit","source_span":"sandals","fact_ids":[],"rationale":"搜索词直接提及sandals。"},{"value":"sandal","evidence_type":"page_validated","source_span":"","fact_ids":["style_flip_flop"],"rationale":"人字拖属于凉鞋子类，产品具有足弓支撑。"}],"capability_intent":[{"value":"arch_support","evidence_type":"page_validated","source_span":"","fact_ids":["arch_support"],"rationale":"该槽位与商品基准中的明示页面事实一致。"}]}</x:v>
      </x:c>
      <x:c r="Y1340" s="16" t="str"/>
      <x:c r="Z1340" s="13" t="str">
        <x:v>match</x:v>
      </x:c>
      <x:c r="AA1340" s="16" t="str">
        <x:v>arch_support | style_flip_flop</x:v>
      </x:c>
      <x:c r="AB1340" s="13" t="str">
        <x:v>accepted</x:v>
      </x:c>
      <x:c r="AC1340" s="13" t="str">
        <x:v>1.0.0</x:v>
      </x:c>
      <x:c r="AD1340" s="13" t="str">
        <x:v>1.1.0</x:v>
      </x:c>
      <x:c r="AE1340" s="13" t="str">
        <x:v>deepseek/deepseek-v4-pro</x:v>
      </x:c>
      <x:c r="AF1340" s="13" t="str">
        <x:v>aj2-y90-20260714T234810-0bea2f52</x:v>
      </x:c>
      <x:c r="AG1340" s="13" t="str">
        <x:v>full-0067</x:v>
      </x:c>
      <x:c r="AH1340" s="13" t="str">
        <x:v>full</x:v>
      </x:c>
      <x:c r="AI1340" s="13" t="n">
        <x:v>67</x:v>
      </x:c>
    </x:row>
    <x:row r="1341" ht="34" customHeight="1">
      <x:c r="A1341" s="15" t="str">
        <x:v>black sandals with arch support</x:v>
      </x:c>
      <x:c r="B1341" s="15" t="str">
        <x:v>black sandals with arch support</x:v>
      </x:c>
      <x:c r="C1341" s="10" t="str">
        <x:v>f7ebd17ea5c52bbe</x:v>
      </x:c>
      <x:c r="D1341" s="10" t="str">
        <x:v>keyword</x:v>
      </x:c>
      <x:c r="E1341" s="10" t="str">
        <x:v>en</x:v>
      </x:c>
      <x:c r="F1341" s="10" t="str">
        <x:v>clothing_shoes_jewelry</x:v>
      </x:c>
      <x:c r="G1341" s="15" t="str"/>
      <x:c r="H1341" s="15" t="str">
        <x:v>sandal</x:v>
      </x:c>
      <x:c r="I1341" s="15" t="str"/>
      <x:c r="J1341" s="15" t="str">
        <x:v>arch_support | color_black</x:v>
      </x:c>
      <x:c r="K1341" s="15" t="str"/>
      <x:c r="L1341" s="15" t="str"/>
      <x:c r="M1341" s="15" t="str"/>
      <x:c r="N1341" s="15" t="str">
        <x:v>arch_support</x:v>
      </x:c>
      <x:c r="O1341" s="15" t="str"/>
      <x:c r="P1341" s="15" t="str"/>
      <x:c r="Q1341" s="15" t="str"/>
      <x:c r="R1341" s="15" t="str">
        <x:v>用户搜索黑色且有足弓支撑的凉鞋，颜色与支撑功能并重。</x:v>
      </x:c>
      <x:c r="S1341" s="10" t="str">
        <x:v>consideration</x:v>
      </x:c>
      <x:c r="T1341" s="15" t="str">
        <x:v>explicit | page_validated | inferred</x:v>
      </x:c>
      <x:c r="U1341" s="10" t="str">
        <x:v>high</x:v>
      </x:c>
      <x:c r="V1341" s="15" t="str">
        <x:v>black_arch_support_sandals</x:v>
      </x:c>
      <x:c r="W1341" s="15" t="str">
        <x:v>cluster_route</x:v>
      </x:c>
      <x:c r="X1341" s="15" t="str">
        <x:v>{"primary_domain":[{"value":"clothing_shoes_jewelry","evidence_type":"inferred","source_span":"sandals","fact_ids":[],"rationale":"凉鞋属于鞋类。"}],"product_type":[{"value":"sandal","evidence_type":"explicit","source_span":"sandals","fact_ids":[],"rationale":"搜索词直接提及sandals。"},{"value":"sandal","evidence_type":"page_validated","source_span":"","fact_ids":["style_flip_flop"],"rationale":"人字拖属于凉鞋子类。"}],"function_intent":[{"value":"color_black","evidence_type":"explicit","source_span":"black","fact_ids":[],"rationale":"搜索词明确要求black颜色。"},{"value":"color_black","evidence_type":"page_validated","source_span":"","fact_ids":["colors_visible"],"rationale":"产品颜色选择器包含黑色。"}],"capability_intent":[{"value":"arch_support","evidence_type":"page_validated","source_span":"","fact_ids":["arch_support"],"rationale":"该槽位与商品基准中的明示页面事实一致。"}]}</x:v>
      </x:c>
      <x:c r="Y1341" s="15" t="str"/>
      <x:c r="Z1341" s="10" t="str">
        <x:v>match</x:v>
      </x:c>
      <x:c r="AA1341" s="15" t="str">
        <x:v>arch_support | colors_visible | style_flip_flop</x:v>
      </x:c>
      <x:c r="AB1341" s="10" t="str">
        <x:v>accepted</x:v>
      </x:c>
      <x:c r="AC1341" s="10" t="str">
        <x:v>1.0.0</x:v>
      </x:c>
      <x:c r="AD1341" s="10" t="str">
        <x:v>1.1.0</x:v>
      </x:c>
      <x:c r="AE1341" s="10" t="str">
        <x:v>deepseek/deepseek-v4-pro</x:v>
      </x:c>
      <x:c r="AF1341" s="10" t="str">
        <x:v>aj2-y90-20260714T234810-0bea2f52</x:v>
      </x:c>
      <x:c r="AG1341" s="10" t="str">
        <x:v>full-0067</x:v>
      </x:c>
      <x:c r="AH1341" s="10" t="str">
        <x:v>full</x:v>
      </x:c>
      <x:c r="AI1341" s="10" t="n">
        <x:v>67</x:v>
      </x:c>
    </x:row>
    <x:row r="1342" ht="34" customHeight="1">
      <x:c r="A1342" s="16" t="str">
        <x:v>kidmi flip flops for women</x:v>
      </x:c>
      <x:c r="B1342" s="16" t="str">
        <x:v>kidmi flip flops for women</x:v>
      </x:c>
      <x:c r="C1342" s="13" t="str">
        <x:v>2ef957a68483c721</x:v>
      </x:c>
      <x:c r="D1342" s="13" t="str">
        <x:v>keyword</x:v>
      </x:c>
      <x:c r="E1342" s="13" t="str">
        <x:v>en</x:v>
      </x:c>
      <x:c r="F1342" s="13" t="str">
        <x:v>clothing_shoes_jewelry</x:v>
      </x:c>
      <x:c r="G1342" s="16" t="str"/>
      <x:c r="H1342" s="16" t="str">
        <x:v>flip_flops</x:v>
      </x:c>
      <x:c r="I1342" s="16" t="str">
        <x:v>women</x:v>
      </x:c>
      <x:c r="J1342" s="16" t="str"/>
      <x:c r="K1342" s="16" t="str"/>
      <x:c r="L1342" s="16" t="str"/>
      <x:c r="M1342" s="16" t="str"/>
      <x:c r="N1342" s="16" t="str"/>
      <x:c r="O1342" s="16" t="str"/>
      <x:c r="P1342" s="16" t="str"/>
      <x:c r="Q1342" s="16" t="str"/>
      <x:c r="R1342" s="16" t="str">
        <x:v>用户搜索 Kidmi 品牌的女士夹脚拖鞋，是对特定竞争品牌的指名搜索。</x:v>
      </x:c>
      <x:c r="S1342" s="13" t="str">
        <x:v>brand_harvest</x:v>
      </x:c>
      <x:c r="T1342" s="16" t="str">
        <x:v>explicit | page_validated</x:v>
      </x:c>
      <x:c r="U1342" s="13" t="str">
        <x:v>high</x:v>
      </x:c>
      <x:c r="V1342" s="16" t="str">
        <x:v>kidmi_flip_flops_women</x:v>
      </x:c>
      <x:c r="W1342" s="16" t="str">
        <x:v>semantic_negative_candidate</x:v>
      </x:c>
      <x:c r="X1342" s="16" t="str">
        <x:v>{"product_type":[{"value":"flip_flops","evidence_type":"explicit","source_span":"flip flops","fact_ids":["style_flip_flop"],"rationale":"Term requests flip flops; product category matches but brand is joomra, not Kidmi."}],"audience_intent":[{"value":"women","evidence_type":"explicit","source_span":"women","fact_ids":["title_womens_flip_flop"],"rationale":"Term targets women; page confirms women's product."}]}</x:v>
      </x:c>
      <x:c r="Y1342" s="16" t="str"/>
      <x:c r="Z1342" s="13" t="str">
        <x:v>mismatch</x:v>
      </x:c>
      <x:c r="AA1342" s="16" t="str">
        <x:v>style_flip_flop | title_womens_flip_flop</x:v>
      </x:c>
      <x:c r="AB1342" s="13" t="str">
        <x:v>accepted</x:v>
      </x:c>
      <x:c r="AC1342" s="13" t="str">
        <x:v>1.0.0</x:v>
      </x:c>
      <x:c r="AD1342" s="13" t="str">
        <x:v>1.0.0</x:v>
      </x:c>
      <x:c r="AE1342" s="13" t="str">
        <x:v>deepseek/deepseek-v4-pro</x:v>
      </x:c>
      <x:c r="AF1342" s="13" t="str">
        <x:v>aj2-y90-20260714T234810-0bea2f52</x:v>
      </x:c>
      <x:c r="AG1342" s="13" t="str">
        <x:v>pilot-0001</x:v>
      </x:c>
      <x:c r="AH1342" s="13" t="str">
        <x:v>pilot</x:v>
      </x:c>
      <x:c r="AI1342" s="13" t="n">
        <x:v>1</x:v>
      </x:c>
    </x:row>
    <x:row r="1343" ht="34" customHeight="1">
      <x:c r="A1343" s="15" t="str">
        <x:v>women's flip-flops on sale clearance deals</x:v>
      </x:c>
      <x:c r="B1343" s="15" t="str">
        <x:v>women's flip-flops on sale clearance deals</x:v>
      </x:c>
      <x:c r="C1343" s="10" t="str">
        <x:v>3d2cd70fc070c44d</x:v>
      </x:c>
      <x:c r="D1343" s="10" t="str">
        <x:v>keyword</x:v>
      </x:c>
      <x:c r="E1343" s="10" t="str">
        <x:v>en</x:v>
      </x:c>
      <x:c r="F1343" s="10" t="str">
        <x:v>clothing_shoes_jewelry</x:v>
      </x:c>
      <x:c r="G1343" s="15" t="str"/>
      <x:c r="H1343" s="15" t="str">
        <x:v>flip_flops</x:v>
      </x:c>
      <x:c r="I1343" s="15" t="str">
        <x:v>women</x:v>
      </x:c>
      <x:c r="J1343" s="15" t="str"/>
      <x:c r="K1343" s="15" t="str">
        <x:v>on_sale | clearance</x:v>
      </x:c>
      <x:c r="L1343" s="15" t="str"/>
      <x:c r="M1343" s="15" t="str"/>
      <x:c r="N1343" s="15" t="str"/>
      <x:c r="O1343" s="15" t="str"/>
      <x:c r="P1343" s="15" t="str"/>
      <x:c r="Q1343" s="15" t="str"/>
      <x:c r="R1343" s="15" t="str">
        <x:v>用户寻找正在打折促销或清仓处理的女士夹脚拖鞋，希望以优惠价格购买。</x:v>
      </x:c>
      <x:c r="S1343" s="10" t="str">
        <x:v>consideration</x:v>
      </x:c>
      <x:c r="T1343" s="15" t="str">
        <x:v>explicit | page_validated</x:v>
      </x:c>
      <x:c r="U1343" s="10" t="str">
        <x:v>medium</x:v>
      </x:c>
      <x:c r="V1343" s="15" t="str">
        <x:v>womens_flip_flops_clearance</x:v>
      </x:c>
      <x:c r="W1343" s="15" t="str">
        <x:v>listing_gap_review</x:v>
      </x:c>
      <x:c r="X1343" s="15" t="str">
        <x:v>{"product_type":[{"value":"flip_flops","evidence_type":"explicit","source_span":"flip-flops","fact_ids":["style_flip_flop"],"rationale":"Term explicitly requests flip-flops."}],"audience_intent":[{"value":"women","evidence_type":"explicit","source_span":"women's","fact_ids":["title_womens_flip_flop"],"rationale":"Term explicitly targets women."}],"capability_intent":[{"value":"on_sale","evidence_type":"explicit","source_span":"on sale","fact_ids":[],"rationale":"Term requests sale pricing; real-time price is excluded from page evidence."},{"value":"clearance","evidence_type":"explicit","source_span":"clearance deals","fact_ids":[],"rationale":"Term requests clearance deals; inventory and pricing are excluded from page evidence."}]}</x:v>
      </x:c>
      <x:c r="Y1343" s="15" t="str"/>
      <x:c r="Z1343" s="10" t="str">
        <x:v>partial_match</x:v>
      </x:c>
      <x:c r="AA1343" s="15" t="str">
        <x:v>title_womens_flip_flop | style_flip_flop</x:v>
      </x:c>
      <x:c r="AB1343" s="10" t="str">
        <x:v>accepted</x:v>
      </x:c>
      <x:c r="AC1343" s="10" t="str">
        <x:v>1.0.0</x:v>
      </x:c>
      <x:c r="AD1343" s="10" t="str">
        <x:v>1.0.0</x:v>
      </x:c>
      <x:c r="AE1343" s="10" t="str">
        <x:v>deepseek/deepseek-v4-pro</x:v>
      </x:c>
      <x:c r="AF1343" s="10" t="str">
        <x:v>aj2-y90-20260714T234810-0bea2f52</x:v>
      </x:c>
      <x:c r="AG1343" s="10" t="str">
        <x:v>pilot-0001</x:v>
      </x:c>
      <x:c r="AH1343" s="10" t="str">
        <x:v>pilot</x:v>
      </x:c>
      <x:c r="AI1343" s="10" t="n">
        <x:v>1</x:v>
      </x:c>
    </x:row>
    <x:row r="1344" ht="34" customHeight="1">
      <x:c r="A1344" s="16" t="str">
        <x:v>cross flip flops for women</x:v>
      </x:c>
      <x:c r="B1344" s="16" t="str">
        <x:v>cross flip flops for women</x:v>
      </x:c>
      <x:c r="C1344" s="13" t="str">
        <x:v>56644ae6ae99ede9</x:v>
      </x:c>
      <x:c r="D1344" s="13" t="str">
        <x:v>keyword</x:v>
      </x:c>
      <x:c r="E1344" s="13" t="str">
        <x:v>en</x:v>
      </x:c>
      <x:c r="F1344" s="13" t="str">
        <x:v>clothing_shoes_jewelry</x:v>
      </x:c>
      <x:c r="G1344" s="16" t="str"/>
      <x:c r="H1344" s="16" t="str">
        <x:v>flip_flops</x:v>
      </x:c>
      <x:c r="I1344" s="16" t="str">
        <x:v>women</x:v>
      </x:c>
      <x:c r="J1344" s="16" t="str"/>
      <x:c r="K1344" s="16" t="str">
        <x:v>cross_strap</x:v>
      </x:c>
      <x:c r="L1344" s="16" t="str"/>
      <x:c r="M1344" s="16" t="str"/>
      <x:c r="N1344" s="16" t="str"/>
      <x:c r="O1344" s="16" t="str"/>
      <x:c r="P1344" s="16" t="str"/>
      <x:c r="Q1344" s="16" t="str"/>
      <x:c r="R1344" s="16" t="str">
        <x:v>用户为女性寻找交叉带设计的夹脚拖鞋，偏好交叉绑带款式而非传统一字带。</x:v>
      </x:c>
      <x:c r="S1344" s="13" t="str">
        <x:v>consideration</x:v>
      </x:c>
      <x:c r="T1344" s="16" t="str">
        <x:v>explicit | page_validated</x:v>
      </x:c>
      <x:c r="U1344" s="13" t="str">
        <x:v>medium</x:v>
      </x:c>
      <x:c r="V1344" s="16" t="str">
        <x:v>cross_flip_flops_women</x:v>
      </x:c>
      <x:c r="W1344" s="16" t="str">
        <x:v>listing_gap_review</x:v>
      </x:c>
      <x:c r="X1344" s="16" t="str">
        <x:v>{"product_type":[{"value":"flip_flops","evidence_type":"explicit","source_span":"flip flops","fact_ids":["style_flip_flop"],"rationale":"Term requests flip flops; product is a flip flop but with thong strap, not cross strap."}],"audience_intent":[{"value":"women","evidence_type":"explicit","source_span":"women","fact_ids":["title_womens_flip_flop"],"rationale":"Term targets women."}],"capability_intent":[{"value":"cross_strap","evidence_type":"explicit","source_span":"cross","fact_ids":[],"rationale":"Term explicitly requests cross strap design. Product page states strap type is thong, not cross strap."}]}</x:v>
      </x:c>
      <x:c r="Y1344" s="16" t="str"/>
      <x:c r="Z1344" s="13" t="str">
        <x:v>partial_match</x:v>
      </x:c>
      <x:c r="AA1344" s="16" t="str">
        <x:v>title_womens_flip_flop | style_flip_flop | style_thong</x:v>
      </x:c>
      <x:c r="AB1344" s="13" t="str">
        <x:v>accepted</x:v>
      </x:c>
      <x:c r="AC1344" s="13" t="str">
        <x:v>1.0.0</x:v>
      </x:c>
      <x:c r="AD1344" s="13" t="str">
        <x:v>1.0.0</x:v>
      </x:c>
      <x:c r="AE1344" s="13" t="str">
        <x:v>deepseek/deepseek-v4-pro</x:v>
      </x:c>
      <x:c r="AF1344" s="13" t="str">
        <x:v>aj2-y90-20260714T234810-0bea2f52</x:v>
      </x:c>
      <x:c r="AG1344" s="13" t="str">
        <x:v>pilot-0001</x:v>
      </x:c>
      <x:c r="AH1344" s="13" t="str">
        <x:v>pilot</x:v>
      </x:c>
      <x:c r="AI1344" s="13" t="n">
        <x:v>1</x:v>
      </x:c>
    </x:row>
    <x:row r="1345" ht="34" customHeight="1">
      <x:c r="A1345" s="15" t="str">
        <x:v>extra thin sandal</x:v>
      </x:c>
      <x:c r="B1345" s="15" t="str">
        <x:v>extra thin sandal</x:v>
      </x:c>
      <x:c r="C1345" s="10" t="str">
        <x:v>5ad4b8c3b05d7b1d</x:v>
      </x:c>
      <x:c r="D1345" s="10" t="str">
        <x:v>keyword</x:v>
      </x:c>
      <x:c r="E1345" s="10" t="str">
        <x:v>en</x:v>
      </x:c>
      <x:c r="F1345" s="10" t="str">
        <x:v>clothing_shoes_jewelry</x:v>
      </x:c>
      <x:c r="G1345" s="15" t="str"/>
      <x:c r="H1345" s="15" t="str">
        <x:v>sandals</x:v>
      </x:c>
      <x:c r="I1345" s="15" t="str"/>
      <x:c r="J1345" s="15" t="str"/>
      <x:c r="K1345" s="15" t="str">
        <x:v>extra_thin</x:v>
      </x:c>
      <x:c r="L1345" s="15" t="str"/>
      <x:c r="M1345" s="15" t="str"/>
      <x:c r="N1345" s="15" t="str"/>
      <x:c r="O1345" s="15" t="str"/>
      <x:c r="P1345" s="15" t="str"/>
      <x:c r="Q1345" s="15" t="str"/>
      <x:c r="R1345" s="15" t="str">
        <x:v>用户寻找极薄款凉鞋，追求轻便、接近赤脚的穿着感受。</x:v>
      </x:c>
      <x:c r="S1345" s="10" t="str">
        <x:v>consideration</x:v>
      </x:c>
      <x:c r="T1345" s="15" t="str">
        <x:v>explicit | page_validated</x:v>
      </x:c>
      <x:c r="U1345" s="10" t="str">
        <x:v>high</x:v>
      </x:c>
      <x:c r="V1345" s="15" t="str">
        <x:v>extra_thin_sandals</x:v>
      </x:c>
      <x:c r="W1345" s="15" t="str">
        <x:v>semantic_negative_candidate</x:v>
      </x:c>
      <x:c r="X1345" s="15" t="str">
        <x:v>{"product_type":[{"value":"sandals","evidence_type":"explicit","source_span":"sandal","fact_ids":["style_flip_flop"],"rationale":"Term requests sandal; flip flop is a sandal type but product features conflict with thin requirement."}],"capability_intent":[{"value":"extra_thin","evidence_type":"explicit","source_span":"extra thin","fact_ids":[],"rationale":"Term explicitly requests extra thin design. Product emphasizes padded cushioning and arch support, which contradict an extra-thin profile."}]}</x:v>
      </x:c>
      <x:c r="Y1345" s="15" t="str"/>
      <x:c r="Z1345" s="10" t="str">
        <x:v>mismatch</x:v>
      </x:c>
      <x:c r="AA1345" s="15" t="str">
        <x:v>padded_cushioning | arch_support</x:v>
      </x:c>
      <x:c r="AB1345" s="10" t="str">
        <x:v>accepted</x:v>
      </x:c>
      <x:c r="AC1345" s="10" t="str">
        <x:v>1.0.0</x:v>
      </x:c>
      <x:c r="AD1345" s="10" t="str">
        <x:v>1.0.0</x:v>
      </x:c>
      <x:c r="AE1345" s="10" t="str">
        <x:v>deepseek/deepseek-v4-pro</x:v>
      </x:c>
      <x:c r="AF1345" s="10" t="str">
        <x:v>aj2-y90-20260714T234810-0bea2f52</x:v>
      </x:c>
      <x:c r="AG1345" s="10" t="str">
        <x:v>pilot-0001</x:v>
      </x:c>
      <x:c r="AH1345" s="10" t="str">
        <x:v>pilot</x:v>
      </x:c>
      <x:c r="AI1345" s="10" t="n">
        <x:v>1</x:v>
      </x:c>
    </x:row>
    <x:row r="1346" ht="34" customHeight="1">
      <x:c r="A1346" s="16" t="str">
        <x:v>womens sandals</x:v>
      </x:c>
      <x:c r="B1346" s="16" t="str">
        <x:v>womens sandals</x:v>
      </x:c>
      <x:c r="C1346" s="13" t="str">
        <x:v>5fd670f979262944</x:v>
      </x:c>
      <x:c r="D1346" s="13" t="str">
        <x:v>keyword</x:v>
      </x:c>
      <x:c r="E1346" s="13" t="str">
        <x:v>en</x:v>
      </x:c>
      <x:c r="F1346" s="13" t="str">
        <x:v>clothing_shoes_jewelry</x:v>
      </x:c>
      <x:c r="G1346" s="16" t="str"/>
      <x:c r="H1346" s="16" t="str">
        <x:v>sandals</x:v>
      </x:c>
      <x:c r="I1346" s="16" t="str">
        <x:v>women</x:v>
      </x:c>
      <x:c r="J1346" s="16" t="str"/>
      <x:c r="K1346" s="16" t="str"/>
      <x:c r="L1346" s="16" t="str"/>
      <x:c r="M1346" s="16" t="str"/>
      <x:c r="N1346" s="16" t="str"/>
      <x:c r="O1346" s="16" t="str"/>
      <x:c r="P1346" s="16" t="str"/>
      <x:c r="Q1346" s="16" t="str"/>
      <x:c r="R1346" s="16" t="str">
        <x:v>用户浏览女士凉鞋品类，处于广泛探索阶段，对款式和功能无特定偏好。</x:v>
      </x:c>
      <x:c r="S1346" s="13" t="str">
        <x:v>exploration</x:v>
      </x:c>
      <x:c r="T1346" s="16" t="str">
        <x:v>explicit | page_validated</x:v>
      </x:c>
      <x:c r="U1346" s="13" t="str">
        <x:v>high</x:v>
      </x:c>
      <x:c r="V1346" s="16" t="str">
        <x:v>womens_sandals</x:v>
      </x:c>
      <x:c r="W1346" s="16" t="str">
        <x:v>cluster_route</x:v>
      </x:c>
      <x:c r="X1346" s="16" t="str">
        <x:v>{"product_type":[{"value":"sandals","evidence_type":"explicit","source_span":"sandals","fact_ids":["style_flip_flop"],"rationale":"Term requests sandals; flip flop is a sandal subtype confirmed on page."}],"audience_intent":[{"value":"women","evidence_type":"explicit","source_span":"womens","fact_ids":["title_womens_flip_flop"],"rationale":"Term targets women; product page confirms women's product."}]}</x:v>
      </x:c>
      <x:c r="Y1346" s="16" t="str"/>
      <x:c r="Z1346" s="13" t="str">
        <x:v>match</x:v>
      </x:c>
      <x:c r="AA1346" s="16" t="str">
        <x:v>title_womens_flip_flop | style_flip_flop</x:v>
      </x:c>
      <x:c r="AB1346" s="13" t="str">
        <x:v>accepted</x:v>
      </x:c>
      <x:c r="AC1346" s="13" t="str">
        <x:v>1.0.0</x:v>
      </x:c>
      <x:c r="AD1346" s="13" t="str">
        <x:v>1.0.0</x:v>
      </x:c>
      <x:c r="AE1346" s="13" t="str">
        <x:v>deepseek/deepseek-v4-pro</x:v>
      </x:c>
      <x:c r="AF1346" s="13" t="str">
        <x:v>aj2-y90-20260714T234810-0bea2f52</x:v>
      </x:c>
      <x:c r="AG1346" s="13" t="str">
        <x:v>pilot-0001</x:v>
      </x:c>
      <x:c r="AH1346" s="13" t="str">
        <x:v>pilot</x:v>
      </x:c>
      <x:c r="AI1346" s="13" t="n">
        <x:v>1</x:v>
      </x:c>
    </x:row>
    <x:row r="1347" ht="34" customHeight="1">
      <x:c r="A1347" s="15" t="str">
        <x:v>turquoise flip flops</x:v>
      </x:c>
      <x:c r="B1347" s="15" t="str">
        <x:v>turquoise flip flops</x:v>
      </x:c>
      <x:c r="C1347" s="10" t="str">
        <x:v>618d0b60fbfa8d3b</x:v>
      </x:c>
      <x:c r="D1347" s="10" t="str">
        <x:v>keyword</x:v>
      </x:c>
      <x:c r="E1347" s="10" t="str">
        <x:v>en</x:v>
      </x:c>
      <x:c r="F1347" s="10" t="str">
        <x:v>clothing_shoes_jewelry</x:v>
      </x:c>
      <x:c r="G1347" s="15" t="str"/>
      <x:c r="H1347" s="15" t="str">
        <x:v>flip_flops</x:v>
      </x:c>
      <x:c r="I1347" s="15" t="str"/>
      <x:c r="J1347" s="15" t="str"/>
      <x:c r="K1347" s="15" t="str">
        <x:v>turquoise_color</x:v>
      </x:c>
      <x:c r="L1347" s="15" t="str"/>
      <x:c r="M1347" s="15" t="str"/>
      <x:c r="N1347" s="15" t="str"/>
      <x:c r="O1347" s="15" t="str"/>
      <x:c r="P1347" s="15" t="str"/>
      <x:c r="Q1347" s="15" t="str"/>
      <x:c r="R1347" s="15" t="str">
        <x:v>用户寻找蓝绿色（绿松石色）的夹脚拖鞋，颜色是核心选择因素。</x:v>
      </x:c>
      <x:c r="S1347" s="10" t="str">
        <x:v>consideration</x:v>
      </x:c>
      <x:c r="T1347" s="15" t="str">
        <x:v>explicit | page_validated</x:v>
      </x:c>
      <x:c r="U1347" s="10" t="str">
        <x:v>medium</x:v>
      </x:c>
      <x:c r="V1347" s="15" t="str">
        <x:v>turquoise_flip_flops</x:v>
      </x:c>
      <x:c r="W1347" s="15" t="str">
        <x:v>listing_gap_review</x:v>
      </x:c>
      <x:c r="X1347" s="15" t="str">
        <x:v>{"product_type":[{"value":"flip_flops","evidence_type":"explicit","source_span":"flip flops","fact_ids":["style_flip_flop"],"rationale":"Term explicitly requests flip flops."}],"capability_intent":[{"value":"turquoise_color","evidence_type":"explicit","source_span":"turquoise","fact_ids":[],"rationale":"Term explicitly requests turquoise color. Page confirms multiple colors including light blue, but turquoise is not specifically evidenced."}]}</x:v>
      </x:c>
      <x:c r="Y1347" s="15" t="str"/>
      <x:c r="Z1347" s="10" t="str">
        <x:v>partial_match</x:v>
      </x:c>
      <x:c r="AA1347" s="15" t="str">
        <x:v>style_flip_flop | colors_visible</x:v>
      </x:c>
      <x:c r="AB1347" s="10" t="str">
        <x:v>accepted</x:v>
      </x:c>
      <x:c r="AC1347" s="10" t="str">
        <x:v>1.0.0</x:v>
      </x:c>
      <x:c r="AD1347" s="10" t="str">
        <x:v>1.0.0</x:v>
      </x:c>
      <x:c r="AE1347" s="10" t="str">
        <x:v>deepseek/deepseek-v4-pro</x:v>
      </x:c>
      <x:c r="AF1347" s="10" t="str">
        <x:v>aj2-y90-20260714T234810-0bea2f52</x:v>
      </x:c>
      <x:c r="AG1347" s="10" t="str">
        <x:v>pilot-0001</x:v>
      </x:c>
      <x:c r="AH1347" s="10" t="str">
        <x:v>pilot</x:v>
      </x:c>
      <x:c r="AI1347" s="10" t="n">
        <x:v>1</x:v>
      </x:c>
    </x:row>
    <x:row r="1348" ht="34" customHeight="1">
      <x:c r="A1348" s="16" t="str">
        <x:v>skitoe flip flops</x:v>
      </x:c>
      <x:c r="B1348" s="16" t="str">
        <x:v>skitoe flip flops</x:v>
      </x:c>
      <x:c r="C1348" s="13" t="str">
        <x:v>6dd79000db32210a</x:v>
      </x:c>
      <x:c r="D1348" s="13" t="str">
        <x:v>keyword</x:v>
      </x:c>
      <x:c r="E1348" s="13" t="str">
        <x:v>en</x:v>
      </x:c>
      <x:c r="F1348" s="13" t="str">
        <x:v>clothing_shoes_jewelry</x:v>
      </x:c>
      <x:c r="G1348" s="16" t="str"/>
      <x:c r="H1348" s="16" t="str">
        <x:v>flip_flops</x:v>
      </x:c>
      <x:c r="I1348" s="16" t="str"/>
      <x:c r="J1348" s="16" t="str"/>
      <x:c r="K1348" s="16" t="str"/>
      <x:c r="L1348" s="16" t="str"/>
      <x:c r="M1348" s="16" t="str"/>
      <x:c r="N1348" s="16" t="str"/>
      <x:c r="O1348" s="16" t="str"/>
      <x:c r="P1348" s="16" t="str"/>
      <x:c r="Q1348" s="16" t="str"/>
      <x:c r="R1348" s="16" t="str">
        <x:v>用户搜索 Skitoe 品牌的夹脚拖鞋，属于对特定竞争品牌的指名搜索。</x:v>
      </x:c>
      <x:c r="S1348" s="13" t="str">
        <x:v>brand_harvest</x:v>
      </x:c>
      <x:c r="T1348" s="16" t="str">
        <x:v>explicit | page_validated</x:v>
      </x:c>
      <x:c r="U1348" s="13" t="str">
        <x:v>high</x:v>
      </x:c>
      <x:c r="V1348" s="16" t="str">
        <x:v>skitoe_flip_flops</x:v>
      </x:c>
      <x:c r="W1348" s="16" t="str">
        <x:v>semantic_negative_candidate</x:v>
      </x:c>
      <x:c r="X1348" s="16" t="str">
        <x:v>{"product_type":[{"value":"flip_flops","evidence_type":"explicit","source_span":"flip flops","fact_ids":["style_flip_flop"],"rationale":"Term requests flip flops; product type matches but brand is joomra, not Skitoe."}]}</x:v>
      </x:c>
      <x:c r="Y1348" s="16" t="str"/>
      <x:c r="Z1348" s="13" t="str">
        <x:v>mismatch</x:v>
      </x:c>
      <x:c r="AA1348" s="16" t="str">
        <x:v>style_flip_flop</x:v>
      </x:c>
      <x:c r="AB1348" s="13" t="str">
        <x:v>accepted</x:v>
      </x:c>
      <x:c r="AC1348" s="13" t="str">
        <x:v>1.0.0</x:v>
      </x:c>
      <x:c r="AD1348" s="13" t="str">
        <x:v>1.0.0</x:v>
      </x:c>
      <x:c r="AE1348" s="13" t="str">
        <x:v>deepseek/deepseek-v4-pro</x:v>
      </x:c>
      <x:c r="AF1348" s="13" t="str">
        <x:v>aj2-y90-20260714T234810-0bea2f52</x:v>
      </x:c>
      <x:c r="AG1348" s="13" t="str">
        <x:v>pilot-0001</x:v>
      </x:c>
      <x:c r="AH1348" s="13" t="str">
        <x:v>pilot</x:v>
      </x:c>
      <x:c r="AI1348" s="13" t="n">
        <x:v>1</x:v>
      </x:c>
    </x:row>
    <x:row r="1349" ht="34" customHeight="1">
      <x:c r="A1349" s="15" t="str">
        <x:v>tekees flip flops</x:v>
      </x:c>
      <x:c r="B1349" s="15" t="str">
        <x:v>tekees flip flops</x:v>
      </x:c>
      <x:c r="C1349" s="10" t="str">
        <x:v>710322df4e7c8520</x:v>
      </x:c>
      <x:c r="D1349" s="10" t="str">
        <x:v>keyword</x:v>
      </x:c>
      <x:c r="E1349" s="10" t="str">
        <x:v>en</x:v>
      </x:c>
      <x:c r="F1349" s="10" t="str">
        <x:v>clothing_shoes_jewelry</x:v>
      </x:c>
      <x:c r="G1349" s="15" t="str"/>
      <x:c r="H1349" s="15" t="str">
        <x:v>flip_flops</x:v>
      </x:c>
      <x:c r="I1349" s="15" t="str"/>
      <x:c r="J1349" s="15" t="str"/>
      <x:c r="K1349" s="15" t="str"/>
      <x:c r="L1349" s="15" t="str"/>
      <x:c r="M1349" s="15" t="str"/>
      <x:c r="N1349" s="15" t="str"/>
      <x:c r="O1349" s="15" t="str"/>
      <x:c r="P1349" s="15" t="str"/>
      <x:c r="Q1349" s="15" t="str"/>
      <x:c r="R1349" s="15" t="str">
        <x:v>用户搜索 Tekees 品牌的夹脚拖鞋，属于对特定竞争品牌的指名搜索。</x:v>
      </x:c>
      <x:c r="S1349" s="10" t="str">
        <x:v>brand_harvest</x:v>
      </x:c>
      <x:c r="T1349" s="15" t="str">
        <x:v>explicit | page_validated</x:v>
      </x:c>
      <x:c r="U1349" s="10" t="str">
        <x:v>high</x:v>
      </x:c>
      <x:c r="V1349" s="15" t="str">
        <x:v>tekees_flip_flops</x:v>
      </x:c>
      <x:c r="W1349" s="15" t="str">
        <x:v>semantic_negative_candidate</x:v>
      </x:c>
      <x:c r="X1349" s="15" t="str">
        <x:v>{"product_type":[{"value":"flip_flops","evidence_type":"explicit","source_span":"flip flops","fact_ids":["style_flip_flop"],"rationale":"Term requests flip flops; product type matches but brand is joomra, not Tekees."}]}</x:v>
      </x:c>
      <x:c r="Y1349" s="15" t="str"/>
      <x:c r="Z1349" s="10" t="str">
        <x:v>mismatch</x:v>
      </x:c>
      <x:c r="AA1349" s="15" t="str">
        <x:v>style_flip_flop</x:v>
      </x:c>
      <x:c r="AB1349" s="10" t="str">
        <x:v>accepted</x:v>
      </x:c>
      <x:c r="AC1349" s="10" t="str">
        <x:v>1.0.0</x:v>
      </x:c>
      <x:c r="AD1349" s="10" t="str">
        <x:v>1.0.0</x:v>
      </x:c>
      <x:c r="AE1349" s="10" t="str">
        <x:v>deepseek/deepseek-v4-pro</x:v>
      </x:c>
      <x:c r="AF1349" s="10" t="str">
        <x:v>aj2-y90-20260714T234810-0bea2f52</x:v>
      </x:c>
      <x:c r="AG1349" s="10" t="str">
        <x:v>pilot-0001</x:v>
      </x:c>
      <x:c r="AH1349" s="10" t="str">
        <x:v>pilot</x:v>
      </x:c>
      <x:c r="AI1349" s="10" t="n">
        <x:v>1</x:v>
      </x:c>
    </x:row>
    <x:row r="1350" ht="34" customHeight="1">
      <x:c r="A1350" s="16" t="str">
        <x:v>flag flip flops</x:v>
      </x:c>
      <x:c r="B1350" s="16" t="str">
        <x:v>flag flip flops</x:v>
      </x:c>
      <x:c r="C1350" s="13" t="str">
        <x:v>7d4c29a278695a80</x:v>
      </x:c>
      <x:c r="D1350" s="13" t="str">
        <x:v>keyword</x:v>
      </x:c>
      <x:c r="E1350" s="13" t="str">
        <x:v>en</x:v>
      </x:c>
      <x:c r="F1350" s="13" t="str">
        <x:v>clothing_shoes_jewelry</x:v>
      </x:c>
      <x:c r="G1350" s="16" t="str"/>
      <x:c r="H1350" s="16" t="str">
        <x:v>flip_flops</x:v>
      </x:c>
      <x:c r="I1350" s="16" t="str"/>
      <x:c r="J1350" s="16" t="str"/>
      <x:c r="K1350" s="16" t="str">
        <x:v>flag_design</x:v>
      </x:c>
      <x:c r="L1350" s="16" t="str"/>
      <x:c r="M1350" s="16" t="str"/>
      <x:c r="N1350" s="16" t="str"/>
      <x:c r="O1350" s="16" t="str"/>
      <x:c r="P1350" s="16" t="str"/>
      <x:c r="Q1350" s="16" t="str"/>
      <x:c r="R1350" s="16" t="str">
        <x:v>用户寻找带有国旗图案设计的夹脚拖鞋，可能用于节日庆典或表达爱国情怀。</x:v>
      </x:c>
      <x:c r="S1350" s="13" t="str">
        <x:v>consideration</x:v>
      </x:c>
      <x:c r="T1350" s="16" t="str">
        <x:v>explicit | page_validated</x:v>
      </x:c>
      <x:c r="U1350" s="13" t="str">
        <x:v>medium</x:v>
      </x:c>
      <x:c r="V1350" s="16" t="str">
        <x:v>flag_flip_flops</x:v>
      </x:c>
      <x:c r="W1350" s="16" t="str">
        <x:v>listing_gap_review</x:v>
      </x:c>
      <x:c r="X1350" s="16" t="str">
        <x:v>{"product_type":[{"value":"flip_flops","evidence_type":"explicit","source_span":"flip flops","fact_ids":["style_flip_flop"],"rationale":"Term explicitly requests flip flops."}],"capability_intent":[{"value":"flag_design","evidence_type":"explicit","source_span":"flag","fact_ids":[],"rationale":"Term explicitly requests flag design. Product page mentions multiple colors but no flag pattern is evidenced."}]}</x:v>
      </x:c>
      <x:c r="Y1350" s="16" t="str"/>
      <x:c r="Z1350" s="13" t="str">
        <x:v>partial_match</x:v>
      </x:c>
      <x:c r="AA1350" s="16" t="str">
        <x:v>style_flip_flop | colors_visible</x:v>
      </x:c>
      <x:c r="AB1350" s="13" t="str">
        <x:v>accepted</x:v>
      </x:c>
      <x:c r="AC1350" s="13" t="str">
        <x:v>1.0.0</x:v>
      </x:c>
      <x:c r="AD1350" s="13" t="str">
        <x:v>1.0.0</x:v>
      </x:c>
      <x:c r="AE1350" s="13" t="str">
        <x:v>deepseek/deepseek-v4-pro</x:v>
      </x:c>
      <x:c r="AF1350" s="13" t="str">
        <x:v>aj2-y90-20260714T234810-0bea2f52</x:v>
      </x:c>
      <x:c r="AG1350" s="13" t="str">
        <x:v>pilot-0001</x:v>
      </x:c>
      <x:c r="AH1350" s="13" t="str">
        <x:v>pilot</x:v>
      </x:c>
      <x:c r="AI1350" s="13" t="n">
        <x:v>1</x:v>
      </x:c>
    </x:row>
    <x:row r="1351" ht="34" customHeight="1">
      <x:c r="A1351" s="15" t="str">
        <x:v>waterproof flip flops</x:v>
      </x:c>
      <x:c r="B1351" s="15" t="str">
        <x:v>waterproof flip flops</x:v>
      </x:c>
      <x:c r="C1351" s="10" t="str">
        <x:v>82970e4139205bf4</x:v>
      </x:c>
      <x:c r="D1351" s="10" t="str">
        <x:v>keyword</x:v>
      </x:c>
      <x:c r="E1351" s="10" t="str">
        <x:v>en</x:v>
      </x:c>
      <x:c r="F1351" s="10" t="str">
        <x:v>clothing_shoes_jewelry</x:v>
      </x:c>
      <x:c r="G1351" s="15" t="str"/>
      <x:c r="H1351" s="15" t="str">
        <x:v>flip_flops</x:v>
      </x:c>
      <x:c r="I1351" s="15" t="str"/>
      <x:c r="J1351" s="15" t="str"/>
      <x:c r="K1351" s="15" t="str">
        <x:v>waterproof</x:v>
      </x:c>
      <x:c r="L1351" s="15" t="str"/>
      <x:c r="M1351" s="15" t="str">
        <x:v>wet_environment</x:v>
      </x:c>
      <x:c r="N1351" s="15" t="str"/>
      <x:c r="O1351" s="15" t="str"/>
      <x:c r="P1351" s="15" t="str"/>
      <x:c r="Q1351" s="15" t="str"/>
      <x:c r="R1351" s="15" t="str">
        <x:v>用户希望找到具备防水功能的夹脚拖鞋，适合在泳池边、海滩或雨天等潮湿环境中穿着。</x:v>
      </x:c>
      <x:c r="S1351" s="10" t="str">
        <x:v>consideration</x:v>
      </x:c>
      <x:c r="T1351" s="15" t="str">
        <x:v>explicit | page_validated</x:v>
      </x:c>
      <x:c r="U1351" s="10" t="str">
        <x:v>medium</x:v>
      </x:c>
      <x:c r="V1351" s="15" t="str">
        <x:v>waterproof_flip_flops</x:v>
      </x:c>
      <x:c r="W1351" s="15" t="str">
        <x:v>listing_gap_review</x:v>
      </x:c>
      <x:c r="X1351" s="15" t="str">
        <x:v>{"product_type":[{"value":"flip_flops","evidence_type":"explicit","source_span":"flip flops","fact_ids":["style_flip_flop"],"rationale":"Term explicitly requests flip flops; product page confirms flip flop sandal type."}],"capability_intent":[{"value":"waterproof","evidence_type":"explicit","source_span":"waterproof","fact_ids":[],"rationale":"Term explicitly requests waterproof capability. Waterproof claims are excluded from page evidence per product baseline."}],"location_intent":[{"value":"wet_environment","evidence_type":"inferred","source_span":"waterproof","fact_ids":[],"rationale":"Waterproof need implies intended use in wet, aquatic, or rainy environments."}]}</x:v>
      </x:c>
      <x:c r="Y1351" s="15" t="str"/>
      <x:c r="Z1351" s="10" t="str">
        <x:v>partial_match</x:v>
      </x:c>
      <x:c r="AA1351" s="15" t="str">
        <x:v>style_flip_flop</x:v>
      </x:c>
      <x:c r="AB1351" s="10" t="str">
        <x:v>accepted</x:v>
      </x:c>
      <x:c r="AC1351" s="10" t="str">
        <x:v>1.0.0</x:v>
      </x:c>
      <x:c r="AD1351" s="10" t="str">
        <x:v>1.0.0</x:v>
      </x:c>
      <x:c r="AE1351" s="10" t="str">
        <x:v>deepseek/deepseek-v4-pro</x:v>
      </x:c>
      <x:c r="AF1351" s="10" t="str">
        <x:v>aj2-y90-20260714T234810-0bea2f52</x:v>
      </x:c>
      <x:c r="AG1351" s="10" t="str">
        <x:v>pilot-0001</x:v>
      </x:c>
      <x:c r="AH1351" s="10" t="str">
        <x:v>pilot</x:v>
      </x:c>
      <x:c r="AI1351" s="10" t="n">
        <x:v>1</x:v>
      </x:c>
    </x:row>
    <x:row r="1352" ht="34" customHeight="1">
      <x:c r="A1352" s="16" t="str">
        <x:v>archies foot wear</x:v>
      </x:c>
      <x:c r="B1352" s="16" t="str">
        <x:v>archies foot wear</x:v>
      </x:c>
      <x:c r="C1352" s="13" t="str">
        <x:v>878ba8becc1679dd</x:v>
      </x:c>
      <x:c r="D1352" s="13" t="str">
        <x:v>keyword</x:v>
      </x:c>
      <x:c r="E1352" s="13" t="str">
        <x:v>en</x:v>
      </x:c>
      <x:c r="F1352" s="13" t="str">
        <x:v>clothing_shoes_jewelry</x:v>
      </x:c>
      <x:c r="G1352" s="16" t="str"/>
      <x:c r="H1352" s="16" t="str">
        <x:v>footwear</x:v>
      </x:c>
      <x:c r="I1352" s="16" t="str"/>
      <x:c r="J1352" s="16" t="str"/>
      <x:c r="K1352" s="16" t="str"/>
      <x:c r="L1352" s="16" t="str"/>
      <x:c r="M1352" s="16" t="str"/>
      <x:c r="N1352" s="16" t="str"/>
      <x:c r="O1352" s="16" t="str"/>
      <x:c r="P1352" s="16" t="str"/>
      <x:c r="Q1352" s="16" t="str"/>
      <x:c r="R1352" s="16" t="str">
        <x:v>用户搜索 Archie's 品牌的鞋类产品，是对特定竞争品牌的指名搜索，搜索范围较宽泛。</x:v>
      </x:c>
      <x:c r="S1352" s="13" t="str">
        <x:v>brand_harvest</x:v>
      </x:c>
      <x:c r="T1352" s="16" t="str">
        <x:v>explicit | page_validated</x:v>
      </x:c>
      <x:c r="U1352" s="13" t="str">
        <x:v>high</x:v>
      </x:c>
      <x:c r="V1352" s="16" t="str">
        <x:v>archies_footwear</x:v>
      </x:c>
      <x:c r="W1352" s="16" t="str">
        <x:v>semantic_negative_candidate</x:v>
      </x:c>
      <x:c r="X1352" s="16" t="str">
        <x:v>{"product_type":[{"value":"footwear","evidence_type":"explicit","source_span":"foot wear","fact_ids":["style_flip_flop"],"rationale":"Term requests footwear broadly; product is a flip flop within footwear category but brand is joomra, not Archie's."}]}</x:v>
      </x:c>
      <x:c r="Y1352" s="16" t="str"/>
      <x:c r="Z1352" s="13" t="str">
        <x:v>mismatch</x:v>
      </x:c>
      <x:c r="AA1352" s="16" t="str">
        <x:v>style_flip_flop</x:v>
      </x:c>
      <x:c r="AB1352" s="13" t="str">
        <x:v>accepted</x:v>
      </x:c>
      <x:c r="AC1352" s="13" t="str">
        <x:v>1.0.0</x:v>
      </x:c>
      <x:c r="AD1352" s="13" t="str">
        <x:v>1.0.0</x:v>
      </x:c>
      <x:c r="AE1352" s="13" t="str">
        <x:v>deepseek/deepseek-v4-pro</x:v>
      </x:c>
      <x:c r="AF1352" s="13" t="str">
        <x:v>aj2-y90-20260714T234810-0bea2f52</x:v>
      </x:c>
      <x:c r="AG1352" s="13" t="str">
        <x:v>pilot-0001</x:v>
      </x:c>
      <x:c r="AH1352" s="13" t="str">
        <x:v>pilot</x:v>
      </x:c>
      <x:c r="AI1352" s="13" t="n">
        <x:v>1</x:v>
      </x:c>
    </x:row>
    <x:row r="1353" ht="34" customHeight="1">
      <x:c r="A1353" s="15" t="str">
        <x:v>peach flip flops for women</x:v>
      </x:c>
      <x:c r="B1353" s="15" t="str">
        <x:v>peach flip flops for women</x:v>
      </x:c>
      <x:c r="C1353" s="10" t="str">
        <x:v>98b5150aee554f77</x:v>
      </x:c>
      <x:c r="D1353" s="10" t="str">
        <x:v>keyword</x:v>
      </x:c>
      <x:c r="E1353" s="10" t="str">
        <x:v>en</x:v>
      </x:c>
      <x:c r="F1353" s="10" t="str">
        <x:v>clothing_shoes_jewelry</x:v>
      </x:c>
      <x:c r="G1353" s="15" t="str"/>
      <x:c r="H1353" s="15" t="str">
        <x:v>flip_flops</x:v>
      </x:c>
      <x:c r="I1353" s="15" t="str">
        <x:v>women</x:v>
      </x:c>
      <x:c r="J1353" s="15" t="str"/>
      <x:c r="K1353" s="15" t="str">
        <x:v>peach_color</x:v>
      </x:c>
      <x:c r="L1353" s="15" t="str"/>
      <x:c r="M1353" s="15" t="str"/>
      <x:c r="N1353" s="15" t="str"/>
      <x:c r="O1353" s="15" t="str"/>
      <x:c r="P1353" s="15" t="str"/>
      <x:c r="Q1353" s="15" t="str"/>
      <x:c r="R1353" s="15" t="str">
        <x:v>用户为女性寻找桃红色（蜜桃色）的夹脚拖鞋，颜色是核心选择因素。</x:v>
      </x:c>
      <x:c r="S1353" s="10" t="str">
        <x:v>consideration</x:v>
      </x:c>
      <x:c r="T1353" s="15" t="str">
        <x:v>explicit | page_validated</x:v>
      </x:c>
      <x:c r="U1353" s="10" t="str">
        <x:v>medium</x:v>
      </x:c>
      <x:c r="V1353" s="15" t="str">
        <x:v>peach_flip_flops_women</x:v>
      </x:c>
      <x:c r="W1353" s="15" t="str">
        <x:v>listing_gap_review</x:v>
      </x:c>
      <x:c r="X1353" s="15" t="str">
        <x:v>{"product_type":[{"value":"flip_flops","evidence_type":"explicit","source_span":"flip flops","fact_ids":["style_flip_flop"],"rationale":"Term explicitly requests flip flops."}],"audience_intent":[{"value":"women","evidence_type":"explicit","source_span":"women","fact_ids":["title_womens_flip_flop"],"rationale":"Term targets women."}],"capability_intent":[{"value":"peach_color","evidence_type":"explicit","source_span":"peach","fact_ids":[],"rationale":"Term explicitly requests peach color. Page confirms multiple colors including light blue, but peach is not specifically evidenced."}]}</x:v>
      </x:c>
      <x:c r="Y1353" s="15" t="str"/>
      <x:c r="Z1353" s="10" t="str">
        <x:v>partial_match</x:v>
      </x:c>
      <x:c r="AA1353" s="15" t="str">
        <x:v>title_womens_flip_flop | style_flip_flop | colors_visible</x:v>
      </x:c>
      <x:c r="AB1353" s="10" t="str">
        <x:v>accepted</x:v>
      </x:c>
      <x:c r="AC1353" s="10" t="str">
        <x:v>1.0.0</x:v>
      </x:c>
      <x:c r="AD1353" s="10" t="str">
        <x:v>1.0.0</x:v>
      </x:c>
      <x:c r="AE1353" s="10" t="str">
        <x:v>deepseek/deepseek-v4-pro</x:v>
      </x:c>
      <x:c r="AF1353" s="10" t="str">
        <x:v>aj2-y90-20260714T234810-0bea2f52</x:v>
      </x:c>
      <x:c r="AG1353" s="10" t="str">
        <x:v>pilot-0001</x:v>
      </x:c>
      <x:c r="AH1353" s="10" t="str">
        <x:v>pilot</x:v>
      </x:c>
      <x:c r="AI1353" s="10" t="n">
        <x:v>1</x:v>
      </x:c>
    </x:row>
    <x:row r="1354" ht="34" customHeight="1">
      <x:c r="A1354" s="16" t="str">
        <x:v>sandalias de goma</x:v>
      </x:c>
      <x:c r="B1354" s="16" t="str">
        <x:v>sandalias de goma</x:v>
      </x:c>
      <x:c r="C1354" s="13" t="str">
        <x:v>9d407d4a159ddf16</x:v>
      </x:c>
      <x:c r="D1354" s="13" t="str">
        <x:v>keyword</x:v>
      </x:c>
      <x:c r="E1354" s="13" t="str">
        <x:v>en</x:v>
      </x:c>
      <x:c r="F1354" s="13" t="str">
        <x:v>clothing_shoes_jewelry</x:v>
      </x:c>
      <x:c r="G1354" s="16" t="str"/>
      <x:c r="H1354" s="16" t="str">
        <x:v>sandals</x:v>
      </x:c>
      <x:c r="I1354" s="16" t="str"/>
      <x:c r="J1354" s="16" t="str"/>
      <x:c r="K1354" s="16" t="str">
        <x:v>rubber_material</x:v>
      </x:c>
      <x:c r="L1354" s="16" t="str"/>
      <x:c r="M1354" s="16" t="str"/>
      <x:c r="N1354" s="16" t="str"/>
      <x:c r="O1354" s="16" t="str"/>
      <x:c r="P1354" s="16" t="str"/>
      <x:c r="Q1354" s="16" t="str"/>
      <x:c r="R1354" s="16" t="str">
        <x:v>用户寻找橡胶材质的凉鞋（西班牙语搜索词），注重耐用性和防滑性能。</x:v>
      </x:c>
      <x:c r="S1354" s="13" t="str">
        <x:v>consideration</x:v>
      </x:c>
      <x:c r="T1354" s="16" t="str">
        <x:v>explicit | page_validated</x:v>
      </x:c>
      <x:c r="U1354" s="13" t="str">
        <x:v>medium</x:v>
      </x:c>
      <x:c r="V1354" s="16" t="str">
        <x:v>rubber_sandals</x:v>
      </x:c>
      <x:c r="W1354" s="16" t="str">
        <x:v>listing_gap_review</x:v>
      </x:c>
      <x:c r="X1354" s="16" t="str">
        <x:v>{"product_type":[{"value":"sandals","evidence_type":"explicit","source_span":"sandalias","fact_ids":["style_flip_flop"],"rationale":"Spanish term requests sandals; flip flop is a sandal subtype."}],"capability_intent":[{"value":"rubber_material","evidence_type":"explicit","source_span":"de goma","fact_ids":[],"rationale":"Term explicitly requests rubber material. Product uses EVA, not rubber; EVA material properties cannot be equated to rubber per page evidence policy."}]}</x:v>
      </x:c>
      <x:c r="Y1354" s="16" t="str"/>
      <x:c r="Z1354" s="13" t="str">
        <x:v>partial_match</x:v>
      </x:c>
      <x:c r="AA1354" s="16" t="str">
        <x:v>style_flip_flop | material_eva</x:v>
      </x:c>
      <x:c r="AB1354" s="13" t="str">
        <x:v>accepted</x:v>
      </x:c>
      <x:c r="AC1354" s="13" t="str">
        <x:v>1.0.0</x:v>
      </x:c>
      <x:c r="AD1354" s="13" t="str">
        <x:v>1.0.0</x:v>
      </x:c>
      <x:c r="AE1354" s="13" t="str">
        <x:v>deepseek/deepseek-v4-pro</x:v>
      </x:c>
      <x:c r="AF1354" s="13" t="str">
        <x:v>aj2-y90-20260714T234810-0bea2f52</x:v>
      </x:c>
      <x:c r="AG1354" s="13" t="str">
        <x:v>pilot-0001</x:v>
      </x:c>
      <x:c r="AH1354" s="13" t="str">
        <x:v>pilot</x:v>
      </x:c>
      <x:c r="AI1354" s="13" t="n">
        <x:v>1</x:v>
      </x:c>
    </x:row>
    <x:row r="1355" ht="34" customHeight="1">
      <x:c r="A1355" s="15" t="str">
        <x:v>inexpensive flip flops for women</x:v>
      </x:c>
      <x:c r="B1355" s="15" t="str">
        <x:v>inexpensive flip flops for women</x:v>
      </x:c>
      <x:c r="C1355" s="10" t="str">
        <x:v>b17c959e06c47312</x:v>
      </x:c>
      <x:c r="D1355" s="10" t="str">
        <x:v>keyword</x:v>
      </x:c>
      <x:c r="E1355" s="10" t="str">
        <x:v>en</x:v>
      </x:c>
      <x:c r="F1355" s="10" t="str">
        <x:v>clothing_shoes_jewelry</x:v>
      </x:c>
      <x:c r="G1355" s="15" t="str"/>
      <x:c r="H1355" s="15" t="str">
        <x:v>flip_flops</x:v>
      </x:c>
      <x:c r="I1355" s="15" t="str">
        <x:v>women</x:v>
      </x:c>
      <x:c r="J1355" s="15" t="str"/>
      <x:c r="K1355" s="15" t="str">
        <x:v>inexpensive</x:v>
      </x:c>
      <x:c r="L1355" s="15" t="str"/>
      <x:c r="M1355" s="15" t="str"/>
      <x:c r="N1355" s="15" t="str"/>
      <x:c r="O1355" s="15" t="str"/>
      <x:c r="P1355" s="15" t="str"/>
      <x:c r="Q1355" s="15" t="str"/>
      <x:c r="R1355" s="15" t="str">
        <x:v>用户为女性寻找价格实惠的夹脚拖鞋，以性价比为主要考量因素。</x:v>
      </x:c>
      <x:c r="S1355" s="10" t="str">
        <x:v>consideration</x:v>
      </x:c>
      <x:c r="T1355" s="15" t="str">
        <x:v>explicit | page_validated</x:v>
      </x:c>
      <x:c r="U1355" s="10" t="str">
        <x:v>medium</x:v>
      </x:c>
      <x:c r="V1355" s="15" t="str">
        <x:v>inexpensive_flip_flops_women</x:v>
      </x:c>
      <x:c r="W1355" s="15" t="str">
        <x:v>listing_gap_review</x:v>
      </x:c>
      <x:c r="X1355" s="15" t="str">
        <x:v>{"product_type":[{"value":"flip_flops","evidence_type":"explicit","source_span":"flip flops","fact_ids":["style_flip_flop"],"rationale":"Term explicitly requests flip flops."}],"audience_intent":[{"value":"women","evidence_type":"explicit","source_span":"women","fact_ids":["title_womens_flip_flop"],"rationale":"Term targets women; product page confirms women's flip flop."}],"capability_intent":[{"value":"inexpensive","evidence_type":"explicit","source_span":"inexpensive","fact_ids":[],"rationale":"Term explicitly requests low price; real-time price is excluded from page evidence."}]}</x:v>
      </x:c>
      <x:c r="Y1355" s="15" t="str"/>
      <x:c r="Z1355" s="10" t="str">
        <x:v>partial_match</x:v>
      </x:c>
      <x:c r="AA1355" s="15" t="str">
        <x:v>title_womens_flip_flop | style_flip_flop</x:v>
      </x:c>
      <x:c r="AB1355" s="10" t="str">
        <x:v>accepted</x:v>
      </x:c>
      <x:c r="AC1355" s="10" t="str">
        <x:v>1.0.0</x:v>
      </x:c>
      <x:c r="AD1355" s="10" t="str">
        <x:v>1.0.0</x:v>
      </x:c>
      <x:c r="AE1355" s="10" t="str">
        <x:v>deepseek/deepseek-v4-pro</x:v>
      </x:c>
      <x:c r="AF1355" s="10" t="str">
        <x:v>aj2-y90-20260714T234810-0bea2f52</x:v>
      </x:c>
      <x:c r="AG1355" s="10" t="str">
        <x:v>pilot-0001</x:v>
      </x:c>
      <x:c r="AH1355" s="10" t="str">
        <x:v>pilot</x:v>
      </x:c>
      <x:c r="AI1355" s="10" t="n">
        <x:v>1</x:v>
      </x:c>
    </x:row>
    <x:row r="1356" ht="34" customHeight="1">
      <x:c r="A1356" s="16" t="str">
        <x:v>go look in flip-flops for women</x:v>
      </x:c>
      <x:c r="B1356" s="16" t="str">
        <x:v>go look in flip-flops for women</x:v>
      </x:c>
      <x:c r="C1356" s="13" t="str">
        <x:v>c8c15f92335844f2</x:v>
      </x:c>
      <x:c r="D1356" s="13" t="str">
        <x:v>keyword</x:v>
      </x:c>
      <x:c r="E1356" s="13" t="str">
        <x:v>en</x:v>
      </x:c>
      <x:c r="F1356" s="13" t="str">
        <x:v>clothing_shoes_jewelry</x:v>
      </x:c>
      <x:c r="G1356" s="16" t="str"/>
      <x:c r="H1356" s="16" t="str">
        <x:v>flip_flops</x:v>
      </x:c>
      <x:c r="I1356" s="16" t="str">
        <x:v>women</x:v>
      </x:c>
      <x:c r="J1356" s="16" t="str"/>
      <x:c r="K1356" s="16" t="str"/>
      <x:c r="L1356" s="16" t="str"/>
      <x:c r="M1356" s="16" t="str"/>
      <x:c r="N1356" s="16" t="str"/>
      <x:c r="O1356" s="16" t="str"/>
      <x:c r="P1356" s="16" t="str"/>
      <x:c r="Q1356" s="16" t="str"/>
      <x:c r="R1356" s="16" t="str">
        <x:v>用户搜索词的意图模糊，可能想浏览女士夹脚拖鞋，但措辞不清晰，存在拼写错误或语法异常的可能。</x:v>
      </x:c>
      <x:c r="S1356" s="13" t="str">
        <x:v>unknown</x:v>
      </x:c>
      <x:c r="T1356" s="16" t="str">
        <x:v>explicit | inferred</x:v>
      </x:c>
      <x:c r="U1356" s="13" t="str">
        <x:v>low</x:v>
      </x:c>
      <x:c r="V1356" s="16" t="str">
        <x:v>ambiguous_flip_flops_query</x:v>
      </x:c>
      <x:c r="W1356" s="16" t="str">
        <x:v>ambiguity_review</x:v>
      </x:c>
      <x:c r="X1356" s="16" t="str">
        <x:v>{"product_type":[{"value":"flip_flops","evidence_type":"explicit","source_span":"flip-flops","fact_ids":["style_flip_flop"],"rationale":"Term contains flip-flops as product reference."}],"audience_intent":[{"value":"women","evidence_type":"explicit","source_span":"women","fact_ids":[],"rationale":"Term contains women as audience reference."}]}</x:v>
      </x:c>
      <x:c r="Y1356" s="16" t="str">
        <x:v>unclear_phrasing | possible_misspelling</x:v>
      </x:c>
      <x:c r="Z1356" s="13" t="str">
        <x:v>unknown</x:v>
      </x:c>
      <x:c r="AA1356" s="16" t="str"/>
      <x:c r="AB1356" s="13" t="str">
        <x:v>accepted</x:v>
      </x:c>
      <x:c r="AC1356" s="13" t="str">
        <x:v>1.0.0</x:v>
      </x:c>
      <x:c r="AD1356" s="13" t="str">
        <x:v>1.0.0</x:v>
      </x:c>
      <x:c r="AE1356" s="13" t="str">
        <x:v>deepseek/deepseek-v4-pro</x:v>
      </x:c>
      <x:c r="AF1356" s="13" t="str">
        <x:v>aj2-y90-20260714T234810-0bea2f52</x:v>
      </x:c>
      <x:c r="AG1356" s="13" t="str">
        <x:v>pilot-0001</x:v>
      </x:c>
      <x:c r="AH1356" s="13" t="str">
        <x:v>pilot</x:v>
      </x:c>
      <x:c r="AI1356" s="13" t="n">
        <x:v>1</x:v>
      </x:c>
    </x:row>
    <x:row r="1357" ht="34" customHeight="1">
      <x:c r="A1357" s="15" t="str">
        <x:v>archie's flip-flops</x:v>
      </x:c>
      <x:c r="B1357" s="15" t="str">
        <x:v>archie's flip-flops</x:v>
      </x:c>
      <x:c r="C1357" s="10" t="str">
        <x:v>cae047bc03cd7e57</x:v>
      </x:c>
      <x:c r="D1357" s="10" t="str">
        <x:v>keyword</x:v>
      </x:c>
      <x:c r="E1357" s="10" t="str">
        <x:v>en</x:v>
      </x:c>
      <x:c r="F1357" s="10" t="str">
        <x:v>clothing_shoes_jewelry</x:v>
      </x:c>
      <x:c r="G1357" s="15" t="str"/>
      <x:c r="H1357" s="15" t="str">
        <x:v>flip_flops</x:v>
      </x:c>
      <x:c r="I1357" s="15" t="str"/>
      <x:c r="J1357" s="15" t="str"/>
      <x:c r="K1357" s="15" t="str"/>
      <x:c r="L1357" s="15" t="str"/>
      <x:c r="M1357" s="15" t="str"/>
      <x:c r="N1357" s="15" t="str"/>
      <x:c r="O1357" s="15" t="str"/>
      <x:c r="P1357" s="15" t="str"/>
      <x:c r="Q1357" s="15" t="str"/>
      <x:c r="R1357" s="15" t="str">
        <x:v>用户正在搜索 Archie's 品牌的夹脚拖鞋，是对特定竞争品牌的指名搜索。</x:v>
      </x:c>
      <x:c r="S1357" s="10" t="str">
        <x:v>brand_harvest</x:v>
      </x:c>
      <x:c r="T1357" s="15" t="str">
        <x:v>explicit | page_validated</x:v>
      </x:c>
      <x:c r="U1357" s="10" t="str">
        <x:v>high</x:v>
      </x:c>
      <x:c r="V1357" s="15" t="str">
        <x:v>archies_flip_flops</x:v>
      </x:c>
      <x:c r="W1357" s="15" t="str">
        <x:v>semantic_negative_candidate</x:v>
      </x:c>
      <x:c r="X1357" s="15" t="str">
        <x:v>{"product_type":[{"value":"flip_flops","evidence_type":"explicit","source_span":"flip-flops","fact_ids":["style_flip_flop"],"rationale":"Term requests flip-flops; product category matches but brand is joomra, not Archie's."}]}</x:v>
      </x:c>
      <x:c r="Y1357" s="15" t="str"/>
      <x:c r="Z1357" s="10" t="str">
        <x:v>mismatch</x:v>
      </x:c>
      <x:c r="AA1357" s="15" t="str">
        <x:v>style_flip_flop</x:v>
      </x:c>
      <x:c r="AB1357" s="10" t="str">
        <x:v>accepted</x:v>
      </x:c>
      <x:c r="AC1357" s="10" t="str">
        <x:v>1.0.0</x:v>
      </x:c>
      <x:c r="AD1357" s="10" t="str">
        <x:v>1.0.0</x:v>
      </x:c>
      <x:c r="AE1357" s="10" t="str">
        <x:v>deepseek/deepseek-v4-pro</x:v>
      </x:c>
      <x:c r="AF1357" s="10" t="str">
        <x:v>aj2-y90-20260714T234810-0bea2f52</x:v>
      </x:c>
      <x:c r="AG1357" s="10" t="str">
        <x:v>pilot-0001</x:v>
      </x:c>
      <x:c r="AH1357" s="10" t="str">
        <x:v>pilot</x:v>
      </x:c>
      <x:c r="AI1357" s="10" t="n">
        <x:v>1</x:v>
      </x:c>
    </x:row>
    <x:row r="1358" ht="34" customHeight="1">
      <x:c r="A1358" s="16" t="str">
        <x:v>coffee color flip flops</x:v>
      </x:c>
      <x:c r="B1358" s="16" t="str">
        <x:v>coffee color flip flops</x:v>
      </x:c>
      <x:c r="C1358" s="13" t="str">
        <x:v>ccdd7bfcf8d37a5d</x:v>
      </x:c>
      <x:c r="D1358" s="13" t="str">
        <x:v>keyword</x:v>
      </x:c>
      <x:c r="E1358" s="13" t="str">
        <x:v>en</x:v>
      </x:c>
      <x:c r="F1358" s="13" t="str">
        <x:v>clothing_shoes_jewelry</x:v>
      </x:c>
      <x:c r="G1358" s="16" t="str"/>
      <x:c r="H1358" s="16" t="str">
        <x:v>flip_flops</x:v>
      </x:c>
      <x:c r="I1358" s="16" t="str"/>
      <x:c r="J1358" s="16" t="str"/>
      <x:c r="K1358" s="16" t="str">
        <x:v>coffee_color</x:v>
      </x:c>
      <x:c r="L1358" s="16" t="str"/>
      <x:c r="M1358" s="16" t="str"/>
      <x:c r="N1358" s="16" t="str"/>
      <x:c r="O1358" s="16" t="str"/>
      <x:c r="P1358" s="16" t="str"/>
      <x:c r="Q1358" s="16" t="str"/>
      <x:c r="R1358" s="16" t="str">
        <x:v>用户寻找咖啡色（棕色系）的夹脚拖鞋，颜色是核心选择因素。</x:v>
      </x:c>
      <x:c r="S1358" s="13" t="str">
        <x:v>consideration</x:v>
      </x:c>
      <x:c r="T1358" s="16" t="str">
        <x:v>explicit | page_validated</x:v>
      </x:c>
      <x:c r="U1358" s="13" t="str">
        <x:v>medium</x:v>
      </x:c>
      <x:c r="V1358" s="16" t="str">
        <x:v>coffee_color_flip_flops</x:v>
      </x:c>
      <x:c r="W1358" s="16" t="str">
        <x:v>listing_gap_review</x:v>
      </x:c>
      <x:c r="X1358" s="16" t="str">
        <x:v>{"product_type":[{"value":"flip_flops","evidence_type":"explicit","source_span":"flip flops","fact_ids":["style_flip_flop"],"rationale":"Term explicitly requests flip flops."}],"capability_intent":[{"value":"coffee_color","evidence_type":"explicit","source_span":"coffee color","fact_ids":[],"rationale":"Term explicitly requests coffee/brown color. Page confirms multiple colors including light blue, but coffee color is not specifically evidenced."}]}</x:v>
      </x:c>
      <x:c r="Y1358" s="16" t="str"/>
      <x:c r="Z1358" s="13" t="str">
        <x:v>partial_match</x:v>
      </x:c>
      <x:c r="AA1358" s="16" t="str">
        <x:v>style_flip_flop | colors_visible</x:v>
      </x:c>
      <x:c r="AB1358" s="13" t="str">
        <x:v>accepted</x:v>
      </x:c>
      <x:c r="AC1358" s="13" t="str">
        <x:v>1.0.0</x:v>
      </x:c>
      <x:c r="AD1358" s="13" t="str">
        <x:v>1.0.0</x:v>
      </x:c>
      <x:c r="AE1358" s="13" t="str">
        <x:v>deepseek/deepseek-v4-pro</x:v>
      </x:c>
      <x:c r="AF1358" s="13" t="str">
        <x:v>aj2-y90-20260714T234810-0bea2f52</x:v>
      </x:c>
      <x:c r="AG1358" s="13" t="str">
        <x:v>pilot-0001</x:v>
      </x:c>
      <x:c r="AH1358" s="13" t="str">
        <x:v>pilot</x:v>
      </x:c>
      <x:c r="AI1358" s="13" t="n">
        <x:v>1</x:v>
      </x:c>
    </x:row>
    <x:row r="1359" ht="34" customHeight="1">
      <x:c r="A1359" s="15" t="str">
        <x:v>flip flops for sweaty feet women</x:v>
      </x:c>
      <x:c r="B1359" s="15" t="str">
        <x:v>flip flops for sweaty feet women</x:v>
      </x:c>
      <x:c r="C1359" s="10" t="str">
        <x:v>d661df7a0b9ba230</x:v>
      </x:c>
      <x:c r="D1359" s="10" t="str">
        <x:v>keyword</x:v>
      </x:c>
      <x:c r="E1359" s="10" t="str">
        <x:v>en</x:v>
      </x:c>
      <x:c r="F1359" s="10" t="str">
        <x:v>clothing_shoes_jewelry</x:v>
      </x:c>
      <x:c r="G1359" s="15" t="str"/>
      <x:c r="H1359" s="15" t="str">
        <x:v>flip_flops</x:v>
      </x:c>
      <x:c r="I1359" s="15" t="str">
        <x:v>women</x:v>
      </x:c>
      <x:c r="J1359" s="15" t="str"/>
      <x:c r="K1359" s="15" t="str">
        <x:v>breathable</x:v>
      </x:c>
      <x:c r="L1359" s="15" t="str"/>
      <x:c r="M1359" s="15" t="str"/>
      <x:c r="N1359" s="15" t="str">
        <x:v>sweaty_feet</x:v>
      </x:c>
      <x:c r="O1359" s="15" t="str"/>
      <x:c r="P1359" s="15" t="str"/>
      <x:c r="Q1359" s="15" t="str"/>
      <x:c r="R1359" s="15" t="str">
        <x:v>用户为容易脚部出汗的女性寻找透气性好的夹脚拖鞋，以减少闷热和不适感。</x:v>
      </x:c>
      <x:c r="S1359" s="10" t="str">
        <x:v>consideration</x:v>
      </x:c>
      <x:c r="T1359" s="15" t="str">
        <x:v>explicit | page_validated</x:v>
      </x:c>
      <x:c r="U1359" s="10" t="str">
        <x:v>high</x:v>
      </x:c>
      <x:c r="V1359" s="15" t="str">
        <x:v>sweaty_feet_flip_flops_women</x:v>
      </x:c>
      <x:c r="W1359" s="15" t="str">
        <x:v>cluster_route</x:v>
      </x:c>
      <x:c r="X1359" s="15" t="str">
        <x:v>{"product_type":[{"value":"flip_flops","evidence_type":"explicit","source_span":"flip flops","fact_ids":["style_flip_flop"],"rationale":"Term explicitly requests flip flops."}],"audience_intent":[{"value":"women","evidence_type":"explicit","source_span":"women","fact_ids":["title_womens_flip_flop"],"rationale":"Term targets women."}],"body_need_intent":[{"value":"sweaty_feet","evidence_type":"explicit","source_span":"sweaty feet","fact_ids":[],"rationale":"Term explicitly mentions sweaty feet condition."}],"capability_intent":[{"value":"breathable","evidence_type":"page_validated","source_span":"sweaty feet","fact_ids":["lightweight_breathable","style_open_toe","material_eva"],"rationale":"Breathable, open-toe EVA construction addresses sweaty feet needs. Product page confirms lightweight breathable design and open toe style."}]}</x:v>
      </x:c>
      <x:c r="Y1359" s="15" t="str"/>
      <x:c r="Z1359" s="10" t="str">
        <x:v>match</x:v>
      </x:c>
      <x:c r="AA1359" s="15" t="str">
        <x:v>title_womens_flip_flop | style_flip_flop | lightweight_breathable | style_open_toe | material_eva</x:v>
      </x:c>
      <x:c r="AB1359" s="10" t="str">
        <x:v>accepted</x:v>
      </x:c>
      <x:c r="AC1359" s="10" t="str">
        <x:v>1.0.0</x:v>
      </x:c>
      <x:c r="AD1359" s="10" t="str">
        <x:v>1.0.0</x:v>
      </x:c>
      <x:c r="AE1359" s="10" t="str">
        <x:v>deepseek/deepseek-v4-pro</x:v>
      </x:c>
      <x:c r="AF1359" s="10" t="str">
        <x:v>aj2-y90-20260714T234810-0bea2f52</x:v>
      </x:c>
      <x:c r="AG1359" s="10" t="str">
        <x:v>pilot-0001</x:v>
      </x:c>
      <x:c r="AH1359" s="10" t="str">
        <x:v>pilot</x:v>
      </x:c>
      <x:c r="AI1359" s="10" t="n">
        <x:v>1</x:v>
      </x:c>
    </x:row>
    <x:row r="1360" ht="34" customHeight="1">
      <x:c r="A1360" s="16" t="str">
        <x:v>thick flip flops for women</x:v>
      </x:c>
      <x:c r="B1360" s="16" t="str">
        <x:v>thick flip flops for women</x:v>
      </x:c>
      <x:c r="C1360" s="13" t="str">
        <x:v>de91ffd796a4e371</x:v>
      </x:c>
      <x:c r="D1360" s="13" t="str">
        <x:v>keyword</x:v>
      </x:c>
      <x:c r="E1360" s="13" t="str">
        <x:v>en</x:v>
      </x:c>
      <x:c r="F1360" s="13" t="str">
        <x:v>clothing_shoes_jewelry</x:v>
      </x:c>
      <x:c r="G1360" s="16" t="str"/>
      <x:c r="H1360" s="16" t="str">
        <x:v>flip_flops</x:v>
      </x:c>
      <x:c r="I1360" s="16" t="str">
        <x:v>women</x:v>
      </x:c>
      <x:c r="J1360" s="16" t="str"/>
      <x:c r="K1360" s="16" t="str">
        <x:v>thick_sole</x:v>
      </x:c>
      <x:c r="L1360" s="16" t="str"/>
      <x:c r="M1360" s="16" t="str"/>
      <x:c r="N1360" s="16" t="str"/>
      <x:c r="O1360" s="16" t="str"/>
      <x:c r="P1360" s="16" t="str"/>
      <x:c r="Q1360" s="16" t="str"/>
      <x:c r="R1360" s="16" t="str">
        <x:v>用户为女性寻找厚底夹脚拖鞋，可能追求更好的缓冲、支撑或增高效果。</x:v>
      </x:c>
      <x:c r="S1360" s="13" t="str">
        <x:v>consideration</x:v>
      </x:c>
      <x:c r="T1360" s="16" t="str">
        <x:v>explicit | page_validated</x:v>
      </x:c>
      <x:c r="U1360" s="13" t="str">
        <x:v>medium</x:v>
      </x:c>
      <x:c r="V1360" s="16" t="str">
        <x:v>thick_flip_flops_women</x:v>
      </x:c>
      <x:c r="W1360" s="16" t="str">
        <x:v>listing_gap_review</x:v>
      </x:c>
      <x:c r="X1360" s="16" t="str">
        <x:v>{"product_type":[{"value":"flip_flops","evidence_type":"explicit","source_span":"flip flops","fact_ids":["style_flip_flop"],"rationale":"Term explicitly requests flip flops."}],"audience_intent":[{"value":"women","evidence_type":"explicit","source_span":"women","fact_ids":["title_womens_flip_flop"],"rationale":"Term explicitly specifies women; page confirms women's product."}],"capability_intent":[{"value":"thick_sole","evidence_type":"explicit","source_span":"thick","fact_ids":[],"rationale":"Term explicitly requests thick design. Product page describes padded cushioning and arch support but does not explicitly claim thick sole."}]}</x:v>
      </x:c>
      <x:c r="Y1360" s="16" t="str"/>
      <x:c r="Z1360" s="13" t="str">
        <x:v>partial_match</x:v>
      </x:c>
      <x:c r="AA1360" s="16" t="str">
        <x:v>title_womens_flip_flop | style_flip_flop | padded_cushioning | arch_support</x:v>
      </x:c>
      <x:c r="AB1360" s="13" t="str">
        <x:v>accepted</x:v>
      </x:c>
      <x:c r="AC1360" s="13" t="str">
        <x:v>1.0.0</x:v>
      </x:c>
      <x:c r="AD1360" s="13" t="str">
        <x:v>1.0.0</x:v>
      </x:c>
      <x:c r="AE1360" s="13" t="str">
        <x:v>deepseek/deepseek-v4-pro</x:v>
      </x:c>
      <x:c r="AF1360" s="13" t="str">
        <x:v>aj2-y90-20260714T234810-0bea2f52</x:v>
      </x:c>
      <x:c r="AG1360" s="13" t="str">
        <x:v>pilot-0001</x:v>
      </x:c>
      <x:c r="AH1360" s="13" t="str">
        <x:v>pilot</x:v>
      </x:c>
      <x:c r="AI1360" s="13" t="n">
        <x:v>1</x:v>
      </x:c>
    </x:row>
    <x:row r="1361" ht="34" customHeight="1">
      <x:c r="A1361" s="15" t="str">
        <x:v>cushionaire flip flops</x:v>
      </x:c>
      <x:c r="B1361" s="15" t="str">
        <x:v>cushionaire flip flops</x:v>
      </x:c>
      <x:c r="C1361" s="10" t="str">
        <x:v>ef4830f4ab5e48e9</x:v>
      </x:c>
      <x:c r="D1361" s="10" t="str">
        <x:v>keyword</x:v>
      </x:c>
      <x:c r="E1361" s="10" t="str">
        <x:v>en</x:v>
      </x:c>
      <x:c r="F1361" s="10" t="str">
        <x:v>clothing_shoes_jewelry</x:v>
      </x:c>
      <x:c r="G1361" s="15" t="str"/>
      <x:c r="H1361" s="15" t="str">
        <x:v>flip_flops</x:v>
      </x:c>
      <x:c r="I1361" s="15" t="str"/>
      <x:c r="J1361" s="15" t="str"/>
      <x:c r="K1361" s="15" t="str"/>
      <x:c r="L1361" s="15" t="str"/>
      <x:c r="M1361" s="15" t="str"/>
      <x:c r="N1361" s="15" t="str"/>
      <x:c r="O1361" s="15" t="str"/>
      <x:c r="P1361" s="15" t="str"/>
      <x:c r="Q1361" s="15" t="str"/>
      <x:c r="R1361" s="15" t="str">
        <x:v>用户正在搜索 Cushionaire 品牌的夹脚拖鞋，属于对特定竞争品牌有明确偏好的搜索行为。</x:v>
      </x:c>
      <x:c r="S1361" s="10" t="str">
        <x:v>brand_harvest</x:v>
      </x:c>
      <x:c r="T1361" s="15" t="str">
        <x:v>explicit | page_validated</x:v>
      </x:c>
      <x:c r="U1361" s="10" t="str">
        <x:v>high</x:v>
      </x:c>
      <x:c r="V1361" s="15" t="str">
        <x:v>cushionaire_flip_flops</x:v>
      </x:c>
      <x:c r="W1361" s="15" t="str">
        <x:v>semantic_negative_candidate</x:v>
      </x:c>
      <x:c r="X1361" s="15" t="str">
        <x:v>{"product_type":[{"value":"flip_flops","evidence_type":"explicit","source_span":"flip flops","fact_ids":["style_flip_flop"],"rationale":"Term requests flip flops; product is a flip flop but brand differs."}],"primary_domain":[{"value":"clothing_shoes_jewelry","evidence_type":"inferred","source_span":"flip flops","fact_ids":[],"rationale":"Flip flops are footwear products."}]}</x:v>
      </x:c>
      <x:c r="Y1361" s="15" t="str"/>
      <x:c r="Z1361" s="10" t="str">
        <x:v>mismatch</x:v>
      </x:c>
      <x:c r="AA1361" s="15" t="str">
        <x:v>style_flip_flop</x:v>
      </x:c>
      <x:c r="AB1361" s="10" t="str">
        <x:v>accepted</x:v>
      </x:c>
      <x:c r="AC1361" s="10" t="str">
        <x:v>1.0.0</x:v>
      </x:c>
      <x:c r="AD1361" s="10" t="str">
        <x:v>1.0.0</x:v>
      </x:c>
      <x:c r="AE1361" s="10" t="str">
        <x:v>deepseek/deepseek-v4-pro</x:v>
      </x:c>
      <x:c r="AF1361" s="10" t="str">
        <x:v>aj2-y90-20260714T234810-0bea2f52</x:v>
      </x:c>
      <x:c r="AG1361" s="10" t="str">
        <x:v>pilot-0001</x:v>
      </x:c>
      <x:c r="AH1361" s="10" t="str">
        <x:v>pilot</x:v>
      </x:c>
      <x:c r="AI1361" s="10" t="n">
        <x:v>1</x:v>
      </x:c>
    </x:row>
    <x:row r="1362" ht="34" customHeight="1">
      <x:c r="A1362" s="16" t="str">
        <x:v>navy arch support sandals</x:v>
      </x:c>
      <x:c r="B1362" s="16" t="str">
        <x:v>navy arch support sandals</x:v>
      </x:c>
      <x:c r="C1362" s="13" t="str">
        <x:v>351345e2df2a885b</x:v>
      </x:c>
      <x:c r="D1362" s="13" t="str">
        <x:v>keyword</x:v>
      </x:c>
      <x:c r="E1362" s="13" t="str">
        <x:v>en</x:v>
      </x:c>
      <x:c r="F1362" s="13" t="str">
        <x:v>clothing_shoes_jewelry</x:v>
      </x:c>
      <x:c r="G1362" s="16" t="str"/>
      <x:c r="H1362" s="16" t="str">
        <x:v>sandals</x:v>
      </x:c>
      <x:c r="I1362" s="16" t="str"/>
      <x:c r="J1362" s="16" t="str"/>
      <x:c r="K1362" s="16" t="str">
        <x:v>arch_support</x:v>
      </x:c>
      <x:c r="L1362" s="16" t="str"/>
      <x:c r="M1362" s="16" t="str"/>
      <x:c r="N1362" s="16" t="str">
        <x:v>arch_support</x:v>
      </x:c>
      <x:c r="O1362" s="16" t="str"/>
      <x:c r="P1362" s="16" t="str"/>
      <x:c r="Q1362" s="16" t="str"/>
      <x:c r="R1362" s="16" t="str">
        <x:v>用户想找一双海军蓝色的足弓支撑凉鞋，同时满足颜色偏好和功能需求。</x:v>
      </x:c>
      <x:c r="S1362" s="13" t="str">
        <x:v>consideration</x:v>
      </x:c>
      <x:c r="T1362" s="16" t="str">
        <x:v>explicit</x:v>
      </x:c>
      <x:c r="U1362" s="13" t="str">
        <x:v>medium</x:v>
      </x:c>
      <x:c r="V1362" s="16" t="str">
        <x:v>navy_arch_support_sandals</x:v>
      </x:c>
      <x:c r="W1362" s="16" t="str">
        <x:v>listing_gap_review</x:v>
      </x:c>
      <x:c r="X1362" s="16" t="str">
        <x:v>{"product_type":[{"value":"sandals","evidence_type":"explicit","source_span":"sandals","fact_ids":[],"rationale":"Term explicitly names sandals."}],"capability_intent":[{"value":"arch_support","evidence_type":"explicit","source_span":"arch support","fact_ids":[],"rationale":"Term explicitly requests arch support."}],"body_need_intent":[{"value":"arch_support","evidence_type":"explicit","source_span":"arch support","fact_ids":[],"rationale":"Arch support is explicitly stated as a need."}],"color":[{"value":"navy","evidence_type":"explicit","source_span":"navy","fact_ids":[],"rationale":"Navy is explicitly requested as the desired color."}]}</x:v>
      </x:c>
      <x:c r="Y1362" s="16" t="str"/>
      <x:c r="Z1362" s="13" t="str">
        <x:v>partial_match</x:v>
      </x:c>
      <x:c r="AA1362" s="16" t="str">
        <x:v>arch_support | colors_visible</x:v>
      </x:c>
      <x:c r="AB1362" s="13" t="str">
        <x:v>accepted</x:v>
      </x:c>
      <x:c r="AC1362" s="13" t="str">
        <x:v>1.0.0</x:v>
      </x:c>
      <x:c r="AD1362" s="13" t="str">
        <x:v>1.0.0</x:v>
      </x:c>
      <x:c r="AE1362" s="13" t="str">
        <x:v>deepseek/deepseek-v4-pro</x:v>
      </x:c>
      <x:c r="AF1362" s="13" t="str">
        <x:v>aj2-y90-20260714T234810-0bea2f52</x:v>
      </x:c>
      <x:c r="AG1362" s="13" t="str">
        <x:v>pilot-0002</x:v>
      </x:c>
      <x:c r="AH1362" s="13" t="str">
        <x:v>pilot</x:v>
      </x:c>
      <x:c r="AI1362" s="13" t="n">
        <x:v>2</x:v>
      </x:c>
    </x:row>
    <x:row r="1363" ht="34" customHeight="1">
      <x:c r="A1363" s="15" t="str">
        <x:v>flip flops cream</x:v>
      </x:c>
      <x:c r="B1363" s="15" t="str">
        <x:v>flip flops cream</x:v>
      </x:c>
      <x:c r="C1363" s="10" t="str">
        <x:v>4ac63174b3d4b713</x:v>
      </x:c>
      <x:c r="D1363" s="10" t="str">
        <x:v>keyword</x:v>
      </x:c>
      <x:c r="E1363" s="10" t="str">
        <x:v>en</x:v>
      </x:c>
      <x:c r="F1363" s="10" t="str">
        <x:v>clothing_shoes_jewelry</x:v>
      </x:c>
      <x:c r="G1363" s="15" t="str"/>
      <x:c r="H1363" s="15" t="str">
        <x:v>flip_flops</x:v>
      </x:c>
      <x:c r="I1363" s="15" t="str"/>
      <x:c r="J1363" s="15" t="str"/>
      <x:c r="K1363" s="15" t="str"/>
      <x:c r="L1363" s="15" t="str"/>
      <x:c r="M1363" s="15" t="str"/>
      <x:c r="N1363" s="15" t="str"/>
      <x:c r="O1363" s="15" t="str"/>
      <x:c r="P1363" s="15" t="str"/>
      <x:c r="Q1363" s="15" t="str"/>
      <x:c r="R1363" s="15" t="str">
        <x:v>用户想找一双奶油色/米白色的人字拖，用于日常搭配穿着。</x:v>
      </x:c>
      <x:c r="S1363" s="10" t="str">
        <x:v>consideration</x:v>
      </x:c>
      <x:c r="T1363" s="15" t="str">
        <x:v>explicit | inferred</x:v>
      </x:c>
      <x:c r="U1363" s="10" t="str">
        <x:v>medium</x:v>
      </x:c>
      <x:c r="V1363" s="15" t="str">
        <x:v>colored_flip_flops</x:v>
      </x:c>
      <x:c r="W1363" s="15" t="str">
        <x:v>listing_gap_review</x:v>
      </x:c>
      <x:c r="X1363" s="15" t="str">
        <x:v>{"product_type":[{"value":"flip_flops","evidence_type":"explicit","source_span":"flip flops","fact_ids":[],"rationale":"Term directly names flip flops."}],"color":[{"value":"cream","evidence_type":"explicit","source_span":"cream","fact_ids":[],"rationale":"Cream is explicitly requested as the desired color."}]}</x:v>
      </x:c>
      <x:c r="Y1363" s="15" t="str"/>
      <x:c r="Z1363" s="10" t="str">
        <x:v>partial_match</x:v>
      </x:c>
      <x:c r="AA1363" s="15" t="str">
        <x:v>style_flip_flop | title_womens_flip_flop | colors_visible</x:v>
      </x:c>
      <x:c r="AB1363" s="10" t="str">
        <x:v>accepted</x:v>
      </x:c>
      <x:c r="AC1363" s="10" t="str">
        <x:v>1.0.0</x:v>
      </x:c>
      <x:c r="AD1363" s="10" t="str">
        <x:v>1.0.0</x:v>
      </x:c>
      <x:c r="AE1363" s="10" t="str">
        <x:v>deepseek/deepseek-v4-pro</x:v>
      </x:c>
      <x:c r="AF1363" s="10" t="str">
        <x:v>aj2-y90-20260714T234810-0bea2f52</x:v>
      </x:c>
      <x:c r="AG1363" s="10" t="str">
        <x:v>pilot-0002</x:v>
      </x:c>
      <x:c r="AH1363" s="10" t="str">
        <x:v>pilot</x:v>
      </x:c>
      <x:c r="AI1363" s="10" t="n">
        <x:v>2</x:v>
      </x:c>
    </x:row>
    <x:row r="1364" ht="34" customHeight="1">
      <x:c r="A1364" s="16" t="str">
        <x:v>comfort foam flip-flops</x:v>
      </x:c>
      <x:c r="B1364" s="16" t="str">
        <x:v>comfort foam flip-flops</x:v>
      </x:c>
      <x:c r="C1364" s="13" t="str">
        <x:v>5336619a2834ecfd</x:v>
      </x:c>
      <x:c r="D1364" s="13" t="str">
        <x:v>keyword</x:v>
      </x:c>
      <x:c r="E1364" s="13" t="str">
        <x:v>en</x:v>
      </x:c>
      <x:c r="F1364" s="13" t="str">
        <x:v>clothing_shoes_jewelry</x:v>
      </x:c>
      <x:c r="G1364" s="16" t="str"/>
      <x:c r="H1364" s="16" t="str">
        <x:v>flip_flops</x:v>
      </x:c>
      <x:c r="I1364" s="16" t="str"/>
      <x:c r="J1364" s="16" t="str"/>
      <x:c r="K1364" s="16" t="str">
        <x:v>comfort | foam_cushioning</x:v>
      </x:c>
      <x:c r="L1364" s="16" t="str"/>
      <x:c r="M1364" s="16" t="str"/>
      <x:c r="N1364" s="16" t="str"/>
      <x:c r="O1364" s="16" t="str"/>
      <x:c r="P1364" s="16" t="str"/>
      <x:c r="Q1364" s="16" t="str"/>
      <x:c r="R1364" s="16" t="str">
        <x:v>用户想找一双由舒适泡沫材料制成的人字拖，注重柔软轻便的穿着体验。</x:v>
      </x:c>
      <x:c r="S1364" s="13" t="str">
        <x:v>consideration</x:v>
      </x:c>
      <x:c r="T1364" s="16" t="str">
        <x:v>explicit | page_validated</x:v>
      </x:c>
      <x:c r="U1364" s="13" t="str">
        <x:v>high</x:v>
      </x:c>
      <x:c r="V1364" s="16" t="str">
        <x:v>foam_comfort_flip_flops</x:v>
      </x:c>
      <x:c r="W1364" s="16" t="str">
        <x:v>cluster_route</x:v>
      </x:c>
      <x:c r="X1364" s="16" t="str">
        <x:v>{"product_type":[{"value":"flip_flops","evidence_type":"explicit","source_span":"flip-flops","fact_ids":[],"rationale":"Term explicitly names flip-flops."}],"capability_intent":[{"value":"comfort","evidence_type":"explicit","source_span":"comfort","fact_ids":[],"rationale":"Comfort is explicitly requested."},{"value":"foam_cushioning","evidence_type":"explicit","source_span":"foam","fact_ids":[],"rationale":"Foam explicitly specifies the desired material property."}],"material":[{"value":"foam","evidence_type":"explicit","source_span":"foam","fact_ids":[],"rationale":"Foam material is explicitly requested."},{"value":"eva","evidence_type":"page_validated","source_span":"foam","fact_ids":["material_eva"],"rationale":"EVA is a type of foam material that matches the user's foam request."}]}</x:v>
      </x:c>
      <x:c r="Y1364" s="16" t="str"/>
      <x:c r="Z1364" s="13" t="str">
        <x:v>match</x:v>
      </x:c>
      <x:c r="AA1364" s="16" t="str">
        <x:v>material_eva | style_flip_flop | padded_cushioning | lightweight_breathable</x:v>
      </x:c>
      <x:c r="AB1364" s="13" t="str">
        <x:v>accepted</x:v>
      </x:c>
      <x:c r="AC1364" s="13" t="str">
        <x:v>1.0.0</x:v>
      </x:c>
      <x:c r="AD1364" s="13" t="str">
        <x:v>1.0.0</x:v>
      </x:c>
      <x:c r="AE1364" s="13" t="str">
        <x:v>deepseek/deepseek-v4-pro</x:v>
      </x:c>
      <x:c r="AF1364" s="13" t="str">
        <x:v>aj2-y90-20260714T234810-0bea2f52</x:v>
      </x:c>
      <x:c r="AG1364" s="13" t="str">
        <x:v>pilot-0002</x:v>
      </x:c>
      <x:c r="AH1364" s="13" t="str">
        <x:v>pilot</x:v>
      </x:c>
      <x:c r="AI1364" s="13" t="n">
        <x:v>2</x:v>
      </x:c>
    </x:row>
    <x:row r="1365" ht="34" customHeight="1">
      <x:c r="A1365" s="15" t="str">
        <x:v>sandalias para support tus pies para mujeres</x:v>
      </x:c>
      <x:c r="B1365" s="15" t="str">
        <x:v>sandalias para support tus pies para mujeres</x:v>
      </x:c>
      <x:c r="C1365" s="10" t="str">
        <x:v>5f80c5cea4538482</x:v>
      </x:c>
      <x:c r="D1365" s="10" t="str">
        <x:v>keyword</x:v>
      </x:c>
      <x:c r="E1365" s="10" t="str">
        <x:v>es</x:v>
      </x:c>
      <x:c r="F1365" s="10" t="str">
        <x:v>clothing_shoes_jewelry</x:v>
      </x:c>
      <x:c r="G1365" s="15" t="str"/>
      <x:c r="H1365" s="15" t="str">
        <x:v>sandals</x:v>
      </x:c>
      <x:c r="I1365" s="15" t="str">
        <x:v>women</x:v>
      </x:c>
      <x:c r="J1365" s="15" t="str">
        <x:v>foot_support</x:v>
      </x:c>
      <x:c r="K1365" s="15" t="str">
        <x:v>arch_support</x:v>
      </x:c>
      <x:c r="L1365" s="15" t="str"/>
      <x:c r="M1365" s="15" t="str"/>
      <x:c r="N1365" s="15" t="str">
        <x:v>foot_support</x:v>
      </x:c>
      <x:c r="O1365" s="15" t="str"/>
      <x:c r="P1365" s="15" t="str"/>
      <x:c r="Q1365" s="15" t="str"/>
      <x:c r="R1365" s="15" t="str">
        <x:v>西班牙语女性用户想找一双能支撑脚部的凉鞋，用于日常穿着改善足部舒适度。</x:v>
      </x:c>
      <x:c r="S1365" s="10" t="str">
        <x:v>consideration</x:v>
      </x:c>
      <x:c r="T1365" s="15" t="str">
        <x:v>explicit | inferred | page_validated</x:v>
      </x:c>
      <x:c r="U1365" s="10" t="str">
        <x:v>high</x:v>
      </x:c>
      <x:c r="V1365" s="15" t="str">
        <x:v>foot_support_sandals_women_es</x:v>
      </x:c>
      <x:c r="W1365" s="15" t="str">
        <x:v>cluster_route</x:v>
      </x:c>
      <x:c r="X1365" s="15" t="str">
        <x:v>{"product_type":[{"value":"sandals","evidence_type":"explicit","source_span":"sandalias","fact_ids":[],"rationale":"Sandalias is Spanish for sandals, explicitly naming the product type."}],"audience_intent":[{"value":"women","evidence_type":"explicit","source_span":"mujeres","fact_ids":[],"rationale":"Mujeres is Spanish for women, explicitly targeting the audience."}],"function_intent":[{"value":"foot_support","evidence_type":"explicit","source_span":"support tus pies","fact_ids":[],"rationale":"Support tus pies (support your feet) explicitly requests foot support function."}],"capability_intent":[{"value":"arch_support","evidence_type":"inferred","source_span":"support tus pies","fact_ids":[],"rationale":"Foot support in footwear context commonly implies arch support as the primary mechanism."}],"body_need_intent":[{"value":"foot_support","evidence_type":"explicit","source_span":"support tus pies","fact_ids":[],"rationale":"Support for feet is explicitly stated as a body need."}]}</x:v>
      </x:c>
      <x:c r="Y1365" s="15" t="str"/>
      <x:c r="Z1365" s="10" t="str">
        <x:v>match</x:v>
      </x:c>
      <x:c r="AA1365" s="15" t="str">
        <x:v>title_womens_flip_flop | arch_support</x:v>
      </x:c>
      <x:c r="AB1365" s="10" t="str">
        <x:v>accepted</x:v>
      </x:c>
      <x:c r="AC1365" s="10" t="str">
        <x:v>1.0.0</x:v>
      </x:c>
      <x:c r="AD1365" s="10" t="str">
        <x:v>1.0.0</x:v>
      </x:c>
      <x:c r="AE1365" s="10" t="str">
        <x:v>deepseek/deepseek-v4-pro</x:v>
      </x:c>
      <x:c r="AF1365" s="10" t="str">
        <x:v>aj2-y90-20260714T234810-0bea2f52</x:v>
      </x:c>
      <x:c r="AG1365" s="10" t="str">
        <x:v>pilot-0002</x:v>
      </x:c>
      <x:c r="AH1365" s="10" t="str">
        <x:v>pilot</x:v>
      </x:c>
      <x:c r="AI1365" s="10" t="n">
        <x:v>2</x:v>
      </x:c>
    </x:row>
    <x:row r="1366" ht="34" customHeight="1">
      <x:c r="A1366" s="16" t="str">
        <x:v>women's flip flopsovernight delivery</x:v>
      </x:c>
      <x:c r="B1366" s="16" t="str">
        <x:v>women's flip flopsovernight delivery</x:v>
      </x:c>
      <x:c r="C1366" s="13" t="str">
        <x:v>7956a52c42966e82</x:v>
      </x:c>
      <x:c r="D1366" s="13" t="str">
        <x:v>keyword</x:v>
      </x:c>
      <x:c r="E1366" s="13" t="str">
        <x:v>en</x:v>
      </x:c>
      <x:c r="F1366" s="13" t="str">
        <x:v>clothing_shoes_jewelry</x:v>
      </x:c>
      <x:c r="G1366" s="16" t="str"/>
      <x:c r="H1366" s="16" t="str">
        <x:v>flip_flops</x:v>
      </x:c>
      <x:c r="I1366" s="16" t="str">
        <x:v>women</x:v>
      </x:c>
      <x:c r="J1366" s="16" t="str"/>
      <x:c r="K1366" s="16" t="str"/>
      <x:c r="L1366" s="16" t="str"/>
      <x:c r="M1366" s="16" t="str"/>
      <x:c r="N1366" s="16" t="str"/>
      <x:c r="O1366" s="16" t="str">
        <x:v>overnight</x:v>
      </x:c>
      <x:c r="P1366" s="16" t="str"/>
      <x:c r="Q1366" s="16" t="str"/>
      <x:c r="R1366" s="16" t="str">
        <x:v>女性用户想购买女款人字拖并要求隔夜快速送达。</x:v>
      </x:c>
      <x:c r="S1366" s="13" t="str">
        <x:v>high_intent</x:v>
      </x:c>
      <x:c r="T1366" s="16" t="str">
        <x:v>explicit</x:v>
      </x:c>
      <x:c r="U1366" s="13" t="str">
        <x:v>high</x:v>
      </x:c>
      <x:c r="V1366" s="16" t="str">
        <x:v>flip_flops_women_urgent_delivery</x:v>
      </x:c>
      <x:c r="W1366" s="16" t="str">
        <x:v>listing_gap_review</x:v>
      </x:c>
      <x:c r="X1366" s="16" t="str">
        <x:v>{"product_type":[{"value":"flip_flops","evidence_type":"explicit","source_span":"flip flops","fact_ids":[],"rationale":"Term explicitly names flip flops."}],"audience_intent":[{"value":"women","evidence_type":"explicit","source_span":"women's","fact_ids":[],"rationale":"Term explicitly targets women."}],"time_intent":[{"value":"overnight","evidence_type":"explicit","source_span":"overnight delivery","fact_ids":[],"rationale":"Term explicitly requests overnight delivery speed."}]}</x:v>
      </x:c>
      <x:c r="Y1366" s="16" t="str"/>
      <x:c r="Z1366" s="13" t="str">
        <x:v>partial_match</x:v>
      </x:c>
      <x:c r="AA1366" s="16" t="str">
        <x:v>title_womens_flip_flop | style_flip_flop</x:v>
      </x:c>
      <x:c r="AB1366" s="13" t="str">
        <x:v>accepted</x:v>
      </x:c>
      <x:c r="AC1366" s="13" t="str">
        <x:v>1.0.0</x:v>
      </x:c>
      <x:c r="AD1366" s="13" t="str">
        <x:v>1.0.0</x:v>
      </x:c>
      <x:c r="AE1366" s="13" t="str">
        <x:v>deepseek/deepseek-v4-pro</x:v>
      </x:c>
      <x:c r="AF1366" s="13" t="str">
        <x:v>aj2-y90-20260714T234810-0bea2f52</x:v>
      </x:c>
      <x:c r="AG1366" s="13" t="str">
        <x:v>pilot-0002</x:v>
      </x:c>
      <x:c r="AH1366" s="13" t="str">
        <x:v>pilot</x:v>
      </x:c>
      <x:c r="AI1366" s="13" t="n">
        <x:v>2</x:v>
      </x:c>
    </x:row>
    <x:row r="1367" ht="34" customHeight="1">
      <x:c r="A1367" s="15" t="str">
        <x:v>women arch support flipflops</x:v>
      </x:c>
      <x:c r="B1367" s="15" t="str">
        <x:v>women arch support flipflops</x:v>
      </x:c>
      <x:c r="C1367" s="10" t="str">
        <x:v>812c53795bef786b</x:v>
      </x:c>
      <x:c r="D1367" s="10" t="str">
        <x:v>keyword</x:v>
      </x:c>
      <x:c r="E1367" s="10" t="str">
        <x:v>en</x:v>
      </x:c>
      <x:c r="F1367" s="10" t="str">
        <x:v>clothing_shoes_jewelry</x:v>
      </x:c>
      <x:c r="G1367" s="15" t="str"/>
      <x:c r="H1367" s="15" t="str">
        <x:v>flip_flops</x:v>
      </x:c>
      <x:c r="I1367" s="15" t="str">
        <x:v>women</x:v>
      </x:c>
      <x:c r="J1367" s="15" t="str"/>
      <x:c r="K1367" s="15" t="str">
        <x:v>arch_support</x:v>
      </x:c>
      <x:c r="L1367" s="15" t="str"/>
      <x:c r="M1367" s="15" t="str"/>
      <x:c r="N1367" s="15" t="str">
        <x:v>arch_support</x:v>
      </x:c>
      <x:c r="O1367" s="15" t="str"/>
      <x:c r="P1367" s="15" t="str"/>
      <x:c r="Q1367" s="15" t="str"/>
      <x:c r="R1367" s="15" t="str">
        <x:v>女性用户想找一双具有足弓支撑功能的人字拖，用于日常穿着缓解足弓压力。</x:v>
      </x:c>
      <x:c r="S1367" s="10" t="str">
        <x:v>consideration</x:v>
      </x:c>
      <x:c r="T1367" s="15" t="str">
        <x:v>explicit | page_validated</x:v>
      </x:c>
      <x:c r="U1367" s="10" t="str">
        <x:v>high</x:v>
      </x:c>
      <x:c r="V1367" s="15" t="str">
        <x:v>arch_support_flip_flops_women</x:v>
      </x:c>
      <x:c r="W1367" s="15" t="str">
        <x:v>cluster_route</x:v>
      </x:c>
      <x:c r="X1367" s="15" t="str">
        <x:v>{"product_type":[{"value":"flip_flops","evidence_type":"explicit","source_span":"flipflops","fact_ids":[],"rationale":"Term explicitly names flipflops (compound spelling of flip flops)."}],"audience_intent":[{"value":"women","evidence_type":"explicit","source_span":"women","fact_ids":[],"rationale":"Term explicitly targets women."}],"capability_intent":[{"value":"arch_support","evidence_type":"explicit","source_span":"arch support","fact_ids":[],"rationale":"Term explicitly requests arch support capability."}],"body_need_intent":[{"value":"arch_support","evidence_type":"explicit","source_span":"arch support","fact_ids":[],"rationale":"Arch support is explicitly stated as a body need."}]}</x:v>
      </x:c>
      <x:c r="Y1367" s="15" t="str"/>
      <x:c r="Z1367" s="10" t="str">
        <x:v>match</x:v>
      </x:c>
      <x:c r="AA1367" s="15" t="str">
        <x:v>title_womens_flip_flop | style_flip_flop | arch_support</x:v>
      </x:c>
      <x:c r="AB1367" s="10" t="str">
        <x:v>accepted</x:v>
      </x:c>
      <x:c r="AC1367" s="10" t="str">
        <x:v>1.0.0</x:v>
      </x:c>
      <x:c r="AD1367" s="10" t="str">
        <x:v>1.0.0</x:v>
      </x:c>
      <x:c r="AE1367" s="10" t="str">
        <x:v>deepseek/deepseek-v4-pro</x:v>
      </x:c>
      <x:c r="AF1367" s="10" t="str">
        <x:v>aj2-y90-20260714T234810-0bea2f52</x:v>
      </x:c>
      <x:c r="AG1367" s="10" t="str">
        <x:v>pilot-0002</x:v>
      </x:c>
      <x:c r="AH1367" s="10" t="str">
        <x:v>pilot</x:v>
      </x:c>
      <x:c r="AI1367" s="10" t="n">
        <x:v>2</x:v>
      </x:c>
    </x:row>
    <x:row r="1368" ht="34" customHeight="1">
      <x:c r="A1368" s="16" t="str">
        <x:v>getoeu arch support flip flops</x:v>
      </x:c>
      <x:c r="B1368" s="16" t="str">
        <x:v>getoeu arch support flip flops</x:v>
      </x:c>
      <x:c r="C1368" s="13" t="str">
        <x:v>819886fc61bbe5e8</x:v>
      </x:c>
      <x:c r="D1368" s="13" t="str">
        <x:v>keyword</x:v>
      </x:c>
      <x:c r="E1368" s="13" t="str">
        <x:v>en</x:v>
      </x:c>
      <x:c r="F1368" s="13" t="str">
        <x:v>clothing_shoes_jewelry</x:v>
      </x:c>
      <x:c r="G1368" s="16" t="str"/>
      <x:c r="H1368" s="16" t="str">
        <x:v>flip_flops</x:v>
      </x:c>
      <x:c r="I1368" s="16" t="str"/>
      <x:c r="J1368" s="16" t="str"/>
      <x:c r="K1368" s="16" t="str">
        <x:v>arch_support</x:v>
      </x:c>
      <x:c r="L1368" s="16" t="str"/>
      <x:c r="M1368" s="16" t="str"/>
      <x:c r="N1368" s="16" t="str">
        <x:v>arch_support</x:v>
      </x:c>
      <x:c r="O1368" s="16" t="str"/>
      <x:c r="P1368" s="16" t="str"/>
      <x:c r="Q1368" s="16" t="str"/>
      <x:c r="R1368" s="16" t="str">
        <x:v>用户想找具有足弓支撑功能的人字拖，getoeu可能是品牌名或拼写错误，意图不够明确。</x:v>
      </x:c>
      <x:c r="S1368" s="13" t="str">
        <x:v>unknown</x:v>
      </x:c>
      <x:c r="T1368" s="16" t="str">
        <x:v>explicit | inferred</x:v>
      </x:c>
      <x:c r="U1368" s="13" t="str">
        <x:v>low</x:v>
      </x:c>
      <x:c r="V1368" s="16" t="str">
        <x:v>unclassified</x:v>
      </x:c>
      <x:c r="W1368" s="16" t="str">
        <x:v>ambiguity_review</x:v>
      </x:c>
      <x:c r="X1368" s="16" t="str">
        <x:v>{"product_type":[{"value":"flip_flops","evidence_type":"explicit","source_span":"flip flops","fact_ids":[],"rationale":"Term explicitly names flip flops."}],"capability_intent":[{"value":"arch_support","evidence_type":"explicit","source_span":"arch support","fact_ids":[],"rationale":"Term explicitly requests arch support."}],"body_need_intent":[{"value":"arch_support","evidence_type":"explicit","source_span":"arch support","fact_ids":[],"rationale":"Arch support is explicitly named as a body need."}]}</x:v>
      </x:c>
      <x:c r="Y1368" s="16" t="str">
        <x:v>unrecognized_term_getoeu | possible_brand | possible_typo</x:v>
      </x:c>
      <x:c r="Z1368" s="13" t="str">
        <x:v>partial_match</x:v>
      </x:c>
      <x:c r="AA1368" s="16" t="str">
        <x:v>style_flip_flop | arch_support</x:v>
      </x:c>
      <x:c r="AB1368" s="13" t="str">
        <x:v>needs_review</x:v>
      </x:c>
      <x:c r="AC1368" s="13" t="str">
        <x:v>1.0.0</x:v>
      </x:c>
      <x:c r="AD1368" s="13" t="str">
        <x:v>1.0.0</x:v>
      </x:c>
      <x:c r="AE1368" s="13" t="str">
        <x:v>deepseek/deepseek-v4-pro</x:v>
      </x:c>
      <x:c r="AF1368" s="13" t="str">
        <x:v>aj2-y90-20260714T234810-0bea2f52</x:v>
      </x:c>
      <x:c r="AG1368" s="13" t="str">
        <x:v>pilot-0002</x:v>
      </x:c>
      <x:c r="AH1368" s="13" t="str">
        <x:v>pilot</x:v>
      </x:c>
      <x:c r="AI1368" s="13" t="n">
        <x:v>2</x:v>
      </x:c>
    </x:row>
    <x:row r="1369" ht="34" customHeight="1">
      <x:c r="A1369" s="15" t="str">
        <x:v>plat form flip flops for women</x:v>
      </x:c>
      <x:c r="B1369" s="15" t="str">
        <x:v>plat form flip flops for women</x:v>
      </x:c>
      <x:c r="C1369" s="10" t="str">
        <x:v>837f74fa9f4c59ed</x:v>
      </x:c>
      <x:c r="D1369" s="10" t="str">
        <x:v>keyword</x:v>
      </x:c>
      <x:c r="E1369" s="10" t="str">
        <x:v>en</x:v>
      </x:c>
      <x:c r="F1369" s="10" t="str">
        <x:v>clothing_shoes_jewelry</x:v>
      </x:c>
      <x:c r="G1369" s="15" t="str"/>
      <x:c r="H1369" s="15" t="str">
        <x:v>flip_flops</x:v>
      </x:c>
      <x:c r="I1369" s="15" t="str">
        <x:v>women</x:v>
      </x:c>
      <x:c r="J1369" s="15" t="str"/>
      <x:c r="K1369" s="15" t="str">
        <x:v>platform_sole</x:v>
      </x:c>
      <x:c r="L1369" s="15" t="str"/>
      <x:c r="M1369" s="15" t="str"/>
      <x:c r="N1369" s="15" t="str"/>
      <x:c r="O1369" s="15" t="str"/>
      <x:c r="P1369" s="15" t="str"/>
      <x:c r="Q1369" s="15" t="str"/>
      <x:c r="R1369" s="15" t="str">
        <x:v>女性用户想找一双厚底松糕款式的人字拖，追求增高效果或时尚造型。</x:v>
      </x:c>
      <x:c r="S1369" s="10" t="str">
        <x:v>consideration</x:v>
      </x:c>
      <x:c r="T1369" s="15" t="str">
        <x:v>explicit | inferred</x:v>
      </x:c>
      <x:c r="U1369" s="10" t="str">
        <x:v>high</x:v>
      </x:c>
      <x:c r="V1369" s="15" t="str">
        <x:v>platform_flip_flops_women</x:v>
      </x:c>
      <x:c r="W1369" s="15" t="str">
        <x:v>semantic_negative_candidate</x:v>
      </x:c>
      <x:c r="X1369" s="15" t="str">
        <x:v>{"product_type":[{"value":"flip_flops","evidence_type":"explicit","source_span":"flip flops","fact_ids":[],"rationale":"Term explicitly names flip flops."}],"audience_intent":[{"value":"women","evidence_type":"explicit","source_span":"women","fact_ids":[],"rationale":"Term explicitly targets women."}],"capability_intent":[{"value":"platform_sole","evidence_type":"explicit","source_span":"plat form","fact_ids":[],"rationale":"Plat form is a space-separated spelling of platform, requesting a thick-soled elevated style."}],"style":[{"value":"platform","evidence_type":"explicit","source_span":"plat form","fact_ids":[],"rationale":"Platform sole is explicitly requested."}]}</x:v>
      </x:c>
      <x:c r="Y1369" s="15" t="str">
        <x:v>style_conflict</x:v>
      </x:c>
      <x:c r="Z1369" s="10" t="str">
        <x:v>mismatch</x:v>
      </x:c>
      <x:c r="AA1369" s="15" t="str">
        <x:v>style_flat</x:v>
      </x:c>
      <x:c r="AB1369" s="10" t="str">
        <x:v>accepted</x:v>
      </x:c>
      <x:c r="AC1369" s="10" t="str">
        <x:v>1.0.0</x:v>
      </x:c>
      <x:c r="AD1369" s="10" t="str">
        <x:v>1.0.0</x:v>
      </x:c>
      <x:c r="AE1369" s="10" t="str">
        <x:v>deepseek/deepseek-v4-pro</x:v>
      </x:c>
      <x:c r="AF1369" s="10" t="str">
        <x:v>aj2-y90-20260714T234810-0bea2f52</x:v>
      </x:c>
      <x:c r="AG1369" s="10" t="str">
        <x:v>pilot-0002</x:v>
      </x:c>
      <x:c r="AH1369" s="10" t="str">
        <x:v>pilot</x:v>
      </x:c>
      <x:c r="AI1369" s="10" t="n">
        <x:v>2</x:v>
      </x:c>
    </x:row>
    <x:row r="1370" ht="34" customHeight="1">
      <x:c r="A1370" s="16" t="str">
        <x:v>women's recovery flip flops sandals</x:v>
      </x:c>
      <x:c r="B1370" s="16" t="str">
        <x:v>women's recovery flip flops sandals</x:v>
      </x:c>
      <x:c r="C1370" s="13" t="str">
        <x:v>8b49ffcf3da5fe89</x:v>
      </x:c>
      <x:c r="D1370" s="13" t="str">
        <x:v>keyword</x:v>
      </x:c>
      <x:c r="E1370" s="13" t="str">
        <x:v>en</x:v>
      </x:c>
      <x:c r="F1370" s="13" t="str">
        <x:v>clothing_shoes_jewelry</x:v>
      </x:c>
      <x:c r="G1370" s="16" t="str">
        <x:v>sports_outdoors</x:v>
      </x:c>
      <x:c r="H1370" s="16" t="str">
        <x:v>flip_flops | sandals</x:v>
      </x:c>
      <x:c r="I1370" s="16" t="str">
        <x:v>women</x:v>
      </x:c>
      <x:c r="J1370" s="16" t="str">
        <x:v>post_activity_recovery</x:v>
      </x:c>
      <x:c r="K1370" s="16" t="str">
        <x:v>shock_absorption | arch_support</x:v>
      </x:c>
      <x:c r="L1370" s="16" t="str"/>
      <x:c r="M1370" s="16" t="str"/>
      <x:c r="N1370" s="16" t="str">
        <x:v>muscle_recovery</x:v>
      </x:c>
      <x:c r="O1370" s="16" t="str"/>
      <x:c r="P1370" s="16" t="str"/>
      <x:c r="Q1370" s="16" t="str"/>
      <x:c r="R1370" s="16" t="str">
        <x:v>女性用户想找一款运动后帮助足部恢复的人字拖或凉鞋，需要良好的缓冲和足弓支撑来缓解疲劳。</x:v>
      </x:c>
      <x:c r="S1370" s="13" t="str">
        <x:v>consideration</x:v>
      </x:c>
      <x:c r="T1370" s="16" t="str">
        <x:v>explicit | inferred</x:v>
      </x:c>
      <x:c r="U1370" s="13" t="str">
        <x:v>medium</x:v>
      </x:c>
      <x:c r="V1370" s="16" t="str">
        <x:v>recovery_footwear_women</x:v>
      </x:c>
      <x:c r="W1370" s="16" t="str">
        <x:v>listing_gap_review</x:v>
      </x:c>
      <x:c r="X1370" s="16" t="str">
        <x:v>{"product_type":[{"value":"flip_flops","evidence_type":"explicit","source_span":"flip flops","fact_ids":[],"rationale":"Term explicitly names flip flops."},{"value":"sandals","evidence_type":"explicit","source_span":"sandals","fact_ids":[],"rationale":"Term explicitly names sandals."}],"audience_intent":[{"value":"women","evidence_type":"explicit","source_span":"women's","fact_ids":[],"rationale":"Term explicitly targets women."}],"function_intent":[{"value":"post_activity_recovery","evidence_type":"explicit","source_span":"recovery","fact_ids":[],"rationale":"Recovery explicitly indicates post-exercise or post-activity foot recovery needs."}],"capability_intent":[{"value":"shock_absorption","evidence_type":"inferred","source_span":"recovery","fact_ids":[],"rationale":"Recovery footwear typically requires shock absorption to reduce impact on joints."},{"value":"arch_support","evidence_type":"inferred","source_span":"recovery","fact_ids":[],"rationale":"Recovery sandals commonly include arch support to aid foot muscle recovery."}]}</x:v>
      </x:c>
      <x:c r="Y1370" s="16" t="str"/>
      <x:c r="Z1370" s="13" t="str">
        <x:v>partial_match</x:v>
      </x:c>
      <x:c r="AA1370" s="16" t="str">
        <x:v>title_womens_flip_flop | style_flip_flop | arch_support | padded_cushioning</x:v>
      </x:c>
      <x:c r="AB1370" s="13" t="str">
        <x:v>accepted</x:v>
      </x:c>
      <x:c r="AC1370" s="13" t="str">
        <x:v>1.0.0</x:v>
      </x:c>
      <x:c r="AD1370" s="13" t="str">
        <x:v>1.0.0</x:v>
      </x:c>
      <x:c r="AE1370" s="13" t="str">
        <x:v>deepseek/deepseek-v4-pro</x:v>
      </x:c>
      <x:c r="AF1370" s="13" t="str">
        <x:v>aj2-y90-20260714T234810-0bea2f52</x:v>
      </x:c>
      <x:c r="AG1370" s="13" t="str">
        <x:v>pilot-0002</x:v>
      </x:c>
      <x:c r="AH1370" s="13" t="str">
        <x:v>pilot</x:v>
      </x:c>
      <x:c r="AI1370" s="13" t="n">
        <x:v>2</x:v>
      </x:c>
    </x:row>
    <x:row r="1371" ht="34" customHeight="1">
      <x:c r="A1371" s="15" t="str">
        <x:v>flip flops or sandal for swimming</x:v>
      </x:c>
      <x:c r="B1371" s="15" t="str">
        <x:v>flip flops or sandal for swimming</x:v>
      </x:c>
      <x:c r="C1371" s="10" t="str">
        <x:v>99f1ee4e2c1af914</x:v>
      </x:c>
      <x:c r="D1371" s="10" t="str">
        <x:v>keyword</x:v>
      </x:c>
      <x:c r="E1371" s="10" t="str">
        <x:v>en</x:v>
      </x:c>
      <x:c r="F1371" s="10" t="str">
        <x:v>clothing_shoes_jewelry</x:v>
      </x:c>
      <x:c r="G1371" s="15" t="str">
        <x:v>sports_outdoors</x:v>
      </x:c>
      <x:c r="H1371" s="15" t="str">
        <x:v>flip_flops | sandals</x:v>
      </x:c>
      <x:c r="I1371" s="15" t="str"/>
      <x:c r="J1371" s="15" t="str"/>
      <x:c r="K1371" s="15" t="str">
        <x:v>water_friendly</x:v>
      </x:c>
      <x:c r="L1371" s="15" t="str">
        <x:v>swimming</x:v>
      </x:c>
      <x:c r="M1371" s="15" t="str">
        <x:v>pool | beach</x:v>
      </x:c>
      <x:c r="N1371" s="15" t="str"/>
      <x:c r="O1371" s="15" t="str"/>
      <x:c r="P1371" s="15" t="str"/>
      <x:c r="Q1371" s="15" t="str"/>
      <x:c r="R1371" s="15" t="str">
        <x:v>用户想找一双适合游泳时穿着的人字拖或凉鞋，需要防水且易干，用于泳池或海滩场景。</x:v>
      </x:c>
      <x:c r="S1371" s="10" t="str">
        <x:v>consideration</x:v>
      </x:c>
      <x:c r="T1371" s="15" t="str">
        <x:v>explicit | inferred</x:v>
      </x:c>
      <x:c r="U1371" s="10" t="str">
        <x:v>medium</x:v>
      </x:c>
      <x:c r="V1371" s="15" t="str">
        <x:v>swim_footwear</x:v>
      </x:c>
      <x:c r="W1371" s="15" t="str">
        <x:v>listing_gap_review</x:v>
      </x:c>
      <x:c r="X1371" s="15" t="str">
        <x:v>{"product_type":[{"value":"flip_flops","evidence_type":"explicit","source_span":"flip flops","fact_ids":[],"rationale":"Term explicitly names flip flops."},{"value":"sandals","evidence_type":"explicit","source_span":"sandal","fact_ids":[],"rationale":"Term explicitly names sandal as an alternative."}],"event_intent":[{"value":"swimming","evidence_type":"explicit","source_span":"swimming","fact_ids":[],"rationale":"Term explicitly states swimming as the use activity."}],"location_intent":[{"value":"pool","evidence_type":"inferred","source_span":"swimming","fact_ids":[],"rationale":"Swimming commonly takes place at a pool."},{"value":"beach","evidence_type":"inferred","source_span":"swimming","fact_ids":[],"rationale":"Swimming also commonly occurs at the beach."}],"capability_intent":[{"value":"water_friendly","evidence_type":"inferred","source_span":"swimming","fact_ids":[],"rationale":"Swim-appropriate footwear needs to handle water exposure without damage."}]}</x:v>
      </x:c>
      <x:c r="Y1371" s="15" t="str"/>
      <x:c r="Z1371" s="10" t="str">
        <x:v>partial_match</x:v>
      </x:c>
      <x:c r="AA1371" s="15" t="str">
        <x:v>style_flip_flop | material_eva | easy_clean</x:v>
      </x:c>
      <x:c r="AB1371" s="10" t="str">
        <x:v>accepted</x:v>
      </x:c>
      <x:c r="AC1371" s="10" t="str">
        <x:v>1.0.0</x:v>
      </x:c>
      <x:c r="AD1371" s="10" t="str">
        <x:v>1.0.0</x:v>
      </x:c>
      <x:c r="AE1371" s="10" t="str">
        <x:v>deepseek/deepseek-v4-pro</x:v>
      </x:c>
      <x:c r="AF1371" s="10" t="str">
        <x:v>aj2-y90-20260714T234810-0bea2f52</x:v>
      </x:c>
      <x:c r="AG1371" s="10" t="str">
        <x:v>pilot-0002</x:v>
      </x:c>
      <x:c r="AH1371" s="10" t="str">
        <x:v>pilot</x:v>
      </x:c>
      <x:c r="AI1371" s="10" t="n">
        <x:v>2</x:v>
      </x:c>
    </x:row>
    <x:row r="1372" ht="34" customHeight="1">
      <x:c r="A1372" s="16" t="str">
        <x:v>arch support flip flops for women plantar fasciitis</x:v>
      </x:c>
      <x:c r="B1372" s="16" t="str">
        <x:v>arch support flip flops for women plantar fasciitis</x:v>
      </x:c>
      <x:c r="C1372" s="13" t="str">
        <x:v>a0b39f803296c8d8</x:v>
      </x:c>
      <x:c r="D1372" s="13" t="str">
        <x:v>keyword</x:v>
      </x:c>
      <x:c r="E1372" s="13" t="str">
        <x:v>en</x:v>
      </x:c>
      <x:c r="F1372" s="13" t="str">
        <x:v>clothing_shoes_jewelry</x:v>
      </x:c>
      <x:c r="G1372" s="16" t="str">
        <x:v>health_household</x:v>
      </x:c>
      <x:c r="H1372" s="16" t="str">
        <x:v>flip_flops</x:v>
      </x:c>
      <x:c r="I1372" s="16" t="str">
        <x:v>women</x:v>
      </x:c>
      <x:c r="J1372" s="16" t="str">
        <x:v>pain_relief</x:v>
      </x:c>
      <x:c r="K1372" s="16" t="str">
        <x:v>arch_support</x:v>
      </x:c>
      <x:c r="L1372" s="16" t="str"/>
      <x:c r="M1372" s="16" t="str"/>
      <x:c r="N1372" s="16" t="str">
        <x:v>plantar_fasciitis | arch_support</x:v>
      </x:c>
      <x:c r="O1372" s="16" t="str"/>
      <x:c r="P1372" s="16" t="str"/>
      <x:c r="Q1372" s="16" t="str"/>
      <x:c r="R1372" s="16" t="str">
        <x:v>患有足底筋膜炎的女性用户想找一双足弓支撑人字拖，用于缓解足底疼痛症状。</x:v>
      </x:c>
      <x:c r="S1372" s="13" t="str">
        <x:v>consideration</x:v>
      </x:c>
      <x:c r="T1372" s="16" t="str">
        <x:v>explicit | inferred</x:v>
      </x:c>
      <x:c r="U1372" s="13" t="str">
        <x:v>medium</x:v>
      </x:c>
      <x:c r="V1372" s="16" t="str">
        <x:v>plantar_fasciitis_flip_flops_women</x:v>
      </x:c>
      <x:c r="W1372" s="16" t="str">
        <x:v>listing_gap_review</x:v>
      </x:c>
      <x:c r="X1372" s="16" t="str">
        <x:v>{"product_type":[{"value":"flip_flops","evidence_type":"explicit","source_span":"flip flops","fact_ids":[],"rationale":"Term explicitly names flip flops."}],"audience_intent":[{"value":"women","evidence_type":"explicit","source_span":"women","fact_ids":[],"rationale":"Term explicitly targets women."}],"capability_intent":[{"value":"arch_support","evidence_type":"explicit","source_span":"arch support","fact_ids":[],"rationale":"Term explicitly requests arch support."}],"body_need_intent":[{"value":"plantar_fasciitis","evidence_type":"explicit","source_span":"plantar fasciitis","fact_ids":[],"rationale":"Plantar fasciitis is explicitly named as the medical condition."},{"value":"arch_support","evidence_type":"explicit","source_span":"arch support","fact_ids":[],"rationale":"Arch support is explicitly stated as a need."}],"function_intent":[{"value":"pain_relief","evidence_type":"inferred","source_span":"plantar fasciitis","fact_ids":[],"rationale":"Users with plantar fasciitis seek pain relief from their footwear."}]}</x:v>
      </x:c>
      <x:c r="Y1372" s="16" t="str">
        <x:v>medical_claim_excluded</x:v>
      </x:c>
      <x:c r="Z1372" s="13" t="str">
        <x:v>partial_match</x:v>
      </x:c>
      <x:c r="AA1372" s="16" t="str">
        <x:v>title_womens_flip_flop | style_flip_flop | arch_support</x:v>
      </x:c>
      <x:c r="AB1372" s="13" t="str">
        <x:v>accepted</x:v>
      </x:c>
      <x:c r="AC1372" s="13" t="str">
        <x:v>1.0.0</x:v>
      </x:c>
      <x:c r="AD1372" s="13" t="str">
        <x:v>1.0.0</x:v>
      </x:c>
      <x:c r="AE1372" s="13" t="str">
        <x:v>deepseek/deepseek-v4-pro</x:v>
      </x:c>
      <x:c r="AF1372" s="13" t="str">
        <x:v>aj2-y90-20260714T234810-0bea2f52</x:v>
      </x:c>
      <x:c r="AG1372" s="13" t="str">
        <x:v>pilot-0002</x:v>
      </x:c>
      <x:c r="AH1372" s="13" t="str">
        <x:v>pilot</x:v>
      </x:c>
      <x:c r="AI1372" s="13" t="n">
        <x:v>2</x:v>
      </x:c>
    </x:row>
    <x:row r="1373" ht="34" customHeight="1">
      <x:c r="A1373" s="15" t="str">
        <x:v>coface flip flops for women arch support</x:v>
      </x:c>
      <x:c r="B1373" s="15" t="str">
        <x:v>coface flip flops for women arch support</x:v>
      </x:c>
      <x:c r="C1373" s="10" t="str">
        <x:v>aaaf07e156890aa9</x:v>
      </x:c>
      <x:c r="D1373" s="10" t="str">
        <x:v>keyword</x:v>
      </x:c>
      <x:c r="E1373" s="10" t="str">
        <x:v>en</x:v>
      </x:c>
      <x:c r="F1373" s="10" t="str">
        <x:v>clothing_shoes_jewelry</x:v>
      </x:c>
      <x:c r="G1373" s="15" t="str"/>
      <x:c r="H1373" s="15" t="str">
        <x:v>flip_flops</x:v>
      </x:c>
      <x:c r="I1373" s="15" t="str">
        <x:v>women</x:v>
      </x:c>
      <x:c r="J1373" s="15" t="str"/>
      <x:c r="K1373" s="15" t="str">
        <x:v>arch_support</x:v>
      </x:c>
      <x:c r="L1373" s="15" t="str"/>
      <x:c r="M1373" s="15" t="str"/>
      <x:c r="N1373" s="15" t="str">
        <x:v>arch_support</x:v>
      </x:c>
      <x:c r="O1373" s="15" t="str"/>
      <x:c r="P1373" s="15" t="str"/>
      <x:c r="Q1373" s="15" t="str"/>
      <x:c r="R1373" s="15" t="str">
        <x:v>用户想购买coface品牌的女款足弓支撑人字拖，指定品牌和功能需求。</x:v>
      </x:c>
      <x:c r="S1373" s="10" t="str">
        <x:v>consideration</x:v>
      </x:c>
      <x:c r="T1373" s="15" t="str">
        <x:v>explicit | inferred</x:v>
      </x:c>
      <x:c r="U1373" s="10" t="str">
        <x:v>medium</x:v>
      </x:c>
      <x:c r="V1373" s="15" t="str">
        <x:v>branded_arch_support_flip_flops_women</x:v>
      </x:c>
      <x:c r="W1373" s="15" t="str">
        <x:v>ambiguity_review</x:v>
      </x:c>
      <x:c r="X1373" s="15" t="str">
        <x:v>{"product_type":[{"value":"flip_flops","evidence_type":"explicit","source_span":"flip flops","fact_ids":[],"rationale":"Term explicitly names flip flops."}],"audience_intent":[{"value":"women","evidence_type":"explicit","source_span":"women","fact_ids":[],"rationale":"Term explicitly targets women."}],"capability_intent":[{"value":"arch_support","evidence_type":"explicit","source_span":"arch support","fact_ids":[],"rationale":"Term explicitly requests arch support."}],"body_need_intent":[{"value":"arch_support","evidence_type":"explicit","source_span":"arch support","fact_ids":[],"rationale":"Arch support is explicitly stated as a need."}],"brand":[{"value":"coface","evidence_type":"explicit","source_span":"coface","fact_ids":[],"rationale":"Coface appears to be a brand name specified by the user, which is not joomra."}]}</x:v>
      </x:c>
      <x:c r="Y1373" s="15" t="str">
        <x:v>brand_not_joomra | unrecognized_brand_coface</x:v>
      </x:c>
      <x:c r="Z1373" s="10" t="str">
        <x:v>partial_match</x:v>
      </x:c>
      <x:c r="AA1373" s="15" t="str">
        <x:v>style_flip_flop | arch_support | title_womens_flip_flop</x:v>
      </x:c>
      <x:c r="AB1373" s="10" t="str">
        <x:v>needs_review</x:v>
      </x:c>
      <x:c r="AC1373" s="10" t="str">
        <x:v>1.0.0</x:v>
      </x:c>
      <x:c r="AD1373" s="10" t="str">
        <x:v>1.0.0</x:v>
      </x:c>
      <x:c r="AE1373" s="10" t="str">
        <x:v>deepseek/deepseek-v4-pro</x:v>
      </x:c>
      <x:c r="AF1373" s="10" t="str">
        <x:v>aj2-y90-20260714T234810-0bea2f52</x:v>
      </x:c>
      <x:c r="AG1373" s="10" t="str">
        <x:v>pilot-0002</x:v>
      </x:c>
      <x:c r="AH1373" s="10" t="str">
        <x:v>pilot</x:v>
      </x:c>
      <x:c r="AI1373" s="10" t="n">
        <x:v>2</x:v>
      </x:c>
    </x:row>
    <x:row r="1374" ht="34" customHeight="1">
      <x:c r="A1374" s="16" t="str">
        <x:v>all day flip flops for women</x:v>
      </x:c>
      <x:c r="B1374" s="16" t="str">
        <x:v>all day flip flops for women</x:v>
      </x:c>
      <x:c r="C1374" s="13" t="str">
        <x:v>ae3a31b736ca4846</x:v>
      </x:c>
      <x:c r="D1374" s="13" t="str">
        <x:v>keyword</x:v>
      </x:c>
      <x:c r="E1374" s="13" t="str">
        <x:v>en</x:v>
      </x:c>
      <x:c r="F1374" s="13" t="str">
        <x:v>clothing_shoes_jewelry</x:v>
      </x:c>
      <x:c r="G1374" s="16" t="str"/>
      <x:c r="H1374" s="16" t="str">
        <x:v>flip_flops</x:v>
      </x:c>
      <x:c r="I1374" s="16" t="str">
        <x:v>women</x:v>
      </x:c>
      <x:c r="J1374" s="16" t="str"/>
      <x:c r="K1374" s="16" t="str">
        <x:v>all_day_comfort</x:v>
      </x:c>
      <x:c r="L1374" s="16" t="str"/>
      <x:c r="M1374" s="16" t="str"/>
      <x:c r="N1374" s="16" t="str"/>
      <x:c r="O1374" s="16" t="str">
        <x:v>all_day</x:v>
      </x:c>
      <x:c r="P1374" s="16" t="str"/>
      <x:c r="Q1374" s="16" t="str"/>
      <x:c r="R1374" s="16" t="str">
        <x:v>女性用户想找一双可以从早穿到晚都很舒适的人字拖，适合全天候日常使用。</x:v>
      </x:c>
      <x:c r="S1374" s="13" t="str">
        <x:v>consideration</x:v>
      </x:c>
      <x:c r="T1374" s="16" t="str">
        <x:v>explicit | page_validated</x:v>
      </x:c>
      <x:c r="U1374" s="13" t="str">
        <x:v>high</x:v>
      </x:c>
      <x:c r="V1374" s="16" t="str">
        <x:v>all_day_comfort_flip_flops_women</x:v>
      </x:c>
      <x:c r="W1374" s="16" t="str">
        <x:v>cluster_route</x:v>
      </x:c>
      <x:c r="X1374" s="16" t="str">
        <x:v>{"product_type":[{"value":"flip_flops","evidence_type":"explicit","source_span":"flip flops","fact_ids":[],"rationale":"Term explicitly names flip flops."}],"audience_intent":[{"value":"women","evidence_type":"explicit","source_span":"women","fact_ids":[],"rationale":"Term explicitly targets women."}],"time_intent":[{"value":"all_day","evidence_type":"explicit","source_span":"all day","fact_ids":[],"rationale":"Term explicitly states all-day wear duration."}],"capability_intent":[{"value":"all_day_comfort","evidence_type":"page_validated","source_span":"all day","fact_ids":["arch_support"],"rationale":"Page states proper alignment for all-day comfort, directly matching the all-day requirement."}]}</x:v>
      </x:c>
      <x:c r="Y1374" s="16" t="str"/>
      <x:c r="Z1374" s="13" t="str">
        <x:v>match</x:v>
      </x:c>
      <x:c r="AA1374" s="16" t="str">
        <x:v>title_womens_flip_flop | style_flip_flop | arch_support | padded_cushioning</x:v>
      </x:c>
      <x:c r="AB1374" s="13" t="str">
        <x:v>accepted</x:v>
      </x:c>
      <x:c r="AC1374" s="13" t="str">
        <x:v>1.0.0</x:v>
      </x:c>
      <x:c r="AD1374" s="13" t="str">
        <x:v>1.0.0</x:v>
      </x:c>
      <x:c r="AE1374" s="13" t="str">
        <x:v>deepseek/deepseek-v4-pro</x:v>
      </x:c>
      <x:c r="AF1374" s="13" t="str">
        <x:v>aj2-y90-20260714T234810-0bea2f52</x:v>
      </x:c>
      <x:c r="AG1374" s="13" t="str">
        <x:v>pilot-0002</x:v>
      </x:c>
      <x:c r="AH1374" s="13" t="str">
        <x:v>pilot</x:v>
      </x:c>
      <x:c r="AI1374" s="13" t="n">
        <x:v>2</x:v>
      </x:c>
    </x:row>
    <x:row r="1375" ht="34" customHeight="1">
      <x:c r="A1375" s="15" t="str">
        <x:v>extra+wideflip+flops+support+shoes+women</x:v>
      </x:c>
      <x:c r="B1375" s="15" t="str">
        <x:v>extra+wideflip+flops+support+shoes+women</x:v>
      </x:c>
      <x:c r="C1375" s="10" t="str">
        <x:v>c0a7098cd5793e51</x:v>
      </x:c>
      <x:c r="D1375" s="10" t="str">
        <x:v>keyword</x:v>
      </x:c>
      <x:c r="E1375" s="10" t="str">
        <x:v>en</x:v>
      </x:c>
      <x:c r="F1375" s="10" t="str">
        <x:v>clothing_shoes_jewelry</x:v>
      </x:c>
      <x:c r="G1375" s="15" t="str"/>
      <x:c r="H1375" s="15" t="str">
        <x:v>flip_flops | shoes</x:v>
      </x:c>
      <x:c r="I1375" s="15" t="str">
        <x:v>women</x:v>
      </x:c>
      <x:c r="J1375" s="15" t="str"/>
      <x:c r="K1375" s="15" t="str">
        <x:v>arch_support</x:v>
      </x:c>
      <x:c r="L1375" s="15" t="str"/>
      <x:c r="M1375" s="15" t="str"/>
      <x:c r="N1375" s="15" t="str">
        <x:v>wide_feet | arch_support</x:v>
      </x:c>
      <x:c r="O1375" s="15" t="str"/>
      <x:c r="P1375" s="15" t="str"/>
      <x:c r="Q1375" s="15" t="str"/>
      <x:c r="R1375" s="15" t="str">
        <x:v>女性用户想找一双加宽款的足弓支撑人字拖或鞋，需要额外宽度来容纳宽脚。</x:v>
      </x:c>
      <x:c r="S1375" s="10" t="str">
        <x:v>consideration</x:v>
      </x:c>
      <x:c r="T1375" s="15" t="str">
        <x:v>explicit | inferred</x:v>
      </x:c>
      <x:c r="U1375" s="10" t="str">
        <x:v>medium</x:v>
      </x:c>
      <x:c r="V1375" s="15" t="str">
        <x:v>wide_arch_support_flip_flops_women</x:v>
      </x:c>
      <x:c r="W1375" s="15" t="str">
        <x:v>listing_gap_review</x:v>
      </x:c>
      <x:c r="X1375" s="15" t="str">
        <x:v>{"product_type":[{"value":"flip_flops","evidence_type":"explicit","source_span":"flip+flops","fact_ids":[],"rationale":"Term explicitly names flip flops within the plus-delimited string."},{"value":"shoes","evidence_type":"explicit","source_span":"shoes","fact_ids":[],"rationale":"Term explicitly names shoes as an alternative category."}],"audience_intent":[{"value":"women","evidence_type":"explicit","source_span":"women","fact_ids":[],"rationale":"Term explicitly targets women."}],"capability_intent":[{"value":"arch_support","evidence_type":"explicit","source_span":"support","fact_ids":[],"rationale":"Support in context of footwear refers to arch support."}],"body_need_intent":[{"value":"wide_feet","evidence_type":"explicit","source_span":"extra+wide","fact_ids":[],"rationale":"Extra wide explicitly indicates the user needs footwear accommodating wider feet."},{"value":"arch_support","evidence_type":"explicit","source_span":"support","fact_ids":[],"rationale":"Support refers to arch support need."}]}</x:v>
      </x:c>
      <x:c r="Y1375" s="15" t="str"/>
      <x:c r="Z1375" s="10" t="str">
        <x:v>partial_match</x:v>
      </x:c>
      <x:c r="AA1375" s="15" t="str">
        <x:v>title_womens_flip_flop | style_flip_flop | arch_support | sizes_6_11</x:v>
      </x:c>
      <x:c r="AB1375" s="10" t="str">
        <x:v>accepted</x:v>
      </x:c>
      <x:c r="AC1375" s="10" t="str">
        <x:v>1.0.0</x:v>
      </x:c>
      <x:c r="AD1375" s="10" t="str">
        <x:v>1.0.0</x:v>
      </x:c>
      <x:c r="AE1375" s="10" t="str">
        <x:v>deepseek/deepseek-v4-pro</x:v>
      </x:c>
      <x:c r="AF1375" s="10" t="str">
        <x:v>aj2-y90-20260714T234810-0bea2f52</x:v>
      </x:c>
      <x:c r="AG1375" s="10" t="str">
        <x:v>pilot-0002</x:v>
      </x:c>
      <x:c r="AH1375" s="10" t="str">
        <x:v>pilot</x:v>
      </x:c>
      <x:c r="AI1375" s="10" t="n">
        <x:v>2</x:v>
      </x:c>
    </x:row>
    <x:row r="1376" ht="34" customHeight="1">
      <x:c r="A1376" s="16" t="str">
        <x:v>flack flip flops women</x:v>
      </x:c>
      <x:c r="B1376" s="16" t="str">
        <x:v>flack flip flops women</x:v>
      </x:c>
      <x:c r="C1376" s="13" t="str">
        <x:v>c6ba9c33c7c75696</x:v>
      </x:c>
      <x:c r="D1376" s="13" t="str">
        <x:v>keyword</x:v>
      </x:c>
      <x:c r="E1376" s="13" t="str">
        <x:v>en</x:v>
      </x:c>
      <x:c r="F1376" s="13" t="str">
        <x:v>clothing_shoes_jewelry</x:v>
      </x:c>
      <x:c r="G1376" s="16" t="str"/>
      <x:c r="H1376" s="16" t="str">
        <x:v>flip_flops</x:v>
      </x:c>
      <x:c r="I1376" s="16" t="str">
        <x:v>women</x:v>
      </x:c>
      <x:c r="J1376" s="16" t="str"/>
      <x:c r="K1376" s="16" t="str"/>
      <x:c r="L1376" s="16" t="str"/>
      <x:c r="M1376" s="16" t="str"/>
      <x:c r="N1376" s="16" t="str"/>
      <x:c r="O1376" s="16" t="str"/>
      <x:c r="P1376" s="16" t="str"/>
      <x:c r="Q1376" s="16" t="str"/>
      <x:c r="R1376" s="16" t="str">
        <x:v>用户想找女款人字拖，但flack一词含义不明，可能是颜色black或品牌名或flat的拼写变体。</x:v>
      </x:c>
      <x:c r="S1376" s="13" t="str">
        <x:v>unknown</x:v>
      </x:c>
      <x:c r="T1376" s="16" t="str">
        <x:v>explicit | inferred</x:v>
      </x:c>
      <x:c r="U1376" s="13" t="str">
        <x:v>low</x:v>
      </x:c>
      <x:c r="V1376" s="16" t="str">
        <x:v>unclassified</x:v>
      </x:c>
      <x:c r="W1376" s="16" t="str">
        <x:v>ambiguity_review</x:v>
      </x:c>
      <x:c r="X1376" s="16" t="str">
        <x:v>{"product_type":[{"value":"flip_flops","evidence_type":"explicit","source_span":"flip flops","fact_ids":[],"rationale":"Term explicitly names flip flops."}],"audience_intent":[{"value":"women","evidence_type":"explicit","source_span":"women","fact_ids":[],"rationale":"Term explicitly targets women."}]}</x:v>
      </x:c>
      <x:c r="Y1376" s="16" t="str">
        <x:v>unrecognized_term_flack | possible_typo | possible_brand</x:v>
      </x:c>
      <x:c r="Z1376" s="13" t="str">
        <x:v>partial_match</x:v>
      </x:c>
      <x:c r="AA1376" s="16" t="str">
        <x:v>style_flip_flop | title_womens_flip_flop</x:v>
      </x:c>
      <x:c r="AB1376" s="13" t="str">
        <x:v>needs_review</x:v>
      </x:c>
      <x:c r="AC1376" s="13" t="str">
        <x:v>1.0.0</x:v>
      </x:c>
      <x:c r="AD1376" s="13" t="str">
        <x:v>1.0.0</x:v>
      </x:c>
      <x:c r="AE1376" s="13" t="str">
        <x:v>deepseek/deepseek-v4-pro</x:v>
      </x:c>
      <x:c r="AF1376" s="13" t="str">
        <x:v>aj2-y90-20260714T234810-0bea2f52</x:v>
      </x:c>
      <x:c r="AG1376" s="13" t="str">
        <x:v>pilot-0002</x:v>
      </x:c>
      <x:c r="AH1376" s="13" t="str">
        <x:v>pilot</x:v>
      </x:c>
      <x:c r="AI1376" s="13" t="n">
        <x:v>2</x:v>
      </x:c>
    </x:row>
    <x:row r="1377" ht="34" customHeight="1">
      <x:c r="A1377" s="15" t="str">
        <x:v>comfortable flip flops for women</x:v>
      </x:c>
      <x:c r="B1377" s="15" t="str">
        <x:v>comfortable flip flops for women</x:v>
      </x:c>
      <x:c r="C1377" s="10" t="str">
        <x:v>c6f3badebfa8804c</x:v>
      </x:c>
      <x:c r="D1377" s="10" t="str">
        <x:v>keyword</x:v>
      </x:c>
      <x:c r="E1377" s="10" t="str">
        <x:v>en</x:v>
      </x:c>
      <x:c r="F1377" s="10" t="str">
        <x:v>clothing_shoes_jewelry</x:v>
      </x:c>
      <x:c r="G1377" s="15" t="str"/>
      <x:c r="H1377" s="15" t="str">
        <x:v>flip_flops</x:v>
      </x:c>
      <x:c r="I1377" s="15" t="str">
        <x:v>women</x:v>
      </x:c>
      <x:c r="J1377" s="15" t="str"/>
      <x:c r="K1377" s="15" t="str">
        <x:v>comfort</x:v>
      </x:c>
      <x:c r="L1377" s="15" t="str"/>
      <x:c r="M1377" s="15" t="str"/>
      <x:c r="N1377" s="15" t="str"/>
      <x:c r="O1377" s="15" t="str"/>
      <x:c r="P1377" s="15" t="str"/>
      <x:c r="Q1377" s="15" t="str"/>
      <x:c r="R1377" s="15" t="str">
        <x:v>女性用户想找一双穿着舒适的人字拖，注重日常穿着的柔软和支撑体验。</x:v>
      </x:c>
      <x:c r="S1377" s="10" t="str">
        <x:v>consideration</x:v>
      </x:c>
      <x:c r="T1377" s="15" t="str">
        <x:v>explicit | page_validated</x:v>
      </x:c>
      <x:c r="U1377" s="10" t="str">
        <x:v>high</x:v>
      </x:c>
      <x:c r="V1377" s="15" t="str">
        <x:v>comfortable_flip_flops_women</x:v>
      </x:c>
      <x:c r="W1377" s="15" t="str">
        <x:v>cluster_route</x:v>
      </x:c>
      <x:c r="X1377" s="15" t="str">
        <x:v>{"product_type":[{"value":"flip_flops","evidence_type":"explicit","source_span":"flip flops","fact_ids":[],"rationale":"Term explicitly names flip flops."}],"audience_intent":[{"value":"women","evidence_type":"explicit","source_span":"women","fact_ids":[],"rationale":"Term explicitly targets women."}],"capability_intent":[{"value":"comfort","evidence_type":"explicit","source_span":"comfortable","fact_ids":[],"rationale":"Comfortable explicitly states the primary desired attribute."}]}</x:v>
      </x:c>
      <x:c r="Y1377" s="15" t="str"/>
      <x:c r="Z1377" s="10" t="str">
        <x:v>match</x:v>
      </x:c>
      <x:c r="AA1377" s="15" t="str">
        <x:v>title_womens_flip_flop | style_flip_flop | arch_support | padded_cushioning | lightweight_breathable | soft_toe_post</x:v>
      </x:c>
      <x:c r="AB1377" s="10" t="str">
        <x:v>accepted</x:v>
      </x:c>
      <x:c r="AC1377" s="10" t="str">
        <x:v>1.0.0</x:v>
      </x:c>
      <x:c r="AD1377" s="10" t="str">
        <x:v>1.0.0</x:v>
      </x:c>
      <x:c r="AE1377" s="10" t="str">
        <x:v>deepseek/deepseek-v4-pro</x:v>
      </x:c>
      <x:c r="AF1377" s="10" t="str">
        <x:v>aj2-y90-20260714T234810-0bea2f52</x:v>
      </x:c>
      <x:c r="AG1377" s="10" t="str">
        <x:v>pilot-0002</x:v>
      </x:c>
      <x:c r="AH1377" s="10" t="str">
        <x:v>pilot</x:v>
      </x:c>
      <x:c r="AI1377" s="10" t="n">
        <x:v>2</x:v>
      </x:c>
    </x:row>
    <x:row r="1378" ht="34" customHeight="1">
      <x:c r="A1378" s="16" t="str">
        <x:v>simple flip flops</x:v>
      </x:c>
      <x:c r="B1378" s="16" t="str">
        <x:v>simple flip flops</x:v>
      </x:c>
      <x:c r="C1378" s="13" t="str">
        <x:v>c80915e0962eb764</x:v>
      </x:c>
      <x:c r="D1378" s="13" t="str">
        <x:v>keyword</x:v>
      </x:c>
      <x:c r="E1378" s="13" t="str">
        <x:v>en</x:v>
      </x:c>
      <x:c r="F1378" s="13" t="str">
        <x:v>clothing_shoes_jewelry</x:v>
      </x:c>
      <x:c r="G1378" s="16" t="str"/>
      <x:c r="H1378" s="16" t="str">
        <x:v>flip_flops</x:v>
      </x:c>
      <x:c r="I1378" s="16" t="str"/>
      <x:c r="J1378" s="16" t="str"/>
      <x:c r="K1378" s="16" t="str">
        <x:v>simple_design</x:v>
      </x:c>
      <x:c r="L1378" s="16" t="str"/>
      <x:c r="M1378" s="16" t="str"/>
      <x:c r="N1378" s="16" t="str"/>
      <x:c r="O1378" s="16" t="str"/>
      <x:c r="P1378" s="16" t="str"/>
      <x:c r="Q1378" s="16" t="str"/>
      <x:c r="R1378" s="16" t="str">
        <x:v>用户想找一款设计简单、没有多余装饰的基础款人字拖，用于日常休闲穿着。</x:v>
      </x:c>
      <x:c r="S1378" s="13" t="str">
        <x:v>exploration</x:v>
      </x:c>
      <x:c r="T1378" s="16" t="str">
        <x:v>explicit | inferred</x:v>
      </x:c>
      <x:c r="U1378" s="13" t="str">
        <x:v>medium</x:v>
      </x:c>
      <x:c r="V1378" s="16" t="str">
        <x:v>basic_flip_flops</x:v>
      </x:c>
      <x:c r="W1378" s="16" t="str">
        <x:v>cluster_route</x:v>
      </x:c>
      <x:c r="X1378" s="16" t="str">
        <x:v>{"product_type":[{"value":"flip_flops","evidence_type":"explicit","source_span":"flip flops","fact_ids":[],"rationale":"Term directly names flip flops as the product category."}],"capability_intent":[{"value":"simple_design","evidence_type":"inferred","source_span":"simple","fact_ids":[],"rationale":"Simple implies a preference for minimalist, no-frills design without embellishments."}]}</x:v>
      </x:c>
      <x:c r="Y1378" s="16" t="str"/>
      <x:c r="Z1378" s="13" t="str">
        <x:v>match</x:v>
      </x:c>
      <x:c r="AA1378" s="16" t="str">
        <x:v>title_womens_flip_flop | style_flip_flop</x:v>
      </x:c>
      <x:c r="AB1378" s="13" t="str">
        <x:v>accepted</x:v>
      </x:c>
      <x:c r="AC1378" s="13" t="str">
        <x:v>1.0.0</x:v>
      </x:c>
      <x:c r="AD1378" s="13" t="str">
        <x:v>1.0.0</x:v>
      </x:c>
      <x:c r="AE1378" s="13" t="str">
        <x:v>deepseek/deepseek-v4-pro</x:v>
      </x:c>
      <x:c r="AF1378" s="13" t="str">
        <x:v>aj2-y90-20260714T234810-0bea2f52</x:v>
      </x:c>
      <x:c r="AG1378" s="13" t="str">
        <x:v>pilot-0002</x:v>
      </x:c>
      <x:c r="AH1378" s="13" t="str">
        <x:v>pilot</x:v>
      </x:c>
      <x:c r="AI1378" s="13" t="n">
        <x:v>2</x:v>
      </x:c>
    </x:row>
    <x:row r="1379" ht="34" customHeight="1">
      <x:c r="A1379" s="15" t="str">
        <x:v>flip flops orthopedic women</x:v>
      </x:c>
      <x:c r="B1379" s="15" t="str">
        <x:v>flip flops orthopedic women</x:v>
      </x:c>
      <x:c r="C1379" s="10" t="str">
        <x:v>d03a63f1f619ee7a</x:v>
      </x:c>
      <x:c r="D1379" s="10" t="str">
        <x:v>keyword</x:v>
      </x:c>
      <x:c r="E1379" s="10" t="str">
        <x:v>en</x:v>
      </x:c>
      <x:c r="F1379" s="10" t="str">
        <x:v>clothing_shoes_jewelry</x:v>
      </x:c>
      <x:c r="G1379" s="15" t="str">
        <x:v>health_household</x:v>
      </x:c>
      <x:c r="H1379" s="15" t="str">
        <x:v>flip_flops</x:v>
      </x:c>
      <x:c r="I1379" s="15" t="str">
        <x:v>women</x:v>
      </x:c>
      <x:c r="J1379" s="15" t="str">
        <x:v>orthopedic_support</x:v>
      </x:c>
      <x:c r="K1379" s="15" t="str">
        <x:v>medical_grade_arch_support</x:v>
      </x:c>
      <x:c r="L1379" s="15" t="str"/>
      <x:c r="M1379" s="15" t="str"/>
      <x:c r="N1379" s="15" t="str">
        <x:v>foot_deformity | chronic_foot_pain</x:v>
      </x:c>
      <x:c r="O1379" s="15" t="str"/>
      <x:c r="P1379" s="15" t="str"/>
      <x:c r="Q1379" s="15" t="str"/>
      <x:c r="R1379" s="15" t="str">
        <x:v>女性用户想找一双具有矫形外科功能的医用级人字拖，用于改善足部畸形或慢性足痛问题。</x:v>
      </x:c>
      <x:c r="S1379" s="10" t="str">
        <x:v>consideration</x:v>
      </x:c>
      <x:c r="T1379" s="15" t="str">
        <x:v>explicit | inferred</x:v>
      </x:c>
      <x:c r="U1379" s="10" t="str">
        <x:v>medium</x:v>
      </x:c>
      <x:c r="V1379" s="15" t="str">
        <x:v>orthopedic_flip_flops_women</x:v>
      </x:c>
      <x:c r="W1379" s="15" t="str">
        <x:v>listing_gap_review</x:v>
      </x:c>
      <x:c r="X1379" s="15" t="str">
        <x:v>{"product_type":[{"value":"flip_flops","evidence_type":"explicit","source_span":"flip flops","fact_ids":[],"rationale":"Term explicitly names flip flops."}],"audience_intent":[{"value":"women","evidence_type":"explicit","source_span":"women","fact_ids":[],"rationale":"Term explicitly targets women."}],"function_intent":[{"value":"orthopedic_support","evidence_type":"explicit","source_span":"orthopedic","fact_ids":[],"rationale":"Orthopedic explicitly requests medical-grade corrective support beyond general comfort."}],"body_need_intent":[{"value":"foot_deformity","evidence_type":"inferred","source_span":"orthopedic","fact_ids":[],"rationale":"Orthopedic footwear is typically needed for structural foot issues."},{"value":"chronic_foot_pain","evidence_type":"inferred","source_span":"orthopedic","fact_ids":[],"rationale":"Orthopedic needs commonly arise from chronic pain conditions."}]}</x:v>
      </x:c>
      <x:c r="Y1379" s="15" t="str"/>
      <x:c r="Z1379" s="10" t="str">
        <x:v>partial_match</x:v>
      </x:c>
      <x:c r="AA1379" s="15" t="str">
        <x:v>arch_support | style_flip_flop | title_womens_flip_flop</x:v>
      </x:c>
      <x:c r="AB1379" s="10" t="str">
        <x:v>accepted</x:v>
      </x:c>
      <x:c r="AC1379" s="10" t="str">
        <x:v>1.0.0</x:v>
      </x:c>
      <x:c r="AD1379" s="10" t="str">
        <x:v>1.0.0</x:v>
      </x:c>
      <x:c r="AE1379" s="10" t="str">
        <x:v>deepseek/deepseek-v4-pro</x:v>
      </x:c>
      <x:c r="AF1379" s="10" t="str">
        <x:v>aj2-y90-20260714T234810-0bea2f52</x:v>
      </x:c>
      <x:c r="AG1379" s="10" t="str">
        <x:v>pilot-0002</x:v>
      </x:c>
      <x:c r="AH1379" s="10" t="str">
        <x:v>pilot</x:v>
      </x:c>
      <x:c r="AI1379" s="10" t="n">
        <x:v>2</x:v>
      </x:c>
    </x:row>
    <x:row r="1380" ht="34" customHeight="1">
      <x:c r="A1380" s="16" t="str">
        <x:v>best orthotic flip flops</x:v>
      </x:c>
      <x:c r="B1380" s="16" t="str">
        <x:v>best orthotic flip flops</x:v>
      </x:c>
      <x:c r="C1380" s="13" t="str">
        <x:v>d5731e2428d1e791</x:v>
      </x:c>
      <x:c r="D1380" s="13" t="str">
        <x:v>keyword</x:v>
      </x:c>
      <x:c r="E1380" s="13" t="str">
        <x:v>en</x:v>
      </x:c>
      <x:c r="F1380" s="13" t="str">
        <x:v>clothing_shoes_jewelry</x:v>
      </x:c>
      <x:c r="G1380" s="16" t="str">
        <x:v>health_household</x:v>
      </x:c>
      <x:c r="H1380" s="16" t="str">
        <x:v>flip_flops</x:v>
      </x:c>
      <x:c r="I1380" s="16" t="str"/>
      <x:c r="J1380" s="16" t="str">
        <x:v>orthotic_support</x:v>
      </x:c>
      <x:c r="K1380" s="16" t="str">
        <x:v>therapeutic_arch_support</x:v>
      </x:c>
      <x:c r="L1380" s="16" t="str"/>
      <x:c r="M1380" s="16" t="str"/>
      <x:c r="N1380" s="16" t="str">
        <x:v>foot_pain | arch_collapse</x:v>
      </x:c>
      <x:c r="O1380" s="16" t="str"/>
      <x:c r="P1380" s="16" t="str"/>
      <x:c r="Q1380" s="16" t="str"/>
      <x:c r="R1380" s="16" t="str">
        <x:v>用户想找一双具有矫形功能的优质人字拖，用于改善足弓塌陷或足部疼痛问题。</x:v>
      </x:c>
      <x:c r="S1380" s="13" t="str">
        <x:v>consideration</x:v>
      </x:c>
      <x:c r="T1380" s="16" t="str">
        <x:v>explicit | inferred</x:v>
      </x:c>
      <x:c r="U1380" s="13" t="str">
        <x:v>medium</x:v>
      </x:c>
      <x:c r="V1380" s="16" t="str">
        <x:v>orthotic_flip_flops</x:v>
      </x:c>
      <x:c r="W1380" s="16" t="str">
        <x:v>listing_gap_review</x:v>
      </x:c>
      <x:c r="X1380" s="16" t="str">
        <x:v>{"product_type":[{"value":"flip_flops","evidence_type":"explicit","source_span":"flip flops","fact_ids":[],"rationale":"Term explicitly names flip flops."}],"function_intent":[{"value":"orthotic_support","evidence_type":"explicit","source_span":"orthotic","fact_ids":[],"rationale":"Orthotic explicitly requests medical/therapeutic corrective support."}],"body_need_intent":[{"value":"foot_pain","evidence_type":"inferred","source_span":"orthotic","fact_ids":[],"rationale":"Orthotic needs typically arise from foot pain conditions."},{"value":"arch_collapse","evidence_type":"inferred","source_span":"orthotic","fact_ids":[],"rationale":"Orthotic footwear commonly addresses arch collapse or flat feet."}]}</x:v>
      </x:c>
      <x:c r="Y1380" s="16" t="str"/>
      <x:c r="Z1380" s="13" t="str">
        <x:v>partial_match</x:v>
      </x:c>
      <x:c r="AA1380" s="16" t="str">
        <x:v>arch_support | style_flip_flop</x:v>
      </x:c>
      <x:c r="AB1380" s="13" t="str">
        <x:v>accepted</x:v>
      </x:c>
      <x:c r="AC1380" s="13" t="str">
        <x:v>1.0.0</x:v>
      </x:c>
      <x:c r="AD1380" s="13" t="str">
        <x:v>1.0.0</x:v>
      </x:c>
      <x:c r="AE1380" s="13" t="str">
        <x:v>deepseek/deepseek-v4-pro</x:v>
      </x:c>
      <x:c r="AF1380" s="13" t="str">
        <x:v>aj2-y90-20260714T234810-0bea2f52</x:v>
      </x:c>
      <x:c r="AG1380" s="13" t="str">
        <x:v>pilot-0002</x:v>
      </x:c>
      <x:c r="AH1380" s="13" t="str">
        <x:v>pilot</x:v>
      </x:c>
      <x:c r="AI1380" s="13" t="n">
        <x:v>2</x:v>
      </x:c>
    </x:row>
    <x:row r="1381" ht="34" customHeight="1">
      <x:c r="A1381" s="15" t="str">
        <x:v>flip flops girls</x:v>
      </x:c>
      <x:c r="B1381" s="15" t="str">
        <x:v>flip flops girls</x:v>
      </x:c>
      <x:c r="C1381" s="10" t="str">
        <x:v>e5132f48b6003115</x:v>
      </x:c>
      <x:c r="D1381" s="10" t="str">
        <x:v>keyword</x:v>
      </x:c>
      <x:c r="E1381" s="10" t="str">
        <x:v>en</x:v>
      </x:c>
      <x:c r="F1381" s="10" t="str">
        <x:v>clothing_shoes_jewelry</x:v>
      </x:c>
      <x:c r="G1381" s="15" t="str"/>
      <x:c r="H1381" s="15" t="str">
        <x:v>flip_flops</x:v>
      </x:c>
      <x:c r="I1381" s="15" t="str">
        <x:v>girls</x:v>
      </x:c>
      <x:c r="J1381" s="15" t="str"/>
      <x:c r="K1381" s="15" t="str"/>
      <x:c r="L1381" s="15" t="str"/>
      <x:c r="M1381" s="15" t="str"/>
      <x:c r="N1381" s="15" t="str"/>
      <x:c r="O1381" s="15" t="str"/>
      <x:c r="P1381" s="15" t="str"/>
      <x:c r="Q1381" s="15" t="str"/>
      <x:c r="R1381" s="15" t="str">
        <x:v>用户想给女孩或女童购买人字拖，目标受众为儿童或青少年。</x:v>
      </x:c>
      <x:c r="S1381" s="10" t="str">
        <x:v>exploration</x:v>
      </x:c>
      <x:c r="T1381" s="15" t="str">
        <x:v>explicit | inferred</x:v>
      </x:c>
      <x:c r="U1381" s="10" t="str">
        <x:v>high</x:v>
      </x:c>
      <x:c r="V1381" s="15" t="str">
        <x:v>kids_flip_flops</x:v>
      </x:c>
      <x:c r="W1381" s="15" t="str">
        <x:v>semantic_negative_candidate</x:v>
      </x:c>
      <x:c r="X1381" s="15" t="str">
        <x:v>{"product_type":[{"value":"flip_flops","evidence_type":"explicit","source_span":"flip flops","fact_ids":[],"rationale":"Term explicitly names flip flops."}],"audience_intent":[{"value":"girls","evidence_type":"explicit","source_span":"girls","fact_ids":[],"rationale":"Term explicitly targets girls rather than women."}]}</x:v>
      </x:c>
      <x:c r="Y1381" s="15" t="str">
        <x:v>audience_conflict</x:v>
      </x:c>
      <x:c r="Z1381" s="10" t="str">
        <x:v>mismatch</x:v>
      </x:c>
      <x:c r="AA1381" s="15" t="str">
        <x:v>title_womens_flip_flop | sizes_6_11</x:v>
      </x:c>
      <x:c r="AB1381" s="10" t="str">
        <x:v>accepted</x:v>
      </x:c>
      <x:c r="AC1381" s="10" t="str">
        <x:v>1.0.0</x:v>
      </x:c>
      <x:c r="AD1381" s="10" t="str">
        <x:v>1.0.0</x:v>
      </x:c>
      <x:c r="AE1381" s="10" t="str">
        <x:v>deepseek/deepseek-v4-pro</x:v>
      </x:c>
      <x:c r="AF1381" s="10" t="str">
        <x:v>aj2-y90-20260714T234810-0bea2f52</x:v>
      </x:c>
      <x:c r="AG1381" s="10" t="str">
        <x:v>pilot-0002</x:v>
      </x:c>
      <x:c r="AH1381" s="10" t="str">
        <x:v>pilot</x:v>
      </x:c>
      <x:c r="AI1381" s="10" t="n">
        <x:v>2</x:v>
      </x:c>
    </x:row>
    <x:row r="1382" ht="34" customHeight="1">
      <x:c r="A1382" s="16" t="str">
        <x:v>flip flops for women brown</x:v>
      </x:c>
      <x:c r="B1382" s="16" t="str">
        <x:v>flip flops for women brown</x:v>
      </x:c>
      <x:c r="C1382" s="13" t="str">
        <x:v>052580f20d2ed5b3</x:v>
      </x:c>
      <x:c r="D1382" s="13" t="str">
        <x:v>keyword</x:v>
      </x:c>
      <x:c r="E1382" s="13" t="str">
        <x:v>en</x:v>
      </x:c>
      <x:c r="F1382" s="13" t="str">
        <x:v>clothing_shoes_jewelry</x:v>
      </x:c>
      <x:c r="G1382" s="16" t="str"/>
      <x:c r="H1382" s="16" t="str">
        <x:v>flip_flops</x:v>
      </x:c>
      <x:c r="I1382" s="16" t="str">
        <x:v>women</x:v>
      </x:c>
      <x:c r="J1382" s="16" t="str"/>
      <x:c r="K1382" s="16" t="str"/>
      <x:c r="L1382" s="16" t="str"/>
      <x:c r="M1382" s="16" t="str"/>
      <x:c r="N1382" s="16" t="str"/>
      <x:c r="O1382" s="16" t="str"/>
      <x:c r="P1382" s="16" t="str"/>
      <x:c r="Q1382" s="16" t="str"/>
      <x:c r="R1382" s="16" t="str">
        <x:v>用户想购买一双棕色女式夹脚拖鞋。</x:v>
      </x:c>
      <x:c r="S1382" s="13" t="str">
        <x:v>consideration</x:v>
      </x:c>
      <x:c r="T1382" s="16" t="str">
        <x:v>explicit | page_validated</x:v>
      </x:c>
      <x:c r="U1382" s="13" t="str">
        <x:v>high</x:v>
      </x:c>
      <x:c r="V1382" s="16" t="str">
        <x:v>womens_flip_flops</x:v>
      </x:c>
      <x:c r="W1382" s="16" t="str">
        <x:v>listing_gap_review</x:v>
      </x:c>
      <x:c r="X1382" s="16" t="str">
        <x:v>{"primary_domain":[{"value":"clothing_shoes_jewelry","evidence_type":"inferred","source_span":"flip flops","fact_ids":[],"rationale":"Flip flops are footwear in the clothing, shoes, and jewelry domain."}],"product_type":[{"value":"flip_flops","evidence_type":"explicit","source_span":"flip flops","fact_ids":["style_flip_flop","title_womens_flip_flop"],"rationale":"The term explicitly requests flip flops; product page confirms this style."}],"audience_intent":[{"value":"women","evidence_type":"explicit","source_span":"women","fact_ids":["title_womens_flip_flop"],"rationale":"The term explicitly targets women."}],"color":[{"value":"brown","evidence_type":"explicit","source_span":"brown","fact_ids":[],"rationale":"The term explicitly requests brown color; the page confirms multiple colors but brown is not specifically listed."}]}</x:v>
      </x:c>
      <x:c r="Y1382" s="16" t="str"/>
      <x:c r="Z1382" s="13" t="str">
        <x:v>partial_match</x:v>
      </x:c>
      <x:c r="AA1382" s="16" t="str">
        <x:v>title_womens_flip_flop | style_flip_flop | colors_visible</x:v>
      </x:c>
      <x:c r="AB1382" s="13" t="str">
        <x:v>accepted</x:v>
      </x:c>
      <x:c r="AC1382" s="13" t="str">
        <x:v>1.0.0</x:v>
      </x:c>
      <x:c r="AD1382" s="13" t="str">
        <x:v>1.0.0</x:v>
      </x:c>
      <x:c r="AE1382" s="13" t="str">
        <x:v>deepseek/deepseek-v4-pro</x:v>
      </x:c>
      <x:c r="AF1382" s="13" t="str">
        <x:v>aj2-y90-20260714T234810-0bea2f52</x:v>
      </x:c>
      <x:c r="AG1382" s="13" t="str">
        <x:v>pilot-0003</x:v>
      </x:c>
      <x:c r="AH1382" s="13" t="str">
        <x:v>pilot</x:v>
      </x:c>
      <x:c r="AI1382" s="13" t="n">
        <x:v>3</x:v>
      </x:c>
    </x:row>
    <x:row r="1383" ht="34" customHeight="1">
      <x:c r="A1383" s="15" t="str">
        <x:v>flat feet flip flops women</x:v>
      </x:c>
      <x:c r="B1383" s="15" t="str">
        <x:v>flat feet flip flops women</x:v>
      </x:c>
      <x:c r="C1383" s="10" t="str">
        <x:v>4e9b3944be9a284e</x:v>
      </x:c>
      <x:c r="D1383" s="10" t="str">
        <x:v>keyword</x:v>
      </x:c>
      <x:c r="E1383" s="10" t="str">
        <x:v>en</x:v>
      </x:c>
      <x:c r="F1383" s="10" t="str">
        <x:v>clothing_shoes_jewelry</x:v>
      </x:c>
      <x:c r="G1383" s="15" t="str"/>
      <x:c r="H1383" s="15" t="str">
        <x:v>flip_flops</x:v>
      </x:c>
      <x:c r="I1383" s="15" t="str">
        <x:v>women</x:v>
      </x:c>
      <x:c r="J1383" s="15" t="str">
        <x:v>foot_support</x:v>
      </x:c>
      <x:c r="K1383" s="15" t="str">
        <x:v>arch_support</x:v>
      </x:c>
      <x:c r="L1383" s="15" t="str"/>
      <x:c r="M1383" s="15" t="str"/>
      <x:c r="N1383" s="15" t="str">
        <x:v>flat_feet</x:v>
      </x:c>
      <x:c r="O1383" s="15" t="str"/>
      <x:c r="P1383" s="15" t="str"/>
      <x:c r="Q1383" s="15" t="str"/>
      <x:c r="R1383" s="15" t="str">
        <x:v>用户为有扁平足问题的女性寻找合适的夹脚拖鞋，需要足弓支撑来改善足部不适。</x:v>
      </x:c>
      <x:c r="S1383" s="10" t="str">
        <x:v>consideration</x:v>
      </x:c>
      <x:c r="T1383" s="15" t="str">
        <x:v>explicit | page_validated | inferred</x:v>
      </x:c>
      <x:c r="U1383" s="10" t="str">
        <x:v>high</x:v>
      </x:c>
      <x:c r="V1383" s="15" t="str">
        <x:v>flat_feet_womens_flip_flops</x:v>
      </x:c>
      <x:c r="W1383" s="15" t="str">
        <x:v>listing_gap_review</x:v>
      </x:c>
      <x:c r="X1383" s="15" t="str">
        <x:v>{"primary_domain":[{"value":"clothing_shoes_jewelry","evidence_type":"inferred","source_span":"flip flops","fact_ids":[],"rationale":"Flip flops are footwear in clothing, shoes, and jewelry."}],"product_type":[{"value":"flip_flops","evidence_type":"explicit","source_span":"flip flops","fact_ids":["style_flip_flop","title_womens_flip_flop"],"rationale":"The term explicitly requests flip flops."}],"audience_intent":[{"value":"women","evidence_type":"explicit","source_span":"women","fact_ids":["title_womens_flip_flop"],"rationale":"The term explicitly targets women."}],"capability_intent":[{"value":"arch_support","evidence_type":"inferred","source_span":"flat feet","fact_ids":["arch_support"],"rationale":"Flat feet typically require arch support; the product offers ergonomic arch support though it does not specifically mention flat feet."}],"body_need_intent":[{"value":"flat_feet","evidence_type":"explicit","source_span":"flat feet","fact_ids":[],"rationale":"The term explicitly mentions flat feet as a foot condition."}]}</x:v>
      </x:c>
      <x:c r="Y1383" s="15" t="str"/>
      <x:c r="Z1383" s="10" t="str">
        <x:v>partial_match</x:v>
      </x:c>
      <x:c r="AA1383" s="15" t="str">
        <x:v>title_womens_flip_flop | style_flip_flop | arch_support</x:v>
      </x:c>
      <x:c r="AB1383" s="10" t="str">
        <x:v>accepted</x:v>
      </x:c>
      <x:c r="AC1383" s="10" t="str">
        <x:v>1.0.0</x:v>
      </x:c>
      <x:c r="AD1383" s="10" t="str">
        <x:v>1.0.0</x:v>
      </x:c>
      <x:c r="AE1383" s="10" t="str">
        <x:v>deepseek/deepseek-v4-pro</x:v>
      </x:c>
      <x:c r="AF1383" s="10" t="str">
        <x:v>aj2-y90-20260714T234810-0bea2f52</x:v>
      </x:c>
      <x:c r="AG1383" s="10" t="str">
        <x:v>pilot-0003</x:v>
      </x:c>
      <x:c r="AH1383" s="10" t="str">
        <x:v>pilot</x:v>
      </x:c>
      <x:c r="AI1383" s="10" t="n">
        <x:v>3</x:v>
      </x:c>
    </x:row>
    <x:row r="1384" ht="34" customHeight="1">
      <x:c r="A1384" s="16" t="str">
        <x:v>white thong sandals for women</x:v>
      </x:c>
      <x:c r="B1384" s="16" t="str">
        <x:v>white thong sandals for women</x:v>
      </x:c>
      <x:c r="C1384" s="13" t="str">
        <x:v>4ed0f36d528a59e4</x:v>
      </x:c>
      <x:c r="D1384" s="13" t="str">
        <x:v>keyword</x:v>
      </x:c>
      <x:c r="E1384" s="13" t="str">
        <x:v>en</x:v>
      </x:c>
      <x:c r="F1384" s="13" t="str">
        <x:v>clothing_shoes_jewelry</x:v>
      </x:c>
      <x:c r="G1384" s="16" t="str"/>
      <x:c r="H1384" s="16" t="str">
        <x:v>thong_sandals | flip_flops</x:v>
      </x:c>
      <x:c r="I1384" s="16" t="str">
        <x:v>women</x:v>
      </x:c>
      <x:c r="J1384" s="16" t="str"/>
      <x:c r="K1384" s="16" t="str"/>
      <x:c r="L1384" s="16" t="str"/>
      <x:c r="M1384" s="16" t="str"/>
      <x:c r="N1384" s="16" t="str"/>
      <x:c r="O1384" s="16" t="str"/>
      <x:c r="P1384" s="16" t="str"/>
      <x:c r="Q1384" s="16" t="str"/>
      <x:c r="R1384" s="16" t="str">
        <x:v>用户想购买一双白色女式人字拖凉鞋。</x:v>
      </x:c>
      <x:c r="S1384" s="13" t="str">
        <x:v>consideration</x:v>
      </x:c>
      <x:c r="T1384" s="16" t="str">
        <x:v>explicit | page_validated</x:v>
      </x:c>
      <x:c r="U1384" s="13" t="str">
        <x:v>high</x:v>
      </x:c>
      <x:c r="V1384" s="16" t="str">
        <x:v>womens_thong_sandals</x:v>
      </x:c>
      <x:c r="W1384" s="16" t="str">
        <x:v>listing_gap_review</x:v>
      </x:c>
      <x:c r="X1384" s="16" t="str">
        <x:v>{"primary_domain":[{"value":"clothing_shoes_jewelry","evidence_type":"inferred","source_span":"thong sandals","fact_ids":[],"rationale":"Sandals are footwear in the clothing, shoes, and jewelry domain."}],"product_type":[{"value":"thong_sandals","evidence_type":"explicit","source_span":"thong sandals","fact_ids":["style_thong","style_flip_flop","title_womens_flip_flop"],"rationale":"The term explicitly requests thong sandals; the product page confirms thong strap type and flip flop style."},{"value":"flip_flops","evidence_type":"inferred","source_span":"thong sandals","fact_ids":["style_flip_flop"],"rationale":"Thong sandals are a type of flip flop; the product is classified as a flip flop."}],"audience_intent":[{"value":"women","evidence_type":"explicit","source_span":"women","fact_ids":["title_womens_flip_flop"],"rationale":"The term explicitly targets women."}],"color":[{"value":"white","evidence_type":"explicit","source_span":"white","fact_ids":[],"rationale":"The term explicitly requests white color; the page confirms multiple colors but white is not specifically listed."}]}</x:v>
      </x:c>
      <x:c r="Y1384" s="16" t="str"/>
      <x:c r="Z1384" s="13" t="str">
        <x:v>partial_match</x:v>
      </x:c>
      <x:c r="AA1384" s="16" t="str">
        <x:v>title_womens_flip_flop | style_thong | style_flip_flop | colors_visible</x:v>
      </x:c>
      <x:c r="AB1384" s="13" t="str">
        <x:v>accepted</x:v>
      </x:c>
      <x:c r="AC1384" s="13" t="str">
        <x:v>1.0.0</x:v>
      </x:c>
      <x:c r="AD1384" s="13" t="str">
        <x:v>1.0.0</x:v>
      </x:c>
      <x:c r="AE1384" s="13" t="str">
        <x:v>deepseek/deepseek-v4-pro</x:v>
      </x:c>
      <x:c r="AF1384" s="13" t="str">
        <x:v>aj2-y90-20260714T234810-0bea2f52</x:v>
      </x:c>
      <x:c r="AG1384" s="13" t="str">
        <x:v>pilot-0003</x:v>
      </x:c>
      <x:c r="AH1384" s="13" t="str">
        <x:v>pilot</x:v>
      </x:c>
      <x:c r="AI1384" s="13" t="n">
        <x:v>3</x:v>
      </x:c>
    </x:row>
    <x:row r="1385" ht="34" customHeight="1">
      <x:c r="A1385" s="15" t="str">
        <x:v>womens cheap flip flops size 11</x:v>
      </x:c>
      <x:c r="B1385" s="15" t="str">
        <x:v>womens cheap flip flops size 11</x:v>
      </x:c>
      <x:c r="C1385" s="10" t="str">
        <x:v>62b8482948b13750</x:v>
      </x:c>
      <x:c r="D1385" s="10" t="str">
        <x:v>keyword</x:v>
      </x:c>
      <x:c r="E1385" s="10" t="str">
        <x:v>en</x:v>
      </x:c>
      <x:c r="F1385" s="10" t="str">
        <x:v>clothing_shoes_jewelry</x:v>
      </x:c>
      <x:c r="G1385" s="15" t="str"/>
      <x:c r="H1385" s="15" t="str">
        <x:v>flip_flops</x:v>
      </x:c>
      <x:c r="I1385" s="15" t="str">
        <x:v>women</x:v>
      </x:c>
      <x:c r="J1385" s="15" t="str"/>
      <x:c r="K1385" s="15" t="str"/>
      <x:c r="L1385" s="15" t="str"/>
      <x:c r="M1385" s="15" t="str"/>
      <x:c r="N1385" s="15" t="str"/>
      <x:c r="O1385" s="15" t="str"/>
      <x:c r="P1385" s="15" t="str"/>
      <x:c r="Q1385" s="15" t="str"/>
      <x:c r="R1385" s="15" t="str">
        <x:v>用户想以低价购买一双11码的女式夹脚拖鞋。</x:v>
      </x:c>
      <x:c r="S1385" s="10" t="str">
        <x:v>high_intent</x:v>
      </x:c>
      <x:c r="T1385" s="15" t="str">
        <x:v>explicit | page_validated</x:v>
      </x:c>
      <x:c r="U1385" s="10" t="str">
        <x:v>high</x:v>
      </x:c>
      <x:c r="V1385" s="15" t="str">
        <x:v>womens_flip_flops</x:v>
      </x:c>
      <x:c r="W1385" s="15" t="str">
        <x:v>cluster_route</x:v>
      </x:c>
      <x:c r="X1385" s="15" t="str">
        <x:v>{"primary_domain":[{"value":"clothing_shoes_jewelry","evidence_type":"inferred","source_span":"flip flops","fact_ids":[],"rationale":"Flip flops are footwear in the clothing, shoes, and jewelry domain."}],"product_type":[{"value":"flip_flops","evidence_type":"explicit","source_span":"flip flops","fact_ids":["style_flip_flop","title_womens_flip_flop"],"rationale":"The term explicitly requests flip flops."}],"audience_intent":[{"value":"women","evidence_type":"explicit","source_span":"womens","fact_ids":["title_womens_flip_flop"],"rationale":"The term explicitly targets women."}],"size":[{"value":"11","evidence_type":"explicit","source_span":"size 11","fact_ids":["sizes_6_11"],"rationale":"The term explicitly requests size 11; the product page confirms sizes 6 through 11 are available."}],"price":[{"value":"cheap","evidence_type":"explicit","source_span":"cheap","fact_ids":[],"rationale":"The term explicitly requests a low price; real-time price is excluded from page evidence and cannot be validated."}]}</x:v>
      </x:c>
      <x:c r="Y1385" s="15" t="str"/>
      <x:c r="Z1385" s="10" t="str">
        <x:v>match</x:v>
      </x:c>
      <x:c r="AA1385" s="15" t="str">
        <x:v>title_womens_flip_flop | style_flip_flop | sizes_6_11</x:v>
      </x:c>
      <x:c r="AB1385" s="10" t="str">
        <x:v>accepted</x:v>
      </x:c>
      <x:c r="AC1385" s="10" t="str">
        <x:v>1.0.0</x:v>
      </x:c>
      <x:c r="AD1385" s="10" t="str">
        <x:v>1.0.0</x:v>
      </x:c>
      <x:c r="AE1385" s="10" t="str">
        <x:v>deepseek/deepseek-v4-pro</x:v>
      </x:c>
      <x:c r="AF1385" s="10" t="str">
        <x:v>aj2-y90-20260714T234810-0bea2f52</x:v>
      </x:c>
      <x:c r="AG1385" s="10" t="str">
        <x:v>pilot-0003</x:v>
      </x:c>
      <x:c r="AH1385" s="10" t="str">
        <x:v>pilot</x:v>
      </x:c>
      <x:c r="AI1385" s="10" t="n">
        <x:v>3</x:v>
      </x:c>
    </x:row>
    <x:row r="1386" ht="34" customHeight="1">
      <x:c r="A1386" s="16" t="str">
        <x:v>royal blue rubber sole flip flops</x:v>
      </x:c>
      <x:c r="B1386" s="16" t="str">
        <x:v>royal blue rubber sole flip flops</x:v>
      </x:c>
      <x:c r="C1386" s="13" t="str">
        <x:v>62fcbb4878fe8cac</x:v>
      </x:c>
      <x:c r="D1386" s="13" t="str">
        <x:v>keyword</x:v>
      </x:c>
      <x:c r="E1386" s="13" t="str">
        <x:v>en</x:v>
      </x:c>
      <x:c r="F1386" s="13" t="str">
        <x:v>clothing_shoes_jewelry</x:v>
      </x:c>
      <x:c r="G1386" s="16" t="str"/>
      <x:c r="H1386" s="16" t="str">
        <x:v>flip_flops</x:v>
      </x:c>
      <x:c r="I1386" s="16" t="str"/>
      <x:c r="J1386" s="16" t="str"/>
      <x:c r="K1386" s="16" t="str"/>
      <x:c r="L1386" s="16" t="str"/>
      <x:c r="M1386" s="16" t="str"/>
      <x:c r="N1386" s="16" t="str"/>
      <x:c r="O1386" s="16" t="str"/>
      <x:c r="P1386" s="16" t="str"/>
      <x:c r="Q1386" s="16" t="str"/>
      <x:c r="R1386" s="16" t="str">
        <x:v>用户想购买一双宝蓝色橡胶底的夹脚拖鞋。</x:v>
      </x:c>
      <x:c r="S1386" s="13" t="str">
        <x:v>consideration</x:v>
      </x:c>
      <x:c r="T1386" s="16" t="str">
        <x:v>explicit | inferred</x:v>
      </x:c>
      <x:c r="U1386" s="13" t="str">
        <x:v>medium</x:v>
      </x:c>
      <x:c r="V1386" s="16" t="str">
        <x:v>colored_flip_flops</x:v>
      </x:c>
      <x:c r="W1386" s="16" t="str">
        <x:v>listing_gap_review</x:v>
      </x:c>
      <x:c r="X1386" s="16" t="str">
        <x:v>{"primary_domain":[{"value":"clothing_shoes_jewelry","evidence_type":"inferred","source_span":"flip flops","fact_ids":[],"rationale":"Flip flops are footwear in the clothing, shoes, and jewelry domain."}],"product_type":[{"value":"flip_flops","evidence_type":"explicit","source_span":"flip flops","fact_ids":["style_flip_flop"],"rationale":"The term explicitly requests flip flops."}],"color":[{"value":"royal_blue","evidence_type":"explicit","source_span":"royal blue","fact_ids":[],"rationale":"The term explicitly requests royal blue; the page confirms multiple colors including light blue but not specifically royal blue."}],"material":[{"value":"rubber_sole","evidence_type":"explicit","source_span":"rubber sole","fact_ids":[],"rationale":"The term explicitly requests a rubber sole; the product outer material is EVA, not rubber."}]}</x:v>
      </x:c>
      <x:c r="Y1386" s="16" t="str"/>
      <x:c r="Z1386" s="13" t="str">
        <x:v>partial_match</x:v>
      </x:c>
      <x:c r="AA1386" s="16" t="str">
        <x:v>style_flip_flop</x:v>
      </x:c>
      <x:c r="AB1386" s="13" t="str">
        <x:v>accepted</x:v>
      </x:c>
      <x:c r="AC1386" s="13" t="str">
        <x:v>1.0.0</x:v>
      </x:c>
      <x:c r="AD1386" s="13" t="str">
        <x:v>1.0.0</x:v>
      </x:c>
      <x:c r="AE1386" s="13" t="str">
        <x:v>deepseek/deepseek-v4-pro</x:v>
      </x:c>
      <x:c r="AF1386" s="13" t="str">
        <x:v>aj2-y90-20260714T234810-0bea2f52</x:v>
      </x:c>
      <x:c r="AG1386" s="13" t="str">
        <x:v>pilot-0003</x:v>
      </x:c>
      <x:c r="AH1386" s="13" t="str">
        <x:v>pilot</x:v>
      </x:c>
      <x:c r="AI1386" s="13" t="n">
        <x:v>3</x:v>
      </x:c>
    </x:row>
    <x:row r="1387" ht="34" customHeight="1">
      <x:c r="A1387" s="15" t="str">
        <x:v>non slip womens flip flops</x:v>
      </x:c>
      <x:c r="B1387" s="15" t="str">
        <x:v>non slip womens flip flops</x:v>
      </x:c>
      <x:c r="C1387" s="10" t="str">
        <x:v>6328501dcc26722d</x:v>
      </x:c>
      <x:c r="D1387" s="10" t="str">
        <x:v>keyword</x:v>
      </x:c>
      <x:c r="E1387" s="10" t="str">
        <x:v>en</x:v>
      </x:c>
      <x:c r="F1387" s="10" t="str">
        <x:v>clothing_shoes_jewelry</x:v>
      </x:c>
      <x:c r="G1387" s="15" t="str"/>
      <x:c r="H1387" s="15" t="str">
        <x:v>flip_flops</x:v>
      </x:c>
      <x:c r="I1387" s="15" t="str">
        <x:v>women</x:v>
      </x:c>
      <x:c r="J1387" s="15" t="str">
        <x:v>safety</x:v>
      </x:c>
      <x:c r="K1387" s="15" t="str">
        <x:v>slip_resistant</x:v>
      </x:c>
      <x:c r="L1387" s="15" t="str"/>
      <x:c r="M1387" s="15" t="str"/>
      <x:c r="N1387" s="15" t="str"/>
      <x:c r="O1387" s="15" t="str"/>
      <x:c r="P1387" s="15" t="str"/>
      <x:c r="Q1387" s="15" t="str"/>
      <x:c r="R1387" s="15" t="str">
        <x:v>用户为女性寻找防滑夹脚拖鞋，注重行走安全性。</x:v>
      </x:c>
      <x:c r="S1387" s="10" t="str">
        <x:v>consideration</x:v>
      </x:c>
      <x:c r="T1387" s="15" t="str">
        <x:v>explicit | page_validated</x:v>
      </x:c>
      <x:c r="U1387" s="10" t="str">
        <x:v>high</x:v>
      </x:c>
      <x:c r="V1387" s="15" t="str">
        <x:v>womens_non_slip_flip_flops</x:v>
      </x:c>
      <x:c r="W1387" s="15" t="str">
        <x:v>cluster_route</x:v>
      </x:c>
      <x:c r="X1387" s="15" t="str">
        <x:v>{"primary_domain":[{"value":"clothing_shoes_jewelry","evidence_type":"inferred","source_span":"flip flops","fact_ids":[],"rationale":"Flip flops are footwear in the clothing, shoes, and jewelry domain."}],"product_type":[{"value":"flip_flops","evidence_type":"explicit","source_span":"flip flops","fact_ids":["style_flip_flop","title_womens_flip_flop"],"rationale":"The term explicitly requests flip flops."}],"audience_intent":[{"value":"women","evidence_type":"explicit","source_span":"womens","fact_ids":["title_womens_flip_flop"],"rationale":"The term explicitly targets women; the product is a women's flip flop."}],"capability_intent":[{"value":"slip_resistant","evidence_type":"explicit","source_span":"non slip","fact_ids":["slip_resistant_grip"],"rationale":"The term explicitly requests non-slip; the product page states a deep textured lattice outsole for grip and slip-resistant steps."}]}</x:v>
      </x:c>
      <x:c r="Y1387" s="15" t="str"/>
      <x:c r="Z1387" s="10" t="str">
        <x:v>match</x:v>
      </x:c>
      <x:c r="AA1387" s="15" t="str">
        <x:v>title_womens_flip_flop | style_flip_flop | slip_resistant_grip</x:v>
      </x:c>
      <x:c r="AB1387" s="10" t="str">
        <x:v>accepted</x:v>
      </x:c>
      <x:c r="AC1387" s="10" t="str">
        <x:v>1.0.0</x:v>
      </x:c>
      <x:c r="AD1387" s="10" t="str">
        <x:v>1.0.0</x:v>
      </x:c>
      <x:c r="AE1387" s="10" t="str">
        <x:v>deepseek/deepseek-v4-pro</x:v>
      </x:c>
      <x:c r="AF1387" s="10" t="str">
        <x:v>aj2-y90-20260714T234810-0bea2f52</x:v>
      </x:c>
      <x:c r="AG1387" s="10" t="str">
        <x:v>pilot-0003</x:v>
      </x:c>
      <x:c r="AH1387" s="10" t="str">
        <x:v>pilot</x:v>
      </x:c>
      <x:c r="AI1387" s="10" t="n">
        <x:v>3</x:v>
      </x:c>
    </x:row>
    <x:row r="1388" ht="34" customHeight="1">
      <x:c r="A1388" s="16" t="str">
        <x:v>womens flip flops eva</x:v>
      </x:c>
      <x:c r="B1388" s="16" t="str">
        <x:v>womens flip flops eva</x:v>
      </x:c>
      <x:c r="C1388" s="13" t="str">
        <x:v>65e26378a05117eb</x:v>
      </x:c>
      <x:c r="D1388" s="13" t="str">
        <x:v>keyword</x:v>
      </x:c>
      <x:c r="E1388" s="13" t="str">
        <x:v>en</x:v>
      </x:c>
      <x:c r="F1388" s="13" t="str">
        <x:v>clothing_shoes_jewelry</x:v>
      </x:c>
      <x:c r="G1388" s="16" t="str"/>
      <x:c r="H1388" s="16" t="str">
        <x:v>flip_flops</x:v>
      </x:c>
      <x:c r="I1388" s="16" t="str">
        <x:v>women</x:v>
      </x:c>
      <x:c r="J1388" s="16" t="str"/>
      <x:c r="K1388" s="16" t="str"/>
      <x:c r="L1388" s="16" t="str"/>
      <x:c r="M1388" s="16" t="str"/>
      <x:c r="N1388" s="16" t="str"/>
      <x:c r="O1388" s="16" t="str"/>
      <x:c r="P1388" s="16" t="str"/>
      <x:c r="Q1388" s="16" t="str"/>
      <x:c r="R1388" s="16" t="str">
        <x:v>用户想购买一双EVA材质的女式夹脚拖鞋。</x:v>
      </x:c>
      <x:c r="S1388" s="13" t="str">
        <x:v>consideration</x:v>
      </x:c>
      <x:c r="T1388" s="16" t="str">
        <x:v>explicit | page_validated</x:v>
      </x:c>
      <x:c r="U1388" s="13" t="str">
        <x:v>high</x:v>
      </x:c>
      <x:c r="V1388" s="16" t="str">
        <x:v>womens_eva_flip_flops</x:v>
      </x:c>
      <x:c r="W1388" s="16" t="str">
        <x:v>cluster_route</x:v>
      </x:c>
      <x:c r="X1388" s="16" t="str">
        <x:v>{"primary_domain":[{"value":"clothing_shoes_jewelry","evidence_type":"inferred","source_span":"flip flops","fact_ids":[],"rationale":"Flip flops are footwear in the clothing, shoes, and jewelry domain."}],"product_type":[{"value":"flip_flops","evidence_type":"explicit","source_span":"flip flops","fact_ids":["style_flip_flop","title_womens_flip_flop"],"rationale":"The term explicitly requests flip flops."}],"audience_intent":[{"value":"women","evidence_type":"explicit","source_span":"womens","fact_ids":["title_womens_flip_flop"],"rationale":"The term explicitly targets women."}],"material":[{"value":"eva","evidence_type":"explicit","source_span":"eva","fact_ids":["material_eva"],"rationale":"The term explicitly requests EVA material; the product page confirms outer material is EVA."}]}</x:v>
      </x:c>
      <x:c r="Y1388" s="16" t="str"/>
      <x:c r="Z1388" s="13" t="str">
        <x:v>match</x:v>
      </x:c>
      <x:c r="AA1388" s="16" t="str">
        <x:v>title_womens_flip_flop | style_flip_flop | material_eva</x:v>
      </x:c>
      <x:c r="AB1388" s="13" t="str">
        <x:v>accepted</x:v>
      </x:c>
      <x:c r="AC1388" s="13" t="str">
        <x:v>1.0.0</x:v>
      </x:c>
      <x:c r="AD1388" s="13" t="str">
        <x:v>1.0.0</x:v>
      </x:c>
      <x:c r="AE1388" s="13" t="str">
        <x:v>deepseek/deepseek-v4-pro</x:v>
      </x:c>
      <x:c r="AF1388" s="13" t="str">
        <x:v>aj2-y90-20260714T234810-0bea2f52</x:v>
      </x:c>
      <x:c r="AG1388" s="13" t="str">
        <x:v>pilot-0003</x:v>
      </x:c>
      <x:c r="AH1388" s="13" t="str">
        <x:v>pilot</x:v>
      </x:c>
      <x:c r="AI1388" s="13" t="n">
        <x:v>3</x:v>
      </x:c>
    </x:row>
    <x:row r="1389" ht="34" customHeight="1">
      <x:c r="A1389" s="15" t="str">
        <x:v>tan arch support flip flops</x:v>
      </x:c>
      <x:c r="B1389" s="15" t="str">
        <x:v>tan arch support flip flops</x:v>
      </x:c>
      <x:c r="C1389" s="10" t="str">
        <x:v>7320199170bcce69</x:v>
      </x:c>
      <x:c r="D1389" s="10" t="str">
        <x:v>keyword</x:v>
      </x:c>
      <x:c r="E1389" s="10" t="str">
        <x:v>en</x:v>
      </x:c>
      <x:c r="F1389" s="10" t="str">
        <x:v>clothing_shoes_jewelry</x:v>
      </x:c>
      <x:c r="G1389" s="15" t="str"/>
      <x:c r="H1389" s="15" t="str">
        <x:v>flip_flops</x:v>
      </x:c>
      <x:c r="I1389" s="15" t="str"/>
      <x:c r="J1389" s="15" t="str">
        <x:v>foot_comfort</x:v>
      </x:c>
      <x:c r="K1389" s="15" t="str">
        <x:v>arch_support</x:v>
      </x:c>
      <x:c r="L1389" s="15" t="str"/>
      <x:c r="M1389" s="15" t="str"/>
      <x:c r="N1389" s="15" t="str"/>
      <x:c r="O1389" s="15" t="str"/>
      <x:c r="P1389" s="15" t="str"/>
      <x:c r="Q1389" s="15" t="str"/>
      <x:c r="R1389" s="15" t="str">
        <x:v>用户想购买一双棕色的具有足弓支撑功能的夹脚拖鞋，注重足部舒适度。</x:v>
      </x:c>
      <x:c r="S1389" s="10" t="str">
        <x:v>consideration</x:v>
      </x:c>
      <x:c r="T1389" s="15" t="str">
        <x:v>explicit | page_validated | inferred</x:v>
      </x:c>
      <x:c r="U1389" s="10" t="str">
        <x:v>high</x:v>
      </x:c>
      <x:c r="V1389" s="15" t="str">
        <x:v>arch_support_flip_flops</x:v>
      </x:c>
      <x:c r="W1389" s="15" t="str">
        <x:v>listing_gap_review</x:v>
      </x:c>
      <x:c r="X1389" s="15" t="str">
        <x:v>{"primary_domain":[{"value":"clothing_shoes_jewelry","evidence_type":"inferred","source_span":"flip flops","fact_ids":[],"rationale":"Flip flops are footwear belonging to the clothing, shoes, and jewelry domain."}],"product_type":[{"value":"flip_flops","evidence_type":"explicit","source_span":"flip flops","fact_ids":["style_flip_flop","title_womens_flip_flop"],"rationale":"The term explicitly names flip flops; the product page confirms this style."}],"capability_intent":[{"value":"arch_support","evidence_type":"explicit","source_span":"arch support","fact_ids":["arch_support"],"rationale":"The term explicitly requests arch support; the product page validates ergonomic arch support."}],"function_intent":[{"value":"foot_comfort","evidence_type":"inferred","source_span":"arch support","fact_ids":["arch_support","padded_cushioning"],"rationale":"Searching for arch support implies a desire for foot comfort."}],"color":[{"value":"tan","evidence_type":"explicit","source_span":"tan","fact_ids":[],"rationale":"The term explicitly specifies the color tan; the page confirms multiple colors but tan is not specifically listed."}]}</x:v>
      </x:c>
      <x:c r="Y1389" s="15" t="str"/>
      <x:c r="Z1389" s="10" t="str">
        <x:v>partial_match</x:v>
      </x:c>
      <x:c r="AA1389" s="15" t="str">
        <x:v>style_flip_flop | arch_support | colors_visible</x:v>
      </x:c>
      <x:c r="AB1389" s="10" t="str">
        <x:v>accepted</x:v>
      </x:c>
      <x:c r="AC1389" s="10" t="str">
        <x:v>1.0.0</x:v>
      </x:c>
      <x:c r="AD1389" s="10" t="str">
        <x:v>1.0.0</x:v>
      </x:c>
      <x:c r="AE1389" s="10" t="str">
        <x:v>deepseek/deepseek-v4-pro</x:v>
      </x:c>
      <x:c r="AF1389" s="10" t="str">
        <x:v>aj2-y90-20260714T234810-0bea2f52</x:v>
      </x:c>
      <x:c r="AG1389" s="10" t="str">
        <x:v>pilot-0003</x:v>
      </x:c>
      <x:c r="AH1389" s="10" t="str">
        <x:v>pilot</x:v>
      </x:c>
      <x:c r="AI1389" s="10" t="n">
        <x:v>3</x:v>
      </x:c>
    </x:row>
    <x:row r="1390" ht="34" customHeight="1">
      <x:c r="A1390" s="16" t="str">
        <x:v>plantar fish flip flops</x:v>
      </x:c>
      <x:c r="B1390" s="16" t="str">
        <x:v>plantar fish flip flops</x:v>
      </x:c>
      <x:c r="C1390" s="13" t="str">
        <x:v>7adad1094b6497a7</x:v>
      </x:c>
      <x:c r="D1390" s="13" t="str">
        <x:v>keyword</x:v>
      </x:c>
      <x:c r="E1390" s="13" t="str">
        <x:v>en</x:v>
      </x:c>
      <x:c r="F1390" s="13" t="str">
        <x:v>clothing_shoes_jewelry</x:v>
      </x:c>
      <x:c r="G1390" s="16" t="str"/>
      <x:c r="H1390" s="16" t="str">
        <x:v>flip_flops</x:v>
      </x:c>
      <x:c r="I1390" s="16" t="str"/>
      <x:c r="J1390" s="16" t="str">
        <x:v>foot_pain_relief</x:v>
      </x:c>
      <x:c r="K1390" s="16" t="str">
        <x:v>arch_support</x:v>
      </x:c>
      <x:c r="L1390" s="16" t="str"/>
      <x:c r="M1390" s="16" t="str"/>
      <x:c r="N1390" s="16" t="str">
        <x:v>plantar_fasciitis</x:v>
      </x:c>
      <x:c r="O1390" s="16" t="str"/>
      <x:c r="P1390" s="16" t="str"/>
      <x:c r="Q1390" s="16" t="str"/>
      <x:c r="R1390" s="16" t="str">
        <x:v>用户因足底筋膜炎问题，希望找到一双具有足弓支撑功能的夹脚拖鞋来缓解足底疼痛。</x:v>
      </x:c>
      <x:c r="S1390" s="13" t="str">
        <x:v>consideration</x:v>
      </x:c>
      <x:c r="T1390" s="16" t="str">
        <x:v>explicit | inferred</x:v>
      </x:c>
      <x:c r="U1390" s="13" t="str">
        <x:v>medium</x:v>
      </x:c>
      <x:c r="V1390" s="16" t="str">
        <x:v>plantar_footwear</x:v>
      </x:c>
      <x:c r="W1390" s="16" t="str">
        <x:v>listing_gap_review</x:v>
      </x:c>
      <x:c r="X1390" s="16" t="str">
        <x:v>{"primary_domain":[{"value":"clothing_shoes_jewelry","evidence_type":"inferred","source_span":"flip flops","fact_ids":[],"rationale":"Flip flops belong to the clothing, shoes, and jewelry domain."}],"product_type":[{"value":"flip_flops","evidence_type":"explicit","source_span":"flip flops","fact_ids":["style_flip_flop","title_womens_flip_flop"],"rationale":"The term explicitly requests flip flops; the product page confirms flip flop style."}],"function_intent":[{"value":"foot_pain_relief","evidence_type":"inferred","source_span":"plantar","fact_ids":[],"rationale":"The word 'plantar' references the foot sole; combined with flip flops, this suggests seeking relief from foot pain."}],"capability_intent":[{"value":"arch_support","evidence_type":"inferred","source_span":"plantar","fact_ids":["arch_support"],"rationale":"Plantar-related foot conditions commonly require arch support; the product offers ergonomic arch support."}],"body_need_intent":[{"value":"plantar_fasciitis","evidence_type":"inferred","source_span":"plantar fish","fact_ids":[],"rationale":"The garbled term 'plantar fish' most likely refers to plantar fasciitis, a common foot condition."}]}</x:v>
      </x:c>
      <x:c r="Y1390" s="16" t="str">
        <x:v>garbled_term</x:v>
      </x:c>
      <x:c r="Z1390" s="13" t="str">
        <x:v>partial_match</x:v>
      </x:c>
      <x:c r="AA1390" s="16" t="str">
        <x:v>arch_support | padded_cushioning</x:v>
      </x:c>
      <x:c r="AB1390" s="13" t="str">
        <x:v>accepted</x:v>
      </x:c>
      <x:c r="AC1390" s="13" t="str">
        <x:v>1.0.0</x:v>
      </x:c>
      <x:c r="AD1390" s="13" t="str">
        <x:v>1.0.0</x:v>
      </x:c>
      <x:c r="AE1390" s="13" t="str">
        <x:v>deepseek/deepseek-v4-pro</x:v>
      </x:c>
      <x:c r="AF1390" s="13" t="str">
        <x:v>aj2-y90-20260714T234810-0bea2f52</x:v>
      </x:c>
      <x:c r="AG1390" s="13" t="str">
        <x:v>pilot-0003</x:v>
      </x:c>
      <x:c r="AH1390" s="13" t="str">
        <x:v>pilot</x:v>
      </x:c>
      <x:c r="AI1390" s="13" t="n">
        <x:v>3</x:v>
      </x:c>
    </x:row>
    <x:row r="1391" ht="34" customHeight="1">
      <x:c r="A1391" s="15" t="str">
        <x:v>famones rubber heavy duty with side hole</x:v>
      </x:c>
      <x:c r="B1391" s="15" t="str">
        <x:v>famones rubber heavy duty with side hole</x:v>
      </x:c>
      <x:c r="C1391" s="10" t="str">
        <x:v>895bed3f5ba8233d</x:v>
      </x:c>
      <x:c r="D1391" s="10" t="str">
        <x:v>keyword</x:v>
      </x:c>
      <x:c r="E1391" s="10" t="str">
        <x:v>en</x:v>
      </x:c>
      <x:c r="F1391" s="10" t="str">
        <x:v>clothing_shoes_jewelry</x:v>
      </x:c>
      <x:c r="G1391" s="15" t="str"/>
      <x:c r="H1391" s="15" t="str">
        <x:v>heavy_duty_footwear</x:v>
      </x:c>
      <x:c r="I1391" s="15" t="str"/>
      <x:c r="J1391" s="15" t="str">
        <x:v>durability</x:v>
      </x:c>
      <x:c r="K1391" s="15" t="str">
        <x:v>heavy_duty</x:v>
      </x:c>
      <x:c r="L1391" s="15" t="str"/>
      <x:c r="M1391" s="15" t="str"/>
      <x:c r="N1391" s="15" t="str"/>
      <x:c r="O1391" s="15" t="str"/>
      <x:c r="P1391" s="15" t="str"/>
      <x:c r="Q1391" s="15" t="str"/>
      <x:c r="R1391" s="15" t="str">
        <x:v>用户想购买famones品牌的橡胶重型鞋类产品，产品需带有侧孔设计。</x:v>
      </x:c>
      <x:c r="S1391" s="10" t="str">
        <x:v>brand_harvest</x:v>
      </x:c>
      <x:c r="T1391" s="15" t="str">
        <x:v>explicit | inferred</x:v>
      </x:c>
      <x:c r="U1391" s="10" t="str">
        <x:v>medium</x:v>
      </x:c>
      <x:c r="V1391" s="15" t="str">
        <x:v>unclassified</x:v>
      </x:c>
      <x:c r="W1391" s="15" t="str">
        <x:v>semantic_negative_candidate</x:v>
      </x:c>
      <x:c r="X1391" s="15" t="str">
        <x:v>{"primary_domain":[{"value":"clothing_shoes_jewelry","evidence_type":"inferred","source_span":"rubber","fact_ids":[],"rationale":"The term describes footwear-like attributes; the domain is inferred as clothing and shoes."}],"product_type":[{"value":"heavy_duty_footwear","evidence_type":"inferred","source_span":"heavy duty with side hole","fact_ids":[],"rationale":"The term describes heavy-duty rubber footwear with side holes, which is fundamentally different from a lightweight EVA flip flop."}],"brand":[{"value":"famones","evidence_type":"explicit","source_span":"famones","fact_ids":[],"rationale":"The term explicitly names the brand 'famones', which is not joomra."}],"material":[{"value":"rubber","evidence_type":"explicit","source_span":"rubber","fact_ids":[],"rationale":"The term explicitly requests rubber material; the joomra product is EVA, not rubber."}],"capability_intent":[{"value":"heavy_duty","evidence_type":"explicit","source_span":"heavy duty","fact_ids":[],"rationale":"The term explicitly requests heavy duty; the joomra flip flop is a lightweight casual sandal, not heavy-duty footwear."}]}</x:v>
      </x:c>
      <x:c r="Y1391" s="15" t="str">
        <x:v>product_category_mismatch | competitor_brand</x:v>
      </x:c>
      <x:c r="Z1391" s="10" t="str">
        <x:v>mismatch</x:v>
      </x:c>
      <x:c r="AA1391" s="15" t="str"/>
      <x:c r="AB1391" s="10" t="str">
        <x:v>accepted</x:v>
      </x:c>
      <x:c r="AC1391" s="10" t="str">
        <x:v>1.0.0</x:v>
      </x:c>
      <x:c r="AD1391" s="10" t="str">
        <x:v>1.0.0</x:v>
      </x:c>
      <x:c r="AE1391" s="10" t="str">
        <x:v>deepseek/deepseek-v4-pro</x:v>
      </x:c>
      <x:c r="AF1391" s="10" t="str">
        <x:v>aj2-y90-20260714T234810-0bea2f52</x:v>
      </x:c>
      <x:c r="AG1391" s="10" t="str">
        <x:v>pilot-0003</x:v>
      </x:c>
      <x:c r="AH1391" s="10" t="str">
        <x:v>pilot</x:v>
      </x:c>
      <x:c r="AI1391" s="10" t="n">
        <x:v>3</x:v>
      </x:c>
    </x:row>
    <x:row r="1392" ht="34" customHeight="1">
      <x:c r="A1392" s="16" t="str">
        <x:v>women's rubber sole flip flops</x:v>
      </x:c>
      <x:c r="B1392" s="16" t="str">
        <x:v>women's rubber sole flip flops</x:v>
      </x:c>
      <x:c r="C1392" s="13" t="str">
        <x:v>8ec3d50beac92b48</x:v>
      </x:c>
      <x:c r="D1392" s="13" t="str">
        <x:v>keyword</x:v>
      </x:c>
      <x:c r="E1392" s="13" t="str">
        <x:v>en</x:v>
      </x:c>
      <x:c r="F1392" s="13" t="str">
        <x:v>clothing_shoes_jewelry</x:v>
      </x:c>
      <x:c r="G1392" s="16" t="str"/>
      <x:c r="H1392" s="16" t="str">
        <x:v>flip_flops</x:v>
      </x:c>
      <x:c r="I1392" s="16" t="str">
        <x:v>women</x:v>
      </x:c>
      <x:c r="J1392" s="16" t="str"/>
      <x:c r="K1392" s="16" t="str"/>
      <x:c r="L1392" s="16" t="str"/>
      <x:c r="M1392" s="16" t="str"/>
      <x:c r="N1392" s="16" t="str"/>
      <x:c r="O1392" s="16" t="str"/>
      <x:c r="P1392" s="16" t="str"/>
      <x:c r="Q1392" s="16" t="str"/>
      <x:c r="R1392" s="16" t="str">
        <x:v>用户想购买一双橡胶底的女式夹脚拖鞋。</x:v>
      </x:c>
      <x:c r="S1392" s="13" t="str">
        <x:v>consideration</x:v>
      </x:c>
      <x:c r="T1392" s="16" t="str">
        <x:v>explicit | inferred</x:v>
      </x:c>
      <x:c r="U1392" s="13" t="str">
        <x:v>medium</x:v>
      </x:c>
      <x:c r="V1392" s="16" t="str">
        <x:v>womens_flip_flops</x:v>
      </x:c>
      <x:c r="W1392" s="16" t="str">
        <x:v>listing_gap_review</x:v>
      </x:c>
      <x:c r="X1392" s="16" t="str">
        <x:v>{"primary_domain":[{"value":"clothing_shoes_jewelry","evidence_type":"inferred","source_span":"flip flops","fact_ids":[],"rationale":"Flip flops are footwear in the clothing, shoes, and jewelry domain."}],"product_type":[{"value":"flip_flops","evidence_type":"explicit","source_span":"flip flops","fact_ids":["style_flip_flop","title_womens_flip_flop"],"rationale":"The term explicitly requests flip flops."}],"audience_intent":[{"value":"women","evidence_type":"explicit","source_span":"women","fact_ids":["title_womens_flip_flop"],"rationale":"The term explicitly targets women."}],"material":[{"value":"rubber_sole","evidence_type":"explicit","source_span":"rubber sole","fact_ids":[],"rationale":"The term explicitly requests a rubber sole; the product outer material is EVA, not rubber."}]}</x:v>
      </x:c>
      <x:c r="Y1392" s="16" t="str"/>
      <x:c r="Z1392" s="13" t="str">
        <x:v>partial_match</x:v>
      </x:c>
      <x:c r="AA1392" s="16" t="str">
        <x:v>title_womens_flip_flop | style_flip_flop</x:v>
      </x:c>
      <x:c r="AB1392" s="13" t="str">
        <x:v>accepted</x:v>
      </x:c>
      <x:c r="AC1392" s="13" t="str">
        <x:v>1.0.0</x:v>
      </x:c>
      <x:c r="AD1392" s="13" t="str">
        <x:v>1.0.0</x:v>
      </x:c>
      <x:c r="AE1392" s="13" t="str">
        <x:v>deepseek/deepseek-v4-pro</x:v>
      </x:c>
      <x:c r="AF1392" s="13" t="str">
        <x:v>aj2-y90-20260714T234810-0bea2f52</x:v>
      </x:c>
      <x:c r="AG1392" s="13" t="str">
        <x:v>pilot-0003</x:v>
      </x:c>
      <x:c r="AH1392" s="13" t="str">
        <x:v>pilot</x:v>
      </x:c>
      <x:c r="AI1392" s="13" t="n">
        <x:v>3</x:v>
      </x:c>
    </x:row>
    <x:row r="1393" ht="34" customHeight="1">
      <x:c r="A1393" s="15" t="str">
        <x:v>flipflops for women arch support</x:v>
      </x:c>
      <x:c r="B1393" s="15" t="str">
        <x:v>flipflops for women arch support</x:v>
      </x:c>
      <x:c r="C1393" s="10" t="str">
        <x:v>a01092806bfd2c6c</x:v>
      </x:c>
      <x:c r="D1393" s="10" t="str">
        <x:v>keyword</x:v>
      </x:c>
      <x:c r="E1393" s="10" t="str">
        <x:v>en</x:v>
      </x:c>
      <x:c r="F1393" s="10" t="str">
        <x:v>clothing_shoes_jewelry</x:v>
      </x:c>
      <x:c r="G1393" s="15" t="str"/>
      <x:c r="H1393" s="15" t="str">
        <x:v>flip_flops</x:v>
      </x:c>
      <x:c r="I1393" s="15" t="str">
        <x:v>women</x:v>
      </x:c>
      <x:c r="J1393" s="15" t="str">
        <x:v>foot_comfort</x:v>
      </x:c>
      <x:c r="K1393" s="15" t="str">
        <x:v>arch_support</x:v>
      </x:c>
      <x:c r="L1393" s="15" t="str"/>
      <x:c r="M1393" s="15" t="str"/>
      <x:c r="N1393" s="15" t="str"/>
      <x:c r="O1393" s="15" t="str"/>
      <x:c r="P1393" s="15" t="str"/>
      <x:c r="Q1393" s="15" t="str"/>
      <x:c r="R1393" s="15" t="str">
        <x:v>用户为女性寻找具有足弓支撑功能的夹脚拖鞋，注重足部舒适健康。</x:v>
      </x:c>
      <x:c r="S1393" s="10" t="str">
        <x:v>consideration</x:v>
      </x:c>
      <x:c r="T1393" s="15" t="str">
        <x:v>explicit | page_validated</x:v>
      </x:c>
      <x:c r="U1393" s="10" t="str">
        <x:v>high</x:v>
      </x:c>
      <x:c r="V1393" s="15" t="str">
        <x:v>womens_arch_support_flip_flops</x:v>
      </x:c>
      <x:c r="W1393" s="15" t="str">
        <x:v>cluster_route</x:v>
      </x:c>
      <x:c r="X1393" s="15" t="str">
        <x:v>{"primary_domain":[{"value":"clothing_shoes_jewelry","evidence_type":"inferred","source_span":"flipflops","fact_ids":[],"rationale":"Flip flops are footwear in the clothing, shoes, and jewelry domain."}],"product_type":[{"value":"flip_flops","evidence_type":"explicit","source_span":"flipflops","fact_ids":["style_flip_flop","title_womens_flip_flop"],"rationale":"The term explicitly requests flip flops; product page confirms flip flop style for women."}],"audience_intent":[{"value":"women","evidence_type":"explicit","source_span":"women","fact_ids":["title_womens_flip_flop"],"rationale":"The term explicitly targets women; the product title identifies a women's sandal."}],"capability_intent":[{"value":"arch_support","evidence_type":"explicit","source_span":"arch support","fact_ids":["arch_support"],"rationale":"The term explicitly requests arch support; the product page validates ergonomic arch support."}]}</x:v>
      </x:c>
      <x:c r="Y1393" s="15" t="str"/>
      <x:c r="Z1393" s="10" t="str">
        <x:v>match</x:v>
      </x:c>
      <x:c r="AA1393" s="15" t="str">
        <x:v>title_womens_flip_flop | style_flip_flop | arch_support</x:v>
      </x:c>
      <x:c r="AB1393" s="10" t="str">
        <x:v>accepted</x:v>
      </x:c>
      <x:c r="AC1393" s="10" t="str">
        <x:v>1.0.0</x:v>
      </x:c>
      <x:c r="AD1393" s="10" t="str">
        <x:v>1.0.0</x:v>
      </x:c>
      <x:c r="AE1393" s="10" t="str">
        <x:v>deepseek/deepseek-v4-pro</x:v>
      </x:c>
      <x:c r="AF1393" s="10" t="str">
        <x:v>aj2-y90-20260714T234810-0bea2f52</x:v>
      </x:c>
      <x:c r="AG1393" s="10" t="str">
        <x:v>pilot-0003</x:v>
      </x:c>
      <x:c r="AH1393" s="10" t="str">
        <x:v>pilot</x:v>
      </x:c>
      <x:c r="AI1393" s="10" t="n">
        <x:v>3</x:v>
      </x:c>
    </x:row>
    <x:row r="1394" ht="34" customHeight="1">
      <x:c r="A1394" s="16" t="str">
        <x:v>womens flip flops 10</x:v>
      </x:c>
      <x:c r="B1394" s="16" t="str">
        <x:v>womens flip flops 10</x:v>
      </x:c>
      <x:c r="C1394" s="13" t="str">
        <x:v>bebe2f0b30b1d94a</x:v>
      </x:c>
      <x:c r="D1394" s="13" t="str">
        <x:v>keyword</x:v>
      </x:c>
      <x:c r="E1394" s="13" t="str">
        <x:v>en</x:v>
      </x:c>
      <x:c r="F1394" s="13" t="str">
        <x:v>clothing_shoes_jewelry</x:v>
      </x:c>
      <x:c r="G1394" s="16" t="str"/>
      <x:c r="H1394" s="16" t="str">
        <x:v>flip_flops</x:v>
      </x:c>
      <x:c r="I1394" s="16" t="str">
        <x:v>women</x:v>
      </x:c>
      <x:c r="J1394" s="16" t="str"/>
      <x:c r="K1394" s="16" t="str"/>
      <x:c r="L1394" s="16" t="str"/>
      <x:c r="M1394" s="16" t="str"/>
      <x:c r="N1394" s="16" t="str"/>
      <x:c r="O1394" s="16" t="str"/>
      <x:c r="P1394" s="16" t="str"/>
      <x:c r="Q1394" s="16" t="str"/>
      <x:c r="R1394" s="16" t="str">
        <x:v>用户想购买一双10码的女式夹脚拖鞋。</x:v>
      </x:c>
      <x:c r="S1394" s="13" t="str">
        <x:v>high_intent</x:v>
      </x:c>
      <x:c r="T1394" s="16" t="str">
        <x:v>explicit | page_validated</x:v>
      </x:c>
      <x:c r="U1394" s="13" t="str">
        <x:v>high</x:v>
      </x:c>
      <x:c r="V1394" s="16" t="str">
        <x:v>womens_flip_flops</x:v>
      </x:c>
      <x:c r="W1394" s="16" t="str">
        <x:v>cluster_route</x:v>
      </x:c>
      <x:c r="X1394" s="16" t="str">
        <x:v>{"primary_domain":[{"value":"clothing_shoes_jewelry","evidence_type":"inferred","source_span":"flip flops","fact_ids":[],"rationale":"Flip flops are footwear in the clothing, shoes, and jewelry domain."}],"product_type":[{"value":"flip_flops","evidence_type":"explicit","source_span":"flip flops","fact_ids":["style_flip_flop","title_womens_flip_flop"],"rationale":"The term explicitly requests flip flops."}],"audience_intent":[{"value":"women","evidence_type":"explicit","source_span":"womens","fact_ids":["title_womens_flip_flop"],"rationale":"The term explicitly targets women."}],"size":[{"value":"10","evidence_type":"explicit","source_span":"10","fact_ids":["sizes_6_11"],"rationale":"The term explicitly requests size 10; the product page confirms US sizes 6 through 11 are available."}]}</x:v>
      </x:c>
      <x:c r="Y1394" s="16" t="str"/>
      <x:c r="Z1394" s="13" t="str">
        <x:v>match</x:v>
      </x:c>
      <x:c r="AA1394" s="16" t="str">
        <x:v>title_womens_flip_flop | style_flip_flop | sizes_6_11</x:v>
      </x:c>
      <x:c r="AB1394" s="13" t="str">
        <x:v>accepted</x:v>
      </x:c>
      <x:c r="AC1394" s="13" t="str">
        <x:v>1.0.0</x:v>
      </x:c>
      <x:c r="AD1394" s="13" t="str">
        <x:v>1.0.0</x:v>
      </x:c>
      <x:c r="AE1394" s="13" t="str">
        <x:v>deepseek/deepseek-v4-pro</x:v>
      </x:c>
      <x:c r="AF1394" s="13" t="str">
        <x:v>aj2-y90-20260714T234810-0bea2f52</x:v>
      </x:c>
      <x:c r="AG1394" s="13" t="str">
        <x:v>pilot-0003</x:v>
      </x:c>
      <x:c r="AH1394" s="13" t="str">
        <x:v>pilot</x:v>
      </x:c>
      <x:c r="AI1394" s="13" t="n">
        <x:v>3</x:v>
      </x:c>
    </x:row>
    <x:row r="1395" ht="34" customHeight="1">
      <x:c r="A1395" s="15" t="str">
        <x:v>narrow arch support flip flops</x:v>
      </x:c>
      <x:c r="B1395" s="15" t="str">
        <x:v>narrow arch support flip flops</x:v>
      </x:c>
      <x:c r="C1395" s="10" t="str">
        <x:v>bf69ad359f6e8a7c</x:v>
      </x:c>
      <x:c r="D1395" s="10" t="str">
        <x:v>keyword</x:v>
      </x:c>
      <x:c r="E1395" s="10" t="str">
        <x:v>en</x:v>
      </x:c>
      <x:c r="F1395" s="10" t="str">
        <x:v>clothing_shoes_jewelry</x:v>
      </x:c>
      <x:c r="G1395" s="15" t="str"/>
      <x:c r="H1395" s="15" t="str">
        <x:v>flip_flops</x:v>
      </x:c>
      <x:c r="I1395" s="15" t="str"/>
      <x:c r="J1395" s="15" t="str">
        <x:v>foot_comfort</x:v>
      </x:c>
      <x:c r="K1395" s="15" t="str">
        <x:v>arch_support</x:v>
      </x:c>
      <x:c r="L1395" s="15" t="str"/>
      <x:c r="M1395" s="15" t="str"/>
      <x:c r="N1395" s="15" t="str">
        <x:v>narrow_feet</x:v>
      </x:c>
      <x:c r="O1395" s="15" t="str"/>
      <x:c r="P1395" s="15" t="str"/>
      <x:c r="Q1395" s="15" t="str"/>
      <x:c r="R1395" s="15" t="str">
        <x:v>用户脚型偏窄，想找一双具有足弓支撑的窄版夹脚拖鞋。</x:v>
      </x:c>
      <x:c r="S1395" s="10" t="str">
        <x:v>consideration</x:v>
      </x:c>
      <x:c r="T1395" s="15" t="str">
        <x:v>explicit | page_validated | inferred</x:v>
      </x:c>
      <x:c r="U1395" s="10" t="str">
        <x:v>high</x:v>
      </x:c>
      <x:c r="V1395" s="15" t="str">
        <x:v>arch_support_flip_flops</x:v>
      </x:c>
      <x:c r="W1395" s="15" t="str">
        <x:v>listing_gap_review</x:v>
      </x:c>
      <x:c r="X1395" s="15" t="str">
        <x:v>{"primary_domain":[{"value":"clothing_shoes_jewelry","evidence_type":"inferred","source_span":"flip flops","fact_ids":[],"rationale":"Flip flops are footwear belonging to clothing, shoes, and jewelry."}],"product_type":[{"value":"flip_flops","evidence_type":"explicit","source_span":"flip flops","fact_ids":["style_flip_flop","title_womens_flip_flop"],"rationale":"The term explicitly requests flip flops."}],"capability_intent":[{"value":"arch_support","evidence_type":"explicit","source_span":"arch support","fact_ids":["arch_support"],"rationale":"The term explicitly requests arch support; the product page validates this feature."}],"body_need_intent":[{"value":"narrow_feet","evidence_type":"explicit","source_span":"narrow","fact_ids":[],"rationale":"The term explicitly requests narrow fit; the product page does not mention narrow width availability."}]}</x:v>
      </x:c>
      <x:c r="Y1395" s="15" t="str"/>
      <x:c r="Z1395" s="10" t="str">
        <x:v>partial_match</x:v>
      </x:c>
      <x:c r="AA1395" s="15" t="str">
        <x:v>style_flip_flop | arch_support</x:v>
      </x:c>
      <x:c r="AB1395" s="10" t="str">
        <x:v>accepted</x:v>
      </x:c>
      <x:c r="AC1395" s="10" t="str">
        <x:v>1.0.0</x:v>
      </x:c>
      <x:c r="AD1395" s="10" t="str">
        <x:v>1.0.0</x:v>
      </x:c>
      <x:c r="AE1395" s="10" t="str">
        <x:v>deepseek/deepseek-v4-pro</x:v>
      </x:c>
      <x:c r="AF1395" s="10" t="str">
        <x:v>aj2-y90-20260714T234810-0bea2f52</x:v>
      </x:c>
      <x:c r="AG1395" s="10" t="str">
        <x:v>pilot-0003</x:v>
      </x:c>
      <x:c r="AH1395" s="10" t="str">
        <x:v>pilot</x:v>
      </x:c>
      <x:c r="AI1395" s="10" t="n">
        <x:v>3</x:v>
      </x:c>
    </x:row>
    <x:row r="1396" ht="34" customHeight="1">
      <x:c r="A1396" s="16" t="str">
        <x:v>tan flip flops women comfortable</x:v>
      </x:c>
      <x:c r="B1396" s="16" t="str">
        <x:v>tan flip flops women comfortable</x:v>
      </x:c>
      <x:c r="C1396" s="13" t="str">
        <x:v>c5d6e8260f647501</x:v>
      </x:c>
      <x:c r="D1396" s="13" t="str">
        <x:v>keyword</x:v>
      </x:c>
      <x:c r="E1396" s="13" t="str">
        <x:v>en</x:v>
      </x:c>
      <x:c r="F1396" s="13" t="str">
        <x:v>clothing_shoes_jewelry</x:v>
      </x:c>
      <x:c r="G1396" s="16" t="str"/>
      <x:c r="H1396" s="16" t="str">
        <x:v>flip_flops</x:v>
      </x:c>
      <x:c r="I1396" s="16" t="str">
        <x:v>women</x:v>
      </x:c>
      <x:c r="J1396" s="16" t="str">
        <x:v>comfort</x:v>
      </x:c>
      <x:c r="K1396" s="16" t="str"/>
      <x:c r="L1396" s="16" t="str"/>
      <x:c r="M1396" s="16" t="str"/>
      <x:c r="N1396" s="16" t="str"/>
      <x:c r="O1396" s="16" t="str"/>
      <x:c r="P1396" s="16" t="str"/>
      <x:c r="Q1396" s="16" t="str"/>
      <x:c r="R1396" s="16" t="str">
        <x:v>用户想为女性购买一双棕色的舒适夹脚拖鞋。</x:v>
      </x:c>
      <x:c r="S1396" s="13" t="str">
        <x:v>consideration</x:v>
      </x:c>
      <x:c r="T1396" s="16" t="str">
        <x:v>explicit | page_validated</x:v>
      </x:c>
      <x:c r="U1396" s="13" t="str">
        <x:v>high</x:v>
      </x:c>
      <x:c r="V1396" s="16" t="str">
        <x:v>womens_comfort_flip_flops</x:v>
      </x:c>
      <x:c r="W1396" s="16" t="str">
        <x:v>listing_gap_review</x:v>
      </x:c>
      <x:c r="X1396" s="16" t="str">
        <x:v>{"primary_domain":[{"value":"clothing_shoes_jewelry","evidence_type":"inferred","source_span":"flip flops","fact_ids":[],"rationale":"Flip flops are footwear in the clothing, shoes, and jewelry domain."}],"product_type":[{"value":"flip_flops","evidence_type":"explicit","source_span":"flip flops","fact_ids":["style_flip_flop","title_womens_flip_flop"],"rationale":"The term explicitly requests flip flops."}],"audience_intent":[{"value":"women","evidence_type":"explicit","source_span":"women","fact_ids":["title_womens_flip_flop"],"rationale":"The term explicitly targets women."}],"function_intent":[{"value":"comfort","evidence_type":"explicit","source_span":"comfortable","fact_ids":["arch_support","padded_cushioning","soft_toe_post"],"rationale":"The term explicitly requests comfort; the product offers arch support, padding, and soft toe post."}],"color":[{"value":"tan","evidence_type":"explicit","source_span":"tan","fact_ids":[],"rationale":"The term explicitly specifies tan color; the page confirms multiple colors but tan is not specifically listed."}]}</x:v>
      </x:c>
      <x:c r="Y1396" s="16" t="str"/>
      <x:c r="Z1396" s="13" t="str">
        <x:v>partial_match</x:v>
      </x:c>
      <x:c r="AA1396" s="16" t="str">
        <x:v>title_womens_flip_flop | style_flip_flop | arch_support | padded_cushioning | colors_visible</x:v>
      </x:c>
      <x:c r="AB1396" s="13" t="str">
        <x:v>accepted</x:v>
      </x:c>
      <x:c r="AC1396" s="13" t="str">
        <x:v>1.0.0</x:v>
      </x:c>
      <x:c r="AD1396" s="13" t="str">
        <x:v>1.0.0</x:v>
      </x:c>
      <x:c r="AE1396" s="13" t="str">
        <x:v>deepseek/deepseek-v4-pro</x:v>
      </x:c>
      <x:c r="AF1396" s="13" t="str">
        <x:v>aj2-y90-20260714T234810-0bea2f52</x:v>
      </x:c>
      <x:c r="AG1396" s="13" t="str">
        <x:v>pilot-0003</x:v>
      </x:c>
      <x:c r="AH1396" s="13" t="str">
        <x:v>pilot</x:v>
      </x:c>
      <x:c r="AI1396" s="13" t="n">
        <x:v>3</x:v>
      </x:c>
    </x:row>
    <x:row r="1397" ht="34" customHeight="1">
      <x:c r="A1397" s="15" t="str">
        <x:v>ar hies arch support flip flops</x:v>
      </x:c>
      <x:c r="B1397" s="15" t="str">
        <x:v>ar hies arch support flip flops</x:v>
      </x:c>
      <x:c r="C1397" s="10" t="str">
        <x:v>c6de247a23e36bcb</x:v>
      </x:c>
      <x:c r="D1397" s="10" t="str">
        <x:v>keyword</x:v>
      </x:c>
      <x:c r="E1397" s="10" t="str">
        <x:v>en</x:v>
      </x:c>
      <x:c r="F1397" s="10" t="str">
        <x:v>clothing_shoes_jewelry</x:v>
      </x:c>
      <x:c r="G1397" s="15" t="str"/>
      <x:c r="H1397" s="15" t="str">
        <x:v>flip_flops</x:v>
      </x:c>
      <x:c r="I1397" s="15" t="str"/>
      <x:c r="J1397" s="15" t="str">
        <x:v>foot_comfort</x:v>
      </x:c>
      <x:c r="K1397" s="15" t="str">
        <x:v>arch_support</x:v>
      </x:c>
      <x:c r="L1397" s="15" t="str"/>
      <x:c r="M1397" s="15" t="str"/>
      <x:c r="N1397" s="15" t="str"/>
      <x:c r="O1397" s="15" t="str"/>
      <x:c r="P1397" s="15" t="str"/>
      <x:c r="Q1397" s="15" t="str"/>
      <x:c r="R1397" s="15" t="str">
        <x:v>用户在寻找Archies品牌的足弓支撑夹脚拖鞋，偏好该品牌的设计与支撑功能。</x:v>
      </x:c>
      <x:c r="S1397" s="10" t="str">
        <x:v>brand_harvest</x:v>
      </x:c>
      <x:c r="T1397" s="15" t="str">
        <x:v>explicit | inferred</x:v>
      </x:c>
      <x:c r="U1397" s="10" t="str">
        <x:v>medium</x:v>
      </x:c>
      <x:c r="V1397" s="15" t="str">
        <x:v>archies_brand_arch_support</x:v>
      </x:c>
      <x:c r="W1397" s="15" t="str">
        <x:v>semantic_negative_candidate</x:v>
      </x:c>
      <x:c r="X1397" s="15" t="str">
        <x:v>{"primary_domain":[{"value":"clothing_shoes_jewelry","evidence_type":"inferred","source_span":"flip flops","fact_ids":[],"rationale":"Flip flops are footwear in the clothing, shoes, and jewelry domain."}],"product_type":[{"value":"flip_flops","evidence_type":"explicit","source_span":"flip flops","fact_ids":[],"rationale":"The term explicitly requests flip flops."}],"capability_intent":[{"value":"arch_support","evidence_type":"explicit","source_span":"arch support","fact_ids":[],"rationale":"The term explicitly requests arch support."}],"brand":[{"value":"archies","evidence_type":"inferred","source_span":"ar hies","fact_ids":[],"rationale":"The garbled term 'ar hies' most likely refers to the Archies brand of arch support flip flops; this is a competitor brand, not joomra."}]}</x:v>
      </x:c>
      <x:c r="Y1397" s="15" t="str">
        <x:v>garbled_term | competitor_brand</x:v>
      </x:c>
      <x:c r="Z1397" s="10" t="str">
        <x:v>mismatch</x:v>
      </x:c>
      <x:c r="AA1397" s="15" t="str"/>
      <x:c r="AB1397" s="10" t="str">
        <x:v>accepted</x:v>
      </x:c>
      <x:c r="AC1397" s="10" t="str">
        <x:v>1.0.0</x:v>
      </x:c>
      <x:c r="AD1397" s="10" t="str">
        <x:v>1.0.0</x:v>
      </x:c>
      <x:c r="AE1397" s="10" t="str">
        <x:v>deepseek/deepseek-v4-pro</x:v>
      </x:c>
      <x:c r="AF1397" s="10" t="str">
        <x:v>aj2-y90-20260714T234810-0bea2f52</x:v>
      </x:c>
      <x:c r="AG1397" s="10" t="str">
        <x:v>pilot-0003</x:v>
      </x:c>
      <x:c r="AH1397" s="10" t="str">
        <x:v>pilot</x:v>
      </x:c>
      <x:c r="AI1397" s="10" t="n">
        <x:v>3</x:v>
      </x:c>
    </x:row>
    <x:row r="1398" ht="34" customHeight="1">
      <x:c r="A1398" s="16" t="str">
        <x:v>black flip flops for women same day delivery</x:v>
      </x:c>
      <x:c r="B1398" s="16" t="str">
        <x:v>black flip flops for women same day delivery</x:v>
      </x:c>
      <x:c r="C1398" s="13" t="str">
        <x:v>db3aa2b5e0a0921f</x:v>
      </x:c>
      <x:c r="D1398" s="13" t="str">
        <x:v>keyword</x:v>
      </x:c>
      <x:c r="E1398" s="13" t="str">
        <x:v>en</x:v>
      </x:c>
      <x:c r="F1398" s="13" t="str">
        <x:v>clothing_shoes_jewelry</x:v>
      </x:c>
      <x:c r="G1398" s="16" t="str"/>
      <x:c r="H1398" s="16" t="str">
        <x:v>flip_flops</x:v>
      </x:c>
      <x:c r="I1398" s="16" t="str">
        <x:v>women</x:v>
      </x:c>
      <x:c r="J1398" s="16" t="str"/>
      <x:c r="K1398" s="16" t="str"/>
      <x:c r="L1398" s="16" t="str"/>
      <x:c r="M1398" s="16" t="str"/>
      <x:c r="N1398" s="16" t="str"/>
      <x:c r="O1398" s="16" t="str">
        <x:v>same_day_delivery</x:v>
      </x:c>
      <x:c r="P1398" s="16" t="str"/>
      <x:c r="Q1398" s="16" t="str"/>
      <x:c r="R1398" s="16" t="str">
        <x:v>用户急需一双黑色女式夹脚拖鞋，要求当天送达。</x:v>
      </x:c>
      <x:c r="S1398" s="13" t="str">
        <x:v>high_intent</x:v>
      </x:c>
      <x:c r="T1398" s="16" t="str">
        <x:v>explicit | page_validated</x:v>
      </x:c>
      <x:c r="U1398" s="13" t="str">
        <x:v>medium</x:v>
      </x:c>
      <x:c r="V1398" s="16" t="str">
        <x:v>womens_flip_flops</x:v>
      </x:c>
      <x:c r="W1398" s="16" t="str">
        <x:v>listing_gap_review</x:v>
      </x:c>
      <x:c r="X1398" s="16" t="str">
        <x:v>{"primary_domain":[{"value":"clothing_shoes_jewelry","evidence_type":"inferred","source_span":"flip flops","fact_ids":[],"rationale":"Flip flops are footwear in the clothing, shoes, and jewelry domain."}],"product_type":[{"value":"flip_flops","evidence_type":"explicit","source_span":"flip flops","fact_ids":["style_flip_flop","title_womens_flip_flop"],"rationale":"The term explicitly requests flip flops."}],"audience_intent":[{"value":"women","evidence_type":"explicit","source_span":"women","fact_ids":["title_womens_flip_flop"],"rationale":"The term explicitly targets women."}],"time_intent":[{"value":"same_day_delivery","evidence_type":"explicit","source_span":"same day delivery","fact_ids":[],"rationale":"The term explicitly requests same day delivery; delivery speed is excluded from page evidence and cannot be validated."}],"color":[{"value":"black","evidence_type":"explicit","source_span":"black","fact_ids":[],"rationale":"The term explicitly requests black color; the page confirms multiple colors but black is not specifically listed."}]}</x:v>
      </x:c>
      <x:c r="Y1398" s="16" t="str"/>
      <x:c r="Z1398" s="13" t="str">
        <x:v>partial_match</x:v>
      </x:c>
      <x:c r="AA1398" s="16" t="str">
        <x:v>title_womens_flip_flop | style_flip_flop | colors_visible</x:v>
      </x:c>
      <x:c r="AB1398" s="13" t="str">
        <x:v>accepted</x:v>
      </x:c>
      <x:c r="AC1398" s="13" t="str">
        <x:v>1.0.0</x:v>
      </x:c>
      <x:c r="AD1398" s="13" t="str">
        <x:v>1.0.0</x:v>
      </x:c>
      <x:c r="AE1398" s="13" t="str">
        <x:v>deepseek/deepseek-v4-pro</x:v>
      </x:c>
      <x:c r="AF1398" s="13" t="str">
        <x:v>aj2-y90-20260714T234810-0bea2f52</x:v>
      </x:c>
      <x:c r="AG1398" s="13" t="str">
        <x:v>pilot-0003</x:v>
      </x:c>
      <x:c r="AH1398" s="13" t="str">
        <x:v>pilot</x:v>
      </x:c>
      <x:c r="AI1398" s="13" t="n">
        <x:v>3</x:v>
      </x:c>
    </x:row>
    <x:row r="1399" ht="34" customHeight="1">
      <x:c r="A1399" s="15" t="str">
        <x:v>women's+flip+flops+with+arch+support</x:v>
      </x:c>
      <x:c r="B1399" s="15" t="str">
        <x:v>women's+flip+flops+with+arch+support</x:v>
      </x:c>
      <x:c r="C1399" s="10" t="str">
        <x:v>dcc9d0cd6dc67d0f</x:v>
      </x:c>
      <x:c r="D1399" s="10" t="str">
        <x:v>keyword</x:v>
      </x:c>
      <x:c r="E1399" s="10" t="str">
        <x:v>en</x:v>
      </x:c>
      <x:c r="F1399" s="10" t="str">
        <x:v>clothing_shoes_jewelry</x:v>
      </x:c>
      <x:c r="G1399" s="15" t="str"/>
      <x:c r="H1399" s="15" t="str">
        <x:v>flip_flops</x:v>
      </x:c>
      <x:c r="I1399" s="15" t="str">
        <x:v>women</x:v>
      </x:c>
      <x:c r="J1399" s="15" t="str">
        <x:v>foot_comfort</x:v>
      </x:c>
      <x:c r="K1399" s="15" t="str">
        <x:v>arch_support</x:v>
      </x:c>
      <x:c r="L1399" s="15" t="str"/>
      <x:c r="M1399" s="15" t="str"/>
      <x:c r="N1399" s="15" t="str"/>
      <x:c r="O1399" s="15" t="str"/>
      <x:c r="P1399" s="15" t="str"/>
      <x:c r="Q1399" s="15" t="str"/>
      <x:c r="R1399" s="15" t="str">
        <x:v>用户为女性寻找带有足弓支撑功能的夹脚拖鞋，希望获得舒适的步行体验。</x:v>
      </x:c>
      <x:c r="S1399" s="10" t="str">
        <x:v>consideration</x:v>
      </x:c>
      <x:c r="T1399" s="15" t="str">
        <x:v>explicit | page_validated</x:v>
      </x:c>
      <x:c r="U1399" s="10" t="str">
        <x:v>high</x:v>
      </x:c>
      <x:c r="V1399" s="15" t="str">
        <x:v>womens_arch_support_flip_flops</x:v>
      </x:c>
      <x:c r="W1399" s="15" t="str">
        <x:v>cluster_route</x:v>
      </x:c>
      <x:c r="X1399" s="15" t="str">
        <x:v>{"primary_domain":[{"value":"clothing_shoes_jewelry","evidence_type":"inferred","source_span":"flip+flops","fact_ids":[],"rationale":"Flip flops are footwear belonging to the clothing, shoes, and jewelry domain."}],"product_type":[{"value":"flip_flops","evidence_type":"explicit","source_span":"flip+flops","fact_ids":["style_flip_flop","title_womens_flip_flop"],"rationale":"The term explicitly requests flip flops; product page confirms flip flop style for women."}],"audience_intent":[{"value":"women","evidence_type":"explicit","source_span":"women","fact_ids":["title_womens_flip_flop"],"rationale":"The term explicitly targets women; the product title identifies a women's sandal."}],"capability_intent":[{"value":"arch_support","evidence_type":"explicit","source_span":"arch+support","fact_ids":["arch_support"],"rationale":"The term explicitly requests arch support; the product page validates ergonomic arch support."}]}</x:v>
      </x:c>
      <x:c r="Y1399" s="15" t="str"/>
      <x:c r="Z1399" s="10" t="str">
        <x:v>match</x:v>
      </x:c>
      <x:c r="AA1399" s="15" t="str">
        <x:v>title_womens_flip_flop | style_flip_flop | arch_support</x:v>
      </x:c>
      <x:c r="AB1399" s="10" t="str">
        <x:v>accepted</x:v>
      </x:c>
      <x:c r="AC1399" s="10" t="str">
        <x:v>1.0.0</x:v>
      </x:c>
      <x:c r="AD1399" s="10" t="str">
        <x:v>1.0.0</x:v>
      </x:c>
      <x:c r="AE1399" s="10" t="str">
        <x:v>deepseek/deepseek-v4-pro</x:v>
      </x:c>
      <x:c r="AF1399" s="10" t="str">
        <x:v>aj2-y90-20260714T234810-0bea2f52</x:v>
      </x:c>
      <x:c r="AG1399" s="10" t="str">
        <x:v>pilot-0003</x:v>
      </x:c>
      <x:c r="AH1399" s="10" t="str">
        <x:v>pilot</x:v>
      </x:c>
      <x:c r="AI1399" s="10" t="n">
        <x:v>3</x:v>
      </x:c>
    </x:row>
    <x:row r="1400" ht="34" customHeight="1">
      <x:c r="A1400" s="16" t="str">
        <x:v>comfy lightweight flip flop</x:v>
      </x:c>
      <x:c r="B1400" s="16" t="str">
        <x:v>comfy lightweight flip flop</x:v>
      </x:c>
      <x:c r="C1400" s="13" t="str">
        <x:v>efffde9b8b66ff9a</x:v>
      </x:c>
      <x:c r="D1400" s="13" t="str">
        <x:v>keyword</x:v>
      </x:c>
      <x:c r="E1400" s="13" t="str">
        <x:v>en</x:v>
      </x:c>
      <x:c r="F1400" s="13" t="str">
        <x:v>clothing_shoes_jewelry</x:v>
      </x:c>
      <x:c r="G1400" s="16" t="str"/>
      <x:c r="H1400" s="16" t="str">
        <x:v>flip_flops</x:v>
      </x:c>
      <x:c r="I1400" s="16" t="str"/>
      <x:c r="J1400" s="16" t="str">
        <x:v>comfort</x:v>
      </x:c>
      <x:c r="K1400" s="16" t="str">
        <x:v>lightweight</x:v>
      </x:c>
      <x:c r="L1400" s="16" t="str"/>
      <x:c r="M1400" s="16" t="str"/>
      <x:c r="N1400" s="16" t="str"/>
      <x:c r="O1400" s="16" t="str"/>
      <x:c r="P1400" s="16" t="str"/>
      <x:c r="Q1400" s="16" t="str"/>
      <x:c r="R1400" s="16" t="str">
        <x:v>用户需要一双舒适轻便的夹脚拖鞋，适合日常穿着使用。</x:v>
      </x:c>
      <x:c r="S1400" s="13" t="str">
        <x:v>consideration</x:v>
      </x:c>
      <x:c r="T1400" s="16" t="str">
        <x:v>explicit | page_validated</x:v>
      </x:c>
      <x:c r="U1400" s="13" t="str">
        <x:v>high</x:v>
      </x:c>
      <x:c r="V1400" s="16" t="str">
        <x:v>lightweight_comfort_flip_flops</x:v>
      </x:c>
      <x:c r="W1400" s="16" t="str">
        <x:v>cluster_route</x:v>
      </x:c>
      <x:c r="X1400" s="16" t="str">
        <x:v>{"primary_domain":[{"value":"clothing_shoes_jewelry","evidence_type":"inferred","source_span":"flip flop","fact_ids":[],"rationale":"Flip flops are footwear in the clothing, shoes, and jewelry domain."}],"product_type":[{"value":"flip_flops","evidence_type":"explicit","source_span":"flip flop","fact_ids":["style_flip_flop"],"rationale":"The term explicitly requests a flip flop."}],"function_intent":[{"value":"comfort","evidence_type":"explicit","source_span":"comfy","fact_ids":["arch_support","padded_cushioning","soft_toe_post"],"rationale":"The term explicitly requests comfort; the product offers arch support, padding, and a soft toe post."}],"capability_intent":[{"value":"lightweight","evidence_type":"explicit","source_span":"lightweight","fact_ids":["lightweight_breathable"],"rationale":"The term explicitly requests lightweight; the product page confirms super lightweight."}]}</x:v>
      </x:c>
      <x:c r="Y1400" s="16" t="str"/>
      <x:c r="Z1400" s="13" t="str">
        <x:v>match</x:v>
      </x:c>
      <x:c r="AA1400" s="16" t="str">
        <x:v>style_flip_flop | lightweight_breathable | arch_support | padded_cushioning | soft_toe_post</x:v>
      </x:c>
      <x:c r="AB1400" s="13" t="str">
        <x:v>accepted</x:v>
      </x:c>
      <x:c r="AC1400" s="13" t="str">
        <x:v>1.0.0</x:v>
      </x:c>
      <x:c r="AD1400" s="13" t="str">
        <x:v>1.0.0</x:v>
      </x:c>
      <x:c r="AE1400" s="13" t="str">
        <x:v>deepseek/deepseek-v4-pro</x:v>
      </x:c>
      <x:c r="AF1400" s="13" t="str">
        <x:v>aj2-y90-20260714T234810-0bea2f52</x:v>
      </x:c>
      <x:c r="AG1400" s="13" t="str">
        <x:v>pilot-0003</x:v>
      </x:c>
      <x:c r="AH1400" s="13" t="str">
        <x:v>pilot</x:v>
      </x:c>
      <x:c r="AI1400" s="13" t="n">
        <x:v>3</x:v>
      </x:c>
    </x:row>
    <x:row r="1401" ht="34" customHeight="1">
      <x:c r="A1401" s="15" t="str">
        <x:v>womens low black flip flops</x:v>
      </x:c>
      <x:c r="B1401" s="15" t="str">
        <x:v>womens low black flip flops</x:v>
      </x:c>
      <x:c r="C1401" s="10" t="str">
        <x:v>fd2a7c9be92e8c8a</x:v>
      </x:c>
      <x:c r="D1401" s="10" t="str">
        <x:v>keyword</x:v>
      </x:c>
      <x:c r="E1401" s="10" t="str">
        <x:v>en</x:v>
      </x:c>
      <x:c r="F1401" s="10" t="str">
        <x:v>clothing_shoes_jewelry</x:v>
      </x:c>
      <x:c r="G1401" s="15" t="str"/>
      <x:c r="H1401" s="15" t="str">
        <x:v>flip_flops</x:v>
      </x:c>
      <x:c r="I1401" s="15" t="str">
        <x:v>women</x:v>
      </x:c>
      <x:c r="J1401" s="15" t="str"/>
      <x:c r="K1401" s="15" t="str"/>
      <x:c r="L1401" s="15" t="str"/>
      <x:c r="M1401" s="15" t="str"/>
      <x:c r="N1401" s="15" t="str"/>
      <x:c r="O1401" s="15" t="str"/>
      <x:c r="P1401" s="15" t="str"/>
      <x:c r="Q1401" s="15" t="str"/>
      <x:c r="R1401" s="15" t="str">
        <x:v>用户想购买一双黑色低跟女式夹脚拖鞋。</x:v>
      </x:c>
      <x:c r="S1401" s="10" t="str">
        <x:v>consideration</x:v>
      </x:c>
      <x:c r="T1401" s="15" t="str">
        <x:v>explicit | page_validated</x:v>
      </x:c>
      <x:c r="U1401" s="10" t="str">
        <x:v>high</x:v>
      </x:c>
      <x:c r="V1401" s="15" t="str">
        <x:v>womens_flip_flops</x:v>
      </x:c>
      <x:c r="W1401" s="15" t="str">
        <x:v>listing_gap_review</x:v>
      </x:c>
      <x:c r="X1401" s="15" t="str">
        <x:v>{"primary_domain":[{"value":"clothing_shoes_jewelry","evidence_type":"inferred","source_span":"flip flops","fact_ids":[],"rationale":"Flip flops are footwear in the clothing, shoes, and jewelry domain."}],"product_type":[{"value":"flip_flops","evidence_type":"explicit","source_span":"flip flops","fact_ids":["style_flip_flop","title_womens_flip_flop","style_flat"],"rationale":"The term explicitly requests flip flops; the product is a flat-heel flip flop matching 'low'."}],"audience_intent":[{"value":"women","evidence_type":"explicit","source_span":"womens","fact_ids":["title_womens_flip_flop"],"rationale":"The term explicitly targets women."}],"color":[{"value":"black","evidence_type":"explicit","source_span":"black","fact_ids":[],"rationale":"The term explicitly requests black color; the page confirms multiple colors but black is not specifically listed."}]}</x:v>
      </x:c>
      <x:c r="Y1401" s="15" t="str"/>
      <x:c r="Z1401" s="10" t="str">
        <x:v>partial_match</x:v>
      </x:c>
      <x:c r="AA1401" s="15" t="str">
        <x:v>title_womens_flip_flop | style_flip_flop | style_flat | colors_visible</x:v>
      </x:c>
      <x:c r="AB1401" s="10" t="str">
        <x:v>accepted</x:v>
      </x:c>
      <x:c r="AC1401" s="10" t="str">
        <x:v>1.0.0</x:v>
      </x:c>
      <x:c r="AD1401" s="10" t="str">
        <x:v>1.0.0</x:v>
      </x:c>
      <x:c r="AE1401" s="10" t="str">
        <x:v>deepseek/deepseek-v4-pro</x:v>
      </x:c>
      <x:c r="AF1401" s="10" t="str">
        <x:v>aj2-y90-20260714T234810-0bea2f52</x:v>
      </x:c>
      <x:c r="AG1401" s="10" t="str">
        <x:v>pilot-0003</x:v>
      </x:c>
      <x:c r="AH1401" s="10" t="str">
        <x:v>pilot</x:v>
      </x:c>
      <x:c r="AI1401" s="10" t="n">
        <x:v>3</x:v>
      </x:c>
    </x:row>
    <x:row r="1402" ht="34" customHeight="1">
      <x:c r="A1402" s="16" t="str">
        <x:v>fitflop</x:v>
      </x:c>
      <x:c r="B1402" s="16" t="str">
        <x:v>fitflop</x:v>
      </x:c>
      <x:c r="C1402" s="13" t="str">
        <x:v>128fde6e40789b02</x:v>
      </x:c>
      <x:c r="D1402" s="13" t="str">
        <x:v>keyword</x:v>
      </x:c>
      <x:c r="E1402" s="13" t="str">
        <x:v>en</x:v>
      </x:c>
      <x:c r="F1402" s="13" t="str">
        <x:v>clothing_shoes_jewelry</x:v>
      </x:c>
      <x:c r="G1402" s="16" t="str"/>
      <x:c r="H1402" s="16" t="str">
        <x:v>footwear</x:v>
      </x:c>
      <x:c r="I1402" s="16" t="str"/>
      <x:c r="J1402" s="16" t="str">
        <x:v>foot_comfort</x:v>
      </x:c>
      <x:c r="K1402" s="16" t="str"/>
      <x:c r="L1402" s="16" t="str"/>
      <x:c r="M1402" s="16" t="str"/>
      <x:c r="N1402" s="16" t="str"/>
      <x:c r="O1402" s="16" t="str"/>
      <x:c r="P1402" s="16" t="str"/>
      <x:c r="Q1402" s="16" t="str"/>
      <x:c r="R1402" s="16" t="str">
        <x:v>用户搜索FitFlop品牌的产品，可能为人字拖或其他鞋类。</x:v>
      </x:c>
      <x:c r="S1402" s="13" t="str">
        <x:v>brand_harvest</x:v>
      </x:c>
      <x:c r="T1402" s="16" t="str">
        <x:v>explicit | inferred</x:v>
      </x:c>
      <x:c r="U1402" s="13" t="str">
        <x:v>medium</x:v>
      </x:c>
      <x:c r="V1402" s="16" t="str">
        <x:v>brand_fitflop</x:v>
      </x:c>
      <x:c r="W1402" s="16" t="str">
        <x:v>semantic_negative_candidate</x:v>
      </x:c>
      <x:c r="X1402" s="16" t="str">
        <x:v>{"primary_domain":[{"value":"clothing_shoes_jewelry","evidence_type":"inferred","source_span":"fitflop","fact_ids":[],"rationale":"FitFlop is a footwear brand, placing the query in the clothing/shoes domain."}],"product_type":[{"value":"footwear","evidence_type":"inferred","source_span":"fitflop","fact_ids":[],"rationale":"FitFlop is a footwear brand; without a specific product type, the broadest footwear category applies."}],"brand":[{"value":"fitflop","evidence_type":"explicit","source_span":"fitflop","fact_ids":[],"rationale":"Term is the brand name FitFlop. The product baseline brand is joomra, not FitFlop."}]}</x:v>
      </x:c>
      <x:c r="Y1402" s="16" t="str">
        <x:v>brand_vs_generic_typo</x:v>
      </x:c>
      <x:c r="Z1402" s="13" t="str">
        <x:v>mismatch</x:v>
      </x:c>
      <x:c r="AA1402" s="16" t="str"/>
      <x:c r="AB1402" s="13" t="str">
        <x:v>accepted</x:v>
      </x:c>
      <x:c r="AC1402" s="13" t="str">
        <x:v>1.0.0</x:v>
      </x:c>
      <x:c r="AD1402" s="13" t="str">
        <x:v>1.0.0</x:v>
      </x:c>
      <x:c r="AE1402" s="13" t="str">
        <x:v>deepseek/deepseek-v4-pro</x:v>
      </x:c>
      <x:c r="AF1402" s="13" t="str">
        <x:v>aj2-y90-20260714T234810-0bea2f52</x:v>
      </x:c>
      <x:c r="AG1402" s="13" t="str">
        <x:v>pilot-0004</x:v>
      </x:c>
      <x:c r="AH1402" s="13" t="str">
        <x:v>pilot</x:v>
      </x:c>
      <x:c r="AI1402" s="13" t="n">
        <x:v>4</x:v>
      </x:c>
    </x:row>
    <x:row r="1403" ht="34" customHeight="1">
      <x:c r="A1403" s="15" t="str">
        <x:v>crocs flip flops women clearance</x:v>
      </x:c>
      <x:c r="B1403" s="15" t="str">
        <x:v>crocs flip flops women clearance</x:v>
      </x:c>
      <x:c r="C1403" s="10" t="str">
        <x:v>273e1728ee7c3d22</x:v>
      </x:c>
      <x:c r="D1403" s="10" t="str">
        <x:v>keyword</x:v>
      </x:c>
      <x:c r="E1403" s="10" t="str">
        <x:v>en</x:v>
      </x:c>
      <x:c r="F1403" s="10" t="str">
        <x:v>clothing_shoes_jewelry</x:v>
      </x:c>
      <x:c r="G1403" s="15" t="str"/>
      <x:c r="H1403" s="15" t="str">
        <x:v>flip_flops</x:v>
      </x:c>
      <x:c r="I1403" s="15" t="str">
        <x:v>women</x:v>
      </x:c>
      <x:c r="J1403" s="15" t="str">
        <x:v>everyday_wear</x:v>
      </x:c>
      <x:c r="K1403" s="15" t="str"/>
      <x:c r="L1403" s="15" t="str"/>
      <x:c r="M1403" s="15" t="str"/>
      <x:c r="N1403" s="15" t="str"/>
      <x:c r="O1403" s="15" t="str"/>
      <x:c r="P1403" s="15" t="str"/>
      <x:c r="Q1403" s="15" t="str"/>
      <x:c r="R1403" s="15" t="str">
        <x:v>用户想购买Crocs品牌的女式人字拖，期望有清仓折扣。</x:v>
      </x:c>
      <x:c r="S1403" s="10" t="str">
        <x:v>brand_harvest</x:v>
      </x:c>
      <x:c r="T1403" s="15" t="str">
        <x:v>explicit | inferred</x:v>
      </x:c>
      <x:c r="U1403" s="10" t="str">
        <x:v>high</x:v>
      </x:c>
      <x:c r="V1403" s="15" t="str">
        <x:v>brand_crocs_flip_flops_women</x:v>
      </x:c>
      <x:c r="W1403" s="15" t="str">
        <x:v>semantic_negative_candidate</x:v>
      </x:c>
      <x:c r="X1403" s="15" t="str">
        <x:v>{"primary_domain":[{"value":"clothing_shoes_jewelry","evidence_type":"inferred","source_span":"flip flops","fact_ids":[],"rationale":"Flip flops belong to the footwear category."}],"product_type":[{"value":"flip_flops","evidence_type":"explicit","source_span":"flip flops","fact_ids":[],"rationale":"Term explicitly requests flip flops."}],"audience_intent":[{"value":"women","evidence_type":"explicit","source_span":"women","fact_ids":[],"rationale":"Term explicitly states women."}],"brand":[{"value":"crocs","evidence_type":"explicit","source_span":"crocs","fact_ids":[],"rationale":"Term explicitly requests Crocs brand. Product baseline brand is joomra."}]}</x:v>
      </x:c>
      <x:c r="Y1403" s="15" t="str"/>
      <x:c r="Z1403" s="10" t="str">
        <x:v>mismatch</x:v>
      </x:c>
      <x:c r="AA1403" s="15" t="str">
        <x:v>title_womens_flip_flop | style_flip_flop</x:v>
      </x:c>
      <x:c r="AB1403" s="10" t="str">
        <x:v>accepted</x:v>
      </x:c>
      <x:c r="AC1403" s="10" t="str">
        <x:v>1.0.0</x:v>
      </x:c>
      <x:c r="AD1403" s="10" t="str">
        <x:v>1.0.0</x:v>
      </x:c>
      <x:c r="AE1403" s="10" t="str">
        <x:v>deepseek/deepseek-v4-pro</x:v>
      </x:c>
      <x:c r="AF1403" s="10" t="str">
        <x:v>aj2-y90-20260714T234810-0bea2f52</x:v>
      </x:c>
      <x:c r="AG1403" s="10" t="str">
        <x:v>pilot-0004</x:v>
      </x:c>
      <x:c r="AH1403" s="10" t="str">
        <x:v>pilot</x:v>
      </x:c>
      <x:c r="AI1403" s="10" t="n">
        <x:v>4</x:v>
      </x:c>
    </x:row>
    <x:row r="1404" ht="34" customHeight="1">
      <x:c r="A1404" s="16" t="str">
        <x:v>fitflop gen ff</x:v>
      </x:c>
      <x:c r="B1404" s="16" t="str">
        <x:v>fitflop gen ff</x:v>
      </x:c>
      <x:c r="C1404" s="13" t="str">
        <x:v>34248c2a0b80fd30</x:v>
      </x:c>
      <x:c r="D1404" s="13" t="str">
        <x:v>keyword</x:v>
      </x:c>
      <x:c r="E1404" s="13" t="str">
        <x:v>en</x:v>
      </x:c>
      <x:c r="F1404" s="13" t="str">
        <x:v>clothing_shoes_jewelry</x:v>
      </x:c>
      <x:c r="G1404" s="16" t="str"/>
      <x:c r="H1404" s="16" t="str">
        <x:v>footwear</x:v>
      </x:c>
      <x:c r="I1404" s="16" t="str"/>
      <x:c r="J1404" s="16" t="str">
        <x:v>foot_comfort</x:v>
      </x:c>
      <x:c r="K1404" s="16" t="str"/>
      <x:c r="L1404" s="16" t="str"/>
      <x:c r="M1404" s="16" t="str"/>
      <x:c r="N1404" s="16" t="str"/>
      <x:c r="O1404" s="16" t="str"/>
      <x:c r="P1404" s="16" t="str"/>
      <x:c r="Q1404" s="16" t="str"/>
      <x:c r="R1404" s="16" t="str">
        <x:v>用户搜索FitFlop品牌的Gen FF系列产品。</x:v>
      </x:c>
      <x:c r="S1404" s="13" t="str">
        <x:v>brand_harvest</x:v>
      </x:c>
      <x:c r="T1404" s="16" t="str">
        <x:v>explicit | inferred</x:v>
      </x:c>
      <x:c r="U1404" s="13" t="str">
        <x:v>high</x:v>
      </x:c>
      <x:c r="V1404" s="16" t="str">
        <x:v>brand_fitflop</x:v>
      </x:c>
      <x:c r="W1404" s="16" t="str">
        <x:v>semantic_negative_candidate</x:v>
      </x:c>
      <x:c r="X1404" s="16" t="str">
        <x:v>{"primary_domain":[{"value":"clothing_shoes_jewelry","evidence_type":"inferred","source_span":"fitflop","fact_ids":[],"rationale":"FitFlop is a footwear brand, placing the query in the clothing/shoes domain."}],"product_type":[{"value":"footwear","evidence_type":"inferred","source_span":"fitflop","fact_ids":[],"rationale":"Term specifies a FitFlop model line (gen ff) without a specific product type; footwear is the broad match."}],"brand":[{"value":"fitflop","evidence_type":"explicit","source_span":"fitflop","fact_ids":[],"rationale":"Term explicitly names the FitFlop brand. Product baseline brand is joomra."}]}</x:v>
      </x:c>
      <x:c r="Y1404" s="16" t="str"/>
      <x:c r="Z1404" s="13" t="str">
        <x:v>mismatch</x:v>
      </x:c>
      <x:c r="AA1404" s="16" t="str"/>
      <x:c r="AB1404" s="13" t="str">
        <x:v>accepted</x:v>
      </x:c>
      <x:c r="AC1404" s="13" t="str">
        <x:v>1.0.0</x:v>
      </x:c>
      <x:c r="AD1404" s="13" t="str">
        <x:v>1.0.0</x:v>
      </x:c>
      <x:c r="AE1404" s="13" t="str">
        <x:v>deepseek/deepseek-v4-pro</x:v>
      </x:c>
      <x:c r="AF1404" s="13" t="str">
        <x:v>aj2-y90-20260714T234810-0bea2f52</x:v>
      </x:c>
      <x:c r="AG1404" s="13" t="str">
        <x:v>pilot-0004</x:v>
      </x:c>
      <x:c r="AH1404" s="13" t="str">
        <x:v>pilot</x:v>
      </x:c>
      <x:c r="AI1404" s="13" t="n">
        <x:v>4</x:v>
      </x:c>
    </x:row>
    <x:row r="1405" ht="34" customHeight="1">
      <x:c r="A1405" s="15" t="str">
        <x:v>womens nike flip flops rubber</x:v>
      </x:c>
      <x:c r="B1405" s="15" t="str">
        <x:v>womens nike flip flops rubber</x:v>
      </x:c>
      <x:c r="C1405" s="10" t="str">
        <x:v>4165fcfc2069d237</x:v>
      </x:c>
      <x:c r="D1405" s="10" t="str">
        <x:v>keyword</x:v>
      </x:c>
      <x:c r="E1405" s="10" t="str">
        <x:v>en</x:v>
      </x:c>
      <x:c r="F1405" s="10" t="str">
        <x:v>clothing_shoes_jewelry</x:v>
      </x:c>
      <x:c r="G1405" s="15" t="str"/>
      <x:c r="H1405" s="15" t="str">
        <x:v>flip_flops</x:v>
      </x:c>
      <x:c r="I1405" s="15" t="str">
        <x:v>women</x:v>
      </x:c>
      <x:c r="J1405" s="15" t="str">
        <x:v>everyday_wear | athletic_wear</x:v>
      </x:c>
      <x:c r="K1405" s="15" t="str"/>
      <x:c r="L1405" s="15" t="str"/>
      <x:c r="M1405" s="15" t="str"/>
      <x:c r="N1405" s="15" t="str"/>
      <x:c r="O1405" s="15" t="str"/>
      <x:c r="P1405" s="15" t="str"/>
      <x:c r="Q1405" s="15" t="str"/>
      <x:c r="R1405" s="15" t="str">
        <x:v>用户寻找Nike品牌的橡胶材质女式人字拖。</x:v>
      </x:c>
      <x:c r="S1405" s="10" t="str">
        <x:v>brand_harvest</x:v>
      </x:c>
      <x:c r="T1405" s="15" t="str">
        <x:v>explicit | inferred</x:v>
      </x:c>
      <x:c r="U1405" s="10" t="str">
        <x:v>high</x:v>
      </x:c>
      <x:c r="V1405" s="15" t="str">
        <x:v>brand_nike_flip_flops_women</x:v>
      </x:c>
      <x:c r="W1405" s="15" t="str">
        <x:v>semantic_negative_candidate</x:v>
      </x:c>
      <x:c r="X1405" s="15" t="str">
        <x:v>{"primary_domain":[{"value":"clothing_shoes_jewelry","evidence_type":"inferred","source_span":"flip flops","fact_ids":[],"rationale":"Flip flops belong to the footwear category."}],"product_type":[{"value":"flip_flops","evidence_type":"explicit","source_span":"flip flops","fact_ids":[],"rationale":"Term explicitly requests flip flops."}],"audience_intent":[{"value":"women","evidence_type":"explicit","source_span":"womens","fact_ids":[],"rationale":"Term explicitly states womens."}],"brand":[{"value":"nike","evidence_type":"explicit","source_span":"nike","fact_ids":[],"rationale":"Term explicitly requests Nike brand. Product baseline brand is joomra."}],"material":[{"value":"rubber","evidence_type":"explicit","source_span":"rubber","fact_ids":[],"rationale":"Term explicitly requests rubber material. Page fact material_eva states the product is EVA, not rubber."}]}</x:v>
      </x:c>
      <x:c r="Y1405" s="15" t="str"/>
      <x:c r="Z1405" s="10" t="str">
        <x:v>mismatch</x:v>
      </x:c>
      <x:c r="AA1405" s="15" t="str">
        <x:v>title_womens_flip_flop | style_flip_flop | material_eva</x:v>
      </x:c>
      <x:c r="AB1405" s="10" t="str">
        <x:v>accepted</x:v>
      </x:c>
      <x:c r="AC1405" s="10" t="str">
        <x:v>1.0.0</x:v>
      </x:c>
      <x:c r="AD1405" s="10" t="str">
        <x:v>1.0.0</x:v>
      </x:c>
      <x:c r="AE1405" s="10" t="str">
        <x:v>deepseek/deepseek-v4-pro</x:v>
      </x:c>
      <x:c r="AF1405" s="10" t="str">
        <x:v>aj2-y90-20260714T234810-0bea2f52</x:v>
      </x:c>
      <x:c r="AG1405" s="10" t="str">
        <x:v>pilot-0004</x:v>
      </x:c>
      <x:c r="AH1405" s="10" t="str">
        <x:v>pilot</x:v>
      </x:c>
      <x:c r="AI1405" s="10" t="n">
        <x:v>4</x:v>
      </x:c>
    </x:row>
    <x:row r="1406" ht="34" customHeight="1">
      <x:c r="A1406" s="16" t="str">
        <x:v>havaianas womens flip flops</x:v>
      </x:c>
      <x:c r="B1406" s="16" t="str">
        <x:v>havaianas womens flip flops</x:v>
      </x:c>
      <x:c r="C1406" s="13" t="str">
        <x:v>44e8dacd5b437c95</x:v>
      </x:c>
      <x:c r="D1406" s="13" t="str">
        <x:v>keyword</x:v>
      </x:c>
      <x:c r="E1406" s="13" t="str">
        <x:v>en</x:v>
      </x:c>
      <x:c r="F1406" s="13" t="str">
        <x:v>clothing_shoes_jewelry</x:v>
      </x:c>
      <x:c r="G1406" s="16" t="str"/>
      <x:c r="H1406" s="16" t="str">
        <x:v>flip_flops</x:v>
      </x:c>
      <x:c r="I1406" s="16" t="str">
        <x:v>women</x:v>
      </x:c>
      <x:c r="J1406" s="16" t="str">
        <x:v>everyday_wear</x:v>
      </x:c>
      <x:c r="K1406" s="16" t="str"/>
      <x:c r="L1406" s="16" t="str"/>
      <x:c r="M1406" s="16" t="str"/>
      <x:c r="N1406" s="16" t="str"/>
      <x:c r="O1406" s="16" t="str"/>
      <x:c r="P1406" s="16" t="str"/>
      <x:c r="Q1406" s="16" t="str"/>
      <x:c r="R1406" s="16" t="str">
        <x:v>用户想购买Havaianas品牌的女式人字拖。</x:v>
      </x:c>
      <x:c r="S1406" s="13" t="str">
        <x:v>brand_harvest</x:v>
      </x:c>
      <x:c r="T1406" s="16" t="str">
        <x:v>explicit | inferred</x:v>
      </x:c>
      <x:c r="U1406" s="13" t="str">
        <x:v>high</x:v>
      </x:c>
      <x:c r="V1406" s="16" t="str">
        <x:v>brand_havaianas_flip_flops_women</x:v>
      </x:c>
      <x:c r="W1406" s="16" t="str">
        <x:v>semantic_negative_candidate</x:v>
      </x:c>
      <x:c r="X1406" s="16" t="str">
        <x:v>{"primary_domain":[{"value":"clothing_shoes_jewelry","evidence_type":"inferred","source_span":"flip flops","fact_ids":[],"rationale":"Flip flops belong to the footwear category."}],"product_type":[{"value":"flip_flops","evidence_type":"explicit","source_span":"flip flops","fact_ids":[],"rationale":"Term explicitly requests flip flops."}],"audience_intent":[{"value":"women","evidence_type":"explicit","source_span":"womens","fact_ids":[],"rationale":"Term explicitly states womens."}],"brand":[{"value":"havaianas","evidence_type":"explicit","source_span":"havaianas","fact_ids":[],"rationale":"Term explicitly requests Havaianas brand. Product baseline brand is joomra."}]}</x:v>
      </x:c>
      <x:c r="Y1406" s="16" t="str"/>
      <x:c r="Z1406" s="13" t="str">
        <x:v>mismatch</x:v>
      </x:c>
      <x:c r="AA1406" s="16" t="str">
        <x:v>title_womens_flip_flop | style_flip_flop</x:v>
      </x:c>
      <x:c r="AB1406" s="13" t="str">
        <x:v>accepted</x:v>
      </x:c>
      <x:c r="AC1406" s="13" t="str">
        <x:v>1.0.0</x:v>
      </x:c>
      <x:c r="AD1406" s="13" t="str">
        <x:v>1.0.0</x:v>
      </x:c>
      <x:c r="AE1406" s="13" t="str">
        <x:v>deepseek/deepseek-v4-pro</x:v>
      </x:c>
      <x:c r="AF1406" s="13" t="str">
        <x:v>aj2-y90-20260714T234810-0bea2f52</x:v>
      </x:c>
      <x:c r="AG1406" s="13" t="str">
        <x:v>pilot-0004</x:v>
      </x:c>
      <x:c r="AH1406" s="13" t="str">
        <x:v>pilot</x:v>
      </x:c>
      <x:c r="AI1406" s="13" t="n">
        <x:v>4</x:v>
      </x:c>
    </x:row>
    <x:row r="1407" ht="34" customHeight="1">
      <x:c r="A1407" s="15" t="str">
        <x:v>arched flip flop white women</x:v>
      </x:c>
      <x:c r="B1407" s="15" t="str">
        <x:v>arched flip flop white women</x:v>
      </x:c>
      <x:c r="C1407" s="10" t="str">
        <x:v>58d49611594d4c68</x:v>
      </x:c>
      <x:c r="D1407" s="10" t="str">
        <x:v>keyword</x:v>
      </x:c>
      <x:c r="E1407" s="10" t="str">
        <x:v>en</x:v>
      </x:c>
      <x:c r="F1407" s="10" t="str">
        <x:v>clothing_shoes_jewelry</x:v>
      </x:c>
      <x:c r="G1407" s="15" t="str"/>
      <x:c r="H1407" s="15" t="str">
        <x:v>flip_flops</x:v>
      </x:c>
      <x:c r="I1407" s="15" t="str">
        <x:v>women</x:v>
      </x:c>
      <x:c r="J1407" s="15" t="str">
        <x:v>foot_comfort</x:v>
      </x:c>
      <x:c r="K1407" s="15" t="str">
        <x:v>arch_support</x:v>
      </x:c>
      <x:c r="L1407" s="15" t="str"/>
      <x:c r="M1407" s="15" t="str"/>
      <x:c r="N1407" s="15" t="str">
        <x:v>arch_support_needs</x:v>
      </x:c>
      <x:c r="O1407" s="15" t="str"/>
      <x:c r="P1407" s="15" t="str"/>
      <x:c r="Q1407" s="15" t="str"/>
      <x:c r="R1407" s="15" t="str">
        <x:v>用户为女性寻找一双白色带足弓设计的人字拖。</x:v>
      </x:c>
      <x:c r="S1407" s="10" t="str">
        <x:v>consideration</x:v>
      </x:c>
      <x:c r="T1407" s="15" t="str">
        <x:v>explicit | inferred | page_validated</x:v>
      </x:c>
      <x:c r="U1407" s="10" t="str">
        <x:v>medium</x:v>
      </x:c>
      <x:c r="V1407" s="15" t="str">
        <x:v>womens_arch_flip_flops_color</x:v>
      </x:c>
      <x:c r="W1407" s="15" t="str">
        <x:v>listing_gap_review</x:v>
      </x:c>
      <x:c r="X1407" s="15" t="str">
        <x:v>{"primary_domain":[{"value":"clothing_shoes_jewelry","evidence_type":"inferred","source_span":"flip flop","fact_ids":[],"rationale":"Flip flops belong to the footwear category."}],"product_type":[{"value":"flip_flops","evidence_type":"explicit","source_span":"flip flop","fact_ids":[],"rationale":"Term explicitly specifies a flip flop."}],"audience_intent":[{"value":"women","evidence_type":"explicit","source_span":"women","fact_ids":[],"rationale":"Term explicitly states women."}],"capability_intent":[{"value":"arch_support","evidence_type":"explicit","source_span":"arched","fact_ids":[],"rationale":"arched describes the desired arch contour of the flip flop, matching arch_support fact."}],"body_need_intent":[{"value":"arch_support_needs","evidence_type":"inferred","source_span":"arched","fact_ids":[],"rationale":"Users seeking arched footwear typically have arch-related comfort needs."}],"color":[{"value":"white","evidence_type":"explicit","source_span":"white","fact_ids":[],"rationale":"Term explicitly requests white color. Page fact colors_visible confirms multiple colors but does not specifically list white."}]}</x:v>
      </x:c>
      <x:c r="Y1407" s="15" t="str"/>
      <x:c r="Z1407" s="10" t="str">
        <x:v>partial_match</x:v>
      </x:c>
      <x:c r="AA1407" s="15" t="str">
        <x:v>title_womens_flip_flop | style_flip_flop | arch_support</x:v>
      </x:c>
      <x:c r="AB1407" s="10" t="str">
        <x:v>accepted</x:v>
      </x:c>
      <x:c r="AC1407" s="10" t="str">
        <x:v>1.0.0</x:v>
      </x:c>
      <x:c r="AD1407" s="10" t="str">
        <x:v>1.0.0</x:v>
      </x:c>
      <x:c r="AE1407" s="10" t="str">
        <x:v>deepseek/deepseek-v4-pro</x:v>
      </x:c>
      <x:c r="AF1407" s="10" t="str">
        <x:v>aj2-y90-20260714T234810-0bea2f52</x:v>
      </x:c>
      <x:c r="AG1407" s="10" t="str">
        <x:v>pilot-0004</x:v>
      </x:c>
      <x:c r="AH1407" s="10" t="str">
        <x:v>pilot</x:v>
      </x:c>
      <x:c r="AI1407" s="10" t="n">
        <x:v>4</x:v>
      </x:c>
    </x:row>
    <x:row r="1408" ht="34" customHeight="1">
      <x:c r="A1408" s="16" t="str">
        <x:v>havaianas women's slim square solid flip flops, black, 7-8 medium us</x:v>
      </x:c>
      <x:c r="B1408" s="16" t="str">
        <x:v>havaianas women's slim square solid flip flops, black, 7-8 medium us</x:v>
      </x:c>
      <x:c r="C1408" s="13" t="str">
        <x:v>6efd90749465a865</x:v>
      </x:c>
      <x:c r="D1408" s="13" t="str">
        <x:v>keyword</x:v>
      </x:c>
      <x:c r="E1408" s="13" t="str">
        <x:v>en</x:v>
      </x:c>
      <x:c r="F1408" s="13" t="str">
        <x:v>clothing_shoes_jewelry</x:v>
      </x:c>
      <x:c r="G1408" s="16" t="str"/>
      <x:c r="H1408" s="16" t="str">
        <x:v>flip_flops</x:v>
      </x:c>
      <x:c r="I1408" s="16" t="str">
        <x:v>women</x:v>
      </x:c>
      <x:c r="J1408" s="16" t="str">
        <x:v>everyday_wear</x:v>
      </x:c>
      <x:c r="K1408" s="16" t="str"/>
      <x:c r="L1408" s="16" t="str"/>
      <x:c r="M1408" s="16" t="str"/>
      <x:c r="N1408" s="16" t="str"/>
      <x:c r="O1408" s="16" t="str"/>
      <x:c r="P1408" s="16" t="str"/>
      <x:c r="Q1408" s="16" t="str"/>
      <x:c r="R1408" s="16" t="str">
        <x:v>用户寻找Havaianas品牌的女士人字拖，要求黑色、瘦方形实心款、7-8码中号。</x:v>
      </x:c>
      <x:c r="S1408" s="13" t="str">
        <x:v>high_intent</x:v>
      </x:c>
      <x:c r="T1408" s="16" t="str">
        <x:v>explicit | inferred</x:v>
      </x:c>
      <x:c r="U1408" s="13" t="str">
        <x:v>high</x:v>
      </x:c>
      <x:c r="V1408" s="16" t="str">
        <x:v>brand_havaianas_flip_flops_women</x:v>
      </x:c>
      <x:c r="W1408" s="16" t="str">
        <x:v>semantic_negative_candidate</x:v>
      </x:c>
      <x:c r="X1408" s="16" t="str">
        <x:v>{"primary_domain":[{"value":"clothing_shoes_jewelry","evidence_type":"inferred","source_span":"flip flops","fact_ids":[],"rationale":"Flip flops belong to the footwear category."}],"product_type":[{"value":"flip_flops","evidence_type":"explicit","source_span":"flip flops","fact_ids":[],"rationale":"Term explicitly requests flip flops."}],"audience_intent":[{"value":"women","evidence_type":"explicit","source_span":"women's","fact_ids":[],"rationale":"Term explicitly states women's."}],"brand":[{"value":"havaianas","evidence_type":"explicit","source_span":"havaianas","fact_ids":[],"rationale":"Term explicitly requests Havaianas brand. Product baseline brand is joomra."}],"color":[{"value":"black","evidence_type":"explicit","source_span":"black","fact_ids":[],"rationale":"Term explicitly requests black color."}],"size":[{"value":"7_8_medium","evidence_type":"explicit","source_span":"7-8 medium us","fact_ids":[],"rationale":"Term explicitly requests US sizes 7-8 medium. Page fact sizes_6_11 includes these sizes."}]}</x:v>
      </x:c>
      <x:c r="Y1408" s="16" t="str"/>
      <x:c r="Z1408" s="13" t="str">
        <x:v>mismatch</x:v>
      </x:c>
      <x:c r="AA1408" s="16" t="str">
        <x:v>title_womens_flip_flop | style_flip_flop | sizes_6_11</x:v>
      </x:c>
      <x:c r="AB1408" s="13" t="str">
        <x:v>accepted</x:v>
      </x:c>
      <x:c r="AC1408" s="13" t="str">
        <x:v>1.0.0</x:v>
      </x:c>
      <x:c r="AD1408" s="13" t="str">
        <x:v>1.0.0</x:v>
      </x:c>
      <x:c r="AE1408" s="13" t="str">
        <x:v>deepseek/deepseek-v4-pro</x:v>
      </x:c>
      <x:c r="AF1408" s="13" t="str">
        <x:v>aj2-y90-20260714T234810-0bea2f52</x:v>
      </x:c>
      <x:c r="AG1408" s="13" t="str">
        <x:v>pilot-0004</x:v>
      </x:c>
      <x:c r="AH1408" s="13" t="str">
        <x:v>pilot</x:v>
      </x:c>
      <x:c r="AI1408" s="13" t="n">
        <x:v>4</x:v>
      </x:c>
    </x:row>
    <x:row r="1409" ht="34" customHeight="1">
      <x:c r="A1409" s="15" t="str">
        <x:v>fitflop women</x:v>
      </x:c>
      <x:c r="B1409" s="15" t="str">
        <x:v>fitflop women</x:v>
      </x:c>
      <x:c r="C1409" s="10" t="str">
        <x:v>759cf774443f2676</x:v>
      </x:c>
      <x:c r="D1409" s="10" t="str">
        <x:v>keyword</x:v>
      </x:c>
      <x:c r="E1409" s="10" t="str">
        <x:v>en</x:v>
      </x:c>
      <x:c r="F1409" s="10" t="str">
        <x:v>clothing_shoes_jewelry</x:v>
      </x:c>
      <x:c r="G1409" s="15" t="str"/>
      <x:c r="H1409" s="15" t="str">
        <x:v>footwear</x:v>
      </x:c>
      <x:c r="I1409" s="15" t="str">
        <x:v>women</x:v>
      </x:c>
      <x:c r="J1409" s="15" t="str">
        <x:v>foot_comfort</x:v>
      </x:c>
      <x:c r="K1409" s="15" t="str"/>
      <x:c r="L1409" s="15" t="str"/>
      <x:c r="M1409" s="15" t="str"/>
      <x:c r="N1409" s="15" t="str"/>
      <x:c r="O1409" s="15" t="str"/>
      <x:c r="P1409" s="15" t="str"/>
      <x:c r="Q1409" s="15" t="str"/>
      <x:c r="R1409" s="15" t="str">
        <x:v>用户搜索FitFlop品牌的女式产品。</x:v>
      </x:c>
      <x:c r="S1409" s="10" t="str">
        <x:v>brand_harvest</x:v>
      </x:c>
      <x:c r="T1409" s="15" t="str">
        <x:v>explicit | inferred</x:v>
      </x:c>
      <x:c r="U1409" s="10" t="str">
        <x:v>medium</x:v>
      </x:c>
      <x:c r="V1409" s="15" t="str">
        <x:v>brand_fitflop_women</x:v>
      </x:c>
      <x:c r="W1409" s="15" t="str">
        <x:v>semantic_negative_candidate</x:v>
      </x:c>
      <x:c r="X1409" s="15" t="str">
        <x:v>{"primary_domain":[{"value":"clothing_shoes_jewelry","evidence_type":"inferred","source_span":"fitflop","fact_ids":[],"rationale":"FitFlop is a footwear brand, placing the query in the clothing/shoes domain."}],"product_type":[{"value":"footwear","evidence_type":"inferred","source_span":"fitflop","fact_ids":[],"rationale":"Term does not specify a product type beyond the brand; footwear is the broadest applicable category."}],"audience_intent":[{"value":"women","evidence_type":"explicit","source_span":"women","fact_ids":[],"rationale":"Term explicitly states women."}],"brand":[{"value":"fitflop","evidence_type":"explicit","source_span":"fitflop","fact_ids":[],"rationale":"Term explicitly names the FitFlop brand. Product baseline brand is joomra."}]}</x:v>
      </x:c>
      <x:c r="Y1409" s="15" t="str"/>
      <x:c r="Z1409" s="10" t="str">
        <x:v>mismatch</x:v>
      </x:c>
      <x:c r="AA1409" s="15" t="str">
        <x:v>title_womens_flip_flop</x:v>
      </x:c>
      <x:c r="AB1409" s="10" t="str">
        <x:v>accepted</x:v>
      </x:c>
      <x:c r="AC1409" s="10" t="str">
        <x:v>1.0.0</x:v>
      </x:c>
      <x:c r="AD1409" s="10" t="str">
        <x:v>1.0.0</x:v>
      </x:c>
      <x:c r="AE1409" s="10" t="str">
        <x:v>deepseek/deepseek-v4-pro</x:v>
      </x:c>
      <x:c r="AF1409" s="10" t="str">
        <x:v>aj2-y90-20260714T234810-0bea2f52</x:v>
      </x:c>
      <x:c r="AG1409" s="10" t="str">
        <x:v>pilot-0004</x:v>
      </x:c>
      <x:c r="AH1409" s="10" t="str">
        <x:v>pilot</x:v>
      </x:c>
      <x:c r="AI1409" s="10" t="n">
        <x:v>4</x:v>
      </x:c>
    </x:row>
    <x:row r="1410" ht="34" customHeight="1">
      <x:c r="A1410" s="16" t="str">
        <x:v>black reef flip flops for woman</x:v>
      </x:c>
      <x:c r="B1410" s="16" t="str">
        <x:v>black reef flip flops for woman</x:v>
      </x:c>
      <x:c r="C1410" s="13" t="str">
        <x:v>76af9cdb147ffc77</x:v>
      </x:c>
      <x:c r="D1410" s="13" t="str">
        <x:v>keyword</x:v>
      </x:c>
      <x:c r="E1410" s="13" t="str">
        <x:v>en</x:v>
      </x:c>
      <x:c r="F1410" s="13" t="str">
        <x:v>clothing_shoes_jewelry</x:v>
      </x:c>
      <x:c r="G1410" s="16" t="str"/>
      <x:c r="H1410" s="16" t="str">
        <x:v>flip_flops</x:v>
      </x:c>
      <x:c r="I1410" s="16" t="str">
        <x:v>women</x:v>
      </x:c>
      <x:c r="J1410" s="16" t="str">
        <x:v>everyday_wear</x:v>
      </x:c>
      <x:c r="K1410" s="16" t="str"/>
      <x:c r="L1410" s="16" t="str"/>
      <x:c r="M1410" s="16" t="str"/>
      <x:c r="N1410" s="16" t="str"/>
      <x:c r="O1410" s="16" t="str"/>
      <x:c r="P1410" s="16" t="str"/>
      <x:c r="Q1410" s="16" t="str"/>
      <x:c r="R1410" s="16" t="str">
        <x:v>用户寻找Reef品牌的黑色女式人字拖。</x:v>
      </x:c>
      <x:c r="S1410" s="13" t="str">
        <x:v>brand_harvest</x:v>
      </x:c>
      <x:c r="T1410" s="16" t="str">
        <x:v>explicit | inferred</x:v>
      </x:c>
      <x:c r="U1410" s="13" t="str">
        <x:v>high</x:v>
      </x:c>
      <x:c r="V1410" s="16" t="str">
        <x:v>brand_reef_flip_flops_women</x:v>
      </x:c>
      <x:c r="W1410" s="16" t="str">
        <x:v>semantic_negative_candidate</x:v>
      </x:c>
      <x:c r="X1410" s="16" t="str">
        <x:v>{"primary_domain":[{"value":"clothing_shoes_jewelry","evidence_type":"inferred","source_span":"flip flops","fact_ids":[],"rationale":"Flip flops belong to the footwear category."}],"product_type":[{"value":"flip_flops","evidence_type":"explicit","source_span":"flip flops","fact_ids":[],"rationale":"Term explicitly requests flip flops."}],"audience_intent":[{"value":"women","evidence_type":"explicit","source_span":"woman","fact_ids":[],"rationale":"Term explicitly states for woman."}],"brand":[{"value":"reef","evidence_type":"explicit","source_span":"reef","fact_ids":[],"rationale":"Term explicitly requests Reef brand. Product baseline brand is joomra."}],"color":[{"value":"black","evidence_type":"explicit","source_span":"black","fact_ids":[],"rationale":"Term explicitly requests black color."}]}</x:v>
      </x:c>
      <x:c r="Y1410" s="16" t="str"/>
      <x:c r="Z1410" s="13" t="str">
        <x:v>mismatch</x:v>
      </x:c>
      <x:c r="AA1410" s="16" t="str">
        <x:v>title_womens_flip_flop | style_flip_flop</x:v>
      </x:c>
      <x:c r="AB1410" s="13" t="str">
        <x:v>accepted</x:v>
      </x:c>
      <x:c r="AC1410" s="13" t="str">
        <x:v>1.0.0</x:v>
      </x:c>
      <x:c r="AD1410" s="13" t="str">
        <x:v>1.0.0</x:v>
      </x:c>
      <x:c r="AE1410" s="13" t="str">
        <x:v>deepseek/deepseek-v4-pro</x:v>
      </x:c>
      <x:c r="AF1410" s="13" t="str">
        <x:v>aj2-y90-20260714T234810-0bea2f52</x:v>
      </x:c>
      <x:c r="AG1410" s="13" t="str">
        <x:v>pilot-0004</x:v>
      </x:c>
      <x:c r="AH1410" s="13" t="str">
        <x:v>pilot</x:v>
      </x:c>
      <x:c r="AI1410" s="13" t="n">
        <x:v>4</x:v>
      </x:c>
    </x:row>
    <x:row r="1411" ht="34" customHeight="1">
      <x:c r="A1411" s="15" t="str">
        <x:v>dark pink flip flops</x:v>
      </x:c>
      <x:c r="B1411" s="15" t="str">
        <x:v>dark pink flip flops</x:v>
      </x:c>
      <x:c r="C1411" s="10" t="str">
        <x:v>8cdcefa0d3199c51</x:v>
      </x:c>
      <x:c r="D1411" s="10" t="str">
        <x:v>keyword</x:v>
      </x:c>
      <x:c r="E1411" s="10" t="str">
        <x:v>en</x:v>
      </x:c>
      <x:c r="F1411" s="10" t="str">
        <x:v>clothing_shoes_jewelry</x:v>
      </x:c>
      <x:c r="G1411" s="15" t="str"/>
      <x:c r="H1411" s="15" t="str">
        <x:v>flip_flops</x:v>
      </x:c>
      <x:c r="I1411" s="15" t="str"/>
      <x:c r="J1411" s="15" t="str">
        <x:v>everyday_wear</x:v>
      </x:c>
      <x:c r="K1411" s="15" t="str"/>
      <x:c r="L1411" s="15" t="str"/>
      <x:c r="M1411" s="15" t="str"/>
      <x:c r="N1411" s="15" t="str"/>
      <x:c r="O1411" s="15" t="str"/>
      <x:c r="P1411" s="15" t="str"/>
      <x:c r="Q1411" s="15" t="str"/>
      <x:c r="R1411" s="15" t="str">
        <x:v>用户想购买深粉色的人字拖。</x:v>
      </x:c>
      <x:c r="S1411" s="10" t="str">
        <x:v>exploration</x:v>
      </x:c>
      <x:c r="T1411" s="15" t="str">
        <x:v>explicit | inferred</x:v>
      </x:c>
      <x:c r="U1411" s="10" t="str">
        <x:v>medium</x:v>
      </x:c>
      <x:c r="V1411" s="15" t="str">
        <x:v>flip_flops_color</x:v>
      </x:c>
      <x:c r="W1411" s="15" t="str">
        <x:v>listing_gap_review</x:v>
      </x:c>
      <x:c r="X1411" s="15" t="str">
        <x:v>{"primary_domain":[{"value":"clothing_shoes_jewelry","evidence_type":"inferred","source_span":"flip flops","fact_ids":[],"rationale":"Flip flops belong to the footwear category."}],"product_type":[{"value":"flip_flops","evidence_type":"explicit","source_span":"flip flops","fact_ids":[],"rationale":"Term explicitly requests flip flops."}],"color":[{"value":"dark_pink","evidence_type":"explicit","source_span":"dark pink","fact_ids":[],"rationale":"Term explicitly requests dark pink color. Page fact colors_visible confirms multiple colors but does not list dark pink."}]}</x:v>
      </x:c>
      <x:c r="Y1411" s="15" t="str"/>
      <x:c r="Z1411" s="10" t="str">
        <x:v>partial_match</x:v>
      </x:c>
      <x:c r="AA1411" s="15" t="str">
        <x:v>title_womens_flip_flop | style_flip_flop</x:v>
      </x:c>
      <x:c r="AB1411" s="10" t="str">
        <x:v>accepted</x:v>
      </x:c>
      <x:c r="AC1411" s="10" t="str">
        <x:v>1.0.0</x:v>
      </x:c>
      <x:c r="AD1411" s="10" t="str">
        <x:v>1.0.0</x:v>
      </x:c>
      <x:c r="AE1411" s="10" t="str">
        <x:v>deepseek/deepseek-v4-pro</x:v>
      </x:c>
      <x:c r="AF1411" s="10" t="str">
        <x:v>aj2-y90-20260714T234810-0bea2f52</x:v>
      </x:c>
      <x:c r="AG1411" s="10" t="str">
        <x:v>pilot-0004</x:v>
      </x:c>
      <x:c r="AH1411" s="10" t="str">
        <x:v>pilot</x:v>
      </x:c>
      <x:c r="AI1411" s="10" t="n">
        <x:v>4</x:v>
      </x:c>
    </x:row>
    <x:row r="1412" ht="34" customHeight="1">
      <x:c r="A1412" s="16" t="str">
        <x:v>womens arch support flip flops white</x:v>
      </x:c>
      <x:c r="B1412" s="16" t="str">
        <x:v>womens arch support flip flops white</x:v>
      </x:c>
      <x:c r="C1412" s="13" t="str">
        <x:v>9686ddcb89db7271</x:v>
      </x:c>
      <x:c r="D1412" s="13" t="str">
        <x:v>keyword</x:v>
      </x:c>
      <x:c r="E1412" s="13" t="str">
        <x:v>en</x:v>
      </x:c>
      <x:c r="F1412" s="13" t="str">
        <x:v>clothing_shoes_jewelry</x:v>
      </x:c>
      <x:c r="G1412" s="16" t="str"/>
      <x:c r="H1412" s="16" t="str">
        <x:v>flip_flops</x:v>
      </x:c>
      <x:c r="I1412" s="16" t="str">
        <x:v>women</x:v>
      </x:c>
      <x:c r="J1412" s="16" t="str">
        <x:v>foot_comfort</x:v>
      </x:c>
      <x:c r="K1412" s="16" t="str">
        <x:v>arch_support</x:v>
      </x:c>
      <x:c r="L1412" s="16" t="str"/>
      <x:c r="M1412" s="16" t="str"/>
      <x:c r="N1412" s="16" t="str">
        <x:v>arch_support_needs</x:v>
      </x:c>
      <x:c r="O1412" s="16" t="str"/>
      <x:c r="P1412" s="16" t="str"/>
      <x:c r="Q1412" s="16" t="str"/>
      <x:c r="R1412" s="16" t="str">
        <x:v>用户为女性寻找具有足弓支撑功能的白色人字拖。</x:v>
      </x:c>
      <x:c r="S1412" s="13" t="str">
        <x:v>high_intent</x:v>
      </x:c>
      <x:c r="T1412" s="16" t="str">
        <x:v>explicit | inferred | page_validated</x:v>
      </x:c>
      <x:c r="U1412" s="13" t="str">
        <x:v>medium</x:v>
      </x:c>
      <x:c r="V1412" s="16" t="str">
        <x:v>womens_arch_support_flip_flops_color</x:v>
      </x:c>
      <x:c r="W1412" s="16" t="str">
        <x:v>listing_gap_review</x:v>
      </x:c>
      <x:c r="X1412" s="16" t="str">
        <x:v>{"primary_domain":[{"value":"clothing_shoes_jewelry","evidence_type":"inferred","source_span":"flip flops","fact_ids":[],"rationale":"Flip flops belong to the footwear category."}],"product_type":[{"value":"flip_flops","evidence_type":"explicit","source_span":"flip flops","fact_ids":[],"rationale":"Term explicitly specifies flip flops."}],"audience_intent":[{"value":"women","evidence_type":"explicit","source_span":"womens","fact_ids":[],"rationale":"Term explicitly states womens."}],"capability_intent":[{"value":"arch_support","evidence_type":"explicit","source_span":"arch support","fact_ids":[],"rationale":"Term explicitly requests arch support, which matches the page fact arch_support."}],"body_need_intent":[{"value":"arch_support_needs","evidence_type":"inferred","source_span":"arch support","fact_ids":[],"rationale":"Users seeking arch support typically have foot comfort or structural needs."}],"color":[{"value":"white","evidence_type":"explicit","source_span":"white","fact_ids":[],"rationale":"Term explicitly requests white color. Page fact colors_visible does not specifically confirm white."}]}</x:v>
      </x:c>
      <x:c r="Y1412" s="16" t="str"/>
      <x:c r="Z1412" s="13" t="str">
        <x:v>partial_match</x:v>
      </x:c>
      <x:c r="AA1412" s="16" t="str">
        <x:v>title_womens_flip_flop | style_flip_flop | arch_support</x:v>
      </x:c>
      <x:c r="AB1412" s="13" t="str">
        <x:v>accepted</x:v>
      </x:c>
      <x:c r="AC1412" s="13" t="str">
        <x:v>1.0.0</x:v>
      </x:c>
      <x:c r="AD1412" s="13" t="str">
        <x:v>1.0.0</x:v>
      </x:c>
      <x:c r="AE1412" s="13" t="str">
        <x:v>deepseek/deepseek-v4-pro</x:v>
      </x:c>
      <x:c r="AF1412" s="13" t="str">
        <x:v>aj2-y90-20260714T234810-0bea2f52</x:v>
      </x:c>
      <x:c r="AG1412" s="13" t="str">
        <x:v>pilot-0004</x:v>
      </x:c>
      <x:c r="AH1412" s="13" t="str">
        <x:v>pilot</x:v>
      </x:c>
      <x:c r="AI1412" s="13" t="n">
        <x:v>4</x:v>
      </x:c>
    </x:row>
    <x:row r="1413" ht="34" customHeight="1">
      <x:c r="A1413" s="15" t="str">
        <x:v>women nike flip flops</x:v>
      </x:c>
      <x:c r="B1413" s="15" t="str">
        <x:v>women nike flip flops</x:v>
      </x:c>
      <x:c r="C1413" s="10" t="str">
        <x:v>a73c7eb5e8138183</x:v>
      </x:c>
      <x:c r="D1413" s="10" t="str">
        <x:v>keyword</x:v>
      </x:c>
      <x:c r="E1413" s="10" t="str">
        <x:v>en</x:v>
      </x:c>
      <x:c r="F1413" s="10" t="str">
        <x:v>clothing_shoes_jewelry</x:v>
      </x:c>
      <x:c r="G1413" s="15" t="str"/>
      <x:c r="H1413" s="15" t="str">
        <x:v>flip_flops</x:v>
      </x:c>
      <x:c r="I1413" s="15" t="str">
        <x:v>women</x:v>
      </x:c>
      <x:c r="J1413" s="15" t="str">
        <x:v>everyday_wear | athletic_wear</x:v>
      </x:c>
      <x:c r="K1413" s="15" t="str"/>
      <x:c r="L1413" s="15" t="str"/>
      <x:c r="M1413" s="15" t="str"/>
      <x:c r="N1413" s="15" t="str"/>
      <x:c r="O1413" s="15" t="str"/>
      <x:c r="P1413" s="15" t="str"/>
      <x:c r="Q1413" s="15" t="str"/>
      <x:c r="R1413" s="15" t="str">
        <x:v>用户寻找Nike品牌的女式人字拖。</x:v>
      </x:c>
      <x:c r="S1413" s="10" t="str">
        <x:v>brand_harvest</x:v>
      </x:c>
      <x:c r="T1413" s="15" t="str">
        <x:v>explicit | inferred</x:v>
      </x:c>
      <x:c r="U1413" s="10" t="str">
        <x:v>high</x:v>
      </x:c>
      <x:c r="V1413" s="15" t="str">
        <x:v>brand_nike_flip_flops_women</x:v>
      </x:c>
      <x:c r="W1413" s="15" t="str">
        <x:v>semantic_negative_candidate</x:v>
      </x:c>
      <x:c r="X1413" s="15" t="str">
        <x:v>{"primary_domain":[{"value":"clothing_shoes_jewelry","evidence_type":"inferred","source_span":"flip flops","fact_ids":[],"rationale":"Flip flops belong to the footwear category."}],"product_type":[{"value":"flip_flops","evidence_type":"explicit","source_span":"flip flops","fact_ids":[],"rationale":"Term explicitly requests flip flops."}],"audience_intent":[{"value":"women","evidence_type":"explicit","source_span":"women","fact_ids":[],"rationale":"Term explicitly states women."}],"brand":[{"value":"nike","evidence_type":"explicit","source_span":"nike","fact_ids":[],"rationale":"Term explicitly requests Nike brand. Product baseline brand is joomra."}]}</x:v>
      </x:c>
      <x:c r="Y1413" s="15" t="str"/>
      <x:c r="Z1413" s="10" t="str">
        <x:v>mismatch</x:v>
      </x:c>
      <x:c r="AA1413" s="15" t="str">
        <x:v>title_womens_flip_flop | style_flip_flop</x:v>
      </x:c>
      <x:c r="AB1413" s="10" t="str">
        <x:v>accepted</x:v>
      </x:c>
      <x:c r="AC1413" s="10" t="str">
        <x:v>1.0.0</x:v>
      </x:c>
      <x:c r="AD1413" s="10" t="str">
        <x:v>1.0.0</x:v>
      </x:c>
      <x:c r="AE1413" s="10" t="str">
        <x:v>deepseek/deepseek-v4-pro</x:v>
      </x:c>
      <x:c r="AF1413" s="10" t="str">
        <x:v>aj2-y90-20260714T234810-0bea2f52</x:v>
      </x:c>
      <x:c r="AG1413" s="10" t="str">
        <x:v>pilot-0004</x:v>
      </x:c>
      <x:c r="AH1413" s="10" t="str">
        <x:v>pilot</x:v>
      </x:c>
      <x:c r="AI1413" s="10" t="n">
        <x:v>4</x:v>
      </x:c>
    </x:row>
    <x:row r="1414" ht="34" customHeight="1">
      <x:c r="A1414" s="16" t="str">
        <x:v>crocs flip flops women</x:v>
      </x:c>
      <x:c r="B1414" s="16" t="str">
        <x:v>crocs flip flops women</x:v>
      </x:c>
      <x:c r="C1414" s="13" t="str">
        <x:v>addc024c1843dfdd</x:v>
      </x:c>
      <x:c r="D1414" s="13" t="str">
        <x:v>keyword</x:v>
      </x:c>
      <x:c r="E1414" s="13" t="str">
        <x:v>en</x:v>
      </x:c>
      <x:c r="F1414" s="13" t="str">
        <x:v>clothing_shoes_jewelry</x:v>
      </x:c>
      <x:c r="G1414" s="16" t="str"/>
      <x:c r="H1414" s="16" t="str">
        <x:v>flip_flops</x:v>
      </x:c>
      <x:c r="I1414" s="16" t="str">
        <x:v>women</x:v>
      </x:c>
      <x:c r="J1414" s="16" t="str">
        <x:v>everyday_wear</x:v>
      </x:c>
      <x:c r="K1414" s="16" t="str"/>
      <x:c r="L1414" s="16" t="str"/>
      <x:c r="M1414" s="16" t="str"/>
      <x:c r="N1414" s="16" t="str"/>
      <x:c r="O1414" s="16" t="str"/>
      <x:c r="P1414" s="16" t="str"/>
      <x:c r="Q1414" s="16" t="str"/>
      <x:c r="R1414" s="16" t="str">
        <x:v>用户想购买Crocs品牌的女式人字拖。</x:v>
      </x:c>
      <x:c r="S1414" s="13" t="str">
        <x:v>brand_harvest</x:v>
      </x:c>
      <x:c r="T1414" s="16" t="str">
        <x:v>explicit | inferred</x:v>
      </x:c>
      <x:c r="U1414" s="13" t="str">
        <x:v>high</x:v>
      </x:c>
      <x:c r="V1414" s="16" t="str">
        <x:v>brand_crocs_flip_flops_women</x:v>
      </x:c>
      <x:c r="W1414" s="16" t="str">
        <x:v>semantic_negative_candidate</x:v>
      </x:c>
      <x:c r="X1414" s="16" t="str">
        <x:v>{"primary_domain":[{"value":"clothing_shoes_jewelry","evidence_type":"inferred","source_span":"flip flops","fact_ids":[],"rationale":"Flip flops belong to the footwear category."}],"product_type":[{"value":"flip_flops","evidence_type":"explicit","source_span":"flip flops","fact_ids":[],"rationale":"Term explicitly requests flip flops."}],"audience_intent":[{"value":"women","evidence_type":"explicit","source_span":"women","fact_ids":[],"rationale":"Term explicitly states women."}],"brand":[{"value":"crocs","evidence_type":"explicit","source_span":"crocs","fact_ids":[],"rationale":"Term explicitly requests Crocs brand. Product baseline brand is joomra."}]}</x:v>
      </x:c>
      <x:c r="Y1414" s="16" t="str"/>
      <x:c r="Z1414" s="13" t="str">
        <x:v>mismatch</x:v>
      </x:c>
      <x:c r="AA1414" s="16" t="str">
        <x:v>title_womens_flip_flop | style_flip_flop</x:v>
      </x:c>
      <x:c r="AB1414" s="13" t="str">
        <x:v>accepted</x:v>
      </x:c>
      <x:c r="AC1414" s="13" t="str">
        <x:v>1.0.0</x:v>
      </x:c>
      <x:c r="AD1414" s="13" t="str">
        <x:v>1.0.0</x:v>
      </x:c>
      <x:c r="AE1414" s="13" t="str">
        <x:v>deepseek/deepseek-v4-pro</x:v>
      </x:c>
      <x:c r="AF1414" s="13" t="str">
        <x:v>aj2-y90-20260714T234810-0bea2f52</x:v>
      </x:c>
      <x:c r="AG1414" s="13" t="str">
        <x:v>pilot-0004</x:v>
      </x:c>
      <x:c r="AH1414" s="13" t="str">
        <x:v>pilot</x:v>
      </x:c>
      <x:c r="AI1414" s="13" t="n">
        <x:v>4</x:v>
      </x:c>
    </x:row>
    <x:row r="1415" ht="34" customHeight="1">
      <x:c r="A1415" s="15" t="str">
        <x:v>womens crocs flip flops</x:v>
      </x:c>
      <x:c r="B1415" s="15" t="str">
        <x:v>womens crocs flip flops</x:v>
      </x:c>
      <x:c r="C1415" s="10" t="str">
        <x:v>bc29eee71b1dc74a</x:v>
      </x:c>
      <x:c r="D1415" s="10" t="str">
        <x:v>keyword</x:v>
      </x:c>
      <x:c r="E1415" s="10" t="str">
        <x:v>en</x:v>
      </x:c>
      <x:c r="F1415" s="10" t="str">
        <x:v>clothing_shoes_jewelry</x:v>
      </x:c>
      <x:c r="G1415" s="15" t="str"/>
      <x:c r="H1415" s="15" t="str">
        <x:v>flip_flops</x:v>
      </x:c>
      <x:c r="I1415" s="15" t="str">
        <x:v>women</x:v>
      </x:c>
      <x:c r="J1415" s="15" t="str">
        <x:v>everyday_wear</x:v>
      </x:c>
      <x:c r="K1415" s="15" t="str"/>
      <x:c r="L1415" s="15" t="str"/>
      <x:c r="M1415" s="15" t="str"/>
      <x:c r="N1415" s="15" t="str"/>
      <x:c r="O1415" s="15" t="str"/>
      <x:c r="P1415" s="15" t="str"/>
      <x:c r="Q1415" s="15" t="str"/>
      <x:c r="R1415" s="15" t="str">
        <x:v>用户想购买Crocs品牌的女式人字拖。</x:v>
      </x:c>
      <x:c r="S1415" s="10" t="str">
        <x:v>brand_harvest</x:v>
      </x:c>
      <x:c r="T1415" s="15" t="str">
        <x:v>explicit | inferred</x:v>
      </x:c>
      <x:c r="U1415" s="10" t="str">
        <x:v>high</x:v>
      </x:c>
      <x:c r="V1415" s="15" t="str">
        <x:v>brand_crocs_flip_flops_women</x:v>
      </x:c>
      <x:c r="W1415" s="15" t="str">
        <x:v>semantic_negative_candidate</x:v>
      </x:c>
      <x:c r="X1415" s="15" t="str">
        <x:v>{"primary_domain":[{"value":"clothing_shoes_jewelry","evidence_type":"inferred","source_span":"flip flops","fact_ids":[],"rationale":"Flip flops belong to the footwear category."}],"product_type":[{"value":"flip_flops","evidence_type":"explicit","source_span":"flip flops","fact_ids":[],"rationale":"Term explicitly requests flip flops."}],"audience_intent":[{"value":"women","evidence_type":"explicit","source_span":"womens","fact_ids":[],"rationale":"Term explicitly states womens."}],"brand":[{"value":"crocs","evidence_type":"explicit","source_span":"crocs","fact_ids":[],"rationale":"Term explicitly requests Crocs brand. Product baseline brand is joomra."}]}</x:v>
      </x:c>
      <x:c r="Y1415" s="15" t="str"/>
      <x:c r="Z1415" s="10" t="str">
        <x:v>mismatch</x:v>
      </x:c>
      <x:c r="AA1415" s="15" t="str">
        <x:v>title_womens_flip_flop | style_flip_flop</x:v>
      </x:c>
      <x:c r="AB1415" s="10" t="str">
        <x:v>accepted</x:v>
      </x:c>
      <x:c r="AC1415" s="10" t="str">
        <x:v>1.0.0</x:v>
      </x:c>
      <x:c r="AD1415" s="10" t="str">
        <x:v>1.0.0</x:v>
      </x:c>
      <x:c r="AE1415" s="10" t="str">
        <x:v>deepseek/deepseek-v4-pro</x:v>
      </x:c>
      <x:c r="AF1415" s="10" t="str">
        <x:v>aj2-y90-20260714T234810-0bea2f52</x:v>
      </x:c>
      <x:c r="AG1415" s="10" t="str">
        <x:v>pilot-0004</x:v>
      </x:c>
      <x:c r="AH1415" s="10" t="str">
        <x:v>pilot</x:v>
      </x:c>
      <x:c r="AI1415" s="10" t="n">
        <x:v>4</x:v>
      </x:c>
    </x:row>
    <x:row r="1416" ht="34" customHeight="1">
      <x:c r="A1416" s="16" t="str">
        <x:v>black womens flip flops size 9</x:v>
      </x:c>
      <x:c r="B1416" s="16" t="str">
        <x:v>black womens flip flops size 9</x:v>
      </x:c>
      <x:c r="C1416" s="13" t="str">
        <x:v>ccaa27cab32fef52</x:v>
      </x:c>
      <x:c r="D1416" s="13" t="str">
        <x:v>keyword</x:v>
      </x:c>
      <x:c r="E1416" s="13" t="str">
        <x:v>en</x:v>
      </x:c>
      <x:c r="F1416" s="13" t="str">
        <x:v>clothing_shoes_jewelry</x:v>
      </x:c>
      <x:c r="G1416" s="16" t="str"/>
      <x:c r="H1416" s="16" t="str">
        <x:v>flip_flops</x:v>
      </x:c>
      <x:c r="I1416" s="16" t="str">
        <x:v>women</x:v>
      </x:c>
      <x:c r="J1416" s="16" t="str">
        <x:v>everyday_wear</x:v>
      </x:c>
      <x:c r="K1416" s="16" t="str"/>
      <x:c r="L1416" s="16" t="str"/>
      <x:c r="M1416" s="16" t="str"/>
      <x:c r="N1416" s="16" t="str"/>
      <x:c r="O1416" s="16" t="str"/>
      <x:c r="P1416" s="16" t="str"/>
      <x:c r="Q1416" s="16" t="str"/>
      <x:c r="R1416" s="16" t="str">
        <x:v>用户想为女性购买一双黑色9码的人字拖。</x:v>
      </x:c>
      <x:c r="S1416" s="13" t="str">
        <x:v>high_intent</x:v>
      </x:c>
      <x:c r="T1416" s="16" t="str">
        <x:v>explicit | inferred</x:v>
      </x:c>
      <x:c r="U1416" s="13" t="str">
        <x:v>high</x:v>
      </x:c>
      <x:c r="V1416" s="16" t="str">
        <x:v>womens_flip_flops_color_size</x:v>
      </x:c>
      <x:c r="W1416" s="16" t="str">
        <x:v>listing_gap_review</x:v>
      </x:c>
      <x:c r="X1416" s="16" t="str">
        <x:v>{"primary_domain":[{"value":"clothing_shoes_jewelry","evidence_type":"inferred","source_span":"flip flops","fact_ids":[],"rationale":"Flip flops belong to the footwear category under clothing_shoes_jewelry."}],"product_type":[{"value":"flip_flops","evidence_type":"explicit","source_span":"flip flops","fact_ids":[],"rationale":"Term explicitly requests flip flops."}],"audience_intent":[{"value":"women","evidence_type":"explicit","source_span":"womens","fact_ids":[],"rationale":"Term explicitly states womens."}],"color":[{"value":"black","evidence_type":"explicit","source_span":"black","fact_ids":[],"rationale":"Term explicitly requests black color. Page fact colors_visible notes multiple colors including light blue but does not confirm black."}],"size":[{"value":"9","evidence_type":"explicit","source_span":"size 9","fact_ids":[],"rationale":"Term explicitly requests size 9. Page fact sizes_6_11 confirms size 9 is within available range."}]}</x:v>
      </x:c>
      <x:c r="Y1416" s="16" t="str"/>
      <x:c r="Z1416" s="13" t="str">
        <x:v>partial_match</x:v>
      </x:c>
      <x:c r="AA1416" s="16" t="str">
        <x:v>title_womens_flip_flop | style_flip_flop | sizes_6_11</x:v>
      </x:c>
      <x:c r="AB1416" s="13" t="str">
        <x:v>accepted</x:v>
      </x:c>
      <x:c r="AC1416" s="13" t="str">
        <x:v>1.0.0</x:v>
      </x:c>
      <x:c r="AD1416" s="13" t="str">
        <x:v>1.0.0</x:v>
      </x:c>
      <x:c r="AE1416" s="13" t="str">
        <x:v>deepseek/deepseek-v4-pro</x:v>
      </x:c>
      <x:c r="AF1416" s="13" t="str">
        <x:v>aj2-y90-20260714T234810-0bea2f52</x:v>
      </x:c>
      <x:c r="AG1416" s="13" t="str">
        <x:v>pilot-0004</x:v>
      </x:c>
      <x:c r="AH1416" s="13" t="str">
        <x:v>pilot</x:v>
      </x:c>
      <x:c r="AI1416" s="13" t="n">
        <x:v>4</x:v>
      </x:c>
    </x:row>
    <x:row r="1417" ht="34" customHeight="1">
      <x:c r="A1417" s="15" t="str">
        <x:v>black flip flops for women size 5</x:v>
      </x:c>
      <x:c r="B1417" s="15" t="str">
        <x:v>black flip flops for women size 5</x:v>
      </x:c>
      <x:c r="C1417" s="10" t="str">
        <x:v>d0560e9bfdd0e741</x:v>
      </x:c>
      <x:c r="D1417" s="10" t="str">
        <x:v>keyword</x:v>
      </x:c>
      <x:c r="E1417" s="10" t="str">
        <x:v>en</x:v>
      </x:c>
      <x:c r="F1417" s="10" t="str">
        <x:v>clothing_shoes_jewelry</x:v>
      </x:c>
      <x:c r="G1417" s="15" t="str"/>
      <x:c r="H1417" s="15" t="str">
        <x:v>flip_flops</x:v>
      </x:c>
      <x:c r="I1417" s="15" t="str">
        <x:v>women</x:v>
      </x:c>
      <x:c r="J1417" s="15" t="str">
        <x:v>everyday_wear</x:v>
      </x:c>
      <x:c r="K1417" s="15" t="str"/>
      <x:c r="L1417" s="15" t="str"/>
      <x:c r="M1417" s="15" t="str"/>
      <x:c r="N1417" s="15" t="str"/>
      <x:c r="O1417" s="15" t="str"/>
      <x:c r="P1417" s="15" t="str"/>
      <x:c r="Q1417" s="15" t="str"/>
      <x:c r="R1417" s="15" t="str">
        <x:v>用户寻找黑色女式人字拖，尺码为5码。</x:v>
      </x:c>
      <x:c r="S1417" s="10" t="str">
        <x:v>high_intent</x:v>
      </x:c>
      <x:c r="T1417" s="15" t="str">
        <x:v>explicit | inferred</x:v>
      </x:c>
      <x:c r="U1417" s="10" t="str">
        <x:v>high</x:v>
      </x:c>
      <x:c r="V1417" s="15" t="str">
        <x:v>womens_flip_flops_color_size</x:v>
      </x:c>
      <x:c r="W1417" s="15" t="str">
        <x:v>semantic_negative_candidate</x:v>
      </x:c>
      <x:c r="X1417" s="15" t="str">
        <x:v>{"primary_domain":[{"value":"clothing_shoes_jewelry","evidence_type":"inferred","source_span":"flip flops","fact_ids":[],"rationale":"Flip flops belong to the footwear category."}],"product_type":[{"value":"flip_flops","evidence_type":"explicit","source_span":"flip flops","fact_ids":[],"rationale":"Term explicitly requests flip flops."}],"audience_intent":[{"value":"women","evidence_type":"explicit","source_span":"women","fact_ids":[],"rationale":"Term explicitly states for women."}],"color":[{"value":"black","evidence_type":"explicit","source_span":"black","fact_ids":[],"rationale":"Term explicitly requests black color."}],"size":[{"value":"5","evidence_type":"explicit","source_span":"size 5","fact_ids":[],"rationale":"Term explicitly requests size 5. Page fact sizes_6_11 shows available sizes are 6 through 11; size 5 is outside this range."}]}</x:v>
      </x:c>
      <x:c r="Y1417" s="15" t="str"/>
      <x:c r="Z1417" s="10" t="str">
        <x:v>mismatch</x:v>
      </x:c>
      <x:c r="AA1417" s="15" t="str">
        <x:v>sizes_6_11</x:v>
      </x:c>
      <x:c r="AB1417" s="10" t="str">
        <x:v>accepted</x:v>
      </x:c>
      <x:c r="AC1417" s="10" t="str">
        <x:v>1.0.0</x:v>
      </x:c>
      <x:c r="AD1417" s="10" t="str">
        <x:v>1.0.0</x:v>
      </x:c>
      <x:c r="AE1417" s="10" t="str">
        <x:v>deepseek/deepseek-v4-pro</x:v>
      </x:c>
      <x:c r="AF1417" s="10" t="str">
        <x:v>aj2-y90-20260714T234810-0bea2f52</x:v>
      </x:c>
      <x:c r="AG1417" s="10" t="str">
        <x:v>pilot-0004</x:v>
      </x:c>
      <x:c r="AH1417" s="10" t="str">
        <x:v>pilot</x:v>
      </x:c>
      <x:c r="AI1417" s="10" t="n">
        <x:v>4</x:v>
      </x:c>
    </x:row>
    <x:row r="1418" ht="34" customHeight="1">
      <x:c r="A1418" s="16" t="str">
        <x:v>crocs women's platform flip flop sandal</x:v>
      </x:c>
      <x:c r="B1418" s="16" t="str">
        <x:v>crocs women's platform flip flop sandal</x:v>
      </x:c>
      <x:c r="C1418" s="13" t="str">
        <x:v>db64863735e5985f</x:v>
      </x:c>
      <x:c r="D1418" s="13" t="str">
        <x:v>keyword</x:v>
      </x:c>
      <x:c r="E1418" s="13" t="str">
        <x:v>en</x:v>
      </x:c>
      <x:c r="F1418" s="13" t="str">
        <x:v>clothing_shoes_jewelry</x:v>
      </x:c>
      <x:c r="G1418" s="16" t="str"/>
      <x:c r="H1418" s="16" t="str">
        <x:v>flip_flops | sandals</x:v>
      </x:c>
      <x:c r="I1418" s="16" t="str">
        <x:v>women</x:v>
      </x:c>
      <x:c r="J1418" s="16" t="str">
        <x:v>everyday_wear</x:v>
      </x:c>
      <x:c r="K1418" s="16" t="str">
        <x:v>platform_sole</x:v>
      </x:c>
      <x:c r="L1418" s="16" t="str"/>
      <x:c r="M1418" s="16" t="str"/>
      <x:c r="N1418" s="16" t="str"/>
      <x:c r="O1418" s="16" t="str"/>
      <x:c r="P1418" s="16" t="str"/>
      <x:c r="Q1418" s="16" t="str"/>
      <x:c r="R1418" s="16" t="str">
        <x:v>用户寻找Crocs品牌的女士厚底人字拖凉鞋。</x:v>
      </x:c>
      <x:c r="S1418" s="13" t="str">
        <x:v>brand_harvest</x:v>
      </x:c>
      <x:c r="T1418" s="16" t="str">
        <x:v>explicit | inferred</x:v>
      </x:c>
      <x:c r="U1418" s="13" t="str">
        <x:v>high</x:v>
      </x:c>
      <x:c r="V1418" s="16" t="str">
        <x:v>brand_crocs_platform_flip_flops_women</x:v>
      </x:c>
      <x:c r="W1418" s="16" t="str">
        <x:v>semantic_negative_candidate</x:v>
      </x:c>
      <x:c r="X1418" s="16" t="str">
        <x:v>{"primary_domain":[{"value":"clothing_shoes_jewelry","evidence_type":"inferred","source_span":"flip flop sandal","fact_ids":[],"rationale":"Flip flops and sandals belong to the footwear category."}],"product_type":[{"value":"flip_flops","evidence_type":"explicit","source_span":"flip flop","fact_ids":[],"rationale":"Term explicitly requests flip flops."},{"value":"sandals","evidence_type":"explicit","source_span":"sandal","fact_ids":[],"rationale":"Term explicitly requests a sandal."}],"audience_intent":[{"value":"women","evidence_type":"explicit","source_span":"women's","fact_ids":[],"rationale":"Term explicitly states women's."}],"brand":[{"value":"crocs","evidence_type":"explicit","source_span":"crocs","fact_ids":[],"rationale":"Term explicitly requests Crocs brand. Product baseline brand is joomra."}],"capability_intent":[{"value":"platform_sole","evidence_type":"explicit","source_span":"platform","fact_ids":[],"rationale":"Term explicitly requests platform style. Page fact style_flat states the heel is flat, conflicting with platform."}]}</x:v>
      </x:c>
      <x:c r="Y1418" s="16" t="str"/>
      <x:c r="Z1418" s="13" t="str">
        <x:v>mismatch</x:v>
      </x:c>
      <x:c r="AA1418" s="16" t="str">
        <x:v>title_womens_flip_flop | style_flip_flop | style_flat</x:v>
      </x:c>
      <x:c r="AB1418" s="13" t="str">
        <x:v>accepted</x:v>
      </x:c>
      <x:c r="AC1418" s="13" t="str">
        <x:v>1.0.0</x:v>
      </x:c>
      <x:c r="AD1418" s="13" t="str">
        <x:v>1.0.0</x:v>
      </x:c>
      <x:c r="AE1418" s="13" t="str">
        <x:v>deepseek/deepseek-v4-pro</x:v>
      </x:c>
      <x:c r="AF1418" s="13" t="str">
        <x:v>aj2-y90-20260714T234810-0bea2f52</x:v>
      </x:c>
      <x:c r="AG1418" s="13" t="str">
        <x:v>pilot-0004</x:v>
      </x:c>
      <x:c r="AH1418" s="13" t="str">
        <x:v>pilot</x:v>
      </x:c>
      <x:c r="AI1418" s="13" t="n">
        <x:v>4</x:v>
      </x:c>
    </x:row>
    <x:row r="1419" ht="34" customHeight="1">
      <x:c r="A1419" s="15" t="str">
        <x:v>fitflop keith haring women</x:v>
      </x:c>
      <x:c r="B1419" s="15" t="str">
        <x:v>fitflop keith haring women</x:v>
      </x:c>
      <x:c r="C1419" s="10" t="str">
        <x:v>e595e4853e48e410</x:v>
      </x:c>
      <x:c r="D1419" s="10" t="str">
        <x:v>keyword</x:v>
      </x:c>
      <x:c r="E1419" s="10" t="str">
        <x:v>en</x:v>
      </x:c>
      <x:c r="F1419" s="10" t="str">
        <x:v>clothing_shoes_jewelry</x:v>
      </x:c>
      <x:c r="G1419" s="15" t="str"/>
      <x:c r="H1419" s="15" t="str">
        <x:v>footwear</x:v>
      </x:c>
      <x:c r="I1419" s="15" t="str">
        <x:v>women</x:v>
      </x:c>
      <x:c r="J1419" s="15" t="str">
        <x:v>foot_comfort</x:v>
      </x:c>
      <x:c r="K1419" s="15" t="str"/>
      <x:c r="L1419" s="15" t="str"/>
      <x:c r="M1419" s="15" t="str"/>
      <x:c r="N1419" s="15" t="str"/>
      <x:c r="O1419" s="15" t="str"/>
      <x:c r="P1419" s="15" t="str"/>
      <x:c r="Q1419" s="15" t="str"/>
      <x:c r="R1419" s="15" t="str">
        <x:v>用户搜索FitFlop品牌Keith Haring联名系列的女式产品。</x:v>
      </x:c>
      <x:c r="S1419" s="10" t="str">
        <x:v>brand_harvest</x:v>
      </x:c>
      <x:c r="T1419" s="15" t="str">
        <x:v>explicit | inferred</x:v>
      </x:c>
      <x:c r="U1419" s="10" t="str">
        <x:v>high</x:v>
      </x:c>
      <x:c r="V1419" s="15" t="str">
        <x:v>brand_fitflop_collab_women</x:v>
      </x:c>
      <x:c r="W1419" s="15" t="str">
        <x:v>semantic_negative_candidate</x:v>
      </x:c>
      <x:c r="X1419" s="15" t="str">
        <x:v>{"primary_domain":[{"value":"clothing_shoes_jewelry","evidence_type":"inferred","source_span":"fitflop","fact_ids":[],"rationale":"FitFlop is a footwear brand, placing the query in the clothing/shoes domain."}],"product_type":[{"value":"footwear","evidence_type":"inferred","source_span":"fitflop","fact_ids":[],"rationale":"Keith Haring collaboration could span various footwear types; no specific type stated."}],"audience_intent":[{"value":"women","evidence_type":"explicit","source_span":"women","fact_ids":[],"rationale":"Term explicitly states women."}],"brand":[{"value":"fitflop","evidence_type":"explicit","source_span":"fitflop","fact_ids":[],"rationale":"Term explicitly names the FitFlop brand. Product baseline brand is joomra."}]}</x:v>
      </x:c>
      <x:c r="Y1419" s="15" t="str"/>
      <x:c r="Z1419" s="10" t="str">
        <x:v>mismatch</x:v>
      </x:c>
      <x:c r="AA1419" s="15" t="str">
        <x:v>title_womens_flip_flop</x:v>
      </x:c>
      <x:c r="AB1419" s="10" t="str">
        <x:v>accepted</x:v>
      </x:c>
      <x:c r="AC1419" s="10" t="str">
        <x:v>1.0.0</x:v>
      </x:c>
      <x:c r="AD1419" s="10" t="str">
        <x:v>1.0.0</x:v>
      </x:c>
      <x:c r="AE1419" s="10" t="str">
        <x:v>deepseek/deepseek-v4-pro</x:v>
      </x:c>
      <x:c r="AF1419" s="10" t="str">
        <x:v>aj2-y90-20260714T234810-0bea2f52</x:v>
      </x:c>
      <x:c r="AG1419" s="10" t="str">
        <x:v>pilot-0004</x:v>
      </x:c>
      <x:c r="AH1419" s="10" t="str">
        <x:v>pilot</x:v>
      </x:c>
      <x:c r="AI1419" s="10" t="n">
        <x:v>4</x:v>
      </x:c>
    </x:row>
    <x:row r="1420" ht="34" customHeight="1">
      <x:c r="A1420" s="16" t="str">
        <x:v>hey dude flip flops for women</x:v>
      </x:c>
      <x:c r="B1420" s="16" t="str">
        <x:v>hey dude flip flops for women</x:v>
      </x:c>
      <x:c r="C1420" s="13" t="str">
        <x:v>e7b014a299d0f375</x:v>
      </x:c>
      <x:c r="D1420" s="13" t="str">
        <x:v>keyword</x:v>
      </x:c>
      <x:c r="E1420" s="13" t="str">
        <x:v>en</x:v>
      </x:c>
      <x:c r="F1420" s="13" t="str">
        <x:v>clothing_shoes_jewelry</x:v>
      </x:c>
      <x:c r="G1420" s="16" t="str"/>
      <x:c r="H1420" s="16" t="str">
        <x:v>flip_flops</x:v>
      </x:c>
      <x:c r="I1420" s="16" t="str">
        <x:v>women</x:v>
      </x:c>
      <x:c r="J1420" s="16" t="str">
        <x:v>everyday_wear</x:v>
      </x:c>
      <x:c r="K1420" s="16" t="str"/>
      <x:c r="L1420" s="16" t="str"/>
      <x:c r="M1420" s="16" t="str"/>
      <x:c r="N1420" s="16" t="str"/>
      <x:c r="O1420" s="16" t="str"/>
      <x:c r="P1420" s="16" t="str"/>
      <x:c r="Q1420" s="16" t="str"/>
      <x:c r="R1420" s="16" t="str">
        <x:v>用户想购买Hey Dude品牌的女式人字拖。</x:v>
      </x:c>
      <x:c r="S1420" s="13" t="str">
        <x:v>brand_harvest</x:v>
      </x:c>
      <x:c r="T1420" s="16" t="str">
        <x:v>explicit | inferred</x:v>
      </x:c>
      <x:c r="U1420" s="13" t="str">
        <x:v>high</x:v>
      </x:c>
      <x:c r="V1420" s="16" t="str">
        <x:v>brand_heydude_flip_flops_women</x:v>
      </x:c>
      <x:c r="W1420" s="16" t="str">
        <x:v>semantic_negative_candidate</x:v>
      </x:c>
      <x:c r="X1420" s="16" t="str">
        <x:v>{"primary_domain":[{"value":"clothing_shoes_jewelry","evidence_type":"inferred","source_span":"flip flops","fact_ids":[],"rationale":"Flip flops belong to the footwear category."}],"product_type":[{"value":"flip_flops","evidence_type":"explicit","source_span":"flip flops","fact_ids":[],"rationale":"Term explicitly requests flip flops."}],"audience_intent":[{"value":"women","evidence_type":"explicit","source_span":"women","fact_ids":[],"rationale":"Term explicitly states for women."}],"brand":[{"value":"hey_dude","evidence_type":"explicit","source_span":"hey dude","fact_ids":[],"rationale":"Term explicitly requests Hey Dude brand. Product baseline brand is joomra."}]}</x:v>
      </x:c>
      <x:c r="Y1420" s="16" t="str"/>
      <x:c r="Z1420" s="13" t="str">
        <x:v>mismatch</x:v>
      </x:c>
      <x:c r="AA1420" s="16" t="str">
        <x:v>title_womens_flip_flop | style_flip_flop</x:v>
      </x:c>
      <x:c r="AB1420" s="13" t="str">
        <x:v>accepted</x:v>
      </x:c>
      <x:c r="AC1420" s="13" t="str">
        <x:v>1.0.0</x:v>
      </x:c>
      <x:c r="AD1420" s="13" t="str">
        <x:v>1.0.0</x:v>
      </x:c>
      <x:c r="AE1420" s="13" t="str">
        <x:v>deepseek/deepseek-v4-pro</x:v>
      </x:c>
      <x:c r="AF1420" s="13" t="str">
        <x:v>aj2-y90-20260714T234810-0bea2f52</x:v>
      </x:c>
      <x:c r="AG1420" s="13" t="str">
        <x:v>pilot-0004</x:v>
      </x:c>
      <x:c r="AH1420" s="13" t="str">
        <x:v>pilot</x:v>
      </x:c>
      <x:c r="AI1420" s="13" t="n">
        <x:v>4</x:v>
      </x:c>
    </x:row>
    <x:row r="1421" ht="34" customHeight="1">
      <x:c r="A1421" s="15" t="str">
        <x:v>fitflop flip flops women size 9</x:v>
      </x:c>
      <x:c r="B1421" s="15" t="str">
        <x:v>fitflop flip flops women size 9</x:v>
      </x:c>
      <x:c r="C1421" s="10" t="str">
        <x:v>fa687f92e11b7e03</x:v>
      </x:c>
      <x:c r="D1421" s="10" t="str">
        <x:v>keyword</x:v>
      </x:c>
      <x:c r="E1421" s="10" t="str">
        <x:v>en</x:v>
      </x:c>
      <x:c r="F1421" s="10" t="str">
        <x:v>clothing_shoes_jewelry</x:v>
      </x:c>
      <x:c r="G1421" s="15" t="str"/>
      <x:c r="H1421" s="15" t="str">
        <x:v>flip_flops</x:v>
      </x:c>
      <x:c r="I1421" s="15" t="str">
        <x:v>women</x:v>
      </x:c>
      <x:c r="J1421" s="15" t="str">
        <x:v>foot_comfort</x:v>
      </x:c>
      <x:c r="K1421" s="15" t="str"/>
      <x:c r="L1421" s="15" t="str"/>
      <x:c r="M1421" s="15" t="str"/>
      <x:c r="N1421" s="15" t="str"/>
      <x:c r="O1421" s="15" t="str"/>
      <x:c r="P1421" s="15" t="str"/>
      <x:c r="Q1421" s="15" t="str"/>
      <x:c r="R1421" s="15" t="str">
        <x:v>用户寻找FitFlop品牌的9码女式人字拖。</x:v>
      </x:c>
      <x:c r="S1421" s="10" t="str">
        <x:v>brand_harvest</x:v>
      </x:c>
      <x:c r="T1421" s="15" t="str">
        <x:v>explicit | inferred</x:v>
      </x:c>
      <x:c r="U1421" s="10" t="str">
        <x:v>high</x:v>
      </x:c>
      <x:c r="V1421" s="15" t="str">
        <x:v>brand_fitflop_flip_flops_women</x:v>
      </x:c>
      <x:c r="W1421" s="15" t="str">
        <x:v>semantic_negative_candidate</x:v>
      </x:c>
      <x:c r="X1421" s="15" t="str">
        <x:v>{"primary_domain":[{"value":"clothing_shoes_jewelry","evidence_type":"inferred","source_span":"flip flops","fact_ids":[],"rationale":"Flip flops belong to the footwear category."}],"product_type":[{"value":"flip_flops","evidence_type":"explicit","source_span":"flip flops","fact_ids":[],"rationale":"Term explicitly requests flip flops."}],"audience_intent":[{"value":"women","evidence_type":"explicit","source_span":"women","fact_ids":[],"rationale":"Term explicitly states women."}],"brand":[{"value":"fitflop","evidence_type":"explicit","source_span":"fitflop","fact_ids":[],"rationale":"Term explicitly names the FitFlop brand. Product baseline brand is joomra."}],"size":[{"value":"9","evidence_type":"explicit","source_span":"size 9","fact_ids":[],"rationale":"Term explicitly requests size 9. Page fact sizes_6_11 includes size 9 but brand mismatch overrides."}]}</x:v>
      </x:c>
      <x:c r="Y1421" s="15" t="str"/>
      <x:c r="Z1421" s="10" t="str">
        <x:v>mismatch</x:v>
      </x:c>
      <x:c r="AA1421" s="15" t="str">
        <x:v>title_womens_flip_flop | style_flip_flop | sizes_6_11</x:v>
      </x:c>
      <x:c r="AB1421" s="10" t="str">
        <x:v>accepted</x:v>
      </x:c>
      <x:c r="AC1421" s="10" t="str">
        <x:v>1.0.0</x:v>
      </x:c>
      <x:c r="AD1421" s="10" t="str">
        <x:v>1.0.0</x:v>
      </x:c>
      <x:c r="AE1421" s="10" t="str">
        <x:v>deepseek/deepseek-v4-pro</x:v>
      </x:c>
      <x:c r="AF1421" s="10" t="str">
        <x:v>aj2-y90-20260714T234810-0bea2f52</x:v>
      </x:c>
      <x:c r="AG1421" s="10" t="str">
        <x:v>pilot-0004</x:v>
      </x:c>
      <x:c r="AH1421" s="10" t="str">
        <x:v>pilot</x:v>
      </x:c>
      <x:c r="AI1421" s="10" t="n">
        <x:v>4</x:v>
      </x:c>
    </x:row>
    <x:row r="1422" ht="34" customHeight="1">
      <x:c r="A1422" s="16" t="str">
        <x:v>slipper summer</x:v>
      </x:c>
      <x:c r="B1422" s="16" t="str">
        <x:v>slipper summer</x:v>
      </x:c>
      <x:c r="C1422" s="13" t="str">
        <x:v>03b6e9f670122727</x:v>
      </x:c>
      <x:c r="D1422" s="13" t="str">
        <x:v>keyword</x:v>
      </x:c>
      <x:c r="E1422" s="13" t="str">
        <x:v>en</x:v>
      </x:c>
      <x:c r="F1422" s="13" t="str">
        <x:v>clothing_shoes_jewelry</x:v>
      </x:c>
      <x:c r="G1422" s="16" t="str"/>
      <x:c r="H1422" s="16" t="str">
        <x:v>slippers</x:v>
      </x:c>
      <x:c r="I1422" s="16" t="str"/>
      <x:c r="J1422" s="16" t="str"/>
      <x:c r="K1422" s="16" t="str"/>
      <x:c r="L1422" s="16" t="str"/>
      <x:c r="M1422" s="16" t="str"/>
      <x:c r="N1422" s="16" t="str"/>
      <x:c r="O1422" s="16" t="str">
        <x:v>summer</x:v>
      </x:c>
      <x:c r="P1422" s="16" t="str"/>
      <x:c r="Q1422" s="16" t="str"/>
      <x:c r="R1422" s="16" t="str">
        <x:v>用户需要在夏季穿着的拖鞋。</x:v>
      </x:c>
      <x:c r="S1422" s="13" t="str">
        <x:v>exploration</x:v>
      </x:c>
      <x:c r="T1422" s="16" t="str">
        <x:v>explicit | page_validated</x:v>
      </x:c>
      <x:c r="U1422" s="13" t="str">
        <x:v>medium</x:v>
      </x:c>
      <x:c r="V1422" s="16" t="str">
        <x:v>summer_slippers</x:v>
      </x:c>
      <x:c r="W1422" s="16" t="str">
        <x:v>cluster_route</x:v>
      </x:c>
      <x:c r="X1422" s="16" t="str">
        <x:v>{"primary_domain":[{"value":"clothing_shoes_jewelry","evidence_type":"inferred","source_span":"slipper","fact_ids":[],"rationale":"Slippers are footwear, which belongs to the clothing/shoes/jewelry domain."}],"product_type":[{"value":"slippers","evidence_type":"explicit","source_span":"slipper","fact_ids":[],"rationale":"Term explicitly says slipper; product is a lightweight EVA flip flop appropriate for summer casual wear."}],"time_intent":[{"value":"summer","evidence_type":"explicit","source_span":"summer","fact_ids":[],"rationale":"Term explicitly mentions summer as the seasonal context."}]}</x:v>
      </x:c>
      <x:c r="Y1422" s="16" t="str"/>
      <x:c r="Z1422" s="13" t="str">
        <x:v>partial_match</x:v>
      </x:c>
      <x:c r="AA1422" s="16" t="str">
        <x:v>style_flip_flop | lightweight_breathable</x:v>
      </x:c>
      <x:c r="AB1422" s="13" t="str">
        <x:v>accepted</x:v>
      </x:c>
      <x:c r="AC1422" s="13" t="str">
        <x:v>1.0.0</x:v>
      </x:c>
      <x:c r="AD1422" s="13" t="str">
        <x:v>1.0.0</x:v>
      </x:c>
      <x:c r="AE1422" s="13" t="str">
        <x:v>deepseek/deepseek-v4-pro</x:v>
      </x:c>
      <x:c r="AF1422" s="13" t="str">
        <x:v>aj2-y90-20260714T234810-0bea2f52</x:v>
      </x:c>
      <x:c r="AG1422" s="13" t="str">
        <x:v>pilot-0005</x:v>
      </x:c>
      <x:c r="AH1422" s="13" t="str">
        <x:v>pilot</x:v>
      </x:c>
      <x:c r="AI1422" s="13" t="n">
        <x:v>5</x:v>
      </x:c>
    </x:row>
    <x:row r="1423" ht="34" customHeight="1">
      <x:c r="A1423" s="15" t="str">
        <x:v>womens black flip flop</x:v>
      </x:c>
      <x:c r="B1423" s="15" t="str">
        <x:v>womens black flip flop</x:v>
      </x:c>
      <x:c r="C1423" s="10" t="str">
        <x:v>04a48dd2dbe53e2f</x:v>
      </x:c>
      <x:c r="D1423" s="10" t="str">
        <x:v>keyword</x:v>
      </x:c>
      <x:c r="E1423" s="10" t="str">
        <x:v>en</x:v>
      </x:c>
      <x:c r="F1423" s="10" t="str">
        <x:v>clothing_shoes_jewelry</x:v>
      </x:c>
      <x:c r="G1423" s="15" t="str"/>
      <x:c r="H1423" s="15" t="str">
        <x:v>flip_flops</x:v>
      </x:c>
      <x:c r="I1423" s="15" t="str">
        <x:v>women</x:v>
      </x:c>
      <x:c r="J1423" s="15" t="str"/>
      <x:c r="K1423" s="15" t="str"/>
      <x:c r="L1423" s="15" t="str"/>
      <x:c r="M1423" s="15" t="str"/>
      <x:c r="N1423" s="15" t="str"/>
      <x:c r="O1423" s="15" t="str"/>
      <x:c r="P1423" s="15" t="str"/>
      <x:c r="Q1423" s="15" t="str"/>
      <x:c r="R1423" s="15" t="str">
        <x:v>女性用户需要一双黑色的夹脚拖鞋。</x:v>
      </x:c>
      <x:c r="S1423" s="10" t="str">
        <x:v>high_intent</x:v>
      </x:c>
      <x:c r="T1423" s="15" t="str">
        <x:v>explicit | page_validated</x:v>
      </x:c>
      <x:c r="U1423" s="10" t="str">
        <x:v>high</x:v>
      </x:c>
      <x:c r="V1423" s="15" t="str">
        <x:v>womens_black_flip_flops</x:v>
      </x:c>
      <x:c r="W1423" s="15" t="str">
        <x:v>cluster_route</x:v>
      </x:c>
      <x:c r="X1423" s="15" t="str">
        <x:v>{"primary_domain":[{"value":"clothing_shoes_jewelry","evidence_type":"inferred","source_span":"flip flop","fact_ids":[],"rationale":"Flip flops are footwear, which belongs to the clothing/shoes/jewelry domain."}],"product_type":[{"value":"flip_flops","evidence_type":"explicit","source_span":"flip flop","fact_ids":["style_flip_flop"],"rationale":"Term explicitly mentions flip flop; page validates flip flop style."}],"audience_intent":[{"value":"women","evidence_type":"explicit","source_span":"womens","fact_ids":["title_womens_flip_flop"],"rationale":"Term explicitly targets women; product title confirms women's flip flop."}]}</x:v>
      </x:c>
      <x:c r="Y1423" s="15" t="str"/>
      <x:c r="Z1423" s="10" t="str">
        <x:v>match</x:v>
      </x:c>
      <x:c r="AA1423" s="15" t="str">
        <x:v>title_womens_flip_flop | style_flip_flop | colors_visible</x:v>
      </x:c>
      <x:c r="AB1423" s="10" t="str">
        <x:v>accepted</x:v>
      </x:c>
      <x:c r="AC1423" s="10" t="str">
        <x:v>1.0.0</x:v>
      </x:c>
      <x:c r="AD1423" s="10" t="str">
        <x:v>1.0.0</x:v>
      </x:c>
      <x:c r="AE1423" s="10" t="str">
        <x:v>deepseek/deepseek-v4-pro</x:v>
      </x:c>
      <x:c r="AF1423" s="10" t="str">
        <x:v>aj2-y90-20260714T234810-0bea2f52</x:v>
      </x:c>
      <x:c r="AG1423" s="10" t="str">
        <x:v>pilot-0005</x:v>
      </x:c>
      <x:c r="AH1423" s="10" t="str">
        <x:v>pilot</x:v>
      </x:c>
      <x:c r="AI1423" s="10" t="n">
        <x:v>5</x:v>
      </x:c>
    </x:row>
    <x:row r="1424" ht="34" customHeight="1">
      <x:c r="A1424" s="16" t="str">
        <x:v>summer samd;es fpr wp,em</x:v>
      </x:c>
      <x:c r="B1424" s="16" t="str">
        <x:v>summer samd;es fpr wp,em</x:v>
      </x:c>
      <x:c r="C1424" s="13" t="str">
        <x:v>31c067a20949fcf6</x:v>
      </x:c>
      <x:c r="D1424" s="13" t="str">
        <x:v>keyword</x:v>
      </x:c>
      <x:c r="E1424" s="13" t="str">
        <x:v>en</x:v>
      </x:c>
      <x:c r="F1424" s="13" t="str">
        <x:v>clothing_shoes_jewelry</x:v>
      </x:c>
      <x:c r="G1424" s="16" t="str"/>
      <x:c r="H1424" s="16" t="str">
        <x:v>sandals</x:v>
      </x:c>
      <x:c r="I1424" s="16" t="str">
        <x:v>women</x:v>
      </x:c>
      <x:c r="J1424" s="16" t="str"/>
      <x:c r="K1424" s="16" t="str"/>
      <x:c r="L1424" s="16" t="str"/>
      <x:c r="M1424" s="16" t="str"/>
      <x:c r="N1424" s="16" t="str"/>
      <x:c r="O1424" s="16" t="str">
        <x:v>summer</x:v>
      </x:c>
      <x:c r="P1424" s="16" t="str"/>
      <x:c r="Q1424" s="16" t="str"/>
      <x:c r="R1424" s="16" t="str">
        <x:v>女性用户需要一双适合夏季穿着的凉鞋。</x:v>
      </x:c>
      <x:c r="S1424" s="13" t="str">
        <x:v>exploration</x:v>
      </x:c>
      <x:c r="T1424" s="16" t="str">
        <x:v>explicit | inferred</x:v>
      </x:c>
      <x:c r="U1424" s="13" t="str">
        <x:v>low</x:v>
      </x:c>
      <x:c r="V1424" s="16" t="str">
        <x:v>summer_sandals_women</x:v>
      </x:c>
      <x:c r="W1424" s="16" t="str">
        <x:v>ambiguity_review</x:v>
      </x:c>
      <x:c r="X1424" s="16" t="str">
        <x:v>{"primary_domain":[{"value":"clothing_shoes_jewelry","evidence_type":"inferred","source_span":"samd;es","fact_ids":[],"rationale":"Garbled term likely intending sandals, which are footwear in the clothing/shoes/jewelry domain."}],"product_type":[{"value":"sandals","evidence_type":"inferred","source_span":"samd;es","fact_ids":[],"rationale":"samd;es most likely is a garbled rendering of sandals with keyboard errors."}],"audience_intent":[{"value":"women","evidence_type":"inferred","source_span":"wp,em","fact_ids":[],"rationale":"wp,em most likely garbled rendering of women with keyboard errors."}],"time_intent":[{"value":"summer","evidence_type":"explicit","source_span":"summer","fact_ids":[],"rationale":"The word summer is clearly legible in the term."}]}</x:v>
      </x:c>
      <x:c r="Y1424" s="16" t="str">
        <x:v>typo_or_autocorrect | garbled_input</x:v>
      </x:c>
      <x:c r="Z1424" s="13" t="str">
        <x:v>unknown</x:v>
      </x:c>
      <x:c r="AA1424" s="16" t="str"/>
      <x:c r="AB1424" s="13" t="str">
        <x:v>accepted</x:v>
      </x:c>
      <x:c r="AC1424" s="13" t="str">
        <x:v>1.0.0</x:v>
      </x:c>
      <x:c r="AD1424" s="13" t="str">
        <x:v>1.0.0</x:v>
      </x:c>
      <x:c r="AE1424" s="13" t="str">
        <x:v>deepseek/deepseek-v4-pro</x:v>
      </x:c>
      <x:c r="AF1424" s="13" t="str">
        <x:v>aj2-y90-20260714T234810-0bea2f52</x:v>
      </x:c>
      <x:c r="AG1424" s="13" t="str">
        <x:v>pilot-0005</x:v>
      </x:c>
      <x:c r="AH1424" s="13" t="str">
        <x:v>pilot</x:v>
      </x:c>
      <x:c r="AI1424" s="13" t="n">
        <x:v>5</x:v>
      </x:c>
    </x:row>
    <x:row r="1425" ht="34" customHeight="1">
      <x:c r="A1425" s="15" t="str">
        <x:v>women’s black flip-flops</x:v>
      </x:c>
      <x:c r="B1425" s="15" t="str">
        <x:v>women’s black flip-flops</x:v>
      </x:c>
      <x:c r="C1425" s="10" t="str">
        <x:v>4cbf93212c06b080</x:v>
      </x:c>
      <x:c r="D1425" s="10" t="str">
        <x:v>keyword</x:v>
      </x:c>
      <x:c r="E1425" s="10" t="str">
        <x:v>en</x:v>
      </x:c>
      <x:c r="F1425" s="10" t="str">
        <x:v>clothing_shoes_jewelry</x:v>
      </x:c>
      <x:c r="G1425" s="15" t="str"/>
      <x:c r="H1425" s="15" t="str">
        <x:v>flip_flops</x:v>
      </x:c>
      <x:c r="I1425" s="15" t="str">
        <x:v>women</x:v>
      </x:c>
      <x:c r="J1425" s="15" t="str"/>
      <x:c r="K1425" s="15" t="str"/>
      <x:c r="L1425" s="15" t="str"/>
      <x:c r="M1425" s="15" t="str"/>
      <x:c r="N1425" s="15" t="str"/>
      <x:c r="O1425" s="15" t="str"/>
      <x:c r="P1425" s="15" t="str"/>
      <x:c r="Q1425" s="15" t="str"/>
      <x:c r="R1425" s="15" t="str">
        <x:v>女性用户需要一双黑色的夹脚拖鞋。</x:v>
      </x:c>
      <x:c r="S1425" s="10" t="str">
        <x:v>high_intent</x:v>
      </x:c>
      <x:c r="T1425" s="15" t="str">
        <x:v>explicit | page_validated</x:v>
      </x:c>
      <x:c r="U1425" s="10" t="str">
        <x:v>high</x:v>
      </x:c>
      <x:c r="V1425" s="15" t="str">
        <x:v>womens_black_flip_flops</x:v>
      </x:c>
      <x:c r="W1425" s="15" t="str">
        <x:v>cluster_route</x:v>
      </x:c>
      <x:c r="X1425" s="15" t="str">
        <x:v>{"primary_domain":[{"value":"clothing_shoes_jewelry","evidence_type":"inferred","source_span":"flip-flops","fact_ids":[],"rationale":"Flip flops are footwear, which belongs to the clothing/shoes/jewelry domain."}],"product_type":[{"value":"flip_flops","evidence_type":"explicit","source_span":"flip-flops","fact_ids":["style_flip_flop"],"rationale":"Term explicitly mentions flip-flops; page validates flip flop style."}],"audience_intent":[{"value":"women","evidence_type":"explicit","source_span":"women’s","fact_ids":["title_womens_flip_flop"],"rationale":"Term explicitly targets women; product title confirms women's flip flop."}]}</x:v>
      </x:c>
      <x:c r="Y1425" s="15" t="str"/>
      <x:c r="Z1425" s="10" t="str">
        <x:v>match</x:v>
      </x:c>
      <x:c r="AA1425" s="15" t="str">
        <x:v>title_womens_flip_flop | style_flip_flop | colors_visible</x:v>
      </x:c>
      <x:c r="AB1425" s="10" t="str">
        <x:v>accepted</x:v>
      </x:c>
      <x:c r="AC1425" s="10" t="str">
        <x:v>1.0.0</x:v>
      </x:c>
      <x:c r="AD1425" s="10" t="str">
        <x:v>1.0.0</x:v>
      </x:c>
      <x:c r="AE1425" s="10" t="str">
        <x:v>deepseek/deepseek-v4-pro</x:v>
      </x:c>
      <x:c r="AF1425" s="10" t="str">
        <x:v>aj2-y90-20260714T234810-0bea2f52</x:v>
      </x:c>
      <x:c r="AG1425" s="10" t="str">
        <x:v>pilot-0005</x:v>
      </x:c>
      <x:c r="AH1425" s="10" t="str">
        <x:v>pilot</x:v>
      </x:c>
      <x:c r="AI1425" s="10" t="n">
        <x:v>5</x:v>
      </x:c>
    </x:row>
    <x:row r="1426" ht="34" customHeight="1">
      <x:c r="A1426" s="16" t="str">
        <x:v>slippers for women beach</x:v>
      </x:c>
      <x:c r="B1426" s="16" t="str">
        <x:v>slippers for women beach</x:v>
      </x:c>
      <x:c r="C1426" s="13" t="str">
        <x:v>54e2b5fbc55de2e8</x:v>
      </x:c>
      <x:c r="D1426" s="13" t="str">
        <x:v>keyword</x:v>
      </x:c>
      <x:c r="E1426" s="13" t="str">
        <x:v>en</x:v>
      </x:c>
      <x:c r="F1426" s="13" t="str">
        <x:v>clothing_shoes_jewelry</x:v>
      </x:c>
      <x:c r="G1426" s="16" t="str">
        <x:v>sports_outdoors</x:v>
      </x:c>
      <x:c r="H1426" s="16" t="str">
        <x:v>slippers</x:v>
      </x:c>
      <x:c r="I1426" s="16" t="str">
        <x:v>women</x:v>
      </x:c>
      <x:c r="J1426" s="16" t="str"/>
      <x:c r="K1426" s="16" t="str"/>
      <x:c r="L1426" s="16" t="str">
        <x:v>beach</x:v>
      </x:c>
      <x:c r="M1426" s="16" t="str">
        <x:v>beach</x:v>
      </x:c>
      <x:c r="N1426" s="16" t="str"/>
      <x:c r="O1426" s="16" t="str"/>
      <x:c r="P1426" s="16" t="str"/>
      <x:c r="Q1426" s="16" t="str"/>
      <x:c r="R1426" s="16" t="str">
        <x:v>女性用户需要一双适合在沙滩穿着的拖鞋。</x:v>
      </x:c>
      <x:c r="S1426" s="13" t="str">
        <x:v>exploration</x:v>
      </x:c>
      <x:c r="T1426" s="16" t="str">
        <x:v>explicit | page_validated</x:v>
      </x:c>
      <x:c r="U1426" s="13" t="str">
        <x:v>medium</x:v>
      </x:c>
      <x:c r="V1426" s="16" t="str">
        <x:v>womens_beach_slippers</x:v>
      </x:c>
      <x:c r="W1426" s="16" t="str">
        <x:v>cluster_route</x:v>
      </x:c>
      <x:c r="X1426" s="16" t="str">
        <x:v>{"primary_domain":[{"value":"clothing_shoes_jewelry","evidence_type":"inferred","source_span":"slippers","fact_ids":[],"rationale":"Slippers are footwear, which belongs to the clothing/shoes/jewelry domain."}],"product_type":[{"value":"slippers","evidence_type":"explicit","source_span":"slippers","fact_ids":[],"rationale":"Term explicitly says slippers; product is a flip flop which serves as beach-appropriate slide-on footwear."}],"audience_intent":[{"value":"women","evidence_type":"explicit","source_span":"women","fact_ids":["title_womens_flip_flop"],"rationale":"Term explicitly targets women; product title confirms women's flip flop."}],"event_intent":[{"value":"beach","evidence_type":"explicit","source_span":"beach","fact_ids":[],"rationale":"Term explicitly mentions beach as activity context."}],"location_intent":[{"value":"beach","evidence_type":"explicit","source_span":"beach","fact_ids":[],"rationale":"Term explicitly mentions beach as place of use."}]}</x:v>
      </x:c>
      <x:c r="Y1426" s="16" t="str"/>
      <x:c r="Z1426" s="13" t="str">
        <x:v>match</x:v>
      </x:c>
      <x:c r="AA1426" s="16" t="str">
        <x:v>title_womens_flip_flop | style_flip_flop | style_outdoor | easy_clean</x:v>
      </x:c>
      <x:c r="AB1426" s="13" t="str">
        <x:v>accepted</x:v>
      </x:c>
      <x:c r="AC1426" s="13" t="str">
        <x:v>1.0.0</x:v>
      </x:c>
      <x:c r="AD1426" s="13" t="str">
        <x:v>1.0.0</x:v>
      </x:c>
      <x:c r="AE1426" s="13" t="str">
        <x:v>deepseek/deepseek-v4-pro</x:v>
      </x:c>
      <x:c r="AF1426" s="13" t="str">
        <x:v>aj2-y90-20260714T234810-0bea2f52</x:v>
      </x:c>
      <x:c r="AG1426" s="13" t="str">
        <x:v>pilot-0005</x:v>
      </x:c>
      <x:c r="AH1426" s="13" t="str">
        <x:v>pilot</x:v>
      </x:c>
      <x:c r="AI1426" s="13" t="n">
        <x:v>5</x:v>
      </x:c>
    </x:row>
    <x:row r="1427" ht="34" customHeight="1">
      <x:c r="A1427" s="15" t="str">
        <x:v>outdoor flip flops</x:v>
      </x:c>
      <x:c r="B1427" s="15" t="str">
        <x:v>outdoor flip flops</x:v>
      </x:c>
      <x:c r="C1427" s="10" t="str">
        <x:v>615e32dbc84f3afc</x:v>
      </x:c>
      <x:c r="D1427" s="10" t="str">
        <x:v>keyword</x:v>
      </x:c>
      <x:c r="E1427" s="10" t="str">
        <x:v>en</x:v>
      </x:c>
      <x:c r="F1427" s="10" t="str">
        <x:v>clothing_shoes_jewelry</x:v>
      </x:c>
      <x:c r="G1427" s="15" t="str">
        <x:v>sports_outdoors</x:v>
      </x:c>
      <x:c r="H1427" s="15" t="str">
        <x:v>flip_flops</x:v>
      </x:c>
      <x:c r="I1427" s="15" t="str"/>
      <x:c r="J1427" s="15" t="str"/>
      <x:c r="K1427" s="15" t="str"/>
      <x:c r="L1427" s="15" t="str"/>
      <x:c r="M1427" s="15" t="str">
        <x:v>outdoor</x:v>
      </x:c>
      <x:c r="N1427" s="15" t="str"/>
      <x:c r="O1427" s="15" t="str"/>
      <x:c r="P1427" s="15" t="str"/>
      <x:c r="Q1427" s="15" t="str"/>
      <x:c r="R1427" s="15" t="str">
        <x:v>用户需要一双适合户外穿着的夹脚拖鞋。</x:v>
      </x:c>
      <x:c r="S1427" s="10" t="str">
        <x:v>exploration</x:v>
      </x:c>
      <x:c r="T1427" s="15" t="str">
        <x:v>explicit | page_validated</x:v>
      </x:c>
      <x:c r="U1427" s="10" t="str">
        <x:v>high</x:v>
      </x:c>
      <x:c r="V1427" s="15" t="str">
        <x:v>outdoor_flip_flops</x:v>
      </x:c>
      <x:c r="W1427" s="15" t="str">
        <x:v>cluster_route</x:v>
      </x:c>
      <x:c r="X1427" s="15" t="str">
        <x:v>{"primary_domain":[{"value":"clothing_shoes_jewelry","evidence_type":"inferred","source_span":"flip flops","fact_ids":[],"rationale":"Flip flops are footwear, which belongs to the clothing/shoes/jewelry domain."}],"product_type":[{"value":"flip_flops","evidence_type":"explicit","source_span":"flip flops","fact_ids":["style_flip_flop"],"rationale":"Term explicitly mentions flip flops; page validates flip flop style."}],"location_intent":[{"value":"outdoor","evidence_type":"explicit","source_span":"outdoor","fact_ids":["style_outdoor"],"rationale":"Term explicitly mentions outdoor; page confirms outdoor lifestyle."}]}</x:v>
      </x:c>
      <x:c r="Y1427" s="15" t="str"/>
      <x:c r="Z1427" s="10" t="str">
        <x:v>match</x:v>
      </x:c>
      <x:c r="AA1427" s="15" t="str">
        <x:v>style_flip_flop | style_outdoor</x:v>
      </x:c>
      <x:c r="AB1427" s="10" t="str">
        <x:v>accepted</x:v>
      </x:c>
      <x:c r="AC1427" s="10" t="str">
        <x:v>1.0.0</x:v>
      </x:c>
      <x:c r="AD1427" s="10" t="str">
        <x:v>1.0.0</x:v>
      </x:c>
      <x:c r="AE1427" s="10" t="str">
        <x:v>deepseek/deepseek-v4-pro</x:v>
      </x:c>
      <x:c r="AF1427" s="10" t="str">
        <x:v>aj2-y90-20260714T234810-0bea2f52</x:v>
      </x:c>
      <x:c r="AG1427" s="10" t="str">
        <x:v>pilot-0005</x:v>
      </x:c>
      <x:c r="AH1427" s="10" t="str">
        <x:v>pilot</x:v>
      </x:c>
      <x:c r="AI1427" s="10" t="n">
        <x:v>5</x:v>
      </x:c>
    </x:row>
    <x:row r="1428" ht="34" customHeight="1">
      <x:c r="A1428" s="16" t="str">
        <x:v>black dress flip flops for women</x:v>
      </x:c>
      <x:c r="B1428" s="16" t="str">
        <x:v>black dress flip flops for women</x:v>
      </x:c>
      <x:c r="C1428" s="13" t="str">
        <x:v>65cc8c7887b54a9e</x:v>
      </x:c>
      <x:c r="D1428" s="13" t="str">
        <x:v>keyword</x:v>
      </x:c>
      <x:c r="E1428" s="13" t="str">
        <x:v>en</x:v>
      </x:c>
      <x:c r="F1428" s="13" t="str">
        <x:v>clothing_shoes_jewelry</x:v>
      </x:c>
      <x:c r="G1428" s="16" t="str"/>
      <x:c r="H1428" s="16" t="str">
        <x:v>flip_flops</x:v>
      </x:c>
      <x:c r="I1428" s="16" t="str">
        <x:v>women</x:v>
      </x:c>
      <x:c r="J1428" s="16" t="str">
        <x:v>dressy_appearance</x:v>
      </x:c>
      <x:c r="K1428" s="16" t="str"/>
      <x:c r="L1428" s="16" t="str">
        <x:v>dress_occasions</x:v>
      </x:c>
      <x:c r="M1428" s="16" t="str"/>
      <x:c r="N1428" s="16" t="str"/>
      <x:c r="O1428" s="16" t="str"/>
      <x:c r="P1428" s="16" t="str"/>
      <x:c r="Q1428" s="16" t="str"/>
      <x:c r="R1428" s="16" t="str">
        <x:v>女性用户需要一双黑色的适合正式场合穿着的夹脚拖鞋。</x:v>
      </x:c>
      <x:c r="S1428" s="13" t="str">
        <x:v>high_intent</x:v>
      </x:c>
      <x:c r="T1428" s="16" t="str">
        <x:v>explicit | page_validated | inferred</x:v>
      </x:c>
      <x:c r="U1428" s="13" t="str">
        <x:v>medium</x:v>
      </x:c>
      <x:c r="V1428" s="16" t="str">
        <x:v>womens_black_dress_flip_flops</x:v>
      </x:c>
      <x:c r="W1428" s="16" t="str">
        <x:v>listing_gap_review</x:v>
      </x:c>
      <x:c r="X1428" s="16" t="str">
        <x:v>{"primary_domain":[{"value":"clothing_shoes_jewelry","evidence_type":"inferred","source_span":"flip flops","fact_ids":[],"rationale":"Flip flops are footwear, which belongs to the clothing/shoes/jewelry domain."}],"product_type":[{"value":"flip_flops","evidence_type":"explicit","source_span":"flip flops","fact_ids":["style_flip_flop"],"rationale":"Term explicitly mentions flip flops; page validates flip flop style."}],"audience_intent":[{"value":"women","evidence_type":"explicit","source_span":"women","fact_ids":["title_womens_flip_flop"],"rationale":"Term explicitly targets women; product title confirms women's flip flop."}],"function_intent":[{"value":"dressy_appearance","evidence_type":"inferred","source_span":"dress","fact_ids":[],"rationale":"dress modifies flip flops implying a more elegant style; product is positioned as outdoor/functional rather than dressy."}],"event_intent":[{"value":"dress_occasions","evidence_type":"inferred","source_span":"dress","fact_ids":[],"rationale":"dress implies formal or semi-formal occasions; product is an outdoor casual flip flop."}]}</x:v>
      </x:c>
      <x:c r="Y1428" s="16" t="str"/>
      <x:c r="Z1428" s="13" t="str">
        <x:v>partial_match</x:v>
      </x:c>
      <x:c r="AA1428" s="16" t="str">
        <x:v>title_womens_flip_flop | style_flip_flop | colors_visible</x:v>
      </x:c>
      <x:c r="AB1428" s="13" t="str">
        <x:v>accepted</x:v>
      </x:c>
      <x:c r="AC1428" s="13" t="str">
        <x:v>1.0.0</x:v>
      </x:c>
      <x:c r="AD1428" s="13" t="str">
        <x:v>1.0.0</x:v>
      </x:c>
      <x:c r="AE1428" s="13" t="str">
        <x:v>deepseek/deepseek-v4-pro</x:v>
      </x:c>
      <x:c r="AF1428" s="13" t="str">
        <x:v>aj2-y90-20260714T234810-0bea2f52</x:v>
      </x:c>
      <x:c r="AG1428" s="13" t="str">
        <x:v>pilot-0005</x:v>
      </x:c>
      <x:c r="AH1428" s="13" t="str">
        <x:v>pilot</x:v>
      </x:c>
      <x:c r="AI1428" s="13" t="n">
        <x:v>5</x:v>
      </x:c>
    </x:row>
    <x:row r="1429" ht="34" customHeight="1">
      <x:c r="A1429" s="15" t="str">
        <x:v>eva flip flops women</x:v>
      </x:c>
      <x:c r="B1429" s="15" t="str">
        <x:v>eva flip flops women</x:v>
      </x:c>
      <x:c r="C1429" s="10" t="str">
        <x:v>6947dfac85528a15</x:v>
      </x:c>
      <x:c r="D1429" s="10" t="str">
        <x:v>keyword</x:v>
      </x:c>
      <x:c r="E1429" s="10" t="str">
        <x:v>en</x:v>
      </x:c>
      <x:c r="F1429" s="10" t="str">
        <x:v>clothing_shoes_jewelry</x:v>
      </x:c>
      <x:c r="G1429" s="15" t="str"/>
      <x:c r="H1429" s="15" t="str">
        <x:v>flip_flops</x:v>
      </x:c>
      <x:c r="I1429" s="15" t="str">
        <x:v>women</x:v>
      </x:c>
      <x:c r="J1429" s="15" t="str"/>
      <x:c r="K1429" s="15" t="str"/>
      <x:c r="L1429" s="15" t="str"/>
      <x:c r="M1429" s="15" t="str"/>
      <x:c r="N1429" s="15" t="str"/>
      <x:c r="O1429" s="15" t="str"/>
      <x:c r="P1429" s="15" t="str"/>
      <x:c r="Q1429" s="15" t="str"/>
      <x:c r="R1429" s="15" t="str">
        <x:v>女性用户需要一双EVA材质的夹脚拖鞋。</x:v>
      </x:c>
      <x:c r="S1429" s="10" t="str">
        <x:v>consideration</x:v>
      </x:c>
      <x:c r="T1429" s="15" t="str">
        <x:v>explicit | page_validated</x:v>
      </x:c>
      <x:c r="U1429" s="10" t="str">
        <x:v>high</x:v>
      </x:c>
      <x:c r="V1429" s="15" t="str">
        <x:v>eva_flip_flops_women</x:v>
      </x:c>
      <x:c r="W1429" s="15" t="str">
        <x:v>cluster_route</x:v>
      </x:c>
      <x:c r="X1429" s="15" t="str">
        <x:v>{"primary_domain":[{"value":"clothing_shoes_jewelry","evidence_type":"inferred","source_span":"flip flops","fact_ids":[],"rationale":"Flip flops are footwear, which belongs to the clothing/shoes/jewelry domain."}],"product_type":[{"value":"flip_flops","evidence_type":"explicit","source_span":"flip flops","fact_ids":["style_flip_flop"],"rationale":"Term explicitly mentions flip flops; page validates flip flop style."}],"audience_intent":[{"value":"women","evidence_type":"explicit","source_span":"women","fact_ids":["title_womens_flip_flop"],"rationale":"Term explicitly targets women; product title confirms women's flip flop."}]}</x:v>
      </x:c>
      <x:c r="Y1429" s="15" t="str"/>
      <x:c r="Z1429" s="10" t="str">
        <x:v>match</x:v>
      </x:c>
      <x:c r="AA1429" s="15" t="str">
        <x:v>title_womens_flip_flop | material_eva | style_flip_flop</x:v>
      </x:c>
      <x:c r="AB1429" s="10" t="str">
        <x:v>accepted</x:v>
      </x:c>
      <x:c r="AC1429" s="10" t="str">
        <x:v>1.0.0</x:v>
      </x:c>
      <x:c r="AD1429" s="10" t="str">
        <x:v>1.0.0</x:v>
      </x:c>
      <x:c r="AE1429" s="10" t="str">
        <x:v>deepseek/deepseek-v4-pro</x:v>
      </x:c>
      <x:c r="AF1429" s="10" t="str">
        <x:v>aj2-y90-20260714T234810-0bea2f52</x:v>
      </x:c>
      <x:c r="AG1429" s="10" t="str">
        <x:v>pilot-0005</x:v>
      </x:c>
      <x:c r="AH1429" s="10" t="str">
        <x:v>pilot</x:v>
      </x:c>
      <x:c r="AI1429" s="10" t="n">
        <x:v>5</x:v>
      </x:c>
    </x:row>
    <x:row r="1430" ht="34" customHeight="1">
      <x:c r="A1430" s="16" t="str">
        <x:v>womens dress flip flops</x:v>
      </x:c>
      <x:c r="B1430" s="16" t="str">
        <x:v>womens dress flip flops</x:v>
      </x:c>
      <x:c r="C1430" s="13" t="str">
        <x:v>6fb0e831e232a36f</x:v>
      </x:c>
      <x:c r="D1430" s="13" t="str">
        <x:v>keyword</x:v>
      </x:c>
      <x:c r="E1430" s="13" t="str">
        <x:v>en</x:v>
      </x:c>
      <x:c r="F1430" s="13" t="str">
        <x:v>clothing_shoes_jewelry</x:v>
      </x:c>
      <x:c r="G1430" s="16" t="str"/>
      <x:c r="H1430" s="16" t="str">
        <x:v>flip_flops</x:v>
      </x:c>
      <x:c r="I1430" s="16" t="str">
        <x:v>women</x:v>
      </x:c>
      <x:c r="J1430" s="16" t="str">
        <x:v>dressy_appearance</x:v>
      </x:c>
      <x:c r="K1430" s="16" t="str"/>
      <x:c r="L1430" s="16" t="str">
        <x:v>dress_occasions</x:v>
      </x:c>
      <x:c r="M1430" s="16" t="str"/>
      <x:c r="N1430" s="16" t="str"/>
      <x:c r="O1430" s="16" t="str"/>
      <x:c r="P1430" s="16" t="str"/>
      <x:c r="Q1430" s="16" t="str"/>
      <x:c r="R1430" s="16" t="str">
        <x:v>女性用户需要一双适合正式或半正式场合穿着的优雅夹脚拖鞋。</x:v>
      </x:c>
      <x:c r="S1430" s="13" t="str">
        <x:v>consideration</x:v>
      </x:c>
      <x:c r="T1430" s="16" t="str">
        <x:v>explicit | page_validated | inferred</x:v>
      </x:c>
      <x:c r="U1430" s="13" t="str">
        <x:v>medium</x:v>
      </x:c>
      <x:c r="V1430" s="16" t="str">
        <x:v>womens_dress_flip_flops</x:v>
      </x:c>
      <x:c r="W1430" s="16" t="str">
        <x:v>listing_gap_review</x:v>
      </x:c>
      <x:c r="X1430" s="16" t="str">
        <x:v>{"primary_domain":[{"value":"clothing_shoes_jewelry","evidence_type":"inferred","source_span":"flip flops","fact_ids":[],"rationale":"Flip flops are footwear, which belongs to the clothing/shoes/jewelry domain."}],"product_type":[{"value":"flip_flops","evidence_type":"explicit","source_span":"flip flops","fact_ids":["style_flip_flop"],"rationale":"Term explicitly mentions flip flops; page validates flip flop style."}],"audience_intent":[{"value":"women","evidence_type":"explicit","source_span":"womens","fact_ids":["title_womens_flip_flop"],"rationale":"Term explicitly targets women; product title confirms women's flip flop."}],"function_intent":[{"value":"dressy_appearance","evidence_type":"inferred","source_span":"dress","fact_ids":[],"rationale":"dress modifies flip flops implying a more elegant style; product is positioned as outdoor/functional rather than dressy."}],"event_intent":[{"value":"dress_occasions","evidence_type":"inferred","source_span":"dress","fact_ids":[],"rationale":"dress implies formal or semi-formal occasions; product is an outdoor casual flip flop."}]}</x:v>
      </x:c>
      <x:c r="Y1430" s="16" t="str"/>
      <x:c r="Z1430" s="13" t="str">
        <x:v>partial_match</x:v>
      </x:c>
      <x:c r="AA1430" s="16" t="str">
        <x:v>title_womens_flip_flop | style_flip_flop</x:v>
      </x:c>
      <x:c r="AB1430" s="13" t="str">
        <x:v>accepted</x:v>
      </x:c>
      <x:c r="AC1430" s="13" t="str">
        <x:v>1.0.0</x:v>
      </x:c>
      <x:c r="AD1430" s="13" t="str">
        <x:v>1.0.0</x:v>
      </x:c>
      <x:c r="AE1430" s="13" t="str">
        <x:v>deepseek/deepseek-v4-pro</x:v>
      </x:c>
      <x:c r="AF1430" s="13" t="str">
        <x:v>aj2-y90-20260714T234810-0bea2f52</x:v>
      </x:c>
      <x:c r="AG1430" s="13" t="str">
        <x:v>pilot-0005</x:v>
      </x:c>
      <x:c r="AH1430" s="13" t="str">
        <x:v>pilot</x:v>
      </x:c>
      <x:c r="AI1430" s="13" t="n">
        <x:v>5</x:v>
      </x:c>
    </x:row>
    <x:row r="1431" ht="34" customHeight="1">
      <x:c r="A1431" s="15" t="str">
        <x:v>outdoor flip flops for women</x:v>
      </x:c>
      <x:c r="B1431" s="15" t="str">
        <x:v>outdoor flip flops for women</x:v>
      </x:c>
      <x:c r="C1431" s="10" t="str">
        <x:v>87a3f36c2238a692</x:v>
      </x:c>
      <x:c r="D1431" s="10" t="str">
        <x:v>keyword</x:v>
      </x:c>
      <x:c r="E1431" s="10" t="str">
        <x:v>en</x:v>
      </x:c>
      <x:c r="F1431" s="10" t="str">
        <x:v>clothing_shoes_jewelry</x:v>
      </x:c>
      <x:c r="G1431" s="15" t="str">
        <x:v>sports_outdoors</x:v>
      </x:c>
      <x:c r="H1431" s="15" t="str">
        <x:v>flip_flops</x:v>
      </x:c>
      <x:c r="I1431" s="15" t="str">
        <x:v>women</x:v>
      </x:c>
      <x:c r="J1431" s="15" t="str"/>
      <x:c r="K1431" s="15" t="str"/>
      <x:c r="L1431" s="15" t="str"/>
      <x:c r="M1431" s="15" t="str">
        <x:v>outdoor</x:v>
      </x:c>
      <x:c r="N1431" s="15" t="str"/>
      <x:c r="O1431" s="15" t="str"/>
      <x:c r="P1431" s="15" t="str"/>
      <x:c r="Q1431" s="15" t="str"/>
      <x:c r="R1431" s="15" t="str">
        <x:v>女性用户需要在户外活动中穿着舒适的夹脚拖鞋。</x:v>
      </x:c>
      <x:c r="S1431" s="10" t="str">
        <x:v>exploration</x:v>
      </x:c>
      <x:c r="T1431" s="15" t="str">
        <x:v>explicit | page_validated</x:v>
      </x:c>
      <x:c r="U1431" s="10" t="str">
        <x:v>high</x:v>
      </x:c>
      <x:c r="V1431" s="15" t="str">
        <x:v>outdoor_womens_flip_flops</x:v>
      </x:c>
      <x:c r="W1431" s="15" t="str">
        <x:v>cluster_route</x:v>
      </x:c>
      <x:c r="X1431" s="15" t="str">
        <x:v>{"primary_domain":[{"value":"clothing_shoes_jewelry","evidence_type":"inferred","source_span":"flip flops","fact_ids":[],"rationale":"Flip flops are footwear, which belongs to the clothing/shoes/jewelry domain."}],"product_type":[{"value":"flip_flops","evidence_type":"explicit","source_span":"flip flops","fact_ids":["style_flip_flop"],"rationale":"Term explicitly mentions flip flops; page validates flip flop style."}],"audience_intent":[{"value":"women","evidence_type":"explicit","source_span":"women","fact_ids":["title_womens_flip_flop"],"rationale":"Term explicitly targets women; product title confirms women's flip flop."}],"location_intent":[{"value":"outdoor","evidence_type":"explicit","source_span":"outdoor","fact_ids":["style_outdoor"],"rationale":"Term explicitly mentions outdoor; page confirms outdoor lifestyle."}]}</x:v>
      </x:c>
      <x:c r="Y1431" s="15" t="str"/>
      <x:c r="Z1431" s="10" t="str">
        <x:v>match</x:v>
      </x:c>
      <x:c r="AA1431" s="15" t="str">
        <x:v>title_womens_flip_flop | style_flip_flop | style_outdoor</x:v>
      </x:c>
      <x:c r="AB1431" s="10" t="str">
        <x:v>accepted</x:v>
      </x:c>
      <x:c r="AC1431" s="10" t="str">
        <x:v>1.0.0</x:v>
      </x:c>
      <x:c r="AD1431" s="10" t="str">
        <x:v>1.0.0</x:v>
      </x:c>
      <x:c r="AE1431" s="10" t="str">
        <x:v>deepseek/deepseek-v4-pro</x:v>
      </x:c>
      <x:c r="AF1431" s="10" t="str">
        <x:v>aj2-y90-20260714T234810-0bea2f52</x:v>
      </x:c>
      <x:c r="AG1431" s="10" t="str">
        <x:v>pilot-0005</x:v>
      </x:c>
      <x:c r="AH1431" s="10" t="str">
        <x:v>pilot</x:v>
      </x:c>
      <x:c r="AI1431" s="10" t="n">
        <x:v>5</x:v>
      </x:c>
    </x:row>
    <x:row r="1432" ht="34" customHeight="1">
      <x:c r="A1432" s="16" t="str">
        <x:v>sandler for the beach and pool</x:v>
      </x:c>
      <x:c r="B1432" s="16" t="str">
        <x:v>sandler for the beach and pool</x:v>
      </x:c>
      <x:c r="C1432" s="13" t="str">
        <x:v>9667f34180b61716</x:v>
      </x:c>
      <x:c r="D1432" s="13" t="str">
        <x:v>keyword</x:v>
      </x:c>
      <x:c r="E1432" s="13" t="str">
        <x:v>en</x:v>
      </x:c>
      <x:c r="F1432" s="13" t="str">
        <x:v>clothing_shoes_jewelry</x:v>
      </x:c>
      <x:c r="G1432" s="16" t="str">
        <x:v>sports_outdoors</x:v>
      </x:c>
      <x:c r="H1432" s="16" t="str">
        <x:v>sandals</x:v>
      </x:c>
      <x:c r="I1432" s="16" t="str"/>
      <x:c r="J1432" s="16" t="str"/>
      <x:c r="K1432" s="16" t="str"/>
      <x:c r="L1432" s="16" t="str">
        <x:v>beach | pool</x:v>
      </x:c>
      <x:c r="M1432" s="16" t="str">
        <x:v>beach | pool</x:v>
      </x:c>
      <x:c r="N1432" s="16" t="str"/>
      <x:c r="O1432" s="16" t="str"/>
      <x:c r="P1432" s="16" t="str"/>
      <x:c r="Q1432" s="16" t="str"/>
      <x:c r="R1432" s="16" t="str">
        <x:v>用户需要一双适合在沙滩和泳池穿着的凉鞋，要求能适应潮湿环境。</x:v>
      </x:c>
      <x:c r="S1432" s="13" t="str">
        <x:v>exploration</x:v>
      </x:c>
      <x:c r="T1432" s="16" t="str">
        <x:v>explicit | page_validated | inferred</x:v>
      </x:c>
      <x:c r="U1432" s="13" t="str">
        <x:v>medium</x:v>
      </x:c>
      <x:c r="V1432" s="16" t="str">
        <x:v>beach_pool_sandals</x:v>
      </x:c>
      <x:c r="W1432" s="16" t="str">
        <x:v>listing_gap_review</x:v>
      </x:c>
      <x:c r="X1432" s="16" t="str">
        <x:v>{"primary_domain":[{"value":"clothing_shoes_jewelry","evidence_type":"inferred","source_span":"sandler","fact_ids":[],"rationale":"Sandals are footwear, which belongs to the clothing/shoes/jewelry domain."}],"product_type":[{"value":"sandals","evidence_type":"explicit","source_span":"sandler","fact_ids":["style_flip_flop"],"rationale":"Term says sandler (typo for sandals); page validates a thong sandal style."}],"event_intent":[{"value":"beach","evidence_type":"explicit","source_span":"beach","fact_ids":[],"rationale":"Term explicitly mentions beach."},{"value":"pool","evidence_type":"explicit","source_span":"pool","fact_ids":[],"rationale":"Term explicitly mentions pool."}],"location_intent":[{"value":"beach","evidence_type":"explicit","source_span":"beach","fact_ids":[],"rationale":"Term explicitly mentions beach as location."},{"value":"pool","evidence_type":"explicit","source_span":"pool","fact_ids":[],"rationale":"Term explicitly mentions pool as location."}]}</x:v>
      </x:c>
      <x:c r="Y1432" s="16" t="str">
        <x:v>typo_or_autocorrect</x:v>
      </x:c>
      <x:c r="Z1432" s="13" t="str">
        <x:v>partial_match</x:v>
      </x:c>
      <x:c r="AA1432" s="16" t="str">
        <x:v>title_womens_flip_flop | easy_clean | slip_resistant_grip</x:v>
      </x:c>
      <x:c r="AB1432" s="13" t="str">
        <x:v>accepted</x:v>
      </x:c>
      <x:c r="AC1432" s="13" t="str">
        <x:v>1.0.0</x:v>
      </x:c>
      <x:c r="AD1432" s="13" t="str">
        <x:v>1.0.0</x:v>
      </x:c>
      <x:c r="AE1432" s="13" t="str">
        <x:v>deepseek/deepseek-v4-pro</x:v>
      </x:c>
      <x:c r="AF1432" s="13" t="str">
        <x:v>aj2-y90-20260714T234810-0bea2f52</x:v>
      </x:c>
      <x:c r="AG1432" s="13" t="str">
        <x:v>pilot-0005</x:v>
      </x:c>
      <x:c r="AH1432" s="13" t="str">
        <x:v>pilot</x:v>
      </x:c>
      <x:c r="AI1432" s="13" t="n">
        <x:v>5</x:v>
      </x:c>
    </x:row>
    <x:row r="1433" ht="34" customHeight="1">
      <x:c r="A1433" s="15" t="str">
        <x:v>rubber flip-flops ￼10 arch￼ support</x:v>
      </x:c>
      <x:c r="B1433" s="15" t="str">
        <x:v>rubber flip-flops ￼10 arch￼ support</x:v>
      </x:c>
      <x:c r="C1433" s="10" t="str">
        <x:v>a52c89fafe35d807</x:v>
      </x:c>
      <x:c r="D1433" s="10" t="str">
        <x:v>keyword</x:v>
      </x:c>
      <x:c r="E1433" s="10" t="str">
        <x:v>en</x:v>
      </x:c>
      <x:c r="F1433" s="10" t="str">
        <x:v>clothing_shoes_jewelry</x:v>
      </x:c>
      <x:c r="G1433" s="15" t="str"/>
      <x:c r="H1433" s="15" t="str">
        <x:v>flip_flops</x:v>
      </x:c>
      <x:c r="I1433" s="15" t="str"/>
      <x:c r="J1433" s="15" t="str">
        <x:v>arch_support</x:v>
      </x:c>
      <x:c r="K1433" s="15" t="str"/>
      <x:c r="L1433" s="15" t="str"/>
      <x:c r="M1433" s="15" t="str"/>
      <x:c r="N1433" s="15" t="str">
        <x:v>arch_support</x:v>
      </x:c>
      <x:c r="O1433" s="15" t="str"/>
      <x:c r="P1433" s="15" t="str"/>
      <x:c r="Q1433" s="15" t="str"/>
      <x:c r="R1433" s="15" t="str">
        <x:v>用户需要一双橡胶材质且具有足弓支撑的夹脚拖鞋，可能还需要10码。</x:v>
      </x:c>
      <x:c r="S1433" s="10" t="str">
        <x:v>consideration</x:v>
      </x:c>
      <x:c r="T1433" s="15" t="str">
        <x:v>explicit | page_validated | inferred</x:v>
      </x:c>
      <x:c r="U1433" s="10" t="str">
        <x:v>medium</x:v>
      </x:c>
      <x:c r="V1433" s="15" t="str">
        <x:v>rubber_arch_support_flip_flops</x:v>
      </x:c>
      <x:c r="W1433" s="15" t="str">
        <x:v>listing_gap_review</x:v>
      </x:c>
      <x:c r="X1433" s="15" t="str">
        <x:v>{"primary_domain":[{"value":"clothing_shoes_jewelry","evidence_type":"inferred","source_span":"flip-flops","fact_ids":[],"rationale":"Flip flops are footwear, which belongs to the clothing/shoes/jewelry domain."}],"product_type":[{"value":"flip_flops","evidence_type":"explicit","source_span":"flip-flops","fact_ids":["style_flip_flop"],"rationale":"Term explicitly mentions flip-flops; page validates flip flop style."}],"function_intent":[{"value":"arch_support","evidence_type":"explicit","source_span":"arch￼ support","fact_ids":["arch_support"],"rationale":"Term explicitly requests arch support; page confirms ergonomic arch support."}],"body_need_intent":[{"value":"arch_support","evidence_type":"explicit","source_span":"arch￼ support","fact_ids":["arch_support"],"rationale":"Term explicitly mentions arch support as a body need; page validates arch support feature."}]}</x:v>
      </x:c>
      <x:c r="Y1433" s="15" t="str">
        <x:v>stray_characters</x:v>
      </x:c>
      <x:c r="Z1433" s="10" t="str">
        <x:v>partial_match</x:v>
      </x:c>
      <x:c r="AA1433" s="15" t="str">
        <x:v>arch_support | style_flip_flop | material_eva | sizes_6_11</x:v>
      </x:c>
      <x:c r="AB1433" s="10" t="str">
        <x:v>accepted</x:v>
      </x:c>
      <x:c r="AC1433" s="10" t="str">
        <x:v>1.0.0</x:v>
      </x:c>
      <x:c r="AD1433" s="10" t="str">
        <x:v>1.0.0</x:v>
      </x:c>
      <x:c r="AE1433" s="10" t="str">
        <x:v>deepseek/deepseek-v4-pro</x:v>
      </x:c>
      <x:c r="AF1433" s="10" t="str">
        <x:v>aj2-y90-20260714T234810-0bea2f52</x:v>
      </x:c>
      <x:c r="AG1433" s="10" t="str">
        <x:v>pilot-0005</x:v>
      </x:c>
      <x:c r="AH1433" s="10" t="str">
        <x:v>pilot</x:v>
      </x:c>
      <x:c r="AI1433" s="10" t="n">
        <x:v>5</x:v>
      </x:c>
    </x:row>
    <x:row r="1434" ht="34" customHeight="1">
      <x:c r="A1434" s="16" t="str">
        <x:v>women flip flop shower</x:v>
      </x:c>
      <x:c r="B1434" s="16" t="str">
        <x:v>women flip flop shower</x:v>
      </x:c>
      <x:c r="C1434" s="13" t="str">
        <x:v>a8bf09861126ac50</x:v>
      </x:c>
      <x:c r="D1434" s="13" t="str">
        <x:v>keyword</x:v>
      </x:c>
      <x:c r="E1434" s="13" t="str">
        <x:v>en</x:v>
      </x:c>
      <x:c r="F1434" s="13" t="str">
        <x:v>clothing_shoes_jewelry</x:v>
      </x:c>
      <x:c r="G1434" s="16" t="str"/>
      <x:c r="H1434" s="16" t="str">
        <x:v>flip_flops</x:v>
      </x:c>
      <x:c r="I1434" s="16" t="str">
        <x:v>women</x:v>
      </x:c>
      <x:c r="J1434" s="16" t="str">
        <x:v>shower_use</x:v>
      </x:c>
      <x:c r="K1434" s="16" t="str"/>
      <x:c r="L1434" s="16" t="str">
        <x:v>shower</x:v>
      </x:c>
      <x:c r="M1434" s="16" t="str">
        <x:v>shower</x:v>
      </x:c>
      <x:c r="N1434" s="16" t="str"/>
      <x:c r="O1434" s="16" t="str"/>
      <x:c r="P1434" s="16" t="str"/>
      <x:c r="Q1434" s="16" t="str"/>
      <x:c r="R1434" s="16" t="str">
        <x:v>女性用户需要一双在淋浴时穿着的夹脚拖鞋。</x:v>
      </x:c>
      <x:c r="S1434" s="13" t="str">
        <x:v>consideration</x:v>
      </x:c>
      <x:c r="T1434" s="16" t="str">
        <x:v>explicit | page_validated | inferred</x:v>
      </x:c>
      <x:c r="U1434" s="13" t="str">
        <x:v>medium</x:v>
      </x:c>
      <x:c r="V1434" s="16" t="str">
        <x:v>shower_flip_flops_women</x:v>
      </x:c>
      <x:c r="W1434" s="16" t="str">
        <x:v>listing_gap_review</x:v>
      </x:c>
      <x:c r="X1434" s="16" t="str">
        <x:v>{"primary_domain":[{"value":"clothing_shoes_jewelry","evidence_type":"inferred","source_span":"flip flop","fact_ids":[],"rationale":"Flip flops are footwear, which belongs to the clothing/shoes/jewelry domain."}],"product_type":[{"value":"flip_flops","evidence_type":"explicit","source_span":"flip flop","fact_ids":["style_flip_flop"],"rationale":"Term explicitly mentions flip flop; page validates flip flop style."}],"audience_intent":[{"value":"women","evidence_type":"explicit","source_span":"women","fact_ids":["title_womens_flip_flop"],"rationale":"Term explicitly targets women; product title confirms women's flip flop."}],"function_intent":[{"value":"shower_use","evidence_type":"inferred","source_span":"shower","fact_ids":[],"rationale":"Term places flip flop in shower context; user needs footwear suitable for wet shower floor."}],"event_intent":[{"value":"shower","evidence_type":"explicit","source_span":"shower","fact_ids":[],"rationale":"Term explicitly mentions shower as the activity context."}],"location_intent":[{"value":"shower","evidence_type":"explicit","source_span":"shower","fact_ids":[],"rationale":"Term explicitly mentions shower as the place of use."}]}</x:v>
      </x:c>
      <x:c r="Y1434" s="16" t="str"/>
      <x:c r="Z1434" s="13" t="str">
        <x:v>partial_match</x:v>
      </x:c>
      <x:c r="AA1434" s="16" t="str">
        <x:v>title_womens_flip_flop | style_flip_flop | easy_clean | slip_resistant_grip</x:v>
      </x:c>
      <x:c r="AB1434" s="13" t="str">
        <x:v>accepted</x:v>
      </x:c>
      <x:c r="AC1434" s="13" t="str">
        <x:v>1.0.0</x:v>
      </x:c>
      <x:c r="AD1434" s="13" t="str">
        <x:v>1.0.0</x:v>
      </x:c>
      <x:c r="AE1434" s="13" t="str">
        <x:v>deepseek/deepseek-v4-pro</x:v>
      </x:c>
      <x:c r="AF1434" s="13" t="str">
        <x:v>aj2-y90-20260714T234810-0bea2f52</x:v>
      </x:c>
      <x:c r="AG1434" s="13" t="str">
        <x:v>pilot-0005</x:v>
      </x:c>
      <x:c r="AH1434" s="13" t="str">
        <x:v>pilot</x:v>
      </x:c>
      <x:c r="AI1434" s="13" t="n">
        <x:v>5</x:v>
      </x:c>
    </x:row>
    <x:row r="1435" ht="34" customHeight="1">
      <x:c r="A1435" s="15" t="str">
        <x:v>teal blue flip-flops women’s with arch support</x:v>
      </x:c>
      <x:c r="B1435" s="15" t="str">
        <x:v>teal blue flip-flops women’s with arch support</x:v>
      </x:c>
      <x:c r="C1435" s="10" t="str">
        <x:v>b9ddaede4d62ade6</x:v>
      </x:c>
      <x:c r="D1435" s="10" t="str">
        <x:v>keyword</x:v>
      </x:c>
      <x:c r="E1435" s="10" t="str">
        <x:v>en</x:v>
      </x:c>
      <x:c r="F1435" s="10" t="str">
        <x:v>clothing_shoes_jewelry</x:v>
      </x:c>
      <x:c r="G1435" s="15" t="str"/>
      <x:c r="H1435" s="15" t="str">
        <x:v>flip_flops</x:v>
      </x:c>
      <x:c r="I1435" s="15" t="str">
        <x:v>women</x:v>
      </x:c>
      <x:c r="J1435" s="15" t="str">
        <x:v>arch_support</x:v>
      </x:c>
      <x:c r="K1435" s="15" t="str"/>
      <x:c r="L1435" s="15" t="str"/>
      <x:c r="M1435" s="15" t="str"/>
      <x:c r="N1435" s="15" t="str">
        <x:v>arch_support</x:v>
      </x:c>
      <x:c r="O1435" s="15" t="str"/>
      <x:c r="P1435" s="15" t="str"/>
      <x:c r="Q1435" s="15" t="str"/>
      <x:c r="R1435" s="15" t="str">
        <x:v>女性用户需要一双青蓝色且具有足弓支撑的夹脚拖鞋。</x:v>
      </x:c>
      <x:c r="S1435" s="10" t="str">
        <x:v>high_intent</x:v>
      </x:c>
      <x:c r="T1435" s="15" t="str">
        <x:v>explicit | page_validated</x:v>
      </x:c>
      <x:c r="U1435" s="10" t="str">
        <x:v>high</x:v>
      </x:c>
      <x:c r="V1435" s="15" t="str">
        <x:v>womens_arch_support_flip_flops_teal</x:v>
      </x:c>
      <x:c r="W1435" s="15" t="str">
        <x:v>cluster_route</x:v>
      </x:c>
      <x:c r="X1435" s="15" t="str">
        <x:v>{"primary_domain":[{"value":"clothing_shoes_jewelry","evidence_type":"inferred","source_span":"flip-flops","fact_ids":[],"rationale":"Flip flops are footwear, which belongs to the clothing/shoes/jewelry domain."}],"product_type":[{"value":"flip_flops","evidence_type":"explicit","source_span":"flip-flops","fact_ids":["style_flip_flop"],"rationale":"Term explicitly mentions flip-flops; page validates flip flop style."}],"audience_intent":[{"value":"women","evidence_type":"explicit","source_span":"women’s","fact_ids":["title_womens_flip_flop"],"rationale":"Term explicitly targets women; product title confirms women's flip flop."}],"function_intent":[{"value":"arch_support","evidence_type":"explicit","source_span":"arch support","fact_ids":["arch_support"],"rationale":"Term explicitly requests arch support; page confirms ergonomic arch support."}],"body_need_intent":[{"value":"arch_support","evidence_type":"explicit","source_span":"arch support","fact_ids":["arch_support"],"rationale":"Term explicitly mentions arch support as a body need; page validates arch support feature."}]}</x:v>
      </x:c>
      <x:c r="Y1435" s="15" t="str"/>
      <x:c r="Z1435" s="10" t="str">
        <x:v>partial_match</x:v>
      </x:c>
      <x:c r="AA1435" s="15" t="str">
        <x:v>title_womens_flip_flop | arch_support | colors_visible | style_flip_flop</x:v>
      </x:c>
      <x:c r="AB1435" s="10" t="str">
        <x:v>accepted</x:v>
      </x:c>
      <x:c r="AC1435" s="10" t="str">
        <x:v>1.0.0</x:v>
      </x:c>
      <x:c r="AD1435" s="10" t="str">
        <x:v>1.0.0</x:v>
      </x:c>
      <x:c r="AE1435" s="10" t="str">
        <x:v>deepseek/deepseek-v4-pro</x:v>
      </x:c>
      <x:c r="AF1435" s="10" t="str">
        <x:v>aj2-y90-20260714T234810-0bea2f52</x:v>
      </x:c>
      <x:c r="AG1435" s="10" t="str">
        <x:v>pilot-0005</x:v>
      </x:c>
      <x:c r="AH1435" s="10" t="str">
        <x:v>pilot</x:v>
      </x:c>
      <x:c r="AI1435" s="10" t="n">
        <x:v>5</x:v>
      </x:c>
    </x:row>
    <x:row r="1436" ht="34" customHeight="1">
      <x:c r="A1436" s="16" t="str">
        <x:v>flip flips water park</x:v>
      </x:c>
      <x:c r="B1436" s="16" t="str">
        <x:v>flip flips water park</x:v>
      </x:c>
      <x:c r="C1436" s="13" t="str">
        <x:v>bcd35455cc7d89ed</x:v>
      </x:c>
      <x:c r="D1436" s="13" t="str">
        <x:v>keyword</x:v>
      </x:c>
      <x:c r="E1436" s="13" t="str">
        <x:v>en</x:v>
      </x:c>
      <x:c r="F1436" s="13" t="str">
        <x:v>clothing_shoes_jewelry</x:v>
      </x:c>
      <x:c r="G1436" s="16" t="str">
        <x:v>sports_outdoors</x:v>
      </x:c>
      <x:c r="H1436" s="16" t="str">
        <x:v>flip_flops</x:v>
      </x:c>
      <x:c r="I1436" s="16" t="str"/>
      <x:c r="J1436" s="16" t="str"/>
      <x:c r="K1436" s="16" t="str"/>
      <x:c r="L1436" s="16" t="str">
        <x:v>water_park</x:v>
      </x:c>
      <x:c r="M1436" s="16" t="str">
        <x:v>water_park</x:v>
      </x:c>
      <x:c r="N1436" s="16" t="str"/>
      <x:c r="O1436" s="16" t="str"/>
      <x:c r="P1436" s="16" t="str"/>
      <x:c r="Q1436" s="16" t="str"/>
      <x:c r="R1436" s="16" t="str">
        <x:v>用户需要一双适合在水上乐园穿着的夹脚拖鞋。</x:v>
      </x:c>
      <x:c r="S1436" s="13" t="str">
        <x:v>exploration</x:v>
      </x:c>
      <x:c r="T1436" s="16" t="str">
        <x:v>explicit | page_validated | inferred</x:v>
      </x:c>
      <x:c r="U1436" s="13" t="str">
        <x:v>medium</x:v>
      </x:c>
      <x:c r="V1436" s="16" t="str">
        <x:v>water_park_flip_flops</x:v>
      </x:c>
      <x:c r="W1436" s="16" t="str">
        <x:v>listing_gap_review</x:v>
      </x:c>
      <x:c r="X1436" s="16" t="str">
        <x:v>{"primary_domain":[{"value":"clothing_shoes_jewelry","evidence_type":"inferred","source_span":"flip flips","fact_ids":[],"rationale":"Flip flops are footwear, which belongs to the clothing/shoes/jewelry domain."}],"product_type":[{"value":"flip_flops","evidence_type":"explicit","source_span":"flip flips","fact_ids":["style_flip_flop"],"rationale":"Term says flip flips (typo for flip flops); page validates flip flop style."}],"event_intent":[{"value":"water_park","evidence_type":"explicit","source_span":"water park","fact_ids":[],"rationale":"Term explicitly mentions water park as the activity context."}],"location_intent":[{"value":"water_park","evidence_type":"explicit","source_span":"water park","fact_ids":[],"rationale":"Term explicitly mentions water park as the place of use."}]}</x:v>
      </x:c>
      <x:c r="Y1436" s="16" t="str">
        <x:v>typo_or_autocorrect</x:v>
      </x:c>
      <x:c r="Z1436" s="13" t="str">
        <x:v>partial_match</x:v>
      </x:c>
      <x:c r="AA1436" s="16" t="str">
        <x:v>style_flip_flop | easy_clean | slip_resistant_grip</x:v>
      </x:c>
      <x:c r="AB1436" s="13" t="str">
        <x:v>accepted</x:v>
      </x:c>
      <x:c r="AC1436" s="13" t="str">
        <x:v>1.0.0</x:v>
      </x:c>
      <x:c r="AD1436" s="13" t="str">
        <x:v>1.0.0</x:v>
      </x:c>
      <x:c r="AE1436" s="13" t="str">
        <x:v>deepseek/deepseek-v4-pro</x:v>
      </x:c>
      <x:c r="AF1436" s="13" t="str">
        <x:v>aj2-y90-20260714T234810-0bea2f52</x:v>
      </x:c>
      <x:c r="AG1436" s="13" t="str">
        <x:v>pilot-0005</x:v>
      </x:c>
      <x:c r="AH1436" s="13" t="str">
        <x:v>pilot</x:v>
      </x:c>
      <x:c r="AI1436" s="13" t="n">
        <x:v>5</x:v>
      </x:c>
    </x:row>
    <x:row r="1437" ht="34" customHeight="1">
      <x:c r="A1437" s="15" t="str">
        <x:v>water proof flip flops for women</x:v>
      </x:c>
      <x:c r="B1437" s="15" t="str">
        <x:v>water proof flip flops for women</x:v>
      </x:c>
      <x:c r="C1437" s="10" t="str">
        <x:v>c4f2b57f62eac403</x:v>
      </x:c>
      <x:c r="D1437" s="10" t="str">
        <x:v>keyword</x:v>
      </x:c>
      <x:c r="E1437" s="10" t="str">
        <x:v>en</x:v>
      </x:c>
      <x:c r="F1437" s="10" t="str">
        <x:v>clothing_shoes_jewelry</x:v>
      </x:c>
      <x:c r="G1437" s="15" t="str"/>
      <x:c r="H1437" s="15" t="str">
        <x:v>flip_flops</x:v>
      </x:c>
      <x:c r="I1437" s="15" t="str">
        <x:v>women</x:v>
      </x:c>
      <x:c r="J1437" s="15" t="str"/>
      <x:c r="K1437" s="15" t="str">
        <x:v>waterproof</x:v>
      </x:c>
      <x:c r="L1437" s="15" t="str"/>
      <x:c r="M1437" s="15" t="str"/>
      <x:c r="N1437" s="15" t="str"/>
      <x:c r="O1437" s="15" t="str"/>
      <x:c r="P1437" s="15" t="str"/>
      <x:c r="Q1437" s="15" t="str"/>
      <x:c r="R1437" s="15" t="str">
        <x:v>女性用户需要一双防水的夹脚拖鞋。</x:v>
      </x:c>
      <x:c r="S1437" s="10" t="str">
        <x:v>consideration</x:v>
      </x:c>
      <x:c r="T1437" s="15" t="str">
        <x:v>explicit | page_validated</x:v>
      </x:c>
      <x:c r="U1437" s="10" t="str">
        <x:v>high</x:v>
      </x:c>
      <x:c r="V1437" s="15" t="str">
        <x:v>waterproof_flip_flops_women</x:v>
      </x:c>
      <x:c r="W1437" s="15" t="str">
        <x:v>listing_gap_review</x:v>
      </x:c>
      <x:c r="X1437" s="15" t="str">
        <x:v>{"primary_domain":[{"value":"clothing_shoes_jewelry","evidence_type":"inferred","source_span":"flip flops","fact_ids":[],"rationale":"Flip flops are footwear, which belongs to the clothing/shoes/jewelry domain."}],"product_type":[{"value":"flip_flops","evidence_type":"explicit","source_span":"flip flops","fact_ids":["style_flip_flop"],"rationale":"Term explicitly mentions flip flops; page validates flip flop style."}],"audience_intent":[{"value":"women","evidence_type":"explicit","source_span":"women","fact_ids":["title_womens_flip_flop"],"rationale":"Term explicitly targets women; product title confirms women's flip flop."}],"capability_intent":[{"value":"waterproof","evidence_type":"explicit","source_span":"water proof","fact_ids":[],"rationale":"Term explicitly requests waterproof capability; waterproof is an excluded claim on the product page — no page evidence supports this."}]}</x:v>
      </x:c>
      <x:c r="Y1437" s="15" t="str"/>
      <x:c r="Z1437" s="10" t="str">
        <x:v>partial_match</x:v>
      </x:c>
      <x:c r="AA1437" s="15" t="str">
        <x:v>title_womens_flip_flop | style_flip_flop</x:v>
      </x:c>
      <x:c r="AB1437" s="10" t="str">
        <x:v>accepted</x:v>
      </x:c>
      <x:c r="AC1437" s="10" t="str">
        <x:v>1.0.0</x:v>
      </x:c>
      <x:c r="AD1437" s="10" t="str">
        <x:v>1.0.0</x:v>
      </x:c>
      <x:c r="AE1437" s="10" t="str">
        <x:v>deepseek/deepseek-v4-pro</x:v>
      </x:c>
      <x:c r="AF1437" s="10" t="str">
        <x:v>aj2-y90-20260714T234810-0bea2f52</x:v>
      </x:c>
      <x:c r="AG1437" s="10" t="str">
        <x:v>pilot-0005</x:v>
      </x:c>
      <x:c r="AH1437" s="10" t="str">
        <x:v>pilot</x:v>
      </x:c>
      <x:c r="AI1437" s="10" t="n">
        <x:v>5</x:v>
      </x:c>
    </x:row>
    <x:row r="1438" ht="34" customHeight="1">
      <x:c r="A1438" s="16" t="str">
        <x:v>women’s bunion support flip flops</x:v>
      </x:c>
      <x:c r="B1438" s="16" t="str">
        <x:v>women’s bunion support flip flops</x:v>
      </x:c>
      <x:c r="C1438" s="13" t="str">
        <x:v>d00769ec32d0e403</x:v>
      </x:c>
      <x:c r="D1438" s="13" t="str">
        <x:v>keyword</x:v>
      </x:c>
      <x:c r="E1438" s="13" t="str">
        <x:v>en</x:v>
      </x:c>
      <x:c r="F1438" s="13" t="str">
        <x:v>clothing_shoes_jewelry</x:v>
      </x:c>
      <x:c r="G1438" s="16" t="str"/>
      <x:c r="H1438" s="16" t="str">
        <x:v>flip_flops</x:v>
      </x:c>
      <x:c r="I1438" s="16" t="str">
        <x:v>women</x:v>
      </x:c>
      <x:c r="J1438" s="16" t="str">
        <x:v>bunion_relief</x:v>
      </x:c>
      <x:c r="K1438" s="16" t="str"/>
      <x:c r="L1438" s="16" t="str"/>
      <x:c r="M1438" s="16" t="str"/>
      <x:c r="N1438" s="16" t="str">
        <x:v>bunion</x:v>
      </x:c>
      <x:c r="O1438" s="16" t="str"/>
      <x:c r="P1438" s="16" t="str"/>
      <x:c r="Q1438" s="16" t="str"/>
      <x:c r="R1438" s="16" t="str">
        <x:v>女性拇囊炎患者需要一双具有支撑功能的夹脚拖鞋来缓解足部不适。</x:v>
      </x:c>
      <x:c r="S1438" s="13" t="str">
        <x:v>consideration</x:v>
      </x:c>
      <x:c r="T1438" s="16" t="str">
        <x:v>explicit | page_validated | inferred</x:v>
      </x:c>
      <x:c r="U1438" s="13" t="str">
        <x:v>medium</x:v>
      </x:c>
      <x:c r="V1438" s="16" t="str">
        <x:v>womens_bunion_support_flip_flops</x:v>
      </x:c>
      <x:c r="W1438" s="16" t="str">
        <x:v>listing_gap_review</x:v>
      </x:c>
      <x:c r="X1438" s="16" t="str">
        <x:v>{"primary_domain":[{"value":"clothing_shoes_jewelry","evidence_type":"inferred","source_span":"flip flops","fact_ids":[],"rationale":"Flip flops are footwear, which belongs to the clothing/shoes/jewelry domain."}],"product_type":[{"value":"flip_flops","evidence_type":"explicit","source_span":"flip flops","fact_ids":["style_flip_flop"],"rationale":"Term explicitly mentions flip flops; page validates flip flop style."}],"audience_intent":[{"value":"women","evidence_type":"explicit","source_span":"women’s","fact_ids":["title_womens_flip_flop"],"rationale":"Term explicitly targets women; product title confirms women's flip flop."}],"function_intent":[{"value":"bunion_relief","evidence_type":"explicit","source_span":"bunion support","fact_ids":[],"rationale":"Term explicitly requests bunion support; product page does not claim bunion-specific support."}],"body_need_intent":[{"value":"bunion","evidence_type":"explicit","source_span":"bunion","fact_ids":[],"rationale":"Term explicitly mentions bunion as a foot condition; product has arch support and padded cushioning but no bunion-specific claim."}]}</x:v>
      </x:c>
      <x:c r="Y1438" s="16" t="str"/>
      <x:c r="Z1438" s="13" t="str">
        <x:v>partial_match</x:v>
      </x:c>
      <x:c r="AA1438" s="16" t="str">
        <x:v>title_womens_flip_flop | arch_support | padded_cushioning | soft_toe_post | style_flip_flop</x:v>
      </x:c>
      <x:c r="AB1438" s="13" t="str">
        <x:v>accepted</x:v>
      </x:c>
      <x:c r="AC1438" s="13" t="str">
        <x:v>1.0.0</x:v>
      </x:c>
      <x:c r="AD1438" s="13" t="str">
        <x:v>1.0.0</x:v>
      </x:c>
      <x:c r="AE1438" s="13" t="str">
        <x:v>deepseek/deepseek-v4-pro</x:v>
      </x:c>
      <x:c r="AF1438" s="13" t="str">
        <x:v>aj2-y90-20260714T234810-0bea2f52</x:v>
      </x:c>
      <x:c r="AG1438" s="13" t="str">
        <x:v>pilot-0005</x:v>
      </x:c>
      <x:c r="AH1438" s="13" t="str">
        <x:v>pilot</x:v>
      </x:c>
      <x:c r="AI1438" s="13" t="n">
        <x:v>5</x:v>
      </x:c>
    </x:row>
    <x:row r="1439" ht="34" customHeight="1">
      <x:c r="A1439" s="15" t="str">
        <x:v>women’s flip flops</x:v>
      </x:c>
      <x:c r="B1439" s="15" t="str">
        <x:v>women’s flip flops</x:v>
      </x:c>
      <x:c r="C1439" s="10" t="str">
        <x:v>dd414a6e00dfb8f4</x:v>
      </x:c>
      <x:c r="D1439" s="10" t="str">
        <x:v>keyword</x:v>
      </x:c>
      <x:c r="E1439" s="10" t="str">
        <x:v>en</x:v>
      </x:c>
      <x:c r="F1439" s="10" t="str">
        <x:v>clothing_shoes_jewelry</x:v>
      </x:c>
      <x:c r="G1439" s="15" t="str"/>
      <x:c r="H1439" s="15" t="str">
        <x:v>flip_flops</x:v>
      </x:c>
      <x:c r="I1439" s="15" t="str">
        <x:v>women</x:v>
      </x:c>
      <x:c r="J1439" s="15" t="str"/>
      <x:c r="K1439" s="15" t="str"/>
      <x:c r="L1439" s="15" t="str"/>
      <x:c r="M1439" s="15" t="str"/>
      <x:c r="N1439" s="15" t="str"/>
      <x:c r="O1439" s="15" t="str"/>
      <x:c r="P1439" s="15" t="str"/>
      <x:c r="Q1439" s="15" t="str"/>
      <x:c r="R1439" s="15" t="str">
        <x:v>女性用户需要一双夹脚拖鞋。</x:v>
      </x:c>
      <x:c r="S1439" s="10" t="str">
        <x:v>exploration</x:v>
      </x:c>
      <x:c r="T1439" s="15" t="str">
        <x:v>explicit | page_validated</x:v>
      </x:c>
      <x:c r="U1439" s="10" t="str">
        <x:v>high</x:v>
      </x:c>
      <x:c r="V1439" s="15" t="str">
        <x:v>womens_flip_flops</x:v>
      </x:c>
      <x:c r="W1439" s="15" t="str">
        <x:v>cluster_route</x:v>
      </x:c>
      <x:c r="X1439" s="15" t="str">
        <x:v>{"primary_domain":[{"value":"clothing_shoes_jewelry","evidence_type":"inferred","source_span":"flip flops","fact_ids":[],"rationale":"Flip flops are footwear, which belongs to the clothing/shoes/jewelry domain."}],"product_type":[{"value":"flip_flops","evidence_type":"explicit","source_span":"flip flops","fact_ids":["style_flip_flop"],"rationale":"Term explicitly mentions flip flops; page validates flip flop style."}],"audience_intent":[{"value":"women","evidence_type":"explicit","source_span":"women’s","fact_ids":["title_womens_flip_flop"],"rationale":"Term explicitly targets women; product title confirms women's flip flop."}]}</x:v>
      </x:c>
      <x:c r="Y1439" s="15" t="str"/>
      <x:c r="Z1439" s="10" t="str">
        <x:v>match</x:v>
      </x:c>
      <x:c r="AA1439" s="15" t="str">
        <x:v>title_womens_flip_flop | style_flip_flop</x:v>
      </x:c>
      <x:c r="AB1439" s="10" t="str">
        <x:v>accepted</x:v>
      </x:c>
      <x:c r="AC1439" s="10" t="str">
        <x:v>1.0.0</x:v>
      </x:c>
      <x:c r="AD1439" s="10" t="str">
        <x:v>1.0.0</x:v>
      </x:c>
      <x:c r="AE1439" s="10" t="str">
        <x:v>deepseek/deepseek-v4-pro</x:v>
      </x:c>
      <x:c r="AF1439" s="10" t="str">
        <x:v>aj2-y90-20260714T234810-0bea2f52</x:v>
      </x:c>
      <x:c r="AG1439" s="10" t="str">
        <x:v>pilot-0005</x:v>
      </x:c>
      <x:c r="AH1439" s="10" t="str">
        <x:v>pilot</x:v>
      </x:c>
      <x:c r="AI1439" s="10" t="n">
        <x:v>5</x:v>
      </x:c>
    </x:row>
    <x:row r="1440" ht="34" customHeight="1">
      <x:c r="A1440" s="16" t="str">
        <x:v>beach sandals waterproof</x:v>
      </x:c>
      <x:c r="B1440" s="16" t="str">
        <x:v>beach sandals waterproof</x:v>
      </x:c>
      <x:c r="C1440" s="13" t="str">
        <x:v>e793e217e4906ef4</x:v>
      </x:c>
      <x:c r="D1440" s="13" t="str">
        <x:v>keyword</x:v>
      </x:c>
      <x:c r="E1440" s="13" t="str">
        <x:v>en</x:v>
      </x:c>
      <x:c r="F1440" s="13" t="str">
        <x:v>clothing_shoes_jewelry</x:v>
      </x:c>
      <x:c r="G1440" s="16" t="str">
        <x:v>sports_outdoors</x:v>
      </x:c>
      <x:c r="H1440" s="16" t="str">
        <x:v>sandals</x:v>
      </x:c>
      <x:c r="I1440" s="16" t="str"/>
      <x:c r="J1440" s="16" t="str"/>
      <x:c r="K1440" s="16" t="str">
        <x:v>waterproof</x:v>
      </x:c>
      <x:c r="L1440" s="16" t="str">
        <x:v>beach</x:v>
      </x:c>
      <x:c r="M1440" s="16" t="str">
        <x:v>beach</x:v>
      </x:c>
      <x:c r="N1440" s="16" t="str"/>
      <x:c r="O1440" s="16" t="str"/>
      <x:c r="P1440" s="16" t="str"/>
      <x:c r="Q1440" s="16" t="str"/>
      <x:c r="R1440" s="16" t="str">
        <x:v>用户需要一双具有防水功能的沙滩凉鞋。</x:v>
      </x:c>
      <x:c r="S1440" s="13" t="str">
        <x:v>consideration</x:v>
      </x:c>
      <x:c r="T1440" s="16" t="str">
        <x:v>explicit | page_validated</x:v>
      </x:c>
      <x:c r="U1440" s="13" t="str">
        <x:v>high</x:v>
      </x:c>
      <x:c r="V1440" s="16" t="str">
        <x:v>waterproof_beach_sandals</x:v>
      </x:c>
      <x:c r="W1440" s="16" t="str">
        <x:v>listing_gap_review</x:v>
      </x:c>
      <x:c r="X1440" s="16" t="str">
        <x:v>{"primary_domain":[{"value":"clothing_shoes_jewelry","evidence_type":"inferred","source_span":"sandals","fact_ids":[],"rationale":"Sandals are footwear, which belongs to the clothing/shoes/jewelry domain."}],"product_type":[{"value":"sandals","evidence_type":"explicit","source_span":"sandals","fact_ids":["style_flip_flop"],"rationale":"Term explicitly mentions sandals; page validates a thong sandal style."}],"capability_intent":[{"value":"waterproof","evidence_type":"explicit","source_span":"waterproof","fact_ids":[],"rationale":"Term explicitly requests waterproof capability; waterproof is an excluded claim on the product page — no page evidence supports this."}],"event_intent":[{"value":"beach","evidence_type":"explicit","source_span":"beach","fact_ids":[],"rationale":"Term explicitly mentions beach as activity context."}],"location_intent":[{"value":"beach","evidence_type":"explicit","source_span":"beach","fact_ids":[],"rationale":"Term explicitly mentions beach as place of use."}]}</x:v>
      </x:c>
      <x:c r="Y1440" s="16" t="str"/>
      <x:c r="Z1440" s="13" t="str">
        <x:v>partial_match</x:v>
      </x:c>
      <x:c r="AA1440" s="16" t="str">
        <x:v>style_flip_flop | easy_clean | slip_resistant_grip | style_outdoor</x:v>
      </x:c>
      <x:c r="AB1440" s="13" t="str">
        <x:v>accepted</x:v>
      </x:c>
      <x:c r="AC1440" s="13" t="str">
        <x:v>1.0.0</x:v>
      </x:c>
      <x:c r="AD1440" s="13" t="str">
        <x:v>1.0.0</x:v>
      </x:c>
      <x:c r="AE1440" s="13" t="str">
        <x:v>deepseek/deepseek-v4-pro</x:v>
      </x:c>
      <x:c r="AF1440" s="13" t="str">
        <x:v>aj2-y90-20260714T234810-0bea2f52</x:v>
      </x:c>
      <x:c r="AG1440" s="13" t="str">
        <x:v>pilot-0005</x:v>
      </x:c>
      <x:c r="AH1440" s="13" t="str">
        <x:v>pilot</x:v>
      </x:c>
      <x:c r="AI1440" s="13" t="n">
        <x:v>5</x:v>
      </x:c>
    </x:row>
    <x:row r="1441" ht="34" customHeight="1">
      <x:c r="A1441" s="17" t="str">
        <x:v>rubber+flip+flops+for+women</x:v>
      </x:c>
      <x:c r="B1441" s="17" t="str">
        <x:v>rubber+flip+flops+for+women</x:v>
      </x:c>
      <x:c r="C1441" s="11" t="str">
        <x:v>ed1c728d53ff76c0</x:v>
      </x:c>
      <x:c r="D1441" s="11" t="str">
        <x:v>keyword</x:v>
      </x:c>
      <x:c r="E1441" s="11" t="str">
        <x:v>en</x:v>
      </x:c>
      <x:c r="F1441" s="11" t="str">
        <x:v>clothing_shoes_jewelry</x:v>
      </x:c>
      <x:c r="G1441" s="17" t="str"/>
      <x:c r="H1441" s="17" t="str">
        <x:v>flip_flops</x:v>
      </x:c>
      <x:c r="I1441" s="17" t="str">
        <x:v>women</x:v>
      </x:c>
      <x:c r="J1441" s="17" t="str"/>
      <x:c r="K1441" s="17" t="str"/>
      <x:c r="L1441" s="17" t="str"/>
      <x:c r="M1441" s="17" t="str"/>
      <x:c r="N1441" s="17" t="str"/>
      <x:c r="O1441" s="17" t="str"/>
      <x:c r="P1441" s="17" t="str"/>
      <x:c r="Q1441" s="17" t="str"/>
      <x:c r="R1441" s="17" t="str">
        <x:v>女性用户需要一双橡胶材质的夹脚拖鞋。</x:v>
      </x:c>
      <x:c r="S1441" s="11" t="str">
        <x:v>exploration</x:v>
      </x:c>
      <x:c r="T1441" s="17" t="str">
        <x:v>explicit | page_validated</x:v>
      </x:c>
      <x:c r="U1441" s="11" t="str">
        <x:v>high</x:v>
      </x:c>
      <x:c r="V1441" s="17" t="str">
        <x:v>rubber_flip_flops_women</x:v>
      </x:c>
      <x:c r="W1441" s="17" t="str">
        <x:v>listing_gap_review</x:v>
      </x:c>
      <x:c r="X1441" s="17" t="str">
        <x:v>{"primary_domain":[{"value":"clothing_shoes_jewelry","evidence_type":"inferred","source_span":"flip flops","fact_ids":[],"rationale":"Flip flops are footwear, which belongs to the clothing/shoes/jewelry domain."}],"product_type":[{"value":"flip_flops","evidence_type":"explicit","source_span":"flip+flops","fact_ids":["style_flip_flop"],"rationale":"Term explicitly mentions flip flops; page validates flip flop style."}],"audience_intent":[{"value":"women","evidence_type":"explicit","source_span":"women","fact_ids":["title_womens_flip_flop"],"rationale":"Term explicitly targets women; product title confirms women's flip flop."}]}</x:v>
      </x:c>
      <x:c r="Y1441" s="17" t="str"/>
      <x:c r="Z1441" s="11" t="str">
        <x:v>partial_match</x:v>
      </x:c>
      <x:c r="AA1441" s="17" t="str">
        <x:v>title_womens_flip_flop | style_flip_flop | material_eva</x:v>
      </x:c>
      <x:c r="AB1441" s="11" t="str">
        <x:v>accepted</x:v>
      </x:c>
      <x:c r="AC1441" s="11" t="str">
        <x:v>1.0.0</x:v>
      </x:c>
      <x:c r="AD1441" s="11" t="str">
        <x:v>1.0.0</x:v>
      </x:c>
      <x:c r="AE1441" s="11" t="str">
        <x:v>deepseek/deepseek-v4-pro</x:v>
      </x:c>
      <x:c r="AF1441" s="11" t="str">
        <x:v>aj2-y90-20260714T234810-0bea2f52</x:v>
      </x:c>
      <x:c r="AG1441" s="11" t="str">
        <x:v>pilot-0005</x:v>
      </x:c>
      <x:c r="AH1441" s="11" t="str">
        <x:v>pilot</x:v>
      </x:c>
      <x:c r="AI1441" s="11" t="n">
        <x:v>5</x:v>
      </x:c>
    </x:row>
  </x:sheetData>
  <x:pageMargins left="0.7" right="0.7" top="0.75" bottom="0.75" header="0.3" footer="0.3"/>
  <x:tableParts count="1">
    <x:tablePart xmlns:r="http://schemas.openxmlformats.org/officeDocument/2006/relationships" r:id="R644dacf2ccf8419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42"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s>
  <x:sheetData>
    <x:row r="1" ht="22" customHeight="1">
      <x:c r="A1" s="19" t="str">
        <x:v>intent_cluster</x:v>
      </x:c>
      <x:c r="B1" s="19" t="str">
        <x:v>词数</x:v>
      </x:c>
      <x:c r="C1" s="19" t="str">
        <x:v>占比</x:v>
      </x:c>
      <x:c r="D1" s="19" t="str">
        <x:v>match</x:v>
      </x:c>
      <x:c r="E1" s="19" t="str">
        <x:v>partial_match</x:v>
      </x:c>
      <x:c r="F1" s="19" t="str">
        <x:v>mismatch</x:v>
      </x:c>
      <x:c r="G1" s="19" t="str">
        <x:v>unknown</x:v>
      </x:c>
      <x:c r="H1" s="19" t="str">
        <x:v>low_confidence</x:v>
      </x:c>
      <x:c r="I1" s="19" t="str">
        <x:v>needs_review</x:v>
      </x:c>
    </x:row>
    <x:row r="2" ht="22" customHeight="1">
      <x:c r="A2" s="6" t="str">
        <x:v>adult_beach_flip_flops</x:v>
      </x:c>
      <x:c r="B2" s="6" t="n">
        <x:f>COUNTIF('唯一词标签'!$V$2:$V$1441,A2)</x:f>
        <x:v>1</x:v>
      </x:c>
      <x:c r="C2" s="54" t="n">
        <x:f>B2/COUNTA('唯一词标签'!$C$2:$C$1441)</x:f>
        <x:v>0.0006944444444444445</x:v>
      </x:c>
      <x:c r="D2" s="6" t="n">
        <x:f>COUNTIFS('唯一词标签'!$V$2:$V$1441,A2,'唯一词标签'!$Z$2:$Z$1441,"match")</x:f>
        <x:v>0</x:v>
      </x:c>
      <x:c r="E2" s="6" t="n">
        <x:f>COUNTIFS('唯一词标签'!$V$2:$V$1441,A2,'唯一词标签'!$Z$2:$Z$1441,"partial_match")</x:f>
        <x:v>1</x:v>
      </x:c>
      <x:c r="F2" s="6" t="n">
        <x:f>COUNTIFS('唯一词标签'!$V$2:$V$1441,A2,'唯一词标签'!$Z$2:$Z$1441,"mismatch")</x:f>
        <x:v>0</x:v>
      </x:c>
      <x:c r="G2" s="6" t="n">
        <x:f>COUNTIFS('唯一词标签'!$V$2:$V$1441,A2,'唯一词标签'!$Z$2:$Z$1441,"unknown")</x:f>
        <x:v>0</x:v>
      </x:c>
      <x:c r="H2" s="6" t="n">
        <x:f>COUNTIFS('唯一词标签'!$V$2:$V$1441,A2,'唯一词标签'!$U$2:$U$1441,"low")</x:f>
        <x:v>0</x:v>
      </x:c>
      <x:c r="I2" s="6" t="n">
        <x:f>COUNTIFS('唯一词标签'!$V$2:$V$1441,A2,'唯一词标签'!$AB$2:$AB$1441,"needs_review")</x:f>
        <x:v>0</x:v>
      </x:c>
    </x:row>
    <x:row r="3" ht="22" customHeight="1">
      <x:c r="A3" s="7" t="str">
        <x:v>all_day_comfort_flip_flops_women</x:v>
      </x:c>
      <x:c r="B3" s="7" t="n">
        <x:f>COUNTIF('唯一词标签'!$V$2:$V$1441,A3)</x:f>
        <x:v>1</x:v>
      </x:c>
      <x:c r="C3" s="55" t="n">
        <x:f>B3/COUNTA('唯一词标签'!$C$2:$C$1441)</x:f>
        <x:v>0.0006944444444444445</x:v>
      </x:c>
      <x:c r="D3" s="7" t="n">
        <x:f>COUNTIFS('唯一词标签'!$V$2:$V$1441,A3,'唯一词标签'!$Z$2:$Z$1441,"match")</x:f>
        <x:v>1</x:v>
      </x:c>
      <x:c r="E3" s="7" t="n">
        <x:f>COUNTIFS('唯一词标签'!$V$2:$V$1441,A3,'唯一词标签'!$Z$2:$Z$1441,"partial_match")</x:f>
        <x:v>0</x:v>
      </x:c>
      <x:c r="F3" s="7" t="n">
        <x:f>COUNTIFS('唯一词标签'!$V$2:$V$1441,A3,'唯一词标签'!$Z$2:$Z$1441,"mismatch")</x:f>
        <x:v>0</x:v>
      </x:c>
      <x:c r="G3" s="7" t="n">
        <x:f>COUNTIFS('唯一词标签'!$V$2:$V$1441,A3,'唯一词标签'!$Z$2:$Z$1441,"unknown")</x:f>
        <x:v>0</x:v>
      </x:c>
      <x:c r="H3" s="7" t="n">
        <x:f>COUNTIFS('唯一词标签'!$V$2:$V$1441,A3,'唯一词标签'!$U$2:$U$1441,"low")</x:f>
        <x:v>0</x:v>
      </x:c>
      <x:c r="I3" s="7" t="n">
        <x:f>COUNTIFS('唯一词标签'!$V$2:$V$1441,A3,'唯一词标签'!$AB$2:$AB$1441,"needs_review")</x:f>
        <x:v>0</x:v>
      </x:c>
    </x:row>
    <x:row r="4" ht="22" customHeight="1">
      <x:c r="A4" s="7" t="str">
        <x:v>all_day_walking_flip_flops</x:v>
      </x:c>
      <x:c r="B4" s="7" t="n">
        <x:f>COUNTIF('唯一词标签'!$V$2:$V$1441,A4)</x:f>
        <x:v>1</x:v>
      </x:c>
      <x:c r="C4" s="55" t="n">
        <x:f>B4/COUNTA('唯一词标签'!$C$2:$C$1441)</x:f>
        <x:v>0.0006944444444444445</x:v>
      </x:c>
      <x:c r="D4" s="7" t="n">
        <x:f>COUNTIFS('唯一词标签'!$V$2:$V$1441,A4,'唯一词标签'!$Z$2:$Z$1441,"match")</x:f>
        <x:v>1</x:v>
      </x:c>
      <x:c r="E4" s="7" t="n">
        <x:f>COUNTIFS('唯一词标签'!$V$2:$V$1441,A4,'唯一词标签'!$Z$2:$Z$1441,"partial_match")</x:f>
        <x:v>0</x:v>
      </x:c>
      <x:c r="F4" s="7" t="n">
        <x:f>COUNTIFS('唯一词标签'!$V$2:$V$1441,A4,'唯一词标签'!$Z$2:$Z$1441,"mismatch")</x:f>
        <x:v>0</x:v>
      </x:c>
      <x:c r="G4" s="7" t="n">
        <x:f>COUNTIFS('唯一词标签'!$V$2:$V$1441,A4,'唯一词标签'!$Z$2:$Z$1441,"unknown")</x:f>
        <x:v>0</x:v>
      </x:c>
      <x:c r="H4" s="7" t="n">
        <x:f>COUNTIFS('唯一词标签'!$V$2:$V$1441,A4,'唯一词标签'!$U$2:$U$1441,"low")</x:f>
        <x:v>0</x:v>
      </x:c>
      <x:c r="I4" s="7" t="n">
        <x:f>COUNTIFS('唯一词标签'!$V$2:$V$1441,A4,'唯一词标签'!$AB$2:$AB$1441,"needs_review")</x:f>
        <x:v>0</x:v>
      </x:c>
    </x:row>
    <x:row r="5" ht="22" customHeight="1">
      <x:c r="A5" s="7" t="str">
        <x:v>allure_step_brand_flip_flops</x:v>
      </x:c>
      <x:c r="B5" s="7" t="n">
        <x:f>COUNTIF('唯一词标签'!$V$2:$V$1441,A5)</x:f>
        <x:v>1</x:v>
      </x:c>
      <x:c r="C5" s="55" t="n">
        <x:f>B5/COUNTA('唯一词标签'!$C$2:$C$1441)</x:f>
        <x:v>0.0006944444444444445</x:v>
      </x:c>
      <x:c r="D5" s="7" t="n">
        <x:f>COUNTIFS('唯一词标签'!$V$2:$V$1441,A5,'唯一词标签'!$Z$2:$Z$1441,"match")</x:f>
        <x:v>0</x:v>
      </x:c>
      <x:c r="E5" s="7" t="n">
        <x:f>COUNTIFS('唯一词标签'!$V$2:$V$1441,A5,'唯一词标签'!$Z$2:$Z$1441,"partial_match")</x:f>
        <x:v>0</x:v>
      </x:c>
      <x:c r="F5" s="7" t="n">
        <x:f>COUNTIFS('唯一词标签'!$V$2:$V$1441,A5,'唯一词标签'!$Z$2:$Z$1441,"mismatch")</x:f>
        <x:v>1</x:v>
      </x:c>
      <x:c r="G5" s="7" t="n">
        <x:f>COUNTIFS('唯一词标签'!$V$2:$V$1441,A5,'唯一词标签'!$Z$2:$Z$1441,"unknown")</x:f>
        <x:v>0</x:v>
      </x:c>
      <x:c r="H5" s="7" t="n">
        <x:f>COUNTIFS('唯一词标签'!$V$2:$V$1441,A5,'唯一词标签'!$U$2:$U$1441,"low")</x:f>
        <x:v>0</x:v>
      </x:c>
      <x:c r="I5" s="7" t="n">
        <x:f>COUNTIFS('唯一词标签'!$V$2:$V$1441,A5,'唯一词标签'!$AB$2:$AB$1441,"needs_review")</x:f>
        <x:v>0</x:v>
      </x:c>
    </x:row>
    <x:row r="6" ht="22" customHeight="1">
      <x:c r="A6" s="7" t="str">
        <x:v>amazon_basics_flip_flops</x:v>
      </x:c>
      <x:c r="B6" s="7" t="n">
        <x:f>COUNTIF('唯一词标签'!$V$2:$V$1441,A6)</x:f>
        <x:v>1</x:v>
      </x:c>
      <x:c r="C6" s="55" t="n">
        <x:f>B6/COUNTA('唯一词标签'!$C$2:$C$1441)</x:f>
        <x:v>0.0006944444444444445</x:v>
      </x:c>
      <x:c r="D6" s="7" t="n">
        <x:f>COUNTIFS('唯一词标签'!$V$2:$V$1441,A6,'唯一词标签'!$Z$2:$Z$1441,"match")</x:f>
        <x:v>0</x:v>
      </x:c>
      <x:c r="E6" s="7" t="n">
        <x:f>COUNTIFS('唯一词标签'!$V$2:$V$1441,A6,'唯一词标签'!$Z$2:$Z$1441,"partial_match")</x:f>
        <x:v>0</x:v>
      </x:c>
      <x:c r="F6" s="7" t="n">
        <x:f>COUNTIFS('唯一词标签'!$V$2:$V$1441,A6,'唯一词标签'!$Z$2:$Z$1441,"mismatch")</x:f>
        <x:v>1</x:v>
      </x:c>
      <x:c r="G6" s="7" t="n">
        <x:f>COUNTIFS('唯一词标签'!$V$2:$V$1441,A6,'唯一词标签'!$Z$2:$Z$1441,"unknown")</x:f>
        <x:v>0</x:v>
      </x:c>
      <x:c r="H6" s="7" t="n">
        <x:f>COUNTIFS('唯一词标签'!$V$2:$V$1441,A6,'唯一词标签'!$U$2:$U$1441,"low")</x:f>
        <x:v>0</x:v>
      </x:c>
      <x:c r="I6" s="7" t="n">
        <x:f>COUNTIFS('唯一词标签'!$V$2:$V$1441,A6,'唯一词标签'!$AB$2:$AB$1441,"needs_review")</x:f>
        <x:v>0</x:v>
      </x:c>
    </x:row>
    <x:row r="7" ht="22" customHeight="1">
      <x:c r="A7" s="7" t="str">
        <x:v>amazon_womens_flip_flops</x:v>
      </x:c>
      <x:c r="B7" s="7" t="n">
        <x:f>COUNTIF('唯一词标签'!$V$2:$V$1441,A7)</x:f>
        <x:v>1</x:v>
      </x:c>
      <x:c r="C7" s="55" t="n">
        <x:f>B7/COUNTA('唯一词标签'!$C$2:$C$1441)</x:f>
        <x:v>0.0006944444444444445</x:v>
      </x:c>
      <x:c r="D7" s="7" t="n">
        <x:f>COUNTIFS('唯一词标签'!$V$2:$V$1441,A7,'唯一词标签'!$Z$2:$Z$1441,"match")</x:f>
        <x:v>1</x:v>
      </x:c>
      <x:c r="E7" s="7" t="n">
        <x:f>COUNTIFS('唯一词标签'!$V$2:$V$1441,A7,'唯一词标签'!$Z$2:$Z$1441,"partial_match")</x:f>
        <x:v>0</x:v>
      </x:c>
      <x:c r="F7" s="7" t="n">
        <x:f>COUNTIFS('唯一词标签'!$V$2:$V$1441,A7,'唯一词标签'!$Z$2:$Z$1441,"mismatch")</x:f>
        <x:v>0</x:v>
      </x:c>
      <x:c r="G7" s="7" t="n">
        <x:f>COUNTIFS('唯一词标签'!$V$2:$V$1441,A7,'唯一词标签'!$Z$2:$Z$1441,"unknown")</x:f>
        <x:v>0</x:v>
      </x:c>
      <x:c r="H7" s="7" t="n">
        <x:f>COUNTIFS('唯一词标签'!$V$2:$V$1441,A7,'唯一词标签'!$U$2:$U$1441,"low")</x:f>
        <x:v>0</x:v>
      </x:c>
      <x:c r="I7" s="7" t="n">
        <x:f>COUNTIFS('唯一词标签'!$V$2:$V$1441,A7,'唯一词标签'!$AB$2:$AB$1441,"needs_review")</x:f>
        <x:v>0</x:v>
      </x:c>
    </x:row>
    <x:row r="8" ht="22" customHeight="1">
      <x:c r="A8" s="7" t="str">
        <x:v>ambiguous_arch_support_sandals</x:v>
      </x:c>
      <x:c r="B8" s="7" t="n">
        <x:f>COUNTIF('唯一词标签'!$V$2:$V$1441,A8)</x:f>
        <x:v>1</x:v>
      </x:c>
      <x:c r="C8" s="55" t="n">
        <x:f>B8/COUNTA('唯一词标签'!$C$2:$C$1441)</x:f>
        <x:v>0.0006944444444444445</x:v>
      </x:c>
      <x:c r="D8" s="7" t="n">
        <x:f>COUNTIFS('唯一词标签'!$V$2:$V$1441,A8,'唯一词标签'!$Z$2:$Z$1441,"match")</x:f>
        <x:v>0</x:v>
      </x:c>
      <x:c r="E8" s="7" t="n">
        <x:f>COUNTIFS('唯一词标签'!$V$2:$V$1441,A8,'唯一词标签'!$Z$2:$Z$1441,"partial_match")</x:f>
        <x:v>0</x:v>
      </x:c>
      <x:c r="F8" s="7" t="n">
        <x:f>COUNTIFS('唯一词标签'!$V$2:$V$1441,A8,'唯一词标签'!$Z$2:$Z$1441,"mismatch")</x:f>
        <x:v>0</x:v>
      </x:c>
      <x:c r="G8" s="7" t="n">
        <x:f>COUNTIFS('唯一词标签'!$V$2:$V$1441,A8,'唯一词标签'!$Z$2:$Z$1441,"unknown")</x:f>
        <x:v>1</x:v>
      </x:c>
      <x:c r="H8" s="7" t="n">
        <x:f>COUNTIFS('唯一词标签'!$V$2:$V$1441,A8,'唯一词标签'!$U$2:$U$1441,"low")</x:f>
        <x:v>1</x:v>
      </x:c>
      <x:c r="I8" s="7" t="n">
        <x:f>COUNTIFS('唯一词标签'!$V$2:$V$1441,A8,'唯一词标签'!$AB$2:$AB$1441,"needs_review")</x:f>
        <x:v>0</x:v>
      </x:c>
    </x:row>
    <x:row r="9" ht="22" customHeight="1">
      <x:c r="A9" s="7" t="str">
        <x:v>ambiguous_flip_flops_query</x:v>
      </x:c>
      <x:c r="B9" s="7" t="n">
        <x:f>COUNTIF('唯一词标签'!$V$2:$V$1441,A9)</x:f>
        <x:v>1</x:v>
      </x:c>
      <x:c r="C9" s="55" t="n">
        <x:f>B9/COUNTA('唯一词标签'!$C$2:$C$1441)</x:f>
        <x:v>0.0006944444444444445</x:v>
      </x:c>
      <x:c r="D9" s="7" t="n">
        <x:f>COUNTIFS('唯一词标签'!$V$2:$V$1441,A9,'唯一词标签'!$Z$2:$Z$1441,"match")</x:f>
        <x:v>0</x:v>
      </x:c>
      <x:c r="E9" s="7" t="n">
        <x:f>COUNTIFS('唯一词标签'!$V$2:$V$1441,A9,'唯一词标签'!$Z$2:$Z$1441,"partial_match")</x:f>
        <x:v>0</x:v>
      </x:c>
      <x:c r="F9" s="7" t="n">
        <x:f>COUNTIFS('唯一词标签'!$V$2:$V$1441,A9,'唯一词标签'!$Z$2:$Z$1441,"mismatch")</x:f>
        <x:v>0</x:v>
      </x:c>
      <x:c r="G9" s="7" t="n">
        <x:f>COUNTIFS('唯一词标签'!$V$2:$V$1441,A9,'唯一词标签'!$Z$2:$Z$1441,"unknown")</x:f>
        <x:v>1</x:v>
      </x:c>
      <x:c r="H9" s="7" t="n">
        <x:f>COUNTIFS('唯一词标签'!$V$2:$V$1441,A9,'唯一词标签'!$U$2:$U$1441,"low")</x:f>
        <x:v>1</x:v>
      </x:c>
      <x:c r="I9" s="7" t="n">
        <x:f>COUNTIFS('唯一词标签'!$V$2:$V$1441,A9,'唯一词标签'!$AB$2:$AB$1441,"needs_review")</x:f>
        <x:v>0</x:v>
      </x:c>
    </x:row>
    <x:row r="10" ht="22" customHeight="1">
      <x:c r="A10" s="7" t="str">
        <x:v>anti_slip_flip_flops</x:v>
      </x:c>
      <x:c r="B10" s="7" t="n">
        <x:f>COUNTIF('唯一词标签'!$V$2:$V$1441,A10)</x:f>
        <x:v>1</x:v>
      </x:c>
      <x:c r="C10" s="55" t="n">
        <x:f>B10/COUNTA('唯一词标签'!$C$2:$C$1441)</x:f>
        <x:v>0.0006944444444444445</x:v>
      </x:c>
      <x:c r="D10" s="7" t="n">
        <x:f>COUNTIFS('唯一词标签'!$V$2:$V$1441,A10,'唯一词标签'!$Z$2:$Z$1441,"match")</x:f>
        <x:v>1</x:v>
      </x:c>
      <x:c r="E10" s="7" t="n">
        <x:f>COUNTIFS('唯一词标签'!$V$2:$V$1441,A10,'唯一词标签'!$Z$2:$Z$1441,"partial_match")</x:f>
        <x:v>0</x:v>
      </x:c>
      <x:c r="F10" s="7" t="n">
        <x:f>COUNTIFS('唯一词标签'!$V$2:$V$1441,A10,'唯一词标签'!$Z$2:$Z$1441,"mismatch")</x:f>
        <x:v>0</x:v>
      </x:c>
      <x:c r="G10" s="7" t="n">
        <x:f>COUNTIFS('唯一词标签'!$V$2:$V$1441,A10,'唯一词标签'!$Z$2:$Z$1441,"unknown")</x:f>
        <x:v>0</x:v>
      </x:c>
      <x:c r="H10" s="7" t="n">
        <x:f>COUNTIFS('唯一词标签'!$V$2:$V$1441,A10,'唯一词标签'!$U$2:$U$1441,"low")</x:f>
        <x:v>0</x:v>
      </x:c>
      <x:c r="I10" s="7" t="n">
        <x:f>COUNTIFS('唯一词标签'!$V$2:$V$1441,A10,'唯一词标签'!$AB$2:$AB$1441,"needs_review")</x:f>
        <x:v>0</x:v>
      </x:c>
    </x:row>
    <x:row r="11" ht="22" customHeight="1">
      <x:c r="A11" s="7" t="str">
        <x:v>anti_sweat_arch_support_flip_flops</x:v>
      </x:c>
      <x:c r="B11" s="7" t="n">
        <x:f>COUNTIF('唯一词标签'!$V$2:$V$1441,A11)</x:f>
        <x:v>1</x:v>
      </x:c>
      <x:c r="C11" s="55" t="n">
        <x:f>B11/COUNTA('唯一词标签'!$C$2:$C$1441)</x:f>
        <x:v>0.0006944444444444445</x:v>
      </x:c>
      <x:c r="D11" s="7" t="n">
        <x:f>COUNTIFS('唯一词标签'!$V$2:$V$1441,A11,'唯一词标签'!$Z$2:$Z$1441,"match")</x:f>
        <x:v>0</x:v>
      </x:c>
      <x:c r="E11" s="7" t="n">
        <x:f>COUNTIFS('唯一词标签'!$V$2:$V$1441,A11,'唯一词标签'!$Z$2:$Z$1441,"partial_match")</x:f>
        <x:v>1</x:v>
      </x:c>
      <x:c r="F11" s="7" t="n">
        <x:f>COUNTIFS('唯一词标签'!$V$2:$V$1441,A11,'唯一词标签'!$Z$2:$Z$1441,"mismatch")</x:f>
        <x:v>0</x:v>
      </x:c>
      <x:c r="G11" s="7" t="n">
        <x:f>COUNTIFS('唯一词标签'!$V$2:$V$1441,A11,'唯一词标签'!$Z$2:$Z$1441,"unknown")</x:f>
        <x:v>0</x:v>
      </x:c>
      <x:c r="H11" s="7" t="n">
        <x:f>COUNTIFS('唯一词标签'!$V$2:$V$1441,A11,'唯一词标签'!$U$2:$U$1441,"low")</x:f>
        <x:v>0</x:v>
      </x:c>
      <x:c r="I11" s="7" t="n">
        <x:f>COUNTIFS('唯一词标签'!$V$2:$V$1441,A11,'唯一词标签'!$AB$2:$AB$1441,"needs_review")</x:f>
        <x:v>0</x:v>
      </x:c>
    </x:row>
    <x:row r="12" ht="22" customHeight="1">
      <x:c r="A12" s="7" t="str">
        <x:v>antimicrobial_flip_flops</x:v>
      </x:c>
      <x:c r="B12" s="7" t="n">
        <x:f>COUNTIF('唯一词标签'!$V$2:$V$1441,A12)</x:f>
        <x:v>1</x:v>
      </x:c>
      <x:c r="C12" s="55" t="n">
        <x:f>B12/COUNTA('唯一词标签'!$C$2:$C$1441)</x:f>
        <x:v>0.0006944444444444445</x:v>
      </x:c>
      <x:c r="D12" s="7" t="n">
        <x:f>COUNTIFS('唯一词标签'!$V$2:$V$1441,A12,'唯一词标签'!$Z$2:$Z$1441,"match")</x:f>
        <x:v>0</x:v>
      </x:c>
      <x:c r="E12" s="7" t="n">
        <x:f>COUNTIFS('唯一词标签'!$V$2:$V$1441,A12,'唯一词标签'!$Z$2:$Z$1441,"partial_match")</x:f>
        <x:v>1</x:v>
      </x:c>
      <x:c r="F12" s="7" t="n">
        <x:f>COUNTIFS('唯一词标签'!$V$2:$V$1441,A12,'唯一词标签'!$Z$2:$Z$1441,"mismatch")</x:f>
        <x:v>0</x:v>
      </x:c>
      <x:c r="G12" s="7" t="n">
        <x:f>COUNTIFS('唯一词标签'!$V$2:$V$1441,A12,'唯一词标签'!$Z$2:$Z$1441,"unknown")</x:f>
        <x:v>0</x:v>
      </x:c>
      <x:c r="H12" s="7" t="n">
        <x:f>COUNTIFS('唯一词标签'!$V$2:$V$1441,A12,'唯一词标签'!$U$2:$U$1441,"low")</x:f>
        <x:v>0</x:v>
      </x:c>
      <x:c r="I12" s="7" t="n">
        <x:f>COUNTIFS('唯一词标签'!$V$2:$V$1441,A12,'唯一词标签'!$AB$2:$AB$1441,"needs_review")</x:f>
        <x:v>0</x:v>
      </x:c>
    </x:row>
    <x:row r="13" ht="22" customHeight="1">
      <x:c r="A13" s="7" t="str">
        <x:v>aqua_flip_flops_ambiguous</x:v>
      </x:c>
      <x:c r="B13" s="7" t="n">
        <x:f>COUNTIF('唯一词标签'!$V$2:$V$1441,A13)</x:f>
        <x:v>1</x:v>
      </x:c>
      <x:c r="C13" s="55" t="n">
        <x:f>B13/COUNTA('唯一词标签'!$C$2:$C$1441)</x:f>
        <x:v>0.0006944444444444445</x:v>
      </x:c>
      <x:c r="D13" s="7" t="n">
        <x:f>COUNTIFS('唯一词标签'!$V$2:$V$1441,A13,'唯一词标签'!$Z$2:$Z$1441,"match")</x:f>
        <x:v>0</x:v>
      </x:c>
      <x:c r="E13" s="7" t="n">
        <x:f>COUNTIFS('唯一词标签'!$V$2:$V$1441,A13,'唯一词标签'!$Z$2:$Z$1441,"partial_match")</x:f>
        <x:v>1</x:v>
      </x:c>
      <x:c r="F13" s="7" t="n">
        <x:f>COUNTIFS('唯一词标签'!$V$2:$V$1441,A13,'唯一词标签'!$Z$2:$Z$1441,"mismatch")</x:f>
        <x:v>0</x:v>
      </x:c>
      <x:c r="G13" s="7" t="n">
        <x:f>COUNTIFS('唯一词标签'!$V$2:$V$1441,A13,'唯一词标签'!$Z$2:$Z$1441,"unknown")</x:f>
        <x:v>0</x:v>
      </x:c>
      <x:c r="H13" s="7" t="n">
        <x:f>COUNTIFS('唯一词标签'!$V$2:$V$1441,A13,'唯一词标签'!$U$2:$U$1441,"low")</x:f>
        <x:v>1</x:v>
      </x:c>
      <x:c r="I13" s="7" t="n">
        <x:f>COUNTIFS('唯一词标签'!$V$2:$V$1441,A13,'唯一词标签'!$AB$2:$AB$1441,"needs_review")</x:f>
        <x:v>0</x:v>
      </x:c>
    </x:row>
    <x:row r="14" ht="22" customHeight="1">
      <x:c r="A14" s="7" t="str">
        <x:v>arch_flip_flops</x:v>
      </x:c>
      <x:c r="B14" s="7" t="n">
        <x:f>COUNTIF('唯一词标签'!$V$2:$V$1441,A14)</x:f>
        <x:v>1</x:v>
      </x:c>
      <x:c r="C14" s="55" t="n">
        <x:f>B14/COUNTA('唯一词标签'!$C$2:$C$1441)</x:f>
        <x:v>0.0006944444444444445</x:v>
      </x:c>
      <x:c r="D14" s="7" t="n">
        <x:f>COUNTIFS('唯一词标签'!$V$2:$V$1441,A14,'唯一词标签'!$Z$2:$Z$1441,"match")</x:f>
        <x:v>1</x:v>
      </x:c>
      <x:c r="E14" s="7" t="n">
        <x:f>COUNTIFS('唯一词标签'!$V$2:$V$1441,A14,'唯一词标签'!$Z$2:$Z$1441,"partial_match")</x:f>
        <x:v>0</x:v>
      </x:c>
      <x:c r="F14" s="7" t="n">
        <x:f>COUNTIFS('唯一词标签'!$V$2:$V$1441,A14,'唯一词标签'!$Z$2:$Z$1441,"mismatch")</x:f>
        <x:v>0</x:v>
      </x:c>
      <x:c r="G14" s="7" t="n">
        <x:f>COUNTIFS('唯一词标签'!$V$2:$V$1441,A14,'唯一词标签'!$Z$2:$Z$1441,"unknown")</x:f>
        <x:v>0</x:v>
      </x:c>
      <x:c r="H14" s="7" t="n">
        <x:f>COUNTIFS('唯一词标签'!$V$2:$V$1441,A14,'唯一词标签'!$U$2:$U$1441,"low")</x:f>
        <x:v>0</x:v>
      </x:c>
      <x:c r="I14" s="7" t="n">
        <x:f>COUNTIFS('唯一词标签'!$V$2:$V$1441,A14,'唯一词标签'!$AB$2:$AB$1441,"needs_review")</x:f>
        <x:v>0</x:v>
      </x:c>
    </x:row>
    <x:row r="15" ht="22" customHeight="1">
      <x:c r="A15" s="7" t="str">
        <x:v>arch_support_comfort_flip_flop</x:v>
      </x:c>
      <x:c r="B15" s="7" t="n">
        <x:f>COUNTIF('唯一词标签'!$V$2:$V$1441,A15)</x:f>
        <x:v>1</x:v>
      </x:c>
      <x:c r="C15" s="55" t="n">
        <x:f>B15/COUNTA('唯一词标签'!$C$2:$C$1441)</x:f>
        <x:v>0.0006944444444444445</x:v>
      </x:c>
      <x:c r="D15" s="7" t="n">
        <x:f>COUNTIFS('唯一词标签'!$V$2:$V$1441,A15,'唯一词标签'!$Z$2:$Z$1441,"match")</x:f>
        <x:v>1</x:v>
      </x:c>
      <x:c r="E15" s="7" t="n">
        <x:f>COUNTIFS('唯一词标签'!$V$2:$V$1441,A15,'唯一词标签'!$Z$2:$Z$1441,"partial_match")</x:f>
        <x:v>0</x:v>
      </x:c>
      <x:c r="F15" s="7" t="n">
        <x:f>COUNTIFS('唯一词标签'!$V$2:$V$1441,A15,'唯一词标签'!$Z$2:$Z$1441,"mismatch")</x:f>
        <x:v>0</x:v>
      </x:c>
      <x:c r="G15" s="7" t="n">
        <x:f>COUNTIFS('唯一词标签'!$V$2:$V$1441,A15,'唯一词标签'!$Z$2:$Z$1441,"unknown")</x:f>
        <x:v>0</x:v>
      </x:c>
      <x:c r="H15" s="7" t="n">
        <x:f>COUNTIFS('唯一词标签'!$V$2:$V$1441,A15,'唯一词标签'!$U$2:$U$1441,"low")</x:f>
        <x:v>0</x:v>
      </x:c>
      <x:c r="I15" s="7" t="n">
        <x:f>COUNTIFS('唯一词标签'!$V$2:$V$1441,A15,'唯一词标签'!$AB$2:$AB$1441,"needs_review")</x:f>
        <x:v>0</x:v>
      </x:c>
    </x:row>
    <x:row r="16" ht="22" customHeight="1">
      <x:c r="A16" s="7" t="str">
        <x:v>arch_support_dark_brown_flip_flops</x:v>
      </x:c>
      <x:c r="B16" s="7" t="n">
        <x:f>COUNTIF('唯一词标签'!$V$2:$V$1441,A16)</x:f>
        <x:v>1</x:v>
      </x:c>
      <x:c r="C16" s="55" t="n">
        <x:f>B16/COUNTA('唯一词标签'!$C$2:$C$1441)</x:f>
        <x:v>0.0006944444444444445</x:v>
      </x:c>
      <x:c r="D16" s="7" t="n">
        <x:f>COUNTIFS('唯一词标签'!$V$2:$V$1441,A16,'唯一词标签'!$Z$2:$Z$1441,"match")</x:f>
        <x:v>1</x:v>
      </x:c>
      <x:c r="E16" s="7" t="n">
        <x:f>COUNTIFS('唯一词标签'!$V$2:$V$1441,A16,'唯一词标签'!$Z$2:$Z$1441,"partial_match")</x:f>
        <x:v>0</x:v>
      </x:c>
      <x:c r="F16" s="7" t="n">
        <x:f>COUNTIFS('唯一词标签'!$V$2:$V$1441,A16,'唯一词标签'!$Z$2:$Z$1441,"mismatch")</x:f>
        <x:v>0</x:v>
      </x:c>
      <x:c r="G16" s="7" t="n">
        <x:f>COUNTIFS('唯一词标签'!$V$2:$V$1441,A16,'唯一词标签'!$Z$2:$Z$1441,"unknown")</x:f>
        <x:v>0</x:v>
      </x:c>
      <x:c r="H16" s="7" t="n">
        <x:f>COUNTIFS('唯一词标签'!$V$2:$V$1441,A16,'唯一词标签'!$U$2:$U$1441,"low")</x:f>
        <x:v>0</x:v>
      </x:c>
      <x:c r="I16" s="7" t="n">
        <x:f>COUNTIFS('唯一词标签'!$V$2:$V$1441,A16,'唯一词标签'!$AB$2:$AB$1441,"needs_review")</x:f>
        <x:v>0</x:v>
      </x:c>
    </x:row>
    <x:row r="17" ht="22" customHeight="1">
      <x:c r="A17" s="7" t="str">
        <x:v>arch_support_flip_flop_colored</x:v>
      </x:c>
      <x:c r="B17" s="7" t="n">
        <x:f>COUNTIF('唯一词标签'!$V$2:$V$1441,A17)</x:f>
        <x:v>1</x:v>
      </x:c>
      <x:c r="C17" s="55" t="n">
        <x:f>B17/COUNTA('唯一词标签'!$C$2:$C$1441)</x:f>
        <x:v>0.0006944444444444445</x:v>
      </x:c>
      <x:c r="D17" s="7" t="n">
        <x:f>COUNTIFS('唯一词标签'!$V$2:$V$1441,A17,'唯一词标签'!$Z$2:$Z$1441,"match")</x:f>
        <x:v>1</x:v>
      </x:c>
      <x:c r="E17" s="7" t="n">
        <x:f>COUNTIFS('唯一词标签'!$V$2:$V$1441,A17,'唯一词标签'!$Z$2:$Z$1441,"partial_match")</x:f>
        <x:v>0</x:v>
      </x:c>
      <x:c r="F17" s="7" t="n">
        <x:f>COUNTIFS('唯一词标签'!$V$2:$V$1441,A17,'唯一词标签'!$Z$2:$Z$1441,"mismatch")</x:f>
        <x:v>0</x:v>
      </x:c>
      <x:c r="G17" s="7" t="n">
        <x:f>COUNTIFS('唯一词标签'!$V$2:$V$1441,A17,'唯一词标签'!$Z$2:$Z$1441,"unknown")</x:f>
        <x:v>0</x:v>
      </x:c>
      <x:c r="H17" s="7" t="n">
        <x:f>COUNTIFS('唯一词标签'!$V$2:$V$1441,A17,'唯一词标签'!$U$2:$U$1441,"low")</x:f>
        <x:v>0</x:v>
      </x:c>
      <x:c r="I17" s="7" t="n">
        <x:f>COUNTIFS('唯一词标签'!$V$2:$V$1441,A17,'唯一词标签'!$AB$2:$AB$1441,"needs_review")</x:f>
        <x:v>0</x:v>
      </x:c>
    </x:row>
    <x:row r="18" ht="22" customHeight="1">
      <x:c r="A18" s="7" t="str">
        <x:v>arch_support_flip_flop_women</x:v>
      </x:c>
      <x:c r="B18" s="7" t="n">
        <x:f>COUNTIF('唯一词标签'!$V$2:$V$1441,A18)</x:f>
        <x:v>1</x:v>
      </x:c>
      <x:c r="C18" s="55" t="n">
        <x:f>B18/COUNTA('唯一词标签'!$C$2:$C$1441)</x:f>
        <x:v>0.0006944444444444445</x:v>
      </x:c>
      <x:c r="D18" s="7" t="n">
        <x:f>COUNTIFS('唯一词标签'!$V$2:$V$1441,A18,'唯一词标签'!$Z$2:$Z$1441,"match")</x:f>
        <x:v>1</x:v>
      </x:c>
      <x:c r="E18" s="7" t="n">
        <x:f>COUNTIFS('唯一词标签'!$V$2:$V$1441,A18,'唯一词标签'!$Z$2:$Z$1441,"partial_match")</x:f>
        <x:v>0</x:v>
      </x:c>
      <x:c r="F18" s="7" t="n">
        <x:f>COUNTIFS('唯一词标签'!$V$2:$V$1441,A18,'唯一词标签'!$Z$2:$Z$1441,"mismatch")</x:f>
        <x:v>0</x:v>
      </x:c>
      <x:c r="G18" s="7" t="n">
        <x:f>COUNTIFS('唯一词标签'!$V$2:$V$1441,A18,'唯一词标签'!$Z$2:$Z$1441,"unknown")</x:f>
        <x:v>0</x:v>
      </x:c>
      <x:c r="H18" s="7" t="n">
        <x:f>COUNTIFS('唯一词标签'!$V$2:$V$1441,A18,'唯一词标签'!$U$2:$U$1441,"low")</x:f>
        <x:v>0</x:v>
      </x:c>
      <x:c r="I18" s="7" t="n">
        <x:f>COUNTIFS('唯一词标签'!$V$2:$V$1441,A18,'唯一词标签'!$AB$2:$AB$1441,"needs_review")</x:f>
        <x:v>1</x:v>
      </x:c>
    </x:row>
    <x:row r="19" ht="22" customHeight="1">
      <x:c r="A19" s="7" t="str">
        <x:v>arch_support_flip_flops</x:v>
      </x:c>
      <x:c r="B19" s="7" t="n">
        <x:f>COUNTIF('唯一词标签'!$V$2:$V$1441,A19)</x:f>
        <x:v>21</x:v>
      </x:c>
      <x:c r="C19" s="55" t="n">
        <x:f>B19/COUNTA('唯一词标签'!$C$2:$C$1441)</x:f>
        <x:v>0.014583333333333334</x:v>
      </x:c>
      <x:c r="D19" s="7" t="n">
        <x:f>COUNTIFS('唯一词标签'!$V$2:$V$1441,A19,'唯一词标签'!$Z$2:$Z$1441,"match")</x:f>
        <x:v>15</x:v>
      </x:c>
      <x:c r="E19" s="7" t="n">
        <x:f>COUNTIFS('唯一词标签'!$V$2:$V$1441,A19,'唯一词标签'!$Z$2:$Z$1441,"partial_match")</x:f>
        <x:v>6</x:v>
      </x:c>
      <x:c r="F19" s="7" t="n">
        <x:f>COUNTIFS('唯一词标签'!$V$2:$V$1441,A19,'唯一词标签'!$Z$2:$Z$1441,"mismatch")</x:f>
        <x:v>0</x:v>
      </x:c>
      <x:c r="G19" s="7" t="n">
        <x:f>COUNTIFS('唯一词标签'!$V$2:$V$1441,A19,'唯一词标签'!$Z$2:$Z$1441,"unknown")</x:f>
        <x:v>0</x:v>
      </x:c>
      <x:c r="H19" s="7" t="n">
        <x:f>COUNTIFS('唯一词标签'!$V$2:$V$1441,A19,'唯一词标签'!$U$2:$U$1441,"low")</x:f>
        <x:v>0</x:v>
      </x:c>
      <x:c r="I19" s="7" t="n">
        <x:f>COUNTIFS('唯一词标签'!$V$2:$V$1441,A19,'唯一词标签'!$AB$2:$AB$1441,"needs_review")</x:f>
        <x:v>0</x:v>
      </x:c>
    </x:row>
    <x:row r="20" ht="22" customHeight="1">
      <x:c r="A20" s="7" t="str">
        <x:v>arch_support_flip_flops_black</x:v>
      </x:c>
      <x:c r="B20" s="7" t="n">
        <x:f>COUNTIF('唯一词标签'!$V$2:$V$1441,A20)</x:f>
        <x:v>2</x:v>
      </x:c>
      <x:c r="C20" s="55" t="n">
        <x:f>B20/COUNTA('唯一词标签'!$C$2:$C$1441)</x:f>
        <x:v>0.001388888888888889</x:v>
      </x:c>
      <x:c r="D20" s="7" t="n">
        <x:f>COUNTIFS('唯一词标签'!$V$2:$V$1441,A20,'唯一词标签'!$Z$2:$Z$1441,"match")</x:f>
        <x:v>2</x:v>
      </x:c>
      <x:c r="E20" s="7" t="n">
        <x:f>COUNTIFS('唯一词标签'!$V$2:$V$1441,A20,'唯一词标签'!$Z$2:$Z$1441,"partial_match")</x:f>
        <x:v>0</x:v>
      </x:c>
      <x:c r="F20" s="7" t="n">
        <x:f>COUNTIFS('唯一词标签'!$V$2:$V$1441,A20,'唯一词标签'!$Z$2:$Z$1441,"mismatch")</x:f>
        <x:v>0</x:v>
      </x:c>
      <x:c r="G20" s="7" t="n">
        <x:f>COUNTIFS('唯一词标签'!$V$2:$V$1441,A20,'唯一词标签'!$Z$2:$Z$1441,"unknown")</x:f>
        <x:v>0</x:v>
      </x:c>
      <x:c r="H20" s="7" t="n">
        <x:f>COUNTIFS('唯一词标签'!$V$2:$V$1441,A20,'唯一词标签'!$U$2:$U$1441,"low")</x:f>
        <x:v>0</x:v>
      </x:c>
      <x:c r="I20" s="7" t="n">
        <x:f>COUNTIFS('唯一词标签'!$V$2:$V$1441,A20,'唯一词标签'!$AB$2:$AB$1441,"needs_review")</x:f>
        <x:v>0</x:v>
      </x:c>
    </x:row>
    <x:row r="21" ht="22" customHeight="1">
      <x:c r="A21" s="7" t="str">
        <x:v>arch_support_flip_flops_brown</x:v>
      </x:c>
      <x:c r="B21" s="7" t="n">
        <x:f>COUNTIF('唯一词标签'!$V$2:$V$1441,A21)</x:f>
        <x:v>1</x:v>
      </x:c>
      <x:c r="C21" s="55" t="n">
        <x:f>B21/COUNTA('唯一词标签'!$C$2:$C$1441)</x:f>
        <x:v>0.0006944444444444445</x:v>
      </x:c>
      <x:c r="D21" s="7" t="n">
        <x:f>COUNTIFS('唯一词标签'!$V$2:$V$1441,A21,'唯一词标签'!$Z$2:$Z$1441,"match")</x:f>
        <x:v>1</x:v>
      </x:c>
      <x:c r="E21" s="7" t="n">
        <x:f>COUNTIFS('唯一词标签'!$V$2:$V$1441,A21,'唯一词标签'!$Z$2:$Z$1441,"partial_match")</x:f>
        <x:v>0</x:v>
      </x:c>
      <x:c r="F21" s="7" t="n">
        <x:f>COUNTIFS('唯一词标签'!$V$2:$V$1441,A21,'唯一词标签'!$Z$2:$Z$1441,"mismatch")</x:f>
        <x:v>0</x:v>
      </x:c>
      <x:c r="G21" s="7" t="n">
        <x:f>COUNTIFS('唯一词标签'!$V$2:$V$1441,A21,'唯一词标签'!$Z$2:$Z$1441,"unknown")</x:f>
        <x:v>0</x:v>
      </x:c>
      <x:c r="H21" s="7" t="n">
        <x:f>COUNTIFS('唯一词标签'!$V$2:$V$1441,A21,'唯一词标签'!$U$2:$U$1441,"low")</x:f>
        <x:v>0</x:v>
      </x:c>
      <x:c r="I21" s="7" t="n">
        <x:f>COUNTIFS('唯一词标签'!$V$2:$V$1441,A21,'唯一词标签'!$AB$2:$AB$1441,"needs_review")</x:f>
        <x:v>0</x:v>
      </x:c>
    </x:row>
    <x:row r="22" ht="22" customHeight="1">
      <x:c r="A22" s="7" t="str">
        <x:v>arch_support_flip_flops_color</x:v>
      </x:c>
      <x:c r="B22" s="7" t="n">
        <x:f>COUNTIF('唯一词标签'!$V$2:$V$1441,A22)</x:f>
        <x:v>4</x:v>
      </x:c>
      <x:c r="C22" s="55" t="n">
        <x:f>B22/COUNTA('唯一词标签'!$C$2:$C$1441)</x:f>
        <x:v>0.002777777777777778</x:v>
      </x:c>
      <x:c r="D22" s="7" t="n">
        <x:f>COUNTIFS('唯一词标签'!$V$2:$V$1441,A22,'唯一词标签'!$Z$2:$Z$1441,"match")</x:f>
        <x:v>3</x:v>
      </x:c>
      <x:c r="E22" s="7" t="n">
        <x:f>COUNTIFS('唯一词标签'!$V$2:$V$1441,A22,'唯一词标签'!$Z$2:$Z$1441,"partial_match")</x:f>
        <x:v>1</x:v>
      </x:c>
      <x:c r="F22" s="7" t="n">
        <x:f>COUNTIFS('唯一词标签'!$V$2:$V$1441,A22,'唯一词标签'!$Z$2:$Z$1441,"mismatch")</x:f>
        <x:v>0</x:v>
      </x:c>
      <x:c r="G22" s="7" t="n">
        <x:f>COUNTIFS('唯一词标签'!$V$2:$V$1441,A22,'唯一词标签'!$Z$2:$Z$1441,"unknown")</x:f>
        <x:v>0</x:v>
      </x:c>
      <x:c r="H22" s="7" t="n">
        <x:f>COUNTIFS('唯一词标签'!$V$2:$V$1441,A22,'唯一词标签'!$U$2:$U$1441,"low")</x:f>
        <x:v>0</x:v>
      </x:c>
      <x:c r="I22" s="7" t="n">
        <x:f>COUNTIFS('唯一词标签'!$V$2:$V$1441,A22,'唯一词标签'!$AB$2:$AB$1441,"needs_review")</x:f>
        <x:v>0</x:v>
      </x:c>
    </x:row>
    <x:row r="23" ht="22" customHeight="1">
      <x:c r="A23" s="7" t="str">
        <x:v>arch_support_flip_flops_color_blue</x:v>
      </x:c>
      <x:c r="B23" s="7" t="n">
        <x:f>COUNTIF('唯一词标签'!$V$2:$V$1441,A23)</x:f>
        <x:v>1</x:v>
      </x:c>
      <x:c r="C23" s="55" t="n">
        <x:f>B23/COUNTA('唯一词标签'!$C$2:$C$1441)</x:f>
        <x:v>0.0006944444444444445</x:v>
      </x:c>
      <x:c r="D23" s="7" t="n">
        <x:f>COUNTIFS('唯一词标签'!$V$2:$V$1441,A23,'唯一词标签'!$Z$2:$Z$1441,"match")</x:f>
        <x:v>1</x:v>
      </x:c>
      <x:c r="E23" s="7" t="n">
        <x:f>COUNTIFS('唯一词标签'!$V$2:$V$1441,A23,'唯一词标签'!$Z$2:$Z$1441,"partial_match")</x:f>
        <x:v>0</x:v>
      </x:c>
      <x:c r="F23" s="7" t="n">
        <x:f>COUNTIFS('唯一词标签'!$V$2:$V$1441,A23,'唯一词标签'!$Z$2:$Z$1441,"mismatch")</x:f>
        <x:v>0</x:v>
      </x:c>
      <x:c r="G23" s="7" t="n">
        <x:f>COUNTIFS('唯一词标签'!$V$2:$V$1441,A23,'唯一词标签'!$Z$2:$Z$1441,"unknown")</x:f>
        <x:v>0</x:v>
      </x:c>
      <x:c r="H23" s="7" t="n">
        <x:f>COUNTIFS('唯一词标签'!$V$2:$V$1441,A23,'唯一词标签'!$U$2:$U$1441,"low")</x:f>
        <x:v>0</x:v>
      </x:c>
      <x:c r="I23" s="7" t="n">
        <x:f>COUNTIFS('唯一词标签'!$V$2:$V$1441,A23,'唯一词标签'!$AB$2:$AB$1441,"needs_review")</x:f>
        <x:v>0</x:v>
      </x:c>
    </x:row>
    <x:row r="24" ht="22" customHeight="1">
      <x:c r="A24" s="7" t="str">
        <x:v>arch_support_flip_flops_generic</x:v>
      </x:c>
      <x:c r="B24" s="7" t="n">
        <x:f>COUNTIF('唯一词标签'!$V$2:$V$1441,A24)</x:f>
        <x:v>2</x:v>
      </x:c>
      <x:c r="C24" s="55" t="n">
        <x:f>B24/COUNTA('唯一词标签'!$C$2:$C$1441)</x:f>
        <x:v>0.001388888888888889</x:v>
      </x:c>
      <x:c r="D24" s="7" t="n">
        <x:f>COUNTIFS('唯一词标签'!$V$2:$V$1441,A24,'唯一词标签'!$Z$2:$Z$1441,"match")</x:f>
        <x:v>2</x:v>
      </x:c>
      <x:c r="E24" s="7" t="n">
        <x:f>COUNTIFS('唯一词标签'!$V$2:$V$1441,A24,'唯一词标签'!$Z$2:$Z$1441,"partial_match")</x:f>
        <x:v>0</x:v>
      </x:c>
      <x:c r="F24" s="7" t="n">
        <x:f>COUNTIFS('唯一词标签'!$V$2:$V$1441,A24,'唯一词标签'!$Z$2:$Z$1441,"mismatch")</x:f>
        <x:v>0</x:v>
      </x:c>
      <x:c r="G24" s="7" t="n">
        <x:f>COUNTIFS('唯一词标签'!$V$2:$V$1441,A24,'唯一词标签'!$Z$2:$Z$1441,"unknown")</x:f>
        <x:v>0</x:v>
      </x:c>
      <x:c r="H24" s="7" t="n">
        <x:f>COUNTIFS('唯一词标签'!$V$2:$V$1441,A24,'唯一词标签'!$U$2:$U$1441,"low")</x:f>
        <x:v>0</x:v>
      </x:c>
      <x:c r="I24" s="7" t="n">
        <x:f>COUNTIFS('唯一词标签'!$V$2:$V$1441,A24,'唯一词标签'!$AB$2:$AB$1441,"needs_review")</x:f>
        <x:v>0</x:v>
      </x:c>
    </x:row>
    <x:row r="25" ht="22" customHeight="1">
      <x:c r="A25" s="7" t="str">
        <x:v>arch_support_flip_flops_white</x:v>
      </x:c>
      <x:c r="B25" s="7" t="n">
        <x:f>COUNTIF('唯一词标签'!$V$2:$V$1441,A25)</x:f>
        <x:v>1</x:v>
      </x:c>
      <x:c r="C25" s="55" t="n">
        <x:f>B25/COUNTA('唯一词标签'!$C$2:$C$1441)</x:f>
        <x:v>0.0006944444444444445</x:v>
      </x:c>
      <x:c r="D25" s="7" t="n">
        <x:f>COUNTIFS('唯一词标签'!$V$2:$V$1441,A25,'唯一词标签'!$Z$2:$Z$1441,"match")</x:f>
        <x:v>1</x:v>
      </x:c>
      <x:c r="E25" s="7" t="n">
        <x:f>COUNTIFS('唯一词标签'!$V$2:$V$1441,A25,'唯一词标签'!$Z$2:$Z$1441,"partial_match")</x:f>
        <x:v>0</x:v>
      </x:c>
      <x:c r="F25" s="7" t="n">
        <x:f>COUNTIFS('唯一词标签'!$V$2:$V$1441,A25,'唯一词标签'!$Z$2:$Z$1441,"mismatch")</x:f>
        <x:v>0</x:v>
      </x:c>
      <x:c r="G25" s="7" t="n">
        <x:f>COUNTIFS('唯一词标签'!$V$2:$V$1441,A25,'唯一词标签'!$Z$2:$Z$1441,"unknown")</x:f>
        <x:v>0</x:v>
      </x:c>
      <x:c r="H25" s="7" t="n">
        <x:f>COUNTIFS('唯一词标签'!$V$2:$V$1441,A25,'唯一词标签'!$U$2:$U$1441,"low")</x:f>
        <x:v>0</x:v>
      </x:c>
      <x:c r="I25" s="7" t="n">
        <x:f>COUNTIFS('唯一词标签'!$V$2:$V$1441,A25,'唯一词标签'!$AB$2:$AB$1441,"needs_review")</x:f>
        <x:v>0</x:v>
      </x:c>
    </x:row>
    <x:row r="26" ht="22" customHeight="1">
      <x:c r="A26" s="7" t="str">
        <x:v>arch_support_flip_flops_women</x:v>
      </x:c>
      <x:c r="B26" s="7" t="n">
        <x:f>COUNTIF('唯一词标签'!$V$2:$V$1441,A26)</x:f>
        <x:v>6</x:v>
      </x:c>
      <x:c r="C26" s="55" t="n">
        <x:f>B26/COUNTA('唯一词标签'!$C$2:$C$1441)</x:f>
        <x:v>0.004166666666666667</x:v>
      </x:c>
      <x:c r="D26" s="7" t="n">
        <x:f>COUNTIFS('唯一词标签'!$V$2:$V$1441,A26,'唯一词标签'!$Z$2:$Z$1441,"match")</x:f>
        <x:v>6</x:v>
      </x:c>
      <x:c r="E26" s="7" t="n">
        <x:f>COUNTIFS('唯一词标签'!$V$2:$V$1441,A26,'唯一词标签'!$Z$2:$Z$1441,"partial_match")</x:f>
        <x:v>0</x:v>
      </x:c>
      <x:c r="F26" s="7" t="n">
        <x:f>COUNTIFS('唯一词标签'!$V$2:$V$1441,A26,'唯一词标签'!$Z$2:$Z$1441,"mismatch")</x:f>
        <x:v>0</x:v>
      </x:c>
      <x:c r="G26" s="7" t="n">
        <x:f>COUNTIFS('唯一词标签'!$V$2:$V$1441,A26,'唯一词标签'!$Z$2:$Z$1441,"unknown")</x:f>
        <x:v>0</x:v>
      </x:c>
      <x:c r="H26" s="7" t="n">
        <x:f>COUNTIFS('唯一词标签'!$V$2:$V$1441,A26,'唯一词标签'!$U$2:$U$1441,"low")</x:f>
        <x:v>0</x:v>
      </x:c>
      <x:c r="I26" s="7" t="n">
        <x:f>COUNTIFS('唯一词标签'!$V$2:$V$1441,A26,'唯一词标签'!$AB$2:$AB$1441,"needs_review")</x:f>
        <x:v>0</x:v>
      </x:c>
    </x:row>
    <x:row r="27" ht="22" customHeight="1">
      <x:c r="A27" s="7" t="str">
        <x:v>arch_support_flip_flops_women_sized</x:v>
      </x:c>
      <x:c r="B27" s="7" t="n">
        <x:f>COUNTIF('唯一词标签'!$V$2:$V$1441,A27)</x:f>
        <x:v>1</x:v>
      </x:c>
      <x:c r="C27" s="55" t="n">
        <x:f>B27/COUNTA('唯一词标签'!$C$2:$C$1441)</x:f>
        <x:v>0.0006944444444444445</x:v>
      </x:c>
      <x:c r="D27" s="7" t="n">
        <x:f>COUNTIFS('唯一词标签'!$V$2:$V$1441,A27,'唯一词标签'!$Z$2:$Z$1441,"match")</x:f>
        <x:v>1</x:v>
      </x:c>
      <x:c r="E27" s="7" t="n">
        <x:f>COUNTIFS('唯一词标签'!$V$2:$V$1441,A27,'唯一词标签'!$Z$2:$Z$1441,"partial_match")</x:f>
        <x:v>0</x:v>
      </x:c>
      <x:c r="F27" s="7" t="n">
        <x:f>COUNTIFS('唯一词标签'!$V$2:$V$1441,A27,'唯一词标签'!$Z$2:$Z$1441,"mismatch")</x:f>
        <x:v>0</x:v>
      </x:c>
      <x:c r="G27" s="7" t="n">
        <x:f>COUNTIFS('唯一词标签'!$V$2:$V$1441,A27,'唯一词标签'!$Z$2:$Z$1441,"unknown")</x:f>
        <x:v>0</x:v>
      </x:c>
      <x:c r="H27" s="7" t="n">
        <x:f>COUNTIFS('唯一词标签'!$V$2:$V$1441,A27,'唯一词标签'!$U$2:$U$1441,"low")</x:f>
        <x:v>0</x:v>
      </x:c>
      <x:c r="I27" s="7" t="n">
        <x:f>COUNTIFS('唯一词标签'!$V$2:$V$1441,A27,'唯一词标签'!$AB$2:$AB$1441,"needs_review")</x:f>
        <x:v>0</x:v>
      </x:c>
    </x:row>
    <x:row r="28" ht="22" customHeight="1">
      <x:c r="A28" s="7" t="str">
        <x:v>arch_support_flip_flops_women_square_toe</x:v>
      </x:c>
      <x:c r="B28" s="7" t="n">
        <x:f>COUNTIF('唯一词标签'!$V$2:$V$1441,A28)</x:f>
        <x:v>1</x:v>
      </x:c>
      <x:c r="C28" s="55" t="n">
        <x:f>B28/COUNTA('唯一词标签'!$C$2:$C$1441)</x:f>
        <x:v>0.0006944444444444445</x:v>
      </x:c>
      <x:c r="D28" s="7" t="n">
        <x:f>COUNTIFS('唯一词标签'!$V$2:$V$1441,A28,'唯一词标签'!$Z$2:$Z$1441,"match")</x:f>
        <x:v>0</x:v>
      </x:c>
      <x:c r="E28" s="7" t="n">
        <x:f>COUNTIFS('唯一词标签'!$V$2:$V$1441,A28,'唯一词标签'!$Z$2:$Z$1441,"partial_match")</x:f>
        <x:v>1</x:v>
      </x:c>
      <x:c r="F28" s="7" t="n">
        <x:f>COUNTIFS('唯一词标签'!$V$2:$V$1441,A28,'唯一词标签'!$Z$2:$Z$1441,"mismatch")</x:f>
        <x:v>0</x:v>
      </x:c>
      <x:c r="G28" s="7" t="n">
        <x:f>COUNTIFS('唯一词标签'!$V$2:$V$1441,A28,'唯一词标签'!$Z$2:$Z$1441,"unknown")</x:f>
        <x:v>0</x:v>
      </x:c>
      <x:c r="H28" s="7" t="n">
        <x:f>COUNTIFS('唯一词标签'!$V$2:$V$1441,A28,'唯一词标签'!$U$2:$U$1441,"low")</x:f>
        <x:v>0</x:v>
      </x:c>
      <x:c r="I28" s="7" t="n">
        <x:f>COUNTIFS('唯一词标签'!$V$2:$V$1441,A28,'唯一词标签'!$AB$2:$AB$1441,"needs_review")</x:f>
        <x:v>0</x:v>
      </x:c>
    </x:row>
    <x:row r="29" ht="22" customHeight="1">
      <x:c r="A29" s="7" t="str">
        <x:v>arch_support_plantar_fasciitis_sandals</x:v>
      </x:c>
      <x:c r="B29" s="7" t="n">
        <x:f>COUNTIF('唯一词标签'!$V$2:$V$1441,A29)</x:f>
        <x:v>1</x:v>
      </x:c>
      <x:c r="C29" s="55" t="n">
        <x:f>B29/COUNTA('唯一词标签'!$C$2:$C$1441)</x:f>
        <x:v>0.0006944444444444445</x:v>
      </x:c>
      <x:c r="D29" s="7" t="n">
        <x:f>COUNTIFS('唯一词标签'!$V$2:$V$1441,A29,'唯一词标签'!$Z$2:$Z$1441,"match")</x:f>
        <x:v>0</x:v>
      </x:c>
      <x:c r="E29" s="7" t="n">
        <x:f>COUNTIFS('唯一词标签'!$V$2:$V$1441,A29,'唯一词标签'!$Z$2:$Z$1441,"partial_match")</x:f>
        <x:v>1</x:v>
      </x:c>
      <x:c r="F29" s="7" t="n">
        <x:f>COUNTIFS('唯一词标签'!$V$2:$V$1441,A29,'唯一词标签'!$Z$2:$Z$1441,"mismatch")</x:f>
        <x:v>0</x:v>
      </x:c>
      <x:c r="G29" s="7" t="n">
        <x:f>COUNTIFS('唯一词标签'!$V$2:$V$1441,A29,'唯一词标签'!$Z$2:$Z$1441,"unknown")</x:f>
        <x:v>0</x:v>
      </x:c>
      <x:c r="H29" s="7" t="n">
        <x:f>COUNTIFS('唯一词标签'!$V$2:$V$1441,A29,'唯一词标签'!$U$2:$U$1441,"low")</x:f>
        <x:v>0</x:v>
      </x:c>
      <x:c r="I29" s="7" t="n">
        <x:f>COUNTIFS('唯一词标签'!$V$2:$V$1441,A29,'唯一词标签'!$AB$2:$AB$1441,"needs_review")</x:f>
        <x:v>1</x:v>
      </x:c>
    </x:row>
    <x:row r="30" ht="22" customHeight="1">
      <x:c r="A30" s="7" t="str">
        <x:v>arch_support_sandals</x:v>
      </x:c>
      <x:c r="B30" s="7" t="n">
        <x:f>COUNTIF('唯一词标签'!$V$2:$V$1441,A30)</x:f>
        <x:v>2</x:v>
      </x:c>
      <x:c r="C30" s="55" t="n">
        <x:f>B30/COUNTA('唯一词标签'!$C$2:$C$1441)</x:f>
        <x:v>0.001388888888888889</x:v>
      </x:c>
      <x:c r="D30" s="7" t="n">
        <x:f>COUNTIFS('唯一词标签'!$V$2:$V$1441,A30,'唯一词标签'!$Z$2:$Z$1441,"match")</x:f>
        <x:v>2</x:v>
      </x:c>
      <x:c r="E30" s="7" t="n">
        <x:f>COUNTIFS('唯一词标签'!$V$2:$V$1441,A30,'唯一词标签'!$Z$2:$Z$1441,"partial_match")</x:f>
        <x:v>0</x:v>
      </x:c>
      <x:c r="F30" s="7" t="n">
        <x:f>COUNTIFS('唯一词标签'!$V$2:$V$1441,A30,'唯一词标签'!$Z$2:$Z$1441,"mismatch")</x:f>
        <x:v>0</x:v>
      </x:c>
      <x:c r="G30" s="7" t="n">
        <x:f>COUNTIFS('唯一词标签'!$V$2:$V$1441,A30,'唯一词标签'!$Z$2:$Z$1441,"unknown")</x:f>
        <x:v>0</x:v>
      </x:c>
      <x:c r="H30" s="7" t="n">
        <x:f>COUNTIFS('唯一词标签'!$V$2:$V$1441,A30,'唯一词标签'!$U$2:$U$1441,"low")</x:f>
        <x:v>0</x:v>
      </x:c>
      <x:c r="I30" s="7" t="n">
        <x:f>COUNTIFS('唯一词标签'!$V$2:$V$1441,A30,'唯一词标签'!$AB$2:$AB$1441,"needs_review")</x:f>
        <x:v>0</x:v>
      </x:c>
    </x:row>
    <x:row r="31" ht="22" customHeight="1">
      <x:c r="A31" s="7" t="str">
        <x:v>arch_support_sandals_color</x:v>
      </x:c>
      <x:c r="B31" s="7" t="n">
        <x:f>COUNTIF('唯一词标签'!$V$2:$V$1441,A31)</x:f>
        <x:v>2</x:v>
      </x:c>
      <x:c r="C31" s="55" t="n">
        <x:f>B31/COUNTA('唯一词标签'!$C$2:$C$1441)</x:f>
        <x:v>0.001388888888888889</x:v>
      </x:c>
      <x:c r="D31" s="7" t="n">
        <x:f>COUNTIFS('唯一词标签'!$V$2:$V$1441,A31,'唯一词标签'!$Z$2:$Z$1441,"match")</x:f>
        <x:v>0</x:v>
      </x:c>
      <x:c r="E31" s="7" t="n">
        <x:f>COUNTIFS('唯一词标签'!$V$2:$V$1441,A31,'唯一词标签'!$Z$2:$Z$1441,"partial_match")</x:f>
        <x:v>2</x:v>
      </x:c>
      <x:c r="F31" s="7" t="n">
        <x:f>COUNTIFS('唯一词标签'!$V$2:$V$1441,A31,'唯一词标签'!$Z$2:$Z$1441,"mismatch")</x:f>
        <x:v>0</x:v>
      </x:c>
      <x:c r="G31" s="7" t="n">
        <x:f>COUNTIFS('唯一词标签'!$V$2:$V$1441,A31,'唯一词标签'!$Z$2:$Z$1441,"unknown")</x:f>
        <x:v>0</x:v>
      </x:c>
      <x:c r="H31" s="7" t="n">
        <x:f>COUNTIFS('唯一词标签'!$V$2:$V$1441,A31,'唯一词标签'!$U$2:$U$1441,"low")</x:f>
        <x:v>0</x:v>
      </x:c>
      <x:c r="I31" s="7" t="n">
        <x:f>COUNTIFS('唯一词标签'!$V$2:$V$1441,A31,'唯一词标签'!$AB$2:$AB$1441,"needs_review")</x:f>
        <x:v>0</x:v>
      </x:c>
    </x:row>
    <x:row r="32" ht="22" customHeight="1">
      <x:c r="A32" s="7" t="str">
        <x:v>arch_support_sandals_women</x:v>
      </x:c>
      <x:c r="B32" s="7" t="n">
        <x:f>COUNTIF('唯一词标签'!$V$2:$V$1441,A32)</x:f>
        <x:v>1</x:v>
      </x:c>
      <x:c r="C32" s="55" t="n">
        <x:f>B32/COUNTA('唯一词标签'!$C$2:$C$1441)</x:f>
        <x:v>0.0006944444444444445</x:v>
      </x:c>
      <x:c r="D32" s="7" t="n">
        <x:f>COUNTIFS('唯一词标签'!$V$2:$V$1441,A32,'唯一词标签'!$Z$2:$Z$1441,"match")</x:f>
        <x:v>1</x:v>
      </x:c>
      <x:c r="E32" s="7" t="n">
        <x:f>COUNTIFS('唯一词标签'!$V$2:$V$1441,A32,'唯一词标签'!$Z$2:$Z$1441,"partial_match")</x:f>
        <x:v>0</x:v>
      </x:c>
      <x:c r="F32" s="7" t="n">
        <x:f>COUNTIFS('唯一词标签'!$V$2:$V$1441,A32,'唯一词标签'!$Z$2:$Z$1441,"mismatch")</x:f>
        <x:v>0</x:v>
      </x:c>
      <x:c r="G32" s="7" t="n">
        <x:f>COUNTIFS('唯一词标签'!$V$2:$V$1441,A32,'唯一词标签'!$Z$2:$Z$1441,"unknown")</x:f>
        <x:v>0</x:v>
      </x:c>
      <x:c r="H32" s="7" t="n">
        <x:f>COUNTIFS('唯一词标签'!$V$2:$V$1441,A32,'唯一词标签'!$U$2:$U$1441,"low")</x:f>
        <x:v>0</x:v>
      </x:c>
      <x:c r="I32" s="7" t="n">
        <x:f>COUNTIFS('唯一词标签'!$V$2:$V$1441,A32,'唯一词标签'!$AB$2:$AB$1441,"needs_review")</x:f>
        <x:v>0</x:v>
      </x:c>
    </x:row>
    <x:row r="33" ht="22" customHeight="1">
      <x:c r="A33" s="7" t="str">
        <x:v>arch_support_slippers_cn</x:v>
      </x:c>
      <x:c r="B33" s="7" t="n">
        <x:f>COUNTIF('唯一词标签'!$V$2:$V$1441,A33)</x:f>
        <x:v>1</x:v>
      </x:c>
      <x:c r="C33" s="55" t="n">
        <x:f>B33/COUNTA('唯一词标签'!$C$2:$C$1441)</x:f>
        <x:v>0.0006944444444444445</x:v>
      </x:c>
      <x:c r="D33" s="7" t="n">
        <x:f>COUNTIFS('唯一词标签'!$V$2:$V$1441,A33,'唯一词标签'!$Z$2:$Z$1441,"match")</x:f>
        <x:v>1</x:v>
      </x:c>
      <x:c r="E33" s="7" t="n">
        <x:f>COUNTIFS('唯一词标签'!$V$2:$V$1441,A33,'唯一词标签'!$Z$2:$Z$1441,"partial_match")</x:f>
        <x:v>0</x:v>
      </x:c>
      <x:c r="F33" s="7" t="n">
        <x:f>COUNTIFS('唯一词标签'!$V$2:$V$1441,A33,'唯一词标签'!$Z$2:$Z$1441,"mismatch")</x:f>
        <x:v>0</x:v>
      </x:c>
      <x:c r="G33" s="7" t="n">
        <x:f>COUNTIFS('唯一词标签'!$V$2:$V$1441,A33,'唯一词标签'!$Z$2:$Z$1441,"unknown")</x:f>
        <x:v>0</x:v>
      </x:c>
      <x:c r="H33" s="7" t="n">
        <x:f>COUNTIFS('唯一词标签'!$V$2:$V$1441,A33,'唯一词标签'!$U$2:$U$1441,"low")</x:f>
        <x:v>0</x:v>
      </x:c>
      <x:c r="I33" s="7" t="n">
        <x:f>COUNTIFS('唯一词标签'!$V$2:$V$1441,A33,'唯一词标签'!$AB$2:$AB$1441,"needs_review")</x:f>
        <x:v>0</x:v>
      </x:c>
    </x:row>
    <x:row r="34" ht="22" customHeight="1">
      <x:c r="A34" s="7" t="str">
        <x:v>arch_support_waterproof_flip_flops</x:v>
      </x:c>
      <x:c r="B34" s="7" t="n">
        <x:f>COUNTIF('唯一词标签'!$V$2:$V$1441,A34)</x:f>
        <x:v>1</x:v>
      </x:c>
      <x:c r="C34" s="55" t="n">
        <x:f>B34/COUNTA('唯一词标签'!$C$2:$C$1441)</x:f>
        <x:v>0.0006944444444444445</x:v>
      </x:c>
      <x:c r="D34" s="7" t="n">
        <x:f>COUNTIFS('唯一词标签'!$V$2:$V$1441,A34,'唯一词标签'!$Z$2:$Z$1441,"match")</x:f>
        <x:v>0</x:v>
      </x:c>
      <x:c r="E34" s="7" t="n">
        <x:f>COUNTIFS('唯一词标签'!$V$2:$V$1441,A34,'唯一词标签'!$Z$2:$Z$1441,"partial_match")</x:f>
        <x:v>1</x:v>
      </x:c>
      <x:c r="F34" s="7" t="n">
        <x:f>COUNTIFS('唯一词标签'!$V$2:$V$1441,A34,'唯一词标签'!$Z$2:$Z$1441,"mismatch")</x:f>
        <x:v>0</x:v>
      </x:c>
      <x:c r="G34" s="7" t="n">
        <x:f>COUNTIFS('唯一词标签'!$V$2:$V$1441,A34,'唯一词标签'!$Z$2:$Z$1441,"unknown")</x:f>
        <x:v>0</x:v>
      </x:c>
      <x:c r="H34" s="7" t="n">
        <x:f>COUNTIFS('唯一词标签'!$V$2:$V$1441,A34,'唯一词标签'!$U$2:$U$1441,"low")</x:f>
        <x:v>0</x:v>
      </x:c>
      <x:c r="I34" s="7" t="n">
        <x:f>COUNTIFS('唯一词标签'!$V$2:$V$1441,A34,'唯一词标签'!$AB$2:$AB$1441,"needs_review")</x:f>
        <x:v>0</x:v>
      </x:c>
    </x:row>
    <x:row r="35" ht="22" customHeight="1">
      <x:c r="A35" s="7" t="str">
        <x:v>arch_support_womens_comfort_flip_flops</x:v>
      </x:c>
      <x:c r="B35" s="7" t="n">
        <x:f>COUNTIF('唯一词标签'!$V$2:$V$1441,A35)</x:f>
        <x:v>1</x:v>
      </x:c>
      <x:c r="C35" s="55" t="n">
        <x:f>B35/COUNTA('唯一词标签'!$C$2:$C$1441)</x:f>
        <x:v>0.0006944444444444445</x:v>
      </x:c>
      <x:c r="D35" s="7" t="n">
        <x:f>COUNTIFS('唯一词标签'!$V$2:$V$1441,A35,'唯一词标签'!$Z$2:$Z$1441,"match")</x:f>
        <x:v>1</x:v>
      </x:c>
      <x:c r="E35" s="7" t="n">
        <x:f>COUNTIFS('唯一词标签'!$V$2:$V$1441,A35,'唯一词标签'!$Z$2:$Z$1441,"partial_match")</x:f>
        <x:v>0</x:v>
      </x:c>
      <x:c r="F35" s="7" t="n">
        <x:f>COUNTIFS('唯一词标签'!$V$2:$V$1441,A35,'唯一词标签'!$Z$2:$Z$1441,"mismatch")</x:f>
        <x:v>0</x:v>
      </x:c>
      <x:c r="G35" s="7" t="n">
        <x:f>COUNTIFS('唯一词标签'!$V$2:$V$1441,A35,'唯一词标签'!$Z$2:$Z$1441,"unknown")</x:f>
        <x:v>0</x:v>
      </x:c>
      <x:c r="H35" s="7" t="n">
        <x:f>COUNTIFS('唯一词标签'!$V$2:$V$1441,A35,'唯一词标签'!$U$2:$U$1441,"low")</x:f>
        <x:v>0</x:v>
      </x:c>
      <x:c r="I35" s="7" t="n">
        <x:f>COUNTIFS('唯一词标签'!$V$2:$V$1441,A35,'唯一词标签'!$AB$2:$AB$1441,"needs_review")</x:f>
        <x:v>0</x:v>
      </x:c>
    </x:row>
    <x:row r="36" ht="22" customHeight="1">
      <x:c r="A36" s="7" t="str">
        <x:v>arch_support_womens_flip_flops</x:v>
      </x:c>
      <x:c r="B36" s="7" t="n">
        <x:f>COUNTIF('唯一词标签'!$V$2:$V$1441,A36)</x:f>
        <x:v>1</x:v>
      </x:c>
      <x:c r="C36" s="55" t="n">
        <x:f>B36/COUNTA('唯一词标签'!$C$2:$C$1441)</x:f>
        <x:v>0.0006944444444444445</x:v>
      </x:c>
      <x:c r="D36" s="7" t="n">
        <x:f>COUNTIFS('唯一词标签'!$V$2:$V$1441,A36,'唯一词标签'!$Z$2:$Z$1441,"match")</x:f>
        <x:v>1</x:v>
      </x:c>
      <x:c r="E36" s="7" t="n">
        <x:f>COUNTIFS('唯一词标签'!$V$2:$V$1441,A36,'唯一词标签'!$Z$2:$Z$1441,"partial_match")</x:f>
        <x:v>0</x:v>
      </x:c>
      <x:c r="F36" s="7" t="n">
        <x:f>COUNTIFS('唯一词标签'!$V$2:$V$1441,A36,'唯一词标签'!$Z$2:$Z$1441,"mismatch")</x:f>
        <x:v>0</x:v>
      </x:c>
      <x:c r="G36" s="7" t="n">
        <x:f>COUNTIFS('唯一词标签'!$V$2:$V$1441,A36,'唯一词标签'!$Z$2:$Z$1441,"unknown")</x:f>
        <x:v>0</x:v>
      </x:c>
      <x:c r="H36" s="7" t="n">
        <x:f>COUNTIFS('唯一词标签'!$V$2:$V$1441,A36,'唯一词标签'!$U$2:$U$1441,"low")</x:f>
        <x:v>0</x:v>
      </x:c>
      <x:c r="I36" s="7" t="n">
        <x:f>COUNTIFS('唯一词标签'!$V$2:$V$1441,A36,'唯一词标签'!$AB$2:$AB$1441,"needs_review")</x:f>
        <x:v>1</x:v>
      </x:c>
    </x:row>
    <x:row r="37" ht="22" customHeight="1">
      <x:c r="A37" s="7" t="str">
        <x:v>arch_support_womens_flip_flops_sized</x:v>
      </x:c>
      <x:c r="B37" s="7" t="n">
        <x:f>COUNTIF('唯一词标签'!$V$2:$V$1441,A37)</x:f>
        <x:v>1</x:v>
      </x:c>
      <x:c r="C37" s="55" t="n">
        <x:f>B37/COUNTA('唯一词标签'!$C$2:$C$1441)</x:f>
        <x:v>0.0006944444444444445</x:v>
      </x:c>
      <x:c r="D37" s="7" t="n">
        <x:f>COUNTIFS('唯一词标签'!$V$2:$V$1441,A37,'唯一词标签'!$Z$2:$Z$1441,"match")</x:f>
        <x:v>1</x:v>
      </x:c>
      <x:c r="E37" s="7" t="n">
        <x:f>COUNTIFS('唯一词标签'!$V$2:$V$1441,A37,'唯一词标签'!$Z$2:$Z$1441,"partial_match")</x:f>
        <x:v>0</x:v>
      </x:c>
      <x:c r="F37" s="7" t="n">
        <x:f>COUNTIFS('唯一词标签'!$V$2:$V$1441,A37,'唯一词标签'!$Z$2:$Z$1441,"mismatch")</x:f>
        <x:v>0</x:v>
      </x:c>
      <x:c r="G37" s="7" t="n">
        <x:f>COUNTIFS('唯一词标签'!$V$2:$V$1441,A37,'唯一词标签'!$Z$2:$Z$1441,"unknown")</x:f>
        <x:v>0</x:v>
      </x:c>
      <x:c r="H37" s="7" t="n">
        <x:f>COUNTIFS('唯一词标签'!$V$2:$V$1441,A37,'唯一词标签'!$U$2:$U$1441,"low")</x:f>
        <x:v>0</x:v>
      </x:c>
      <x:c r="I37" s="7" t="n">
        <x:f>COUNTIFS('唯一词标签'!$V$2:$V$1441,A37,'唯一词标签'!$AB$2:$AB$1441,"needs_review")</x:f>
        <x:v>0</x:v>
      </x:c>
    </x:row>
    <x:row r="38" ht="22" customHeight="1">
      <x:c r="A38" s="7" t="str">
        <x:v>archie_brand_flip_flops</x:v>
      </x:c>
      <x:c r="B38" s="7" t="n">
        <x:f>COUNTIF('唯一词标签'!$V$2:$V$1441,A38)</x:f>
        <x:v>1</x:v>
      </x:c>
      <x:c r="C38" s="55" t="n">
        <x:f>B38/COUNTA('唯一词标签'!$C$2:$C$1441)</x:f>
        <x:v>0.0006944444444444445</x:v>
      </x:c>
      <x:c r="D38" s="7" t="n">
        <x:f>COUNTIFS('唯一词标签'!$V$2:$V$1441,A38,'唯一词标签'!$Z$2:$Z$1441,"match")</x:f>
        <x:v>0</x:v>
      </x:c>
      <x:c r="E38" s="7" t="n">
        <x:f>COUNTIFS('唯一词标签'!$V$2:$V$1441,A38,'唯一词标签'!$Z$2:$Z$1441,"partial_match")</x:f>
        <x:v>0</x:v>
      </x:c>
      <x:c r="F38" s="7" t="n">
        <x:f>COUNTIFS('唯一词标签'!$V$2:$V$1441,A38,'唯一词标签'!$Z$2:$Z$1441,"mismatch")</x:f>
        <x:v>1</x:v>
      </x:c>
      <x:c r="G38" s="7" t="n">
        <x:f>COUNTIFS('唯一词标签'!$V$2:$V$1441,A38,'唯一词标签'!$Z$2:$Z$1441,"unknown")</x:f>
        <x:v>0</x:v>
      </x:c>
      <x:c r="H38" s="7" t="n">
        <x:f>COUNTIFS('唯一词标签'!$V$2:$V$1441,A38,'唯一词标签'!$U$2:$U$1441,"low")</x:f>
        <x:v>0</x:v>
      </x:c>
      <x:c r="I38" s="7" t="n">
        <x:f>COUNTIFS('唯一词标签'!$V$2:$V$1441,A38,'唯一词标签'!$AB$2:$AB$1441,"needs_review")</x:f>
        <x:v>0</x:v>
      </x:c>
    </x:row>
    <x:row r="39" ht="22" customHeight="1">
      <x:c r="A39" s="7" t="str">
        <x:v>archie_dupes_arch_support</x:v>
      </x:c>
      <x:c r="B39" s="7" t="n">
        <x:f>COUNTIF('唯一词标签'!$V$2:$V$1441,A39)</x:f>
        <x:v>1</x:v>
      </x:c>
      <x:c r="C39" s="55" t="n">
        <x:f>B39/COUNTA('唯一词标签'!$C$2:$C$1441)</x:f>
        <x:v>0.0006944444444444445</x:v>
      </x:c>
      <x:c r="D39" s="7" t="n">
        <x:f>COUNTIFS('唯一词标签'!$V$2:$V$1441,A39,'唯一词标签'!$Z$2:$Z$1441,"match")</x:f>
        <x:v>1</x:v>
      </x:c>
      <x:c r="E39" s="7" t="n">
        <x:f>COUNTIFS('唯一词标签'!$V$2:$V$1441,A39,'唯一词标签'!$Z$2:$Z$1441,"partial_match")</x:f>
        <x:v>0</x:v>
      </x:c>
      <x:c r="F39" s="7" t="n">
        <x:f>COUNTIFS('唯一词标签'!$V$2:$V$1441,A39,'唯一词标签'!$Z$2:$Z$1441,"mismatch")</x:f>
        <x:v>0</x:v>
      </x:c>
      <x:c r="G39" s="7" t="n">
        <x:f>COUNTIFS('唯一词标签'!$V$2:$V$1441,A39,'唯一词标签'!$Z$2:$Z$1441,"unknown")</x:f>
        <x:v>0</x:v>
      </x:c>
      <x:c r="H39" s="7" t="n">
        <x:f>COUNTIFS('唯一词标签'!$V$2:$V$1441,A39,'唯一词标签'!$U$2:$U$1441,"low")</x:f>
        <x:v>0</x:v>
      </x:c>
      <x:c r="I39" s="7" t="n">
        <x:f>COUNTIFS('唯一词标签'!$V$2:$V$1441,A39,'唯一词标签'!$AB$2:$AB$1441,"needs_review")</x:f>
        <x:v>0</x:v>
      </x:c>
    </x:row>
    <x:row r="40" ht="22" customHeight="1">
      <x:c r="A40" s="7" t="str">
        <x:v>archies_adjustable_strap_flip_flops</x:v>
      </x:c>
      <x:c r="B40" s="7" t="n">
        <x:f>COUNTIF('唯一词标签'!$V$2:$V$1441,A40)</x:f>
        <x:v>1</x:v>
      </x:c>
      <x:c r="C40" s="55" t="n">
        <x:f>B40/COUNTA('唯一词标签'!$C$2:$C$1441)</x:f>
        <x:v>0.0006944444444444445</x:v>
      </x:c>
      <x:c r="D40" s="7" t="n">
        <x:f>COUNTIFS('唯一词标签'!$V$2:$V$1441,A40,'唯一词标签'!$Z$2:$Z$1441,"match")</x:f>
        <x:v>0</x:v>
      </x:c>
      <x:c r="E40" s="7" t="n">
        <x:f>COUNTIFS('唯一词标签'!$V$2:$V$1441,A40,'唯一词标签'!$Z$2:$Z$1441,"partial_match")</x:f>
        <x:v>0</x:v>
      </x:c>
      <x:c r="F40" s="7" t="n">
        <x:f>COUNTIFS('唯一词标签'!$V$2:$V$1441,A40,'唯一词标签'!$Z$2:$Z$1441,"mismatch")</x:f>
        <x:v>1</x:v>
      </x:c>
      <x:c r="G40" s="7" t="n">
        <x:f>COUNTIFS('唯一词标签'!$V$2:$V$1441,A40,'唯一词标签'!$Z$2:$Z$1441,"unknown")</x:f>
        <x:v>0</x:v>
      </x:c>
      <x:c r="H40" s="7" t="n">
        <x:f>COUNTIFS('唯一词标签'!$V$2:$V$1441,A40,'唯一词标签'!$U$2:$U$1441,"low")</x:f>
        <x:v>0</x:v>
      </x:c>
      <x:c r="I40" s="7" t="n">
        <x:f>COUNTIFS('唯一词标签'!$V$2:$V$1441,A40,'唯一词标签'!$AB$2:$AB$1441,"needs_review")</x:f>
        <x:v>0</x:v>
      </x:c>
    </x:row>
    <x:row r="41" ht="22" customHeight="1">
      <x:c r="A41" s="7" t="str">
        <x:v>archies_alternative_flip_flops</x:v>
      </x:c>
      <x:c r="B41" s="7" t="n">
        <x:f>COUNTIF('唯一词标签'!$V$2:$V$1441,A41)</x:f>
        <x:v>2</x:v>
      </x:c>
      <x:c r="C41" s="55" t="n">
        <x:f>B41/COUNTA('唯一词标签'!$C$2:$C$1441)</x:f>
        <x:v>0.001388888888888889</x:v>
      </x:c>
      <x:c r="D41" s="7" t="n">
        <x:f>COUNTIFS('唯一词标签'!$V$2:$V$1441,A41,'唯一词标签'!$Z$2:$Z$1441,"match")</x:f>
        <x:v>2</x:v>
      </x:c>
      <x:c r="E41" s="7" t="n">
        <x:f>COUNTIFS('唯一词标签'!$V$2:$V$1441,A41,'唯一词标签'!$Z$2:$Z$1441,"partial_match")</x:f>
        <x:v>0</x:v>
      </x:c>
      <x:c r="F41" s="7" t="n">
        <x:f>COUNTIFS('唯一词标签'!$V$2:$V$1441,A41,'唯一词标签'!$Z$2:$Z$1441,"mismatch")</x:f>
        <x:v>0</x:v>
      </x:c>
      <x:c r="G41" s="7" t="n">
        <x:f>COUNTIFS('唯一词标签'!$V$2:$V$1441,A41,'唯一词标签'!$Z$2:$Z$1441,"unknown")</x:f>
        <x:v>0</x:v>
      </x:c>
      <x:c r="H41" s="7" t="n">
        <x:f>COUNTIFS('唯一词标签'!$V$2:$V$1441,A41,'唯一词标签'!$U$2:$U$1441,"low")</x:f>
        <x:v>0</x:v>
      </x:c>
      <x:c r="I41" s="7" t="n">
        <x:f>COUNTIFS('唯一词标签'!$V$2:$V$1441,A41,'唯一词标签'!$AB$2:$AB$1441,"needs_review")</x:f>
        <x:v>0</x:v>
      </x:c>
    </x:row>
    <x:row r="42" ht="22" customHeight="1">
      <x:c r="A42" s="7" t="str">
        <x:v>archies_brand_arch_support</x:v>
      </x:c>
      <x:c r="B42" s="7" t="n">
        <x:f>COUNTIF('唯一词标签'!$V$2:$V$1441,A42)</x:f>
        <x:v>2</x:v>
      </x:c>
      <x:c r="C42" s="55" t="n">
        <x:f>B42/COUNTA('唯一词标签'!$C$2:$C$1441)</x:f>
        <x:v>0.001388888888888889</x:v>
      </x:c>
      <x:c r="D42" s="7" t="n">
        <x:f>COUNTIFS('唯一词标签'!$V$2:$V$1441,A42,'唯一词标签'!$Z$2:$Z$1441,"match")</x:f>
        <x:v>0</x:v>
      </x:c>
      <x:c r="E42" s="7" t="n">
        <x:f>COUNTIFS('唯一词标签'!$V$2:$V$1441,A42,'唯一词标签'!$Z$2:$Z$1441,"partial_match")</x:f>
        <x:v>0</x:v>
      </x:c>
      <x:c r="F42" s="7" t="n">
        <x:f>COUNTIFS('唯一词标签'!$V$2:$V$1441,A42,'唯一词标签'!$Z$2:$Z$1441,"mismatch")</x:f>
        <x:v>2</x:v>
      </x:c>
      <x:c r="G42" s="7" t="n">
        <x:f>COUNTIFS('唯一词标签'!$V$2:$V$1441,A42,'唯一词标签'!$Z$2:$Z$1441,"unknown")</x:f>
        <x:v>0</x:v>
      </x:c>
      <x:c r="H42" s="7" t="n">
        <x:f>COUNTIFS('唯一词标签'!$V$2:$V$1441,A42,'唯一词标签'!$U$2:$U$1441,"low")</x:f>
        <x:v>0</x:v>
      </x:c>
      <x:c r="I42" s="7" t="n">
        <x:f>COUNTIFS('唯一词标签'!$V$2:$V$1441,A42,'唯一词标签'!$AB$2:$AB$1441,"needs_review")</x:f>
        <x:v>0</x:v>
      </x:c>
    </x:row>
    <x:row r="43" ht="22" customHeight="1">
      <x:c r="A43" s="7" t="str">
        <x:v>archies_brand_arch_support_flip_flops</x:v>
      </x:c>
      <x:c r="B43" s="7" t="n">
        <x:f>COUNTIF('唯一词标签'!$V$2:$V$1441,A43)</x:f>
        <x:v>1</x:v>
      </x:c>
      <x:c r="C43" s="55" t="n">
        <x:f>B43/COUNTA('唯一词标签'!$C$2:$C$1441)</x:f>
        <x:v>0.0006944444444444445</x:v>
      </x:c>
      <x:c r="D43" s="7" t="n">
        <x:f>COUNTIFS('唯一词标签'!$V$2:$V$1441,A43,'唯一词标签'!$Z$2:$Z$1441,"match")</x:f>
        <x:v>0</x:v>
      </x:c>
      <x:c r="E43" s="7" t="n">
        <x:f>COUNTIFS('唯一词标签'!$V$2:$V$1441,A43,'唯一词标签'!$Z$2:$Z$1441,"partial_match")</x:f>
        <x:v>0</x:v>
      </x:c>
      <x:c r="F43" s="7" t="n">
        <x:f>COUNTIFS('唯一词标签'!$V$2:$V$1441,A43,'唯一词标签'!$Z$2:$Z$1441,"mismatch")</x:f>
        <x:v>1</x:v>
      </x:c>
      <x:c r="G43" s="7" t="n">
        <x:f>COUNTIFS('唯一词标签'!$V$2:$V$1441,A43,'唯一词标签'!$Z$2:$Z$1441,"unknown")</x:f>
        <x:v>0</x:v>
      </x:c>
      <x:c r="H43" s="7" t="n">
        <x:f>COUNTIFS('唯一词标签'!$V$2:$V$1441,A43,'唯一词标签'!$U$2:$U$1441,"low")</x:f>
        <x:v>0</x:v>
      </x:c>
      <x:c r="I43" s="7" t="n">
        <x:f>COUNTIFS('唯一词标签'!$V$2:$V$1441,A43,'唯一词标签'!$AB$2:$AB$1441,"needs_review")</x:f>
        <x:v>0</x:v>
      </x:c>
    </x:row>
    <x:row r="44" ht="22" customHeight="1">
      <x:c r="A44" s="7" t="str">
        <x:v>archies_brand_arch_support_womens_flip_flops</x:v>
      </x:c>
      <x:c r="B44" s="7" t="n">
        <x:f>COUNTIF('唯一词标签'!$V$2:$V$1441,A44)</x:f>
        <x:v>1</x:v>
      </x:c>
      <x:c r="C44" s="55" t="n">
        <x:f>B44/COUNTA('唯一词标签'!$C$2:$C$1441)</x:f>
        <x:v>0.0006944444444444445</x:v>
      </x:c>
      <x:c r="D44" s="7" t="n">
        <x:f>COUNTIFS('唯一词标签'!$V$2:$V$1441,A44,'唯一词标签'!$Z$2:$Z$1441,"match")</x:f>
        <x:v>0</x:v>
      </x:c>
      <x:c r="E44" s="7" t="n">
        <x:f>COUNTIFS('唯一词标签'!$V$2:$V$1441,A44,'唯一词标签'!$Z$2:$Z$1441,"partial_match")</x:f>
        <x:v>0</x:v>
      </x:c>
      <x:c r="F44" s="7" t="n">
        <x:f>COUNTIFS('唯一词标签'!$V$2:$V$1441,A44,'唯一词标签'!$Z$2:$Z$1441,"mismatch")</x:f>
        <x:v>1</x:v>
      </x:c>
      <x:c r="G44" s="7" t="n">
        <x:f>COUNTIFS('唯一词标签'!$V$2:$V$1441,A44,'唯一词标签'!$Z$2:$Z$1441,"unknown")</x:f>
        <x:v>0</x:v>
      </x:c>
      <x:c r="H44" s="7" t="n">
        <x:f>COUNTIFS('唯一词标签'!$V$2:$V$1441,A44,'唯一词标签'!$U$2:$U$1441,"low")</x:f>
        <x:v>0</x:v>
      </x:c>
      <x:c r="I44" s="7" t="n">
        <x:f>COUNTIFS('唯一词标签'!$V$2:$V$1441,A44,'唯一词标签'!$AB$2:$AB$1441,"needs_review")</x:f>
        <x:v>1</x:v>
      </x:c>
    </x:row>
    <x:row r="45" ht="22" customHeight="1">
      <x:c r="A45" s="7" t="str">
        <x:v>archies_brand_brown_flip_flop</x:v>
      </x:c>
      <x:c r="B45" s="7" t="n">
        <x:f>COUNTIF('唯一词标签'!$V$2:$V$1441,A45)</x:f>
        <x:v>1</x:v>
      </x:c>
      <x:c r="C45" s="55" t="n">
        <x:f>B45/COUNTA('唯一词标签'!$C$2:$C$1441)</x:f>
        <x:v>0.0006944444444444445</x:v>
      </x:c>
      <x:c r="D45" s="7" t="n">
        <x:f>COUNTIFS('唯一词标签'!$V$2:$V$1441,A45,'唯一词标签'!$Z$2:$Z$1441,"match")</x:f>
        <x:v>0</x:v>
      </x:c>
      <x:c r="E45" s="7" t="n">
        <x:f>COUNTIFS('唯一词标签'!$V$2:$V$1441,A45,'唯一词标签'!$Z$2:$Z$1441,"partial_match")</x:f>
        <x:v>1</x:v>
      </x:c>
      <x:c r="F45" s="7" t="n">
        <x:f>COUNTIFS('唯一词标签'!$V$2:$V$1441,A45,'唯一词标签'!$Z$2:$Z$1441,"mismatch")</x:f>
        <x:v>0</x:v>
      </x:c>
      <x:c r="G45" s="7" t="n">
        <x:f>COUNTIFS('唯一词标签'!$V$2:$V$1441,A45,'唯一词标签'!$Z$2:$Z$1441,"unknown")</x:f>
        <x:v>0</x:v>
      </x:c>
      <x:c r="H45" s="7" t="n">
        <x:f>COUNTIFS('唯一词标签'!$V$2:$V$1441,A45,'唯一词标签'!$U$2:$U$1441,"low")</x:f>
        <x:v>0</x:v>
      </x:c>
      <x:c r="I45" s="7" t="n">
        <x:f>COUNTIFS('唯一词标签'!$V$2:$V$1441,A45,'唯一词标签'!$AB$2:$AB$1441,"needs_review")</x:f>
        <x:v>0</x:v>
      </x:c>
    </x:row>
    <x:row r="46" ht="22" customHeight="1">
      <x:c r="A46" s="7" t="str">
        <x:v>archies_brand_flip_flops</x:v>
      </x:c>
      <x:c r="B46" s="7" t="n">
        <x:f>COUNTIF('唯一词标签'!$V$2:$V$1441,A46)</x:f>
        <x:v>4</x:v>
      </x:c>
      <x:c r="C46" s="55" t="n">
        <x:f>B46/COUNTA('唯一词标签'!$C$2:$C$1441)</x:f>
        <x:v>0.002777777777777778</x:v>
      </x:c>
      <x:c r="D46" s="7" t="n">
        <x:f>COUNTIFS('唯一词标签'!$V$2:$V$1441,A46,'唯一词标签'!$Z$2:$Z$1441,"match")</x:f>
        <x:v>0</x:v>
      </x:c>
      <x:c r="E46" s="7" t="n">
        <x:f>COUNTIFS('唯一词标签'!$V$2:$V$1441,A46,'唯一词标签'!$Z$2:$Z$1441,"partial_match")</x:f>
        <x:v>0</x:v>
      </x:c>
      <x:c r="F46" s="7" t="n">
        <x:f>COUNTIFS('唯一词标签'!$V$2:$V$1441,A46,'唯一词标签'!$Z$2:$Z$1441,"mismatch")</x:f>
        <x:v>4</x:v>
      </x:c>
      <x:c r="G46" s="7" t="n">
        <x:f>COUNTIFS('唯一词标签'!$V$2:$V$1441,A46,'唯一词标签'!$Z$2:$Z$1441,"unknown")</x:f>
        <x:v>0</x:v>
      </x:c>
      <x:c r="H46" s="7" t="n">
        <x:f>COUNTIFS('唯一词标签'!$V$2:$V$1441,A46,'唯一词标签'!$U$2:$U$1441,"low")</x:f>
        <x:v>0</x:v>
      </x:c>
      <x:c r="I46" s="7" t="n">
        <x:f>COUNTIFS('唯一词标签'!$V$2:$V$1441,A46,'唯一词标签'!$AB$2:$AB$1441,"needs_review")</x:f>
        <x:v>1</x:v>
      </x:c>
    </x:row>
    <x:row r="47" ht="22" customHeight="1">
      <x:c r="A47" s="7" t="str">
        <x:v>archies_brand_footwear</x:v>
      </x:c>
      <x:c r="B47" s="7" t="n">
        <x:f>COUNTIF('唯一词标签'!$V$2:$V$1441,A47)</x:f>
        <x:v>1</x:v>
      </x:c>
      <x:c r="C47" s="55" t="n">
        <x:f>B47/COUNTA('唯一词标签'!$C$2:$C$1441)</x:f>
        <x:v>0.0006944444444444445</x:v>
      </x:c>
      <x:c r="D47" s="7" t="n">
        <x:f>COUNTIFS('唯一词标签'!$V$2:$V$1441,A47,'唯一词标签'!$Z$2:$Z$1441,"match")</x:f>
        <x:v>0</x:v>
      </x:c>
      <x:c r="E47" s="7" t="n">
        <x:f>COUNTIFS('唯一词标签'!$V$2:$V$1441,A47,'唯一词标签'!$Z$2:$Z$1441,"partial_match")</x:f>
        <x:v>0</x:v>
      </x:c>
      <x:c r="F47" s="7" t="n">
        <x:f>COUNTIFS('唯一词标签'!$V$2:$V$1441,A47,'唯一词标签'!$Z$2:$Z$1441,"mismatch")</x:f>
        <x:v>1</x:v>
      </x:c>
      <x:c r="G47" s="7" t="n">
        <x:f>COUNTIFS('唯一词标签'!$V$2:$V$1441,A47,'唯一词标签'!$Z$2:$Z$1441,"unknown")</x:f>
        <x:v>0</x:v>
      </x:c>
      <x:c r="H47" s="7" t="n">
        <x:f>COUNTIFS('唯一词标签'!$V$2:$V$1441,A47,'唯一词标签'!$U$2:$U$1441,"low")</x:f>
        <x:v>0</x:v>
      </x:c>
      <x:c r="I47" s="7" t="n">
        <x:f>COUNTIFS('唯一词标签'!$V$2:$V$1441,A47,'唯一词标签'!$AB$2:$AB$1441,"needs_review")</x:f>
        <x:v>0</x:v>
      </x:c>
    </x:row>
    <x:row r="48" ht="22" customHeight="1">
      <x:c r="A48" s="7" t="str">
        <x:v>archies_brand_search</x:v>
      </x:c>
      <x:c r="B48" s="7" t="n">
        <x:f>COUNTIF('唯一词标签'!$V$2:$V$1441,A48)</x:f>
        <x:v>2</x:v>
      </x:c>
      <x:c r="C48" s="55" t="n">
        <x:f>B48/COUNTA('唯一词标签'!$C$2:$C$1441)</x:f>
        <x:v>0.001388888888888889</x:v>
      </x:c>
      <x:c r="D48" s="7" t="n">
        <x:f>COUNTIFS('唯一词标签'!$V$2:$V$1441,A48,'唯一词标签'!$Z$2:$Z$1441,"match")</x:f>
        <x:v>0</x:v>
      </x:c>
      <x:c r="E48" s="7" t="n">
        <x:f>COUNTIFS('唯一词标签'!$V$2:$V$1441,A48,'唯一词标签'!$Z$2:$Z$1441,"partial_match")</x:f>
        <x:v>0</x:v>
      </x:c>
      <x:c r="F48" s="7" t="n">
        <x:f>COUNTIFS('唯一词标签'!$V$2:$V$1441,A48,'唯一词标签'!$Z$2:$Z$1441,"mismatch")</x:f>
        <x:v>2</x:v>
      </x:c>
      <x:c r="G48" s="7" t="n">
        <x:f>COUNTIFS('唯一词标签'!$V$2:$V$1441,A48,'唯一词标签'!$Z$2:$Z$1441,"unknown")</x:f>
        <x:v>0</x:v>
      </x:c>
      <x:c r="H48" s="7" t="n">
        <x:f>COUNTIFS('唯一词标签'!$V$2:$V$1441,A48,'唯一词标签'!$U$2:$U$1441,"low")</x:f>
        <x:v>0</x:v>
      </x:c>
      <x:c r="I48" s="7" t="n">
        <x:f>COUNTIFS('唯一词标签'!$V$2:$V$1441,A48,'唯一词标签'!$AB$2:$AB$1441,"needs_review")</x:f>
        <x:v>0</x:v>
      </x:c>
    </x:row>
    <x:row r="49" ht="22" customHeight="1">
      <x:c r="A49" s="7" t="str">
        <x:v>archies_brand_womens_flip_flops</x:v>
      </x:c>
      <x:c r="B49" s="7" t="n">
        <x:f>COUNTIF('唯一词标签'!$V$2:$V$1441,A49)</x:f>
        <x:v>1</x:v>
      </x:c>
      <x:c r="C49" s="55" t="n">
        <x:f>B49/COUNTA('唯一词标签'!$C$2:$C$1441)</x:f>
        <x:v>0.0006944444444444445</x:v>
      </x:c>
      <x:c r="D49" s="7" t="n">
        <x:f>COUNTIFS('唯一词标签'!$V$2:$V$1441,A49,'唯一词标签'!$Z$2:$Z$1441,"match")</x:f>
        <x:v>0</x:v>
      </x:c>
      <x:c r="E49" s="7" t="n">
        <x:f>COUNTIFS('唯一词标签'!$V$2:$V$1441,A49,'唯一词标签'!$Z$2:$Z$1441,"partial_match")</x:f>
        <x:v>0</x:v>
      </x:c>
      <x:c r="F49" s="7" t="n">
        <x:f>COUNTIFS('唯一词标签'!$V$2:$V$1441,A49,'唯一词标签'!$Z$2:$Z$1441,"mismatch")</x:f>
        <x:v>1</x:v>
      </x:c>
      <x:c r="G49" s="7" t="n">
        <x:f>COUNTIFS('唯一词标签'!$V$2:$V$1441,A49,'唯一词标签'!$Z$2:$Z$1441,"unknown")</x:f>
        <x:v>0</x:v>
      </x:c>
      <x:c r="H49" s="7" t="n">
        <x:f>COUNTIFS('唯一词标签'!$V$2:$V$1441,A49,'唯一词标签'!$U$2:$U$1441,"low")</x:f>
        <x:v>0</x:v>
      </x:c>
      <x:c r="I49" s="7" t="n">
        <x:f>COUNTIFS('唯一词标签'!$V$2:$V$1441,A49,'唯一词标签'!$AB$2:$AB$1441,"needs_review")</x:f>
        <x:v>0</x:v>
      </x:c>
    </x:row>
    <x:row r="50" ht="22" customHeight="1">
      <x:c r="A50" s="7" t="str">
        <x:v>archies_dupe</x:v>
      </x:c>
      <x:c r="B50" s="7" t="n">
        <x:f>COUNTIF('唯一词标签'!$V$2:$V$1441,A50)</x:f>
        <x:v>1</x:v>
      </x:c>
      <x:c r="C50" s="55" t="n">
        <x:f>B50/COUNTA('唯一词标签'!$C$2:$C$1441)</x:f>
        <x:v>0.0006944444444444445</x:v>
      </x:c>
      <x:c r="D50" s="7" t="n">
        <x:f>COUNTIFS('唯一词标签'!$V$2:$V$1441,A50,'唯一词标签'!$Z$2:$Z$1441,"match")</x:f>
        <x:v>1</x:v>
      </x:c>
      <x:c r="E50" s="7" t="n">
        <x:f>COUNTIFS('唯一词标签'!$V$2:$V$1441,A50,'唯一词标签'!$Z$2:$Z$1441,"partial_match")</x:f>
        <x:v>0</x:v>
      </x:c>
      <x:c r="F50" s="7" t="n">
        <x:f>COUNTIFS('唯一词标签'!$V$2:$V$1441,A50,'唯一词标签'!$Z$2:$Z$1441,"mismatch")</x:f>
        <x:v>0</x:v>
      </x:c>
      <x:c r="G50" s="7" t="n">
        <x:f>COUNTIFS('唯一词标签'!$V$2:$V$1441,A50,'唯一词标签'!$Z$2:$Z$1441,"unknown")</x:f>
        <x:v>0</x:v>
      </x:c>
      <x:c r="H50" s="7" t="n">
        <x:f>COUNTIFS('唯一词标签'!$V$2:$V$1441,A50,'唯一词标签'!$U$2:$U$1441,"low")</x:f>
        <x:v>0</x:v>
      </x:c>
      <x:c r="I50" s="7" t="n">
        <x:f>COUNTIFS('唯一词标签'!$V$2:$V$1441,A50,'唯一词标签'!$AB$2:$AB$1441,"needs_review")</x:f>
        <x:v>0</x:v>
      </x:c>
    </x:row>
    <x:row r="51" ht="22" customHeight="1">
      <x:c r="A51" s="7" t="str">
        <x:v>archies_dupe_alternative</x:v>
      </x:c>
      <x:c r="B51" s="7" t="n">
        <x:f>COUNTIF('唯一词标签'!$V$2:$V$1441,A51)</x:f>
        <x:v>1</x:v>
      </x:c>
      <x:c r="C51" s="55" t="n">
        <x:f>B51/COUNTA('唯一词标签'!$C$2:$C$1441)</x:f>
        <x:v>0.0006944444444444445</x:v>
      </x:c>
      <x:c r="D51" s="7" t="n">
        <x:f>COUNTIFS('唯一词标签'!$V$2:$V$1441,A51,'唯一词标签'!$Z$2:$Z$1441,"match")</x:f>
        <x:v>1</x:v>
      </x:c>
      <x:c r="E51" s="7" t="n">
        <x:f>COUNTIFS('唯一词标签'!$V$2:$V$1441,A51,'唯一词标签'!$Z$2:$Z$1441,"partial_match")</x:f>
        <x:v>0</x:v>
      </x:c>
      <x:c r="F51" s="7" t="n">
        <x:f>COUNTIFS('唯一词标签'!$V$2:$V$1441,A51,'唯一词标签'!$Z$2:$Z$1441,"mismatch")</x:f>
        <x:v>0</x:v>
      </x:c>
      <x:c r="G51" s="7" t="n">
        <x:f>COUNTIFS('唯一词标签'!$V$2:$V$1441,A51,'唯一词标签'!$Z$2:$Z$1441,"unknown")</x:f>
        <x:v>0</x:v>
      </x:c>
      <x:c r="H51" s="7" t="n">
        <x:f>COUNTIFS('唯一词标签'!$V$2:$V$1441,A51,'唯一词标签'!$U$2:$U$1441,"low")</x:f>
        <x:v>0</x:v>
      </x:c>
      <x:c r="I51" s="7" t="n">
        <x:f>COUNTIFS('唯一词标签'!$V$2:$V$1441,A51,'唯一词标签'!$AB$2:$AB$1441,"needs_review")</x:f>
        <x:v>0</x:v>
      </x:c>
    </x:row>
    <x:row r="52" ht="22" customHeight="1">
      <x:c r="A52" s="7" t="str">
        <x:v>archies_dupes</x:v>
      </x:c>
      <x:c r="B52" s="7" t="n">
        <x:f>COUNTIF('唯一词标签'!$V$2:$V$1441,A52)</x:f>
        <x:v>1</x:v>
      </x:c>
      <x:c r="C52" s="55" t="n">
        <x:f>B52/COUNTA('唯一词标签'!$C$2:$C$1441)</x:f>
        <x:v>0.0006944444444444445</x:v>
      </x:c>
      <x:c r="D52" s="7" t="n">
        <x:f>COUNTIFS('唯一词标签'!$V$2:$V$1441,A52,'唯一词标签'!$Z$2:$Z$1441,"match")</x:f>
        <x:v>1</x:v>
      </x:c>
      <x:c r="E52" s="7" t="n">
        <x:f>COUNTIFS('唯一词标签'!$V$2:$V$1441,A52,'唯一词标签'!$Z$2:$Z$1441,"partial_match")</x:f>
        <x:v>0</x:v>
      </x:c>
      <x:c r="F52" s="7" t="n">
        <x:f>COUNTIFS('唯一词标签'!$V$2:$V$1441,A52,'唯一词标签'!$Z$2:$Z$1441,"mismatch")</x:f>
        <x:v>0</x:v>
      </x:c>
      <x:c r="G52" s="7" t="n">
        <x:f>COUNTIFS('唯一词标签'!$V$2:$V$1441,A52,'唯一词标签'!$Z$2:$Z$1441,"unknown")</x:f>
        <x:v>0</x:v>
      </x:c>
      <x:c r="H52" s="7" t="n">
        <x:f>COUNTIFS('唯一词标签'!$V$2:$V$1441,A52,'唯一词标签'!$U$2:$U$1441,"low")</x:f>
        <x:v>0</x:v>
      </x:c>
      <x:c r="I52" s="7" t="n">
        <x:f>COUNTIFS('唯一词标签'!$V$2:$V$1441,A52,'唯一词标签'!$AB$2:$AB$1441,"needs_review")</x:f>
        <x:v>0</x:v>
      </x:c>
    </x:row>
    <x:row r="53" ht="22" customHeight="1">
      <x:c r="A53" s="7" t="str">
        <x:v>archies_flip_flop_dupe</x:v>
      </x:c>
      <x:c r="B53" s="7" t="n">
        <x:f>COUNTIF('唯一词标签'!$V$2:$V$1441,A53)</x:f>
        <x:v>1</x:v>
      </x:c>
      <x:c r="C53" s="55" t="n">
        <x:f>B53/COUNTA('唯一词标签'!$C$2:$C$1441)</x:f>
        <x:v>0.0006944444444444445</x:v>
      </x:c>
      <x:c r="D53" s="7" t="n">
        <x:f>COUNTIFS('唯一词标签'!$V$2:$V$1441,A53,'唯一词标签'!$Z$2:$Z$1441,"match")</x:f>
        <x:v>1</x:v>
      </x:c>
      <x:c r="E53" s="7" t="n">
        <x:f>COUNTIFS('唯一词标签'!$V$2:$V$1441,A53,'唯一词标签'!$Z$2:$Z$1441,"partial_match")</x:f>
        <x:v>0</x:v>
      </x:c>
      <x:c r="F53" s="7" t="n">
        <x:f>COUNTIFS('唯一词标签'!$V$2:$V$1441,A53,'唯一词标签'!$Z$2:$Z$1441,"mismatch")</x:f>
        <x:v>0</x:v>
      </x:c>
      <x:c r="G53" s="7" t="n">
        <x:f>COUNTIFS('唯一词标签'!$V$2:$V$1441,A53,'唯一词标签'!$Z$2:$Z$1441,"unknown")</x:f>
        <x:v>0</x:v>
      </x:c>
      <x:c r="H53" s="7" t="n">
        <x:f>COUNTIFS('唯一词标签'!$V$2:$V$1441,A53,'唯一词标签'!$U$2:$U$1441,"low")</x:f>
        <x:v>0</x:v>
      </x:c>
      <x:c r="I53" s="7" t="n">
        <x:f>COUNTIFS('唯一词标签'!$V$2:$V$1441,A53,'唯一词标签'!$AB$2:$AB$1441,"needs_review")</x:f>
        <x:v>0</x:v>
      </x:c>
    </x:row>
    <x:row r="54" ht="22" customHeight="1">
      <x:c r="A54" s="7" t="str">
        <x:v>archies_flip_flops</x:v>
      </x:c>
      <x:c r="B54" s="7" t="n">
        <x:f>COUNTIF('唯一词标签'!$V$2:$V$1441,A54)</x:f>
        <x:v>1</x:v>
      </x:c>
      <x:c r="C54" s="55" t="n">
        <x:f>B54/COUNTA('唯一词标签'!$C$2:$C$1441)</x:f>
        <x:v>0.0006944444444444445</x:v>
      </x:c>
      <x:c r="D54" s="7" t="n">
        <x:f>COUNTIFS('唯一词标签'!$V$2:$V$1441,A54,'唯一词标签'!$Z$2:$Z$1441,"match")</x:f>
        <x:v>0</x:v>
      </x:c>
      <x:c r="E54" s="7" t="n">
        <x:f>COUNTIFS('唯一词标签'!$V$2:$V$1441,A54,'唯一词标签'!$Z$2:$Z$1441,"partial_match")</x:f>
        <x:v>0</x:v>
      </x:c>
      <x:c r="F54" s="7" t="n">
        <x:f>COUNTIFS('唯一词标签'!$V$2:$V$1441,A54,'唯一词标签'!$Z$2:$Z$1441,"mismatch")</x:f>
        <x:v>1</x:v>
      </x:c>
      <x:c r="G54" s="7" t="n">
        <x:f>COUNTIFS('唯一词标签'!$V$2:$V$1441,A54,'唯一词标签'!$Z$2:$Z$1441,"unknown")</x:f>
        <x:v>0</x:v>
      </x:c>
      <x:c r="H54" s="7" t="n">
        <x:f>COUNTIFS('唯一词标签'!$V$2:$V$1441,A54,'唯一词标签'!$U$2:$U$1441,"low")</x:f>
        <x:v>0</x:v>
      </x:c>
      <x:c r="I54" s="7" t="n">
        <x:f>COUNTIFS('唯一词标签'!$V$2:$V$1441,A54,'唯一词标签'!$AB$2:$AB$1441,"needs_review")</x:f>
        <x:v>0</x:v>
      </x:c>
    </x:row>
    <x:row r="55" ht="22" customHeight="1">
      <x:c r="A55" s="7" t="str">
        <x:v>archies_flip_flops_ambiguous</x:v>
      </x:c>
      <x:c r="B55" s="7" t="n">
        <x:f>COUNTIF('唯一词标签'!$V$2:$V$1441,A55)</x:f>
        <x:v>1</x:v>
      </x:c>
      <x:c r="C55" s="55" t="n">
        <x:f>B55/COUNTA('唯一词标签'!$C$2:$C$1441)</x:f>
        <x:v>0.0006944444444444445</x:v>
      </x:c>
      <x:c r="D55" s="7" t="n">
        <x:f>COUNTIFS('唯一词标签'!$V$2:$V$1441,A55,'唯一词标签'!$Z$2:$Z$1441,"match")</x:f>
        <x:v>0</x:v>
      </x:c>
      <x:c r="E55" s="7" t="n">
        <x:f>COUNTIFS('唯一词标签'!$V$2:$V$1441,A55,'唯一词标签'!$Z$2:$Z$1441,"partial_match")</x:f>
        <x:v>0</x:v>
      </x:c>
      <x:c r="F55" s="7" t="n">
        <x:f>COUNTIFS('唯一词标签'!$V$2:$V$1441,A55,'唯一词标签'!$Z$2:$Z$1441,"mismatch")</x:f>
        <x:v>0</x:v>
      </x:c>
      <x:c r="G55" s="7" t="n">
        <x:f>COUNTIFS('唯一词标签'!$V$2:$V$1441,A55,'唯一词标签'!$Z$2:$Z$1441,"unknown")</x:f>
        <x:v>1</x:v>
      </x:c>
      <x:c r="H55" s="7" t="n">
        <x:f>COUNTIFS('唯一词标签'!$V$2:$V$1441,A55,'唯一词标签'!$U$2:$U$1441,"low")</x:f>
        <x:v>1</x:v>
      </x:c>
      <x:c r="I55" s="7" t="n">
        <x:f>COUNTIFS('唯一词标签'!$V$2:$V$1441,A55,'唯一词标签'!$AB$2:$AB$1441,"needs_review")</x:f>
        <x:v>0</x:v>
      </x:c>
    </x:row>
    <x:row r="56" ht="22" customHeight="1">
      <x:c r="A56" s="7" t="str">
        <x:v>archies_flip_flops_brand</x:v>
      </x:c>
      <x:c r="B56" s="7" t="n">
        <x:f>COUNTIF('唯一词标签'!$V$2:$V$1441,A56)</x:f>
        <x:v>1</x:v>
      </x:c>
      <x:c r="C56" s="55" t="n">
        <x:f>B56/COUNTA('唯一词标签'!$C$2:$C$1441)</x:f>
        <x:v>0.0006944444444444445</x:v>
      </x:c>
      <x:c r="D56" s="7" t="n">
        <x:f>COUNTIFS('唯一词标签'!$V$2:$V$1441,A56,'唯一词标签'!$Z$2:$Z$1441,"match")</x:f>
        <x:v>0</x:v>
      </x:c>
      <x:c r="E56" s="7" t="n">
        <x:f>COUNTIFS('唯一词标签'!$V$2:$V$1441,A56,'唯一词标签'!$Z$2:$Z$1441,"partial_match")</x:f>
        <x:v>0</x:v>
      </x:c>
      <x:c r="F56" s="7" t="n">
        <x:f>COUNTIFS('唯一词标签'!$V$2:$V$1441,A56,'唯一词标签'!$Z$2:$Z$1441,"mismatch")</x:f>
        <x:v>1</x:v>
      </x:c>
      <x:c r="G56" s="7" t="n">
        <x:f>COUNTIFS('唯一词标签'!$V$2:$V$1441,A56,'唯一词标签'!$Z$2:$Z$1441,"unknown")</x:f>
        <x:v>0</x:v>
      </x:c>
      <x:c r="H56" s="7" t="n">
        <x:f>COUNTIFS('唯一词标签'!$V$2:$V$1441,A56,'唯一词标签'!$U$2:$U$1441,"low")</x:f>
        <x:v>0</x:v>
      </x:c>
      <x:c r="I56" s="7" t="n">
        <x:f>COUNTIFS('唯一词标签'!$V$2:$V$1441,A56,'唯一词标签'!$AB$2:$AB$1441,"needs_review")</x:f>
        <x:v>0</x:v>
      </x:c>
    </x:row>
    <x:row r="57" ht="22" customHeight="1">
      <x:c r="A57" s="7" t="str">
        <x:v>archies_flip_flops_women</x:v>
      </x:c>
      <x:c r="B57" s="7" t="n">
        <x:f>COUNTIF('唯一词标签'!$V$2:$V$1441,A57)</x:f>
        <x:v>1</x:v>
      </x:c>
      <x:c r="C57" s="55" t="n">
        <x:f>B57/COUNTA('唯一词标签'!$C$2:$C$1441)</x:f>
        <x:v>0.0006944444444444445</x:v>
      </x:c>
      <x:c r="D57" s="7" t="n">
        <x:f>COUNTIFS('唯一词标签'!$V$2:$V$1441,A57,'唯一词标签'!$Z$2:$Z$1441,"match")</x:f>
        <x:v>0</x:v>
      </x:c>
      <x:c r="E57" s="7" t="n">
        <x:f>COUNTIFS('唯一词标签'!$V$2:$V$1441,A57,'唯一词标签'!$Z$2:$Z$1441,"partial_match")</x:f>
        <x:v>0</x:v>
      </x:c>
      <x:c r="F57" s="7" t="n">
        <x:f>COUNTIFS('唯一词标签'!$V$2:$V$1441,A57,'唯一词标签'!$Z$2:$Z$1441,"mismatch")</x:f>
        <x:v>0</x:v>
      </x:c>
      <x:c r="G57" s="7" t="n">
        <x:f>COUNTIFS('唯一词标签'!$V$2:$V$1441,A57,'唯一词标签'!$Z$2:$Z$1441,"unknown")</x:f>
        <x:v>1</x:v>
      </x:c>
      <x:c r="H57" s="7" t="n">
        <x:f>COUNTIFS('唯一词标签'!$V$2:$V$1441,A57,'唯一词标签'!$U$2:$U$1441,"low")</x:f>
        <x:v>1</x:v>
      </x:c>
      <x:c r="I57" s="7" t="n">
        <x:f>COUNTIFS('唯一词标签'!$V$2:$V$1441,A57,'唯一词标签'!$AB$2:$AB$1441,"needs_review")</x:f>
        <x:v>0</x:v>
      </x:c>
    </x:row>
    <x:row r="58" ht="22" customHeight="1">
      <x:c r="A58" s="7" t="str">
        <x:v>archies_footwear</x:v>
      </x:c>
      <x:c r="B58" s="7" t="n">
        <x:f>COUNTIF('唯一词标签'!$V$2:$V$1441,A58)</x:f>
        <x:v>1</x:v>
      </x:c>
      <x:c r="C58" s="55" t="n">
        <x:f>B58/COUNTA('唯一词标签'!$C$2:$C$1441)</x:f>
        <x:v>0.0006944444444444445</x:v>
      </x:c>
      <x:c r="D58" s="7" t="n">
        <x:f>COUNTIFS('唯一词标签'!$V$2:$V$1441,A58,'唯一词标签'!$Z$2:$Z$1441,"match")</x:f>
        <x:v>0</x:v>
      </x:c>
      <x:c r="E58" s="7" t="n">
        <x:f>COUNTIFS('唯一词标签'!$V$2:$V$1441,A58,'唯一词标签'!$Z$2:$Z$1441,"partial_match")</x:f>
        <x:v>0</x:v>
      </x:c>
      <x:c r="F58" s="7" t="n">
        <x:f>COUNTIFS('唯一词标签'!$V$2:$V$1441,A58,'唯一词标签'!$Z$2:$Z$1441,"mismatch")</x:f>
        <x:v>1</x:v>
      </x:c>
      <x:c r="G58" s="7" t="n">
        <x:f>COUNTIFS('唯一词标签'!$V$2:$V$1441,A58,'唯一词标签'!$Z$2:$Z$1441,"unknown")</x:f>
        <x:v>0</x:v>
      </x:c>
      <x:c r="H58" s="7" t="n">
        <x:f>COUNTIFS('唯一词标签'!$V$2:$V$1441,A58,'唯一词标签'!$U$2:$U$1441,"low")</x:f>
        <x:v>0</x:v>
      </x:c>
      <x:c r="I58" s="7" t="n">
        <x:f>COUNTIFS('唯一词标签'!$V$2:$V$1441,A58,'唯一词标签'!$AB$2:$AB$1441,"needs_review")</x:f>
        <x:v>0</x:v>
      </x:c>
    </x:row>
    <x:row r="59" ht="22" customHeight="1">
      <x:c r="A59" s="7" t="str">
        <x:v>archies_home_flip_flops</x:v>
      </x:c>
      <x:c r="B59" s="7" t="n">
        <x:f>COUNTIF('唯一词标签'!$V$2:$V$1441,A59)</x:f>
        <x:v>1</x:v>
      </x:c>
      <x:c r="C59" s="55" t="n">
        <x:f>B59/COUNTA('唯一词标签'!$C$2:$C$1441)</x:f>
        <x:v>0.0006944444444444445</x:v>
      </x:c>
      <x:c r="D59" s="7" t="n">
        <x:f>COUNTIFS('唯一词标签'!$V$2:$V$1441,A59,'唯一词标签'!$Z$2:$Z$1441,"match")</x:f>
        <x:v>0</x:v>
      </x:c>
      <x:c r="E59" s="7" t="n">
        <x:f>COUNTIFS('唯一词标签'!$V$2:$V$1441,A59,'唯一词标签'!$Z$2:$Z$1441,"partial_match")</x:f>
        <x:v>1</x:v>
      </x:c>
      <x:c r="F59" s="7" t="n">
        <x:f>COUNTIFS('唯一词标签'!$V$2:$V$1441,A59,'唯一词标签'!$Z$2:$Z$1441,"mismatch")</x:f>
        <x:v>0</x:v>
      </x:c>
      <x:c r="G59" s="7" t="n">
        <x:f>COUNTIFS('唯一词标签'!$V$2:$V$1441,A59,'唯一词标签'!$Z$2:$Z$1441,"unknown")</x:f>
        <x:v>0</x:v>
      </x:c>
      <x:c r="H59" s="7" t="n">
        <x:f>COUNTIFS('唯一词标签'!$V$2:$V$1441,A59,'唯一词标签'!$U$2:$U$1441,"low")</x:f>
        <x:v>1</x:v>
      </x:c>
      <x:c r="I59" s="7" t="n">
        <x:f>COUNTIFS('唯一词标签'!$V$2:$V$1441,A59,'唯一词标签'!$AB$2:$AB$1441,"needs_review")</x:f>
        <x:v>0</x:v>
      </x:c>
    </x:row>
    <x:row r="60" ht="22" customHeight="1">
      <x:c r="A60" s="7" t="str">
        <x:v>archies_lemon_drop_flip</x:v>
      </x:c>
      <x:c r="B60" s="7" t="n">
        <x:f>COUNTIF('唯一词标签'!$V$2:$V$1441,A60)</x:f>
        <x:v>1</x:v>
      </x:c>
      <x:c r="C60" s="55" t="n">
        <x:f>B60/COUNTA('唯一词标签'!$C$2:$C$1441)</x:f>
        <x:v>0.0006944444444444445</x:v>
      </x:c>
      <x:c r="D60" s="7" t="n">
        <x:f>COUNTIFS('唯一词标签'!$V$2:$V$1441,A60,'唯一词标签'!$Z$2:$Z$1441,"match")</x:f>
        <x:v>0</x:v>
      </x:c>
      <x:c r="E60" s="7" t="n">
        <x:f>COUNTIFS('唯一词标签'!$V$2:$V$1441,A60,'唯一词标签'!$Z$2:$Z$1441,"partial_match")</x:f>
        <x:v>0</x:v>
      </x:c>
      <x:c r="F60" s="7" t="n">
        <x:f>COUNTIFS('唯一词标签'!$V$2:$V$1441,A60,'唯一词标签'!$Z$2:$Z$1441,"mismatch")</x:f>
        <x:v>1</x:v>
      </x:c>
      <x:c r="G60" s="7" t="n">
        <x:f>COUNTIFS('唯一词标签'!$V$2:$V$1441,A60,'唯一词标签'!$Z$2:$Z$1441,"unknown")</x:f>
        <x:v>0</x:v>
      </x:c>
      <x:c r="H60" s="7" t="n">
        <x:f>COUNTIFS('唯一词标签'!$V$2:$V$1441,A60,'唯一词标签'!$U$2:$U$1441,"low")</x:f>
        <x:v>0</x:v>
      </x:c>
      <x:c r="I60" s="7" t="n">
        <x:f>COUNTIFS('唯一词标签'!$V$2:$V$1441,A60,'唯一词标签'!$AB$2:$AB$1441,"needs_review")</x:f>
        <x:v>1</x:v>
      </x:c>
    </x:row>
    <x:row r="61" ht="22" customHeight="1">
      <x:c r="A61" s="7" t="str">
        <x:v>archies_lemon_flip_flops</x:v>
      </x:c>
      <x:c r="B61" s="7" t="n">
        <x:f>COUNTIF('唯一词标签'!$V$2:$V$1441,A61)</x:f>
        <x:v>2</x:v>
      </x:c>
      <x:c r="C61" s="55" t="n">
        <x:f>B61/COUNTA('唯一词标签'!$C$2:$C$1441)</x:f>
        <x:v>0.001388888888888889</x:v>
      </x:c>
      <x:c r="D61" s="7" t="n">
        <x:f>COUNTIFS('唯一词标签'!$V$2:$V$1441,A61,'唯一词标签'!$Z$2:$Z$1441,"match")</x:f>
        <x:v>0</x:v>
      </x:c>
      <x:c r="E61" s="7" t="n">
        <x:f>COUNTIFS('唯一词标签'!$V$2:$V$1441,A61,'唯一词标签'!$Z$2:$Z$1441,"partial_match")</x:f>
        <x:v>0</x:v>
      </x:c>
      <x:c r="F61" s="7" t="n">
        <x:f>COUNTIFS('唯一词标签'!$V$2:$V$1441,A61,'唯一词标签'!$Z$2:$Z$1441,"mismatch")</x:f>
        <x:v>2</x:v>
      </x:c>
      <x:c r="G61" s="7" t="n">
        <x:f>COUNTIFS('唯一词标签'!$V$2:$V$1441,A61,'唯一词标签'!$Z$2:$Z$1441,"unknown")</x:f>
        <x:v>0</x:v>
      </x:c>
      <x:c r="H61" s="7" t="n">
        <x:f>COUNTIFS('唯一词标签'!$V$2:$V$1441,A61,'唯一词标签'!$U$2:$U$1441,"low")</x:f>
        <x:v>0</x:v>
      </x:c>
      <x:c r="I61" s="7" t="n">
        <x:f>COUNTIFS('唯一词标签'!$V$2:$V$1441,A61,'唯一词标签'!$AB$2:$AB$1441,"needs_review")</x:f>
        <x:v>1</x:v>
      </x:c>
    </x:row>
    <x:row r="62" ht="22" customHeight="1">
      <x:c r="A62" s="7" t="str">
        <x:v>archies_womens_flip_flops</x:v>
      </x:c>
      <x:c r="B62" s="7" t="n">
        <x:f>COUNTIF('唯一词标签'!$V$2:$V$1441,A62)</x:f>
        <x:v>1</x:v>
      </x:c>
      <x:c r="C62" s="55" t="n">
        <x:f>B62/COUNTA('唯一词标签'!$C$2:$C$1441)</x:f>
        <x:v>0.0006944444444444445</x:v>
      </x:c>
      <x:c r="D62" s="7" t="n">
        <x:f>COUNTIFS('唯一词标签'!$V$2:$V$1441,A62,'唯一词标签'!$Z$2:$Z$1441,"match")</x:f>
        <x:v>0</x:v>
      </x:c>
      <x:c r="E62" s="7" t="n">
        <x:f>COUNTIFS('唯一词标签'!$V$2:$V$1441,A62,'唯一词标签'!$Z$2:$Z$1441,"partial_match")</x:f>
        <x:v>0</x:v>
      </x:c>
      <x:c r="F62" s="7" t="n">
        <x:f>COUNTIFS('唯一词标签'!$V$2:$V$1441,A62,'唯一词标签'!$Z$2:$Z$1441,"mismatch")</x:f>
        <x:v>1</x:v>
      </x:c>
      <x:c r="G62" s="7" t="n">
        <x:f>COUNTIFS('唯一词标签'!$V$2:$V$1441,A62,'唯一词标签'!$Z$2:$Z$1441,"unknown")</x:f>
        <x:v>0</x:v>
      </x:c>
      <x:c r="H62" s="7" t="n">
        <x:f>COUNTIFS('唯一词标签'!$V$2:$V$1441,A62,'唯一词标签'!$U$2:$U$1441,"low")</x:f>
        <x:v>0</x:v>
      </x:c>
      <x:c r="I62" s="7" t="n">
        <x:f>COUNTIFS('唯一词标签'!$V$2:$V$1441,A62,'唯一词标签'!$AB$2:$AB$1441,"needs_review")</x:f>
        <x:v>0</x:v>
      </x:c>
    </x:row>
    <x:row r="63" ht="22" customHeight="1">
      <x:c r="A63" s="7" t="str">
        <x:v>archies_womens_flip_flops_ambiguous</x:v>
      </x:c>
      <x:c r="B63" s="7" t="n">
        <x:f>COUNTIF('唯一词标签'!$V$2:$V$1441,A63)</x:f>
        <x:v>1</x:v>
      </x:c>
      <x:c r="C63" s="55" t="n">
        <x:f>B63/COUNTA('唯一词标签'!$C$2:$C$1441)</x:f>
        <x:v>0.0006944444444444445</x:v>
      </x:c>
      <x:c r="D63" s="7" t="n">
        <x:f>COUNTIFS('唯一词标签'!$V$2:$V$1441,A63,'唯一词标签'!$Z$2:$Z$1441,"match")</x:f>
        <x:v>0</x:v>
      </x:c>
      <x:c r="E63" s="7" t="n">
        <x:f>COUNTIFS('唯一词标签'!$V$2:$V$1441,A63,'唯一词标签'!$Z$2:$Z$1441,"partial_match")</x:f>
        <x:v>0</x:v>
      </x:c>
      <x:c r="F63" s="7" t="n">
        <x:f>COUNTIFS('唯一词标签'!$V$2:$V$1441,A63,'唯一词标签'!$Z$2:$Z$1441,"mismatch")</x:f>
        <x:v>0</x:v>
      </x:c>
      <x:c r="G63" s="7" t="n">
        <x:f>COUNTIFS('唯一词标签'!$V$2:$V$1441,A63,'唯一词标签'!$Z$2:$Z$1441,"unknown")</x:f>
        <x:v>1</x:v>
      </x:c>
      <x:c r="H63" s="7" t="n">
        <x:f>COUNTIFS('唯一词标签'!$V$2:$V$1441,A63,'唯一词标签'!$U$2:$U$1441,"low")</x:f>
        <x:v>1</x:v>
      </x:c>
      <x:c r="I63" s="7" t="n">
        <x:f>COUNTIFS('唯一词标签'!$V$2:$V$1441,A63,'唯一词标签'!$AB$2:$AB$1441,"needs_review")</x:f>
        <x:v>0</x:v>
      </x:c>
    </x:row>
    <x:row r="64" ht="22" customHeight="1">
      <x:c r="A64" s="7" t="str">
        <x:v>athletic_flip_flops_women</x:v>
      </x:c>
      <x:c r="B64" s="7" t="n">
        <x:f>COUNTIF('唯一词标签'!$V$2:$V$1441,A64)</x:f>
        <x:v>1</x:v>
      </x:c>
      <x:c r="C64" s="55" t="n">
        <x:f>B64/COUNTA('唯一词标签'!$C$2:$C$1441)</x:f>
        <x:v>0.0006944444444444445</x:v>
      </x:c>
      <x:c r="D64" s="7" t="n">
        <x:f>COUNTIFS('唯一词标签'!$V$2:$V$1441,A64,'唯一词标签'!$Z$2:$Z$1441,"match")</x:f>
        <x:v>0</x:v>
      </x:c>
      <x:c r="E64" s="7" t="n">
        <x:f>COUNTIFS('唯一词标签'!$V$2:$V$1441,A64,'唯一词标签'!$Z$2:$Z$1441,"partial_match")</x:f>
        <x:v>1</x:v>
      </x:c>
      <x:c r="F64" s="7" t="n">
        <x:f>COUNTIFS('唯一词标签'!$V$2:$V$1441,A64,'唯一词标签'!$Z$2:$Z$1441,"mismatch")</x:f>
        <x:v>0</x:v>
      </x:c>
      <x:c r="G64" s="7" t="n">
        <x:f>COUNTIFS('唯一词标签'!$V$2:$V$1441,A64,'唯一词标签'!$Z$2:$Z$1441,"unknown")</x:f>
        <x:v>0</x:v>
      </x:c>
      <x:c r="H64" s="7" t="n">
        <x:f>COUNTIFS('唯一词标签'!$V$2:$V$1441,A64,'唯一词标签'!$U$2:$U$1441,"low")</x:f>
        <x:v>0</x:v>
      </x:c>
      <x:c r="I64" s="7" t="n">
        <x:f>COUNTIFS('唯一词标签'!$V$2:$V$1441,A64,'唯一词标签'!$AB$2:$AB$1441,"needs_review")</x:f>
        <x:v>0</x:v>
      </x:c>
    </x:row>
    <x:row r="65" ht="22" customHeight="1">
      <x:c r="A65" s="7" t="str">
        <x:v>baby_blue_womens_flip_flops_specific_size</x:v>
      </x:c>
      <x:c r="B65" s="7" t="n">
        <x:f>COUNTIF('唯一词标签'!$V$2:$V$1441,A65)</x:f>
        <x:v>1</x:v>
      </x:c>
      <x:c r="C65" s="55" t="n">
        <x:f>B65/COUNTA('唯一词标签'!$C$2:$C$1441)</x:f>
        <x:v>0.0006944444444444445</x:v>
      </x:c>
      <x:c r="D65" s="7" t="n">
        <x:f>COUNTIFS('唯一词标签'!$V$2:$V$1441,A65,'唯一词标签'!$Z$2:$Z$1441,"match")</x:f>
        <x:v>0</x:v>
      </x:c>
      <x:c r="E65" s="7" t="n">
        <x:f>COUNTIFS('唯一词标签'!$V$2:$V$1441,A65,'唯一词标签'!$Z$2:$Z$1441,"partial_match")</x:f>
        <x:v>1</x:v>
      </x:c>
      <x:c r="F65" s="7" t="n">
        <x:f>COUNTIFS('唯一词标签'!$V$2:$V$1441,A65,'唯一词标签'!$Z$2:$Z$1441,"mismatch")</x:f>
        <x:v>0</x:v>
      </x:c>
      <x:c r="G65" s="7" t="n">
        <x:f>COUNTIFS('唯一词标签'!$V$2:$V$1441,A65,'唯一词标签'!$Z$2:$Z$1441,"unknown")</x:f>
        <x:v>0</x:v>
      </x:c>
      <x:c r="H65" s="7" t="n">
        <x:f>COUNTIFS('唯一词标签'!$V$2:$V$1441,A65,'唯一词标签'!$U$2:$U$1441,"low")</x:f>
        <x:v>0</x:v>
      </x:c>
      <x:c r="I65" s="7" t="n">
        <x:f>COUNTIFS('唯一词标签'!$V$2:$V$1441,A65,'唯一词标签'!$AB$2:$AB$1441,"needs_review")</x:f>
        <x:v>0</x:v>
      </x:c>
    </x:row>
    <x:row r="66" ht="22" customHeight="1">
      <x:c r="A66" s="7" t="str">
        <x:v>barefoot_arch_support_flip_flops</x:v>
      </x:c>
      <x:c r="B66" s="7" t="n">
        <x:f>COUNTIF('唯一词标签'!$V$2:$V$1441,A66)</x:f>
        <x:v>1</x:v>
      </x:c>
      <x:c r="C66" s="55" t="n">
        <x:f>B66/COUNTA('唯一词标签'!$C$2:$C$1441)</x:f>
        <x:v>0.0006944444444444445</x:v>
      </x:c>
      <x:c r="D66" s="7" t="n">
        <x:f>COUNTIFS('唯一词标签'!$V$2:$V$1441,A66,'唯一词标签'!$Z$2:$Z$1441,"match")</x:f>
        <x:v>0</x:v>
      </x:c>
      <x:c r="E66" s="7" t="n">
        <x:f>COUNTIFS('唯一词标签'!$V$2:$V$1441,A66,'唯一词标签'!$Z$2:$Z$1441,"partial_match")</x:f>
        <x:v>1</x:v>
      </x:c>
      <x:c r="F66" s="7" t="n">
        <x:f>COUNTIFS('唯一词标签'!$V$2:$V$1441,A66,'唯一词标签'!$Z$2:$Z$1441,"mismatch")</x:f>
        <x:v>0</x:v>
      </x:c>
      <x:c r="G66" s="7" t="n">
        <x:f>COUNTIFS('唯一词标签'!$V$2:$V$1441,A66,'唯一词标签'!$Z$2:$Z$1441,"unknown")</x:f>
        <x:v>0</x:v>
      </x:c>
      <x:c r="H66" s="7" t="n">
        <x:f>COUNTIFS('唯一词标签'!$V$2:$V$1441,A66,'唯一词标签'!$U$2:$U$1441,"low")</x:f>
        <x:v>0</x:v>
      </x:c>
      <x:c r="I66" s="7" t="n">
        <x:f>COUNTIFS('唯一词标签'!$V$2:$V$1441,A66,'唯一词标签'!$AB$2:$AB$1441,"needs_review")</x:f>
        <x:v>0</x:v>
      </x:c>
    </x:row>
    <x:row r="67" ht="22" customHeight="1">
      <x:c r="A67" s="7" t="str">
        <x:v>barefoot_flip_flops</x:v>
      </x:c>
      <x:c r="B67" s="7" t="n">
        <x:f>COUNTIF('唯一词标签'!$V$2:$V$1441,A67)</x:f>
        <x:v>1</x:v>
      </x:c>
      <x:c r="C67" s="55" t="n">
        <x:f>B67/COUNTA('唯一词标签'!$C$2:$C$1441)</x:f>
        <x:v>0.0006944444444444445</x:v>
      </x:c>
      <x:c r="D67" s="7" t="n">
        <x:f>COUNTIFS('唯一词标签'!$V$2:$V$1441,A67,'唯一词标签'!$Z$2:$Z$1441,"match")</x:f>
        <x:v>0</x:v>
      </x:c>
      <x:c r="E67" s="7" t="n">
        <x:f>COUNTIFS('唯一词标签'!$V$2:$V$1441,A67,'唯一词标签'!$Z$2:$Z$1441,"partial_match")</x:f>
        <x:v>0</x:v>
      </x:c>
      <x:c r="F67" s="7" t="n">
        <x:f>COUNTIFS('唯一词标签'!$V$2:$V$1441,A67,'唯一词标签'!$Z$2:$Z$1441,"mismatch")</x:f>
        <x:v>1</x:v>
      </x:c>
      <x:c r="G67" s="7" t="n">
        <x:f>COUNTIFS('唯一词标签'!$V$2:$V$1441,A67,'唯一词标签'!$Z$2:$Z$1441,"unknown")</x:f>
        <x:v>0</x:v>
      </x:c>
      <x:c r="H67" s="7" t="n">
        <x:f>COUNTIFS('唯一词标签'!$V$2:$V$1441,A67,'唯一词标签'!$U$2:$U$1441,"low")</x:f>
        <x:v>0</x:v>
      </x:c>
      <x:c r="I67" s="7" t="n">
        <x:f>COUNTIFS('唯一词标签'!$V$2:$V$1441,A67,'唯一词标签'!$AB$2:$AB$1441,"needs_review")</x:f>
        <x:v>0</x:v>
      </x:c>
    </x:row>
    <x:row r="68" ht="22" customHeight="1">
      <x:c r="A68" s="7" t="str">
        <x:v>baseball_theme_flip_flops</x:v>
      </x:c>
      <x:c r="B68" s="7" t="n">
        <x:f>COUNTIF('唯一词标签'!$V$2:$V$1441,A68)</x:f>
        <x:v>1</x:v>
      </x:c>
      <x:c r="C68" s="55" t="n">
        <x:f>B68/COUNTA('唯一词标签'!$C$2:$C$1441)</x:f>
        <x:v>0.0006944444444444445</x:v>
      </x:c>
      <x:c r="D68" s="7" t="n">
        <x:f>COUNTIFS('唯一词标签'!$V$2:$V$1441,A68,'唯一词标签'!$Z$2:$Z$1441,"match")</x:f>
        <x:v>0</x:v>
      </x:c>
      <x:c r="E68" s="7" t="n">
        <x:f>COUNTIFS('唯一词标签'!$V$2:$V$1441,A68,'唯一词标签'!$Z$2:$Z$1441,"partial_match")</x:f>
        <x:v>1</x:v>
      </x:c>
      <x:c r="F68" s="7" t="n">
        <x:f>COUNTIFS('唯一词标签'!$V$2:$V$1441,A68,'唯一词标签'!$Z$2:$Z$1441,"mismatch")</x:f>
        <x:v>0</x:v>
      </x:c>
      <x:c r="G68" s="7" t="n">
        <x:f>COUNTIFS('唯一词标签'!$V$2:$V$1441,A68,'唯一词标签'!$Z$2:$Z$1441,"unknown")</x:f>
        <x:v>0</x:v>
      </x:c>
      <x:c r="H68" s="7" t="n">
        <x:f>COUNTIFS('唯一词标签'!$V$2:$V$1441,A68,'唯一词标签'!$U$2:$U$1441,"low")</x:f>
        <x:v>0</x:v>
      </x:c>
      <x:c r="I68" s="7" t="n">
        <x:f>COUNTIFS('唯一词标签'!$V$2:$V$1441,A68,'唯一词标签'!$AB$2:$AB$1441,"needs_review")</x:f>
        <x:v>0</x:v>
      </x:c>
    </x:row>
    <x:row r="69" ht="22" customHeight="1">
      <x:c r="A69" s="7" t="str">
        <x:v>basic_flip_flops</x:v>
      </x:c>
      <x:c r="B69" s="7" t="n">
        <x:f>COUNTIF('唯一词标签'!$V$2:$V$1441,A69)</x:f>
        <x:v>2</x:v>
      </x:c>
      <x:c r="C69" s="55" t="n">
        <x:f>B69/COUNTA('唯一词标签'!$C$2:$C$1441)</x:f>
        <x:v>0.001388888888888889</x:v>
      </x:c>
      <x:c r="D69" s="7" t="n">
        <x:f>COUNTIFS('唯一词标签'!$V$2:$V$1441,A69,'唯一词标签'!$Z$2:$Z$1441,"match")</x:f>
        <x:v>2</x:v>
      </x:c>
      <x:c r="E69" s="7" t="n">
        <x:f>COUNTIFS('唯一词标签'!$V$2:$V$1441,A69,'唯一词标签'!$Z$2:$Z$1441,"partial_match")</x:f>
        <x:v>0</x:v>
      </x:c>
      <x:c r="F69" s="7" t="n">
        <x:f>COUNTIFS('唯一词标签'!$V$2:$V$1441,A69,'唯一词标签'!$Z$2:$Z$1441,"mismatch")</x:f>
        <x:v>0</x:v>
      </x:c>
      <x:c r="G69" s="7" t="n">
        <x:f>COUNTIFS('唯一词标签'!$V$2:$V$1441,A69,'唯一词标签'!$Z$2:$Z$1441,"unknown")</x:f>
        <x:v>0</x:v>
      </x:c>
      <x:c r="H69" s="7" t="n">
        <x:f>COUNTIFS('唯一词标签'!$V$2:$V$1441,A69,'唯一词标签'!$U$2:$U$1441,"low")</x:f>
        <x:v>0</x:v>
      </x:c>
      <x:c r="I69" s="7" t="n">
        <x:f>COUNTIFS('唯一词标签'!$V$2:$V$1441,A69,'唯一词标签'!$AB$2:$AB$1441,"needs_review")</x:f>
        <x:v>0</x:v>
      </x:c>
    </x:row>
    <x:row r="70" ht="22" customHeight="1">
      <x:c r="A70" s="7" t="str">
        <x:v>basic_womens_flip_flops</x:v>
      </x:c>
      <x:c r="B70" s="7" t="n">
        <x:f>COUNTIF('唯一词标签'!$V$2:$V$1441,A70)</x:f>
        <x:v>1</x:v>
      </x:c>
      <x:c r="C70" s="55" t="n">
        <x:f>B70/COUNTA('唯一词标签'!$C$2:$C$1441)</x:f>
        <x:v>0.0006944444444444445</x:v>
      </x:c>
      <x:c r="D70" s="7" t="n">
        <x:f>COUNTIFS('唯一词标签'!$V$2:$V$1441,A70,'唯一词标签'!$Z$2:$Z$1441,"match")</x:f>
        <x:v>1</x:v>
      </x:c>
      <x:c r="E70" s="7" t="n">
        <x:f>COUNTIFS('唯一词标签'!$V$2:$V$1441,A70,'唯一词标签'!$Z$2:$Z$1441,"partial_match")</x:f>
        <x:v>0</x:v>
      </x:c>
      <x:c r="F70" s="7" t="n">
        <x:f>COUNTIFS('唯一词标签'!$V$2:$V$1441,A70,'唯一词标签'!$Z$2:$Z$1441,"mismatch")</x:f>
        <x:v>0</x:v>
      </x:c>
      <x:c r="G70" s="7" t="n">
        <x:f>COUNTIFS('唯一词标签'!$V$2:$V$1441,A70,'唯一词标签'!$Z$2:$Z$1441,"unknown")</x:f>
        <x:v>0</x:v>
      </x:c>
      <x:c r="H70" s="7" t="n">
        <x:f>COUNTIFS('唯一词标签'!$V$2:$V$1441,A70,'唯一词标签'!$U$2:$U$1441,"low")</x:f>
        <x:v>0</x:v>
      </x:c>
      <x:c r="I70" s="7" t="n">
        <x:f>COUNTIFS('唯一词标签'!$V$2:$V$1441,A70,'唯一词标签'!$AB$2:$AB$1441,"needs_review")</x:f>
        <x:v>0</x:v>
      </x:c>
    </x:row>
    <x:row r="71" ht="22" customHeight="1">
      <x:c r="A71" s="7" t="str">
        <x:v>bathroom_flip_flop_women</x:v>
      </x:c>
      <x:c r="B71" s="7" t="n">
        <x:f>COUNTIF('唯一词标签'!$V$2:$V$1441,A71)</x:f>
        <x:v>1</x:v>
      </x:c>
      <x:c r="C71" s="55" t="n">
        <x:f>B71/COUNTA('唯一词标签'!$C$2:$C$1441)</x:f>
        <x:v>0.0006944444444444445</x:v>
      </x:c>
      <x:c r="D71" s="7" t="n">
        <x:f>COUNTIFS('唯一词标签'!$V$2:$V$1441,A71,'唯一词标签'!$Z$2:$Z$1441,"match")</x:f>
        <x:v>0</x:v>
      </x:c>
      <x:c r="E71" s="7" t="n">
        <x:f>COUNTIFS('唯一词标签'!$V$2:$V$1441,A71,'唯一词标签'!$Z$2:$Z$1441,"partial_match")</x:f>
        <x:v>1</x:v>
      </x:c>
      <x:c r="F71" s="7" t="n">
        <x:f>COUNTIFS('唯一词标签'!$V$2:$V$1441,A71,'唯一词标签'!$Z$2:$Z$1441,"mismatch")</x:f>
        <x:v>0</x:v>
      </x:c>
      <x:c r="G71" s="7" t="n">
        <x:f>COUNTIFS('唯一词标签'!$V$2:$V$1441,A71,'唯一词标签'!$Z$2:$Z$1441,"unknown")</x:f>
        <x:v>0</x:v>
      </x:c>
      <x:c r="H71" s="7" t="n">
        <x:f>COUNTIFS('唯一词标签'!$V$2:$V$1441,A71,'唯一词标签'!$U$2:$U$1441,"low")</x:f>
        <x:v>0</x:v>
      </x:c>
      <x:c r="I71" s="7" t="n">
        <x:f>COUNTIFS('唯一词标签'!$V$2:$V$1441,A71,'唯一词标签'!$AB$2:$AB$1441,"needs_review")</x:f>
        <x:v>1</x:v>
      </x:c>
    </x:row>
    <x:row r="72" ht="22" customHeight="1">
      <x:c r="A72" s="7" t="str">
        <x:v>bathroom_flip_flops</x:v>
      </x:c>
      <x:c r="B72" s="7" t="n">
        <x:f>COUNTIF('唯一词标签'!$V$2:$V$1441,A72)</x:f>
        <x:v>1</x:v>
      </x:c>
      <x:c r="C72" s="55" t="n">
        <x:f>B72/COUNTA('唯一词标签'!$C$2:$C$1441)</x:f>
        <x:v>0.0006944444444444445</x:v>
      </x:c>
      <x:c r="D72" s="7" t="n">
        <x:f>COUNTIFS('唯一词标签'!$V$2:$V$1441,A72,'唯一词标签'!$Z$2:$Z$1441,"match")</x:f>
        <x:v>0</x:v>
      </x:c>
      <x:c r="E72" s="7" t="n">
        <x:f>COUNTIFS('唯一词标签'!$V$2:$V$1441,A72,'唯一词标签'!$Z$2:$Z$1441,"partial_match")</x:f>
        <x:v>1</x:v>
      </x:c>
      <x:c r="F72" s="7" t="n">
        <x:f>COUNTIFS('唯一词标签'!$V$2:$V$1441,A72,'唯一词标签'!$Z$2:$Z$1441,"mismatch")</x:f>
        <x:v>0</x:v>
      </x:c>
      <x:c r="G72" s="7" t="n">
        <x:f>COUNTIFS('唯一词标签'!$V$2:$V$1441,A72,'唯一词标签'!$Z$2:$Z$1441,"unknown")</x:f>
        <x:v>0</x:v>
      </x:c>
      <x:c r="H72" s="7" t="n">
        <x:f>COUNTIFS('唯一词标签'!$V$2:$V$1441,A72,'唯一词标签'!$U$2:$U$1441,"low")</x:f>
        <x:v>0</x:v>
      </x:c>
      <x:c r="I72" s="7" t="n">
        <x:f>COUNTIFS('唯一词标签'!$V$2:$V$1441,A72,'唯一词标签'!$AB$2:$AB$1441,"needs_review")</x:f>
        <x:v>0</x:v>
      </x:c>
    </x:row>
    <x:row r="73" ht="22" customHeight="1">
      <x:c r="A73" s="7" t="str">
        <x:v>bathroom_home_flip_flops_women</x:v>
      </x:c>
      <x:c r="B73" s="7" t="n">
        <x:f>COUNTIF('唯一词标签'!$V$2:$V$1441,A73)</x:f>
        <x:v>1</x:v>
      </x:c>
      <x:c r="C73" s="55" t="n">
        <x:f>B73/COUNTA('唯一词标签'!$C$2:$C$1441)</x:f>
        <x:v>0.0006944444444444445</x:v>
      </x:c>
      <x:c r="D73" s="7" t="n">
        <x:f>COUNTIFS('唯一词标签'!$V$2:$V$1441,A73,'唯一词标签'!$Z$2:$Z$1441,"match")</x:f>
        <x:v>1</x:v>
      </x:c>
      <x:c r="E73" s="7" t="n">
        <x:f>COUNTIFS('唯一词标签'!$V$2:$V$1441,A73,'唯一词标签'!$Z$2:$Z$1441,"partial_match")</x:f>
        <x:v>0</x:v>
      </x:c>
      <x:c r="F73" s="7" t="n">
        <x:f>COUNTIFS('唯一词标签'!$V$2:$V$1441,A73,'唯一词标签'!$Z$2:$Z$1441,"mismatch")</x:f>
        <x:v>0</x:v>
      </x:c>
      <x:c r="G73" s="7" t="n">
        <x:f>COUNTIFS('唯一词标签'!$V$2:$V$1441,A73,'唯一词标签'!$Z$2:$Z$1441,"unknown")</x:f>
        <x:v>0</x:v>
      </x:c>
      <x:c r="H73" s="7" t="n">
        <x:f>COUNTIFS('唯一词标签'!$V$2:$V$1441,A73,'唯一词标签'!$U$2:$U$1441,"low")</x:f>
        <x:v>0</x:v>
      </x:c>
      <x:c r="I73" s="7" t="n">
        <x:f>COUNTIFS('唯一词标签'!$V$2:$V$1441,A73,'唯一词标签'!$AB$2:$AB$1441,"needs_review")</x:f>
        <x:v>0</x:v>
      </x:c>
    </x:row>
    <x:row r="74" ht="22" customHeight="1">
      <x:c r="A74" s="7" t="str">
        <x:v>bathroom_sandals</x:v>
      </x:c>
      <x:c r="B74" s="7" t="n">
        <x:f>COUNTIF('唯一词标签'!$V$2:$V$1441,A74)</x:f>
        <x:v>1</x:v>
      </x:c>
      <x:c r="C74" s="55" t="n">
        <x:f>B74/COUNTA('唯一词标签'!$C$2:$C$1441)</x:f>
        <x:v>0.0006944444444444445</x:v>
      </x:c>
      <x:c r="D74" s="7" t="n">
        <x:f>COUNTIFS('唯一词标签'!$V$2:$V$1441,A74,'唯一词标签'!$Z$2:$Z$1441,"match")</x:f>
        <x:v>0</x:v>
      </x:c>
      <x:c r="E74" s="7" t="n">
        <x:f>COUNTIFS('唯一词标签'!$V$2:$V$1441,A74,'唯一词标签'!$Z$2:$Z$1441,"partial_match")</x:f>
        <x:v>1</x:v>
      </x:c>
      <x:c r="F74" s="7" t="n">
        <x:f>COUNTIFS('唯一词标签'!$V$2:$V$1441,A74,'唯一词标签'!$Z$2:$Z$1441,"mismatch")</x:f>
        <x:v>0</x:v>
      </x:c>
      <x:c r="G74" s="7" t="n">
        <x:f>COUNTIFS('唯一词标签'!$V$2:$V$1441,A74,'唯一词标签'!$Z$2:$Z$1441,"unknown")</x:f>
        <x:v>0</x:v>
      </x:c>
      <x:c r="H74" s="7" t="n">
        <x:f>COUNTIFS('唯一词标签'!$V$2:$V$1441,A74,'唯一词标签'!$U$2:$U$1441,"low")</x:f>
        <x:v>0</x:v>
      </x:c>
      <x:c r="I74" s="7" t="n">
        <x:f>COUNTIFS('唯一词标签'!$V$2:$V$1441,A74,'唯一词标签'!$AB$2:$AB$1441,"needs_review")</x:f>
        <x:v>0</x:v>
      </x:c>
    </x:row>
    <x:row r="75" ht="22" customHeight="1">
      <x:c r="A75" s="7" t="str">
        <x:v>bathroom_slip_resistant_slippers_women</x:v>
      </x:c>
      <x:c r="B75" s="7" t="n">
        <x:f>COUNTIF('唯一词标签'!$V$2:$V$1441,A75)</x:f>
        <x:v>1</x:v>
      </x:c>
      <x:c r="C75" s="55" t="n">
        <x:f>B75/COUNTA('唯一词标签'!$C$2:$C$1441)</x:f>
        <x:v>0.0006944444444444445</x:v>
      </x:c>
      <x:c r="D75" s="7" t="n">
        <x:f>COUNTIFS('唯一词标签'!$V$2:$V$1441,A75,'唯一词标签'!$Z$2:$Z$1441,"match")</x:f>
        <x:v>0</x:v>
      </x:c>
      <x:c r="E75" s="7" t="n">
        <x:f>COUNTIFS('唯一词标签'!$V$2:$V$1441,A75,'唯一词标签'!$Z$2:$Z$1441,"partial_match")</x:f>
        <x:v>1</x:v>
      </x:c>
      <x:c r="F75" s="7" t="n">
        <x:f>COUNTIFS('唯一词标签'!$V$2:$V$1441,A75,'唯一词标签'!$Z$2:$Z$1441,"mismatch")</x:f>
        <x:v>0</x:v>
      </x:c>
      <x:c r="G75" s="7" t="n">
        <x:f>COUNTIFS('唯一词标签'!$V$2:$V$1441,A75,'唯一词标签'!$Z$2:$Z$1441,"unknown")</x:f>
        <x:v>0</x:v>
      </x:c>
      <x:c r="H75" s="7" t="n">
        <x:f>COUNTIFS('唯一词标签'!$V$2:$V$1441,A75,'唯一词标签'!$U$2:$U$1441,"low")</x:f>
        <x:v>0</x:v>
      </x:c>
      <x:c r="I75" s="7" t="n">
        <x:f>COUNTIFS('唯一词标签'!$V$2:$V$1441,A75,'唯一词标签'!$AB$2:$AB$1441,"needs_review")</x:f>
        <x:v>1</x:v>
      </x:c>
    </x:row>
    <x:row r="76" ht="22" customHeight="1">
      <x:c r="A76" s="7" t="str">
        <x:v>beach_color_sandals</x:v>
      </x:c>
      <x:c r="B76" s="7" t="n">
        <x:f>COUNTIF('唯一词标签'!$V$2:$V$1441,A76)</x:f>
        <x:v>1</x:v>
      </x:c>
      <x:c r="C76" s="55" t="n">
        <x:f>B76/COUNTA('唯一词标签'!$C$2:$C$1441)</x:f>
        <x:v>0.0006944444444444445</x:v>
      </x:c>
      <x:c r="D76" s="7" t="n">
        <x:f>COUNTIFS('唯一词标签'!$V$2:$V$1441,A76,'唯一词标签'!$Z$2:$Z$1441,"match")</x:f>
        <x:v>1</x:v>
      </x:c>
      <x:c r="E76" s="7" t="n">
        <x:f>COUNTIFS('唯一词标签'!$V$2:$V$1441,A76,'唯一词标签'!$Z$2:$Z$1441,"partial_match")</x:f>
        <x:v>0</x:v>
      </x:c>
      <x:c r="F76" s="7" t="n">
        <x:f>COUNTIFS('唯一词标签'!$V$2:$V$1441,A76,'唯一词标签'!$Z$2:$Z$1441,"mismatch")</x:f>
        <x:v>0</x:v>
      </x:c>
      <x:c r="G76" s="7" t="n">
        <x:f>COUNTIFS('唯一词标签'!$V$2:$V$1441,A76,'唯一词标签'!$Z$2:$Z$1441,"unknown")</x:f>
        <x:v>0</x:v>
      </x:c>
      <x:c r="H76" s="7" t="n">
        <x:f>COUNTIFS('唯一词标签'!$V$2:$V$1441,A76,'唯一词标签'!$U$2:$U$1441,"low")</x:f>
        <x:v>0</x:v>
      </x:c>
      <x:c r="I76" s="7" t="n">
        <x:f>COUNTIFS('唯一词标签'!$V$2:$V$1441,A76,'唯一词标签'!$AB$2:$AB$1441,"needs_review")</x:f>
        <x:v>0</x:v>
      </x:c>
    </x:row>
    <x:row r="77" ht="22" customHeight="1">
      <x:c r="A77" s="7" t="str">
        <x:v>beach_flip_flops</x:v>
      </x:c>
      <x:c r="B77" s="7" t="n">
        <x:f>COUNTIF('唯一词标签'!$V$2:$V$1441,A77)</x:f>
        <x:v>4</x:v>
      </x:c>
      <x:c r="C77" s="55" t="n">
        <x:f>B77/COUNTA('唯一词标签'!$C$2:$C$1441)</x:f>
        <x:v>0.002777777777777778</x:v>
      </x:c>
      <x:c r="D77" s="7" t="n">
        <x:f>COUNTIFS('唯一词标签'!$V$2:$V$1441,A77,'唯一词标签'!$Z$2:$Z$1441,"match")</x:f>
        <x:v>3</x:v>
      </x:c>
      <x:c r="E77" s="7" t="n">
        <x:f>COUNTIFS('唯一词标签'!$V$2:$V$1441,A77,'唯一词标签'!$Z$2:$Z$1441,"partial_match")</x:f>
        <x:v>1</x:v>
      </x:c>
      <x:c r="F77" s="7" t="n">
        <x:f>COUNTIFS('唯一词标签'!$V$2:$V$1441,A77,'唯一词标签'!$Z$2:$Z$1441,"mismatch")</x:f>
        <x:v>0</x:v>
      </x:c>
      <x:c r="G77" s="7" t="n">
        <x:f>COUNTIFS('唯一词标签'!$V$2:$V$1441,A77,'唯一词标签'!$Z$2:$Z$1441,"unknown")</x:f>
        <x:v>0</x:v>
      </x:c>
      <x:c r="H77" s="7" t="n">
        <x:f>COUNTIFS('唯一词标签'!$V$2:$V$1441,A77,'唯一词标签'!$U$2:$U$1441,"low")</x:f>
        <x:v>0</x:v>
      </x:c>
      <x:c r="I77" s="7" t="n">
        <x:f>COUNTIFS('唯一词标签'!$V$2:$V$1441,A77,'唯一词标签'!$AB$2:$AB$1441,"needs_review")</x:f>
        <x:v>0</x:v>
      </x:c>
    </x:row>
    <x:row r="78" ht="22" customHeight="1">
      <x:c r="A78" s="7" t="str">
        <x:v>beach_flip_flops_light_blue</x:v>
      </x:c>
      <x:c r="B78" s="7" t="n">
        <x:f>COUNTIF('唯一词标签'!$V$2:$V$1441,A78)</x:f>
        <x:v>1</x:v>
      </x:c>
      <x:c r="C78" s="55" t="n">
        <x:f>B78/COUNTA('唯一词标签'!$C$2:$C$1441)</x:f>
        <x:v>0.0006944444444444445</x:v>
      </x:c>
      <x:c r="D78" s="7" t="n">
        <x:f>COUNTIFS('唯一词标签'!$V$2:$V$1441,A78,'唯一词标签'!$Z$2:$Z$1441,"match")</x:f>
        <x:v>1</x:v>
      </x:c>
      <x:c r="E78" s="7" t="n">
        <x:f>COUNTIFS('唯一词标签'!$V$2:$V$1441,A78,'唯一词标签'!$Z$2:$Z$1441,"partial_match")</x:f>
        <x:v>0</x:v>
      </x:c>
      <x:c r="F78" s="7" t="n">
        <x:f>COUNTIFS('唯一词标签'!$V$2:$V$1441,A78,'唯一词标签'!$Z$2:$Z$1441,"mismatch")</x:f>
        <x:v>0</x:v>
      </x:c>
      <x:c r="G78" s="7" t="n">
        <x:f>COUNTIFS('唯一词标签'!$V$2:$V$1441,A78,'唯一词标签'!$Z$2:$Z$1441,"unknown")</x:f>
        <x:v>0</x:v>
      </x:c>
      <x:c r="H78" s="7" t="n">
        <x:f>COUNTIFS('唯一词标签'!$V$2:$V$1441,A78,'唯一词标签'!$U$2:$U$1441,"low")</x:f>
        <x:v>0</x:v>
      </x:c>
      <x:c r="I78" s="7" t="n">
        <x:f>COUNTIFS('唯一词标签'!$V$2:$V$1441,A78,'唯一词标签'!$AB$2:$AB$1441,"needs_review")</x:f>
        <x:v>0</x:v>
      </x:c>
    </x:row>
    <x:row r="79" ht="22" customHeight="1">
      <x:c r="A79" s="7" t="str">
        <x:v>beach_flip_flops_women</x:v>
      </x:c>
      <x:c r="B79" s="7" t="n">
        <x:f>COUNTIF('唯一词标签'!$V$2:$V$1441,A79)</x:f>
        <x:v>2</x:v>
      </x:c>
      <x:c r="C79" s="55" t="n">
        <x:f>B79/COUNTA('唯一词标签'!$C$2:$C$1441)</x:f>
        <x:v>0.001388888888888889</x:v>
      </x:c>
      <x:c r="D79" s="7" t="n">
        <x:f>COUNTIFS('唯一词标签'!$V$2:$V$1441,A79,'唯一词标签'!$Z$2:$Z$1441,"match")</x:f>
        <x:v>1</x:v>
      </x:c>
      <x:c r="E79" s="7" t="n">
        <x:f>COUNTIFS('唯一词标签'!$V$2:$V$1441,A79,'唯一词标签'!$Z$2:$Z$1441,"partial_match")</x:f>
        <x:v>1</x:v>
      </x:c>
      <x:c r="F79" s="7" t="n">
        <x:f>COUNTIFS('唯一词标签'!$V$2:$V$1441,A79,'唯一词标签'!$Z$2:$Z$1441,"mismatch")</x:f>
        <x:v>0</x:v>
      </x:c>
      <x:c r="G79" s="7" t="n">
        <x:f>COUNTIFS('唯一词标签'!$V$2:$V$1441,A79,'唯一词标签'!$Z$2:$Z$1441,"unknown")</x:f>
        <x:v>0</x:v>
      </x:c>
      <x:c r="H79" s="7" t="n">
        <x:f>COUNTIFS('唯一词标签'!$V$2:$V$1441,A79,'唯一词标签'!$U$2:$U$1441,"low")</x:f>
        <x:v>0</x:v>
      </x:c>
      <x:c r="I79" s="7" t="n">
        <x:f>COUNTIFS('唯一词标签'!$V$2:$V$1441,A79,'唯一词标签'!$AB$2:$AB$1441,"needs_review")</x:f>
        <x:v>0</x:v>
      </x:c>
    </x:row>
    <x:row r="80" ht="22" customHeight="1">
      <x:c r="A80" s="7" t="str">
        <x:v>beach_lightweight_flip_flops</x:v>
      </x:c>
      <x:c r="B80" s="7" t="n">
        <x:f>COUNTIF('唯一词标签'!$V$2:$V$1441,A80)</x:f>
        <x:v>1</x:v>
      </x:c>
      <x:c r="C80" s="55" t="n">
        <x:f>B80/COUNTA('唯一词标签'!$C$2:$C$1441)</x:f>
        <x:v>0.0006944444444444445</x:v>
      </x:c>
      <x:c r="D80" s="7" t="n">
        <x:f>COUNTIFS('唯一词标签'!$V$2:$V$1441,A80,'唯一词标签'!$Z$2:$Z$1441,"match")</x:f>
        <x:v>0</x:v>
      </x:c>
      <x:c r="E80" s="7" t="n">
        <x:f>COUNTIFS('唯一词标签'!$V$2:$V$1441,A80,'唯一词标签'!$Z$2:$Z$1441,"partial_match")</x:f>
        <x:v>1</x:v>
      </x:c>
      <x:c r="F80" s="7" t="n">
        <x:f>COUNTIFS('唯一词标签'!$V$2:$V$1441,A80,'唯一词标签'!$Z$2:$Z$1441,"mismatch")</x:f>
        <x:v>0</x:v>
      </x:c>
      <x:c r="G80" s="7" t="n">
        <x:f>COUNTIFS('唯一词标签'!$V$2:$V$1441,A80,'唯一词标签'!$Z$2:$Z$1441,"unknown")</x:f>
        <x:v>0</x:v>
      </x:c>
      <x:c r="H80" s="7" t="n">
        <x:f>COUNTIFS('唯一词标签'!$V$2:$V$1441,A80,'唯一词标签'!$U$2:$U$1441,"low")</x:f>
        <x:v>0</x:v>
      </x:c>
      <x:c r="I80" s="7" t="n">
        <x:f>COUNTIFS('唯一词标签'!$V$2:$V$1441,A80,'唯一词标签'!$AB$2:$AB$1441,"needs_review")</x:f>
        <x:v>0</x:v>
      </x:c>
    </x:row>
    <x:row r="81" ht="22" customHeight="1">
      <x:c r="A81" s="7" t="str">
        <x:v>beach_nonslip_womens_flip_flops</x:v>
      </x:c>
      <x:c r="B81" s="7" t="n">
        <x:f>COUNTIF('唯一词标签'!$V$2:$V$1441,A81)</x:f>
        <x:v>1</x:v>
      </x:c>
      <x:c r="C81" s="55" t="n">
        <x:f>B81/COUNTA('唯一词标签'!$C$2:$C$1441)</x:f>
        <x:v>0.0006944444444444445</x:v>
      </x:c>
      <x:c r="D81" s="7" t="n">
        <x:f>COUNTIFS('唯一词标签'!$V$2:$V$1441,A81,'唯一词标签'!$Z$2:$Z$1441,"match")</x:f>
        <x:v>1</x:v>
      </x:c>
      <x:c r="E81" s="7" t="n">
        <x:f>COUNTIFS('唯一词标签'!$V$2:$V$1441,A81,'唯一词标签'!$Z$2:$Z$1441,"partial_match")</x:f>
        <x:v>0</x:v>
      </x:c>
      <x:c r="F81" s="7" t="n">
        <x:f>COUNTIFS('唯一词标签'!$V$2:$V$1441,A81,'唯一词标签'!$Z$2:$Z$1441,"mismatch")</x:f>
        <x:v>0</x:v>
      </x:c>
      <x:c r="G81" s="7" t="n">
        <x:f>COUNTIFS('唯一词标签'!$V$2:$V$1441,A81,'唯一词标签'!$Z$2:$Z$1441,"unknown")</x:f>
        <x:v>0</x:v>
      </x:c>
      <x:c r="H81" s="7" t="n">
        <x:f>COUNTIFS('唯一词标签'!$V$2:$V$1441,A81,'唯一词标签'!$U$2:$U$1441,"low")</x:f>
        <x:v>0</x:v>
      </x:c>
      <x:c r="I81" s="7" t="n">
        <x:f>COUNTIFS('唯一词标签'!$V$2:$V$1441,A81,'唯一词标签'!$AB$2:$AB$1441,"needs_review")</x:f>
        <x:v>0</x:v>
      </x:c>
    </x:row>
    <x:row r="82" ht="22" customHeight="1">
      <x:c r="A82" s="7" t="str">
        <x:v>beach_pool_sandals</x:v>
      </x:c>
      <x:c r="B82" s="7" t="n">
        <x:f>COUNTIF('唯一词标签'!$V$2:$V$1441,A82)</x:f>
        <x:v>1</x:v>
      </x:c>
      <x:c r="C82" s="55" t="n">
        <x:f>B82/COUNTA('唯一词标签'!$C$2:$C$1441)</x:f>
        <x:v>0.0006944444444444445</x:v>
      </x:c>
      <x:c r="D82" s="7" t="n">
        <x:f>COUNTIFS('唯一词标签'!$V$2:$V$1441,A82,'唯一词标签'!$Z$2:$Z$1441,"match")</x:f>
        <x:v>0</x:v>
      </x:c>
      <x:c r="E82" s="7" t="n">
        <x:f>COUNTIFS('唯一词标签'!$V$2:$V$1441,A82,'唯一词标签'!$Z$2:$Z$1441,"partial_match")</x:f>
        <x:v>1</x:v>
      </x:c>
      <x:c r="F82" s="7" t="n">
        <x:f>COUNTIFS('唯一词标签'!$V$2:$V$1441,A82,'唯一词标签'!$Z$2:$Z$1441,"mismatch")</x:f>
        <x:v>0</x:v>
      </x:c>
      <x:c r="G82" s="7" t="n">
        <x:f>COUNTIFS('唯一词标签'!$V$2:$V$1441,A82,'唯一词标签'!$Z$2:$Z$1441,"unknown")</x:f>
        <x:v>0</x:v>
      </x:c>
      <x:c r="H82" s="7" t="n">
        <x:f>COUNTIFS('唯一词标签'!$V$2:$V$1441,A82,'唯一词标签'!$U$2:$U$1441,"low")</x:f>
        <x:v>0</x:v>
      </x:c>
      <x:c r="I82" s="7" t="n">
        <x:f>COUNTIFS('唯一词标签'!$V$2:$V$1441,A82,'唯一词标签'!$AB$2:$AB$1441,"needs_review")</x:f>
        <x:v>0</x:v>
      </x:c>
    </x:row>
    <x:row r="83" ht="22" customHeight="1">
      <x:c r="A83" s="7" t="str">
        <x:v>beach_sandals</x:v>
      </x:c>
      <x:c r="B83" s="7" t="n">
        <x:f>COUNTIF('唯一词标签'!$V$2:$V$1441,A83)</x:f>
        <x:v>2</x:v>
      </x:c>
      <x:c r="C83" s="55" t="n">
        <x:f>B83/COUNTA('唯一词标签'!$C$2:$C$1441)</x:f>
        <x:v>0.001388888888888889</x:v>
      </x:c>
      <x:c r="D83" s="7" t="n">
        <x:f>COUNTIFS('唯一词标签'!$V$2:$V$1441,A83,'唯一词标签'!$Z$2:$Z$1441,"match")</x:f>
        <x:v>2</x:v>
      </x:c>
      <x:c r="E83" s="7" t="n">
        <x:f>COUNTIFS('唯一词标签'!$V$2:$V$1441,A83,'唯一词标签'!$Z$2:$Z$1441,"partial_match")</x:f>
        <x:v>0</x:v>
      </x:c>
      <x:c r="F83" s="7" t="n">
        <x:f>COUNTIFS('唯一词标签'!$V$2:$V$1441,A83,'唯一词标签'!$Z$2:$Z$1441,"mismatch")</x:f>
        <x:v>0</x:v>
      </x:c>
      <x:c r="G83" s="7" t="n">
        <x:f>COUNTIFS('唯一词标签'!$V$2:$V$1441,A83,'唯一词标签'!$Z$2:$Z$1441,"unknown")</x:f>
        <x:v>0</x:v>
      </x:c>
      <x:c r="H83" s="7" t="n">
        <x:f>COUNTIFS('唯一词标签'!$V$2:$V$1441,A83,'唯一词标签'!$U$2:$U$1441,"low")</x:f>
        <x:v>0</x:v>
      </x:c>
      <x:c r="I83" s="7" t="n">
        <x:f>COUNTIFS('唯一词标签'!$V$2:$V$1441,A83,'唯一词标签'!$AB$2:$AB$1441,"needs_review")</x:f>
        <x:v>0</x:v>
      </x:c>
    </x:row>
    <x:row r="84" ht="22" customHeight="1">
      <x:c r="A84" s="7" t="str">
        <x:v>beach_sandals_non_stretch_women</x:v>
      </x:c>
      <x:c r="B84" s="7" t="n">
        <x:f>COUNTIF('唯一词标签'!$V$2:$V$1441,A84)</x:f>
        <x:v>1</x:v>
      </x:c>
      <x:c r="C84" s="55" t="n">
        <x:f>B84/COUNTA('唯一词标签'!$C$2:$C$1441)</x:f>
        <x:v>0.0006944444444444445</x:v>
      </x:c>
      <x:c r="D84" s="7" t="n">
        <x:f>COUNTIFS('唯一词标签'!$V$2:$V$1441,A84,'唯一词标签'!$Z$2:$Z$1441,"match")</x:f>
        <x:v>0</x:v>
      </x:c>
      <x:c r="E84" s="7" t="n">
        <x:f>COUNTIFS('唯一词标签'!$V$2:$V$1441,A84,'唯一词标签'!$Z$2:$Z$1441,"partial_match")</x:f>
        <x:v>1</x:v>
      </x:c>
      <x:c r="F84" s="7" t="n">
        <x:f>COUNTIFS('唯一词标签'!$V$2:$V$1441,A84,'唯一词标签'!$Z$2:$Z$1441,"mismatch")</x:f>
        <x:v>0</x:v>
      </x:c>
      <x:c r="G84" s="7" t="n">
        <x:f>COUNTIFS('唯一词标签'!$V$2:$V$1441,A84,'唯一词标签'!$Z$2:$Z$1441,"unknown")</x:f>
        <x:v>0</x:v>
      </x:c>
      <x:c r="H84" s="7" t="n">
        <x:f>COUNTIFS('唯一词标签'!$V$2:$V$1441,A84,'唯一词标签'!$U$2:$U$1441,"low")</x:f>
        <x:v>0</x:v>
      </x:c>
      <x:c r="I84" s="7" t="n">
        <x:f>COUNTIFS('唯一词标签'!$V$2:$V$1441,A84,'唯一词标签'!$AB$2:$AB$1441,"needs_review")</x:f>
        <x:v>0</x:v>
      </x:c>
    </x:row>
    <x:row r="85" ht="22" customHeight="1">
      <x:c r="A85" s="7" t="str">
        <x:v>beach_sandals_women</x:v>
      </x:c>
      <x:c r="B85" s="7" t="n">
        <x:f>COUNTIF('唯一词标签'!$V$2:$V$1441,A85)</x:f>
        <x:v>1</x:v>
      </x:c>
      <x:c r="C85" s="55" t="n">
        <x:f>B85/COUNTA('唯一词标签'!$C$2:$C$1441)</x:f>
        <x:v>0.0006944444444444445</x:v>
      </x:c>
      <x:c r="D85" s="7" t="n">
        <x:f>COUNTIFS('唯一词标签'!$V$2:$V$1441,A85,'唯一词标签'!$Z$2:$Z$1441,"match")</x:f>
        <x:v>1</x:v>
      </x:c>
      <x:c r="E85" s="7" t="n">
        <x:f>COUNTIFS('唯一词标签'!$V$2:$V$1441,A85,'唯一词标签'!$Z$2:$Z$1441,"partial_match")</x:f>
        <x:v>0</x:v>
      </x:c>
      <x:c r="F85" s="7" t="n">
        <x:f>COUNTIFS('唯一词标签'!$V$2:$V$1441,A85,'唯一词标签'!$Z$2:$Z$1441,"mismatch")</x:f>
        <x:v>0</x:v>
      </x:c>
      <x:c r="G85" s="7" t="n">
        <x:f>COUNTIFS('唯一词标签'!$V$2:$V$1441,A85,'唯一词标签'!$Z$2:$Z$1441,"unknown")</x:f>
        <x:v>0</x:v>
      </x:c>
      <x:c r="H85" s="7" t="n">
        <x:f>COUNTIFS('唯一词标签'!$V$2:$V$1441,A85,'唯一词标签'!$U$2:$U$1441,"low")</x:f>
        <x:v>0</x:v>
      </x:c>
      <x:c r="I85" s="7" t="n">
        <x:f>COUNTIFS('唯一词标签'!$V$2:$V$1441,A85,'唯一词标签'!$AB$2:$AB$1441,"needs_review")</x:f>
        <x:v>0</x:v>
      </x:c>
    </x:row>
    <x:row r="86" ht="22" customHeight="1">
      <x:c r="A86" s="7" t="str">
        <x:v>beach_slippers</x:v>
      </x:c>
      <x:c r="B86" s="7" t="n">
        <x:f>COUNTIF('唯一词标签'!$V$2:$V$1441,A86)</x:f>
        <x:v>1</x:v>
      </x:c>
      <x:c r="C86" s="55" t="n">
        <x:f>B86/COUNTA('唯一词标签'!$C$2:$C$1441)</x:f>
        <x:v>0.0006944444444444445</x:v>
      </x:c>
      <x:c r="D86" s="7" t="n">
        <x:f>COUNTIFS('唯一词标签'!$V$2:$V$1441,A86,'唯一词标签'!$Z$2:$Z$1441,"match")</x:f>
        <x:v>0</x:v>
      </x:c>
      <x:c r="E86" s="7" t="n">
        <x:f>COUNTIFS('唯一词标签'!$V$2:$V$1441,A86,'唯一词标签'!$Z$2:$Z$1441,"partial_match")</x:f>
        <x:v>1</x:v>
      </x:c>
      <x:c r="F86" s="7" t="n">
        <x:f>COUNTIFS('唯一词标签'!$V$2:$V$1441,A86,'唯一词标签'!$Z$2:$Z$1441,"mismatch")</x:f>
        <x:v>0</x:v>
      </x:c>
      <x:c r="G86" s="7" t="n">
        <x:f>COUNTIFS('唯一词标签'!$V$2:$V$1441,A86,'唯一词标签'!$Z$2:$Z$1441,"unknown")</x:f>
        <x:v>0</x:v>
      </x:c>
      <x:c r="H86" s="7" t="n">
        <x:f>COUNTIFS('唯一词标签'!$V$2:$V$1441,A86,'唯一词标签'!$U$2:$U$1441,"low")</x:f>
        <x:v>0</x:v>
      </x:c>
      <x:c r="I86" s="7" t="n">
        <x:f>COUNTIFS('唯一词标签'!$V$2:$V$1441,A86,'唯一词标签'!$AB$2:$AB$1441,"needs_review")</x:f>
        <x:v>0</x:v>
      </x:c>
    </x:row>
    <x:row r="87" ht="22" customHeight="1">
      <x:c r="A87" s="7" t="str">
        <x:v>beach_thong_sandals</x:v>
      </x:c>
      <x:c r="B87" s="7" t="n">
        <x:f>COUNTIF('唯一词标签'!$V$2:$V$1441,A87)</x:f>
        <x:v>1</x:v>
      </x:c>
      <x:c r="C87" s="55" t="n">
        <x:f>B87/COUNTA('唯一词标签'!$C$2:$C$1441)</x:f>
        <x:v>0.0006944444444444445</x:v>
      </x:c>
      <x:c r="D87" s="7" t="n">
        <x:f>COUNTIFS('唯一词标签'!$V$2:$V$1441,A87,'唯一词标签'!$Z$2:$Z$1441,"match")</x:f>
        <x:v>1</x:v>
      </x:c>
      <x:c r="E87" s="7" t="n">
        <x:f>COUNTIFS('唯一词标签'!$V$2:$V$1441,A87,'唯一词标签'!$Z$2:$Z$1441,"partial_match")</x:f>
        <x:v>0</x:v>
      </x:c>
      <x:c r="F87" s="7" t="n">
        <x:f>COUNTIFS('唯一词标签'!$V$2:$V$1441,A87,'唯一词标签'!$Z$2:$Z$1441,"mismatch")</x:f>
        <x:v>0</x:v>
      </x:c>
      <x:c r="G87" s="7" t="n">
        <x:f>COUNTIFS('唯一词标签'!$V$2:$V$1441,A87,'唯一词标签'!$Z$2:$Z$1441,"unknown")</x:f>
        <x:v>0</x:v>
      </x:c>
      <x:c r="H87" s="7" t="n">
        <x:f>COUNTIFS('唯一词标签'!$V$2:$V$1441,A87,'唯一词标签'!$U$2:$U$1441,"low")</x:f>
        <x:v>0</x:v>
      </x:c>
      <x:c r="I87" s="7" t="n">
        <x:f>COUNTIFS('唯一词标签'!$V$2:$V$1441,A87,'唯一词标签'!$AB$2:$AB$1441,"needs_review")</x:f>
        <x:v>0</x:v>
      </x:c>
    </x:row>
    <x:row r="88" ht="22" customHeight="1">
      <x:c r="A88" s="7" t="str">
        <x:v>beach_waterproof_womens_flip_flops</x:v>
      </x:c>
      <x:c r="B88" s="7" t="n">
        <x:f>COUNTIF('唯一词标签'!$V$2:$V$1441,A88)</x:f>
        <x:v>1</x:v>
      </x:c>
      <x:c r="C88" s="55" t="n">
        <x:f>B88/COUNTA('唯一词标签'!$C$2:$C$1441)</x:f>
        <x:v>0.0006944444444444445</x:v>
      </x:c>
      <x:c r="D88" s="7" t="n">
        <x:f>COUNTIFS('唯一词标签'!$V$2:$V$1441,A88,'唯一词标签'!$Z$2:$Z$1441,"match")</x:f>
        <x:v>0</x:v>
      </x:c>
      <x:c r="E88" s="7" t="n">
        <x:f>COUNTIFS('唯一词标签'!$V$2:$V$1441,A88,'唯一词标签'!$Z$2:$Z$1441,"partial_match")</x:f>
        <x:v>0</x:v>
      </x:c>
      <x:c r="F88" s="7" t="n">
        <x:f>COUNTIFS('唯一词标签'!$V$2:$V$1441,A88,'唯一词标签'!$Z$2:$Z$1441,"mismatch")</x:f>
        <x:v>1</x:v>
      </x:c>
      <x:c r="G88" s="7" t="n">
        <x:f>COUNTIFS('唯一词标签'!$V$2:$V$1441,A88,'唯一词标签'!$Z$2:$Z$1441,"unknown")</x:f>
        <x:v>0</x:v>
      </x:c>
      <x:c r="H88" s="7" t="n">
        <x:f>COUNTIFS('唯一词标签'!$V$2:$V$1441,A88,'唯一词标签'!$U$2:$U$1441,"low")</x:f>
        <x:v>0</x:v>
      </x:c>
      <x:c r="I88" s="7" t="n">
        <x:f>COUNTIFS('唯一词标签'!$V$2:$V$1441,A88,'唯一词标签'!$AB$2:$AB$1441,"needs_review")</x:f>
        <x:v>0</x:v>
      </x:c>
    </x:row>
    <x:row r="89" ht="22" customHeight="1">
      <x:c r="A89" s="7" t="str">
        <x:v>beach_womens_flip_flops</x:v>
      </x:c>
      <x:c r="B89" s="7" t="n">
        <x:f>COUNTIF('唯一词标签'!$V$2:$V$1441,A89)</x:f>
        <x:v>2</x:v>
      </x:c>
      <x:c r="C89" s="55" t="n">
        <x:f>B89/COUNTA('唯一词标签'!$C$2:$C$1441)</x:f>
        <x:v>0.001388888888888889</x:v>
      </x:c>
      <x:c r="D89" s="7" t="n">
        <x:f>COUNTIFS('唯一词标签'!$V$2:$V$1441,A89,'唯一词标签'!$Z$2:$Z$1441,"match")</x:f>
        <x:v>1</x:v>
      </x:c>
      <x:c r="E89" s="7" t="n">
        <x:f>COUNTIFS('唯一词标签'!$V$2:$V$1441,A89,'唯一词标签'!$Z$2:$Z$1441,"partial_match")</x:f>
        <x:v>1</x:v>
      </x:c>
      <x:c r="F89" s="7" t="n">
        <x:f>COUNTIFS('唯一词标签'!$V$2:$V$1441,A89,'唯一词标签'!$Z$2:$Z$1441,"mismatch")</x:f>
        <x:v>0</x:v>
      </x:c>
      <x:c r="G89" s="7" t="n">
        <x:f>COUNTIFS('唯一词标签'!$V$2:$V$1441,A89,'唯一词标签'!$Z$2:$Z$1441,"unknown")</x:f>
        <x:v>0</x:v>
      </x:c>
      <x:c r="H89" s="7" t="n">
        <x:f>COUNTIFS('唯一词标签'!$V$2:$V$1441,A89,'唯一词标签'!$U$2:$U$1441,"low")</x:f>
        <x:v>0</x:v>
      </x:c>
      <x:c r="I89" s="7" t="n">
        <x:f>COUNTIFS('唯一词标签'!$V$2:$V$1441,A89,'唯一词标签'!$AB$2:$AB$1441,"needs_review")</x:f>
        <x:v>0</x:v>
      </x:c>
    </x:row>
    <x:row r="90" ht="22" customHeight="1">
      <x:c r="A90" s="7" t="str">
        <x:v>beige_flip_flops_plantar_fasciitis</x:v>
      </x:c>
      <x:c r="B90" s="7" t="n">
        <x:f>COUNTIF('唯一词标签'!$V$2:$V$1441,A90)</x:f>
        <x:v>1</x:v>
      </x:c>
      <x:c r="C90" s="55" t="n">
        <x:f>B90/COUNTA('唯一词标签'!$C$2:$C$1441)</x:f>
        <x:v>0.0006944444444444445</x:v>
      </x:c>
      <x:c r="D90" s="7" t="n">
        <x:f>COUNTIFS('唯一词标签'!$V$2:$V$1441,A90,'唯一词标签'!$Z$2:$Z$1441,"match")</x:f>
        <x:v>0</x:v>
      </x:c>
      <x:c r="E90" s="7" t="n">
        <x:f>COUNTIFS('唯一词标签'!$V$2:$V$1441,A90,'唯一词标签'!$Z$2:$Z$1441,"partial_match")</x:f>
        <x:v>1</x:v>
      </x:c>
      <x:c r="F90" s="7" t="n">
        <x:f>COUNTIFS('唯一词标签'!$V$2:$V$1441,A90,'唯一词标签'!$Z$2:$Z$1441,"mismatch")</x:f>
        <x:v>0</x:v>
      </x:c>
      <x:c r="G90" s="7" t="n">
        <x:f>COUNTIFS('唯一词标签'!$V$2:$V$1441,A90,'唯一词标签'!$Z$2:$Z$1441,"unknown")</x:f>
        <x:v>0</x:v>
      </x:c>
      <x:c r="H90" s="7" t="n">
        <x:f>COUNTIFS('唯一词标签'!$V$2:$V$1441,A90,'唯一词标签'!$U$2:$U$1441,"low")</x:f>
        <x:v>0</x:v>
      </x:c>
      <x:c r="I90" s="7" t="n">
        <x:f>COUNTIFS('唯一词标签'!$V$2:$V$1441,A90,'唯一词标签'!$AB$2:$AB$1441,"needs_review")</x:f>
        <x:v>0</x:v>
      </x:c>
    </x:row>
    <x:row r="91" ht="22" customHeight="1">
      <x:c r="A91" s="7" t="str">
        <x:v>beige_rubber_flip_flops</x:v>
      </x:c>
      <x:c r="B91" s="7" t="n">
        <x:f>COUNTIF('唯一词标签'!$V$2:$V$1441,A91)</x:f>
        <x:v>1</x:v>
      </x:c>
      <x:c r="C91" s="55" t="n">
        <x:f>B91/COUNTA('唯一词标签'!$C$2:$C$1441)</x:f>
        <x:v>0.0006944444444444445</x:v>
      </x:c>
      <x:c r="D91" s="7" t="n">
        <x:f>COUNTIFS('唯一词标签'!$V$2:$V$1441,A91,'唯一词标签'!$Z$2:$Z$1441,"match")</x:f>
        <x:v>0</x:v>
      </x:c>
      <x:c r="E91" s="7" t="n">
        <x:f>COUNTIFS('唯一词标签'!$V$2:$V$1441,A91,'唯一词标签'!$Z$2:$Z$1441,"partial_match")</x:f>
        <x:v>1</x:v>
      </x:c>
      <x:c r="F91" s="7" t="n">
        <x:f>COUNTIFS('唯一词标签'!$V$2:$V$1441,A91,'唯一词标签'!$Z$2:$Z$1441,"mismatch")</x:f>
        <x:v>0</x:v>
      </x:c>
      <x:c r="G91" s="7" t="n">
        <x:f>COUNTIFS('唯一词标签'!$V$2:$V$1441,A91,'唯一词标签'!$Z$2:$Z$1441,"unknown")</x:f>
        <x:v>0</x:v>
      </x:c>
      <x:c r="H91" s="7" t="n">
        <x:f>COUNTIFS('唯一词标签'!$V$2:$V$1441,A91,'唯一词标签'!$U$2:$U$1441,"low")</x:f>
        <x:v>0</x:v>
      </x:c>
      <x:c r="I91" s="7" t="n">
        <x:f>COUNTIFS('唯一词标签'!$V$2:$V$1441,A91,'唯一词标签'!$AB$2:$AB$1441,"needs_review")</x:f>
        <x:v>0</x:v>
      </x:c>
    </x:row>
    <x:row r="92" ht="22" customHeight="1">
      <x:c r="A92" s="7" t="str">
        <x:v>beige_womens_comfort_flip_flops</x:v>
      </x:c>
      <x:c r="B92" s="7" t="n">
        <x:f>COUNTIF('唯一词标签'!$V$2:$V$1441,A92)</x:f>
        <x:v>1</x:v>
      </x:c>
      <x:c r="C92" s="55" t="n">
        <x:f>B92/COUNTA('唯一词标签'!$C$2:$C$1441)</x:f>
        <x:v>0.0006944444444444445</x:v>
      </x:c>
      <x:c r="D92" s="7" t="n">
        <x:f>COUNTIFS('唯一词标签'!$V$2:$V$1441,A92,'唯一词标签'!$Z$2:$Z$1441,"match")</x:f>
        <x:v>0</x:v>
      </x:c>
      <x:c r="E92" s="7" t="n">
        <x:f>COUNTIFS('唯一词标签'!$V$2:$V$1441,A92,'唯一词标签'!$Z$2:$Z$1441,"partial_match")</x:f>
        <x:v>1</x:v>
      </x:c>
      <x:c r="F92" s="7" t="n">
        <x:f>COUNTIFS('唯一词标签'!$V$2:$V$1441,A92,'唯一词标签'!$Z$2:$Z$1441,"mismatch")</x:f>
        <x:v>0</x:v>
      </x:c>
      <x:c r="G92" s="7" t="n">
        <x:f>COUNTIFS('唯一词标签'!$V$2:$V$1441,A92,'唯一词标签'!$Z$2:$Z$1441,"unknown")</x:f>
        <x:v>0</x:v>
      </x:c>
      <x:c r="H92" s="7" t="n">
        <x:f>COUNTIFS('唯一词标签'!$V$2:$V$1441,A92,'唯一词标签'!$U$2:$U$1441,"low")</x:f>
        <x:v>0</x:v>
      </x:c>
      <x:c r="I92" s="7" t="n">
        <x:f>COUNTIFS('唯一词标签'!$V$2:$V$1441,A92,'唯一词标签'!$AB$2:$AB$1441,"needs_review")</x:f>
        <x:v>0</x:v>
      </x:c>
    </x:row>
    <x:row r="93" ht="22" customHeight="1">
      <x:c r="A93" s="7" t="str">
        <x:v>best_flip_flop_generic</x:v>
      </x:c>
      <x:c r="B93" s="7" t="n">
        <x:f>COUNTIF('唯一词标签'!$V$2:$V$1441,A93)</x:f>
        <x:v>1</x:v>
      </x:c>
      <x:c r="C93" s="55" t="n">
        <x:f>B93/COUNTA('唯一词标签'!$C$2:$C$1441)</x:f>
        <x:v>0.0006944444444444445</x:v>
      </x:c>
      <x:c r="D93" s="7" t="n">
        <x:f>COUNTIFS('唯一词标签'!$V$2:$V$1441,A93,'唯一词标签'!$Z$2:$Z$1441,"match")</x:f>
        <x:v>0</x:v>
      </x:c>
      <x:c r="E93" s="7" t="n">
        <x:f>COUNTIFS('唯一词标签'!$V$2:$V$1441,A93,'唯一词标签'!$Z$2:$Z$1441,"partial_match")</x:f>
        <x:v>1</x:v>
      </x:c>
      <x:c r="F93" s="7" t="n">
        <x:f>COUNTIFS('唯一词标签'!$V$2:$V$1441,A93,'唯一词标签'!$Z$2:$Z$1441,"mismatch")</x:f>
        <x:v>0</x:v>
      </x:c>
      <x:c r="G93" s="7" t="n">
        <x:f>COUNTIFS('唯一词标签'!$V$2:$V$1441,A93,'唯一词标签'!$Z$2:$Z$1441,"unknown")</x:f>
        <x:v>0</x:v>
      </x:c>
      <x:c r="H93" s="7" t="n">
        <x:f>COUNTIFS('唯一词标签'!$V$2:$V$1441,A93,'唯一词标签'!$U$2:$U$1441,"low")</x:f>
        <x:v>0</x:v>
      </x:c>
      <x:c r="I93" s="7" t="n">
        <x:f>COUNTIFS('唯一词标签'!$V$2:$V$1441,A93,'唯一词标签'!$AB$2:$AB$1441,"needs_review")</x:f>
        <x:v>1</x:v>
      </x:c>
    </x:row>
    <x:row r="94" ht="22" customHeight="1">
      <x:c r="A94" s="7" t="str">
        <x:v>black_arch_support_flip_flops</x:v>
      </x:c>
      <x:c r="B94" s="7" t="n">
        <x:f>COUNTIF('唯一词标签'!$V$2:$V$1441,A94)</x:f>
        <x:v>2</x:v>
      </x:c>
      <x:c r="C94" s="55" t="n">
        <x:f>B94/COUNTA('唯一词标签'!$C$2:$C$1441)</x:f>
        <x:v>0.001388888888888889</x:v>
      </x:c>
      <x:c r="D94" s="7" t="n">
        <x:f>COUNTIFS('唯一词标签'!$V$2:$V$1441,A94,'唯一词标签'!$Z$2:$Z$1441,"match")</x:f>
        <x:v>2</x:v>
      </x:c>
      <x:c r="E94" s="7" t="n">
        <x:f>COUNTIFS('唯一词标签'!$V$2:$V$1441,A94,'唯一词标签'!$Z$2:$Z$1441,"partial_match")</x:f>
        <x:v>0</x:v>
      </x:c>
      <x:c r="F94" s="7" t="n">
        <x:f>COUNTIFS('唯一词标签'!$V$2:$V$1441,A94,'唯一词标签'!$Z$2:$Z$1441,"mismatch")</x:f>
        <x:v>0</x:v>
      </x:c>
      <x:c r="G94" s="7" t="n">
        <x:f>COUNTIFS('唯一词标签'!$V$2:$V$1441,A94,'唯一词标签'!$Z$2:$Z$1441,"unknown")</x:f>
        <x:v>0</x:v>
      </x:c>
      <x:c r="H94" s="7" t="n">
        <x:f>COUNTIFS('唯一词标签'!$V$2:$V$1441,A94,'唯一词标签'!$U$2:$U$1441,"low")</x:f>
        <x:v>0</x:v>
      </x:c>
      <x:c r="I94" s="7" t="n">
        <x:f>COUNTIFS('唯一词标签'!$V$2:$V$1441,A94,'唯一词标签'!$AB$2:$AB$1441,"needs_review")</x:f>
        <x:v>0</x:v>
      </x:c>
    </x:row>
    <x:row r="95" ht="22" customHeight="1">
      <x:c r="A95" s="7" t="str">
        <x:v>black_arch_support_sandals</x:v>
      </x:c>
      <x:c r="B95" s="7" t="n">
        <x:f>COUNTIF('唯一词标签'!$V$2:$V$1441,A95)</x:f>
        <x:v>1</x:v>
      </x:c>
      <x:c r="C95" s="55" t="n">
        <x:f>B95/COUNTA('唯一词标签'!$C$2:$C$1441)</x:f>
        <x:v>0.0006944444444444445</x:v>
      </x:c>
      <x:c r="D95" s="7" t="n">
        <x:f>COUNTIFS('唯一词标签'!$V$2:$V$1441,A95,'唯一词标签'!$Z$2:$Z$1441,"match")</x:f>
        <x:v>1</x:v>
      </x:c>
      <x:c r="E95" s="7" t="n">
        <x:f>COUNTIFS('唯一词标签'!$V$2:$V$1441,A95,'唯一词标签'!$Z$2:$Z$1441,"partial_match")</x:f>
        <x:v>0</x:v>
      </x:c>
      <x:c r="F95" s="7" t="n">
        <x:f>COUNTIFS('唯一词标签'!$V$2:$V$1441,A95,'唯一词标签'!$Z$2:$Z$1441,"mismatch")</x:f>
        <x:v>0</x:v>
      </x:c>
      <x:c r="G95" s="7" t="n">
        <x:f>COUNTIFS('唯一词标签'!$V$2:$V$1441,A95,'唯一词标签'!$Z$2:$Z$1441,"unknown")</x:f>
        <x:v>0</x:v>
      </x:c>
      <x:c r="H95" s="7" t="n">
        <x:f>COUNTIFS('唯一词标签'!$V$2:$V$1441,A95,'唯一词标签'!$U$2:$U$1441,"low")</x:f>
        <x:v>0</x:v>
      </x:c>
      <x:c r="I95" s="7" t="n">
        <x:f>COUNTIFS('唯一词标签'!$V$2:$V$1441,A95,'唯一词标签'!$AB$2:$AB$1441,"needs_review")</x:f>
        <x:v>0</x:v>
      </x:c>
    </x:row>
    <x:row r="96" ht="22" customHeight="1">
      <x:c r="A96" s="7" t="str">
        <x:v>black_archies_brand_flip_flops</x:v>
      </x:c>
      <x:c r="B96" s="7" t="n">
        <x:f>COUNTIF('唯一词标签'!$V$2:$V$1441,A96)</x:f>
        <x:v>1</x:v>
      </x:c>
      <x:c r="C96" s="55" t="n">
        <x:f>B96/COUNTA('唯一词标签'!$C$2:$C$1441)</x:f>
        <x:v>0.0006944444444444445</x:v>
      </x:c>
      <x:c r="D96" s="7" t="n">
        <x:f>COUNTIFS('唯一词标签'!$V$2:$V$1441,A96,'唯一词标签'!$Z$2:$Z$1441,"match")</x:f>
        <x:v>0</x:v>
      </x:c>
      <x:c r="E96" s="7" t="n">
        <x:f>COUNTIFS('唯一词标签'!$V$2:$V$1441,A96,'唯一词标签'!$Z$2:$Z$1441,"partial_match")</x:f>
        <x:v>1</x:v>
      </x:c>
      <x:c r="F96" s="7" t="n">
        <x:f>COUNTIFS('唯一词标签'!$V$2:$V$1441,A96,'唯一词标签'!$Z$2:$Z$1441,"mismatch")</x:f>
        <x:v>0</x:v>
      </x:c>
      <x:c r="G96" s="7" t="n">
        <x:f>COUNTIFS('唯一词标签'!$V$2:$V$1441,A96,'唯一词标签'!$Z$2:$Z$1441,"unknown")</x:f>
        <x:v>0</x:v>
      </x:c>
      <x:c r="H96" s="7" t="n">
        <x:f>COUNTIFS('唯一词标签'!$V$2:$V$1441,A96,'唯一词标签'!$U$2:$U$1441,"low")</x:f>
        <x:v>0</x:v>
      </x:c>
      <x:c r="I96" s="7" t="n">
        <x:f>COUNTIFS('唯一词标签'!$V$2:$V$1441,A96,'唯一词标签'!$AB$2:$AB$1441,"needs_review")</x:f>
        <x:v>0</x:v>
      </x:c>
    </x:row>
    <x:row r="97" ht="22" customHeight="1">
      <x:c r="A97" s="7" t="str">
        <x:v>black_athletic_flip_flops_women</x:v>
      </x:c>
      <x:c r="B97" s="7" t="n">
        <x:f>COUNTIF('唯一词标签'!$V$2:$V$1441,A97)</x:f>
        <x:v>1</x:v>
      </x:c>
      <x:c r="C97" s="55" t="n">
        <x:f>B97/COUNTA('唯一词标签'!$C$2:$C$1441)</x:f>
        <x:v>0.0006944444444444445</x:v>
      </x:c>
      <x:c r="D97" s="7" t="n">
        <x:f>COUNTIFS('唯一词标签'!$V$2:$V$1441,A97,'唯一词标签'!$Z$2:$Z$1441,"match")</x:f>
        <x:v>0</x:v>
      </x:c>
      <x:c r="E97" s="7" t="n">
        <x:f>COUNTIFS('唯一词标签'!$V$2:$V$1441,A97,'唯一词标签'!$Z$2:$Z$1441,"partial_match")</x:f>
        <x:v>1</x:v>
      </x:c>
      <x:c r="F97" s="7" t="n">
        <x:f>COUNTIFS('唯一词标签'!$V$2:$V$1441,A97,'唯一词标签'!$Z$2:$Z$1441,"mismatch")</x:f>
        <x:v>0</x:v>
      </x:c>
      <x:c r="G97" s="7" t="n">
        <x:f>COUNTIFS('唯一词标签'!$V$2:$V$1441,A97,'唯一词标签'!$Z$2:$Z$1441,"unknown")</x:f>
        <x:v>0</x:v>
      </x:c>
      <x:c r="H97" s="7" t="n">
        <x:f>COUNTIFS('唯一词标签'!$V$2:$V$1441,A97,'唯一词标签'!$U$2:$U$1441,"low")</x:f>
        <x:v>0</x:v>
      </x:c>
      <x:c r="I97" s="7" t="n">
        <x:f>COUNTIFS('唯一词标签'!$V$2:$V$1441,A97,'唯一词标签'!$AB$2:$AB$1441,"needs_review")</x:f>
        <x:v>0</x:v>
      </x:c>
    </x:row>
    <x:row r="98" ht="22" customHeight="1">
      <x:c r="A98" s="7" t="str">
        <x:v>black_comfort_flip_flop_women</x:v>
      </x:c>
      <x:c r="B98" s="7" t="n">
        <x:f>COUNTIF('唯一词标签'!$V$2:$V$1441,A98)</x:f>
        <x:v>1</x:v>
      </x:c>
      <x:c r="C98" s="55" t="n">
        <x:f>B98/COUNTA('唯一词标签'!$C$2:$C$1441)</x:f>
        <x:v>0.0006944444444444445</x:v>
      </x:c>
      <x:c r="D98" s="7" t="n">
        <x:f>COUNTIFS('唯一词标签'!$V$2:$V$1441,A98,'唯一词标签'!$Z$2:$Z$1441,"match")</x:f>
        <x:v>1</x:v>
      </x:c>
      <x:c r="E98" s="7" t="n">
        <x:f>COUNTIFS('唯一词标签'!$V$2:$V$1441,A98,'唯一词标签'!$Z$2:$Z$1441,"partial_match")</x:f>
        <x:v>0</x:v>
      </x:c>
      <x:c r="F98" s="7" t="n">
        <x:f>COUNTIFS('唯一词标签'!$V$2:$V$1441,A98,'唯一词标签'!$Z$2:$Z$1441,"mismatch")</x:f>
        <x:v>0</x:v>
      </x:c>
      <x:c r="G98" s="7" t="n">
        <x:f>COUNTIFS('唯一词标签'!$V$2:$V$1441,A98,'唯一词标签'!$Z$2:$Z$1441,"unknown")</x:f>
        <x:v>0</x:v>
      </x:c>
      <x:c r="H98" s="7" t="n">
        <x:f>COUNTIFS('唯一词标签'!$V$2:$V$1441,A98,'唯一词标签'!$U$2:$U$1441,"low")</x:f>
        <x:v>0</x:v>
      </x:c>
      <x:c r="I98" s="7" t="n">
        <x:f>COUNTIFS('唯一词标签'!$V$2:$V$1441,A98,'唯一词标签'!$AB$2:$AB$1441,"needs_review")</x:f>
        <x:v>0</x:v>
      </x:c>
    </x:row>
    <x:row r="99" ht="22" customHeight="1">
      <x:c r="A99" s="7" t="str">
        <x:v>black_designer_flip_flops</x:v>
      </x:c>
      <x:c r="B99" s="7" t="n">
        <x:f>COUNTIF('唯一词标签'!$V$2:$V$1441,A99)</x:f>
        <x:v>1</x:v>
      </x:c>
      <x:c r="C99" s="55" t="n">
        <x:f>B99/COUNTA('唯一词标签'!$C$2:$C$1441)</x:f>
        <x:v>0.0006944444444444445</x:v>
      </x:c>
      <x:c r="D99" s="7" t="n">
        <x:f>COUNTIFS('唯一词标签'!$V$2:$V$1441,A99,'唯一词标签'!$Z$2:$Z$1441,"match")</x:f>
        <x:v>0</x:v>
      </x:c>
      <x:c r="E99" s="7" t="n">
        <x:f>COUNTIFS('唯一词标签'!$V$2:$V$1441,A99,'唯一词标签'!$Z$2:$Z$1441,"partial_match")</x:f>
        <x:v>1</x:v>
      </x:c>
      <x:c r="F99" s="7" t="n">
        <x:f>COUNTIFS('唯一词标签'!$V$2:$V$1441,A99,'唯一词标签'!$Z$2:$Z$1441,"mismatch")</x:f>
        <x:v>0</x:v>
      </x:c>
      <x:c r="G99" s="7" t="n">
        <x:f>COUNTIFS('唯一词标签'!$V$2:$V$1441,A99,'唯一词标签'!$Z$2:$Z$1441,"unknown")</x:f>
        <x:v>0</x:v>
      </x:c>
      <x:c r="H99" s="7" t="n">
        <x:f>COUNTIFS('唯一词标签'!$V$2:$V$1441,A99,'唯一词标签'!$U$2:$U$1441,"low")</x:f>
        <x:v>0</x:v>
      </x:c>
      <x:c r="I99" s="7" t="n">
        <x:f>COUNTIFS('唯一词标签'!$V$2:$V$1441,A99,'唯一词标签'!$AB$2:$AB$1441,"needs_review")</x:f>
        <x:v>0</x:v>
      </x:c>
    </x:row>
    <x:row r="100" ht="22" customHeight="1">
      <x:c r="A100" s="7" t="str">
        <x:v>black_fashion_flip_flops</x:v>
      </x:c>
      <x:c r="B100" s="7" t="n">
        <x:f>COUNTIF('唯一词标签'!$V$2:$V$1441,A100)</x:f>
        <x:v>1</x:v>
      </x:c>
      <x:c r="C100" s="55" t="n">
        <x:f>B100/COUNTA('唯一词标签'!$C$2:$C$1441)</x:f>
        <x:v>0.0006944444444444445</x:v>
      </x:c>
      <x:c r="D100" s="7" t="n">
        <x:f>COUNTIFS('唯一词标签'!$V$2:$V$1441,A100,'唯一词标签'!$Z$2:$Z$1441,"match")</x:f>
        <x:v>0</x:v>
      </x:c>
      <x:c r="E100" s="7" t="n">
        <x:f>COUNTIFS('唯一词标签'!$V$2:$V$1441,A100,'唯一词标签'!$Z$2:$Z$1441,"partial_match")</x:f>
        <x:v>1</x:v>
      </x:c>
      <x:c r="F100" s="7" t="n">
        <x:f>COUNTIFS('唯一词标签'!$V$2:$V$1441,A100,'唯一词标签'!$Z$2:$Z$1441,"mismatch")</x:f>
        <x:v>0</x:v>
      </x:c>
      <x:c r="G100" s="7" t="n">
        <x:f>COUNTIFS('唯一词标签'!$V$2:$V$1441,A100,'唯一词标签'!$Z$2:$Z$1441,"unknown")</x:f>
        <x:v>0</x:v>
      </x:c>
      <x:c r="H100" s="7" t="n">
        <x:f>COUNTIFS('唯一词标签'!$V$2:$V$1441,A100,'唯一词标签'!$U$2:$U$1441,"low")</x:f>
        <x:v>0</x:v>
      </x:c>
      <x:c r="I100" s="7" t="n">
        <x:f>COUNTIFS('唯一词标签'!$V$2:$V$1441,A100,'唯一词标签'!$AB$2:$AB$1441,"needs_review")</x:f>
        <x:v>0</x:v>
      </x:c>
    </x:row>
    <x:row r="101" ht="22" customHeight="1">
      <x:c r="A101" s="7" t="str">
        <x:v>black_flat_thong_sandals</x:v>
      </x:c>
      <x:c r="B101" s="7" t="n">
        <x:f>COUNTIF('唯一词标签'!$V$2:$V$1441,A101)</x:f>
        <x:v>1</x:v>
      </x:c>
      <x:c r="C101" s="55" t="n">
        <x:f>B101/COUNTA('唯一词标签'!$C$2:$C$1441)</x:f>
        <x:v>0.0006944444444444445</x:v>
      </x:c>
      <x:c r="D101" s="7" t="n">
        <x:f>COUNTIFS('唯一词标签'!$V$2:$V$1441,A101,'唯一词标签'!$Z$2:$Z$1441,"match")</x:f>
        <x:v>1</x:v>
      </x:c>
      <x:c r="E101" s="7" t="n">
        <x:f>COUNTIFS('唯一词标签'!$V$2:$V$1441,A101,'唯一词标签'!$Z$2:$Z$1441,"partial_match")</x:f>
        <x:v>0</x:v>
      </x:c>
      <x:c r="F101" s="7" t="n">
        <x:f>COUNTIFS('唯一词标签'!$V$2:$V$1441,A101,'唯一词标签'!$Z$2:$Z$1441,"mismatch")</x:f>
        <x:v>0</x:v>
      </x:c>
      <x:c r="G101" s="7" t="n">
        <x:f>COUNTIFS('唯一词标签'!$V$2:$V$1441,A101,'唯一词标签'!$Z$2:$Z$1441,"unknown")</x:f>
        <x:v>0</x:v>
      </x:c>
      <x:c r="H101" s="7" t="n">
        <x:f>COUNTIFS('唯一词标签'!$V$2:$V$1441,A101,'唯一词标签'!$U$2:$U$1441,"low")</x:f>
        <x:v>0</x:v>
      </x:c>
      <x:c r="I101" s="7" t="n">
        <x:f>COUNTIFS('唯一词标签'!$V$2:$V$1441,A101,'唯一词标签'!$AB$2:$AB$1441,"needs_review")</x:f>
        <x:v>0</x:v>
      </x:c>
    </x:row>
    <x:row r="102" ht="22" customHeight="1">
      <x:c r="A102" s="7" t="str">
        <x:v>black_flexible_arch_support_flip_flops</x:v>
      </x:c>
      <x:c r="B102" s="7" t="n">
        <x:f>COUNTIF('唯一词标签'!$V$2:$V$1441,A102)</x:f>
        <x:v>1</x:v>
      </x:c>
      <x:c r="C102" s="55" t="n">
        <x:f>B102/COUNTA('唯一词标签'!$C$2:$C$1441)</x:f>
        <x:v>0.0006944444444444445</x:v>
      </x:c>
      <x:c r="D102" s="7" t="n">
        <x:f>COUNTIFS('唯一词标签'!$V$2:$V$1441,A102,'唯一词标签'!$Z$2:$Z$1441,"match")</x:f>
        <x:v>1</x:v>
      </x:c>
      <x:c r="E102" s="7" t="n">
        <x:f>COUNTIFS('唯一词标签'!$V$2:$V$1441,A102,'唯一词标签'!$Z$2:$Z$1441,"partial_match")</x:f>
        <x:v>0</x:v>
      </x:c>
      <x:c r="F102" s="7" t="n">
        <x:f>COUNTIFS('唯一词标签'!$V$2:$V$1441,A102,'唯一词标签'!$Z$2:$Z$1441,"mismatch")</x:f>
        <x:v>0</x:v>
      </x:c>
      <x:c r="G102" s="7" t="n">
        <x:f>COUNTIFS('唯一词标签'!$V$2:$V$1441,A102,'唯一词标签'!$Z$2:$Z$1441,"unknown")</x:f>
        <x:v>0</x:v>
      </x:c>
      <x:c r="H102" s="7" t="n">
        <x:f>COUNTIFS('唯一词标签'!$V$2:$V$1441,A102,'唯一词标签'!$U$2:$U$1441,"low")</x:f>
        <x:v>0</x:v>
      </x:c>
      <x:c r="I102" s="7" t="n">
        <x:f>COUNTIFS('唯一词标签'!$V$2:$V$1441,A102,'唯一词标签'!$AB$2:$AB$1441,"needs_review")</x:f>
        <x:v>0</x:v>
      </x:c>
    </x:row>
    <x:row r="103" ht="22" customHeight="1">
      <x:c r="A103" s="7" t="str">
        <x:v>black_flip_flops</x:v>
      </x:c>
      <x:c r="B103" s="7" t="n">
        <x:f>COUNTIF('唯一词标签'!$V$2:$V$1441,A103)</x:f>
        <x:v>3</x:v>
      </x:c>
      <x:c r="C103" s="55" t="n">
        <x:f>B103/COUNTA('唯一词标签'!$C$2:$C$1441)</x:f>
        <x:v>0.0020833333333333333</x:v>
      </x:c>
      <x:c r="D103" s="7" t="n">
        <x:f>COUNTIFS('唯一词标签'!$V$2:$V$1441,A103,'唯一词标签'!$Z$2:$Z$1441,"match")</x:f>
        <x:v>3</x:v>
      </x:c>
      <x:c r="E103" s="7" t="n">
        <x:f>COUNTIFS('唯一词标签'!$V$2:$V$1441,A103,'唯一词标签'!$Z$2:$Z$1441,"partial_match")</x:f>
        <x:v>0</x:v>
      </x:c>
      <x:c r="F103" s="7" t="n">
        <x:f>COUNTIFS('唯一词标签'!$V$2:$V$1441,A103,'唯一词标签'!$Z$2:$Z$1441,"mismatch")</x:f>
        <x:v>0</x:v>
      </x:c>
      <x:c r="G103" s="7" t="n">
        <x:f>COUNTIFS('唯一词标签'!$V$2:$V$1441,A103,'唯一词标签'!$Z$2:$Z$1441,"unknown")</x:f>
        <x:v>0</x:v>
      </x:c>
      <x:c r="H103" s="7" t="n">
        <x:f>COUNTIFS('唯一词标签'!$V$2:$V$1441,A103,'唯一词标签'!$U$2:$U$1441,"low")</x:f>
        <x:v>0</x:v>
      </x:c>
      <x:c r="I103" s="7" t="n">
        <x:f>COUNTIFS('唯一词标签'!$V$2:$V$1441,A103,'唯一词标签'!$AB$2:$AB$1441,"needs_review")</x:f>
        <x:v>0</x:v>
      </x:c>
    </x:row>
    <x:row r="104" ht="22" customHeight="1">
      <x:c r="A104" s="7" t="str">
        <x:v>black_flip_flops_pool</x:v>
      </x:c>
      <x:c r="B104" s="7" t="n">
        <x:f>COUNTIF('唯一词标签'!$V$2:$V$1441,A104)</x:f>
        <x:v>1</x:v>
      </x:c>
      <x:c r="C104" s="55" t="n">
        <x:f>B104/COUNTA('唯一词标签'!$C$2:$C$1441)</x:f>
        <x:v>0.0006944444444444445</x:v>
      </x:c>
      <x:c r="D104" s="7" t="n">
        <x:f>COUNTIFS('唯一词标签'!$V$2:$V$1441,A104,'唯一词标签'!$Z$2:$Z$1441,"match")</x:f>
        <x:v>1</x:v>
      </x:c>
      <x:c r="E104" s="7" t="n">
        <x:f>COUNTIFS('唯一词标签'!$V$2:$V$1441,A104,'唯一词标签'!$Z$2:$Z$1441,"partial_match")</x:f>
        <x:v>0</x:v>
      </x:c>
      <x:c r="F104" s="7" t="n">
        <x:f>COUNTIFS('唯一词标签'!$V$2:$V$1441,A104,'唯一词标签'!$Z$2:$Z$1441,"mismatch")</x:f>
        <x:v>0</x:v>
      </x:c>
      <x:c r="G104" s="7" t="n">
        <x:f>COUNTIFS('唯一词标签'!$V$2:$V$1441,A104,'唯一词标签'!$Z$2:$Z$1441,"unknown")</x:f>
        <x:v>0</x:v>
      </x:c>
      <x:c r="H104" s="7" t="n">
        <x:f>COUNTIFS('唯一词标签'!$V$2:$V$1441,A104,'唯一词标签'!$U$2:$U$1441,"low")</x:f>
        <x:v>0</x:v>
      </x:c>
      <x:c r="I104" s="7" t="n">
        <x:f>COUNTIFS('唯一词标签'!$V$2:$V$1441,A104,'唯一词标签'!$AB$2:$AB$1441,"needs_review")</x:f>
        <x:v>0</x:v>
      </x:c>
    </x:row>
    <x:row r="105" ht="22" customHeight="1">
      <x:c r="A105" s="7" t="str">
        <x:v>black_flip_flops_size_9</x:v>
      </x:c>
      <x:c r="B105" s="7" t="n">
        <x:f>COUNTIF('唯一词标签'!$V$2:$V$1441,A105)</x:f>
        <x:v>1</x:v>
      </x:c>
      <x:c r="C105" s="55" t="n">
        <x:f>B105/COUNTA('唯一词标签'!$C$2:$C$1441)</x:f>
        <x:v>0.0006944444444444445</x:v>
      </x:c>
      <x:c r="D105" s="7" t="n">
        <x:f>COUNTIFS('唯一词标签'!$V$2:$V$1441,A105,'唯一词标签'!$Z$2:$Z$1441,"match")</x:f>
        <x:v>1</x:v>
      </x:c>
      <x:c r="E105" s="7" t="n">
        <x:f>COUNTIFS('唯一词标签'!$V$2:$V$1441,A105,'唯一词标签'!$Z$2:$Z$1441,"partial_match")</x:f>
        <x:v>0</x:v>
      </x:c>
      <x:c r="F105" s="7" t="n">
        <x:f>COUNTIFS('唯一词标签'!$V$2:$V$1441,A105,'唯一词标签'!$Z$2:$Z$1441,"mismatch")</x:f>
        <x:v>0</x:v>
      </x:c>
      <x:c r="G105" s="7" t="n">
        <x:f>COUNTIFS('唯一词标签'!$V$2:$V$1441,A105,'唯一词标签'!$Z$2:$Z$1441,"unknown")</x:f>
        <x:v>0</x:v>
      </x:c>
      <x:c r="H105" s="7" t="n">
        <x:f>COUNTIFS('唯一词标签'!$V$2:$V$1441,A105,'唯一词标签'!$U$2:$U$1441,"low")</x:f>
        <x:v>0</x:v>
      </x:c>
      <x:c r="I105" s="7" t="n">
        <x:f>COUNTIFS('唯一词标签'!$V$2:$V$1441,A105,'唯一词标签'!$AB$2:$AB$1441,"needs_review")</x:f>
        <x:v>0</x:v>
      </x:c>
    </x:row>
    <x:row r="106" ht="22" customHeight="1">
      <x:c r="A106" s="7" t="str">
        <x:v>black_flip_flops_women</x:v>
      </x:c>
      <x:c r="B106" s="7" t="n">
        <x:f>COUNTIF('唯一词标签'!$V$2:$V$1441,A106)</x:f>
        <x:v>1</x:v>
      </x:c>
      <x:c r="C106" s="55" t="n">
        <x:f>B106/COUNTA('唯一词标签'!$C$2:$C$1441)</x:f>
        <x:v>0.0006944444444444445</x:v>
      </x:c>
      <x:c r="D106" s="7" t="n">
        <x:f>COUNTIFS('唯一词标签'!$V$2:$V$1441,A106,'唯一词标签'!$Z$2:$Z$1441,"match")</x:f>
        <x:v>1</x:v>
      </x:c>
      <x:c r="E106" s="7" t="n">
        <x:f>COUNTIFS('唯一词标签'!$V$2:$V$1441,A106,'唯一词标签'!$Z$2:$Z$1441,"partial_match")</x:f>
        <x:v>0</x:v>
      </x:c>
      <x:c r="F106" s="7" t="n">
        <x:f>COUNTIFS('唯一词标签'!$V$2:$V$1441,A106,'唯一词标签'!$Z$2:$Z$1441,"mismatch")</x:f>
        <x:v>0</x:v>
      </x:c>
      <x:c r="G106" s="7" t="n">
        <x:f>COUNTIFS('唯一词标签'!$V$2:$V$1441,A106,'唯一词标签'!$Z$2:$Z$1441,"unknown")</x:f>
        <x:v>0</x:v>
      </x:c>
      <x:c r="H106" s="7" t="n">
        <x:f>COUNTIFS('唯一词标签'!$V$2:$V$1441,A106,'唯一词标签'!$U$2:$U$1441,"low")</x:f>
        <x:v>0</x:v>
      </x:c>
      <x:c r="I106" s="7" t="n">
        <x:f>COUNTIFS('唯一词标签'!$V$2:$V$1441,A106,'唯一词标签'!$AB$2:$AB$1441,"needs_review")</x:f>
        <x:v>0</x:v>
      </x:c>
    </x:row>
    <x:row r="107" ht="22" customHeight="1">
      <x:c r="A107" s="7" t="str">
        <x:v>black_foam_arch_heel_support_flip_flops</x:v>
      </x:c>
      <x:c r="B107" s="7" t="n">
        <x:f>COUNTIF('唯一词标签'!$V$2:$V$1441,A107)</x:f>
        <x:v>1</x:v>
      </x:c>
      <x:c r="C107" s="55" t="n">
        <x:f>B107/COUNTA('唯一词标签'!$C$2:$C$1441)</x:f>
        <x:v>0.0006944444444444445</x:v>
      </x:c>
      <x:c r="D107" s="7" t="n">
        <x:f>COUNTIFS('唯一词标签'!$V$2:$V$1441,A107,'唯一词标签'!$Z$2:$Z$1441,"match")</x:f>
        <x:v>0</x:v>
      </x:c>
      <x:c r="E107" s="7" t="n">
        <x:f>COUNTIFS('唯一词标签'!$V$2:$V$1441,A107,'唯一词标签'!$Z$2:$Z$1441,"partial_match")</x:f>
        <x:v>1</x:v>
      </x:c>
      <x:c r="F107" s="7" t="n">
        <x:f>COUNTIFS('唯一词标签'!$V$2:$V$1441,A107,'唯一词标签'!$Z$2:$Z$1441,"mismatch")</x:f>
        <x:v>0</x:v>
      </x:c>
      <x:c r="G107" s="7" t="n">
        <x:f>COUNTIFS('唯一词标签'!$V$2:$V$1441,A107,'唯一词标签'!$Z$2:$Z$1441,"unknown")</x:f>
        <x:v>0</x:v>
      </x:c>
      <x:c r="H107" s="7" t="n">
        <x:f>COUNTIFS('唯一词标签'!$V$2:$V$1441,A107,'唯一词标签'!$U$2:$U$1441,"low")</x:f>
        <x:v>0</x:v>
      </x:c>
      <x:c r="I107" s="7" t="n">
        <x:f>COUNTIFS('唯一词标签'!$V$2:$V$1441,A107,'唯一词标签'!$AB$2:$AB$1441,"needs_review")</x:f>
        <x:v>0</x:v>
      </x:c>
    </x:row>
    <x:row r="108" ht="22" customHeight="1">
      <x:c r="A108" s="7" t="str">
        <x:v>black_heels</x:v>
      </x:c>
      <x:c r="B108" s="7" t="n">
        <x:f>COUNTIF('唯一词标签'!$V$2:$V$1441,A108)</x:f>
        <x:v>1</x:v>
      </x:c>
      <x:c r="C108" s="55" t="n">
        <x:f>B108/COUNTA('唯一词标签'!$C$2:$C$1441)</x:f>
        <x:v>0.0006944444444444445</x:v>
      </x:c>
      <x:c r="D108" s="7" t="n">
        <x:f>COUNTIFS('唯一词标签'!$V$2:$V$1441,A108,'唯一词标签'!$Z$2:$Z$1441,"match")</x:f>
        <x:v>0</x:v>
      </x:c>
      <x:c r="E108" s="7" t="n">
        <x:f>COUNTIFS('唯一词标签'!$V$2:$V$1441,A108,'唯一词标签'!$Z$2:$Z$1441,"partial_match")</x:f>
        <x:v>0</x:v>
      </x:c>
      <x:c r="F108" s="7" t="n">
        <x:f>COUNTIFS('唯一词标签'!$V$2:$V$1441,A108,'唯一词标签'!$Z$2:$Z$1441,"mismatch")</x:f>
        <x:v>1</x:v>
      </x:c>
      <x:c r="G108" s="7" t="n">
        <x:f>COUNTIFS('唯一词标签'!$V$2:$V$1441,A108,'唯一词标签'!$Z$2:$Z$1441,"unknown")</x:f>
        <x:v>0</x:v>
      </x:c>
      <x:c r="H108" s="7" t="n">
        <x:f>COUNTIFS('唯一词标签'!$V$2:$V$1441,A108,'唯一词标签'!$U$2:$U$1441,"low")</x:f>
        <x:v>0</x:v>
      </x:c>
      <x:c r="I108" s="7" t="n">
        <x:f>COUNTIFS('唯一词标签'!$V$2:$V$1441,A108,'唯一词标签'!$AB$2:$AB$1441,"needs_review")</x:f>
        <x:v>0</x:v>
      </x:c>
    </x:row>
    <x:row r="109" ht="22" customHeight="1">
      <x:c r="A109" s="7" t="str">
        <x:v>black_memory_foam_flip_flops</x:v>
      </x:c>
      <x:c r="B109" s="7" t="n">
        <x:f>COUNTIF('唯一词标签'!$V$2:$V$1441,A109)</x:f>
        <x:v>1</x:v>
      </x:c>
      <x:c r="C109" s="55" t="n">
        <x:f>B109/COUNTA('唯一词标签'!$C$2:$C$1441)</x:f>
        <x:v>0.0006944444444444445</x:v>
      </x:c>
      <x:c r="D109" s="7" t="n">
        <x:f>COUNTIFS('唯一词标签'!$V$2:$V$1441,A109,'唯一词标签'!$Z$2:$Z$1441,"match")</x:f>
        <x:v>0</x:v>
      </x:c>
      <x:c r="E109" s="7" t="n">
        <x:f>COUNTIFS('唯一词标签'!$V$2:$V$1441,A109,'唯一词标签'!$Z$2:$Z$1441,"partial_match")</x:f>
        <x:v>0</x:v>
      </x:c>
      <x:c r="F109" s="7" t="n">
        <x:f>COUNTIFS('唯一词标签'!$V$2:$V$1441,A109,'唯一词标签'!$Z$2:$Z$1441,"mismatch")</x:f>
        <x:v>1</x:v>
      </x:c>
      <x:c r="G109" s="7" t="n">
        <x:f>COUNTIFS('唯一词标签'!$V$2:$V$1441,A109,'唯一词标签'!$Z$2:$Z$1441,"unknown")</x:f>
        <x:v>0</x:v>
      </x:c>
      <x:c r="H109" s="7" t="n">
        <x:f>COUNTIFS('唯一词标签'!$V$2:$V$1441,A109,'唯一词标签'!$U$2:$U$1441,"low")</x:f>
        <x:v>0</x:v>
      </x:c>
      <x:c r="I109" s="7" t="n">
        <x:f>COUNTIFS('唯一词标签'!$V$2:$V$1441,A109,'唯一词标签'!$AB$2:$AB$1441,"needs_review")</x:f>
        <x:v>0</x:v>
      </x:c>
    </x:row>
    <x:row r="110" ht="22" customHeight="1">
      <x:c r="A110" s="7" t="str">
        <x:v>black_one_piece_flip_flops</x:v>
      </x:c>
      <x:c r="B110" s="7" t="n">
        <x:f>COUNTIF('唯一词标签'!$V$2:$V$1441,A110)</x:f>
        <x:v>1</x:v>
      </x:c>
      <x:c r="C110" s="55" t="n">
        <x:f>B110/COUNTA('唯一词标签'!$C$2:$C$1441)</x:f>
        <x:v>0.0006944444444444445</x:v>
      </x:c>
      <x:c r="D110" s="7" t="n">
        <x:f>COUNTIFS('唯一词标签'!$V$2:$V$1441,A110,'唯一词标签'!$Z$2:$Z$1441,"match")</x:f>
        <x:v>0</x:v>
      </x:c>
      <x:c r="E110" s="7" t="n">
        <x:f>COUNTIFS('唯一词标签'!$V$2:$V$1441,A110,'唯一词标签'!$Z$2:$Z$1441,"partial_match")</x:f>
        <x:v>1</x:v>
      </x:c>
      <x:c r="F110" s="7" t="n">
        <x:f>COUNTIFS('唯一词标签'!$V$2:$V$1441,A110,'唯一词标签'!$Z$2:$Z$1441,"mismatch")</x:f>
        <x:v>0</x:v>
      </x:c>
      <x:c r="G110" s="7" t="n">
        <x:f>COUNTIFS('唯一词标签'!$V$2:$V$1441,A110,'唯一词标签'!$Z$2:$Z$1441,"unknown")</x:f>
        <x:v>0</x:v>
      </x:c>
      <x:c r="H110" s="7" t="n">
        <x:f>COUNTIFS('唯一词标签'!$V$2:$V$1441,A110,'唯一词标签'!$U$2:$U$1441,"low")</x:f>
        <x:v>0</x:v>
      </x:c>
      <x:c r="I110" s="7" t="n">
        <x:f>COUNTIFS('唯一词标签'!$V$2:$V$1441,A110,'唯一词标签'!$AB$2:$AB$1441,"needs_review")</x:f>
        <x:v>0</x:v>
      </x:c>
    </x:row>
    <x:row r="111" ht="22" customHeight="1">
      <x:c r="A111" s="7" t="str">
        <x:v>black_orthotic_flip_flops</x:v>
      </x:c>
      <x:c r="B111" s="7" t="n">
        <x:f>COUNTIF('唯一词标签'!$V$2:$V$1441,A111)</x:f>
        <x:v>1</x:v>
      </x:c>
      <x:c r="C111" s="55" t="n">
        <x:f>B111/COUNTA('唯一词标签'!$C$2:$C$1441)</x:f>
        <x:v>0.0006944444444444445</x:v>
      </x:c>
      <x:c r="D111" s="7" t="n">
        <x:f>COUNTIFS('唯一词标签'!$V$2:$V$1441,A111,'唯一词标签'!$Z$2:$Z$1441,"match")</x:f>
        <x:v>0</x:v>
      </x:c>
      <x:c r="E111" s="7" t="n">
        <x:f>COUNTIFS('唯一词标签'!$V$2:$V$1441,A111,'唯一词标签'!$Z$2:$Z$1441,"partial_match")</x:f>
        <x:v>1</x:v>
      </x:c>
      <x:c r="F111" s="7" t="n">
        <x:f>COUNTIFS('唯一词标签'!$V$2:$V$1441,A111,'唯一词标签'!$Z$2:$Z$1441,"mismatch")</x:f>
        <x:v>0</x:v>
      </x:c>
      <x:c r="G111" s="7" t="n">
        <x:f>COUNTIFS('唯一词标签'!$V$2:$V$1441,A111,'唯一词标签'!$Z$2:$Z$1441,"unknown")</x:f>
        <x:v>0</x:v>
      </x:c>
      <x:c r="H111" s="7" t="n">
        <x:f>COUNTIFS('唯一词标签'!$V$2:$V$1441,A111,'唯一词标签'!$U$2:$U$1441,"low")</x:f>
        <x:v>0</x:v>
      </x:c>
      <x:c r="I111" s="7" t="n">
        <x:f>COUNTIFS('唯一词标签'!$V$2:$V$1441,A111,'唯一词标签'!$AB$2:$AB$1441,"needs_review")</x:f>
        <x:v>0</x:v>
      </x:c>
    </x:row>
    <x:row r="112" ht="22" customHeight="1">
      <x:c r="A112" s="7" t="str">
        <x:v>black_patent_flip_flops</x:v>
      </x:c>
      <x:c r="B112" s="7" t="n">
        <x:f>COUNTIF('唯一词标签'!$V$2:$V$1441,A112)</x:f>
        <x:v>1</x:v>
      </x:c>
      <x:c r="C112" s="55" t="n">
        <x:f>B112/COUNTA('唯一词标签'!$C$2:$C$1441)</x:f>
        <x:v>0.0006944444444444445</x:v>
      </x:c>
      <x:c r="D112" s="7" t="n">
        <x:f>COUNTIFS('唯一词标签'!$V$2:$V$1441,A112,'唯一词标签'!$Z$2:$Z$1441,"match")</x:f>
        <x:v>0</x:v>
      </x:c>
      <x:c r="E112" s="7" t="n">
        <x:f>COUNTIFS('唯一词标签'!$V$2:$V$1441,A112,'唯一词标签'!$Z$2:$Z$1441,"partial_match")</x:f>
        <x:v>1</x:v>
      </x:c>
      <x:c r="F112" s="7" t="n">
        <x:f>COUNTIFS('唯一词标签'!$V$2:$V$1441,A112,'唯一词标签'!$Z$2:$Z$1441,"mismatch")</x:f>
        <x:v>0</x:v>
      </x:c>
      <x:c r="G112" s="7" t="n">
        <x:f>COUNTIFS('唯一词标签'!$V$2:$V$1441,A112,'唯一词标签'!$Z$2:$Z$1441,"unknown")</x:f>
        <x:v>0</x:v>
      </x:c>
      <x:c r="H112" s="7" t="n">
        <x:f>COUNTIFS('唯一词标签'!$V$2:$V$1441,A112,'唯一词标签'!$U$2:$U$1441,"low")</x:f>
        <x:v>0</x:v>
      </x:c>
      <x:c r="I112" s="7" t="n">
        <x:f>COUNTIFS('唯一词标签'!$V$2:$V$1441,A112,'唯一词标签'!$AB$2:$AB$1441,"needs_review")</x:f>
        <x:v>0</x:v>
      </x:c>
    </x:row>
    <x:row r="113" ht="22" customHeight="1">
      <x:c r="A113" s="7" t="str">
        <x:v>black_pool_sandals</x:v>
      </x:c>
      <x:c r="B113" s="7" t="n">
        <x:f>COUNTIF('唯一词标签'!$V$2:$V$1441,A113)</x:f>
        <x:v>1</x:v>
      </x:c>
      <x:c r="C113" s="55" t="n">
        <x:f>B113/COUNTA('唯一词标签'!$C$2:$C$1441)</x:f>
        <x:v>0.0006944444444444445</x:v>
      </x:c>
      <x:c r="D113" s="7" t="n">
        <x:f>COUNTIFS('唯一词标签'!$V$2:$V$1441,A113,'唯一词标签'!$Z$2:$Z$1441,"match")</x:f>
        <x:v>0</x:v>
      </x:c>
      <x:c r="E113" s="7" t="n">
        <x:f>COUNTIFS('唯一词标签'!$V$2:$V$1441,A113,'唯一词标签'!$Z$2:$Z$1441,"partial_match")</x:f>
        <x:v>1</x:v>
      </x:c>
      <x:c r="F113" s="7" t="n">
        <x:f>COUNTIFS('唯一词标签'!$V$2:$V$1441,A113,'唯一词标签'!$Z$2:$Z$1441,"mismatch")</x:f>
        <x:v>0</x:v>
      </x:c>
      <x:c r="G113" s="7" t="n">
        <x:f>COUNTIFS('唯一词标签'!$V$2:$V$1441,A113,'唯一词标签'!$Z$2:$Z$1441,"unknown")</x:f>
        <x:v>0</x:v>
      </x:c>
      <x:c r="H113" s="7" t="n">
        <x:f>COUNTIFS('唯一词标签'!$V$2:$V$1441,A113,'唯一词标签'!$U$2:$U$1441,"low")</x:f>
        <x:v>0</x:v>
      </x:c>
      <x:c r="I113" s="7" t="n">
        <x:f>COUNTIFS('唯一词标签'!$V$2:$V$1441,A113,'唯一词标签'!$AB$2:$AB$1441,"needs_review")</x:f>
        <x:v>0</x:v>
      </x:c>
    </x:row>
    <x:row r="114" ht="22" customHeight="1">
      <x:c r="A114" s="7" t="str">
        <x:v>black_rubber_flip_flops</x:v>
      </x:c>
      <x:c r="B114" s="7" t="n">
        <x:f>COUNTIF('唯一词标签'!$V$2:$V$1441,A114)</x:f>
        <x:v>1</x:v>
      </x:c>
      <x:c r="C114" s="55" t="n">
        <x:f>B114/COUNTA('唯一词标签'!$C$2:$C$1441)</x:f>
        <x:v>0.0006944444444444445</x:v>
      </x:c>
      <x:c r="D114" s="7" t="n">
        <x:f>COUNTIFS('唯一词标签'!$V$2:$V$1441,A114,'唯一词标签'!$Z$2:$Z$1441,"match")</x:f>
        <x:v>0</x:v>
      </x:c>
      <x:c r="E114" s="7" t="n">
        <x:f>COUNTIFS('唯一词标签'!$V$2:$V$1441,A114,'唯一词标签'!$Z$2:$Z$1441,"partial_match")</x:f>
        <x:v>1</x:v>
      </x:c>
      <x:c r="F114" s="7" t="n">
        <x:f>COUNTIFS('唯一词标签'!$V$2:$V$1441,A114,'唯一词标签'!$Z$2:$Z$1441,"mismatch")</x:f>
        <x:v>0</x:v>
      </x:c>
      <x:c r="G114" s="7" t="n">
        <x:f>COUNTIFS('唯一词标签'!$V$2:$V$1441,A114,'唯一词标签'!$Z$2:$Z$1441,"unknown")</x:f>
        <x:v>0</x:v>
      </x:c>
      <x:c r="H114" s="7" t="n">
        <x:f>COUNTIFS('唯一词标签'!$V$2:$V$1441,A114,'唯一词标签'!$U$2:$U$1441,"low")</x:f>
        <x:v>0</x:v>
      </x:c>
      <x:c r="I114" s="7" t="n">
        <x:f>COUNTIFS('唯一词标签'!$V$2:$V$1441,A114,'唯一词标签'!$AB$2:$AB$1441,"needs_review")</x:f>
        <x:v>0</x:v>
      </x:c>
    </x:row>
    <x:row r="115" ht="22" customHeight="1">
      <x:c r="A115" s="7" t="str">
        <x:v>black_soft_flip_flops_women</x:v>
      </x:c>
      <x:c r="B115" s="7" t="n">
        <x:f>COUNTIF('唯一词标签'!$V$2:$V$1441,A115)</x:f>
        <x:v>1</x:v>
      </x:c>
      <x:c r="C115" s="55" t="n">
        <x:f>B115/COUNTA('唯一词标签'!$C$2:$C$1441)</x:f>
        <x:v>0.0006944444444444445</x:v>
      </x:c>
      <x:c r="D115" s="7" t="n">
        <x:f>COUNTIFS('唯一词标签'!$V$2:$V$1441,A115,'唯一词标签'!$Z$2:$Z$1441,"match")</x:f>
        <x:v>1</x:v>
      </x:c>
      <x:c r="E115" s="7" t="n">
        <x:f>COUNTIFS('唯一词标签'!$V$2:$V$1441,A115,'唯一词标签'!$Z$2:$Z$1441,"partial_match")</x:f>
        <x:v>0</x:v>
      </x:c>
      <x:c r="F115" s="7" t="n">
        <x:f>COUNTIFS('唯一词标签'!$V$2:$V$1441,A115,'唯一词标签'!$Z$2:$Z$1441,"mismatch")</x:f>
        <x:v>0</x:v>
      </x:c>
      <x:c r="G115" s="7" t="n">
        <x:f>COUNTIFS('唯一词标签'!$V$2:$V$1441,A115,'唯一词标签'!$Z$2:$Z$1441,"unknown")</x:f>
        <x:v>0</x:v>
      </x:c>
      <x:c r="H115" s="7" t="n">
        <x:f>COUNTIFS('唯一词标签'!$V$2:$V$1441,A115,'唯一词标签'!$U$2:$U$1441,"low")</x:f>
        <x:v>0</x:v>
      </x:c>
      <x:c r="I115" s="7" t="n">
        <x:f>COUNTIFS('唯一词标签'!$V$2:$V$1441,A115,'唯一词标签'!$AB$2:$AB$1441,"needs_review")</x:f>
        <x:v>0</x:v>
      </x:c>
    </x:row>
    <x:row r="116" ht="22" customHeight="1">
      <x:c r="A116" s="7" t="str">
        <x:v>black_support_womens_flip_flops</x:v>
      </x:c>
      <x:c r="B116" s="7" t="n">
        <x:f>COUNTIF('唯一词标签'!$V$2:$V$1441,A116)</x:f>
        <x:v>1</x:v>
      </x:c>
      <x:c r="C116" s="55" t="n">
        <x:f>B116/COUNTA('唯一词标签'!$C$2:$C$1441)</x:f>
        <x:v>0.0006944444444444445</x:v>
      </x:c>
      <x:c r="D116" s="7" t="n">
        <x:f>COUNTIFS('唯一词标签'!$V$2:$V$1441,A116,'唯一词标签'!$Z$2:$Z$1441,"match")</x:f>
        <x:v>1</x:v>
      </x:c>
      <x:c r="E116" s="7" t="n">
        <x:f>COUNTIFS('唯一词标签'!$V$2:$V$1441,A116,'唯一词标签'!$Z$2:$Z$1441,"partial_match")</x:f>
        <x:v>0</x:v>
      </x:c>
      <x:c r="F116" s="7" t="n">
        <x:f>COUNTIFS('唯一词标签'!$V$2:$V$1441,A116,'唯一词标签'!$Z$2:$Z$1441,"mismatch")</x:f>
        <x:v>0</x:v>
      </x:c>
      <x:c r="G116" s="7" t="n">
        <x:f>COUNTIFS('唯一词标签'!$V$2:$V$1441,A116,'唯一词标签'!$Z$2:$Z$1441,"unknown")</x:f>
        <x:v>0</x:v>
      </x:c>
      <x:c r="H116" s="7" t="n">
        <x:f>COUNTIFS('唯一词标签'!$V$2:$V$1441,A116,'唯一词标签'!$U$2:$U$1441,"low")</x:f>
        <x:v>0</x:v>
      </x:c>
      <x:c r="I116" s="7" t="n">
        <x:f>COUNTIFS('唯一词标签'!$V$2:$V$1441,A116,'唯一词标签'!$AB$2:$AB$1441,"needs_review")</x:f>
        <x:v>0</x:v>
      </x:c>
    </x:row>
    <x:row r="117" ht="22" customHeight="1">
      <x:c r="A117" s="7" t="str">
        <x:v>black_supportive_flip_flops</x:v>
      </x:c>
      <x:c r="B117" s="7" t="n">
        <x:f>COUNTIF('唯一词标签'!$V$2:$V$1441,A117)</x:f>
        <x:v>1</x:v>
      </x:c>
      <x:c r="C117" s="55" t="n">
        <x:f>B117/COUNTA('唯一词标签'!$C$2:$C$1441)</x:f>
        <x:v>0.0006944444444444445</x:v>
      </x:c>
      <x:c r="D117" s="7" t="n">
        <x:f>COUNTIFS('唯一词标签'!$V$2:$V$1441,A117,'唯一词标签'!$Z$2:$Z$1441,"match")</x:f>
        <x:v>1</x:v>
      </x:c>
      <x:c r="E117" s="7" t="n">
        <x:f>COUNTIFS('唯一词标签'!$V$2:$V$1441,A117,'唯一词标签'!$Z$2:$Z$1441,"partial_match")</x:f>
        <x:v>0</x:v>
      </x:c>
      <x:c r="F117" s="7" t="n">
        <x:f>COUNTIFS('唯一词标签'!$V$2:$V$1441,A117,'唯一词标签'!$Z$2:$Z$1441,"mismatch")</x:f>
        <x:v>0</x:v>
      </x:c>
      <x:c r="G117" s="7" t="n">
        <x:f>COUNTIFS('唯一词标签'!$V$2:$V$1441,A117,'唯一词标签'!$Z$2:$Z$1441,"unknown")</x:f>
        <x:v>0</x:v>
      </x:c>
      <x:c r="H117" s="7" t="n">
        <x:f>COUNTIFS('唯一词标签'!$V$2:$V$1441,A117,'唯一词标签'!$U$2:$U$1441,"low")</x:f>
        <x:v>0</x:v>
      </x:c>
      <x:c r="I117" s="7" t="n">
        <x:f>COUNTIFS('唯一词标签'!$V$2:$V$1441,A117,'唯一词标签'!$AB$2:$AB$1441,"needs_review")</x:f>
        <x:v>0</x:v>
      </x:c>
    </x:row>
    <x:row r="118" ht="22" customHeight="1">
      <x:c r="A118" s="7" t="str">
        <x:v>black_thong_flip_flop_women</x:v>
      </x:c>
      <x:c r="B118" s="7" t="n">
        <x:f>COUNTIF('唯一词标签'!$V$2:$V$1441,A118)</x:f>
        <x:v>1</x:v>
      </x:c>
      <x:c r="C118" s="55" t="n">
        <x:f>B118/COUNTA('唯一词标签'!$C$2:$C$1441)</x:f>
        <x:v>0.0006944444444444445</x:v>
      </x:c>
      <x:c r="D118" s="7" t="n">
        <x:f>COUNTIFS('唯一词标签'!$V$2:$V$1441,A118,'唯一词标签'!$Z$2:$Z$1441,"match")</x:f>
        <x:v>1</x:v>
      </x:c>
      <x:c r="E118" s="7" t="n">
        <x:f>COUNTIFS('唯一词标签'!$V$2:$V$1441,A118,'唯一词标签'!$Z$2:$Z$1441,"partial_match")</x:f>
        <x:v>0</x:v>
      </x:c>
      <x:c r="F118" s="7" t="n">
        <x:f>COUNTIFS('唯一词标签'!$V$2:$V$1441,A118,'唯一词标签'!$Z$2:$Z$1441,"mismatch")</x:f>
        <x:v>0</x:v>
      </x:c>
      <x:c r="G118" s="7" t="n">
        <x:f>COUNTIFS('唯一词标签'!$V$2:$V$1441,A118,'唯一词标签'!$Z$2:$Z$1441,"unknown")</x:f>
        <x:v>0</x:v>
      </x:c>
      <x:c r="H118" s="7" t="n">
        <x:f>COUNTIFS('唯一词标签'!$V$2:$V$1441,A118,'唯一词标签'!$U$2:$U$1441,"low")</x:f>
        <x:v>0</x:v>
      </x:c>
      <x:c r="I118" s="7" t="n">
        <x:f>COUNTIFS('唯一词标签'!$V$2:$V$1441,A118,'唯一词标签'!$AB$2:$AB$1441,"needs_review")</x:f>
        <x:v>0</x:v>
      </x:c>
    </x:row>
    <x:row r="119" ht="22" customHeight="1">
      <x:c r="A119" s="7" t="str">
        <x:v>black_thong_sandals</x:v>
      </x:c>
      <x:c r="B119" s="7" t="n">
        <x:f>COUNTIF('唯一词标签'!$V$2:$V$1441,A119)</x:f>
        <x:v>2</x:v>
      </x:c>
      <x:c r="C119" s="55" t="n">
        <x:f>B119/COUNTA('唯一词标签'!$C$2:$C$1441)</x:f>
        <x:v>0.001388888888888889</x:v>
      </x:c>
      <x:c r="D119" s="7" t="n">
        <x:f>COUNTIFS('唯一词标签'!$V$2:$V$1441,A119,'唯一词标签'!$Z$2:$Z$1441,"match")</x:f>
        <x:v>2</x:v>
      </x:c>
      <x:c r="E119" s="7" t="n">
        <x:f>COUNTIFS('唯一词标签'!$V$2:$V$1441,A119,'唯一词标签'!$Z$2:$Z$1441,"partial_match")</x:f>
        <x:v>0</x:v>
      </x:c>
      <x:c r="F119" s="7" t="n">
        <x:f>COUNTIFS('唯一词标签'!$V$2:$V$1441,A119,'唯一词标签'!$Z$2:$Z$1441,"mismatch")</x:f>
        <x:v>0</x:v>
      </x:c>
      <x:c r="G119" s="7" t="n">
        <x:f>COUNTIFS('唯一词标签'!$V$2:$V$1441,A119,'唯一词标签'!$Z$2:$Z$1441,"unknown")</x:f>
        <x:v>0</x:v>
      </x:c>
      <x:c r="H119" s="7" t="n">
        <x:f>COUNTIFS('唯一词标签'!$V$2:$V$1441,A119,'唯一词标签'!$U$2:$U$1441,"low")</x:f>
        <x:v>0</x:v>
      </x:c>
      <x:c r="I119" s="7" t="n">
        <x:f>COUNTIFS('唯一词标签'!$V$2:$V$1441,A119,'唯一词标签'!$AB$2:$AB$1441,"needs_review")</x:f>
        <x:v>0</x:v>
      </x:c>
    </x:row>
    <x:row r="120" ht="22" customHeight="1">
      <x:c r="A120" s="7" t="str">
        <x:v>black_trendy_flip_flops</x:v>
      </x:c>
      <x:c r="B120" s="7" t="n">
        <x:f>COUNTIF('唯一词标签'!$V$2:$V$1441,A120)</x:f>
        <x:v>1</x:v>
      </x:c>
      <x:c r="C120" s="55" t="n">
        <x:f>B120/COUNTA('唯一词标签'!$C$2:$C$1441)</x:f>
        <x:v>0.0006944444444444445</x:v>
      </x:c>
      <x:c r="D120" s="7" t="n">
        <x:f>COUNTIFS('唯一词标签'!$V$2:$V$1441,A120,'唯一词标签'!$Z$2:$Z$1441,"match")</x:f>
        <x:v>1</x:v>
      </x:c>
      <x:c r="E120" s="7" t="n">
        <x:f>COUNTIFS('唯一词标签'!$V$2:$V$1441,A120,'唯一词标签'!$Z$2:$Z$1441,"partial_match")</x:f>
        <x:v>0</x:v>
      </x:c>
      <x:c r="F120" s="7" t="n">
        <x:f>COUNTIFS('唯一词标签'!$V$2:$V$1441,A120,'唯一词标签'!$Z$2:$Z$1441,"mismatch")</x:f>
        <x:v>0</x:v>
      </x:c>
      <x:c r="G120" s="7" t="n">
        <x:f>COUNTIFS('唯一词标签'!$V$2:$V$1441,A120,'唯一词标签'!$Z$2:$Z$1441,"unknown")</x:f>
        <x:v>0</x:v>
      </x:c>
      <x:c r="H120" s="7" t="n">
        <x:f>COUNTIFS('唯一词标签'!$V$2:$V$1441,A120,'唯一词标签'!$U$2:$U$1441,"low")</x:f>
        <x:v>0</x:v>
      </x:c>
      <x:c r="I120" s="7" t="n">
        <x:f>COUNTIFS('唯一词标签'!$V$2:$V$1441,A120,'唯一词标签'!$AB$2:$AB$1441,"needs_review")</x:f>
        <x:v>0</x:v>
      </x:c>
    </x:row>
    <x:row r="121" ht="22" customHeight="1">
      <x:c r="A121" s="7" t="str">
        <x:v>black_womens_flip_flops</x:v>
      </x:c>
      <x:c r="B121" s="7" t="n">
        <x:f>COUNTIF('唯一词标签'!$V$2:$V$1441,A121)</x:f>
        <x:v>4</x:v>
      </x:c>
      <x:c r="C121" s="55" t="n">
        <x:f>B121/COUNTA('唯一词标签'!$C$2:$C$1441)</x:f>
        <x:v>0.002777777777777778</x:v>
      </x:c>
      <x:c r="D121" s="7" t="n">
        <x:f>COUNTIFS('唯一词标签'!$V$2:$V$1441,A121,'唯一词标签'!$Z$2:$Z$1441,"match")</x:f>
        <x:v>4</x:v>
      </x:c>
      <x:c r="E121" s="7" t="n">
        <x:f>COUNTIFS('唯一词标签'!$V$2:$V$1441,A121,'唯一词标签'!$Z$2:$Z$1441,"partial_match")</x:f>
        <x:v>0</x:v>
      </x:c>
      <x:c r="F121" s="7" t="n">
        <x:f>COUNTIFS('唯一词标签'!$V$2:$V$1441,A121,'唯一词标签'!$Z$2:$Z$1441,"mismatch")</x:f>
        <x:v>0</x:v>
      </x:c>
      <x:c r="G121" s="7" t="n">
        <x:f>COUNTIFS('唯一词标签'!$V$2:$V$1441,A121,'唯一词标签'!$Z$2:$Z$1441,"unknown")</x:f>
        <x:v>0</x:v>
      </x:c>
      <x:c r="H121" s="7" t="n">
        <x:f>COUNTIFS('唯一词标签'!$V$2:$V$1441,A121,'唯一词标签'!$U$2:$U$1441,"low")</x:f>
        <x:v>0</x:v>
      </x:c>
      <x:c r="I121" s="7" t="n">
        <x:f>COUNTIFS('唯一词标签'!$V$2:$V$1441,A121,'唯一词标签'!$AB$2:$AB$1441,"needs_review")</x:f>
        <x:v>0</x:v>
      </x:c>
    </x:row>
    <x:row r="122" ht="22" customHeight="1">
      <x:c r="A122" s="7" t="str">
        <x:v>black_womens_flip_flops_size_10</x:v>
      </x:c>
      <x:c r="B122" s="7" t="n">
        <x:f>COUNTIF('唯一词标签'!$V$2:$V$1441,A122)</x:f>
        <x:v>1</x:v>
      </x:c>
      <x:c r="C122" s="55" t="n">
        <x:f>B122/COUNTA('唯一词标签'!$C$2:$C$1441)</x:f>
        <x:v>0.0006944444444444445</x:v>
      </x:c>
      <x:c r="D122" s="7" t="n">
        <x:f>COUNTIFS('唯一词标签'!$V$2:$V$1441,A122,'唯一词标签'!$Z$2:$Z$1441,"match")</x:f>
        <x:v>1</x:v>
      </x:c>
      <x:c r="E122" s="7" t="n">
        <x:f>COUNTIFS('唯一词标签'!$V$2:$V$1441,A122,'唯一词标签'!$Z$2:$Z$1441,"partial_match")</x:f>
        <x:v>0</x:v>
      </x:c>
      <x:c r="F122" s="7" t="n">
        <x:f>COUNTIFS('唯一词标签'!$V$2:$V$1441,A122,'唯一词标签'!$Z$2:$Z$1441,"mismatch")</x:f>
        <x:v>0</x:v>
      </x:c>
      <x:c r="G122" s="7" t="n">
        <x:f>COUNTIFS('唯一词标签'!$V$2:$V$1441,A122,'唯一词标签'!$Z$2:$Z$1441,"unknown")</x:f>
        <x:v>0</x:v>
      </x:c>
      <x:c r="H122" s="7" t="n">
        <x:f>COUNTIFS('唯一词标签'!$V$2:$V$1441,A122,'唯一词标签'!$U$2:$U$1441,"low")</x:f>
        <x:v>0</x:v>
      </x:c>
      <x:c r="I122" s="7" t="n">
        <x:f>COUNTIFS('唯一词标签'!$V$2:$V$1441,A122,'唯一词标签'!$AB$2:$AB$1441,"needs_review")</x:f>
        <x:v>0</x:v>
      </x:c>
    </x:row>
    <x:row r="123" ht="22" customHeight="1">
      <x:c r="A123" s="7" t="str">
        <x:v>black_womens_flip_flops_size_9</x:v>
      </x:c>
      <x:c r="B123" s="7" t="n">
        <x:f>COUNTIF('唯一词标签'!$V$2:$V$1441,A123)</x:f>
        <x:v>1</x:v>
      </x:c>
      <x:c r="C123" s="55" t="n">
        <x:f>B123/COUNTA('唯一词标签'!$C$2:$C$1441)</x:f>
        <x:v>0.0006944444444444445</x:v>
      </x:c>
      <x:c r="D123" s="7" t="n">
        <x:f>COUNTIFS('唯一词标签'!$V$2:$V$1441,A123,'唯一词标签'!$Z$2:$Z$1441,"match")</x:f>
        <x:v>1</x:v>
      </x:c>
      <x:c r="E123" s="7" t="n">
        <x:f>COUNTIFS('唯一词标签'!$V$2:$V$1441,A123,'唯一词标签'!$Z$2:$Z$1441,"partial_match")</x:f>
        <x:v>0</x:v>
      </x:c>
      <x:c r="F123" s="7" t="n">
        <x:f>COUNTIFS('唯一词标签'!$V$2:$V$1441,A123,'唯一词标签'!$Z$2:$Z$1441,"mismatch")</x:f>
        <x:v>0</x:v>
      </x:c>
      <x:c r="G123" s="7" t="n">
        <x:f>COUNTIFS('唯一词标签'!$V$2:$V$1441,A123,'唯一词标签'!$Z$2:$Z$1441,"unknown")</x:f>
        <x:v>0</x:v>
      </x:c>
      <x:c r="H123" s="7" t="n">
        <x:f>COUNTIFS('唯一词标签'!$V$2:$V$1441,A123,'唯一词标签'!$U$2:$U$1441,"low")</x:f>
        <x:v>0</x:v>
      </x:c>
      <x:c r="I123" s="7" t="n">
        <x:f>COUNTIFS('唯一词标签'!$V$2:$V$1441,A123,'唯一词标签'!$AB$2:$AB$1441,"needs_review")</x:f>
        <x:v>0</x:v>
      </x:c>
    </x:row>
    <x:row r="124" ht="22" customHeight="1">
      <x:c r="A124" s="7" t="str">
        <x:v>black_womens_flip_flops_sized</x:v>
      </x:c>
      <x:c r="B124" s="7" t="n">
        <x:f>COUNTIF('唯一词标签'!$V$2:$V$1441,A124)</x:f>
        <x:v>1</x:v>
      </x:c>
      <x:c r="C124" s="55" t="n">
        <x:f>B124/COUNTA('唯一词标签'!$C$2:$C$1441)</x:f>
        <x:v>0.0006944444444444445</x:v>
      </x:c>
      <x:c r="D124" s="7" t="n">
        <x:f>COUNTIFS('唯一词标签'!$V$2:$V$1441,A124,'唯一词标签'!$Z$2:$Z$1441,"match")</x:f>
        <x:v>1</x:v>
      </x:c>
      <x:c r="E124" s="7" t="n">
        <x:f>COUNTIFS('唯一词标签'!$V$2:$V$1441,A124,'唯一词标签'!$Z$2:$Z$1441,"partial_match")</x:f>
        <x:v>0</x:v>
      </x:c>
      <x:c r="F124" s="7" t="n">
        <x:f>COUNTIFS('唯一词标签'!$V$2:$V$1441,A124,'唯一词标签'!$Z$2:$Z$1441,"mismatch")</x:f>
        <x:v>0</x:v>
      </x:c>
      <x:c r="G124" s="7" t="n">
        <x:f>COUNTIFS('唯一词标签'!$V$2:$V$1441,A124,'唯一词标签'!$Z$2:$Z$1441,"unknown")</x:f>
        <x:v>0</x:v>
      </x:c>
      <x:c r="H124" s="7" t="n">
        <x:f>COUNTIFS('唯一词标签'!$V$2:$V$1441,A124,'唯一词标签'!$U$2:$U$1441,"low")</x:f>
        <x:v>0</x:v>
      </x:c>
      <x:c r="I124" s="7" t="n">
        <x:f>COUNTIFS('唯一词标签'!$V$2:$V$1441,A124,'唯一词标签'!$AB$2:$AB$1441,"needs_review")</x:f>
        <x:v>0</x:v>
      </x:c>
    </x:row>
    <x:row r="125" ht="22" customHeight="1">
      <x:c r="A125" s="7" t="str">
        <x:v>blue_arch_flip_flops</x:v>
      </x:c>
      <x:c r="B125" s="7" t="n">
        <x:f>COUNTIF('唯一词标签'!$V$2:$V$1441,A125)</x:f>
        <x:v>1</x:v>
      </x:c>
      <x:c r="C125" s="55" t="n">
        <x:f>B125/COUNTA('唯一词标签'!$C$2:$C$1441)</x:f>
        <x:v>0.0006944444444444445</x:v>
      </x:c>
      <x:c r="D125" s="7" t="n">
        <x:f>COUNTIFS('唯一词标签'!$V$2:$V$1441,A125,'唯一词标签'!$Z$2:$Z$1441,"match")</x:f>
        <x:v>1</x:v>
      </x:c>
      <x:c r="E125" s="7" t="n">
        <x:f>COUNTIFS('唯一词标签'!$V$2:$V$1441,A125,'唯一词标签'!$Z$2:$Z$1441,"partial_match")</x:f>
        <x:v>0</x:v>
      </x:c>
      <x:c r="F125" s="7" t="n">
        <x:f>COUNTIFS('唯一词标签'!$V$2:$V$1441,A125,'唯一词标签'!$Z$2:$Z$1441,"mismatch")</x:f>
        <x:v>0</x:v>
      </x:c>
      <x:c r="G125" s="7" t="n">
        <x:f>COUNTIFS('唯一词标签'!$V$2:$V$1441,A125,'唯一词标签'!$Z$2:$Z$1441,"unknown")</x:f>
        <x:v>0</x:v>
      </x:c>
      <x:c r="H125" s="7" t="n">
        <x:f>COUNTIFS('唯一词标签'!$V$2:$V$1441,A125,'唯一词标签'!$U$2:$U$1441,"low")</x:f>
        <x:v>0</x:v>
      </x:c>
      <x:c r="I125" s="7" t="n">
        <x:f>COUNTIFS('唯一词标签'!$V$2:$V$1441,A125,'唯一词标签'!$AB$2:$AB$1441,"needs_review")</x:f>
        <x:v>0</x:v>
      </x:c>
    </x:row>
    <x:row r="126" ht="22" customHeight="1">
      <x:c r="A126" s="7" t="str">
        <x:v>blue_flip_flops_sized</x:v>
      </x:c>
      <x:c r="B126" s="7" t="n">
        <x:f>COUNTIF('唯一词标签'!$V$2:$V$1441,A126)</x:f>
        <x:v>1</x:v>
      </x:c>
      <x:c r="C126" s="55" t="n">
        <x:f>B126/COUNTA('唯一词标签'!$C$2:$C$1441)</x:f>
        <x:v>0.0006944444444444445</x:v>
      </x:c>
      <x:c r="D126" s="7" t="n">
        <x:f>COUNTIFS('唯一词标签'!$V$2:$V$1441,A126,'唯一词标签'!$Z$2:$Z$1441,"match")</x:f>
        <x:v>1</x:v>
      </x:c>
      <x:c r="E126" s="7" t="n">
        <x:f>COUNTIFS('唯一词标签'!$V$2:$V$1441,A126,'唯一词标签'!$Z$2:$Z$1441,"partial_match")</x:f>
        <x:v>0</x:v>
      </x:c>
      <x:c r="F126" s="7" t="n">
        <x:f>COUNTIFS('唯一词标签'!$V$2:$V$1441,A126,'唯一词标签'!$Z$2:$Z$1441,"mismatch")</x:f>
        <x:v>0</x:v>
      </x:c>
      <x:c r="G126" s="7" t="n">
        <x:f>COUNTIFS('唯一词标签'!$V$2:$V$1441,A126,'唯一词标签'!$Z$2:$Z$1441,"unknown")</x:f>
        <x:v>0</x:v>
      </x:c>
      <x:c r="H126" s="7" t="n">
        <x:f>COUNTIFS('唯一词标签'!$V$2:$V$1441,A126,'唯一词标签'!$U$2:$U$1441,"low")</x:f>
        <x:v>0</x:v>
      </x:c>
      <x:c r="I126" s="7" t="n">
        <x:f>COUNTIFS('唯一词标签'!$V$2:$V$1441,A126,'唯一词标签'!$AB$2:$AB$1441,"needs_review")</x:f>
        <x:v>0</x:v>
      </x:c>
    </x:row>
    <x:row r="127" ht="22" customHeight="1">
      <x:c r="A127" s="7" t="str">
        <x:v>blue_flip_flops_unisex</x:v>
      </x:c>
      <x:c r="B127" s="7" t="n">
        <x:f>COUNTIF('唯一词标签'!$V$2:$V$1441,A127)</x:f>
        <x:v>1</x:v>
      </x:c>
      <x:c r="C127" s="55" t="n">
        <x:f>B127/COUNTA('唯一词标签'!$C$2:$C$1441)</x:f>
        <x:v>0.0006944444444444445</x:v>
      </x:c>
      <x:c r="D127" s="7" t="n">
        <x:f>COUNTIFS('唯一词标签'!$V$2:$V$1441,A127,'唯一词标签'!$Z$2:$Z$1441,"match")</x:f>
        <x:v>0</x:v>
      </x:c>
      <x:c r="E127" s="7" t="n">
        <x:f>COUNTIFS('唯一词标签'!$V$2:$V$1441,A127,'唯一词标签'!$Z$2:$Z$1441,"partial_match")</x:f>
        <x:v>1</x:v>
      </x:c>
      <x:c r="F127" s="7" t="n">
        <x:f>COUNTIFS('唯一词标签'!$V$2:$V$1441,A127,'唯一词标签'!$Z$2:$Z$1441,"mismatch")</x:f>
        <x:v>0</x:v>
      </x:c>
      <x:c r="G127" s="7" t="n">
        <x:f>COUNTIFS('唯一词标签'!$V$2:$V$1441,A127,'唯一词标签'!$Z$2:$Z$1441,"unknown")</x:f>
        <x:v>0</x:v>
      </x:c>
      <x:c r="H127" s="7" t="n">
        <x:f>COUNTIFS('唯一词标签'!$V$2:$V$1441,A127,'唯一词标签'!$U$2:$U$1441,"low")</x:f>
        <x:v>0</x:v>
      </x:c>
      <x:c r="I127" s="7" t="n">
        <x:f>COUNTIFS('唯一词标签'!$V$2:$V$1441,A127,'唯一词标签'!$AB$2:$AB$1441,"needs_review")</x:f>
        <x:v>0</x:v>
      </x:c>
    </x:row>
    <x:row r="128" ht="22" customHeight="1">
      <x:c r="A128" s="7" t="str">
        <x:v>blue_flip_flops_women</x:v>
      </x:c>
      <x:c r="B128" s="7" t="n">
        <x:f>COUNTIF('唯一词标签'!$V$2:$V$1441,A128)</x:f>
        <x:v>1</x:v>
      </x:c>
      <x:c r="C128" s="55" t="n">
        <x:f>B128/COUNTA('唯一词标签'!$C$2:$C$1441)</x:f>
        <x:v>0.0006944444444444445</x:v>
      </x:c>
      <x:c r="D128" s="7" t="n">
        <x:f>COUNTIFS('唯一词标签'!$V$2:$V$1441,A128,'唯一词标签'!$Z$2:$Z$1441,"match")</x:f>
        <x:v>1</x:v>
      </x:c>
      <x:c r="E128" s="7" t="n">
        <x:f>COUNTIFS('唯一词标签'!$V$2:$V$1441,A128,'唯一词标签'!$Z$2:$Z$1441,"partial_match")</x:f>
        <x:v>0</x:v>
      </x:c>
      <x:c r="F128" s="7" t="n">
        <x:f>COUNTIFS('唯一词标签'!$V$2:$V$1441,A128,'唯一词标签'!$Z$2:$Z$1441,"mismatch")</x:f>
        <x:v>0</x:v>
      </x:c>
      <x:c r="G128" s="7" t="n">
        <x:f>COUNTIFS('唯一词标签'!$V$2:$V$1441,A128,'唯一词标签'!$Z$2:$Z$1441,"unknown")</x:f>
        <x:v>0</x:v>
      </x:c>
      <x:c r="H128" s="7" t="n">
        <x:f>COUNTIFS('唯一词标签'!$V$2:$V$1441,A128,'唯一词标签'!$U$2:$U$1441,"low")</x:f>
        <x:v>0</x:v>
      </x:c>
      <x:c r="I128" s="7" t="n">
        <x:f>COUNTIFS('唯一词标签'!$V$2:$V$1441,A128,'唯一词标签'!$AB$2:$AB$1441,"needs_review")</x:f>
        <x:v>0</x:v>
      </x:c>
    </x:row>
    <x:row r="129" ht="22" customHeight="1">
      <x:c r="A129" s="7" t="str">
        <x:v>blue_sandals_women</x:v>
      </x:c>
      <x:c r="B129" s="7" t="n">
        <x:f>COUNTIF('唯一词标签'!$V$2:$V$1441,A129)</x:f>
        <x:v>1</x:v>
      </x:c>
      <x:c r="C129" s="55" t="n">
        <x:f>B129/COUNTA('唯一词标签'!$C$2:$C$1441)</x:f>
        <x:v>0.0006944444444444445</x:v>
      </x:c>
      <x:c r="D129" s="7" t="n">
        <x:f>COUNTIFS('唯一词标签'!$V$2:$V$1441,A129,'唯一词标签'!$Z$2:$Z$1441,"match")</x:f>
        <x:v>1</x:v>
      </x:c>
      <x:c r="E129" s="7" t="n">
        <x:f>COUNTIFS('唯一词标签'!$V$2:$V$1441,A129,'唯一词标签'!$Z$2:$Z$1441,"partial_match")</x:f>
        <x:v>0</x:v>
      </x:c>
      <x:c r="F129" s="7" t="n">
        <x:f>COUNTIFS('唯一词标签'!$V$2:$V$1441,A129,'唯一词标签'!$Z$2:$Z$1441,"mismatch")</x:f>
        <x:v>0</x:v>
      </x:c>
      <x:c r="G129" s="7" t="n">
        <x:f>COUNTIFS('唯一词标签'!$V$2:$V$1441,A129,'唯一词标签'!$Z$2:$Z$1441,"unknown")</x:f>
        <x:v>0</x:v>
      </x:c>
      <x:c r="H129" s="7" t="n">
        <x:f>COUNTIFS('唯一词标签'!$V$2:$V$1441,A129,'唯一词标签'!$U$2:$U$1441,"low")</x:f>
        <x:v>0</x:v>
      </x:c>
      <x:c r="I129" s="7" t="n">
        <x:f>COUNTIFS('唯一词标签'!$V$2:$V$1441,A129,'唯一词标签'!$AB$2:$AB$1441,"needs_review")</x:f>
        <x:v>0</x:v>
      </x:c>
    </x:row>
    <x:row r="130" ht="22" customHeight="1">
      <x:c r="A130" s="7" t="str">
        <x:v>blue_womens_flip_flop_sandals</x:v>
      </x:c>
      <x:c r="B130" s="7" t="n">
        <x:f>COUNTIF('唯一词标签'!$V$2:$V$1441,A130)</x:f>
        <x:v>1</x:v>
      </x:c>
      <x:c r="C130" s="55" t="n">
        <x:f>B130/COUNTA('唯一词标签'!$C$2:$C$1441)</x:f>
        <x:v>0.0006944444444444445</x:v>
      </x:c>
      <x:c r="D130" s="7" t="n">
        <x:f>COUNTIFS('唯一词标签'!$V$2:$V$1441,A130,'唯一词标签'!$Z$2:$Z$1441,"match")</x:f>
        <x:v>1</x:v>
      </x:c>
      <x:c r="E130" s="7" t="n">
        <x:f>COUNTIFS('唯一词标签'!$V$2:$V$1441,A130,'唯一词标签'!$Z$2:$Z$1441,"partial_match")</x:f>
        <x:v>0</x:v>
      </x:c>
      <x:c r="F130" s="7" t="n">
        <x:f>COUNTIFS('唯一词标签'!$V$2:$V$1441,A130,'唯一词标签'!$Z$2:$Z$1441,"mismatch")</x:f>
        <x:v>0</x:v>
      </x:c>
      <x:c r="G130" s="7" t="n">
        <x:f>COUNTIFS('唯一词标签'!$V$2:$V$1441,A130,'唯一词标签'!$Z$2:$Z$1441,"unknown")</x:f>
        <x:v>0</x:v>
      </x:c>
      <x:c r="H130" s="7" t="n">
        <x:f>COUNTIFS('唯一词标签'!$V$2:$V$1441,A130,'唯一词标签'!$U$2:$U$1441,"low")</x:f>
        <x:v>0</x:v>
      </x:c>
      <x:c r="I130" s="7" t="n">
        <x:f>COUNTIFS('唯一词标签'!$V$2:$V$1441,A130,'唯一词标签'!$AB$2:$AB$1441,"needs_review")</x:f>
        <x:v>0</x:v>
      </x:c>
    </x:row>
    <x:row r="131" ht="22" customHeight="1">
      <x:c r="A131" s="7" t="str">
        <x:v>blue_womens_flip_flops</x:v>
      </x:c>
      <x:c r="B131" s="7" t="n">
        <x:f>COUNTIF('唯一词标签'!$V$2:$V$1441,A131)</x:f>
        <x:v>3</x:v>
      </x:c>
      <x:c r="C131" s="55" t="n">
        <x:f>B131/COUNTA('唯一词标签'!$C$2:$C$1441)</x:f>
        <x:v>0.0020833333333333333</x:v>
      </x:c>
      <x:c r="D131" s="7" t="n">
        <x:f>COUNTIFS('唯一词标签'!$V$2:$V$1441,A131,'唯一词标签'!$Z$2:$Z$1441,"match")</x:f>
        <x:v>2</x:v>
      </x:c>
      <x:c r="E131" s="7" t="n">
        <x:f>COUNTIFS('唯一词标签'!$V$2:$V$1441,A131,'唯一词标签'!$Z$2:$Z$1441,"partial_match")</x:f>
        <x:v>1</x:v>
      </x:c>
      <x:c r="F131" s="7" t="n">
        <x:f>COUNTIFS('唯一词标签'!$V$2:$V$1441,A131,'唯一词标签'!$Z$2:$Z$1441,"mismatch")</x:f>
        <x:v>0</x:v>
      </x:c>
      <x:c r="G131" s="7" t="n">
        <x:f>COUNTIFS('唯一词标签'!$V$2:$V$1441,A131,'唯一词标签'!$Z$2:$Z$1441,"unknown")</x:f>
        <x:v>0</x:v>
      </x:c>
      <x:c r="H131" s="7" t="n">
        <x:f>COUNTIFS('唯一词标签'!$V$2:$V$1441,A131,'唯一词标签'!$U$2:$U$1441,"low")</x:f>
        <x:v>0</x:v>
      </x:c>
      <x:c r="I131" s="7" t="n">
        <x:f>COUNTIFS('唯一词标签'!$V$2:$V$1441,A131,'唯一词标签'!$AB$2:$AB$1441,"needs_review")</x:f>
        <x:v>0</x:v>
      </x:c>
    </x:row>
    <x:row r="132" ht="22" customHeight="1">
      <x:c r="A132" s="7" t="str">
        <x:v>brand_arch_support_flip_flops</x:v>
      </x:c>
      <x:c r="B132" s="7" t="n">
        <x:f>COUNTIF('唯一词标签'!$V$2:$V$1441,A132)</x:f>
        <x:v>1</x:v>
      </x:c>
      <x:c r="C132" s="55" t="n">
        <x:f>B132/COUNTA('唯一词标签'!$C$2:$C$1441)</x:f>
        <x:v>0.0006944444444444445</x:v>
      </x:c>
      <x:c r="D132" s="7" t="n">
        <x:f>COUNTIFS('唯一词标签'!$V$2:$V$1441,A132,'唯一词标签'!$Z$2:$Z$1441,"match")</x:f>
        <x:v>1</x:v>
      </x:c>
      <x:c r="E132" s="7" t="n">
        <x:f>COUNTIFS('唯一词标签'!$V$2:$V$1441,A132,'唯一词标签'!$Z$2:$Z$1441,"partial_match")</x:f>
        <x:v>0</x:v>
      </x:c>
      <x:c r="F132" s="7" t="n">
        <x:f>COUNTIFS('唯一词标签'!$V$2:$V$1441,A132,'唯一词标签'!$Z$2:$Z$1441,"mismatch")</x:f>
        <x:v>0</x:v>
      </x:c>
      <x:c r="G132" s="7" t="n">
        <x:f>COUNTIFS('唯一词标签'!$V$2:$V$1441,A132,'唯一词标签'!$Z$2:$Z$1441,"unknown")</x:f>
        <x:v>0</x:v>
      </x:c>
      <x:c r="H132" s="7" t="n">
        <x:f>COUNTIFS('唯一词标签'!$V$2:$V$1441,A132,'唯一词标签'!$U$2:$U$1441,"low")</x:f>
        <x:v>0</x:v>
      </x:c>
      <x:c r="I132" s="7" t="n">
        <x:f>COUNTIFS('唯一词标签'!$V$2:$V$1441,A132,'唯一词标签'!$AB$2:$AB$1441,"needs_review")</x:f>
        <x:v>0</x:v>
      </x:c>
    </x:row>
    <x:row r="133" ht="22" customHeight="1">
      <x:c r="A133" s="7" t="str">
        <x:v>brand_arch_support_flip_flops_bronax</x:v>
      </x:c>
      <x:c r="B133" s="7" t="n">
        <x:f>COUNTIF('唯一词标签'!$V$2:$V$1441,A133)</x:f>
        <x:v>1</x:v>
      </x:c>
      <x:c r="C133" s="55" t="n">
        <x:f>B133/COUNTA('唯一词标签'!$C$2:$C$1441)</x:f>
        <x:v>0.0006944444444444445</x:v>
      </x:c>
      <x:c r="D133" s="7" t="n">
        <x:f>COUNTIFS('唯一词标签'!$V$2:$V$1441,A133,'唯一词标签'!$Z$2:$Z$1441,"match")</x:f>
        <x:v>0</x:v>
      </x:c>
      <x:c r="E133" s="7" t="n">
        <x:f>COUNTIFS('唯一词标签'!$V$2:$V$1441,A133,'唯一词标签'!$Z$2:$Z$1441,"partial_match")</x:f>
        <x:v>0</x:v>
      </x:c>
      <x:c r="F133" s="7" t="n">
        <x:f>COUNTIFS('唯一词标签'!$V$2:$V$1441,A133,'唯一词标签'!$Z$2:$Z$1441,"mismatch")</x:f>
        <x:v>1</x:v>
      </x:c>
      <x:c r="G133" s="7" t="n">
        <x:f>COUNTIFS('唯一词标签'!$V$2:$V$1441,A133,'唯一词标签'!$Z$2:$Z$1441,"unknown")</x:f>
        <x:v>0</x:v>
      </x:c>
      <x:c r="H133" s="7" t="n">
        <x:f>COUNTIFS('唯一词标签'!$V$2:$V$1441,A133,'唯一词标签'!$U$2:$U$1441,"low")</x:f>
        <x:v>0</x:v>
      </x:c>
      <x:c r="I133" s="7" t="n">
        <x:f>COUNTIFS('唯一词标签'!$V$2:$V$1441,A133,'唯一词标签'!$AB$2:$AB$1441,"needs_review")</x:f>
        <x:v>0</x:v>
      </x:c>
    </x:row>
    <x:row r="134" ht="22" customHeight="1">
      <x:c r="A134" s="7" t="str">
        <x:v>brand_archies_flip_flops</x:v>
      </x:c>
      <x:c r="B134" s="7" t="n">
        <x:f>COUNTIF('唯一词标签'!$V$2:$V$1441,A134)</x:f>
        <x:v>2</x:v>
      </x:c>
      <x:c r="C134" s="55" t="n">
        <x:f>B134/COUNTA('唯一词标签'!$C$2:$C$1441)</x:f>
        <x:v>0.001388888888888889</x:v>
      </x:c>
      <x:c r="D134" s="7" t="n">
        <x:f>COUNTIFS('唯一词标签'!$V$2:$V$1441,A134,'唯一词标签'!$Z$2:$Z$1441,"match")</x:f>
        <x:v>0</x:v>
      </x:c>
      <x:c r="E134" s="7" t="n">
        <x:f>COUNTIFS('唯一词标签'!$V$2:$V$1441,A134,'唯一词标签'!$Z$2:$Z$1441,"partial_match")</x:f>
        <x:v>0</x:v>
      </x:c>
      <x:c r="F134" s="7" t="n">
        <x:f>COUNTIFS('唯一词标签'!$V$2:$V$1441,A134,'唯一词标签'!$Z$2:$Z$1441,"mismatch")</x:f>
        <x:v>2</x:v>
      </x:c>
      <x:c r="G134" s="7" t="n">
        <x:f>COUNTIFS('唯一词标签'!$V$2:$V$1441,A134,'唯一词标签'!$Z$2:$Z$1441,"unknown")</x:f>
        <x:v>0</x:v>
      </x:c>
      <x:c r="H134" s="7" t="n">
        <x:f>COUNTIFS('唯一词标签'!$V$2:$V$1441,A134,'唯一词标签'!$U$2:$U$1441,"low")</x:f>
        <x:v>0</x:v>
      </x:c>
      <x:c r="I134" s="7" t="n">
        <x:f>COUNTIFS('唯一词标签'!$V$2:$V$1441,A134,'唯一词标签'!$AB$2:$AB$1441,"needs_review")</x:f>
        <x:v>0</x:v>
      </x:c>
    </x:row>
    <x:row r="135" ht="22" customHeight="1">
      <x:c r="A135" s="7" t="str">
        <x:v>brand_archies_navy_blue</x:v>
      </x:c>
      <x:c r="B135" s="7" t="n">
        <x:f>COUNTIF('唯一词标签'!$V$2:$V$1441,A135)</x:f>
        <x:v>1</x:v>
      </x:c>
      <x:c r="C135" s="55" t="n">
        <x:f>B135/COUNTA('唯一词标签'!$C$2:$C$1441)</x:f>
        <x:v>0.0006944444444444445</x:v>
      </x:c>
      <x:c r="D135" s="7" t="n">
        <x:f>COUNTIFS('唯一词标签'!$V$2:$V$1441,A135,'唯一词标签'!$Z$2:$Z$1441,"match")</x:f>
        <x:v>0</x:v>
      </x:c>
      <x:c r="E135" s="7" t="n">
        <x:f>COUNTIFS('唯一词标签'!$V$2:$V$1441,A135,'唯一词标签'!$Z$2:$Z$1441,"partial_match")</x:f>
        <x:v>0</x:v>
      </x:c>
      <x:c r="F135" s="7" t="n">
        <x:f>COUNTIFS('唯一词标签'!$V$2:$V$1441,A135,'唯一词标签'!$Z$2:$Z$1441,"mismatch")</x:f>
        <x:v>1</x:v>
      </x:c>
      <x:c r="G135" s="7" t="n">
        <x:f>COUNTIFS('唯一词标签'!$V$2:$V$1441,A135,'唯一词标签'!$Z$2:$Z$1441,"unknown")</x:f>
        <x:v>0</x:v>
      </x:c>
      <x:c r="H135" s="7" t="n">
        <x:f>COUNTIFS('唯一词标签'!$V$2:$V$1441,A135,'唯一词标签'!$U$2:$U$1441,"low")</x:f>
        <x:v>0</x:v>
      </x:c>
      <x:c r="I135" s="7" t="n">
        <x:f>COUNTIFS('唯一词标签'!$V$2:$V$1441,A135,'唯一词标签'!$AB$2:$AB$1441,"needs_review")</x:f>
        <x:v>0</x:v>
      </x:c>
    </x:row>
    <x:row r="136" ht="22" customHeight="1">
      <x:c r="A136" s="7" t="str">
        <x:v>brand_archies_womens_footwear</x:v>
      </x:c>
      <x:c r="B136" s="7" t="n">
        <x:f>COUNTIF('唯一词标签'!$V$2:$V$1441,A136)</x:f>
        <x:v>1</x:v>
      </x:c>
      <x:c r="C136" s="55" t="n">
        <x:f>B136/COUNTA('唯一词标签'!$C$2:$C$1441)</x:f>
        <x:v>0.0006944444444444445</x:v>
      </x:c>
      <x:c r="D136" s="7" t="n">
        <x:f>COUNTIFS('唯一词标签'!$V$2:$V$1441,A136,'唯一词标签'!$Z$2:$Z$1441,"match")</x:f>
        <x:v>0</x:v>
      </x:c>
      <x:c r="E136" s="7" t="n">
        <x:f>COUNTIFS('唯一词标签'!$V$2:$V$1441,A136,'唯一词标签'!$Z$2:$Z$1441,"partial_match")</x:f>
        <x:v>0</x:v>
      </x:c>
      <x:c r="F136" s="7" t="n">
        <x:f>COUNTIFS('唯一词标签'!$V$2:$V$1441,A136,'唯一词标签'!$Z$2:$Z$1441,"mismatch")</x:f>
        <x:v>1</x:v>
      </x:c>
      <x:c r="G136" s="7" t="n">
        <x:f>COUNTIFS('唯一词标签'!$V$2:$V$1441,A136,'唯一词标签'!$Z$2:$Z$1441,"unknown")</x:f>
        <x:v>0</x:v>
      </x:c>
      <x:c r="H136" s="7" t="n">
        <x:f>COUNTIFS('唯一词标签'!$V$2:$V$1441,A136,'唯一词标签'!$U$2:$U$1441,"low")</x:f>
        <x:v>0</x:v>
      </x:c>
      <x:c r="I136" s="7" t="n">
        <x:f>COUNTIFS('唯一词标签'!$V$2:$V$1441,A136,'唯一词标签'!$AB$2:$AB$1441,"needs_review")</x:f>
        <x:v>0</x:v>
      </x:c>
    </x:row>
    <x:row r="137" ht="22" customHeight="1">
      <x:c r="A137" s="7" t="str">
        <x:v>brand_competitor_archies</x:v>
      </x:c>
      <x:c r="B137" s="7" t="n">
        <x:f>COUNTIF('唯一词标签'!$V$2:$V$1441,A137)</x:f>
        <x:v>1</x:v>
      </x:c>
      <x:c r="C137" s="55" t="n">
        <x:f>B137/COUNTA('唯一词标签'!$C$2:$C$1441)</x:f>
        <x:v>0.0006944444444444445</x:v>
      </x:c>
      <x:c r="D137" s="7" t="n">
        <x:f>COUNTIFS('唯一词标签'!$V$2:$V$1441,A137,'唯一词标签'!$Z$2:$Z$1441,"match")</x:f>
        <x:v>0</x:v>
      </x:c>
      <x:c r="E137" s="7" t="n">
        <x:f>COUNTIFS('唯一词标签'!$V$2:$V$1441,A137,'唯一词标签'!$Z$2:$Z$1441,"partial_match")</x:f>
        <x:v>0</x:v>
      </x:c>
      <x:c r="F137" s="7" t="n">
        <x:f>COUNTIFS('唯一词标签'!$V$2:$V$1441,A137,'唯一词标签'!$Z$2:$Z$1441,"mismatch")</x:f>
        <x:v>1</x:v>
      </x:c>
      <x:c r="G137" s="7" t="n">
        <x:f>COUNTIFS('唯一词标签'!$V$2:$V$1441,A137,'唯一词标签'!$Z$2:$Z$1441,"unknown")</x:f>
        <x:v>0</x:v>
      </x:c>
      <x:c r="H137" s="7" t="n">
        <x:f>COUNTIFS('唯一词标签'!$V$2:$V$1441,A137,'唯一词标签'!$U$2:$U$1441,"low")</x:f>
        <x:v>0</x:v>
      </x:c>
      <x:c r="I137" s="7" t="n">
        <x:f>COUNTIFS('唯一词标签'!$V$2:$V$1441,A137,'唯一词标签'!$AB$2:$AB$1441,"needs_review")</x:f>
        <x:v>0</x:v>
      </x:c>
    </x:row>
    <x:row r="138" ht="22" customHeight="1">
      <x:c r="A138" s="7" t="str">
        <x:v>brand_competitor_hey_dude_flip_flops</x:v>
      </x:c>
      <x:c r="B138" s="7" t="n">
        <x:f>COUNTIF('唯一词标签'!$V$2:$V$1441,A138)</x:f>
        <x:v>1</x:v>
      </x:c>
      <x:c r="C138" s="55" t="n">
        <x:f>B138/COUNTA('唯一词标签'!$C$2:$C$1441)</x:f>
        <x:v>0.0006944444444444445</x:v>
      </x:c>
      <x:c r="D138" s="7" t="n">
        <x:f>COUNTIFS('唯一词标签'!$V$2:$V$1441,A138,'唯一词标签'!$Z$2:$Z$1441,"match")</x:f>
        <x:v>0</x:v>
      </x:c>
      <x:c r="E138" s="7" t="n">
        <x:f>COUNTIFS('唯一词标签'!$V$2:$V$1441,A138,'唯一词标签'!$Z$2:$Z$1441,"partial_match")</x:f>
        <x:v>0</x:v>
      </x:c>
      <x:c r="F138" s="7" t="n">
        <x:f>COUNTIFS('唯一词标签'!$V$2:$V$1441,A138,'唯一词标签'!$Z$2:$Z$1441,"mismatch")</x:f>
        <x:v>1</x:v>
      </x:c>
      <x:c r="G138" s="7" t="n">
        <x:f>COUNTIFS('唯一词标签'!$V$2:$V$1441,A138,'唯一词标签'!$Z$2:$Z$1441,"unknown")</x:f>
        <x:v>0</x:v>
      </x:c>
      <x:c r="H138" s="7" t="n">
        <x:f>COUNTIFS('唯一词标签'!$V$2:$V$1441,A138,'唯一词标签'!$U$2:$U$1441,"low")</x:f>
        <x:v>0</x:v>
      </x:c>
      <x:c r="I138" s="7" t="n">
        <x:f>COUNTIFS('唯一词标签'!$V$2:$V$1441,A138,'唯一词标签'!$AB$2:$AB$1441,"needs_review")</x:f>
        <x:v>0</x:v>
      </x:c>
    </x:row>
    <x:row r="139" ht="22" customHeight="1">
      <x:c r="A139" s="7" t="str">
        <x:v>brand_competitor_tmaza_womens_flip_flops</x:v>
      </x:c>
      <x:c r="B139" s="7" t="n">
        <x:f>COUNTIF('唯一词标签'!$V$2:$V$1441,A139)</x:f>
        <x:v>1</x:v>
      </x:c>
      <x:c r="C139" s="55" t="n">
        <x:f>B139/COUNTA('唯一词标签'!$C$2:$C$1441)</x:f>
        <x:v>0.0006944444444444445</x:v>
      </x:c>
      <x:c r="D139" s="7" t="n">
        <x:f>COUNTIFS('唯一词标签'!$V$2:$V$1441,A139,'唯一词标签'!$Z$2:$Z$1441,"match")</x:f>
        <x:v>0</x:v>
      </x:c>
      <x:c r="E139" s="7" t="n">
        <x:f>COUNTIFS('唯一词标签'!$V$2:$V$1441,A139,'唯一词标签'!$Z$2:$Z$1441,"partial_match")</x:f>
        <x:v>0</x:v>
      </x:c>
      <x:c r="F139" s="7" t="n">
        <x:f>COUNTIFS('唯一词标签'!$V$2:$V$1441,A139,'唯一词标签'!$Z$2:$Z$1441,"mismatch")</x:f>
        <x:v>1</x:v>
      </x:c>
      <x:c r="G139" s="7" t="n">
        <x:f>COUNTIFS('唯一词标签'!$V$2:$V$1441,A139,'唯一词标签'!$Z$2:$Z$1441,"unknown")</x:f>
        <x:v>0</x:v>
      </x:c>
      <x:c r="H139" s="7" t="n">
        <x:f>COUNTIFS('唯一词标签'!$V$2:$V$1441,A139,'唯一词标签'!$U$2:$U$1441,"low")</x:f>
        <x:v>0</x:v>
      </x:c>
      <x:c r="I139" s="7" t="n">
        <x:f>COUNTIFS('唯一词标签'!$V$2:$V$1441,A139,'唯一词标签'!$AB$2:$AB$1441,"needs_review")</x:f>
        <x:v>0</x:v>
      </x:c>
    </x:row>
    <x:row r="140" ht="22" customHeight="1">
      <x:c r="A140" s="7" t="str">
        <x:v>brand_competitor_white_mountain_womens_flip_flops</x:v>
      </x:c>
      <x:c r="B140" s="7" t="n">
        <x:f>COUNTIF('唯一词标签'!$V$2:$V$1441,A140)</x:f>
        <x:v>1</x:v>
      </x:c>
      <x:c r="C140" s="55" t="n">
        <x:f>B140/COUNTA('唯一词标签'!$C$2:$C$1441)</x:f>
        <x:v>0.0006944444444444445</x:v>
      </x:c>
      <x:c r="D140" s="7" t="n">
        <x:f>COUNTIFS('唯一词标签'!$V$2:$V$1441,A140,'唯一词标签'!$Z$2:$Z$1441,"match")</x:f>
        <x:v>0</x:v>
      </x:c>
      <x:c r="E140" s="7" t="n">
        <x:f>COUNTIFS('唯一词标签'!$V$2:$V$1441,A140,'唯一词标签'!$Z$2:$Z$1441,"partial_match")</x:f>
        <x:v>0</x:v>
      </x:c>
      <x:c r="F140" s="7" t="n">
        <x:f>COUNTIFS('唯一词标签'!$V$2:$V$1441,A140,'唯一词标签'!$Z$2:$Z$1441,"mismatch")</x:f>
        <x:v>1</x:v>
      </x:c>
      <x:c r="G140" s="7" t="n">
        <x:f>COUNTIFS('唯一词标签'!$V$2:$V$1441,A140,'唯一词标签'!$Z$2:$Z$1441,"unknown")</x:f>
        <x:v>0</x:v>
      </x:c>
      <x:c r="H140" s="7" t="n">
        <x:f>COUNTIFS('唯一词标签'!$V$2:$V$1441,A140,'唯一词标签'!$U$2:$U$1441,"low")</x:f>
        <x:v>0</x:v>
      </x:c>
      <x:c r="I140" s="7" t="n">
        <x:f>COUNTIFS('唯一词标签'!$V$2:$V$1441,A140,'唯一词标签'!$AB$2:$AB$1441,"needs_review")</x:f>
        <x:v>0</x:v>
      </x:c>
    </x:row>
    <x:row r="141" ht="22" customHeight="1">
      <x:c r="A141" s="7" t="str">
        <x:v>brand_corkys_flip_flops</x:v>
      </x:c>
      <x:c r="B141" s="7" t="n">
        <x:f>COUNTIF('唯一词标签'!$V$2:$V$1441,A141)</x:f>
        <x:v>1</x:v>
      </x:c>
      <x:c r="C141" s="55" t="n">
        <x:f>B141/COUNTA('唯一词标签'!$C$2:$C$1441)</x:f>
        <x:v>0.0006944444444444445</x:v>
      </x:c>
      <x:c r="D141" s="7" t="n">
        <x:f>COUNTIFS('唯一词标签'!$V$2:$V$1441,A141,'唯一词标签'!$Z$2:$Z$1441,"match")</x:f>
        <x:v>0</x:v>
      </x:c>
      <x:c r="E141" s="7" t="n">
        <x:f>COUNTIFS('唯一词标签'!$V$2:$V$1441,A141,'唯一词标签'!$Z$2:$Z$1441,"partial_match")</x:f>
        <x:v>0</x:v>
      </x:c>
      <x:c r="F141" s="7" t="n">
        <x:f>COUNTIFS('唯一词标签'!$V$2:$V$1441,A141,'唯一词标签'!$Z$2:$Z$1441,"mismatch")</x:f>
        <x:v>1</x:v>
      </x:c>
      <x:c r="G141" s="7" t="n">
        <x:f>COUNTIFS('唯一词标签'!$V$2:$V$1441,A141,'唯一词标签'!$Z$2:$Z$1441,"unknown")</x:f>
        <x:v>0</x:v>
      </x:c>
      <x:c r="H141" s="7" t="n">
        <x:f>COUNTIFS('唯一词标签'!$V$2:$V$1441,A141,'唯一词标签'!$U$2:$U$1441,"low")</x:f>
        <x:v>0</x:v>
      </x:c>
      <x:c r="I141" s="7" t="n">
        <x:f>COUNTIFS('唯一词标签'!$V$2:$V$1441,A141,'唯一词标签'!$AB$2:$AB$1441,"needs_review")</x:f>
        <x:v>0</x:v>
      </x:c>
    </x:row>
    <x:row r="142" ht="22" customHeight="1">
      <x:c r="A142" s="7" t="str">
        <x:v>brand_crocs_flip_flops_women</x:v>
      </x:c>
      <x:c r="B142" s="7" t="n">
        <x:f>COUNTIF('唯一词标签'!$V$2:$V$1441,A142)</x:f>
        <x:v>3</x:v>
      </x:c>
      <x:c r="C142" s="55" t="n">
        <x:f>B142/COUNTA('唯一词标签'!$C$2:$C$1441)</x:f>
        <x:v>0.0020833333333333333</x:v>
      </x:c>
      <x:c r="D142" s="7" t="n">
        <x:f>COUNTIFS('唯一词标签'!$V$2:$V$1441,A142,'唯一词标签'!$Z$2:$Z$1441,"match")</x:f>
        <x:v>0</x:v>
      </x:c>
      <x:c r="E142" s="7" t="n">
        <x:f>COUNTIFS('唯一词标签'!$V$2:$V$1441,A142,'唯一词标签'!$Z$2:$Z$1441,"partial_match")</x:f>
        <x:v>0</x:v>
      </x:c>
      <x:c r="F142" s="7" t="n">
        <x:f>COUNTIFS('唯一词标签'!$V$2:$V$1441,A142,'唯一词标签'!$Z$2:$Z$1441,"mismatch")</x:f>
        <x:v>3</x:v>
      </x:c>
      <x:c r="G142" s="7" t="n">
        <x:f>COUNTIFS('唯一词标签'!$V$2:$V$1441,A142,'唯一词标签'!$Z$2:$Z$1441,"unknown")</x:f>
        <x:v>0</x:v>
      </x:c>
      <x:c r="H142" s="7" t="n">
        <x:f>COUNTIFS('唯一词标签'!$V$2:$V$1441,A142,'唯一词标签'!$U$2:$U$1441,"low")</x:f>
        <x:v>0</x:v>
      </x:c>
      <x:c r="I142" s="7" t="n">
        <x:f>COUNTIFS('唯一词标签'!$V$2:$V$1441,A142,'唯一词标签'!$AB$2:$AB$1441,"needs_review")</x:f>
        <x:v>0</x:v>
      </x:c>
    </x:row>
    <x:row r="143" ht="22" customHeight="1">
      <x:c r="A143" s="7" t="str">
        <x:v>brand_crocs_platform_flip_flops_women</x:v>
      </x:c>
      <x:c r="B143" s="7" t="n">
        <x:f>COUNTIF('唯一词标签'!$V$2:$V$1441,A143)</x:f>
        <x:v>1</x:v>
      </x:c>
      <x:c r="C143" s="55" t="n">
        <x:f>B143/COUNTA('唯一词标签'!$C$2:$C$1441)</x:f>
        <x:v>0.0006944444444444445</x:v>
      </x:c>
      <x:c r="D143" s="7" t="n">
        <x:f>COUNTIFS('唯一词标签'!$V$2:$V$1441,A143,'唯一词标签'!$Z$2:$Z$1441,"match")</x:f>
        <x:v>0</x:v>
      </x:c>
      <x:c r="E143" s="7" t="n">
        <x:f>COUNTIFS('唯一词标签'!$V$2:$V$1441,A143,'唯一词标签'!$Z$2:$Z$1441,"partial_match")</x:f>
        <x:v>0</x:v>
      </x:c>
      <x:c r="F143" s="7" t="n">
        <x:f>COUNTIFS('唯一词标签'!$V$2:$V$1441,A143,'唯一词标签'!$Z$2:$Z$1441,"mismatch")</x:f>
        <x:v>1</x:v>
      </x:c>
      <x:c r="G143" s="7" t="n">
        <x:f>COUNTIFS('唯一词标签'!$V$2:$V$1441,A143,'唯一词标签'!$Z$2:$Z$1441,"unknown")</x:f>
        <x:v>0</x:v>
      </x:c>
      <x:c r="H143" s="7" t="n">
        <x:f>COUNTIFS('唯一词标签'!$V$2:$V$1441,A143,'唯一词标签'!$U$2:$U$1441,"low")</x:f>
        <x:v>0</x:v>
      </x:c>
      <x:c r="I143" s="7" t="n">
        <x:f>COUNTIFS('唯一词标签'!$V$2:$V$1441,A143,'唯一词标签'!$AB$2:$AB$1441,"needs_review")</x:f>
        <x:v>0</x:v>
      </x:c>
    </x:row>
    <x:row r="144" ht="22" customHeight="1">
      <x:c r="A144" s="7" t="str">
        <x:v>brand_feelgoodz_womens_flip_flops</x:v>
      </x:c>
      <x:c r="B144" s="7" t="n">
        <x:f>COUNTIF('唯一词标签'!$V$2:$V$1441,A144)</x:f>
        <x:v>1</x:v>
      </x:c>
      <x:c r="C144" s="55" t="n">
        <x:f>B144/COUNTA('唯一词标签'!$C$2:$C$1441)</x:f>
        <x:v>0.0006944444444444445</x:v>
      </x:c>
      <x:c r="D144" s="7" t="n">
        <x:f>COUNTIFS('唯一词标签'!$V$2:$V$1441,A144,'唯一词标签'!$Z$2:$Z$1441,"match")</x:f>
        <x:v>0</x:v>
      </x:c>
      <x:c r="E144" s="7" t="n">
        <x:f>COUNTIFS('唯一词标签'!$V$2:$V$1441,A144,'唯一词标签'!$Z$2:$Z$1441,"partial_match")</x:f>
        <x:v>0</x:v>
      </x:c>
      <x:c r="F144" s="7" t="n">
        <x:f>COUNTIFS('唯一词标签'!$V$2:$V$1441,A144,'唯一词标签'!$Z$2:$Z$1441,"mismatch")</x:f>
        <x:v>1</x:v>
      </x:c>
      <x:c r="G144" s="7" t="n">
        <x:f>COUNTIFS('唯一词标签'!$V$2:$V$1441,A144,'唯一词标签'!$Z$2:$Z$1441,"unknown")</x:f>
        <x:v>0</x:v>
      </x:c>
      <x:c r="H144" s="7" t="n">
        <x:f>COUNTIFS('唯一词标签'!$V$2:$V$1441,A144,'唯一词标签'!$U$2:$U$1441,"low")</x:f>
        <x:v>0</x:v>
      </x:c>
      <x:c r="I144" s="7" t="n">
        <x:f>COUNTIFS('唯一词标签'!$V$2:$V$1441,A144,'唯一词标签'!$AB$2:$AB$1441,"needs_review")</x:f>
        <x:v>0</x:v>
      </x:c>
    </x:row>
    <x:row r="145" ht="22" customHeight="1">
      <x:c r="A145" s="7" t="str">
        <x:v>brand_fitflop</x:v>
      </x:c>
      <x:c r="B145" s="7" t="n">
        <x:f>COUNTIF('唯一词标签'!$V$2:$V$1441,A145)</x:f>
        <x:v>2</x:v>
      </x:c>
      <x:c r="C145" s="55" t="n">
        <x:f>B145/COUNTA('唯一词标签'!$C$2:$C$1441)</x:f>
        <x:v>0.001388888888888889</x:v>
      </x:c>
      <x:c r="D145" s="7" t="n">
        <x:f>COUNTIFS('唯一词标签'!$V$2:$V$1441,A145,'唯一词标签'!$Z$2:$Z$1441,"match")</x:f>
        <x:v>0</x:v>
      </x:c>
      <x:c r="E145" s="7" t="n">
        <x:f>COUNTIFS('唯一词标签'!$V$2:$V$1441,A145,'唯一词标签'!$Z$2:$Z$1441,"partial_match")</x:f>
        <x:v>0</x:v>
      </x:c>
      <x:c r="F145" s="7" t="n">
        <x:f>COUNTIFS('唯一词标签'!$V$2:$V$1441,A145,'唯一词标签'!$Z$2:$Z$1441,"mismatch")</x:f>
        <x:v>2</x:v>
      </x:c>
      <x:c r="G145" s="7" t="n">
        <x:f>COUNTIFS('唯一词标签'!$V$2:$V$1441,A145,'唯一词标签'!$Z$2:$Z$1441,"unknown")</x:f>
        <x:v>0</x:v>
      </x:c>
      <x:c r="H145" s="7" t="n">
        <x:f>COUNTIFS('唯一词标签'!$V$2:$V$1441,A145,'唯一词标签'!$U$2:$U$1441,"low")</x:f>
        <x:v>0</x:v>
      </x:c>
      <x:c r="I145" s="7" t="n">
        <x:f>COUNTIFS('唯一词标签'!$V$2:$V$1441,A145,'唯一词标签'!$AB$2:$AB$1441,"needs_review")</x:f>
        <x:v>0</x:v>
      </x:c>
    </x:row>
    <x:row r="146" ht="22" customHeight="1">
      <x:c r="A146" s="7" t="str">
        <x:v>brand_fitflop_collab_women</x:v>
      </x:c>
      <x:c r="B146" s="7" t="n">
        <x:f>COUNTIF('唯一词标签'!$V$2:$V$1441,A146)</x:f>
        <x:v>1</x:v>
      </x:c>
      <x:c r="C146" s="55" t="n">
        <x:f>B146/COUNTA('唯一词标签'!$C$2:$C$1441)</x:f>
        <x:v>0.0006944444444444445</x:v>
      </x:c>
      <x:c r="D146" s="7" t="n">
        <x:f>COUNTIFS('唯一词标签'!$V$2:$V$1441,A146,'唯一词标签'!$Z$2:$Z$1441,"match")</x:f>
        <x:v>0</x:v>
      </x:c>
      <x:c r="E146" s="7" t="n">
        <x:f>COUNTIFS('唯一词标签'!$V$2:$V$1441,A146,'唯一词标签'!$Z$2:$Z$1441,"partial_match")</x:f>
        <x:v>0</x:v>
      </x:c>
      <x:c r="F146" s="7" t="n">
        <x:f>COUNTIFS('唯一词标签'!$V$2:$V$1441,A146,'唯一词标签'!$Z$2:$Z$1441,"mismatch")</x:f>
        <x:v>1</x:v>
      </x:c>
      <x:c r="G146" s="7" t="n">
        <x:f>COUNTIFS('唯一词标签'!$V$2:$V$1441,A146,'唯一词标签'!$Z$2:$Z$1441,"unknown")</x:f>
        <x:v>0</x:v>
      </x:c>
      <x:c r="H146" s="7" t="n">
        <x:f>COUNTIFS('唯一词标签'!$V$2:$V$1441,A146,'唯一词标签'!$U$2:$U$1441,"low")</x:f>
        <x:v>0</x:v>
      </x:c>
      <x:c r="I146" s="7" t="n">
        <x:f>COUNTIFS('唯一词标签'!$V$2:$V$1441,A146,'唯一词标签'!$AB$2:$AB$1441,"needs_review")</x:f>
        <x:v>0</x:v>
      </x:c>
    </x:row>
    <x:row r="147" ht="22" customHeight="1">
      <x:c r="A147" s="7" t="str">
        <x:v>brand_fitflop_flip_flops_women</x:v>
      </x:c>
      <x:c r="B147" s="7" t="n">
        <x:f>COUNTIF('唯一词标签'!$V$2:$V$1441,A147)</x:f>
        <x:v>1</x:v>
      </x:c>
      <x:c r="C147" s="55" t="n">
        <x:f>B147/COUNTA('唯一词标签'!$C$2:$C$1441)</x:f>
        <x:v>0.0006944444444444445</x:v>
      </x:c>
      <x:c r="D147" s="7" t="n">
        <x:f>COUNTIFS('唯一词标签'!$V$2:$V$1441,A147,'唯一词标签'!$Z$2:$Z$1441,"match")</x:f>
        <x:v>0</x:v>
      </x:c>
      <x:c r="E147" s="7" t="n">
        <x:f>COUNTIFS('唯一词标签'!$V$2:$V$1441,A147,'唯一词标签'!$Z$2:$Z$1441,"partial_match")</x:f>
        <x:v>0</x:v>
      </x:c>
      <x:c r="F147" s="7" t="n">
        <x:f>COUNTIFS('唯一词标签'!$V$2:$V$1441,A147,'唯一词标签'!$Z$2:$Z$1441,"mismatch")</x:f>
        <x:v>1</x:v>
      </x:c>
      <x:c r="G147" s="7" t="n">
        <x:f>COUNTIFS('唯一词标签'!$V$2:$V$1441,A147,'唯一词标签'!$Z$2:$Z$1441,"unknown")</x:f>
        <x:v>0</x:v>
      </x:c>
      <x:c r="H147" s="7" t="n">
        <x:f>COUNTIFS('唯一词标签'!$V$2:$V$1441,A147,'唯一词标签'!$U$2:$U$1441,"low")</x:f>
        <x:v>0</x:v>
      </x:c>
      <x:c r="I147" s="7" t="n">
        <x:f>COUNTIFS('唯一词标签'!$V$2:$V$1441,A147,'唯一词标签'!$AB$2:$AB$1441,"needs_review")</x:f>
        <x:v>0</x:v>
      </x:c>
    </x:row>
    <x:row r="148" ht="22" customHeight="1">
      <x:c r="A148" s="7" t="str">
        <x:v>brand_fitflop_women</x:v>
      </x:c>
      <x:c r="B148" s="7" t="n">
        <x:f>COUNTIF('唯一词标签'!$V$2:$V$1441,A148)</x:f>
        <x:v>1</x:v>
      </x:c>
      <x:c r="C148" s="55" t="n">
        <x:f>B148/COUNTA('唯一词标签'!$C$2:$C$1441)</x:f>
        <x:v>0.0006944444444444445</x:v>
      </x:c>
      <x:c r="D148" s="7" t="n">
        <x:f>COUNTIFS('唯一词标签'!$V$2:$V$1441,A148,'唯一词标签'!$Z$2:$Z$1441,"match")</x:f>
        <x:v>0</x:v>
      </x:c>
      <x:c r="E148" s="7" t="n">
        <x:f>COUNTIFS('唯一词标签'!$V$2:$V$1441,A148,'唯一词标签'!$Z$2:$Z$1441,"partial_match")</x:f>
        <x:v>0</x:v>
      </x:c>
      <x:c r="F148" s="7" t="n">
        <x:f>COUNTIFS('唯一词标签'!$V$2:$V$1441,A148,'唯一词标签'!$Z$2:$Z$1441,"mismatch")</x:f>
        <x:v>1</x:v>
      </x:c>
      <x:c r="G148" s="7" t="n">
        <x:f>COUNTIFS('唯一词标签'!$V$2:$V$1441,A148,'唯一词标签'!$Z$2:$Z$1441,"unknown")</x:f>
        <x:v>0</x:v>
      </x:c>
      <x:c r="H148" s="7" t="n">
        <x:f>COUNTIFS('唯一词标签'!$V$2:$V$1441,A148,'唯一词标签'!$U$2:$U$1441,"low")</x:f>
        <x:v>0</x:v>
      </x:c>
      <x:c r="I148" s="7" t="n">
        <x:f>COUNTIFS('唯一词标签'!$V$2:$V$1441,A148,'唯一词标签'!$AB$2:$AB$1441,"needs_review")</x:f>
        <x:v>0</x:v>
      </x:c>
    </x:row>
    <x:row r="149" ht="22" customHeight="1">
      <x:c r="A149" s="7" t="str">
        <x:v>brand_flip_flops</x:v>
      </x:c>
      <x:c r="B149" s="7" t="n">
        <x:f>COUNTIF('唯一词标签'!$V$2:$V$1441,A149)</x:f>
        <x:v>1</x:v>
      </x:c>
      <x:c r="C149" s="55" t="n">
        <x:f>B149/COUNTA('唯一词标签'!$C$2:$C$1441)</x:f>
        <x:v>0.0006944444444444445</x:v>
      </x:c>
      <x:c r="D149" s="7" t="n">
        <x:f>COUNTIFS('唯一词标签'!$V$2:$V$1441,A149,'唯一词标签'!$Z$2:$Z$1441,"match")</x:f>
        <x:v>0</x:v>
      </x:c>
      <x:c r="E149" s="7" t="n">
        <x:f>COUNTIFS('唯一词标签'!$V$2:$V$1441,A149,'唯一词标签'!$Z$2:$Z$1441,"partial_match")</x:f>
        <x:v>0</x:v>
      </x:c>
      <x:c r="F149" s="7" t="n">
        <x:f>COUNTIFS('唯一词标签'!$V$2:$V$1441,A149,'唯一词标签'!$Z$2:$Z$1441,"mismatch")</x:f>
        <x:v>1</x:v>
      </x:c>
      <x:c r="G149" s="7" t="n">
        <x:f>COUNTIFS('唯一词标签'!$V$2:$V$1441,A149,'唯一词标签'!$Z$2:$Z$1441,"unknown")</x:f>
        <x:v>0</x:v>
      </x:c>
      <x:c r="H149" s="7" t="n">
        <x:f>COUNTIFS('唯一词标签'!$V$2:$V$1441,A149,'唯一词标签'!$U$2:$U$1441,"low")</x:f>
        <x:v>0</x:v>
      </x:c>
      <x:c r="I149" s="7" t="n">
        <x:f>COUNTIFS('唯一词标签'!$V$2:$V$1441,A149,'唯一词标签'!$AB$2:$AB$1441,"needs_review")</x:f>
        <x:v>0</x:v>
      </x:c>
    </x:row>
    <x:row r="150" ht="22" customHeight="1">
      <x:c r="A150" s="7" t="str">
        <x:v>brand_flip_flops_archies</x:v>
      </x:c>
      <x:c r="B150" s="7" t="n">
        <x:f>COUNTIF('唯一词标签'!$V$2:$V$1441,A150)</x:f>
        <x:v>2</x:v>
      </x:c>
      <x:c r="C150" s="55" t="n">
        <x:f>B150/COUNTA('唯一词标签'!$C$2:$C$1441)</x:f>
        <x:v>0.001388888888888889</x:v>
      </x:c>
      <x:c r="D150" s="7" t="n">
        <x:f>COUNTIFS('唯一词标签'!$V$2:$V$1441,A150,'唯一词标签'!$Z$2:$Z$1441,"match")</x:f>
        <x:v>0</x:v>
      </x:c>
      <x:c r="E150" s="7" t="n">
        <x:f>COUNTIFS('唯一词标签'!$V$2:$V$1441,A150,'唯一词标签'!$Z$2:$Z$1441,"partial_match")</x:f>
        <x:v>0</x:v>
      </x:c>
      <x:c r="F150" s="7" t="n">
        <x:f>COUNTIFS('唯一词标签'!$V$2:$V$1441,A150,'唯一词标签'!$Z$2:$Z$1441,"mismatch")</x:f>
        <x:v>2</x:v>
      </x:c>
      <x:c r="G150" s="7" t="n">
        <x:f>COUNTIFS('唯一词标签'!$V$2:$V$1441,A150,'唯一词标签'!$Z$2:$Z$1441,"unknown")</x:f>
        <x:v>0</x:v>
      </x:c>
      <x:c r="H150" s="7" t="n">
        <x:f>COUNTIFS('唯一词标签'!$V$2:$V$1441,A150,'唯一词标签'!$U$2:$U$1441,"low")</x:f>
        <x:v>0</x:v>
      </x:c>
      <x:c r="I150" s="7" t="n">
        <x:f>COUNTIFS('唯一词标签'!$V$2:$V$1441,A150,'唯一词标签'!$AB$2:$AB$1441,"needs_review")</x:f>
        <x:v>0</x:v>
      </x:c>
    </x:row>
    <x:row r="151" ht="22" customHeight="1">
      <x:c r="A151" s="7" t="str">
        <x:v>brand_flip_flops_archies_women</x:v>
      </x:c>
      <x:c r="B151" s="7" t="n">
        <x:f>COUNTIF('唯一词标签'!$V$2:$V$1441,A151)</x:f>
        <x:v>1</x:v>
      </x:c>
      <x:c r="C151" s="55" t="n">
        <x:f>B151/COUNTA('唯一词标签'!$C$2:$C$1441)</x:f>
        <x:v>0.0006944444444444445</x:v>
      </x:c>
      <x:c r="D151" s="7" t="n">
        <x:f>COUNTIFS('唯一词标签'!$V$2:$V$1441,A151,'唯一词标签'!$Z$2:$Z$1441,"match")</x:f>
        <x:v>0</x:v>
      </x:c>
      <x:c r="E151" s="7" t="n">
        <x:f>COUNTIFS('唯一词标签'!$V$2:$V$1441,A151,'唯一词标签'!$Z$2:$Z$1441,"partial_match")</x:f>
        <x:v>0</x:v>
      </x:c>
      <x:c r="F151" s="7" t="n">
        <x:f>COUNTIFS('唯一词标签'!$V$2:$V$1441,A151,'唯一词标签'!$Z$2:$Z$1441,"mismatch")</x:f>
        <x:v>1</x:v>
      </x:c>
      <x:c r="G151" s="7" t="n">
        <x:f>COUNTIFS('唯一词标签'!$V$2:$V$1441,A151,'唯一词标签'!$Z$2:$Z$1441,"unknown")</x:f>
        <x:v>0</x:v>
      </x:c>
      <x:c r="H151" s="7" t="n">
        <x:f>COUNTIFS('唯一词标签'!$V$2:$V$1441,A151,'唯一词标签'!$U$2:$U$1441,"low")</x:f>
        <x:v>0</x:v>
      </x:c>
      <x:c r="I151" s="7" t="n">
        <x:f>COUNTIFS('唯一词标签'!$V$2:$V$1441,A151,'唯一词标签'!$AB$2:$AB$1441,"needs_review")</x:f>
        <x:v>0</x:v>
      </x:c>
    </x:row>
    <x:row r="152" ht="22" customHeight="1">
      <x:c r="A152" s="7" t="str">
        <x:v>brand_flip_flops_litfun</x:v>
      </x:c>
      <x:c r="B152" s="7" t="n">
        <x:f>COUNTIF('唯一词标签'!$V$2:$V$1441,A152)</x:f>
        <x:v>1</x:v>
      </x:c>
      <x:c r="C152" s="55" t="n">
        <x:f>B152/COUNTA('唯一词标签'!$C$2:$C$1441)</x:f>
        <x:v>0.0006944444444444445</x:v>
      </x:c>
      <x:c r="D152" s="7" t="n">
        <x:f>COUNTIFS('唯一词标签'!$V$2:$V$1441,A152,'唯一词标签'!$Z$2:$Z$1441,"match")</x:f>
        <x:v>0</x:v>
      </x:c>
      <x:c r="E152" s="7" t="n">
        <x:f>COUNTIFS('唯一词标签'!$V$2:$V$1441,A152,'唯一词标签'!$Z$2:$Z$1441,"partial_match")</x:f>
        <x:v>0</x:v>
      </x:c>
      <x:c r="F152" s="7" t="n">
        <x:f>COUNTIFS('唯一词标签'!$V$2:$V$1441,A152,'唯一词标签'!$Z$2:$Z$1441,"mismatch")</x:f>
        <x:v>1</x:v>
      </x:c>
      <x:c r="G152" s="7" t="n">
        <x:f>COUNTIFS('唯一词标签'!$V$2:$V$1441,A152,'唯一词标签'!$Z$2:$Z$1441,"unknown")</x:f>
        <x:v>0</x:v>
      </x:c>
      <x:c r="H152" s="7" t="n">
        <x:f>COUNTIFS('唯一词标签'!$V$2:$V$1441,A152,'唯一词标签'!$U$2:$U$1441,"low")</x:f>
        <x:v>0</x:v>
      </x:c>
      <x:c r="I152" s="7" t="n">
        <x:f>COUNTIFS('唯一词标签'!$V$2:$V$1441,A152,'唯一词标签'!$AB$2:$AB$1441,"needs_review")</x:f>
        <x:v>0</x:v>
      </x:c>
    </x:row>
    <x:row r="153" ht="22" customHeight="1">
      <x:c r="A153" s="7" t="str">
        <x:v>brand_flip_flops_women</x:v>
      </x:c>
      <x:c r="B153" s="7" t="n">
        <x:f>COUNTIF('唯一词标签'!$V$2:$V$1441,A153)</x:f>
        <x:v>1</x:v>
      </x:c>
      <x:c r="C153" s="55" t="n">
        <x:f>B153/COUNTA('唯一词标签'!$C$2:$C$1441)</x:f>
        <x:v>0.0006944444444444445</x:v>
      </x:c>
      <x:c r="D153" s="7" t="n">
        <x:f>COUNTIFS('唯一词标签'!$V$2:$V$1441,A153,'唯一词标签'!$Z$2:$Z$1441,"match")</x:f>
        <x:v>0</x:v>
      </x:c>
      <x:c r="E153" s="7" t="n">
        <x:f>COUNTIFS('唯一词标签'!$V$2:$V$1441,A153,'唯一词标签'!$Z$2:$Z$1441,"partial_match")</x:f>
        <x:v>0</x:v>
      </x:c>
      <x:c r="F153" s="7" t="n">
        <x:f>COUNTIFS('唯一词标签'!$V$2:$V$1441,A153,'唯一词标签'!$Z$2:$Z$1441,"mismatch")</x:f>
        <x:v>1</x:v>
      </x:c>
      <x:c r="G153" s="7" t="n">
        <x:f>COUNTIFS('唯一词标签'!$V$2:$V$1441,A153,'唯一词标签'!$Z$2:$Z$1441,"unknown")</x:f>
        <x:v>0</x:v>
      </x:c>
      <x:c r="H153" s="7" t="n">
        <x:f>COUNTIFS('唯一词标签'!$V$2:$V$1441,A153,'唯一词标签'!$U$2:$U$1441,"low")</x:f>
        <x:v>0</x:v>
      </x:c>
      <x:c r="I153" s="7" t="n">
        <x:f>COUNTIFS('唯一词标签'!$V$2:$V$1441,A153,'唯一词标签'!$AB$2:$AB$1441,"needs_review")</x:f>
        <x:v>0</x:v>
      </x:c>
    </x:row>
    <x:row r="154" ht="22" customHeight="1">
      <x:c r="A154" s="7" t="str">
        <x:v>brand_flo_hos_flip_flops</x:v>
      </x:c>
      <x:c r="B154" s="7" t="n">
        <x:f>COUNTIF('唯一词标签'!$V$2:$V$1441,A154)</x:f>
        <x:v>1</x:v>
      </x:c>
      <x:c r="C154" s="55" t="n">
        <x:f>B154/COUNTA('唯一词标签'!$C$2:$C$1441)</x:f>
        <x:v>0.0006944444444444445</x:v>
      </x:c>
      <x:c r="D154" s="7" t="n">
        <x:f>COUNTIFS('唯一词标签'!$V$2:$V$1441,A154,'唯一词标签'!$Z$2:$Z$1441,"match")</x:f>
        <x:v>0</x:v>
      </x:c>
      <x:c r="E154" s="7" t="n">
        <x:f>COUNTIFS('唯一词标签'!$V$2:$V$1441,A154,'唯一词标签'!$Z$2:$Z$1441,"partial_match")</x:f>
        <x:v>0</x:v>
      </x:c>
      <x:c r="F154" s="7" t="n">
        <x:f>COUNTIFS('唯一词标签'!$V$2:$V$1441,A154,'唯一词标签'!$Z$2:$Z$1441,"mismatch")</x:f>
        <x:v>1</x:v>
      </x:c>
      <x:c r="G154" s="7" t="n">
        <x:f>COUNTIFS('唯一词标签'!$V$2:$V$1441,A154,'唯一词标签'!$Z$2:$Z$1441,"unknown")</x:f>
        <x:v>0</x:v>
      </x:c>
      <x:c r="H154" s="7" t="n">
        <x:f>COUNTIFS('唯一词标签'!$V$2:$V$1441,A154,'唯一词标签'!$U$2:$U$1441,"low")</x:f>
        <x:v>0</x:v>
      </x:c>
      <x:c r="I154" s="7" t="n">
        <x:f>COUNTIFS('唯一词标签'!$V$2:$V$1441,A154,'唯一词标签'!$AB$2:$AB$1441,"needs_review")</x:f>
        <x:v>0</x:v>
      </x:c>
    </x:row>
    <x:row r="155" ht="22" customHeight="1">
      <x:c r="A155" s="7" t="str">
        <x:v>brand_havaianas_flip_flops_women</x:v>
      </x:c>
      <x:c r="B155" s="7" t="n">
        <x:f>COUNTIF('唯一词标签'!$V$2:$V$1441,A155)</x:f>
        <x:v>2</x:v>
      </x:c>
      <x:c r="C155" s="55" t="n">
        <x:f>B155/COUNTA('唯一词标签'!$C$2:$C$1441)</x:f>
        <x:v>0.001388888888888889</x:v>
      </x:c>
      <x:c r="D155" s="7" t="n">
        <x:f>COUNTIFS('唯一词标签'!$V$2:$V$1441,A155,'唯一词标签'!$Z$2:$Z$1441,"match")</x:f>
        <x:v>0</x:v>
      </x:c>
      <x:c r="E155" s="7" t="n">
        <x:f>COUNTIFS('唯一词标签'!$V$2:$V$1441,A155,'唯一词标签'!$Z$2:$Z$1441,"partial_match")</x:f>
        <x:v>0</x:v>
      </x:c>
      <x:c r="F155" s="7" t="n">
        <x:f>COUNTIFS('唯一词标签'!$V$2:$V$1441,A155,'唯一词标签'!$Z$2:$Z$1441,"mismatch")</x:f>
        <x:v>2</x:v>
      </x:c>
      <x:c r="G155" s="7" t="n">
        <x:f>COUNTIFS('唯一词标签'!$V$2:$V$1441,A155,'唯一词标签'!$Z$2:$Z$1441,"unknown")</x:f>
        <x:v>0</x:v>
      </x:c>
      <x:c r="H155" s="7" t="n">
        <x:f>COUNTIFS('唯一词标签'!$V$2:$V$1441,A155,'唯一词标签'!$U$2:$U$1441,"low")</x:f>
        <x:v>0</x:v>
      </x:c>
      <x:c r="I155" s="7" t="n">
        <x:f>COUNTIFS('唯一词标签'!$V$2:$V$1441,A155,'唯一词标签'!$AB$2:$AB$1441,"needs_review")</x:f>
        <x:v>0</x:v>
      </x:c>
    </x:row>
    <x:row r="156" ht="22" customHeight="1">
      <x:c r="A156" s="7" t="str">
        <x:v>brand_heydude_flip_flops</x:v>
      </x:c>
      <x:c r="B156" s="7" t="n">
        <x:f>COUNTIF('唯一词标签'!$V$2:$V$1441,A156)</x:f>
        <x:v>1</x:v>
      </x:c>
      <x:c r="C156" s="55" t="n">
        <x:f>B156/COUNTA('唯一词标签'!$C$2:$C$1441)</x:f>
        <x:v>0.0006944444444444445</x:v>
      </x:c>
      <x:c r="D156" s="7" t="n">
        <x:f>COUNTIFS('唯一词标签'!$V$2:$V$1441,A156,'唯一词标签'!$Z$2:$Z$1441,"match")</x:f>
        <x:v>0</x:v>
      </x:c>
      <x:c r="E156" s="7" t="n">
        <x:f>COUNTIFS('唯一词标签'!$V$2:$V$1441,A156,'唯一词标签'!$Z$2:$Z$1441,"partial_match")</x:f>
        <x:v>0</x:v>
      </x:c>
      <x:c r="F156" s="7" t="n">
        <x:f>COUNTIFS('唯一词标签'!$V$2:$V$1441,A156,'唯一词标签'!$Z$2:$Z$1441,"mismatch")</x:f>
        <x:v>1</x:v>
      </x:c>
      <x:c r="G156" s="7" t="n">
        <x:f>COUNTIFS('唯一词标签'!$V$2:$V$1441,A156,'唯一词标签'!$Z$2:$Z$1441,"unknown")</x:f>
        <x:v>0</x:v>
      </x:c>
      <x:c r="H156" s="7" t="n">
        <x:f>COUNTIFS('唯一词标签'!$V$2:$V$1441,A156,'唯一词标签'!$U$2:$U$1441,"low")</x:f>
        <x:v>0</x:v>
      </x:c>
      <x:c r="I156" s="7" t="n">
        <x:f>COUNTIFS('唯一词标签'!$V$2:$V$1441,A156,'唯一词标签'!$AB$2:$AB$1441,"needs_review")</x:f>
        <x:v>0</x:v>
      </x:c>
    </x:row>
    <x:row r="157" ht="22" customHeight="1">
      <x:c r="A157" s="7" t="str">
        <x:v>brand_heydude_flip_flops_women</x:v>
      </x:c>
      <x:c r="B157" s="7" t="n">
        <x:f>COUNTIF('唯一词标签'!$V$2:$V$1441,A157)</x:f>
        <x:v>1</x:v>
      </x:c>
      <x:c r="C157" s="55" t="n">
        <x:f>B157/COUNTA('唯一词标签'!$C$2:$C$1441)</x:f>
        <x:v>0.0006944444444444445</x:v>
      </x:c>
      <x:c r="D157" s="7" t="n">
        <x:f>COUNTIFS('唯一词标签'!$V$2:$V$1441,A157,'唯一词标签'!$Z$2:$Z$1441,"match")</x:f>
        <x:v>0</x:v>
      </x:c>
      <x:c r="E157" s="7" t="n">
        <x:f>COUNTIFS('唯一词标签'!$V$2:$V$1441,A157,'唯一词标签'!$Z$2:$Z$1441,"partial_match")</x:f>
        <x:v>0</x:v>
      </x:c>
      <x:c r="F157" s="7" t="n">
        <x:f>COUNTIFS('唯一词标签'!$V$2:$V$1441,A157,'唯一词标签'!$Z$2:$Z$1441,"mismatch")</x:f>
        <x:v>1</x:v>
      </x:c>
      <x:c r="G157" s="7" t="n">
        <x:f>COUNTIFS('唯一词标签'!$V$2:$V$1441,A157,'唯一词标签'!$Z$2:$Z$1441,"unknown")</x:f>
        <x:v>0</x:v>
      </x:c>
      <x:c r="H157" s="7" t="n">
        <x:f>COUNTIFS('唯一词标签'!$V$2:$V$1441,A157,'唯一词标签'!$U$2:$U$1441,"low")</x:f>
        <x:v>0</x:v>
      </x:c>
      <x:c r="I157" s="7" t="n">
        <x:f>COUNTIFS('唯一词标签'!$V$2:$V$1441,A157,'唯一词标签'!$AB$2:$AB$1441,"needs_review")</x:f>
        <x:v>0</x:v>
      </x:c>
    </x:row>
    <x:row r="158" ht="22" customHeight="1">
      <x:c r="A158" s="7" t="str">
        <x:v>brand_joomra_flip_flops</x:v>
      </x:c>
      <x:c r="B158" s="7" t="n">
        <x:f>COUNTIF('唯一词标签'!$V$2:$V$1441,A158)</x:f>
        <x:v>2</x:v>
      </x:c>
      <x:c r="C158" s="55" t="n">
        <x:f>B158/COUNTA('唯一词标签'!$C$2:$C$1441)</x:f>
        <x:v>0.001388888888888889</x:v>
      </x:c>
      <x:c r="D158" s="7" t="n">
        <x:f>COUNTIFS('唯一词标签'!$V$2:$V$1441,A158,'唯一词标签'!$Z$2:$Z$1441,"match")</x:f>
        <x:v>2</x:v>
      </x:c>
      <x:c r="E158" s="7" t="n">
        <x:f>COUNTIFS('唯一词标签'!$V$2:$V$1441,A158,'唯一词标签'!$Z$2:$Z$1441,"partial_match")</x:f>
        <x:v>0</x:v>
      </x:c>
      <x:c r="F158" s="7" t="n">
        <x:f>COUNTIFS('唯一词标签'!$V$2:$V$1441,A158,'唯一词标签'!$Z$2:$Z$1441,"mismatch")</x:f>
        <x:v>0</x:v>
      </x:c>
      <x:c r="G158" s="7" t="n">
        <x:f>COUNTIFS('唯一词标签'!$V$2:$V$1441,A158,'唯一词标签'!$Z$2:$Z$1441,"unknown")</x:f>
        <x:v>0</x:v>
      </x:c>
      <x:c r="H158" s="7" t="n">
        <x:f>COUNTIFS('唯一词标签'!$V$2:$V$1441,A158,'唯一词标签'!$U$2:$U$1441,"low")</x:f>
        <x:v>0</x:v>
      </x:c>
      <x:c r="I158" s="7" t="n">
        <x:f>COUNTIFS('唯一词标签'!$V$2:$V$1441,A158,'唯一词标签'!$AB$2:$AB$1441,"needs_review")</x:f>
        <x:v>0</x:v>
      </x:c>
    </x:row>
    <x:row r="159" ht="22" customHeight="1">
      <x:c r="A159" s="7" t="str">
        <x:v>brand_nike_celso_flip_flops</x:v>
      </x:c>
      <x:c r="B159" s="7" t="n">
        <x:f>COUNTIF('唯一词标签'!$V$2:$V$1441,A159)</x:f>
        <x:v>1</x:v>
      </x:c>
      <x:c r="C159" s="55" t="n">
        <x:f>B159/COUNTA('唯一词标签'!$C$2:$C$1441)</x:f>
        <x:v>0.0006944444444444445</x:v>
      </x:c>
      <x:c r="D159" s="7" t="n">
        <x:f>COUNTIFS('唯一词标签'!$V$2:$V$1441,A159,'唯一词标签'!$Z$2:$Z$1441,"match")</x:f>
        <x:v>0</x:v>
      </x:c>
      <x:c r="E159" s="7" t="n">
        <x:f>COUNTIFS('唯一词标签'!$V$2:$V$1441,A159,'唯一词标签'!$Z$2:$Z$1441,"partial_match")</x:f>
        <x:v>0</x:v>
      </x:c>
      <x:c r="F159" s="7" t="n">
        <x:f>COUNTIFS('唯一词标签'!$V$2:$V$1441,A159,'唯一词标签'!$Z$2:$Z$1441,"mismatch")</x:f>
        <x:v>1</x:v>
      </x:c>
      <x:c r="G159" s="7" t="n">
        <x:f>COUNTIFS('唯一词标签'!$V$2:$V$1441,A159,'唯一词标签'!$Z$2:$Z$1441,"unknown")</x:f>
        <x:v>0</x:v>
      </x:c>
      <x:c r="H159" s="7" t="n">
        <x:f>COUNTIFS('唯一词标签'!$V$2:$V$1441,A159,'唯一词标签'!$U$2:$U$1441,"low")</x:f>
        <x:v>0</x:v>
      </x:c>
      <x:c r="I159" s="7" t="n">
        <x:f>COUNTIFS('唯一词标签'!$V$2:$V$1441,A159,'唯一词标签'!$AB$2:$AB$1441,"needs_review")</x:f>
        <x:v>0</x:v>
      </x:c>
    </x:row>
    <x:row r="160" ht="22" customHeight="1">
      <x:c r="A160" s="7" t="str">
        <x:v>brand_nike_flip_flops_women</x:v>
      </x:c>
      <x:c r="B160" s="7" t="n">
        <x:f>COUNTIF('唯一词标签'!$V$2:$V$1441,A160)</x:f>
        <x:v>2</x:v>
      </x:c>
      <x:c r="C160" s="55" t="n">
        <x:f>B160/COUNTA('唯一词标签'!$C$2:$C$1441)</x:f>
        <x:v>0.001388888888888889</x:v>
      </x:c>
      <x:c r="D160" s="7" t="n">
        <x:f>COUNTIFS('唯一词标签'!$V$2:$V$1441,A160,'唯一词标签'!$Z$2:$Z$1441,"match")</x:f>
        <x:v>0</x:v>
      </x:c>
      <x:c r="E160" s="7" t="n">
        <x:f>COUNTIFS('唯一词标签'!$V$2:$V$1441,A160,'唯一词标签'!$Z$2:$Z$1441,"partial_match")</x:f>
        <x:v>0</x:v>
      </x:c>
      <x:c r="F160" s="7" t="n">
        <x:f>COUNTIFS('唯一词标签'!$V$2:$V$1441,A160,'唯一词标签'!$Z$2:$Z$1441,"mismatch")</x:f>
        <x:v>2</x:v>
      </x:c>
      <x:c r="G160" s="7" t="n">
        <x:f>COUNTIFS('唯一词标签'!$V$2:$V$1441,A160,'唯一词标签'!$Z$2:$Z$1441,"unknown")</x:f>
        <x:v>0</x:v>
      </x:c>
      <x:c r="H160" s="7" t="n">
        <x:f>COUNTIFS('唯一词标签'!$V$2:$V$1441,A160,'唯一词标签'!$U$2:$U$1441,"low")</x:f>
        <x:v>0</x:v>
      </x:c>
      <x:c r="I160" s="7" t="n">
        <x:f>COUNTIFS('唯一词标签'!$V$2:$V$1441,A160,'唯一词标签'!$AB$2:$AB$1441,"needs_review")</x:f>
        <x:v>0</x:v>
      </x:c>
    </x:row>
    <x:row r="161" ht="22" customHeight="1">
      <x:c r="A161" s="7" t="str">
        <x:v>brand_op_flip_flops</x:v>
      </x:c>
      <x:c r="B161" s="7" t="n">
        <x:f>COUNTIF('唯一词标签'!$V$2:$V$1441,A161)</x:f>
        <x:v>1</x:v>
      </x:c>
      <x:c r="C161" s="55" t="n">
        <x:f>B161/COUNTA('唯一词标签'!$C$2:$C$1441)</x:f>
        <x:v>0.0006944444444444445</x:v>
      </x:c>
      <x:c r="D161" s="7" t="n">
        <x:f>COUNTIFS('唯一词标签'!$V$2:$V$1441,A161,'唯一词标签'!$Z$2:$Z$1441,"match")</x:f>
        <x:v>0</x:v>
      </x:c>
      <x:c r="E161" s="7" t="n">
        <x:f>COUNTIFS('唯一词标签'!$V$2:$V$1441,A161,'唯一词标签'!$Z$2:$Z$1441,"partial_match")</x:f>
        <x:v>0</x:v>
      </x:c>
      <x:c r="F161" s="7" t="n">
        <x:f>COUNTIFS('唯一词标签'!$V$2:$V$1441,A161,'唯一词标签'!$Z$2:$Z$1441,"mismatch")</x:f>
        <x:v>1</x:v>
      </x:c>
      <x:c r="G161" s="7" t="n">
        <x:f>COUNTIFS('唯一词标签'!$V$2:$V$1441,A161,'唯一词标签'!$Z$2:$Z$1441,"unknown")</x:f>
        <x:v>0</x:v>
      </x:c>
      <x:c r="H161" s="7" t="n">
        <x:f>COUNTIFS('唯一词标签'!$V$2:$V$1441,A161,'唯一词标签'!$U$2:$U$1441,"low")</x:f>
        <x:v>0</x:v>
      </x:c>
      <x:c r="I161" s="7" t="n">
        <x:f>COUNTIFS('唯一词标签'!$V$2:$V$1441,A161,'唯一词标签'!$AB$2:$AB$1441,"needs_review")</x:f>
        <x:v>0</x:v>
      </x:c>
    </x:row>
    <x:row r="162" ht="22" customHeight="1">
      <x:c r="A162" s="7" t="str">
        <x:v>brand_osaka_flip_flops</x:v>
      </x:c>
      <x:c r="B162" s="7" t="n">
        <x:f>COUNTIF('唯一词标签'!$V$2:$V$1441,A162)</x:f>
        <x:v>1</x:v>
      </x:c>
      <x:c r="C162" s="55" t="n">
        <x:f>B162/COUNTA('唯一词标签'!$C$2:$C$1441)</x:f>
        <x:v>0.0006944444444444445</x:v>
      </x:c>
      <x:c r="D162" s="7" t="n">
        <x:f>COUNTIFS('唯一词标签'!$V$2:$V$1441,A162,'唯一词标签'!$Z$2:$Z$1441,"match")</x:f>
        <x:v>0</x:v>
      </x:c>
      <x:c r="E162" s="7" t="n">
        <x:f>COUNTIFS('唯一词标签'!$V$2:$V$1441,A162,'唯一词标签'!$Z$2:$Z$1441,"partial_match")</x:f>
        <x:v>0</x:v>
      </x:c>
      <x:c r="F162" s="7" t="n">
        <x:f>COUNTIFS('唯一词标签'!$V$2:$V$1441,A162,'唯一词标签'!$Z$2:$Z$1441,"mismatch")</x:f>
        <x:v>1</x:v>
      </x:c>
      <x:c r="G162" s="7" t="n">
        <x:f>COUNTIFS('唯一词标签'!$V$2:$V$1441,A162,'唯一词标签'!$Z$2:$Z$1441,"unknown")</x:f>
        <x:v>0</x:v>
      </x:c>
      <x:c r="H162" s="7" t="n">
        <x:f>COUNTIFS('唯一词标签'!$V$2:$V$1441,A162,'唯一词标签'!$U$2:$U$1441,"low")</x:f>
        <x:v>0</x:v>
      </x:c>
      <x:c r="I162" s="7" t="n">
        <x:f>COUNTIFS('唯一词标签'!$V$2:$V$1441,A162,'唯一词标签'!$AB$2:$AB$1441,"needs_review")</x:f>
        <x:v>0</x:v>
      </x:c>
    </x:row>
    <x:row r="163" ht="22" customHeight="1">
      <x:c r="A163" s="7" t="str">
        <x:v>brand_reed_flip_flops</x:v>
      </x:c>
      <x:c r="B163" s="7" t="n">
        <x:f>COUNTIF('唯一词标签'!$V$2:$V$1441,A163)</x:f>
        <x:v>1</x:v>
      </x:c>
      <x:c r="C163" s="55" t="n">
        <x:f>B163/COUNTA('唯一词标签'!$C$2:$C$1441)</x:f>
        <x:v>0.0006944444444444445</x:v>
      </x:c>
      <x:c r="D163" s="7" t="n">
        <x:f>COUNTIFS('唯一词标签'!$V$2:$V$1441,A163,'唯一词标签'!$Z$2:$Z$1441,"match")</x:f>
        <x:v>0</x:v>
      </x:c>
      <x:c r="E163" s="7" t="n">
        <x:f>COUNTIFS('唯一词标签'!$V$2:$V$1441,A163,'唯一词标签'!$Z$2:$Z$1441,"partial_match")</x:f>
        <x:v>0</x:v>
      </x:c>
      <x:c r="F163" s="7" t="n">
        <x:f>COUNTIFS('唯一词标签'!$V$2:$V$1441,A163,'唯一词标签'!$Z$2:$Z$1441,"mismatch")</x:f>
        <x:v>1</x:v>
      </x:c>
      <x:c r="G163" s="7" t="n">
        <x:f>COUNTIFS('唯一词标签'!$V$2:$V$1441,A163,'唯一词标签'!$Z$2:$Z$1441,"unknown")</x:f>
        <x:v>0</x:v>
      </x:c>
      <x:c r="H163" s="7" t="n">
        <x:f>COUNTIFS('唯一词标签'!$V$2:$V$1441,A163,'唯一词标签'!$U$2:$U$1441,"low")</x:f>
        <x:v>0</x:v>
      </x:c>
      <x:c r="I163" s="7" t="n">
        <x:f>COUNTIFS('唯一词标签'!$V$2:$V$1441,A163,'唯一词标签'!$AB$2:$AB$1441,"needs_review")</x:f>
        <x:v>0</x:v>
      </x:c>
    </x:row>
    <x:row r="164" ht="22" customHeight="1">
      <x:c r="A164" s="7" t="str">
        <x:v>brand_reef_flip_flops_women</x:v>
      </x:c>
      <x:c r="B164" s="7" t="n">
        <x:f>COUNTIF('唯一词标签'!$V$2:$V$1441,A164)</x:f>
        <x:v>1</x:v>
      </x:c>
      <x:c r="C164" s="55" t="n">
        <x:f>B164/COUNTA('唯一词标签'!$C$2:$C$1441)</x:f>
        <x:v>0.0006944444444444445</x:v>
      </x:c>
      <x:c r="D164" s="7" t="n">
        <x:f>COUNTIFS('唯一词标签'!$V$2:$V$1441,A164,'唯一词标签'!$Z$2:$Z$1441,"match")</x:f>
        <x:v>0</x:v>
      </x:c>
      <x:c r="E164" s="7" t="n">
        <x:f>COUNTIFS('唯一词标签'!$V$2:$V$1441,A164,'唯一词标签'!$Z$2:$Z$1441,"partial_match")</x:f>
        <x:v>0</x:v>
      </x:c>
      <x:c r="F164" s="7" t="n">
        <x:f>COUNTIFS('唯一词标签'!$V$2:$V$1441,A164,'唯一词标签'!$Z$2:$Z$1441,"mismatch")</x:f>
        <x:v>1</x:v>
      </x:c>
      <x:c r="G164" s="7" t="n">
        <x:f>COUNTIFS('唯一词标签'!$V$2:$V$1441,A164,'唯一词标签'!$Z$2:$Z$1441,"unknown")</x:f>
        <x:v>0</x:v>
      </x:c>
      <x:c r="H164" s="7" t="n">
        <x:f>COUNTIFS('唯一词标签'!$V$2:$V$1441,A164,'唯一词标签'!$U$2:$U$1441,"low")</x:f>
        <x:v>0</x:v>
      </x:c>
      <x:c r="I164" s="7" t="n">
        <x:f>COUNTIFS('唯一词标签'!$V$2:$V$1441,A164,'唯一词标签'!$AB$2:$AB$1441,"needs_review")</x:f>
        <x:v>0</x:v>
      </x:c>
    </x:row>
    <x:row r="165" ht="22" customHeight="1">
      <x:c r="A165" s="7" t="str">
        <x:v>brand_sandals_secra_poppy</x:v>
      </x:c>
      <x:c r="B165" s="7" t="n">
        <x:f>COUNTIF('唯一词标签'!$V$2:$V$1441,A165)</x:f>
        <x:v>1</x:v>
      </x:c>
      <x:c r="C165" s="55" t="n">
        <x:f>B165/COUNTA('唯一词标签'!$C$2:$C$1441)</x:f>
        <x:v>0.0006944444444444445</x:v>
      </x:c>
      <x:c r="D165" s="7" t="n">
        <x:f>COUNTIFS('唯一词标签'!$V$2:$V$1441,A165,'唯一词标签'!$Z$2:$Z$1441,"match")</x:f>
        <x:v>0</x:v>
      </x:c>
      <x:c r="E165" s="7" t="n">
        <x:f>COUNTIFS('唯一词标签'!$V$2:$V$1441,A165,'唯一词标签'!$Z$2:$Z$1441,"partial_match")</x:f>
        <x:v>0</x:v>
      </x:c>
      <x:c r="F165" s="7" t="n">
        <x:f>COUNTIFS('唯一词标签'!$V$2:$V$1441,A165,'唯一词标签'!$Z$2:$Z$1441,"mismatch")</x:f>
        <x:v>1</x:v>
      </x:c>
      <x:c r="G165" s="7" t="n">
        <x:f>COUNTIFS('唯一词标签'!$V$2:$V$1441,A165,'唯一词标签'!$Z$2:$Z$1441,"unknown")</x:f>
        <x:v>0</x:v>
      </x:c>
      <x:c r="H165" s="7" t="n">
        <x:f>COUNTIFS('唯一词标签'!$V$2:$V$1441,A165,'唯一词标签'!$U$2:$U$1441,"low")</x:f>
        <x:v>0</x:v>
      </x:c>
      <x:c r="I165" s="7" t="n">
        <x:f>COUNTIFS('唯一词标签'!$V$2:$V$1441,A165,'唯一词标签'!$AB$2:$AB$1441,"needs_review")</x:f>
        <x:v>0</x:v>
      </x:c>
    </x:row>
    <x:row r="166" ht="22" customHeight="1">
      <x:c r="A166" s="7" t="str">
        <x:v>brand_soleil_sea_flip_flops</x:v>
      </x:c>
      <x:c r="B166" s="7" t="n">
        <x:f>COUNTIF('唯一词标签'!$V$2:$V$1441,A166)</x:f>
        <x:v>1</x:v>
      </x:c>
      <x:c r="C166" s="55" t="n">
        <x:f>B166/COUNTA('唯一词标签'!$C$2:$C$1441)</x:f>
        <x:v>0.0006944444444444445</x:v>
      </x:c>
      <x:c r="D166" s="7" t="n">
        <x:f>COUNTIFS('唯一词标签'!$V$2:$V$1441,A166,'唯一词标签'!$Z$2:$Z$1441,"match")</x:f>
        <x:v>0</x:v>
      </x:c>
      <x:c r="E166" s="7" t="n">
        <x:f>COUNTIFS('唯一词标签'!$V$2:$V$1441,A166,'唯一词标签'!$Z$2:$Z$1441,"partial_match")</x:f>
        <x:v>0</x:v>
      </x:c>
      <x:c r="F166" s="7" t="n">
        <x:f>COUNTIFS('唯一词标签'!$V$2:$V$1441,A166,'唯一词标签'!$Z$2:$Z$1441,"mismatch")</x:f>
        <x:v>1</x:v>
      </x:c>
      <x:c r="G166" s="7" t="n">
        <x:f>COUNTIFS('唯一词标签'!$V$2:$V$1441,A166,'唯一词标签'!$Z$2:$Z$1441,"unknown")</x:f>
        <x:v>0</x:v>
      </x:c>
      <x:c r="H166" s="7" t="n">
        <x:f>COUNTIFS('唯一词标签'!$V$2:$V$1441,A166,'唯一词标签'!$U$2:$U$1441,"low")</x:f>
        <x:v>0</x:v>
      </x:c>
      <x:c r="I166" s="7" t="n">
        <x:f>COUNTIFS('唯一词标签'!$V$2:$V$1441,A166,'唯一词标签'!$AB$2:$AB$1441,"needs_review")</x:f>
        <x:v>0</x:v>
      </x:c>
    </x:row>
    <x:row r="167" ht="22" customHeight="1">
      <x:c r="A167" s="7" t="str">
        <x:v>brand_specific_arch_support_flip_flops</x:v>
      </x:c>
      <x:c r="B167" s="7" t="n">
        <x:f>COUNTIF('唯一词标签'!$V$2:$V$1441,A167)</x:f>
        <x:v>1</x:v>
      </x:c>
      <x:c r="C167" s="55" t="n">
        <x:f>B167/COUNTA('唯一词标签'!$C$2:$C$1441)</x:f>
        <x:v>0.0006944444444444445</x:v>
      </x:c>
      <x:c r="D167" s="7" t="n">
        <x:f>COUNTIFS('唯一词标签'!$V$2:$V$1441,A167,'唯一词标签'!$Z$2:$Z$1441,"match")</x:f>
        <x:v>0</x:v>
      </x:c>
      <x:c r="E167" s="7" t="n">
        <x:f>COUNTIFS('唯一词标签'!$V$2:$V$1441,A167,'唯一词标签'!$Z$2:$Z$1441,"partial_match")</x:f>
        <x:v>0</x:v>
      </x:c>
      <x:c r="F167" s="7" t="n">
        <x:f>COUNTIFS('唯一词标签'!$V$2:$V$1441,A167,'唯一词标签'!$Z$2:$Z$1441,"mismatch")</x:f>
        <x:v>1</x:v>
      </x:c>
      <x:c r="G167" s="7" t="n">
        <x:f>COUNTIFS('唯一词标签'!$V$2:$V$1441,A167,'唯一词标签'!$Z$2:$Z$1441,"unknown")</x:f>
        <x:v>0</x:v>
      </x:c>
      <x:c r="H167" s="7" t="n">
        <x:f>COUNTIFS('唯一词标签'!$V$2:$V$1441,A167,'唯一词标签'!$U$2:$U$1441,"low")</x:f>
        <x:v>0</x:v>
      </x:c>
      <x:c r="I167" s="7" t="n">
        <x:f>COUNTIFS('唯一词标签'!$V$2:$V$1441,A167,'唯一词标签'!$AB$2:$AB$1441,"needs_review")</x:f>
        <x:v>0</x:v>
      </x:c>
    </x:row>
    <x:row r="168" ht="22" customHeight="1">
      <x:c r="A168" s="7" t="str">
        <x:v>brand_specific_arch_support_flip_flops_women</x:v>
      </x:c>
      <x:c r="B168" s="7" t="n">
        <x:f>COUNTIF('唯一词标签'!$V$2:$V$1441,A168)</x:f>
        <x:v>1</x:v>
      </x:c>
      <x:c r="C168" s="55" t="n">
        <x:f>B168/COUNTA('唯一词标签'!$C$2:$C$1441)</x:f>
        <x:v>0.0006944444444444445</x:v>
      </x:c>
      <x:c r="D168" s="7" t="n">
        <x:f>COUNTIFS('唯一词标签'!$V$2:$V$1441,A168,'唯一词标签'!$Z$2:$Z$1441,"match")</x:f>
        <x:v>0</x:v>
      </x:c>
      <x:c r="E168" s="7" t="n">
        <x:f>COUNTIFS('唯一词标签'!$V$2:$V$1441,A168,'唯一词标签'!$Z$2:$Z$1441,"partial_match")</x:f>
        <x:v>0</x:v>
      </x:c>
      <x:c r="F168" s="7" t="n">
        <x:f>COUNTIFS('唯一词标签'!$V$2:$V$1441,A168,'唯一词标签'!$Z$2:$Z$1441,"mismatch")</x:f>
        <x:v>1</x:v>
      </x:c>
      <x:c r="G168" s="7" t="n">
        <x:f>COUNTIFS('唯一词标签'!$V$2:$V$1441,A168,'唯一词标签'!$Z$2:$Z$1441,"unknown")</x:f>
        <x:v>0</x:v>
      </x:c>
      <x:c r="H168" s="7" t="n">
        <x:f>COUNTIFS('唯一词标签'!$V$2:$V$1441,A168,'唯一词标签'!$U$2:$U$1441,"low")</x:f>
        <x:v>0</x:v>
      </x:c>
      <x:c r="I168" s="7" t="n">
        <x:f>COUNTIFS('唯一词标签'!$V$2:$V$1441,A168,'唯一词标签'!$AB$2:$AB$1441,"needs_review")</x:f>
        <x:v>0</x:v>
      </x:c>
    </x:row>
    <x:row r="169" ht="22" customHeight="1">
      <x:c r="A169" s="7" t="str">
        <x:v>brand_specific_flip_flops</x:v>
      </x:c>
      <x:c r="B169" s="7" t="n">
        <x:f>COUNTIF('唯一词标签'!$V$2:$V$1441,A169)</x:f>
        <x:v>2</x:v>
      </x:c>
      <x:c r="C169" s="55" t="n">
        <x:f>B169/COUNTA('唯一词标签'!$C$2:$C$1441)</x:f>
        <x:v>0.001388888888888889</x:v>
      </x:c>
      <x:c r="D169" s="7" t="n">
        <x:f>COUNTIFS('唯一词标签'!$V$2:$V$1441,A169,'唯一词标签'!$Z$2:$Z$1441,"match")</x:f>
        <x:v>0</x:v>
      </x:c>
      <x:c r="E169" s="7" t="n">
        <x:f>COUNTIFS('唯一词标签'!$V$2:$V$1441,A169,'唯一词标签'!$Z$2:$Z$1441,"partial_match")</x:f>
        <x:v>0</x:v>
      </x:c>
      <x:c r="F169" s="7" t="n">
        <x:f>COUNTIFS('唯一词标签'!$V$2:$V$1441,A169,'唯一词标签'!$Z$2:$Z$1441,"mismatch")</x:f>
        <x:v>2</x:v>
      </x:c>
      <x:c r="G169" s="7" t="n">
        <x:f>COUNTIFS('唯一词标签'!$V$2:$V$1441,A169,'唯一词标签'!$Z$2:$Z$1441,"unknown")</x:f>
        <x:v>0</x:v>
      </x:c>
      <x:c r="H169" s="7" t="n">
        <x:f>COUNTIFS('唯一词标签'!$V$2:$V$1441,A169,'唯一词标签'!$U$2:$U$1441,"low")</x:f>
        <x:v>0</x:v>
      </x:c>
      <x:c r="I169" s="7" t="n">
        <x:f>COUNTIFS('唯一词标签'!$V$2:$V$1441,A169,'唯一词标签'!$AB$2:$AB$1441,"needs_review")</x:f>
        <x:v>2</x:v>
      </x:c>
    </x:row>
    <x:row r="170" ht="22" customHeight="1">
      <x:c r="A170" s="7" t="str">
        <x:v>brand_specific_flip_flops_white_size8</x:v>
      </x:c>
      <x:c r="B170" s="7" t="n">
        <x:f>COUNTIF('唯一词标签'!$V$2:$V$1441,A170)</x:f>
        <x:v>1</x:v>
      </x:c>
      <x:c r="C170" s="55" t="n">
        <x:f>B170/COUNTA('唯一词标签'!$C$2:$C$1441)</x:f>
        <x:v>0.0006944444444444445</x:v>
      </x:c>
      <x:c r="D170" s="7" t="n">
        <x:f>COUNTIFS('唯一词标签'!$V$2:$V$1441,A170,'唯一词标签'!$Z$2:$Z$1441,"match")</x:f>
        <x:v>0</x:v>
      </x:c>
      <x:c r="E170" s="7" t="n">
        <x:f>COUNTIFS('唯一词标签'!$V$2:$V$1441,A170,'唯一词标签'!$Z$2:$Z$1441,"partial_match")</x:f>
        <x:v>0</x:v>
      </x:c>
      <x:c r="F170" s="7" t="n">
        <x:f>COUNTIFS('唯一词标签'!$V$2:$V$1441,A170,'唯一词标签'!$Z$2:$Z$1441,"mismatch")</x:f>
        <x:v>1</x:v>
      </x:c>
      <x:c r="G170" s="7" t="n">
        <x:f>COUNTIFS('唯一词标签'!$V$2:$V$1441,A170,'唯一词标签'!$Z$2:$Z$1441,"unknown")</x:f>
        <x:v>0</x:v>
      </x:c>
      <x:c r="H170" s="7" t="n">
        <x:f>COUNTIFS('唯一词标签'!$V$2:$V$1441,A170,'唯一词标签'!$U$2:$U$1441,"low")</x:f>
        <x:v>0</x:v>
      </x:c>
      <x:c r="I170" s="7" t="n">
        <x:f>COUNTIFS('唯一词标签'!$V$2:$V$1441,A170,'唯一词标签'!$AB$2:$AB$1441,"needs_review")</x:f>
        <x:v>0</x:v>
      </x:c>
    </x:row>
    <x:row r="171" ht="22" customHeight="1">
      <x:c r="A171" s="7" t="str">
        <x:v>brand_steven_madden_womens_flip_flops</x:v>
      </x:c>
      <x:c r="B171" s="7" t="n">
        <x:f>COUNTIF('唯一词标签'!$V$2:$V$1441,A171)</x:f>
        <x:v>1</x:v>
      </x:c>
      <x:c r="C171" s="55" t="n">
        <x:f>B171/COUNTA('唯一词标签'!$C$2:$C$1441)</x:f>
        <x:v>0.0006944444444444445</x:v>
      </x:c>
      <x:c r="D171" s="7" t="n">
        <x:f>COUNTIFS('唯一词标签'!$V$2:$V$1441,A171,'唯一词标签'!$Z$2:$Z$1441,"match")</x:f>
        <x:v>0</x:v>
      </x:c>
      <x:c r="E171" s="7" t="n">
        <x:f>COUNTIFS('唯一词标签'!$V$2:$V$1441,A171,'唯一词标签'!$Z$2:$Z$1441,"partial_match")</x:f>
        <x:v>0</x:v>
      </x:c>
      <x:c r="F171" s="7" t="n">
        <x:f>COUNTIFS('唯一词标签'!$V$2:$V$1441,A171,'唯一词标签'!$Z$2:$Z$1441,"mismatch")</x:f>
        <x:v>1</x:v>
      </x:c>
      <x:c r="G171" s="7" t="n">
        <x:f>COUNTIFS('唯一词标签'!$V$2:$V$1441,A171,'唯一词标签'!$Z$2:$Z$1441,"unknown")</x:f>
        <x:v>0</x:v>
      </x:c>
      <x:c r="H171" s="7" t="n">
        <x:f>COUNTIFS('唯一词标签'!$V$2:$V$1441,A171,'唯一词标签'!$U$2:$U$1441,"low")</x:f>
        <x:v>0</x:v>
      </x:c>
      <x:c r="I171" s="7" t="n">
        <x:f>COUNTIFS('唯一词标签'!$V$2:$V$1441,A171,'唯一词标签'!$AB$2:$AB$1441,"needs_review")</x:f>
        <x:v>0</x:v>
      </x:c>
    </x:row>
    <x:row r="172" ht="22" customHeight="1">
      <x:c r="A172" s="7" t="str">
        <x:v>brand_totes_flip_flops_women</x:v>
      </x:c>
      <x:c r="B172" s="7" t="n">
        <x:f>COUNTIF('唯一词标签'!$V$2:$V$1441,A172)</x:f>
        <x:v>1</x:v>
      </x:c>
      <x:c r="C172" s="55" t="n">
        <x:f>B172/COUNTA('唯一词标签'!$C$2:$C$1441)</x:f>
        <x:v>0.0006944444444444445</x:v>
      </x:c>
      <x:c r="D172" s="7" t="n">
        <x:f>COUNTIFS('唯一词标签'!$V$2:$V$1441,A172,'唯一词标签'!$Z$2:$Z$1441,"match")</x:f>
        <x:v>0</x:v>
      </x:c>
      <x:c r="E172" s="7" t="n">
        <x:f>COUNTIFS('唯一词标签'!$V$2:$V$1441,A172,'唯一词标签'!$Z$2:$Z$1441,"partial_match")</x:f>
        <x:v>0</x:v>
      </x:c>
      <x:c r="F172" s="7" t="n">
        <x:f>COUNTIFS('唯一词标签'!$V$2:$V$1441,A172,'唯一词标签'!$Z$2:$Z$1441,"mismatch")</x:f>
        <x:v>1</x:v>
      </x:c>
      <x:c r="G172" s="7" t="n">
        <x:f>COUNTIFS('唯一词标签'!$V$2:$V$1441,A172,'唯一词标签'!$Z$2:$Z$1441,"unknown")</x:f>
        <x:v>0</x:v>
      </x:c>
      <x:c r="H172" s="7" t="n">
        <x:f>COUNTIFS('唯一词标签'!$V$2:$V$1441,A172,'唯一词标签'!$U$2:$U$1441,"low")</x:f>
        <x:v>0</x:v>
      </x:c>
      <x:c r="I172" s="7" t="n">
        <x:f>COUNTIFS('唯一词标签'!$V$2:$V$1441,A172,'唯一词标签'!$AB$2:$AB$1441,"needs_review")</x:f>
        <x:v>0</x:v>
      </x:c>
    </x:row>
    <x:row r="173" ht="22" customHeight="1">
      <x:c r="A173" s="7" t="str">
        <x:v>brand_womens_flip_flops</x:v>
      </x:c>
      <x:c r="B173" s="7" t="n">
        <x:f>COUNTIF('唯一词标签'!$V$2:$V$1441,A173)</x:f>
        <x:v>1</x:v>
      </x:c>
      <x:c r="C173" s="55" t="n">
        <x:f>B173/COUNTA('唯一词标签'!$C$2:$C$1441)</x:f>
        <x:v>0.0006944444444444445</x:v>
      </x:c>
      <x:c r="D173" s="7" t="n">
        <x:f>COUNTIFS('唯一词标签'!$V$2:$V$1441,A173,'唯一词标签'!$Z$2:$Z$1441,"match")</x:f>
        <x:v>0</x:v>
      </x:c>
      <x:c r="E173" s="7" t="n">
        <x:f>COUNTIFS('唯一词标签'!$V$2:$V$1441,A173,'唯一词标签'!$Z$2:$Z$1441,"partial_match")</x:f>
        <x:v>0</x:v>
      </x:c>
      <x:c r="F173" s="7" t="n">
        <x:f>COUNTIFS('唯一词标签'!$V$2:$V$1441,A173,'唯一词标签'!$Z$2:$Z$1441,"mismatch")</x:f>
        <x:v>1</x:v>
      </x:c>
      <x:c r="G173" s="7" t="n">
        <x:f>COUNTIFS('唯一词标签'!$V$2:$V$1441,A173,'唯一词标签'!$Z$2:$Z$1441,"unknown")</x:f>
        <x:v>0</x:v>
      </x:c>
      <x:c r="H173" s="7" t="n">
        <x:f>COUNTIFS('唯一词标签'!$V$2:$V$1441,A173,'唯一词标签'!$U$2:$U$1441,"low")</x:f>
        <x:v>0</x:v>
      </x:c>
      <x:c r="I173" s="7" t="n">
        <x:f>COUNTIFS('唯一词标签'!$V$2:$V$1441,A173,'唯一词标签'!$AB$2:$AB$1441,"needs_review")</x:f>
        <x:v>0</x:v>
      </x:c>
    </x:row>
    <x:row r="174" ht="22" customHeight="1">
      <x:c r="A174" s="7" t="str">
        <x:v>brand_womens_flip_flops_arch_support</x:v>
      </x:c>
      <x:c r="B174" s="7" t="n">
        <x:f>COUNTIF('唯一词标签'!$V$2:$V$1441,A174)</x:f>
        <x:v>1</x:v>
      </x:c>
      <x:c r="C174" s="55" t="n">
        <x:f>B174/COUNTA('唯一词标签'!$C$2:$C$1441)</x:f>
        <x:v>0.0006944444444444445</x:v>
      </x:c>
      <x:c r="D174" s="7" t="n">
        <x:f>COUNTIFS('唯一词标签'!$V$2:$V$1441,A174,'唯一词标签'!$Z$2:$Z$1441,"match")</x:f>
        <x:v>0</x:v>
      </x:c>
      <x:c r="E174" s="7" t="n">
        <x:f>COUNTIFS('唯一词标签'!$V$2:$V$1441,A174,'唯一词标签'!$Z$2:$Z$1441,"partial_match")</x:f>
        <x:v>0</x:v>
      </x:c>
      <x:c r="F174" s="7" t="n">
        <x:f>COUNTIFS('唯一词标签'!$V$2:$V$1441,A174,'唯一词标签'!$Z$2:$Z$1441,"mismatch")</x:f>
        <x:v>1</x:v>
      </x:c>
      <x:c r="G174" s="7" t="n">
        <x:f>COUNTIFS('唯一词标签'!$V$2:$V$1441,A174,'唯一词标签'!$Z$2:$Z$1441,"unknown")</x:f>
        <x:v>0</x:v>
      </x:c>
      <x:c r="H174" s="7" t="n">
        <x:f>COUNTIFS('唯一词标签'!$V$2:$V$1441,A174,'唯一词标签'!$U$2:$U$1441,"low")</x:f>
        <x:v>0</x:v>
      </x:c>
      <x:c r="I174" s="7" t="n">
        <x:f>COUNTIFS('唯一词标签'!$V$2:$V$1441,A174,'唯一词标签'!$AB$2:$AB$1441,"needs_review")</x:f>
        <x:v>0</x:v>
      </x:c>
    </x:row>
    <x:row r="175" ht="22" customHeight="1">
      <x:c r="A175" s="7" t="str">
        <x:v>brand_womens_flip_flops_archies</x:v>
      </x:c>
      <x:c r="B175" s="7" t="n">
        <x:f>COUNTIF('唯一词标签'!$V$2:$V$1441,A175)</x:f>
        <x:v>1</x:v>
      </x:c>
      <x:c r="C175" s="55" t="n">
        <x:f>B175/COUNTA('唯一词标签'!$C$2:$C$1441)</x:f>
        <x:v>0.0006944444444444445</x:v>
      </x:c>
      <x:c r="D175" s="7" t="n">
        <x:f>COUNTIFS('唯一词标签'!$V$2:$V$1441,A175,'唯一词标签'!$Z$2:$Z$1441,"match")</x:f>
        <x:v>0</x:v>
      </x:c>
      <x:c r="E175" s="7" t="n">
        <x:f>COUNTIFS('唯一词标签'!$V$2:$V$1441,A175,'唯一词标签'!$Z$2:$Z$1441,"partial_match")</x:f>
        <x:v>0</x:v>
      </x:c>
      <x:c r="F175" s="7" t="n">
        <x:f>COUNTIFS('唯一词标签'!$V$2:$V$1441,A175,'唯一词标签'!$Z$2:$Z$1441,"mismatch")</x:f>
        <x:v>1</x:v>
      </x:c>
      <x:c r="G175" s="7" t="n">
        <x:f>COUNTIFS('唯一词标签'!$V$2:$V$1441,A175,'唯一词标签'!$Z$2:$Z$1441,"unknown")</x:f>
        <x:v>0</x:v>
      </x:c>
      <x:c r="H175" s="7" t="n">
        <x:f>COUNTIFS('唯一词标签'!$V$2:$V$1441,A175,'唯一词标签'!$U$2:$U$1441,"low")</x:f>
        <x:v>0</x:v>
      </x:c>
      <x:c r="I175" s="7" t="n">
        <x:f>COUNTIFS('唯一词标签'!$V$2:$V$1441,A175,'唯一词标签'!$AB$2:$AB$1441,"needs_review")</x:f>
        <x:v>0</x:v>
      </x:c>
    </x:row>
    <x:row r="176" ht="22" customHeight="1">
      <x:c r="A176" s="7" t="str">
        <x:v>branded_arch_support_flip_flops</x:v>
      </x:c>
      <x:c r="B176" s="7" t="n">
        <x:f>COUNTIF('唯一词标签'!$V$2:$V$1441,A176)</x:f>
        <x:v>1</x:v>
      </x:c>
      <x:c r="C176" s="55" t="n">
        <x:f>B176/COUNTA('唯一词标签'!$C$2:$C$1441)</x:f>
        <x:v>0.0006944444444444445</x:v>
      </x:c>
      <x:c r="D176" s="7" t="n">
        <x:f>COUNTIFS('唯一词标签'!$V$2:$V$1441,A176,'唯一词标签'!$Z$2:$Z$1441,"match")</x:f>
        <x:v>1</x:v>
      </x:c>
      <x:c r="E176" s="7" t="n">
        <x:f>COUNTIFS('唯一词标签'!$V$2:$V$1441,A176,'唯一词标签'!$Z$2:$Z$1441,"partial_match")</x:f>
        <x:v>0</x:v>
      </x:c>
      <x:c r="F176" s="7" t="n">
        <x:f>COUNTIFS('唯一词标签'!$V$2:$V$1441,A176,'唯一词标签'!$Z$2:$Z$1441,"mismatch")</x:f>
        <x:v>0</x:v>
      </x:c>
      <x:c r="G176" s="7" t="n">
        <x:f>COUNTIFS('唯一词标签'!$V$2:$V$1441,A176,'唯一词标签'!$Z$2:$Z$1441,"unknown")</x:f>
        <x:v>0</x:v>
      </x:c>
      <x:c r="H176" s="7" t="n">
        <x:f>COUNTIFS('唯一词标签'!$V$2:$V$1441,A176,'唯一词标签'!$U$2:$U$1441,"low")</x:f>
        <x:v>0</x:v>
      </x:c>
      <x:c r="I176" s="7" t="n">
        <x:f>COUNTIFS('唯一词标签'!$V$2:$V$1441,A176,'唯一词标签'!$AB$2:$AB$1441,"needs_review")</x:f>
        <x:v>0</x:v>
      </x:c>
    </x:row>
    <x:row r="177" ht="22" customHeight="1">
      <x:c r="A177" s="7" t="str">
        <x:v>branded_arch_support_flip_flops_women</x:v>
      </x:c>
      <x:c r="B177" s="7" t="n">
        <x:f>COUNTIF('唯一词标签'!$V$2:$V$1441,A177)</x:f>
        <x:v>1</x:v>
      </x:c>
      <x:c r="C177" s="55" t="n">
        <x:f>B177/COUNTA('唯一词标签'!$C$2:$C$1441)</x:f>
        <x:v>0.0006944444444444445</x:v>
      </x:c>
      <x:c r="D177" s="7" t="n">
        <x:f>COUNTIFS('唯一词标签'!$V$2:$V$1441,A177,'唯一词标签'!$Z$2:$Z$1441,"match")</x:f>
        <x:v>0</x:v>
      </x:c>
      <x:c r="E177" s="7" t="n">
        <x:f>COUNTIFS('唯一词标签'!$V$2:$V$1441,A177,'唯一词标签'!$Z$2:$Z$1441,"partial_match")</x:f>
        <x:v>1</x:v>
      </x:c>
      <x:c r="F177" s="7" t="n">
        <x:f>COUNTIFS('唯一词标签'!$V$2:$V$1441,A177,'唯一词标签'!$Z$2:$Z$1441,"mismatch")</x:f>
        <x:v>0</x:v>
      </x:c>
      <x:c r="G177" s="7" t="n">
        <x:f>COUNTIFS('唯一词标签'!$V$2:$V$1441,A177,'唯一词标签'!$Z$2:$Z$1441,"unknown")</x:f>
        <x:v>0</x:v>
      </x:c>
      <x:c r="H177" s="7" t="n">
        <x:f>COUNTIFS('唯一词标签'!$V$2:$V$1441,A177,'唯一词标签'!$U$2:$U$1441,"low")</x:f>
        <x:v>0</x:v>
      </x:c>
      <x:c r="I177" s="7" t="n">
        <x:f>COUNTIFS('唯一词标签'!$V$2:$V$1441,A177,'唯一词标签'!$AB$2:$AB$1441,"needs_review")</x:f>
        <x:v>1</x:v>
      </x:c>
    </x:row>
    <x:row r="178" ht="22" customHeight="1">
      <x:c r="A178" s="7" t="str">
        <x:v>branded_arch_support_flip_flops_womens</x:v>
      </x:c>
      <x:c r="B178" s="7" t="n">
        <x:f>COUNTIF('唯一词标签'!$V$2:$V$1441,A178)</x:f>
        <x:v>1</x:v>
      </x:c>
      <x:c r="C178" s="55" t="n">
        <x:f>B178/COUNTA('唯一词标签'!$C$2:$C$1441)</x:f>
        <x:v>0.0006944444444444445</x:v>
      </x:c>
      <x:c r="D178" s="7" t="n">
        <x:f>COUNTIFS('唯一词标签'!$V$2:$V$1441,A178,'唯一词标签'!$Z$2:$Z$1441,"match")</x:f>
        <x:v>0</x:v>
      </x:c>
      <x:c r="E178" s="7" t="n">
        <x:f>COUNTIFS('唯一词标签'!$V$2:$V$1441,A178,'唯一词标签'!$Z$2:$Z$1441,"partial_match")</x:f>
        <x:v>1</x:v>
      </x:c>
      <x:c r="F178" s="7" t="n">
        <x:f>COUNTIFS('唯一词标签'!$V$2:$V$1441,A178,'唯一词标签'!$Z$2:$Z$1441,"mismatch")</x:f>
        <x:v>0</x:v>
      </x:c>
      <x:c r="G178" s="7" t="n">
        <x:f>COUNTIFS('唯一词标签'!$V$2:$V$1441,A178,'唯一词标签'!$Z$2:$Z$1441,"unknown")</x:f>
        <x:v>0</x:v>
      </x:c>
      <x:c r="H178" s="7" t="n">
        <x:f>COUNTIFS('唯一词标签'!$V$2:$V$1441,A178,'唯一词标签'!$U$2:$U$1441,"low")</x:f>
        <x:v>0</x:v>
      </x:c>
      <x:c r="I178" s="7" t="n">
        <x:f>COUNTIFS('唯一词标签'!$V$2:$V$1441,A178,'唯一词标签'!$AB$2:$AB$1441,"needs_review")</x:f>
        <x:v>0</x:v>
      </x:c>
    </x:row>
    <x:row r="179" ht="22" customHeight="1">
      <x:c r="A179" s="7" t="str">
        <x:v>branded_archies_flip_flop</x:v>
      </x:c>
      <x:c r="B179" s="7" t="n">
        <x:f>COUNTIF('唯一词标签'!$V$2:$V$1441,A179)</x:f>
        <x:v>1</x:v>
      </x:c>
      <x:c r="C179" s="55" t="n">
        <x:f>B179/COUNTA('唯一词标签'!$C$2:$C$1441)</x:f>
        <x:v>0.0006944444444444445</x:v>
      </x:c>
      <x:c r="D179" s="7" t="n">
        <x:f>COUNTIFS('唯一词标签'!$V$2:$V$1441,A179,'唯一词标签'!$Z$2:$Z$1441,"match")</x:f>
        <x:v>0</x:v>
      </x:c>
      <x:c r="E179" s="7" t="n">
        <x:f>COUNTIFS('唯一词标签'!$V$2:$V$1441,A179,'唯一词标签'!$Z$2:$Z$1441,"partial_match")</x:f>
        <x:v>0</x:v>
      </x:c>
      <x:c r="F179" s="7" t="n">
        <x:f>COUNTIFS('唯一词标签'!$V$2:$V$1441,A179,'唯一词标签'!$Z$2:$Z$1441,"mismatch")</x:f>
        <x:v>1</x:v>
      </x:c>
      <x:c r="G179" s="7" t="n">
        <x:f>COUNTIFS('唯一词标签'!$V$2:$V$1441,A179,'唯一词标签'!$Z$2:$Z$1441,"unknown")</x:f>
        <x:v>0</x:v>
      </x:c>
      <x:c r="H179" s="7" t="n">
        <x:f>COUNTIFS('唯一词标签'!$V$2:$V$1441,A179,'唯一词标签'!$U$2:$U$1441,"low")</x:f>
        <x:v>0</x:v>
      </x:c>
      <x:c r="I179" s="7" t="n">
        <x:f>COUNTIFS('唯一词标签'!$V$2:$V$1441,A179,'唯一词标签'!$AB$2:$AB$1441,"needs_review")</x:f>
        <x:v>0</x:v>
      </x:c>
    </x:row>
    <x:row r="180" ht="22" customHeight="1">
      <x:c r="A180" s="7" t="str">
        <x:v>branded_crocs_flip_flop_women</x:v>
      </x:c>
      <x:c r="B180" s="7" t="n">
        <x:f>COUNTIF('唯一词标签'!$V$2:$V$1441,A180)</x:f>
        <x:v>1</x:v>
      </x:c>
      <x:c r="C180" s="55" t="n">
        <x:f>B180/COUNTA('唯一词标签'!$C$2:$C$1441)</x:f>
        <x:v>0.0006944444444444445</x:v>
      </x:c>
      <x:c r="D180" s="7" t="n">
        <x:f>COUNTIFS('唯一词标签'!$V$2:$V$1441,A180,'唯一词标签'!$Z$2:$Z$1441,"match")</x:f>
        <x:v>0</x:v>
      </x:c>
      <x:c r="E180" s="7" t="n">
        <x:f>COUNTIFS('唯一词标签'!$V$2:$V$1441,A180,'唯一词标签'!$Z$2:$Z$1441,"partial_match")</x:f>
        <x:v>0</x:v>
      </x:c>
      <x:c r="F180" s="7" t="n">
        <x:f>COUNTIFS('唯一词标签'!$V$2:$V$1441,A180,'唯一词标签'!$Z$2:$Z$1441,"mismatch")</x:f>
        <x:v>1</x:v>
      </x:c>
      <x:c r="G180" s="7" t="n">
        <x:f>COUNTIFS('唯一词标签'!$V$2:$V$1441,A180,'唯一词标签'!$Z$2:$Z$1441,"unknown")</x:f>
        <x:v>0</x:v>
      </x:c>
      <x:c r="H180" s="7" t="n">
        <x:f>COUNTIFS('唯一词标签'!$V$2:$V$1441,A180,'唯一词标签'!$U$2:$U$1441,"low")</x:f>
        <x:v>0</x:v>
      </x:c>
      <x:c r="I180" s="7" t="n">
        <x:f>COUNTIFS('唯一词标签'!$V$2:$V$1441,A180,'唯一词标签'!$AB$2:$AB$1441,"needs_review")</x:f>
        <x:v>0</x:v>
      </x:c>
    </x:row>
    <x:row r="181" ht="22" customHeight="1">
      <x:c r="A181" s="7" t="str">
        <x:v>branded_flip_flop_women</x:v>
      </x:c>
      <x:c r="B181" s="7" t="n">
        <x:f>COUNTIF('唯一词标签'!$V$2:$V$1441,A181)</x:f>
        <x:v>1</x:v>
      </x:c>
      <x:c r="C181" s="55" t="n">
        <x:f>B181/COUNTA('唯一词标签'!$C$2:$C$1441)</x:f>
        <x:v>0.0006944444444444445</x:v>
      </x:c>
      <x:c r="D181" s="7" t="n">
        <x:f>COUNTIFS('唯一词标签'!$V$2:$V$1441,A181,'唯一词标签'!$Z$2:$Z$1441,"match")</x:f>
        <x:v>0</x:v>
      </x:c>
      <x:c r="E181" s="7" t="n">
        <x:f>COUNTIFS('唯一词标签'!$V$2:$V$1441,A181,'唯一词标签'!$Z$2:$Z$1441,"partial_match")</x:f>
        <x:v>0</x:v>
      </x:c>
      <x:c r="F181" s="7" t="n">
        <x:f>COUNTIFS('唯一词标签'!$V$2:$V$1441,A181,'唯一词标签'!$Z$2:$Z$1441,"mismatch")</x:f>
        <x:v>1</x:v>
      </x:c>
      <x:c r="G181" s="7" t="n">
        <x:f>COUNTIFS('唯一词标签'!$V$2:$V$1441,A181,'唯一词标签'!$Z$2:$Z$1441,"unknown")</x:f>
        <x:v>0</x:v>
      </x:c>
      <x:c r="H181" s="7" t="n">
        <x:f>COUNTIFS('唯一词标签'!$V$2:$V$1441,A181,'唯一词标签'!$U$2:$U$1441,"low")</x:f>
        <x:v>0</x:v>
      </x:c>
      <x:c r="I181" s="7" t="n">
        <x:f>COUNTIFS('唯一词标签'!$V$2:$V$1441,A181,'唯一词标签'!$AB$2:$AB$1441,"needs_review")</x:f>
        <x:v>1</x:v>
      </x:c>
    </x:row>
    <x:row r="182" ht="22" customHeight="1">
      <x:c r="A182" s="7" t="str">
        <x:v>branded_flip_flops</x:v>
      </x:c>
      <x:c r="B182" s="7" t="n">
        <x:f>COUNTIF('唯一词标签'!$V$2:$V$1441,A182)</x:f>
        <x:v>5</x:v>
      </x:c>
      <x:c r="C182" s="55" t="n">
        <x:f>B182/COUNTA('唯一词标签'!$C$2:$C$1441)</x:f>
        <x:v>0.003472222222222222</x:v>
      </x:c>
      <x:c r="D182" s="7" t="n">
        <x:f>COUNTIFS('唯一词标签'!$V$2:$V$1441,A182,'唯一词标签'!$Z$2:$Z$1441,"match")</x:f>
        <x:v>0</x:v>
      </x:c>
      <x:c r="E182" s="7" t="n">
        <x:f>COUNTIFS('唯一词标签'!$V$2:$V$1441,A182,'唯一词标签'!$Z$2:$Z$1441,"partial_match")</x:f>
        <x:v>0</x:v>
      </x:c>
      <x:c r="F182" s="7" t="n">
        <x:f>COUNTIFS('唯一词标签'!$V$2:$V$1441,A182,'唯一词标签'!$Z$2:$Z$1441,"mismatch")</x:f>
        <x:v>5</x:v>
      </x:c>
      <x:c r="G182" s="7" t="n">
        <x:f>COUNTIFS('唯一词标签'!$V$2:$V$1441,A182,'唯一词标签'!$Z$2:$Z$1441,"unknown")</x:f>
        <x:v>0</x:v>
      </x:c>
      <x:c r="H182" s="7" t="n">
        <x:f>COUNTIFS('唯一词标签'!$V$2:$V$1441,A182,'唯一词标签'!$U$2:$U$1441,"low")</x:f>
        <x:v>0</x:v>
      </x:c>
      <x:c r="I182" s="7" t="n">
        <x:f>COUNTIFS('唯一词标签'!$V$2:$V$1441,A182,'唯一词标签'!$AB$2:$AB$1441,"needs_review")</x:f>
        <x:v>0</x:v>
      </x:c>
    </x:row>
    <x:row r="183" ht="22" customHeight="1">
      <x:c r="A183" s="7" t="str">
        <x:v>branded_flip_flops_women</x:v>
      </x:c>
      <x:c r="B183" s="7" t="n">
        <x:f>COUNTIF('唯一词标签'!$V$2:$V$1441,A183)</x:f>
        <x:v>2</x:v>
      </x:c>
      <x:c r="C183" s="55" t="n">
        <x:f>B183/COUNTA('唯一词标签'!$C$2:$C$1441)</x:f>
        <x:v>0.001388888888888889</x:v>
      </x:c>
      <x:c r="D183" s="7" t="n">
        <x:f>COUNTIFS('唯一词标签'!$V$2:$V$1441,A183,'唯一词标签'!$Z$2:$Z$1441,"match")</x:f>
        <x:v>0</x:v>
      </x:c>
      <x:c r="E183" s="7" t="n">
        <x:f>COUNTIFS('唯一词标签'!$V$2:$V$1441,A183,'唯一词标签'!$Z$2:$Z$1441,"partial_match")</x:f>
        <x:v>0</x:v>
      </x:c>
      <x:c r="F183" s="7" t="n">
        <x:f>COUNTIFS('唯一词标签'!$V$2:$V$1441,A183,'唯一词标签'!$Z$2:$Z$1441,"mismatch")</x:f>
        <x:v>2</x:v>
      </x:c>
      <x:c r="G183" s="7" t="n">
        <x:f>COUNTIFS('唯一词标签'!$V$2:$V$1441,A183,'唯一词标签'!$Z$2:$Z$1441,"unknown")</x:f>
        <x:v>0</x:v>
      </x:c>
      <x:c r="H183" s="7" t="n">
        <x:f>COUNTIFS('唯一词标签'!$V$2:$V$1441,A183,'唯一词标签'!$U$2:$U$1441,"low")</x:f>
        <x:v>0</x:v>
      </x:c>
      <x:c r="I183" s="7" t="n">
        <x:f>COUNTIFS('唯一词标签'!$V$2:$V$1441,A183,'唯一词标签'!$AB$2:$AB$1441,"needs_review")</x:f>
        <x:v>0</x:v>
      </x:c>
    </x:row>
    <x:row r="184" ht="22" customHeight="1">
      <x:c r="A184" s="7" t="str">
        <x:v>branded_joomra_flip_flop</x:v>
      </x:c>
      <x:c r="B184" s="7" t="n">
        <x:f>COUNTIF('唯一词标签'!$V$2:$V$1441,A184)</x:f>
        <x:v>1</x:v>
      </x:c>
      <x:c r="C184" s="55" t="n">
        <x:f>B184/COUNTA('唯一词标签'!$C$2:$C$1441)</x:f>
        <x:v>0.0006944444444444445</x:v>
      </x:c>
      <x:c r="D184" s="7" t="n">
        <x:f>COUNTIFS('唯一词标签'!$V$2:$V$1441,A184,'唯一词标签'!$Z$2:$Z$1441,"match")</x:f>
        <x:v>1</x:v>
      </x:c>
      <x:c r="E184" s="7" t="n">
        <x:f>COUNTIFS('唯一词标签'!$V$2:$V$1441,A184,'唯一词标签'!$Z$2:$Z$1441,"partial_match")</x:f>
        <x:v>0</x:v>
      </x:c>
      <x:c r="F184" s="7" t="n">
        <x:f>COUNTIFS('唯一词标签'!$V$2:$V$1441,A184,'唯一词标签'!$Z$2:$Z$1441,"mismatch")</x:f>
        <x:v>0</x:v>
      </x:c>
      <x:c r="G184" s="7" t="n">
        <x:f>COUNTIFS('唯一词标签'!$V$2:$V$1441,A184,'唯一词标签'!$Z$2:$Z$1441,"unknown")</x:f>
        <x:v>0</x:v>
      </x:c>
      <x:c r="H184" s="7" t="n">
        <x:f>COUNTIFS('唯一词标签'!$V$2:$V$1441,A184,'唯一词标签'!$U$2:$U$1441,"low")</x:f>
        <x:v>0</x:v>
      </x:c>
      <x:c r="I184" s="7" t="n">
        <x:f>COUNTIFS('唯一词标签'!$V$2:$V$1441,A184,'唯一词标签'!$AB$2:$AB$1441,"needs_review")</x:f>
        <x:v>0</x:v>
      </x:c>
    </x:row>
    <x:row r="185" ht="22" customHeight="1">
      <x:c r="A185" s="7" t="str">
        <x:v>branded_kaiulu_womens_flip_flops</x:v>
      </x:c>
      <x:c r="B185" s="7" t="n">
        <x:f>COUNTIF('唯一词标签'!$V$2:$V$1441,A185)</x:f>
        <x:v>1</x:v>
      </x:c>
      <x:c r="C185" s="55" t="n">
        <x:f>B185/COUNTA('唯一词标签'!$C$2:$C$1441)</x:f>
        <x:v>0.0006944444444444445</x:v>
      </x:c>
      <x:c r="D185" s="7" t="n">
        <x:f>COUNTIFS('唯一词标签'!$V$2:$V$1441,A185,'唯一词标签'!$Z$2:$Z$1441,"match")</x:f>
        <x:v>0</x:v>
      </x:c>
      <x:c r="E185" s="7" t="n">
        <x:f>COUNTIFS('唯一词标签'!$V$2:$V$1441,A185,'唯一词标签'!$Z$2:$Z$1441,"partial_match")</x:f>
        <x:v>0</x:v>
      </x:c>
      <x:c r="F185" s="7" t="n">
        <x:f>COUNTIFS('唯一词标签'!$V$2:$V$1441,A185,'唯一词标签'!$Z$2:$Z$1441,"mismatch")</x:f>
        <x:v>1</x:v>
      </x:c>
      <x:c r="G185" s="7" t="n">
        <x:f>COUNTIFS('唯一词标签'!$V$2:$V$1441,A185,'唯一词标签'!$Z$2:$Z$1441,"unknown")</x:f>
        <x:v>0</x:v>
      </x:c>
      <x:c r="H185" s="7" t="n">
        <x:f>COUNTIFS('唯一词标签'!$V$2:$V$1441,A185,'唯一词标签'!$U$2:$U$1441,"low")</x:f>
        <x:v>0</x:v>
      </x:c>
      <x:c r="I185" s="7" t="n">
        <x:f>COUNTIFS('唯一词标签'!$V$2:$V$1441,A185,'唯一词标签'!$AB$2:$AB$1441,"needs_review")</x:f>
        <x:v>0</x:v>
      </x:c>
    </x:row>
    <x:row r="186" ht="22" customHeight="1">
      <x:c r="A186" s="7" t="str">
        <x:v>branded_narrow_width_flip_flops</x:v>
      </x:c>
      <x:c r="B186" s="7" t="n">
        <x:f>COUNTIF('唯一词标签'!$V$2:$V$1441,A186)</x:f>
        <x:v>1</x:v>
      </x:c>
      <x:c r="C186" s="55" t="n">
        <x:f>B186/COUNTA('唯一词标签'!$C$2:$C$1441)</x:f>
        <x:v>0.0006944444444444445</x:v>
      </x:c>
      <x:c r="D186" s="7" t="n">
        <x:f>COUNTIFS('唯一词标签'!$V$2:$V$1441,A186,'唯一词标签'!$Z$2:$Z$1441,"match")</x:f>
        <x:v>0</x:v>
      </x:c>
      <x:c r="E186" s="7" t="n">
        <x:f>COUNTIFS('唯一词标签'!$V$2:$V$1441,A186,'唯一词标签'!$Z$2:$Z$1441,"partial_match")</x:f>
        <x:v>1</x:v>
      </x:c>
      <x:c r="F186" s="7" t="n">
        <x:f>COUNTIFS('唯一词标签'!$V$2:$V$1441,A186,'唯一词标签'!$Z$2:$Z$1441,"mismatch")</x:f>
        <x:v>0</x:v>
      </x:c>
      <x:c r="G186" s="7" t="n">
        <x:f>COUNTIFS('唯一词标签'!$V$2:$V$1441,A186,'唯一词标签'!$Z$2:$Z$1441,"unknown")</x:f>
        <x:v>0</x:v>
      </x:c>
      <x:c r="H186" s="7" t="n">
        <x:f>COUNTIFS('唯一词标签'!$V$2:$V$1441,A186,'唯一词标签'!$U$2:$U$1441,"low")</x:f>
        <x:v>0</x:v>
      </x:c>
      <x:c r="I186" s="7" t="n">
        <x:f>COUNTIFS('唯一词标签'!$V$2:$V$1441,A186,'唯一词标签'!$AB$2:$AB$1441,"needs_review")</x:f>
        <x:v>0</x:v>
      </x:c>
    </x:row>
    <x:row r="187" ht="22" customHeight="1">
      <x:c r="A187" s="7" t="str">
        <x:v>branded_slide_dupe</x:v>
      </x:c>
      <x:c r="B187" s="7" t="n">
        <x:f>COUNTIF('唯一词标签'!$V$2:$V$1441,A187)</x:f>
        <x:v>1</x:v>
      </x:c>
      <x:c r="C187" s="55" t="n">
        <x:f>B187/COUNTA('唯一词标签'!$C$2:$C$1441)</x:f>
        <x:v>0.0006944444444444445</x:v>
      </x:c>
      <x:c r="D187" s="7" t="n">
        <x:f>COUNTIFS('唯一词标签'!$V$2:$V$1441,A187,'唯一词标签'!$Z$2:$Z$1441,"match")</x:f>
        <x:v>0</x:v>
      </x:c>
      <x:c r="E187" s="7" t="n">
        <x:f>COUNTIFS('唯一词标签'!$V$2:$V$1441,A187,'唯一词标签'!$Z$2:$Z$1441,"partial_match")</x:f>
        <x:v>0</x:v>
      </x:c>
      <x:c r="F187" s="7" t="n">
        <x:f>COUNTIFS('唯一词标签'!$V$2:$V$1441,A187,'唯一词标签'!$Z$2:$Z$1441,"mismatch")</x:f>
        <x:v>1</x:v>
      </x:c>
      <x:c r="G187" s="7" t="n">
        <x:f>COUNTIFS('唯一词标签'!$V$2:$V$1441,A187,'唯一词标签'!$Z$2:$Z$1441,"unknown")</x:f>
        <x:v>0</x:v>
      </x:c>
      <x:c r="H187" s="7" t="n">
        <x:f>COUNTIFS('唯一词标签'!$V$2:$V$1441,A187,'唯一词标签'!$U$2:$U$1441,"low")</x:f>
        <x:v>0</x:v>
      </x:c>
      <x:c r="I187" s="7" t="n">
        <x:f>COUNTIFS('唯一词标签'!$V$2:$V$1441,A187,'唯一词标签'!$AB$2:$AB$1441,"needs_review")</x:f>
        <x:v>0</x:v>
      </x:c>
    </x:row>
    <x:row r="188" ht="22" customHeight="1">
      <x:c r="A188" s="7" t="str">
        <x:v>branded_womens_flip_flops</x:v>
      </x:c>
      <x:c r="B188" s="7" t="n">
        <x:f>COUNTIF('唯一词标签'!$V$2:$V$1441,A188)</x:f>
        <x:v>1</x:v>
      </x:c>
      <x:c r="C188" s="55" t="n">
        <x:f>B188/COUNTA('唯一词标签'!$C$2:$C$1441)</x:f>
        <x:v>0.0006944444444444445</x:v>
      </x:c>
      <x:c r="D188" s="7" t="n">
        <x:f>COUNTIFS('唯一词标签'!$V$2:$V$1441,A188,'唯一词标签'!$Z$2:$Z$1441,"match")</x:f>
        <x:v>0</x:v>
      </x:c>
      <x:c r="E188" s="7" t="n">
        <x:f>COUNTIFS('唯一词标签'!$V$2:$V$1441,A188,'唯一词标签'!$Z$2:$Z$1441,"partial_match")</x:f>
        <x:v>0</x:v>
      </x:c>
      <x:c r="F188" s="7" t="n">
        <x:f>COUNTIFS('唯一词标签'!$V$2:$V$1441,A188,'唯一词标签'!$Z$2:$Z$1441,"mismatch")</x:f>
        <x:v>1</x:v>
      </x:c>
      <x:c r="G188" s="7" t="n">
        <x:f>COUNTIFS('唯一词标签'!$V$2:$V$1441,A188,'唯一词标签'!$Z$2:$Z$1441,"unknown")</x:f>
        <x:v>0</x:v>
      </x:c>
      <x:c r="H188" s="7" t="n">
        <x:f>COUNTIFS('唯一词标签'!$V$2:$V$1441,A188,'唯一词标签'!$U$2:$U$1441,"low")</x:f>
        <x:v>0</x:v>
      </x:c>
      <x:c r="I188" s="7" t="n">
        <x:f>COUNTIFS('唯一词标签'!$V$2:$V$1441,A188,'唯一词标签'!$AB$2:$AB$1441,"needs_review")</x:f>
        <x:v>0</x:v>
      </x:c>
    </x:row>
    <x:row r="189" ht="22" customHeight="1">
      <x:c r="A189" s="7" t="str">
        <x:v>branded_womens_flip_flops_sandals</x:v>
      </x:c>
      <x:c r="B189" s="7" t="n">
        <x:f>COUNTIF('唯一词标签'!$V$2:$V$1441,A189)</x:f>
        <x:v>1</x:v>
      </x:c>
      <x:c r="C189" s="55" t="n">
        <x:f>B189/COUNTA('唯一词标签'!$C$2:$C$1441)</x:f>
        <x:v>0.0006944444444444445</x:v>
      </x:c>
      <x:c r="D189" s="7" t="n">
        <x:f>COUNTIFS('唯一词标签'!$V$2:$V$1441,A189,'唯一词标签'!$Z$2:$Z$1441,"match")</x:f>
        <x:v>1</x:v>
      </x:c>
      <x:c r="E189" s="7" t="n">
        <x:f>COUNTIFS('唯一词标签'!$V$2:$V$1441,A189,'唯一词标签'!$Z$2:$Z$1441,"partial_match")</x:f>
        <x:v>0</x:v>
      </x:c>
      <x:c r="F189" s="7" t="n">
        <x:f>COUNTIFS('唯一词标签'!$V$2:$V$1441,A189,'唯一词标签'!$Z$2:$Z$1441,"mismatch")</x:f>
        <x:v>0</x:v>
      </x:c>
      <x:c r="G189" s="7" t="n">
        <x:f>COUNTIFS('唯一词标签'!$V$2:$V$1441,A189,'唯一词标签'!$Z$2:$Z$1441,"unknown")</x:f>
        <x:v>0</x:v>
      </x:c>
      <x:c r="H189" s="7" t="n">
        <x:f>COUNTIFS('唯一词标签'!$V$2:$V$1441,A189,'唯一词标签'!$U$2:$U$1441,"low")</x:f>
        <x:v>0</x:v>
      </x:c>
      <x:c r="I189" s="7" t="n">
        <x:f>COUNTIFS('唯一词标签'!$V$2:$V$1441,A189,'唯一词标签'!$AB$2:$AB$1441,"needs_review")</x:f>
        <x:v>0</x:v>
      </x:c>
    </x:row>
    <x:row r="190" ht="22" customHeight="1">
      <x:c r="A190" s="7" t="str">
        <x:v>bright_blue_flip_flops</x:v>
      </x:c>
      <x:c r="B190" s="7" t="n">
        <x:f>COUNTIF('唯一词标签'!$V$2:$V$1441,A190)</x:f>
        <x:v>1</x:v>
      </x:c>
      <x:c r="C190" s="55" t="n">
        <x:f>B190/COUNTA('唯一词标签'!$C$2:$C$1441)</x:f>
        <x:v>0.0006944444444444445</x:v>
      </x:c>
      <x:c r="D190" s="7" t="n">
        <x:f>COUNTIFS('唯一词标签'!$V$2:$V$1441,A190,'唯一词标签'!$Z$2:$Z$1441,"match")</x:f>
        <x:v>0</x:v>
      </x:c>
      <x:c r="E190" s="7" t="n">
        <x:f>COUNTIFS('唯一词标签'!$V$2:$V$1441,A190,'唯一词标签'!$Z$2:$Z$1441,"partial_match")</x:f>
        <x:v>1</x:v>
      </x:c>
      <x:c r="F190" s="7" t="n">
        <x:f>COUNTIFS('唯一词标签'!$V$2:$V$1441,A190,'唯一词标签'!$Z$2:$Z$1441,"mismatch")</x:f>
        <x:v>0</x:v>
      </x:c>
      <x:c r="G190" s="7" t="n">
        <x:f>COUNTIFS('唯一词标签'!$V$2:$V$1441,A190,'唯一词标签'!$Z$2:$Z$1441,"unknown")</x:f>
        <x:v>0</x:v>
      </x:c>
      <x:c r="H190" s="7" t="n">
        <x:f>COUNTIFS('唯一词标签'!$V$2:$V$1441,A190,'唯一词标签'!$U$2:$U$1441,"low")</x:f>
        <x:v>0</x:v>
      </x:c>
      <x:c r="I190" s="7" t="n">
        <x:f>COUNTIFS('唯一词标签'!$V$2:$V$1441,A190,'唯一词标签'!$AB$2:$AB$1441,"needs_review")</x:f>
        <x:v>0</x:v>
      </x:c>
    </x:row>
    <x:row r="191" ht="22" customHeight="1">
      <x:c r="A191" s="7" t="str">
        <x:v>bright_womens_sandals</x:v>
      </x:c>
      <x:c r="B191" s="7" t="n">
        <x:f>COUNTIF('唯一词标签'!$V$2:$V$1441,A191)</x:f>
        <x:v>1</x:v>
      </x:c>
      <x:c r="C191" s="55" t="n">
        <x:f>B191/COUNTA('唯一词标签'!$C$2:$C$1441)</x:f>
        <x:v>0.0006944444444444445</x:v>
      </x:c>
      <x:c r="D191" s="7" t="n">
        <x:f>COUNTIFS('唯一词标签'!$V$2:$V$1441,A191,'唯一词标签'!$Z$2:$Z$1441,"match")</x:f>
        <x:v>1</x:v>
      </x:c>
      <x:c r="E191" s="7" t="n">
        <x:f>COUNTIFS('唯一词标签'!$V$2:$V$1441,A191,'唯一词标签'!$Z$2:$Z$1441,"partial_match")</x:f>
        <x:v>0</x:v>
      </x:c>
      <x:c r="F191" s="7" t="n">
        <x:f>COUNTIFS('唯一词标签'!$V$2:$V$1441,A191,'唯一词标签'!$Z$2:$Z$1441,"mismatch")</x:f>
        <x:v>0</x:v>
      </x:c>
      <x:c r="G191" s="7" t="n">
        <x:f>COUNTIFS('唯一词标签'!$V$2:$V$1441,A191,'唯一词标签'!$Z$2:$Z$1441,"unknown")</x:f>
        <x:v>0</x:v>
      </x:c>
      <x:c r="H191" s="7" t="n">
        <x:f>COUNTIFS('唯一词标签'!$V$2:$V$1441,A191,'唯一词标签'!$U$2:$U$1441,"low")</x:f>
        <x:v>0</x:v>
      </x:c>
      <x:c r="I191" s="7" t="n">
        <x:f>COUNTIFS('唯一词标签'!$V$2:$V$1441,A191,'唯一词标签'!$AB$2:$AB$1441,"needs_review")</x:f>
        <x:v>0</x:v>
      </x:c>
    </x:row>
    <x:row r="192" ht="22" customHeight="1">
      <x:c r="A192" s="7" t="str">
        <x:v>bronze_arch_support_waterproof_flip_flops</x:v>
      </x:c>
      <x:c r="B192" s="7" t="n">
        <x:f>COUNTIF('唯一词标签'!$V$2:$V$1441,A192)</x:f>
        <x:v>1</x:v>
      </x:c>
      <x:c r="C192" s="55" t="n">
        <x:f>B192/COUNTA('唯一词标签'!$C$2:$C$1441)</x:f>
        <x:v>0.0006944444444444445</x:v>
      </x:c>
      <x:c r="D192" s="7" t="n">
        <x:f>COUNTIFS('唯一词标签'!$V$2:$V$1441,A192,'唯一词标签'!$Z$2:$Z$1441,"match")</x:f>
        <x:v>0</x:v>
      </x:c>
      <x:c r="E192" s="7" t="n">
        <x:f>COUNTIFS('唯一词标签'!$V$2:$V$1441,A192,'唯一词标签'!$Z$2:$Z$1441,"partial_match")</x:f>
        <x:v>1</x:v>
      </x:c>
      <x:c r="F192" s="7" t="n">
        <x:f>COUNTIFS('唯一词标签'!$V$2:$V$1441,A192,'唯一词标签'!$Z$2:$Z$1441,"mismatch")</x:f>
        <x:v>0</x:v>
      </x:c>
      <x:c r="G192" s="7" t="n">
        <x:f>COUNTIFS('唯一词标签'!$V$2:$V$1441,A192,'唯一词标签'!$Z$2:$Z$1441,"unknown")</x:f>
        <x:v>0</x:v>
      </x:c>
      <x:c r="H192" s="7" t="n">
        <x:f>COUNTIFS('唯一词标签'!$V$2:$V$1441,A192,'唯一词标签'!$U$2:$U$1441,"low")</x:f>
        <x:v>0</x:v>
      </x:c>
      <x:c r="I192" s="7" t="n">
        <x:f>COUNTIFS('唯一词标签'!$V$2:$V$1441,A192,'唯一词标签'!$AB$2:$AB$1441,"needs_review")</x:f>
        <x:v>0</x:v>
      </x:c>
    </x:row>
    <x:row r="193" ht="22" customHeight="1">
      <x:c r="A193" s="7" t="str">
        <x:v>brown_arch_support_flip_flops</x:v>
      </x:c>
      <x:c r="B193" s="7" t="n">
        <x:f>COUNTIF('唯一词标签'!$V$2:$V$1441,A193)</x:f>
        <x:v>3</x:v>
      </x:c>
      <x:c r="C193" s="55" t="n">
        <x:f>B193/COUNTA('唯一词标签'!$C$2:$C$1441)</x:f>
        <x:v>0.0020833333333333333</x:v>
      </x:c>
      <x:c r="D193" s="7" t="n">
        <x:f>COUNTIFS('唯一词标签'!$V$2:$V$1441,A193,'唯一词标签'!$Z$2:$Z$1441,"match")</x:f>
        <x:v>3</x:v>
      </x:c>
      <x:c r="E193" s="7" t="n">
        <x:f>COUNTIFS('唯一词标签'!$V$2:$V$1441,A193,'唯一词标签'!$Z$2:$Z$1441,"partial_match")</x:f>
        <x:v>0</x:v>
      </x:c>
      <x:c r="F193" s="7" t="n">
        <x:f>COUNTIFS('唯一词标签'!$V$2:$V$1441,A193,'唯一词标签'!$Z$2:$Z$1441,"mismatch")</x:f>
        <x:v>0</x:v>
      </x:c>
      <x:c r="G193" s="7" t="n">
        <x:f>COUNTIFS('唯一词标签'!$V$2:$V$1441,A193,'唯一词标签'!$Z$2:$Z$1441,"unknown")</x:f>
        <x:v>0</x:v>
      </x:c>
      <x:c r="H193" s="7" t="n">
        <x:f>COUNTIFS('唯一词标签'!$V$2:$V$1441,A193,'唯一词标签'!$U$2:$U$1441,"low")</x:f>
        <x:v>0</x:v>
      </x:c>
      <x:c r="I193" s="7" t="n">
        <x:f>COUNTIFS('唯一词标签'!$V$2:$V$1441,A193,'唯一词标签'!$AB$2:$AB$1441,"needs_review")</x:f>
        <x:v>0</x:v>
      </x:c>
    </x:row>
    <x:row r="194" ht="22" customHeight="1">
      <x:c r="A194" s="7" t="str">
        <x:v>brown_beach_flip_flops</x:v>
      </x:c>
      <x:c r="B194" s="7" t="n">
        <x:f>COUNTIF('唯一词标签'!$V$2:$V$1441,A194)</x:f>
        <x:v>1</x:v>
      </x:c>
      <x:c r="C194" s="55" t="n">
        <x:f>B194/COUNTA('唯一词标签'!$C$2:$C$1441)</x:f>
        <x:v>0.0006944444444444445</x:v>
      </x:c>
      <x:c r="D194" s="7" t="n">
        <x:f>COUNTIFS('唯一词标签'!$V$2:$V$1441,A194,'唯一词标签'!$Z$2:$Z$1441,"match")</x:f>
        <x:v>1</x:v>
      </x:c>
      <x:c r="E194" s="7" t="n">
        <x:f>COUNTIFS('唯一词标签'!$V$2:$V$1441,A194,'唯一词标签'!$Z$2:$Z$1441,"partial_match")</x:f>
        <x:v>0</x:v>
      </x:c>
      <x:c r="F194" s="7" t="n">
        <x:f>COUNTIFS('唯一词标签'!$V$2:$V$1441,A194,'唯一词标签'!$Z$2:$Z$1441,"mismatch")</x:f>
        <x:v>0</x:v>
      </x:c>
      <x:c r="G194" s="7" t="n">
        <x:f>COUNTIFS('唯一词标签'!$V$2:$V$1441,A194,'唯一词标签'!$Z$2:$Z$1441,"unknown")</x:f>
        <x:v>0</x:v>
      </x:c>
      <x:c r="H194" s="7" t="n">
        <x:f>COUNTIFS('唯一词标签'!$V$2:$V$1441,A194,'唯一词标签'!$U$2:$U$1441,"low")</x:f>
        <x:v>0</x:v>
      </x:c>
      <x:c r="I194" s="7" t="n">
        <x:f>COUNTIFS('唯一词标签'!$V$2:$V$1441,A194,'唯一词标签'!$AB$2:$AB$1441,"needs_review")</x:f>
        <x:v>0</x:v>
      </x:c>
    </x:row>
    <x:row r="195" ht="22" customHeight="1">
      <x:c r="A195" s="7" t="str">
        <x:v>brown_beach_sandals</x:v>
      </x:c>
      <x:c r="B195" s="7" t="n">
        <x:f>COUNTIF('唯一词标签'!$V$2:$V$1441,A195)</x:f>
        <x:v>1</x:v>
      </x:c>
      <x:c r="C195" s="55" t="n">
        <x:f>B195/COUNTA('唯一词标签'!$C$2:$C$1441)</x:f>
        <x:v>0.0006944444444444445</x:v>
      </x:c>
      <x:c r="D195" s="7" t="n">
        <x:f>COUNTIFS('唯一词标签'!$V$2:$V$1441,A195,'唯一词标签'!$Z$2:$Z$1441,"match")</x:f>
        <x:v>1</x:v>
      </x:c>
      <x:c r="E195" s="7" t="n">
        <x:f>COUNTIFS('唯一词标签'!$V$2:$V$1441,A195,'唯一词标签'!$Z$2:$Z$1441,"partial_match")</x:f>
        <x:v>0</x:v>
      </x:c>
      <x:c r="F195" s="7" t="n">
        <x:f>COUNTIFS('唯一词标签'!$V$2:$V$1441,A195,'唯一词标签'!$Z$2:$Z$1441,"mismatch")</x:f>
        <x:v>0</x:v>
      </x:c>
      <x:c r="G195" s="7" t="n">
        <x:f>COUNTIFS('唯一词标签'!$V$2:$V$1441,A195,'唯一词标签'!$Z$2:$Z$1441,"unknown")</x:f>
        <x:v>0</x:v>
      </x:c>
      <x:c r="H195" s="7" t="n">
        <x:f>COUNTIFS('唯一词标签'!$V$2:$V$1441,A195,'唯一词标签'!$U$2:$U$1441,"low")</x:f>
        <x:v>0</x:v>
      </x:c>
      <x:c r="I195" s="7" t="n">
        <x:f>COUNTIFS('唯一词标签'!$V$2:$V$1441,A195,'唯一词标签'!$AB$2:$AB$1441,"needs_review")</x:f>
        <x:v>0</x:v>
      </x:c>
    </x:row>
    <x:row r="196" ht="22" customHeight="1">
      <x:c r="A196" s="7" t="str">
        <x:v>brown_flip_flops</x:v>
      </x:c>
      <x:c r="B196" s="7" t="n">
        <x:f>COUNTIF('唯一词标签'!$V$2:$V$1441,A196)</x:f>
        <x:v>3</x:v>
      </x:c>
      <x:c r="C196" s="55" t="n">
        <x:f>B196/COUNTA('唯一词标签'!$C$2:$C$1441)</x:f>
        <x:v>0.0020833333333333333</x:v>
      </x:c>
      <x:c r="D196" s="7" t="n">
        <x:f>COUNTIFS('唯一词标签'!$V$2:$V$1441,A196,'唯一词标签'!$Z$2:$Z$1441,"match")</x:f>
        <x:v>3</x:v>
      </x:c>
      <x:c r="E196" s="7" t="n">
        <x:f>COUNTIFS('唯一词标签'!$V$2:$V$1441,A196,'唯一词标签'!$Z$2:$Z$1441,"partial_match")</x:f>
        <x:v>0</x:v>
      </x:c>
      <x:c r="F196" s="7" t="n">
        <x:f>COUNTIFS('唯一词标签'!$V$2:$V$1441,A196,'唯一词标签'!$Z$2:$Z$1441,"mismatch")</x:f>
        <x:v>0</x:v>
      </x:c>
      <x:c r="G196" s="7" t="n">
        <x:f>COUNTIFS('唯一词标签'!$V$2:$V$1441,A196,'唯一词标签'!$Z$2:$Z$1441,"unknown")</x:f>
        <x:v>0</x:v>
      </x:c>
      <x:c r="H196" s="7" t="n">
        <x:f>COUNTIFS('唯一词标签'!$V$2:$V$1441,A196,'唯一词标签'!$U$2:$U$1441,"low")</x:f>
        <x:v>0</x:v>
      </x:c>
      <x:c r="I196" s="7" t="n">
        <x:f>COUNTIFS('唯一词标签'!$V$2:$V$1441,A196,'唯一词标签'!$AB$2:$AB$1441,"needs_review")</x:f>
        <x:v>0</x:v>
      </x:c>
    </x:row>
    <x:row r="197" ht="22" customHeight="1">
      <x:c r="A197" s="7" t="str">
        <x:v>brown_flip_flops_women_sized</x:v>
      </x:c>
      <x:c r="B197" s="7" t="n">
        <x:f>COUNTIF('唯一词标签'!$V$2:$V$1441,A197)</x:f>
        <x:v>1</x:v>
      </x:c>
      <x:c r="C197" s="55" t="n">
        <x:f>B197/COUNTA('唯一词标签'!$C$2:$C$1441)</x:f>
        <x:v>0.0006944444444444445</x:v>
      </x:c>
      <x:c r="D197" s="7" t="n">
        <x:f>COUNTIFS('唯一词标签'!$V$2:$V$1441,A197,'唯一词标签'!$Z$2:$Z$1441,"match")</x:f>
        <x:v>1</x:v>
      </x:c>
      <x:c r="E197" s="7" t="n">
        <x:f>COUNTIFS('唯一词标签'!$V$2:$V$1441,A197,'唯一词标签'!$Z$2:$Z$1441,"partial_match")</x:f>
        <x:v>0</x:v>
      </x:c>
      <x:c r="F197" s="7" t="n">
        <x:f>COUNTIFS('唯一词标签'!$V$2:$V$1441,A197,'唯一词标签'!$Z$2:$Z$1441,"mismatch")</x:f>
        <x:v>0</x:v>
      </x:c>
      <x:c r="G197" s="7" t="n">
        <x:f>COUNTIFS('唯一词标签'!$V$2:$V$1441,A197,'唯一词标签'!$Z$2:$Z$1441,"unknown")</x:f>
        <x:v>0</x:v>
      </x:c>
      <x:c r="H197" s="7" t="n">
        <x:f>COUNTIFS('唯一词标签'!$V$2:$V$1441,A197,'唯一词标签'!$U$2:$U$1441,"low")</x:f>
        <x:v>0</x:v>
      </x:c>
      <x:c r="I197" s="7" t="n">
        <x:f>COUNTIFS('唯一词标签'!$V$2:$V$1441,A197,'唯一词标签'!$AB$2:$AB$1441,"needs_review")</x:f>
        <x:v>0</x:v>
      </x:c>
    </x:row>
    <x:row r="198" ht="22" customHeight="1">
      <x:c r="A198" s="7" t="str">
        <x:v>brown_plastic_womens_flip_flops</x:v>
      </x:c>
      <x:c r="B198" s="7" t="n">
        <x:f>COUNTIF('唯一词标签'!$V$2:$V$1441,A198)</x:f>
        <x:v>1</x:v>
      </x:c>
      <x:c r="C198" s="55" t="n">
        <x:f>B198/COUNTA('唯一词标签'!$C$2:$C$1441)</x:f>
        <x:v>0.0006944444444444445</x:v>
      </x:c>
      <x:c r="D198" s="7" t="n">
        <x:f>COUNTIFS('唯一词标签'!$V$2:$V$1441,A198,'唯一词标签'!$Z$2:$Z$1441,"match")</x:f>
        <x:v>1</x:v>
      </x:c>
      <x:c r="E198" s="7" t="n">
        <x:f>COUNTIFS('唯一词标签'!$V$2:$V$1441,A198,'唯一词标签'!$Z$2:$Z$1441,"partial_match")</x:f>
        <x:v>0</x:v>
      </x:c>
      <x:c r="F198" s="7" t="n">
        <x:f>COUNTIFS('唯一词标签'!$V$2:$V$1441,A198,'唯一词标签'!$Z$2:$Z$1441,"mismatch")</x:f>
        <x:v>0</x:v>
      </x:c>
      <x:c r="G198" s="7" t="n">
        <x:f>COUNTIFS('唯一词标签'!$V$2:$V$1441,A198,'唯一词标签'!$Z$2:$Z$1441,"unknown")</x:f>
        <x:v>0</x:v>
      </x:c>
      <x:c r="H198" s="7" t="n">
        <x:f>COUNTIFS('唯一词标签'!$V$2:$V$1441,A198,'唯一词标签'!$U$2:$U$1441,"low")</x:f>
        <x:v>0</x:v>
      </x:c>
      <x:c r="I198" s="7" t="n">
        <x:f>COUNTIFS('唯一词标签'!$V$2:$V$1441,A198,'唯一词标签'!$AB$2:$AB$1441,"needs_review")</x:f>
        <x:v>0</x:v>
      </x:c>
    </x:row>
    <x:row r="199" ht="22" customHeight="1">
      <x:c r="A199" s="7" t="str">
        <x:v>brown_rubber_flip_flops</x:v>
      </x:c>
      <x:c r="B199" s="7" t="n">
        <x:f>COUNTIF('唯一词标签'!$V$2:$V$1441,A199)</x:f>
        <x:v>1</x:v>
      </x:c>
      <x:c r="C199" s="55" t="n">
        <x:f>B199/COUNTA('唯一词标签'!$C$2:$C$1441)</x:f>
        <x:v>0.0006944444444444445</x:v>
      </x:c>
      <x:c r="D199" s="7" t="n">
        <x:f>COUNTIFS('唯一词标签'!$V$2:$V$1441,A199,'唯一词标签'!$Z$2:$Z$1441,"match")</x:f>
        <x:v>0</x:v>
      </x:c>
      <x:c r="E199" s="7" t="n">
        <x:f>COUNTIFS('唯一词标签'!$V$2:$V$1441,A199,'唯一词标签'!$Z$2:$Z$1441,"partial_match")</x:f>
        <x:v>1</x:v>
      </x:c>
      <x:c r="F199" s="7" t="n">
        <x:f>COUNTIFS('唯一词标签'!$V$2:$V$1441,A199,'唯一词标签'!$Z$2:$Z$1441,"mismatch")</x:f>
        <x:v>0</x:v>
      </x:c>
      <x:c r="G199" s="7" t="n">
        <x:f>COUNTIFS('唯一词标签'!$V$2:$V$1441,A199,'唯一词标签'!$Z$2:$Z$1441,"unknown")</x:f>
        <x:v>0</x:v>
      </x:c>
      <x:c r="H199" s="7" t="n">
        <x:f>COUNTIFS('唯一词标签'!$V$2:$V$1441,A199,'唯一词标签'!$U$2:$U$1441,"low")</x:f>
        <x:v>0</x:v>
      </x:c>
      <x:c r="I199" s="7" t="n">
        <x:f>COUNTIFS('唯一词标签'!$V$2:$V$1441,A199,'唯一词标签'!$AB$2:$AB$1441,"needs_review")</x:f>
        <x:v>0</x:v>
      </x:c>
    </x:row>
    <x:row r="200" ht="22" customHeight="1">
      <x:c r="A200" s="7" t="str">
        <x:v>brown_rubber_womens_flip_flops</x:v>
      </x:c>
      <x:c r="B200" s="7" t="n">
        <x:f>COUNTIF('唯一词标签'!$V$2:$V$1441,A200)</x:f>
        <x:v>1</x:v>
      </x:c>
      <x:c r="C200" s="55" t="n">
        <x:f>B200/COUNTA('唯一词标签'!$C$2:$C$1441)</x:f>
        <x:v>0.0006944444444444445</x:v>
      </x:c>
      <x:c r="D200" s="7" t="n">
        <x:f>COUNTIFS('唯一词标签'!$V$2:$V$1441,A200,'唯一词标签'!$Z$2:$Z$1441,"match")</x:f>
        <x:v>0</x:v>
      </x:c>
      <x:c r="E200" s="7" t="n">
        <x:f>COUNTIFS('唯一词标签'!$V$2:$V$1441,A200,'唯一词标签'!$Z$2:$Z$1441,"partial_match")</x:f>
        <x:v>1</x:v>
      </x:c>
      <x:c r="F200" s="7" t="n">
        <x:f>COUNTIFS('唯一词标签'!$V$2:$V$1441,A200,'唯一词标签'!$Z$2:$Z$1441,"mismatch")</x:f>
        <x:v>0</x:v>
      </x:c>
      <x:c r="G200" s="7" t="n">
        <x:f>COUNTIFS('唯一词标签'!$V$2:$V$1441,A200,'唯一词标签'!$Z$2:$Z$1441,"unknown")</x:f>
        <x:v>0</x:v>
      </x:c>
      <x:c r="H200" s="7" t="n">
        <x:f>COUNTIFS('唯一词标签'!$V$2:$V$1441,A200,'唯一词标签'!$U$2:$U$1441,"low")</x:f>
        <x:v>0</x:v>
      </x:c>
      <x:c r="I200" s="7" t="n">
        <x:f>COUNTIFS('唯一词标签'!$V$2:$V$1441,A200,'唯一词标签'!$AB$2:$AB$1441,"needs_review")</x:f>
        <x:v>0</x:v>
      </x:c>
    </x:row>
    <x:row r="201" ht="22" customHeight="1">
      <x:c r="A201" s="7" t="str">
        <x:v>brown_sandal_women</x:v>
      </x:c>
      <x:c r="B201" s="7" t="n">
        <x:f>COUNTIF('唯一词标签'!$V$2:$V$1441,A201)</x:f>
        <x:v>1</x:v>
      </x:c>
      <x:c r="C201" s="55" t="n">
        <x:f>B201/COUNTA('唯一词标签'!$C$2:$C$1441)</x:f>
        <x:v>0.0006944444444444445</x:v>
      </x:c>
      <x:c r="D201" s="7" t="n">
        <x:f>COUNTIFS('唯一词标签'!$V$2:$V$1441,A201,'唯一词标签'!$Z$2:$Z$1441,"match")</x:f>
        <x:v>1</x:v>
      </x:c>
      <x:c r="E201" s="7" t="n">
        <x:f>COUNTIFS('唯一词标签'!$V$2:$V$1441,A201,'唯一词标签'!$Z$2:$Z$1441,"partial_match")</x:f>
        <x:v>0</x:v>
      </x:c>
      <x:c r="F201" s="7" t="n">
        <x:f>COUNTIFS('唯一词标签'!$V$2:$V$1441,A201,'唯一词标签'!$Z$2:$Z$1441,"mismatch")</x:f>
        <x:v>0</x:v>
      </x:c>
      <x:c r="G201" s="7" t="n">
        <x:f>COUNTIFS('唯一词标签'!$V$2:$V$1441,A201,'唯一词标签'!$Z$2:$Z$1441,"unknown")</x:f>
        <x:v>0</x:v>
      </x:c>
      <x:c r="H201" s="7" t="n">
        <x:f>COUNTIFS('唯一词标签'!$V$2:$V$1441,A201,'唯一词标签'!$U$2:$U$1441,"low")</x:f>
        <x:v>0</x:v>
      </x:c>
      <x:c r="I201" s="7" t="n">
        <x:f>COUNTIFS('唯一词标签'!$V$2:$V$1441,A201,'唯一词标签'!$AB$2:$AB$1441,"needs_review")</x:f>
        <x:v>0</x:v>
      </x:c>
    </x:row>
    <x:row r="202" ht="22" customHeight="1">
      <x:c r="A202" s="7" t="str">
        <x:v>brown_white_flip_flops</x:v>
      </x:c>
      <x:c r="B202" s="7" t="n">
        <x:f>COUNTIF('唯一词标签'!$V$2:$V$1441,A202)</x:f>
        <x:v>1</x:v>
      </x:c>
      <x:c r="C202" s="55" t="n">
        <x:f>B202/COUNTA('唯一词标签'!$C$2:$C$1441)</x:f>
        <x:v>0.0006944444444444445</x:v>
      </x:c>
      <x:c r="D202" s="7" t="n">
        <x:f>COUNTIFS('唯一词标签'!$V$2:$V$1441,A202,'唯一词标签'!$Z$2:$Z$1441,"match")</x:f>
        <x:v>1</x:v>
      </x:c>
      <x:c r="E202" s="7" t="n">
        <x:f>COUNTIFS('唯一词标签'!$V$2:$V$1441,A202,'唯一词标签'!$Z$2:$Z$1441,"partial_match")</x:f>
        <x:v>0</x:v>
      </x:c>
      <x:c r="F202" s="7" t="n">
        <x:f>COUNTIFS('唯一词标签'!$V$2:$V$1441,A202,'唯一词标签'!$Z$2:$Z$1441,"mismatch")</x:f>
        <x:v>0</x:v>
      </x:c>
      <x:c r="G202" s="7" t="n">
        <x:f>COUNTIFS('唯一词标签'!$V$2:$V$1441,A202,'唯一词标签'!$Z$2:$Z$1441,"unknown")</x:f>
        <x:v>0</x:v>
      </x:c>
      <x:c r="H202" s="7" t="n">
        <x:f>COUNTIFS('唯一词标签'!$V$2:$V$1441,A202,'唯一词标签'!$U$2:$U$1441,"low")</x:f>
        <x:v>0</x:v>
      </x:c>
      <x:c r="I202" s="7" t="n">
        <x:f>COUNTIFS('唯一词标签'!$V$2:$V$1441,A202,'唯一词标签'!$AB$2:$AB$1441,"needs_review")</x:f>
        <x:v>0</x:v>
      </x:c>
    </x:row>
    <x:row r="203" ht="22" customHeight="1">
      <x:c r="A203" s="7" t="str">
        <x:v>brown_womens_flip_flops</x:v>
      </x:c>
      <x:c r="B203" s="7" t="n">
        <x:f>COUNTIF('唯一词标签'!$V$2:$V$1441,A203)</x:f>
        <x:v>2</x:v>
      </x:c>
      <x:c r="C203" s="55" t="n">
        <x:f>B203/COUNTA('唯一词标签'!$C$2:$C$1441)</x:f>
        <x:v>0.001388888888888889</x:v>
      </x:c>
      <x:c r="D203" s="7" t="n">
        <x:f>COUNTIFS('唯一词标签'!$V$2:$V$1441,A203,'唯一词标签'!$Z$2:$Z$1441,"match")</x:f>
        <x:v>2</x:v>
      </x:c>
      <x:c r="E203" s="7" t="n">
        <x:f>COUNTIFS('唯一词标签'!$V$2:$V$1441,A203,'唯一词标签'!$Z$2:$Z$1441,"partial_match")</x:f>
        <x:v>0</x:v>
      </x:c>
      <x:c r="F203" s="7" t="n">
        <x:f>COUNTIFS('唯一词标签'!$V$2:$V$1441,A203,'唯一词标签'!$Z$2:$Z$1441,"mismatch")</x:f>
        <x:v>0</x:v>
      </x:c>
      <x:c r="G203" s="7" t="n">
        <x:f>COUNTIFS('唯一词标签'!$V$2:$V$1441,A203,'唯一词标签'!$Z$2:$Z$1441,"unknown")</x:f>
        <x:v>0</x:v>
      </x:c>
      <x:c r="H203" s="7" t="n">
        <x:f>COUNTIFS('唯一词标签'!$V$2:$V$1441,A203,'唯一词标签'!$U$2:$U$1441,"low")</x:f>
        <x:v>0</x:v>
      </x:c>
      <x:c r="I203" s="7" t="n">
        <x:f>COUNTIFS('唯一词标签'!$V$2:$V$1441,A203,'唯一词标签'!$AB$2:$AB$1441,"needs_review")</x:f>
        <x:v>0</x:v>
      </x:c>
    </x:row>
    <x:row r="204" ht="22" customHeight="1">
      <x:c r="A204" s="7" t="str">
        <x:v>buckle_flip_flops</x:v>
      </x:c>
      <x:c r="B204" s="7" t="n">
        <x:f>COUNTIF('唯一词标签'!$V$2:$V$1441,A204)</x:f>
        <x:v>1</x:v>
      </x:c>
      <x:c r="C204" s="55" t="n">
        <x:f>B204/COUNTA('唯一词标签'!$C$2:$C$1441)</x:f>
        <x:v>0.0006944444444444445</x:v>
      </x:c>
      <x:c r="D204" s="7" t="n">
        <x:f>COUNTIFS('唯一词标签'!$V$2:$V$1441,A204,'唯一词标签'!$Z$2:$Z$1441,"match")</x:f>
        <x:v>0</x:v>
      </x:c>
      <x:c r="E204" s="7" t="n">
        <x:f>COUNTIFS('唯一词标签'!$V$2:$V$1441,A204,'唯一词标签'!$Z$2:$Z$1441,"partial_match")</x:f>
        <x:v>0</x:v>
      </x:c>
      <x:c r="F204" s="7" t="n">
        <x:f>COUNTIFS('唯一词标签'!$V$2:$V$1441,A204,'唯一词标签'!$Z$2:$Z$1441,"mismatch")</x:f>
        <x:v>1</x:v>
      </x:c>
      <x:c r="G204" s="7" t="n">
        <x:f>COUNTIFS('唯一词标签'!$V$2:$V$1441,A204,'唯一词标签'!$Z$2:$Z$1441,"unknown")</x:f>
        <x:v>0</x:v>
      </x:c>
      <x:c r="H204" s="7" t="n">
        <x:f>COUNTIFS('唯一词标签'!$V$2:$V$1441,A204,'唯一词标签'!$U$2:$U$1441,"low")</x:f>
        <x:v>0</x:v>
      </x:c>
      <x:c r="I204" s="7" t="n">
        <x:f>COUNTIFS('唯一词标签'!$V$2:$V$1441,A204,'唯一词标签'!$AB$2:$AB$1441,"needs_review")</x:f>
        <x:v>0</x:v>
      </x:c>
    </x:row>
    <x:row r="205" ht="22" customHeight="1">
      <x:c r="A205" s="7" t="str">
        <x:v>budget_sandals</x:v>
      </x:c>
      <x:c r="B205" s="7" t="n">
        <x:f>COUNTIF('唯一词标签'!$V$2:$V$1441,A205)</x:f>
        <x:v>1</x:v>
      </x:c>
      <x:c r="C205" s="55" t="n">
        <x:f>B205/COUNTA('唯一词标签'!$C$2:$C$1441)</x:f>
        <x:v>0.0006944444444444445</x:v>
      </x:c>
      <x:c r="D205" s="7" t="n">
        <x:f>COUNTIFS('唯一词标签'!$V$2:$V$1441,A205,'唯一词标签'!$Z$2:$Z$1441,"match")</x:f>
        <x:v>0</x:v>
      </x:c>
      <x:c r="E205" s="7" t="n">
        <x:f>COUNTIFS('唯一词标签'!$V$2:$V$1441,A205,'唯一词标签'!$Z$2:$Z$1441,"partial_match")</x:f>
        <x:v>1</x:v>
      </x:c>
      <x:c r="F205" s="7" t="n">
        <x:f>COUNTIFS('唯一词标签'!$V$2:$V$1441,A205,'唯一词标签'!$Z$2:$Z$1441,"mismatch")</x:f>
        <x:v>0</x:v>
      </x:c>
      <x:c r="G205" s="7" t="n">
        <x:f>COUNTIFS('唯一词标签'!$V$2:$V$1441,A205,'唯一词标签'!$Z$2:$Z$1441,"unknown")</x:f>
        <x:v>0</x:v>
      </x:c>
      <x:c r="H205" s="7" t="n">
        <x:f>COUNTIFS('唯一词标签'!$V$2:$V$1441,A205,'唯一词标签'!$U$2:$U$1441,"low")</x:f>
        <x:v>0</x:v>
      </x:c>
      <x:c r="I205" s="7" t="n">
        <x:f>COUNTIFS('唯一词标签'!$V$2:$V$1441,A205,'唯一词标签'!$AB$2:$AB$1441,"needs_review")</x:f>
        <x:v>0</x:v>
      </x:c>
    </x:row>
    <x:row r="206" ht="22" customHeight="1">
      <x:c r="A206" s="7" t="str">
        <x:v>budget_womens_arch_support_flip_flops</x:v>
      </x:c>
      <x:c r="B206" s="7" t="n">
        <x:f>COUNTIF('唯一词标签'!$V$2:$V$1441,A206)</x:f>
        <x:v>1</x:v>
      </x:c>
      <x:c r="C206" s="55" t="n">
        <x:f>B206/COUNTA('唯一词标签'!$C$2:$C$1441)</x:f>
        <x:v>0.0006944444444444445</x:v>
      </x:c>
      <x:c r="D206" s="7" t="n">
        <x:f>COUNTIFS('唯一词标签'!$V$2:$V$1441,A206,'唯一词标签'!$Z$2:$Z$1441,"match")</x:f>
        <x:v>0</x:v>
      </x:c>
      <x:c r="E206" s="7" t="n">
        <x:f>COUNTIFS('唯一词标签'!$V$2:$V$1441,A206,'唯一词标签'!$Z$2:$Z$1441,"partial_match")</x:f>
        <x:v>1</x:v>
      </x:c>
      <x:c r="F206" s="7" t="n">
        <x:f>COUNTIFS('唯一词标签'!$V$2:$V$1441,A206,'唯一词标签'!$Z$2:$Z$1441,"mismatch")</x:f>
        <x:v>0</x:v>
      </x:c>
      <x:c r="G206" s="7" t="n">
        <x:f>COUNTIFS('唯一词标签'!$V$2:$V$1441,A206,'唯一词标签'!$Z$2:$Z$1441,"unknown")</x:f>
        <x:v>0</x:v>
      </x:c>
      <x:c r="H206" s="7" t="n">
        <x:f>COUNTIFS('唯一词标签'!$V$2:$V$1441,A206,'唯一词标签'!$U$2:$U$1441,"low")</x:f>
        <x:v>0</x:v>
      </x:c>
      <x:c r="I206" s="7" t="n">
        <x:f>COUNTIFS('唯一词标签'!$V$2:$V$1441,A206,'唯一词标签'!$AB$2:$AB$1441,"needs_review")</x:f>
        <x:v>0</x:v>
      </x:c>
    </x:row>
    <x:row r="207" ht="22" customHeight="1">
      <x:c r="A207" s="7" t="str">
        <x:v>budget_womens_flip_flops</x:v>
      </x:c>
      <x:c r="B207" s="7" t="n">
        <x:f>COUNTIF('唯一词标签'!$V$2:$V$1441,A207)</x:f>
        <x:v>1</x:v>
      </x:c>
      <x:c r="C207" s="55" t="n">
        <x:f>B207/COUNTA('唯一词标签'!$C$2:$C$1441)</x:f>
        <x:v>0.0006944444444444445</x:v>
      </x:c>
      <x:c r="D207" s="7" t="n">
        <x:f>COUNTIFS('唯一词标签'!$V$2:$V$1441,A207,'唯一词标签'!$Z$2:$Z$1441,"match")</x:f>
        <x:v>0</x:v>
      </x:c>
      <x:c r="E207" s="7" t="n">
        <x:f>COUNTIFS('唯一词标签'!$V$2:$V$1441,A207,'唯一词标签'!$Z$2:$Z$1441,"partial_match")</x:f>
        <x:v>1</x:v>
      </x:c>
      <x:c r="F207" s="7" t="n">
        <x:f>COUNTIFS('唯一词标签'!$V$2:$V$1441,A207,'唯一词标签'!$Z$2:$Z$1441,"mismatch")</x:f>
        <x:v>0</x:v>
      </x:c>
      <x:c r="G207" s="7" t="n">
        <x:f>COUNTIFS('唯一词标签'!$V$2:$V$1441,A207,'唯一词标签'!$Z$2:$Z$1441,"unknown")</x:f>
        <x:v>0</x:v>
      </x:c>
      <x:c r="H207" s="7" t="n">
        <x:f>COUNTIFS('唯一词标签'!$V$2:$V$1441,A207,'唯一词标签'!$U$2:$U$1441,"low")</x:f>
        <x:v>0</x:v>
      </x:c>
      <x:c r="I207" s="7" t="n">
        <x:f>COUNTIFS('唯一词标签'!$V$2:$V$1441,A207,'唯一词标签'!$AB$2:$AB$1441,"needs_review")</x:f>
        <x:v>0</x:v>
      </x:c>
    </x:row>
    <x:row r="208" ht="22" customHeight="1">
      <x:c r="A208" s="7" t="str">
        <x:v>bunion_flip_flops_womens</x:v>
      </x:c>
      <x:c r="B208" s="7" t="n">
        <x:f>COUNTIF('唯一词标签'!$V$2:$V$1441,A208)</x:f>
        <x:v>1</x:v>
      </x:c>
      <x:c r="C208" s="55" t="n">
        <x:f>B208/COUNTA('唯一词标签'!$C$2:$C$1441)</x:f>
        <x:v>0.0006944444444444445</x:v>
      </x:c>
      <x:c r="D208" s="7" t="n">
        <x:f>COUNTIFS('唯一词标签'!$V$2:$V$1441,A208,'唯一词标签'!$Z$2:$Z$1441,"match")</x:f>
        <x:v>0</x:v>
      </x:c>
      <x:c r="E208" s="7" t="n">
        <x:f>COUNTIFS('唯一词标签'!$V$2:$V$1441,A208,'唯一词标签'!$Z$2:$Z$1441,"partial_match")</x:f>
        <x:v>1</x:v>
      </x:c>
      <x:c r="F208" s="7" t="n">
        <x:f>COUNTIFS('唯一词标签'!$V$2:$V$1441,A208,'唯一词标签'!$Z$2:$Z$1441,"mismatch")</x:f>
        <x:v>0</x:v>
      </x:c>
      <x:c r="G208" s="7" t="n">
        <x:f>COUNTIFS('唯一词标签'!$V$2:$V$1441,A208,'唯一词标签'!$Z$2:$Z$1441,"unknown")</x:f>
        <x:v>0</x:v>
      </x:c>
      <x:c r="H208" s="7" t="n">
        <x:f>COUNTIFS('唯一词标签'!$V$2:$V$1441,A208,'唯一词标签'!$U$2:$U$1441,"low")</x:f>
        <x:v>0</x:v>
      </x:c>
      <x:c r="I208" s="7" t="n">
        <x:f>COUNTIFS('唯一词标签'!$V$2:$V$1441,A208,'唯一词标签'!$AB$2:$AB$1441,"needs_review")</x:f>
        <x:v>0</x:v>
      </x:c>
    </x:row>
    <x:row r="209" ht="22" customHeight="1">
      <x:c r="A209" s="7" t="str">
        <x:v>burgundy_flip_flops</x:v>
      </x:c>
      <x:c r="B209" s="7" t="n">
        <x:f>COUNTIF('唯一词标签'!$V$2:$V$1441,A209)</x:f>
        <x:v>1</x:v>
      </x:c>
      <x:c r="C209" s="55" t="n">
        <x:f>B209/COUNTA('唯一词标签'!$C$2:$C$1441)</x:f>
        <x:v>0.0006944444444444445</x:v>
      </x:c>
      <x:c r="D209" s="7" t="n">
        <x:f>COUNTIFS('唯一词标签'!$V$2:$V$1441,A209,'唯一词标签'!$Z$2:$Z$1441,"match")</x:f>
        <x:v>0</x:v>
      </x:c>
      <x:c r="E209" s="7" t="n">
        <x:f>COUNTIFS('唯一词标签'!$V$2:$V$1441,A209,'唯一词标签'!$Z$2:$Z$1441,"partial_match")</x:f>
        <x:v>1</x:v>
      </x:c>
      <x:c r="F209" s="7" t="n">
        <x:f>COUNTIFS('唯一词标签'!$V$2:$V$1441,A209,'唯一词标签'!$Z$2:$Z$1441,"mismatch")</x:f>
        <x:v>0</x:v>
      </x:c>
      <x:c r="G209" s="7" t="n">
        <x:f>COUNTIFS('唯一词标签'!$V$2:$V$1441,A209,'唯一词标签'!$Z$2:$Z$1441,"unknown")</x:f>
        <x:v>0</x:v>
      </x:c>
      <x:c r="H209" s="7" t="n">
        <x:f>COUNTIFS('唯一词标签'!$V$2:$V$1441,A209,'唯一词标签'!$U$2:$U$1441,"low")</x:f>
        <x:v>0</x:v>
      </x:c>
      <x:c r="I209" s="7" t="n">
        <x:f>COUNTIFS('唯一词标签'!$V$2:$V$1441,A209,'唯一词标签'!$AB$2:$AB$1441,"needs_review")</x:f>
        <x:v>0</x:v>
      </x:c>
    </x:row>
    <x:row r="210" ht="22" customHeight="1">
      <x:c r="A210" s="7" t="str">
        <x:v>casual_pink_flip_flops</x:v>
      </x:c>
      <x:c r="B210" s="7" t="n">
        <x:f>COUNTIF('唯一词标签'!$V$2:$V$1441,A210)</x:f>
        <x:v>1</x:v>
      </x:c>
      <x:c r="C210" s="55" t="n">
        <x:f>B210/COUNTA('唯一词标签'!$C$2:$C$1441)</x:f>
        <x:v>0.0006944444444444445</x:v>
      </x:c>
      <x:c r="D210" s="7" t="n">
        <x:f>COUNTIFS('唯一词标签'!$V$2:$V$1441,A210,'唯一词标签'!$Z$2:$Z$1441,"match")</x:f>
        <x:v>1</x:v>
      </x:c>
      <x:c r="E210" s="7" t="n">
        <x:f>COUNTIFS('唯一词标签'!$V$2:$V$1441,A210,'唯一词标签'!$Z$2:$Z$1441,"partial_match")</x:f>
        <x:v>0</x:v>
      </x:c>
      <x:c r="F210" s="7" t="n">
        <x:f>COUNTIFS('唯一词标签'!$V$2:$V$1441,A210,'唯一词标签'!$Z$2:$Z$1441,"mismatch")</x:f>
        <x:v>0</x:v>
      </x:c>
      <x:c r="G210" s="7" t="n">
        <x:f>COUNTIFS('唯一词标签'!$V$2:$V$1441,A210,'唯一词标签'!$Z$2:$Z$1441,"unknown")</x:f>
        <x:v>0</x:v>
      </x:c>
      <x:c r="H210" s="7" t="n">
        <x:f>COUNTIFS('唯一词标签'!$V$2:$V$1441,A210,'唯一词标签'!$U$2:$U$1441,"low")</x:f>
        <x:v>0</x:v>
      </x:c>
      <x:c r="I210" s="7" t="n">
        <x:f>COUNTIFS('唯一词标签'!$V$2:$V$1441,A210,'唯一词标签'!$AB$2:$AB$1441,"needs_review")</x:f>
        <x:v>0</x:v>
      </x:c>
    </x:row>
    <x:row r="211" ht="22" customHeight="1">
      <x:c r="A211" s="7" t="str">
        <x:v>casual_womens_flip_flops</x:v>
      </x:c>
      <x:c r="B211" s="7" t="n">
        <x:f>COUNTIF('唯一词标签'!$V$2:$V$1441,A211)</x:f>
        <x:v>1</x:v>
      </x:c>
      <x:c r="C211" s="55" t="n">
        <x:f>B211/COUNTA('唯一词标签'!$C$2:$C$1441)</x:f>
        <x:v>0.0006944444444444445</x:v>
      </x:c>
      <x:c r="D211" s="7" t="n">
        <x:f>COUNTIFS('唯一词标签'!$V$2:$V$1441,A211,'唯一词标签'!$Z$2:$Z$1441,"match")</x:f>
        <x:v>1</x:v>
      </x:c>
      <x:c r="E211" s="7" t="n">
        <x:f>COUNTIFS('唯一词标签'!$V$2:$V$1441,A211,'唯一词标签'!$Z$2:$Z$1441,"partial_match")</x:f>
        <x:v>0</x:v>
      </x:c>
      <x:c r="F211" s="7" t="n">
        <x:f>COUNTIFS('唯一词标签'!$V$2:$V$1441,A211,'唯一词标签'!$Z$2:$Z$1441,"mismatch")</x:f>
        <x:v>0</x:v>
      </x:c>
      <x:c r="G211" s="7" t="n">
        <x:f>COUNTIFS('唯一词标签'!$V$2:$V$1441,A211,'唯一词标签'!$Z$2:$Z$1441,"unknown")</x:f>
        <x:v>0</x:v>
      </x:c>
      <x:c r="H211" s="7" t="n">
        <x:f>COUNTIFS('唯一词标签'!$V$2:$V$1441,A211,'唯一词标签'!$U$2:$U$1441,"low")</x:f>
        <x:v>0</x:v>
      </x:c>
      <x:c r="I211" s="7" t="n">
        <x:f>COUNTIFS('唯一词标签'!$V$2:$V$1441,A211,'唯一词标签'!$AB$2:$AB$1441,"needs_review")</x:f>
        <x:v>0</x:v>
      </x:c>
    </x:row>
    <x:row r="212" ht="22" customHeight="1">
      <x:c r="A212" s="7" t="str">
        <x:v>cheap_beach_flip_flops</x:v>
      </x:c>
      <x:c r="B212" s="7" t="n">
        <x:f>COUNTIF('唯一词标签'!$V$2:$V$1441,A212)</x:f>
        <x:v>1</x:v>
      </x:c>
      <x:c r="C212" s="55" t="n">
        <x:f>B212/COUNTA('唯一词标签'!$C$2:$C$1441)</x:f>
        <x:v>0.0006944444444444445</x:v>
      </x:c>
      <x:c r="D212" s="7" t="n">
        <x:f>COUNTIFS('唯一词标签'!$V$2:$V$1441,A212,'唯一词标签'!$Z$2:$Z$1441,"match")</x:f>
        <x:v>0</x:v>
      </x:c>
      <x:c r="E212" s="7" t="n">
        <x:f>COUNTIFS('唯一词标签'!$V$2:$V$1441,A212,'唯一词标签'!$Z$2:$Z$1441,"partial_match")</x:f>
        <x:v>1</x:v>
      </x:c>
      <x:c r="F212" s="7" t="n">
        <x:f>COUNTIFS('唯一词标签'!$V$2:$V$1441,A212,'唯一词标签'!$Z$2:$Z$1441,"mismatch")</x:f>
        <x:v>0</x:v>
      </x:c>
      <x:c r="G212" s="7" t="n">
        <x:f>COUNTIFS('唯一词标签'!$V$2:$V$1441,A212,'唯一词标签'!$Z$2:$Z$1441,"unknown")</x:f>
        <x:v>0</x:v>
      </x:c>
      <x:c r="H212" s="7" t="n">
        <x:f>COUNTIFS('唯一词标签'!$V$2:$V$1441,A212,'唯一词标签'!$U$2:$U$1441,"low")</x:f>
        <x:v>0</x:v>
      </x:c>
      <x:c r="I212" s="7" t="n">
        <x:f>COUNTIFS('唯一词标签'!$V$2:$V$1441,A212,'唯一词标签'!$AB$2:$AB$1441,"needs_review")</x:f>
        <x:v>0</x:v>
      </x:c>
    </x:row>
    <x:row r="213" ht="22" customHeight="1">
      <x:c r="A213" s="7" t="str">
        <x:v>cheap_flip_flops</x:v>
      </x:c>
      <x:c r="B213" s="7" t="n">
        <x:f>COUNTIF('唯一词标签'!$V$2:$V$1441,A213)</x:f>
        <x:v>3</x:v>
      </x:c>
      <x:c r="C213" s="55" t="n">
        <x:f>B213/COUNTA('唯一词标签'!$C$2:$C$1441)</x:f>
        <x:v>0.0020833333333333333</x:v>
      </x:c>
      <x:c r="D213" s="7" t="n">
        <x:f>COUNTIFS('唯一词标签'!$V$2:$V$1441,A213,'唯一词标签'!$Z$2:$Z$1441,"match")</x:f>
        <x:v>1</x:v>
      </x:c>
      <x:c r="E213" s="7" t="n">
        <x:f>COUNTIFS('唯一词标签'!$V$2:$V$1441,A213,'唯一词标签'!$Z$2:$Z$1441,"partial_match")</x:f>
        <x:v>2</x:v>
      </x:c>
      <x:c r="F213" s="7" t="n">
        <x:f>COUNTIFS('唯一词标签'!$V$2:$V$1441,A213,'唯一词标签'!$Z$2:$Z$1441,"mismatch")</x:f>
        <x:v>0</x:v>
      </x:c>
      <x:c r="G213" s="7" t="n">
        <x:f>COUNTIFS('唯一词标签'!$V$2:$V$1441,A213,'唯一词标签'!$Z$2:$Z$1441,"unknown")</x:f>
        <x:v>0</x:v>
      </x:c>
      <x:c r="H213" s="7" t="n">
        <x:f>COUNTIFS('唯一词标签'!$V$2:$V$1441,A213,'唯一词标签'!$U$2:$U$1441,"low")</x:f>
        <x:v>0</x:v>
      </x:c>
      <x:c r="I213" s="7" t="n">
        <x:f>COUNTIFS('唯一词标签'!$V$2:$V$1441,A213,'唯一词标签'!$AB$2:$AB$1441,"needs_review")</x:f>
        <x:v>0</x:v>
      </x:c>
    </x:row>
    <x:row r="214" ht="22" customHeight="1">
      <x:c r="A214" s="7" t="str">
        <x:v>cheap_lake_sandals</x:v>
      </x:c>
      <x:c r="B214" s="7" t="n">
        <x:f>COUNTIF('唯一词标签'!$V$2:$V$1441,A214)</x:f>
        <x:v>1</x:v>
      </x:c>
      <x:c r="C214" s="55" t="n">
        <x:f>B214/COUNTA('唯一词标签'!$C$2:$C$1441)</x:f>
        <x:v>0.0006944444444444445</x:v>
      </x:c>
      <x:c r="D214" s="7" t="n">
        <x:f>COUNTIFS('唯一词标签'!$V$2:$V$1441,A214,'唯一词标签'!$Z$2:$Z$1441,"match")</x:f>
        <x:v>0</x:v>
      </x:c>
      <x:c r="E214" s="7" t="n">
        <x:f>COUNTIFS('唯一词标签'!$V$2:$V$1441,A214,'唯一词标签'!$Z$2:$Z$1441,"partial_match")</x:f>
        <x:v>1</x:v>
      </x:c>
      <x:c r="F214" s="7" t="n">
        <x:f>COUNTIFS('唯一词标签'!$V$2:$V$1441,A214,'唯一词标签'!$Z$2:$Z$1441,"mismatch")</x:f>
        <x:v>0</x:v>
      </x:c>
      <x:c r="G214" s="7" t="n">
        <x:f>COUNTIFS('唯一词标签'!$V$2:$V$1441,A214,'唯一词标签'!$Z$2:$Z$1441,"unknown")</x:f>
        <x:v>0</x:v>
      </x:c>
      <x:c r="H214" s="7" t="n">
        <x:f>COUNTIFS('唯一词标签'!$V$2:$V$1441,A214,'唯一词标签'!$U$2:$U$1441,"low")</x:f>
        <x:v>1</x:v>
      </x:c>
      <x:c r="I214" s="7" t="n">
        <x:f>COUNTIFS('唯一词标签'!$V$2:$V$1441,A214,'唯一词标签'!$AB$2:$AB$1441,"needs_review")</x:f>
        <x:v>0</x:v>
      </x:c>
    </x:row>
    <x:row r="215" ht="22" customHeight="1">
      <x:c r="A215" s="7" t="str">
        <x:v>cheap_shower_flip_flops</x:v>
      </x:c>
      <x:c r="B215" s="7" t="n">
        <x:f>COUNTIF('唯一词标签'!$V$2:$V$1441,A215)</x:f>
        <x:v>1</x:v>
      </x:c>
      <x:c r="C215" s="55" t="n">
        <x:f>B215/COUNTA('唯一词标签'!$C$2:$C$1441)</x:f>
        <x:v>0.0006944444444444445</x:v>
      </x:c>
      <x:c r="D215" s="7" t="n">
        <x:f>COUNTIFS('唯一词标签'!$V$2:$V$1441,A215,'唯一词标签'!$Z$2:$Z$1441,"match")</x:f>
        <x:v>0</x:v>
      </x:c>
      <x:c r="E215" s="7" t="n">
        <x:f>COUNTIFS('唯一词标签'!$V$2:$V$1441,A215,'唯一词标签'!$Z$2:$Z$1441,"partial_match")</x:f>
        <x:v>1</x:v>
      </x:c>
      <x:c r="F215" s="7" t="n">
        <x:f>COUNTIFS('唯一词标签'!$V$2:$V$1441,A215,'唯一词标签'!$Z$2:$Z$1441,"mismatch")</x:f>
        <x:v>0</x:v>
      </x:c>
      <x:c r="G215" s="7" t="n">
        <x:f>COUNTIFS('唯一词标签'!$V$2:$V$1441,A215,'唯一词标签'!$Z$2:$Z$1441,"unknown")</x:f>
        <x:v>0</x:v>
      </x:c>
      <x:c r="H215" s="7" t="n">
        <x:f>COUNTIFS('唯一词标签'!$V$2:$V$1441,A215,'唯一词标签'!$U$2:$U$1441,"low")</x:f>
        <x:v>0</x:v>
      </x:c>
      <x:c r="I215" s="7" t="n">
        <x:f>COUNTIFS('唯一词标签'!$V$2:$V$1441,A215,'唯一词标签'!$AB$2:$AB$1441,"needs_review")</x:f>
        <x:v>0</x:v>
      </x:c>
    </x:row>
    <x:row r="216" ht="22" customHeight="1">
      <x:c r="A216" s="7" t="str">
        <x:v>cheap_womens_flip_flops</x:v>
      </x:c>
      <x:c r="B216" s="7" t="n">
        <x:f>COUNTIF('唯一词标签'!$V$2:$V$1441,A216)</x:f>
        <x:v>1</x:v>
      </x:c>
      <x:c r="C216" s="55" t="n">
        <x:f>B216/COUNTA('唯一词标签'!$C$2:$C$1441)</x:f>
        <x:v>0.0006944444444444445</x:v>
      </x:c>
      <x:c r="D216" s="7" t="n">
        <x:f>COUNTIFS('唯一词标签'!$V$2:$V$1441,A216,'唯一词标签'!$Z$2:$Z$1441,"match")</x:f>
        <x:v>0</x:v>
      </x:c>
      <x:c r="E216" s="7" t="n">
        <x:f>COUNTIFS('唯一词标签'!$V$2:$V$1441,A216,'唯一词标签'!$Z$2:$Z$1441,"partial_match")</x:f>
        <x:v>1</x:v>
      </x:c>
      <x:c r="F216" s="7" t="n">
        <x:f>COUNTIFS('唯一词标签'!$V$2:$V$1441,A216,'唯一词标签'!$Z$2:$Z$1441,"mismatch")</x:f>
        <x:v>0</x:v>
      </x:c>
      <x:c r="G216" s="7" t="n">
        <x:f>COUNTIFS('唯一词标签'!$V$2:$V$1441,A216,'唯一词标签'!$Z$2:$Z$1441,"unknown")</x:f>
        <x:v>0</x:v>
      </x:c>
      <x:c r="H216" s="7" t="n">
        <x:f>COUNTIFS('唯一词标签'!$V$2:$V$1441,A216,'唯一词标签'!$U$2:$U$1441,"low")</x:f>
        <x:v>0</x:v>
      </x:c>
      <x:c r="I216" s="7" t="n">
        <x:f>COUNTIFS('唯一词标签'!$V$2:$V$1441,A216,'唯一词标签'!$AB$2:$AB$1441,"needs_review")</x:f>
        <x:v>0</x:v>
      </x:c>
    </x:row>
    <x:row r="217" ht="22" customHeight="1">
      <x:c r="A217" s="7" t="str">
        <x:v>chocolate_brown_arch_flip_flops</x:v>
      </x:c>
      <x:c r="B217" s="7" t="n">
        <x:f>COUNTIF('唯一词标签'!$V$2:$V$1441,A217)</x:f>
        <x:v>1</x:v>
      </x:c>
      <x:c r="C217" s="55" t="n">
        <x:f>B217/COUNTA('唯一词标签'!$C$2:$C$1441)</x:f>
        <x:v>0.0006944444444444445</x:v>
      </x:c>
      <x:c r="D217" s="7" t="n">
        <x:f>COUNTIFS('唯一词标签'!$V$2:$V$1441,A217,'唯一词标签'!$Z$2:$Z$1441,"match")</x:f>
        <x:v>1</x:v>
      </x:c>
      <x:c r="E217" s="7" t="n">
        <x:f>COUNTIFS('唯一词标签'!$V$2:$V$1441,A217,'唯一词标签'!$Z$2:$Z$1441,"partial_match")</x:f>
        <x:v>0</x:v>
      </x:c>
      <x:c r="F217" s="7" t="n">
        <x:f>COUNTIFS('唯一词标签'!$V$2:$V$1441,A217,'唯一词标签'!$Z$2:$Z$1441,"mismatch")</x:f>
        <x:v>0</x:v>
      </x:c>
      <x:c r="G217" s="7" t="n">
        <x:f>COUNTIFS('唯一词标签'!$V$2:$V$1441,A217,'唯一词标签'!$Z$2:$Z$1441,"unknown")</x:f>
        <x:v>0</x:v>
      </x:c>
      <x:c r="H217" s="7" t="n">
        <x:f>COUNTIFS('唯一词标签'!$V$2:$V$1441,A217,'唯一词标签'!$U$2:$U$1441,"low")</x:f>
        <x:v>0</x:v>
      </x:c>
      <x:c r="I217" s="7" t="n">
        <x:f>COUNTIFS('唯一词标签'!$V$2:$V$1441,A217,'唯一词标签'!$AB$2:$AB$1441,"needs_review")</x:f>
        <x:v>0</x:v>
      </x:c>
    </x:row>
    <x:row r="218" ht="22" customHeight="1">
      <x:c r="A218" s="7" t="str">
        <x:v>chocolate_brown_flip_flops</x:v>
      </x:c>
      <x:c r="B218" s="7" t="n">
        <x:f>COUNTIF('唯一词标签'!$V$2:$V$1441,A218)</x:f>
        <x:v>1</x:v>
      </x:c>
      <x:c r="C218" s="55" t="n">
        <x:f>B218/COUNTA('唯一词标签'!$C$2:$C$1441)</x:f>
        <x:v>0.0006944444444444445</x:v>
      </x:c>
      <x:c r="D218" s="7" t="n">
        <x:f>COUNTIFS('唯一词标签'!$V$2:$V$1441,A218,'唯一词标签'!$Z$2:$Z$1441,"match")</x:f>
        <x:v>0</x:v>
      </x:c>
      <x:c r="E218" s="7" t="n">
        <x:f>COUNTIFS('唯一词标签'!$V$2:$V$1441,A218,'唯一词标签'!$Z$2:$Z$1441,"partial_match")</x:f>
        <x:v>1</x:v>
      </x:c>
      <x:c r="F218" s="7" t="n">
        <x:f>COUNTIFS('唯一词标签'!$V$2:$V$1441,A218,'唯一词标签'!$Z$2:$Z$1441,"mismatch")</x:f>
        <x:v>0</x:v>
      </x:c>
      <x:c r="G218" s="7" t="n">
        <x:f>COUNTIFS('唯一词标签'!$V$2:$V$1441,A218,'唯一词标签'!$Z$2:$Z$1441,"unknown")</x:f>
        <x:v>0</x:v>
      </x:c>
      <x:c r="H218" s="7" t="n">
        <x:f>COUNTIFS('唯一词标签'!$V$2:$V$1441,A218,'唯一词标签'!$U$2:$U$1441,"low")</x:f>
        <x:v>0</x:v>
      </x:c>
      <x:c r="I218" s="7" t="n">
        <x:f>COUNTIFS('唯一词标签'!$V$2:$V$1441,A218,'唯一词标签'!$AB$2:$AB$1441,"needs_review")</x:f>
        <x:v>0</x:v>
      </x:c>
    </x:row>
    <x:row r="219" ht="22" customHeight="1">
      <x:c r="A219" s="7" t="str">
        <x:v>chunky_black_flip_flops</x:v>
      </x:c>
      <x:c r="B219" s="7" t="n">
        <x:f>COUNTIF('唯一词标签'!$V$2:$V$1441,A219)</x:f>
        <x:v>1</x:v>
      </x:c>
      <x:c r="C219" s="55" t="n">
        <x:f>B219/COUNTA('唯一词标签'!$C$2:$C$1441)</x:f>
        <x:v>0.0006944444444444445</x:v>
      </x:c>
      <x:c r="D219" s="7" t="n">
        <x:f>COUNTIFS('唯一词标签'!$V$2:$V$1441,A219,'唯一词标签'!$Z$2:$Z$1441,"match")</x:f>
        <x:v>0</x:v>
      </x:c>
      <x:c r="E219" s="7" t="n">
        <x:f>COUNTIFS('唯一词标签'!$V$2:$V$1441,A219,'唯一词标签'!$Z$2:$Z$1441,"partial_match")</x:f>
        <x:v>0</x:v>
      </x:c>
      <x:c r="F219" s="7" t="n">
        <x:f>COUNTIFS('唯一词标签'!$V$2:$V$1441,A219,'唯一词标签'!$Z$2:$Z$1441,"mismatch")</x:f>
        <x:v>1</x:v>
      </x:c>
      <x:c r="G219" s="7" t="n">
        <x:f>COUNTIFS('唯一词标签'!$V$2:$V$1441,A219,'唯一词标签'!$Z$2:$Z$1441,"unknown")</x:f>
        <x:v>0</x:v>
      </x:c>
      <x:c r="H219" s="7" t="n">
        <x:f>COUNTIFS('唯一词标签'!$V$2:$V$1441,A219,'唯一词标签'!$U$2:$U$1441,"low")</x:f>
        <x:v>0</x:v>
      </x:c>
      <x:c r="I219" s="7" t="n">
        <x:f>COUNTIFS('唯一词标签'!$V$2:$V$1441,A219,'唯一词标签'!$AB$2:$AB$1441,"needs_review")</x:f>
        <x:v>0</x:v>
      </x:c>
    </x:row>
    <x:row r="220" ht="22" customHeight="1">
      <x:c r="A220" s="7" t="str">
        <x:v>chunky_womens_flip_flops</x:v>
      </x:c>
      <x:c r="B220" s="7" t="n">
        <x:f>COUNTIF('唯一词标签'!$V$2:$V$1441,A220)</x:f>
        <x:v>1</x:v>
      </x:c>
      <x:c r="C220" s="55" t="n">
        <x:f>B220/COUNTA('唯一词标签'!$C$2:$C$1441)</x:f>
        <x:v>0.0006944444444444445</x:v>
      </x:c>
      <x:c r="D220" s="7" t="n">
        <x:f>COUNTIFS('唯一词标签'!$V$2:$V$1441,A220,'唯一词标签'!$Z$2:$Z$1441,"match")</x:f>
        <x:v>0</x:v>
      </x:c>
      <x:c r="E220" s="7" t="n">
        <x:f>COUNTIFS('唯一词标签'!$V$2:$V$1441,A220,'唯一词标签'!$Z$2:$Z$1441,"partial_match")</x:f>
        <x:v>0</x:v>
      </x:c>
      <x:c r="F220" s="7" t="n">
        <x:f>COUNTIFS('唯一词标签'!$V$2:$V$1441,A220,'唯一词标签'!$Z$2:$Z$1441,"mismatch")</x:f>
        <x:v>1</x:v>
      </x:c>
      <x:c r="G220" s="7" t="n">
        <x:f>COUNTIFS('唯一词标签'!$V$2:$V$1441,A220,'唯一词标签'!$Z$2:$Z$1441,"unknown")</x:f>
        <x:v>0</x:v>
      </x:c>
      <x:c r="H220" s="7" t="n">
        <x:f>COUNTIFS('唯一词标签'!$V$2:$V$1441,A220,'唯一词标签'!$U$2:$U$1441,"low")</x:f>
        <x:v>0</x:v>
      </x:c>
      <x:c r="I220" s="7" t="n">
        <x:f>COUNTIFS('唯一词标签'!$V$2:$V$1441,A220,'唯一词标签'!$AB$2:$AB$1441,"needs_review")</x:f>
        <x:v>0</x:v>
      </x:c>
    </x:row>
    <x:row r="221" ht="22" customHeight="1">
      <x:c r="A221" s="7" t="str">
        <x:v>clearance_flip_flops</x:v>
      </x:c>
      <x:c r="B221" s="7" t="n">
        <x:f>COUNTIF('唯一词标签'!$V$2:$V$1441,A221)</x:f>
        <x:v>1</x:v>
      </x:c>
      <x:c r="C221" s="55" t="n">
        <x:f>B221/COUNTA('唯一词标签'!$C$2:$C$1441)</x:f>
        <x:v>0.0006944444444444445</x:v>
      </x:c>
      <x:c r="D221" s="7" t="n">
        <x:f>COUNTIFS('唯一词标签'!$V$2:$V$1441,A221,'唯一词标签'!$Z$2:$Z$1441,"match")</x:f>
        <x:v>0</x:v>
      </x:c>
      <x:c r="E221" s="7" t="n">
        <x:f>COUNTIFS('唯一词标签'!$V$2:$V$1441,A221,'唯一词标签'!$Z$2:$Z$1441,"partial_match")</x:f>
        <x:v>0</x:v>
      </x:c>
      <x:c r="F221" s="7" t="n">
        <x:f>COUNTIFS('唯一词标签'!$V$2:$V$1441,A221,'唯一词标签'!$Z$2:$Z$1441,"mismatch")</x:f>
        <x:v>0</x:v>
      </x:c>
      <x:c r="G221" s="7" t="n">
        <x:f>COUNTIFS('唯一词标签'!$V$2:$V$1441,A221,'唯一词标签'!$Z$2:$Z$1441,"unknown")</x:f>
        <x:v>1</x:v>
      </x:c>
      <x:c r="H221" s="7" t="n">
        <x:f>COUNTIFS('唯一词标签'!$V$2:$V$1441,A221,'唯一词标签'!$U$2:$U$1441,"low")</x:f>
        <x:v>0</x:v>
      </x:c>
      <x:c r="I221" s="7" t="n">
        <x:f>COUNTIFS('唯一词标签'!$V$2:$V$1441,A221,'唯一词标签'!$AB$2:$AB$1441,"needs_review")</x:f>
        <x:v>0</x:v>
      </x:c>
    </x:row>
    <x:row r="222" ht="22" customHeight="1">
      <x:c r="A222" s="7" t="str">
        <x:v>coface_brand_womens_flip_flops</x:v>
      </x:c>
      <x:c r="B222" s="7" t="n">
        <x:f>COUNTIF('唯一词标签'!$V$2:$V$1441,A222)</x:f>
        <x:v>1</x:v>
      </x:c>
      <x:c r="C222" s="55" t="n">
        <x:f>B222/COUNTA('唯一词标签'!$C$2:$C$1441)</x:f>
        <x:v>0.0006944444444444445</x:v>
      </x:c>
      <x:c r="D222" s="7" t="n">
        <x:f>COUNTIFS('唯一词标签'!$V$2:$V$1441,A222,'唯一词标签'!$Z$2:$Z$1441,"match")</x:f>
        <x:v>0</x:v>
      </x:c>
      <x:c r="E222" s="7" t="n">
        <x:f>COUNTIFS('唯一词标签'!$V$2:$V$1441,A222,'唯一词标签'!$Z$2:$Z$1441,"partial_match")</x:f>
        <x:v>0</x:v>
      </x:c>
      <x:c r="F222" s="7" t="n">
        <x:f>COUNTIFS('唯一词标签'!$V$2:$V$1441,A222,'唯一词标签'!$Z$2:$Z$1441,"mismatch")</x:f>
        <x:v>1</x:v>
      </x:c>
      <x:c r="G222" s="7" t="n">
        <x:f>COUNTIFS('唯一词标签'!$V$2:$V$1441,A222,'唯一词标签'!$Z$2:$Z$1441,"unknown")</x:f>
        <x:v>0</x:v>
      </x:c>
      <x:c r="H222" s="7" t="n">
        <x:f>COUNTIFS('唯一词标签'!$V$2:$V$1441,A222,'唯一词标签'!$U$2:$U$1441,"low")</x:f>
        <x:v>0</x:v>
      </x:c>
      <x:c r="I222" s="7" t="n">
        <x:f>COUNTIFS('唯一词标签'!$V$2:$V$1441,A222,'唯一词标签'!$AB$2:$AB$1441,"needs_review")</x:f>
        <x:v>0</x:v>
      </x:c>
    </x:row>
    <x:row r="223" ht="22" customHeight="1">
      <x:c r="A223" s="7" t="str">
        <x:v>coffee_color_flip_flops</x:v>
      </x:c>
      <x:c r="B223" s="7" t="n">
        <x:f>COUNTIF('唯一词标签'!$V$2:$V$1441,A223)</x:f>
        <x:v>1</x:v>
      </x:c>
      <x:c r="C223" s="55" t="n">
        <x:f>B223/COUNTA('唯一词标签'!$C$2:$C$1441)</x:f>
        <x:v>0.0006944444444444445</x:v>
      </x:c>
      <x:c r="D223" s="7" t="n">
        <x:f>COUNTIFS('唯一词标签'!$V$2:$V$1441,A223,'唯一词标签'!$Z$2:$Z$1441,"match")</x:f>
        <x:v>0</x:v>
      </x:c>
      <x:c r="E223" s="7" t="n">
        <x:f>COUNTIFS('唯一词标签'!$V$2:$V$1441,A223,'唯一词标签'!$Z$2:$Z$1441,"partial_match")</x:f>
        <x:v>1</x:v>
      </x:c>
      <x:c r="F223" s="7" t="n">
        <x:f>COUNTIFS('唯一词标签'!$V$2:$V$1441,A223,'唯一词标签'!$Z$2:$Z$1441,"mismatch")</x:f>
        <x:v>0</x:v>
      </x:c>
      <x:c r="G223" s="7" t="n">
        <x:f>COUNTIFS('唯一词标签'!$V$2:$V$1441,A223,'唯一词标签'!$Z$2:$Z$1441,"unknown")</x:f>
        <x:v>0</x:v>
      </x:c>
      <x:c r="H223" s="7" t="n">
        <x:f>COUNTIFS('唯一词标签'!$V$2:$V$1441,A223,'唯一词标签'!$U$2:$U$1441,"low")</x:f>
        <x:v>0</x:v>
      </x:c>
      <x:c r="I223" s="7" t="n">
        <x:f>COUNTIFS('唯一词标签'!$V$2:$V$1441,A223,'唯一词标签'!$AB$2:$AB$1441,"needs_review")</x:f>
        <x:v>0</x:v>
      </x:c>
    </x:row>
    <x:row r="224" ht="22" customHeight="1">
      <x:c r="A224" s="7" t="str">
        <x:v>color_flip_flop</x:v>
      </x:c>
      <x:c r="B224" s="7" t="n">
        <x:f>COUNTIF('唯一词标签'!$V$2:$V$1441,A224)</x:f>
        <x:v>1</x:v>
      </x:c>
      <x:c r="C224" s="55" t="n">
        <x:f>B224/COUNTA('唯一词标签'!$C$2:$C$1441)</x:f>
        <x:v>0.0006944444444444445</x:v>
      </x:c>
      <x:c r="D224" s="7" t="n">
        <x:f>COUNTIFS('唯一词标签'!$V$2:$V$1441,A224,'唯一词标签'!$Z$2:$Z$1441,"match")</x:f>
        <x:v>1</x:v>
      </x:c>
      <x:c r="E224" s="7" t="n">
        <x:f>COUNTIFS('唯一词标签'!$V$2:$V$1441,A224,'唯一词标签'!$Z$2:$Z$1441,"partial_match")</x:f>
        <x:v>0</x:v>
      </x:c>
      <x:c r="F224" s="7" t="n">
        <x:f>COUNTIFS('唯一词标签'!$V$2:$V$1441,A224,'唯一词标签'!$Z$2:$Z$1441,"mismatch")</x:f>
        <x:v>0</x:v>
      </x:c>
      <x:c r="G224" s="7" t="n">
        <x:f>COUNTIFS('唯一词标签'!$V$2:$V$1441,A224,'唯一词标签'!$Z$2:$Z$1441,"unknown")</x:f>
        <x:v>0</x:v>
      </x:c>
      <x:c r="H224" s="7" t="n">
        <x:f>COUNTIFS('唯一词标签'!$V$2:$V$1441,A224,'唯一词标签'!$U$2:$U$1441,"low")</x:f>
        <x:v>0</x:v>
      </x:c>
      <x:c r="I224" s="7" t="n">
        <x:f>COUNTIFS('唯一词标签'!$V$2:$V$1441,A224,'唯一词标签'!$AB$2:$AB$1441,"needs_review")</x:f>
        <x:v>0</x:v>
      </x:c>
    </x:row>
    <x:row r="225" ht="22" customHeight="1">
      <x:c r="A225" s="7" t="str">
        <x:v>color_flip_flops</x:v>
      </x:c>
      <x:c r="B225" s="7" t="n">
        <x:f>COUNTIF('唯一词标签'!$V$2:$V$1441,A225)</x:f>
        <x:v>4</x:v>
      </x:c>
      <x:c r="C225" s="55" t="n">
        <x:f>B225/COUNTA('唯一词标签'!$C$2:$C$1441)</x:f>
        <x:v>0.002777777777777778</x:v>
      </x:c>
      <x:c r="D225" s="7" t="n">
        <x:f>COUNTIFS('唯一词标签'!$V$2:$V$1441,A225,'唯一词标签'!$Z$2:$Z$1441,"match")</x:f>
        <x:v>4</x:v>
      </x:c>
      <x:c r="E225" s="7" t="n">
        <x:f>COUNTIFS('唯一词标签'!$V$2:$V$1441,A225,'唯一词标签'!$Z$2:$Z$1441,"partial_match")</x:f>
        <x:v>0</x:v>
      </x:c>
      <x:c r="F225" s="7" t="n">
        <x:f>COUNTIFS('唯一词标签'!$V$2:$V$1441,A225,'唯一词标签'!$Z$2:$Z$1441,"mismatch")</x:f>
        <x:v>0</x:v>
      </x:c>
      <x:c r="G225" s="7" t="n">
        <x:f>COUNTIFS('唯一词标签'!$V$2:$V$1441,A225,'唯一词标签'!$Z$2:$Z$1441,"unknown")</x:f>
        <x:v>0</x:v>
      </x:c>
      <x:c r="H225" s="7" t="n">
        <x:f>COUNTIFS('唯一词标签'!$V$2:$V$1441,A225,'唯一词标签'!$U$2:$U$1441,"low")</x:f>
        <x:v>1</x:v>
      </x:c>
      <x:c r="I225" s="7" t="n">
        <x:f>COUNTIFS('唯一词标签'!$V$2:$V$1441,A225,'唯一词标签'!$AB$2:$AB$1441,"needs_review")</x:f>
        <x:v>0</x:v>
      </x:c>
    </x:row>
    <x:row r="226" ht="22" customHeight="1">
      <x:c r="A226" s="7" t="str">
        <x:v>color_sandals</x:v>
      </x:c>
      <x:c r="B226" s="7" t="n">
        <x:f>COUNTIF('唯一词标签'!$V$2:$V$1441,A226)</x:f>
        <x:v>1</x:v>
      </x:c>
      <x:c r="C226" s="55" t="n">
        <x:f>B226/COUNTA('唯一词标签'!$C$2:$C$1441)</x:f>
        <x:v>0.0006944444444444445</x:v>
      </x:c>
      <x:c r="D226" s="7" t="n">
        <x:f>COUNTIFS('唯一词标签'!$V$2:$V$1441,A226,'唯一词标签'!$Z$2:$Z$1441,"match")</x:f>
        <x:v>1</x:v>
      </x:c>
      <x:c r="E226" s="7" t="n">
        <x:f>COUNTIFS('唯一词标签'!$V$2:$V$1441,A226,'唯一词标签'!$Z$2:$Z$1441,"partial_match")</x:f>
        <x:v>0</x:v>
      </x:c>
      <x:c r="F226" s="7" t="n">
        <x:f>COUNTIFS('唯一词标签'!$V$2:$V$1441,A226,'唯一词标签'!$Z$2:$Z$1441,"mismatch")</x:f>
        <x:v>0</x:v>
      </x:c>
      <x:c r="G226" s="7" t="n">
        <x:f>COUNTIFS('唯一词标签'!$V$2:$V$1441,A226,'唯一词标签'!$Z$2:$Z$1441,"unknown")</x:f>
        <x:v>0</x:v>
      </x:c>
      <x:c r="H226" s="7" t="n">
        <x:f>COUNTIFS('唯一词标签'!$V$2:$V$1441,A226,'唯一词标签'!$U$2:$U$1441,"low")</x:f>
        <x:v>0</x:v>
      </x:c>
      <x:c r="I226" s="7" t="n">
        <x:f>COUNTIFS('唯一词标签'!$V$2:$V$1441,A226,'唯一词标签'!$AB$2:$AB$1441,"needs_review")</x:f>
        <x:v>0</x:v>
      </x:c>
    </x:row>
    <x:row r="227" ht="22" customHeight="1">
      <x:c r="A227" s="7" t="str">
        <x:v>color_specific_flip_flops</x:v>
      </x:c>
      <x:c r="B227" s="7" t="n">
        <x:f>COUNTIF('唯一词标签'!$V$2:$V$1441,A227)</x:f>
        <x:v>2</x:v>
      </x:c>
      <x:c r="C227" s="55" t="n">
        <x:f>B227/COUNTA('唯一词标签'!$C$2:$C$1441)</x:f>
        <x:v>0.001388888888888889</x:v>
      </x:c>
      <x:c r="D227" s="7" t="n">
        <x:f>COUNTIFS('唯一词标签'!$V$2:$V$1441,A227,'唯一词标签'!$Z$2:$Z$1441,"match")</x:f>
        <x:v>1</x:v>
      </x:c>
      <x:c r="E227" s="7" t="n">
        <x:f>COUNTIFS('唯一词标签'!$V$2:$V$1441,A227,'唯一词标签'!$Z$2:$Z$1441,"partial_match")</x:f>
        <x:v>1</x:v>
      </x:c>
      <x:c r="F227" s="7" t="n">
        <x:f>COUNTIFS('唯一词标签'!$V$2:$V$1441,A227,'唯一词标签'!$Z$2:$Z$1441,"mismatch")</x:f>
        <x:v>0</x:v>
      </x:c>
      <x:c r="G227" s="7" t="n">
        <x:f>COUNTIFS('唯一词标签'!$V$2:$V$1441,A227,'唯一词标签'!$Z$2:$Z$1441,"unknown")</x:f>
        <x:v>0</x:v>
      </x:c>
      <x:c r="H227" s="7" t="n">
        <x:f>COUNTIFS('唯一词标签'!$V$2:$V$1441,A227,'唯一词标签'!$U$2:$U$1441,"low")</x:f>
        <x:v>0</x:v>
      </x:c>
      <x:c r="I227" s="7" t="n">
        <x:f>COUNTIFS('唯一词标签'!$V$2:$V$1441,A227,'唯一词标签'!$AB$2:$AB$1441,"needs_review")</x:f>
        <x:v>0</x:v>
      </x:c>
    </x:row>
    <x:row r="228" ht="22" customHeight="1">
      <x:c r="A228" s="7" t="str">
        <x:v>colored_arch_flip_flops</x:v>
      </x:c>
      <x:c r="B228" s="7" t="n">
        <x:f>COUNTIF('唯一词标签'!$V$2:$V$1441,A228)</x:f>
        <x:v>1</x:v>
      </x:c>
      <x:c r="C228" s="55" t="n">
        <x:f>B228/COUNTA('唯一词标签'!$C$2:$C$1441)</x:f>
        <x:v>0.0006944444444444445</x:v>
      </x:c>
      <x:c r="D228" s="7" t="n">
        <x:f>COUNTIFS('唯一词标签'!$V$2:$V$1441,A228,'唯一词标签'!$Z$2:$Z$1441,"match")</x:f>
        <x:v>0</x:v>
      </x:c>
      <x:c r="E228" s="7" t="n">
        <x:f>COUNTIFS('唯一词标签'!$V$2:$V$1441,A228,'唯一词标签'!$Z$2:$Z$1441,"partial_match")</x:f>
        <x:v>1</x:v>
      </x:c>
      <x:c r="F228" s="7" t="n">
        <x:f>COUNTIFS('唯一词标签'!$V$2:$V$1441,A228,'唯一词标签'!$Z$2:$Z$1441,"mismatch")</x:f>
        <x:v>0</x:v>
      </x:c>
      <x:c r="G228" s="7" t="n">
        <x:f>COUNTIFS('唯一词标签'!$V$2:$V$1441,A228,'唯一词标签'!$Z$2:$Z$1441,"unknown")</x:f>
        <x:v>0</x:v>
      </x:c>
      <x:c r="H228" s="7" t="n">
        <x:f>COUNTIFS('唯一词标签'!$V$2:$V$1441,A228,'唯一词标签'!$U$2:$U$1441,"low")</x:f>
        <x:v>0</x:v>
      </x:c>
      <x:c r="I228" s="7" t="n">
        <x:f>COUNTIFS('唯一词标签'!$V$2:$V$1441,A228,'唯一词标签'!$AB$2:$AB$1441,"needs_review")</x:f>
        <x:v>0</x:v>
      </x:c>
    </x:row>
    <x:row r="229" ht="22" customHeight="1">
      <x:c r="A229" s="7" t="str">
        <x:v>colored_flip_flops</x:v>
      </x:c>
      <x:c r="B229" s="7" t="n">
        <x:f>COUNTIF('唯一词标签'!$V$2:$V$1441,A229)</x:f>
        <x:v>2</x:v>
      </x:c>
      <x:c r="C229" s="55" t="n">
        <x:f>B229/COUNTA('唯一词标签'!$C$2:$C$1441)</x:f>
        <x:v>0.001388888888888889</x:v>
      </x:c>
      <x:c r="D229" s="7" t="n">
        <x:f>COUNTIFS('唯一词标签'!$V$2:$V$1441,A229,'唯一词标签'!$Z$2:$Z$1441,"match")</x:f>
        <x:v>0</x:v>
      </x:c>
      <x:c r="E229" s="7" t="n">
        <x:f>COUNTIFS('唯一词标签'!$V$2:$V$1441,A229,'唯一词标签'!$Z$2:$Z$1441,"partial_match")</x:f>
        <x:v>2</x:v>
      </x:c>
      <x:c r="F229" s="7" t="n">
        <x:f>COUNTIFS('唯一词标签'!$V$2:$V$1441,A229,'唯一词标签'!$Z$2:$Z$1441,"mismatch")</x:f>
        <x:v>0</x:v>
      </x:c>
      <x:c r="G229" s="7" t="n">
        <x:f>COUNTIFS('唯一词标签'!$V$2:$V$1441,A229,'唯一词标签'!$Z$2:$Z$1441,"unknown")</x:f>
        <x:v>0</x:v>
      </x:c>
      <x:c r="H229" s="7" t="n">
        <x:f>COUNTIFS('唯一词标签'!$V$2:$V$1441,A229,'唯一词标签'!$U$2:$U$1441,"low")</x:f>
        <x:v>0</x:v>
      </x:c>
      <x:c r="I229" s="7" t="n">
        <x:f>COUNTIFS('唯一词标签'!$V$2:$V$1441,A229,'唯一词标签'!$AB$2:$AB$1441,"needs_review")</x:f>
        <x:v>0</x:v>
      </x:c>
    </x:row>
    <x:row r="230" ht="22" customHeight="1">
      <x:c r="A230" s="7" t="str">
        <x:v>colored_flip_flops_women</x:v>
      </x:c>
      <x:c r="B230" s="7" t="n">
        <x:f>COUNTIF('唯一词标签'!$V$2:$V$1441,A230)</x:f>
        <x:v>2</x:v>
      </x:c>
      <x:c r="C230" s="55" t="n">
        <x:f>B230/COUNTA('唯一词标签'!$C$2:$C$1441)</x:f>
        <x:v>0.001388888888888889</x:v>
      </x:c>
      <x:c r="D230" s="7" t="n">
        <x:f>COUNTIFS('唯一词标签'!$V$2:$V$1441,A230,'唯一词标签'!$Z$2:$Z$1441,"match")</x:f>
        <x:v>2</x:v>
      </x:c>
      <x:c r="E230" s="7" t="n">
        <x:f>COUNTIFS('唯一词标签'!$V$2:$V$1441,A230,'唯一词标签'!$Z$2:$Z$1441,"partial_match")</x:f>
        <x:v>0</x:v>
      </x:c>
      <x:c r="F230" s="7" t="n">
        <x:f>COUNTIFS('唯一词标签'!$V$2:$V$1441,A230,'唯一词标签'!$Z$2:$Z$1441,"mismatch")</x:f>
        <x:v>0</x:v>
      </x:c>
      <x:c r="G230" s="7" t="n">
        <x:f>COUNTIFS('唯一词标签'!$V$2:$V$1441,A230,'唯一词标签'!$Z$2:$Z$1441,"unknown")</x:f>
        <x:v>0</x:v>
      </x:c>
      <x:c r="H230" s="7" t="n">
        <x:f>COUNTIFS('唯一词标签'!$V$2:$V$1441,A230,'唯一词标签'!$U$2:$U$1441,"low")</x:f>
        <x:v>0</x:v>
      </x:c>
      <x:c r="I230" s="7" t="n">
        <x:f>COUNTIFS('唯一词标签'!$V$2:$V$1441,A230,'唯一词标签'!$AB$2:$AB$1441,"needs_review")</x:f>
        <x:v>0</x:v>
      </x:c>
    </x:row>
    <x:row r="231" ht="22" customHeight="1">
      <x:c r="A231" s="7" t="str">
        <x:v>colored_material_flip_flops</x:v>
      </x:c>
      <x:c r="B231" s="7" t="n">
        <x:f>COUNTIF('唯一词标签'!$V$2:$V$1441,A231)</x:f>
        <x:v>1</x:v>
      </x:c>
      <x:c r="C231" s="55" t="n">
        <x:f>B231/COUNTA('唯一词标签'!$C$2:$C$1441)</x:f>
        <x:v>0.0006944444444444445</x:v>
      </x:c>
      <x:c r="D231" s="7" t="n">
        <x:f>COUNTIFS('唯一词标签'!$V$2:$V$1441,A231,'唯一词标签'!$Z$2:$Z$1441,"match")</x:f>
        <x:v>0</x:v>
      </x:c>
      <x:c r="E231" s="7" t="n">
        <x:f>COUNTIFS('唯一词标签'!$V$2:$V$1441,A231,'唯一词标签'!$Z$2:$Z$1441,"partial_match")</x:f>
        <x:v>1</x:v>
      </x:c>
      <x:c r="F231" s="7" t="n">
        <x:f>COUNTIFS('唯一词标签'!$V$2:$V$1441,A231,'唯一词标签'!$Z$2:$Z$1441,"mismatch")</x:f>
        <x:v>0</x:v>
      </x:c>
      <x:c r="G231" s="7" t="n">
        <x:f>COUNTIFS('唯一词标签'!$V$2:$V$1441,A231,'唯一词标签'!$Z$2:$Z$1441,"unknown")</x:f>
        <x:v>0</x:v>
      </x:c>
      <x:c r="H231" s="7" t="n">
        <x:f>COUNTIFS('唯一词标签'!$V$2:$V$1441,A231,'唯一词标签'!$U$2:$U$1441,"low")</x:f>
        <x:v>0</x:v>
      </x:c>
      <x:c r="I231" s="7" t="n">
        <x:f>COUNTIFS('唯一词标签'!$V$2:$V$1441,A231,'唯一词标签'!$AB$2:$AB$1441,"needs_review")</x:f>
        <x:v>0</x:v>
      </x:c>
    </x:row>
    <x:row r="232" ht="22" customHeight="1">
      <x:c r="A232" s="7" t="str">
        <x:v>colorful_flip_flops</x:v>
      </x:c>
      <x:c r="B232" s="7" t="n">
        <x:f>COUNTIF('唯一词标签'!$V$2:$V$1441,A232)</x:f>
        <x:v>1</x:v>
      </x:c>
      <x:c r="C232" s="55" t="n">
        <x:f>B232/COUNTA('唯一词标签'!$C$2:$C$1441)</x:f>
        <x:v>0.0006944444444444445</x:v>
      </x:c>
      <x:c r="D232" s="7" t="n">
        <x:f>COUNTIFS('唯一词标签'!$V$2:$V$1441,A232,'唯一词标签'!$Z$2:$Z$1441,"match")</x:f>
        <x:v>1</x:v>
      </x:c>
      <x:c r="E232" s="7" t="n">
        <x:f>COUNTIFS('唯一词标签'!$V$2:$V$1441,A232,'唯一词标签'!$Z$2:$Z$1441,"partial_match")</x:f>
        <x:v>0</x:v>
      </x:c>
      <x:c r="F232" s="7" t="n">
        <x:f>COUNTIFS('唯一词标签'!$V$2:$V$1441,A232,'唯一词标签'!$Z$2:$Z$1441,"mismatch")</x:f>
        <x:v>0</x:v>
      </x:c>
      <x:c r="G232" s="7" t="n">
        <x:f>COUNTIFS('唯一词标签'!$V$2:$V$1441,A232,'唯一词标签'!$Z$2:$Z$1441,"unknown")</x:f>
        <x:v>0</x:v>
      </x:c>
      <x:c r="H232" s="7" t="n">
        <x:f>COUNTIFS('唯一词标签'!$V$2:$V$1441,A232,'唯一词标签'!$U$2:$U$1441,"low")</x:f>
        <x:v>0</x:v>
      </x:c>
      <x:c r="I232" s="7" t="n">
        <x:f>COUNTIFS('唯一词标签'!$V$2:$V$1441,A232,'唯一词标签'!$AB$2:$AB$1441,"needs_review")</x:f>
        <x:v>0</x:v>
      </x:c>
    </x:row>
    <x:row r="233" ht="22" customHeight="1">
      <x:c r="A233" s="7" t="str">
        <x:v>colorful_flip_flops_women</x:v>
      </x:c>
      <x:c r="B233" s="7" t="n">
        <x:f>COUNTIF('唯一词标签'!$V$2:$V$1441,A233)</x:f>
        <x:v>1</x:v>
      </x:c>
      <x:c r="C233" s="55" t="n">
        <x:f>B233/COUNTA('唯一词标签'!$C$2:$C$1441)</x:f>
        <x:v>0.0006944444444444445</x:v>
      </x:c>
      <x:c r="D233" s="7" t="n">
        <x:f>COUNTIFS('唯一词标签'!$V$2:$V$1441,A233,'唯一词标签'!$Z$2:$Z$1441,"match")</x:f>
        <x:v>1</x:v>
      </x:c>
      <x:c r="E233" s="7" t="n">
        <x:f>COUNTIFS('唯一词标签'!$V$2:$V$1441,A233,'唯一词标签'!$Z$2:$Z$1441,"partial_match")</x:f>
        <x:v>0</x:v>
      </x:c>
      <x:c r="F233" s="7" t="n">
        <x:f>COUNTIFS('唯一词标签'!$V$2:$V$1441,A233,'唯一词标签'!$Z$2:$Z$1441,"mismatch")</x:f>
        <x:v>0</x:v>
      </x:c>
      <x:c r="G233" s="7" t="n">
        <x:f>COUNTIFS('唯一词标签'!$V$2:$V$1441,A233,'唯一词标签'!$Z$2:$Z$1441,"unknown")</x:f>
        <x:v>0</x:v>
      </x:c>
      <x:c r="H233" s="7" t="n">
        <x:f>COUNTIFS('唯一词标签'!$V$2:$V$1441,A233,'唯一词标签'!$U$2:$U$1441,"low")</x:f>
        <x:v>0</x:v>
      </x:c>
      <x:c r="I233" s="7" t="n">
        <x:f>COUNTIFS('唯一词标签'!$V$2:$V$1441,A233,'唯一词标签'!$AB$2:$AB$1441,"needs_review")</x:f>
        <x:v>0</x:v>
      </x:c>
    </x:row>
    <x:row r="234" ht="22" customHeight="1">
      <x:c r="A234" s="7" t="str">
        <x:v>comfort_flip_flops</x:v>
      </x:c>
      <x:c r="B234" s="7" t="n">
        <x:f>COUNTIF('唯一词标签'!$V$2:$V$1441,A234)</x:f>
        <x:v>5</x:v>
      </x:c>
      <x:c r="C234" s="55" t="n">
        <x:f>B234/COUNTA('唯一词标签'!$C$2:$C$1441)</x:f>
        <x:v>0.003472222222222222</x:v>
      </x:c>
      <x:c r="D234" s="7" t="n">
        <x:f>COUNTIFS('唯一词标签'!$V$2:$V$1441,A234,'唯一词标签'!$Z$2:$Z$1441,"match")</x:f>
        <x:v>5</x:v>
      </x:c>
      <x:c r="E234" s="7" t="n">
        <x:f>COUNTIFS('唯一词标签'!$V$2:$V$1441,A234,'唯一词标签'!$Z$2:$Z$1441,"partial_match")</x:f>
        <x:v>0</x:v>
      </x:c>
      <x:c r="F234" s="7" t="n">
        <x:f>COUNTIFS('唯一词标签'!$V$2:$V$1441,A234,'唯一词标签'!$Z$2:$Z$1441,"mismatch")</x:f>
        <x:v>0</x:v>
      </x:c>
      <x:c r="G234" s="7" t="n">
        <x:f>COUNTIFS('唯一词标签'!$V$2:$V$1441,A234,'唯一词标签'!$Z$2:$Z$1441,"unknown")</x:f>
        <x:v>0</x:v>
      </x:c>
      <x:c r="H234" s="7" t="n">
        <x:f>COUNTIFS('唯一词标签'!$V$2:$V$1441,A234,'唯一词标签'!$U$2:$U$1441,"low")</x:f>
        <x:v>0</x:v>
      </x:c>
      <x:c r="I234" s="7" t="n">
        <x:f>COUNTIFS('唯一词标签'!$V$2:$V$1441,A234,'唯一词标签'!$AB$2:$AB$1441,"needs_review")</x:f>
        <x:v>0</x:v>
      </x:c>
    </x:row>
    <x:row r="235" ht="22" customHeight="1">
      <x:c r="A235" s="7" t="str">
        <x:v>comfort_flip_flops_women_black</x:v>
      </x:c>
      <x:c r="B235" s="7" t="n">
        <x:f>COUNTIF('唯一词标签'!$V$2:$V$1441,A235)</x:f>
        <x:v>1</x:v>
      </x:c>
      <x:c r="C235" s="55" t="n">
        <x:f>B235/COUNTA('唯一词标签'!$C$2:$C$1441)</x:f>
        <x:v>0.0006944444444444445</x:v>
      </x:c>
      <x:c r="D235" s="7" t="n">
        <x:f>COUNTIFS('唯一词标签'!$V$2:$V$1441,A235,'唯一词标签'!$Z$2:$Z$1441,"match")</x:f>
        <x:v>1</x:v>
      </x:c>
      <x:c r="E235" s="7" t="n">
        <x:f>COUNTIFS('唯一词标签'!$V$2:$V$1441,A235,'唯一词标签'!$Z$2:$Z$1441,"partial_match")</x:f>
        <x:v>0</x:v>
      </x:c>
      <x:c r="F235" s="7" t="n">
        <x:f>COUNTIFS('唯一词标签'!$V$2:$V$1441,A235,'唯一词标签'!$Z$2:$Z$1441,"mismatch")</x:f>
        <x:v>0</x:v>
      </x:c>
      <x:c r="G235" s="7" t="n">
        <x:f>COUNTIFS('唯一词标签'!$V$2:$V$1441,A235,'唯一词标签'!$Z$2:$Z$1441,"unknown")</x:f>
        <x:v>0</x:v>
      </x:c>
      <x:c r="H235" s="7" t="n">
        <x:f>COUNTIFS('唯一词标签'!$V$2:$V$1441,A235,'唯一词标签'!$U$2:$U$1441,"low")</x:f>
        <x:v>0</x:v>
      </x:c>
      <x:c r="I235" s="7" t="n">
        <x:f>COUNTIFS('唯一词标签'!$V$2:$V$1441,A235,'唯一词标签'!$AB$2:$AB$1441,"needs_review")</x:f>
        <x:v>0</x:v>
      </x:c>
    </x:row>
    <x:row r="236" ht="22" customHeight="1">
      <x:c r="A236" s="7" t="str">
        <x:v>comfort_support_flip_flops</x:v>
      </x:c>
      <x:c r="B236" s="7" t="n">
        <x:f>COUNTIF('唯一词标签'!$V$2:$V$1441,A236)</x:f>
        <x:v>1</x:v>
      </x:c>
      <x:c r="C236" s="55" t="n">
        <x:f>B236/COUNTA('唯一词标签'!$C$2:$C$1441)</x:f>
        <x:v>0.0006944444444444445</x:v>
      </x:c>
      <x:c r="D236" s="7" t="n">
        <x:f>COUNTIFS('唯一词标签'!$V$2:$V$1441,A236,'唯一词标签'!$Z$2:$Z$1441,"match")</x:f>
        <x:v>1</x:v>
      </x:c>
      <x:c r="E236" s="7" t="n">
        <x:f>COUNTIFS('唯一词标签'!$V$2:$V$1441,A236,'唯一词标签'!$Z$2:$Z$1441,"partial_match")</x:f>
        <x:v>0</x:v>
      </x:c>
      <x:c r="F236" s="7" t="n">
        <x:f>COUNTIFS('唯一词标签'!$V$2:$V$1441,A236,'唯一词标签'!$Z$2:$Z$1441,"mismatch")</x:f>
        <x:v>0</x:v>
      </x:c>
      <x:c r="G236" s="7" t="n">
        <x:f>COUNTIFS('唯一词标签'!$V$2:$V$1441,A236,'唯一词标签'!$Z$2:$Z$1441,"unknown")</x:f>
        <x:v>0</x:v>
      </x:c>
      <x:c r="H236" s="7" t="n">
        <x:f>COUNTIFS('唯一词标签'!$V$2:$V$1441,A236,'唯一词标签'!$U$2:$U$1441,"low")</x:f>
        <x:v>0</x:v>
      </x:c>
      <x:c r="I236" s="7" t="n">
        <x:f>COUNTIFS('唯一词标签'!$V$2:$V$1441,A236,'唯一词标签'!$AB$2:$AB$1441,"needs_review")</x:f>
        <x:v>0</x:v>
      </x:c>
    </x:row>
    <x:row r="237" ht="22" customHeight="1">
      <x:c r="A237" s="7" t="str">
        <x:v>comfort_womens_flip_flops</x:v>
      </x:c>
      <x:c r="B237" s="7" t="n">
        <x:f>COUNTIF('唯一词标签'!$V$2:$V$1441,A237)</x:f>
        <x:v>2</x:v>
      </x:c>
      <x:c r="C237" s="55" t="n">
        <x:f>B237/COUNTA('唯一词标签'!$C$2:$C$1441)</x:f>
        <x:v>0.001388888888888889</x:v>
      </x:c>
      <x:c r="D237" s="7" t="n">
        <x:f>COUNTIFS('唯一词标签'!$V$2:$V$1441,A237,'唯一词标签'!$Z$2:$Z$1441,"match")</x:f>
        <x:v>2</x:v>
      </x:c>
      <x:c r="E237" s="7" t="n">
        <x:f>COUNTIFS('唯一词标签'!$V$2:$V$1441,A237,'唯一词标签'!$Z$2:$Z$1441,"partial_match")</x:f>
        <x:v>0</x:v>
      </x:c>
      <x:c r="F237" s="7" t="n">
        <x:f>COUNTIFS('唯一词标签'!$V$2:$V$1441,A237,'唯一词标签'!$Z$2:$Z$1441,"mismatch")</x:f>
        <x:v>0</x:v>
      </x:c>
      <x:c r="G237" s="7" t="n">
        <x:f>COUNTIFS('唯一词标签'!$V$2:$V$1441,A237,'唯一词标签'!$Z$2:$Z$1441,"unknown")</x:f>
        <x:v>0</x:v>
      </x:c>
      <x:c r="H237" s="7" t="n">
        <x:f>COUNTIFS('唯一词标签'!$V$2:$V$1441,A237,'唯一词标签'!$U$2:$U$1441,"low")</x:f>
        <x:v>0</x:v>
      </x:c>
      <x:c r="I237" s="7" t="n">
        <x:f>COUNTIFS('唯一词标签'!$V$2:$V$1441,A237,'唯一词标签'!$AB$2:$AB$1441,"needs_review")</x:f>
        <x:v>0</x:v>
      </x:c>
    </x:row>
    <x:row r="238" ht="22" customHeight="1">
      <x:c r="A238" s="7" t="str">
        <x:v>comfortable_all_day_walking_sandals</x:v>
      </x:c>
      <x:c r="B238" s="7" t="n">
        <x:f>COUNTIF('唯一词标签'!$V$2:$V$1441,A238)</x:f>
        <x:v>1</x:v>
      </x:c>
      <x:c r="C238" s="55" t="n">
        <x:f>B238/COUNTA('唯一词标签'!$C$2:$C$1441)</x:f>
        <x:v>0.0006944444444444445</x:v>
      </x:c>
      <x:c r="D238" s="7" t="n">
        <x:f>COUNTIFS('唯一词标签'!$V$2:$V$1441,A238,'唯一词标签'!$Z$2:$Z$1441,"match")</x:f>
        <x:v>1</x:v>
      </x:c>
      <x:c r="E238" s="7" t="n">
        <x:f>COUNTIFS('唯一词标签'!$V$2:$V$1441,A238,'唯一词标签'!$Z$2:$Z$1441,"partial_match")</x:f>
        <x:v>0</x:v>
      </x:c>
      <x:c r="F238" s="7" t="n">
        <x:f>COUNTIFS('唯一词标签'!$V$2:$V$1441,A238,'唯一词标签'!$Z$2:$Z$1441,"mismatch")</x:f>
        <x:v>0</x:v>
      </x:c>
      <x:c r="G238" s="7" t="n">
        <x:f>COUNTIFS('唯一词标签'!$V$2:$V$1441,A238,'唯一词标签'!$Z$2:$Z$1441,"unknown")</x:f>
        <x:v>0</x:v>
      </x:c>
      <x:c r="H238" s="7" t="n">
        <x:f>COUNTIFS('唯一词标签'!$V$2:$V$1441,A238,'唯一词标签'!$U$2:$U$1441,"low")</x:f>
        <x:v>0</x:v>
      </x:c>
      <x:c r="I238" s="7" t="n">
        <x:f>COUNTIFS('唯一词标签'!$V$2:$V$1441,A238,'唯一词标签'!$AB$2:$AB$1441,"needs_review")</x:f>
        <x:v>0</x:v>
      </x:c>
    </x:row>
    <x:row r="239" ht="22" customHeight="1">
      <x:c r="A239" s="7" t="str">
        <x:v>comfortable_arch_support_flip_flops_womens</x:v>
      </x:c>
      <x:c r="B239" s="7" t="n">
        <x:f>COUNTIF('唯一词标签'!$V$2:$V$1441,A239)</x:f>
        <x:v>1</x:v>
      </x:c>
      <x:c r="C239" s="55" t="n">
        <x:f>B239/COUNTA('唯一词标签'!$C$2:$C$1441)</x:f>
        <x:v>0.0006944444444444445</x:v>
      </x:c>
      <x:c r="D239" s="7" t="n">
        <x:f>COUNTIFS('唯一词标签'!$V$2:$V$1441,A239,'唯一词标签'!$Z$2:$Z$1441,"match")</x:f>
        <x:v>1</x:v>
      </x:c>
      <x:c r="E239" s="7" t="n">
        <x:f>COUNTIFS('唯一词标签'!$V$2:$V$1441,A239,'唯一词标签'!$Z$2:$Z$1441,"partial_match")</x:f>
        <x:v>0</x:v>
      </x:c>
      <x:c r="F239" s="7" t="n">
        <x:f>COUNTIFS('唯一词标签'!$V$2:$V$1441,A239,'唯一词标签'!$Z$2:$Z$1441,"mismatch")</x:f>
        <x:v>0</x:v>
      </x:c>
      <x:c r="G239" s="7" t="n">
        <x:f>COUNTIFS('唯一词标签'!$V$2:$V$1441,A239,'唯一词标签'!$Z$2:$Z$1441,"unknown")</x:f>
        <x:v>0</x:v>
      </x:c>
      <x:c r="H239" s="7" t="n">
        <x:f>COUNTIFS('唯一词标签'!$V$2:$V$1441,A239,'唯一词标签'!$U$2:$U$1441,"low")</x:f>
        <x:v>0</x:v>
      </x:c>
      <x:c r="I239" s="7" t="n">
        <x:f>COUNTIFS('唯一词标签'!$V$2:$V$1441,A239,'唯一词标签'!$AB$2:$AB$1441,"needs_review")</x:f>
        <x:v>0</x:v>
      </x:c>
    </x:row>
    <x:row r="240" ht="22" customHeight="1">
      <x:c r="A240" s="7" t="str">
        <x:v>comfortable_beige_flip_flops_women</x:v>
      </x:c>
      <x:c r="B240" s="7" t="n">
        <x:f>COUNTIF('唯一词标签'!$V$2:$V$1441,A240)</x:f>
        <x:v>1</x:v>
      </x:c>
      <x:c r="C240" s="55" t="n">
        <x:f>B240/COUNTA('唯一词标签'!$C$2:$C$1441)</x:f>
        <x:v>0.0006944444444444445</x:v>
      </x:c>
      <x:c r="D240" s="7" t="n">
        <x:f>COUNTIFS('唯一词标签'!$V$2:$V$1441,A240,'唯一词标签'!$Z$2:$Z$1441,"match")</x:f>
        <x:v>0</x:v>
      </x:c>
      <x:c r="E240" s="7" t="n">
        <x:f>COUNTIFS('唯一词标签'!$V$2:$V$1441,A240,'唯一词标签'!$Z$2:$Z$1441,"partial_match")</x:f>
        <x:v>1</x:v>
      </x:c>
      <x:c r="F240" s="7" t="n">
        <x:f>COUNTIFS('唯一词标签'!$V$2:$V$1441,A240,'唯一词标签'!$Z$2:$Z$1441,"mismatch")</x:f>
        <x:v>0</x:v>
      </x:c>
      <x:c r="G240" s="7" t="n">
        <x:f>COUNTIFS('唯一词标签'!$V$2:$V$1441,A240,'唯一词标签'!$Z$2:$Z$1441,"unknown")</x:f>
        <x:v>0</x:v>
      </x:c>
      <x:c r="H240" s="7" t="n">
        <x:f>COUNTIFS('唯一词标签'!$V$2:$V$1441,A240,'唯一词标签'!$U$2:$U$1441,"low")</x:f>
        <x:v>0</x:v>
      </x:c>
      <x:c r="I240" s="7" t="n">
        <x:f>COUNTIFS('唯一词标签'!$V$2:$V$1441,A240,'唯一词标签'!$AB$2:$AB$1441,"needs_review")</x:f>
        <x:v>0</x:v>
      </x:c>
    </x:row>
    <x:row r="241" ht="22" customHeight="1">
      <x:c r="A241" s="7" t="str">
        <x:v>comfortable_black_flip_flops</x:v>
      </x:c>
      <x:c r="B241" s="7" t="n">
        <x:f>COUNTIF('唯一词标签'!$V$2:$V$1441,A241)</x:f>
        <x:v>2</x:v>
      </x:c>
      <x:c r="C241" s="55" t="n">
        <x:f>B241/COUNTA('唯一词标签'!$C$2:$C$1441)</x:f>
        <x:v>0.001388888888888889</x:v>
      </x:c>
      <x:c r="D241" s="7" t="n">
        <x:f>COUNTIFS('唯一词标签'!$V$2:$V$1441,A241,'唯一词标签'!$Z$2:$Z$1441,"match")</x:f>
        <x:v>2</x:v>
      </x:c>
      <x:c r="E241" s="7" t="n">
        <x:f>COUNTIFS('唯一词标签'!$V$2:$V$1441,A241,'唯一词标签'!$Z$2:$Z$1441,"partial_match")</x:f>
        <x:v>0</x:v>
      </x:c>
      <x:c r="F241" s="7" t="n">
        <x:f>COUNTIFS('唯一词标签'!$V$2:$V$1441,A241,'唯一词标签'!$Z$2:$Z$1441,"mismatch")</x:f>
        <x:v>0</x:v>
      </x:c>
      <x:c r="G241" s="7" t="n">
        <x:f>COUNTIFS('唯一词标签'!$V$2:$V$1441,A241,'唯一词标签'!$Z$2:$Z$1441,"unknown")</x:f>
        <x:v>0</x:v>
      </x:c>
      <x:c r="H241" s="7" t="n">
        <x:f>COUNTIFS('唯一词标签'!$V$2:$V$1441,A241,'唯一词标签'!$U$2:$U$1441,"low")</x:f>
        <x:v>0</x:v>
      </x:c>
      <x:c r="I241" s="7" t="n">
        <x:f>COUNTIFS('唯一词标签'!$V$2:$V$1441,A241,'唯一词标签'!$AB$2:$AB$1441,"needs_review")</x:f>
        <x:v>0</x:v>
      </x:c>
    </x:row>
    <x:row r="242" ht="22" customHeight="1">
      <x:c r="A242" s="7" t="str">
        <x:v>comfortable_flip_flops</x:v>
      </x:c>
      <x:c r="B242" s="7" t="n">
        <x:f>COUNTIF('唯一词标签'!$V$2:$V$1441,A242)</x:f>
        <x:v>3</x:v>
      </x:c>
      <x:c r="C242" s="55" t="n">
        <x:f>B242/COUNTA('唯一词标签'!$C$2:$C$1441)</x:f>
        <x:v>0.0020833333333333333</x:v>
      </x:c>
      <x:c r="D242" s="7" t="n">
        <x:f>COUNTIFS('唯一词标签'!$V$2:$V$1441,A242,'唯一词标签'!$Z$2:$Z$1441,"match")</x:f>
        <x:v>3</x:v>
      </x:c>
      <x:c r="E242" s="7" t="n">
        <x:f>COUNTIFS('唯一词标签'!$V$2:$V$1441,A242,'唯一词标签'!$Z$2:$Z$1441,"partial_match")</x:f>
        <x:v>0</x:v>
      </x:c>
      <x:c r="F242" s="7" t="n">
        <x:f>COUNTIFS('唯一词标签'!$V$2:$V$1441,A242,'唯一词标签'!$Z$2:$Z$1441,"mismatch")</x:f>
        <x:v>0</x:v>
      </x:c>
      <x:c r="G242" s="7" t="n">
        <x:f>COUNTIFS('唯一词标签'!$V$2:$V$1441,A242,'唯一词标签'!$Z$2:$Z$1441,"unknown")</x:f>
        <x:v>0</x:v>
      </x:c>
      <x:c r="H242" s="7" t="n">
        <x:f>COUNTIFS('唯一词标签'!$V$2:$V$1441,A242,'唯一词标签'!$U$2:$U$1441,"low")</x:f>
        <x:v>0</x:v>
      </x:c>
      <x:c r="I242" s="7" t="n">
        <x:f>COUNTIFS('唯一词标签'!$V$2:$V$1441,A242,'唯一词标签'!$AB$2:$AB$1441,"needs_review")</x:f>
        <x:v>0</x:v>
      </x:c>
    </x:row>
    <x:row r="243" ht="22" customHeight="1">
      <x:c r="A243" s="7" t="str">
        <x:v>comfortable_flip_flops_women</x:v>
      </x:c>
      <x:c r="B243" s="7" t="n">
        <x:f>COUNTIF('唯一词标签'!$V$2:$V$1441,A243)</x:f>
        <x:v>1</x:v>
      </x:c>
      <x:c r="C243" s="55" t="n">
        <x:f>B243/COUNTA('唯一词标签'!$C$2:$C$1441)</x:f>
        <x:v>0.0006944444444444445</x:v>
      </x:c>
      <x:c r="D243" s="7" t="n">
        <x:f>COUNTIFS('唯一词标签'!$V$2:$V$1441,A243,'唯一词标签'!$Z$2:$Z$1441,"match")</x:f>
        <x:v>1</x:v>
      </x:c>
      <x:c r="E243" s="7" t="n">
        <x:f>COUNTIFS('唯一词标签'!$V$2:$V$1441,A243,'唯一词标签'!$Z$2:$Z$1441,"partial_match")</x:f>
        <x:v>0</x:v>
      </x:c>
      <x:c r="F243" s="7" t="n">
        <x:f>COUNTIFS('唯一词标签'!$V$2:$V$1441,A243,'唯一词标签'!$Z$2:$Z$1441,"mismatch")</x:f>
        <x:v>0</x:v>
      </x:c>
      <x:c r="G243" s="7" t="n">
        <x:f>COUNTIFS('唯一词标签'!$V$2:$V$1441,A243,'唯一词标签'!$Z$2:$Z$1441,"unknown")</x:f>
        <x:v>0</x:v>
      </x:c>
      <x:c r="H243" s="7" t="n">
        <x:f>COUNTIFS('唯一词标签'!$V$2:$V$1441,A243,'唯一词标签'!$U$2:$U$1441,"low")</x:f>
        <x:v>0</x:v>
      </x:c>
      <x:c r="I243" s="7" t="n">
        <x:f>COUNTIFS('唯一词标签'!$V$2:$V$1441,A243,'唯一词标签'!$AB$2:$AB$1441,"needs_review")</x:f>
        <x:v>0</x:v>
      </x:c>
    </x:row>
    <x:row r="244" ht="22" customHeight="1">
      <x:c r="A244" s="7" t="str">
        <x:v>comfortable_indoor_sandals</x:v>
      </x:c>
      <x:c r="B244" s="7" t="n">
        <x:f>COUNTIF('唯一词标签'!$V$2:$V$1441,A244)</x:f>
        <x:v>1</x:v>
      </x:c>
      <x:c r="C244" s="55" t="n">
        <x:f>B244/COUNTA('唯一词标签'!$C$2:$C$1441)</x:f>
        <x:v>0.0006944444444444445</x:v>
      </x:c>
      <x:c r="D244" s="7" t="n">
        <x:f>COUNTIFS('唯一词标签'!$V$2:$V$1441,A244,'唯一词标签'!$Z$2:$Z$1441,"match")</x:f>
        <x:v>0</x:v>
      </x:c>
      <x:c r="E244" s="7" t="n">
        <x:f>COUNTIFS('唯一词标签'!$V$2:$V$1441,A244,'唯一词标签'!$Z$2:$Z$1441,"partial_match")</x:f>
        <x:v>1</x:v>
      </x:c>
      <x:c r="F244" s="7" t="n">
        <x:f>COUNTIFS('唯一词标签'!$V$2:$V$1441,A244,'唯一词标签'!$Z$2:$Z$1441,"mismatch")</x:f>
        <x:v>0</x:v>
      </x:c>
      <x:c r="G244" s="7" t="n">
        <x:f>COUNTIFS('唯一词标签'!$V$2:$V$1441,A244,'唯一词标签'!$Z$2:$Z$1441,"unknown")</x:f>
        <x:v>0</x:v>
      </x:c>
      <x:c r="H244" s="7" t="n">
        <x:f>COUNTIFS('唯一词标签'!$V$2:$V$1441,A244,'唯一词标签'!$U$2:$U$1441,"low")</x:f>
        <x:v>0</x:v>
      </x:c>
      <x:c r="I244" s="7" t="n">
        <x:f>COUNTIFS('唯一词标签'!$V$2:$V$1441,A244,'唯一词标签'!$AB$2:$AB$1441,"needs_review")</x:f>
        <x:v>0</x:v>
      </x:c>
    </x:row>
    <x:row r="245" ht="22" customHeight="1">
      <x:c r="A245" s="7" t="str">
        <x:v>comfortable_lightweight_daily_flip_flops</x:v>
      </x:c>
      <x:c r="B245" s="7" t="n">
        <x:f>COUNTIF('唯一词标签'!$V$2:$V$1441,A245)</x:f>
        <x:v>1</x:v>
      </x:c>
      <x:c r="C245" s="55" t="n">
        <x:f>B245/COUNTA('唯一词标签'!$C$2:$C$1441)</x:f>
        <x:v>0.0006944444444444445</x:v>
      </x:c>
      <x:c r="D245" s="7" t="n">
        <x:f>COUNTIFS('唯一词标签'!$V$2:$V$1441,A245,'唯一词标签'!$Z$2:$Z$1441,"match")</x:f>
        <x:v>1</x:v>
      </x:c>
      <x:c r="E245" s="7" t="n">
        <x:f>COUNTIFS('唯一词标签'!$V$2:$V$1441,A245,'唯一词标签'!$Z$2:$Z$1441,"partial_match")</x:f>
        <x:v>0</x:v>
      </x:c>
      <x:c r="F245" s="7" t="n">
        <x:f>COUNTIFS('唯一词标签'!$V$2:$V$1441,A245,'唯一词标签'!$Z$2:$Z$1441,"mismatch")</x:f>
        <x:v>0</x:v>
      </x:c>
      <x:c r="G245" s="7" t="n">
        <x:f>COUNTIFS('唯一词标签'!$V$2:$V$1441,A245,'唯一词标签'!$Z$2:$Z$1441,"unknown")</x:f>
        <x:v>0</x:v>
      </x:c>
      <x:c r="H245" s="7" t="n">
        <x:f>COUNTIFS('唯一词标签'!$V$2:$V$1441,A245,'唯一词标签'!$U$2:$U$1441,"low")</x:f>
        <x:v>0</x:v>
      </x:c>
      <x:c r="I245" s="7" t="n">
        <x:f>COUNTIFS('唯一词标签'!$V$2:$V$1441,A245,'唯一词标签'!$AB$2:$AB$1441,"needs_review")</x:f>
        <x:v>0</x:v>
      </x:c>
    </x:row>
    <x:row r="246" ht="22" customHeight="1">
      <x:c r="A246" s="7" t="str">
        <x:v>comfortable_sturdy_house_flip_flop_women</x:v>
      </x:c>
      <x:c r="B246" s="7" t="n">
        <x:f>COUNTIF('唯一词标签'!$V$2:$V$1441,A246)</x:f>
        <x:v>1</x:v>
      </x:c>
      <x:c r="C246" s="55" t="n">
        <x:f>B246/COUNTA('唯一词标签'!$C$2:$C$1441)</x:f>
        <x:v>0.0006944444444444445</x:v>
      </x:c>
      <x:c r="D246" s="7" t="n">
        <x:f>COUNTIFS('唯一词标签'!$V$2:$V$1441,A246,'唯一词标签'!$Z$2:$Z$1441,"match")</x:f>
        <x:v>1</x:v>
      </x:c>
      <x:c r="E246" s="7" t="n">
        <x:f>COUNTIFS('唯一词标签'!$V$2:$V$1441,A246,'唯一词标签'!$Z$2:$Z$1441,"partial_match")</x:f>
        <x:v>0</x:v>
      </x:c>
      <x:c r="F246" s="7" t="n">
        <x:f>COUNTIFS('唯一词标签'!$V$2:$V$1441,A246,'唯一词标签'!$Z$2:$Z$1441,"mismatch")</x:f>
        <x:v>0</x:v>
      </x:c>
      <x:c r="G246" s="7" t="n">
        <x:f>COUNTIFS('唯一词标签'!$V$2:$V$1441,A246,'唯一词标签'!$Z$2:$Z$1441,"unknown")</x:f>
        <x:v>0</x:v>
      </x:c>
      <x:c r="H246" s="7" t="n">
        <x:f>COUNTIFS('唯一词标签'!$V$2:$V$1441,A246,'唯一词标签'!$U$2:$U$1441,"low")</x:f>
        <x:v>0</x:v>
      </x:c>
      <x:c r="I246" s="7" t="n">
        <x:f>COUNTIFS('唯一词标签'!$V$2:$V$1441,A246,'唯一词标签'!$AB$2:$AB$1441,"needs_review")</x:f>
        <x:v>0</x:v>
      </x:c>
    </x:row>
    <x:row r="247" ht="22" customHeight="1">
      <x:c r="A247" s="7" t="str">
        <x:v>comfortable_walking_flip_flops</x:v>
      </x:c>
      <x:c r="B247" s="7" t="n">
        <x:f>COUNTIF('唯一词标签'!$V$2:$V$1441,A247)</x:f>
        <x:v>1</x:v>
      </x:c>
      <x:c r="C247" s="55" t="n">
        <x:f>B247/COUNTA('唯一词标签'!$C$2:$C$1441)</x:f>
        <x:v>0.0006944444444444445</x:v>
      </x:c>
      <x:c r="D247" s="7" t="n">
        <x:f>COUNTIFS('唯一词标签'!$V$2:$V$1441,A247,'唯一词标签'!$Z$2:$Z$1441,"match")</x:f>
        <x:v>1</x:v>
      </x:c>
      <x:c r="E247" s="7" t="n">
        <x:f>COUNTIFS('唯一词标签'!$V$2:$V$1441,A247,'唯一词标签'!$Z$2:$Z$1441,"partial_match")</x:f>
        <x:v>0</x:v>
      </x:c>
      <x:c r="F247" s="7" t="n">
        <x:f>COUNTIFS('唯一词标签'!$V$2:$V$1441,A247,'唯一词标签'!$Z$2:$Z$1441,"mismatch")</x:f>
        <x:v>0</x:v>
      </x:c>
      <x:c r="G247" s="7" t="n">
        <x:f>COUNTIFS('唯一词标签'!$V$2:$V$1441,A247,'唯一词标签'!$Z$2:$Z$1441,"unknown")</x:f>
        <x:v>0</x:v>
      </x:c>
      <x:c r="H247" s="7" t="n">
        <x:f>COUNTIFS('唯一词标签'!$V$2:$V$1441,A247,'唯一词标签'!$U$2:$U$1441,"low")</x:f>
        <x:v>0</x:v>
      </x:c>
      <x:c r="I247" s="7" t="n">
        <x:f>COUNTIFS('唯一词标签'!$V$2:$V$1441,A247,'唯一词标签'!$AB$2:$AB$1441,"needs_review")</x:f>
        <x:v>0</x:v>
      </x:c>
    </x:row>
    <x:row r="248" ht="22" customHeight="1">
      <x:c r="A248" s="7" t="str">
        <x:v>comfortable_walking_flip_flops_women</x:v>
      </x:c>
      <x:c r="B248" s="7" t="n">
        <x:f>COUNTIF('唯一词标签'!$V$2:$V$1441,A248)</x:f>
        <x:v>1</x:v>
      </x:c>
      <x:c r="C248" s="55" t="n">
        <x:f>B248/COUNTA('唯一词标签'!$C$2:$C$1441)</x:f>
        <x:v>0.0006944444444444445</x:v>
      </x:c>
      <x:c r="D248" s="7" t="n">
        <x:f>COUNTIFS('唯一词标签'!$V$2:$V$1441,A248,'唯一词标签'!$Z$2:$Z$1441,"match")</x:f>
        <x:v>1</x:v>
      </x:c>
      <x:c r="E248" s="7" t="n">
        <x:f>COUNTIFS('唯一词标签'!$V$2:$V$1441,A248,'唯一词标签'!$Z$2:$Z$1441,"partial_match")</x:f>
        <x:v>0</x:v>
      </x:c>
      <x:c r="F248" s="7" t="n">
        <x:f>COUNTIFS('唯一词标签'!$V$2:$V$1441,A248,'唯一词标签'!$Z$2:$Z$1441,"mismatch")</x:f>
        <x:v>0</x:v>
      </x:c>
      <x:c r="G248" s="7" t="n">
        <x:f>COUNTIFS('唯一词标签'!$V$2:$V$1441,A248,'唯一词标签'!$Z$2:$Z$1441,"unknown")</x:f>
        <x:v>0</x:v>
      </x:c>
      <x:c r="H248" s="7" t="n">
        <x:f>COUNTIFS('唯一词标签'!$V$2:$V$1441,A248,'唯一词标签'!$U$2:$U$1441,"low")</x:f>
        <x:v>0</x:v>
      </x:c>
      <x:c r="I248" s="7" t="n">
        <x:f>COUNTIFS('唯一词标签'!$V$2:$V$1441,A248,'唯一词标签'!$AB$2:$AB$1441,"needs_review")</x:f>
        <x:v>0</x:v>
      </x:c>
    </x:row>
    <x:row r="249" ht="22" customHeight="1">
      <x:c r="A249" s="7" t="str">
        <x:v>comfortable_walking_flip_flops_women_black</x:v>
      </x:c>
      <x:c r="B249" s="7" t="n">
        <x:f>COUNTIF('唯一词标签'!$V$2:$V$1441,A249)</x:f>
        <x:v>1</x:v>
      </x:c>
      <x:c r="C249" s="55" t="n">
        <x:f>B249/COUNTA('唯一词标签'!$C$2:$C$1441)</x:f>
        <x:v>0.0006944444444444445</x:v>
      </x:c>
      <x:c r="D249" s="7" t="n">
        <x:f>COUNTIFS('唯一词标签'!$V$2:$V$1441,A249,'唯一词标签'!$Z$2:$Z$1441,"match")</x:f>
        <x:v>1</x:v>
      </x:c>
      <x:c r="E249" s="7" t="n">
        <x:f>COUNTIFS('唯一词标签'!$V$2:$V$1441,A249,'唯一词标签'!$Z$2:$Z$1441,"partial_match")</x:f>
        <x:v>0</x:v>
      </x:c>
      <x:c r="F249" s="7" t="n">
        <x:f>COUNTIFS('唯一词标签'!$V$2:$V$1441,A249,'唯一词标签'!$Z$2:$Z$1441,"mismatch")</x:f>
        <x:v>0</x:v>
      </x:c>
      <x:c r="G249" s="7" t="n">
        <x:f>COUNTIFS('唯一词标签'!$V$2:$V$1441,A249,'唯一词标签'!$Z$2:$Z$1441,"unknown")</x:f>
        <x:v>0</x:v>
      </x:c>
      <x:c r="H249" s="7" t="n">
        <x:f>COUNTIFS('唯一词标签'!$V$2:$V$1441,A249,'唯一词标签'!$U$2:$U$1441,"low")</x:f>
        <x:v>0</x:v>
      </x:c>
      <x:c r="I249" s="7" t="n">
        <x:f>COUNTIFS('唯一词标签'!$V$2:$V$1441,A249,'唯一词标签'!$AB$2:$AB$1441,"needs_review")</x:f>
        <x:v>0</x:v>
      </x:c>
    </x:row>
    <x:row r="250" ht="22" customHeight="1">
      <x:c r="A250" s="7" t="str">
        <x:v>comfortable_waterproof_flip_flops_women</x:v>
      </x:c>
      <x:c r="B250" s="7" t="n">
        <x:f>COUNTIF('唯一词标签'!$V$2:$V$1441,A250)</x:f>
        <x:v>1</x:v>
      </x:c>
      <x:c r="C250" s="55" t="n">
        <x:f>B250/COUNTA('唯一词标签'!$C$2:$C$1441)</x:f>
        <x:v>0.0006944444444444445</x:v>
      </x:c>
      <x:c r="D250" s="7" t="n">
        <x:f>COUNTIFS('唯一词标签'!$V$2:$V$1441,A250,'唯一词标签'!$Z$2:$Z$1441,"match")</x:f>
        <x:v>0</x:v>
      </x:c>
      <x:c r="E250" s="7" t="n">
        <x:f>COUNTIFS('唯一词标签'!$V$2:$V$1441,A250,'唯一词标签'!$Z$2:$Z$1441,"partial_match")</x:f>
        <x:v>1</x:v>
      </x:c>
      <x:c r="F250" s="7" t="n">
        <x:f>COUNTIFS('唯一词标签'!$V$2:$V$1441,A250,'唯一词标签'!$Z$2:$Z$1441,"mismatch")</x:f>
        <x:v>0</x:v>
      </x:c>
      <x:c r="G250" s="7" t="n">
        <x:f>COUNTIFS('唯一词标签'!$V$2:$V$1441,A250,'唯一词标签'!$Z$2:$Z$1441,"unknown")</x:f>
        <x:v>0</x:v>
      </x:c>
      <x:c r="H250" s="7" t="n">
        <x:f>COUNTIFS('唯一词标签'!$V$2:$V$1441,A250,'唯一词标签'!$U$2:$U$1441,"low")</x:f>
        <x:v>0</x:v>
      </x:c>
      <x:c r="I250" s="7" t="n">
        <x:f>COUNTIFS('唯一词标签'!$V$2:$V$1441,A250,'唯一词标签'!$AB$2:$AB$1441,"needs_review")</x:f>
        <x:v>0</x:v>
      </x:c>
    </x:row>
    <x:row r="251" ht="22" customHeight="1">
      <x:c r="A251" s="7" t="str">
        <x:v>comfy_black_womens_flip_flops</x:v>
      </x:c>
      <x:c r="B251" s="7" t="n">
        <x:f>COUNTIF('唯一词标签'!$V$2:$V$1441,A251)</x:f>
        <x:v>1</x:v>
      </x:c>
      <x:c r="C251" s="55" t="n">
        <x:f>B251/COUNTA('唯一词标签'!$C$2:$C$1441)</x:f>
        <x:v>0.0006944444444444445</x:v>
      </x:c>
      <x:c r="D251" s="7" t="n">
        <x:f>COUNTIFS('唯一词标签'!$V$2:$V$1441,A251,'唯一词标签'!$Z$2:$Z$1441,"match")</x:f>
        <x:v>1</x:v>
      </x:c>
      <x:c r="E251" s="7" t="n">
        <x:f>COUNTIFS('唯一词标签'!$V$2:$V$1441,A251,'唯一词标签'!$Z$2:$Z$1441,"partial_match")</x:f>
        <x:v>0</x:v>
      </x:c>
      <x:c r="F251" s="7" t="n">
        <x:f>COUNTIFS('唯一词标签'!$V$2:$V$1441,A251,'唯一词标签'!$Z$2:$Z$1441,"mismatch")</x:f>
        <x:v>0</x:v>
      </x:c>
      <x:c r="G251" s="7" t="n">
        <x:f>COUNTIFS('唯一词标签'!$V$2:$V$1441,A251,'唯一词标签'!$Z$2:$Z$1441,"unknown")</x:f>
        <x:v>0</x:v>
      </x:c>
      <x:c r="H251" s="7" t="n">
        <x:f>COUNTIFS('唯一词标签'!$V$2:$V$1441,A251,'唯一词标签'!$U$2:$U$1441,"low")</x:f>
        <x:v>0</x:v>
      </x:c>
      <x:c r="I251" s="7" t="n">
        <x:f>COUNTIFS('唯一词标签'!$V$2:$V$1441,A251,'唯一词标签'!$AB$2:$AB$1441,"needs_review")</x:f>
        <x:v>0</x:v>
      </x:c>
    </x:row>
    <x:row r="252" ht="22" customHeight="1">
      <x:c r="A252" s="7" t="str">
        <x:v>comfy_flip_flops</x:v>
      </x:c>
      <x:c r="B252" s="7" t="n">
        <x:f>COUNTIF('唯一词标签'!$V$2:$V$1441,A252)</x:f>
        <x:v>1</x:v>
      </x:c>
      <x:c r="C252" s="55" t="n">
        <x:f>B252/COUNTA('唯一词标签'!$C$2:$C$1441)</x:f>
        <x:v>0.0006944444444444445</x:v>
      </x:c>
      <x:c r="D252" s="7" t="n">
        <x:f>COUNTIFS('唯一词标签'!$V$2:$V$1441,A252,'唯一词标签'!$Z$2:$Z$1441,"match")</x:f>
        <x:v>1</x:v>
      </x:c>
      <x:c r="E252" s="7" t="n">
        <x:f>COUNTIFS('唯一词标签'!$V$2:$V$1441,A252,'唯一词标签'!$Z$2:$Z$1441,"partial_match")</x:f>
        <x:v>0</x:v>
      </x:c>
      <x:c r="F252" s="7" t="n">
        <x:f>COUNTIFS('唯一词标签'!$V$2:$V$1441,A252,'唯一词标签'!$Z$2:$Z$1441,"mismatch")</x:f>
        <x:v>0</x:v>
      </x:c>
      <x:c r="G252" s="7" t="n">
        <x:f>COUNTIFS('唯一词标签'!$V$2:$V$1441,A252,'唯一词标签'!$Z$2:$Z$1441,"unknown")</x:f>
        <x:v>0</x:v>
      </x:c>
      <x:c r="H252" s="7" t="n">
        <x:f>COUNTIFS('唯一词标签'!$V$2:$V$1441,A252,'唯一词标签'!$U$2:$U$1441,"low")</x:f>
        <x:v>0</x:v>
      </x:c>
      <x:c r="I252" s="7" t="n">
        <x:f>COUNTIFS('唯一词标签'!$V$2:$V$1441,A252,'唯一词标签'!$AB$2:$AB$1441,"needs_review")</x:f>
        <x:v>0</x:v>
      </x:c>
    </x:row>
    <x:row r="253" ht="22" customHeight="1">
      <x:c r="A253" s="7" t="str">
        <x:v>comfy_flip_flops_arch_support</x:v>
      </x:c>
      <x:c r="B253" s="7" t="n">
        <x:f>COUNTIF('唯一词标签'!$V$2:$V$1441,A253)</x:f>
        <x:v>1</x:v>
      </x:c>
      <x:c r="C253" s="55" t="n">
        <x:f>B253/COUNTA('唯一词标签'!$C$2:$C$1441)</x:f>
        <x:v>0.0006944444444444445</x:v>
      </x:c>
      <x:c r="D253" s="7" t="n">
        <x:f>COUNTIFS('唯一词标签'!$V$2:$V$1441,A253,'唯一词标签'!$Z$2:$Z$1441,"match")</x:f>
        <x:v>1</x:v>
      </x:c>
      <x:c r="E253" s="7" t="n">
        <x:f>COUNTIFS('唯一词标签'!$V$2:$V$1441,A253,'唯一词标签'!$Z$2:$Z$1441,"partial_match")</x:f>
        <x:v>0</x:v>
      </x:c>
      <x:c r="F253" s="7" t="n">
        <x:f>COUNTIFS('唯一词标签'!$V$2:$V$1441,A253,'唯一词标签'!$Z$2:$Z$1441,"mismatch")</x:f>
        <x:v>0</x:v>
      </x:c>
      <x:c r="G253" s="7" t="n">
        <x:f>COUNTIFS('唯一词标签'!$V$2:$V$1441,A253,'唯一词标签'!$Z$2:$Z$1441,"unknown")</x:f>
        <x:v>0</x:v>
      </x:c>
      <x:c r="H253" s="7" t="n">
        <x:f>COUNTIFS('唯一词标签'!$V$2:$V$1441,A253,'唯一词标签'!$U$2:$U$1441,"low")</x:f>
        <x:v>0</x:v>
      </x:c>
      <x:c r="I253" s="7" t="n">
        <x:f>COUNTIFS('唯一词标签'!$V$2:$V$1441,A253,'唯一词标签'!$AB$2:$AB$1441,"needs_review")</x:f>
        <x:v>0</x:v>
      </x:c>
    </x:row>
    <x:row r="254" ht="22" customHeight="1">
      <x:c r="A254" s="7" t="str">
        <x:v>comfy_walking_flip_flops_women</x:v>
      </x:c>
      <x:c r="B254" s="7" t="n">
        <x:f>COUNTIF('唯一词标签'!$V$2:$V$1441,A254)</x:f>
        <x:v>1</x:v>
      </x:c>
      <x:c r="C254" s="55" t="n">
        <x:f>B254/COUNTA('唯一词标签'!$C$2:$C$1441)</x:f>
        <x:v>0.0006944444444444445</x:v>
      </x:c>
      <x:c r="D254" s="7" t="n">
        <x:f>COUNTIFS('唯一词标签'!$V$2:$V$1441,A254,'唯一词标签'!$Z$2:$Z$1441,"match")</x:f>
        <x:v>1</x:v>
      </x:c>
      <x:c r="E254" s="7" t="n">
        <x:f>COUNTIFS('唯一词标签'!$V$2:$V$1441,A254,'唯一词标签'!$Z$2:$Z$1441,"partial_match")</x:f>
        <x:v>0</x:v>
      </x:c>
      <x:c r="F254" s="7" t="n">
        <x:f>COUNTIFS('唯一词标签'!$V$2:$V$1441,A254,'唯一词标签'!$Z$2:$Z$1441,"mismatch")</x:f>
        <x:v>0</x:v>
      </x:c>
      <x:c r="G254" s="7" t="n">
        <x:f>COUNTIFS('唯一词标签'!$V$2:$V$1441,A254,'唯一词标签'!$Z$2:$Z$1441,"unknown")</x:f>
        <x:v>0</x:v>
      </x:c>
      <x:c r="H254" s="7" t="n">
        <x:f>COUNTIFS('唯一词标签'!$V$2:$V$1441,A254,'唯一词标签'!$U$2:$U$1441,"low")</x:f>
        <x:v>0</x:v>
      </x:c>
      <x:c r="I254" s="7" t="n">
        <x:f>COUNTIFS('唯一词标签'!$V$2:$V$1441,A254,'唯一词标签'!$AB$2:$AB$1441,"needs_review")</x:f>
        <x:v>0</x:v>
      </x:c>
    </x:row>
    <x:row r="255" ht="22" customHeight="1">
      <x:c r="A255" s="7" t="str">
        <x:v>comfy_women_flip_flops</x:v>
      </x:c>
      <x:c r="B255" s="7" t="n">
        <x:f>COUNTIF('唯一词标签'!$V$2:$V$1441,A255)</x:f>
        <x:v>1</x:v>
      </x:c>
      <x:c r="C255" s="55" t="n">
        <x:f>B255/COUNTA('唯一词标签'!$C$2:$C$1441)</x:f>
        <x:v>0.0006944444444444445</x:v>
      </x:c>
      <x:c r="D255" s="7" t="n">
        <x:f>COUNTIFS('唯一词标签'!$V$2:$V$1441,A255,'唯一词标签'!$Z$2:$Z$1441,"match")</x:f>
        <x:v>1</x:v>
      </x:c>
      <x:c r="E255" s="7" t="n">
        <x:f>COUNTIFS('唯一词标签'!$V$2:$V$1441,A255,'唯一词标签'!$Z$2:$Z$1441,"partial_match")</x:f>
        <x:v>0</x:v>
      </x:c>
      <x:c r="F255" s="7" t="n">
        <x:f>COUNTIFS('唯一词标签'!$V$2:$V$1441,A255,'唯一词标签'!$Z$2:$Z$1441,"mismatch")</x:f>
        <x:v>0</x:v>
      </x:c>
      <x:c r="G255" s="7" t="n">
        <x:f>COUNTIFS('唯一词标签'!$V$2:$V$1441,A255,'唯一词标签'!$Z$2:$Z$1441,"unknown")</x:f>
        <x:v>0</x:v>
      </x:c>
      <x:c r="H255" s="7" t="n">
        <x:f>COUNTIFS('唯一词标签'!$V$2:$V$1441,A255,'唯一词标签'!$U$2:$U$1441,"low")</x:f>
        <x:v>0</x:v>
      </x:c>
      <x:c r="I255" s="7" t="n">
        <x:f>COUNTIFS('唯一词标签'!$V$2:$V$1441,A255,'唯一词标签'!$AB$2:$AB$1441,"needs_review")</x:f>
        <x:v>0</x:v>
      </x:c>
    </x:row>
    <x:row r="256" ht="22" customHeight="1">
      <x:c r="A256" s="7" t="str">
        <x:v>comfy_womens_flip_flops</x:v>
      </x:c>
      <x:c r="B256" s="7" t="n">
        <x:f>COUNTIF('唯一词标签'!$V$2:$V$1441,A256)</x:f>
        <x:v>2</x:v>
      </x:c>
      <x:c r="C256" s="55" t="n">
        <x:f>B256/COUNTA('唯一词标签'!$C$2:$C$1441)</x:f>
        <x:v>0.001388888888888889</x:v>
      </x:c>
      <x:c r="D256" s="7" t="n">
        <x:f>COUNTIFS('唯一词标签'!$V$2:$V$1441,A256,'唯一词标签'!$Z$2:$Z$1441,"match")</x:f>
        <x:v>2</x:v>
      </x:c>
      <x:c r="E256" s="7" t="n">
        <x:f>COUNTIFS('唯一词标签'!$V$2:$V$1441,A256,'唯一词标签'!$Z$2:$Z$1441,"partial_match")</x:f>
        <x:v>0</x:v>
      </x:c>
      <x:c r="F256" s="7" t="n">
        <x:f>COUNTIFS('唯一词标签'!$V$2:$V$1441,A256,'唯一词标签'!$Z$2:$Z$1441,"mismatch")</x:f>
        <x:v>0</x:v>
      </x:c>
      <x:c r="G256" s="7" t="n">
        <x:f>COUNTIFS('唯一词标签'!$V$2:$V$1441,A256,'唯一词标签'!$Z$2:$Z$1441,"unknown")</x:f>
        <x:v>0</x:v>
      </x:c>
      <x:c r="H256" s="7" t="n">
        <x:f>COUNTIFS('唯一词标签'!$V$2:$V$1441,A256,'唯一词标签'!$U$2:$U$1441,"low")</x:f>
        <x:v>0</x:v>
      </x:c>
      <x:c r="I256" s="7" t="n">
        <x:f>COUNTIFS('唯一词标签'!$V$2:$V$1441,A256,'唯一词标签'!$AB$2:$AB$1441,"needs_review")</x:f>
        <x:v>0</x:v>
      </x:c>
    </x:row>
    <x:row r="257" ht="22" customHeight="1">
      <x:c r="A257" s="7" t="str">
        <x:v>comfy_womens_summer_flip_flops</x:v>
      </x:c>
      <x:c r="B257" s="7" t="n">
        <x:f>COUNTIF('唯一词标签'!$V$2:$V$1441,A257)</x:f>
        <x:v>1</x:v>
      </x:c>
      <x:c r="C257" s="55" t="n">
        <x:f>B257/COUNTA('唯一词标签'!$C$2:$C$1441)</x:f>
        <x:v>0.0006944444444444445</x:v>
      </x:c>
      <x:c r="D257" s="7" t="n">
        <x:f>COUNTIFS('唯一词标签'!$V$2:$V$1441,A257,'唯一词标签'!$Z$2:$Z$1441,"match")</x:f>
        <x:v>1</x:v>
      </x:c>
      <x:c r="E257" s="7" t="n">
        <x:f>COUNTIFS('唯一词标签'!$V$2:$V$1441,A257,'唯一词标签'!$Z$2:$Z$1441,"partial_match")</x:f>
        <x:v>0</x:v>
      </x:c>
      <x:c r="F257" s="7" t="n">
        <x:f>COUNTIFS('唯一词标签'!$V$2:$V$1441,A257,'唯一词标签'!$Z$2:$Z$1441,"mismatch")</x:f>
        <x:v>0</x:v>
      </x:c>
      <x:c r="G257" s="7" t="n">
        <x:f>COUNTIFS('唯一词标签'!$V$2:$V$1441,A257,'唯一词标签'!$Z$2:$Z$1441,"unknown")</x:f>
        <x:v>0</x:v>
      </x:c>
      <x:c r="H257" s="7" t="n">
        <x:f>COUNTIFS('唯一词标签'!$V$2:$V$1441,A257,'唯一词标签'!$U$2:$U$1441,"low")</x:f>
        <x:v>0</x:v>
      </x:c>
      <x:c r="I257" s="7" t="n">
        <x:f>COUNTIFS('唯一词标签'!$V$2:$V$1441,A257,'唯一词标签'!$AB$2:$AB$1441,"needs_review")</x:f>
        <x:v>0</x:v>
      </x:c>
    </x:row>
    <x:row r="258" ht="22" customHeight="1">
      <x:c r="A258" s="7" t="str">
        <x:v>competitor_brand_archies_flip_flops</x:v>
      </x:c>
      <x:c r="B258" s="7" t="n">
        <x:f>COUNTIF('唯一词标签'!$V$2:$V$1441,A258)</x:f>
        <x:v>2</x:v>
      </x:c>
      <x:c r="C258" s="55" t="n">
        <x:f>B258/COUNTA('唯一词标签'!$C$2:$C$1441)</x:f>
        <x:v>0.001388888888888889</x:v>
      </x:c>
      <x:c r="D258" s="7" t="n">
        <x:f>COUNTIFS('唯一词标签'!$V$2:$V$1441,A258,'唯一词标签'!$Z$2:$Z$1441,"match")</x:f>
        <x:v>0</x:v>
      </x:c>
      <x:c r="E258" s="7" t="n">
        <x:f>COUNTIFS('唯一词标签'!$V$2:$V$1441,A258,'唯一词标签'!$Z$2:$Z$1441,"partial_match")</x:f>
        <x:v>2</x:v>
      </x:c>
      <x:c r="F258" s="7" t="n">
        <x:f>COUNTIFS('唯一词标签'!$V$2:$V$1441,A258,'唯一词标签'!$Z$2:$Z$1441,"mismatch")</x:f>
        <x:v>0</x:v>
      </x:c>
      <x:c r="G258" s="7" t="n">
        <x:f>COUNTIFS('唯一词标签'!$V$2:$V$1441,A258,'唯一词标签'!$Z$2:$Z$1441,"unknown")</x:f>
        <x:v>0</x:v>
      </x:c>
      <x:c r="H258" s="7" t="n">
        <x:f>COUNTIFS('唯一词标签'!$V$2:$V$1441,A258,'唯一词标签'!$U$2:$U$1441,"low")</x:f>
        <x:v>0</x:v>
      </x:c>
      <x:c r="I258" s="7" t="n">
        <x:f>COUNTIFS('唯一词标签'!$V$2:$V$1441,A258,'唯一词标签'!$AB$2:$AB$1441,"needs_review")</x:f>
        <x:v>0</x:v>
      </x:c>
    </x:row>
    <x:row r="259" ht="22" customHeight="1">
      <x:c r="A259" s="7" t="str">
        <x:v>competitor_brand_flip_flops</x:v>
      </x:c>
      <x:c r="B259" s="7" t="n">
        <x:f>COUNTIF('唯一词标签'!$V$2:$V$1441,A259)</x:f>
        <x:v>5</x:v>
      </x:c>
      <x:c r="C259" s="55" t="n">
        <x:f>B259/COUNTA('唯一词标签'!$C$2:$C$1441)</x:f>
        <x:v>0.003472222222222222</x:v>
      </x:c>
      <x:c r="D259" s="7" t="n">
        <x:f>COUNTIFS('唯一词标签'!$V$2:$V$1441,A259,'唯一词标签'!$Z$2:$Z$1441,"match")</x:f>
        <x:v>0</x:v>
      </x:c>
      <x:c r="E259" s="7" t="n">
        <x:f>COUNTIFS('唯一词标签'!$V$2:$V$1441,A259,'唯一词标签'!$Z$2:$Z$1441,"partial_match")</x:f>
        <x:v>0</x:v>
      </x:c>
      <x:c r="F259" s="7" t="n">
        <x:f>COUNTIFS('唯一词标签'!$V$2:$V$1441,A259,'唯一词标签'!$Z$2:$Z$1441,"mismatch")</x:f>
        <x:v>5</x:v>
      </x:c>
      <x:c r="G259" s="7" t="n">
        <x:f>COUNTIFS('唯一词标签'!$V$2:$V$1441,A259,'唯一词标签'!$Z$2:$Z$1441,"unknown")</x:f>
        <x:v>0</x:v>
      </x:c>
      <x:c r="H259" s="7" t="n">
        <x:f>COUNTIFS('唯一词标签'!$V$2:$V$1441,A259,'唯一词标签'!$U$2:$U$1441,"low")</x:f>
        <x:v>1</x:v>
      </x:c>
      <x:c r="I259" s="7" t="n">
        <x:f>COUNTIFS('唯一词标签'!$V$2:$V$1441,A259,'唯一词标签'!$AB$2:$AB$1441,"needs_review")</x:f>
        <x:v>0</x:v>
      </x:c>
    </x:row>
    <x:row r="260" ht="22" customHeight="1">
      <x:c r="A260" s="7" t="str">
        <x:v>competitor_brand_misspelling</x:v>
      </x:c>
      <x:c r="B260" s="7" t="n">
        <x:f>COUNTIF('唯一词标签'!$V$2:$V$1441,A260)</x:f>
        <x:v>1</x:v>
      </x:c>
      <x:c r="C260" s="55" t="n">
        <x:f>B260/COUNTA('唯一词标签'!$C$2:$C$1441)</x:f>
        <x:v>0.0006944444444444445</x:v>
      </x:c>
      <x:c r="D260" s="7" t="n">
        <x:f>COUNTIFS('唯一词标签'!$V$2:$V$1441,A260,'唯一词标签'!$Z$2:$Z$1441,"match")</x:f>
        <x:v>0</x:v>
      </x:c>
      <x:c r="E260" s="7" t="n">
        <x:f>COUNTIFS('唯一词标签'!$V$2:$V$1441,A260,'唯一词标签'!$Z$2:$Z$1441,"partial_match")</x:f>
        <x:v>0</x:v>
      </x:c>
      <x:c r="F260" s="7" t="n">
        <x:f>COUNTIFS('唯一词标签'!$V$2:$V$1441,A260,'唯一词标签'!$Z$2:$Z$1441,"mismatch")</x:f>
        <x:v>1</x:v>
      </x:c>
      <x:c r="G260" s="7" t="n">
        <x:f>COUNTIFS('唯一词标签'!$V$2:$V$1441,A260,'唯一词标签'!$Z$2:$Z$1441,"unknown")</x:f>
        <x:v>0</x:v>
      </x:c>
      <x:c r="H260" s="7" t="n">
        <x:f>COUNTIFS('唯一词标签'!$V$2:$V$1441,A260,'唯一词标签'!$U$2:$U$1441,"low")</x:f>
        <x:v>0</x:v>
      </x:c>
      <x:c r="I260" s="7" t="n">
        <x:f>COUNTIFS('唯一词标签'!$V$2:$V$1441,A260,'唯一词标签'!$AB$2:$AB$1441,"needs_review")</x:f>
        <x:v>0</x:v>
      </x:c>
    </x:row>
    <x:row r="261" ht="22" customHeight="1">
      <x:c r="A261" s="7" t="str">
        <x:v>competitor_brand_search</x:v>
      </x:c>
      <x:c r="B261" s="7" t="n">
        <x:f>COUNTIF('唯一词标签'!$V$2:$V$1441,A261)</x:f>
        <x:v>1</x:v>
      </x:c>
      <x:c r="C261" s="55" t="n">
        <x:f>B261/COUNTA('唯一词标签'!$C$2:$C$1441)</x:f>
        <x:v>0.0006944444444444445</x:v>
      </x:c>
      <x:c r="D261" s="7" t="n">
        <x:f>COUNTIFS('唯一词标签'!$V$2:$V$1441,A261,'唯一词标签'!$Z$2:$Z$1441,"match")</x:f>
        <x:v>0</x:v>
      </x:c>
      <x:c r="E261" s="7" t="n">
        <x:f>COUNTIFS('唯一词标签'!$V$2:$V$1441,A261,'唯一词标签'!$Z$2:$Z$1441,"partial_match")</x:f>
        <x:v>0</x:v>
      </x:c>
      <x:c r="F261" s="7" t="n">
        <x:f>COUNTIFS('唯一词标签'!$V$2:$V$1441,A261,'唯一词标签'!$Z$2:$Z$1441,"mismatch")</x:f>
        <x:v>1</x:v>
      </x:c>
      <x:c r="G261" s="7" t="n">
        <x:f>COUNTIFS('唯一词标签'!$V$2:$V$1441,A261,'唯一词标签'!$Z$2:$Z$1441,"unknown")</x:f>
        <x:v>0</x:v>
      </x:c>
      <x:c r="H261" s="7" t="n">
        <x:f>COUNTIFS('唯一词标签'!$V$2:$V$1441,A261,'唯一词标签'!$U$2:$U$1441,"low")</x:f>
        <x:v>1</x:v>
      </x:c>
      <x:c r="I261" s="7" t="n">
        <x:f>COUNTIFS('唯一词标签'!$V$2:$V$1441,A261,'唯一词标签'!$AB$2:$AB$1441,"needs_review")</x:f>
        <x:v>0</x:v>
      </x:c>
    </x:row>
    <x:row r="262" ht="22" customHeight="1">
      <x:c r="A262" s="7" t="str">
        <x:v>competitor_brand_shevalues_flip_flops</x:v>
      </x:c>
      <x:c r="B262" s="7" t="n">
        <x:f>COUNTIF('唯一词标签'!$V$2:$V$1441,A262)</x:f>
        <x:v>1</x:v>
      </x:c>
      <x:c r="C262" s="55" t="n">
        <x:f>B262/COUNTA('唯一词标签'!$C$2:$C$1441)</x:f>
        <x:v>0.0006944444444444445</x:v>
      </x:c>
      <x:c r="D262" s="7" t="n">
        <x:f>COUNTIFS('唯一词标签'!$V$2:$V$1441,A262,'唯一词标签'!$Z$2:$Z$1441,"match")</x:f>
        <x:v>0</x:v>
      </x:c>
      <x:c r="E262" s="7" t="n">
        <x:f>COUNTIFS('唯一词标签'!$V$2:$V$1441,A262,'唯一词标签'!$Z$2:$Z$1441,"partial_match")</x:f>
        <x:v>1</x:v>
      </x:c>
      <x:c r="F262" s="7" t="n">
        <x:f>COUNTIFS('唯一词标签'!$V$2:$V$1441,A262,'唯一词标签'!$Z$2:$Z$1441,"mismatch")</x:f>
        <x:v>0</x:v>
      </x:c>
      <x:c r="G262" s="7" t="n">
        <x:f>COUNTIFS('唯一词标签'!$V$2:$V$1441,A262,'唯一词标签'!$Z$2:$Z$1441,"unknown")</x:f>
        <x:v>0</x:v>
      </x:c>
      <x:c r="H262" s="7" t="n">
        <x:f>COUNTIFS('唯一词标签'!$V$2:$V$1441,A262,'唯一词标签'!$U$2:$U$1441,"low")</x:f>
        <x:v>0</x:v>
      </x:c>
      <x:c r="I262" s="7" t="n">
        <x:f>COUNTIFS('唯一词标签'!$V$2:$V$1441,A262,'唯一词标签'!$AB$2:$AB$1441,"needs_review")</x:f>
        <x:v>0</x:v>
      </x:c>
    </x:row>
    <x:row r="263" ht="22" customHeight="1">
      <x:c r="A263" s="7" t="str">
        <x:v>competitor_brand_womens_flip_flops</x:v>
      </x:c>
      <x:c r="B263" s="7" t="n">
        <x:f>COUNTIF('唯一词标签'!$V$2:$V$1441,A263)</x:f>
        <x:v>1</x:v>
      </x:c>
      <x:c r="C263" s="55" t="n">
        <x:f>B263/COUNTA('唯一词标签'!$C$2:$C$1441)</x:f>
        <x:v>0.0006944444444444445</x:v>
      </x:c>
      <x:c r="D263" s="7" t="n">
        <x:f>COUNTIFS('唯一词标签'!$V$2:$V$1441,A263,'唯一词标签'!$Z$2:$Z$1441,"match")</x:f>
        <x:v>0</x:v>
      </x:c>
      <x:c r="E263" s="7" t="n">
        <x:f>COUNTIFS('唯一词标签'!$V$2:$V$1441,A263,'唯一词标签'!$Z$2:$Z$1441,"partial_match")</x:f>
        <x:v>0</x:v>
      </x:c>
      <x:c r="F263" s="7" t="n">
        <x:f>COUNTIFS('唯一词标签'!$V$2:$V$1441,A263,'唯一词标签'!$Z$2:$Z$1441,"mismatch")</x:f>
        <x:v>1</x:v>
      </x:c>
      <x:c r="G263" s="7" t="n">
        <x:f>COUNTIFS('唯一词标签'!$V$2:$V$1441,A263,'唯一词标签'!$Z$2:$Z$1441,"unknown")</x:f>
        <x:v>0</x:v>
      </x:c>
      <x:c r="H263" s="7" t="n">
        <x:f>COUNTIFS('唯一词标签'!$V$2:$V$1441,A263,'唯一词标签'!$U$2:$U$1441,"low")</x:f>
        <x:v>0</x:v>
      </x:c>
      <x:c r="I263" s="7" t="n">
        <x:f>COUNTIFS('唯一词标签'!$V$2:$V$1441,A263,'唯一词标签'!$AB$2:$AB$1441,"needs_review")</x:f>
        <x:v>0</x:v>
      </x:c>
    </x:row>
    <x:row r="264" ht="22" customHeight="1">
      <x:c r="A264" s="7" t="str">
        <x:v>competitor_material_flip_flops</x:v>
      </x:c>
      <x:c r="B264" s="7" t="n">
        <x:f>COUNTIF('唯一词标签'!$V$2:$V$1441,A264)</x:f>
        <x:v>1</x:v>
      </x:c>
      <x:c r="C264" s="55" t="n">
        <x:f>B264/COUNTA('唯一词标签'!$C$2:$C$1441)</x:f>
        <x:v>0.0006944444444444445</x:v>
      </x:c>
      <x:c r="D264" s="7" t="n">
        <x:f>COUNTIFS('唯一词标签'!$V$2:$V$1441,A264,'唯一词标签'!$Z$2:$Z$1441,"match")</x:f>
        <x:v>0</x:v>
      </x:c>
      <x:c r="E264" s="7" t="n">
        <x:f>COUNTIFS('唯一词标签'!$V$2:$V$1441,A264,'唯一词标签'!$Z$2:$Z$1441,"partial_match")</x:f>
        <x:v>0</x:v>
      </x:c>
      <x:c r="F264" s="7" t="n">
        <x:f>COUNTIFS('唯一词标签'!$V$2:$V$1441,A264,'唯一词标签'!$Z$2:$Z$1441,"mismatch")</x:f>
        <x:v>1</x:v>
      </x:c>
      <x:c r="G264" s="7" t="n">
        <x:f>COUNTIFS('唯一词标签'!$V$2:$V$1441,A264,'唯一词标签'!$Z$2:$Z$1441,"unknown")</x:f>
        <x:v>0</x:v>
      </x:c>
      <x:c r="H264" s="7" t="n">
        <x:f>COUNTIFS('唯一词标签'!$V$2:$V$1441,A264,'唯一词标签'!$U$2:$U$1441,"low")</x:f>
        <x:v>0</x:v>
      </x:c>
      <x:c r="I264" s="7" t="n">
        <x:f>COUNTIFS('唯一词标签'!$V$2:$V$1441,A264,'唯一词标签'!$AB$2:$AB$1441,"needs_review")</x:f>
        <x:v>0</x:v>
      </x:c>
    </x:row>
    <x:row r="265" ht="22" customHeight="1">
      <x:c r="A265" s="7" t="str">
        <x:v>costa_womens_flip_flops</x:v>
      </x:c>
      <x:c r="B265" s="7" t="n">
        <x:f>COUNTIF('唯一词标签'!$V$2:$V$1441,A265)</x:f>
        <x:v>1</x:v>
      </x:c>
      <x:c r="C265" s="55" t="n">
        <x:f>B265/COUNTA('唯一词标签'!$C$2:$C$1441)</x:f>
        <x:v>0.0006944444444444445</x:v>
      </x:c>
      <x:c r="D265" s="7" t="n">
        <x:f>COUNTIFS('唯一词标签'!$V$2:$V$1441,A265,'唯一词标签'!$Z$2:$Z$1441,"match")</x:f>
        <x:v>0</x:v>
      </x:c>
      <x:c r="E265" s="7" t="n">
        <x:f>COUNTIFS('唯一词标签'!$V$2:$V$1441,A265,'唯一词标签'!$Z$2:$Z$1441,"partial_match")</x:f>
        <x:v>1</x:v>
      </x:c>
      <x:c r="F265" s="7" t="n">
        <x:f>COUNTIFS('唯一词标签'!$V$2:$V$1441,A265,'唯一词标签'!$Z$2:$Z$1441,"mismatch")</x:f>
        <x:v>0</x:v>
      </x:c>
      <x:c r="G265" s="7" t="n">
        <x:f>COUNTIFS('唯一词标签'!$V$2:$V$1441,A265,'唯一词标签'!$Z$2:$Z$1441,"unknown")</x:f>
        <x:v>0</x:v>
      </x:c>
      <x:c r="H265" s="7" t="n">
        <x:f>COUNTIFS('唯一词标签'!$V$2:$V$1441,A265,'唯一词标签'!$U$2:$U$1441,"low")</x:f>
        <x:v>0</x:v>
      </x:c>
      <x:c r="I265" s="7" t="n">
        <x:f>COUNTIFS('唯一词标签'!$V$2:$V$1441,A265,'唯一词标签'!$AB$2:$AB$1441,"needs_review")</x:f>
        <x:v>0</x:v>
      </x:c>
    </x:row>
    <x:row r="266" ht="22" customHeight="1">
      <x:c r="A266" s="7" t="str">
        <x:v>cream_flip_flops</x:v>
      </x:c>
      <x:c r="B266" s="7" t="n">
        <x:f>COUNTIF('唯一词标签'!$V$2:$V$1441,A266)</x:f>
        <x:v>1</x:v>
      </x:c>
      <x:c r="C266" s="55" t="n">
        <x:f>B266/COUNTA('唯一词标签'!$C$2:$C$1441)</x:f>
        <x:v>0.0006944444444444445</x:v>
      </x:c>
      <x:c r="D266" s="7" t="n">
        <x:f>COUNTIFS('唯一词标签'!$V$2:$V$1441,A266,'唯一词标签'!$Z$2:$Z$1441,"match")</x:f>
        <x:v>0</x:v>
      </x:c>
      <x:c r="E266" s="7" t="n">
        <x:f>COUNTIFS('唯一词标签'!$V$2:$V$1441,A266,'唯一词标签'!$Z$2:$Z$1441,"partial_match")</x:f>
        <x:v>1</x:v>
      </x:c>
      <x:c r="F266" s="7" t="n">
        <x:f>COUNTIFS('唯一词标签'!$V$2:$V$1441,A266,'唯一词标签'!$Z$2:$Z$1441,"mismatch")</x:f>
        <x:v>0</x:v>
      </x:c>
      <x:c r="G266" s="7" t="n">
        <x:f>COUNTIFS('唯一词标签'!$V$2:$V$1441,A266,'唯一词标签'!$Z$2:$Z$1441,"unknown")</x:f>
        <x:v>0</x:v>
      </x:c>
      <x:c r="H266" s="7" t="n">
        <x:f>COUNTIFS('唯一词标签'!$V$2:$V$1441,A266,'唯一词标签'!$U$2:$U$1441,"low")</x:f>
        <x:v>0</x:v>
      </x:c>
      <x:c r="I266" s="7" t="n">
        <x:f>COUNTIFS('唯一词标签'!$V$2:$V$1441,A266,'唯一词标签'!$AB$2:$AB$1441,"needs_review")</x:f>
        <x:v>0</x:v>
      </x:c>
    </x:row>
    <x:row r="267" ht="22" customHeight="1">
      <x:c r="A267" s="7" t="str">
        <x:v>croc_brand_womens_flip_flops</x:v>
      </x:c>
      <x:c r="B267" s="7" t="n">
        <x:f>COUNTIF('唯一词标签'!$V$2:$V$1441,A267)</x:f>
        <x:v>1</x:v>
      </x:c>
      <x:c r="C267" s="55" t="n">
        <x:f>B267/COUNTA('唯一词标签'!$C$2:$C$1441)</x:f>
        <x:v>0.0006944444444444445</x:v>
      </x:c>
      <x:c r="D267" s="7" t="n">
        <x:f>COUNTIFS('唯一词标签'!$V$2:$V$1441,A267,'唯一词标签'!$Z$2:$Z$1441,"match")</x:f>
        <x:v>0</x:v>
      </x:c>
      <x:c r="E267" s="7" t="n">
        <x:f>COUNTIFS('唯一词标签'!$V$2:$V$1441,A267,'唯一词标签'!$Z$2:$Z$1441,"partial_match")</x:f>
        <x:v>0</x:v>
      </x:c>
      <x:c r="F267" s="7" t="n">
        <x:f>COUNTIFS('唯一词标签'!$V$2:$V$1441,A267,'唯一词标签'!$Z$2:$Z$1441,"mismatch")</x:f>
        <x:v>1</x:v>
      </x:c>
      <x:c r="G267" s="7" t="n">
        <x:f>COUNTIFS('唯一词标签'!$V$2:$V$1441,A267,'唯一词标签'!$Z$2:$Z$1441,"unknown")</x:f>
        <x:v>0</x:v>
      </x:c>
      <x:c r="H267" s="7" t="n">
        <x:f>COUNTIFS('唯一词标签'!$V$2:$V$1441,A267,'唯一词标签'!$U$2:$U$1441,"low")</x:f>
        <x:v>0</x:v>
      </x:c>
      <x:c r="I267" s="7" t="n">
        <x:f>COUNTIFS('唯一词标签'!$V$2:$V$1441,A267,'唯一词标签'!$AB$2:$AB$1441,"needs_review")</x:f>
        <x:v>0</x:v>
      </x:c>
    </x:row>
    <x:row r="268" ht="22" customHeight="1">
      <x:c r="A268" s="7" t="str">
        <x:v>crocs_brand_flip_flops</x:v>
      </x:c>
      <x:c r="B268" s="7" t="n">
        <x:f>COUNTIF('唯一词标签'!$V$2:$V$1441,A268)</x:f>
        <x:v>1</x:v>
      </x:c>
      <x:c r="C268" s="55" t="n">
        <x:f>B268/COUNTA('唯一词标签'!$C$2:$C$1441)</x:f>
        <x:v>0.0006944444444444445</x:v>
      </x:c>
      <x:c r="D268" s="7" t="n">
        <x:f>COUNTIFS('唯一词标签'!$V$2:$V$1441,A268,'唯一词标签'!$Z$2:$Z$1441,"match")</x:f>
        <x:v>0</x:v>
      </x:c>
      <x:c r="E268" s="7" t="n">
        <x:f>COUNTIFS('唯一词标签'!$V$2:$V$1441,A268,'唯一词标签'!$Z$2:$Z$1441,"partial_match")</x:f>
        <x:v>0</x:v>
      </x:c>
      <x:c r="F268" s="7" t="n">
        <x:f>COUNTIFS('唯一词标签'!$V$2:$V$1441,A268,'唯一词标签'!$Z$2:$Z$1441,"mismatch")</x:f>
        <x:v>1</x:v>
      </x:c>
      <x:c r="G268" s="7" t="n">
        <x:f>COUNTIFS('唯一词标签'!$V$2:$V$1441,A268,'唯一词标签'!$Z$2:$Z$1441,"unknown")</x:f>
        <x:v>0</x:v>
      </x:c>
      <x:c r="H268" s="7" t="n">
        <x:f>COUNTIFS('唯一词标签'!$V$2:$V$1441,A268,'唯一词标签'!$U$2:$U$1441,"low")</x:f>
        <x:v>0</x:v>
      </x:c>
      <x:c r="I268" s="7" t="n">
        <x:f>COUNTIFS('唯一词标签'!$V$2:$V$1441,A268,'唯一词标签'!$AB$2:$AB$1441,"needs_review")</x:f>
        <x:v>0</x:v>
      </x:c>
    </x:row>
    <x:row r="269" ht="22" customHeight="1">
      <x:c r="A269" s="7" t="str">
        <x:v>cross_flip_flops_women</x:v>
      </x:c>
      <x:c r="B269" s="7" t="n">
        <x:f>COUNTIF('唯一词标签'!$V$2:$V$1441,A269)</x:f>
        <x:v>1</x:v>
      </x:c>
      <x:c r="C269" s="55" t="n">
        <x:f>B269/COUNTA('唯一词标签'!$C$2:$C$1441)</x:f>
        <x:v>0.0006944444444444445</x:v>
      </x:c>
      <x:c r="D269" s="7" t="n">
        <x:f>COUNTIFS('唯一词标签'!$V$2:$V$1441,A269,'唯一词标签'!$Z$2:$Z$1441,"match")</x:f>
        <x:v>0</x:v>
      </x:c>
      <x:c r="E269" s="7" t="n">
        <x:f>COUNTIFS('唯一词标签'!$V$2:$V$1441,A269,'唯一词标签'!$Z$2:$Z$1441,"partial_match")</x:f>
        <x:v>1</x:v>
      </x:c>
      <x:c r="F269" s="7" t="n">
        <x:f>COUNTIFS('唯一词标签'!$V$2:$V$1441,A269,'唯一词标签'!$Z$2:$Z$1441,"mismatch")</x:f>
        <x:v>0</x:v>
      </x:c>
      <x:c r="G269" s="7" t="n">
        <x:f>COUNTIFS('唯一词标签'!$V$2:$V$1441,A269,'唯一词标签'!$Z$2:$Z$1441,"unknown")</x:f>
        <x:v>0</x:v>
      </x:c>
      <x:c r="H269" s="7" t="n">
        <x:f>COUNTIFS('唯一词标签'!$V$2:$V$1441,A269,'唯一词标签'!$U$2:$U$1441,"low")</x:f>
        <x:v>0</x:v>
      </x:c>
      <x:c r="I269" s="7" t="n">
        <x:f>COUNTIFS('唯一词标签'!$V$2:$V$1441,A269,'唯一词标签'!$AB$2:$AB$1441,"needs_review")</x:f>
        <x:v>0</x:v>
      </x:c>
    </x:row>
    <x:row r="270" ht="22" customHeight="1">
      <x:c r="A270" s="7" t="str">
        <x:v>cushion_flip_flop</x:v>
      </x:c>
      <x:c r="B270" s="7" t="n">
        <x:f>COUNTIF('唯一词标签'!$V$2:$V$1441,A270)</x:f>
        <x:v>1</x:v>
      </x:c>
      <x:c r="C270" s="55" t="n">
        <x:f>B270/COUNTA('唯一词标签'!$C$2:$C$1441)</x:f>
        <x:v>0.0006944444444444445</x:v>
      </x:c>
      <x:c r="D270" s="7" t="n">
        <x:f>COUNTIFS('唯一词标签'!$V$2:$V$1441,A270,'唯一词标签'!$Z$2:$Z$1441,"match")</x:f>
        <x:v>1</x:v>
      </x:c>
      <x:c r="E270" s="7" t="n">
        <x:f>COUNTIFS('唯一词标签'!$V$2:$V$1441,A270,'唯一词标签'!$Z$2:$Z$1441,"partial_match")</x:f>
        <x:v>0</x:v>
      </x:c>
      <x:c r="F270" s="7" t="n">
        <x:f>COUNTIFS('唯一词标签'!$V$2:$V$1441,A270,'唯一词标签'!$Z$2:$Z$1441,"mismatch")</x:f>
        <x:v>0</x:v>
      </x:c>
      <x:c r="G270" s="7" t="n">
        <x:f>COUNTIFS('唯一词标签'!$V$2:$V$1441,A270,'唯一词标签'!$Z$2:$Z$1441,"unknown")</x:f>
        <x:v>0</x:v>
      </x:c>
      <x:c r="H270" s="7" t="n">
        <x:f>COUNTIFS('唯一词标签'!$V$2:$V$1441,A270,'唯一词标签'!$U$2:$U$1441,"low")</x:f>
        <x:v>0</x:v>
      </x:c>
      <x:c r="I270" s="7" t="n">
        <x:f>COUNTIFS('唯一词标签'!$V$2:$V$1441,A270,'唯一词标签'!$AB$2:$AB$1441,"needs_review")</x:f>
        <x:v>0</x:v>
      </x:c>
    </x:row>
    <x:row r="271" ht="22" customHeight="1">
      <x:c r="A271" s="7" t="str">
        <x:v>cushionaire_flip_flops</x:v>
      </x:c>
      <x:c r="B271" s="7" t="n">
        <x:f>COUNTIF('唯一词标签'!$V$2:$V$1441,A271)</x:f>
        <x:v>1</x:v>
      </x:c>
      <x:c r="C271" s="55" t="n">
        <x:f>B271/COUNTA('唯一词标签'!$C$2:$C$1441)</x:f>
        <x:v>0.0006944444444444445</x:v>
      </x:c>
      <x:c r="D271" s="7" t="n">
        <x:f>COUNTIFS('唯一词标签'!$V$2:$V$1441,A271,'唯一词标签'!$Z$2:$Z$1441,"match")</x:f>
        <x:v>0</x:v>
      </x:c>
      <x:c r="E271" s="7" t="n">
        <x:f>COUNTIFS('唯一词标签'!$V$2:$V$1441,A271,'唯一词标签'!$Z$2:$Z$1441,"partial_match")</x:f>
        <x:v>0</x:v>
      </x:c>
      <x:c r="F271" s="7" t="n">
        <x:f>COUNTIFS('唯一词标签'!$V$2:$V$1441,A271,'唯一词标签'!$Z$2:$Z$1441,"mismatch")</x:f>
        <x:v>1</x:v>
      </x:c>
      <x:c r="G271" s="7" t="n">
        <x:f>COUNTIFS('唯一词标签'!$V$2:$V$1441,A271,'唯一词标签'!$Z$2:$Z$1441,"unknown")</x:f>
        <x:v>0</x:v>
      </x:c>
      <x:c r="H271" s="7" t="n">
        <x:f>COUNTIFS('唯一词标签'!$V$2:$V$1441,A271,'唯一词标签'!$U$2:$U$1441,"low")</x:f>
        <x:v>0</x:v>
      </x:c>
      <x:c r="I271" s="7" t="n">
        <x:f>COUNTIFS('唯一词标签'!$V$2:$V$1441,A271,'唯一词标签'!$AB$2:$AB$1441,"needs_review")</x:f>
        <x:v>0</x:v>
      </x:c>
    </x:row>
    <x:row r="272" ht="22" customHeight="1">
      <x:c r="A272" s="7" t="str">
        <x:v>cushionaire_womens_flip_flops</x:v>
      </x:c>
      <x:c r="B272" s="7" t="n">
        <x:f>COUNTIF('唯一词标签'!$V$2:$V$1441,A272)</x:f>
        <x:v>1</x:v>
      </x:c>
      <x:c r="C272" s="55" t="n">
        <x:f>B272/COUNTA('唯一词标签'!$C$2:$C$1441)</x:f>
        <x:v>0.0006944444444444445</x:v>
      </x:c>
      <x:c r="D272" s="7" t="n">
        <x:f>COUNTIFS('唯一词标签'!$V$2:$V$1441,A272,'唯一词标签'!$Z$2:$Z$1441,"match")</x:f>
        <x:v>0</x:v>
      </x:c>
      <x:c r="E272" s="7" t="n">
        <x:f>COUNTIFS('唯一词标签'!$V$2:$V$1441,A272,'唯一词标签'!$Z$2:$Z$1441,"partial_match")</x:f>
        <x:v>0</x:v>
      </x:c>
      <x:c r="F272" s="7" t="n">
        <x:f>COUNTIFS('唯一词标签'!$V$2:$V$1441,A272,'唯一词标签'!$Z$2:$Z$1441,"mismatch")</x:f>
        <x:v>1</x:v>
      </x:c>
      <x:c r="G272" s="7" t="n">
        <x:f>COUNTIFS('唯一词标签'!$V$2:$V$1441,A272,'唯一词标签'!$Z$2:$Z$1441,"unknown")</x:f>
        <x:v>0</x:v>
      </x:c>
      <x:c r="H272" s="7" t="n">
        <x:f>COUNTIFS('唯一词标签'!$V$2:$V$1441,A272,'唯一词标签'!$U$2:$U$1441,"low")</x:f>
        <x:v>0</x:v>
      </x:c>
      <x:c r="I272" s="7" t="n">
        <x:f>COUNTIFS('唯一词标签'!$V$2:$V$1441,A272,'唯一词标签'!$AB$2:$AB$1441,"needs_review")</x:f>
        <x:v>0</x:v>
      </x:c>
    </x:row>
    <x:row r="273" ht="22" customHeight="1">
      <x:c r="A273" s="7" t="str">
        <x:v>cushioned_flip_flops</x:v>
      </x:c>
      <x:c r="B273" s="7" t="n">
        <x:f>COUNTIF('唯一词标签'!$V$2:$V$1441,A273)</x:f>
        <x:v>1</x:v>
      </x:c>
      <x:c r="C273" s="55" t="n">
        <x:f>B273/COUNTA('唯一词标签'!$C$2:$C$1441)</x:f>
        <x:v>0.0006944444444444445</x:v>
      </x:c>
      <x:c r="D273" s="7" t="n">
        <x:f>COUNTIFS('唯一词标签'!$V$2:$V$1441,A273,'唯一词标签'!$Z$2:$Z$1441,"match")</x:f>
        <x:v>1</x:v>
      </x:c>
      <x:c r="E273" s="7" t="n">
        <x:f>COUNTIFS('唯一词标签'!$V$2:$V$1441,A273,'唯一词标签'!$Z$2:$Z$1441,"partial_match")</x:f>
        <x:v>0</x:v>
      </x:c>
      <x:c r="F273" s="7" t="n">
        <x:f>COUNTIFS('唯一词标签'!$V$2:$V$1441,A273,'唯一词标签'!$Z$2:$Z$1441,"mismatch")</x:f>
        <x:v>0</x:v>
      </x:c>
      <x:c r="G273" s="7" t="n">
        <x:f>COUNTIFS('唯一词标签'!$V$2:$V$1441,A273,'唯一词标签'!$Z$2:$Z$1441,"unknown")</x:f>
        <x:v>0</x:v>
      </x:c>
      <x:c r="H273" s="7" t="n">
        <x:f>COUNTIFS('唯一词标签'!$V$2:$V$1441,A273,'唯一词标签'!$U$2:$U$1441,"low")</x:f>
        <x:v>0</x:v>
      </x:c>
      <x:c r="I273" s="7" t="n">
        <x:f>COUNTIFS('唯一词标签'!$V$2:$V$1441,A273,'唯一词标签'!$AB$2:$AB$1441,"needs_review")</x:f>
        <x:v>0</x:v>
      </x:c>
    </x:row>
    <x:row r="274" ht="22" customHeight="1">
      <x:c r="A274" s="7" t="str">
        <x:v>cushioned_flip_flops_hot_pink</x:v>
      </x:c>
      <x:c r="B274" s="7" t="n">
        <x:f>COUNTIF('唯一词标签'!$V$2:$V$1441,A274)</x:f>
        <x:v>1</x:v>
      </x:c>
      <x:c r="C274" s="55" t="n">
        <x:f>B274/COUNTA('唯一词标签'!$C$2:$C$1441)</x:f>
        <x:v>0.0006944444444444445</x:v>
      </x:c>
      <x:c r="D274" s="7" t="n">
        <x:f>COUNTIFS('唯一词标签'!$V$2:$V$1441,A274,'唯一词标签'!$Z$2:$Z$1441,"match")</x:f>
        <x:v>1</x:v>
      </x:c>
      <x:c r="E274" s="7" t="n">
        <x:f>COUNTIFS('唯一词标签'!$V$2:$V$1441,A274,'唯一词标签'!$Z$2:$Z$1441,"partial_match")</x:f>
        <x:v>0</x:v>
      </x:c>
      <x:c r="F274" s="7" t="n">
        <x:f>COUNTIFS('唯一词标签'!$V$2:$V$1441,A274,'唯一词标签'!$Z$2:$Z$1441,"mismatch")</x:f>
        <x:v>0</x:v>
      </x:c>
      <x:c r="G274" s="7" t="n">
        <x:f>COUNTIFS('唯一词标签'!$V$2:$V$1441,A274,'唯一词标签'!$Z$2:$Z$1441,"unknown")</x:f>
        <x:v>0</x:v>
      </x:c>
      <x:c r="H274" s="7" t="n">
        <x:f>COUNTIFS('唯一词标签'!$V$2:$V$1441,A274,'唯一词标签'!$U$2:$U$1441,"low")</x:f>
        <x:v>0</x:v>
      </x:c>
      <x:c r="I274" s="7" t="n">
        <x:f>COUNTIFS('唯一词标签'!$V$2:$V$1441,A274,'唯一词标签'!$AB$2:$AB$1441,"needs_review")</x:f>
        <x:v>0</x:v>
      </x:c>
    </x:row>
    <x:row r="275" ht="22" customHeight="1">
      <x:c r="A275" s="7" t="str">
        <x:v>cushioned_flip_flops_women</x:v>
      </x:c>
      <x:c r="B275" s="7" t="n">
        <x:f>COUNTIF('唯一词标签'!$V$2:$V$1441,A275)</x:f>
        <x:v>1</x:v>
      </x:c>
      <x:c r="C275" s="55" t="n">
        <x:f>B275/COUNTA('唯一词标签'!$C$2:$C$1441)</x:f>
        <x:v>0.0006944444444444445</x:v>
      </x:c>
      <x:c r="D275" s="7" t="n">
        <x:f>COUNTIFS('唯一词标签'!$V$2:$V$1441,A275,'唯一词标签'!$Z$2:$Z$1441,"match")</x:f>
        <x:v>1</x:v>
      </x:c>
      <x:c r="E275" s="7" t="n">
        <x:f>COUNTIFS('唯一词标签'!$V$2:$V$1441,A275,'唯一词标签'!$Z$2:$Z$1441,"partial_match")</x:f>
        <x:v>0</x:v>
      </x:c>
      <x:c r="F275" s="7" t="n">
        <x:f>COUNTIFS('唯一词标签'!$V$2:$V$1441,A275,'唯一词标签'!$Z$2:$Z$1441,"mismatch")</x:f>
        <x:v>0</x:v>
      </x:c>
      <x:c r="G275" s="7" t="n">
        <x:f>COUNTIFS('唯一词标签'!$V$2:$V$1441,A275,'唯一词标签'!$Z$2:$Z$1441,"unknown")</x:f>
        <x:v>0</x:v>
      </x:c>
      <x:c r="H275" s="7" t="n">
        <x:f>COUNTIFS('唯一词标签'!$V$2:$V$1441,A275,'唯一词标签'!$U$2:$U$1441,"low")</x:f>
        <x:v>0</x:v>
      </x:c>
      <x:c r="I275" s="7" t="n">
        <x:f>COUNTIFS('唯一词标签'!$V$2:$V$1441,A275,'唯一词标签'!$AB$2:$AB$1441,"needs_review")</x:f>
        <x:v>0</x:v>
      </x:c>
    </x:row>
    <x:row r="276" ht="22" customHeight="1">
      <x:c r="A276" s="7" t="str">
        <x:v>cushioned_pool_flip_flops_women</x:v>
      </x:c>
      <x:c r="B276" s="7" t="n">
        <x:f>COUNTIF('唯一词标签'!$V$2:$V$1441,A276)</x:f>
        <x:v>1</x:v>
      </x:c>
      <x:c r="C276" s="55" t="n">
        <x:f>B276/COUNTA('唯一词标签'!$C$2:$C$1441)</x:f>
        <x:v>0.0006944444444444445</x:v>
      </x:c>
      <x:c r="D276" s="7" t="n">
        <x:f>COUNTIFS('唯一词标签'!$V$2:$V$1441,A276,'唯一词标签'!$Z$2:$Z$1441,"match")</x:f>
        <x:v>0</x:v>
      </x:c>
      <x:c r="E276" s="7" t="n">
        <x:f>COUNTIFS('唯一词标签'!$V$2:$V$1441,A276,'唯一词标签'!$Z$2:$Z$1441,"partial_match")</x:f>
        <x:v>1</x:v>
      </x:c>
      <x:c r="F276" s="7" t="n">
        <x:f>COUNTIFS('唯一词标签'!$V$2:$V$1441,A276,'唯一词标签'!$Z$2:$Z$1441,"mismatch")</x:f>
        <x:v>0</x:v>
      </x:c>
      <x:c r="G276" s="7" t="n">
        <x:f>COUNTIFS('唯一词标签'!$V$2:$V$1441,A276,'唯一词标签'!$Z$2:$Z$1441,"unknown")</x:f>
        <x:v>0</x:v>
      </x:c>
      <x:c r="H276" s="7" t="n">
        <x:f>COUNTIFS('唯一词标签'!$V$2:$V$1441,A276,'唯一词标签'!$U$2:$U$1441,"low")</x:f>
        <x:v>0</x:v>
      </x:c>
      <x:c r="I276" s="7" t="n">
        <x:f>COUNTIFS('唯一词标签'!$V$2:$V$1441,A276,'唯一词标签'!$AB$2:$AB$1441,"needs_review")</x:f>
        <x:v>0</x:v>
      </x:c>
    </x:row>
    <x:row r="277" ht="22" customHeight="1">
      <x:c r="A277" s="7" t="str">
        <x:v>cushy_flip_flops_women</x:v>
      </x:c>
      <x:c r="B277" s="7" t="n">
        <x:f>COUNTIF('唯一词标签'!$V$2:$V$1441,A277)</x:f>
        <x:v>1</x:v>
      </x:c>
      <x:c r="C277" s="55" t="n">
        <x:f>B277/COUNTA('唯一词标签'!$C$2:$C$1441)</x:f>
        <x:v>0.0006944444444444445</x:v>
      </x:c>
      <x:c r="D277" s="7" t="n">
        <x:f>COUNTIFS('唯一词标签'!$V$2:$V$1441,A277,'唯一词标签'!$Z$2:$Z$1441,"match")</x:f>
        <x:v>1</x:v>
      </x:c>
      <x:c r="E277" s="7" t="n">
        <x:f>COUNTIFS('唯一词标签'!$V$2:$V$1441,A277,'唯一词标签'!$Z$2:$Z$1441,"partial_match")</x:f>
        <x:v>0</x:v>
      </x:c>
      <x:c r="F277" s="7" t="n">
        <x:f>COUNTIFS('唯一词标签'!$V$2:$V$1441,A277,'唯一词标签'!$Z$2:$Z$1441,"mismatch")</x:f>
        <x:v>0</x:v>
      </x:c>
      <x:c r="G277" s="7" t="n">
        <x:f>COUNTIFS('唯一词标签'!$V$2:$V$1441,A277,'唯一词标签'!$Z$2:$Z$1441,"unknown")</x:f>
        <x:v>0</x:v>
      </x:c>
      <x:c r="H277" s="7" t="n">
        <x:f>COUNTIFS('唯一词标签'!$V$2:$V$1441,A277,'唯一词标签'!$U$2:$U$1441,"low")</x:f>
        <x:v>0</x:v>
      </x:c>
      <x:c r="I277" s="7" t="n">
        <x:f>COUNTIFS('唯一词标签'!$V$2:$V$1441,A277,'唯一词标签'!$AB$2:$AB$1441,"needs_review")</x:f>
        <x:v>0</x:v>
      </x:c>
    </x:row>
    <x:row r="278" ht="22" customHeight="1">
      <x:c r="A278" s="7" t="str">
        <x:v>cute_arch_support_flip_flop</x:v>
      </x:c>
      <x:c r="B278" s="7" t="n">
        <x:f>COUNTIF('唯一词标签'!$V$2:$V$1441,A278)</x:f>
        <x:v>1</x:v>
      </x:c>
      <x:c r="C278" s="55" t="n">
        <x:f>B278/COUNTA('唯一词标签'!$C$2:$C$1441)</x:f>
        <x:v>0.0006944444444444445</x:v>
      </x:c>
      <x:c r="D278" s="7" t="n">
        <x:f>COUNTIFS('唯一词标签'!$V$2:$V$1441,A278,'唯一词标签'!$Z$2:$Z$1441,"match")</x:f>
        <x:v>1</x:v>
      </x:c>
      <x:c r="E278" s="7" t="n">
        <x:f>COUNTIFS('唯一词标签'!$V$2:$V$1441,A278,'唯一词标签'!$Z$2:$Z$1441,"partial_match")</x:f>
        <x:v>0</x:v>
      </x:c>
      <x:c r="F278" s="7" t="n">
        <x:f>COUNTIFS('唯一词标签'!$V$2:$V$1441,A278,'唯一词标签'!$Z$2:$Z$1441,"mismatch")</x:f>
        <x:v>0</x:v>
      </x:c>
      <x:c r="G278" s="7" t="n">
        <x:f>COUNTIFS('唯一词标签'!$V$2:$V$1441,A278,'唯一词标签'!$Z$2:$Z$1441,"unknown")</x:f>
        <x:v>0</x:v>
      </x:c>
      <x:c r="H278" s="7" t="n">
        <x:f>COUNTIFS('唯一词标签'!$V$2:$V$1441,A278,'唯一词标签'!$U$2:$U$1441,"low")</x:f>
        <x:v>0</x:v>
      </x:c>
      <x:c r="I278" s="7" t="n">
        <x:f>COUNTIFS('唯一词标签'!$V$2:$V$1441,A278,'唯一词标签'!$AB$2:$AB$1441,"needs_review")</x:f>
        <x:v>0</x:v>
      </x:c>
    </x:row>
    <x:row r="279" ht="22" customHeight="1">
      <x:c r="A279" s="7" t="str">
        <x:v>cute_waterproof_womens_sandals</x:v>
      </x:c>
      <x:c r="B279" s="7" t="n">
        <x:f>COUNTIF('唯一词标签'!$V$2:$V$1441,A279)</x:f>
        <x:v>1</x:v>
      </x:c>
      <x:c r="C279" s="55" t="n">
        <x:f>B279/COUNTA('唯一词标签'!$C$2:$C$1441)</x:f>
        <x:v>0.0006944444444444445</x:v>
      </x:c>
      <x:c r="D279" s="7" t="n">
        <x:f>COUNTIFS('唯一词标签'!$V$2:$V$1441,A279,'唯一词标签'!$Z$2:$Z$1441,"match")</x:f>
        <x:v>0</x:v>
      </x:c>
      <x:c r="E279" s="7" t="n">
        <x:f>COUNTIFS('唯一词标签'!$V$2:$V$1441,A279,'唯一词标签'!$Z$2:$Z$1441,"partial_match")</x:f>
        <x:v>1</x:v>
      </x:c>
      <x:c r="F279" s="7" t="n">
        <x:f>COUNTIFS('唯一词标签'!$V$2:$V$1441,A279,'唯一词标签'!$Z$2:$Z$1441,"mismatch")</x:f>
        <x:v>0</x:v>
      </x:c>
      <x:c r="G279" s="7" t="n">
        <x:f>COUNTIFS('唯一词标签'!$V$2:$V$1441,A279,'唯一词标签'!$Z$2:$Z$1441,"unknown")</x:f>
        <x:v>0</x:v>
      </x:c>
      <x:c r="H279" s="7" t="n">
        <x:f>COUNTIFS('唯一词标签'!$V$2:$V$1441,A279,'唯一词标签'!$U$2:$U$1441,"low")</x:f>
        <x:v>0</x:v>
      </x:c>
      <x:c r="I279" s="7" t="n">
        <x:f>COUNTIFS('唯一词标签'!$V$2:$V$1441,A279,'唯一词标签'!$AB$2:$AB$1441,"needs_review")</x:f>
        <x:v>0</x:v>
      </x:c>
    </x:row>
    <x:row r="280" ht="22" customHeight="1">
      <x:c r="A280" s="7" t="str">
        <x:v>cute_womens_flip_flops</x:v>
      </x:c>
      <x:c r="B280" s="7" t="n">
        <x:f>COUNTIF('唯一词标签'!$V$2:$V$1441,A280)</x:f>
        <x:v>1</x:v>
      </x:c>
      <x:c r="C280" s="55" t="n">
        <x:f>B280/COUNTA('唯一词标签'!$C$2:$C$1441)</x:f>
        <x:v>0.0006944444444444445</x:v>
      </x:c>
      <x:c r="D280" s="7" t="n">
        <x:f>COUNTIFS('唯一词标签'!$V$2:$V$1441,A280,'唯一词标签'!$Z$2:$Z$1441,"match")</x:f>
        <x:v>1</x:v>
      </x:c>
      <x:c r="E280" s="7" t="n">
        <x:f>COUNTIFS('唯一词标签'!$V$2:$V$1441,A280,'唯一词标签'!$Z$2:$Z$1441,"partial_match")</x:f>
        <x:v>0</x:v>
      </x:c>
      <x:c r="F280" s="7" t="n">
        <x:f>COUNTIFS('唯一词标签'!$V$2:$V$1441,A280,'唯一词标签'!$Z$2:$Z$1441,"mismatch")</x:f>
        <x:v>0</x:v>
      </x:c>
      <x:c r="G280" s="7" t="n">
        <x:f>COUNTIFS('唯一词标签'!$V$2:$V$1441,A280,'唯一词标签'!$Z$2:$Z$1441,"unknown")</x:f>
        <x:v>0</x:v>
      </x:c>
      <x:c r="H280" s="7" t="n">
        <x:f>COUNTIFS('唯一词标签'!$V$2:$V$1441,A280,'唯一词标签'!$U$2:$U$1441,"low")</x:f>
        <x:v>0</x:v>
      </x:c>
      <x:c r="I280" s="7" t="n">
        <x:f>COUNTIFS('唯一词标签'!$V$2:$V$1441,A280,'唯一词标签'!$AB$2:$AB$1441,"needs_review")</x:f>
        <x:v>0</x:v>
      </x:c>
    </x:row>
    <x:row r="281" ht="22" customHeight="1">
      <x:c r="A281" s="7" t="str">
        <x:v>cyan_flip_flops</x:v>
      </x:c>
      <x:c r="B281" s="7" t="n">
        <x:f>COUNTIF('唯一词标签'!$V$2:$V$1441,A281)</x:f>
        <x:v>1</x:v>
      </x:c>
      <x:c r="C281" s="55" t="n">
        <x:f>B281/COUNTA('唯一词标签'!$C$2:$C$1441)</x:f>
        <x:v>0.0006944444444444445</x:v>
      </x:c>
      <x:c r="D281" s="7" t="n">
        <x:f>COUNTIFS('唯一词标签'!$V$2:$V$1441,A281,'唯一词标签'!$Z$2:$Z$1441,"match")</x:f>
        <x:v>0</x:v>
      </x:c>
      <x:c r="E281" s="7" t="n">
        <x:f>COUNTIFS('唯一词标签'!$V$2:$V$1441,A281,'唯一词标签'!$Z$2:$Z$1441,"partial_match")</x:f>
        <x:v>1</x:v>
      </x:c>
      <x:c r="F281" s="7" t="n">
        <x:f>COUNTIFS('唯一词标签'!$V$2:$V$1441,A281,'唯一词标签'!$Z$2:$Z$1441,"mismatch")</x:f>
        <x:v>0</x:v>
      </x:c>
      <x:c r="G281" s="7" t="n">
        <x:f>COUNTIFS('唯一词标签'!$V$2:$V$1441,A281,'唯一词标签'!$Z$2:$Z$1441,"unknown")</x:f>
        <x:v>0</x:v>
      </x:c>
      <x:c r="H281" s="7" t="n">
        <x:f>COUNTIFS('唯一词标签'!$V$2:$V$1441,A281,'唯一词标签'!$U$2:$U$1441,"low")</x:f>
        <x:v>0</x:v>
      </x:c>
      <x:c r="I281" s="7" t="n">
        <x:f>COUNTIFS('唯一词标签'!$V$2:$V$1441,A281,'唯一词标签'!$AB$2:$AB$1441,"needs_review")</x:f>
        <x:v>0</x:v>
      </x:c>
    </x:row>
    <x:row r="282" ht="22" customHeight="1">
      <x:c r="A282" s="7" t="str">
        <x:v>dark_brown_arch_support_flip_flop</x:v>
      </x:c>
      <x:c r="B282" s="7" t="n">
        <x:f>COUNTIF('唯一词标签'!$V$2:$V$1441,A282)</x:f>
        <x:v>1</x:v>
      </x:c>
      <x:c r="C282" s="55" t="n">
        <x:f>B282/COUNTA('唯一词标签'!$C$2:$C$1441)</x:f>
        <x:v>0.0006944444444444445</x:v>
      </x:c>
      <x:c r="D282" s="7" t="n">
        <x:f>COUNTIFS('唯一词标签'!$V$2:$V$1441,A282,'唯一词标签'!$Z$2:$Z$1441,"match")</x:f>
        <x:v>1</x:v>
      </x:c>
      <x:c r="E282" s="7" t="n">
        <x:f>COUNTIFS('唯一词标签'!$V$2:$V$1441,A282,'唯一词标签'!$Z$2:$Z$1441,"partial_match")</x:f>
        <x:v>0</x:v>
      </x:c>
      <x:c r="F282" s="7" t="n">
        <x:f>COUNTIFS('唯一词标签'!$V$2:$V$1441,A282,'唯一词标签'!$Z$2:$Z$1441,"mismatch")</x:f>
        <x:v>0</x:v>
      </x:c>
      <x:c r="G282" s="7" t="n">
        <x:f>COUNTIFS('唯一词标签'!$V$2:$V$1441,A282,'唯一词标签'!$Z$2:$Z$1441,"unknown")</x:f>
        <x:v>0</x:v>
      </x:c>
      <x:c r="H282" s="7" t="n">
        <x:f>COUNTIFS('唯一词标签'!$V$2:$V$1441,A282,'唯一词标签'!$U$2:$U$1441,"low")</x:f>
        <x:v>0</x:v>
      </x:c>
      <x:c r="I282" s="7" t="n">
        <x:f>COUNTIFS('唯一词标签'!$V$2:$V$1441,A282,'唯一词标签'!$AB$2:$AB$1441,"needs_review")</x:f>
        <x:v>0</x:v>
      </x:c>
    </x:row>
    <x:row r="283" ht="22" customHeight="1">
      <x:c r="A283" s="7" t="str">
        <x:v>decorated_white_flip_flops</x:v>
      </x:c>
      <x:c r="B283" s="7" t="n">
        <x:f>COUNTIF('唯一词标签'!$V$2:$V$1441,A283)</x:f>
        <x:v>1</x:v>
      </x:c>
      <x:c r="C283" s="55" t="n">
        <x:f>B283/COUNTA('唯一词标签'!$C$2:$C$1441)</x:f>
        <x:v>0.0006944444444444445</x:v>
      </x:c>
      <x:c r="D283" s="7" t="n">
        <x:f>COUNTIFS('唯一词标签'!$V$2:$V$1441,A283,'唯一词标签'!$Z$2:$Z$1441,"match")</x:f>
        <x:v>0</x:v>
      </x:c>
      <x:c r="E283" s="7" t="n">
        <x:f>COUNTIFS('唯一词标签'!$V$2:$V$1441,A283,'唯一词标签'!$Z$2:$Z$1441,"partial_match")</x:f>
        <x:v>1</x:v>
      </x:c>
      <x:c r="F283" s="7" t="n">
        <x:f>COUNTIFS('唯一词标签'!$V$2:$V$1441,A283,'唯一词标签'!$Z$2:$Z$1441,"mismatch")</x:f>
        <x:v>0</x:v>
      </x:c>
      <x:c r="G283" s="7" t="n">
        <x:f>COUNTIFS('唯一词标签'!$V$2:$V$1441,A283,'唯一词标签'!$Z$2:$Z$1441,"unknown")</x:f>
        <x:v>0</x:v>
      </x:c>
      <x:c r="H283" s="7" t="n">
        <x:f>COUNTIFS('唯一词标签'!$V$2:$V$1441,A283,'唯一词标签'!$U$2:$U$1441,"low")</x:f>
        <x:v>0</x:v>
      </x:c>
      <x:c r="I283" s="7" t="n">
        <x:f>COUNTIFS('唯一词标签'!$V$2:$V$1441,A283,'唯一词标签'!$AB$2:$AB$1441,"needs_review")</x:f>
        <x:v>0</x:v>
      </x:c>
    </x:row>
    <x:row r="284" ht="22" customHeight="1">
      <x:c r="A284" s="7" t="str">
        <x:v>dirty_query_flip_flops</x:v>
      </x:c>
      <x:c r="B284" s="7" t="n">
        <x:f>COUNTIF('唯一词标签'!$V$2:$V$1441,A284)</x:f>
        <x:v>1</x:v>
      </x:c>
      <x:c r="C284" s="55" t="n">
        <x:f>B284/COUNTA('唯一词标签'!$C$2:$C$1441)</x:f>
        <x:v>0.0006944444444444445</x:v>
      </x:c>
      <x:c r="D284" s="7" t="n">
        <x:f>COUNTIFS('唯一词标签'!$V$2:$V$1441,A284,'唯一词标签'!$Z$2:$Z$1441,"match")</x:f>
        <x:v>0</x:v>
      </x:c>
      <x:c r="E284" s="7" t="n">
        <x:f>COUNTIFS('唯一词标签'!$V$2:$V$1441,A284,'唯一词标签'!$Z$2:$Z$1441,"partial_match")</x:f>
        <x:v>0</x:v>
      </x:c>
      <x:c r="F284" s="7" t="n">
        <x:f>COUNTIFS('唯一词标签'!$V$2:$V$1441,A284,'唯一词标签'!$Z$2:$Z$1441,"mismatch")</x:f>
        <x:v>0</x:v>
      </x:c>
      <x:c r="G284" s="7" t="n">
        <x:f>COUNTIFS('唯一词标签'!$V$2:$V$1441,A284,'唯一词标签'!$Z$2:$Z$1441,"unknown")</x:f>
        <x:v>1</x:v>
      </x:c>
      <x:c r="H284" s="7" t="n">
        <x:f>COUNTIFS('唯一词标签'!$V$2:$V$1441,A284,'唯一词标签'!$U$2:$U$1441,"low")</x:f>
        <x:v>1</x:v>
      </x:c>
      <x:c r="I284" s="7" t="n">
        <x:f>COUNTIFS('唯一词标签'!$V$2:$V$1441,A284,'唯一词标签'!$AB$2:$AB$1441,"needs_review")</x:f>
        <x:v>0</x:v>
      </x:c>
    </x:row>
    <x:row r="285" ht="22" customHeight="1">
      <x:c r="A285" s="7" t="str">
        <x:v>dream_pairs_womens_flip_flops</x:v>
      </x:c>
      <x:c r="B285" s="7" t="n">
        <x:f>COUNTIF('唯一词标签'!$V$2:$V$1441,A285)</x:f>
        <x:v>1</x:v>
      </x:c>
      <x:c r="C285" s="55" t="n">
        <x:f>B285/COUNTA('唯一词标签'!$C$2:$C$1441)</x:f>
        <x:v>0.0006944444444444445</x:v>
      </x:c>
      <x:c r="D285" s="7" t="n">
        <x:f>COUNTIFS('唯一词标签'!$V$2:$V$1441,A285,'唯一词标签'!$Z$2:$Z$1441,"match")</x:f>
        <x:v>0</x:v>
      </x:c>
      <x:c r="E285" s="7" t="n">
        <x:f>COUNTIFS('唯一词标签'!$V$2:$V$1441,A285,'唯一词标签'!$Z$2:$Z$1441,"partial_match")</x:f>
        <x:v>0</x:v>
      </x:c>
      <x:c r="F285" s="7" t="n">
        <x:f>COUNTIFS('唯一词标签'!$V$2:$V$1441,A285,'唯一词标签'!$Z$2:$Z$1441,"mismatch")</x:f>
        <x:v>1</x:v>
      </x:c>
      <x:c r="G285" s="7" t="n">
        <x:f>COUNTIFS('唯一词标签'!$V$2:$V$1441,A285,'唯一词标签'!$Z$2:$Z$1441,"unknown")</x:f>
        <x:v>0</x:v>
      </x:c>
      <x:c r="H285" s="7" t="n">
        <x:f>COUNTIFS('唯一词标签'!$V$2:$V$1441,A285,'唯一词标签'!$U$2:$U$1441,"low")</x:f>
        <x:v>0</x:v>
      </x:c>
      <x:c r="I285" s="7" t="n">
        <x:f>COUNTIFS('唯一词标签'!$V$2:$V$1441,A285,'唯一词标签'!$AB$2:$AB$1441,"needs_review")</x:f>
        <x:v>0</x:v>
      </x:c>
    </x:row>
    <x:row r="286" ht="22" customHeight="1">
      <x:c r="A286" s="7" t="str">
        <x:v>durable_womens_flip_flops</x:v>
      </x:c>
      <x:c r="B286" s="7" t="n">
        <x:f>COUNTIF('唯一词标签'!$V$2:$V$1441,A286)</x:f>
        <x:v>1</x:v>
      </x:c>
      <x:c r="C286" s="55" t="n">
        <x:f>B286/COUNTA('唯一词标签'!$C$2:$C$1441)</x:f>
        <x:v>0.0006944444444444445</x:v>
      </x:c>
      <x:c r="D286" s="7" t="n">
        <x:f>COUNTIFS('唯一词标签'!$V$2:$V$1441,A286,'唯一词标签'!$Z$2:$Z$1441,"match")</x:f>
        <x:v>0</x:v>
      </x:c>
      <x:c r="E286" s="7" t="n">
        <x:f>COUNTIFS('唯一词标签'!$V$2:$V$1441,A286,'唯一词标签'!$Z$2:$Z$1441,"partial_match")</x:f>
        <x:v>1</x:v>
      </x:c>
      <x:c r="F286" s="7" t="n">
        <x:f>COUNTIFS('唯一词标签'!$V$2:$V$1441,A286,'唯一词标签'!$Z$2:$Z$1441,"mismatch")</x:f>
        <x:v>0</x:v>
      </x:c>
      <x:c r="G286" s="7" t="n">
        <x:f>COUNTIFS('唯一词标签'!$V$2:$V$1441,A286,'唯一词标签'!$Z$2:$Z$1441,"unknown")</x:f>
        <x:v>0</x:v>
      </x:c>
      <x:c r="H286" s="7" t="n">
        <x:f>COUNTIFS('唯一词标签'!$V$2:$V$1441,A286,'唯一词标签'!$U$2:$U$1441,"low")</x:f>
        <x:v>0</x:v>
      </x:c>
      <x:c r="I286" s="7" t="n">
        <x:f>COUNTIFS('唯一词标签'!$V$2:$V$1441,A286,'唯一词标签'!$AB$2:$AB$1441,"needs_review")</x:f>
        <x:v>0</x:v>
      </x:c>
    </x:row>
    <x:row r="287" ht="22" customHeight="1">
      <x:c r="A287" s="7" t="str">
        <x:v>embellished_flip_flops_women</x:v>
      </x:c>
      <x:c r="B287" s="7" t="n">
        <x:f>COUNTIF('唯一词标签'!$V$2:$V$1441,A287)</x:f>
        <x:v>1</x:v>
      </x:c>
      <x:c r="C287" s="55" t="n">
        <x:f>B287/COUNTA('唯一词标签'!$C$2:$C$1441)</x:f>
        <x:v>0.0006944444444444445</x:v>
      </x:c>
      <x:c r="D287" s="7" t="n">
        <x:f>COUNTIFS('唯一词标签'!$V$2:$V$1441,A287,'唯一词标签'!$Z$2:$Z$1441,"match")</x:f>
        <x:v>0</x:v>
      </x:c>
      <x:c r="E287" s="7" t="n">
        <x:f>COUNTIFS('唯一词标签'!$V$2:$V$1441,A287,'唯一词标签'!$Z$2:$Z$1441,"partial_match")</x:f>
        <x:v>1</x:v>
      </x:c>
      <x:c r="F287" s="7" t="n">
        <x:f>COUNTIFS('唯一词标签'!$V$2:$V$1441,A287,'唯一词标签'!$Z$2:$Z$1441,"mismatch")</x:f>
        <x:v>0</x:v>
      </x:c>
      <x:c r="G287" s="7" t="n">
        <x:f>COUNTIFS('唯一词标签'!$V$2:$V$1441,A287,'唯一词标签'!$Z$2:$Z$1441,"unknown")</x:f>
        <x:v>0</x:v>
      </x:c>
      <x:c r="H287" s="7" t="n">
        <x:f>COUNTIFS('唯一词标签'!$V$2:$V$1441,A287,'唯一词标签'!$U$2:$U$1441,"low")</x:f>
        <x:v>0</x:v>
      </x:c>
      <x:c r="I287" s="7" t="n">
        <x:f>COUNTIFS('唯一词标签'!$V$2:$V$1441,A287,'唯一词标签'!$AB$2:$AB$1441,"needs_review")</x:f>
        <x:v>0</x:v>
      </x:c>
    </x:row>
    <x:row r="288" ht="22" customHeight="1">
      <x:c r="A288" s="7" t="str">
        <x:v>eva_cushioning_flip_flops_women</x:v>
      </x:c>
      <x:c r="B288" s="7" t="n">
        <x:f>COUNTIF('唯一词标签'!$V$2:$V$1441,A288)</x:f>
        <x:v>1</x:v>
      </x:c>
      <x:c r="C288" s="55" t="n">
        <x:f>B288/COUNTA('唯一词标签'!$C$2:$C$1441)</x:f>
        <x:v>0.0006944444444444445</x:v>
      </x:c>
      <x:c r="D288" s="7" t="n">
        <x:f>COUNTIFS('唯一词标签'!$V$2:$V$1441,A288,'唯一词标签'!$Z$2:$Z$1441,"match")</x:f>
        <x:v>1</x:v>
      </x:c>
      <x:c r="E288" s="7" t="n">
        <x:f>COUNTIFS('唯一词标签'!$V$2:$V$1441,A288,'唯一词标签'!$Z$2:$Z$1441,"partial_match")</x:f>
        <x:v>0</x:v>
      </x:c>
      <x:c r="F288" s="7" t="n">
        <x:f>COUNTIFS('唯一词标签'!$V$2:$V$1441,A288,'唯一词标签'!$Z$2:$Z$1441,"mismatch")</x:f>
        <x:v>0</x:v>
      </x:c>
      <x:c r="G288" s="7" t="n">
        <x:f>COUNTIFS('唯一词标签'!$V$2:$V$1441,A288,'唯一词标签'!$Z$2:$Z$1441,"unknown")</x:f>
        <x:v>0</x:v>
      </x:c>
      <x:c r="H288" s="7" t="n">
        <x:f>COUNTIFS('唯一词标签'!$V$2:$V$1441,A288,'唯一词标签'!$U$2:$U$1441,"low")</x:f>
        <x:v>0</x:v>
      </x:c>
      <x:c r="I288" s="7" t="n">
        <x:f>COUNTIFS('唯一词标签'!$V$2:$V$1441,A288,'唯一词标签'!$AB$2:$AB$1441,"needs_review")</x:f>
        <x:v>0</x:v>
      </x:c>
    </x:row>
    <x:row r="289" ht="22" customHeight="1">
      <x:c r="A289" s="7" t="str">
        <x:v>eva_flip_flops</x:v>
      </x:c>
      <x:c r="B289" s="7" t="n">
        <x:f>COUNTIF('唯一词标签'!$V$2:$V$1441,A289)</x:f>
        <x:v>2</x:v>
      </x:c>
      <x:c r="C289" s="55" t="n">
        <x:f>B289/COUNTA('唯一词标签'!$C$2:$C$1441)</x:f>
        <x:v>0.001388888888888889</x:v>
      </x:c>
      <x:c r="D289" s="7" t="n">
        <x:f>COUNTIFS('唯一词标签'!$V$2:$V$1441,A289,'唯一词标签'!$Z$2:$Z$1441,"match")</x:f>
        <x:v>2</x:v>
      </x:c>
      <x:c r="E289" s="7" t="n">
        <x:f>COUNTIFS('唯一词标签'!$V$2:$V$1441,A289,'唯一词标签'!$Z$2:$Z$1441,"partial_match")</x:f>
        <x:v>0</x:v>
      </x:c>
      <x:c r="F289" s="7" t="n">
        <x:f>COUNTIFS('唯一词标签'!$V$2:$V$1441,A289,'唯一词标签'!$Z$2:$Z$1441,"mismatch")</x:f>
        <x:v>0</x:v>
      </x:c>
      <x:c r="G289" s="7" t="n">
        <x:f>COUNTIFS('唯一词标签'!$V$2:$V$1441,A289,'唯一词标签'!$Z$2:$Z$1441,"unknown")</x:f>
        <x:v>0</x:v>
      </x:c>
      <x:c r="H289" s="7" t="n">
        <x:f>COUNTIFS('唯一词标签'!$V$2:$V$1441,A289,'唯一词标签'!$U$2:$U$1441,"low")</x:f>
        <x:v>0</x:v>
      </x:c>
      <x:c r="I289" s="7" t="n">
        <x:f>COUNTIFS('唯一词标签'!$V$2:$V$1441,A289,'唯一词标签'!$AB$2:$AB$1441,"needs_review")</x:f>
        <x:v>0</x:v>
      </x:c>
    </x:row>
    <x:row r="290" ht="22" customHeight="1">
      <x:c r="A290" s="7" t="str">
        <x:v>eva_flip_flops_women</x:v>
      </x:c>
      <x:c r="B290" s="7" t="n">
        <x:f>COUNTIF('唯一词标签'!$V$2:$V$1441,A290)</x:f>
        <x:v>1</x:v>
      </x:c>
      <x:c r="C290" s="55" t="n">
        <x:f>B290/COUNTA('唯一词标签'!$C$2:$C$1441)</x:f>
        <x:v>0.0006944444444444445</x:v>
      </x:c>
      <x:c r="D290" s="7" t="n">
        <x:f>COUNTIFS('唯一词标签'!$V$2:$V$1441,A290,'唯一词标签'!$Z$2:$Z$1441,"match")</x:f>
        <x:v>1</x:v>
      </x:c>
      <x:c r="E290" s="7" t="n">
        <x:f>COUNTIFS('唯一词标签'!$V$2:$V$1441,A290,'唯一词标签'!$Z$2:$Z$1441,"partial_match")</x:f>
        <x:v>0</x:v>
      </x:c>
      <x:c r="F290" s="7" t="n">
        <x:f>COUNTIFS('唯一词标签'!$V$2:$V$1441,A290,'唯一词标签'!$Z$2:$Z$1441,"mismatch")</x:f>
        <x:v>0</x:v>
      </x:c>
      <x:c r="G290" s="7" t="n">
        <x:f>COUNTIFS('唯一词标签'!$V$2:$V$1441,A290,'唯一词标签'!$Z$2:$Z$1441,"unknown")</x:f>
        <x:v>0</x:v>
      </x:c>
      <x:c r="H290" s="7" t="n">
        <x:f>COUNTIFS('唯一词标签'!$V$2:$V$1441,A290,'唯一词标签'!$U$2:$U$1441,"low")</x:f>
        <x:v>0</x:v>
      </x:c>
      <x:c r="I290" s="7" t="n">
        <x:f>COUNTIFS('唯一词标签'!$V$2:$V$1441,A290,'唯一词标签'!$AB$2:$AB$1441,"needs_review")</x:f>
        <x:v>0</x:v>
      </x:c>
    </x:row>
    <x:row r="291" ht="22" customHeight="1">
      <x:c r="A291" s="7" t="str">
        <x:v>eva_material_flip_flops</x:v>
      </x:c>
      <x:c r="B291" s="7" t="n">
        <x:f>COUNTIF('唯一词标签'!$V$2:$V$1441,A291)</x:f>
        <x:v>1</x:v>
      </x:c>
      <x:c r="C291" s="55" t="n">
        <x:f>B291/COUNTA('唯一词标签'!$C$2:$C$1441)</x:f>
        <x:v>0.0006944444444444445</x:v>
      </x:c>
      <x:c r="D291" s="7" t="n">
        <x:f>COUNTIFS('唯一词标签'!$V$2:$V$1441,A291,'唯一词标签'!$Z$2:$Z$1441,"match")</x:f>
        <x:v>1</x:v>
      </x:c>
      <x:c r="E291" s="7" t="n">
        <x:f>COUNTIFS('唯一词标签'!$V$2:$V$1441,A291,'唯一词标签'!$Z$2:$Z$1441,"partial_match")</x:f>
        <x:v>0</x:v>
      </x:c>
      <x:c r="F291" s="7" t="n">
        <x:f>COUNTIFS('唯一词标签'!$V$2:$V$1441,A291,'唯一词标签'!$Z$2:$Z$1441,"mismatch")</x:f>
        <x:v>0</x:v>
      </x:c>
      <x:c r="G291" s="7" t="n">
        <x:f>COUNTIFS('唯一词标签'!$V$2:$V$1441,A291,'唯一词标签'!$Z$2:$Z$1441,"unknown")</x:f>
        <x:v>0</x:v>
      </x:c>
      <x:c r="H291" s="7" t="n">
        <x:f>COUNTIFS('唯一词标签'!$V$2:$V$1441,A291,'唯一词标签'!$U$2:$U$1441,"low")</x:f>
        <x:v>0</x:v>
      </x:c>
      <x:c r="I291" s="7" t="n">
        <x:f>COUNTIFS('唯一词标签'!$V$2:$V$1441,A291,'唯一词标签'!$AB$2:$AB$1441,"needs_review")</x:f>
        <x:v>0</x:v>
      </x:c>
    </x:row>
    <x:row r="292" ht="22" customHeight="1">
      <x:c r="A292" s="7" t="str">
        <x:v>eva_thong_sandals_women</x:v>
      </x:c>
      <x:c r="B292" s="7" t="n">
        <x:f>COUNTIF('唯一词标签'!$V$2:$V$1441,A292)</x:f>
        <x:v>1</x:v>
      </x:c>
      <x:c r="C292" s="55" t="n">
        <x:f>B292/COUNTA('唯一词标签'!$C$2:$C$1441)</x:f>
        <x:v>0.0006944444444444445</x:v>
      </x:c>
      <x:c r="D292" s="7" t="n">
        <x:f>COUNTIFS('唯一词标签'!$V$2:$V$1441,A292,'唯一词标签'!$Z$2:$Z$1441,"match")</x:f>
        <x:v>1</x:v>
      </x:c>
      <x:c r="E292" s="7" t="n">
        <x:f>COUNTIFS('唯一词标签'!$V$2:$V$1441,A292,'唯一词标签'!$Z$2:$Z$1441,"partial_match")</x:f>
        <x:v>0</x:v>
      </x:c>
      <x:c r="F292" s="7" t="n">
        <x:f>COUNTIFS('唯一词标签'!$V$2:$V$1441,A292,'唯一词标签'!$Z$2:$Z$1441,"mismatch")</x:f>
        <x:v>0</x:v>
      </x:c>
      <x:c r="G292" s="7" t="n">
        <x:f>COUNTIFS('唯一词标签'!$V$2:$V$1441,A292,'唯一词标签'!$Z$2:$Z$1441,"unknown")</x:f>
        <x:v>0</x:v>
      </x:c>
      <x:c r="H292" s="7" t="n">
        <x:f>COUNTIFS('唯一词标签'!$V$2:$V$1441,A292,'唯一词标签'!$U$2:$U$1441,"low")</x:f>
        <x:v>0</x:v>
      </x:c>
      <x:c r="I292" s="7" t="n">
        <x:f>COUNTIFS('唯一词标签'!$V$2:$V$1441,A292,'唯一词标签'!$AB$2:$AB$1441,"needs_review")</x:f>
        <x:v>0</x:v>
      </x:c>
    </x:row>
    <x:row r="293" ht="22" customHeight="1">
      <x:c r="A293" s="7" t="str">
        <x:v>eva_womens_flip_flops</x:v>
      </x:c>
      <x:c r="B293" s="7" t="n">
        <x:f>COUNTIF('唯一词标签'!$V$2:$V$1441,A293)</x:f>
        <x:v>1</x:v>
      </x:c>
      <x:c r="C293" s="55" t="n">
        <x:f>B293/COUNTA('唯一词标签'!$C$2:$C$1441)</x:f>
        <x:v>0.0006944444444444445</x:v>
      </x:c>
      <x:c r="D293" s="7" t="n">
        <x:f>COUNTIFS('唯一词标签'!$V$2:$V$1441,A293,'唯一词标签'!$Z$2:$Z$1441,"match")</x:f>
        <x:v>1</x:v>
      </x:c>
      <x:c r="E293" s="7" t="n">
        <x:f>COUNTIFS('唯一词标签'!$V$2:$V$1441,A293,'唯一词标签'!$Z$2:$Z$1441,"partial_match")</x:f>
        <x:v>0</x:v>
      </x:c>
      <x:c r="F293" s="7" t="n">
        <x:f>COUNTIFS('唯一词标签'!$V$2:$V$1441,A293,'唯一词标签'!$Z$2:$Z$1441,"mismatch")</x:f>
        <x:v>0</x:v>
      </x:c>
      <x:c r="G293" s="7" t="n">
        <x:f>COUNTIFS('唯一词标签'!$V$2:$V$1441,A293,'唯一词标签'!$Z$2:$Z$1441,"unknown")</x:f>
        <x:v>0</x:v>
      </x:c>
      <x:c r="H293" s="7" t="n">
        <x:f>COUNTIFS('唯一词标签'!$V$2:$V$1441,A293,'唯一词标签'!$U$2:$U$1441,"low")</x:f>
        <x:v>0</x:v>
      </x:c>
      <x:c r="I293" s="7" t="n">
        <x:f>COUNTIFS('唯一词标签'!$V$2:$V$1441,A293,'唯一词标签'!$AB$2:$AB$1441,"needs_review")</x:f>
        <x:v>0</x:v>
      </x:c>
    </x:row>
    <x:row r="294" ht="22" customHeight="1">
      <x:c r="A294" s="7" t="str">
        <x:v>everyday_comfort_flip_flops</x:v>
      </x:c>
      <x:c r="B294" s="7" t="n">
        <x:f>COUNTIF('唯一词标签'!$V$2:$V$1441,A294)</x:f>
        <x:v>1</x:v>
      </x:c>
      <x:c r="C294" s="55" t="n">
        <x:f>B294/COUNTA('唯一词标签'!$C$2:$C$1441)</x:f>
        <x:v>0.0006944444444444445</x:v>
      </x:c>
      <x:c r="D294" s="7" t="n">
        <x:f>COUNTIFS('唯一词标签'!$V$2:$V$1441,A294,'唯一词标签'!$Z$2:$Z$1441,"match")</x:f>
        <x:v>1</x:v>
      </x:c>
      <x:c r="E294" s="7" t="n">
        <x:f>COUNTIFS('唯一词标签'!$V$2:$V$1441,A294,'唯一词标签'!$Z$2:$Z$1441,"partial_match")</x:f>
        <x:v>0</x:v>
      </x:c>
      <x:c r="F294" s="7" t="n">
        <x:f>COUNTIFS('唯一词标签'!$V$2:$V$1441,A294,'唯一词标签'!$Z$2:$Z$1441,"mismatch")</x:f>
        <x:v>0</x:v>
      </x:c>
      <x:c r="G294" s="7" t="n">
        <x:f>COUNTIFS('唯一词标签'!$V$2:$V$1441,A294,'唯一词标签'!$Z$2:$Z$1441,"unknown")</x:f>
        <x:v>0</x:v>
      </x:c>
      <x:c r="H294" s="7" t="n">
        <x:f>COUNTIFS('唯一词标签'!$V$2:$V$1441,A294,'唯一词标签'!$U$2:$U$1441,"low")</x:f>
        <x:v>0</x:v>
      </x:c>
      <x:c r="I294" s="7" t="n">
        <x:f>COUNTIFS('唯一词标签'!$V$2:$V$1441,A294,'唯一词标签'!$AB$2:$AB$1441,"needs_review")</x:f>
        <x:v>0</x:v>
      </x:c>
    </x:row>
    <x:row r="295" ht="22" customHeight="1">
      <x:c r="A295" s="7" t="str">
        <x:v>everyday_walking_flip_flops</x:v>
      </x:c>
      <x:c r="B295" s="7" t="n">
        <x:f>COUNTIF('唯一词标签'!$V$2:$V$1441,A295)</x:f>
        <x:v>1</x:v>
      </x:c>
      <x:c r="C295" s="55" t="n">
        <x:f>B295/COUNTA('唯一词标签'!$C$2:$C$1441)</x:f>
        <x:v>0.0006944444444444445</x:v>
      </x:c>
      <x:c r="D295" s="7" t="n">
        <x:f>COUNTIFS('唯一词标签'!$V$2:$V$1441,A295,'唯一词标签'!$Z$2:$Z$1441,"match")</x:f>
        <x:v>1</x:v>
      </x:c>
      <x:c r="E295" s="7" t="n">
        <x:f>COUNTIFS('唯一词标签'!$V$2:$V$1441,A295,'唯一词标签'!$Z$2:$Z$1441,"partial_match")</x:f>
        <x:v>0</x:v>
      </x:c>
      <x:c r="F295" s="7" t="n">
        <x:f>COUNTIFS('唯一词标签'!$V$2:$V$1441,A295,'唯一词标签'!$Z$2:$Z$1441,"mismatch")</x:f>
        <x:v>0</x:v>
      </x:c>
      <x:c r="G295" s="7" t="n">
        <x:f>COUNTIFS('唯一词标签'!$V$2:$V$1441,A295,'唯一词标签'!$Z$2:$Z$1441,"unknown")</x:f>
        <x:v>0</x:v>
      </x:c>
      <x:c r="H295" s="7" t="n">
        <x:f>COUNTIFS('唯一词标签'!$V$2:$V$1441,A295,'唯一词标签'!$U$2:$U$1441,"low")</x:f>
        <x:v>0</x:v>
      </x:c>
      <x:c r="I295" s="7" t="n">
        <x:f>COUNTIFS('唯一词标签'!$V$2:$V$1441,A295,'唯一词标签'!$AB$2:$AB$1441,"needs_review")</x:f>
        <x:v>0</x:v>
      </x:c>
    </x:row>
    <x:row r="296" ht="22" customHeight="1">
      <x:c r="A296" s="7" t="str">
        <x:v>extra_thin_sandals</x:v>
      </x:c>
      <x:c r="B296" s="7" t="n">
        <x:f>COUNTIF('唯一词标签'!$V$2:$V$1441,A296)</x:f>
        <x:v>1</x:v>
      </x:c>
      <x:c r="C296" s="55" t="n">
        <x:f>B296/COUNTA('唯一词标签'!$C$2:$C$1441)</x:f>
        <x:v>0.0006944444444444445</x:v>
      </x:c>
      <x:c r="D296" s="7" t="n">
        <x:f>COUNTIFS('唯一词标签'!$V$2:$V$1441,A296,'唯一词标签'!$Z$2:$Z$1441,"match")</x:f>
        <x:v>0</x:v>
      </x:c>
      <x:c r="E296" s="7" t="n">
        <x:f>COUNTIFS('唯一词标签'!$V$2:$V$1441,A296,'唯一词标签'!$Z$2:$Z$1441,"partial_match")</x:f>
        <x:v>0</x:v>
      </x:c>
      <x:c r="F296" s="7" t="n">
        <x:f>COUNTIFS('唯一词标签'!$V$2:$V$1441,A296,'唯一词标签'!$Z$2:$Z$1441,"mismatch")</x:f>
        <x:v>1</x:v>
      </x:c>
      <x:c r="G296" s="7" t="n">
        <x:f>COUNTIFS('唯一词标签'!$V$2:$V$1441,A296,'唯一词标签'!$Z$2:$Z$1441,"unknown")</x:f>
        <x:v>0</x:v>
      </x:c>
      <x:c r="H296" s="7" t="n">
        <x:f>COUNTIFS('唯一词标签'!$V$2:$V$1441,A296,'唯一词标签'!$U$2:$U$1441,"low")</x:f>
        <x:v>0</x:v>
      </x:c>
      <x:c r="I296" s="7" t="n">
        <x:f>COUNTIFS('唯一词标签'!$V$2:$V$1441,A296,'唯一词标签'!$AB$2:$AB$1441,"needs_review")</x:f>
        <x:v>0</x:v>
      </x:c>
    </x:row>
    <x:row r="297" ht="22" customHeight="1">
      <x:c r="A297" s="7" t="str">
        <x:v>fabric_toe_strap_arch_support_flip_flops</x:v>
      </x:c>
      <x:c r="B297" s="7" t="n">
        <x:f>COUNTIF('唯一词标签'!$V$2:$V$1441,A297)</x:f>
        <x:v>1</x:v>
      </x:c>
      <x:c r="C297" s="55" t="n">
        <x:f>B297/COUNTA('唯一词标签'!$C$2:$C$1441)</x:f>
        <x:v>0.0006944444444444445</x:v>
      </x:c>
      <x:c r="D297" s="7" t="n">
        <x:f>COUNTIFS('唯一词标签'!$V$2:$V$1441,A297,'唯一词标签'!$Z$2:$Z$1441,"match")</x:f>
        <x:v>0</x:v>
      </x:c>
      <x:c r="E297" s="7" t="n">
        <x:f>COUNTIFS('唯一词标签'!$V$2:$V$1441,A297,'唯一词标签'!$Z$2:$Z$1441,"partial_match")</x:f>
        <x:v>1</x:v>
      </x:c>
      <x:c r="F297" s="7" t="n">
        <x:f>COUNTIFS('唯一词标签'!$V$2:$V$1441,A297,'唯一词标签'!$Z$2:$Z$1441,"mismatch")</x:f>
        <x:v>0</x:v>
      </x:c>
      <x:c r="G297" s="7" t="n">
        <x:f>COUNTIFS('唯一词标签'!$V$2:$V$1441,A297,'唯一词标签'!$Z$2:$Z$1441,"unknown")</x:f>
        <x:v>0</x:v>
      </x:c>
      <x:c r="H297" s="7" t="n">
        <x:f>COUNTIFS('唯一词标签'!$V$2:$V$1441,A297,'唯一词标签'!$U$2:$U$1441,"low")</x:f>
        <x:v>0</x:v>
      </x:c>
      <x:c r="I297" s="7" t="n">
        <x:f>COUNTIFS('唯一词标签'!$V$2:$V$1441,A297,'唯一词标签'!$AB$2:$AB$1441,"needs_review")</x:f>
        <x:v>0</x:v>
      </x:c>
    </x:row>
    <x:row r="298" ht="22" customHeight="1">
      <x:c r="A298" s="7" t="str">
        <x:v>fancy_arch_support_flip_flops</x:v>
      </x:c>
      <x:c r="B298" s="7" t="n">
        <x:f>COUNTIF('唯一词标签'!$V$2:$V$1441,A298)</x:f>
        <x:v>1</x:v>
      </x:c>
      <x:c r="C298" s="55" t="n">
        <x:f>B298/COUNTA('唯一词标签'!$C$2:$C$1441)</x:f>
        <x:v>0.0006944444444444445</x:v>
      </x:c>
      <x:c r="D298" s="7" t="n">
        <x:f>COUNTIFS('唯一词标签'!$V$2:$V$1441,A298,'唯一词标签'!$Z$2:$Z$1441,"match")</x:f>
        <x:v>0</x:v>
      </x:c>
      <x:c r="E298" s="7" t="n">
        <x:f>COUNTIFS('唯一词标签'!$V$2:$V$1441,A298,'唯一词标签'!$Z$2:$Z$1441,"partial_match")</x:f>
        <x:v>1</x:v>
      </x:c>
      <x:c r="F298" s="7" t="n">
        <x:f>COUNTIFS('唯一词标签'!$V$2:$V$1441,A298,'唯一词标签'!$Z$2:$Z$1441,"mismatch")</x:f>
        <x:v>0</x:v>
      </x:c>
      <x:c r="G298" s="7" t="n">
        <x:f>COUNTIFS('唯一词标签'!$V$2:$V$1441,A298,'唯一词标签'!$Z$2:$Z$1441,"unknown")</x:f>
        <x:v>0</x:v>
      </x:c>
      <x:c r="H298" s="7" t="n">
        <x:f>COUNTIFS('唯一词标签'!$V$2:$V$1441,A298,'唯一词标签'!$U$2:$U$1441,"low")</x:f>
        <x:v>0</x:v>
      </x:c>
      <x:c r="I298" s="7" t="n">
        <x:f>COUNTIFS('唯一词标签'!$V$2:$V$1441,A298,'唯一词标签'!$AB$2:$AB$1441,"needs_review")</x:f>
        <x:v>0</x:v>
      </x:c>
    </x:row>
    <x:row r="299" ht="22" customHeight="1">
      <x:c r="A299" s="7" t="str">
        <x:v>fancy_white_flip_flops</x:v>
      </x:c>
      <x:c r="B299" s="7" t="n">
        <x:f>COUNTIF('唯一词标签'!$V$2:$V$1441,A299)</x:f>
        <x:v>1</x:v>
      </x:c>
      <x:c r="C299" s="55" t="n">
        <x:f>B299/COUNTA('唯一词标签'!$C$2:$C$1441)</x:f>
        <x:v>0.0006944444444444445</x:v>
      </x:c>
      <x:c r="D299" s="7" t="n">
        <x:f>COUNTIFS('唯一词标签'!$V$2:$V$1441,A299,'唯一词标签'!$Z$2:$Z$1441,"match")</x:f>
        <x:v>0</x:v>
      </x:c>
      <x:c r="E299" s="7" t="n">
        <x:f>COUNTIFS('唯一词标签'!$V$2:$V$1441,A299,'唯一词标签'!$Z$2:$Z$1441,"partial_match")</x:f>
        <x:v>1</x:v>
      </x:c>
      <x:c r="F299" s="7" t="n">
        <x:f>COUNTIFS('唯一词标签'!$V$2:$V$1441,A299,'唯一词标签'!$Z$2:$Z$1441,"mismatch")</x:f>
        <x:v>0</x:v>
      </x:c>
      <x:c r="G299" s="7" t="n">
        <x:f>COUNTIFS('唯一词标签'!$V$2:$V$1441,A299,'唯一词标签'!$Z$2:$Z$1441,"unknown")</x:f>
        <x:v>0</x:v>
      </x:c>
      <x:c r="H299" s="7" t="n">
        <x:f>COUNTIFS('唯一词标签'!$V$2:$V$1441,A299,'唯一词标签'!$U$2:$U$1441,"low")</x:f>
        <x:v>0</x:v>
      </x:c>
      <x:c r="I299" s="7" t="n">
        <x:f>COUNTIFS('唯一词标签'!$V$2:$V$1441,A299,'唯一词标签'!$AB$2:$AB$1441,"needs_review")</x:f>
        <x:v>0</x:v>
      </x:c>
    </x:row>
    <x:row r="300" ht="22" customHeight="1">
      <x:c r="A300" s="7" t="str">
        <x:v>fashion_comfort_walking_flip_flops</x:v>
      </x:c>
      <x:c r="B300" s="7" t="n">
        <x:f>COUNTIF('唯一词标签'!$V$2:$V$1441,A300)</x:f>
        <x:v>1</x:v>
      </x:c>
      <x:c r="C300" s="55" t="n">
        <x:f>B300/COUNTA('唯一词标签'!$C$2:$C$1441)</x:f>
        <x:v>0.0006944444444444445</x:v>
      </x:c>
      <x:c r="D300" s="7" t="n">
        <x:f>COUNTIFS('唯一词标签'!$V$2:$V$1441,A300,'唯一词标签'!$Z$2:$Z$1441,"match")</x:f>
        <x:v>1</x:v>
      </x:c>
      <x:c r="E300" s="7" t="n">
        <x:f>COUNTIFS('唯一词标签'!$V$2:$V$1441,A300,'唯一词标签'!$Z$2:$Z$1441,"partial_match")</x:f>
        <x:v>0</x:v>
      </x:c>
      <x:c r="F300" s="7" t="n">
        <x:f>COUNTIFS('唯一词标签'!$V$2:$V$1441,A300,'唯一词标签'!$Z$2:$Z$1441,"mismatch")</x:f>
        <x:v>0</x:v>
      </x:c>
      <x:c r="G300" s="7" t="n">
        <x:f>COUNTIFS('唯一词标签'!$V$2:$V$1441,A300,'唯一词标签'!$Z$2:$Z$1441,"unknown")</x:f>
        <x:v>0</x:v>
      </x:c>
      <x:c r="H300" s="7" t="n">
        <x:f>COUNTIFS('唯一词标签'!$V$2:$V$1441,A300,'唯一词标签'!$U$2:$U$1441,"low")</x:f>
        <x:v>0</x:v>
      </x:c>
      <x:c r="I300" s="7" t="n">
        <x:f>COUNTIFS('唯一词标签'!$V$2:$V$1441,A300,'唯一词标签'!$AB$2:$AB$1441,"needs_review")</x:f>
        <x:v>0</x:v>
      </x:c>
    </x:row>
    <x:row r="301" ht="22" customHeight="1">
      <x:c r="A301" s="7" t="str">
        <x:v>flag_flip_flops</x:v>
      </x:c>
      <x:c r="B301" s="7" t="n">
        <x:f>COUNTIF('唯一词标签'!$V$2:$V$1441,A301)</x:f>
        <x:v>1</x:v>
      </x:c>
      <x:c r="C301" s="55" t="n">
        <x:f>B301/COUNTA('唯一词标签'!$C$2:$C$1441)</x:f>
        <x:v>0.0006944444444444445</x:v>
      </x:c>
      <x:c r="D301" s="7" t="n">
        <x:f>COUNTIFS('唯一词标签'!$V$2:$V$1441,A301,'唯一词标签'!$Z$2:$Z$1441,"match")</x:f>
        <x:v>0</x:v>
      </x:c>
      <x:c r="E301" s="7" t="n">
        <x:f>COUNTIFS('唯一词标签'!$V$2:$V$1441,A301,'唯一词标签'!$Z$2:$Z$1441,"partial_match")</x:f>
        <x:v>1</x:v>
      </x:c>
      <x:c r="F301" s="7" t="n">
        <x:f>COUNTIFS('唯一词标签'!$V$2:$V$1441,A301,'唯一词标签'!$Z$2:$Z$1441,"mismatch")</x:f>
        <x:v>0</x:v>
      </x:c>
      <x:c r="G301" s="7" t="n">
        <x:f>COUNTIFS('唯一词标签'!$V$2:$V$1441,A301,'唯一词标签'!$Z$2:$Z$1441,"unknown")</x:f>
        <x:v>0</x:v>
      </x:c>
      <x:c r="H301" s="7" t="n">
        <x:f>COUNTIFS('唯一词标签'!$V$2:$V$1441,A301,'唯一词标签'!$U$2:$U$1441,"low")</x:f>
        <x:v>0</x:v>
      </x:c>
      <x:c r="I301" s="7" t="n">
        <x:f>COUNTIFS('唯一词标签'!$V$2:$V$1441,A301,'唯一词标签'!$AB$2:$AB$1441,"needs_review")</x:f>
        <x:v>0</x:v>
      </x:c>
    </x:row>
    <x:row r="302" ht="22" customHeight="1">
      <x:c r="A302" s="7" t="str">
        <x:v>flat_feet_womens_flip_flops</x:v>
      </x:c>
      <x:c r="B302" s="7" t="n">
        <x:f>COUNTIF('唯一词标签'!$V$2:$V$1441,A302)</x:f>
        <x:v>1</x:v>
      </x:c>
      <x:c r="C302" s="55" t="n">
        <x:f>B302/COUNTA('唯一词标签'!$C$2:$C$1441)</x:f>
        <x:v>0.0006944444444444445</x:v>
      </x:c>
      <x:c r="D302" s="7" t="n">
        <x:f>COUNTIFS('唯一词标签'!$V$2:$V$1441,A302,'唯一词标签'!$Z$2:$Z$1441,"match")</x:f>
        <x:v>0</x:v>
      </x:c>
      <x:c r="E302" s="7" t="n">
        <x:f>COUNTIFS('唯一词标签'!$V$2:$V$1441,A302,'唯一词标签'!$Z$2:$Z$1441,"partial_match")</x:f>
        <x:v>1</x:v>
      </x:c>
      <x:c r="F302" s="7" t="n">
        <x:f>COUNTIFS('唯一词标签'!$V$2:$V$1441,A302,'唯一词标签'!$Z$2:$Z$1441,"mismatch")</x:f>
        <x:v>0</x:v>
      </x:c>
      <x:c r="G302" s="7" t="n">
        <x:f>COUNTIFS('唯一词标签'!$V$2:$V$1441,A302,'唯一词标签'!$Z$2:$Z$1441,"unknown")</x:f>
        <x:v>0</x:v>
      </x:c>
      <x:c r="H302" s="7" t="n">
        <x:f>COUNTIFS('唯一词标签'!$V$2:$V$1441,A302,'唯一词标签'!$U$2:$U$1441,"low")</x:f>
        <x:v>0</x:v>
      </x:c>
      <x:c r="I302" s="7" t="n">
        <x:f>COUNTIFS('唯一词标签'!$V$2:$V$1441,A302,'唯一词标签'!$AB$2:$AB$1441,"needs_review")</x:f>
        <x:v>0</x:v>
      </x:c>
    </x:row>
    <x:row r="303" ht="22" customHeight="1">
      <x:c r="A303" s="7" t="str">
        <x:v>flat_thong_arch_support</x:v>
      </x:c>
      <x:c r="B303" s="7" t="n">
        <x:f>COUNTIF('唯一词标签'!$V$2:$V$1441,A303)</x:f>
        <x:v>1</x:v>
      </x:c>
      <x:c r="C303" s="55" t="n">
        <x:f>B303/COUNTA('唯一词标签'!$C$2:$C$1441)</x:f>
        <x:v>0.0006944444444444445</x:v>
      </x:c>
      <x:c r="D303" s="7" t="n">
        <x:f>COUNTIFS('唯一词标签'!$V$2:$V$1441,A303,'唯一词标签'!$Z$2:$Z$1441,"match")</x:f>
        <x:v>1</x:v>
      </x:c>
      <x:c r="E303" s="7" t="n">
        <x:f>COUNTIFS('唯一词标签'!$V$2:$V$1441,A303,'唯一词标签'!$Z$2:$Z$1441,"partial_match")</x:f>
        <x:v>0</x:v>
      </x:c>
      <x:c r="F303" s="7" t="n">
        <x:f>COUNTIFS('唯一词标签'!$V$2:$V$1441,A303,'唯一词标签'!$Z$2:$Z$1441,"mismatch")</x:f>
        <x:v>0</x:v>
      </x:c>
      <x:c r="G303" s="7" t="n">
        <x:f>COUNTIFS('唯一词标签'!$V$2:$V$1441,A303,'唯一词标签'!$Z$2:$Z$1441,"unknown")</x:f>
        <x:v>0</x:v>
      </x:c>
      <x:c r="H303" s="7" t="n">
        <x:f>COUNTIFS('唯一词标签'!$V$2:$V$1441,A303,'唯一词标签'!$U$2:$U$1441,"low")</x:f>
        <x:v>0</x:v>
      </x:c>
      <x:c r="I303" s="7" t="n">
        <x:f>COUNTIFS('唯一词标签'!$V$2:$V$1441,A303,'唯一词标签'!$AB$2:$AB$1441,"needs_review")</x:f>
        <x:v>0</x:v>
      </x:c>
    </x:row>
    <x:row r="304" ht="22" customHeight="1">
      <x:c r="A304" s="7" t="str">
        <x:v>flip_flop_arch_support</x:v>
      </x:c>
      <x:c r="B304" s="7" t="n">
        <x:f>COUNTIF('唯一词标签'!$V$2:$V$1441,A304)</x:f>
        <x:v>1</x:v>
      </x:c>
      <x:c r="C304" s="55" t="n">
        <x:f>B304/COUNTA('唯一词标签'!$C$2:$C$1441)</x:f>
        <x:v>0.0006944444444444445</x:v>
      </x:c>
      <x:c r="D304" s="7" t="n">
        <x:f>COUNTIFS('唯一词标签'!$V$2:$V$1441,A304,'唯一词标签'!$Z$2:$Z$1441,"match")</x:f>
        <x:v>1</x:v>
      </x:c>
      <x:c r="E304" s="7" t="n">
        <x:f>COUNTIFS('唯一词标签'!$V$2:$V$1441,A304,'唯一词标签'!$Z$2:$Z$1441,"partial_match")</x:f>
        <x:v>0</x:v>
      </x:c>
      <x:c r="F304" s="7" t="n">
        <x:f>COUNTIFS('唯一词标签'!$V$2:$V$1441,A304,'唯一词标签'!$Z$2:$Z$1441,"mismatch")</x:f>
        <x:v>0</x:v>
      </x:c>
      <x:c r="G304" s="7" t="n">
        <x:f>COUNTIFS('唯一词标签'!$V$2:$V$1441,A304,'唯一词标签'!$Z$2:$Z$1441,"unknown")</x:f>
        <x:v>0</x:v>
      </x:c>
      <x:c r="H304" s="7" t="n">
        <x:f>COUNTIFS('唯一词标签'!$V$2:$V$1441,A304,'唯一词标签'!$U$2:$U$1441,"low")</x:f>
        <x:v>0</x:v>
      </x:c>
      <x:c r="I304" s="7" t="n">
        <x:f>COUNTIFS('唯一词标签'!$V$2:$V$1441,A304,'唯一词标签'!$AB$2:$AB$1441,"needs_review")</x:f>
        <x:v>0</x:v>
      </x:c>
    </x:row>
    <x:row r="305" ht="22" customHeight="1">
      <x:c r="A305" s="7" t="str">
        <x:v>flip_flop_leg_pain</x:v>
      </x:c>
      <x:c r="B305" s="7" t="n">
        <x:f>COUNTIF('唯一词标签'!$V$2:$V$1441,A305)</x:f>
        <x:v>1</x:v>
      </x:c>
      <x:c r="C305" s="55" t="n">
        <x:f>B305/COUNTA('唯一词标签'!$C$2:$C$1441)</x:f>
        <x:v>0.0006944444444444445</x:v>
      </x:c>
      <x:c r="D305" s="7" t="n">
        <x:f>COUNTIFS('唯一词标签'!$V$2:$V$1441,A305,'唯一词标签'!$Z$2:$Z$1441,"match")</x:f>
        <x:v>0</x:v>
      </x:c>
      <x:c r="E305" s="7" t="n">
        <x:f>COUNTIFS('唯一词标签'!$V$2:$V$1441,A305,'唯一词标签'!$Z$2:$Z$1441,"partial_match")</x:f>
        <x:v>1</x:v>
      </x:c>
      <x:c r="F305" s="7" t="n">
        <x:f>COUNTIFS('唯一词标签'!$V$2:$V$1441,A305,'唯一词标签'!$Z$2:$Z$1441,"mismatch")</x:f>
        <x:v>0</x:v>
      </x:c>
      <x:c r="G305" s="7" t="n">
        <x:f>COUNTIFS('唯一词标签'!$V$2:$V$1441,A305,'唯一词标签'!$Z$2:$Z$1441,"unknown")</x:f>
        <x:v>0</x:v>
      </x:c>
      <x:c r="H305" s="7" t="n">
        <x:f>COUNTIFS('唯一词标签'!$V$2:$V$1441,A305,'唯一词标签'!$U$2:$U$1441,"low")</x:f>
        <x:v>0</x:v>
      </x:c>
      <x:c r="I305" s="7" t="n">
        <x:f>COUNTIFS('唯一词标签'!$V$2:$V$1441,A305,'唯一词标签'!$AB$2:$AB$1441,"needs_review")</x:f>
        <x:v>0</x:v>
      </x:c>
    </x:row>
    <x:row r="306" ht="22" customHeight="1">
      <x:c r="A306" s="7" t="str">
        <x:v>flip_flops</x:v>
      </x:c>
      <x:c r="B306" s="7" t="n">
        <x:f>COUNTIF('唯一词标签'!$V$2:$V$1441,A306)</x:f>
        <x:v>1</x:v>
      </x:c>
      <x:c r="C306" s="55" t="n">
        <x:f>B306/COUNTA('唯一词标签'!$C$2:$C$1441)</x:f>
        <x:v>0.0006944444444444445</x:v>
      </x:c>
      <x:c r="D306" s="7" t="n">
        <x:f>COUNTIFS('唯一词标签'!$V$2:$V$1441,A306,'唯一词标签'!$Z$2:$Z$1441,"match")</x:f>
        <x:v>1</x:v>
      </x:c>
      <x:c r="E306" s="7" t="n">
        <x:f>COUNTIFS('唯一词标签'!$V$2:$V$1441,A306,'唯一词标签'!$Z$2:$Z$1441,"partial_match")</x:f>
        <x:v>0</x:v>
      </x:c>
      <x:c r="F306" s="7" t="n">
        <x:f>COUNTIFS('唯一词标签'!$V$2:$V$1441,A306,'唯一词标签'!$Z$2:$Z$1441,"mismatch")</x:f>
        <x:v>0</x:v>
      </x:c>
      <x:c r="G306" s="7" t="n">
        <x:f>COUNTIFS('唯一词标签'!$V$2:$V$1441,A306,'唯一词标签'!$Z$2:$Z$1441,"unknown")</x:f>
        <x:v>0</x:v>
      </x:c>
      <x:c r="H306" s="7" t="n">
        <x:f>COUNTIFS('唯一词标签'!$V$2:$V$1441,A306,'唯一词标签'!$U$2:$U$1441,"low")</x:f>
        <x:v>0</x:v>
      </x:c>
      <x:c r="I306" s="7" t="n">
        <x:f>COUNTIFS('唯一词标签'!$V$2:$V$1441,A306,'唯一词标签'!$AB$2:$AB$1441,"needs_review")</x:f>
        <x:v>0</x:v>
      </x:c>
    </x:row>
    <x:row r="307" ht="22" customHeight="1">
      <x:c r="A307" s="7" t="str">
        <x:v>flip_flops_ambiguous_modifier</x:v>
      </x:c>
      <x:c r="B307" s="7" t="n">
        <x:f>COUNTIF('唯一词标签'!$V$2:$V$1441,A307)</x:f>
        <x:v>1</x:v>
      </x:c>
      <x:c r="C307" s="55" t="n">
        <x:f>B307/COUNTA('唯一词标签'!$C$2:$C$1441)</x:f>
        <x:v>0.0006944444444444445</x:v>
      </x:c>
      <x:c r="D307" s="7" t="n">
        <x:f>COUNTIFS('唯一词标签'!$V$2:$V$1441,A307,'唯一词标签'!$Z$2:$Z$1441,"match")</x:f>
        <x:v>0</x:v>
      </x:c>
      <x:c r="E307" s="7" t="n">
        <x:f>COUNTIFS('唯一词标签'!$V$2:$V$1441,A307,'唯一词标签'!$Z$2:$Z$1441,"partial_match")</x:f>
        <x:v>0</x:v>
      </x:c>
      <x:c r="F307" s="7" t="n">
        <x:f>COUNTIFS('唯一词标签'!$V$2:$V$1441,A307,'唯一词标签'!$Z$2:$Z$1441,"mismatch")</x:f>
        <x:v>0</x:v>
      </x:c>
      <x:c r="G307" s="7" t="n">
        <x:f>COUNTIFS('唯一词标签'!$V$2:$V$1441,A307,'唯一词标签'!$Z$2:$Z$1441,"unknown")</x:f>
        <x:v>1</x:v>
      </x:c>
      <x:c r="H307" s="7" t="n">
        <x:f>COUNTIFS('唯一词标签'!$V$2:$V$1441,A307,'唯一词标签'!$U$2:$U$1441,"low")</x:f>
        <x:v>1</x:v>
      </x:c>
      <x:c r="I307" s="7" t="n">
        <x:f>COUNTIFS('唯一词标签'!$V$2:$V$1441,A307,'唯一词标签'!$AB$2:$AB$1441,"needs_review")</x:f>
        <x:v>0</x:v>
      </x:c>
    </x:row>
    <x:row r="308" ht="22" customHeight="1">
      <x:c r="A308" s="7" t="str">
        <x:v>flip_flops_arch_support</x:v>
      </x:c>
      <x:c r="B308" s="7" t="n">
        <x:f>COUNTIF('唯一词标签'!$V$2:$V$1441,A308)</x:f>
        <x:v>3</x:v>
      </x:c>
      <x:c r="C308" s="55" t="n">
        <x:f>B308/COUNTA('唯一词标签'!$C$2:$C$1441)</x:f>
        <x:v>0.0020833333333333333</x:v>
      </x:c>
      <x:c r="D308" s="7" t="n">
        <x:f>COUNTIFS('唯一词标签'!$V$2:$V$1441,A308,'唯一词标签'!$Z$2:$Z$1441,"match")</x:f>
        <x:v>3</x:v>
      </x:c>
      <x:c r="E308" s="7" t="n">
        <x:f>COUNTIFS('唯一词标签'!$V$2:$V$1441,A308,'唯一词标签'!$Z$2:$Z$1441,"partial_match")</x:f>
        <x:v>0</x:v>
      </x:c>
      <x:c r="F308" s="7" t="n">
        <x:f>COUNTIFS('唯一词标签'!$V$2:$V$1441,A308,'唯一词标签'!$Z$2:$Z$1441,"mismatch")</x:f>
        <x:v>0</x:v>
      </x:c>
      <x:c r="G308" s="7" t="n">
        <x:f>COUNTIFS('唯一词标签'!$V$2:$V$1441,A308,'唯一词标签'!$Z$2:$Z$1441,"unknown")</x:f>
        <x:v>0</x:v>
      </x:c>
      <x:c r="H308" s="7" t="n">
        <x:f>COUNTIFS('唯一词标签'!$V$2:$V$1441,A308,'唯一词标签'!$U$2:$U$1441,"low")</x:f>
        <x:v>0</x:v>
      </x:c>
      <x:c r="I308" s="7" t="n">
        <x:f>COUNTIFS('唯一词标签'!$V$2:$V$1441,A308,'唯一词标签'!$AB$2:$AB$1441,"needs_review")</x:f>
        <x:v>0</x:v>
      </x:c>
    </x:row>
    <x:row r="309" ht="22" customHeight="1">
      <x:c r="A309" s="7" t="str">
        <x:v>flip_flops_back_strap</x:v>
      </x:c>
      <x:c r="B309" s="7" t="n">
        <x:f>COUNTIF('唯一词标签'!$V$2:$V$1441,A309)</x:f>
        <x:v>1</x:v>
      </x:c>
      <x:c r="C309" s="55" t="n">
        <x:f>B309/COUNTA('唯一词标签'!$C$2:$C$1441)</x:f>
        <x:v>0.0006944444444444445</x:v>
      </x:c>
      <x:c r="D309" s="7" t="n">
        <x:f>COUNTIFS('唯一词标签'!$V$2:$V$1441,A309,'唯一词标签'!$Z$2:$Z$1441,"match")</x:f>
        <x:v>0</x:v>
      </x:c>
      <x:c r="E309" s="7" t="n">
        <x:f>COUNTIFS('唯一词标签'!$V$2:$V$1441,A309,'唯一词标签'!$Z$2:$Z$1441,"partial_match")</x:f>
        <x:v>0</x:v>
      </x:c>
      <x:c r="F309" s="7" t="n">
        <x:f>COUNTIFS('唯一词标签'!$V$2:$V$1441,A309,'唯一词标签'!$Z$2:$Z$1441,"mismatch")</x:f>
        <x:v>1</x:v>
      </x:c>
      <x:c r="G309" s="7" t="n">
        <x:f>COUNTIFS('唯一词标签'!$V$2:$V$1441,A309,'唯一词标签'!$Z$2:$Z$1441,"unknown")</x:f>
        <x:v>0</x:v>
      </x:c>
      <x:c r="H309" s="7" t="n">
        <x:f>COUNTIFS('唯一词标签'!$V$2:$V$1441,A309,'唯一词标签'!$U$2:$U$1441,"low")</x:f>
        <x:v>0</x:v>
      </x:c>
      <x:c r="I309" s="7" t="n">
        <x:f>COUNTIFS('唯一词标签'!$V$2:$V$1441,A309,'唯一词标签'!$AB$2:$AB$1441,"needs_review")</x:f>
        <x:v>0</x:v>
      </x:c>
    </x:row>
    <x:row r="310" ht="22" customHeight="1">
      <x:c r="A310" s="7" t="str">
        <x:v>flip_flops_brand_archies</x:v>
      </x:c>
      <x:c r="B310" s="7" t="n">
        <x:f>COUNTIF('唯一词标签'!$V$2:$V$1441,A310)</x:f>
        <x:v>1</x:v>
      </x:c>
      <x:c r="C310" s="55" t="n">
        <x:f>B310/COUNTA('唯一词标签'!$C$2:$C$1441)</x:f>
        <x:v>0.0006944444444444445</x:v>
      </x:c>
      <x:c r="D310" s="7" t="n">
        <x:f>COUNTIFS('唯一词标签'!$V$2:$V$1441,A310,'唯一词标签'!$Z$2:$Z$1441,"match")</x:f>
        <x:v>0</x:v>
      </x:c>
      <x:c r="E310" s="7" t="n">
        <x:f>COUNTIFS('唯一词标签'!$V$2:$V$1441,A310,'唯一词标签'!$Z$2:$Z$1441,"partial_match")</x:f>
        <x:v>0</x:v>
      </x:c>
      <x:c r="F310" s="7" t="n">
        <x:f>COUNTIFS('唯一词标签'!$V$2:$V$1441,A310,'唯一词标签'!$Z$2:$Z$1441,"mismatch")</x:f>
        <x:v>1</x:v>
      </x:c>
      <x:c r="G310" s="7" t="n">
        <x:f>COUNTIFS('唯一词标签'!$V$2:$V$1441,A310,'唯一词标签'!$Z$2:$Z$1441,"unknown")</x:f>
        <x:v>0</x:v>
      </x:c>
      <x:c r="H310" s="7" t="n">
        <x:f>COUNTIFS('唯一词标签'!$V$2:$V$1441,A310,'唯一词标签'!$U$2:$U$1441,"low")</x:f>
        <x:v>0</x:v>
      </x:c>
      <x:c r="I310" s="7" t="n">
        <x:f>COUNTIFS('唯一词标签'!$V$2:$V$1441,A310,'唯一词标签'!$AB$2:$AB$1441,"needs_review")</x:f>
        <x:v>0</x:v>
      </x:c>
    </x:row>
    <x:row r="311" ht="22" customHeight="1">
      <x:c r="A311" s="7" t="str">
        <x:v>flip_flops_brand_shevalues</x:v>
      </x:c>
      <x:c r="B311" s="7" t="n">
        <x:f>COUNTIF('唯一词标签'!$V$2:$V$1441,A311)</x:f>
        <x:v>1</x:v>
      </x:c>
      <x:c r="C311" s="55" t="n">
        <x:f>B311/COUNTA('唯一词标签'!$C$2:$C$1441)</x:f>
        <x:v>0.0006944444444444445</x:v>
      </x:c>
      <x:c r="D311" s="7" t="n">
        <x:f>COUNTIFS('唯一词标签'!$V$2:$V$1441,A311,'唯一词标签'!$Z$2:$Z$1441,"match")</x:f>
        <x:v>0</x:v>
      </x:c>
      <x:c r="E311" s="7" t="n">
        <x:f>COUNTIFS('唯一词标签'!$V$2:$V$1441,A311,'唯一词标签'!$Z$2:$Z$1441,"partial_match")</x:f>
        <x:v>0</x:v>
      </x:c>
      <x:c r="F311" s="7" t="n">
        <x:f>COUNTIFS('唯一词标签'!$V$2:$V$1441,A311,'唯一词标签'!$Z$2:$Z$1441,"mismatch")</x:f>
        <x:v>1</x:v>
      </x:c>
      <x:c r="G311" s="7" t="n">
        <x:f>COUNTIFS('唯一词标签'!$V$2:$V$1441,A311,'唯一词标签'!$Z$2:$Z$1441,"unknown")</x:f>
        <x:v>0</x:v>
      </x:c>
      <x:c r="H311" s="7" t="n">
        <x:f>COUNTIFS('唯一词标签'!$V$2:$V$1441,A311,'唯一词标签'!$U$2:$U$1441,"low")</x:f>
        <x:v>0</x:v>
      </x:c>
      <x:c r="I311" s="7" t="n">
        <x:f>COUNTIFS('唯一词标签'!$V$2:$V$1441,A311,'唯一词标签'!$AB$2:$AB$1441,"needs_review")</x:f>
        <x:v>0</x:v>
      </x:c>
    </x:row>
    <x:row r="312" ht="22" customHeight="1">
      <x:c r="A312" s="7" t="str">
        <x:v>flip_flops_brand_soda</x:v>
      </x:c>
      <x:c r="B312" s="7" t="n">
        <x:f>COUNTIF('唯一词标签'!$V$2:$V$1441,A312)</x:f>
        <x:v>1</x:v>
      </x:c>
      <x:c r="C312" s="55" t="n">
        <x:f>B312/COUNTA('唯一词标签'!$C$2:$C$1441)</x:f>
        <x:v>0.0006944444444444445</x:v>
      </x:c>
      <x:c r="D312" s="7" t="n">
        <x:f>COUNTIFS('唯一词标签'!$V$2:$V$1441,A312,'唯一词标签'!$Z$2:$Z$1441,"match")</x:f>
        <x:v>0</x:v>
      </x:c>
      <x:c r="E312" s="7" t="n">
        <x:f>COUNTIFS('唯一词标签'!$V$2:$V$1441,A312,'唯一词标签'!$Z$2:$Z$1441,"partial_match")</x:f>
        <x:v>0</x:v>
      </x:c>
      <x:c r="F312" s="7" t="n">
        <x:f>COUNTIFS('唯一词标签'!$V$2:$V$1441,A312,'唯一词标签'!$Z$2:$Z$1441,"mismatch")</x:f>
        <x:v>1</x:v>
      </x:c>
      <x:c r="G312" s="7" t="n">
        <x:f>COUNTIFS('唯一词标签'!$V$2:$V$1441,A312,'唯一词标签'!$Z$2:$Z$1441,"unknown")</x:f>
        <x:v>0</x:v>
      </x:c>
      <x:c r="H312" s="7" t="n">
        <x:f>COUNTIFS('唯一词标签'!$V$2:$V$1441,A312,'唯一词标签'!$U$2:$U$1441,"low")</x:f>
        <x:v>0</x:v>
      </x:c>
      <x:c r="I312" s="7" t="n">
        <x:f>COUNTIFS('唯一词标签'!$V$2:$V$1441,A312,'唯一词标签'!$AB$2:$AB$1441,"needs_review")</x:f>
        <x:v>0</x:v>
      </x:c>
    </x:row>
    <x:row r="313" ht="22" customHeight="1">
      <x:c r="A313" s="7" t="str">
        <x:v>flip_flops_brand_tek_gear</x:v>
      </x:c>
      <x:c r="B313" s="7" t="n">
        <x:f>COUNTIF('唯一词标签'!$V$2:$V$1441,A313)</x:f>
        <x:v>1</x:v>
      </x:c>
      <x:c r="C313" s="55" t="n">
        <x:f>B313/COUNTA('唯一词标签'!$C$2:$C$1441)</x:f>
        <x:v>0.0006944444444444445</x:v>
      </x:c>
      <x:c r="D313" s="7" t="n">
        <x:f>COUNTIFS('唯一词标签'!$V$2:$V$1441,A313,'唯一词标签'!$Z$2:$Z$1441,"match")</x:f>
        <x:v>0</x:v>
      </x:c>
      <x:c r="E313" s="7" t="n">
        <x:f>COUNTIFS('唯一词标签'!$V$2:$V$1441,A313,'唯一词标签'!$Z$2:$Z$1441,"partial_match")</x:f>
        <x:v>0</x:v>
      </x:c>
      <x:c r="F313" s="7" t="n">
        <x:f>COUNTIFS('唯一词标签'!$V$2:$V$1441,A313,'唯一词标签'!$Z$2:$Z$1441,"mismatch")</x:f>
        <x:v>1</x:v>
      </x:c>
      <x:c r="G313" s="7" t="n">
        <x:f>COUNTIFS('唯一词标签'!$V$2:$V$1441,A313,'唯一词标签'!$Z$2:$Z$1441,"unknown")</x:f>
        <x:v>0</x:v>
      </x:c>
      <x:c r="H313" s="7" t="n">
        <x:f>COUNTIFS('唯一词标签'!$V$2:$V$1441,A313,'唯一词标签'!$U$2:$U$1441,"low")</x:f>
        <x:v>0</x:v>
      </x:c>
      <x:c r="I313" s="7" t="n">
        <x:f>COUNTIFS('唯一词标签'!$V$2:$V$1441,A313,'唯一词标签'!$AB$2:$AB$1441,"needs_review")</x:f>
        <x:v>0</x:v>
      </x:c>
    </x:row>
    <x:row r="314" ht="22" customHeight="1">
      <x:c r="A314" s="7" t="str">
        <x:v>flip_flops_by_color</x:v>
      </x:c>
      <x:c r="B314" s="7" t="n">
        <x:f>COUNTIF('唯一词标签'!$V$2:$V$1441,A314)</x:f>
        <x:v>2</x:v>
      </x:c>
      <x:c r="C314" s="55" t="n">
        <x:f>B314/COUNTA('唯一词标签'!$C$2:$C$1441)</x:f>
        <x:v>0.001388888888888889</x:v>
      </x:c>
      <x:c r="D314" s="7" t="n">
        <x:f>COUNTIFS('唯一词标签'!$V$2:$V$1441,A314,'唯一词标签'!$Z$2:$Z$1441,"match")</x:f>
        <x:v>0</x:v>
      </x:c>
      <x:c r="E314" s="7" t="n">
        <x:f>COUNTIFS('唯一词标签'!$V$2:$V$1441,A314,'唯一词标签'!$Z$2:$Z$1441,"partial_match")</x:f>
        <x:v>2</x:v>
      </x:c>
      <x:c r="F314" s="7" t="n">
        <x:f>COUNTIFS('唯一词标签'!$V$2:$V$1441,A314,'唯一词标签'!$Z$2:$Z$1441,"mismatch")</x:f>
        <x:v>0</x:v>
      </x:c>
      <x:c r="G314" s="7" t="n">
        <x:f>COUNTIFS('唯一词标签'!$V$2:$V$1441,A314,'唯一词标签'!$Z$2:$Z$1441,"unknown")</x:f>
        <x:v>0</x:v>
      </x:c>
      <x:c r="H314" s="7" t="n">
        <x:f>COUNTIFS('唯一词标签'!$V$2:$V$1441,A314,'唯一词标签'!$U$2:$U$1441,"low")</x:f>
        <x:v>0</x:v>
      </x:c>
      <x:c r="I314" s="7" t="n">
        <x:f>COUNTIFS('唯一词标签'!$V$2:$V$1441,A314,'唯一词标签'!$AB$2:$AB$1441,"needs_review")</x:f>
        <x:v>0</x:v>
      </x:c>
    </x:row>
    <x:row r="315" ht="22" customHeight="1">
      <x:c r="A315" s="7" t="str">
        <x:v>flip_flops_by_size</x:v>
      </x:c>
      <x:c r="B315" s="7" t="n">
        <x:f>COUNTIF('唯一词标签'!$V$2:$V$1441,A315)</x:f>
        <x:v>1</x:v>
      </x:c>
      <x:c r="C315" s="55" t="n">
        <x:f>B315/COUNTA('唯一词标签'!$C$2:$C$1441)</x:f>
        <x:v>0.0006944444444444445</x:v>
      </x:c>
      <x:c r="D315" s="7" t="n">
        <x:f>COUNTIFS('唯一词标签'!$V$2:$V$1441,A315,'唯一词标签'!$Z$2:$Z$1441,"match")</x:f>
        <x:v>0</x:v>
      </x:c>
      <x:c r="E315" s="7" t="n">
        <x:f>COUNTIFS('唯一词标签'!$V$2:$V$1441,A315,'唯一词标签'!$Z$2:$Z$1441,"partial_match")</x:f>
        <x:v>1</x:v>
      </x:c>
      <x:c r="F315" s="7" t="n">
        <x:f>COUNTIFS('唯一词标签'!$V$2:$V$1441,A315,'唯一词标签'!$Z$2:$Z$1441,"mismatch")</x:f>
        <x:v>0</x:v>
      </x:c>
      <x:c r="G315" s="7" t="n">
        <x:f>COUNTIFS('唯一词标签'!$V$2:$V$1441,A315,'唯一词标签'!$Z$2:$Z$1441,"unknown")</x:f>
        <x:v>0</x:v>
      </x:c>
      <x:c r="H315" s="7" t="n">
        <x:f>COUNTIFS('唯一词标签'!$V$2:$V$1441,A315,'唯一词标签'!$U$2:$U$1441,"low")</x:f>
        <x:v>0</x:v>
      </x:c>
      <x:c r="I315" s="7" t="n">
        <x:f>COUNTIFS('唯一词标签'!$V$2:$V$1441,A315,'唯一词标签'!$AB$2:$AB$1441,"needs_review")</x:f>
        <x:v>0</x:v>
      </x:c>
    </x:row>
    <x:row r="316" ht="22" customHeight="1">
      <x:c r="A316" s="7" t="str">
        <x:v>flip_flops_color</x:v>
      </x:c>
      <x:c r="B316" s="7" t="n">
        <x:f>COUNTIF('唯一词标签'!$V$2:$V$1441,A316)</x:f>
        <x:v>6</x:v>
      </x:c>
      <x:c r="C316" s="55" t="n">
        <x:f>B316/COUNTA('唯一词标签'!$C$2:$C$1441)</x:f>
        <x:v>0.004166666666666667</x:v>
      </x:c>
      <x:c r="D316" s="7" t="n">
        <x:f>COUNTIFS('唯一词标签'!$V$2:$V$1441,A316,'唯一词标签'!$Z$2:$Z$1441,"match")</x:f>
        <x:v>4</x:v>
      </x:c>
      <x:c r="E316" s="7" t="n">
        <x:f>COUNTIFS('唯一词标签'!$V$2:$V$1441,A316,'唯一词标签'!$Z$2:$Z$1441,"partial_match")</x:f>
        <x:v>2</x:v>
      </x:c>
      <x:c r="F316" s="7" t="n">
        <x:f>COUNTIFS('唯一词标签'!$V$2:$V$1441,A316,'唯一词标签'!$Z$2:$Z$1441,"mismatch")</x:f>
        <x:v>0</x:v>
      </x:c>
      <x:c r="G316" s="7" t="n">
        <x:f>COUNTIFS('唯一词标签'!$V$2:$V$1441,A316,'唯一词标签'!$Z$2:$Z$1441,"unknown")</x:f>
        <x:v>0</x:v>
      </x:c>
      <x:c r="H316" s="7" t="n">
        <x:f>COUNTIFS('唯一词标签'!$V$2:$V$1441,A316,'唯一词标签'!$U$2:$U$1441,"low")</x:f>
        <x:v>0</x:v>
      </x:c>
      <x:c r="I316" s="7" t="n">
        <x:f>COUNTIFS('唯一词标签'!$V$2:$V$1441,A316,'唯一词标签'!$AB$2:$AB$1441,"needs_review")</x:f>
        <x:v>0</x:v>
      </x:c>
    </x:row>
    <x:row r="317" ht="22" customHeight="1">
      <x:c r="A317" s="7" t="str">
        <x:v>flip_flops_color_aesthetic</x:v>
      </x:c>
      <x:c r="B317" s="7" t="n">
        <x:f>COUNTIF('唯一词标签'!$V$2:$V$1441,A317)</x:f>
        <x:v>1</x:v>
      </x:c>
      <x:c r="C317" s="55" t="n">
        <x:f>B317/COUNTA('唯一词标签'!$C$2:$C$1441)</x:f>
        <x:v>0.0006944444444444445</x:v>
      </x:c>
      <x:c r="D317" s="7" t="n">
        <x:f>COUNTIFS('唯一词标签'!$V$2:$V$1441,A317,'唯一词标签'!$Z$2:$Z$1441,"match")</x:f>
        <x:v>0</x:v>
      </x:c>
      <x:c r="E317" s="7" t="n">
        <x:f>COUNTIFS('唯一词标签'!$V$2:$V$1441,A317,'唯一词标签'!$Z$2:$Z$1441,"partial_match")</x:f>
        <x:v>1</x:v>
      </x:c>
      <x:c r="F317" s="7" t="n">
        <x:f>COUNTIFS('唯一词标签'!$V$2:$V$1441,A317,'唯一词标签'!$Z$2:$Z$1441,"mismatch")</x:f>
        <x:v>0</x:v>
      </x:c>
      <x:c r="G317" s="7" t="n">
        <x:f>COUNTIFS('唯一词标签'!$V$2:$V$1441,A317,'唯一词标签'!$Z$2:$Z$1441,"unknown")</x:f>
        <x:v>0</x:v>
      </x:c>
      <x:c r="H317" s="7" t="n">
        <x:f>COUNTIFS('唯一词标签'!$V$2:$V$1441,A317,'唯一词标签'!$U$2:$U$1441,"low")</x:f>
        <x:v>0</x:v>
      </x:c>
      <x:c r="I317" s="7" t="n">
        <x:f>COUNTIFS('唯一词标签'!$V$2:$V$1441,A317,'唯一词标签'!$AB$2:$AB$1441,"needs_review")</x:f>
        <x:v>0</x:v>
      </x:c>
    </x:row>
    <x:row r="318" ht="22" customHeight="1">
      <x:c r="A318" s="7" t="str">
        <x:v>flip_flops_color_light_pink</x:v>
      </x:c>
      <x:c r="B318" s="7" t="n">
        <x:f>COUNTIF('唯一词标签'!$V$2:$V$1441,A318)</x:f>
        <x:v>1</x:v>
      </x:c>
      <x:c r="C318" s="55" t="n">
        <x:f>B318/COUNTA('唯一词标签'!$C$2:$C$1441)</x:f>
        <x:v>0.0006944444444444445</x:v>
      </x:c>
      <x:c r="D318" s="7" t="n">
        <x:f>COUNTIFS('唯一词标签'!$V$2:$V$1441,A318,'唯一词标签'!$Z$2:$Z$1441,"match")</x:f>
        <x:v>1</x:v>
      </x:c>
      <x:c r="E318" s="7" t="n">
        <x:f>COUNTIFS('唯一词标签'!$V$2:$V$1441,A318,'唯一词标签'!$Z$2:$Z$1441,"partial_match")</x:f>
        <x:v>0</x:v>
      </x:c>
      <x:c r="F318" s="7" t="n">
        <x:f>COUNTIFS('唯一词标签'!$V$2:$V$1441,A318,'唯一词标签'!$Z$2:$Z$1441,"mismatch")</x:f>
        <x:v>0</x:v>
      </x:c>
      <x:c r="G318" s="7" t="n">
        <x:f>COUNTIFS('唯一词标签'!$V$2:$V$1441,A318,'唯一词标签'!$Z$2:$Z$1441,"unknown")</x:f>
        <x:v>0</x:v>
      </x:c>
      <x:c r="H318" s="7" t="n">
        <x:f>COUNTIFS('唯一词标签'!$V$2:$V$1441,A318,'唯一词标签'!$U$2:$U$1441,"low")</x:f>
        <x:v>0</x:v>
      </x:c>
      <x:c r="I318" s="7" t="n">
        <x:f>COUNTIFS('唯一词标签'!$V$2:$V$1441,A318,'唯一词标签'!$AB$2:$AB$1441,"needs_review")</x:f>
        <x:v>0</x:v>
      </x:c>
    </x:row>
    <x:row r="319" ht="22" customHeight="1">
      <x:c r="A319" s="7" t="str">
        <x:v>flip_flops_color_pink</x:v>
      </x:c>
      <x:c r="B319" s="7" t="n">
        <x:f>COUNTIF('唯一词标签'!$V$2:$V$1441,A319)</x:f>
        <x:v>1</x:v>
      </x:c>
      <x:c r="C319" s="55" t="n">
        <x:f>B319/COUNTA('唯一词标签'!$C$2:$C$1441)</x:f>
        <x:v>0.0006944444444444445</x:v>
      </x:c>
      <x:c r="D319" s="7" t="n">
        <x:f>COUNTIFS('唯一词标签'!$V$2:$V$1441,A319,'唯一词标签'!$Z$2:$Z$1441,"match")</x:f>
        <x:v>1</x:v>
      </x:c>
      <x:c r="E319" s="7" t="n">
        <x:f>COUNTIFS('唯一词标签'!$V$2:$V$1441,A319,'唯一词标签'!$Z$2:$Z$1441,"partial_match")</x:f>
        <x:v>0</x:v>
      </x:c>
      <x:c r="F319" s="7" t="n">
        <x:f>COUNTIFS('唯一词标签'!$V$2:$V$1441,A319,'唯一词标签'!$Z$2:$Z$1441,"mismatch")</x:f>
        <x:v>0</x:v>
      </x:c>
      <x:c r="G319" s="7" t="n">
        <x:f>COUNTIFS('唯一词标签'!$V$2:$V$1441,A319,'唯一词标签'!$Z$2:$Z$1441,"unknown")</x:f>
        <x:v>0</x:v>
      </x:c>
      <x:c r="H319" s="7" t="n">
        <x:f>COUNTIFS('唯一词标签'!$V$2:$V$1441,A319,'唯一词标签'!$U$2:$U$1441,"low")</x:f>
        <x:v>0</x:v>
      </x:c>
      <x:c r="I319" s="7" t="n">
        <x:f>COUNTIFS('唯一词标签'!$V$2:$V$1441,A319,'唯一词标签'!$AB$2:$AB$1441,"needs_review")</x:f>
        <x:v>0</x:v>
      </x:c>
    </x:row>
    <x:row r="320" ht="22" customHeight="1">
      <x:c r="A320" s="7" t="str">
        <x:v>flip_flops_color_size</x:v>
      </x:c>
      <x:c r="B320" s="7" t="n">
        <x:f>COUNTIF('唯一词标签'!$V$2:$V$1441,A320)</x:f>
        <x:v>1</x:v>
      </x:c>
      <x:c r="C320" s="55" t="n">
        <x:f>B320/COUNTA('唯一词标签'!$C$2:$C$1441)</x:f>
        <x:v>0.0006944444444444445</x:v>
      </x:c>
      <x:c r="D320" s="7" t="n">
        <x:f>COUNTIFS('唯一词标签'!$V$2:$V$1441,A320,'唯一词标签'!$Z$2:$Z$1441,"match")</x:f>
        <x:v>0</x:v>
      </x:c>
      <x:c r="E320" s="7" t="n">
        <x:f>COUNTIFS('唯一词标签'!$V$2:$V$1441,A320,'唯一词标签'!$Z$2:$Z$1441,"partial_match")</x:f>
        <x:v>1</x:v>
      </x:c>
      <x:c r="F320" s="7" t="n">
        <x:f>COUNTIFS('唯一词标签'!$V$2:$V$1441,A320,'唯一词标签'!$Z$2:$Z$1441,"mismatch")</x:f>
        <x:v>0</x:v>
      </x:c>
      <x:c r="G320" s="7" t="n">
        <x:f>COUNTIFS('唯一词标签'!$V$2:$V$1441,A320,'唯一词标签'!$Z$2:$Z$1441,"unknown")</x:f>
        <x:v>0</x:v>
      </x:c>
      <x:c r="H320" s="7" t="n">
        <x:f>COUNTIFS('唯一词标签'!$V$2:$V$1441,A320,'唯一词标签'!$U$2:$U$1441,"low")</x:f>
        <x:v>0</x:v>
      </x:c>
      <x:c r="I320" s="7" t="n">
        <x:f>COUNTIFS('唯一词标签'!$V$2:$V$1441,A320,'唯一词标签'!$AB$2:$AB$1441,"needs_review")</x:f>
        <x:v>0</x:v>
      </x:c>
    </x:row>
    <x:row r="321" ht="22" customHeight="1">
      <x:c r="A321" s="7" t="str">
        <x:v>flip_flops_color_size_specific</x:v>
      </x:c>
      <x:c r="B321" s="7" t="n">
        <x:f>COUNTIF('唯一词标签'!$V$2:$V$1441,A321)</x:f>
        <x:v>1</x:v>
      </x:c>
      <x:c r="C321" s="55" t="n">
        <x:f>B321/COUNTA('唯一词标签'!$C$2:$C$1441)</x:f>
        <x:v>0.0006944444444444445</x:v>
      </x:c>
      <x:c r="D321" s="7" t="n">
        <x:f>COUNTIFS('唯一词标签'!$V$2:$V$1441,A321,'唯一词标签'!$Z$2:$Z$1441,"match")</x:f>
        <x:v>1</x:v>
      </x:c>
      <x:c r="E321" s="7" t="n">
        <x:f>COUNTIFS('唯一词标签'!$V$2:$V$1441,A321,'唯一词标签'!$Z$2:$Z$1441,"partial_match")</x:f>
        <x:v>0</x:v>
      </x:c>
      <x:c r="F321" s="7" t="n">
        <x:f>COUNTIFS('唯一词标签'!$V$2:$V$1441,A321,'唯一词标签'!$Z$2:$Z$1441,"mismatch")</x:f>
        <x:v>0</x:v>
      </x:c>
      <x:c r="G321" s="7" t="n">
        <x:f>COUNTIFS('唯一词标签'!$V$2:$V$1441,A321,'唯一词标签'!$Z$2:$Z$1441,"unknown")</x:f>
        <x:v>0</x:v>
      </x:c>
      <x:c r="H321" s="7" t="n">
        <x:f>COUNTIFS('唯一词标签'!$V$2:$V$1441,A321,'唯一词标签'!$U$2:$U$1441,"low")</x:f>
        <x:v>0</x:v>
      </x:c>
      <x:c r="I321" s="7" t="n">
        <x:f>COUNTIFS('唯一词标签'!$V$2:$V$1441,A321,'唯一词标签'!$AB$2:$AB$1441,"needs_review")</x:f>
        <x:v>0</x:v>
      </x:c>
    </x:row>
    <x:row r="322" ht="22" customHeight="1">
      <x:c r="A322" s="7" t="str">
        <x:v>flip_flops_fabric_straps</x:v>
      </x:c>
      <x:c r="B322" s="7" t="n">
        <x:f>COUNTIF('唯一词标签'!$V$2:$V$1441,A322)</x:f>
        <x:v>1</x:v>
      </x:c>
      <x:c r="C322" s="55" t="n">
        <x:f>B322/COUNTA('唯一词标签'!$C$2:$C$1441)</x:f>
        <x:v>0.0006944444444444445</x:v>
      </x:c>
      <x:c r="D322" s="7" t="n">
        <x:f>COUNTIFS('唯一词标签'!$V$2:$V$1441,A322,'唯一词标签'!$Z$2:$Z$1441,"match")</x:f>
        <x:v>0</x:v>
      </x:c>
      <x:c r="E322" s="7" t="n">
        <x:f>COUNTIFS('唯一词标签'!$V$2:$V$1441,A322,'唯一词标签'!$Z$2:$Z$1441,"partial_match")</x:f>
        <x:v>0</x:v>
      </x:c>
      <x:c r="F322" s="7" t="n">
        <x:f>COUNTIFS('唯一词标签'!$V$2:$V$1441,A322,'唯一词标签'!$Z$2:$Z$1441,"mismatch")</x:f>
        <x:v>1</x:v>
      </x:c>
      <x:c r="G322" s="7" t="n">
        <x:f>COUNTIFS('唯一词标签'!$V$2:$V$1441,A322,'唯一词标签'!$Z$2:$Z$1441,"unknown")</x:f>
        <x:v>0</x:v>
      </x:c>
      <x:c r="H322" s="7" t="n">
        <x:f>COUNTIFS('唯一词标签'!$V$2:$V$1441,A322,'唯一词标签'!$U$2:$U$1441,"low")</x:f>
        <x:v>0</x:v>
      </x:c>
      <x:c r="I322" s="7" t="n">
        <x:f>COUNTIFS('唯一词标签'!$V$2:$V$1441,A322,'唯一词标签'!$AB$2:$AB$1441,"needs_review")</x:f>
        <x:v>0</x:v>
      </x:c>
    </x:row>
    <x:row r="323" ht="22" customHeight="1">
      <x:c r="A323" s="7" t="str">
        <x:v>flip_flops_flat_feet</x:v>
      </x:c>
      <x:c r="B323" s="7" t="n">
        <x:f>COUNTIF('唯一词标签'!$V$2:$V$1441,A323)</x:f>
        <x:v>2</x:v>
      </x:c>
      <x:c r="C323" s="55" t="n">
        <x:f>B323/COUNTA('唯一词标签'!$C$2:$C$1441)</x:f>
        <x:v>0.001388888888888889</x:v>
      </x:c>
      <x:c r="D323" s="7" t="n">
        <x:f>COUNTIFS('唯一词标签'!$V$2:$V$1441,A323,'唯一词标签'!$Z$2:$Z$1441,"match")</x:f>
        <x:v>0</x:v>
      </x:c>
      <x:c r="E323" s="7" t="n">
        <x:f>COUNTIFS('唯一词标签'!$V$2:$V$1441,A323,'唯一词标签'!$Z$2:$Z$1441,"partial_match")</x:f>
        <x:v>2</x:v>
      </x:c>
      <x:c r="F323" s="7" t="n">
        <x:f>COUNTIFS('唯一词标签'!$V$2:$V$1441,A323,'唯一词标签'!$Z$2:$Z$1441,"mismatch")</x:f>
        <x:v>0</x:v>
      </x:c>
      <x:c r="G323" s="7" t="n">
        <x:f>COUNTIFS('唯一词标签'!$V$2:$V$1441,A323,'唯一词标签'!$Z$2:$Z$1441,"unknown")</x:f>
        <x:v>0</x:v>
      </x:c>
      <x:c r="H323" s="7" t="n">
        <x:f>COUNTIFS('唯一词标签'!$V$2:$V$1441,A323,'唯一词标签'!$U$2:$U$1441,"low")</x:f>
        <x:v>0</x:v>
      </x:c>
      <x:c r="I323" s="7" t="n">
        <x:f>COUNTIFS('唯一词标签'!$V$2:$V$1441,A323,'唯一词标签'!$AB$2:$AB$1441,"needs_review")</x:f>
        <x:v>0</x:v>
      </x:c>
    </x:row>
    <x:row r="324" ht="22" customHeight="1">
      <x:c r="A324" s="7" t="str">
        <x:v>flip_flops_for_pedicure</x:v>
      </x:c>
      <x:c r="B324" s="7" t="n">
        <x:f>COUNTIF('唯一词标签'!$V$2:$V$1441,A324)</x:f>
        <x:v>1</x:v>
      </x:c>
      <x:c r="C324" s="55" t="n">
        <x:f>B324/COUNTA('唯一词标签'!$C$2:$C$1441)</x:f>
        <x:v>0.0006944444444444445</x:v>
      </x:c>
      <x:c r="D324" s="7" t="n">
        <x:f>COUNTIFS('唯一词标签'!$V$2:$V$1441,A324,'唯一词标签'!$Z$2:$Z$1441,"match")</x:f>
        <x:v>1</x:v>
      </x:c>
      <x:c r="E324" s="7" t="n">
        <x:f>COUNTIFS('唯一词标签'!$V$2:$V$1441,A324,'唯一词标签'!$Z$2:$Z$1441,"partial_match")</x:f>
        <x:v>0</x:v>
      </x:c>
      <x:c r="F324" s="7" t="n">
        <x:f>COUNTIFS('唯一词标签'!$V$2:$V$1441,A324,'唯一词标签'!$Z$2:$Z$1441,"mismatch")</x:f>
        <x:v>0</x:v>
      </x:c>
      <x:c r="G324" s="7" t="n">
        <x:f>COUNTIFS('唯一词标签'!$V$2:$V$1441,A324,'唯一词标签'!$Z$2:$Z$1441,"unknown")</x:f>
        <x:v>0</x:v>
      </x:c>
      <x:c r="H324" s="7" t="n">
        <x:f>COUNTIFS('唯一词标签'!$V$2:$V$1441,A324,'唯一词标签'!$U$2:$U$1441,"low")</x:f>
        <x:v>0</x:v>
      </x:c>
      <x:c r="I324" s="7" t="n">
        <x:f>COUNTIFS('唯一词标签'!$V$2:$V$1441,A324,'唯一词标签'!$AB$2:$AB$1441,"needs_review")</x:f>
        <x:v>0</x:v>
      </x:c>
    </x:row>
    <x:row r="325" ht="22" customHeight="1">
      <x:c r="A325" s="7" t="str">
        <x:v>flip_flops_generic</x:v>
      </x:c>
      <x:c r="B325" s="7" t="n">
        <x:f>COUNTIF('唯一词标签'!$V$2:$V$1441,A325)</x:f>
        <x:v>1</x:v>
      </x:c>
      <x:c r="C325" s="55" t="n">
        <x:f>B325/COUNTA('唯一词标签'!$C$2:$C$1441)</x:f>
        <x:v>0.0006944444444444445</x:v>
      </x:c>
      <x:c r="D325" s="7" t="n">
        <x:f>COUNTIFS('唯一词标签'!$V$2:$V$1441,A325,'唯一词标签'!$Z$2:$Z$1441,"match")</x:f>
        <x:v>0</x:v>
      </x:c>
      <x:c r="E325" s="7" t="n">
        <x:f>COUNTIFS('唯一词标签'!$V$2:$V$1441,A325,'唯一词标签'!$Z$2:$Z$1441,"partial_match")</x:f>
        <x:v>0</x:v>
      </x:c>
      <x:c r="F325" s="7" t="n">
        <x:f>COUNTIFS('唯一词标签'!$V$2:$V$1441,A325,'唯一词标签'!$Z$2:$Z$1441,"mismatch")</x:f>
        <x:v>0</x:v>
      </x:c>
      <x:c r="G325" s="7" t="n">
        <x:f>COUNTIFS('唯一词标签'!$V$2:$V$1441,A325,'唯一词标签'!$Z$2:$Z$1441,"unknown")</x:f>
        <x:v>1</x:v>
      </x:c>
      <x:c r="H325" s="7" t="n">
        <x:f>COUNTIFS('唯一词标签'!$V$2:$V$1441,A325,'唯一词标签'!$U$2:$U$1441,"low")</x:f>
        <x:v>1</x:v>
      </x:c>
      <x:c r="I325" s="7" t="n">
        <x:f>COUNTIFS('唯一词标签'!$V$2:$V$1441,A325,'唯一词标签'!$AB$2:$AB$1441,"needs_review")</x:f>
        <x:v>0</x:v>
      </x:c>
    </x:row>
    <x:row r="326" ht="22" customHeight="1">
      <x:c r="A326" s="7" t="str">
        <x:v>flip_flops_home_foot_health</x:v>
      </x:c>
      <x:c r="B326" s="7" t="n">
        <x:f>COUNTIF('唯一词标签'!$V$2:$V$1441,A326)</x:f>
        <x:v>1</x:v>
      </x:c>
      <x:c r="C326" s="55" t="n">
        <x:f>B326/COUNTA('唯一词标签'!$C$2:$C$1441)</x:f>
        <x:v>0.0006944444444444445</x:v>
      </x:c>
      <x:c r="D326" s="7" t="n">
        <x:f>COUNTIFS('唯一词标签'!$V$2:$V$1441,A326,'唯一词标签'!$Z$2:$Z$1441,"match")</x:f>
        <x:v>1</x:v>
      </x:c>
      <x:c r="E326" s="7" t="n">
        <x:f>COUNTIFS('唯一词标签'!$V$2:$V$1441,A326,'唯一词标签'!$Z$2:$Z$1441,"partial_match")</x:f>
        <x:v>0</x:v>
      </x:c>
      <x:c r="F326" s="7" t="n">
        <x:f>COUNTIFS('唯一词标签'!$V$2:$V$1441,A326,'唯一词标签'!$Z$2:$Z$1441,"mismatch")</x:f>
        <x:v>0</x:v>
      </x:c>
      <x:c r="G326" s="7" t="n">
        <x:f>COUNTIFS('唯一词标签'!$V$2:$V$1441,A326,'唯一词标签'!$Z$2:$Z$1441,"unknown")</x:f>
        <x:v>0</x:v>
      </x:c>
      <x:c r="H326" s="7" t="n">
        <x:f>COUNTIFS('唯一词标签'!$V$2:$V$1441,A326,'唯一词标签'!$U$2:$U$1441,"low")</x:f>
        <x:v>0</x:v>
      </x:c>
      <x:c r="I326" s="7" t="n">
        <x:f>COUNTIFS('唯一词标签'!$V$2:$V$1441,A326,'唯一词标签'!$AB$2:$AB$1441,"needs_review")</x:f>
        <x:v>0</x:v>
      </x:c>
    </x:row>
    <x:row r="327" ht="22" customHeight="1">
      <x:c r="A327" s="7" t="str">
        <x:v>flip_flops_indoor</x:v>
      </x:c>
      <x:c r="B327" s="7" t="n">
        <x:f>COUNTIF('唯一词标签'!$V$2:$V$1441,A327)</x:f>
        <x:v>1</x:v>
      </x:c>
      <x:c r="C327" s="55" t="n">
        <x:f>B327/COUNTA('唯一词标签'!$C$2:$C$1441)</x:f>
        <x:v>0.0006944444444444445</x:v>
      </x:c>
      <x:c r="D327" s="7" t="n">
        <x:f>COUNTIFS('唯一词标签'!$V$2:$V$1441,A327,'唯一词标签'!$Z$2:$Z$1441,"match")</x:f>
        <x:v>1</x:v>
      </x:c>
      <x:c r="E327" s="7" t="n">
        <x:f>COUNTIFS('唯一词标签'!$V$2:$V$1441,A327,'唯一词标签'!$Z$2:$Z$1441,"partial_match")</x:f>
        <x:v>0</x:v>
      </x:c>
      <x:c r="F327" s="7" t="n">
        <x:f>COUNTIFS('唯一词标签'!$V$2:$V$1441,A327,'唯一词标签'!$Z$2:$Z$1441,"mismatch")</x:f>
        <x:v>0</x:v>
      </x:c>
      <x:c r="G327" s="7" t="n">
        <x:f>COUNTIFS('唯一词标签'!$V$2:$V$1441,A327,'唯一词标签'!$Z$2:$Z$1441,"unknown")</x:f>
        <x:v>0</x:v>
      </x:c>
      <x:c r="H327" s="7" t="n">
        <x:f>COUNTIFS('唯一词标签'!$V$2:$V$1441,A327,'唯一词标签'!$U$2:$U$1441,"low")</x:f>
        <x:v>0</x:v>
      </x:c>
      <x:c r="I327" s="7" t="n">
        <x:f>COUNTIFS('唯一词标签'!$V$2:$V$1441,A327,'唯一词标签'!$AB$2:$AB$1441,"needs_review")</x:f>
        <x:v>0</x:v>
      </x:c>
    </x:row>
    <x:row r="328" ht="22" customHeight="1">
      <x:c r="A328" s="7" t="str">
        <x:v>flip_flops_knee_arthrosis</x:v>
      </x:c>
      <x:c r="B328" s="7" t="n">
        <x:f>COUNTIF('唯一词标签'!$V$2:$V$1441,A328)</x:f>
        <x:v>1</x:v>
      </x:c>
      <x:c r="C328" s="55" t="n">
        <x:f>B328/COUNTA('唯一词标签'!$C$2:$C$1441)</x:f>
        <x:v>0.0006944444444444445</x:v>
      </x:c>
      <x:c r="D328" s="7" t="n">
        <x:f>COUNTIFS('唯一词标签'!$V$2:$V$1441,A328,'唯一词标签'!$Z$2:$Z$1441,"match")</x:f>
        <x:v>0</x:v>
      </x:c>
      <x:c r="E328" s="7" t="n">
        <x:f>COUNTIFS('唯一词标签'!$V$2:$V$1441,A328,'唯一词标签'!$Z$2:$Z$1441,"partial_match")</x:f>
        <x:v>1</x:v>
      </x:c>
      <x:c r="F328" s="7" t="n">
        <x:f>COUNTIFS('唯一词标签'!$V$2:$V$1441,A328,'唯一词标签'!$Z$2:$Z$1441,"mismatch")</x:f>
        <x:v>0</x:v>
      </x:c>
      <x:c r="G328" s="7" t="n">
        <x:f>COUNTIFS('唯一词标签'!$V$2:$V$1441,A328,'唯一词标签'!$Z$2:$Z$1441,"unknown")</x:f>
        <x:v>0</x:v>
      </x:c>
      <x:c r="H328" s="7" t="n">
        <x:f>COUNTIFS('唯一词标签'!$V$2:$V$1441,A328,'唯一词标签'!$U$2:$U$1441,"low")</x:f>
        <x:v>0</x:v>
      </x:c>
      <x:c r="I328" s="7" t="n">
        <x:f>COUNTIFS('唯一词标签'!$V$2:$V$1441,A328,'唯一词标签'!$AB$2:$AB$1441,"needs_review")</x:f>
        <x:v>0</x:v>
      </x:c>
    </x:row>
    <x:row r="329" ht="22" customHeight="1">
      <x:c r="A329" s="7" t="str">
        <x:v>flip_flops_microfiber</x:v>
      </x:c>
      <x:c r="B329" s="7" t="n">
        <x:f>COUNTIF('唯一词标签'!$V$2:$V$1441,A329)</x:f>
        <x:v>1</x:v>
      </x:c>
      <x:c r="C329" s="55" t="n">
        <x:f>B329/COUNTA('唯一词标签'!$C$2:$C$1441)</x:f>
        <x:v>0.0006944444444444445</x:v>
      </x:c>
      <x:c r="D329" s="7" t="n">
        <x:f>COUNTIFS('唯一词标签'!$V$2:$V$1441,A329,'唯一词标签'!$Z$2:$Z$1441,"match")</x:f>
        <x:v>0</x:v>
      </x:c>
      <x:c r="E329" s="7" t="n">
        <x:f>COUNTIFS('唯一词标签'!$V$2:$V$1441,A329,'唯一词标签'!$Z$2:$Z$1441,"partial_match")</x:f>
        <x:v>0</x:v>
      </x:c>
      <x:c r="F329" s="7" t="n">
        <x:f>COUNTIFS('唯一词标签'!$V$2:$V$1441,A329,'唯一词标签'!$Z$2:$Z$1441,"mismatch")</x:f>
        <x:v>1</x:v>
      </x:c>
      <x:c r="G329" s="7" t="n">
        <x:f>COUNTIFS('唯一词标签'!$V$2:$V$1441,A329,'唯一词标签'!$Z$2:$Z$1441,"unknown")</x:f>
        <x:v>0</x:v>
      </x:c>
      <x:c r="H329" s="7" t="n">
        <x:f>COUNTIFS('唯一词标签'!$V$2:$V$1441,A329,'唯一词标签'!$U$2:$U$1441,"low")</x:f>
        <x:v>0</x:v>
      </x:c>
      <x:c r="I329" s="7" t="n">
        <x:f>COUNTIFS('唯一词标签'!$V$2:$V$1441,A329,'唯一词标签'!$AB$2:$AB$1441,"needs_review")</x:f>
        <x:v>0</x:v>
      </x:c>
    </x:row>
    <x:row r="330" ht="22" customHeight="1">
      <x:c r="A330" s="7" t="str">
        <x:v>flip_flops_minimalist</x:v>
      </x:c>
      <x:c r="B330" s="7" t="n">
        <x:f>COUNTIF('唯一词标签'!$V$2:$V$1441,A330)</x:f>
        <x:v>1</x:v>
      </x:c>
      <x:c r="C330" s="55" t="n">
        <x:f>B330/COUNTA('唯一词标签'!$C$2:$C$1441)</x:f>
        <x:v>0.0006944444444444445</x:v>
      </x:c>
      <x:c r="D330" s="7" t="n">
        <x:f>COUNTIFS('唯一词标签'!$V$2:$V$1441,A330,'唯一词标签'!$Z$2:$Z$1441,"match")</x:f>
        <x:v>0</x:v>
      </x:c>
      <x:c r="E330" s="7" t="n">
        <x:f>COUNTIFS('唯一词标签'!$V$2:$V$1441,A330,'唯一词标签'!$Z$2:$Z$1441,"partial_match")</x:f>
        <x:v>1</x:v>
      </x:c>
      <x:c r="F330" s="7" t="n">
        <x:f>COUNTIFS('唯一词标签'!$V$2:$V$1441,A330,'唯一词标签'!$Z$2:$Z$1441,"mismatch")</x:f>
        <x:v>0</x:v>
      </x:c>
      <x:c r="G330" s="7" t="n">
        <x:f>COUNTIFS('唯一词标签'!$V$2:$V$1441,A330,'唯一词标签'!$Z$2:$Z$1441,"unknown")</x:f>
        <x:v>0</x:v>
      </x:c>
      <x:c r="H330" s="7" t="n">
        <x:f>COUNTIFS('唯一词标签'!$V$2:$V$1441,A330,'唯一词标签'!$U$2:$U$1441,"low")</x:f>
        <x:v>0</x:v>
      </x:c>
      <x:c r="I330" s="7" t="n">
        <x:f>COUNTIFS('唯一词标签'!$V$2:$V$1441,A330,'唯一词标签'!$AB$2:$AB$1441,"needs_review")</x:f>
        <x:v>0</x:v>
      </x:c>
    </x:row>
    <x:row r="331" ht="22" customHeight="1">
      <x:c r="A331" s="7" t="str">
        <x:v>flip_flops_neutral_light</x:v>
      </x:c>
      <x:c r="B331" s="7" t="n">
        <x:f>COUNTIF('唯一词标签'!$V$2:$V$1441,A331)</x:f>
        <x:v>1</x:v>
      </x:c>
      <x:c r="C331" s="55" t="n">
        <x:f>B331/COUNTA('唯一词标签'!$C$2:$C$1441)</x:f>
        <x:v>0.0006944444444444445</x:v>
      </x:c>
      <x:c r="D331" s="7" t="n">
        <x:f>COUNTIFS('唯一词标签'!$V$2:$V$1441,A331,'唯一词标签'!$Z$2:$Z$1441,"match")</x:f>
        <x:v>0</x:v>
      </x:c>
      <x:c r="E331" s="7" t="n">
        <x:f>COUNTIFS('唯一词标签'!$V$2:$V$1441,A331,'唯一词标签'!$Z$2:$Z$1441,"partial_match")</x:f>
        <x:v>1</x:v>
      </x:c>
      <x:c r="F331" s="7" t="n">
        <x:f>COUNTIFS('唯一词标签'!$V$2:$V$1441,A331,'唯一词标签'!$Z$2:$Z$1441,"mismatch")</x:f>
        <x:v>0</x:v>
      </x:c>
      <x:c r="G331" s="7" t="n">
        <x:f>COUNTIFS('唯一词标签'!$V$2:$V$1441,A331,'唯一词标签'!$Z$2:$Z$1441,"unknown")</x:f>
        <x:v>0</x:v>
      </x:c>
      <x:c r="H331" s="7" t="n">
        <x:f>COUNTIFS('唯一词标签'!$V$2:$V$1441,A331,'唯一词标签'!$U$2:$U$1441,"low")</x:f>
        <x:v>0</x:v>
      </x:c>
      <x:c r="I331" s="7" t="n">
        <x:f>COUNTIFS('唯一词标签'!$V$2:$V$1441,A331,'唯一词标签'!$AB$2:$AB$1441,"needs_review")</x:f>
        <x:v>0</x:v>
      </x:c>
    </x:row>
    <x:row r="332" ht="22" customHeight="1">
      <x:c r="A332" s="7" t="str">
        <x:v>flip_flops_overnight</x:v>
      </x:c>
      <x:c r="B332" s="7" t="n">
        <x:f>COUNTIF('唯一词标签'!$V$2:$V$1441,A332)</x:f>
        <x:v>1</x:v>
      </x:c>
      <x:c r="C332" s="55" t="n">
        <x:f>B332/COUNTA('唯一词标签'!$C$2:$C$1441)</x:f>
        <x:v>0.0006944444444444445</x:v>
      </x:c>
      <x:c r="D332" s="7" t="n">
        <x:f>COUNTIFS('唯一词标签'!$V$2:$V$1441,A332,'唯一词标签'!$Z$2:$Z$1441,"match")</x:f>
        <x:v>0</x:v>
      </x:c>
      <x:c r="E332" s="7" t="n">
        <x:f>COUNTIFS('唯一词标签'!$V$2:$V$1441,A332,'唯一词标签'!$Z$2:$Z$1441,"partial_match")</x:f>
        <x:v>1</x:v>
      </x:c>
      <x:c r="F332" s="7" t="n">
        <x:f>COUNTIFS('唯一词标签'!$V$2:$V$1441,A332,'唯一词标签'!$Z$2:$Z$1441,"mismatch")</x:f>
        <x:v>0</x:v>
      </x:c>
      <x:c r="G332" s="7" t="n">
        <x:f>COUNTIFS('唯一词标签'!$V$2:$V$1441,A332,'唯一词标签'!$Z$2:$Z$1441,"unknown")</x:f>
        <x:v>0</x:v>
      </x:c>
      <x:c r="H332" s="7" t="n">
        <x:f>COUNTIFS('唯一词标签'!$V$2:$V$1441,A332,'唯一词标签'!$U$2:$U$1441,"low")</x:f>
        <x:v>0</x:v>
      </x:c>
      <x:c r="I332" s="7" t="n">
        <x:f>COUNTIFS('唯一词标签'!$V$2:$V$1441,A332,'唯一词标签'!$AB$2:$AB$1441,"needs_review")</x:f>
        <x:v>0</x:v>
      </x:c>
    </x:row>
    <x:row r="333" ht="22" customHeight="1">
      <x:c r="A333" s="7" t="str">
        <x:v>flip_flops_plain_budget</x:v>
      </x:c>
      <x:c r="B333" s="7" t="n">
        <x:f>COUNTIF('唯一词标签'!$V$2:$V$1441,A333)</x:f>
        <x:v>1</x:v>
      </x:c>
      <x:c r="C333" s="55" t="n">
        <x:f>B333/COUNTA('唯一词标签'!$C$2:$C$1441)</x:f>
        <x:v>0.0006944444444444445</x:v>
      </x:c>
      <x:c r="D333" s="7" t="n">
        <x:f>COUNTIFS('唯一词标签'!$V$2:$V$1441,A333,'唯一词标签'!$Z$2:$Z$1441,"match")</x:f>
        <x:v>1</x:v>
      </x:c>
      <x:c r="E333" s="7" t="n">
        <x:f>COUNTIFS('唯一词标签'!$V$2:$V$1441,A333,'唯一词标签'!$Z$2:$Z$1441,"partial_match")</x:f>
        <x:v>0</x:v>
      </x:c>
      <x:c r="F333" s="7" t="n">
        <x:f>COUNTIFS('唯一词标签'!$V$2:$V$1441,A333,'唯一词标签'!$Z$2:$Z$1441,"mismatch")</x:f>
        <x:v>0</x:v>
      </x:c>
      <x:c r="G333" s="7" t="n">
        <x:f>COUNTIFS('唯一词标签'!$V$2:$V$1441,A333,'唯一词标签'!$Z$2:$Z$1441,"unknown")</x:f>
        <x:v>0</x:v>
      </x:c>
      <x:c r="H333" s="7" t="n">
        <x:f>COUNTIFS('唯一词标签'!$V$2:$V$1441,A333,'唯一词标签'!$U$2:$U$1441,"low")</x:f>
        <x:v>0</x:v>
      </x:c>
      <x:c r="I333" s="7" t="n">
        <x:f>COUNTIFS('唯一词标签'!$V$2:$V$1441,A333,'唯一词标签'!$AB$2:$AB$1441,"needs_review")</x:f>
        <x:v>0</x:v>
      </x:c>
    </x:row>
    <x:row r="334" ht="22" customHeight="1">
      <x:c r="A334" s="7" t="str">
        <x:v>flip_flops_plantar_fasciitis</x:v>
      </x:c>
      <x:c r="B334" s="7" t="n">
        <x:f>COUNTIF('唯一词标签'!$V$2:$V$1441,A334)</x:f>
        <x:v>1</x:v>
      </x:c>
      <x:c r="C334" s="55" t="n">
        <x:f>B334/COUNTA('唯一词标签'!$C$2:$C$1441)</x:f>
        <x:v>0.0006944444444444445</x:v>
      </x:c>
      <x:c r="D334" s="7" t="n">
        <x:f>COUNTIFS('唯一词标签'!$V$2:$V$1441,A334,'唯一词标签'!$Z$2:$Z$1441,"match")</x:f>
        <x:v>0</x:v>
      </x:c>
      <x:c r="E334" s="7" t="n">
        <x:f>COUNTIFS('唯一词标签'!$V$2:$V$1441,A334,'唯一词标签'!$Z$2:$Z$1441,"partial_match")</x:f>
        <x:v>1</x:v>
      </x:c>
      <x:c r="F334" s="7" t="n">
        <x:f>COUNTIFS('唯一词标签'!$V$2:$V$1441,A334,'唯一词标签'!$Z$2:$Z$1441,"mismatch")</x:f>
        <x:v>0</x:v>
      </x:c>
      <x:c r="G334" s="7" t="n">
        <x:f>COUNTIFS('唯一词标签'!$V$2:$V$1441,A334,'唯一词标签'!$Z$2:$Z$1441,"unknown")</x:f>
        <x:v>0</x:v>
      </x:c>
      <x:c r="H334" s="7" t="n">
        <x:f>COUNTIFS('唯一词标签'!$V$2:$V$1441,A334,'唯一词标签'!$U$2:$U$1441,"low")</x:f>
        <x:v>0</x:v>
      </x:c>
      <x:c r="I334" s="7" t="n">
        <x:f>COUNTIFS('唯一词标签'!$V$2:$V$1441,A334,'唯一词标签'!$AB$2:$AB$1441,"needs_review")</x:f>
        <x:v>0</x:v>
      </x:c>
    </x:row>
    <x:row r="335" ht="22" customHeight="1">
      <x:c r="A335" s="7" t="str">
        <x:v>flip_flops_pool_brown</x:v>
      </x:c>
      <x:c r="B335" s="7" t="n">
        <x:f>COUNTIF('唯一词标签'!$V$2:$V$1441,A335)</x:f>
        <x:v>1</x:v>
      </x:c>
      <x:c r="C335" s="55" t="n">
        <x:f>B335/COUNTA('唯一词标签'!$C$2:$C$1441)</x:f>
        <x:v>0.0006944444444444445</x:v>
      </x:c>
      <x:c r="D335" s="7" t="n">
        <x:f>COUNTIFS('唯一词标签'!$V$2:$V$1441,A335,'唯一词标签'!$Z$2:$Z$1441,"match")</x:f>
        <x:v>1</x:v>
      </x:c>
      <x:c r="E335" s="7" t="n">
        <x:f>COUNTIFS('唯一词标签'!$V$2:$V$1441,A335,'唯一词标签'!$Z$2:$Z$1441,"partial_match")</x:f>
        <x:v>0</x:v>
      </x:c>
      <x:c r="F335" s="7" t="n">
        <x:f>COUNTIFS('唯一词标签'!$V$2:$V$1441,A335,'唯一词标签'!$Z$2:$Z$1441,"mismatch")</x:f>
        <x:v>0</x:v>
      </x:c>
      <x:c r="G335" s="7" t="n">
        <x:f>COUNTIFS('唯一词标签'!$V$2:$V$1441,A335,'唯一词标签'!$Z$2:$Z$1441,"unknown")</x:f>
        <x:v>0</x:v>
      </x:c>
      <x:c r="H335" s="7" t="n">
        <x:f>COUNTIFS('唯一词标签'!$V$2:$V$1441,A335,'唯一词标签'!$U$2:$U$1441,"low")</x:f>
        <x:v>0</x:v>
      </x:c>
      <x:c r="I335" s="7" t="n">
        <x:f>COUNTIFS('唯一词标签'!$V$2:$V$1441,A335,'唯一词标签'!$AB$2:$AB$1441,"needs_review")</x:f>
        <x:v>0</x:v>
      </x:c>
    </x:row>
    <x:row r="336" ht="22" customHeight="1">
      <x:c r="A336" s="7" t="str">
        <x:v>flip_flops_prime_day</x:v>
      </x:c>
      <x:c r="B336" s="7" t="n">
        <x:f>COUNTIF('唯一词标签'!$V$2:$V$1441,A336)</x:f>
        <x:v>1</x:v>
      </x:c>
      <x:c r="C336" s="55" t="n">
        <x:f>B336/COUNTA('唯一词标签'!$C$2:$C$1441)</x:f>
        <x:v>0.0006944444444444445</x:v>
      </x:c>
      <x:c r="D336" s="7" t="n">
        <x:f>COUNTIFS('唯一词标签'!$V$2:$V$1441,A336,'唯一词标签'!$Z$2:$Z$1441,"match")</x:f>
        <x:v>0</x:v>
      </x:c>
      <x:c r="E336" s="7" t="n">
        <x:f>COUNTIFS('唯一词标签'!$V$2:$V$1441,A336,'唯一词标签'!$Z$2:$Z$1441,"partial_match")</x:f>
        <x:v>0</x:v>
      </x:c>
      <x:c r="F336" s="7" t="n">
        <x:f>COUNTIFS('唯一词标签'!$V$2:$V$1441,A336,'唯一词标签'!$Z$2:$Z$1441,"mismatch")</x:f>
        <x:v>0</x:v>
      </x:c>
      <x:c r="G336" s="7" t="n">
        <x:f>COUNTIFS('唯一词标签'!$V$2:$V$1441,A336,'唯一词标签'!$Z$2:$Z$1441,"unknown")</x:f>
        <x:v>1</x:v>
      </x:c>
      <x:c r="H336" s="7" t="n">
        <x:f>COUNTIFS('唯一词标签'!$V$2:$V$1441,A336,'唯一词标签'!$U$2:$U$1441,"low")</x:f>
        <x:v>0</x:v>
      </x:c>
      <x:c r="I336" s="7" t="n">
        <x:f>COUNTIFS('唯一词标签'!$V$2:$V$1441,A336,'唯一词标签'!$AB$2:$AB$1441,"needs_review")</x:f>
        <x:v>0</x:v>
      </x:c>
    </x:row>
    <x:row r="337" ht="22" customHeight="1">
      <x:c r="A337" s="7" t="str">
        <x:v>flip_flops_recovery</x:v>
      </x:c>
      <x:c r="B337" s="7" t="n">
        <x:f>COUNTIF('唯一词标签'!$V$2:$V$1441,A337)</x:f>
        <x:v>1</x:v>
      </x:c>
      <x:c r="C337" s="55" t="n">
        <x:f>B337/COUNTA('唯一词标签'!$C$2:$C$1441)</x:f>
        <x:v>0.0006944444444444445</x:v>
      </x:c>
      <x:c r="D337" s="7" t="n">
        <x:f>COUNTIFS('唯一词标签'!$V$2:$V$1441,A337,'唯一词标签'!$Z$2:$Z$1441,"match")</x:f>
        <x:v>0</x:v>
      </x:c>
      <x:c r="E337" s="7" t="n">
        <x:f>COUNTIFS('唯一词标签'!$V$2:$V$1441,A337,'唯一词标签'!$Z$2:$Z$1441,"partial_match")</x:f>
        <x:v>1</x:v>
      </x:c>
      <x:c r="F337" s="7" t="n">
        <x:f>COUNTIFS('唯一词标签'!$V$2:$V$1441,A337,'唯一词标签'!$Z$2:$Z$1441,"mismatch")</x:f>
        <x:v>0</x:v>
      </x:c>
      <x:c r="G337" s="7" t="n">
        <x:f>COUNTIFS('唯一词标签'!$V$2:$V$1441,A337,'唯一词标签'!$Z$2:$Z$1441,"unknown")</x:f>
        <x:v>0</x:v>
      </x:c>
      <x:c r="H337" s="7" t="n">
        <x:f>COUNTIFS('唯一词标签'!$V$2:$V$1441,A337,'唯一词标签'!$U$2:$U$1441,"low")</x:f>
        <x:v>1</x:v>
      </x:c>
      <x:c r="I337" s="7" t="n">
        <x:f>COUNTIFS('唯一词标签'!$V$2:$V$1441,A337,'唯一词标签'!$AB$2:$AB$1441,"needs_review")</x:f>
        <x:v>0</x:v>
      </x:c>
    </x:row>
    <x:row r="338" ht="22" customHeight="1">
      <x:c r="A338" s="7" t="str">
        <x:v>flip_flops_rubber_sole</x:v>
      </x:c>
      <x:c r="B338" s="7" t="n">
        <x:f>COUNTIF('唯一词标签'!$V$2:$V$1441,A338)</x:f>
        <x:v>2</x:v>
      </x:c>
      <x:c r="C338" s="55" t="n">
        <x:f>B338/COUNTA('唯一词标签'!$C$2:$C$1441)</x:f>
        <x:v>0.001388888888888889</x:v>
      </x:c>
      <x:c r="D338" s="7" t="n">
        <x:f>COUNTIFS('唯一词标签'!$V$2:$V$1441,A338,'唯一词标签'!$Z$2:$Z$1441,"match")</x:f>
        <x:v>0</x:v>
      </x:c>
      <x:c r="E338" s="7" t="n">
        <x:f>COUNTIFS('唯一词标签'!$V$2:$V$1441,A338,'唯一词标签'!$Z$2:$Z$1441,"partial_match")</x:f>
        <x:v>0</x:v>
      </x:c>
      <x:c r="F338" s="7" t="n">
        <x:f>COUNTIFS('唯一词标签'!$V$2:$V$1441,A338,'唯一词标签'!$Z$2:$Z$1441,"mismatch")</x:f>
        <x:v>2</x:v>
      </x:c>
      <x:c r="G338" s="7" t="n">
        <x:f>COUNTIFS('唯一词标签'!$V$2:$V$1441,A338,'唯一词标签'!$Z$2:$Z$1441,"unknown")</x:f>
        <x:v>0</x:v>
      </x:c>
      <x:c r="H338" s="7" t="n">
        <x:f>COUNTIFS('唯一词标签'!$V$2:$V$1441,A338,'唯一词标签'!$U$2:$U$1441,"low")</x:f>
        <x:v>0</x:v>
      </x:c>
      <x:c r="I338" s="7" t="n">
        <x:f>COUNTIFS('唯一词标签'!$V$2:$V$1441,A338,'唯一词标签'!$AB$2:$AB$1441,"needs_review")</x:f>
        <x:v>0</x:v>
      </x:c>
    </x:row>
    <x:row r="339" ht="22" customHeight="1">
      <x:c r="A339" s="7" t="str">
        <x:v>flip_flops_sale</x:v>
      </x:c>
      <x:c r="B339" s="7" t="n">
        <x:f>COUNTIF('唯一词标签'!$V$2:$V$1441,A339)</x:f>
        <x:v>3</x:v>
      </x:c>
      <x:c r="C339" s="55" t="n">
        <x:f>B339/COUNTA('唯一词标签'!$C$2:$C$1441)</x:f>
        <x:v>0.0020833333333333333</x:v>
      </x:c>
      <x:c r="D339" s="7" t="n">
        <x:f>COUNTIFS('唯一词标签'!$V$2:$V$1441,A339,'唯一词标签'!$Z$2:$Z$1441,"match")</x:f>
        <x:v>0</x:v>
      </x:c>
      <x:c r="E339" s="7" t="n">
        <x:f>COUNTIFS('唯一词标签'!$V$2:$V$1441,A339,'唯一词标签'!$Z$2:$Z$1441,"partial_match")</x:f>
        <x:v>2</x:v>
      </x:c>
      <x:c r="F339" s="7" t="n">
        <x:f>COUNTIFS('唯一词标签'!$V$2:$V$1441,A339,'唯一词标签'!$Z$2:$Z$1441,"mismatch")</x:f>
        <x:v>0</x:v>
      </x:c>
      <x:c r="G339" s="7" t="n">
        <x:f>COUNTIFS('唯一词标签'!$V$2:$V$1441,A339,'唯一词标签'!$Z$2:$Z$1441,"unknown")</x:f>
        <x:v>1</x:v>
      </x:c>
      <x:c r="H339" s="7" t="n">
        <x:f>COUNTIFS('唯一词标签'!$V$2:$V$1441,A339,'唯一词标签'!$U$2:$U$1441,"low")</x:f>
        <x:v>1</x:v>
      </x:c>
      <x:c r="I339" s="7" t="n">
        <x:f>COUNTIFS('唯一词标签'!$V$2:$V$1441,A339,'唯一词标签'!$AB$2:$AB$1441,"needs_review")</x:f>
        <x:v>0</x:v>
      </x:c>
    </x:row>
    <x:row r="340" ht="22" customHeight="1">
      <x:c r="A340" s="7" t="str">
        <x:v>flip_flops_sandals</x:v>
      </x:c>
      <x:c r="B340" s="7" t="n">
        <x:f>COUNTIF('唯一词标签'!$V$2:$V$1441,A340)</x:f>
        <x:v>1</x:v>
      </x:c>
      <x:c r="C340" s="55" t="n">
        <x:f>B340/COUNTA('唯一词标签'!$C$2:$C$1441)</x:f>
        <x:v>0.0006944444444444445</x:v>
      </x:c>
      <x:c r="D340" s="7" t="n">
        <x:f>COUNTIFS('唯一词标签'!$V$2:$V$1441,A340,'唯一词标签'!$Z$2:$Z$1441,"match")</x:f>
        <x:v>1</x:v>
      </x:c>
      <x:c r="E340" s="7" t="n">
        <x:f>COUNTIFS('唯一词标签'!$V$2:$V$1441,A340,'唯一词标签'!$Z$2:$Z$1441,"partial_match")</x:f>
        <x:v>0</x:v>
      </x:c>
      <x:c r="F340" s="7" t="n">
        <x:f>COUNTIFS('唯一词标签'!$V$2:$V$1441,A340,'唯一词标签'!$Z$2:$Z$1441,"mismatch")</x:f>
        <x:v>0</x:v>
      </x:c>
      <x:c r="G340" s="7" t="n">
        <x:f>COUNTIFS('唯一词标签'!$V$2:$V$1441,A340,'唯一词标签'!$Z$2:$Z$1441,"unknown")</x:f>
        <x:v>0</x:v>
      </x:c>
      <x:c r="H340" s="7" t="n">
        <x:f>COUNTIFS('唯一词标签'!$V$2:$V$1441,A340,'唯一词标签'!$U$2:$U$1441,"low")</x:f>
        <x:v>0</x:v>
      </x:c>
      <x:c r="I340" s="7" t="n">
        <x:f>COUNTIFS('唯一词标签'!$V$2:$V$1441,A340,'唯一词标签'!$AB$2:$AB$1441,"needs_review")</x:f>
        <x:v>0</x:v>
      </x:c>
    </x:row>
    <x:row r="341" ht="22" customHeight="1">
      <x:c r="A341" s="7" t="str">
        <x:v>flip_flops_short_toes</x:v>
      </x:c>
      <x:c r="B341" s="7" t="n">
        <x:f>COUNTIF('唯一词标签'!$V$2:$V$1441,A341)</x:f>
        <x:v>1</x:v>
      </x:c>
      <x:c r="C341" s="55" t="n">
        <x:f>B341/COUNTA('唯一词标签'!$C$2:$C$1441)</x:f>
        <x:v>0.0006944444444444445</x:v>
      </x:c>
      <x:c r="D341" s="7" t="n">
        <x:f>COUNTIFS('唯一词标签'!$V$2:$V$1441,A341,'唯一词标签'!$Z$2:$Z$1441,"match")</x:f>
        <x:v>0</x:v>
      </x:c>
      <x:c r="E341" s="7" t="n">
        <x:f>COUNTIFS('唯一词标签'!$V$2:$V$1441,A341,'唯一词标签'!$Z$2:$Z$1441,"partial_match")</x:f>
        <x:v>1</x:v>
      </x:c>
      <x:c r="F341" s="7" t="n">
        <x:f>COUNTIFS('唯一词标签'!$V$2:$V$1441,A341,'唯一词标签'!$Z$2:$Z$1441,"mismatch")</x:f>
        <x:v>0</x:v>
      </x:c>
      <x:c r="G341" s="7" t="n">
        <x:f>COUNTIFS('唯一词标签'!$V$2:$V$1441,A341,'唯一词标签'!$Z$2:$Z$1441,"unknown")</x:f>
        <x:v>0</x:v>
      </x:c>
      <x:c r="H341" s="7" t="n">
        <x:f>COUNTIFS('唯一词标签'!$V$2:$V$1441,A341,'唯一词标签'!$U$2:$U$1441,"low")</x:f>
        <x:v>0</x:v>
      </x:c>
      <x:c r="I341" s="7" t="n">
        <x:f>COUNTIFS('唯一词标签'!$V$2:$V$1441,A341,'唯一词标签'!$AB$2:$AB$1441,"needs_review")</x:f>
        <x:v>0</x:v>
      </x:c>
    </x:row>
    <x:row r="342" ht="22" customHeight="1">
      <x:c r="A342" s="7" t="str">
        <x:v>flip_flops_silicone_strap</x:v>
      </x:c>
      <x:c r="B342" s="7" t="n">
        <x:f>COUNTIF('唯一词标签'!$V$2:$V$1441,A342)</x:f>
        <x:v>1</x:v>
      </x:c>
      <x:c r="C342" s="55" t="n">
        <x:f>B342/COUNTA('唯一词标签'!$C$2:$C$1441)</x:f>
        <x:v>0.0006944444444444445</x:v>
      </x:c>
      <x:c r="D342" s="7" t="n">
        <x:f>COUNTIFS('唯一词标签'!$V$2:$V$1441,A342,'唯一词标签'!$Z$2:$Z$1441,"match")</x:f>
        <x:v>0</x:v>
      </x:c>
      <x:c r="E342" s="7" t="n">
        <x:f>COUNTIFS('唯一词标签'!$V$2:$V$1441,A342,'唯一词标签'!$Z$2:$Z$1441,"partial_match")</x:f>
        <x:v>0</x:v>
      </x:c>
      <x:c r="F342" s="7" t="n">
        <x:f>COUNTIFS('唯一词标签'!$V$2:$V$1441,A342,'唯一词标签'!$Z$2:$Z$1441,"mismatch")</x:f>
        <x:v>1</x:v>
      </x:c>
      <x:c r="G342" s="7" t="n">
        <x:f>COUNTIFS('唯一词标签'!$V$2:$V$1441,A342,'唯一词标签'!$Z$2:$Z$1441,"unknown")</x:f>
        <x:v>0</x:v>
      </x:c>
      <x:c r="H342" s="7" t="n">
        <x:f>COUNTIFS('唯一词标签'!$V$2:$V$1441,A342,'唯一词标签'!$U$2:$U$1441,"low")</x:f>
        <x:v>0</x:v>
      </x:c>
      <x:c r="I342" s="7" t="n">
        <x:f>COUNTIFS('唯一词标签'!$V$2:$V$1441,A342,'唯一词标签'!$AB$2:$AB$1441,"needs_review")</x:f>
        <x:v>0</x:v>
      </x:c>
    </x:row>
    <x:row r="343" ht="22" customHeight="1">
      <x:c r="A343" s="7" t="str">
        <x:v>flip_flops_summer</x:v>
      </x:c>
      <x:c r="B343" s="7" t="n">
        <x:f>COUNTIF('唯一词标签'!$V$2:$V$1441,A343)</x:f>
        <x:v>1</x:v>
      </x:c>
      <x:c r="C343" s="55" t="n">
        <x:f>B343/COUNTA('唯一词标签'!$C$2:$C$1441)</x:f>
        <x:v>0.0006944444444444445</x:v>
      </x:c>
      <x:c r="D343" s="7" t="n">
        <x:f>COUNTIFS('唯一词标签'!$V$2:$V$1441,A343,'唯一词标签'!$Z$2:$Z$1441,"match")</x:f>
        <x:v>1</x:v>
      </x:c>
      <x:c r="E343" s="7" t="n">
        <x:f>COUNTIFS('唯一词标签'!$V$2:$V$1441,A343,'唯一词标签'!$Z$2:$Z$1441,"partial_match")</x:f>
        <x:v>0</x:v>
      </x:c>
      <x:c r="F343" s="7" t="n">
        <x:f>COUNTIFS('唯一词标签'!$V$2:$V$1441,A343,'唯一词标签'!$Z$2:$Z$1441,"mismatch")</x:f>
        <x:v>0</x:v>
      </x:c>
      <x:c r="G343" s="7" t="n">
        <x:f>COUNTIFS('唯一词标签'!$V$2:$V$1441,A343,'唯一词标签'!$Z$2:$Z$1441,"unknown")</x:f>
        <x:v>0</x:v>
      </x:c>
      <x:c r="H343" s="7" t="n">
        <x:f>COUNTIFS('唯一词标签'!$V$2:$V$1441,A343,'唯一词标签'!$U$2:$U$1441,"low")</x:f>
        <x:v>0</x:v>
      </x:c>
      <x:c r="I343" s="7" t="n">
        <x:f>COUNTIFS('唯一词标签'!$V$2:$V$1441,A343,'唯一词标签'!$AB$2:$AB$1441,"needs_review")</x:f>
        <x:v>0</x:v>
      </x:c>
    </x:row>
    <x:row r="344" ht="22" customHeight="1">
      <x:c r="A344" s="7" t="str">
        <x:v>flip_flops_support</x:v>
      </x:c>
      <x:c r="B344" s="7" t="n">
        <x:f>COUNTIF('唯一词标签'!$V$2:$V$1441,A344)</x:f>
        <x:v>1</x:v>
      </x:c>
      <x:c r="C344" s="55" t="n">
        <x:f>B344/COUNTA('唯一词标签'!$C$2:$C$1441)</x:f>
        <x:v>0.0006944444444444445</x:v>
      </x:c>
      <x:c r="D344" s="7" t="n">
        <x:f>COUNTIFS('唯一词标签'!$V$2:$V$1441,A344,'唯一词标签'!$Z$2:$Z$1441,"match")</x:f>
        <x:v>1</x:v>
      </x:c>
      <x:c r="E344" s="7" t="n">
        <x:f>COUNTIFS('唯一词标签'!$V$2:$V$1441,A344,'唯一词标签'!$Z$2:$Z$1441,"partial_match")</x:f>
        <x:v>0</x:v>
      </x:c>
      <x:c r="F344" s="7" t="n">
        <x:f>COUNTIFS('唯一词标签'!$V$2:$V$1441,A344,'唯一词标签'!$Z$2:$Z$1441,"mismatch")</x:f>
        <x:v>0</x:v>
      </x:c>
      <x:c r="G344" s="7" t="n">
        <x:f>COUNTIFS('唯一词标签'!$V$2:$V$1441,A344,'唯一词标签'!$Z$2:$Z$1441,"unknown")</x:f>
        <x:v>0</x:v>
      </x:c>
      <x:c r="H344" s="7" t="n">
        <x:f>COUNTIFS('唯一词标签'!$V$2:$V$1441,A344,'唯一词标签'!$U$2:$U$1441,"low")</x:f>
        <x:v>0</x:v>
      </x:c>
      <x:c r="I344" s="7" t="n">
        <x:f>COUNTIFS('唯一词标签'!$V$2:$V$1441,A344,'唯一词标签'!$AB$2:$AB$1441,"needs_review")</x:f>
        <x:v>0</x:v>
      </x:c>
    </x:row>
    <x:row r="345" ht="22" customHeight="1">
      <x:c r="A345" s="7" t="str">
        <x:v>flip_flops_t_strap</x:v>
      </x:c>
      <x:c r="B345" s="7" t="n">
        <x:f>COUNTIF('唯一词标签'!$V$2:$V$1441,A345)</x:f>
        <x:v>1</x:v>
      </x:c>
      <x:c r="C345" s="55" t="n">
        <x:f>B345/COUNTA('唯一词标签'!$C$2:$C$1441)</x:f>
        <x:v>0.0006944444444444445</x:v>
      </x:c>
      <x:c r="D345" s="7" t="n">
        <x:f>COUNTIFS('唯一词标签'!$V$2:$V$1441,A345,'唯一词标签'!$Z$2:$Z$1441,"match")</x:f>
        <x:v>0</x:v>
      </x:c>
      <x:c r="E345" s="7" t="n">
        <x:f>COUNTIFS('唯一词标签'!$V$2:$V$1441,A345,'唯一词标签'!$Z$2:$Z$1441,"partial_match")</x:f>
        <x:v>1</x:v>
      </x:c>
      <x:c r="F345" s="7" t="n">
        <x:f>COUNTIFS('唯一词标签'!$V$2:$V$1441,A345,'唯一词标签'!$Z$2:$Z$1441,"mismatch")</x:f>
        <x:v>0</x:v>
      </x:c>
      <x:c r="G345" s="7" t="n">
        <x:f>COUNTIFS('唯一词标签'!$V$2:$V$1441,A345,'唯一词标签'!$Z$2:$Z$1441,"unknown")</x:f>
        <x:v>0</x:v>
      </x:c>
      <x:c r="H345" s="7" t="n">
        <x:f>COUNTIFS('唯一词标签'!$V$2:$V$1441,A345,'唯一词标签'!$U$2:$U$1441,"low")</x:f>
        <x:v>0</x:v>
      </x:c>
      <x:c r="I345" s="7" t="n">
        <x:f>COUNTIFS('唯一词标签'!$V$2:$V$1441,A345,'唯一词标签'!$AB$2:$AB$1441,"needs_review")</x:f>
        <x:v>0</x:v>
      </x:c>
    </x:row>
    <x:row r="346" ht="22" customHeight="1">
      <x:c r="A346" s="7" t="str">
        <x:v>flip_flops_teal</x:v>
      </x:c>
      <x:c r="B346" s="7" t="n">
        <x:f>COUNTIF('唯一词标签'!$V$2:$V$1441,A346)</x:f>
        <x:v>1</x:v>
      </x:c>
      <x:c r="C346" s="55" t="n">
        <x:f>B346/COUNTA('唯一词标签'!$C$2:$C$1441)</x:f>
        <x:v>0.0006944444444444445</x:v>
      </x:c>
      <x:c r="D346" s="7" t="n">
        <x:f>COUNTIFS('唯一词标签'!$V$2:$V$1441,A346,'唯一词标签'!$Z$2:$Z$1441,"match")</x:f>
        <x:v>0</x:v>
      </x:c>
      <x:c r="E346" s="7" t="n">
        <x:f>COUNTIFS('唯一词标签'!$V$2:$V$1441,A346,'唯一词标签'!$Z$2:$Z$1441,"partial_match")</x:f>
        <x:v>1</x:v>
      </x:c>
      <x:c r="F346" s="7" t="n">
        <x:f>COUNTIFS('唯一词标签'!$V$2:$V$1441,A346,'唯一词标签'!$Z$2:$Z$1441,"mismatch")</x:f>
        <x:v>0</x:v>
      </x:c>
      <x:c r="G346" s="7" t="n">
        <x:f>COUNTIFS('唯一词标签'!$V$2:$V$1441,A346,'唯一词标签'!$Z$2:$Z$1441,"unknown")</x:f>
        <x:v>0</x:v>
      </x:c>
      <x:c r="H346" s="7" t="n">
        <x:f>COUNTIFS('唯一词标签'!$V$2:$V$1441,A346,'唯一词标签'!$U$2:$U$1441,"low")</x:f>
        <x:v>0</x:v>
      </x:c>
      <x:c r="I346" s="7" t="n">
        <x:f>COUNTIFS('唯一词标签'!$V$2:$V$1441,A346,'唯一词标签'!$AB$2:$AB$1441,"needs_review")</x:f>
        <x:v>0</x:v>
      </x:c>
    </x:row>
    <x:row r="347" ht="22" customHeight="1">
      <x:c r="A347" s="7" t="str">
        <x:v>flip_flops_urgent</x:v>
      </x:c>
      <x:c r="B347" s="7" t="n">
        <x:f>COUNTIF('唯一词标签'!$V$2:$V$1441,A347)</x:f>
        <x:v>1</x:v>
      </x:c>
      <x:c r="C347" s="55" t="n">
        <x:f>B347/COUNTA('唯一词标签'!$C$2:$C$1441)</x:f>
        <x:v>0.0006944444444444445</x:v>
      </x:c>
      <x:c r="D347" s="7" t="n">
        <x:f>COUNTIFS('唯一词标签'!$V$2:$V$1441,A347,'唯一词标签'!$Z$2:$Z$1441,"match")</x:f>
        <x:v>1</x:v>
      </x:c>
      <x:c r="E347" s="7" t="n">
        <x:f>COUNTIFS('唯一词标签'!$V$2:$V$1441,A347,'唯一词标签'!$Z$2:$Z$1441,"partial_match")</x:f>
        <x:v>0</x:v>
      </x:c>
      <x:c r="F347" s="7" t="n">
        <x:f>COUNTIFS('唯一词标签'!$V$2:$V$1441,A347,'唯一词标签'!$Z$2:$Z$1441,"mismatch")</x:f>
        <x:v>0</x:v>
      </x:c>
      <x:c r="G347" s="7" t="n">
        <x:f>COUNTIFS('唯一词标签'!$V$2:$V$1441,A347,'唯一词标签'!$Z$2:$Z$1441,"unknown")</x:f>
        <x:v>0</x:v>
      </x:c>
      <x:c r="H347" s="7" t="n">
        <x:f>COUNTIFS('唯一词标签'!$V$2:$V$1441,A347,'唯一词标签'!$U$2:$U$1441,"low")</x:f>
        <x:v>0</x:v>
      </x:c>
      <x:c r="I347" s="7" t="n">
        <x:f>COUNTIFS('唯一词标签'!$V$2:$V$1441,A347,'唯一词标签'!$AB$2:$AB$1441,"needs_review")</x:f>
        <x:v>0</x:v>
      </x:c>
    </x:row>
    <x:row r="348" ht="22" customHeight="1">
      <x:c r="A348" s="7" t="str">
        <x:v>flip_flops_water_use</x:v>
      </x:c>
      <x:c r="B348" s="7" t="n">
        <x:f>COUNTIF('唯一词标签'!$V$2:$V$1441,A348)</x:f>
        <x:v>1</x:v>
      </x:c>
      <x:c r="C348" s="55" t="n">
        <x:f>B348/COUNTA('唯一词标签'!$C$2:$C$1441)</x:f>
        <x:v>0.0006944444444444445</x:v>
      </x:c>
      <x:c r="D348" s="7" t="n">
        <x:f>COUNTIFS('唯一词标签'!$V$2:$V$1441,A348,'唯一词标签'!$Z$2:$Z$1441,"match")</x:f>
        <x:v>0</x:v>
      </x:c>
      <x:c r="E348" s="7" t="n">
        <x:f>COUNTIFS('唯一词标签'!$V$2:$V$1441,A348,'唯一词标签'!$Z$2:$Z$1441,"partial_match")</x:f>
        <x:v>1</x:v>
      </x:c>
      <x:c r="F348" s="7" t="n">
        <x:f>COUNTIFS('唯一词标签'!$V$2:$V$1441,A348,'唯一词标签'!$Z$2:$Z$1441,"mismatch")</x:f>
        <x:v>0</x:v>
      </x:c>
      <x:c r="G348" s="7" t="n">
        <x:f>COUNTIFS('唯一词标签'!$V$2:$V$1441,A348,'唯一词标签'!$Z$2:$Z$1441,"unknown")</x:f>
        <x:v>0</x:v>
      </x:c>
      <x:c r="H348" s="7" t="n">
        <x:f>COUNTIFS('唯一词标签'!$V$2:$V$1441,A348,'唯一词标签'!$U$2:$U$1441,"low")</x:f>
        <x:v>0</x:v>
      </x:c>
      <x:c r="I348" s="7" t="n">
        <x:f>COUNTIFS('唯一词标签'!$V$2:$V$1441,A348,'唯一词标签'!$AB$2:$AB$1441,"needs_review")</x:f>
        <x:v>0</x:v>
      </x:c>
    </x:row>
    <x:row r="349" ht="22" customHeight="1">
      <x:c r="A349" s="7" t="str">
        <x:v>flip_flops_with_arch_support</x:v>
      </x:c>
      <x:c r="B349" s="7" t="n">
        <x:f>COUNTIF('唯一词标签'!$V$2:$V$1441,A349)</x:f>
        <x:v>1</x:v>
      </x:c>
      <x:c r="C349" s="55" t="n">
        <x:f>B349/COUNTA('唯一词标签'!$C$2:$C$1441)</x:f>
        <x:v>0.0006944444444444445</x:v>
      </x:c>
      <x:c r="D349" s="7" t="n">
        <x:f>COUNTIFS('唯一词标签'!$V$2:$V$1441,A349,'唯一词标签'!$Z$2:$Z$1441,"match")</x:f>
        <x:v>1</x:v>
      </x:c>
      <x:c r="E349" s="7" t="n">
        <x:f>COUNTIFS('唯一词标签'!$V$2:$V$1441,A349,'唯一词标签'!$Z$2:$Z$1441,"partial_match")</x:f>
        <x:v>0</x:v>
      </x:c>
      <x:c r="F349" s="7" t="n">
        <x:f>COUNTIFS('唯一词标签'!$V$2:$V$1441,A349,'唯一词标签'!$Z$2:$Z$1441,"mismatch")</x:f>
        <x:v>0</x:v>
      </x:c>
      <x:c r="G349" s="7" t="n">
        <x:f>COUNTIFS('唯一词标签'!$V$2:$V$1441,A349,'唯一词标签'!$Z$2:$Z$1441,"unknown")</x:f>
        <x:v>0</x:v>
      </x:c>
      <x:c r="H349" s="7" t="n">
        <x:f>COUNTIFS('唯一词标签'!$V$2:$V$1441,A349,'唯一词标签'!$U$2:$U$1441,"low")</x:f>
        <x:v>0</x:v>
      </x:c>
      <x:c r="I349" s="7" t="n">
        <x:f>COUNTIFS('唯一词标签'!$V$2:$V$1441,A349,'唯一词标签'!$AB$2:$AB$1441,"needs_review")</x:f>
        <x:v>0</x:v>
      </x:c>
    </x:row>
    <x:row r="350" ht="22" customHeight="1">
      <x:c r="A350" s="7" t="str">
        <x:v>flip_flops_with_bow</x:v>
      </x:c>
      <x:c r="B350" s="7" t="n">
        <x:f>COUNTIF('唯一词标签'!$V$2:$V$1441,A350)</x:f>
        <x:v>1</x:v>
      </x:c>
      <x:c r="C350" s="55" t="n">
        <x:f>B350/COUNTA('唯一词标签'!$C$2:$C$1441)</x:f>
        <x:v>0.0006944444444444445</x:v>
      </x:c>
      <x:c r="D350" s="7" t="n">
        <x:f>COUNTIFS('唯一词标签'!$V$2:$V$1441,A350,'唯一词标签'!$Z$2:$Z$1441,"match")</x:f>
        <x:v>0</x:v>
      </x:c>
      <x:c r="E350" s="7" t="n">
        <x:f>COUNTIFS('唯一词标签'!$V$2:$V$1441,A350,'唯一词标签'!$Z$2:$Z$1441,"partial_match")</x:f>
        <x:v>1</x:v>
      </x:c>
      <x:c r="F350" s="7" t="n">
        <x:f>COUNTIFS('唯一词标签'!$V$2:$V$1441,A350,'唯一词标签'!$Z$2:$Z$1441,"mismatch")</x:f>
        <x:v>0</x:v>
      </x:c>
      <x:c r="G350" s="7" t="n">
        <x:f>COUNTIFS('唯一词标签'!$V$2:$V$1441,A350,'唯一词标签'!$Z$2:$Z$1441,"unknown")</x:f>
        <x:v>0</x:v>
      </x:c>
      <x:c r="H350" s="7" t="n">
        <x:f>COUNTIFS('唯一词标签'!$V$2:$V$1441,A350,'唯一词标签'!$U$2:$U$1441,"low")</x:f>
        <x:v>0</x:v>
      </x:c>
      <x:c r="I350" s="7" t="n">
        <x:f>COUNTIFS('唯一词标签'!$V$2:$V$1441,A350,'唯一词标签'!$AB$2:$AB$1441,"needs_review")</x:f>
        <x:v>0</x:v>
      </x:c>
    </x:row>
    <x:row r="351" ht="22" customHeight="1">
      <x:c r="A351" s="7" t="str">
        <x:v>flip_flops_with_flower_decoration</x:v>
      </x:c>
      <x:c r="B351" s="7" t="n">
        <x:f>COUNTIF('唯一词标签'!$V$2:$V$1441,A351)</x:f>
        <x:v>1</x:v>
      </x:c>
      <x:c r="C351" s="55" t="n">
        <x:f>B351/COUNTA('唯一词标签'!$C$2:$C$1441)</x:f>
        <x:v>0.0006944444444444445</x:v>
      </x:c>
      <x:c r="D351" s="7" t="n">
        <x:f>COUNTIFS('唯一词标签'!$V$2:$V$1441,A351,'唯一词标签'!$Z$2:$Z$1441,"match")</x:f>
        <x:v>0</x:v>
      </x:c>
      <x:c r="E351" s="7" t="n">
        <x:f>COUNTIFS('唯一词标签'!$V$2:$V$1441,A351,'唯一词标签'!$Z$2:$Z$1441,"partial_match")</x:f>
        <x:v>0</x:v>
      </x:c>
      <x:c r="F351" s="7" t="n">
        <x:f>COUNTIFS('唯一词标签'!$V$2:$V$1441,A351,'唯一词标签'!$Z$2:$Z$1441,"mismatch")</x:f>
        <x:v>1</x:v>
      </x:c>
      <x:c r="G351" s="7" t="n">
        <x:f>COUNTIFS('唯一词标签'!$V$2:$V$1441,A351,'唯一词标签'!$Z$2:$Z$1441,"unknown")</x:f>
        <x:v>0</x:v>
      </x:c>
      <x:c r="H351" s="7" t="n">
        <x:f>COUNTIFS('唯一词标签'!$V$2:$V$1441,A351,'唯一词标签'!$U$2:$U$1441,"low")</x:f>
        <x:v>0</x:v>
      </x:c>
      <x:c r="I351" s="7" t="n">
        <x:f>COUNTIFS('唯一词标签'!$V$2:$V$1441,A351,'唯一词标签'!$AB$2:$AB$1441,"needs_review")</x:f>
        <x:v>0</x:v>
      </x:c>
    </x:row>
    <x:row r="352" ht="22" customHeight="1">
      <x:c r="A352" s="7" t="str">
        <x:v>flip_flops_with_raise</x:v>
      </x:c>
      <x:c r="B352" s="7" t="n">
        <x:f>COUNTIF('唯一词标签'!$V$2:$V$1441,A352)</x:f>
        <x:v>1</x:v>
      </x:c>
      <x:c r="C352" s="55" t="n">
        <x:f>B352/COUNTA('唯一词标签'!$C$2:$C$1441)</x:f>
        <x:v>0.0006944444444444445</x:v>
      </x:c>
      <x:c r="D352" s="7" t="n">
        <x:f>COUNTIFS('唯一词标签'!$V$2:$V$1441,A352,'唯一词标签'!$Z$2:$Z$1441,"match")</x:f>
        <x:v>0</x:v>
      </x:c>
      <x:c r="E352" s="7" t="n">
        <x:f>COUNTIFS('唯一词标签'!$V$2:$V$1441,A352,'唯一词标签'!$Z$2:$Z$1441,"partial_match")</x:f>
        <x:v>0</x:v>
      </x:c>
      <x:c r="F352" s="7" t="n">
        <x:f>COUNTIFS('唯一词标签'!$V$2:$V$1441,A352,'唯一词标签'!$Z$2:$Z$1441,"mismatch")</x:f>
        <x:v>0</x:v>
      </x:c>
      <x:c r="G352" s="7" t="n">
        <x:f>COUNTIFS('唯一词标签'!$V$2:$V$1441,A352,'唯一词标签'!$Z$2:$Z$1441,"unknown")</x:f>
        <x:v>1</x:v>
      </x:c>
      <x:c r="H352" s="7" t="n">
        <x:f>COUNTIFS('唯一词标签'!$V$2:$V$1441,A352,'唯一词标签'!$U$2:$U$1441,"low")</x:f>
        <x:v>1</x:v>
      </x:c>
      <x:c r="I352" s="7" t="n">
        <x:f>COUNTIFS('唯一词标签'!$V$2:$V$1441,A352,'唯一词标签'!$AB$2:$AB$1441,"needs_review")</x:f>
        <x:v>1</x:v>
      </x:c>
    </x:row>
    <x:row r="353" ht="22" customHeight="1">
      <x:c r="A353" s="7" t="str">
        <x:v>flip_flops_with_tie</x:v>
      </x:c>
      <x:c r="B353" s="7" t="n">
        <x:f>COUNTIF('唯一词标签'!$V$2:$V$1441,A353)</x:f>
        <x:v>1</x:v>
      </x:c>
      <x:c r="C353" s="55" t="n">
        <x:f>B353/COUNTA('唯一词标签'!$C$2:$C$1441)</x:f>
        <x:v>0.0006944444444444445</x:v>
      </x:c>
      <x:c r="D353" s="7" t="n">
        <x:f>COUNTIFS('唯一词标签'!$V$2:$V$1441,A353,'唯一词标签'!$Z$2:$Z$1441,"match")</x:f>
        <x:v>0</x:v>
      </x:c>
      <x:c r="E353" s="7" t="n">
        <x:f>COUNTIFS('唯一词标签'!$V$2:$V$1441,A353,'唯一词标签'!$Z$2:$Z$1441,"partial_match")</x:f>
        <x:v>0</x:v>
      </x:c>
      <x:c r="F353" s="7" t="n">
        <x:f>COUNTIFS('唯一词标签'!$V$2:$V$1441,A353,'唯一词标签'!$Z$2:$Z$1441,"mismatch")</x:f>
        <x:v>1</x:v>
      </x:c>
      <x:c r="G353" s="7" t="n">
        <x:f>COUNTIFS('唯一词标签'!$V$2:$V$1441,A353,'唯一词标签'!$Z$2:$Z$1441,"unknown")</x:f>
        <x:v>0</x:v>
      </x:c>
      <x:c r="H353" s="7" t="n">
        <x:f>COUNTIFS('唯一词标签'!$V$2:$V$1441,A353,'唯一词标签'!$U$2:$U$1441,"low")</x:f>
        <x:v>0</x:v>
      </x:c>
      <x:c r="I353" s="7" t="n">
        <x:f>COUNTIFS('唯一词标签'!$V$2:$V$1441,A353,'唯一词标签'!$AB$2:$AB$1441,"needs_review")</x:f>
        <x:v>0</x:v>
      </x:c>
    </x:row>
    <x:row r="354" ht="22" customHeight="1">
      <x:c r="A354" s="7" t="str">
        <x:v>flip_flops_women</x:v>
      </x:c>
      <x:c r="B354" s="7" t="n">
        <x:f>COUNTIF('唯一词标签'!$V$2:$V$1441,A354)</x:f>
        <x:v>3</x:v>
      </x:c>
      <x:c r="C354" s="55" t="n">
        <x:f>B354/COUNTA('唯一词标签'!$C$2:$C$1441)</x:f>
        <x:v>0.0020833333333333333</x:v>
      </x:c>
      <x:c r="D354" s="7" t="n">
        <x:f>COUNTIFS('唯一词标签'!$V$2:$V$1441,A354,'唯一词标签'!$Z$2:$Z$1441,"match")</x:f>
        <x:v>3</x:v>
      </x:c>
      <x:c r="E354" s="7" t="n">
        <x:f>COUNTIFS('唯一词标签'!$V$2:$V$1441,A354,'唯一词标签'!$Z$2:$Z$1441,"partial_match")</x:f>
        <x:v>0</x:v>
      </x:c>
      <x:c r="F354" s="7" t="n">
        <x:f>COUNTIFS('唯一词标签'!$V$2:$V$1441,A354,'唯一词标签'!$Z$2:$Z$1441,"mismatch")</x:f>
        <x:v>0</x:v>
      </x:c>
      <x:c r="G354" s="7" t="n">
        <x:f>COUNTIFS('唯一词标签'!$V$2:$V$1441,A354,'唯一词标签'!$Z$2:$Z$1441,"unknown")</x:f>
        <x:v>0</x:v>
      </x:c>
      <x:c r="H354" s="7" t="n">
        <x:f>COUNTIFS('唯一词标签'!$V$2:$V$1441,A354,'唯一词标签'!$U$2:$U$1441,"low")</x:f>
        <x:v>0</x:v>
      </x:c>
      <x:c r="I354" s="7" t="n">
        <x:f>COUNTIFS('唯一词标签'!$V$2:$V$1441,A354,'唯一词标签'!$AB$2:$AB$1441,"needs_review")</x:f>
        <x:v>0</x:v>
      </x:c>
    </x:row>
    <x:row r="355" ht="22" customHeight="1">
      <x:c r="A355" s="7" t="str">
        <x:v>flip_flops_women_affordable</x:v>
      </x:c>
      <x:c r="B355" s="7" t="n">
        <x:f>COUNTIF('唯一词标签'!$V$2:$V$1441,A355)</x:f>
        <x:v>1</x:v>
      </x:c>
      <x:c r="C355" s="55" t="n">
        <x:f>B355/COUNTA('唯一词标签'!$C$2:$C$1441)</x:f>
        <x:v>0.0006944444444444445</x:v>
      </x:c>
      <x:c r="D355" s="7" t="n">
        <x:f>COUNTIFS('唯一词标签'!$V$2:$V$1441,A355,'唯一词标签'!$Z$2:$Z$1441,"match")</x:f>
        <x:v>0</x:v>
      </x:c>
      <x:c r="E355" s="7" t="n">
        <x:f>COUNTIFS('唯一词标签'!$V$2:$V$1441,A355,'唯一词标签'!$Z$2:$Z$1441,"partial_match")</x:f>
        <x:v>1</x:v>
      </x:c>
      <x:c r="F355" s="7" t="n">
        <x:f>COUNTIFS('唯一词标签'!$V$2:$V$1441,A355,'唯一词标签'!$Z$2:$Z$1441,"mismatch")</x:f>
        <x:v>0</x:v>
      </x:c>
      <x:c r="G355" s="7" t="n">
        <x:f>COUNTIFS('唯一词标签'!$V$2:$V$1441,A355,'唯一词标签'!$Z$2:$Z$1441,"unknown")</x:f>
        <x:v>0</x:v>
      </x:c>
      <x:c r="H355" s="7" t="n">
        <x:f>COUNTIFS('唯一词标签'!$V$2:$V$1441,A355,'唯一词标签'!$U$2:$U$1441,"low")</x:f>
        <x:v>0</x:v>
      </x:c>
      <x:c r="I355" s="7" t="n">
        <x:f>COUNTIFS('唯一词标签'!$V$2:$V$1441,A355,'唯一词标签'!$AB$2:$AB$1441,"needs_review")</x:f>
        <x:v>0</x:v>
      </x:c>
    </x:row>
    <x:row r="356" ht="22" customHeight="1">
      <x:c r="A356" s="7" t="str">
        <x:v>flip_flops_women_animal_print</x:v>
      </x:c>
      <x:c r="B356" s="7" t="n">
        <x:f>COUNTIF('唯一词标签'!$V$2:$V$1441,A356)</x:f>
        <x:v>1</x:v>
      </x:c>
      <x:c r="C356" s="55" t="n">
        <x:f>B356/COUNTA('唯一词标签'!$C$2:$C$1441)</x:f>
        <x:v>0.0006944444444444445</x:v>
      </x:c>
      <x:c r="D356" s="7" t="n">
        <x:f>COUNTIFS('唯一词标签'!$V$2:$V$1441,A356,'唯一词标签'!$Z$2:$Z$1441,"match")</x:f>
        <x:v>0</x:v>
      </x:c>
      <x:c r="E356" s="7" t="n">
        <x:f>COUNTIFS('唯一词标签'!$V$2:$V$1441,A356,'唯一词标签'!$Z$2:$Z$1441,"partial_match")</x:f>
        <x:v>1</x:v>
      </x:c>
      <x:c r="F356" s="7" t="n">
        <x:f>COUNTIFS('唯一词标签'!$V$2:$V$1441,A356,'唯一词标签'!$Z$2:$Z$1441,"mismatch")</x:f>
        <x:v>0</x:v>
      </x:c>
      <x:c r="G356" s="7" t="n">
        <x:f>COUNTIFS('唯一词标签'!$V$2:$V$1441,A356,'唯一词标签'!$Z$2:$Z$1441,"unknown")</x:f>
        <x:v>0</x:v>
      </x:c>
      <x:c r="H356" s="7" t="n">
        <x:f>COUNTIFS('唯一词标签'!$V$2:$V$1441,A356,'唯一词标签'!$U$2:$U$1441,"low")</x:f>
        <x:v>0</x:v>
      </x:c>
      <x:c r="I356" s="7" t="n">
        <x:f>COUNTIFS('唯一词标签'!$V$2:$V$1441,A356,'唯一词标签'!$AB$2:$AB$1441,"needs_review")</x:f>
        <x:v>0</x:v>
      </x:c>
    </x:row>
    <x:row r="357" ht="22" customHeight="1">
      <x:c r="A357" s="7" t="str">
        <x:v>flip_flops_women_arch_support</x:v>
      </x:c>
      <x:c r="B357" s="7" t="n">
        <x:f>COUNTIF('唯一词标签'!$V$2:$V$1441,A357)</x:f>
        <x:v>1</x:v>
      </x:c>
      <x:c r="C357" s="55" t="n">
        <x:f>B357/COUNTA('唯一词标签'!$C$2:$C$1441)</x:f>
        <x:v>0.0006944444444444445</x:v>
      </x:c>
      <x:c r="D357" s="7" t="n">
        <x:f>COUNTIFS('唯一词标签'!$V$2:$V$1441,A357,'唯一词标签'!$Z$2:$Z$1441,"match")</x:f>
        <x:v>1</x:v>
      </x:c>
      <x:c r="E357" s="7" t="n">
        <x:f>COUNTIFS('唯一词标签'!$V$2:$V$1441,A357,'唯一词标签'!$Z$2:$Z$1441,"partial_match")</x:f>
        <x:v>0</x:v>
      </x:c>
      <x:c r="F357" s="7" t="n">
        <x:f>COUNTIFS('唯一词标签'!$V$2:$V$1441,A357,'唯一词标签'!$Z$2:$Z$1441,"mismatch")</x:f>
        <x:v>0</x:v>
      </x:c>
      <x:c r="G357" s="7" t="n">
        <x:f>COUNTIFS('唯一词标签'!$V$2:$V$1441,A357,'唯一词标签'!$Z$2:$Z$1441,"unknown")</x:f>
        <x:v>0</x:v>
      </x:c>
      <x:c r="H357" s="7" t="n">
        <x:f>COUNTIFS('唯一词标签'!$V$2:$V$1441,A357,'唯一词标签'!$U$2:$U$1441,"low")</x:f>
        <x:v>0</x:v>
      </x:c>
      <x:c r="I357" s="7" t="n">
        <x:f>COUNTIFS('唯一词标签'!$V$2:$V$1441,A357,'唯一词标签'!$AB$2:$AB$1441,"needs_review")</x:f>
        <x:v>0</x:v>
      </x:c>
    </x:row>
    <x:row r="358" ht="22" customHeight="1">
      <x:c r="A358" s="7" t="str">
        <x:v>flip_flops_women_arch_support_brown</x:v>
      </x:c>
      <x:c r="B358" s="7" t="n">
        <x:f>COUNTIF('唯一词标签'!$V$2:$V$1441,A358)</x:f>
        <x:v>1</x:v>
      </x:c>
      <x:c r="C358" s="55" t="n">
        <x:f>B358/COUNTA('唯一词标签'!$C$2:$C$1441)</x:f>
        <x:v>0.0006944444444444445</x:v>
      </x:c>
      <x:c r="D358" s="7" t="n">
        <x:f>COUNTIFS('唯一词标签'!$V$2:$V$1441,A358,'唯一词标签'!$Z$2:$Z$1441,"match")</x:f>
        <x:v>1</x:v>
      </x:c>
      <x:c r="E358" s="7" t="n">
        <x:f>COUNTIFS('唯一词标签'!$V$2:$V$1441,A358,'唯一词标签'!$Z$2:$Z$1441,"partial_match")</x:f>
        <x:v>0</x:v>
      </x:c>
      <x:c r="F358" s="7" t="n">
        <x:f>COUNTIFS('唯一词标签'!$V$2:$V$1441,A358,'唯一词标签'!$Z$2:$Z$1441,"mismatch")</x:f>
        <x:v>0</x:v>
      </x:c>
      <x:c r="G358" s="7" t="n">
        <x:f>COUNTIFS('唯一词标签'!$V$2:$V$1441,A358,'唯一词标签'!$Z$2:$Z$1441,"unknown")</x:f>
        <x:v>0</x:v>
      </x:c>
      <x:c r="H358" s="7" t="n">
        <x:f>COUNTIFS('唯一词标签'!$V$2:$V$1441,A358,'唯一词标签'!$U$2:$U$1441,"low")</x:f>
        <x:v>0</x:v>
      </x:c>
      <x:c r="I358" s="7" t="n">
        <x:f>COUNTIFS('唯一词标签'!$V$2:$V$1441,A358,'唯一词标签'!$AB$2:$AB$1441,"needs_review")</x:f>
        <x:v>0</x:v>
      </x:c>
    </x:row>
    <x:row r="359" ht="22" customHeight="1">
      <x:c r="A359" s="7" t="str">
        <x:v>flip_flops_women_arch_support_white</x:v>
      </x:c>
      <x:c r="B359" s="7" t="n">
        <x:f>COUNTIF('唯一词标签'!$V$2:$V$1441,A359)</x:f>
        <x:v>1</x:v>
      </x:c>
      <x:c r="C359" s="55" t="n">
        <x:f>B359/COUNTA('唯一词标签'!$C$2:$C$1441)</x:f>
        <x:v>0.0006944444444444445</x:v>
      </x:c>
      <x:c r="D359" s="7" t="n">
        <x:f>COUNTIFS('唯一词标签'!$V$2:$V$1441,A359,'唯一词标签'!$Z$2:$Z$1441,"match")</x:f>
        <x:v>1</x:v>
      </x:c>
      <x:c r="E359" s="7" t="n">
        <x:f>COUNTIFS('唯一词标签'!$V$2:$V$1441,A359,'唯一词标签'!$Z$2:$Z$1441,"partial_match")</x:f>
        <x:v>0</x:v>
      </x:c>
      <x:c r="F359" s="7" t="n">
        <x:f>COUNTIFS('唯一词标签'!$V$2:$V$1441,A359,'唯一词标签'!$Z$2:$Z$1441,"mismatch")</x:f>
        <x:v>0</x:v>
      </x:c>
      <x:c r="G359" s="7" t="n">
        <x:f>COUNTIFS('唯一词标签'!$V$2:$V$1441,A359,'唯一词标签'!$Z$2:$Z$1441,"unknown")</x:f>
        <x:v>0</x:v>
      </x:c>
      <x:c r="H359" s="7" t="n">
        <x:f>COUNTIFS('唯一词标签'!$V$2:$V$1441,A359,'唯一词标签'!$U$2:$U$1441,"low")</x:f>
        <x:v>0</x:v>
      </x:c>
      <x:c r="I359" s="7" t="n">
        <x:f>COUNTIFS('唯一词标签'!$V$2:$V$1441,A359,'唯一词标签'!$AB$2:$AB$1441,"needs_review")</x:f>
        <x:v>0</x:v>
      </x:c>
    </x:row>
    <x:row r="360" ht="22" customHeight="1">
      <x:c r="A360" s="7" t="str">
        <x:v>flip_flops_women_beach</x:v>
      </x:c>
      <x:c r="B360" s="7" t="n">
        <x:f>COUNTIF('唯一词标签'!$V$2:$V$1441,A360)</x:f>
        <x:v>1</x:v>
      </x:c>
      <x:c r="C360" s="55" t="n">
        <x:f>B360/COUNTA('唯一词标签'!$C$2:$C$1441)</x:f>
        <x:v>0.0006944444444444445</x:v>
      </x:c>
      <x:c r="D360" s="7" t="n">
        <x:f>COUNTIFS('唯一词标签'!$V$2:$V$1441,A360,'唯一词标签'!$Z$2:$Z$1441,"match")</x:f>
        <x:v>1</x:v>
      </x:c>
      <x:c r="E360" s="7" t="n">
        <x:f>COUNTIFS('唯一词标签'!$V$2:$V$1441,A360,'唯一词标签'!$Z$2:$Z$1441,"partial_match")</x:f>
        <x:v>0</x:v>
      </x:c>
      <x:c r="F360" s="7" t="n">
        <x:f>COUNTIFS('唯一词标签'!$V$2:$V$1441,A360,'唯一词标签'!$Z$2:$Z$1441,"mismatch")</x:f>
        <x:v>0</x:v>
      </x:c>
      <x:c r="G360" s="7" t="n">
        <x:f>COUNTIFS('唯一词标签'!$V$2:$V$1441,A360,'唯一词标签'!$Z$2:$Z$1441,"unknown")</x:f>
        <x:v>0</x:v>
      </x:c>
      <x:c r="H360" s="7" t="n">
        <x:f>COUNTIFS('唯一词标签'!$V$2:$V$1441,A360,'唯一词标签'!$U$2:$U$1441,"low")</x:f>
        <x:v>0</x:v>
      </x:c>
      <x:c r="I360" s="7" t="n">
        <x:f>COUNTIFS('唯一词标签'!$V$2:$V$1441,A360,'唯一词标签'!$AB$2:$AB$1441,"needs_review")</x:f>
        <x:v>0</x:v>
      </x:c>
    </x:row>
    <x:row r="361" ht="22" customHeight="1">
      <x:c r="A361" s="7" t="str">
        <x:v>flip_flops_women_beach_waterproof</x:v>
      </x:c>
      <x:c r="B361" s="7" t="n">
        <x:f>COUNTIF('唯一词标签'!$V$2:$V$1441,A361)</x:f>
        <x:v>2</x:v>
      </x:c>
      <x:c r="C361" s="55" t="n">
        <x:f>B361/COUNTA('唯一词标签'!$C$2:$C$1441)</x:f>
        <x:v>0.001388888888888889</x:v>
      </x:c>
      <x:c r="D361" s="7" t="n">
        <x:f>COUNTIFS('唯一词标签'!$V$2:$V$1441,A361,'唯一词标签'!$Z$2:$Z$1441,"match")</x:f>
        <x:v>0</x:v>
      </x:c>
      <x:c r="E361" s="7" t="n">
        <x:f>COUNTIFS('唯一词标签'!$V$2:$V$1441,A361,'唯一词标签'!$Z$2:$Z$1441,"partial_match")</x:f>
        <x:v>2</x:v>
      </x:c>
      <x:c r="F361" s="7" t="n">
        <x:f>COUNTIFS('唯一词标签'!$V$2:$V$1441,A361,'唯一词标签'!$Z$2:$Z$1441,"mismatch")</x:f>
        <x:v>0</x:v>
      </x:c>
      <x:c r="G361" s="7" t="n">
        <x:f>COUNTIFS('唯一词标签'!$V$2:$V$1441,A361,'唯一词标签'!$Z$2:$Z$1441,"unknown")</x:f>
        <x:v>0</x:v>
      </x:c>
      <x:c r="H361" s="7" t="n">
        <x:f>COUNTIFS('唯一词标签'!$V$2:$V$1441,A361,'唯一词标签'!$U$2:$U$1441,"low")</x:f>
        <x:v>0</x:v>
      </x:c>
      <x:c r="I361" s="7" t="n">
        <x:f>COUNTIFS('唯一词标签'!$V$2:$V$1441,A361,'唯一词标签'!$AB$2:$AB$1441,"needs_review")</x:f>
        <x:v>0</x:v>
      </x:c>
    </x:row>
    <x:row r="362" ht="22" customHeight="1">
      <x:c r="A362" s="7" t="str">
        <x:v>flip_flops_women_black</x:v>
      </x:c>
      <x:c r="B362" s="7" t="n">
        <x:f>COUNTIF('唯一词标签'!$V$2:$V$1441,A362)</x:f>
        <x:v>1</x:v>
      </x:c>
      <x:c r="C362" s="55" t="n">
        <x:f>B362/COUNTA('唯一词标签'!$C$2:$C$1441)</x:f>
        <x:v>0.0006944444444444445</x:v>
      </x:c>
      <x:c r="D362" s="7" t="n">
        <x:f>COUNTIFS('唯一词标签'!$V$2:$V$1441,A362,'唯一词标签'!$Z$2:$Z$1441,"match")</x:f>
        <x:v>1</x:v>
      </x:c>
      <x:c r="E362" s="7" t="n">
        <x:f>COUNTIFS('唯一词标签'!$V$2:$V$1441,A362,'唯一词标签'!$Z$2:$Z$1441,"partial_match")</x:f>
        <x:v>0</x:v>
      </x:c>
      <x:c r="F362" s="7" t="n">
        <x:f>COUNTIFS('唯一词标签'!$V$2:$V$1441,A362,'唯一词标签'!$Z$2:$Z$1441,"mismatch")</x:f>
        <x:v>0</x:v>
      </x:c>
      <x:c r="G362" s="7" t="n">
        <x:f>COUNTIFS('唯一词标签'!$V$2:$V$1441,A362,'唯一词标签'!$Z$2:$Z$1441,"unknown")</x:f>
        <x:v>0</x:v>
      </x:c>
      <x:c r="H362" s="7" t="n">
        <x:f>COUNTIFS('唯一词标签'!$V$2:$V$1441,A362,'唯一词标签'!$U$2:$U$1441,"low")</x:f>
        <x:v>0</x:v>
      </x:c>
      <x:c r="I362" s="7" t="n">
        <x:f>COUNTIFS('唯一词标签'!$V$2:$V$1441,A362,'唯一词标签'!$AB$2:$AB$1441,"needs_review")</x:f>
        <x:v>0</x:v>
      </x:c>
    </x:row>
    <x:row r="363" ht="22" customHeight="1">
      <x:c r="A363" s="7" t="str">
        <x:v>flip_flops_women_black_comfort_soft_toe</x:v>
      </x:c>
      <x:c r="B363" s="7" t="n">
        <x:f>COUNTIF('唯一词标签'!$V$2:$V$1441,A363)</x:f>
        <x:v>1</x:v>
      </x:c>
      <x:c r="C363" s="55" t="n">
        <x:f>B363/COUNTA('唯一词标签'!$C$2:$C$1441)</x:f>
        <x:v>0.0006944444444444445</x:v>
      </x:c>
      <x:c r="D363" s="7" t="n">
        <x:f>COUNTIFS('唯一词标签'!$V$2:$V$1441,A363,'唯一词标签'!$Z$2:$Z$1441,"match")</x:f>
        <x:v>1</x:v>
      </x:c>
      <x:c r="E363" s="7" t="n">
        <x:f>COUNTIFS('唯一词标签'!$V$2:$V$1441,A363,'唯一词标签'!$Z$2:$Z$1441,"partial_match")</x:f>
        <x:v>0</x:v>
      </x:c>
      <x:c r="F363" s="7" t="n">
        <x:f>COUNTIFS('唯一词标签'!$V$2:$V$1441,A363,'唯一词标签'!$Z$2:$Z$1441,"mismatch")</x:f>
        <x:v>0</x:v>
      </x:c>
      <x:c r="G363" s="7" t="n">
        <x:f>COUNTIFS('唯一词标签'!$V$2:$V$1441,A363,'唯一词标签'!$Z$2:$Z$1441,"unknown")</x:f>
        <x:v>0</x:v>
      </x:c>
      <x:c r="H363" s="7" t="n">
        <x:f>COUNTIFS('唯一词标签'!$V$2:$V$1441,A363,'唯一词标签'!$U$2:$U$1441,"low")</x:f>
        <x:v>0</x:v>
      </x:c>
      <x:c r="I363" s="7" t="n">
        <x:f>COUNTIFS('唯一词标签'!$V$2:$V$1441,A363,'唯一词标签'!$AB$2:$AB$1441,"needs_review")</x:f>
        <x:v>0</x:v>
      </x:c>
    </x:row>
    <x:row r="364" ht="22" customHeight="1">
      <x:c r="A364" s="7" t="str">
        <x:v>flip_flops_women_black_cushioned</x:v>
      </x:c>
      <x:c r="B364" s="7" t="n">
        <x:f>COUNTIF('唯一词标签'!$V$2:$V$1441,A364)</x:f>
        <x:v>1</x:v>
      </x:c>
      <x:c r="C364" s="55" t="n">
        <x:f>B364/COUNTA('唯一词标签'!$C$2:$C$1441)</x:f>
        <x:v>0.0006944444444444445</x:v>
      </x:c>
      <x:c r="D364" s="7" t="n">
        <x:f>COUNTIFS('唯一词标签'!$V$2:$V$1441,A364,'唯一词标签'!$Z$2:$Z$1441,"match")</x:f>
        <x:v>1</x:v>
      </x:c>
      <x:c r="E364" s="7" t="n">
        <x:f>COUNTIFS('唯一词标签'!$V$2:$V$1441,A364,'唯一词标签'!$Z$2:$Z$1441,"partial_match")</x:f>
        <x:v>0</x:v>
      </x:c>
      <x:c r="F364" s="7" t="n">
        <x:f>COUNTIFS('唯一词标签'!$V$2:$V$1441,A364,'唯一词标签'!$Z$2:$Z$1441,"mismatch")</x:f>
        <x:v>0</x:v>
      </x:c>
      <x:c r="G364" s="7" t="n">
        <x:f>COUNTIFS('唯一词标签'!$V$2:$V$1441,A364,'唯一词标签'!$Z$2:$Z$1441,"unknown")</x:f>
        <x:v>0</x:v>
      </x:c>
      <x:c r="H364" s="7" t="n">
        <x:f>COUNTIFS('唯一词标签'!$V$2:$V$1441,A364,'唯一词标签'!$U$2:$U$1441,"low")</x:f>
        <x:v>0</x:v>
      </x:c>
      <x:c r="I364" s="7" t="n">
        <x:f>COUNTIFS('唯一词标签'!$V$2:$V$1441,A364,'唯一词标签'!$AB$2:$AB$1441,"needs_review")</x:f>
        <x:v>0</x:v>
      </x:c>
    </x:row>
    <x:row r="365" ht="22" customHeight="1">
      <x:c r="A365" s="7" t="str">
        <x:v>flip_flops_women_blue</x:v>
      </x:c>
      <x:c r="B365" s="7" t="n">
        <x:f>COUNTIF('唯一词标签'!$V$2:$V$1441,A365)</x:f>
        <x:v>1</x:v>
      </x:c>
      <x:c r="C365" s="55" t="n">
        <x:f>B365/COUNTA('唯一词标签'!$C$2:$C$1441)</x:f>
        <x:v>0.0006944444444444445</x:v>
      </x:c>
      <x:c r="D365" s="7" t="n">
        <x:f>COUNTIFS('唯一词标签'!$V$2:$V$1441,A365,'唯一词标签'!$Z$2:$Z$1441,"match")</x:f>
        <x:v>1</x:v>
      </x:c>
      <x:c r="E365" s="7" t="n">
        <x:f>COUNTIFS('唯一词标签'!$V$2:$V$1441,A365,'唯一词标签'!$Z$2:$Z$1441,"partial_match")</x:f>
        <x:v>0</x:v>
      </x:c>
      <x:c r="F365" s="7" t="n">
        <x:f>COUNTIFS('唯一词标签'!$V$2:$V$1441,A365,'唯一词标签'!$Z$2:$Z$1441,"mismatch")</x:f>
        <x:v>0</x:v>
      </x:c>
      <x:c r="G365" s="7" t="n">
        <x:f>COUNTIFS('唯一词标签'!$V$2:$V$1441,A365,'唯一词标签'!$Z$2:$Z$1441,"unknown")</x:f>
        <x:v>0</x:v>
      </x:c>
      <x:c r="H365" s="7" t="n">
        <x:f>COUNTIFS('唯一词标签'!$V$2:$V$1441,A365,'唯一词标签'!$U$2:$U$1441,"low")</x:f>
        <x:v>0</x:v>
      </x:c>
      <x:c r="I365" s="7" t="n">
        <x:f>COUNTIFS('唯一词标签'!$V$2:$V$1441,A365,'唯一词标签'!$AB$2:$AB$1441,"needs_review")</x:f>
        <x:v>0</x:v>
      </x:c>
    </x:row>
    <x:row r="366" ht="22" customHeight="1">
      <x:c r="A366" s="7" t="str">
        <x:v>flip_flops_women_brand_rocketdog</x:v>
      </x:c>
      <x:c r="B366" s="7" t="n">
        <x:f>COUNTIF('唯一词标签'!$V$2:$V$1441,A366)</x:f>
        <x:v>1</x:v>
      </x:c>
      <x:c r="C366" s="55" t="n">
        <x:f>B366/COUNTA('唯一词标签'!$C$2:$C$1441)</x:f>
        <x:v>0.0006944444444444445</x:v>
      </x:c>
      <x:c r="D366" s="7" t="n">
        <x:f>COUNTIFS('唯一词标签'!$V$2:$V$1441,A366,'唯一词标签'!$Z$2:$Z$1441,"match")</x:f>
        <x:v>0</x:v>
      </x:c>
      <x:c r="E366" s="7" t="n">
        <x:f>COUNTIFS('唯一词标签'!$V$2:$V$1441,A366,'唯一词标签'!$Z$2:$Z$1441,"partial_match")</x:f>
        <x:v>0</x:v>
      </x:c>
      <x:c r="F366" s="7" t="n">
        <x:f>COUNTIFS('唯一词标签'!$V$2:$V$1441,A366,'唯一词标签'!$Z$2:$Z$1441,"mismatch")</x:f>
        <x:v>1</x:v>
      </x:c>
      <x:c r="G366" s="7" t="n">
        <x:f>COUNTIFS('唯一词标签'!$V$2:$V$1441,A366,'唯一词标签'!$Z$2:$Z$1441,"unknown")</x:f>
        <x:v>0</x:v>
      </x:c>
      <x:c r="H366" s="7" t="n">
        <x:f>COUNTIFS('唯一词标签'!$V$2:$V$1441,A366,'唯一词标签'!$U$2:$U$1441,"low")</x:f>
        <x:v>0</x:v>
      </x:c>
      <x:c r="I366" s="7" t="n">
        <x:f>COUNTIFS('唯一词标签'!$V$2:$V$1441,A366,'唯一词标签'!$AB$2:$AB$1441,"needs_review")</x:f>
        <x:v>0</x:v>
      </x:c>
    </x:row>
    <x:row r="367" ht="22" customHeight="1">
      <x:c r="A367" s="7" t="str">
        <x:v>flip_flops_women_brown</x:v>
      </x:c>
      <x:c r="B367" s="7" t="n">
        <x:f>COUNTIF('唯一词标签'!$V$2:$V$1441,A367)</x:f>
        <x:v>1</x:v>
      </x:c>
      <x:c r="C367" s="55" t="n">
        <x:f>B367/COUNTA('唯一词标签'!$C$2:$C$1441)</x:f>
        <x:v>0.0006944444444444445</x:v>
      </x:c>
      <x:c r="D367" s="7" t="n">
        <x:f>COUNTIFS('唯一词标签'!$V$2:$V$1441,A367,'唯一词标签'!$Z$2:$Z$1441,"match")</x:f>
        <x:v>1</x:v>
      </x:c>
      <x:c r="E367" s="7" t="n">
        <x:f>COUNTIFS('唯一词标签'!$V$2:$V$1441,A367,'唯一词标签'!$Z$2:$Z$1441,"partial_match")</x:f>
        <x:v>0</x:v>
      </x:c>
      <x:c r="F367" s="7" t="n">
        <x:f>COUNTIFS('唯一词标签'!$V$2:$V$1441,A367,'唯一词标签'!$Z$2:$Z$1441,"mismatch")</x:f>
        <x:v>0</x:v>
      </x:c>
      <x:c r="G367" s="7" t="n">
        <x:f>COUNTIFS('唯一词标签'!$V$2:$V$1441,A367,'唯一词标签'!$Z$2:$Z$1441,"unknown")</x:f>
        <x:v>0</x:v>
      </x:c>
      <x:c r="H367" s="7" t="n">
        <x:f>COUNTIFS('唯一词标签'!$V$2:$V$1441,A367,'唯一词标签'!$U$2:$U$1441,"low")</x:f>
        <x:v>0</x:v>
      </x:c>
      <x:c r="I367" s="7" t="n">
        <x:f>COUNTIFS('唯一词标签'!$V$2:$V$1441,A367,'唯一词标签'!$AB$2:$AB$1441,"needs_review")</x:f>
        <x:v>0</x:v>
      </x:c>
    </x:row>
    <x:row r="368" ht="22" customHeight="1">
      <x:c r="A368" s="7" t="str">
        <x:v>flip_flops_women_color</x:v>
      </x:c>
      <x:c r="B368" s="7" t="n">
        <x:f>COUNTIF('唯一词标签'!$V$2:$V$1441,A368)</x:f>
        <x:v>1</x:v>
      </x:c>
      <x:c r="C368" s="55" t="n">
        <x:f>B368/COUNTA('唯一词标签'!$C$2:$C$1441)</x:f>
        <x:v>0.0006944444444444445</x:v>
      </x:c>
      <x:c r="D368" s="7" t="n">
        <x:f>COUNTIFS('唯一词标签'!$V$2:$V$1441,A368,'唯一词标签'!$Z$2:$Z$1441,"match")</x:f>
        <x:v>0</x:v>
      </x:c>
      <x:c r="E368" s="7" t="n">
        <x:f>COUNTIFS('唯一词标签'!$V$2:$V$1441,A368,'唯一词标签'!$Z$2:$Z$1441,"partial_match")</x:f>
        <x:v>1</x:v>
      </x:c>
      <x:c r="F368" s="7" t="n">
        <x:f>COUNTIFS('唯一词标签'!$V$2:$V$1441,A368,'唯一词标签'!$Z$2:$Z$1441,"mismatch")</x:f>
        <x:v>0</x:v>
      </x:c>
      <x:c r="G368" s="7" t="n">
        <x:f>COUNTIFS('唯一词标签'!$V$2:$V$1441,A368,'唯一词标签'!$Z$2:$Z$1441,"unknown")</x:f>
        <x:v>0</x:v>
      </x:c>
      <x:c r="H368" s="7" t="n">
        <x:f>COUNTIFS('唯一词标签'!$V$2:$V$1441,A368,'唯一词标签'!$U$2:$U$1441,"low")</x:f>
        <x:v>0</x:v>
      </x:c>
      <x:c r="I368" s="7" t="n">
        <x:f>COUNTIFS('唯一词标签'!$V$2:$V$1441,A368,'唯一词标签'!$AB$2:$AB$1441,"needs_review")</x:f>
        <x:v>0</x:v>
      </x:c>
    </x:row>
    <x:row r="369" ht="22" customHeight="1">
      <x:c r="A369" s="7" t="str">
        <x:v>flip_flops_women_comfortable</x:v>
      </x:c>
      <x:c r="B369" s="7" t="n">
        <x:f>COUNTIF('唯一词标签'!$V$2:$V$1441,A369)</x:f>
        <x:v>1</x:v>
      </x:c>
      <x:c r="C369" s="55" t="n">
        <x:f>B369/COUNTA('唯一词标签'!$C$2:$C$1441)</x:f>
        <x:v>0.0006944444444444445</x:v>
      </x:c>
      <x:c r="D369" s="7" t="n">
        <x:f>COUNTIFS('唯一词标签'!$V$2:$V$1441,A369,'唯一词标签'!$Z$2:$Z$1441,"match")</x:f>
        <x:v>1</x:v>
      </x:c>
      <x:c r="E369" s="7" t="n">
        <x:f>COUNTIFS('唯一词标签'!$V$2:$V$1441,A369,'唯一词标签'!$Z$2:$Z$1441,"partial_match")</x:f>
        <x:v>0</x:v>
      </x:c>
      <x:c r="F369" s="7" t="n">
        <x:f>COUNTIFS('唯一词标签'!$V$2:$V$1441,A369,'唯一词标签'!$Z$2:$Z$1441,"mismatch")</x:f>
        <x:v>0</x:v>
      </x:c>
      <x:c r="G369" s="7" t="n">
        <x:f>COUNTIFS('唯一词标签'!$V$2:$V$1441,A369,'唯一词标签'!$Z$2:$Z$1441,"unknown")</x:f>
        <x:v>0</x:v>
      </x:c>
      <x:c r="H369" s="7" t="n">
        <x:f>COUNTIFS('唯一词标签'!$V$2:$V$1441,A369,'唯一词标签'!$U$2:$U$1441,"low")</x:f>
        <x:v>0</x:v>
      </x:c>
      <x:c r="I369" s="7" t="n">
        <x:f>COUNTIFS('唯一词标签'!$V$2:$V$1441,A369,'唯一词标签'!$AB$2:$AB$1441,"needs_review")</x:f>
        <x:v>0</x:v>
      </x:c>
    </x:row>
    <x:row r="370" ht="22" customHeight="1">
      <x:c r="A370" s="7" t="str">
        <x:v>flip_flops_women_cruise</x:v>
      </x:c>
      <x:c r="B370" s="7" t="n">
        <x:f>COUNTIF('唯一词标签'!$V$2:$V$1441,A370)</x:f>
        <x:v>1</x:v>
      </x:c>
      <x:c r="C370" s="55" t="n">
        <x:f>B370/COUNTA('唯一词标签'!$C$2:$C$1441)</x:f>
        <x:v>0.0006944444444444445</x:v>
      </x:c>
      <x:c r="D370" s="7" t="n">
        <x:f>COUNTIFS('唯一词标签'!$V$2:$V$1441,A370,'唯一词标签'!$Z$2:$Z$1441,"match")</x:f>
        <x:v>1</x:v>
      </x:c>
      <x:c r="E370" s="7" t="n">
        <x:f>COUNTIFS('唯一词标签'!$V$2:$V$1441,A370,'唯一词标签'!$Z$2:$Z$1441,"partial_match")</x:f>
        <x:v>0</x:v>
      </x:c>
      <x:c r="F370" s="7" t="n">
        <x:f>COUNTIFS('唯一词标签'!$V$2:$V$1441,A370,'唯一词标签'!$Z$2:$Z$1441,"mismatch")</x:f>
        <x:v>0</x:v>
      </x:c>
      <x:c r="G370" s="7" t="n">
        <x:f>COUNTIFS('唯一词标签'!$V$2:$V$1441,A370,'唯一词标签'!$Z$2:$Z$1441,"unknown")</x:f>
        <x:v>0</x:v>
      </x:c>
      <x:c r="H370" s="7" t="n">
        <x:f>COUNTIFS('唯一词标签'!$V$2:$V$1441,A370,'唯一词标签'!$U$2:$U$1441,"low")</x:f>
        <x:v>0</x:v>
      </x:c>
      <x:c r="I370" s="7" t="n">
        <x:f>COUNTIFS('唯一词标签'!$V$2:$V$1441,A370,'唯一词标签'!$AB$2:$AB$1441,"needs_review")</x:f>
        <x:v>0</x:v>
      </x:c>
    </x:row>
    <x:row r="371" ht="22" customHeight="1">
      <x:c r="A371" s="7" t="str">
        <x:v>flip_flops_women_cushioned_waterproof</x:v>
      </x:c>
      <x:c r="B371" s="7" t="n">
        <x:f>COUNTIF('唯一词标签'!$V$2:$V$1441,A371)</x:f>
        <x:v>1</x:v>
      </x:c>
      <x:c r="C371" s="55" t="n">
        <x:f>B371/COUNTA('唯一词标签'!$C$2:$C$1441)</x:f>
        <x:v>0.0006944444444444445</x:v>
      </x:c>
      <x:c r="D371" s="7" t="n">
        <x:f>COUNTIFS('唯一词标签'!$V$2:$V$1441,A371,'唯一词标签'!$Z$2:$Z$1441,"match")</x:f>
        <x:v>0</x:v>
      </x:c>
      <x:c r="E371" s="7" t="n">
        <x:f>COUNTIFS('唯一词标签'!$V$2:$V$1441,A371,'唯一词标签'!$Z$2:$Z$1441,"partial_match")</x:f>
        <x:v>1</x:v>
      </x:c>
      <x:c r="F371" s="7" t="n">
        <x:f>COUNTIFS('唯一词标签'!$V$2:$V$1441,A371,'唯一词标签'!$Z$2:$Z$1441,"mismatch")</x:f>
        <x:v>0</x:v>
      </x:c>
      <x:c r="G371" s="7" t="n">
        <x:f>COUNTIFS('唯一词标签'!$V$2:$V$1441,A371,'唯一词标签'!$Z$2:$Z$1441,"unknown")</x:f>
        <x:v>0</x:v>
      </x:c>
      <x:c r="H371" s="7" t="n">
        <x:f>COUNTIFS('唯一词标签'!$V$2:$V$1441,A371,'唯一词标签'!$U$2:$U$1441,"low")</x:f>
        <x:v>0</x:v>
      </x:c>
      <x:c r="I371" s="7" t="n">
        <x:f>COUNTIFS('唯一词标签'!$V$2:$V$1441,A371,'唯一词标签'!$AB$2:$AB$1441,"needs_review")</x:f>
        <x:v>0</x:v>
      </x:c>
    </x:row>
    <x:row r="372" ht="22" customHeight="1">
      <x:c r="A372" s="7" t="str">
        <x:v>flip_flops_women_generic</x:v>
      </x:c>
      <x:c r="B372" s="7" t="n">
        <x:f>COUNTIF('唯一词标签'!$V$2:$V$1441,A372)</x:f>
        <x:v>2</x:v>
      </x:c>
      <x:c r="C372" s="55" t="n">
        <x:f>B372/COUNTA('唯一词标签'!$C$2:$C$1441)</x:f>
        <x:v>0.001388888888888889</x:v>
      </x:c>
      <x:c r="D372" s="7" t="n">
        <x:f>COUNTIFS('唯一词标签'!$V$2:$V$1441,A372,'唯一词标签'!$Z$2:$Z$1441,"match")</x:f>
        <x:v>2</x:v>
      </x:c>
      <x:c r="E372" s="7" t="n">
        <x:f>COUNTIFS('唯一词标签'!$V$2:$V$1441,A372,'唯一词标签'!$Z$2:$Z$1441,"partial_match")</x:f>
        <x:v>0</x:v>
      </x:c>
      <x:c r="F372" s="7" t="n">
        <x:f>COUNTIFS('唯一词标签'!$V$2:$V$1441,A372,'唯一词标签'!$Z$2:$Z$1441,"mismatch")</x:f>
        <x:v>0</x:v>
      </x:c>
      <x:c r="G372" s="7" t="n">
        <x:f>COUNTIFS('唯一词标签'!$V$2:$V$1441,A372,'唯一词标签'!$Z$2:$Z$1441,"unknown")</x:f>
        <x:v>0</x:v>
      </x:c>
      <x:c r="H372" s="7" t="n">
        <x:f>COUNTIFS('唯一词标签'!$V$2:$V$1441,A372,'唯一词标签'!$U$2:$U$1441,"low")</x:f>
        <x:v>0</x:v>
      </x:c>
      <x:c r="I372" s="7" t="n">
        <x:f>COUNTIFS('唯一词标签'!$V$2:$V$1441,A372,'唯一词标签'!$AB$2:$AB$1441,"needs_review")</x:f>
        <x:v>0</x:v>
      </x:c>
    </x:row>
    <x:row r="373" ht="22" customHeight="1">
      <x:c r="A373" s="7" t="str">
        <x:v>flip_flops_women_indoor_home</x:v>
      </x:c>
      <x:c r="B373" s="7" t="n">
        <x:f>COUNTIF('唯一词标签'!$V$2:$V$1441,A373)</x:f>
        <x:v>1</x:v>
      </x:c>
      <x:c r="C373" s="55" t="n">
        <x:f>B373/COUNTA('唯一词标签'!$C$2:$C$1441)</x:f>
        <x:v>0.0006944444444444445</x:v>
      </x:c>
      <x:c r="D373" s="7" t="n">
        <x:f>COUNTIFS('唯一词标签'!$V$2:$V$1441,A373,'唯一词标签'!$Z$2:$Z$1441,"match")</x:f>
        <x:v>0</x:v>
      </x:c>
      <x:c r="E373" s="7" t="n">
        <x:f>COUNTIFS('唯一词标签'!$V$2:$V$1441,A373,'唯一词标签'!$Z$2:$Z$1441,"partial_match")</x:f>
        <x:v>1</x:v>
      </x:c>
      <x:c r="F373" s="7" t="n">
        <x:f>COUNTIFS('唯一词标签'!$V$2:$V$1441,A373,'唯一词标签'!$Z$2:$Z$1441,"mismatch")</x:f>
        <x:v>0</x:v>
      </x:c>
      <x:c r="G373" s="7" t="n">
        <x:f>COUNTIFS('唯一词标签'!$V$2:$V$1441,A373,'唯一词标签'!$Z$2:$Z$1441,"unknown")</x:f>
        <x:v>0</x:v>
      </x:c>
      <x:c r="H373" s="7" t="n">
        <x:f>COUNTIFS('唯一词标签'!$V$2:$V$1441,A373,'唯一词标签'!$U$2:$U$1441,"low")</x:f>
        <x:v>0</x:v>
      </x:c>
      <x:c r="I373" s="7" t="n">
        <x:f>COUNTIFS('唯一词标签'!$V$2:$V$1441,A373,'唯一词标签'!$AB$2:$AB$1441,"needs_review")</x:f>
        <x:v>0</x:v>
      </x:c>
    </x:row>
    <x:row r="374" ht="22" customHeight="1">
      <x:c r="A374" s="7" t="str">
        <x:v>flip_flops_women_lake</x:v>
      </x:c>
      <x:c r="B374" s="7" t="n">
        <x:f>COUNTIF('唯一词标签'!$V$2:$V$1441,A374)</x:f>
        <x:v>1</x:v>
      </x:c>
      <x:c r="C374" s="55" t="n">
        <x:f>B374/COUNTA('唯一词标签'!$C$2:$C$1441)</x:f>
        <x:v>0.0006944444444444445</x:v>
      </x:c>
      <x:c r="D374" s="7" t="n">
        <x:f>COUNTIFS('唯一词标签'!$V$2:$V$1441,A374,'唯一词标签'!$Z$2:$Z$1441,"match")</x:f>
        <x:v>1</x:v>
      </x:c>
      <x:c r="E374" s="7" t="n">
        <x:f>COUNTIFS('唯一词标签'!$V$2:$V$1441,A374,'唯一词标签'!$Z$2:$Z$1441,"partial_match")</x:f>
        <x:v>0</x:v>
      </x:c>
      <x:c r="F374" s="7" t="n">
        <x:f>COUNTIFS('唯一词标签'!$V$2:$V$1441,A374,'唯一词标签'!$Z$2:$Z$1441,"mismatch")</x:f>
        <x:v>0</x:v>
      </x:c>
      <x:c r="G374" s="7" t="n">
        <x:f>COUNTIFS('唯一词标签'!$V$2:$V$1441,A374,'唯一词标签'!$Z$2:$Z$1441,"unknown")</x:f>
        <x:v>0</x:v>
      </x:c>
      <x:c r="H374" s="7" t="n">
        <x:f>COUNTIFS('唯一词标签'!$V$2:$V$1441,A374,'唯一词标签'!$U$2:$U$1441,"low")</x:f>
        <x:v>0</x:v>
      </x:c>
      <x:c r="I374" s="7" t="n">
        <x:f>COUNTIFS('唯一词标签'!$V$2:$V$1441,A374,'唯一词标签'!$AB$2:$AB$1441,"needs_review")</x:f>
        <x:v>0</x:v>
      </x:c>
    </x:row>
    <x:row r="375" ht="22" customHeight="1">
      <x:c r="A375" s="7" t="str">
        <x:v>flip_flops_women_patriotic_style</x:v>
      </x:c>
      <x:c r="B375" s="7" t="n">
        <x:f>COUNTIF('唯一词标签'!$V$2:$V$1441,A375)</x:f>
        <x:v>1</x:v>
      </x:c>
      <x:c r="C375" s="55" t="n">
        <x:f>B375/COUNTA('唯一词标签'!$C$2:$C$1441)</x:f>
        <x:v>0.0006944444444444445</x:v>
      </x:c>
      <x:c r="D375" s="7" t="n">
        <x:f>COUNTIFS('唯一词标签'!$V$2:$V$1441,A375,'唯一词标签'!$Z$2:$Z$1441,"match")</x:f>
        <x:v>0</x:v>
      </x:c>
      <x:c r="E375" s="7" t="n">
        <x:f>COUNTIFS('唯一词标签'!$V$2:$V$1441,A375,'唯一词标签'!$Z$2:$Z$1441,"partial_match")</x:f>
        <x:v>1</x:v>
      </x:c>
      <x:c r="F375" s="7" t="n">
        <x:f>COUNTIFS('唯一词标签'!$V$2:$V$1441,A375,'唯一词标签'!$Z$2:$Z$1441,"mismatch")</x:f>
        <x:v>0</x:v>
      </x:c>
      <x:c r="G375" s="7" t="n">
        <x:f>COUNTIFS('唯一词标签'!$V$2:$V$1441,A375,'唯一词标签'!$Z$2:$Z$1441,"unknown")</x:f>
        <x:v>0</x:v>
      </x:c>
      <x:c r="H375" s="7" t="n">
        <x:f>COUNTIFS('唯一词标签'!$V$2:$V$1441,A375,'唯一词标签'!$U$2:$U$1441,"low")</x:f>
        <x:v>0</x:v>
      </x:c>
      <x:c r="I375" s="7" t="n">
        <x:f>COUNTIFS('唯一词标签'!$V$2:$V$1441,A375,'唯一词标签'!$AB$2:$AB$1441,"needs_review")</x:f>
        <x:v>0</x:v>
      </x:c>
    </x:row>
    <x:row r="376" ht="22" customHeight="1">
      <x:c r="A376" s="7" t="str">
        <x:v>flip_flops_women_pool_arch_support</x:v>
      </x:c>
      <x:c r="B376" s="7" t="n">
        <x:f>COUNTIF('唯一词标签'!$V$2:$V$1441,A376)</x:f>
        <x:v>1</x:v>
      </x:c>
      <x:c r="C376" s="55" t="n">
        <x:f>B376/COUNTA('唯一词标签'!$C$2:$C$1441)</x:f>
        <x:v>0.0006944444444444445</x:v>
      </x:c>
      <x:c r="D376" s="7" t="n">
        <x:f>COUNTIFS('唯一词标签'!$V$2:$V$1441,A376,'唯一词标签'!$Z$2:$Z$1441,"match")</x:f>
        <x:v>1</x:v>
      </x:c>
      <x:c r="E376" s="7" t="n">
        <x:f>COUNTIFS('唯一词标签'!$V$2:$V$1441,A376,'唯一词标签'!$Z$2:$Z$1441,"partial_match")</x:f>
        <x:v>0</x:v>
      </x:c>
      <x:c r="F376" s="7" t="n">
        <x:f>COUNTIFS('唯一词标签'!$V$2:$V$1441,A376,'唯一词标签'!$Z$2:$Z$1441,"mismatch")</x:f>
        <x:v>0</x:v>
      </x:c>
      <x:c r="G376" s="7" t="n">
        <x:f>COUNTIFS('唯一词标签'!$V$2:$V$1441,A376,'唯一词标签'!$Z$2:$Z$1441,"unknown")</x:f>
        <x:v>0</x:v>
      </x:c>
      <x:c r="H376" s="7" t="n">
        <x:f>COUNTIFS('唯一词标签'!$V$2:$V$1441,A376,'唯一词标签'!$U$2:$U$1441,"low")</x:f>
        <x:v>0</x:v>
      </x:c>
      <x:c r="I376" s="7" t="n">
        <x:f>COUNTIFS('唯一词标签'!$V$2:$V$1441,A376,'唯一词标签'!$AB$2:$AB$1441,"needs_review")</x:f>
        <x:v>0</x:v>
      </x:c>
    </x:row>
    <x:row r="377" ht="22" customHeight="1">
      <x:c r="A377" s="7" t="str">
        <x:v>flip_flops_women_size_10</x:v>
      </x:c>
      <x:c r="B377" s="7" t="n">
        <x:f>COUNTIF('唯一词标签'!$V$2:$V$1441,A377)</x:f>
        <x:v>1</x:v>
      </x:c>
      <x:c r="C377" s="55" t="n">
        <x:f>B377/COUNTA('唯一词标签'!$C$2:$C$1441)</x:f>
        <x:v>0.0006944444444444445</x:v>
      </x:c>
      <x:c r="D377" s="7" t="n">
        <x:f>COUNTIFS('唯一词标签'!$V$2:$V$1441,A377,'唯一词标签'!$Z$2:$Z$1441,"match")</x:f>
        <x:v>1</x:v>
      </x:c>
      <x:c r="E377" s="7" t="n">
        <x:f>COUNTIFS('唯一词标签'!$V$2:$V$1441,A377,'唯一词标签'!$Z$2:$Z$1441,"partial_match")</x:f>
        <x:v>0</x:v>
      </x:c>
      <x:c r="F377" s="7" t="n">
        <x:f>COUNTIFS('唯一词标签'!$V$2:$V$1441,A377,'唯一词标签'!$Z$2:$Z$1441,"mismatch")</x:f>
        <x:v>0</x:v>
      </x:c>
      <x:c r="G377" s="7" t="n">
        <x:f>COUNTIFS('唯一词标签'!$V$2:$V$1441,A377,'唯一词标签'!$Z$2:$Z$1441,"unknown")</x:f>
        <x:v>0</x:v>
      </x:c>
      <x:c r="H377" s="7" t="n">
        <x:f>COUNTIFS('唯一词标签'!$V$2:$V$1441,A377,'唯一词标签'!$U$2:$U$1441,"low")</x:f>
        <x:v>0</x:v>
      </x:c>
      <x:c r="I377" s="7" t="n">
        <x:f>COUNTIFS('唯一词标签'!$V$2:$V$1441,A377,'唯一词标签'!$AB$2:$AB$1441,"needs_review")</x:f>
        <x:v>0</x:v>
      </x:c>
    </x:row>
    <x:row r="378" ht="22" customHeight="1">
      <x:c r="A378" s="7" t="str">
        <x:v>flip_flops_women_size_7</x:v>
      </x:c>
      <x:c r="B378" s="7" t="n">
        <x:f>COUNTIF('唯一词标签'!$V$2:$V$1441,A378)</x:f>
        <x:v>1</x:v>
      </x:c>
      <x:c r="C378" s="55" t="n">
        <x:f>B378/COUNTA('唯一词标签'!$C$2:$C$1441)</x:f>
        <x:v>0.0006944444444444445</x:v>
      </x:c>
      <x:c r="D378" s="7" t="n">
        <x:f>COUNTIFS('唯一词标签'!$V$2:$V$1441,A378,'唯一词标签'!$Z$2:$Z$1441,"match")</x:f>
        <x:v>1</x:v>
      </x:c>
      <x:c r="E378" s="7" t="n">
        <x:f>COUNTIFS('唯一词标签'!$V$2:$V$1441,A378,'唯一词标签'!$Z$2:$Z$1441,"partial_match")</x:f>
        <x:v>0</x:v>
      </x:c>
      <x:c r="F378" s="7" t="n">
        <x:f>COUNTIFS('唯一词标签'!$V$2:$V$1441,A378,'唯一词标签'!$Z$2:$Z$1441,"mismatch")</x:f>
        <x:v>0</x:v>
      </x:c>
      <x:c r="G378" s="7" t="n">
        <x:f>COUNTIFS('唯一词标签'!$V$2:$V$1441,A378,'唯一词标签'!$Z$2:$Z$1441,"unknown")</x:f>
        <x:v>0</x:v>
      </x:c>
      <x:c r="H378" s="7" t="n">
        <x:f>COUNTIFS('唯一词标签'!$V$2:$V$1441,A378,'唯一词标签'!$U$2:$U$1441,"low")</x:f>
        <x:v>0</x:v>
      </x:c>
      <x:c r="I378" s="7" t="n">
        <x:f>COUNTIFS('唯一词标签'!$V$2:$V$1441,A378,'唯一词标签'!$AB$2:$AB$1441,"needs_review")</x:f>
        <x:v>0</x:v>
      </x:c>
    </x:row>
    <x:row r="379" ht="22" customHeight="1">
      <x:c r="A379" s="7" t="str">
        <x:v>flip_flops_women_size_8</x:v>
      </x:c>
      <x:c r="B379" s="7" t="n">
        <x:f>COUNTIF('唯一词标签'!$V$2:$V$1441,A379)</x:f>
        <x:v>1</x:v>
      </x:c>
      <x:c r="C379" s="55" t="n">
        <x:f>B379/COUNTA('唯一词标签'!$C$2:$C$1441)</x:f>
        <x:v>0.0006944444444444445</x:v>
      </x:c>
      <x:c r="D379" s="7" t="n">
        <x:f>COUNTIFS('唯一词标签'!$V$2:$V$1441,A379,'唯一词标签'!$Z$2:$Z$1441,"match")</x:f>
        <x:v>1</x:v>
      </x:c>
      <x:c r="E379" s="7" t="n">
        <x:f>COUNTIFS('唯一词标签'!$V$2:$V$1441,A379,'唯一词标签'!$Z$2:$Z$1441,"partial_match")</x:f>
        <x:v>0</x:v>
      </x:c>
      <x:c r="F379" s="7" t="n">
        <x:f>COUNTIFS('唯一词标签'!$V$2:$V$1441,A379,'唯一词标签'!$Z$2:$Z$1441,"mismatch")</x:f>
        <x:v>0</x:v>
      </x:c>
      <x:c r="G379" s="7" t="n">
        <x:f>COUNTIFS('唯一词标签'!$V$2:$V$1441,A379,'唯一词标签'!$Z$2:$Z$1441,"unknown")</x:f>
        <x:v>0</x:v>
      </x:c>
      <x:c r="H379" s="7" t="n">
        <x:f>COUNTIFS('唯一词标签'!$V$2:$V$1441,A379,'唯一词标签'!$U$2:$U$1441,"low")</x:f>
        <x:v>0</x:v>
      </x:c>
      <x:c r="I379" s="7" t="n">
        <x:f>COUNTIFS('唯一词标签'!$V$2:$V$1441,A379,'唯一词标签'!$AB$2:$AB$1441,"needs_review")</x:f>
        <x:v>0</x:v>
      </x:c>
    </x:row>
    <x:row r="380" ht="22" customHeight="1">
      <x:c r="A380" s="7" t="str">
        <x:v>flip_flops_women_summer</x:v>
      </x:c>
      <x:c r="B380" s="7" t="n">
        <x:f>COUNTIF('唯一词标签'!$V$2:$V$1441,A380)</x:f>
        <x:v>1</x:v>
      </x:c>
      <x:c r="C380" s="55" t="n">
        <x:f>B380/COUNTA('唯一词标签'!$C$2:$C$1441)</x:f>
        <x:v>0.0006944444444444445</x:v>
      </x:c>
      <x:c r="D380" s="7" t="n">
        <x:f>COUNTIFS('唯一词标签'!$V$2:$V$1441,A380,'唯一词标签'!$Z$2:$Z$1441,"match")</x:f>
        <x:v>1</x:v>
      </x:c>
      <x:c r="E380" s="7" t="n">
        <x:f>COUNTIFS('唯一词标签'!$V$2:$V$1441,A380,'唯一词标签'!$Z$2:$Z$1441,"partial_match")</x:f>
        <x:v>0</x:v>
      </x:c>
      <x:c r="F380" s="7" t="n">
        <x:f>COUNTIFS('唯一词标签'!$V$2:$V$1441,A380,'唯一词标签'!$Z$2:$Z$1441,"mismatch")</x:f>
        <x:v>0</x:v>
      </x:c>
      <x:c r="G380" s="7" t="n">
        <x:f>COUNTIFS('唯一词标签'!$V$2:$V$1441,A380,'唯一词标签'!$Z$2:$Z$1441,"unknown")</x:f>
        <x:v>0</x:v>
      </x:c>
      <x:c r="H380" s="7" t="n">
        <x:f>COUNTIFS('唯一词标签'!$V$2:$V$1441,A380,'唯一词标签'!$U$2:$U$1441,"low")</x:f>
        <x:v>0</x:v>
      </x:c>
      <x:c r="I380" s="7" t="n">
        <x:f>COUNTIFS('唯一词标签'!$V$2:$V$1441,A380,'唯一词标签'!$AB$2:$AB$1441,"needs_review")</x:f>
        <x:v>0</x:v>
      </x:c>
    </x:row>
    <x:row r="381" ht="22" customHeight="1">
      <x:c r="A381" s="7" t="str">
        <x:v>flip_flops_women_support</x:v>
      </x:c>
      <x:c r="B381" s="7" t="n">
        <x:f>COUNTIF('唯一词标签'!$V$2:$V$1441,A381)</x:f>
        <x:v>1</x:v>
      </x:c>
      <x:c r="C381" s="55" t="n">
        <x:f>B381/COUNTA('唯一词标签'!$C$2:$C$1441)</x:f>
        <x:v>0.0006944444444444445</x:v>
      </x:c>
      <x:c r="D381" s="7" t="n">
        <x:f>COUNTIFS('唯一词标签'!$V$2:$V$1441,A381,'唯一词标签'!$Z$2:$Z$1441,"match")</x:f>
        <x:v>1</x:v>
      </x:c>
      <x:c r="E381" s="7" t="n">
        <x:f>COUNTIFS('唯一词标签'!$V$2:$V$1441,A381,'唯一词标签'!$Z$2:$Z$1441,"partial_match")</x:f>
        <x:v>0</x:v>
      </x:c>
      <x:c r="F381" s="7" t="n">
        <x:f>COUNTIFS('唯一词标签'!$V$2:$V$1441,A381,'唯一词标签'!$Z$2:$Z$1441,"mismatch")</x:f>
        <x:v>0</x:v>
      </x:c>
      <x:c r="G381" s="7" t="n">
        <x:f>COUNTIFS('唯一词标签'!$V$2:$V$1441,A381,'唯一词标签'!$Z$2:$Z$1441,"unknown")</x:f>
        <x:v>0</x:v>
      </x:c>
      <x:c r="H381" s="7" t="n">
        <x:f>COUNTIFS('唯一词标签'!$V$2:$V$1441,A381,'唯一词标签'!$U$2:$U$1441,"low")</x:f>
        <x:v>0</x:v>
      </x:c>
      <x:c r="I381" s="7" t="n">
        <x:f>COUNTIFS('唯一词标签'!$V$2:$V$1441,A381,'唯一词标签'!$AB$2:$AB$1441,"needs_review")</x:f>
        <x:v>0</x:v>
      </x:c>
    </x:row>
    <x:row r="382" ht="22" customHeight="1">
      <x:c r="A382" s="7" t="str">
        <x:v>flip_flops_women_swimming</x:v>
      </x:c>
      <x:c r="B382" s="7" t="n">
        <x:f>COUNTIF('唯一词标签'!$V$2:$V$1441,A382)</x:f>
        <x:v>1</x:v>
      </x:c>
      <x:c r="C382" s="55" t="n">
        <x:f>B382/COUNTA('唯一词标签'!$C$2:$C$1441)</x:f>
        <x:v>0.0006944444444444445</x:v>
      </x:c>
      <x:c r="D382" s="7" t="n">
        <x:f>COUNTIFS('唯一词标签'!$V$2:$V$1441,A382,'唯一词标签'!$Z$2:$Z$1441,"match")</x:f>
        <x:v>0</x:v>
      </x:c>
      <x:c r="E382" s="7" t="n">
        <x:f>COUNTIFS('唯一词标签'!$V$2:$V$1441,A382,'唯一词标签'!$Z$2:$Z$1441,"partial_match")</x:f>
        <x:v>1</x:v>
      </x:c>
      <x:c r="F382" s="7" t="n">
        <x:f>COUNTIFS('唯一词标签'!$V$2:$V$1441,A382,'唯一词标签'!$Z$2:$Z$1441,"mismatch")</x:f>
        <x:v>0</x:v>
      </x:c>
      <x:c r="G382" s="7" t="n">
        <x:f>COUNTIFS('唯一词标签'!$V$2:$V$1441,A382,'唯一词标签'!$Z$2:$Z$1441,"unknown")</x:f>
        <x:v>0</x:v>
      </x:c>
      <x:c r="H382" s="7" t="n">
        <x:f>COUNTIFS('唯一词标签'!$V$2:$V$1441,A382,'唯一词标签'!$U$2:$U$1441,"low")</x:f>
        <x:v>0</x:v>
      </x:c>
      <x:c r="I382" s="7" t="n">
        <x:f>COUNTIFS('唯一词标签'!$V$2:$V$1441,A382,'唯一词标签'!$AB$2:$AB$1441,"needs_review")</x:f>
        <x:v>0</x:v>
      </x:c>
    </x:row>
    <x:row r="383" ht="22" customHeight="1">
      <x:c r="A383" s="7" t="str">
        <x:v>flip_flops_women_urgent_delivery</x:v>
      </x:c>
      <x:c r="B383" s="7" t="n">
        <x:f>COUNTIF('唯一词标签'!$V$2:$V$1441,A383)</x:f>
        <x:v>1</x:v>
      </x:c>
      <x:c r="C383" s="55" t="n">
        <x:f>B383/COUNTA('唯一词标签'!$C$2:$C$1441)</x:f>
        <x:v>0.0006944444444444445</x:v>
      </x:c>
      <x:c r="D383" s="7" t="n">
        <x:f>COUNTIFS('唯一词标签'!$V$2:$V$1441,A383,'唯一词标签'!$Z$2:$Z$1441,"match")</x:f>
        <x:v>0</x:v>
      </x:c>
      <x:c r="E383" s="7" t="n">
        <x:f>COUNTIFS('唯一词标签'!$V$2:$V$1441,A383,'唯一词标签'!$Z$2:$Z$1441,"partial_match")</x:f>
        <x:v>1</x:v>
      </x:c>
      <x:c r="F383" s="7" t="n">
        <x:f>COUNTIFS('唯一词标签'!$V$2:$V$1441,A383,'唯一词标签'!$Z$2:$Z$1441,"mismatch")</x:f>
        <x:v>0</x:v>
      </x:c>
      <x:c r="G383" s="7" t="n">
        <x:f>COUNTIFS('唯一词标签'!$V$2:$V$1441,A383,'唯一词标签'!$Z$2:$Z$1441,"unknown")</x:f>
        <x:v>0</x:v>
      </x:c>
      <x:c r="H383" s="7" t="n">
        <x:f>COUNTIFS('唯一词标签'!$V$2:$V$1441,A383,'唯一词标签'!$U$2:$U$1441,"low")</x:f>
        <x:v>0</x:v>
      </x:c>
      <x:c r="I383" s="7" t="n">
        <x:f>COUNTIFS('唯一词标签'!$V$2:$V$1441,A383,'唯一词标签'!$AB$2:$AB$1441,"needs_review")</x:f>
        <x:v>0</x:v>
      </x:c>
    </x:row>
    <x:row r="384" ht="22" customHeight="1">
      <x:c r="A384" s="7" t="str">
        <x:v>flip_flops_women_water_friendly</x:v>
      </x:c>
      <x:c r="B384" s="7" t="n">
        <x:f>COUNTIF('唯一词标签'!$V$2:$V$1441,A384)</x:f>
        <x:v>1</x:v>
      </x:c>
      <x:c r="C384" s="55" t="n">
        <x:f>B384/COUNTA('唯一词标签'!$C$2:$C$1441)</x:f>
        <x:v>0.0006944444444444445</x:v>
      </x:c>
      <x:c r="D384" s="7" t="n">
        <x:f>COUNTIFS('唯一词标签'!$V$2:$V$1441,A384,'唯一词标签'!$Z$2:$Z$1441,"match")</x:f>
        <x:v>0</x:v>
      </x:c>
      <x:c r="E384" s="7" t="n">
        <x:f>COUNTIFS('唯一词标签'!$V$2:$V$1441,A384,'唯一词标签'!$Z$2:$Z$1441,"partial_match")</x:f>
        <x:v>1</x:v>
      </x:c>
      <x:c r="F384" s="7" t="n">
        <x:f>COUNTIFS('唯一词标签'!$V$2:$V$1441,A384,'唯一词标签'!$Z$2:$Z$1441,"mismatch")</x:f>
        <x:v>0</x:v>
      </x:c>
      <x:c r="G384" s="7" t="n">
        <x:f>COUNTIFS('唯一词标签'!$V$2:$V$1441,A384,'唯一词标签'!$Z$2:$Z$1441,"unknown")</x:f>
        <x:v>0</x:v>
      </x:c>
      <x:c r="H384" s="7" t="n">
        <x:f>COUNTIFS('唯一词标签'!$V$2:$V$1441,A384,'唯一词标签'!$U$2:$U$1441,"low")</x:f>
        <x:v>0</x:v>
      </x:c>
      <x:c r="I384" s="7" t="n">
        <x:f>COUNTIFS('唯一词标签'!$V$2:$V$1441,A384,'唯一词标签'!$AB$2:$AB$1441,"needs_review")</x:f>
        <x:v>0</x:v>
      </x:c>
    </x:row>
    <x:row r="385" ht="22" customHeight="1">
      <x:c r="A385" s="7" t="str">
        <x:v>flip_flops_women_waterproof</x:v>
      </x:c>
      <x:c r="B385" s="7" t="n">
        <x:f>COUNTIF('唯一词标签'!$V$2:$V$1441,A385)</x:f>
        <x:v>1</x:v>
      </x:c>
      <x:c r="C385" s="55" t="n">
        <x:f>B385/COUNTA('唯一词标签'!$C$2:$C$1441)</x:f>
        <x:v>0.0006944444444444445</x:v>
      </x:c>
      <x:c r="D385" s="7" t="n">
        <x:f>COUNTIFS('唯一词标签'!$V$2:$V$1441,A385,'唯一词标签'!$Z$2:$Z$1441,"match")</x:f>
        <x:v>0</x:v>
      </x:c>
      <x:c r="E385" s="7" t="n">
        <x:f>COUNTIFS('唯一词标签'!$V$2:$V$1441,A385,'唯一词标签'!$Z$2:$Z$1441,"partial_match")</x:f>
        <x:v>1</x:v>
      </x:c>
      <x:c r="F385" s="7" t="n">
        <x:f>COUNTIFS('唯一词标签'!$V$2:$V$1441,A385,'唯一词标签'!$Z$2:$Z$1441,"mismatch")</x:f>
        <x:v>0</x:v>
      </x:c>
      <x:c r="G385" s="7" t="n">
        <x:f>COUNTIFS('唯一词标签'!$V$2:$V$1441,A385,'唯一词标签'!$Z$2:$Z$1441,"unknown")</x:f>
        <x:v>0</x:v>
      </x:c>
      <x:c r="H385" s="7" t="n">
        <x:f>COUNTIFS('唯一词标签'!$V$2:$V$1441,A385,'唯一词标签'!$U$2:$U$1441,"low")</x:f>
        <x:v>0</x:v>
      </x:c>
      <x:c r="I385" s="7" t="n">
        <x:f>COUNTIFS('唯一词标签'!$V$2:$V$1441,A385,'唯一词标签'!$AB$2:$AB$1441,"needs_review")</x:f>
        <x:v>0</x:v>
      </x:c>
    </x:row>
    <x:row r="386" ht="22" customHeight="1">
      <x:c r="A386" s="7" t="str">
        <x:v>flip_flops_women_yoga</x:v>
      </x:c>
      <x:c r="B386" s="7" t="n">
        <x:f>COUNTIF('唯一词标签'!$V$2:$V$1441,A386)</x:f>
        <x:v>1</x:v>
      </x:c>
      <x:c r="C386" s="55" t="n">
        <x:f>B386/COUNTA('唯一词标签'!$C$2:$C$1441)</x:f>
        <x:v>0.0006944444444444445</x:v>
      </x:c>
      <x:c r="D386" s="7" t="n">
        <x:f>COUNTIFS('唯一词标签'!$V$2:$V$1441,A386,'唯一词标签'!$Z$2:$Z$1441,"match")</x:f>
        <x:v>0</x:v>
      </x:c>
      <x:c r="E386" s="7" t="n">
        <x:f>COUNTIFS('唯一词标签'!$V$2:$V$1441,A386,'唯一词标签'!$Z$2:$Z$1441,"partial_match")</x:f>
        <x:v>1</x:v>
      </x:c>
      <x:c r="F386" s="7" t="n">
        <x:f>COUNTIFS('唯一词标签'!$V$2:$V$1441,A386,'唯一词标签'!$Z$2:$Z$1441,"mismatch")</x:f>
        <x:v>0</x:v>
      </x:c>
      <x:c r="G386" s="7" t="n">
        <x:f>COUNTIFS('唯一词标签'!$V$2:$V$1441,A386,'唯一词标签'!$Z$2:$Z$1441,"unknown")</x:f>
        <x:v>0</x:v>
      </x:c>
      <x:c r="H386" s="7" t="n">
        <x:f>COUNTIFS('唯一词标签'!$V$2:$V$1441,A386,'唯一词标签'!$U$2:$U$1441,"low")</x:f>
        <x:v>0</x:v>
      </x:c>
      <x:c r="I386" s="7" t="n">
        <x:f>COUNTIFS('唯一词标签'!$V$2:$V$1441,A386,'唯一词标签'!$AB$2:$AB$1441,"needs_review")</x:f>
        <x:v>0</x:v>
      </x:c>
    </x:row>
    <x:row r="387" ht="22" customHeight="1">
      <x:c r="A387" s="7" t="str">
        <x:v>flogo_womens_flip_flops</x:v>
      </x:c>
      <x:c r="B387" s="7" t="n">
        <x:f>COUNTIF('唯一词标签'!$V$2:$V$1441,A387)</x:f>
        <x:v>1</x:v>
      </x:c>
      <x:c r="C387" s="55" t="n">
        <x:f>B387/COUNTA('唯一词标签'!$C$2:$C$1441)</x:f>
        <x:v>0.0006944444444444445</x:v>
      </x:c>
      <x:c r="D387" s="7" t="n">
        <x:f>COUNTIFS('唯一词标签'!$V$2:$V$1441,A387,'唯一词标签'!$Z$2:$Z$1441,"match")</x:f>
        <x:v>0</x:v>
      </x:c>
      <x:c r="E387" s="7" t="n">
        <x:f>COUNTIFS('唯一词标签'!$V$2:$V$1441,A387,'唯一词标签'!$Z$2:$Z$1441,"partial_match")</x:f>
        <x:v>1</x:v>
      </x:c>
      <x:c r="F387" s="7" t="n">
        <x:f>COUNTIFS('唯一词标签'!$V$2:$V$1441,A387,'唯一词标签'!$Z$2:$Z$1441,"mismatch")</x:f>
        <x:v>0</x:v>
      </x:c>
      <x:c r="G387" s="7" t="n">
        <x:f>COUNTIFS('唯一词标签'!$V$2:$V$1441,A387,'唯一词标签'!$Z$2:$Z$1441,"unknown")</x:f>
        <x:v>0</x:v>
      </x:c>
      <x:c r="H387" s="7" t="n">
        <x:f>COUNTIFS('唯一词标签'!$V$2:$V$1441,A387,'唯一词标签'!$U$2:$U$1441,"low")</x:f>
        <x:v>0</x:v>
      </x:c>
      <x:c r="I387" s="7" t="n">
        <x:f>COUNTIFS('唯一词标签'!$V$2:$V$1441,A387,'唯一词标签'!$AB$2:$AB$1441,"needs_review")</x:f>
        <x:v>1</x:v>
      </x:c>
    </x:row>
    <x:row r="388" ht="22" customHeight="1">
      <x:c r="A388" s="7" t="str">
        <x:v>floral_flip_flops</x:v>
      </x:c>
      <x:c r="B388" s="7" t="n">
        <x:f>COUNTIF('唯一词标签'!$V$2:$V$1441,A388)</x:f>
        <x:v>1</x:v>
      </x:c>
      <x:c r="C388" s="55" t="n">
        <x:f>B388/COUNTA('唯一词标签'!$C$2:$C$1441)</x:f>
        <x:v>0.0006944444444444445</x:v>
      </x:c>
      <x:c r="D388" s="7" t="n">
        <x:f>COUNTIFS('唯一词标签'!$V$2:$V$1441,A388,'唯一词标签'!$Z$2:$Z$1441,"match")</x:f>
        <x:v>0</x:v>
      </x:c>
      <x:c r="E388" s="7" t="n">
        <x:f>COUNTIFS('唯一词标签'!$V$2:$V$1441,A388,'唯一词标签'!$Z$2:$Z$1441,"partial_match")</x:f>
        <x:v>1</x:v>
      </x:c>
      <x:c r="F388" s="7" t="n">
        <x:f>COUNTIFS('唯一词标签'!$V$2:$V$1441,A388,'唯一词标签'!$Z$2:$Z$1441,"mismatch")</x:f>
        <x:v>0</x:v>
      </x:c>
      <x:c r="G388" s="7" t="n">
        <x:f>COUNTIFS('唯一词标签'!$V$2:$V$1441,A388,'唯一词标签'!$Z$2:$Z$1441,"unknown")</x:f>
        <x:v>0</x:v>
      </x:c>
      <x:c r="H388" s="7" t="n">
        <x:f>COUNTIFS('唯一词标签'!$V$2:$V$1441,A388,'唯一词标签'!$U$2:$U$1441,"low")</x:f>
        <x:v>0</x:v>
      </x:c>
      <x:c r="I388" s="7" t="n">
        <x:f>COUNTIFS('唯一词标签'!$V$2:$V$1441,A388,'唯一词标签'!$AB$2:$AB$1441,"needs_review")</x:f>
        <x:v>0</x:v>
      </x:c>
    </x:row>
    <x:row r="389" ht="22" customHeight="1">
      <x:c r="A389" s="7" t="str">
        <x:v>foam_comfort_flip_flops</x:v>
      </x:c>
      <x:c r="B389" s="7" t="n">
        <x:f>COUNTIF('唯一词标签'!$V$2:$V$1441,A389)</x:f>
        <x:v>1</x:v>
      </x:c>
      <x:c r="C389" s="55" t="n">
        <x:f>B389/COUNTA('唯一词标签'!$C$2:$C$1441)</x:f>
        <x:v>0.0006944444444444445</x:v>
      </x:c>
      <x:c r="D389" s="7" t="n">
        <x:f>COUNTIFS('唯一词标签'!$V$2:$V$1441,A389,'唯一词标签'!$Z$2:$Z$1441,"match")</x:f>
        <x:v>1</x:v>
      </x:c>
      <x:c r="E389" s="7" t="n">
        <x:f>COUNTIFS('唯一词标签'!$V$2:$V$1441,A389,'唯一词标签'!$Z$2:$Z$1441,"partial_match")</x:f>
        <x:v>0</x:v>
      </x:c>
      <x:c r="F389" s="7" t="n">
        <x:f>COUNTIFS('唯一词标签'!$V$2:$V$1441,A389,'唯一词标签'!$Z$2:$Z$1441,"mismatch")</x:f>
        <x:v>0</x:v>
      </x:c>
      <x:c r="G389" s="7" t="n">
        <x:f>COUNTIFS('唯一词标签'!$V$2:$V$1441,A389,'唯一词标签'!$Z$2:$Z$1441,"unknown")</x:f>
        <x:v>0</x:v>
      </x:c>
      <x:c r="H389" s="7" t="n">
        <x:f>COUNTIFS('唯一词标签'!$V$2:$V$1441,A389,'唯一词标签'!$U$2:$U$1441,"low")</x:f>
        <x:v>0</x:v>
      </x:c>
      <x:c r="I389" s="7" t="n">
        <x:f>COUNTIFS('唯一词标签'!$V$2:$V$1441,A389,'唯一词标签'!$AB$2:$AB$1441,"needs_review")</x:f>
        <x:v>0</x:v>
      </x:c>
    </x:row>
    <x:row r="390" ht="22" customHeight="1">
      <x:c r="A390" s="7" t="str">
        <x:v>foam_flip_flops</x:v>
      </x:c>
      <x:c r="B390" s="7" t="n">
        <x:f>COUNTIF('唯一词标签'!$V$2:$V$1441,A390)</x:f>
        <x:v>4</x:v>
      </x:c>
      <x:c r="C390" s="55" t="n">
        <x:f>B390/COUNTA('唯一词标签'!$C$2:$C$1441)</x:f>
        <x:v>0.002777777777777778</x:v>
      </x:c>
      <x:c r="D390" s="7" t="n">
        <x:f>COUNTIFS('唯一词标签'!$V$2:$V$1441,A390,'唯一词标签'!$Z$2:$Z$1441,"match")</x:f>
        <x:v>4</x:v>
      </x:c>
      <x:c r="E390" s="7" t="n">
        <x:f>COUNTIFS('唯一词标签'!$V$2:$V$1441,A390,'唯一词标签'!$Z$2:$Z$1441,"partial_match")</x:f>
        <x:v>0</x:v>
      </x:c>
      <x:c r="F390" s="7" t="n">
        <x:f>COUNTIFS('唯一词标签'!$V$2:$V$1441,A390,'唯一词标签'!$Z$2:$Z$1441,"mismatch")</x:f>
        <x:v>0</x:v>
      </x:c>
      <x:c r="G390" s="7" t="n">
        <x:f>COUNTIFS('唯一词标签'!$V$2:$V$1441,A390,'唯一词标签'!$Z$2:$Z$1441,"unknown")</x:f>
        <x:v>0</x:v>
      </x:c>
      <x:c r="H390" s="7" t="n">
        <x:f>COUNTIFS('唯一词标签'!$V$2:$V$1441,A390,'唯一词标签'!$U$2:$U$1441,"low")</x:f>
        <x:v>0</x:v>
      </x:c>
      <x:c r="I390" s="7" t="n">
        <x:f>COUNTIFS('唯一词标签'!$V$2:$V$1441,A390,'唯一词标签'!$AB$2:$AB$1441,"needs_review")</x:f>
        <x:v>0</x:v>
      </x:c>
    </x:row>
    <x:row r="391" ht="22" customHeight="1">
      <x:c r="A391" s="7" t="str">
        <x:v>foam_flip_flops_women</x:v>
      </x:c>
      <x:c r="B391" s="7" t="n">
        <x:f>COUNTIF('唯一词标签'!$V$2:$V$1441,A391)</x:f>
        <x:v>1</x:v>
      </x:c>
      <x:c r="C391" s="55" t="n">
        <x:f>B391/COUNTA('唯一词标签'!$C$2:$C$1441)</x:f>
        <x:v>0.0006944444444444445</x:v>
      </x:c>
      <x:c r="D391" s="7" t="n">
        <x:f>COUNTIFS('唯一词标签'!$V$2:$V$1441,A391,'唯一词标签'!$Z$2:$Z$1441,"match")</x:f>
        <x:v>1</x:v>
      </x:c>
      <x:c r="E391" s="7" t="n">
        <x:f>COUNTIFS('唯一词标签'!$V$2:$V$1441,A391,'唯一词标签'!$Z$2:$Z$1441,"partial_match")</x:f>
        <x:v>0</x:v>
      </x:c>
      <x:c r="F391" s="7" t="n">
        <x:f>COUNTIFS('唯一词标签'!$V$2:$V$1441,A391,'唯一词标签'!$Z$2:$Z$1441,"mismatch")</x:f>
        <x:v>0</x:v>
      </x:c>
      <x:c r="G391" s="7" t="n">
        <x:f>COUNTIFS('唯一词标签'!$V$2:$V$1441,A391,'唯一词标签'!$Z$2:$Z$1441,"unknown")</x:f>
        <x:v>0</x:v>
      </x:c>
      <x:c r="H391" s="7" t="n">
        <x:f>COUNTIFS('唯一词标签'!$V$2:$V$1441,A391,'唯一词标签'!$U$2:$U$1441,"low")</x:f>
        <x:v>0</x:v>
      </x:c>
      <x:c r="I391" s="7" t="n">
        <x:f>COUNTIFS('唯一词标签'!$V$2:$V$1441,A391,'唯一词标签'!$AB$2:$AB$1441,"needs_review")</x:f>
        <x:v>0</x:v>
      </x:c>
    </x:row>
    <x:row r="392" ht="22" customHeight="1">
      <x:c r="A392" s="7" t="str">
        <x:v>foot_pain_relief_flip_flops</x:v>
      </x:c>
      <x:c r="B392" s="7" t="n">
        <x:f>COUNTIF('唯一词标签'!$V$2:$V$1441,A392)</x:f>
        <x:v>1</x:v>
      </x:c>
      <x:c r="C392" s="55" t="n">
        <x:f>B392/COUNTA('唯一词标签'!$C$2:$C$1441)</x:f>
        <x:v>0.0006944444444444445</x:v>
      </x:c>
      <x:c r="D392" s="7" t="n">
        <x:f>COUNTIFS('唯一词标签'!$V$2:$V$1441,A392,'唯一词标签'!$Z$2:$Z$1441,"match")</x:f>
        <x:v>1</x:v>
      </x:c>
      <x:c r="E392" s="7" t="n">
        <x:f>COUNTIFS('唯一词标签'!$V$2:$V$1441,A392,'唯一词标签'!$Z$2:$Z$1441,"partial_match")</x:f>
        <x:v>0</x:v>
      </x:c>
      <x:c r="F392" s="7" t="n">
        <x:f>COUNTIFS('唯一词标签'!$V$2:$V$1441,A392,'唯一词标签'!$Z$2:$Z$1441,"mismatch")</x:f>
        <x:v>0</x:v>
      </x:c>
      <x:c r="G392" s="7" t="n">
        <x:f>COUNTIFS('唯一词标签'!$V$2:$V$1441,A392,'唯一词标签'!$Z$2:$Z$1441,"unknown")</x:f>
        <x:v>0</x:v>
      </x:c>
      <x:c r="H392" s="7" t="n">
        <x:f>COUNTIFS('唯一词标签'!$V$2:$V$1441,A392,'唯一词标签'!$U$2:$U$1441,"low")</x:f>
        <x:v>0</x:v>
      </x:c>
      <x:c r="I392" s="7" t="n">
        <x:f>COUNTIFS('唯一词标签'!$V$2:$V$1441,A392,'唯一词标签'!$AB$2:$AB$1441,"needs_review")</x:f>
        <x:v>0</x:v>
      </x:c>
    </x:row>
    <x:row r="393" ht="22" customHeight="1">
      <x:c r="A393" s="7" t="str">
        <x:v>foot_support_flip_flops</x:v>
      </x:c>
      <x:c r="B393" s="7" t="n">
        <x:f>COUNTIF('唯一词标签'!$V$2:$V$1441,A393)</x:f>
        <x:v>1</x:v>
      </x:c>
      <x:c r="C393" s="55" t="n">
        <x:f>B393/COUNTA('唯一词标签'!$C$2:$C$1441)</x:f>
        <x:v>0.0006944444444444445</x:v>
      </x:c>
      <x:c r="D393" s="7" t="n">
        <x:f>COUNTIFS('唯一词标签'!$V$2:$V$1441,A393,'唯一词标签'!$Z$2:$Z$1441,"match")</x:f>
        <x:v>1</x:v>
      </x:c>
      <x:c r="E393" s="7" t="n">
        <x:f>COUNTIFS('唯一词标签'!$V$2:$V$1441,A393,'唯一词标签'!$Z$2:$Z$1441,"partial_match")</x:f>
        <x:v>0</x:v>
      </x:c>
      <x:c r="F393" s="7" t="n">
        <x:f>COUNTIFS('唯一词标签'!$V$2:$V$1441,A393,'唯一词标签'!$Z$2:$Z$1441,"mismatch")</x:f>
        <x:v>0</x:v>
      </x:c>
      <x:c r="G393" s="7" t="n">
        <x:f>COUNTIFS('唯一词标签'!$V$2:$V$1441,A393,'唯一词标签'!$Z$2:$Z$1441,"unknown")</x:f>
        <x:v>0</x:v>
      </x:c>
      <x:c r="H393" s="7" t="n">
        <x:f>COUNTIFS('唯一词标签'!$V$2:$V$1441,A393,'唯一词标签'!$U$2:$U$1441,"low")</x:f>
        <x:v>0</x:v>
      </x:c>
      <x:c r="I393" s="7" t="n">
        <x:f>COUNTIFS('唯一词标签'!$V$2:$V$1441,A393,'唯一词标签'!$AB$2:$AB$1441,"needs_review")</x:f>
        <x:v>0</x:v>
      </x:c>
    </x:row>
    <x:row r="394" ht="22" customHeight="1">
      <x:c r="A394" s="7" t="str">
        <x:v>foot_support_sandals_women_es</x:v>
      </x:c>
      <x:c r="B394" s="7" t="n">
        <x:f>COUNTIF('唯一词标签'!$V$2:$V$1441,A394)</x:f>
        <x:v>1</x:v>
      </x:c>
      <x:c r="C394" s="55" t="n">
        <x:f>B394/COUNTA('唯一词标签'!$C$2:$C$1441)</x:f>
        <x:v>0.0006944444444444445</x:v>
      </x:c>
      <x:c r="D394" s="7" t="n">
        <x:f>COUNTIFS('唯一词标签'!$V$2:$V$1441,A394,'唯一词标签'!$Z$2:$Z$1441,"match")</x:f>
        <x:v>1</x:v>
      </x:c>
      <x:c r="E394" s="7" t="n">
        <x:f>COUNTIFS('唯一词标签'!$V$2:$V$1441,A394,'唯一词标签'!$Z$2:$Z$1441,"partial_match")</x:f>
        <x:v>0</x:v>
      </x:c>
      <x:c r="F394" s="7" t="n">
        <x:f>COUNTIFS('唯一词标签'!$V$2:$V$1441,A394,'唯一词标签'!$Z$2:$Z$1441,"mismatch")</x:f>
        <x:v>0</x:v>
      </x:c>
      <x:c r="G394" s="7" t="n">
        <x:f>COUNTIFS('唯一词标签'!$V$2:$V$1441,A394,'唯一词标签'!$Z$2:$Z$1441,"unknown")</x:f>
        <x:v>0</x:v>
      </x:c>
      <x:c r="H394" s="7" t="n">
        <x:f>COUNTIFS('唯一词标签'!$V$2:$V$1441,A394,'唯一词标签'!$U$2:$U$1441,"low")</x:f>
        <x:v>0</x:v>
      </x:c>
      <x:c r="I394" s="7" t="n">
        <x:f>COUNTIFS('唯一词标签'!$V$2:$V$1441,A394,'唯一词标签'!$AB$2:$AB$1441,"needs_review")</x:f>
        <x:v>0</x:v>
      </x:c>
    </x:row>
    <x:row r="395" ht="22" customHeight="1">
      <x:c r="A395" s="7" t="str">
        <x:v>fuschia_flip_flops</x:v>
      </x:c>
      <x:c r="B395" s="7" t="n">
        <x:f>COUNTIF('唯一词标签'!$V$2:$V$1441,A395)</x:f>
        <x:v>1</x:v>
      </x:c>
      <x:c r="C395" s="55" t="n">
        <x:f>B395/COUNTA('唯一词标签'!$C$2:$C$1441)</x:f>
        <x:v>0.0006944444444444445</x:v>
      </x:c>
      <x:c r="D395" s="7" t="n">
        <x:f>COUNTIFS('唯一词标签'!$V$2:$V$1441,A395,'唯一词标签'!$Z$2:$Z$1441,"match")</x:f>
        <x:v>0</x:v>
      </x:c>
      <x:c r="E395" s="7" t="n">
        <x:f>COUNTIFS('唯一词标签'!$V$2:$V$1441,A395,'唯一词标签'!$Z$2:$Z$1441,"partial_match")</x:f>
        <x:v>1</x:v>
      </x:c>
      <x:c r="F395" s="7" t="n">
        <x:f>COUNTIFS('唯一词标签'!$V$2:$V$1441,A395,'唯一词标签'!$Z$2:$Z$1441,"mismatch")</x:f>
        <x:v>0</x:v>
      </x:c>
      <x:c r="G395" s="7" t="n">
        <x:f>COUNTIFS('唯一词标签'!$V$2:$V$1441,A395,'唯一词标签'!$Z$2:$Z$1441,"unknown")</x:f>
        <x:v>0</x:v>
      </x:c>
      <x:c r="H395" s="7" t="n">
        <x:f>COUNTIFS('唯一词标签'!$V$2:$V$1441,A395,'唯一词标签'!$U$2:$U$1441,"low")</x:f>
        <x:v>0</x:v>
      </x:c>
      <x:c r="I395" s="7" t="n">
        <x:f>COUNTIFS('唯一词标签'!$V$2:$V$1441,A395,'唯一词标签'!$AB$2:$AB$1441,"needs_review")</x:f>
        <x:v>1</x:v>
      </x:c>
    </x:row>
    <x:row r="396" ht="22" customHeight="1">
      <x:c r="A396" s="7" t="str">
        <x:v>gap_womens_flip_flops</x:v>
      </x:c>
      <x:c r="B396" s="7" t="n">
        <x:f>COUNTIF('唯一词标签'!$V$2:$V$1441,A396)</x:f>
        <x:v>1</x:v>
      </x:c>
      <x:c r="C396" s="55" t="n">
        <x:f>B396/COUNTA('唯一词标签'!$C$2:$C$1441)</x:f>
        <x:v>0.0006944444444444445</x:v>
      </x:c>
      <x:c r="D396" s="7" t="n">
        <x:f>COUNTIFS('唯一词标签'!$V$2:$V$1441,A396,'唯一词标签'!$Z$2:$Z$1441,"match")</x:f>
        <x:v>0</x:v>
      </x:c>
      <x:c r="E396" s="7" t="n">
        <x:f>COUNTIFS('唯一词标签'!$V$2:$V$1441,A396,'唯一词标签'!$Z$2:$Z$1441,"partial_match")</x:f>
        <x:v>0</x:v>
      </x:c>
      <x:c r="F396" s="7" t="n">
        <x:f>COUNTIFS('唯一词标签'!$V$2:$V$1441,A396,'唯一词标签'!$Z$2:$Z$1441,"mismatch")</x:f>
        <x:v>1</x:v>
      </x:c>
      <x:c r="G396" s="7" t="n">
        <x:f>COUNTIFS('唯一词标签'!$V$2:$V$1441,A396,'唯一词标签'!$Z$2:$Z$1441,"unknown")</x:f>
        <x:v>0</x:v>
      </x:c>
      <x:c r="H396" s="7" t="n">
        <x:f>COUNTIFS('唯一词标签'!$V$2:$V$1441,A396,'唯一词标签'!$U$2:$U$1441,"low")</x:f>
        <x:v>0</x:v>
      </x:c>
      <x:c r="I396" s="7" t="n">
        <x:f>COUNTIFS('唯一词标签'!$V$2:$V$1441,A396,'唯一词标签'!$AB$2:$AB$1441,"needs_review")</x:f>
        <x:v>0</x:v>
      </x:c>
    </x:row>
    <x:row r="397" ht="22" customHeight="1">
      <x:c r="A397" s="7" t="str">
        <x:v>gel_womens_flip_flops</x:v>
      </x:c>
      <x:c r="B397" s="7" t="n">
        <x:f>COUNTIF('唯一词标签'!$V$2:$V$1441,A397)</x:f>
        <x:v>1</x:v>
      </x:c>
      <x:c r="C397" s="55" t="n">
        <x:f>B397/COUNTA('唯一词标签'!$C$2:$C$1441)</x:f>
        <x:v>0.0006944444444444445</x:v>
      </x:c>
      <x:c r="D397" s="7" t="n">
        <x:f>COUNTIFS('唯一词标签'!$V$2:$V$1441,A397,'唯一词标签'!$Z$2:$Z$1441,"match")</x:f>
        <x:v>0</x:v>
      </x:c>
      <x:c r="E397" s="7" t="n">
        <x:f>COUNTIFS('唯一词标签'!$V$2:$V$1441,A397,'唯一词标签'!$Z$2:$Z$1441,"partial_match")</x:f>
        <x:v>1</x:v>
      </x:c>
      <x:c r="F397" s="7" t="n">
        <x:f>COUNTIFS('唯一词标签'!$V$2:$V$1441,A397,'唯一词标签'!$Z$2:$Z$1441,"mismatch")</x:f>
        <x:v>0</x:v>
      </x:c>
      <x:c r="G397" s="7" t="n">
        <x:f>COUNTIFS('唯一词标签'!$V$2:$V$1441,A397,'唯一词标签'!$Z$2:$Z$1441,"unknown")</x:f>
        <x:v>0</x:v>
      </x:c>
      <x:c r="H397" s="7" t="n">
        <x:f>COUNTIFS('唯一词标签'!$V$2:$V$1441,A397,'唯一词标签'!$U$2:$U$1441,"low")</x:f>
        <x:v>0</x:v>
      </x:c>
      <x:c r="I397" s="7" t="n">
        <x:f>COUNTIFS('唯一词标签'!$V$2:$V$1441,A397,'唯一词标签'!$AB$2:$AB$1441,"needs_review")</x:f>
        <x:v>0</x:v>
      </x:c>
    </x:row>
    <x:row r="398" ht="22" customHeight="1">
      <x:c r="A398" s="7" t="str">
        <x:v>generic_flip_flop_sandals</x:v>
      </x:c>
      <x:c r="B398" s="7" t="n">
        <x:f>COUNTIF('唯一词标签'!$V$2:$V$1441,A398)</x:f>
        <x:v>1</x:v>
      </x:c>
      <x:c r="C398" s="55" t="n">
        <x:f>B398/COUNTA('唯一词标签'!$C$2:$C$1441)</x:f>
        <x:v>0.0006944444444444445</x:v>
      </x:c>
      <x:c r="D398" s="7" t="n">
        <x:f>COUNTIFS('唯一词标签'!$V$2:$V$1441,A398,'唯一词标签'!$Z$2:$Z$1441,"match")</x:f>
        <x:v>1</x:v>
      </x:c>
      <x:c r="E398" s="7" t="n">
        <x:f>COUNTIFS('唯一词标签'!$V$2:$V$1441,A398,'唯一词标签'!$Z$2:$Z$1441,"partial_match")</x:f>
        <x:v>0</x:v>
      </x:c>
      <x:c r="F398" s="7" t="n">
        <x:f>COUNTIFS('唯一词标签'!$V$2:$V$1441,A398,'唯一词标签'!$Z$2:$Z$1441,"mismatch")</x:f>
        <x:v>0</x:v>
      </x:c>
      <x:c r="G398" s="7" t="n">
        <x:f>COUNTIFS('唯一词标签'!$V$2:$V$1441,A398,'唯一词标签'!$Z$2:$Z$1441,"unknown")</x:f>
        <x:v>0</x:v>
      </x:c>
      <x:c r="H398" s="7" t="n">
        <x:f>COUNTIFS('唯一词标签'!$V$2:$V$1441,A398,'唯一词标签'!$U$2:$U$1441,"low")</x:f>
        <x:v>0</x:v>
      </x:c>
      <x:c r="I398" s="7" t="n">
        <x:f>COUNTIFS('唯一词标签'!$V$2:$V$1441,A398,'唯一词标签'!$AB$2:$AB$1441,"needs_review")</x:f>
        <x:v>0</x:v>
      </x:c>
    </x:row>
    <x:row r="399" ht="22" customHeight="1">
      <x:c r="A399" s="7" t="str">
        <x:v>generic_flip_flops</x:v>
      </x:c>
      <x:c r="B399" s="7" t="n">
        <x:f>COUNTIF('唯一词标签'!$V$2:$V$1441,A399)</x:f>
        <x:v>2</x:v>
      </x:c>
      <x:c r="C399" s="55" t="n">
        <x:f>B399/COUNTA('唯一词标签'!$C$2:$C$1441)</x:f>
        <x:v>0.001388888888888889</x:v>
      </x:c>
      <x:c r="D399" s="7" t="n">
        <x:f>COUNTIFS('唯一词标签'!$V$2:$V$1441,A399,'唯一词标签'!$Z$2:$Z$1441,"match")</x:f>
        <x:v>2</x:v>
      </x:c>
      <x:c r="E399" s="7" t="n">
        <x:f>COUNTIFS('唯一词标签'!$V$2:$V$1441,A399,'唯一词标签'!$Z$2:$Z$1441,"partial_match")</x:f>
        <x:v>0</x:v>
      </x:c>
      <x:c r="F399" s="7" t="n">
        <x:f>COUNTIFS('唯一词标签'!$V$2:$V$1441,A399,'唯一词标签'!$Z$2:$Z$1441,"mismatch")</x:f>
        <x:v>0</x:v>
      </x:c>
      <x:c r="G399" s="7" t="n">
        <x:f>COUNTIFS('唯一词标签'!$V$2:$V$1441,A399,'唯一词标签'!$Z$2:$Z$1441,"unknown")</x:f>
        <x:v>0</x:v>
      </x:c>
      <x:c r="H399" s="7" t="n">
        <x:f>COUNTIFS('唯一词标签'!$V$2:$V$1441,A399,'唯一词标签'!$U$2:$U$1441,"low")</x:f>
        <x:v>0</x:v>
      </x:c>
      <x:c r="I399" s="7" t="n">
        <x:f>COUNTIFS('唯一词标签'!$V$2:$V$1441,A399,'唯一词标签'!$AB$2:$AB$1441,"needs_review")</x:f>
        <x:v>0</x:v>
      </x:c>
    </x:row>
    <x:row r="400" ht="22" customHeight="1">
      <x:c r="A400" s="7" t="str">
        <x:v>girls_thong_sandal</x:v>
      </x:c>
      <x:c r="B400" s="7" t="n">
        <x:f>COUNTIF('唯一词标签'!$V$2:$V$1441,A400)</x:f>
        <x:v>1</x:v>
      </x:c>
      <x:c r="C400" s="55" t="n">
        <x:f>B400/COUNTA('唯一词标签'!$C$2:$C$1441)</x:f>
        <x:v>0.0006944444444444445</x:v>
      </x:c>
      <x:c r="D400" s="7" t="n">
        <x:f>COUNTIFS('唯一词标签'!$V$2:$V$1441,A400,'唯一词标签'!$Z$2:$Z$1441,"match")</x:f>
        <x:v>0</x:v>
      </x:c>
      <x:c r="E400" s="7" t="n">
        <x:f>COUNTIFS('唯一词标签'!$V$2:$V$1441,A400,'唯一词标签'!$Z$2:$Z$1441,"partial_match")</x:f>
        <x:v>0</x:v>
      </x:c>
      <x:c r="F400" s="7" t="n">
        <x:f>COUNTIFS('唯一词标签'!$V$2:$V$1441,A400,'唯一词标签'!$Z$2:$Z$1441,"mismatch")</x:f>
        <x:v>1</x:v>
      </x:c>
      <x:c r="G400" s="7" t="n">
        <x:f>COUNTIFS('唯一词标签'!$V$2:$V$1441,A400,'唯一词标签'!$Z$2:$Z$1441,"unknown")</x:f>
        <x:v>0</x:v>
      </x:c>
      <x:c r="H400" s="7" t="n">
        <x:f>COUNTIFS('唯一词标签'!$V$2:$V$1441,A400,'唯一词标签'!$U$2:$U$1441,"low")</x:f>
        <x:v>0</x:v>
      </x:c>
      <x:c r="I400" s="7" t="n">
        <x:f>COUNTIFS('唯一词标签'!$V$2:$V$1441,A400,'唯一词标签'!$AB$2:$AB$1441,"needs_review")</x:f>
        <x:v>0</x:v>
      </x:c>
    </x:row>
    <x:row r="401" ht="22" customHeight="1">
      <x:c r="A401" s="7" t="str">
        <x:v>glitter_beach_flip_flops_women</x:v>
      </x:c>
      <x:c r="B401" s="7" t="n">
        <x:f>COUNTIF('唯一词标签'!$V$2:$V$1441,A401)</x:f>
        <x:v>1</x:v>
      </x:c>
      <x:c r="C401" s="55" t="n">
        <x:f>B401/COUNTA('唯一词标签'!$C$2:$C$1441)</x:f>
        <x:v>0.0006944444444444445</x:v>
      </x:c>
      <x:c r="D401" s="7" t="n">
        <x:f>COUNTIFS('唯一词标签'!$V$2:$V$1441,A401,'唯一词标签'!$Z$2:$Z$1441,"match")</x:f>
        <x:v>0</x:v>
      </x:c>
      <x:c r="E401" s="7" t="n">
        <x:f>COUNTIFS('唯一词标签'!$V$2:$V$1441,A401,'唯一词标签'!$Z$2:$Z$1441,"partial_match")</x:f>
        <x:v>1</x:v>
      </x:c>
      <x:c r="F401" s="7" t="n">
        <x:f>COUNTIFS('唯一词标签'!$V$2:$V$1441,A401,'唯一词标签'!$Z$2:$Z$1441,"mismatch")</x:f>
        <x:v>0</x:v>
      </x:c>
      <x:c r="G401" s="7" t="n">
        <x:f>COUNTIFS('唯一词标签'!$V$2:$V$1441,A401,'唯一词标签'!$Z$2:$Z$1441,"unknown")</x:f>
        <x:v>0</x:v>
      </x:c>
      <x:c r="H401" s="7" t="n">
        <x:f>COUNTIFS('唯一词标签'!$V$2:$V$1441,A401,'唯一词标签'!$U$2:$U$1441,"low")</x:f>
        <x:v>0</x:v>
      </x:c>
      <x:c r="I401" s="7" t="n">
        <x:f>COUNTIFS('唯一词标签'!$V$2:$V$1441,A401,'唯一词标签'!$AB$2:$AB$1441,"needs_review")</x:f>
        <x:v>0</x:v>
      </x:c>
    </x:row>
    <x:row r="402" ht="22" customHeight="1">
      <x:c r="A402" s="7" t="str">
        <x:v>gray_flip_flops</x:v>
      </x:c>
      <x:c r="B402" s="7" t="n">
        <x:f>COUNTIF('唯一词标签'!$V$2:$V$1441,A402)</x:f>
        <x:v>1</x:v>
      </x:c>
      <x:c r="C402" s="55" t="n">
        <x:f>B402/COUNTA('唯一词标签'!$C$2:$C$1441)</x:f>
        <x:v>0.0006944444444444445</x:v>
      </x:c>
      <x:c r="D402" s="7" t="n">
        <x:f>COUNTIFS('唯一词标签'!$V$2:$V$1441,A402,'唯一词标签'!$Z$2:$Z$1441,"match")</x:f>
        <x:v>0</x:v>
      </x:c>
      <x:c r="E402" s="7" t="n">
        <x:f>COUNTIFS('唯一词标签'!$V$2:$V$1441,A402,'唯一词标签'!$Z$2:$Z$1441,"partial_match")</x:f>
        <x:v>1</x:v>
      </x:c>
      <x:c r="F402" s="7" t="n">
        <x:f>COUNTIFS('唯一词标签'!$V$2:$V$1441,A402,'唯一词标签'!$Z$2:$Z$1441,"mismatch")</x:f>
        <x:v>0</x:v>
      </x:c>
      <x:c r="G402" s="7" t="n">
        <x:f>COUNTIFS('唯一词标签'!$V$2:$V$1441,A402,'唯一词标签'!$Z$2:$Z$1441,"unknown")</x:f>
        <x:v>0</x:v>
      </x:c>
      <x:c r="H402" s="7" t="n">
        <x:f>COUNTIFS('唯一词标签'!$V$2:$V$1441,A402,'唯一词标签'!$U$2:$U$1441,"low")</x:f>
        <x:v>1</x:v>
      </x:c>
      <x:c r="I402" s="7" t="n">
        <x:f>COUNTIFS('唯一词标签'!$V$2:$V$1441,A402,'唯一词标签'!$AB$2:$AB$1441,"needs_review")</x:f>
        <x:v>0</x:v>
      </x:c>
    </x:row>
    <x:row r="403" ht="22" customHeight="1">
      <x:c r="A403" s="7" t="str">
        <x:v>gray_womens_flip_flops</x:v>
      </x:c>
      <x:c r="B403" s="7" t="n">
        <x:f>COUNTIF('唯一词标签'!$V$2:$V$1441,A403)</x:f>
        <x:v>1</x:v>
      </x:c>
      <x:c r="C403" s="55" t="n">
        <x:f>B403/COUNTA('唯一词标签'!$C$2:$C$1441)</x:f>
        <x:v>0.0006944444444444445</x:v>
      </x:c>
      <x:c r="D403" s="7" t="n">
        <x:f>COUNTIFS('唯一词标签'!$V$2:$V$1441,A403,'唯一词标签'!$Z$2:$Z$1441,"match")</x:f>
        <x:v>1</x:v>
      </x:c>
      <x:c r="E403" s="7" t="n">
        <x:f>COUNTIFS('唯一词标签'!$V$2:$V$1441,A403,'唯一词标签'!$Z$2:$Z$1441,"partial_match")</x:f>
        <x:v>0</x:v>
      </x:c>
      <x:c r="F403" s="7" t="n">
        <x:f>COUNTIFS('唯一词标签'!$V$2:$V$1441,A403,'唯一词标签'!$Z$2:$Z$1441,"mismatch")</x:f>
        <x:v>0</x:v>
      </x:c>
      <x:c r="G403" s="7" t="n">
        <x:f>COUNTIFS('唯一词标签'!$V$2:$V$1441,A403,'唯一词标签'!$Z$2:$Z$1441,"unknown")</x:f>
        <x:v>0</x:v>
      </x:c>
      <x:c r="H403" s="7" t="n">
        <x:f>COUNTIFS('唯一词标签'!$V$2:$V$1441,A403,'唯一词标签'!$U$2:$U$1441,"low")</x:f>
        <x:v>0</x:v>
      </x:c>
      <x:c r="I403" s="7" t="n">
        <x:f>COUNTIFS('唯一词标签'!$V$2:$V$1441,A403,'唯一词标签'!$AB$2:$AB$1441,"needs_review")</x:f>
        <x:v>0</x:v>
      </x:c>
    </x:row>
    <x:row r="404" ht="22" customHeight="1">
      <x:c r="A404" s="7" t="str">
        <x:v>havaianas_brand_flip_flops</x:v>
      </x:c>
      <x:c r="B404" s="7" t="n">
        <x:f>COUNTIF('唯一词标签'!$V$2:$V$1441,A404)</x:f>
        <x:v>1</x:v>
      </x:c>
      <x:c r="C404" s="55" t="n">
        <x:f>B404/COUNTA('唯一词标签'!$C$2:$C$1441)</x:f>
        <x:v>0.0006944444444444445</x:v>
      </x:c>
      <x:c r="D404" s="7" t="n">
        <x:f>COUNTIFS('唯一词标签'!$V$2:$V$1441,A404,'唯一词标签'!$Z$2:$Z$1441,"match")</x:f>
        <x:v>0</x:v>
      </x:c>
      <x:c r="E404" s="7" t="n">
        <x:f>COUNTIFS('唯一词标签'!$V$2:$V$1441,A404,'唯一词标签'!$Z$2:$Z$1441,"partial_match")</x:f>
        <x:v>1</x:v>
      </x:c>
      <x:c r="F404" s="7" t="n">
        <x:f>COUNTIFS('唯一词标签'!$V$2:$V$1441,A404,'唯一词标签'!$Z$2:$Z$1441,"mismatch")</x:f>
        <x:v>0</x:v>
      </x:c>
      <x:c r="G404" s="7" t="n">
        <x:f>COUNTIFS('唯一词标签'!$V$2:$V$1441,A404,'唯一词标签'!$Z$2:$Z$1441,"unknown")</x:f>
        <x:v>0</x:v>
      </x:c>
      <x:c r="H404" s="7" t="n">
        <x:f>COUNTIFS('唯一词标签'!$V$2:$V$1441,A404,'唯一词标签'!$U$2:$U$1441,"low")</x:f>
        <x:v>0</x:v>
      </x:c>
      <x:c r="I404" s="7" t="n">
        <x:f>COUNTIFS('唯一词标签'!$V$2:$V$1441,A404,'唯一词标签'!$AB$2:$AB$1441,"needs_review")</x:f>
        <x:v>0</x:v>
      </x:c>
    </x:row>
    <x:row r="405" ht="22" customHeight="1">
      <x:c r="A405" s="7" t="str">
        <x:v>heel_arch_flip_flops</x:v>
      </x:c>
      <x:c r="B405" s="7" t="n">
        <x:f>COUNTIF('唯一词标签'!$V$2:$V$1441,A405)</x:f>
        <x:v>1</x:v>
      </x:c>
      <x:c r="C405" s="55" t="n">
        <x:f>B405/COUNTA('唯一词标签'!$C$2:$C$1441)</x:f>
        <x:v>0.0006944444444444445</x:v>
      </x:c>
      <x:c r="D405" s="7" t="n">
        <x:f>COUNTIFS('唯一词标签'!$V$2:$V$1441,A405,'唯一词标签'!$Z$2:$Z$1441,"match")</x:f>
        <x:v>1</x:v>
      </x:c>
      <x:c r="E405" s="7" t="n">
        <x:f>COUNTIFS('唯一词标签'!$V$2:$V$1441,A405,'唯一词标签'!$Z$2:$Z$1441,"partial_match")</x:f>
        <x:v>0</x:v>
      </x:c>
      <x:c r="F405" s="7" t="n">
        <x:f>COUNTIFS('唯一词标签'!$V$2:$V$1441,A405,'唯一词标签'!$Z$2:$Z$1441,"mismatch")</x:f>
        <x:v>0</x:v>
      </x:c>
      <x:c r="G405" s="7" t="n">
        <x:f>COUNTIFS('唯一词标签'!$V$2:$V$1441,A405,'唯一词标签'!$Z$2:$Z$1441,"unknown")</x:f>
        <x:v>0</x:v>
      </x:c>
      <x:c r="H405" s="7" t="n">
        <x:f>COUNTIFS('唯一词标签'!$V$2:$V$1441,A405,'唯一词标签'!$U$2:$U$1441,"low")</x:f>
        <x:v>0</x:v>
      </x:c>
      <x:c r="I405" s="7" t="n">
        <x:f>COUNTIFS('唯一词标签'!$V$2:$V$1441,A405,'唯一词标签'!$AB$2:$AB$1441,"needs_review")</x:f>
        <x:v>0</x:v>
      </x:c>
    </x:row>
    <x:row r="406" ht="22" customHeight="1">
      <x:c r="A406" s="7" t="str">
        <x:v>high_arch_flip_flops</x:v>
      </x:c>
      <x:c r="B406" s="7" t="n">
        <x:f>COUNTIF('唯一词标签'!$V$2:$V$1441,A406)</x:f>
        <x:v>1</x:v>
      </x:c>
      <x:c r="C406" s="55" t="n">
        <x:f>B406/COUNTA('唯一词标签'!$C$2:$C$1441)</x:f>
        <x:v>0.0006944444444444445</x:v>
      </x:c>
      <x:c r="D406" s="7" t="n">
        <x:f>COUNTIFS('唯一词标签'!$V$2:$V$1441,A406,'唯一词标签'!$Z$2:$Z$1441,"match")</x:f>
        <x:v>0</x:v>
      </x:c>
      <x:c r="E406" s="7" t="n">
        <x:f>COUNTIFS('唯一词标签'!$V$2:$V$1441,A406,'唯一词标签'!$Z$2:$Z$1441,"partial_match")</x:f>
        <x:v>1</x:v>
      </x:c>
      <x:c r="F406" s="7" t="n">
        <x:f>COUNTIFS('唯一词标签'!$V$2:$V$1441,A406,'唯一词标签'!$Z$2:$Z$1441,"mismatch")</x:f>
        <x:v>0</x:v>
      </x:c>
      <x:c r="G406" s="7" t="n">
        <x:f>COUNTIFS('唯一词标签'!$V$2:$V$1441,A406,'唯一词标签'!$Z$2:$Z$1441,"unknown")</x:f>
        <x:v>0</x:v>
      </x:c>
      <x:c r="H406" s="7" t="n">
        <x:f>COUNTIFS('唯一词标签'!$V$2:$V$1441,A406,'唯一词标签'!$U$2:$U$1441,"low")</x:f>
        <x:v>0</x:v>
      </x:c>
      <x:c r="I406" s="7" t="n">
        <x:f>COUNTIFS('唯一词标签'!$V$2:$V$1441,A406,'唯一词标签'!$AB$2:$AB$1441,"needs_review")</x:f>
        <x:v>0</x:v>
      </x:c>
    </x:row>
    <x:row r="407" ht="22" customHeight="1">
      <x:c r="A407" s="7" t="str">
        <x:v>high_arch_support_sandals_women</x:v>
      </x:c>
      <x:c r="B407" s="7" t="n">
        <x:f>COUNTIF('唯一词标签'!$V$2:$V$1441,A407)</x:f>
        <x:v>1</x:v>
      </x:c>
      <x:c r="C407" s="55" t="n">
        <x:f>B407/COUNTA('唯一词标签'!$C$2:$C$1441)</x:f>
        <x:v>0.0006944444444444445</x:v>
      </x:c>
      <x:c r="D407" s="7" t="n">
        <x:f>COUNTIFS('唯一词标签'!$V$2:$V$1441,A407,'唯一词标签'!$Z$2:$Z$1441,"match")</x:f>
        <x:v>0</x:v>
      </x:c>
      <x:c r="E407" s="7" t="n">
        <x:f>COUNTIFS('唯一词标签'!$V$2:$V$1441,A407,'唯一词标签'!$Z$2:$Z$1441,"partial_match")</x:f>
        <x:v>1</x:v>
      </x:c>
      <x:c r="F407" s="7" t="n">
        <x:f>COUNTIFS('唯一词标签'!$V$2:$V$1441,A407,'唯一词标签'!$Z$2:$Z$1441,"mismatch")</x:f>
        <x:v>0</x:v>
      </x:c>
      <x:c r="G407" s="7" t="n">
        <x:f>COUNTIFS('唯一词标签'!$V$2:$V$1441,A407,'唯一词标签'!$Z$2:$Z$1441,"unknown")</x:f>
        <x:v>0</x:v>
      </x:c>
      <x:c r="H407" s="7" t="n">
        <x:f>COUNTIFS('唯一词标签'!$V$2:$V$1441,A407,'唯一词标签'!$U$2:$U$1441,"low")</x:f>
        <x:v>0</x:v>
      </x:c>
      <x:c r="I407" s="7" t="n">
        <x:f>COUNTIFS('唯一词标签'!$V$2:$V$1441,A407,'唯一词标签'!$AB$2:$AB$1441,"needs_review")</x:f>
        <x:v>0</x:v>
      </x:c>
    </x:row>
    <x:row r="408" ht="22" customHeight="1">
      <x:c r="A408" s="7" t="str">
        <x:v>high_arch_support_water_flip_flops</x:v>
      </x:c>
      <x:c r="B408" s="7" t="n">
        <x:f>COUNTIF('唯一词标签'!$V$2:$V$1441,A408)</x:f>
        <x:v>1</x:v>
      </x:c>
      <x:c r="C408" s="55" t="n">
        <x:f>B408/COUNTA('唯一词标签'!$C$2:$C$1441)</x:f>
        <x:v>0.0006944444444444445</x:v>
      </x:c>
      <x:c r="D408" s="7" t="n">
        <x:f>COUNTIFS('唯一词标签'!$V$2:$V$1441,A408,'唯一词标签'!$Z$2:$Z$1441,"match")</x:f>
        <x:v>0</x:v>
      </x:c>
      <x:c r="E408" s="7" t="n">
        <x:f>COUNTIFS('唯一词标签'!$V$2:$V$1441,A408,'唯一词标签'!$Z$2:$Z$1441,"partial_match")</x:f>
        <x:v>1</x:v>
      </x:c>
      <x:c r="F408" s="7" t="n">
        <x:f>COUNTIFS('唯一词标签'!$V$2:$V$1441,A408,'唯一词标签'!$Z$2:$Z$1441,"mismatch")</x:f>
        <x:v>0</x:v>
      </x:c>
      <x:c r="G408" s="7" t="n">
        <x:f>COUNTIFS('唯一词标签'!$V$2:$V$1441,A408,'唯一词标签'!$Z$2:$Z$1441,"unknown")</x:f>
        <x:v>0</x:v>
      </x:c>
      <x:c r="H408" s="7" t="n">
        <x:f>COUNTIFS('唯一词标签'!$V$2:$V$1441,A408,'唯一词标签'!$U$2:$U$1441,"low")</x:f>
        <x:v>0</x:v>
      </x:c>
      <x:c r="I408" s="7" t="n">
        <x:f>COUNTIFS('唯一词标签'!$V$2:$V$1441,A408,'唯一词标签'!$AB$2:$AB$1441,"needs_review")</x:f>
        <x:v>0</x:v>
      </x:c>
    </x:row>
    <x:row r="409" ht="22" customHeight="1">
      <x:c r="A409" s="7" t="str">
        <x:v>home_flip_flops</x:v>
      </x:c>
      <x:c r="B409" s="7" t="n">
        <x:f>COUNTIF('唯一词标签'!$V$2:$V$1441,A409)</x:f>
        <x:v>1</x:v>
      </x:c>
      <x:c r="C409" s="55" t="n">
        <x:f>B409/COUNTA('唯一词标签'!$C$2:$C$1441)</x:f>
        <x:v>0.0006944444444444445</x:v>
      </x:c>
      <x:c r="D409" s="7" t="n">
        <x:f>COUNTIFS('唯一词标签'!$V$2:$V$1441,A409,'唯一词标签'!$Z$2:$Z$1441,"match")</x:f>
        <x:v>1</x:v>
      </x:c>
      <x:c r="E409" s="7" t="n">
        <x:f>COUNTIFS('唯一词标签'!$V$2:$V$1441,A409,'唯一词标签'!$Z$2:$Z$1441,"partial_match")</x:f>
        <x:v>0</x:v>
      </x:c>
      <x:c r="F409" s="7" t="n">
        <x:f>COUNTIFS('唯一词标签'!$V$2:$V$1441,A409,'唯一词标签'!$Z$2:$Z$1441,"mismatch")</x:f>
        <x:v>0</x:v>
      </x:c>
      <x:c r="G409" s="7" t="n">
        <x:f>COUNTIFS('唯一词标签'!$V$2:$V$1441,A409,'唯一词标签'!$Z$2:$Z$1441,"unknown")</x:f>
        <x:v>0</x:v>
      </x:c>
      <x:c r="H409" s="7" t="n">
        <x:f>COUNTIFS('唯一词标签'!$V$2:$V$1441,A409,'唯一词标签'!$U$2:$U$1441,"low")</x:f>
        <x:v>0</x:v>
      </x:c>
      <x:c r="I409" s="7" t="n">
        <x:f>COUNTIFS('唯一词标签'!$V$2:$V$1441,A409,'唯一词标签'!$AB$2:$AB$1441,"needs_review")</x:f>
        <x:v>0</x:v>
      </x:c>
    </x:row>
    <x:row r="410" ht="22" customHeight="1">
      <x:c r="A410" s="7" t="str">
        <x:v>home_flip_flops_indoor</x:v>
      </x:c>
      <x:c r="B410" s="7" t="n">
        <x:f>COUNTIF('唯一词标签'!$V$2:$V$1441,A410)</x:f>
        <x:v>1</x:v>
      </x:c>
      <x:c r="C410" s="55" t="n">
        <x:f>B410/COUNTA('唯一词标签'!$C$2:$C$1441)</x:f>
        <x:v>0.0006944444444444445</x:v>
      </x:c>
      <x:c r="D410" s="7" t="n">
        <x:f>COUNTIFS('唯一词标签'!$V$2:$V$1441,A410,'唯一词标签'!$Z$2:$Z$1441,"match")</x:f>
        <x:v>0</x:v>
      </x:c>
      <x:c r="E410" s="7" t="n">
        <x:f>COUNTIFS('唯一词标签'!$V$2:$V$1441,A410,'唯一词标签'!$Z$2:$Z$1441,"partial_match")</x:f>
        <x:v>1</x:v>
      </x:c>
      <x:c r="F410" s="7" t="n">
        <x:f>COUNTIFS('唯一词标签'!$V$2:$V$1441,A410,'唯一词标签'!$Z$2:$Z$1441,"mismatch")</x:f>
        <x:v>0</x:v>
      </x:c>
      <x:c r="G410" s="7" t="n">
        <x:f>COUNTIFS('唯一词标签'!$V$2:$V$1441,A410,'唯一词标签'!$Z$2:$Z$1441,"unknown")</x:f>
        <x:v>0</x:v>
      </x:c>
      <x:c r="H410" s="7" t="n">
        <x:f>COUNTIFS('唯一词标签'!$V$2:$V$1441,A410,'唯一词标签'!$U$2:$U$1441,"low")</x:f>
        <x:v>0</x:v>
      </x:c>
      <x:c r="I410" s="7" t="n">
        <x:f>COUNTIFS('唯一词标签'!$V$2:$V$1441,A410,'唯一词标签'!$AB$2:$AB$1441,"needs_review")</x:f>
        <x:v>0</x:v>
      </x:c>
    </x:row>
    <x:row r="411" ht="22" customHeight="1">
      <x:c r="A411" s="7" t="str">
        <x:v>hospital_bag_essentials</x:v>
      </x:c>
      <x:c r="B411" s="7" t="n">
        <x:f>COUNTIF('唯一词标签'!$V$2:$V$1441,A411)</x:f>
        <x:v>1</x:v>
      </x:c>
      <x:c r="C411" s="55" t="n">
        <x:f>B411/COUNTA('唯一词标签'!$C$2:$C$1441)</x:f>
        <x:v>0.0006944444444444445</x:v>
      </x:c>
      <x:c r="D411" s="7" t="n">
        <x:f>COUNTIFS('唯一词标签'!$V$2:$V$1441,A411,'唯一词标签'!$Z$2:$Z$1441,"match")</x:f>
        <x:v>0</x:v>
      </x:c>
      <x:c r="E411" s="7" t="n">
        <x:f>COUNTIFS('唯一词标签'!$V$2:$V$1441,A411,'唯一词标签'!$Z$2:$Z$1441,"partial_match")</x:f>
        <x:v>0</x:v>
      </x:c>
      <x:c r="F411" s="7" t="n">
        <x:f>COUNTIFS('唯一词标签'!$V$2:$V$1441,A411,'唯一词标签'!$Z$2:$Z$1441,"mismatch")</x:f>
        <x:v>0</x:v>
      </x:c>
      <x:c r="G411" s="7" t="n">
        <x:f>COUNTIFS('唯一词标签'!$V$2:$V$1441,A411,'唯一词标签'!$Z$2:$Z$1441,"unknown")</x:f>
        <x:v>1</x:v>
      </x:c>
      <x:c r="H411" s="7" t="n">
        <x:f>COUNTIFS('唯一词标签'!$V$2:$V$1441,A411,'唯一词标签'!$U$2:$U$1441,"low")</x:f>
        <x:v>1</x:v>
      </x:c>
      <x:c r="I411" s="7" t="n">
        <x:f>COUNTIFS('唯一词标签'!$V$2:$V$1441,A411,'唯一词标签'!$AB$2:$AB$1441,"needs_review")</x:f>
        <x:v>0</x:v>
      </x:c>
    </x:row>
    <x:row r="412" ht="22" customHeight="1">
      <x:c r="A412" s="7" t="str">
        <x:v>hot_pink_arch_support_flip_flops</x:v>
      </x:c>
      <x:c r="B412" s="7" t="n">
        <x:f>COUNTIF('唯一词标签'!$V$2:$V$1441,A412)</x:f>
        <x:v>1</x:v>
      </x:c>
      <x:c r="C412" s="55" t="n">
        <x:f>B412/COUNTA('唯一词标签'!$C$2:$C$1441)</x:f>
        <x:v>0.0006944444444444445</x:v>
      </x:c>
      <x:c r="D412" s="7" t="n">
        <x:f>COUNTIFS('唯一词标签'!$V$2:$V$1441,A412,'唯一词标签'!$Z$2:$Z$1441,"match")</x:f>
        <x:v>0</x:v>
      </x:c>
      <x:c r="E412" s="7" t="n">
        <x:f>COUNTIFS('唯一词标签'!$V$2:$V$1441,A412,'唯一词标签'!$Z$2:$Z$1441,"partial_match")</x:f>
        <x:v>1</x:v>
      </x:c>
      <x:c r="F412" s="7" t="n">
        <x:f>COUNTIFS('唯一词标签'!$V$2:$V$1441,A412,'唯一词标签'!$Z$2:$Z$1441,"mismatch")</x:f>
        <x:v>0</x:v>
      </x:c>
      <x:c r="G412" s="7" t="n">
        <x:f>COUNTIFS('唯一词标签'!$V$2:$V$1441,A412,'唯一词标签'!$Z$2:$Z$1441,"unknown")</x:f>
        <x:v>0</x:v>
      </x:c>
      <x:c r="H412" s="7" t="n">
        <x:f>COUNTIFS('唯一词标签'!$V$2:$V$1441,A412,'唯一词标签'!$U$2:$U$1441,"low")</x:f>
        <x:v>0</x:v>
      </x:c>
      <x:c r="I412" s="7" t="n">
        <x:f>COUNTIFS('唯一词标签'!$V$2:$V$1441,A412,'唯一词标签'!$AB$2:$AB$1441,"needs_review")</x:f>
        <x:v>1</x:v>
      </x:c>
    </x:row>
    <x:row r="413" ht="22" customHeight="1">
      <x:c r="A413" s="7" t="str">
        <x:v>hot_pink_flip_flop_sandals</x:v>
      </x:c>
      <x:c r="B413" s="7" t="n">
        <x:f>COUNTIF('唯一词标签'!$V$2:$V$1441,A413)</x:f>
        <x:v>1</x:v>
      </x:c>
      <x:c r="C413" s="55" t="n">
        <x:f>B413/COUNTA('唯一词标签'!$C$2:$C$1441)</x:f>
        <x:v>0.0006944444444444445</x:v>
      </x:c>
      <x:c r="D413" s="7" t="n">
        <x:f>COUNTIFS('唯一词标签'!$V$2:$V$1441,A413,'唯一词标签'!$Z$2:$Z$1441,"match")</x:f>
        <x:v>1</x:v>
      </x:c>
      <x:c r="E413" s="7" t="n">
        <x:f>COUNTIFS('唯一词标签'!$V$2:$V$1441,A413,'唯一词标签'!$Z$2:$Z$1441,"partial_match")</x:f>
        <x:v>0</x:v>
      </x:c>
      <x:c r="F413" s="7" t="n">
        <x:f>COUNTIFS('唯一词标签'!$V$2:$V$1441,A413,'唯一词标签'!$Z$2:$Z$1441,"mismatch")</x:f>
        <x:v>0</x:v>
      </x:c>
      <x:c r="G413" s="7" t="n">
        <x:f>COUNTIFS('唯一词标签'!$V$2:$V$1441,A413,'唯一词标签'!$Z$2:$Z$1441,"unknown")</x:f>
        <x:v>0</x:v>
      </x:c>
      <x:c r="H413" s="7" t="n">
        <x:f>COUNTIFS('唯一词标签'!$V$2:$V$1441,A413,'唯一词标签'!$U$2:$U$1441,"low")</x:f>
        <x:v>0</x:v>
      </x:c>
      <x:c r="I413" s="7" t="n">
        <x:f>COUNTIFS('唯一词标签'!$V$2:$V$1441,A413,'唯一词标签'!$AB$2:$AB$1441,"needs_review")</x:f>
        <x:v>0</x:v>
      </x:c>
    </x:row>
    <x:row r="414" ht="22" customHeight="1">
      <x:c r="A414" s="7" t="str">
        <x:v>hot_pink_sandals</x:v>
      </x:c>
      <x:c r="B414" s="7" t="n">
        <x:f>COUNTIF('唯一词标签'!$V$2:$V$1441,A414)</x:f>
        <x:v>1</x:v>
      </x:c>
      <x:c r="C414" s="55" t="n">
        <x:f>B414/COUNTA('唯一词标签'!$C$2:$C$1441)</x:f>
        <x:v>0.0006944444444444445</x:v>
      </x:c>
      <x:c r="D414" s="7" t="n">
        <x:f>COUNTIFS('唯一词标签'!$V$2:$V$1441,A414,'唯一词标签'!$Z$2:$Z$1441,"match")</x:f>
        <x:v>0</x:v>
      </x:c>
      <x:c r="E414" s="7" t="n">
        <x:f>COUNTIFS('唯一词标签'!$V$2:$V$1441,A414,'唯一词标签'!$Z$2:$Z$1441,"partial_match")</x:f>
        <x:v>1</x:v>
      </x:c>
      <x:c r="F414" s="7" t="n">
        <x:f>COUNTIFS('唯一词标签'!$V$2:$V$1441,A414,'唯一词标签'!$Z$2:$Z$1441,"mismatch")</x:f>
        <x:v>0</x:v>
      </x:c>
      <x:c r="G414" s="7" t="n">
        <x:f>COUNTIFS('唯一词标签'!$V$2:$V$1441,A414,'唯一词标签'!$Z$2:$Z$1441,"unknown")</x:f>
        <x:v>0</x:v>
      </x:c>
      <x:c r="H414" s="7" t="n">
        <x:f>COUNTIFS('唯一词标签'!$V$2:$V$1441,A414,'唯一词标签'!$U$2:$U$1441,"low")</x:f>
        <x:v>0</x:v>
      </x:c>
      <x:c r="I414" s="7" t="n">
        <x:f>COUNTIFS('唯一词标签'!$V$2:$V$1441,A414,'唯一词标签'!$AB$2:$AB$1441,"needs_review")</x:f>
        <x:v>0</x:v>
      </x:c>
    </x:row>
    <x:row r="415" ht="22" customHeight="1">
      <x:c r="A415" s="7" t="str">
        <x:v>house_comfortable_flip_flops</x:v>
      </x:c>
      <x:c r="B415" s="7" t="n">
        <x:f>COUNTIF('唯一词标签'!$V$2:$V$1441,A415)</x:f>
        <x:v>1</x:v>
      </x:c>
      <x:c r="C415" s="55" t="n">
        <x:f>B415/COUNTA('唯一词标签'!$C$2:$C$1441)</x:f>
        <x:v>0.0006944444444444445</x:v>
      </x:c>
      <x:c r="D415" s="7" t="n">
        <x:f>COUNTIFS('唯一词标签'!$V$2:$V$1441,A415,'唯一词标签'!$Z$2:$Z$1441,"match")</x:f>
        <x:v>0</x:v>
      </x:c>
      <x:c r="E415" s="7" t="n">
        <x:f>COUNTIFS('唯一词标签'!$V$2:$V$1441,A415,'唯一词标签'!$Z$2:$Z$1441,"partial_match")</x:f>
        <x:v>1</x:v>
      </x:c>
      <x:c r="F415" s="7" t="n">
        <x:f>COUNTIFS('唯一词标签'!$V$2:$V$1441,A415,'唯一词标签'!$Z$2:$Z$1441,"mismatch")</x:f>
        <x:v>0</x:v>
      </x:c>
      <x:c r="G415" s="7" t="n">
        <x:f>COUNTIFS('唯一词标签'!$V$2:$V$1441,A415,'唯一词标签'!$Z$2:$Z$1441,"unknown")</x:f>
        <x:v>0</x:v>
      </x:c>
      <x:c r="H415" s="7" t="n">
        <x:f>COUNTIFS('唯一词标签'!$V$2:$V$1441,A415,'唯一词标签'!$U$2:$U$1441,"low")</x:f>
        <x:v>0</x:v>
      </x:c>
      <x:c r="I415" s="7" t="n">
        <x:f>COUNTIFS('唯一词标签'!$V$2:$V$1441,A415,'唯一词标签'!$AB$2:$AB$1441,"needs_review")</x:f>
        <x:v>1</x:v>
      </x:c>
    </x:row>
    <x:row r="416" ht="22" customHeight="1">
      <x:c r="A416" s="7" t="str">
        <x:v>house_flip_flops</x:v>
      </x:c>
      <x:c r="B416" s="7" t="n">
        <x:f>COUNTIF('唯一词标签'!$V$2:$V$1441,A416)</x:f>
        <x:v>1</x:v>
      </x:c>
      <x:c r="C416" s="55" t="n">
        <x:f>B416/COUNTA('唯一词标签'!$C$2:$C$1441)</x:f>
        <x:v>0.0006944444444444445</x:v>
      </x:c>
      <x:c r="D416" s="7" t="n">
        <x:f>COUNTIFS('唯一词标签'!$V$2:$V$1441,A416,'唯一词标签'!$Z$2:$Z$1441,"match")</x:f>
        <x:v>0</x:v>
      </x:c>
      <x:c r="E416" s="7" t="n">
        <x:f>COUNTIFS('唯一词标签'!$V$2:$V$1441,A416,'唯一词标签'!$Z$2:$Z$1441,"partial_match")</x:f>
        <x:v>1</x:v>
      </x:c>
      <x:c r="F416" s="7" t="n">
        <x:f>COUNTIFS('唯一词标签'!$V$2:$V$1441,A416,'唯一词标签'!$Z$2:$Z$1441,"mismatch")</x:f>
        <x:v>0</x:v>
      </x:c>
      <x:c r="G416" s="7" t="n">
        <x:f>COUNTIFS('唯一词标签'!$V$2:$V$1441,A416,'唯一词标签'!$Z$2:$Z$1441,"unknown")</x:f>
        <x:v>0</x:v>
      </x:c>
      <x:c r="H416" s="7" t="n">
        <x:f>COUNTIFS('唯一词标签'!$V$2:$V$1441,A416,'唯一词标签'!$U$2:$U$1441,"low")</x:f>
        <x:v>0</x:v>
      </x:c>
      <x:c r="I416" s="7" t="n">
        <x:f>COUNTIFS('唯一词标签'!$V$2:$V$1441,A416,'唯一词标签'!$AB$2:$AB$1441,"needs_review")</x:f>
        <x:v>0</x:v>
      </x:c>
    </x:row>
    <x:row r="417" ht="22" customHeight="1">
      <x:c r="A417" s="7" t="str">
        <x:v>house_flip_flops_women</x:v>
      </x:c>
      <x:c r="B417" s="7" t="n">
        <x:f>COUNTIF('唯一词标签'!$V$2:$V$1441,A417)</x:f>
        <x:v>1</x:v>
      </x:c>
      <x:c r="C417" s="55" t="n">
        <x:f>B417/COUNTA('唯一词标签'!$C$2:$C$1441)</x:f>
        <x:v>0.0006944444444444445</x:v>
      </x:c>
      <x:c r="D417" s="7" t="n">
        <x:f>COUNTIFS('唯一词标签'!$V$2:$V$1441,A417,'唯一词标签'!$Z$2:$Z$1441,"match")</x:f>
        <x:v>0</x:v>
      </x:c>
      <x:c r="E417" s="7" t="n">
        <x:f>COUNTIFS('唯一词标签'!$V$2:$V$1441,A417,'唯一词标签'!$Z$2:$Z$1441,"partial_match")</x:f>
        <x:v>1</x:v>
      </x:c>
      <x:c r="F417" s="7" t="n">
        <x:f>COUNTIFS('唯一词标签'!$V$2:$V$1441,A417,'唯一词标签'!$Z$2:$Z$1441,"mismatch")</x:f>
        <x:v>0</x:v>
      </x:c>
      <x:c r="G417" s="7" t="n">
        <x:f>COUNTIFS('唯一词标签'!$V$2:$V$1441,A417,'唯一词标签'!$Z$2:$Z$1441,"unknown")</x:f>
        <x:v>0</x:v>
      </x:c>
      <x:c r="H417" s="7" t="n">
        <x:f>COUNTIFS('唯一词标签'!$V$2:$V$1441,A417,'唯一词标签'!$U$2:$U$1441,"low")</x:f>
        <x:v>0</x:v>
      </x:c>
      <x:c r="I417" s="7" t="n">
        <x:f>COUNTIFS('唯一词标签'!$V$2:$V$1441,A417,'唯一词标签'!$AB$2:$AB$1441,"needs_review")</x:f>
        <x:v>0</x:v>
      </x:c>
    </x:row>
    <x:row r="418" ht="22" customHeight="1">
      <x:c r="A418" s="7" t="str">
        <x:v>huaraches_women</x:v>
      </x:c>
      <x:c r="B418" s="7" t="n">
        <x:f>COUNTIF('唯一词标签'!$V$2:$V$1441,A418)</x:f>
        <x:v>1</x:v>
      </x:c>
      <x:c r="C418" s="55" t="n">
        <x:f>B418/COUNTA('唯一词标签'!$C$2:$C$1441)</x:f>
        <x:v>0.0006944444444444445</x:v>
      </x:c>
      <x:c r="D418" s="7" t="n">
        <x:f>COUNTIFS('唯一词标签'!$V$2:$V$1441,A418,'唯一词标签'!$Z$2:$Z$1441,"match")</x:f>
        <x:v>0</x:v>
      </x:c>
      <x:c r="E418" s="7" t="n">
        <x:f>COUNTIFS('唯一词标签'!$V$2:$V$1441,A418,'唯一词标签'!$Z$2:$Z$1441,"partial_match")</x:f>
        <x:v>0</x:v>
      </x:c>
      <x:c r="F418" s="7" t="n">
        <x:f>COUNTIFS('唯一词标签'!$V$2:$V$1441,A418,'唯一词标签'!$Z$2:$Z$1441,"mismatch")</x:f>
        <x:v>1</x:v>
      </x:c>
      <x:c r="G418" s="7" t="n">
        <x:f>COUNTIFS('唯一词标签'!$V$2:$V$1441,A418,'唯一词标签'!$Z$2:$Z$1441,"unknown")</x:f>
        <x:v>0</x:v>
      </x:c>
      <x:c r="H418" s="7" t="n">
        <x:f>COUNTIFS('唯一词标签'!$V$2:$V$1441,A418,'唯一词标签'!$U$2:$U$1441,"low")</x:f>
        <x:v>0</x:v>
      </x:c>
      <x:c r="I418" s="7" t="n">
        <x:f>COUNTIFS('唯一词标签'!$V$2:$V$1441,A418,'唯一词标签'!$AB$2:$AB$1441,"needs_review")</x:f>
        <x:v>0</x:v>
      </x:c>
    </x:row>
    <x:row r="419" ht="22" customHeight="1">
      <x:c r="A419" s="7" t="str">
        <x:v>indoor_flip_flops</x:v>
      </x:c>
      <x:c r="B419" s="7" t="n">
        <x:f>COUNTIF('唯一词标签'!$V$2:$V$1441,A419)</x:f>
        <x:v>2</x:v>
      </x:c>
      <x:c r="C419" s="55" t="n">
        <x:f>B419/COUNTA('唯一词标签'!$C$2:$C$1441)</x:f>
        <x:v>0.001388888888888889</x:v>
      </x:c>
      <x:c r="D419" s="7" t="n">
        <x:f>COUNTIFS('唯一词标签'!$V$2:$V$1441,A419,'唯一词标签'!$Z$2:$Z$1441,"match")</x:f>
        <x:v>0</x:v>
      </x:c>
      <x:c r="E419" s="7" t="n">
        <x:f>COUNTIFS('唯一词标签'!$V$2:$V$1441,A419,'唯一词标签'!$Z$2:$Z$1441,"partial_match")</x:f>
        <x:v>1</x:v>
      </x:c>
      <x:c r="F419" s="7" t="n">
        <x:f>COUNTIFS('唯一词标签'!$V$2:$V$1441,A419,'唯一词标签'!$Z$2:$Z$1441,"mismatch")</x:f>
        <x:v>1</x:v>
      </x:c>
      <x:c r="G419" s="7" t="n">
        <x:f>COUNTIFS('唯一词标签'!$V$2:$V$1441,A419,'唯一词标签'!$Z$2:$Z$1441,"unknown")</x:f>
        <x:v>0</x:v>
      </x:c>
      <x:c r="H419" s="7" t="n">
        <x:f>COUNTIFS('唯一词标签'!$V$2:$V$1441,A419,'唯一词标签'!$U$2:$U$1441,"low")</x:f>
        <x:v>0</x:v>
      </x:c>
      <x:c r="I419" s="7" t="n">
        <x:f>COUNTIFS('唯一词标签'!$V$2:$V$1441,A419,'唯一词标签'!$AB$2:$AB$1441,"needs_review")</x:f>
        <x:v>0</x:v>
      </x:c>
    </x:row>
    <x:row r="420" ht="22" customHeight="1">
      <x:c r="A420" s="7" t="str">
        <x:v>indoor_flip_flops_women</x:v>
      </x:c>
      <x:c r="B420" s="7" t="n">
        <x:f>COUNTIF('唯一词标签'!$V$2:$V$1441,A420)</x:f>
        <x:v>1</x:v>
      </x:c>
      <x:c r="C420" s="55" t="n">
        <x:f>B420/COUNTA('唯一词标签'!$C$2:$C$1441)</x:f>
        <x:v>0.0006944444444444445</x:v>
      </x:c>
      <x:c r="D420" s="7" t="n">
        <x:f>COUNTIFS('唯一词标签'!$V$2:$V$1441,A420,'唯一词标签'!$Z$2:$Z$1441,"match")</x:f>
        <x:v>0</x:v>
      </x:c>
      <x:c r="E420" s="7" t="n">
        <x:f>COUNTIFS('唯一词标签'!$V$2:$V$1441,A420,'唯一词标签'!$Z$2:$Z$1441,"partial_match")</x:f>
        <x:v>1</x:v>
      </x:c>
      <x:c r="F420" s="7" t="n">
        <x:f>COUNTIFS('唯一词标签'!$V$2:$V$1441,A420,'唯一词标签'!$Z$2:$Z$1441,"mismatch")</x:f>
        <x:v>0</x:v>
      </x:c>
      <x:c r="G420" s="7" t="n">
        <x:f>COUNTIFS('唯一词标签'!$V$2:$V$1441,A420,'唯一词标签'!$Z$2:$Z$1441,"unknown")</x:f>
        <x:v>0</x:v>
      </x:c>
      <x:c r="H420" s="7" t="n">
        <x:f>COUNTIFS('唯一词标签'!$V$2:$V$1441,A420,'唯一词标签'!$U$2:$U$1441,"low")</x:f>
        <x:v>0</x:v>
      </x:c>
      <x:c r="I420" s="7" t="n">
        <x:f>COUNTIFS('唯一词标签'!$V$2:$V$1441,A420,'唯一词标签'!$AB$2:$AB$1441,"needs_review")</x:f>
        <x:v>0</x:v>
      </x:c>
    </x:row>
    <x:row r="421" ht="22" customHeight="1">
      <x:c r="A421" s="7" t="str">
        <x:v>indoor_orthopedic_flip_flops</x:v>
      </x:c>
      <x:c r="B421" s="7" t="n">
        <x:f>COUNTIF('唯一词标签'!$V$2:$V$1441,A421)</x:f>
        <x:v>1</x:v>
      </x:c>
      <x:c r="C421" s="55" t="n">
        <x:f>B421/COUNTA('唯一词标签'!$C$2:$C$1441)</x:f>
        <x:v>0.0006944444444444445</x:v>
      </x:c>
      <x:c r="D421" s="7" t="n">
        <x:f>COUNTIFS('唯一词标签'!$V$2:$V$1441,A421,'唯一词标签'!$Z$2:$Z$1441,"match")</x:f>
        <x:v>0</x:v>
      </x:c>
      <x:c r="E421" s="7" t="n">
        <x:f>COUNTIFS('唯一词标签'!$V$2:$V$1441,A421,'唯一词标签'!$Z$2:$Z$1441,"partial_match")</x:f>
        <x:v>1</x:v>
      </x:c>
      <x:c r="F421" s="7" t="n">
        <x:f>COUNTIFS('唯一词标签'!$V$2:$V$1441,A421,'唯一词标签'!$Z$2:$Z$1441,"mismatch")</x:f>
        <x:v>0</x:v>
      </x:c>
      <x:c r="G421" s="7" t="n">
        <x:f>COUNTIFS('唯一词标签'!$V$2:$V$1441,A421,'唯一词标签'!$Z$2:$Z$1441,"unknown")</x:f>
        <x:v>0</x:v>
      </x:c>
      <x:c r="H421" s="7" t="n">
        <x:f>COUNTIFS('唯一词标签'!$V$2:$V$1441,A421,'唯一词标签'!$U$2:$U$1441,"low")</x:f>
        <x:v>0</x:v>
      </x:c>
      <x:c r="I421" s="7" t="n">
        <x:f>COUNTIFS('唯一词标签'!$V$2:$V$1441,A421,'唯一词标签'!$AB$2:$AB$1441,"needs_review")</x:f>
        <x:v>0</x:v>
      </x:c>
    </x:row>
    <x:row r="422" ht="22" customHeight="1">
      <x:c r="A422" s="7" t="str">
        <x:v>indoor_womens_arch_support_flip_flops</x:v>
      </x:c>
      <x:c r="B422" s="7" t="n">
        <x:f>COUNTIF('唯一词标签'!$V$2:$V$1441,A422)</x:f>
        <x:v>1</x:v>
      </x:c>
      <x:c r="C422" s="55" t="n">
        <x:f>B422/COUNTA('唯一词标签'!$C$2:$C$1441)</x:f>
        <x:v>0.0006944444444444445</x:v>
      </x:c>
      <x:c r="D422" s="7" t="n">
        <x:f>COUNTIFS('唯一词标签'!$V$2:$V$1441,A422,'唯一词标签'!$Z$2:$Z$1441,"match")</x:f>
        <x:v>0</x:v>
      </x:c>
      <x:c r="E422" s="7" t="n">
        <x:f>COUNTIFS('唯一词标签'!$V$2:$V$1441,A422,'唯一词标签'!$Z$2:$Z$1441,"partial_match")</x:f>
        <x:v>1</x:v>
      </x:c>
      <x:c r="F422" s="7" t="n">
        <x:f>COUNTIFS('唯一词标签'!$V$2:$V$1441,A422,'唯一词标签'!$Z$2:$Z$1441,"mismatch")</x:f>
        <x:v>0</x:v>
      </x:c>
      <x:c r="G422" s="7" t="n">
        <x:f>COUNTIFS('唯一词标签'!$V$2:$V$1441,A422,'唯一词标签'!$Z$2:$Z$1441,"unknown")</x:f>
        <x:v>0</x:v>
      </x:c>
      <x:c r="H422" s="7" t="n">
        <x:f>COUNTIFS('唯一词标签'!$V$2:$V$1441,A422,'唯一词标签'!$U$2:$U$1441,"low")</x:f>
        <x:v>0</x:v>
      </x:c>
      <x:c r="I422" s="7" t="n">
        <x:f>COUNTIFS('唯一词标签'!$V$2:$V$1441,A422,'唯一词标签'!$AB$2:$AB$1441,"needs_review")</x:f>
        <x:v>1</x:v>
      </x:c>
    </x:row>
    <x:row r="423" ht="22" customHeight="1">
      <x:c r="A423" s="7" t="str">
        <x:v>inexpensive_flip_flops_women</x:v>
      </x:c>
      <x:c r="B423" s="7" t="n">
        <x:f>COUNTIF('唯一词标签'!$V$2:$V$1441,A423)</x:f>
        <x:v>1</x:v>
      </x:c>
      <x:c r="C423" s="55" t="n">
        <x:f>B423/COUNTA('唯一词标签'!$C$2:$C$1441)</x:f>
        <x:v>0.0006944444444444445</x:v>
      </x:c>
      <x:c r="D423" s="7" t="n">
        <x:f>COUNTIFS('唯一词标签'!$V$2:$V$1441,A423,'唯一词标签'!$Z$2:$Z$1441,"match")</x:f>
        <x:v>0</x:v>
      </x:c>
      <x:c r="E423" s="7" t="n">
        <x:f>COUNTIFS('唯一词标签'!$V$2:$V$1441,A423,'唯一词标签'!$Z$2:$Z$1441,"partial_match")</x:f>
        <x:v>1</x:v>
      </x:c>
      <x:c r="F423" s="7" t="n">
        <x:f>COUNTIFS('唯一词标签'!$V$2:$V$1441,A423,'唯一词标签'!$Z$2:$Z$1441,"mismatch")</x:f>
        <x:v>0</x:v>
      </x:c>
      <x:c r="G423" s="7" t="n">
        <x:f>COUNTIFS('唯一词标签'!$V$2:$V$1441,A423,'唯一词标签'!$Z$2:$Z$1441,"unknown")</x:f>
        <x:v>0</x:v>
      </x:c>
      <x:c r="H423" s="7" t="n">
        <x:f>COUNTIFS('唯一词标签'!$V$2:$V$1441,A423,'唯一词标签'!$U$2:$U$1441,"low")</x:f>
        <x:v>0</x:v>
      </x:c>
      <x:c r="I423" s="7" t="n">
        <x:f>COUNTIFS('唯一词标签'!$V$2:$V$1441,A423,'唯一词标签'!$AB$2:$AB$1441,"needs_review")</x:f>
        <x:v>0</x:v>
      </x:c>
    </x:row>
    <x:row r="424" ht="22" customHeight="1">
      <x:c r="A424" s="7" t="str">
        <x:v>insole_for_flip_flop_women</x:v>
      </x:c>
      <x:c r="B424" s="7" t="n">
        <x:f>COUNTIF('唯一词标签'!$V$2:$V$1441,A424)</x:f>
        <x:v>1</x:v>
      </x:c>
      <x:c r="C424" s="55" t="n">
        <x:f>B424/COUNTA('唯一词标签'!$C$2:$C$1441)</x:f>
        <x:v>0.0006944444444444445</x:v>
      </x:c>
      <x:c r="D424" s="7" t="n">
        <x:f>COUNTIFS('唯一词标签'!$V$2:$V$1441,A424,'唯一词标签'!$Z$2:$Z$1441,"match")</x:f>
        <x:v>0</x:v>
      </x:c>
      <x:c r="E424" s="7" t="n">
        <x:f>COUNTIFS('唯一词标签'!$V$2:$V$1441,A424,'唯一词标签'!$Z$2:$Z$1441,"partial_match")</x:f>
        <x:v>0</x:v>
      </x:c>
      <x:c r="F424" s="7" t="n">
        <x:f>COUNTIFS('唯一词标签'!$V$2:$V$1441,A424,'唯一词标签'!$Z$2:$Z$1441,"mismatch")</x:f>
        <x:v>1</x:v>
      </x:c>
      <x:c r="G424" s="7" t="n">
        <x:f>COUNTIFS('唯一词标签'!$V$2:$V$1441,A424,'唯一词标签'!$Z$2:$Z$1441,"unknown")</x:f>
        <x:v>0</x:v>
      </x:c>
      <x:c r="H424" s="7" t="n">
        <x:f>COUNTIFS('唯一词标签'!$V$2:$V$1441,A424,'唯一词标签'!$U$2:$U$1441,"low")</x:f>
        <x:v>0</x:v>
      </x:c>
      <x:c r="I424" s="7" t="n">
        <x:f>COUNTIFS('唯一词标签'!$V$2:$V$1441,A424,'唯一词标签'!$AB$2:$AB$1441,"needs_review")</x:f>
        <x:v>0</x:v>
      </x:c>
    </x:row>
    <x:row r="425" ht="22" customHeight="1">
      <x:c r="A425" s="7" t="str">
        <x:v>island_surf_women_flip_flops</x:v>
      </x:c>
      <x:c r="B425" s="7" t="n">
        <x:f>COUNTIF('唯一词标签'!$V$2:$V$1441,A425)</x:f>
        <x:v>1</x:v>
      </x:c>
      <x:c r="C425" s="55" t="n">
        <x:f>B425/COUNTA('唯一词标签'!$C$2:$C$1441)</x:f>
        <x:v>0.0006944444444444445</x:v>
      </x:c>
      <x:c r="D425" s="7" t="n">
        <x:f>COUNTIFS('唯一词标签'!$V$2:$V$1441,A425,'唯一词标签'!$Z$2:$Z$1441,"match")</x:f>
        <x:v>0</x:v>
      </x:c>
      <x:c r="E425" s="7" t="n">
        <x:f>COUNTIFS('唯一词标签'!$V$2:$V$1441,A425,'唯一词标签'!$Z$2:$Z$1441,"partial_match")</x:f>
        <x:v>0</x:v>
      </x:c>
      <x:c r="F425" s="7" t="n">
        <x:f>COUNTIFS('唯一词标签'!$V$2:$V$1441,A425,'唯一词标签'!$Z$2:$Z$1441,"mismatch")</x:f>
        <x:v>1</x:v>
      </x:c>
      <x:c r="G425" s="7" t="n">
        <x:f>COUNTIFS('唯一词标签'!$V$2:$V$1441,A425,'唯一词标签'!$Z$2:$Z$1441,"unknown")</x:f>
        <x:v>0</x:v>
      </x:c>
      <x:c r="H425" s="7" t="n">
        <x:f>COUNTIFS('唯一词标签'!$V$2:$V$1441,A425,'唯一词标签'!$U$2:$U$1441,"low")</x:f>
        <x:v>0</x:v>
      </x:c>
      <x:c r="I425" s="7" t="n">
        <x:f>COUNTIFS('唯一词标签'!$V$2:$V$1441,A425,'唯一词标签'!$AB$2:$AB$1441,"needs_review")</x:f>
        <x:v>1</x:v>
      </x:c>
    </x:row>
    <x:row r="426" ht="22" customHeight="1">
      <x:c r="A426" s="7" t="str">
        <x:v>jawuallana_flip_flops_women</x:v>
      </x:c>
      <x:c r="B426" s="7" t="n">
        <x:f>COUNTIF('唯一词标签'!$V$2:$V$1441,A426)</x:f>
        <x:v>1</x:v>
      </x:c>
      <x:c r="C426" s="55" t="n">
        <x:f>B426/COUNTA('唯一词标签'!$C$2:$C$1441)</x:f>
        <x:v>0.0006944444444444445</x:v>
      </x:c>
      <x:c r="D426" s="7" t="n">
        <x:f>COUNTIFS('唯一词标签'!$V$2:$V$1441,A426,'唯一词标签'!$Z$2:$Z$1441,"match")</x:f>
        <x:v>0</x:v>
      </x:c>
      <x:c r="E426" s="7" t="n">
        <x:f>COUNTIFS('唯一词标签'!$V$2:$V$1441,A426,'唯一词标签'!$Z$2:$Z$1441,"partial_match")</x:f>
        <x:v>0</x:v>
      </x:c>
      <x:c r="F426" s="7" t="n">
        <x:f>COUNTIFS('唯一词标签'!$V$2:$V$1441,A426,'唯一词标签'!$Z$2:$Z$1441,"mismatch")</x:f>
        <x:v>1</x:v>
      </x:c>
      <x:c r="G426" s="7" t="n">
        <x:f>COUNTIFS('唯一词标签'!$V$2:$V$1441,A426,'唯一词标签'!$Z$2:$Z$1441,"unknown")</x:f>
        <x:v>0</x:v>
      </x:c>
      <x:c r="H426" s="7" t="n">
        <x:f>COUNTIFS('唯一词标签'!$V$2:$V$1441,A426,'唯一词标签'!$U$2:$U$1441,"low")</x:f>
        <x:v>0</x:v>
      </x:c>
      <x:c r="I426" s="7" t="n">
        <x:f>COUNTIFS('唯一词标签'!$V$2:$V$1441,A426,'唯一词标签'!$AB$2:$AB$1441,"needs_review")</x:f>
        <x:v>0</x:v>
      </x:c>
    </x:row>
    <x:row r="427" ht="22" customHeight="1">
      <x:c r="A427" s="7" t="str">
        <x:v>jeweled_flip_flops</x:v>
      </x:c>
      <x:c r="B427" s="7" t="n">
        <x:f>COUNTIF('唯一词标签'!$V$2:$V$1441,A427)</x:f>
        <x:v>1</x:v>
      </x:c>
      <x:c r="C427" s="55" t="n">
        <x:f>B427/COUNTA('唯一词标签'!$C$2:$C$1441)</x:f>
        <x:v>0.0006944444444444445</x:v>
      </x:c>
      <x:c r="D427" s="7" t="n">
        <x:f>COUNTIFS('唯一词标签'!$V$2:$V$1441,A427,'唯一词标签'!$Z$2:$Z$1441,"match")</x:f>
        <x:v>0</x:v>
      </x:c>
      <x:c r="E427" s="7" t="n">
        <x:f>COUNTIFS('唯一词标签'!$V$2:$V$1441,A427,'唯一词标签'!$Z$2:$Z$1441,"partial_match")</x:f>
        <x:v>1</x:v>
      </x:c>
      <x:c r="F427" s="7" t="n">
        <x:f>COUNTIFS('唯一词标签'!$V$2:$V$1441,A427,'唯一词标签'!$Z$2:$Z$1441,"mismatch")</x:f>
        <x:v>0</x:v>
      </x:c>
      <x:c r="G427" s="7" t="n">
        <x:f>COUNTIFS('唯一词标签'!$V$2:$V$1441,A427,'唯一词标签'!$Z$2:$Z$1441,"unknown")</x:f>
        <x:v>0</x:v>
      </x:c>
      <x:c r="H427" s="7" t="n">
        <x:f>COUNTIFS('唯一词标签'!$V$2:$V$1441,A427,'唯一词标签'!$U$2:$U$1441,"low")</x:f>
        <x:v>0</x:v>
      </x:c>
      <x:c r="I427" s="7" t="n">
        <x:f>COUNTIFS('唯一词标签'!$V$2:$V$1441,A427,'唯一词标签'!$AB$2:$AB$1441,"needs_review")</x:f>
        <x:v>0</x:v>
      </x:c>
    </x:row>
    <x:row r="428" ht="22" customHeight="1">
      <x:c r="A428" s="7" t="str">
        <x:v>joomfa_house_slippers_women</x:v>
      </x:c>
      <x:c r="B428" s="7" t="n">
        <x:f>COUNTIF('唯一词标签'!$V$2:$V$1441,A428)</x:f>
        <x:v>1</x:v>
      </x:c>
      <x:c r="C428" s="55" t="n">
        <x:f>B428/COUNTA('唯一词标签'!$C$2:$C$1441)</x:f>
        <x:v>0.0006944444444444445</x:v>
      </x:c>
      <x:c r="D428" s="7" t="n">
        <x:f>COUNTIFS('唯一词标签'!$V$2:$V$1441,A428,'唯一词标签'!$Z$2:$Z$1441,"match")</x:f>
        <x:v>0</x:v>
      </x:c>
      <x:c r="E428" s="7" t="n">
        <x:f>COUNTIFS('唯一词标签'!$V$2:$V$1441,A428,'唯一词标签'!$Z$2:$Z$1441,"partial_match")</x:f>
        <x:v>0</x:v>
      </x:c>
      <x:c r="F428" s="7" t="n">
        <x:f>COUNTIFS('唯一词标签'!$V$2:$V$1441,A428,'唯一词标签'!$Z$2:$Z$1441,"mismatch")</x:f>
        <x:v>1</x:v>
      </x:c>
      <x:c r="G428" s="7" t="n">
        <x:f>COUNTIFS('唯一词标签'!$V$2:$V$1441,A428,'唯一词标签'!$Z$2:$Z$1441,"unknown")</x:f>
        <x:v>0</x:v>
      </x:c>
      <x:c r="H428" s="7" t="n">
        <x:f>COUNTIFS('唯一词标签'!$V$2:$V$1441,A428,'唯一词标签'!$U$2:$U$1441,"low")</x:f>
        <x:v>0</x:v>
      </x:c>
      <x:c r="I428" s="7" t="n">
        <x:f>COUNTIFS('唯一词标签'!$V$2:$V$1441,A428,'唯一词标签'!$AB$2:$AB$1441,"needs_review")</x:f>
        <x:v>0</x:v>
      </x:c>
    </x:row>
    <x:row r="429" ht="22" customHeight="1">
      <x:c r="A429" s="7" t="str">
        <x:v>joomra_arch_support_flip_flop_brand</x:v>
      </x:c>
      <x:c r="B429" s="7" t="n">
        <x:f>COUNTIF('唯一词标签'!$V$2:$V$1441,A429)</x:f>
        <x:v>1</x:v>
      </x:c>
      <x:c r="C429" s="55" t="n">
        <x:f>B429/COUNTA('唯一词标签'!$C$2:$C$1441)</x:f>
        <x:v>0.0006944444444444445</x:v>
      </x:c>
      <x:c r="D429" s="7" t="n">
        <x:f>COUNTIFS('唯一词标签'!$V$2:$V$1441,A429,'唯一词标签'!$Z$2:$Z$1441,"match")</x:f>
        <x:v>1</x:v>
      </x:c>
      <x:c r="E429" s="7" t="n">
        <x:f>COUNTIFS('唯一词标签'!$V$2:$V$1441,A429,'唯一词标签'!$Z$2:$Z$1441,"partial_match")</x:f>
        <x:v>0</x:v>
      </x:c>
      <x:c r="F429" s="7" t="n">
        <x:f>COUNTIFS('唯一词标签'!$V$2:$V$1441,A429,'唯一词标签'!$Z$2:$Z$1441,"mismatch")</x:f>
        <x:v>0</x:v>
      </x:c>
      <x:c r="G429" s="7" t="n">
        <x:f>COUNTIFS('唯一词标签'!$V$2:$V$1441,A429,'唯一词标签'!$Z$2:$Z$1441,"unknown")</x:f>
        <x:v>0</x:v>
      </x:c>
      <x:c r="H429" s="7" t="n">
        <x:f>COUNTIFS('唯一词标签'!$V$2:$V$1441,A429,'唯一词标签'!$U$2:$U$1441,"low")</x:f>
        <x:v>0</x:v>
      </x:c>
      <x:c r="I429" s="7" t="n">
        <x:f>COUNTIFS('唯一词标签'!$V$2:$V$1441,A429,'唯一词标签'!$AB$2:$AB$1441,"needs_review")</x:f>
        <x:v>0</x:v>
      </x:c>
    </x:row>
    <x:row r="430" ht="22" customHeight="1">
      <x:c r="A430" s="7" t="str">
        <x:v>joomra_arch_support_flip_flops</x:v>
      </x:c>
      <x:c r="B430" s="7" t="n">
        <x:f>COUNTIF('唯一词标签'!$V$2:$V$1441,A430)</x:f>
        <x:v>1</x:v>
      </x:c>
      <x:c r="C430" s="55" t="n">
        <x:f>B430/COUNTA('唯一词标签'!$C$2:$C$1441)</x:f>
        <x:v>0.0006944444444444445</x:v>
      </x:c>
      <x:c r="D430" s="7" t="n">
        <x:f>COUNTIFS('唯一词标签'!$V$2:$V$1441,A430,'唯一词标签'!$Z$2:$Z$1441,"match")</x:f>
        <x:v>1</x:v>
      </x:c>
      <x:c r="E430" s="7" t="n">
        <x:f>COUNTIFS('唯一词标签'!$V$2:$V$1441,A430,'唯一词标签'!$Z$2:$Z$1441,"partial_match")</x:f>
        <x:v>0</x:v>
      </x:c>
      <x:c r="F430" s="7" t="n">
        <x:f>COUNTIFS('唯一词标签'!$V$2:$V$1441,A430,'唯一词标签'!$Z$2:$Z$1441,"mismatch")</x:f>
        <x:v>0</x:v>
      </x:c>
      <x:c r="G430" s="7" t="n">
        <x:f>COUNTIFS('唯一词标签'!$V$2:$V$1441,A430,'唯一词标签'!$Z$2:$Z$1441,"unknown")</x:f>
        <x:v>0</x:v>
      </x:c>
      <x:c r="H430" s="7" t="n">
        <x:f>COUNTIFS('唯一词标签'!$V$2:$V$1441,A430,'唯一词标签'!$U$2:$U$1441,"low")</x:f>
        <x:v>0</x:v>
      </x:c>
      <x:c r="I430" s="7" t="n">
        <x:f>COUNTIFS('唯一词标签'!$V$2:$V$1441,A430,'唯一词标签'!$AB$2:$AB$1441,"needs_review")</x:f>
        <x:v>0</x:v>
      </x:c>
    </x:row>
    <x:row r="431" ht="22" customHeight="1">
      <x:c r="A431" s="7" t="str">
        <x:v>joomra_arch_support_womens</x:v>
      </x:c>
      <x:c r="B431" s="7" t="n">
        <x:f>COUNTIF('唯一词标签'!$V$2:$V$1441,A431)</x:f>
        <x:v>1</x:v>
      </x:c>
      <x:c r="C431" s="55" t="n">
        <x:f>B431/COUNTA('唯一词标签'!$C$2:$C$1441)</x:f>
        <x:v>0.0006944444444444445</x:v>
      </x:c>
      <x:c r="D431" s="7" t="n">
        <x:f>COUNTIFS('唯一词标签'!$V$2:$V$1441,A431,'唯一词标签'!$Z$2:$Z$1441,"match")</x:f>
        <x:v>1</x:v>
      </x:c>
      <x:c r="E431" s="7" t="n">
        <x:f>COUNTIFS('唯一词标签'!$V$2:$V$1441,A431,'唯一词标签'!$Z$2:$Z$1441,"partial_match")</x:f>
        <x:v>0</x:v>
      </x:c>
      <x:c r="F431" s="7" t="n">
        <x:f>COUNTIFS('唯一词标签'!$V$2:$V$1441,A431,'唯一词标签'!$Z$2:$Z$1441,"mismatch")</x:f>
        <x:v>0</x:v>
      </x:c>
      <x:c r="G431" s="7" t="n">
        <x:f>COUNTIFS('唯一词标签'!$V$2:$V$1441,A431,'唯一词标签'!$Z$2:$Z$1441,"unknown")</x:f>
        <x:v>0</x:v>
      </x:c>
      <x:c r="H431" s="7" t="n">
        <x:f>COUNTIFS('唯一词标签'!$V$2:$V$1441,A431,'唯一词标签'!$U$2:$U$1441,"low")</x:f>
        <x:v>0</x:v>
      </x:c>
      <x:c r="I431" s="7" t="n">
        <x:f>COUNTIFS('唯一词标签'!$V$2:$V$1441,A431,'唯一词标签'!$AB$2:$AB$1441,"needs_review")</x:f>
        <x:v>1</x:v>
      </x:c>
    </x:row>
    <x:row r="432" ht="22" customHeight="1">
      <x:c r="A432" s="7" t="str">
        <x:v>joomra_brand</x:v>
      </x:c>
      <x:c r="B432" s="7" t="n">
        <x:f>COUNTIF('唯一词标签'!$V$2:$V$1441,A432)</x:f>
        <x:v>1</x:v>
      </x:c>
      <x:c r="C432" s="55" t="n">
        <x:f>B432/COUNTA('唯一词标签'!$C$2:$C$1441)</x:f>
        <x:v>0.0006944444444444445</x:v>
      </x:c>
      <x:c r="D432" s="7" t="n">
        <x:f>COUNTIFS('唯一词标签'!$V$2:$V$1441,A432,'唯一词标签'!$Z$2:$Z$1441,"match")</x:f>
        <x:v>1</x:v>
      </x:c>
      <x:c r="E432" s="7" t="n">
        <x:f>COUNTIFS('唯一词标签'!$V$2:$V$1441,A432,'唯一词标签'!$Z$2:$Z$1441,"partial_match")</x:f>
        <x:v>0</x:v>
      </x:c>
      <x:c r="F432" s="7" t="n">
        <x:f>COUNTIFS('唯一词标签'!$V$2:$V$1441,A432,'唯一词标签'!$Z$2:$Z$1441,"mismatch")</x:f>
        <x:v>0</x:v>
      </x:c>
      <x:c r="G432" s="7" t="n">
        <x:f>COUNTIFS('唯一词标签'!$V$2:$V$1441,A432,'唯一词标签'!$Z$2:$Z$1441,"unknown")</x:f>
        <x:v>0</x:v>
      </x:c>
      <x:c r="H432" s="7" t="n">
        <x:f>COUNTIFS('唯一词标签'!$V$2:$V$1441,A432,'唯一词标签'!$U$2:$U$1441,"low")</x:f>
        <x:v>0</x:v>
      </x:c>
      <x:c r="I432" s="7" t="n">
        <x:f>COUNTIFS('唯一词标签'!$V$2:$V$1441,A432,'唯一词标签'!$AB$2:$AB$1441,"needs_review")</x:f>
        <x:v>0</x:v>
      </x:c>
    </x:row>
    <x:row r="433" ht="22" customHeight="1">
      <x:c r="A433" s="7" t="str">
        <x:v>joomra_brand_arch_support</x:v>
      </x:c>
      <x:c r="B433" s="7" t="n">
        <x:f>COUNTIF('唯一词标签'!$V$2:$V$1441,A433)</x:f>
        <x:v>1</x:v>
      </x:c>
      <x:c r="C433" s="55" t="n">
        <x:f>B433/COUNTA('唯一词标签'!$C$2:$C$1441)</x:f>
        <x:v>0.0006944444444444445</x:v>
      </x:c>
      <x:c r="D433" s="7" t="n">
        <x:f>COUNTIFS('唯一词标签'!$V$2:$V$1441,A433,'唯一词标签'!$Z$2:$Z$1441,"match")</x:f>
        <x:v>1</x:v>
      </x:c>
      <x:c r="E433" s="7" t="n">
        <x:f>COUNTIFS('唯一词标签'!$V$2:$V$1441,A433,'唯一词标签'!$Z$2:$Z$1441,"partial_match")</x:f>
        <x:v>0</x:v>
      </x:c>
      <x:c r="F433" s="7" t="n">
        <x:f>COUNTIFS('唯一词标签'!$V$2:$V$1441,A433,'唯一词标签'!$Z$2:$Z$1441,"mismatch")</x:f>
        <x:v>0</x:v>
      </x:c>
      <x:c r="G433" s="7" t="n">
        <x:f>COUNTIFS('唯一词标签'!$V$2:$V$1441,A433,'唯一词标签'!$Z$2:$Z$1441,"unknown")</x:f>
        <x:v>0</x:v>
      </x:c>
      <x:c r="H433" s="7" t="n">
        <x:f>COUNTIFS('唯一词标签'!$V$2:$V$1441,A433,'唯一词标签'!$U$2:$U$1441,"low")</x:f>
        <x:v>0</x:v>
      </x:c>
      <x:c r="I433" s="7" t="n">
        <x:f>COUNTIFS('唯一词标签'!$V$2:$V$1441,A433,'唯一词标签'!$AB$2:$AB$1441,"needs_review")</x:f>
        <x:v>0</x:v>
      </x:c>
    </x:row>
    <x:row r="434" ht="22" customHeight="1">
      <x:c r="A434" s="7" t="str">
        <x:v>joomra_brand_flip_flop</x:v>
      </x:c>
      <x:c r="B434" s="7" t="n">
        <x:f>COUNTIF('唯一词标签'!$V$2:$V$1441,A434)</x:f>
        <x:v>1</x:v>
      </x:c>
      <x:c r="C434" s="55" t="n">
        <x:f>B434/COUNTA('唯一词标签'!$C$2:$C$1441)</x:f>
        <x:v>0.0006944444444444445</x:v>
      </x:c>
      <x:c r="D434" s="7" t="n">
        <x:f>COUNTIFS('唯一词标签'!$V$2:$V$1441,A434,'唯一词标签'!$Z$2:$Z$1441,"match")</x:f>
        <x:v>1</x:v>
      </x:c>
      <x:c r="E434" s="7" t="n">
        <x:f>COUNTIFS('唯一词标签'!$V$2:$V$1441,A434,'唯一词标签'!$Z$2:$Z$1441,"partial_match")</x:f>
        <x:v>0</x:v>
      </x:c>
      <x:c r="F434" s="7" t="n">
        <x:f>COUNTIFS('唯一词标签'!$V$2:$V$1441,A434,'唯一词标签'!$Z$2:$Z$1441,"mismatch")</x:f>
        <x:v>0</x:v>
      </x:c>
      <x:c r="G434" s="7" t="n">
        <x:f>COUNTIFS('唯一词标签'!$V$2:$V$1441,A434,'唯一词标签'!$Z$2:$Z$1441,"unknown")</x:f>
        <x:v>0</x:v>
      </x:c>
      <x:c r="H434" s="7" t="n">
        <x:f>COUNTIFS('唯一词标签'!$V$2:$V$1441,A434,'唯一词标签'!$U$2:$U$1441,"low")</x:f>
        <x:v>0</x:v>
      </x:c>
      <x:c r="I434" s="7" t="n">
        <x:f>COUNTIFS('唯一词标签'!$V$2:$V$1441,A434,'唯一词标签'!$AB$2:$AB$1441,"needs_review")</x:f>
        <x:v>0</x:v>
      </x:c>
    </x:row>
    <x:row r="435" ht="22" customHeight="1">
      <x:c r="A435" s="7" t="str">
        <x:v>joomra_brand_search</x:v>
      </x:c>
      <x:c r="B435" s="7" t="n">
        <x:f>COUNTIF('唯一词标签'!$V$2:$V$1441,A435)</x:f>
        <x:v>1</x:v>
      </x:c>
      <x:c r="C435" s="55" t="n">
        <x:f>B435/COUNTA('唯一词标签'!$C$2:$C$1441)</x:f>
        <x:v>0.0006944444444444445</x:v>
      </x:c>
      <x:c r="D435" s="7" t="n">
        <x:f>COUNTIFS('唯一词标签'!$V$2:$V$1441,A435,'唯一词标签'!$Z$2:$Z$1441,"match")</x:f>
        <x:v>1</x:v>
      </x:c>
      <x:c r="E435" s="7" t="n">
        <x:f>COUNTIFS('唯一词标签'!$V$2:$V$1441,A435,'唯一词标签'!$Z$2:$Z$1441,"partial_match")</x:f>
        <x:v>0</x:v>
      </x:c>
      <x:c r="F435" s="7" t="n">
        <x:f>COUNTIFS('唯一词标签'!$V$2:$V$1441,A435,'唯一词标签'!$Z$2:$Z$1441,"mismatch")</x:f>
        <x:v>0</x:v>
      </x:c>
      <x:c r="G435" s="7" t="n">
        <x:f>COUNTIFS('唯一词标签'!$V$2:$V$1441,A435,'唯一词标签'!$Z$2:$Z$1441,"unknown")</x:f>
        <x:v>0</x:v>
      </x:c>
      <x:c r="H435" s="7" t="n">
        <x:f>COUNTIFS('唯一词标签'!$V$2:$V$1441,A435,'唯一词标签'!$U$2:$U$1441,"low")</x:f>
        <x:v>0</x:v>
      </x:c>
      <x:c r="I435" s="7" t="n">
        <x:f>COUNTIFS('唯一词标签'!$V$2:$V$1441,A435,'唯一词标签'!$AB$2:$AB$1441,"needs_review")</x:f>
        <x:v>0</x:v>
      </x:c>
    </x:row>
    <x:row r="436" ht="22" customHeight="1">
      <x:c r="A436" s="7" t="str">
        <x:v>joomra_brand_women</x:v>
      </x:c>
      <x:c r="B436" s="7" t="n">
        <x:f>COUNTIF('唯一词标签'!$V$2:$V$1441,A436)</x:f>
        <x:v>1</x:v>
      </x:c>
      <x:c r="C436" s="55" t="n">
        <x:f>B436/COUNTA('唯一词标签'!$C$2:$C$1441)</x:f>
        <x:v>0.0006944444444444445</x:v>
      </x:c>
      <x:c r="D436" s="7" t="n">
        <x:f>COUNTIFS('唯一词标签'!$V$2:$V$1441,A436,'唯一词标签'!$Z$2:$Z$1441,"match")</x:f>
        <x:v>1</x:v>
      </x:c>
      <x:c r="E436" s="7" t="n">
        <x:f>COUNTIFS('唯一词标签'!$V$2:$V$1441,A436,'唯一词标签'!$Z$2:$Z$1441,"partial_match")</x:f>
        <x:v>0</x:v>
      </x:c>
      <x:c r="F436" s="7" t="n">
        <x:f>COUNTIFS('唯一词标签'!$V$2:$V$1441,A436,'唯一词标签'!$Z$2:$Z$1441,"mismatch")</x:f>
        <x:v>0</x:v>
      </x:c>
      <x:c r="G436" s="7" t="n">
        <x:f>COUNTIFS('唯一词标签'!$V$2:$V$1441,A436,'唯一词标签'!$Z$2:$Z$1441,"unknown")</x:f>
        <x:v>0</x:v>
      </x:c>
      <x:c r="H436" s="7" t="n">
        <x:f>COUNTIFS('唯一词标签'!$V$2:$V$1441,A436,'唯一词标签'!$U$2:$U$1441,"low")</x:f>
        <x:v>0</x:v>
      </x:c>
      <x:c r="I436" s="7" t="n">
        <x:f>COUNTIFS('唯一词标签'!$V$2:$V$1441,A436,'唯一词标签'!$AB$2:$AB$1441,"needs_review")</x:f>
        <x:v>0</x:v>
      </x:c>
    </x:row>
    <x:row r="437" ht="22" customHeight="1">
      <x:c r="A437" s="7" t="str">
        <x:v>joomra_women_arch_flip_flops</x:v>
      </x:c>
      <x:c r="B437" s="7" t="n">
        <x:f>COUNTIF('唯一词标签'!$V$2:$V$1441,A437)</x:f>
        <x:v>1</x:v>
      </x:c>
      <x:c r="C437" s="55" t="n">
        <x:f>B437/COUNTA('唯一词标签'!$C$2:$C$1441)</x:f>
        <x:v>0.0006944444444444445</x:v>
      </x:c>
      <x:c r="D437" s="7" t="n">
        <x:f>COUNTIFS('唯一词标签'!$V$2:$V$1441,A437,'唯一词标签'!$Z$2:$Z$1441,"match")</x:f>
        <x:v>1</x:v>
      </x:c>
      <x:c r="E437" s="7" t="n">
        <x:f>COUNTIFS('唯一词标签'!$V$2:$V$1441,A437,'唯一词标签'!$Z$2:$Z$1441,"partial_match")</x:f>
        <x:v>0</x:v>
      </x:c>
      <x:c r="F437" s="7" t="n">
        <x:f>COUNTIFS('唯一词标签'!$V$2:$V$1441,A437,'唯一词标签'!$Z$2:$Z$1441,"mismatch")</x:f>
        <x:v>0</x:v>
      </x:c>
      <x:c r="G437" s="7" t="n">
        <x:f>COUNTIFS('唯一词标签'!$V$2:$V$1441,A437,'唯一词标签'!$Z$2:$Z$1441,"unknown")</x:f>
        <x:v>0</x:v>
      </x:c>
      <x:c r="H437" s="7" t="n">
        <x:f>COUNTIFS('唯一词标签'!$V$2:$V$1441,A437,'唯一词标签'!$U$2:$U$1441,"low")</x:f>
        <x:v>0</x:v>
      </x:c>
      <x:c r="I437" s="7" t="n">
        <x:f>COUNTIFS('唯一词标签'!$V$2:$V$1441,A437,'唯一词标签'!$AB$2:$AB$1441,"needs_review")</x:f>
        <x:v>0</x:v>
      </x:c>
    </x:row>
    <x:row r="438" ht="22" customHeight="1">
      <x:c r="A438" s="7" t="str">
        <x:v>joomra_womens_arch_support_flip_flops</x:v>
      </x:c>
      <x:c r="B438" s="7" t="n">
        <x:f>COUNTIF('唯一词标签'!$V$2:$V$1441,A438)</x:f>
        <x:v>2</x:v>
      </x:c>
      <x:c r="C438" s="55" t="n">
        <x:f>B438/COUNTA('唯一词标签'!$C$2:$C$1441)</x:f>
        <x:v>0.001388888888888889</x:v>
      </x:c>
      <x:c r="D438" s="7" t="n">
        <x:f>COUNTIFS('唯一词标签'!$V$2:$V$1441,A438,'唯一词标签'!$Z$2:$Z$1441,"match")</x:f>
        <x:v>1</x:v>
      </x:c>
      <x:c r="E438" s="7" t="n">
        <x:f>COUNTIFS('唯一词标签'!$V$2:$V$1441,A438,'唯一词标签'!$Z$2:$Z$1441,"partial_match")</x:f>
        <x:v>1</x:v>
      </x:c>
      <x:c r="F438" s="7" t="n">
        <x:f>COUNTIFS('唯一词标签'!$V$2:$V$1441,A438,'唯一词标签'!$Z$2:$Z$1441,"mismatch")</x:f>
        <x:v>0</x:v>
      </x:c>
      <x:c r="G438" s="7" t="n">
        <x:f>COUNTIFS('唯一词标签'!$V$2:$V$1441,A438,'唯一词标签'!$Z$2:$Z$1441,"unknown")</x:f>
        <x:v>0</x:v>
      </x:c>
      <x:c r="H438" s="7" t="n">
        <x:f>COUNTIFS('唯一词标签'!$V$2:$V$1441,A438,'唯一词标签'!$U$2:$U$1441,"low")</x:f>
        <x:v>0</x:v>
      </x:c>
      <x:c r="I438" s="7" t="n">
        <x:f>COUNTIFS('唯一词标签'!$V$2:$V$1441,A438,'唯一词标签'!$AB$2:$AB$1441,"needs_review")</x:f>
        <x:v>0</x:v>
      </x:c>
    </x:row>
    <x:row r="439" ht="22" customHeight="1">
      <x:c r="A439" s="7" t="str">
        <x:v>joomra_womens_flip_flops</x:v>
      </x:c>
      <x:c r="B439" s="7" t="n">
        <x:f>COUNTIF('唯一词标签'!$V$2:$V$1441,A439)</x:f>
        <x:v>2</x:v>
      </x:c>
      <x:c r="C439" s="55" t="n">
        <x:f>B439/COUNTA('唯一词标签'!$C$2:$C$1441)</x:f>
        <x:v>0.001388888888888889</x:v>
      </x:c>
      <x:c r="D439" s="7" t="n">
        <x:f>COUNTIFS('唯一词标签'!$V$2:$V$1441,A439,'唯一词标签'!$Z$2:$Z$1441,"match")</x:f>
        <x:v>2</x:v>
      </x:c>
      <x:c r="E439" s="7" t="n">
        <x:f>COUNTIFS('唯一词标签'!$V$2:$V$1441,A439,'唯一词标签'!$Z$2:$Z$1441,"partial_match")</x:f>
        <x:v>0</x:v>
      </x:c>
      <x:c r="F439" s="7" t="n">
        <x:f>COUNTIFS('唯一词标签'!$V$2:$V$1441,A439,'唯一词标签'!$Z$2:$Z$1441,"mismatch")</x:f>
        <x:v>0</x:v>
      </x:c>
      <x:c r="G439" s="7" t="n">
        <x:f>COUNTIFS('唯一词标签'!$V$2:$V$1441,A439,'唯一词标签'!$Z$2:$Z$1441,"unknown")</x:f>
        <x:v>0</x:v>
      </x:c>
      <x:c r="H439" s="7" t="n">
        <x:f>COUNTIFS('唯一词标签'!$V$2:$V$1441,A439,'唯一词标签'!$U$2:$U$1441,"low")</x:f>
        <x:v>0</x:v>
      </x:c>
      <x:c r="I439" s="7" t="n">
        <x:f>COUNTIFS('唯一词标签'!$V$2:$V$1441,A439,'唯一词标签'!$AB$2:$AB$1441,"needs_review")</x:f>
        <x:v>0</x:v>
      </x:c>
    </x:row>
    <x:row r="440" ht="22" customHeight="1">
      <x:c r="A440" s="7" t="str">
        <x:v>joomra_womens_sandals</x:v>
      </x:c>
      <x:c r="B440" s="7" t="n">
        <x:f>COUNTIF('唯一词标签'!$V$2:$V$1441,A440)</x:f>
        <x:v>1</x:v>
      </x:c>
      <x:c r="C440" s="55" t="n">
        <x:f>B440/COUNTA('唯一词标签'!$C$2:$C$1441)</x:f>
        <x:v>0.0006944444444444445</x:v>
      </x:c>
      <x:c r="D440" s="7" t="n">
        <x:f>COUNTIFS('唯一词标签'!$V$2:$V$1441,A440,'唯一词标签'!$Z$2:$Z$1441,"match")</x:f>
        <x:v>1</x:v>
      </x:c>
      <x:c r="E440" s="7" t="n">
        <x:f>COUNTIFS('唯一词标签'!$V$2:$V$1441,A440,'唯一词标签'!$Z$2:$Z$1441,"partial_match")</x:f>
        <x:v>0</x:v>
      </x:c>
      <x:c r="F440" s="7" t="n">
        <x:f>COUNTIFS('唯一词标签'!$V$2:$V$1441,A440,'唯一词标签'!$Z$2:$Z$1441,"mismatch")</x:f>
        <x:v>0</x:v>
      </x:c>
      <x:c r="G440" s="7" t="n">
        <x:f>COUNTIFS('唯一词标签'!$V$2:$V$1441,A440,'唯一词标签'!$Z$2:$Z$1441,"unknown")</x:f>
        <x:v>0</x:v>
      </x:c>
      <x:c r="H440" s="7" t="n">
        <x:f>COUNTIFS('唯一词标签'!$V$2:$V$1441,A440,'唯一词标签'!$U$2:$U$1441,"low")</x:f>
        <x:v>0</x:v>
      </x:c>
      <x:c r="I440" s="7" t="n">
        <x:f>COUNTIFS('唯一词标签'!$V$2:$V$1441,A440,'唯一词标签'!$AB$2:$AB$1441,"needs_review")</x:f>
        <x:v>0</x:v>
      </x:c>
    </x:row>
    <x:row r="441" ht="22" customHeight="1">
      <x:c r="A441" s="7" t="str">
        <x:v>kidmi_brand_arch_support_flip_flops</x:v>
      </x:c>
      <x:c r="B441" s="7" t="n">
        <x:f>COUNTIF('唯一词标签'!$V$2:$V$1441,A441)</x:f>
        <x:v>1</x:v>
      </x:c>
      <x:c r="C441" s="55" t="n">
        <x:f>B441/COUNTA('唯一词标签'!$C$2:$C$1441)</x:f>
        <x:v>0.0006944444444444445</x:v>
      </x:c>
      <x:c r="D441" s="7" t="n">
        <x:f>COUNTIFS('唯一词标签'!$V$2:$V$1441,A441,'唯一词标签'!$Z$2:$Z$1441,"match")</x:f>
        <x:v>0</x:v>
      </x:c>
      <x:c r="E441" s="7" t="n">
        <x:f>COUNTIFS('唯一词标签'!$V$2:$V$1441,A441,'唯一词标签'!$Z$2:$Z$1441,"partial_match")</x:f>
        <x:v>0</x:v>
      </x:c>
      <x:c r="F441" s="7" t="n">
        <x:f>COUNTIFS('唯一词标签'!$V$2:$V$1441,A441,'唯一词标签'!$Z$2:$Z$1441,"mismatch")</x:f>
        <x:v>1</x:v>
      </x:c>
      <x:c r="G441" s="7" t="n">
        <x:f>COUNTIFS('唯一词标签'!$V$2:$V$1441,A441,'唯一词标签'!$Z$2:$Z$1441,"unknown")</x:f>
        <x:v>0</x:v>
      </x:c>
      <x:c r="H441" s="7" t="n">
        <x:f>COUNTIFS('唯一词标签'!$V$2:$V$1441,A441,'唯一词标签'!$U$2:$U$1441,"low")</x:f>
        <x:v>0</x:v>
      </x:c>
      <x:c r="I441" s="7" t="n">
        <x:f>COUNTIFS('唯一词标签'!$V$2:$V$1441,A441,'唯一词标签'!$AB$2:$AB$1441,"needs_review")</x:f>
        <x:v>1</x:v>
      </x:c>
    </x:row>
    <x:row r="442" ht="22" customHeight="1">
      <x:c r="A442" s="7" t="str">
        <x:v>kidmi_flip_flops_women</x:v>
      </x:c>
      <x:c r="B442" s="7" t="n">
        <x:f>COUNTIF('唯一词标签'!$V$2:$V$1441,A442)</x:f>
        <x:v>1</x:v>
      </x:c>
      <x:c r="C442" s="55" t="n">
        <x:f>B442/COUNTA('唯一词标签'!$C$2:$C$1441)</x:f>
        <x:v>0.0006944444444444445</x:v>
      </x:c>
      <x:c r="D442" s="7" t="n">
        <x:f>COUNTIFS('唯一词标签'!$V$2:$V$1441,A442,'唯一词标签'!$Z$2:$Z$1441,"match")</x:f>
        <x:v>0</x:v>
      </x:c>
      <x:c r="E442" s="7" t="n">
        <x:f>COUNTIFS('唯一词标签'!$V$2:$V$1441,A442,'唯一词标签'!$Z$2:$Z$1441,"partial_match")</x:f>
        <x:v>0</x:v>
      </x:c>
      <x:c r="F442" s="7" t="n">
        <x:f>COUNTIFS('唯一词标签'!$V$2:$V$1441,A442,'唯一词标签'!$Z$2:$Z$1441,"mismatch")</x:f>
        <x:v>1</x:v>
      </x:c>
      <x:c r="G442" s="7" t="n">
        <x:f>COUNTIFS('唯一词标签'!$V$2:$V$1441,A442,'唯一词标签'!$Z$2:$Z$1441,"unknown")</x:f>
        <x:v>0</x:v>
      </x:c>
      <x:c r="H442" s="7" t="n">
        <x:f>COUNTIFS('唯一词标签'!$V$2:$V$1441,A442,'唯一词标签'!$U$2:$U$1441,"low")</x:f>
        <x:v>0</x:v>
      </x:c>
      <x:c r="I442" s="7" t="n">
        <x:f>COUNTIFS('唯一词标签'!$V$2:$V$1441,A442,'唯一词标签'!$AB$2:$AB$1441,"needs_review")</x:f>
        <x:v>0</x:v>
      </x:c>
    </x:row>
    <x:row r="443" ht="22" customHeight="1">
      <x:c r="A443" s="7" t="str">
        <x:v>kidmi_flip_flops_women_arch_support</x:v>
      </x:c>
      <x:c r="B443" s="7" t="n">
        <x:f>COUNTIF('唯一词标签'!$V$2:$V$1441,A443)</x:f>
        <x:v>1</x:v>
      </x:c>
      <x:c r="C443" s="55" t="n">
        <x:f>B443/COUNTA('唯一词标签'!$C$2:$C$1441)</x:f>
        <x:v>0.0006944444444444445</x:v>
      </x:c>
      <x:c r="D443" s="7" t="n">
        <x:f>COUNTIFS('唯一词标签'!$V$2:$V$1441,A443,'唯一词标签'!$Z$2:$Z$1441,"match")</x:f>
        <x:v>0</x:v>
      </x:c>
      <x:c r="E443" s="7" t="n">
        <x:f>COUNTIFS('唯一词标签'!$V$2:$V$1441,A443,'唯一词标签'!$Z$2:$Z$1441,"partial_match")</x:f>
        <x:v>0</x:v>
      </x:c>
      <x:c r="F443" s="7" t="n">
        <x:f>COUNTIFS('唯一词标签'!$V$2:$V$1441,A443,'唯一词标签'!$Z$2:$Z$1441,"mismatch")</x:f>
        <x:v>1</x:v>
      </x:c>
      <x:c r="G443" s="7" t="n">
        <x:f>COUNTIFS('唯一词标签'!$V$2:$V$1441,A443,'唯一词标签'!$Z$2:$Z$1441,"unknown")</x:f>
        <x:v>0</x:v>
      </x:c>
      <x:c r="H443" s="7" t="n">
        <x:f>COUNTIFS('唯一词标签'!$V$2:$V$1441,A443,'唯一词标签'!$U$2:$U$1441,"low")</x:f>
        <x:v>0</x:v>
      </x:c>
      <x:c r="I443" s="7" t="n">
        <x:f>COUNTIFS('唯一词标签'!$V$2:$V$1441,A443,'唯一词标签'!$AB$2:$AB$1441,"needs_review")</x:f>
        <x:v>0</x:v>
      </x:c>
    </x:row>
    <x:row r="444" ht="22" customHeight="1">
      <x:c r="A444" s="7" t="str">
        <x:v>kids_flip_flops</x:v>
      </x:c>
      <x:c r="B444" s="7" t="n">
        <x:f>COUNTIF('唯一词标签'!$V$2:$V$1441,A444)</x:f>
        <x:v>1</x:v>
      </x:c>
      <x:c r="C444" s="55" t="n">
        <x:f>B444/COUNTA('唯一词标签'!$C$2:$C$1441)</x:f>
        <x:v>0.0006944444444444445</x:v>
      </x:c>
      <x:c r="D444" s="7" t="n">
        <x:f>COUNTIFS('唯一词标签'!$V$2:$V$1441,A444,'唯一词标签'!$Z$2:$Z$1441,"match")</x:f>
        <x:v>0</x:v>
      </x:c>
      <x:c r="E444" s="7" t="n">
        <x:f>COUNTIFS('唯一词标签'!$V$2:$V$1441,A444,'唯一词标签'!$Z$2:$Z$1441,"partial_match")</x:f>
        <x:v>0</x:v>
      </x:c>
      <x:c r="F444" s="7" t="n">
        <x:f>COUNTIFS('唯一词标签'!$V$2:$V$1441,A444,'唯一词标签'!$Z$2:$Z$1441,"mismatch")</x:f>
        <x:v>1</x:v>
      </x:c>
      <x:c r="G444" s="7" t="n">
        <x:f>COUNTIFS('唯一词标签'!$V$2:$V$1441,A444,'唯一词标签'!$Z$2:$Z$1441,"unknown")</x:f>
        <x:v>0</x:v>
      </x:c>
      <x:c r="H444" s="7" t="n">
        <x:f>COUNTIFS('唯一词标签'!$V$2:$V$1441,A444,'唯一词标签'!$U$2:$U$1441,"low")</x:f>
        <x:v>0</x:v>
      </x:c>
      <x:c r="I444" s="7" t="n">
        <x:f>COUNTIFS('唯一词标签'!$V$2:$V$1441,A444,'唯一词标签'!$AB$2:$AB$1441,"needs_review")</x:f>
        <x:v>0</x:v>
      </x:c>
    </x:row>
    <x:row r="445" ht="22" customHeight="1">
      <x:c r="A445" s="7" t="str">
        <x:v>koazzi_flip_flops</x:v>
      </x:c>
      <x:c r="B445" s="7" t="n">
        <x:f>COUNTIF('唯一词标签'!$V$2:$V$1441,A445)</x:f>
        <x:v>1</x:v>
      </x:c>
      <x:c r="C445" s="55" t="n">
        <x:f>B445/COUNTA('唯一词标签'!$C$2:$C$1441)</x:f>
        <x:v>0.0006944444444444445</x:v>
      </x:c>
      <x:c r="D445" s="7" t="n">
        <x:f>COUNTIFS('唯一词标签'!$V$2:$V$1441,A445,'唯一词标签'!$Z$2:$Z$1441,"match")</x:f>
        <x:v>0</x:v>
      </x:c>
      <x:c r="E445" s="7" t="n">
        <x:f>COUNTIFS('唯一词标签'!$V$2:$V$1441,A445,'唯一词标签'!$Z$2:$Z$1441,"partial_match")</x:f>
        <x:v>0</x:v>
      </x:c>
      <x:c r="F445" s="7" t="n">
        <x:f>COUNTIFS('唯一词标签'!$V$2:$V$1441,A445,'唯一词标签'!$Z$2:$Z$1441,"mismatch")</x:f>
        <x:v>1</x:v>
      </x:c>
      <x:c r="G445" s="7" t="n">
        <x:f>COUNTIFS('唯一词标签'!$V$2:$V$1441,A445,'唯一词标签'!$Z$2:$Z$1441,"unknown")</x:f>
        <x:v>0</x:v>
      </x:c>
      <x:c r="H445" s="7" t="n">
        <x:f>COUNTIFS('唯一词标签'!$V$2:$V$1441,A445,'唯一词标签'!$U$2:$U$1441,"low")</x:f>
        <x:v>0</x:v>
      </x:c>
      <x:c r="I445" s="7" t="n">
        <x:f>COUNTIFS('唯一词标签'!$V$2:$V$1441,A445,'唯一词标签'!$AB$2:$AB$1441,"needs_review")</x:f>
        <x:v>0</x:v>
      </x:c>
    </x:row>
    <x:row r="446" ht="22" customHeight="1">
      <x:c r="A446" s="7" t="str">
        <x:v>kuailu_brand_womens_flip_flops</x:v>
      </x:c>
      <x:c r="B446" s="7" t="n">
        <x:f>COUNTIF('唯一词标签'!$V$2:$V$1441,A446)</x:f>
        <x:v>1</x:v>
      </x:c>
      <x:c r="C446" s="55" t="n">
        <x:f>B446/COUNTA('唯一词标签'!$C$2:$C$1441)</x:f>
        <x:v>0.0006944444444444445</x:v>
      </x:c>
      <x:c r="D446" s="7" t="n">
        <x:f>COUNTIFS('唯一词标签'!$V$2:$V$1441,A446,'唯一词标签'!$Z$2:$Z$1441,"match")</x:f>
        <x:v>0</x:v>
      </x:c>
      <x:c r="E446" s="7" t="n">
        <x:f>COUNTIFS('唯一词标签'!$V$2:$V$1441,A446,'唯一词标签'!$Z$2:$Z$1441,"partial_match")</x:f>
        <x:v>0</x:v>
      </x:c>
      <x:c r="F446" s="7" t="n">
        <x:f>COUNTIFS('唯一词标签'!$V$2:$V$1441,A446,'唯一词标签'!$Z$2:$Z$1441,"mismatch")</x:f>
        <x:v>1</x:v>
      </x:c>
      <x:c r="G446" s="7" t="n">
        <x:f>COUNTIFS('唯一词标签'!$V$2:$V$1441,A446,'唯一词标签'!$Z$2:$Z$1441,"unknown")</x:f>
        <x:v>0</x:v>
      </x:c>
      <x:c r="H446" s="7" t="n">
        <x:f>COUNTIFS('唯一词标签'!$V$2:$V$1441,A446,'唯一词标签'!$U$2:$U$1441,"low")</x:f>
        <x:v>0</x:v>
      </x:c>
      <x:c r="I446" s="7" t="n">
        <x:f>COUNTIFS('唯一词标签'!$V$2:$V$1441,A446,'唯一词标签'!$AB$2:$AB$1441,"needs_review")</x:f>
        <x:v>0</x:v>
      </x:c>
    </x:row>
    <x:row r="447" ht="22" customHeight="1">
      <x:c r="A447" s="7" t="str">
        <x:v>ladies_clearance_flip_flops</x:v>
      </x:c>
      <x:c r="B447" s="7" t="n">
        <x:f>COUNTIF('唯一词标签'!$V$2:$V$1441,A447)</x:f>
        <x:v>1</x:v>
      </x:c>
      <x:c r="C447" s="55" t="n">
        <x:f>B447/COUNTA('唯一词标签'!$C$2:$C$1441)</x:f>
        <x:v>0.0006944444444444445</x:v>
      </x:c>
      <x:c r="D447" s="7" t="n">
        <x:f>COUNTIFS('唯一词标签'!$V$2:$V$1441,A447,'唯一词标签'!$Z$2:$Z$1441,"match")</x:f>
        <x:v>0</x:v>
      </x:c>
      <x:c r="E447" s="7" t="n">
        <x:f>COUNTIFS('唯一词标签'!$V$2:$V$1441,A447,'唯一词标签'!$Z$2:$Z$1441,"partial_match")</x:f>
        <x:v>1</x:v>
      </x:c>
      <x:c r="F447" s="7" t="n">
        <x:f>COUNTIFS('唯一词标签'!$V$2:$V$1441,A447,'唯一词标签'!$Z$2:$Z$1441,"mismatch")</x:f>
        <x:v>0</x:v>
      </x:c>
      <x:c r="G447" s="7" t="n">
        <x:f>COUNTIFS('唯一词标签'!$V$2:$V$1441,A447,'唯一词标签'!$Z$2:$Z$1441,"unknown")</x:f>
        <x:v>0</x:v>
      </x:c>
      <x:c r="H447" s="7" t="n">
        <x:f>COUNTIFS('唯一词标签'!$V$2:$V$1441,A447,'唯一词标签'!$U$2:$U$1441,"low")</x:f>
        <x:v>0</x:v>
      </x:c>
      <x:c r="I447" s="7" t="n">
        <x:f>COUNTIFS('唯一词标签'!$V$2:$V$1441,A447,'唯一词标签'!$AB$2:$AB$1441,"needs_review")</x:f>
        <x:v>0</x:v>
      </x:c>
    </x:row>
    <x:row r="448" ht="22" customHeight="1">
      <x:c r="A448" s="7" t="str">
        <x:v>ladies_flip_flops_size</x:v>
      </x:c>
      <x:c r="B448" s="7" t="n">
        <x:f>COUNTIF('唯一词标签'!$V$2:$V$1441,A448)</x:f>
        <x:v>1</x:v>
      </x:c>
      <x:c r="C448" s="55" t="n">
        <x:f>B448/COUNTA('唯一词标签'!$C$2:$C$1441)</x:f>
        <x:v>0.0006944444444444445</x:v>
      </x:c>
      <x:c r="D448" s="7" t="n">
        <x:f>COUNTIFS('唯一词标签'!$V$2:$V$1441,A448,'唯一词标签'!$Z$2:$Z$1441,"match")</x:f>
        <x:v>1</x:v>
      </x:c>
      <x:c r="E448" s="7" t="n">
        <x:f>COUNTIFS('唯一词标签'!$V$2:$V$1441,A448,'唯一词标签'!$Z$2:$Z$1441,"partial_match")</x:f>
        <x:v>0</x:v>
      </x:c>
      <x:c r="F448" s="7" t="n">
        <x:f>COUNTIFS('唯一词标签'!$V$2:$V$1441,A448,'唯一词标签'!$Z$2:$Z$1441,"mismatch")</x:f>
        <x:v>0</x:v>
      </x:c>
      <x:c r="G448" s="7" t="n">
        <x:f>COUNTIFS('唯一词标签'!$V$2:$V$1441,A448,'唯一词标签'!$Z$2:$Z$1441,"unknown")</x:f>
        <x:v>0</x:v>
      </x:c>
      <x:c r="H448" s="7" t="n">
        <x:f>COUNTIFS('唯一词标签'!$V$2:$V$1441,A448,'唯一词标签'!$U$2:$U$1441,"low")</x:f>
        <x:v>0</x:v>
      </x:c>
      <x:c r="I448" s="7" t="n">
        <x:f>COUNTIFS('唯一词标签'!$V$2:$V$1441,A448,'唯一词标签'!$AB$2:$AB$1441,"needs_review")</x:f>
        <x:v>0</x:v>
      </x:c>
    </x:row>
    <x:row r="449" ht="22" customHeight="1">
      <x:c r="A449" s="7" t="str">
        <x:v>lavau_womens_flip_flops</x:v>
      </x:c>
      <x:c r="B449" s="7" t="n">
        <x:f>COUNTIF('唯一词标签'!$V$2:$V$1441,A449)</x:f>
        <x:v>1</x:v>
      </x:c>
      <x:c r="C449" s="55" t="n">
        <x:f>B449/COUNTA('唯一词标签'!$C$2:$C$1441)</x:f>
        <x:v>0.0006944444444444445</x:v>
      </x:c>
      <x:c r="D449" s="7" t="n">
        <x:f>COUNTIFS('唯一词标签'!$V$2:$V$1441,A449,'唯一词标签'!$Z$2:$Z$1441,"match")</x:f>
        <x:v>0</x:v>
      </x:c>
      <x:c r="E449" s="7" t="n">
        <x:f>COUNTIFS('唯一词标签'!$V$2:$V$1441,A449,'唯一词标签'!$Z$2:$Z$1441,"partial_match")</x:f>
        <x:v>1</x:v>
      </x:c>
      <x:c r="F449" s="7" t="n">
        <x:f>COUNTIFS('唯一词标签'!$V$2:$V$1441,A449,'唯一词标签'!$Z$2:$Z$1441,"mismatch")</x:f>
        <x:v>0</x:v>
      </x:c>
      <x:c r="G449" s="7" t="n">
        <x:f>COUNTIFS('唯一词标签'!$V$2:$V$1441,A449,'唯一词标签'!$Z$2:$Z$1441,"unknown")</x:f>
        <x:v>0</x:v>
      </x:c>
      <x:c r="H449" s="7" t="n">
        <x:f>COUNTIFS('唯一词标签'!$V$2:$V$1441,A449,'唯一词标签'!$U$2:$U$1441,"low")</x:f>
        <x:v>0</x:v>
      </x:c>
      <x:c r="I449" s="7" t="n">
        <x:f>COUNTIFS('唯一词标签'!$V$2:$V$1441,A449,'唯一词标签'!$AB$2:$AB$1441,"needs_review")</x:f>
        <x:v>0</x:v>
      </x:c>
    </x:row>
    <x:row r="450" ht="22" customHeight="1">
      <x:c r="A450" s="7" t="str">
        <x:v>lavender_eva_flip_flops</x:v>
      </x:c>
      <x:c r="B450" s="7" t="n">
        <x:f>COUNTIF('唯一词标签'!$V$2:$V$1441,A450)</x:f>
        <x:v>1</x:v>
      </x:c>
      <x:c r="C450" s="55" t="n">
        <x:f>B450/COUNTA('唯一词标签'!$C$2:$C$1441)</x:f>
        <x:v>0.0006944444444444445</x:v>
      </x:c>
      <x:c r="D450" s="7" t="n">
        <x:f>COUNTIFS('唯一词标签'!$V$2:$V$1441,A450,'唯一词标签'!$Z$2:$Z$1441,"match")</x:f>
        <x:v>0</x:v>
      </x:c>
      <x:c r="E450" s="7" t="n">
        <x:f>COUNTIFS('唯一词标签'!$V$2:$V$1441,A450,'唯一词标签'!$Z$2:$Z$1441,"partial_match")</x:f>
        <x:v>1</x:v>
      </x:c>
      <x:c r="F450" s="7" t="n">
        <x:f>COUNTIFS('唯一词标签'!$V$2:$V$1441,A450,'唯一词标签'!$Z$2:$Z$1441,"mismatch")</x:f>
        <x:v>0</x:v>
      </x:c>
      <x:c r="G450" s="7" t="n">
        <x:f>COUNTIFS('唯一词标签'!$V$2:$V$1441,A450,'唯一词标签'!$Z$2:$Z$1441,"unknown")</x:f>
        <x:v>0</x:v>
      </x:c>
      <x:c r="H450" s="7" t="n">
        <x:f>COUNTIFS('唯一词标签'!$V$2:$V$1441,A450,'唯一词标签'!$U$2:$U$1441,"low")</x:f>
        <x:v>0</x:v>
      </x:c>
      <x:c r="I450" s="7" t="n">
        <x:f>COUNTIFS('唯一词标签'!$V$2:$V$1441,A450,'唯一词标签'!$AB$2:$AB$1441,"needs_review")</x:f>
        <x:v>0</x:v>
      </x:c>
    </x:row>
    <x:row r="451" ht="22" customHeight="1">
      <x:c r="A451" s="7" t="str">
        <x:v>leather_flip_flops_women</x:v>
      </x:c>
      <x:c r="B451" s="7" t="n">
        <x:f>COUNTIF('唯一词标签'!$V$2:$V$1441,A451)</x:f>
        <x:v>1</x:v>
      </x:c>
      <x:c r="C451" s="55" t="n">
        <x:f>B451/COUNTA('唯一词标签'!$C$2:$C$1441)</x:f>
        <x:v>0.0006944444444444445</x:v>
      </x:c>
      <x:c r="D451" s="7" t="n">
        <x:f>COUNTIFS('唯一词标签'!$V$2:$V$1441,A451,'唯一词标签'!$Z$2:$Z$1441,"match")</x:f>
        <x:v>0</x:v>
      </x:c>
      <x:c r="E451" s="7" t="n">
        <x:f>COUNTIFS('唯一词标签'!$V$2:$V$1441,A451,'唯一词标签'!$Z$2:$Z$1441,"partial_match")</x:f>
        <x:v>0</x:v>
      </x:c>
      <x:c r="F451" s="7" t="n">
        <x:f>COUNTIFS('唯一词标签'!$V$2:$V$1441,A451,'唯一词标签'!$Z$2:$Z$1441,"mismatch")</x:f>
        <x:v>1</x:v>
      </x:c>
      <x:c r="G451" s="7" t="n">
        <x:f>COUNTIFS('唯一词标签'!$V$2:$V$1441,A451,'唯一词标签'!$Z$2:$Z$1441,"unknown")</x:f>
        <x:v>0</x:v>
      </x:c>
      <x:c r="H451" s="7" t="n">
        <x:f>COUNTIFS('唯一词标签'!$V$2:$V$1441,A451,'唯一词标签'!$U$2:$U$1441,"low")</x:f>
        <x:v>0</x:v>
      </x:c>
      <x:c r="I451" s="7" t="n">
        <x:f>COUNTIFS('唯一词标签'!$V$2:$V$1441,A451,'唯一词标签'!$AB$2:$AB$1441,"needs_review")</x:f>
        <x:v>0</x:v>
      </x:c>
    </x:row>
    <x:row r="452" ht="22" customHeight="1">
      <x:c r="A452" s="7" t="str">
        <x:v>leg_support_flip_flops</x:v>
      </x:c>
      <x:c r="B452" s="7" t="n">
        <x:f>COUNTIF('唯一词标签'!$V$2:$V$1441,A452)</x:f>
        <x:v>1</x:v>
      </x:c>
      <x:c r="C452" s="55" t="n">
        <x:f>B452/COUNTA('唯一词标签'!$C$2:$C$1441)</x:f>
        <x:v>0.0006944444444444445</x:v>
      </x:c>
      <x:c r="D452" s="7" t="n">
        <x:f>COUNTIFS('唯一词标签'!$V$2:$V$1441,A452,'唯一词标签'!$Z$2:$Z$1441,"match")</x:f>
        <x:v>0</x:v>
      </x:c>
      <x:c r="E452" s="7" t="n">
        <x:f>COUNTIFS('唯一词标签'!$V$2:$V$1441,A452,'唯一词标签'!$Z$2:$Z$1441,"partial_match")</x:f>
        <x:v>1</x:v>
      </x:c>
      <x:c r="F452" s="7" t="n">
        <x:f>COUNTIFS('唯一词标签'!$V$2:$V$1441,A452,'唯一词标签'!$Z$2:$Z$1441,"mismatch")</x:f>
        <x:v>0</x:v>
      </x:c>
      <x:c r="G452" s="7" t="n">
        <x:f>COUNTIFS('唯一词标签'!$V$2:$V$1441,A452,'唯一词标签'!$Z$2:$Z$1441,"unknown")</x:f>
        <x:v>0</x:v>
      </x:c>
      <x:c r="H452" s="7" t="n">
        <x:f>COUNTIFS('唯一词标签'!$V$2:$V$1441,A452,'唯一词标签'!$U$2:$U$1441,"low")</x:f>
        <x:v>0</x:v>
      </x:c>
      <x:c r="I452" s="7" t="n">
        <x:f>COUNTIFS('唯一词标签'!$V$2:$V$1441,A452,'唯一词标签'!$AB$2:$AB$1441,"needs_review")</x:f>
        <x:v>0</x:v>
      </x:c>
    </x:row>
    <x:row r="453" ht="22" customHeight="1">
      <x:c r="A453" s="7" t="str">
        <x:v>lemon_arch_support_womens_flip_flops</x:v>
      </x:c>
      <x:c r="B453" s="7" t="n">
        <x:f>COUNTIF('唯一词标签'!$V$2:$V$1441,A453)</x:f>
        <x:v>1</x:v>
      </x:c>
      <x:c r="C453" s="55" t="n">
        <x:f>B453/COUNTA('唯一词标签'!$C$2:$C$1441)</x:f>
        <x:v>0.0006944444444444445</x:v>
      </x:c>
      <x:c r="D453" s="7" t="n">
        <x:f>COUNTIFS('唯一词标签'!$V$2:$V$1441,A453,'唯一词标签'!$Z$2:$Z$1441,"match")</x:f>
        <x:v>0</x:v>
      </x:c>
      <x:c r="E453" s="7" t="n">
        <x:f>COUNTIFS('唯一词标签'!$V$2:$V$1441,A453,'唯一词标签'!$Z$2:$Z$1441,"partial_match")</x:f>
        <x:v>1</x:v>
      </x:c>
      <x:c r="F453" s="7" t="n">
        <x:f>COUNTIFS('唯一词标签'!$V$2:$V$1441,A453,'唯一词标签'!$Z$2:$Z$1441,"mismatch")</x:f>
        <x:v>0</x:v>
      </x:c>
      <x:c r="G453" s="7" t="n">
        <x:f>COUNTIFS('唯一词标签'!$V$2:$V$1441,A453,'唯一词标签'!$Z$2:$Z$1441,"unknown")</x:f>
        <x:v>0</x:v>
      </x:c>
      <x:c r="H453" s="7" t="n">
        <x:f>COUNTIFS('唯一词标签'!$V$2:$V$1441,A453,'唯一词标签'!$U$2:$U$1441,"low")</x:f>
        <x:v>1</x:v>
      </x:c>
      <x:c r="I453" s="7" t="n">
        <x:f>COUNTIFS('唯一词标签'!$V$2:$V$1441,A453,'唯一词标签'!$AB$2:$AB$1441,"needs_review")</x:f>
        <x:v>0</x:v>
      </x:c>
    </x:row>
    <x:row r="454" ht="22" customHeight="1">
      <x:c r="A454" s="7" t="str">
        <x:v>lemon_archies_brand</x:v>
      </x:c>
      <x:c r="B454" s="7" t="n">
        <x:f>COUNTIF('唯一词标签'!$V$2:$V$1441,A454)</x:f>
        <x:v>1</x:v>
      </x:c>
      <x:c r="C454" s="55" t="n">
        <x:f>B454/COUNTA('唯一词标签'!$C$2:$C$1441)</x:f>
        <x:v>0.0006944444444444445</x:v>
      </x:c>
      <x:c r="D454" s="7" t="n">
        <x:f>COUNTIFS('唯一词标签'!$V$2:$V$1441,A454,'唯一词标签'!$Z$2:$Z$1441,"match")</x:f>
        <x:v>0</x:v>
      </x:c>
      <x:c r="E454" s="7" t="n">
        <x:f>COUNTIFS('唯一词标签'!$V$2:$V$1441,A454,'唯一词标签'!$Z$2:$Z$1441,"partial_match")</x:f>
        <x:v>0</x:v>
      </x:c>
      <x:c r="F454" s="7" t="n">
        <x:f>COUNTIFS('唯一词标签'!$V$2:$V$1441,A454,'唯一词标签'!$Z$2:$Z$1441,"mismatch")</x:f>
        <x:v>1</x:v>
      </x:c>
      <x:c r="G454" s="7" t="n">
        <x:f>COUNTIFS('唯一词标签'!$V$2:$V$1441,A454,'唯一词标签'!$Z$2:$Z$1441,"unknown")</x:f>
        <x:v>0</x:v>
      </x:c>
      <x:c r="H454" s="7" t="n">
        <x:f>COUNTIFS('唯一词标签'!$V$2:$V$1441,A454,'唯一词标签'!$U$2:$U$1441,"low")</x:f>
        <x:v>0</x:v>
      </x:c>
      <x:c r="I454" s="7" t="n">
        <x:f>COUNTIFS('唯一词标签'!$V$2:$V$1441,A454,'唯一词标签'!$AB$2:$AB$1441,"needs_review")</x:f>
        <x:v>0</x:v>
      </x:c>
    </x:row>
    <x:row r="455" ht="22" customHeight="1">
      <x:c r="A455" s="7" t="str">
        <x:v>light_blue_beach_flip_flops</x:v>
      </x:c>
      <x:c r="B455" s="7" t="n">
        <x:f>COUNTIF('唯一词标签'!$V$2:$V$1441,A455)</x:f>
        <x:v>1</x:v>
      </x:c>
      <x:c r="C455" s="55" t="n">
        <x:f>B455/COUNTA('唯一词标签'!$C$2:$C$1441)</x:f>
        <x:v>0.0006944444444444445</x:v>
      </x:c>
      <x:c r="D455" s="7" t="n">
        <x:f>COUNTIFS('唯一词标签'!$V$2:$V$1441,A455,'唯一词标签'!$Z$2:$Z$1441,"match")</x:f>
        <x:v>1</x:v>
      </x:c>
      <x:c r="E455" s="7" t="n">
        <x:f>COUNTIFS('唯一词标签'!$V$2:$V$1441,A455,'唯一词标签'!$Z$2:$Z$1441,"partial_match")</x:f>
        <x:v>0</x:v>
      </x:c>
      <x:c r="F455" s="7" t="n">
        <x:f>COUNTIFS('唯一词标签'!$V$2:$V$1441,A455,'唯一词标签'!$Z$2:$Z$1441,"mismatch")</x:f>
        <x:v>0</x:v>
      </x:c>
      <x:c r="G455" s="7" t="n">
        <x:f>COUNTIFS('唯一词标签'!$V$2:$V$1441,A455,'唯一词标签'!$Z$2:$Z$1441,"unknown")</x:f>
        <x:v>0</x:v>
      </x:c>
      <x:c r="H455" s="7" t="n">
        <x:f>COUNTIFS('唯一词标签'!$V$2:$V$1441,A455,'唯一词标签'!$U$2:$U$1441,"low")</x:f>
        <x:v>0</x:v>
      </x:c>
      <x:c r="I455" s="7" t="n">
        <x:f>COUNTIFS('唯一词标签'!$V$2:$V$1441,A455,'唯一词标签'!$AB$2:$AB$1441,"needs_review")</x:f>
        <x:v>0</x:v>
      </x:c>
    </x:row>
    <x:row r="456" ht="22" customHeight="1">
      <x:c r="A456" s="7" t="str">
        <x:v>light_blue_beach_sandals_size8</x:v>
      </x:c>
      <x:c r="B456" s="7" t="n">
        <x:f>COUNTIF('唯一词标签'!$V$2:$V$1441,A456)</x:f>
        <x:v>1</x:v>
      </x:c>
      <x:c r="C456" s="55" t="n">
        <x:f>B456/COUNTA('唯一词标签'!$C$2:$C$1441)</x:f>
        <x:v>0.0006944444444444445</x:v>
      </x:c>
      <x:c r="D456" s="7" t="n">
        <x:f>COUNTIFS('唯一词标签'!$V$2:$V$1441,A456,'唯一词标签'!$Z$2:$Z$1441,"match")</x:f>
        <x:v>0</x:v>
      </x:c>
      <x:c r="E456" s="7" t="n">
        <x:f>COUNTIFS('唯一词标签'!$V$2:$V$1441,A456,'唯一词标签'!$Z$2:$Z$1441,"partial_match")</x:f>
        <x:v>1</x:v>
      </x:c>
      <x:c r="F456" s="7" t="n">
        <x:f>COUNTIFS('唯一词标签'!$V$2:$V$1441,A456,'唯一词标签'!$Z$2:$Z$1441,"mismatch")</x:f>
        <x:v>0</x:v>
      </x:c>
      <x:c r="G456" s="7" t="n">
        <x:f>COUNTIFS('唯一词标签'!$V$2:$V$1441,A456,'唯一词标签'!$Z$2:$Z$1441,"unknown")</x:f>
        <x:v>0</x:v>
      </x:c>
      <x:c r="H456" s="7" t="n">
        <x:f>COUNTIFS('唯一词标签'!$V$2:$V$1441,A456,'唯一词标签'!$U$2:$U$1441,"low")</x:f>
        <x:v>0</x:v>
      </x:c>
      <x:c r="I456" s="7" t="n">
        <x:f>COUNTIFS('唯一词标签'!$V$2:$V$1441,A456,'唯一词标签'!$AB$2:$AB$1441,"needs_review")</x:f>
        <x:v>0</x:v>
      </x:c>
    </x:row>
    <x:row r="457" ht="22" customHeight="1">
      <x:c r="A457" s="7" t="str">
        <x:v>light_blue_flip_flops</x:v>
      </x:c>
      <x:c r="B457" s="7" t="n">
        <x:f>COUNTIF('唯一词标签'!$V$2:$V$1441,A457)</x:f>
        <x:v>2</x:v>
      </x:c>
      <x:c r="C457" s="55" t="n">
        <x:f>B457/COUNTA('唯一词标签'!$C$2:$C$1441)</x:f>
        <x:v>0.001388888888888889</x:v>
      </x:c>
      <x:c r="D457" s="7" t="n">
        <x:f>COUNTIFS('唯一词标签'!$V$2:$V$1441,A457,'唯一词标签'!$Z$2:$Z$1441,"match")</x:f>
        <x:v>2</x:v>
      </x:c>
      <x:c r="E457" s="7" t="n">
        <x:f>COUNTIFS('唯一词标签'!$V$2:$V$1441,A457,'唯一词标签'!$Z$2:$Z$1441,"partial_match")</x:f>
        <x:v>0</x:v>
      </x:c>
      <x:c r="F457" s="7" t="n">
        <x:f>COUNTIFS('唯一词标签'!$V$2:$V$1441,A457,'唯一词标签'!$Z$2:$Z$1441,"mismatch")</x:f>
        <x:v>0</x:v>
      </x:c>
      <x:c r="G457" s="7" t="n">
        <x:f>COUNTIFS('唯一词标签'!$V$2:$V$1441,A457,'唯一词标签'!$Z$2:$Z$1441,"unknown")</x:f>
        <x:v>0</x:v>
      </x:c>
      <x:c r="H457" s="7" t="n">
        <x:f>COUNTIFS('唯一词标签'!$V$2:$V$1441,A457,'唯一词标签'!$U$2:$U$1441,"low")</x:f>
        <x:v>0</x:v>
      </x:c>
      <x:c r="I457" s="7" t="n">
        <x:f>COUNTIFS('唯一词标签'!$V$2:$V$1441,A457,'唯一词标签'!$AB$2:$AB$1441,"needs_review")</x:f>
        <x:v>0</x:v>
      </x:c>
    </x:row>
    <x:row r="458" ht="22" customHeight="1">
      <x:c r="A458" s="7" t="str">
        <x:v>light_blue_orthopedic_sandals_women</x:v>
      </x:c>
      <x:c r="B458" s="7" t="n">
        <x:f>COUNTIF('唯一词标签'!$V$2:$V$1441,A458)</x:f>
        <x:v>1</x:v>
      </x:c>
      <x:c r="C458" s="55" t="n">
        <x:f>B458/COUNTA('唯一词标签'!$C$2:$C$1441)</x:f>
        <x:v>0.0006944444444444445</x:v>
      </x:c>
      <x:c r="D458" s="7" t="n">
        <x:f>COUNTIFS('唯一词标签'!$V$2:$V$1441,A458,'唯一词标签'!$Z$2:$Z$1441,"match")</x:f>
        <x:v>0</x:v>
      </x:c>
      <x:c r="E458" s="7" t="n">
        <x:f>COUNTIFS('唯一词标签'!$V$2:$V$1441,A458,'唯一词标签'!$Z$2:$Z$1441,"partial_match")</x:f>
        <x:v>1</x:v>
      </x:c>
      <x:c r="F458" s="7" t="n">
        <x:f>COUNTIFS('唯一词标签'!$V$2:$V$1441,A458,'唯一词标签'!$Z$2:$Z$1441,"mismatch")</x:f>
        <x:v>0</x:v>
      </x:c>
      <x:c r="G458" s="7" t="n">
        <x:f>COUNTIFS('唯一词标签'!$V$2:$V$1441,A458,'唯一词标签'!$Z$2:$Z$1441,"unknown")</x:f>
        <x:v>0</x:v>
      </x:c>
      <x:c r="H458" s="7" t="n">
        <x:f>COUNTIFS('唯一词标签'!$V$2:$V$1441,A458,'唯一词标签'!$U$2:$U$1441,"low")</x:f>
        <x:v>0</x:v>
      </x:c>
      <x:c r="I458" s="7" t="n">
        <x:f>COUNTIFS('唯一词标签'!$V$2:$V$1441,A458,'唯一词标签'!$AB$2:$AB$1441,"needs_review")</x:f>
        <x:v>0</x:v>
      </x:c>
    </x:row>
    <x:row r="459" ht="22" customHeight="1">
      <x:c r="A459" s="7" t="str">
        <x:v>light_grey_womens_flip_flops</x:v>
      </x:c>
      <x:c r="B459" s="7" t="n">
        <x:f>COUNTIF('唯一词标签'!$V$2:$V$1441,A459)</x:f>
        <x:v>1</x:v>
      </x:c>
      <x:c r="C459" s="55" t="n">
        <x:f>B459/COUNTA('唯一词标签'!$C$2:$C$1441)</x:f>
        <x:v>0.0006944444444444445</x:v>
      </x:c>
      <x:c r="D459" s="7" t="n">
        <x:f>COUNTIFS('唯一词标签'!$V$2:$V$1441,A459,'唯一词标签'!$Z$2:$Z$1441,"match")</x:f>
        <x:v>0</x:v>
      </x:c>
      <x:c r="E459" s="7" t="n">
        <x:f>COUNTIFS('唯一词标签'!$V$2:$V$1441,A459,'唯一词标签'!$Z$2:$Z$1441,"partial_match")</x:f>
        <x:v>1</x:v>
      </x:c>
      <x:c r="F459" s="7" t="n">
        <x:f>COUNTIFS('唯一词标签'!$V$2:$V$1441,A459,'唯一词标签'!$Z$2:$Z$1441,"mismatch")</x:f>
        <x:v>0</x:v>
      </x:c>
      <x:c r="G459" s="7" t="n">
        <x:f>COUNTIFS('唯一词标签'!$V$2:$V$1441,A459,'唯一词标签'!$Z$2:$Z$1441,"unknown")</x:f>
        <x:v>0</x:v>
      </x:c>
      <x:c r="H459" s="7" t="n">
        <x:f>COUNTIFS('唯一词标签'!$V$2:$V$1441,A459,'唯一词标签'!$U$2:$U$1441,"low")</x:f>
        <x:v>0</x:v>
      </x:c>
      <x:c r="I459" s="7" t="n">
        <x:f>COUNTIFS('唯一词标签'!$V$2:$V$1441,A459,'唯一词标签'!$AB$2:$AB$1441,"needs_review")</x:f>
        <x:v>0</x:v>
      </x:c>
    </x:row>
    <x:row r="460" ht="22" customHeight="1">
      <x:c r="A460" s="7" t="str">
        <x:v>light_pink_womens_flip_flops</x:v>
      </x:c>
      <x:c r="B460" s="7" t="n">
        <x:f>COUNTIF('唯一词标签'!$V$2:$V$1441,A460)</x:f>
        <x:v>1</x:v>
      </x:c>
      <x:c r="C460" s="55" t="n">
        <x:f>B460/COUNTA('唯一词标签'!$C$2:$C$1441)</x:f>
        <x:v>0.0006944444444444445</x:v>
      </x:c>
      <x:c r="D460" s="7" t="n">
        <x:f>COUNTIFS('唯一词标签'!$V$2:$V$1441,A460,'唯一词标签'!$Z$2:$Z$1441,"match")</x:f>
        <x:v>1</x:v>
      </x:c>
      <x:c r="E460" s="7" t="n">
        <x:f>COUNTIFS('唯一词标签'!$V$2:$V$1441,A460,'唯一词标签'!$Z$2:$Z$1441,"partial_match")</x:f>
        <x:v>0</x:v>
      </x:c>
      <x:c r="F460" s="7" t="n">
        <x:f>COUNTIFS('唯一词标签'!$V$2:$V$1441,A460,'唯一词标签'!$Z$2:$Z$1441,"mismatch")</x:f>
        <x:v>0</x:v>
      </x:c>
      <x:c r="G460" s="7" t="n">
        <x:f>COUNTIFS('唯一词标签'!$V$2:$V$1441,A460,'唯一词标签'!$Z$2:$Z$1441,"unknown")</x:f>
        <x:v>0</x:v>
      </x:c>
      <x:c r="H460" s="7" t="n">
        <x:f>COUNTIFS('唯一词标签'!$V$2:$V$1441,A460,'唯一词标签'!$U$2:$U$1441,"low")</x:f>
        <x:v>0</x:v>
      </x:c>
      <x:c r="I460" s="7" t="n">
        <x:f>COUNTIFS('唯一词标签'!$V$2:$V$1441,A460,'唯一词标签'!$AB$2:$AB$1441,"needs_review")</x:f>
        <x:v>0</x:v>
      </x:c>
    </x:row>
    <x:row r="461" ht="22" customHeight="1">
      <x:c r="A461" s="7" t="str">
        <x:v>lightweight_arch_support_flip_flops</x:v>
      </x:c>
      <x:c r="B461" s="7" t="n">
        <x:f>COUNTIF('唯一词标签'!$V$2:$V$1441,A461)</x:f>
        <x:v>1</x:v>
      </x:c>
      <x:c r="C461" s="55" t="n">
        <x:f>B461/COUNTA('唯一词标签'!$C$2:$C$1441)</x:f>
        <x:v>0.0006944444444444445</x:v>
      </x:c>
      <x:c r="D461" s="7" t="n">
        <x:f>COUNTIFS('唯一词标签'!$V$2:$V$1441,A461,'唯一词标签'!$Z$2:$Z$1441,"match")</x:f>
        <x:v>1</x:v>
      </x:c>
      <x:c r="E461" s="7" t="n">
        <x:f>COUNTIFS('唯一词标签'!$V$2:$V$1441,A461,'唯一词标签'!$Z$2:$Z$1441,"partial_match")</x:f>
        <x:v>0</x:v>
      </x:c>
      <x:c r="F461" s="7" t="n">
        <x:f>COUNTIFS('唯一词标签'!$V$2:$V$1441,A461,'唯一词标签'!$Z$2:$Z$1441,"mismatch")</x:f>
        <x:v>0</x:v>
      </x:c>
      <x:c r="G461" s="7" t="n">
        <x:f>COUNTIFS('唯一词标签'!$V$2:$V$1441,A461,'唯一词标签'!$Z$2:$Z$1441,"unknown")</x:f>
        <x:v>0</x:v>
      </x:c>
      <x:c r="H461" s="7" t="n">
        <x:f>COUNTIFS('唯一词标签'!$V$2:$V$1441,A461,'唯一词标签'!$U$2:$U$1441,"low")</x:f>
        <x:v>0</x:v>
      </x:c>
      <x:c r="I461" s="7" t="n">
        <x:f>COUNTIFS('唯一词标签'!$V$2:$V$1441,A461,'唯一词标签'!$AB$2:$AB$1441,"needs_review")</x:f>
        <x:v>0</x:v>
      </x:c>
    </x:row>
    <x:row r="462" ht="22" customHeight="1">
      <x:c r="A462" s="7" t="str">
        <x:v>lightweight_comfort_flip_flops</x:v>
      </x:c>
      <x:c r="B462" s="7" t="n">
        <x:f>COUNTIF('唯一词标签'!$V$2:$V$1441,A462)</x:f>
        <x:v>1</x:v>
      </x:c>
      <x:c r="C462" s="55" t="n">
        <x:f>B462/COUNTA('唯一词标签'!$C$2:$C$1441)</x:f>
        <x:v>0.0006944444444444445</x:v>
      </x:c>
      <x:c r="D462" s="7" t="n">
        <x:f>COUNTIFS('唯一词标签'!$V$2:$V$1441,A462,'唯一词标签'!$Z$2:$Z$1441,"match")</x:f>
        <x:v>1</x:v>
      </x:c>
      <x:c r="E462" s="7" t="n">
        <x:f>COUNTIFS('唯一词标签'!$V$2:$V$1441,A462,'唯一词标签'!$Z$2:$Z$1441,"partial_match")</x:f>
        <x:v>0</x:v>
      </x:c>
      <x:c r="F462" s="7" t="n">
        <x:f>COUNTIFS('唯一词标签'!$V$2:$V$1441,A462,'唯一词标签'!$Z$2:$Z$1441,"mismatch")</x:f>
        <x:v>0</x:v>
      </x:c>
      <x:c r="G462" s="7" t="n">
        <x:f>COUNTIFS('唯一词标签'!$V$2:$V$1441,A462,'唯一词标签'!$Z$2:$Z$1441,"unknown")</x:f>
        <x:v>0</x:v>
      </x:c>
      <x:c r="H462" s="7" t="n">
        <x:f>COUNTIFS('唯一词标签'!$V$2:$V$1441,A462,'唯一词标签'!$U$2:$U$1441,"low")</x:f>
        <x:v>0</x:v>
      </x:c>
      <x:c r="I462" s="7" t="n">
        <x:f>COUNTIFS('唯一词标签'!$V$2:$V$1441,A462,'唯一词标签'!$AB$2:$AB$1441,"needs_review")</x:f>
        <x:v>0</x:v>
      </x:c>
    </x:row>
    <x:row r="463" ht="22" customHeight="1">
      <x:c r="A463" s="7" t="str">
        <x:v>lightweight_flip_flops</x:v>
      </x:c>
      <x:c r="B463" s="7" t="n">
        <x:f>COUNTIF('唯一词标签'!$V$2:$V$1441,A463)</x:f>
        <x:v>2</x:v>
      </x:c>
      <x:c r="C463" s="55" t="n">
        <x:f>B463/COUNTA('唯一词标签'!$C$2:$C$1441)</x:f>
        <x:v>0.001388888888888889</x:v>
      </x:c>
      <x:c r="D463" s="7" t="n">
        <x:f>COUNTIFS('唯一词标签'!$V$2:$V$1441,A463,'唯一词标签'!$Z$2:$Z$1441,"match")</x:f>
        <x:v>2</x:v>
      </x:c>
      <x:c r="E463" s="7" t="n">
        <x:f>COUNTIFS('唯一词标签'!$V$2:$V$1441,A463,'唯一词标签'!$Z$2:$Z$1441,"partial_match")</x:f>
        <x:v>0</x:v>
      </x:c>
      <x:c r="F463" s="7" t="n">
        <x:f>COUNTIFS('唯一词标签'!$V$2:$V$1441,A463,'唯一词标签'!$Z$2:$Z$1441,"mismatch")</x:f>
        <x:v>0</x:v>
      </x:c>
      <x:c r="G463" s="7" t="n">
        <x:f>COUNTIFS('唯一词标签'!$V$2:$V$1441,A463,'唯一词标签'!$Z$2:$Z$1441,"unknown")</x:f>
        <x:v>0</x:v>
      </x:c>
      <x:c r="H463" s="7" t="n">
        <x:f>COUNTIFS('唯一词标签'!$V$2:$V$1441,A463,'唯一词标签'!$U$2:$U$1441,"low")</x:f>
        <x:v>0</x:v>
      </x:c>
      <x:c r="I463" s="7" t="n">
        <x:f>COUNTIFS('唯一词标签'!$V$2:$V$1441,A463,'唯一词标签'!$AB$2:$AB$1441,"needs_review")</x:f>
        <x:v>0</x:v>
      </x:c>
    </x:row>
    <x:row r="464" ht="22" customHeight="1">
      <x:c r="A464" s="7" t="str">
        <x:v>lightweight_supportive_flip_flops</x:v>
      </x:c>
      <x:c r="B464" s="7" t="n">
        <x:f>COUNTIF('唯一词标签'!$V$2:$V$1441,A464)</x:f>
        <x:v>1</x:v>
      </x:c>
      <x:c r="C464" s="55" t="n">
        <x:f>B464/COUNTA('唯一词标签'!$C$2:$C$1441)</x:f>
        <x:v>0.0006944444444444445</x:v>
      </x:c>
      <x:c r="D464" s="7" t="n">
        <x:f>COUNTIFS('唯一词标签'!$V$2:$V$1441,A464,'唯一词标签'!$Z$2:$Z$1441,"match")</x:f>
        <x:v>1</x:v>
      </x:c>
      <x:c r="E464" s="7" t="n">
        <x:f>COUNTIFS('唯一词标签'!$V$2:$V$1441,A464,'唯一词标签'!$Z$2:$Z$1441,"partial_match")</x:f>
        <x:v>0</x:v>
      </x:c>
      <x:c r="F464" s="7" t="n">
        <x:f>COUNTIFS('唯一词标签'!$V$2:$V$1441,A464,'唯一词标签'!$Z$2:$Z$1441,"mismatch")</x:f>
        <x:v>0</x:v>
      </x:c>
      <x:c r="G464" s="7" t="n">
        <x:f>COUNTIFS('唯一词标签'!$V$2:$V$1441,A464,'唯一词标签'!$Z$2:$Z$1441,"unknown")</x:f>
        <x:v>0</x:v>
      </x:c>
      <x:c r="H464" s="7" t="n">
        <x:f>COUNTIFS('唯一词标签'!$V$2:$V$1441,A464,'唯一词标签'!$U$2:$U$1441,"low")</x:f>
        <x:v>0</x:v>
      </x:c>
      <x:c r="I464" s="7" t="n">
        <x:f>COUNTIFS('唯一词标签'!$V$2:$V$1441,A464,'唯一词标签'!$AB$2:$AB$1441,"needs_review")</x:f>
        <x:v>0</x:v>
      </x:c>
    </x:row>
    <x:row r="465" ht="22" customHeight="1">
      <x:c r="A465" s="7" t="str">
        <x:v>lightweight_womens_arch_support_flip_flops</x:v>
      </x:c>
      <x:c r="B465" s="7" t="n">
        <x:f>COUNTIF('唯一词标签'!$V$2:$V$1441,A465)</x:f>
        <x:v>1</x:v>
      </x:c>
      <x:c r="C465" s="55" t="n">
        <x:f>B465/COUNTA('唯一词标签'!$C$2:$C$1441)</x:f>
        <x:v>0.0006944444444444445</x:v>
      </x:c>
      <x:c r="D465" s="7" t="n">
        <x:f>COUNTIFS('唯一词标签'!$V$2:$V$1441,A465,'唯一词标签'!$Z$2:$Z$1441,"match")</x:f>
        <x:v>1</x:v>
      </x:c>
      <x:c r="E465" s="7" t="n">
        <x:f>COUNTIFS('唯一词标签'!$V$2:$V$1441,A465,'唯一词标签'!$Z$2:$Z$1441,"partial_match")</x:f>
        <x:v>0</x:v>
      </x:c>
      <x:c r="F465" s="7" t="n">
        <x:f>COUNTIFS('唯一词标签'!$V$2:$V$1441,A465,'唯一词标签'!$Z$2:$Z$1441,"mismatch")</x:f>
        <x:v>0</x:v>
      </x:c>
      <x:c r="G465" s="7" t="n">
        <x:f>COUNTIFS('唯一词标签'!$V$2:$V$1441,A465,'唯一词标签'!$Z$2:$Z$1441,"unknown")</x:f>
        <x:v>0</x:v>
      </x:c>
      <x:c r="H465" s="7" t="n">
        <x:f>COUNTIFS('唯一词标签'!$V$2:$V$1441,A465,'唯一词标签'!$U$2:$U$1441,"low")</x:f>
        <x:v>0</x:v>
      </x:c>
      <x:c r="I465" s="7" t="n">
        <x:f>COUNTIFS('唯一词标签'!$V$2:$V$1441,A465,'唯一词标签'!$AB$2:$AB$1441,"needs_review")</x:f>
        <x:v>0</x:v>
      </x:c>
    </x:row>
    <x:row r="466" ht="22" customHeight="1">
      <x:c r="A466" s="7" t="str">
        <x:v>lightweight_womens_flip_flops</x:v>
      </x:c>
      <x:c r="B466" s="7" t="n">
        <x:f>COUNTIF('唯一词标签'!$V$2:$V$1441,A466)</x:f>
        <x:v>1</x:v>
      </x:c>
      <x:c r="C466" s="55" t="n">
        <x:f>B466/COUNTA('唯一词标签'!$C$2:$C$1441)</x:f>
        <x:v>0.0006944444444444445</x:v>
      </x:c>
      <x:c r="D466" s="7" t="n">
        <x:f>COUNTIFS('唯一词标签'!$V$2:$V$1441,A466,'唯一词标签'!$Z$2:$Z$1441,"match")</x:f>
        <x:v>1</x:v>
      </x:c>
      <x:c r="E466" s="7" t="n">
        <x:f>COUNTIFS('唯一词标签'!$V$2:$V$1441,A466,'唯一词标签'!$Z$2:$Z$1441,"partial_match")</x:f>
        <x:v>0</x:v>
      </x:c>
      <x:c r="F466" s="7" t="n">
        <x:f>COUNTIFS('唯一词标签'!$V$2:$V$1441,A466,'唯一词标签'!$Z$2:$Z$1441,"mismatch")</x:f>
        <x:v>0</x:v>
      </x:c>
      <x:c r="G466" s="7" t="n">
        <x:f>COUNTIFS('唯一词标签'!$V$2:$V$1441,A466,'唯一词标签'!$Z$2:$Z$1441,"unknown")</x:f>
        <x:v>0</x:v>
      </x:c>
      <x:c r="H466" s="7" t="n">
        <x:f>COUNTIFS('唯一词标签'!$V$2:$V$1441,A466,'唯一词标签'!$U$2:$U$1441,"low")</x:f>
        <x:v>0</x:v>
      </x:c>
      <x:c r="I466" s="7" t="n">
        <x:f>COUNTIFS('唯一词标签'!$V$2:$V$1441,A466,'唯一词标签'!$AB$2:$AB$1441,"needs_review")</x:f>
        <x:v>1</x:v>
      </x:c>
    </x:row>
    <x:row r="467" ht="22" customHeight="1">
      <x:c r="A467" s="7" t="str">
        <x:v>litfun_arch_support_flip_flops_women</x:v>
      </x:c>
      <x:c r="B467" s="7" t="n">
        <x:f>COUNTIF('唯一词标签'!$V$2:$V$1441,A467)</x:f>
        <x:v>1</x:v>
      </x:c>
      <x:c r="C467" s="55" t="n">
        <x:f>B467/COUNTA('唯一词标签'!$C$2:$C$1441)</x:f>
        <x:v>0.0006944444444444445</x:v>
      </x:c>
      <x:c r="D467" s="7" t="n">
        <x:f>COUNTIFS('唯一词标签'!$V$2:$V$1441,A467,'唯一词标签'!$Z$2:$Z$1441,"match")</x:f>
        <x:v>0</x:v>
      </x:c>
      <x:c r="E467" s="7" t="n">
        <x:f>COUNTIFS('唯一词标签'!$V$2:$V$1441,A467,'唯一词标签'!$Z$2:$Z$1441,"partial_match")</x:f>
        <x:v>0</x:v>
      </x:c>
      <x:c r="F467" s="7" t="n">
        <x:f>COUNTIFS('唯一词标签'!$V$2:$V$1441,A467,'唯一词标签'!$Z$2:$Z$1441,"mismatch")</x:f>
        <x:v>1</x:v>
      </x:c>
      <x:c r="G467" s="7" t="n">
        <x:f>COUNTIFS('唯一词标签'!$V$2:$V$1441,A467,'唯一词标签'!$Z$2:$Z$1441,"unknown")</x:f>
        <x:v>0</x:v>
      </x:c>
      <x:c r="H467" s="7" t="n">
        <x:f>COUNTIFS('唯一词标签'!$V$2:$V$1441,A467,'唯一词标签'!$U$2:$U$1441,"low")</x:f>
        <x:v>0</x:v>
      </x:c>
      <x:c r="I467" s="7" t="n">
        <x:f>COUNTIFS('唯一词标签'!$V$2:$V$1441,A467,'唯一词标签'!$AB$2:$AB$1441,"needs_review")</x:f>
        <x:v>0</x:v>
      </x:c>
    </x:row>
    <x:row r="468" ht="22" customHeight="1">
      <x:c r="A468" s="7" t="str">
        <x:v>litfun_recovery_slides</x:v>
      </x:c>
      <x:c r="B468" s="7" t="n">
        <x:f>COUNTIF('唯一词标签'!$V$2:$V$1441,A468)</x:f>
        <x:v>1</x:v>
      </x:c>
      <x:c r="C468" s="55" t="n">
        <x:f>B468/COUNTA('唯一词标签'!$C$2:$C$1441)</x:f>
        <x:v>0.0006944444444444445</x:v>
      </x:c>
      <x:c r="D468" s="7" t="n">
        <x:f>COUNTIFS('唯一词标签'!$V$2:$V$1441,A468,'唯一词标签'!$Z$2:$Z$1441,"match")</x:f>
        <x:v>0</x:v>
      </x:c>
      <x:c r="E468" s="7" t="n">
        <x:f>COUNTIFS('唯一词标签'!$V$2:$V$1441,A468,'唯一词标签'!$Z$2:$Z$1441,"partial_match")</x:f>
        <x:v>0</x:v>
      </x:c>
      <x:c r="F468" s="7" t="n">
        <x:f>COUNTIFS('唯一词标签'!$V$2:$V$1441,A468,'唯一词标签'!$Z$2:$Z$1441,"mismatch")</x:f>
        <x:v>1</x:v>
      </x:c>
      <x:c r="G468" s="7" t="n">
        <x:f>COUNTIFS('唯一词标签'!$V$2:$V$1441,A468,'唯一词标签'!$Z$2:$Z$1441,"unknown")</x:f>
        <x:v>0</x:v>
      </x:c>
      <x:c r="H468" s="7" t="n">
        <x:f>COUNTIFS('唯一词标签'!$V$2:$V$1441,A468,'唯一词标签'!$U$2:$U$1441,"low")</x:f>
        <x:v>0</x:v>
      </x:c>
      <x:c r="I468" s="7" t="n">
        <x:f>COUNTIFS('唯一词标签'!$V$2:$V$1441,A468,'唯一词标签'!$AB$2:$AB$1441,"needs_review")</x:f>
        <x:v>0</x:v>
      </x:c>
    </x:row>
    <x:row r="469" ht="22" customHeight="1">
      <x:c r="A469" s="7" t="str">
        <x:v>luxury_flip_flops</x:v>
      </x:c>
      <x:c r="B469" s="7" t="n">
        <x:f>COUNTIF('唯一词标签'!$V$2:$V$1441,A469)</x:f>
        <x:v>1</x:v>
      </x:c>
      <x:c r="C469" s="55" t="n">
        <x:f>B469/COUNTA('唯一词标签'!$C$2:$C$1441)</x:f>
        <x:v>0.0006944444444444445</x:v>
      </x:c>
      <x:c r="D469" s="7" t="n">
        <x:f>COUNTIFS('唯一词标签'!$V$2:$V$1441,A469,'唯一词标签'!$Z$2:$Z$1441,"match")</x:f>
        <x:v>0</x:v>
      </x:c>
      <x:c r="E469" s="7" t="n">
        <x:f>COUNTIFS('唯一词标签'!$V$2:$V$1441,A469,'唯一词标签'!$Z$2:$Z$1441,"partial_match")</x:f>
        <x:v>0</x:v>
      </x:c>
      <x:c r="F469" s="7" t="n">
        <x:f>COUNTIFS('唯一词标签'!$V$2:$V$1441,A469,'唯一词标签'!$Z$2:$Z$1441,"mismatch")</x:f>
        <x:v>1</x:v>
      </x:c>
      <x:c r="G469" s="7" t="n">
        <x:f>COUNTIFS('唯一词标签'!$V$2:$V$1441,A469,'唯一词标签'!$Z$2:$Z$1441,"unknown")</x:f>
        <x:v>0</x:v>
      </x:c>
      <x:c r="H469" s="7" t="n">
        <x:f>COUNTIFS('唯一词标签'!$V$2:$V$1441,A469,'唯一词标签'!$U$2:$U$1441,"low")</x:f>
        <x:v>1</x:v>
      </x:c>
      <x:c r="I469" s="7" t="n">
        <x:f>COUNTIFS('唯一词标签'!$V$2:$V$1441,A469,'唯一词标签'!$AB$2:$AB$1441,"needs_review")</x:f>
        <x:v>0</x:v>
      </x:c>
    </x:row>
    <x:row r="470" ht="22" customHeight="1">
      <x:c r="A470" s="7" t="str">
        <x:v>memory_foam_fasciitis_womens_flip_flops</x:v>
      </x:c>
      <x:c r="B470" s="7" t="n">
        <x:f>COUNTIF('唯一词标签'!$V$2:$V$1441,A470)</x:f>
        <x:v>1</x:v>
      </x:c>
      <x:c r="C470" s="55" t="n">
        <x:f>B470/COUNTA('唯一词标签'!$C$2:$C$1441)</x:f>
        <x:v>0.0006944444444444445</x:v>
      </x:c>
      <x:c r="D470" s="7" t="n">
        <x:f>COUNTIFS('唯一词标签'!$V$2:$V$1441,A470,'唯一词标签'!$Z$2:$Z$1441,"match")</x:f>
        <x:v>0</x:v>
      </x:c>
      <x:c r="E470" s="7" t="n">
        <x:f>COUNTIFS('唯一词标签'!$V$2:$V$1441,A470,'唯一词标签'!$Z$2:$Z$1441,"partial_match")</x:f>
        <x:v>1</x:v>
      </x:c>
      <x:c r="F470" s="7" t="n">
        <x:f>COUNTIFS('唯一词标签'!$V$2:$V$1441,A470,'唯一词标签'!$Z$2:$Z$1441,"mismatch")</x:f>
        <x:v>0</x:v>
      </x:c>
      <x:c r="G470" s="7" t="n">
        <x:f>COUNTIFS('唯一词标签'!$V$2:$V$1441,A470,'唯一词标签'!$Z$2:$Z$1441,"unknown")</x:f>
        <x:v>0</x:v>
      </x:c>
      <x:c r="H470" s="7" t="n">
        <x:f>COUNTIFS('唯一词标签'!$V$2:$V$1441,A470,'唯一词标签'!$U$2:$U$1441,"low")</x:f>
        <x:v>0</x:v>
      </x:c>
      <x:c r="I470" s="7" t="n">
        <x:f>COUNTIFS('唯一词标签'!$V$2:$V$1441,A470,'唯一词标签'!$AB$2:$AB$1441,"needs_review")</x:f>
        <x:v>0</x:v>
      </x:c>
    </x:row>
    <x:row r="471" ht="22" customHeight="1">
      <x:c r="A471" s="7" t="str">
        <x:v>memory_foam_flip_flops</x:v>
      </x:c>
      <x:c r="B471" s="7" t="n">
        <x:f>COUNTIF('唯一词标签'!$V$2:$V$1441,A471)</x:f>
        <x:v>3</x:v>
      </x:c>
      <x:c r="C471" s="55" t="n">
        <x:f>B471/COUNTA('唯一词标签'!$C$2:$C$1441)</x:f>
        <x:v>0.0020833333333333333</x:v>
      </x:c>
      <x:c r="D471" s="7" t="n">
        <x:f>COUNTIFS('唯一词标签'!$V$2:$V$1441,A471,'唯一词标签'!$Z$2:$Z$1441,"match")</x:f>
        <x:v>0</x:v>
      </x:c>
      <x:c r="E471" s="7" t="n">
        <x:f>COUNTIFS('唯一词标签'!$V$2:$V$1441,A471,'唯一词标签'!$Z$2:$Z$1441,"partial_match")</x:f>
        <x:v>3</x:v>
      </x:c>
      <x:c r="F471" s="7" t="n">
        <x:f>COUNTIFS('唯一词标签'!$V$2:$V$1441,A471,'唯一词标签'!$Z$2:$Z$1441,"mismatch")</x:f>
        <x:v>0</x:v>
      </x:c>
      <x:c r="G471" s="7" t="n">
        <x:f>COUNTIFS('唯一词标签'!$V$2:$V$1441,A471,'唯一词标签'!$Z$2:$Z$1441,"unknown")</x:f>
        <x:v>0</x:v>
      </x:c>
      <x:c r="H471" s="7" t="n">
        <x:f>COUNTIFS('唯一词标签'!$V$2:$V$1441,A471,'唯一词标签'!$U$2:$U$1441,"low")</x:f>
        <x:v>0</x:v>
      </x:c>
      <x:c r="I471" s="7" t="n">
        <x:f>COUNTIFS('唯一词标签'!$V$2:$V$1441,A471,'唯一词标签'!$AB$2:$AB$1441,"needs_review")</x:f>
        <x:v>0</x:v>
      </x:c>
    </x:row>
    <x:row r="472" ht="22" customHeight="1">
      <x:c r="A472" s="7" t="str">
        <x:v>memory_foam_flip_flops_women_black</x:v>
      </x:c>
      <x:c r="B472" s="7" t="n">
        <x:f>COUNTIF('唯一词标签'!$V$2:$V$1441,A472)</x:f>
        <x:v>1</x:v>
      </x:c>
      <x:c r="C472" s="55" t="n">
        <x:f>B472/COUNTA('唯一词标签'!$C$2:$C$1441)</x:f>
        <x:v>0.0006944444444444445</x:v>
      </x:c>
      <x:c r="D472" s="7" t="n">
        <x:f>COUNTIFS('唯一词标签'!$V$2:$V$1441,A472,'唯一词标签'!$Z$2:$Z$1441,"match")</x:f>
        <x:v>0</x:v>
      </x:c>
      <x:c r="E472" s="7" t="n">
        <x:f>COUNTIFS('唯一词标签'!$V$2:$V$1441,A472,'唯一词标签'!$Z$2:$Z$1441,"partial_match")</x:f>
        <x:v>1</x:v>
      </x:c>
      <x:c r="F472" s="7" t="n">
        <x:f>COUNTIFS('唯一词标签'!$V$2:$V$1441,A472,'唯一词标签'!$Z$2:$Z$1441,"mismatch")</x:f>
        <x:v>0</x:v>
      </x:c>
      <x:c r="G472" s="7" t="n">
        <x:f>COUNTIFS('唯一词标签'!$V$2:$V$1441,A472,'唯一词标签'!$Z$2:$Z$1441,"unknown")</x:f>
        <x:v>0</x:v>
      </x:c>
      <x:c r="H472" s="7" t="n">
        <x:f>COUNTIFS('唯一词标签'!$V$2:$V$1441,A472,'唯一词标签'!$U$2:$U$1441,"low")</x:f>
        <x:v>0</x:v>
      </x:c>
      <x:c r="I472" s="7" t="n">
        <x:f>COUNTIFS('唯一词标签'!$V$2:$V$1441,A472,'唯一词标签'!$AB$2:$AB$1441,"needs_review")</x:f>
        <x:v>0</x:v>
      </x:c>
    </x:row>
    <x:row r="473" ht="22" customHeight="1">
      <x:c r="A473" s="7" t="str">
        <x:v>memory_foam_womens_flip_flops</x:v>
      </x:c>
      <x:c r="B473" s="7" t="n">
        <x:f>COUNTIF('唯一词标签'!$V$2:$V$1441,A473)</x:f>
        <x:v>1</x:v>
      </x:c>
      <x:c r="C473" s="55" t="n">
        <x:f>B473/COUNTA('唯一词标签'!$C$2:$C$1441)</x:f>
        <x:v>0.0006944444444444445</x:v>
      </x:c>
      <x:c r="D473" s="7" t="n">
        <x:f>COUNTIFS('唯一词标签'!$V$2:$V$1441,A473,'唯一词标签'!$Z$2:$Z$1441,"match")</x:f>
        <x:v>0</x:v>
      </x:c>
      <x:c r="E473" s="7" t="n">
        <x:f>COUNTIFS('唯一词标签'!$V$2:$V$1441,A473,'唯一词标签'!$Z$2:$Z$1441,"partial_match")</x:f>
        <x:v>1</x:v>
      </x:c>
      <x:c r="F473" s="7" t="n">
        <x:f>COUNTIFS('唯一词标签'!$V$2:$V$1441,A473,'唯一词标签'!$Z$2:$Z$1441,"mismatch")</x:f>
        <x:v>0</x:v>
      </x:c>
      <x:c r="G473" s="7" t="n">
        <x:f>COUNTIFS('唯一词标签'!$V$2:$V$1441,A473,'唯一词标签'!$Z$2:$Z$1441,"unknown")</x:f>
        <x:v>0</x:v>
      </x:c>
      <x:c r="H473" s="7" t="n">
        <x:f>COUNTIFS('唯一词标签'!$V$2:$V$1441,A473,'唯一词标签'!$U$2:$U$1441,"low")</x:f>
        <x:v>0</x:v>
      </x:c>
      <x:c r="I473" s="7" t="n">
        <x:f>COUNTIFS('唯一词标签'!$V$2:$V$1441,A473,'唯一词标签'!$AB$2:$AB$1441,"needs_review")</x:f>
        <x:v>0</x:v>
      </x:c>
    </x:row>
    <x:row r="474" ht="22" customHeight="1">
      <x:c r="A474" s="7" t="str">
        <x:v>men_flip_flop</x:v>
      </x:c>
      <x:c r="B474" s="7" t="n">
        <x:f>COUNTIF('唯一词标签'!$V$2:$V$1441,A474)</x:f>
        <x:v>1</x:v>
      </x:c>
      <x:c r="C474" s="55" t="n">
        <x:f>B474/COUNTA('唯一词标签'!$C$2:$C$1441)</x:f>
        <x:v>0.0006944444444444445</x:v>
      </x:c>
      <x:c r="D474" s="7" t="n">
        <x:f>COUNTIFS('唯一词标签'!$V$2:$V$1441,A474,'唯一词标签'!$Z$2:$Z$1441,"match")</x:f>
        <x:v>0</x:v>
      </x:c>
      <x:c r="E474" s="7" t="n">
        <x:f>COUNTIFS('唯一词标签'!$V$2:$V$1441,A474,'唯一词标签'!$Z$2:$Z$1441,"partial_match")</x:f>
        <x:v>0</x:v>
      </x:c>
      <x:c r="F474" s="7" t="n">
        <x:f>COUNTIFS('唯一词标签'!$V$2:$V$1441,A474,'唯一词标签'!$Z$2:$Z$1441,"mismatch")</x:f>
        <x:v>1</x:v>
      </x:c>
      <x:c r="G474" s="7" t="n">
        <x:f>COUNTIFS('唯一词标签'!$V$2:$V$1441,A474,'唯一词标签'!$Z$2:$Z$1441,"unknown")</x:f>
        <x:v>0</x:v>
      </x:c>
      <x:c r="H474" s="7" t="n">
        <x:f>COUNTIFS('唯一词标签'!$V$2:$V$1441,A474,'唯一词标签'!$U$2:$U$1441,"low")</x:f>
        <x:v>0</x:v>
      </x:c>
      <x:c r="I474" s="7" t="n">
        <x:f>COUNTIFS('唯一词标签'!$V$2:$V$1441,A474,'唯一词标签'!$AB$2:$AB$1441,"needs_review")</x:f>
        <x:v>0</x:v>
      </x:c>
    </x:row>
    <x:row r="475" ht="22" customHeight="1">
      <x:c r="A475" s="7" t="str">
        <x:v>multi_colored_womens_sandals</x:v>
      </x:c>
      <x:c r="B475" s="7" t="n">
        <x:f>COUNTIF('唯一词标签'!$V$2:$V$1441,A475)</x:f>
        <x:v>1</x:v>
      </x:c>
      <x:c r="C475" s="55" t="n">
        <x:f>B475/COUNTA('唯一词标签'!$C$2:$C$1441)</x:f>
        <x:v>0.0006944444444444445</x:v>
      </x:c>
      <x:c r="D475" s="7" t="n">
        <x:f>COUNTIFS('唯一词标签'!$V$2:$V$1441,A475,'唯一词标签'!$Z$2:$Z$1441,"match")</x:f>
        <x:v>0</x:v>
      </x:c>
      <x:c r="E475" s="7" t="n">
        <x:f>COUNTIFS('唯一词标签'!$V$2:$V$1441,A475,'唯一词标签'!$Z$2:$Z$1441,"partial_match")</x:f>
        <x:v>1</x:v>
      </x:c>
      <x:c r="F475" s="7" t="n">
        <x:f>COUNTIFS('唯一词标签'!$V$2:$V$1441,A475,'唯一词标签'!$Z$2:$Z$1441,"mismatch")</x:f>
        <x:v>0</x:v>
      </x:c>
      <x:c r="G475" s="7" t="n">
        <x:f>COUNTIFS('唯一词标签'!$V$2:$V$1441,A475,'唯一词标签'!$Z$2:$Z$1441,"unknown")</x:f>
        <x:v>0</x:v>
      </x:c>
      <x:c r="H475" s="7" t="n">
        <x:f>COUNTIFS('唯一词标签'!$V$2:$V$1441,A475,'唯一词标签'!$U$2:$U$1441,"low")</x:f>
        <x:v>0</x:v>
      </x:c>
      <x:c r="I475" s="7" t="n">
        <x:f>COUNTIFS('唯一词标签'!$V$2:$V$1441,A475,'唯一词标签'!$AB$2:$AB$1441,"needs_review")</x:f>
        <x:v>0</x:v>
      </x:c>
    </x:row>
    <x:row r="476" ht="22" customHeight="1">
      <x:c r="A476" s="7" t="str">
        <x:v>narrow_feet_womens_flip_flops</x:v>
      </x:c>
      <x:c r="B476" s="7" t="n">
        <x:f>COUNTIF('唯一词标签'!$V$2:$V$1441,A476)</x:f>
        <x:v>1</x:v>
      </x:c>
      <x:c r="C476" s="55" t="n">
        <x:f>B476/COUNTA('唯一词标签'!$C$2:$C$1441)</x:f>
        <x:v>0.0006944444444444445</x:v>
      </x:c>
      <x:c r="D476" s="7" t="n">
        <x:f>COUNTIFS('唯一词标签'!$V$2:$V$1441,A476,'唯一词标签'!$Z$2:$Z$1441,"match")</x:f>
        <x:v>0</x:v>
      </x:c>
      <x:c r="E476" s="7" t="n">
        <x:f>COUNTIFS('唯一词标签'!$V$2:$V$1441,A476,'唯一词标签'!$Z$2:$Z$1441,"partial_match")</x:f>
        <x:v>0</x:v>
      </x:c>
      <x:c r="F476" s="7" t="n">
        <x:f>COUNTIFS('唯一词标签'!$V$2:$V$1441,A476,'唯一词标签'!$Z$2:$Z$1441,"mismatch")</x:f>
        <x:v>1</x:v>
      </x:c>
      <x:c r="G476" s="7" t="n">
        <x:f>COUNTIFS('唯一词标签'!$V$2:$V$1441,A476,'唯一词标签'!$Z$2:$Z$1441,"unknown")</x:f>
        <x:v>0</x:v>
      </x:c>
      <x:c r="H476" s="7" t="n">
        <x:f>COUNTIFS('唯一词标签'!$V$2:$V$1441,A476,'唯一词标签'!$U$2:$U$1441,"low")</x:f>
        <x:v>0</x:v>
      </x:c>
      <x:c r="I476" s="7" t="n">
        <x:f>COUNTIFS('唯一词标签'!$V$2:$V$1441,A476,'唯一词标签'!$AB$2:$AB$1441,"needs_review")</x:f>
        <x:v>0</x:v>
      </x:c>
    </x:row>
    <x:row r="477" ht="22" customHeight="1">
      <x:c r="A477" s="7" t="str">
        <x:v>narrow_fit_flip_flops</x:v>
      </x:c>
      <x:c r="B477" s="7" t="n">
        <x:f>COUNTIF('唯一词标签'!$V$2:$V$1441,A477)</x:f>
        <x:v>1</x:v>
      </x:c>
      <x:c r="C477" s="55" t="n">
        <x:f>B477/COUNTA('唯一词标签'!$C$2:$C$1441)</x:f>
        <x:v>0.0006944444444444445</x:v>
      </x:c>
      <x:c r="D477" s="7" t="n">
        <x:f>COUNTIFS('唯一词标签'!$V$2:$V$1441,A477,'唯一词标签'!$Z$2:$Z$1441,"match")</x:f>
        <x:v>0</x:v>
      </x:c>
      <x:c r="E477" s="7" t="n">
        <x:f>COUNTIFS('唯一词标签'!$V$2:$V$1441,A477,'唯一词标签'!$Z$2:$Z$1441,"partial_match")</x:f>
        <x:v>1</x:v>
      </x:c>
      <x:c r="F477" s="7" t="n">
        <x:f>COUNTIFS('唯一词标签'!$V$2:$V$1441,A477,'唯一词标签'!$Z$2:$Z$1441,"mismatch")</x:f>
        <x:v>0</x:v>
      </x:c>
      <x:c r="G477" s="7" t="n">
        <x:f>COUNTIFS('唯一词标签'!$V$2:$V$1441,A477,'唯一词标签'!$Z$2:$Z$1441,"unknown")</x:f>
        <x:v>0</x:v>
      </x:c>
      <x:c r="H477" s="7" t="n">
        <x:f>COUNTIFS('唯一词标签'!$V$2:$V$1441,A477,'唯一词标签'!$U$2:$U$1441,"low")</x:f>
        <x:v>0</x:v>
      </x:c>
      <x:c r="I477" s="7" t="n">
        <x:f>COUNTIFS('唯一词标签'!$V$2:$V$1441,A477,'唯一词标签'!$AB$2:$AB$1441,"needs_review")</x:f>
        <x:v>0</x:v>
      </x:c>
    </x:row>
    <x:row r="478" ht="22" customHeight="1">
      <x:c r="A478" s="7" t="str">
        <x:v>narrow_flip_flops</x:v>
      </x:c>
      <x:c r="B478" s="7" t="n">
        <x:f>COUNTIF('唯一词标签'!$V$2:$V$1441,A478)</x:f>
        <x:v>1</x:v>
      </x:c>
      <x:c r="C478" s="55" t="n">
        <x:f>B478/COUNTA('唯一词标签'!$C$2:$C$1441)</x:f>
        <x:v>0.0006944444444444445</x:v>
      </x:c>
      <x:c r="D478" s="7" t="n">
        <x:f>COUNTIFS('唯一词标签'!$V$2:$V$1441,A478,'唯一词标签'!$Z$2:$Z$1441,"match")</x:f>
        <x:v>0</x:v>
      </x:c>
      <x:c r="E478" s="7" t="n">
        <x:f>COUNTIFS('唯一词标签'!$V$2:$V$1441,A478,'唯一词标签'!$Z$2:$Z$1441,"partial_match")</x:f>
        <x:v>1</x:v>
      </x:c>
      <x:c r="F478" s="7" t="n">
        <x:f>COUNTIFS('唯一词标签'!$V$2:$V$1441,A478,'唯一词标签'!$Z$2:$Z$1441,"mismatch")</x:f>
        <x:v>0</x:v>
      </x:c>
      <x:c r="G478" s="7" t="n">
        <x:f>COUNTIFS('唯一词标签'!$V$2:$V$1441,A478,'唯一词标签'!$Z$2:$Z$1441,"unknown")</x:f>
        <x:v>0</x:v>
      </x:c>
      <x:c r="H478" s="7" t="n">
        <x:f>COUNTIFS('唯一词标签'!$V$2:$V$1441,A478,'唯一词标签'!$U$2:$U$1441,"low")</x:f>
        <x:v>0</x:v>
      </x:c>
      <x:c r="I478" s="7" t="n">
        <x:f>COUNTIFS('唯一词标签'!$V$2:$V$1441,A478,'唯一词标签'!$AB$2:$AB$1441,"needs_review")</x:f>
        <x:v>1</x:v>
      </x:c>
    </x:row>
    <x:row r="479" ht="22" customHeight="1">
      <x:c r="A479" s="7" t="str">
        <x:v>narrow_flip_flops_women</x:v>
      </x:c>
      <x:c r="B479" s="7" t="n">
        <x:f>COUNTIF('唯一词标签'!$V$2:$V$1441,A479)</x:f>
        <x:v>1</x:v>
      </x:c>
      <x:c r="C479" s="55" t="n">
        <x:f>B479/COUNTA('唯一词标签'!$C$2:$C$1441)</x:f>
        <x:v>0.0006944444444444445</x:v>
      </x:c>
      <x:c r="D479" s="7" t="n">
        <x:f>COUNTIFS('唯一词标签'!$V$2:$V$1441,A479,'唯一词标签'!$Z$2:$Z$1441,"match")</x:f>
        <x:v>0</x:v>
      </x:c>
      <x:c r="E479" s="7" t="n">
        <x:f>COUNTIFS('唯一词标签'!$V$2:$V$1441,A479,'唯一词标签'!$Z$2:$Z$1441,"partial_match")</x:f>
        <x:v>1</x:v>
      </x:c>
      <x:c r="F479" s="7" t="n">
        <x:f>COUNTIFS('唯一词标签'!$V$2:$V$1441,A479,'唯一词标签'!$Z$2:$Z$1441,"mismatch")</x:f>
        <x:v>0</x:v>
      </x:c>
      <x:c r="G479" s="7" t="n">
        <x:f>COUNTIFS('唯一词标签'!$V$2:$V$1441,A479,'唯一词标签'!$Z$2:$Z$1441,"unknown")</x:f>
        <x:v>0</x:v>
      </x:c>
      <x:c r="H479" s="7" t="n">
        <x:f>COUNTIFS('唯一词标签'!$V$2:$V$1441,A479,'唯一词标签'!$U$2:$U$1441,"low")</x:f>
        <x:v>0</x:v>
      </x:c>
      <x:c r="I479" s="7" t="n">
        <x:f>COUNTIFS('唯一词标签'!$V$2:$V$1441,A479,'唯一词标签'!$AB$2:$AB$1441,"needs_review")</x:f>
        <x:v>0</x:v>
      </x:c>
    </x:row>
    <x:row r="480" ht="22" customHeight="1">
      <x:c r="A480" s="7" t="str">
        <x:v>narrow_orthopedic_flip_flops</x:v>
      </x:c>
      <x:c r="B480" s="7" t="n">
        <x:f>COUNTIF('唯一词标签'!$V$2:$V$1441,A480)</x:f>
        <x:v>1</x:v>
      </x:c>
      <x:c r="C480" s="55" t="n">
        <x:f>B480/COUNTA('唯一词标签'!$C$2:$C$1441)</x:f>
        <x:v>0.0006944444444444445</x:v>
      </x:c>
      <x:c r="D480" s="7" t="n">
        <x:f>COUNTIFS('唯一词标签'!$V$2:$V$1441,A480,'唯一词标签'!$Z$2:$Z$1441,"match")</x:f>
        <x:v>0</x:v>
      </x:c>
      <x:c r="E480" s="7" t="n">
        <x:f>COUNTIFS('唯一词标签'!$V$2:$V$1441,A480,'唯一词标签'!$Z$2:$Z$1441,"partial_match")</x:f>
        <x:v>1</x:v>
      </x:c>
      <x:c r="F480" s="7" t="n">
        <x:f>COUNTIFS('唯一词标签'!$V$2:$V$1441,A480,'唯一词标签'!$Z$2:$Z$1441,"mismatch")</x:f>
        <x:v>0</x:v>
      </x:c>
      <x:c r="G480" s="7" t="n">
        <x:f>COUNTIFS('唯一词标签'!$V$2:$V$1441,A480,'唯一词标签'!$Z$2:$Z$1441,"unknown")</x:f>
        <x:v>0</x:v>
      </x:c>
      <x:c r="H480" s="7" t="n">
        <x:f>COUNTIFS('唯一词标签'!$V$2:$V$1441,A480,'唯一词标签'!$U$2:$U$1441,"low")</x:f>
        <x:v>0</x:v>
      </x:c>
      <x:c r="I480" s="7" t="n">
        <x:f>COUNTIFS('唯一词标签'!$V$2:$V$1441,A480,'唯一词标签'!$AB$2:$AB$1441,"needs_review")</x:f>
        <x:v>0</x:v>
      </x:c>
    </x:row>
    <x:row r="481" ht="22" customHeight="1">
      <x:c r="A481" s="7" t="str">
        <x:v>narrow_width_sandals_women_black</x:v>
      </x:c>
      <x:c r="B481" s="7" t="n">
        <x:f>COUNTIF('唯一词标签'!$V$2:$V$1441,A481)</x:f>
        <x:v>1</x:v>
      </x:c>
      <x:c r="C481" s="55" t="n">
        <x:f>B481/COUNTA('唯一词标签'!$C$2:$C$1441)</x:f>
        <x:v>0.0006944444444444445</x:v>
      </x:c>
      <x:c r="D481" s="7" t="n">
        <x:f>COUNTIFS('唯一词标签'!$V$2:$V$1441,A481,'唯一词标签'!$Z$2:$Z$1441,"match")</x:f>
        <x:v>0</x:v>
      </x:c>
      <x:c r="E481" s="7" t="n">
        <x:f>COUNTIFS('唯一词标签'!$V$2:$V$1441,A481,'唯一词标签'!$Z$2:$Z$1441,"partial_match")</x:f>
        <x:v>1</x:v>
      </x:c>
      <x:c r="F481" s="7" t="n">
        <x:f>COUNTIFS('唯一词标签'!$V$2:$V$1441,A481,'唯一词标签'!$Z$2:$Z$1441,"mismatch")</x:f>
        <x:v>0</x:v>
      </x:c>
      <x:c r="G481" s="7" t="n">
        <x:f>COUNTIFS('唯一词标签'!$V$2:$V$1441,A481,'唯一词标签'!$Z$2:$Z$1441,"unknown")</x:f>
        <x:v>0</x:v>
      </x:c>
      <x:c r="H481" s="7" t="n">
        <x:f>COUNTIFS('唯一词标签'!$V$2:$V$1441,A481,'唯一词标签'!$U$2:$U$1441,"low")</x:f>
        <x:v>0</x:v>
      </x:c>
      <x:c r="I481" s="7" t="n">
        <x:f>COUNTIFS('唯一词标签'!$V$2:$V$1441,A481,'唯一词标签'!$AB$2:$AB$1441,"needs_review")</x:f>
        <x:v>0</x:v>
      </x:c>
    </x:row>
    <x:row r="482" ht="22" customHeight="1">
      <x:c r="A482" s="7" t="str">
        <x:v>narrow_width_womens_flip_flops</x:v>
      </x:c>
      <x:c r="B482" s="7" t="n">
        <x:f>COUNTIF('唯一词标签'!$V$2:$V$1441,A482)</x:f>
        <x:v>1</x:v>
      </x:c>
      <x:c r="C482" s="55" t="n">
        <x:f>B482/COUNTA('唯一词标签'!$C$2:$C$1441)</x:f>
        <x:v>0.0006944444444444445</x:v>
      </x:c>
      <x:c r="D482" s="7" t="n">
        <x:f>COUNTIFS('唯一词标签'!$V$2:$V$1441,A482,'唯一词标签'!$Z$2:$Z$1441,"match")</x:f>
        <x:v>0</x:v>
      </x:c>
      <x:c r="E482" s="7" t="n">
        <x:f>COUNTIFS('唯一词标签'!$V$2:$V$1441,A482,'唯一词标签'!$Z$2:$Z$1441,"partial_match")</x:f>
        <x:v>0</x:v>
      </x:c>
      <x:c r="F482" s="7" t="n">
        <x:f>COUNTIFS('唯一词标签'!$V$2:$V$1441,A482,'唯一词标签'!$Z$2:$Z$1441,"mismatch")</x:f>
        <x:v>1</x:v>
      </x:c>
      <x:c r="G482" s="7" t="n">
        <x:f>COUNTIFS('唯一词标签'!$V$2:$V$1441,A482,'唯一词标签'!$Z$2:$Z$1441,"unknown")</x:f>
        <x:v>0</x:v>
      </x:c>
      <x:c r="H482" s="7" t="n">
        <x:f>COUNTIFS('唯一词标签'!$V$2:$V$1441,A482,'唯一词标签'!$U$2:$U$1441,"low")</x:f>
        <x:v>0</x:v>
      </x:c>
      <x:c r="I482" s="7" t="n">
        <x:f>COUNTIFS('唯一词标签'!$V$2:$V$1441,A482,'唯一词标签'!$AB$2:$AB$1441,"needs_review")</x:f>
        <x:v>0</x:v>
      </x:c>
    </x:row>
    <x:row r="483" ht="22" customHeight="1">
      <x:c r="A483" s="7" t="str">
        <x:v>nautical_flip_flops</x:v>
      </x:c>
      <x:c r="B483" s="7" t="n">
        <x:f>COUNTIF('唯一词标签'!$V$2:$V$1441,A483)</x:f>
        <x:v>1</x:v>
      </x:c>
      <x:c r="C483" s="55" t="n">
        <x:f>B483/COUNTA('唯一词标签'!$C$2:$C$1441)</x:f>
        <x:v>0.0006944444444444445</x:v>
      </x:c>
      <x:c r="D483" s="7" t="n">
        <x:f>COUNTIFS('唯一词标签'!$V$2:$V$1441,A483,'唯一词标签'!$Z$2:$Z$1441,"match")</x:f>
        <x:v>0</x:v>
      </x:c>
      <x:c r="E483" s="7" t="n">
        <x:f>COUNTIFS('唯一词标签'!$V$2:$V$1441,A483,'唯一词标签'!$Z$2:$Z$1441,"partial_match")</x:f>
        <x:v>1</x:v>
      </x:c>
      <x:c r="F483" s="7" t="n">
        <x:f>COUNTIFS('唯一词标签'!$V$2:$V$1441,A483,'唯一词标签'!$Z$2:$Z$1441,"mismatch")</x:f>
        <x:v>0</x:v>
      </x:c>
      <x:c r="G483" s="7" t="n">
        <x:f>COUNTIFS('唯一词标签'!$V$2:$V$1441,A483,'唯一词标签'!$Z$2:$Z$1441,"unknown")</x:f>
        <x:v>0</x:v>
      </x:c>
      <x:c r="H483" s="7" t="n">
        <x:f>COUNTIFS('唯一词标签'!$V$2:$V$1441,A483,'唯一词标签'!$U$2:$U$1441,"low")</x:f>
        <x:v>0</x:v>
      </x:c>
      <x:c r="I483" s="7" t="n">
        <x:f>COUNTIFS('唯一词标签'!$V$2:$V$1441,A483,'唯一词标签'!$AB$2:$AB$1441,"needs_review")</x:f>
        <x:v>0</x:v>
      </x:c>
    </x:row>
    <x:row r="484" ht="22" customHeight="1">
      <x:c r="A484" s="7" t="str">
        <x:v>navy_arch_support_sandals</x:v>
      </x:c>
      <x:c r="B484" s="7" t="n">
        <x:f>COUNTIF('唯一词标签'!$V$2:$V$1441,A484)</x:f>
        <x:v>1</x:v>
      </x:c>
      <x:c r="C484" s="55" t="n">
        <x:f>B484/COUNTA('唯一词标签'!$C$2:$C$1441)</x:f>
        <x:v>0.0006944444444444445</x:v>
      </x:c>
      <x:c r="D484" s="7" t="n">
        <x:f>COUNTIFS('唯一词标签'!$V$2:$V$1441,A484,'唯一词标签'!$Z$2:$Z$1441,"match")</x:f>
        <x:v>0</x:v>
      </x:c>
      <x:c r="E484" s="7" t="n">
        <x:f>COUNTIFS('唯一词标签'!$V$2:$V$1441,A484,'唯一词标签'!$Z$2:$Z$1441,"partial_match")</x:f>
        <x:v>1</x:v>
      </x:c>
      <x:c r="F484" s="7" t="n">
        <x:f>COUNTIFS('唯一词标签'!$V$2:$V$1441,A484,'唯一词标签'!$Z$2:$Z$1441,"mismatch")</x:f>
        <x:v>0</x:v>
      </x:c>
      <x:c r="G484" s="7" t="n">
        <x:f>COUNTIFS('唯一词标签'!$V$2:$V$1441,A484,'唯一词标签'!$Z$2:$Z$1441,"unknown")</x:f>
        <x:v>0</x:v>
      </x:c>
      <x:c r="H484" s="7" t="n">
        <x:f>COUNTIFS('唯一词标签'!$V$2:$V$1441,A484,'唯一词标签'!$U$2:$U$1441,"low")</x:f>
        <x:v>0</x:v>
      </x:c>
      <x:c r="I484" s="7" t="n">
        <x:f>COUNTIFS('唯一词标签'!$V$2:$V$1441,A484,'唯一词标签'!$AB$2:$AB$1441,"needs_review")</x:f>
        <x:v>0</x:v>
      </x:c>
    </x:row>
    <x:row r="485" ht="22" customHeight="1">
      <x:c r="A485" s="7" t="str">
        <x:v>navy_blue_comfort_flip_flops</x:v>
      </x:c>
      <x:c r="B485" s="7" t="n">
        <x:f>COUNTIF('唯一词标签'!$V$2:$V$1441,A485)</x:f>
        <x:v>1</x:v>
      </x:c>
      <x:c r="C485" s="55" t="n">
        <x:f>B485/COUNTA('唯一词标签'!$C$2:$C$1441)</x:f>
        <x:v>0.0006944444444444445</x:v>
      </x:c>
      <x:c r="D485" s="7" t="n">
        <x:f>COUNTIFS('唯一词标签'!$V$2:$V$1441,A485,'唯一词标签'!$Z$2:$Z$1441,"match")</x:f>
        <x:v>0</x:v>
      </x:c>
      <x:c r="E485" s="7" t="n">
        <x:f>COUNTIFS('唯一词标签'!$V$2:$V$1441,A485,'唯一词标签'!$Z$2:$Z$1441,"partial_match")</x:f>
        <x:v>1</x:v>
      </x:c>
      <x:c r="F485" s="7" t="n">
        <x:f>COUNTIFS('唯一词标签'!$V$2:$V$1441,A485,'唯一词标签'!$Z$2:$Z$1441,"mismatch")</x:f>
        <x:v>0</x:v>
      </x:c>
      <x:c r="G485" s="7" t="n">
        <x:f>COUNTIFS('唯一词标签'!$V$2:$V$1441,A485,'唯一词标签'!$Z$2:$Z$1441,"unknown")</x:f>
        <x:v>0</x:v>
      </x:c>
      <x:c r="H485" s="7" t="n">
        <x:f>COUNTIFS('唯一词标签'!$V$2:$V$1441,A485,'唯一词标签'!$U$2:$U$1441,"low")</x:f>
        <x:v>0</x:v>
      </x:c>
      <x:c r="I485" s="7" t="n">
        <x:f>COUNTIFS('唯一词标签'!$V$2:$V$1441,A485,'唯一词标签'!$AB$2:$AB$1441,"needs_review")</x:f>
        <x:v>1</x:v>
      </x:c>
    </x:row>
    <x:row r="486" ht="22" customHeight="1">
      <x:c r="A486" s="7" t="str">
        <x:v>navy_blue_orthotic_flip_flops</x:v>
      </x:c>
      <x:c r="B486" s="7" t="n">
        <x:f>COUNTIF('唯一词标签'!$V$2:$V$1441,A486)</x:f>
        <x:v>1</x:v>
      </x:c>
      <x:c r="C486" s="55" t="n">
        <x:f>B486/COUNTA('唯一词标签'!$C$2:$C$1441)</x:f>
        <x:v>0.0006944444444444445</x:v>
      </x:c>
      <x:c r="D486" s="7" t="n">
        <x:f>COUNTIFS('唯一词标签'!$V$2:$V$1441,A486,'唯一词标签'!$Z$2:$Z$1441,"match")</x:f>
        <x:v>0</x:v>
      </x:c>
      <x:c r="E486" s="7" t="n">
        <x:f>COUNTIFS('唯一词标签'!$V$2:$V$1441,A486,'唯一词标签'!$Z$2:$Z$1441,"partial_match")</x:f>
        <x:v>1</x:v>
      </x:c>
      <x:c r="F486" s="7" t="n">
        <x:f>COUNTIFS('唯一词标签'!$V$2:$V$1441,A486,'唯一词标签'!$Z$2:$Z$1441,"mismatch")</x:f>
        <x:v>0</x:v>
      </x:c>
      <x:c r="G486" s="7" t="n">
        <x:f>COUNTIFS('唯一词标签'!$V$2:$V$1441,A486,'唯一词标签'!$Z$2:$Z$1441,"unknown")</x:f>
        <x:v>0</x:v>
      </x:c>
      <x:c r="H486" s="7" t="n">
        <x:f>COUNTIFS('唯一词标签'!$V$2:$V$1441,A486,'唯一词标签'!$U$2:$U$1441,"low")</x:f>
        <x:v>0</x:v>
      </x:c>
      <x:c r="I486" s="7" t="n">
        <x:f>COUNTIFS('唯一词标签'!$V$2:$V$1441,A486,'唯一词标签'!$AB$2:$AB$1441,"needs_review")</x:f>
        <x:v>0</x:v>
      </x:c>
    </x:row>
    <x:row r="487" ht="22" customHeight="1">
      <x:c r="A487" s="7" t="str">
        <x:v>navy_blue_womens_arch_sandals</x:v>
      </x:c>
      <x:c r="B487" s="7" t="n">
        <x:f>COUNTIF('唯一词标签'!$V$2:$V$1441,A487)</x:f>
        <x:v>1</x:v>
      </x:c>
      <x:c r="C487" s="55" t="n">
        <x:f>B487/COUNTA('唯一词标签'!$C$2:$C$1441)</x:f>
        <x:v>0.0006944444444444445</x:v>
      </x:c>
      <x:c r="D487" s="7" t="n">
        <x:f>COUNTIFS('唯一词标签'!$V$2:$V$1441,A487,'唯一词标签'!$Z$2:$Z$1441,"match")</x:f>
        <x:v>0</x:v>
      </x:c>
      <x:c r="E487" s="7" t="n">
        <x:f>COUNTIFS('唯一词标签'!$V$2:$V$1441,A487,'唯一词标签'!$Z$2:$Z$1441,"partial_match")</x:f>
        <x:v>1</x:v>
      </x:c>
      <x:c r="F487" s="7" t="n">
        <x:f>COUNTIFS('唯一词标签'!$V$2:$V$1441,A487,'唯一词标签'!$Z$2:$Z$1441,"mismatch")</x:f>
        <x:v>0</x:v>
      </x:c>
      <x:c r="G487" s="7" t="n">
        <x:f>COUNTIFS('唯一词标签'!$V$2:$V$1441,A487,'唯一词标签'!$Z$2:$Z$1441,"unknown")</x:f>
        <x:v>0</x:v>
      </x:c>
      <x:c r="H487" s="7" t="n">
        <x:f>COUNTIFS('唯一词标签'!$V$2:$V$1441,A487,'唯一词标签'!$U$2:$U$1441,"low")</x:f>
        <x:v>0</x:v>
      </x:c>
      <x:c r="I487" s="7" t="n">
        <x:f>COUNTIFS('唯一词标签'!$V$2:$V$1441,A487,'唯一词标签'!$AB$2:$AB$1441,"needs_review")</x:f>
        <x:v>0</x:v>
      </x:c>
    </x:row>
    <x:row r="488" ht="22" customHeight="1">
      <x:c r="A488" s="7" t="str">
        <x:v>navy_blue_womens_flip_flops</x:v>
      </x:c>
      <x:c r="B488" s="7" t="n">
        <x:f>COUNTIF('唯一词标签'!$V$2:$V$1441,A488)</x:f>
        <x:v>1</x:v>
      </x:c>
      <x:c r="C488" s="55" t="n">
        <x:f>B488/COUNTA('唯一词标签'!$C$2:$C$1441)</x:f>
        <x:v>0.0006944444444444445</x:v>
      </x:c>
      <x:c r="D488" s="7" t="n">
        <x:f>COUNTIFS('唯一词标签'!$V$2:$V$1441,A488,'唯一词标签'!$Z$2:$Z$1441,"match")</x:f>
        <x:v>0</x:v>
      </x:c>
      <x:c r="E488" s="7" t="n">
        <x:f>COUNTIFS('唯一词标签'!$V$2:$V$1441,A488,'唯一词标签'!$Z$2:$Z$1441,"partial_match")</x:f>
        <x:v>1</x:v>
      </x:c>
      <x:c r="F488" s="7" t="n">
        <x:f>COUNTIFS('唯一词标签'!$V$2:$V$1441,A488,'唯一词标签'!$Z$2:$Z$1441,"mismatch")</x:f>
        <x:v>0</x:v>
      </x:c>
      <x:c r="G488" s="7" t="n">
        <x:f>COUNTIFS('唯一词标签'!$V$2:$V$1441,A488,'唯一词标签'!$Z$2:$Z$1441,"unknown")</x:f>
        <x:v>0</x:v>
      </x:c>
      <x:c r="H488" s="7" t="n">
        <x:f>COUNTIFS('唯一词标签'!$V$2:$V$1441,A488,'唯一词标签'!$U$2:$U$1441,"low")</x:f>
        <x:v>0</x:v>
      </x:c>
      <x:c r="I488" s="7" t="n">
        <x:f>COUNTIFS('唯一词标签'!$V$2:$V$1441,A488,'唯一词标签'!$AB$2:$AB$1441,"needs_review")</x:f>
        <x:v>0</x:v>
      </x:c>
    </x:row>
    <x:row r="489" ht="22" customHeight="1">
      <x:c r="A489" s="7" t="str">
        <x:v>navy_flip_flops</x:v>
      </x:c>
      <x:c r="B489" s="7" t="n">
        <x:f>COUNTIF('唯一词标签'!$V$2:$V$1441,A489)</x:f>
        <x:v>1</x:v>
      </x:c>
      <x:c r="C489" s="55" t="n">
        <x:f>B489/COUNTA('唯一词标签'!$C$2:$C$1441)</x:f>
        <x:v>0.0006944444444444445</x:v>
      </x:c>
      <x:c r="D489" s="7" t="n">
        <x:f>COUNTIFS('唯一词标签'!$V$2:$V$1441,A489,'唯一词标签'!$Z$2:$Z$1441,"match")</x:f>
        <x:v>0</x:v>
      </x:c>
      <x:c r="E489" s="7" t="n">
        <x:f>COUNTIFS('唯一词标签'!$V$2:$V$1441,A489,'唯一词标签'!$Z$2:$Z$1441,"partial_match")</x:f>
        <x:v>1</x:v>
      </x:c>
      <x:c r="F489" s="7" t="n">
        <x:f>COUNTIFS('唯一词标签'!$V$2:$V$1441,A489,'唯一词标签'!$Z$2:$Z$1441,"mismatch")</x:f>
        <x:v>0</x:v>
      </x:c>
      <x:c r="G489" s="7" t="n">
        <x:f>COUNTIFS('唯一词标签'!$V$2:$V$1441,A489,'唯一词标签'!$Z$2:$Z$1441,"unknown")</x:f>
        <x:v>0</x:v>
      </x:c>
      <x:c r="H489" s="7" t="n">
        <x:f>COUNTIFS('唯一词标签'!$V$2:$V$1441,A489,'唯一词标签'!$U$2:$U$1441,"low")</x:f>
        <x:v>0</x:v>
      </x:c>
      <x:c r="I489" s="7" t="n">
        <x:f>COUNTIFS('唯一词标签'!$V$2:$V$1441,A489,'唯一词标签'!$AB$2:$AB$1441,"needs_review")</x:f>
        <x:v>0</x:v>
      </x:c>
    </x:row>
    <x:row r="490" ht="22" customHeight="1">
      <x:c r="A490" s="7" t="str">
        <x:v>navy_women_arch_flip_flops</x:v>
      </x:c>
      <x:c r="B490" s="7" t="n">
        <x:f>COUNTIF('唯一词标签'!$V$2:$V$1441,A490)</x:f>
        <x:v>1</x:v>
      </x:c>
      <x:c r="C490" s="55" t="n">
        <x:f>B490/COUNTA('唯一词标签'!$C$2:$C$1441)</x:f>
        <x:v>0.0006944444444444445</x:v>
      </x:c>
      <x:c r="D490" s="7" t="n">
        <x:f>COUNTIFS('唯一词标签'!$V$2:$V$1441,A490,'唯一词标签'!$Z$2:$Z$1441,"match")</x:f>
        <x:v>0</x:v>
      </x:c>
      <x:c r="E490" s="7" t="n">
        <x:f>COUNTIFS('唯一词标签'!$V$2:$V$1441,A490,'唯一词标签'!$Z$2:$Z$1441,"partial_match")</x:f>
        <x:v>1</x:v>
      </x:c>
      <x:c r="F490" s="7" t="n">
        <x:f>COUNTIFS('唯一词标签'!$V$2:$V$1441,A490,'唯一词标签'!$Z$2:$Z$1441,"mismatch")</x:f>
        <x:v>0</x:v>
      </x:c>
      <x:c r="G490" s="7" t="n">
        <x:f>COUNTIFS('唯一词标签'!$V$2:$V$1441,A490,'唯一词标签'!$Z$2:$Z$1441,"unknown")</x:f>
        <x:v>0</x:v>
      </x:c>
      <x:c r="H490" s="7" t="n">
        <x:f>COUNTIFS('唯一词标签'!$V$2:$V$1441,A490,'唯一词标签'!$U$2:$U$1441,"low")</x:f>
        <x:v>0</x:v>
      </x:c>
      <x:c r="I490" s="7" t="n">
        <x:f>COUNTIFS('唯一词标签'!$V$2:$V$1441,A490,'唯一词标签'!$AB$2:$AB$1441,"needs_review")</x:f>
        <x:v>1</x:v>
      </x:c>
    </x:row>
    <x:row r="491" ht="22" customHeight="1">
      <x:c r="A491" s="7" t="str">
        <x:v>ncai_brand_womens_flip_flops</x:v>
      </x:c>
      <x:c r="B491" s="7" t="n">
        <x:f>COUNTIF('唯一词标签'!$V$2:$V$1441,A491)</x:f>
        <x:v>1</x:v>
      </x:c>
      <x:c r="C491" s="55" t="n">
        <x:f>B491/COUNTA('唯一词标签'!$C$2:$C$1441)</x:f>
        <x:v>0.0006944444444444445</x:v>
      </x:c>
      <x:c r="D491" s="7" t="n">
        <x:f>COUNTIFS('唯一词标签'!$V$2:$V$1441,A491,'唯一词标签'!$Z$2:$Z$1441,"match")</x:f>
        <x:v>0</x:v>
      </x:c>
      <x:c r="E491" s="7" t="n">
        <x:f>COUNTIFS('唯一词标签'!$V$2:$V$1441,A491,'唯一词标签'!$Z$2:$Z$1441,"partial_match")</x:f>
        <x:v>0</x:v>
      </x:c>
      <x:c r="F491" s="7" t="n">
        <x:f>COUNTIFS('唯一词标签'!$V$2:$V$1441,A491,'唯一词标签'!$Z$2:$Z$1441,"mismatch")</x:f>
        <x:v>1</x:v>
      </x:c>
      <x:c r="G491" s="7" t="n">
        <x:f>COUNTIFS('唯一词标签'!$V$2:$V$1441,A491,'唯一词标签'!$Z$2:$Z$1441,"unknown")</x:f>
        <x:v>0</x:v>
      </x:c>
      <x:c r="H491" s="7" t="n">
        <x:f>COUNTIFS('唯一词标签'!$V$2:$V$1441,A491,'唯一词标签'!$U$2:$U$1441,"low")</x:f>
        <x:v>0</x:v>
      </x:c>
      <x:c r="I491" s="7" t="n">
        <x:f>COUNTIFS('唯一词标签'!$V$2:$V$1441,A491,'唯一词标签'!$AB$2:$AB$1441,"needs_review")</x:f>
        <x:v>0</x:v>
      </x:c>
    </x:row>
    <x:row r="492" ht="22" customHeight="1">
      <x:c r="A492" s="7" t="str">
        <x:v>neuropathy_flip_flop_women</x:v>
      </x:c>
      <x:c r="B492" s="7" t="n">
        <x:f>COUNTIF('唯一词标签'!$V$2:$V$1441,A492)</x:f>
        <x:v>1</x:v>
      </x:c>
      <x:c r="C492" s="55" t="n">
        <x:f>B492/COUNTA('唯一词标签'!$C$2:$C$1441)</x:f>
        <x:v>0.0006944444444444445</x:v>
      </x:c>
      <x:c r="D492" s="7" t="n">
        <x:f>COUNTIFS('唯一词标签'!$V$2:$V$1441,A492,'唯一词标签'!$Z$2:$Z$1441,"match")</x:f>
        <x:v>0</x:v>
      </x:c>
      <x:c r="E492" s="7" t="n">
        <x:f>COUNTIFS('唯一词标签'!$V$2:$V$1441,A492,'唯一词标签'!$Z$2:$Z$1441,"partial_match")</x:f>
        <x:v>0</x:v>
      </x:c>
      <x:c r="F492" s="7" t="n">
        <x:f>COUNTIFS('唯一词标签'!$V$2:$V$1441,A492,'唯一词标签'!$Z$2:$Z$1441,"mismatch")</x:f>
        <x:v>1</x:v>
      </x:c>
      <x:c r="G492" s="7" t="n">
        <x:f>COUNTIFS('唯一词标签'!$V$2:$V$1441,A492,'唯一词标签'!$Z$2:$Z$1441,"unknown")</x:f>
        <x:v>0</x:v>
      </x:c>
      <x:c r="H492" s="7" t="n">
        <x:f>COUNTIFS('唯一词标签'!$V$2:$V$1441,A492,'唯一词标签'!$U$2:$U$1441,"low")</x:f>
        <x:v>0</x:v>
      </x:c>
      <x:c r="I492" s="7" t="n">
        <x:f>COUNTIFS('唯一词标签'!$V$2:$V$1441,A492,'唯一词标签'!$AB$2:$AB$1441,"needs_review")</x:f>
        <x:v>0</x:v>
      </x:c>
    </x:row>
    <x:row r="493" ht="22" customHeight="1">
      <x:c r="A493" s="7" t="str">
        <x:v>neuropathy_footwear</x:v>
      </x:c>
      <x:c r="B493" s="7" t="n">
        <x:f>COUNTIF('唯一词标签'!$V$2:$V$1441,A493)</x:f>
        <x:v>1</x:v>
      </x:c>
      <x:c r="C493" s="55" t="n">
        <x:f>B493/COUNTA('唯一词标签'!$C$2:$C$1441)</x:f>
        <x:v>0.0006944444444444445</x:v>
      </x:c>
      <x:c r="D493" s="7" t="n">
        <x:f>COUNTIFS('唯一词标签'!$V$2:$V$1441,A493,'唯一词标签'!$Z$2:$Z$1441,"match")</x:f>
        <x:v>0</x:v>
      </x:c>
      <x:c r="E493" s="7" t="n">
        <x:f>COUNTIFS('唯一词标签'!$V$2:$V$1441,A493,'唯一词标签'!$Z$2:$Z$1441,"partial_match")</x:f>
        <x:v>1</x:v>
      </x:c>
      <x:c r="F493" s="7" t="n">
        <x:f>COUNTIFS('唯一词标签'!$V$2:$V$1441,A493,'唯一词标签'!$Z$2:$Z$1441,"mismatch")</x:f>
        <x:v>0</x:v>
      </x:c>
      <x:c r="G493" s="7" t="n">
        <x:f>COUNTIFS('唯一词标签'!$V$2:$V$1441,A493,'唯一词标签'!$Z$2:$Z$1441,"unknown")</x:f>
        <x:v>0</x:v>
      </x:c>
      <x:c r="H493" s="7" t="n">
        <x:f>COUNTIFS('唯一词标签'!$V$2:$V$1441,A493,'唯一词标签'!$U$2:$U$1441,"low")</x:f>
        <x:v>1</x:v>
      </x:c>
      <x:c r="I493" s="7" t="n">
        <x:f>COUNTIFS('唯一词标签'!$V$2:$V$1441,A493,'唯一词标签'!$AB$2:$AB$1441,"needs_review")</x:f>
        <x:v>0</x:v>
      </x:c>
    </x:row>
    <x:row r="494" ht="22" customHeight="1">
      <x:c r="A494" s="7" t="str">
        <x:v>no_arch_support_flip_flops</x:v>
      </x:c>
      <x:c r="B494" s="7" t="n">
        <x:f>COUNTIF('唯一词标签'!$V$2:$V$1441,A494)</x:f>
        <x:v>1</x:v>
      </x:c>
      <x:c r="C494" s="55" t="n">
        <x:f>B494/COUNTA('唯一词标签'!$C$2:$C$1441)</x:f>
        <x:v>0.0006944444444444445</x:v>
      </x:c>
      <x:c r="D494" s="7" t="n">
        <x:f>COUNTIFS('唯一词标签'!$V$2:$V$1441,A494,'唯一词标签'!$Z$2:$Z$1441,"match")</x:f>
        <x:v>0</x:v>
      </x:c>
      <x:c r="E494" s="7" t="n">
        <x:f>COUNTIFS('唯一词标签'!$V$2:$V$1441,A494,'唯一词标签'!$Z$2:$Z$1441,"partial_match")</x:f>
        <x:v>0</x:v>
      </x:c>
      <x:c r="F494" s="7" t="n">
        <x:f>COUNTIFS('唯一词标签'!$V$2:$V$1441,A494,'唯一词标签'!$Z$2:$Z$1441,"mismatch")</x:f>
        <x:v>1</x:v>
      </x:c>
      <x:c r="G494" s="7" t="n">
        <x:f>COUNTIFS('唯一词标签'!$V$2:$V$1441,A494,'唯一词标签'!$Z$2:$Z$1441,"unknown")</x:f>
        <x:v>0</x:v>
      </x:c>
      <x:c r="H494" s="7" t="n">
        <x:f>COUNTIFS('唯一词标签'!$V$2:$V$1441,A494,'唯一词标签'!$U$2:$U$1441,"low")</x:f>
        <x:v>0</x:v>
      </x:c>
      <x:c r="I494" s="7" t="n">
        <x:f>COUNTIFS('唯一词标签'!$V$2:$V$1441,A494,'唯一词标签'!$AB$2:$AB$1441,"needs_review")</x:f>
        <x:v>0</x:v>
      </x:c>
    </x:row>
    <x:row r="495" ht="22" customHeight="1">
      <x:c r="A495" s="7" t="str">
        <x:v>non_footwear</x:v>
      </x:c>
      <x:c r="B495" s="7" t="n">
        <x:f>COUNTIF('唯一词标签'!$V$2:$V$1441,A495)</x:f>
        <x:v>1</x:v>
      </x:c>
      <x:c r="C495" s="55" t="n">
        <x:f>B495/COUNTA('唯一词标签'!$C$2:$C$1441)</x:f>
        <x:v>0.0006944444444444445</x:v>
      </x:c>
      <x:c r="D495" s="7" t="n">
        <x:f>COUNTIFS('唯一词标签'!$V$2:$V$1441,A495,'唯一词标签'!$Z$2:$Z$1441,"match")</x:f>
        <x:v>0</x:v>
      </x:c>
      <x:c r="E495" s="7" t="n">
        <x:f>COUNTIFS('唯一词标签'!$V$2:$V$1441,A495,'唯一词标签'!$Z$2:$Z$1441,"partial_match")</x:f>
        <x:v>0</x:v>
      </x:c>
      <x:c r="F495" s="7" t="n">
        <x:f>COUNTIFS('唯一词标签'!$V$2:$V$1441,A495,'唯一词标签'!$Z$2:$Z$1441,"mismatch")</x:f>
        <x:v>1</x:v>
      </x:c>
      <x:c r="G495" s="7" t="n">
        <x:f>COUNTIFS('唯一词标签'!$V$2:$V$1441,A495,'唯一词标签'!$Z$2:$Z$1441,"unknown")</x:f>
        <x:v>0</x:v>
      </x:c>
      <x:c r="H495" s="7" t="n">
        <x:f>COUNTIFS('唯一词标签'!$V$2:$V$1441,A495,'唯一词标签'!$U$2:$U$1441,"low")</x:f>
        <x:v>0</x:v>
      </x:c>
      <x:c r="I495" s="7" t="n">
        <x:f>COUNTIFS('唯一词标签'!$V$2:$V$1441,A495,'唯一词标签'!$AB$2:$AB$1441,"needs_review")</x:f>
        <x:v>0</x:v>
      </x:c>
    </x:row>
    <x:row r="496" ht="22" customHeight="1">
      <x:c r="A496" s="7" t="str">
        <x:v>non_rubber_flip_flops_womens</x:v>
      </x:c>
      <x:c r="B496" s="7" t="n">
        <x:f>COUNTIF('唯一词标签'!$V$2:$V$1441,A496)</x:f>
        <x:v>1</x:v>
      </x:c>
      <x:c r="C496" s="55" t="n">
        <x:f>B496/COUNTA('唯一词标签'!$C$2:$C$1441)</x:f>
        <x:v>0.0006944444444444445</x:v>
      </x:c>
      <x:c r="D496" s="7" t="n">
        <x:f>COUNTIFS('唯一词标签'!$V$2:$V$1441,A496,'唯一词标签'!$Z$2:$Z$1441,"match")</x:f>
        <x:v>1</x:v>
      </x:c>
      <x:c r="E496" s="7" t="n">
        <x:f>COUNTIFS('唯一词标签'!$V$2:$V$1441,A496,'唯一词标签'!$Z$2:$Z$1441,"partial_match")</x:f>
        <x:v>0</x:v>
      </x:c>
      <x:c r="F496" s="7" t="n">
        <x:f>COUNTIFS('唯一词标签'!$V$2:$V$1441,A496,'唯一词标签'!$Z$2:$Z$1441,"mismatch")</x:f>
        <x:v>0</x:v>
      </x:c>
      <x:c r="G496" s="7" t="n">
        <x:f>COUNTIFS('唯一词标签'!$V$2:$V$1441,A496,'唯一词标签'!$Z$2:$Z$1441,"unknown")</x:f>
        <x:v>0</x:v>
      </x:c>
      <x:c r="H496" s="7" t="n">
        <x:f>COUNTIFS('唯一词标签'!$V$2:$V$1441,A496,'唯一词标签'!$U$2:$U$1441,"low")</x:f>
        <x:v>0</x:v>
      </x:c>
      <x:c r="I496" s="7" t="n">
        <x:f>COUNTIFS('唯一词标签'!$V$2:$V$1441,A496,'唯一词标签'!$AB$2:$AB$1441,"needs_review")</x:f>
        <x:v>0</x:v>
      </x:c>
    </x:row>
    <x:row r="497" ht="22" customHeight="1">
      <x:c r="A497" s="7" t="str">
        <x:v>non_slip_flip_flops</x:v>
      </x:c>
      <x:c r="B497" s="7" t="n">
        <x:f>COUNTIF('唯一词标签'!$V$2:$V$1441,A497)</x:f>
        <x:v>2</x:v>
      </x:c>
      <x:c r="C497" s="55" t="n">
        <x:f>B497/COUNTA('唯一词标签'!$C$2:$C$1441)</x:f>
        <x:v>0.001388888888888889</x:v>
      </x:c>
      <x:c r="D497" s="7" t="n">
        <x:f>COUNTIFS('唯一词标签'!$V$2:$V$1441,A497,'唯一词标签'!$Z$2:$Z$1441,"match")</x:f>
        <x:v>2</x:v>
      </x:c>
      <x:c r="E497" s="7" t="n">
        <x:f>COUNTIFS('唯一词标签'!$V$2:$V$1441,A497,'唯一词标签'!$Z$2:$Z$1441,"partial_match")</x:f>
        <x:v>0</x:v>
      </x:c>
      <x:c r="F497" s="7" t="n">
        <x:f>COUNTIFS('唯一词标签'!$V$2:$V$1441,A497,'唯一词标签'!$Z$2:$Z$1441,"mismatch")</x:f>
        <x:v>0</x:v>
      </x:c>
      <x:c r="G497" s="7" t="n">
        <x:f>COUNTIFS('唯一词标签'!$V$2:$V$1441,A497,'唯一词标签'!$Z$2:$Z$1441,"unknown")</x:f>
        <x:v>0</x:v>
      </x:c>
      <x:c r="H497" s="7" t="n">
        <x:f>COUNTIFS('唯一词标签'!$V$2:$V$1441,A497,'唯一词标签'!$U$2:$U$1441,"low")</x:f>
        <x:v>0</x:v>
      </x:c>
      <x:c r="I497" s="7" t="n">
        <x:f>COUNTIFS('唯一词标签'!$V$2:$V$1441,A497,'唯一词标签'!$AB$2:$AB$1441,"needs_review")</x:f>
        <x:v>0</x:v>
      </x:c>
    </x:row>
    <x:row r="498" ht="22" customHeight="1">
      <x:c r="A498" s="7" t="str">
        <x:v>non_slip_pool_flip_flops</x:v>
      </x:c>
      <x:c r="B498" s="7" t="n">
        <x:f>COUNTIF('唯一词标签'!$V$2:$V$1441,A498)</x:f>
        <x:v>1</x:v>
      </x:c>
      <x:c r="C498" s="55" t="n">
        <x:f>B498/COUNTA('唯一词标签'!$C$2:$C$1441)</x:f>
        <x:v>0.0006944444444444445</x:v>
      </x:c>
      <x:c r="D498" s="7" t="n">
        <x:f>COUNTIFS('唯一词标签'!$V$2:$V$1441,A498,'唯一词标签'!$Z$2:$Z$1441,"match")</x:f>
        <x:v>0</x:v>
      </x:c>
      <x:c r="E498" s="7" t="n">
        <x:f>COUNTIFS('唯一词标签'!$V$2:$V$1441,A498,'唯一词标签'!$Z$2:$Z$1441,"partial_match")</x:f>
        <x:v>1</x:v>
      </x:c>
      <x:c r="F498" s="7" t="n">
        <x:f>COUNTIFS('唯一词标签'!$V$2:$V$1441,A498,'唯一词标签'!$Z$2:$Z$1441,"mismatch")</x:f>
        <x:v>0</x:v>
      </x:c>
      <x:c r="G498" s="7" t="n">
        <x:f>COUNTIFS('唯一词标签'!$V$2:$V$1441,A498,'唯一词标签'!$Z$2:$Z$1441,"unknown")</x:f>
        <x:v>0</x:v>
      </x:c>
      <x:c r="H498" s="7" t="n">
        <x:f>COUNTIFS('唯一词标签'!$V$2:$V$1441,A498,'唯一词标签'!$U$2:$U$1441,"low")</x:f>
        <x:v>0</x:v>
      </x:c>
      <x:c r="I498" s="7" t="n">
        <x:f>COUNTIFS('唯一词标签'!$V$2:$V$1441,A498,'唯一词标签'!$AB$2:$AB$1441,"needs_review")</x:f>
        <x:v>0</x:v>
      </x:c>
    </x:row>
    <x:row r="499" ht="22" customHeight="1">
      <x:c r="A499" s="7" t="str">
        <x:v>non_slip_pool_sandals_women</x:v>
      </x:c>
      <x:c r="B499" s="7" t="n">
        <x:f>COUNTIF('唯一词标签'!$V$2:$V$1441,A499)</x:f>
        <x:v>1</x:v>
      </x:c>
      <x:c r="C499" s="55" t="n">
        <x:f>B499/COUNTA('唯一词标签'!$C$2:$C$1441)</x:f>
        <x:v>0.0006944444444444445</x:v>
      </x:c>
      <x:c r="D499" s="7" t="n">
        <x:f>COUNTIFS('唯一词标签'!$V$2:$V$1441,A499,'唯一词标签'!$Z$2:$Z$1441,"match")</x:f>
        <x:v>0</x:v>
      </x:c>
      <x:c r="E499" s="7" t="n">
        <x:f>COUNTIFS('唯一词标签'!$V$2:$V$1441,A499,'唯一词标签'!$Z$2:$Z$1441,"partial_match")</x:f>
        <x:v>1</x:v>
      </x:c>
      <x:c r="F499" s="7" t="n">
        <x:f>COUNTIFS('唯一词标签'!$V$2:$V$1441,A499,'唯一词标签'!$Z$2:$Z$1441,"mismatch")</x:f>
        <x:v>0</x:v>
      </x:c>
      <x:c r="G499" s="7" t="n">
        <x:f>COUNTIFS('唯一词标签'!$V$2:$V$1441,A499,'唯一词标签'!$Z$2:$Z$1441,"unknown")</x:f>
        <x:v>0</x:v>
      </x:c>
      <x:c r="H499" s="7" t="n">
        <x:f>COUNTIFS('唯一词标签'!$V$2:$V$1441,A499,'唯一词标签'!$U$2:$U$1441,"low")</x:f>
        <x:v>0</x:v>
      </x:c>
      <x:c r="I499" s="7" t="n">
        <x:f>COUNTIFS('唯一词标签'!$V$2:$V$1441,A499,'唯一词标签'!$AB$2:$AB$1441,"needs_review")</x:f>
        <x:v>0</x:v>
      </x:c>
    </x:row>
    <x:row r="500" ht="22" customHeight="1">
      <x:c r="A500" s="7" t="str">
        <x:v>non_slip_womens_flip_flops</x:v>
      </x:c>
      <x:c r="B500" s="7" t="n">
        <x:f>COUNTIF('唯一词标签'!$V$2:$V$1441,A500)</x:f>
        <x:v>1</x:v>
      </x:c>
      <x:c r="C500" s="55" t="n">
        <x:f>B500/COUNTA('唯一词标签'!$C$2:$C$1441)</x:f>
        <x:v>0.0006944444444444445</x:v>
      </x:c>
      <x:c r="D500" s="7" t="n">
        <x:f>COUNTIFS('唯一词标签'!$V$2:$V$1441,A500,'唯一词标签'!$Z$2:$Z$1441,"match")</x:f>
        <x:v>1</x:v>
      </x:c>
      <x:c r="E500" s="7" t="n">
        <x:f>COUNTIFS('唯一词标签'!$V$2:$V$1441,A500,'唯一词标签'!$Z$2:$Z$1441,"partial_match")</x:f>
        <x:v>0</x:v>
      </x:c>
      <x:c r="F500" s="7" t="n">
        <x:f>COUNTIFS('唯一词标签'!$V$2:$V$1441,A500,'唯一词标签'!$Z$2:$Z$1441,"mismatch")</x:f>
        <x:v>0</x:v>
      </x:c>
      <x:c r="G500" s="7" t="n">
        <x:f>COUNTIFS('唯一词标签'!$V$2:$V$1441,A500,'唯一词标签'!$Z$2:$Z$1441,"unknown")</x:f>
        <x:v>0</x:v>
      </x:c>
      <x:c r="H500" s="7" t="n">
        <x:f>COUNTIFS('唯一词标签'!$V$2:$V$1441,A500,'唯一词标签'!$U$2:$U$1441,"low")</x:f>
        <x:v>0</x:v>
      </x:c>
      <x:c r="I500" s="7" t="n">
        <x:f>COUNTIFS('唯一词标签'!$V$2:$V$1441,A500,'唯一词标签'!$AB$2:$AB$1441,"needs_review")</x:f>
        <x:v>0</x:v>
      </x:c>
    </x:row>
    <x:row r="501" ht="22" customHeight="1">
      <x:c r="A501" s="7" t="str">
        <x:v>nonslip_arch_support_womens_flip_flops</x:v>
      </x:c>
      <x:c r="B501" s="7" t="n">
        <x:f>COUNTIF('唯一词标签'!$V$2:$V$1441,A501)</x:f>
        <x:v>1</x:v>
      </x:c>
      <x:c r="C501" s="55" t="n">
        <x:f>B501/COUNTA('唯一词标签'!$C$2:$C$1441)</x:f>
        <x:v>0.0006944444444444445</x:v>
      </x:c>
      <x:c r="D501" s="7" t="n">
        <x:f>COUNTIFS('唯一词标签'!$V$2:$V$1441,A501,'唯一词标签'!$Z$2:$Z$1441,"match")</x:f>
        <x:v>1</x:v>
      </x:c>
      <x:c r="E501" s="7" t="n">
        <x:f>COUNTIFS('唯一词标签'!$V$2:$V$1441,A501,'唯一词标签'!$Z$2:$Z$1441,"partial_match")</x:f>
        <x:v>0</x:v>
      </x:c>
      <x:c r="F501" s="7" t="n">
        <x:f>COUNTIFS('唯一词标签'!$V$2:$V$1441,A501,'唯一词标签'!$Z$2:$Z$1441,"mismatch")</x:f>
        <x:v>0</x:v>
      </x:c>
      <x:c r="G501" s="7" t="n">
        <x:f>COUNTIFS('唯一词标签'!$V$2:$V$1441,A501,'唯一词标签'!$Z$2:$Z$1441,"unknown")</x:f>
        <x:v>0</x:v>
      </x:c>
      <x:c r="H501" s="7" t="n">
        <x:f>COUNTIFS('唯一词标签'!$V$2:$V$1441,A501,'唯一词标签'!$U$2:$U$1441,"low")</x:f>
        <x:v>0</x:v>
      </x:c>
      <x:c r="I501" s="7" t="n">
        <x:f>COUNTIFS('唯一词标签'!$V$2:$V$1441,A501,'唯一词标签'!$AB$2:$AB$1441,"needs_review")</x:f>
        <x:v>0</x:v>
      </x:c>
    </x:row>
    <x:row r="502" ht="22" customHeight="1">
      <x:c r="A502" s="7" t="str">
        <x:v>nonslip_rubber_flip_flops_women</x:v>
      </x:c>
      <x:c r="B502" s="7" t="n">
        <x:f>COUNTIF('唯一词标签'!$V$2:$V$1441,A502)</x:f>
        <x:v>1</x:v>
      </x:c>
      <x:c r="C502" s="55" t="n">
        <x:f>B502/COUNTA('唯一词标签'!$C$2:$C$1441)</x:f>
        <x:v>0.0006944444444444445</x:v>
      </x:c>
      <x:c r="D502" s="7" t="n">
        <x:f>COUNTIFS('唯一词标签'!$V$2:$V$1441,A502,'唯一词标签'!$Z$2:$Z$1441,"match")</x:f>
        <x:v>0</x:v>
      </x:c>
      <x:c r="E502" s="7" t="n">
        <x:f>COUNTIFS('唯一词标签'!$V$2:$V$1441,A502,'唯一词标签'!$Z$2:$Z$1441,"partial_match")</x:f>
        <x:v>1</x:v>
      </x:c>
      <x:c r="F502" s="7" t="n">
        <x:f>COUNTIFS('唯一词标签'!$V$2:$V$1441,A502,'唯一词标签'!$Z$2:$Z$1441,"mismatch")</x:f>
        <x:v>0</x:v>
      </x:c>
      <x:c r="G502" s="7" t="n">
        <x:f>COUNTIFS('唯一词标签'!$V$2:$V$1441,A502,'唯一词标签'!$Z$2:$Z$1441,"unknown")</x:f>
        <x:v>0</x:v>
      </x:c>
      <x:c r="H502" s="7" t="n">
        <x:f>COUNTIFS('唯一词标签'!$V$2:$V$1441,A502,'唯一词标签'!$U$2:$U$1441,"low")</x:f>
        <x:v>0</x:v>
      </x:c>
      <x:c r="I502" s="7" t="n">
        <x:f>COUNTIFS('唯一词标签'!$V$2:$V$1441,A502,'唯一词标签'!$AB$2:$AB$1441,"needs_review")</x:f>
        <x:v>0</x:v>
      </x:c>
    </x:row>
    <x:row r="503" ht="22" customHeight="1">
      <x:c r="A503" s="7" t="str">
        <x:v>north_face_flip_flops_brand</x:v>
      </x:c>
      <x:c r="B503" s="7" t="n">
        <x:f>COUNTIF('唯一词标签'!$V$2:$V$1441,A503)</x:f>
        <x:v>1</x:v>
      </x:c>
      <x:c r="C503" s="55" t="n">
        <x:f>B503/COUNTA('唯一词标签'!$C$2:$C$1441)</x:f>
        <x:v>0.0006944444444444445</x:v>
      </x:c>
      <x:c r="D503" s="7" t="n">
        <x:f>COUNTIFS('唯一词标签'!$V$2:$V$1441,A503,'唯一词标签'!$Z$2:$Z$1441,"match")</x:f>
        <x:v>0</x:v>
      </x:c>
      <x:c r="E503" s="7" t="n">
        <x:f>COUNTIFS('唯一词标签'!$V$2:$V$1441,A503,'唯一词标签'!$Z$2:$Z$1441,"partial_match")</x:f>
        <x:v>0</x:v>
      </x:c>
      <x:c r="F503" s="7" t="n">
        <x:f>COUNTIFS('唯一词标签'!$V$2:$V$1441,A503,'唯一词标签'!$Z$2:$Z$1441,"mismatch")</x:f>
        <x:v>1</x:v>
      </x:c>
      <x:c r="G503" s="7" t="n">
        <x:f>COUNTIFS('唯一词标签'!$V$2:$V$1441,A503,'唯一词标签'!$Z$2:$Z$1441,"unknown")</x:f>
        <x:v>0</x:v>
      </x:c>
      <x:c r="H503" s="7" t="n">
        <x:f>COUNTIFS('唯一词标签'!$V$2:$V$1441,A503,'唯一词标签'!$U$2:$U$1441,"low")</x:f>
        <x:v>0</x:v>
      </x:c>
      <x:c r="I503" s="7" t="n">
        <x:f>COUNTIFS('唯一词标签'!$V$2:$V$1441,A503,'唯一词标签'!$AB$2:$AB$1441,"needs_review")</x:f>
        <x:v>0</x:v>
      </x:c>
    </x:row>
    <x:row r="504" ht="22" customHeight="1">
      <x:c r="A504" s="7" t="str">
        <x:v>novelty_pattern_flip_flops</x:v>
      </x:c>
      <x:c r="B504" s="7" t="n">
        <x:f>COUNTIF('唯一词标签'!$V$2:$V$1441,A504)</x:f>
        <x:v>1</x:v>
      </x:c>
      <x:c r="C504" s="55" t="n">
        <x:f>B504/COUNTA('唯一词标签'!$C$2:$C$1441)</x:f>
        <x:v>0.0006944444444444445</x:v>
      </x:c>
      <x:c r="D504" s="7" t="n">
        <x:f>COUNTIFS('唯一词标签'!$V$2:$V$1441,A504,'唯一词标签'!$Z$2:$Z$1441,"match")</x:f>
        <x:v>0</x:v>
      </x:c>
      <x:c r="E504" s="7" t="n">
        <x:f>COUNTIFS('唯一词标签'!$V$2:$V$1441,A504,'唯一词标签'!$Z$2:$Z$1441,"partial_match")</x:f>
        <x:v>0</x:v>
      </x:c>
      <x:c r="F504" s="7" t="n">
        <x:f>COUNTIFS('唯一词标签'!$V$2:$V$1441,A504,'唯一词标签'!$Z$2:$Z$1441,"mismatch")</x:f>
        <x:v>1</x:v>
      </x:c>
      <x:c r="G504" s="7" t="n">
        <x:f>COUNTIFS('唯一词标签'!$V$2:$V$1441,A504,'唯一词标签'!$Z$2:$Z$1441,"unknown")</x:f>
        <x:v>0</x:v>
      </x:c>
      <x:c r="H504" s="7" t="n">
        <x:f>COUNTIFS('唯一词标签'!$V$2:$V$1441,A504,'唯一词标签'!$U$2:$U$1441,"low")</x:f>
        <x:v>0</x:v>
      </x:c>
      <x:c r="I504" s="7" t="n">
        <x:f>COUNTIFS('唯一词标签'!$V$2:$V$1441,A504,'唯一词标签'!$AB$2:$AB$1441,"needs_review")</x:f>
        <x:v>0</x:v>
      </x:c>
    </x:row>
    <x:row r="505" ht="22" customHeight="1">
      <x:c r="A505" s="7" t="str">
        <x:v>nude_arch_flip_flop</x:v>
      </x:c>
      <x:c r="B505" s="7" t="n">
        <x:f>COUNTIF('唯一词标签'!$V$2:$V$1441,A505)</x:f>
        <x:v>1</x:v>
      </x:c>
      <x:c r="C505" s="55" t="n">
        <x:f>B505/COUNTA('唯一词标签'!$C$2:$C$1441)</x:f>
        <x:v>0.0006944444444444445</x:v>
      </x:c>
      <x:c r="D505" s="7" t="n">
        <x:f>COUNTIFS('唯一词标签'!$V$2:$V$1441,A505,'唯一词标签'!$Z$2:$Z$1441,"match")</x:f>
        <x:v>0</x:v>
      </x:c>
      <x:c r="E505" s="7" t="n">
        <x:f>COUNTIFS('唯一词标签'!$V$2:$V$1441,A505,'唯一词标签'!$Z$2:$Z$1441,"partial_match")</x:f>
        <x:v>1</x:v>
      </x:c>
      <x:c r="F505" s="7" t="n">
        <x:f>COUNTIFS('唯一词标签'!$V$2:$V$1441,A505,'唯一词标签'!$Z$2:$Z$1441,"mismatch")</x:f>
        <x:v>0</x:v>
      </x:c>
      <x:c r="G505" s="7" t="n">
        <x:f>COUNTIFS('唯一词标签'!$V$2:$V$1441,A505,'唯一词标签'!$Z$2:$Z$1441,"unknown")</x:f>
        <x:v>0</x:v>
      </x:c>
      <x:c r="H505" s="7" t="n">
        <x:f>COUNTIFS('唯一词标签'!$V$2:$V$1441,A505,'唯一词标签'!$U$2:$U$1441,"low")</x:f>
        <x:v>0</x:v>
      </x:c>
      <x:c r="I505" s="7" t="n">
        <x:f>COUNTIFS('唯一词标签'!$V$2:$V$1441,A505,'唯一词标签'!$AB$2:$AB$1441,"needs_review")</x:f>
        <x:v>1</x:v>
      </x:c>
    </x:row>
    <x:row r="506" ht="22" customHeight="1">
      <x:c r="A506" s="7" t="str">
        <x:v>nude_arch_support_flip_flops</x:v>
      </x:c>
      <x:c r="B506" s="7" t="n">
        <x:f>COUNTIF('唯一词标签'!$V$2:$V$1441,A506)</x:f>
        <x:v>1</x:v>
      </x:c>
      <x:c r="C506" s="55" t="n">
        <x:f>B506/COUNTA('唯一词标签'!$C$2:$C$1441)</x:f>
        <x:v>0.0006944444444444445</x:v>
      </x:c>
      <x:c r="D506" s="7" t="n">
        <x:f>COUNTIFS('唯一词标签'!$V$2:$V$1441,A506,'唯一词标签'!$Z$2:$Z$1441,"match")</x:f>
        <x:v>0</x:v>
      </x:c>
      <x:c r="E506" s="7" t="n">
        <x:f>COUNTIFS('唯一词标签'!$V$2:$V$1441,A506,'唯一词标签'!$Z$2:$Z$1441,"partial_match")</x:f>
        <x:v>1</x:v>
      </x:c>
      <x:c r="F506" s="7" t="n">
        <x:f>COUNTIFS('唯一词标签'!$V$2:$V$1441,A506,'唯一词标签'!$Z$2:$Z$1441,"mismatch")</x:f>
        <x:v>0</x:v>
      </x:c>
      <x:c r="G506" s="7" t="n">
        <x:f>COUNTIFS('唯一词标签'!$V$2:$V$1441,A506,'唯一词标签'!$Z$2:$Z$1441,"unknown")</x:f>
        <x:v>0</x:v>
      </x:c>
      <x:c r="H506" s="7" t="n">
        <x:f>COUNTIFS('唯一词标签'!$V$2:$V$1441,A506,'唯一词标签'!$U$2:$U$1441,"low")</x:f>
        <x:v>0</x:v>
      </x:c>
      <x:c r="I506" s="7" t="n">
        <x:f>COUNTIFS('唯一词标签'!$V$2:$V$1441,A506,'唯一词标签'!$AB$2:$AB$1441,"needs_review")</x:f>
        <x:v>0</x:v>
      </x:c>
    </x:row>
    <x:row r="507" ht="22" customHeight="1">
      <x:c r="A507" s="7" t="str">
        <x:v>nude_casual_flip_flops</x:v>
      </x:c>
      <x:c r="B507" s="7" t="n">
        <x:f>COUNTIF('唯一词标签'!$V$2:$V$1441,A507)</x:f>
        <x:v>1</x:v>
      </x:c>
      <x:c r="C507" s="55" t="n">
        <x:f>B507/COUNTA('唯一词标签'!$C$2:$C$1441)</x:f>
        <x:v>0.0006944444444444445</x:v>
      </x:c>
      <x:c r="D507" s="7" t="n">
        <x:f>COUNTIFS('唯一词标签'!$V$2:$V$1441,A507,'唯一词标签'!$Z$2:$Z$1441,"match")</x:f>
        <x:v>0</x:v>
      </x:c>
      <x:c r="E507" s="7" t="n">
        <x:f>COUNTIFS('唯一词标签'!$V$2:$V$1441,A507,'唯一词标签'!$Z$2:$Z$1441,"partial_match")</x:f>
        <x:v>1</x:v>
      </x:c>
      <x:c r="F507" s="7" t="n">
        <x:f>COUNTIFS('唯一词标签'!$V$2:$V$1441,A507,'唯一词标签'!$Z$2:$Z$1441,"mismatch")</x:f>
        <x:v>0</x:v>
      </x:c>
      <x:c r="G507" s="7" t="n">
        <x:f>COUNTIFS('唯一词标签'!$V$2:$V$1441,A507,'唯一词标签'!$Z$2:$Z$1441,"unknown")</x:f>
        <x:v>0</x:v>
      </x:c>
      <x:c r="H507" s="7" t="n">
        <x:f>COUNTIFS('唯一词标签'!$V$2:$V$1441,A507,'唯一词标签'!$U$2:$U$1441,"low")</x:f>
        <x:v>0</x:v>
      </x:c>
      <x:c r="I507" s="7" t="n">
        <x:f>COUNTIFS('唯一词标签'!$V$2:$V$1441,A507,'唯一词标签'!$AB$2:$AB$1441,"needs_review")</x:f>
        <x:v>0</x:v>
      </x:c>
    </x:row>
    <x:row r="508" ht="22" customHeight="1">
      <x:c r="A508" s="7" t="str">
        <x:v>nude_flip_flops</x:v>
      </x:c>
      <x:c r="B508" s="7" t="n">
        <x:f>COUNTIF('唯一词标签'!$V$2:$V$1441,A508)</x:f>
        <x:v>1</x:v>
      </x:c>
      <x:c r="C508" s="55" t="n">
        <x:f>B508/COUNTA('唯一词标签'!$C$2:$C$1441)</x:f>
        <x:v>0.0006944444444444445</x:v>
      </x:c>
      <x:c r="D508" s="7" t="n">
        <x:f>COUNTIFS('唯一词标签'!$V$2:$V$1441,A508,'唯一词标签'!$Z$2:$Z$1441,"match")</x:f>
        <x:v>0</x:v>
      </x:c>
      <x:c r="E508" s="7" t="n">
        <x:f>COUNTIFS('唯一词标签'!$V$2:$V$1441,A508,'唯一词标签'!$Z$2:$Z$1441,"partial_match")</x:f>
        <x:v>1</x:v>
      </x:c>
      <x:c r="F508" s="7" t="n">
        <x:f>COUNTIFS('唯一词标签'!$V$2:$V$1441,A508,'唯一词标签'!$Z$2:$Z$1441,"mismatch")</x:f>
        <x:v>0</x:v>
      </x:c>
      <x:c r="G508" s="7" t="n">
        <x:f>COUNTIFS('唯一词标签'!$V$2:$V$1441,A508,'唯一词标签'!$Z$2:$Z$1441,"unknown")</x:f>
        <x:v>0</x:v>
      </x:c>
      <x:c r="H508" s="7" t="n">
        <x:f>COUNTIFS('唯一词标签'!$V$2:$V$1441,A508,'唯一词标签'!$U$2:$U$1441,"low")</x:f>
        <x:v>1</x:v>
      </x:c>
      <x:c r="I508" s="7" t="n">
        <x:f>COUNTIFS('唯一词标签'!$V$2:$V$1441,A508,'唯一词标签'!$AB$2:$AB$1441,"needs_review")</x:f>
        <x:v>1</x:v>
      </x:c>
    </x:row>
    <x:row r="509" ht="22" customHeight="1">
      <x:c r="A509" s="7" t="str">
        <x:v>nude_water_flip_flops</x:v>
      </x:c>
      <x:c r="B509" s="7" t="n">
        <x:f>COUNTIF('唯一词标签'!$V$2:$V$1441,A509)</x:f>
        <x:v>1</x:v>
      </x:c>
      <x:c r="C509" s="55" t="n">
        <x:f>B509/COUNTA('唯一词标签'!$C$2:$C$1441)</x:f>
        <x:v>0.0006944444444444445</x:v>
      </x:c>
      <x:c r="D509" s="7" t="n">
        <x:f>COUNTIFS('唯一词标签'!$V$2:$V$1441,A509,'唯一词标签'!$Z$2:$Z$1441,"match")</x:f>
        <x:v>0</x:v>
      </x:c>
      <x:c r="E509" s="7" t="n">
        <x:f>COUNTIFS('唯一词标签'!$V$2:$V$1441,A509,'唯一词标签'!$Z$2:$Z$1441,"partial_match")</x:f>
        <x:v>1</x:v>
      </x:c>
      <x:c r="F509" s="7" t="n">
        <x:f>COUNTIFS('唯一词标签'!$V$2:$V$1441,A509,'唯一词标签'!$Z$2:$Z$1441,"mismatch")</x:f>
        <x:v>0</x:v>
      </x:c>
      <x:c r="G509" s="7" t="n">
        <x:f>COUNTIFS('唯一词标签'!$V$2:$V$1441,A509,'唯一词标签'!$Z$2:$Z$1441,"unknown")</x:f>
        <x:v>0</x:v>
      </x:c>
      <x:c r="H509" s="7" t="n">
        <x:f>COUNTIFS('唯一词标签'!$V$2:$V$1441,A509,'唯一词标签'!$U$2:$U$1441,"low")</x:f>
        <x:v>0</x:v>
      </x:c>
      <x:c r="I509" s="7" t="n">
        <x:f>COUNTIFS('唯一词标签'!$V$2:$V$1441,A509,'唯一词标签'!$AB$2:$AB$1441,"needs_review")</x:f>
        <x:v>0</x:v>
      </x:c>
    </x:row>
    <x:row r="510" ht="22" customHeight="1">
      <x:c r="A510" s="7" t="str">
        <x:v>off_white_flip_flops</x:v>
      </x:c>
      <x:c r="B510" s="7" t="n">
        <x:f>COUNTIF('唯一词标签'!$V$2:$V$1441,A510)</x:f>
        <x:v>1</x:v>
      </x:c>
      <x:c r="C510" s="55" t="n">
        <x:f>B510/COUNTA('唯一词标签'!$C$2:$C$1441)</x:f>
        <x:v>0.0006944444444444445</x:v>
      </x:c>
      <x:c r="D510" s="7" t="n">
        <x:f>COUNTIFS('唯一词标签'!$V$2:$V$1441,A510,'唯一词标签'!$Z$2:$Z$1441,"match")</x:f>
        <x:v>0</x:v>
      </x:c>
      <x:c r="E510" s="7" t="n">
        <x:f>COUNTIFS('唯一词标签'!$V$2:$V$1441,A510,'唯一词标签'!$Z$2:$Z$1441,"partial_match")</x:f>
        <x:v>1</x:v>
      </x:c>
      <x:c r="F510" s="7" t="n">
        <x:f>COUNTIFS('唯一词标签'!$V$2:$V$1441,A510,'唯一词标签'!$Z$2:$Z$1441,"mismatch")</x:f>
        <x:v>0</x:v>
      </x:c>
      <x:c r="G510" s="7" t="n">
        <x:f>COUNTIFS('唯一词标签'!$V$2:$V$1441,A510,'唯一词标签'!$Z$2:$Z$1441,"unknown")</x:f>
        <x:v>0</x:v>
      </x:c>
      <x:c r="H510" s="7" t="n">
        <x:f>COUNTIFS('唯一词标签'!$V$2:$V$1441,A510,'唯一词标签'!$U$2:$U$1441,"low")</x:f>
        <x:v>0</x:v>
      </x:c>
      <x:c r="I510" s="7" t="n">
        <x:f>COUNTIFS('唯一词标签'!$V$2:$V$1441,A510,'唯一词标签'!$AB$2:$AB$1441,"needs_review")</x:f>
        <x:v>0</x:v>
      </x:c>
    </x:row>
    <x:row r="511" ht="22" customHeight="1">
      <x:c r="A511" s="7" t="str">
        <x:v>olive_color_flip_flops</x:v>
      </x:c>
      <x:c r="B511" s="7" t="n">
        <x:f>COUNTIF('唯一词标签'!$V$2:$V$1441,A511)</x:f>
        <x:v>1</x:v>
      </x:c>
      <x:c r="C511" s="55" t="n">
        <x:f>B511/COUNTA('唯一词标签'!$C$2:$C$1441)</x:f>
        <x:v>0.0006944444444444445</x:v>
      </x:c>
      <x:c r="D511" s="7" t="n">
        <x:f>COUNTIFS('唯一词标签'!$V$2:$V$1441,A511,'唯一词标签'!$Z$2:$Z$1441,"match")</x:f>
        <x:v>0</x:v>
      </x:c>
      <x:c r="E511" s="7" t="n">
        <x:f>COUNTIFS('唯一词标签'!$V$2:$V$1441,A511,'唯一词标签'!$Z$2:$Z$1441,"partial_match")</x:f>
        <x:v>1</x:v>
      </x:c>
      <x:c r="F511" s="7" t="n">
        <x:f>COUNTIFS('唯一词标签'!$V$2:$V$1441,A511,'唯一词标签'!$Z$2:$Z$1441,"mismatch")</x:f>
        <x:v>0</x:v>
      </x:c>
      <x:c r="G511" s="7" t="n">
        <x:f>COUNTIFS('唯一词标签'!$V$2:$V$1441,A511,'唯一词标签'!$Z$2:$Z$1441,"unknown")</x:f>
        <x:v>0</x:v>
      </x:c>
      <x:c r="H511" s="7" t="n">
        <x:f>COUNTIFS('唯一词标签'!$V$2:$V$1441,A511,'唯一词标签'!$U$2:$U$1441,"low")</x:f>
        <x:v>0</x:v>
      </x:c>
      <x:c r="I511" s="7" t="n">
        <x:f>COUNTIFS('唯一词标签'!$V$2:$V$1441,A511,'唯一词标签'!$AB$2:$AB$1441,"needs_review")</x:f>
        <x:v>1</x:v>
      </x:c>
    </x:row>
    <x:row r="512" ht="22" customHeight="1">
      <x:c r="A512" s="7" t="str">
        <x:v>open_toe_flip_flops</x:v>
      </x:c>
      <x:c r="B512" s="7" t="n">
        <x:f>COUNTIF('唯一词标签'!$V$2:$V$1441,A512)</x:f>
        <x:v>1</x:v>
      </x:c>
      <x:c r="C512" s="55" t="n">
        <x:f>B512/COUNTA('唯一词标签'!$C$2:$C$1441)</x:f>
        <x:v>0.0006944444444444445</x:v>
      </x:c>
      <x:c r="D512" s="7" t="n">
        <x:f>COUNTIFS('唯一词标签'!$V$2:$V$1441,A512,'唯一词标签'!$Z$2:$Z$1441,"match")</x:f>
        <x:v>1</x:v>
      </x:c>
      <x:c r="E512" s="7" t="n">
        <x:f>COUNTIFS('唯一词标签'!$V$2:$V$1441,A512,'唯一词标签'!$Z$2:$Z$1441,"partial_match")</x:f>
        <x:v>0</x:v>
      </x:c>
      <x:c r="F512" s="7" t="n">
        <x:f>COUNTIFS('唯一词标签'!$V$2:$V$1441,A512,'唯一词标签'!$Z$2:$Z$1441,"mismatch")</x:f>
        <x:v>0</x:v>
      </x:c>
      <x:c r="G512" s="7" t="n">
        <x:f>COUNTIFS('唯一词标签'!$V$2:$V$1441,A512,'唯一词标签'!$Z$2:$Z$1441,"unknown")</x:f>
        <x:v>0</x:v>
      </x:c>
      <x:c r="H512" s="7" t="n">
        <x:f>COUNTIFS('唯一词标签'!$V$2:$V$1441,A512,'唯一词标签'!$U$2:$U$1441,"low")</x:f>
        <x:v>0</x:v>
      </x:c>
      <x:c r="I512" s="7" t="n">
        <x:f>COUNTIFS('唯一词标签'!$V$2:$V$1441,A512,'唯一词标签'!$AB$2:$AB$1441,"needs_review")</x:f>
        <x:v>0</x:v>
      </x:c>
    </x:row>
    <x:row r="513" ht="22" customHeight="1">
      <x:c r="A513" s="7" t="str">
        <x:v>orange_arch_flip_flops</x:v>
      </x:c>
      <x:c r="B513" s="7" t="n">
        <x:f>COUNTIF('唯一词标签'!$V$2:$V$1441,A513)</x:f>
        <x:v>1</x:v>
      </x:c>
      <x:c r="C513" s="55" t="n">
        <x:f>B513/COUNTA('唯一词标签'!$C$2:$C$1441)</x:f>
        <x:v>0.0006944444444444445</x:v>
      </x:c>
      <x:c r="D513" s="7" t="n">
        <x:f>COUNTIFS('唯一词标签'!$V$2:$V$1441,A513,'唯一词标签'!$Z$2:$Z$1441,"match")</x:f>
        <x:v>0</x:v>
      </x:c>
      <x:c r="E513" s="7" t="n">
        <x:f>COUNTIFS('唯一词标签'!$V$2:$V$1441,A513,'唯一词标签'!$Z$2:$Z$1441,"partial_match")</x:f>
        <x:v>1</x:v>
      </x:c>
      <x:c r="F513" s="7" t="n">
        <x:f>COUNTIFS('唯一词标签'!$V$2:$V$1441,A513,'唯一词标签'!$Z$2:$Z$1441,"mismatch")</x:f>
        <x:v>0</x:v>
      </x:c>
      <x:c r="G513" s="7" t="n">
        <x:f>COUNTIFS('唯一词标签'!$V$2:$V$1441,A513,'唯一词标签'!$Z$2:$Z$1441,"unknown")</x:f>
        <x:v>0</x:v>
      </x:c>
      <x:c r="H513" s="7" t="n">
        <x:f>COUNTIFS('唯一词标签'!$V$2:$V$1441,A513,'唯一词标签'!$U$2:$U$1441,"low")</x:f>
        <x:v>0</x:v>
      </x:c>
      <x:c r="I513" s="7" t="n">
        <x:f>COUNTIFS('唯一词标签'!$V$2:$V$1441,A513,'唯一词标签'!$AB$2:$AB$1441,"needs_review")</x:f>
        <x:v>1</x:v>
      </x:c>
    </x:row>
    <x:row r="514" ht="22" customHeight="1">
      <x:c r="A514" s="7" t="str">
        <x:v>orange_arch_support_flip_flop</x:v>
      </x:c>
      <x:c r="B514" s="7" t="n">
        <x:f>COUNTIF('唯一词标签'!$V$2:$V$1441,A514)</x:f>
        <x:v>1</x:v>
      </x:c>
      <x:c r="C514" s="55" t="n">
        <x:f>B514/COUNTA('唯一词标签'!$C$2:$C$1441)</x:f>
        <x:v>0.0006944444444444445</x:v>
      </x:c>
      <x:c r="D514" s="7" t="n">
        <x:f>COUNTIFS('唯一词标签'!$V$2:$V$1441,A514,'唯一词标签'!$Z$2:$Z$1441,"match")</x:f>
        <x:v>0</x:v>
      </x:c>
      <x:c r="E514" s="7" t="n">
        <x:f>COUNTIFS('唯一词标签'!$V$2:$V$1441,A514,'唯一词标签'!$Z$2:$Z$1441,"partial_match")</x:f>
        <x:v>1</x:v>
      </x:c>
      <x:c r="F514" s="7" t="n">
        <x:f>COUNTIFS('唯一词标签'!$V$2:$V$1441,A514,'唯一词标签'!$Z$2:$Z$1441,"mismatch")</x:f>
        <x:v>0</x:v>
      </x:c>
      <x:c r="G514" s="7" t="n">
        <x:f>COUNTIFS('唯一词标签'!$V$2:$V$1441,A514,'唯一词标签'!$Z$2:$Z$1441,"unknown")</x:f>
        <x:v>0</x:v>
      </x:c>
      <x:c r="H514" s="7" t="n">
        <x:f>COUNTIFS('唯一词标签'!$V$2:$V$1441,A514,'唯一词标签'!$U$2:$U$1441,"low")</x:f>
        <x:v>0</x:v>
      </x:c>
      <x:c r="I514" s="7" t="n">
        <x:f>COUNTIFS('唯一词标签'!$V$2:$V$1441,A514,'唯一词标签'!$AB$2:$AB$1441,"needs_review")</x:f>
        <x:v>0</x:v>
      </x:c>
    </x:row>
    <x:row r="515" ht="22" customHeight="1">
      <x:c r="A515" s="7" t="str">
        <x:v>orange_flip_flops</x:v>
      </x:c>
      <x:c r="B515" s="7" t="n">
        <x:f>COUNTIF('唯一词标签'!$V$2:$V$1441,A515)</x:f>
        <x:v>1</x:v>
      </x:c>
      <x:c r="C515" s="55" t="n">
        <x:f>B515/COUNTA('唯一词标签'!$C$2:$C$1441)</x:f>
        <x:v>0.0006944444444444445</x:v>
      </x:c>
      <x:c r="D515" s="7" t="n">
        <x:f>COUNTIFS('唯一词标签'!$V$2:$V$1441,A515,'唯一词标签'!$Z$2:$Z$1441,"match")</x:f>
        <x:v>0</x:v>
      </x:c>
      <x:c r="E515" s="7" t="n">
        <x:f>COUNTIFS('唯一词标签'!$V$2:$V$1441,A515,'唯一词标签'!$Z$2:$Z$1441,"partial_match")</x:f>
        <x:v>1</x:v>
      </x:c>
      <x:c r="F515" s="7" t="n">
        <x:f>COUNTIFS('唯一词标签'!$V$2:$V$1441,A515,'唯一词标签'!$Z$2:$Z$1441,"mismatch")</x:f>
        <x:v>0</x:v>
      </x:c>
      <x:c r="G515" s="7" t="n">
        <x:f>COUNTIFS('唯一词标签'!$V$2:$V$1441,A515,'唯一词标签'!$Z$2:$Z$1441,"unknown")</x:f>
        <x:v>0</x:v>
      </x:c>
      <x:c r="H515" s="7" t="n">
        <x:f>COUNTIFS('唯一词标签'!$V$2:$V$1441,A515,'唯一词标签'!$U$2:$U$1441,"low")</x:f>
        <x:v>0</x:v>
      </x:c>
      <x:c r="I515" s="7" t="n">
        <x:f>COUNTIFS('唯一词标签'!$V$2:$V$1441,A515,'唯一词标签'!$AB$2:$AB$1441,"needs_review")</x:f>
        <x:v>1</x:v>
      </x:c>
    </x:row>
    <x:row r="516" ht="22" customHeight="1">
      <x:c r="A516" s="7" t="str">
        <x:v>orange_flip_flops_women</x:v>
      </x:c>
      <x:c r="B516" s="7" t="n">
        <x:f>COUNTIF('唯一词标签'!$V$2:$V$1441,A516)</x:f>
        <x:v>1</x:v>
      </x:c>
      <x:c r="C516" s="55" t="n">
        <x:f>B516/COUNTA('唯一词标签'!$C$2:$C$1441)</x:f>
        <x:v>0.0006944444444444445</x:v>
      </x:c>
      <x:c r="D516" s="7" t="n">
        <x:f>COUNTIFS('唯一词标签'!$V$2:$V$1441,A516,'唯一词标签'!$Z$2:$Z$1441,"match")</x:f>
        <x:v>0</x:v>
      </x:c>
      <x:c r="E516" s="7" t="n">
        <x:f>COUNTIFS('唯一词标签'!$V$2:$V$1441,A516,'唯一词标签'!$Z$2:$Z$1441,"partial_match")</x:f>
        <x:v>0</x:v>
      </x:c>
      <x:c r="F516" s="7" t="n">
        <x:f>COUNTIFS('唯一词标签'!$V$2:$V$1441,A516,'唯一词标签'!$Z$2:$Z$1441,"mismatch")</x:f>
        <x:v>1</x:v>
      </x:c>
      <x:c r="G516" s="7" t="n">
        <x:f>COUNTIFS('唯一词标签'!$V$2:$V$1441,A516,'唯一词标签'!$Z$2:$Z$1441,"unknown")</x:f>
        <x:v>0</x:v>
      </x:c>
      <x:c r="H516" s="7" t="n">
        <x:f>COUNTIFS('唯一词标签'!$V$2:$V$1441,A516,'唯一词标签'!$U$2:$U$1441,"low")</x:f>
        <x:v>0</x:v>
      </x:c>
      <x:c r="I516" s="7" t="n">
        <x:f>COUNTIFS('唯一词标签'!$V$2:$V$1441,A516,'唯一词标签'!$AB$2:$AB$1441,"needs_review")</x:f>
        <x:v>0</x:v>
      </x:c>
    </x:row>
    <x:row r="517" ht="22" customHeight="1">
      <x:c r="A517" s="7" t="str">
        <x:v>orange_womens_sandals</x:v>
      </x:c>
      <x:c r="B517" s="7" t="n">
        <x:f>COUNTIF('唯一词标签'!$V$2:$V$1441,A517)</x:f>
        <x:v>1</x:v>
      </x:c>
      <x:c r="C517" s="55" t="n">
        <x:f>B517/COUNTA('唯一词标签'!$C$2:$C$1441)</x:f>
        <x:v>0.0006944444444444445</x:v>
      </x:c>
      <x:c r="D517" s="7" t="n">
        <x:f>COUNTIFS('唯一词标签'!$V$2:$V$1441,A517,'唯一词标签'!$Z$2:$Z$1441,"match")</x:f>
        <x:v>0</x:v>
      </x:c>
      <x:c r="E517" s="7" t="n">
        <x:f>COUNTIFS('唯一词标签'!$V$2:$V$1441,A517,'唯一词标签'!$Z$2:$Z$1441,"partial_match")</x:f>
        <x:v>1</x:v>
      </x:c>
      <x:c r="F517" s="7" t="n">
        <x:f>COUNTIFS('唯一词标签'!$V$2:$V$1441,A517,'唯一词标签'!$Z$2:$Z$1441,"mismatch")</x:f>
        <x:v>0</x:v>
      </x:c>
      <x:c r="G517" s="7" t="n">
        <x:f>COUNTIFS('唯一词标签'!$V$2:$V$1441,A517,'唯一词标签'!$Z$2:$Z$1441,"unknown")</x:f>
        <x:v>0</x:v>
      </x:c>
      <x:c r="H517" s="7" t="n">
        <x:f>COUNTIFS('唯一词标签'!$V$2:$V$1441,A517,'唯一词标签'!$U$2:$U$1441,"low")</x:f>
        <x:v>0</x:v>
      </x:c>
      <x:c r="I517" s="7" t="n">
        <x:f>COUNTIFS('唯一词标签'!$V$2:$V$1441,A517,'唯一词标签'!$AB$2:$AB$1441,"needs_review")</x:f>
        <x:v>0</x:v>
      </x:c>
    </x:row>
    <x:row r="518" ht="22" customHeight="1">
      <x:c r="A518" s="7" t="str">
        <x:v>orthaheel_womens_sandals</x:v>
      </x:c>
      <x:c r="B518" s="7" t="n">
        <x:f>COUNTIF('唯一词标签'!$V$2:$V$1441,A518)</x:f>
        <x:v>1</x:v>
      </x:c>
      <x:c r="C518" s="55" t="n">
        <x:f>B518/COUNTA('唯一词标签'!$C$2:$C$1441)</x:f>
        <x:v>0.0006944444444444445</x:v>
      </x:c>
      <x:c r="D518" s="7" t="n">
        <x:f>COUNTIFS('唯一词标签'!$V$2:$V$1441,A518,'唯一词标签'!$Z$2:$Z$1441,"match")</x:f>
        <x:v>0</x:v>
      </x:c>
      <x:c r="E518" s="7" t="n">
        <x:f>COUNTIFS('唯一词标签'!$V$2:$V$1441,A518,'唯一词标签'!$Z$2:$Z$1441,"partial_match")</x:f>
        <x:v>1</x:v>
      </x:c>
      <x:c r="F518" s="7" t="n">
        <x:f>COUNTIFS('唯一词标签'!$V$2:$V$1441,A518,'唯一词标签'!$Z$2:$Z$1441,"mismatch")</x:f>
        <x:v>0</x:v>
      </x:c>
      <x:c r="G518" s="7" t="n">
        <x:f>COUNTIFS('唯一词标签'!$V$2:$V$1441,A518,'唯一词标签'!$Z$2:$Z$1441,"unknown")</x:f>
        <x:v>0</x:v>
      </x:c>
      <x:c r="H518" s="7" t="n">
        <x:f>COUNTIFS('唯一词标签'!$V$2:$V$1441,A518,'唯一词标签'!$U$2:$U$1441,"low")</x:f>
        <x:v>0</x:v>
      </x:c>
      <x:c r="I518" s="7" t="n">
        <x:f>COUNTIFS('唯一词标签'!$V$2:$V$1441,A518,'唯一词标签'!$AB$2:$AB$1441,"needs_review")</x:f>
        <x:v>0</x:v>
      </x:c>
    </x:row>
    <x:row r="519" ht="22" customHeight="1">
      <x:c r="A519" s="7" t="str">
        <x:v>orthopedic_arch_support_flip_flops</x:v>
      </x:c>
      <x:c r="B519" s="7" t="n">
        <x:f>COUNTIF('唯一词标签'!$V$2:$V$1441,A519)</x:f>
        <x:v>1</x:v>
      </x:c>
      <x:c r="C519" s="55" t="n">
        <x:f>B519/COUNTA('唯一词标签'!$C$2:$C$1441)</x:f>
        <x:v>0.0006944444444444445</x:v>
      </x:c>
      <x:c r="D519" s="7" t="n">
        <x:f>COUNTIFS('唯一词标签'!$V$2:$V$1441,A519,'唯一词标签'!$Z$2:$Z$1441,"match")</x:f>
        <x:v>0</x:v>
      </x:c>
      <x:c r="E519" s="7" t="n">
        <x:f>COUNTIFS('唯一词标签'!$V$2:$V$1441,A519,'唯一词标签'!$Z$2:$Z$1441,"partial_match")</x:f>
        <x:v>1</x:v>
      </x:c>
      <x:c r="F519" s="7" t="n">
        <x:f>COUNTIFS('唯一词标签'!$V$2:$V$1441,A519,'唯一词标签'!$Z$2:$Z$1441,"mismatch")</x:f>
        <x:v>0</x:v>
      </x:c>
      <x:c r="G519" s="7" t="n">
        <x:f>COUNTIFS('唯一词标签'!$V$2:$V$1441,A519,'唯一词标签'!$Z$2:$Z$1441,"unknown")</x:f>
        <x:v>0</x:v>
      </x:c>
      <x:c r="H519" s="7" t="n">
        <x:f>COUNTIFS('唯一词标签'!$V$2:$V$1441,A519,'唯一词标签'!$U$2:$U$1441,"low")</x:f>
        <x:v>0</x:v>
      </x:c>
      <x:c r="I519" s="7" t="n">
        <x:f>COUNTIFS('唯一词标签'!$V$2:$V$1441,A519,'唯一词标签'!$AB$2:$AB$1441,"needs_review")</x:f>
        <x:v>0</x:v>
      </x:c>
    </x:row>
    <x:row r="520" ht="22" customHeight="1">
      <x:c r="A520" s="7" t="str">
        <x:v>orthopedic_arch_support_flip_flops_black_women</x:v>
      </x:c>
      <x:c r="B520" s="7" t="n">
        <x:f>COUNTIF('唯一词标签'!$V$2:$V$1441,A520)</x:f>
        <x:v>1</x:v>
      </x:c>
      <x:c r="C520" s="55" t="n">
        <x:f>B520/COUNTA('唯一词标签'!$C$2:$C$1441)</x:f>
        <x:v>0.0006944444444444445</x:v>
      </x:c>
      <x:c r="D520" s="7" t="n">
        <x:f>COUNTIFS('唯一词标签'!$V$2:$V$1441,A520,'唯一词标签'!$Z$2:$Z$1441,"match")</x:f>
        <x:v>0</x:v>
      </x:c>
      <x:c r="E520" s="7" t="n">
        <x:f>COUNTIFS('唯一词标签'!$V$2:$V$1441,A520,'唯一词标签'!$Z$2:$Z$1441,"partial_match")</x:f>
        <x:v>1</x:v>
      </x:c>
      <x:c r="F520" s="7" t="n">
        <x:f>COUNTIFS('唯一词标签'!$V$2:$V$1441,A520,'唯一词标签'!$Z$2:$Z$1441,"mismatch")</x:f>
        <x:v>0</x:v>
      </x:c>
      <x:c r="G520" s="7" t="n">
        <x:f>COUNTIFS('唯一词标签'!$V$2:$V$1441,A520,'唯一词标签'!$Z$2:$Z$1441,"unknown")</x:f>
        <x:v>0</x:v>
      </x:c>
      <x:c r="H520" s="7" t="n">
        <x:f>COUNTIFS('唯一词标签'!$V$2:$V$1441,A520,'唯一词标签'!$U$2:$U$1441,"low")</x:f>
        <x:v>0</x:v>
      </x:c>
      <x:c r="I520" s="7" t="n">
        <x:f>COUNTIFS('唯一词标签'!$V$2:$V$1441,A520,'唯一词标签'!$AB$2:$AB$1441,"needs_review")</x:f>
        <x:v>0</x:v>
      </x:c>
    </x:row>
    <x:row r="521" ht="22" customHeight="1">
      <x:c r="A521" s="7" t="str">
        <x:v>orthopedic_flip_flops</x:v>
      </x:c>
      <x:c r="B521" s="7" t="n">
        <x:f>COUNTIF('唯一词标签'!$V$2:$V$1441,A521)</x:f>
        <x:v>4</x:v>
      </x:c>
      <x:c r="C521" s="55" t="n">
        <x:f>B521/COUNTA('唯一词标签'!$C$2:$C$1441)</x:f>
        <x:v>0.002777777777777778</x:v>
      </x:c>
      <x:c r="D521" s="7" t="n">
        <x:f>COUNTIFS('唯一词标签'!$V$2:$V$1441,A521,'唯一词标签'!$Z$2:$Z$1441,"match")</x:f>
        <x:v>0</x:v>
      </x:c>
      <x:c r="E521" s="7" t="n">
        <x:f>COUNTIFS('唯一词标签'!$V$2:$V$1441,A521,'唯一词标签'!$Z$2:$Z$1441,"partial_match")</x:f>
        <x:v>4</x:v>
      </x:c>
      <x:c r="F521" s="7" t="n">
        <x:f>COUNTIFS('唯一词标签'!$V$2:$V$1441,A521,'唯一词标签'!$Z$2:$Z$1441,"mismatch")</x:f>
        <x:v>0</x:v>
      </x:c>
      <x:c r="G521" s="7" t="n">
        <x:f>COUNTIFS('唯一词标签'!$V$2:$V$1441,A521,'唯一词标签'!$Z$2:$Z$1441,"unknown")</x:f>
        <x:v>0</x:v>
      </x:c>
      <x:c r="H521" s="7" t="n">
        <x:f>COUNTIFS('唯一词标签'!$V$2:$V$1441,A521,'唯一词标签'!$U$2:$U$1441,"low")</x:f>
        <x:v>0</x:v>
      </x:c>
      <x:c r="I521" s="7" t="n">
        <x:f>COUNTIFS('唯一词标签'!$V$2:$V$1441,A521,'唯一词标签'!$AB$2:$AB$1441,"needs_review")</x:f>
        <x:v>1</x:v>
      </x:c>
    </x:row>
    <x:row r="522" ht="22" customHeight="1">
      <x:c r="A522" s="7" t="str">
        <x:v>orthopedic_flip_flops_arch_support</x:v>
      </x:c>
      <x:c r="B522" s="7" t="n">
        <x:f>COUNTIF('唯一词标签'!$V$2:$V$1441,A522)</x:f>
        <x:v>1</x:v>
      </x:c>
      <x:c r="C522" s="55" t="n">
        <x:f>B522/COUNTA('唯一词标签'!$C$2:$C$1441)</x:f>
        <x:v>0.0006944444444444445</x:v>
      </x:c>
      <x:c r="D522" s="7" t="n">
        <x:f>COUNTIFS('唯一词标签'!$V$2:$V$1441,A522,'唯一词标签'!$Z$2:$Z$1441,"match")</x:f>
        <x:v>0</x:v>
      </x:c>
      <x:c r="E522" s="7" t="n">
        <x:f>COUNTIFS('唯一词标签'!$V$2:$V$1441,A522,'唯一词标签'!$Z$2:$Z$1441,"partial_match")</x:f>
        <x:v>1</x:v>
      </x:c>
      <x:c r="F522" s="7" t="n">
        <x:f>COUNTIFS('唯一词标签'!$V$2:$V$1441,A522,'唯一词标签'!$Z$2:$Z$1441,"mismatch")</x:f>
        <x:v>0</x:v>
      </x:c>
      <x:c r="G522" s="7" t="n">
        <x:f>COUNTIFS('唯一词标签'!$V$2:$V$1441,A522,'唯一词标签'!$Z$2:$Z$1441,"unknown")</x:f>
        <x:v>0</x:v>
      </x:c>
      <x:c r="H522" s="7" t="n">
        <x:f>COUNTIFS('唯一词标签'!$V$2:$V$1441,A522,'唯一词标签'!$U$2:$U$1441,"low")</x:f>
        <x:v>0</x:v>
      </x:c>
      <x:c r="I522" s="7" t="n">
        <x:f>COUNTIFS('唯一词标签'!$V$2:$V$1441,A522,'唯一词标签'!$AB$2:$AB$1441,"needs_review")</x:f>
        <x:v>0</x:v>
      </x:c>
    </x:row>
    <x:row r="523" ht="22" customHeight="1">
      <x:c r="A523" s="7" t="str">
        <x:v>orthopedic_flip_flops_women</x:v>
      </x:c>
      <x:c r="B523" s="7" t="n">
        <x:f>COUNTIF('唯一词标签'!$V$2:$V$1441,A523)</x:f>
        <x:v>3</x:v>
      </x:c>
      <x:c r="C523" s="55" t="n">
        <x:f>B523/COUNTA('唯一词标签'!$C$2:$C$1441)</x:f>
        <x:v>0.0020833333333333333</x:v>
      </x:c>
      <x:c r="D523" s="7" t="n">
        <x:f>COUNTIFS('唯一词标签'!$V$2:$V$1441,A523,'唯一词标签'!$Z$2:$Z$1441,"match")</x:f>
        <x:v>0</x:v>
      </x:c>
      <x:c r="E523" s="7" t="n">
        <x:f>COUNTIFS('唯一词标签'!$V$2:$V$1441,A523,'唯一词标签'!$Z$2:$Z$1441,"partial_match")</x:f>
        <x:v>3</x:v>
      </x:c>
      <x:c r="F523" s="7" t="n">
        <x:f>COUNTIFS('唯一词标签'!$V$2:$V$1441,A523,'唯一词标签'!$Z$2:$Z$1441,"mismatch")</x:f>
        <x:v>0</x:v>
      </x:c>
      <x:c r="G523" s="7" t="n">
        <x:f>COUNTIFS('唯一词标签'!$V$2:$V$1441,A523,'唯一词标签'!$Z$2:$Z$1441,"unknown")</x:f>
        <x:v>0</x:v>
      </x:c>
      <x:c r="H523" s="7" t="n">
        <x:f>COUNTIFS('唯一词标签'!$V$2:$V$1441,A523,'唯一词标签'!$U$2:$U$1441,"low")</x:f>
        <x:v>0</x:v>
      </x:c>
      <x:c r="I523" s="7" t="n">
        <x:f>COUNTIFS('唯一词标签'!$V$2:$V$1441,A523,'唯一词标签'!$AB$2:$AB$1441,"needs_review")</x:f>
        <x:v>0</x:v>
      </x:c>
    </x:row>
    <x:row r="524" ht="22" customHeight="1">
      <x:c r="A524" s="7" t="str">
        <x:v>orthopedic_flip_flops_women_size11</x:v>
      </x:c>
      <x:c r="B524" s="7" t="n">
        <x:f>COUNTIF('唯一词标签'!$V$2:$V$1441,A524)</x:f>
        <x:v>1</x:v>
      </x:c>
      <x:c r="C524" s="55" t="n">
        <x:f>B524/COUNTA('唯一词标签'!$C$2:$C$1441)</x:f>
        <x:v>0.0006944444444444445</x:v>
      </x:c>
      <x:c r="D524" s="7" t="n">
        <x:f>COUNTIFS('唯一词标签'!$V$2:$V$1441,A524,'唯一词标签'!$Z$2:$Z$1441,"match")</x:f>
        <x:v>0</x:v>
      </x:c>
      <x:c r="E524" s="7" t="n">
        <x:f>COUNTIFS('唯一词标签'!$V$2:$V$1441,A524,'唯一词标签'!$Z$2:$Z$1441,"partial_match")</x:f>
        <x:v>1</x:v>
      </x:c>
      <x:c r="F524" s="7" t="n">
        <x:f>COUNTIFS('唯一词标签'!$V$2:$V$1441,A524,'唯一词标签'!$Z$2:$Z$1441,"mismatch")</x:f>
        <x:v>0</x:v>
      </x:c>
      <x:c r="G524" s="7" t="n">
        <x:f>COUNTIFS('唯一词标签'!$V$2:$V$1441,A524,'唯一词标签'!$Z$2:$Z$1441,"unknown")</x:f>
        <x:v>0</x:v>
      </x:c>
      <x:c r="H524" s="7" t="n">
        <x:f>COUNTIFS('唯一词标签'!$V$2:$V$1441,A524,'唯一词标签'!$U$2:$U$1441,"low")</x:f>
        <x:v>0</x:v>
      </x:c>
      <x:c r="I524" s="7" t="n">
        <x:f>COUNTIFS('唯一词标签'!$V$2:$V$1441,A524,'唯一词标签'!$AB$2:$AB$1441,"needs_review")</x:f>
        <x:v>0</x:v>
      </x:c>
    </x:row>
    <x:row r="525" ht="22" customHeight="1">
      <x:c r="A525" s="7" t="str">
        <x:v>orthopedic_lightweight_flip_flops</x:v>
      </x:c>
      <x:c r="B525" s="7" t="n">
        <x:f>COUNTIF('唯一词标签'!$V$2:$V$1441,A525)</x:f>
        <x:v>1</x:v>
      </x:c>
      <x:c r="C525" s="55" t="n">
        <x:f>B525/COUNTA('唯一词标签'!$C$2:$C$1441)</x:f>
        <x:v>0.0006944444444444445</x:v>
      </x:c>
      <x:c r="D525" s="7" t="n">
        <x:f>COUNTIFS('唯一词标签'!$V$2:$V$1441,A525,'唯一词标签'!$Z$2:$Z$1441,"match")</x:f>
        <x:v>0</x:v>
      </x:c>
      <x:c r="E525" s="7" t="n">
        <x:f>COUNTIFS('唯一词标签'!$V$2:$V$1441,A525,'唯一词标签'!$Z$2:$Z$1441,"partial_match")</x:f>
        <x:v>1</x:v>
      </x:c>
      <x:c r="F525" s="7" t="n">
        <x:f>COUNTIFS('唯一词标签'!$V$2:$V$1441,A525,'唯一词标签'!$Z$2:$Z$1441,"mismatch")</x:f>
        <x:v>0</x:v>
      </x:c>
      <x:c r="G525" s="7" t="n">
        <x:f>COUNTIFS('唯一词标签'!$V$2:$V$1441,A525,'唯一词标签'!$Z$2:$Z$1441,"unknown")</x:f>
        <x:v>0</x:v>
      </x:c>
      <x:c r="H525" s="7" t="n">
        <x:f>COUNTIFS('唯一词标签'!$V$2:$V$1441,A525,'唯一词标签'!$U$2:$U$1441,"low")</x:f>
        <x:v>0</x:v>
      </x:c>
      <x:c r="I525" s="7" t="n">
        <x:f>COUNTIFS('唯一词标签'!$V$2:$V$1441,A525,'唯一词标签'!$AB$2:$AB$1441,"needs_review")</x:f>
        <x:v>0</x:v>
      </x:c>
    </x:row>
    <x:row r="526" ht="22" customHeight="1">
      <x:c r="A526" s="7" t="str">
        <x:v>orthopedic_plantar_fasciitis_flip_flops</x:v>
      </x:c>
      <x:c r="B526" s="7" t="n">
        <x:f>COUNTIF('唯一词标签'!$V$2:$V$1441,A526)</x:f>
        <x:v>1</x:v>
      </x:c>
      <x:c r="C526" s="55" t="n">
        <x:f>B526/COUNTA('唯一词标签'!$C$2:$C$1441)</x:f>
        <x:v>0.0006944444444444445</x:v>
      </x:c>
      <x:c r="D526" s="7" t="n">
        <x:f>COUNTIFS('唯一词标签'!$V$2:$V$1441,A526,'唯一词标签'!$Z$2:$Z$1441,"match")</x:f>
        <x:v>0</x:v>
      </x:c>
      <x:c r="E526" s="7" t="n">
        <x:f>COUNTIFS('唯一词标签'!$V$2:$V$1441,A526,'唯一词标签'!$Z$2:$Z$1441,"partial_match")</x:f>
        <x:v>1</x:v>
      </x:c>
      <x:c r="F526" s="7" t="n">
        <x:f>COUNTIFS('唯一词标签'!$V$2:$V$1441,A526,'唯一词标签'!$Z$2:$Z$1441,"mismatch")</x:f>
        <x:v>0</x:v>
      </x:c>
      <x:c r="G526" s="7" t="n">
        <x:f>COUNTIFS('唯一词标签'!$V$2:$V$1441,A526,'唯一词标签'!$Z$2:$Z$1441,"unknown")</x:f>
        <x:v>0</x:v>
      </x:c>
      <x:c r="H526" s="7" t="n">
        <x:f>COUNTIFS('唯一词标签'!$V$2:$V$1441,A526,'唯一词标签'!$U$2:$U$1441,"low")</x:f>
        <x:v>0</x:v>
      </x:c>
      <x:c r="I526" s="7" t="n">
        <x:f>COUNTIFS('唯一词标签'!$V$2:$V$1441,A526,'唯一词标签'!$AB$2:$AB$1441,"needs_review")</x:f>
        <x:v>0</x:v>
      </x:c>
    </x:row>
    <x:row r="527" ht="22" customHeight="1">
      <x:c r="A527" s="7" t="str">
        <x:v>orthopedic_sandals</x:v>
      </x:c>
      <x:c r="B527" s="7" t="n">
        <x:f>COUNTIF('唯一词标签'!$V$2:$V$1441,A527)</x:f>
        <x:v>1</x:v>
      </x:c>
      <x:c r="C527" s="55" t="n">
        <x:f>B527/COUNTA('唯一词标签'!$C$2:$C$1441)</x:f>
        <x:v>0.0006944444444444445</x:v>
      </x:c>
      <x:c r="D527" s="7" t="n">
        <x:f>COUNTIFS('唯一词标签'!$V$2:$V$1441,A527,'唯一词标签'!$Z$2:$Z$1441,"match")</x:f>
        <x:v>0</x:v>
      </x:c>
      <x:c r="E527" s="7" t="n">
        <x:f>COUNTIFS('唯一词标签'!$V$2:$V$1441,A527,'唯一词标签'!$Z$2:$Z$1441,"partial_match")</x:f>
        <x:v>0</x:v>
      </x:c>
      <x:c r="F527" s="7" t="n">
        <x:f>COUNTIFS('唯一词标签'!$V$2:$V$1441,A527,'唯一词标签'!$Z$2:$Z$1441,"mismatch")</x:f>
        <x:v>1</x:v>
      </x:c>
      <x:c r="G527" s="7" t="n">
        <x:f>COUNTIFS('唯一词标签'!$V$2:$V$1441,A527,'唯一词标签'!$Z$2:$Z$1441,"unknown")</x:f>
        <x:v>0</x:v>
      </x:c>
      <x:c r="H527" s="7" t="n">
        <x:f>COUNTIFS('唯一词标签'!$V$2:$V$1441,A527,'唯一词标签'!$U$2:$U$1441,"low")</x:f>
        <x:v>0</x:v>
      </x:c>
      <x:c r="I527" s="7" t="n">
        <x:f>COUNTIFS('唯一词标签'!$V$2:$V$1441,A527,'唯一词标签'!$AB$2:$AB$1441,"needs_review")</x:f>
        <x:v>0</x:v>
      </x:c>
    </x:row>
    <x:row r="528" ht="22" customHeight="1">
      <x:c r="A528" s="7" t="str">
        <x:v>orthopedic_sandals_women</x:v>
      </x:c>
      <x:c r="B528" s="7" t="n">
        <x:f>COUNTIF('唯一词标签'!$V$2:$V$1441,A528)</x:f>
        <x:v>2</x:v>
      </x:c>
      <x:c r="C528" s="55" t="n">
        <x:f>B528/COUNTA('唯一词标签'!$C$2:$C$1441)</x:f>
        <x:v>0.001388888888888889</x:v>
      </x:c>
      <x:c r="D528" s="7" t="n">
        <x:f>COUNTIFS('唯一词标签'!$V$2:$V$1441,A528,'唯一词标签'!$Z$2:$Z$1441,"match")</x:f>
        <x:v>0</x:v>
      </x:c>
      <x:c r="E528" s="7" t="n">
        <x:f>COUNTIFS('唯一词标签'!$V$2:$V$1441,A528,'唯一词标签'!$Z$2:$Z$1441,"partial_match")</x:f>
        <x:v>2</x:v>
      </x:c>
      <x:c r="F528" s="7" t="n">
        <x:f>COUNTIFS('唯一词标签'!$V$2:$V$1441,A528,'唯一词标签'!$Z$2:$Z$1441,"mismatch")</x:f>
        <x:v>0</x:v>
      </x:c>
      <x:c r="G528" s="7" t="n">
        <x:f>COUNTIFS('唯一词标签'!$V$2:$V$1441,A528,'唯一词标签'!$Z$2:$Z$1441,"unknown")</x:f>
        <x:v>0</x:v>
      </x:c>
      <x:c r="H528" s="7" t="n">
        <x:f>COUNTIFS('唯一词标签'!$V$2:$V$1441,A528,'唯一词标签'!$U$2:$U$1441,"low")</x:f>
        <x:v>0</x:v>
      </x:c>
      <x:c r="I528" s="7" t="n">
        <x:f>COUNTIFS('唯一词标签'!$V$2:$V$1441,A528,'唯一词标签'!$AB$2:$AB$1441,"needs_review")</x:f>
        <x:v>0</x:v>
      </x:c>
    </x:row>
    <x:row r="529" ht="22" customHeight="1">
      <x:c r="A529" s="7" t="str">
        <x:v>orthopedic_sandals_women_arch_support</x:v>
      </x:c>
      <x:c r="B529" s="7" t="n">
        <x:f>COUNTIF('唯一词标签'!$V$2:$V$1441,A529)</x:f>
        <x:v>1</x:v>
      </x:c>
      <x:c r="C529" s="55" t="n">
        <x:f>B529/COUNTA('唯一词标签'!$C$2:$C$1441)</x:f>
        <x:v>0.0006944444444444445</x:v>
      </x:c>
      <x:c r="D529" s="7" t="n">
        <x:f>COUNTIFS('唯一词标签'!$V$2:$V$1441,A529,'唯一词标签'!$Z$2:$Z$1441,"match")</x:f>
        <x:v>0</x:v>
      </x:c>
      <x:c r="E529" s="7" t="n">
        <x:f>COUNTIFS('唯一词标签'!$V$2:$V$1441,A529,'唯一词标签'!$Z$2:$Z$1441,"partial_match")</x:f>
        <x:v>1</x:v>
      </x:c>
      <x:c r="F529" s="7" t="n">
        <x:f>COUNTIFS('唯一词标签'!$V$2:$V$1441,A529,'唯一词标签'!$Z$2:$Z$1441,"mismatch")</x:f>
        <x:v>0</x:v>
      </x:c>
      <x:c r="G529" s="7" t="n">
        <x:f>COUNTIFS('唯一词标签'!$V$2:$V$1441,A529,'唯一词标签'!$Z$2:$Z$1441,"unknown")</x:f>
        <x:v>0</x:v>
      </x:c>
      <x:c r="H529" s="7" t="n">
        <x:f>COUNTIFS('唯一词标签'!$V$2:$V$1441,A529,'唯一词标签'!$U$2:$U$1441,"low")</x:f>
        <x:v>0</x:v>
      </x:c>
      <x:c r="I529" s="7" t="n">
        <x:f>COUNTIFS('唯一词标签'!$V$2:$V$1441,A529,'唯一词标签'!$AB$2:$AB$1441,"needs_review")</x:f>
        <x:v>0</x:v>
      </x:c>
    </x:row>
    <x:row r="530" ht="22" customHeight="1">
      <x:c r="A530" s="7" t="str">
        <x:v>orthotic_arch_support_flip_flops</x:v>
      </x:c>
      <x:c r="B530" s="7" t="n">
        <x:f>COUNTIF('唯一词标签'!$V$2:$V$1441,A530)</x:f>
        <x:v>1</x:v>
      </x:c>
      <x:c r="C530" s="55" t="n">
        <x:f>B530/COUNTA('唯一词标签'!$C$2:$C$1441)</x:f>
        <x:v>0.0006944444444444445</x:v>
      </x:c>
      <x:c r="D530" s="7" t="n">
        <x:f>COUNTIFS('唯一词标签'!$V$2:$V$1441,A530,'唯一词标签'!$Z$2:$Z$1441,"match")</x:f>
        <x:v>0</x:v>
      </x:c>
      <x:c r="E530" s="7" t="n">
        <x:f>COUNTIFS('唯一词标签'!$V$2:$V$1441,A530,'唯一词标签'!$Z$2:$Z$1441,"partial_match")</x:f>
        <x:v>1</x:v>
      </x:c>
      <x:c r="F530" s="7" t="n">
        <x:f>COUNTIFS('唯一词标签'!$V$2:$V$1441,A530,'唯一词标签'!$Z$2:$Z$1441,"mismatch")</x:f>
        <x:v>0</x:v>
      </x:c>
      <x:c r="G530" s="7" t="n">
        <x:f>COUNTIFS('唯一词标签'!$V$2:$V$1441,A530,'唯一词标签'!$Z$2:$Z$1441,"unknown")</x:f>
        <x:v>0</x:v>
      </x:c>
      <x:c r="H530" s="7" t="n">
        <x:f>COUNTIFS('唯一词标签'!$V$2:$V$1441,A530,'唯一词标签'!$U$2:$U$1441,"low")</x:f>
        <x:v>0</x:v>
      </x:c>
      <x:c r="I530" s="7" t="n">
        <x:f>COUNTIFS('唯一词标签'!$V$2:$V$1441,A530,'唯一词标签'!$AB$2:$AB$1441,"needs_review")</x:f>
        <x:v>0</x:v>
      </x:c>
    </x:row>
    <x:row r="531" ht="22" customHeight="1">
      <x:c r="A531" s="7" t="str">
        <x:v>orthotic_flip_flops</x:v>
      </x:c>
      <x:c r="B531" s="7" t="n">
        <x:f>COUNTIF('唯一词标签'!$V$2:$V$1441,A531)</x:f>
        <x:v>2</x:v>
      </x:c>
      <x:c r="C531" s="55" t="n">
        <x:f>B531/COUNTA('唯一词标签'!$C$2:$C$1441)</x:f>
        <x:v>0.001388888888888889</x:v>
      </x:c>
      <x:c r="D531" s="7" t="n">
        <x:f>COUNTIFS('唯一词标签'!$V$2:$V$1441,A531,'唯一词标签'!$Z$2:$Z$1441,"match")</x:f>
        <x:v>0</x:v>
      </x:c>
      <x:c r="E531" s="7" t="n">
        <x:f>COUNTIFS('唯一词标签'!$V$2:$V$1441,A531,'唯一词标签'!$Z$2:$Z$1441,"partial_match")</x:f>
        <x:v>1</x:v>
      </x:c>
      <x:c r="F531" s="7" t="n">
        <x:f>COUNTIFS('唯一词标签'!$V$2:$V$1441,A531,'唯一词标签'!$Z$2:$Z$1441,"mismatch")</x:f>
        <x:v>1</x:v>
      </x:c>
      <x:c r="G531" s="7" t="n">
        <x:f>COUNTIFS('唯一词标签'!$V$2:$V$1441,A531,'唯一词标签'!$Z$2:$Z$1441,"unknown")</x:f>
        <x:v>0</x:v>
      </x:c>
      <x:c r="H531" s="7" t="n">
        <x:f>COUNTIFS('唯一词标签'!$V$2:$V$1441,A531,'唯一词标签'!$U$2:$U$1441,"low")</x:f>
        <x:v>0</x:v>
      </x:c>
      <x:c r="I531" s="7" t="n">
        <x:f>COUNTIFS('唯一词标签'!$V$2:$V$1441,A531,'唯一词标签'!$AB$2:$AB$1441,"needs_review")</x:f>
        <x:v>0</x:v>
      </x:c>
    </x:row>
    <x:row r="532" ht="22" customHeight="1">
      <x:c r="A532" s="7" t="str">
        <x:v>orthotic_waterproof_flip_flops</x:v>
      </x:c>
      <x:c r="B532" s="7" t="n">
        <x:f>COUNTIF('唯一词标签'!$V$2:$V$1441,A532)</x:f>
        <x:v>1</x:v>
      </x:c>
      <x:c r="C532" s="55" t="n">
        <x:f>B532/COUNTA('唯一词标签'!$C$2:$C$1441)</x:f>
        <x:v>0.0006944444444444445</x:v>
      </x:c>
      <x:c r="D532" s="7" t="n">
        <x:f>COUNTIFS('唯一词标签'!$V$2:$V$1441,A532,'唯一词标签'!$Z$2:$Z$1441,"match")</x:f>
        <x:v>0</x:v>
      </x:c>
      <x:c r="E532" s="7" t="n">
        <x:f>COUNTIFS('唯一词标签'!$V$2:$V$1441,A532,'唯一词标签'!$Z$2:$Z$1441,"partial_match")</x:f>
        <x:v>1</x:v>
      </x:c>
      <x:c r="F532" s="7" t="n">
        <x:f>COUNTIFS('唯一词标签'!$V$2:$V$1441,A532,'唯一词标签'!$Z$2:$Z$1441,"mismatch")</x:f>
        <x:v>0</x:v>
      </x:c>
      <x:c r="G532" s="7" t="n">
        <x:f>COUNTIFS('唯一词标签'!$V$2:$V$1441,A532,'唯一词标签'!$Z$2:$Z$1441,"unknown")</x:f>
        <x:v>0</x:v>
      </x:c>
      <x:c r="H532" s="7" t="n">
        <x:f>COUNTIFS('唯一词标签'!$V$2:$V$1441,A532,'唯一词标签'!$U$2:$U$1441,"low")</x:f>
        <x:v>0</x:v>
      </x:c>
      <x:c r="I532" s="7" t="n">
        <x:f>COUNTIFS('唯一词标签'!$V$2:$V$1441,A532,'唯一词标签'!$AB$2:$AB$1441,"needs_review")</x:f>
        <x:v>1</x:v>
      </x:c>
    </x:row>
    <x:row r="533" ht="22" customHeight="1">
      <x:c r="A533" s="7" t="str">
        <x:v>orthotic_womens_flip_flops</x:v>
      </x:c>
      <x:c r="B533" s="7" t="n">
        <x:f>COUNTIF('唯一词标签'!$V$2:$V$1441,A533)</x:f>
        <x:v>1</x:v>
      </x:c>
      <x:c r="C533" s="55" t="n">
        <x:f>B533/COUNTA('唯一词标签'!$C$2:$C$1441)</x:f>
        <x:v>0.0006944444444444445</x:v>
      </x:c>
      <x:c r="D533" s="7" t="n">
        <x:f>COUNTIFS('唯一词标签'!$V$2:$V$1441,A533,'唯一词标签'!$Z$2:$Z$1441,"match")</x:f>
        <x:v>0</x:v>
      </x:c>
      <x:c r="E533" s="7" t="n">
        <x:f>COUNTIFS('唯一词标签'!$V$2:$V$1441,A533,'唯一词标签'!$Z$2:$Z$1441,"partial_match")</x:f>
        <x:v>1</x:v>
      </x:c>
      <x:c r="F533" s="7" t="n">
        <x:f>COUNTIFS('唯一词标签'!$V$2:$V$1441,A533,'唯一词标签'!$Z$2:$Z$1441,"mismatch")</x:f>
        <x:v>0</x:v>
      </x:c>
      <x:c r="G533" s="7" t="n">
        <x:f>COUNTIFS('唯一词标签'!$V$2:$V$1441,A533,'唯一词标签'!$Z$2:$Z$1441,"unknown")</x:f>
        <x:v>0</x:v>
      </x:c>
      <x:c r="H533" s="7" t="n">
        <x:f>COUNTIFS('唯一词标签'!$V$2:$V$1441,A533,'唯一词标签'!$U$2:$U$1441,"low")</x:f>
        <x:v>0</x:v>
      </x:c>
      <x:c r="I533" s="7" t="n">
        <x:f>COUNTIFS('唯一词标签'!$V$2:$V$1441,A533,'唯一词标签'!$AB$2:$AB$1441,"needs_review")</x:f>
        <x:v>0</x:v>
      </x:c>
    </x:row>
    <x:row r="534" ht="22" customHeight="1">
      <x:c r="A534" s="7" t="str">
        <x:v>outdoor_flip_flops</x:v>
      </x:c>
      <x:c r="B534" s="7" t="n">
        <x:f>COUNTIF('唯一词标签'!$V$2:$V$1441,A534)</x:f>
        <x:v>1</x:v>
      </x:c>
      <x:c r="C534" s="55" t="n">
        <x:f>B534/COUNTA('唯一词标签'!$C$2:$C$1441)</x:f>
        <x:v>0.0006944444444444445</x:v>
      </x:c>
      <x:c r="D534" s="7" t="n">
        <x:f>COUNTIFS('唯一词标签'!$V$2:$V$1441,A534,'唯一词标签'!$Z$2:$Z$1441,"match")</x:f>
        <x:v>1</x:v>
      </x:c>
      <x:c r="E534" s="7" t="n">
        <x:f>COUNTIFS('唯一词标签'!$V$2:$V$1441,A534,'唯一词标签'!$Z$2:$Z$1441,"partial_match")</x:f>
        <x:v>0</x:v>
      </x:c>
      <x:c r="F534" s="7" t="n">
        <x:f>COUNTIFS('唯一词标签'!$V$2:$V$1441,A534,'唯一词标签'!$Z$2:$Z$1441,"mismatch")</x:f>
        <x:v>0</x:v>
      </x:c>
      <x:c r="G534" s="7" t="n">
        <x:f>COUNTIFS('唯一词标签'!$V$2:$V$1441,A534,'唯一词标签'!$Z$2:$Z$1441,"unknown")</x:f>
        <x:v>0</x:v>
      </x:c>
      <x:c r="H534" s="7" t="n">
        <x:f>COUNTIFS('唯一词标签'!$V$2:$V$1441,A534,'唯一词标签'!$U$2:$U$1441,"low")</x:f>
        <x:v>0</x:v>
      </x:c>
      <x:c r="I534" s="7" t="n">
        <x:f>COUNTIFS('唯一词标签'!$V$2:$V$1441,A534,'唯一词标签'!$AB$2:$AB$1441,"needs_review")</x:f>
        <x:v>0</x:v>
      </x:c>
    </x:row>
    <x:row r="535" ht="22" customHeight="1">
      <x:c r="A535" s="7" t="str">
        <x:v>outdoor_womens_flip_flops</x:v>
      </x:c>
      <x:c r="B535" s="7" t="n">
        <x:f>COUNTIF('唯一词标签'!$V$2:$V$1441,A535)</x:f>
        <x:v>1</x:v>
      </x:c>
      <x:c r="C535" s="55" t="n">
        <x:f>B535/COUNTA('唯一词标签'!$C$2:$C$1441)</x:f>
        <x:v>0.0006944444444444445</x:v>
      </x:c>
      <x:c r="D535" s="7" t="n">
        <x:f>COUNTIFS('唯一词标签'!$V$2:$V$1441,A535,'唯一词标签'!$Z$2:$Z$1441,"match")</x:f>
        <x:v>1</x:v>
      </x:c>
      <x:c r="E535" s="7" t="n">
        <x:f>COUNTIFS('唯一词标签'!$V$2:$V$1441,A535,'唯一词标签'!$Z$2:$Z$1441,"partial_match")</x:f>
        <x:v>0</x:v>
      </x:c>
      <x:c r="F535" s="7" t="n">
        <x:f>COUNTIFS('唯一词标签'!$V$2:$V$1441,A535,'唯一词标签'!$Z$2:$Z$1441,"mismatch")</x:f>
        <x:v>0</x:v>
      </x:c>
      <x:c r="G535" s="7" t="n">
        <x:f>COUNTIFS('唯一词标签'!$V$2:$V$1441,A535,'唯一词标签'!$Z$2:$Z$1441,"unknown")</x:f>
        <x:v>0</x:v>
      </x:c>
      <x:c r="H535" s="7" t="n">
        <x:f>COUNTIFS('唯一词标签'!$V$2:$V$1441,A535,'唯一词标签'!$U$2:$U$1441,"low")</x:f>
        <x:v>0</x:v>
      </x:c>
      <x:c r="I535" s="7" t="n">
        <x:f>COUNTIFS('唯一词标签'!$V$2:$V$1441,A535,'唯一词标签'!$AB$2:$AB$1441,"needs_review")</x:f>
        <x:v>0</x:v>
      </x:c>
    </x:row>
    <x:row r="536" ht="22" customHeight="1">
      <x:c r="A536" s="7" t="str">
        <x:v>padded_flip_flops</x:v>
      </x:c>
      <x:c r="B536" s="7" t="n">
        <x:f>COUNTIF('唯一词标签'!$V$2:$V$1441,A536)</x:f>
        <x:v>1</x:v>
      </x:c>
      <x:c r="C536" s="55" t="n">
        <x:f>B536/COUNTA('唯一词标签'!$C$2:$C$1441)</x:f>
        <x:v>0.0006944444444444445</x:v>
      </x:c>
      <x:c r="D536" s="7" t="n">
        <x:f>COUNTIFS('唯一词标签'!$V$2:$V$1441,A536,'唯一词标签'!$Z$2:$Z$1441,"match")</x:f>
        <x:v>1</x:v>
      </x:c>
      <x:c r="E536" s="7" t="n">
        <x:f>COUNTIFS('唯一词标签'!$V$2:$V$1441,A536,'唯一词标签'!$Z$2:$Z$1441,"partial_match")</x:f>
        <x:v>0</x:v>
      </x:c>
      <x:c r="F536" s="7" t="n">
        <x:f>COUNTIFS('唯一词标签'!$V$2:$V$1441,A536,'唯一词标签'!$Z$2:$Z$1441,"mismatch")</x:f>
        <x:v>0</x:v>
      </x:c>
      <x:c r="G536" s="7" t="n">
        <x:f>COUNTIFS('唯一词标签'!$V$2:$V$1441,A536,'唯一词标签'!$Z$2:$Z$1441,"unknown")</x:f>
        <x:v>0</x:v>
      </x:c>
      <x:c r="H536" s="7" t="n">
        <x:f>COUNTIFS('唯一词标签'!$V$2:$V$1441,A536,'唯一词标签'!$U$2:$U$1441,"low")</x:f>
        <x:v>0</x:v>
      </x:c>
      <x:c r="I536" s="7" t="n">
        <x:f>COUNTIFS('唯一词标签'!$V$2:$V$1441,A536,'唯一词标签'!$AB$2:$AB$1441,"needs_review")</x:f>
        <x:v>0</x:v>
      </x:c>
    </x:row>
    <x:row r="537" ht="22" customHeight="1">
      <x:c r="A537" s="7" t="str">
        <x:v>padded_flip_flops_women</x:v>
      </x:c>
      <x:c r="B537" s="7" t="n">
        <x:f>COUNTIF('唯一词标签'!$V$2:$V$1441,A537)</x:f>
        <x:v>1</x:v>
      </x:c>
      <x:c r="C537" s="55" t="n">
        <x:f>B537/COUNTA('唯一词标签'!$C$2:$C$1441)</x:f>
        <x:v>0.0006944444444444445</x:v>
      </x:c>
      <x:c r="D537" s="7" t="n">
        <x:f>COUNTIFS('唯一词标签'!$V$2:$V$1441,A537,'唯一词标签'!$Z$2:$Z$1441,"match")</x:f>
        <x:v>1</x:v>
      </x:c>
      <x:c r="E537" s="7" t="n">
        <x:f>COUNTIFS('唯一词标签'!$V$2:$V$1441,A537,'唯一词标签'!$Z$2:$Z$1441,"partial_match")</x:f>
        <x:v>0</x:v>
      </x:c>
      <x:c r="F537" s="7" t="n">
        <x:f>COUNTIFS('唯一词标签'!$V$2:$V$1441,A537,'唯一词标签'!$Z$2:$Z$1441,"mismatch")</x:f>
        <x:v>0</x:v>
      </x:c>
      <x:c r="G537" s="7" t="n">
        <x:f>COUNTIFS('唯一词标签'!$V$2:$V$1441,A537,'唯一词标签'!$Z$2:$Z$1441,"unknown")</x:f>
        <x:v>0</x:v>
      </x:c>
      <x:c r="H537" s="7" t="n">
        <x:f>COUNTIFS('唯一词标签'!$V$2:$V$1441,A537,'唯一词标签'!$U$2:$U$1441,"low")</x:f>
        <x:v>0</x:v>
      </x:c>
      <x:c r="I537" s="7" t="n">
        <x:f>COUNTIFS('唯一词标签'!$V$2:$V$1441,A537,'唯一词标签'!$AB$2:$AB$1441,"needs_review")</x:f>
        <x:v>0</x:v>
      </x:c>
    </x:row>
    <x:row r="538" ht="22" customHeight="1">
      <x:c r="A538" s="7" t="str">
        <x:v>padded_thong_sandals</x:v>
      </x:c>
      <x:c r="B538" s="7" t="n">
        <x:f>COUNTIF('唯一词标签'!$V$2:$V$1441,A538)</x:f>
        <x:v>1</x:v>
      </x:c>
      <x:c r="C538" s="55" t="n">
        <x:f>B538/COUNTA('唯一词标签'!$C$2:$C$1441)</x:f>
        <x:v>0.0006944444444444445</x:v>
      </x:c>
      <x:c r="D538" s="7" t="n">
        <x:f>COUNTIFS('唯一词标签'!$V$2:$V$1441,A538,'唯一词标签'!$Z$2:$Z$1441,"match")</x:f>
        <x:v>0</x:v>
      </x:c>
      <x:c r="E538" s="7" t="n">
        <x:f>COUNTIFS('唯一词标签'!$V$2:$V$1441,A538,'唯一词标签'!$Z$2:$Z$1441,"partial_match")</x:f>
        <x:v>1</x:v>
      </x:c>
      <x:c r="F538" s="7" t="n">
        <x:f>COUNTIFS('唯一词标签'!$V$2:$V$1441,A538,'唯一词标签'!$Z$2:$Z$1441,"mismatch")</x:f>
        <x:v>0</x:v>
      </x:c>
      <x:c r="G538" s="7" t="n">
        <x:f>COUNTIFS('唯一词标签'!$V$2:$V$1441,A538,'唯一词标签'!$Z$2:$Z$1441,"unknown")</x:f>
        <x:v>0</x:v>
      </x:c>
      <x:c r="H538" s="7" t="n">
        <x:f>COUNTIFS('唯一词标签'!$V$2:$V$1441,A538,'唯一词标签'!$U$2:$U$1441,"low")</x:f>
        <x:v>0</x:v>
      </x:c>
      <x:c r="I538" s="7" t="n">
        <x:f>COUNTIFS('唯一词标签'!$V$2:$V$1441,A538,'唯一词标签'!$AB$2:$AB$1441,"needs_review")</x:f>
        <x:v>0</x:v>
      </x:c>
    </x:row>
    <x:row r="539" ht="22" customHeight="1">
      <x:c r="A539" s="7" t="str">
        <x:v>patriotic_flip_flops_women</x:v>
      </x:c>
      <x:c r="B539" s="7" t="n">
        <x:f>COUNTIF('唯一词标签'!$V$2:$V$1441,A539)</x:f>
        <x:v>1</x:v>
      </x:c>
      <x:c r="C539" s="55" t="n">
        <x:f>B539/COUNTA('唯一词标签'!$C$2:$C$1441)</x:f>
        <x:v>0.0006944444444444445</x:v>
      </x:c>
      <x:c r="D539" s="7" t="n">
        <x:f>COUNTIFS('唯一词标签'!$V$2:$V$1441,A539,'唯一词标签'!$Z$2:$Z$1441,"match")</x:f>
        <x:v>0</x:v>
      </x:c>
      <x:c r="E539" s="7" t="n">
        <x:f>COUNTIFS('唯一词标签'!$V$2:$V$1441,A539,'唯一词标签'!$Z$2:$Z$1441,"partial_match")</x:f>
        <x:v>1</x:v>
      </x:c>
      <x:c r="F539" s="7" t="n">
        <x:f>COUNTIFS('唯一词标签'!$V$2:$V$1441,A539,'唯一词标签'!$Z$2:$Z$1441,"mismatch")</x:f>
        <x:v>0</x:v>
      </x:c>
      <x:c r="G539" s="7" t="n">
        <x:f>COUNTIFS('唯一词标签'!$V$2:$V$1441,A539,'唯一词标签'!$Z$2:$Z$1441,"unknown")</x:f>
        <x:v>0</x:v>
      </x:c>
      <x:c r="H539" s="7" t="n">
        <x:f>COUNTIFS('唯一词标签'!$V$2:$V$1441,A539,'唯一词标签'!$U$2:$U$1441,"low")</x:f>
        <x:v>0</x:v>
      </x:c>
      <x:c r="I539" s="7" t="n">
        <x:f>COUNTIFS('唯一词标签'!$V$2:$V$1441,A539,'唯一词标签'!$AB$2:$AB$1441,"needs_review")</x:f>
        <x:v>0</x:v>
      </x:c>
    </x:row>
    <x:row r="540" ht="22" customHeight="1">
      <x:c r="A540" s="7" t="str">
        <x:v>patterned_flip_flops_women</x:v>
      </x:c>
      <x:c r="B540" s="7" t="n">
        <x:f>COUNTIF('唯一词标签'!$V$2:$V$1441,A540)</x:f>
        <x:v>1</x:v>
      </x:c>
      <x:c r="C540" s="55" t="n">
        <x:f>B540/COUNTA('唯一词标签'!$C$2:$C$1441)</x:f>
        <x:v>0.0006944444444444445</x:v>
      </x:c>
      <x:c r="D540" s="7" t="n">
        <x:f>COUNTIFS('唯一词标签'!$V$2:$V$1441,A540,'唯一词标签'!$Z$2:$Z$1441,"match")</x:f>
        <x:v>0</x:v>
      </x:c>
      <x:c r="E540" s="7" t="n">
        <x:f>COUNTIFS('唯一词标签'!$V$2:$V$1441,A540,'唯一词标签'!$Z$2:$Z$1441,"partial_match")</x:f>
        <x:v>1</x:v>
      </x:c>
      <x:c r="F540" s="7" t="n">
        <x:f>COUNTIFS('唯一词标签'!$V$2:$V$1441,A540,'唯一词标签'!$Z$2:$Z$1441,"mismatch")</x:f>
        <x:v>0</x:v>
      </x:c>
      <x:c r="G540" s="7" t="n">
        <x:f>COUNTIFS('唯一词标签'!$V$2:$V$1441,A540,'唯一词标签'!$Z$2:$Z$1441,"unknown")</x:f>
        <x:v>0</x:v>
      </x:c>
      <x:c r="H540" s="7" t="n">
        <x:f>COUNTIFS('唯一词标签'!$V$2:$V$1441,A540,'唯一词标签'!$U$2:$U$1441,"low")</x:f>
        <x:v>0</x:v>
      </x:c>
      <x:c r="I540" s="7" t="n">
        <x:f>COUNTIFS('唯一词标签'!$V$2:$V$1441,A540,'唯一词标签'!$AB$2:$AB$1441,"needs_review")</x:f>
        <x:v>0</x:v>
      </x:c>
    </x:row>
    <x:row r="541" ht="22" customHeight="1">
      <x:c r="A541" s="7" t="str">
        <x:v>patterned_womens_sandals</x:v>
      </x:c>
      <x:c r="B541" s="7" t="n">
        <x:f>COUNTIF('唯一词标签'!$V$2:$V$1441,A541)</x:f>
        <x:v>1</x:v>
      </x:c>
      <x:c r="C541" s="55" t="n">
        <x:f>B541/COUNTA('唯一词标签'!$C$2:$C$1441)</x:f>
        <x:v>0.0006944444444444445</x:v>
      </x:c>
      <x:c r="D541" s="7" t="n">
        <x:f>COUNTIFS('唯一词标签'!$V$2:$V$1441,A541,'唯一词标签'!$Z$2:$Z$1441,"match")</x:f>
        <x:v>0</x:v>
      </x:c>
      <x:c r="E541" s="7" t="n">
        <x:f>COUNTIFS('唯一词标签'!$V$2:$V$1441,A541,'唯一词标签'!$Z$2:$Z$1441,"partial_match")</x:f>
        <x:v>1</x:v>
      </x:c>
      <x:c r="F541" s="7" t="n">
        <x:f>COUNTIFS('唯一词标签'!$V$2:$V$1441,A541,'唯一词标签'!$Z$2:$Z$1441,"mismatch")</x:f>
        <x:v>0</x:v>
      </x:c>
      <x:c r="G541" s="7" t="n">
        <x:f>COUNTIFS('唯一词标签'!$V$2:$V$1441,A541,'唯一词标签'!$Z$2:$Z$1441,"unknown")</x:f>
        <x:v>0</x:v>
      </x:c>
      <x:c r="H541" s="7" t="n">
        <x:f>COUNTIFS('唯一词标签'!$V$2:$V$1441,A541,'唯一词标签'!$U$2:$U$1441,"low")</x:f>
        <x:v>0</x:v>
      </x:c>
      <x:c r="I541" s="7" t="n">
        <x:f>COUNTIFS('唯一词标签'!$V$2:$V$1441,A541,'唯一词标签'!$AB$2:$AB$1441,"needs_review")</x:f>
        <x:v>1</x:v>
      </x:c>
    </x:row>
    <x:row r="542" ht="22" customHeight="1">
      <x:c r="A542" s="7" t="str">
        <x:v>peach_flip_flops_women</x:v>
      </x:c>
      <x:c r="B542" s="7" t="n">
        <x:f>COUNTIF('唯一词标签'!$V$2:$V$1441,A542)</x:f>
        <x:v>1</x:v>
      </x:c>
      <x:c r="C542" s="55" t="n">
        <x:f>B542/COUNTA('唯一词标签'!$C$2:$C$1441)</x:f>
        <x:v>0.0006944444444444445</x:v>
      </x:c>
      <x:c r="D542" s="7" t="n">
        <x:f>COUNTIFS('唯一词标签'!$V$2:$V$1441,A542,'唯一词标签'!$Z$2:$Z$1441,"match")</x:f>
        <x:v>0</x:v>
      </x:c>
      <x:c r="E542" s="7" t="n">
        <x:f>COUNTIFS('唯一词标签'!$V$2:$V$1441,A542,'唯一词标签'!$Z$2:$Z$1441,"partial_match")</x:f>
        <x:v>1</x:v>
      </x:c>
      <x:c r="F542" s="7" t="n">
        <x:f>COUNTIFS('唯一词标签'!$V$2:$V$1441,A542,'唯一词标签'!$Z$2:$Z$1441,"mismatch")</x:f>
        <x:v>0</x:v>
      </x:c>
      <x:c r="G542" s="7" t="n">
        <x:f>COUNTIFS('唯一词标签'!$V$2:$V$1441,A542,'唯一词标签'!$Z$2:$Z$1441,"unknown")</x:f>
        <x:v>0</x:v>
      </x:c>
      <x:c r="H542" s="7" t="n">
        <x:f>COUNTIFS('唯一词标签'!$V$2:$V$1441,A542,'唯一词标签'!$U$2:$U$1441,"low")</x:f>
        <x:v>0</x:v>
      </x:c>
      <x:c r="I542" s="7" t="n">
        <x:f>COUNTIFS('唯一词标签'!$V$2:$V$1441,A542,'唯一词标签'!$AB$2:$AB$1441,"needs_review")</x:f>
        <x:v>0</x:v>
      </x:c>
    </x:row>
    <x:row r="543" ht="22" customHeight="1">
      <x:c r="A543" s="7" t="str">
        <x:v>periwinkle_womens_flip_flops</x:v>
      </x:c>
      <x:c r="B543" s="7" t="n">
        <x:f>COUNTIF('唯一词标签'!$V$2:$V$1441,A543)</x:f>
        <x:v>1</x:v>
      </x:c>
      <x:c r="C543" s="55" t="n">
        <x:f>B543/COUNTA('唯一词标签'!$C$2:$C$1441)</x:f>
        <x:v>0.0006944444444444445</x:v>
      </x:c>
      <x:c r="D543" s="7" t="n">
        <x:f>COUNTIFS('唯一词标签'!$V$2:$V$1441,A543,'唯一词标签'!$Z$2:$Z$1441,"match")</x:f>
        <x:v>0</x:v>
      </x:c>
      <x:c r="E543" s="7" t="n">
        <x:f>COUNTIFS('唯一词标签'!$V$2:$V$1441,A543,'唯一词标签'!$Z$2:$Z$1441,"partial_match")</x:f>
        <x:v>1</x:v>
      </x:c>
      <x:c r="F543" s="7" t="n">
        <x:f>COUNTIFS('唯一词标签'!$V$2:$V$1441,A543,'唯一词标签'!$Z$2:$Z$1441,"mismatch")</x:f>
        <x:v>0</x:v>
      </x:c>
      <x:c r="G543" s="7" t="n">
        <x:f>COUNTIFS('唯一词标签'!$V$2:$V$1441,A543,'唯一词标签'!$Z$2:$Z$1441,"unknown")</x:f>
        <x:v>0</x:v>
      </x:c>
      <x:c r="H543" s="7" t="n">
        <x:f>COUNTIFS('唯一词标签'!$V$2:$V$1441,A543,'唯一词标签'!$U$2:$U$1441,"low")</x:f>
        <x:v>0</x:v>
      </x:c>
      <x:c r="I543" s="7" t="n">
        <x:f>COUNTIFS('唯一词标签'!$V$2:$V$1441,A543,'唯一词标签'!$AB$2:$AB$1441,"needs_review")</x:f>
        <x:v>0</x:v>
      </x:c>
    </x:row>
    <x:row r="544" ht="22" customHeight="1">
      <x:c r="A544" s="7" t="str">
        <x:v>pink_arch_support_flip_flops</x:v>
      </x:c>
      <x:c r="B544" s="7" t="n">
        <x:f>COUNTIF('唯一词标签'!$V$2:$V$1441,A544)</x:f>
        <x:v>1</x:v>
      </x:c>
      <x:c r="C544" s="55" t="n">
        <x:f>B544/COUNTA('唯一词标签'!$C$2:$C$1441)</x:f>
        <x:v>0.0006944444444444445</x:v>
      </x:c>
      <x:c r="D544" s="7" t="n">
        <x:f>COUNTIFS('唯一词标签'!$V$2:$V$1441,A544,'唯一词标签'!$Z$2:$Z$1441,"match")</x:f>
        <x:v>1</x:v>
      </x:c>
      <x:c r="E544" s="7" t="n">
        <x:f>COUNTIFS('唯一词标签'!$V$2:$V$1441,A544,'唯一词标签'!$Z$2:$Z$1441,"partial_match")</x:f>
        <x:v>0</x:v>
      </x:c>
      <x:c r="F544" s="7" t="n">
        <x:f>COUNTIFS('唯一词标签'!$V$2:$V$1441,A544,'唯一词标签'!$Z$2:$Z$1441,"mismatch")</x:f>
        <x:v>0</x:v>
      </x:c>
      <x:c r="G544" s="7" t="n">
        <x:f>COUNTIFS('唯一词标签'!$V$2:$V$1441,A544,'唯一词标签'!$Z$2:$Z$1441,"unknown")</x:f>
        <x:v>0</x:v>
      </x:c>
      <x:c r="H544" s="7" t="n">
        <x:f>COUNTIFS('唯一词标签'!$V$2:$V$1441,A544,'唯一词标签'!$U$2:$U$1441,"low")</x:f>
        <x:v>0</x:v>
      </x:c>
      <x:c r="I544" s="7" t="n">
        <x:f>COUNTIFS('唯一词标签'!$V$2:$V$1441,A544,'唯一词标签'!$AB$2:$AB$1441,"needs_review")</x:f>
        <x:v>0</x:v>
      </x:c>
    </x:row>
    <x:row r="545" ht="22" customHeight="1">
      <x:c r="A545" s="7" t="str">
        <x:v>pink_archies_dupe_flip_flop</x:v>
      </x:c>
      <x:c r="B545" s="7" t="n">
        <x:f>COUNTIF('唯一词标签'!$V$2:$V$1441,A545)</x:f>
        <x:v>1</x:v>
      </x:c>
      <x:c r="C545" s="55" t="n">
        <x:f>B545/COUNTA('唯一词标签'!$C$2:$C$1441)</x:f>
        <x:v>0.0006944444444444445</x:v>
      </x:c>
      <x:c r="D545" s="7" t="n">
        <x:f>COUNTIFS('唯一词标签'!$V$2:$V$1441,A545,'唯一词标签'!$Z$2:$Z$1441,"match")</x:f>
        <x:v>0</x:v>
      </x:c>
      <x:c r="E545" s="7" t="n">
        <x:f>COUNTIFS('唯一词标签'!$V$2:$V$1441,A545,'唯一词标签'!$Z$2:$Z$1441,"partial_match")</x:f>
        <x:v>1</x:v>
      </x:c>
      <x:c r="F545" s="7" t="n">
        <x:f>COUNTIFS('唯一词标签'!$V$2:$V$1441,A545,'唯一词标签'!$Z$2:$Z$1441,"mismatch")</x:f>
        <x:v>0</x:v>
      </x:c>
      <x:c r="G545" s="7" t="n">
        <x:f>COUNTIFS('唯一词标签'!$V$2:$V$1441,A545,'唯一词标签'!$Z$2:$Z$1441,"unknown")</x:f>
        <x:v>0</x:v>
      </x:c>
      <x:c r="H545" s="7" t="n">
        <x:f>COUNTIFS('唯一词标签'!$V$2:$V$1441,A545,'唯一词标签'!$U$2:$U$1441,"low")</x:f>
        <x:v>0</x:v>
      </x:c>
      <x:c r="I545" s="7" t="n">
        <x:f>COUNTIFS('唯一词标签'!$V$2:$V$1441,A545,'唯一词标签'!$AB$2:$AB$1441,"needs_review")</x:f>
        <x:v>0</x:v>
      </x:c>
    </x:row>
    <x:row r="546" ht="22" customHeight="1">
      <x:c r="A546" s="7" t="str">
        <x:v>pink_flip_flops</x:v>
      </x:c>
      <x:c r="B546" s="7" t="n">
        <x:f>COUNTIF('唯一词标签'!$V$2:$V$1441,A546)</x:f>
        <x:v>2</x:v>
      </x:c>
      <x:c r="C546" s="55" t="n">
        <x:f>B546/COUNTA('唯一词标签'!$C$2:$C$1441)</x:f>
        <x:v>0.001388888888888889</x:v>
      </x:c>
      <x:c r="D546" s="7" t="n">
        <x:f>COUNTIFS('唯一词标签'!$V$2:$V$1441,A546,'唯一词标签'!$Z$2:$Z$1441,"match")</x:f>
        <x:v>1</x:v>
      </x:c>
      <x:c r="E546" s="7" t="n">
        <x:f>COUNTIFS('唯一词标签'!$V$2:$V$1441,A546,'唯一词标签'!$Z$2:$Z$1441,"partial_match")</x:f>
        <x:v>1</x:v>
      </x:c>
      <x:c r="F546" s="7" t="n">
        <x:f>COUNTIFS('唯一词标签'!$V$2:$V$1441,A546,'唯一词标签'!$Z$2:$Z$1441,"mismatch")</x:f>
        <x:v>0</x:v>
      </x:c>
      <x:c r="G546" s="7" t="n">
        <x:f>COUNTIFS('唯一词标签'!$V$2:$V$1441,A546,'唯一词标签'!$Z$2:$Z$1441,"unknown")</x:f>
        <x:v>0</x:v>
      </x:c>
      <x:c r="H546" s="7" t="n">
        <x:f>COUNTIFS('唯一词标签'!$V$2:$V$1441,A546,'唯一词标签'!$U$2:$U$1441,"low")</x:f>
        <x:v>0</x:v>
      </x:c>
      <x:c r="I546" s="7" t="n">
        <x:f>COUNTIFS('唯一词标签'!$V$2:$V$1441,A546,'唯一词标签'!$AB$2:$AB$1441,"needs_review")</x:f>
        <x:v>1</x:v>
      </x:c>
    </x:row>
    <x:row r="547" ht="22" customHeight="1">
      <x:c r="A547" s="7" t="str">
        <x:v>pink_womens_flip_flops</x:v>
      </x:c>
      <x:c r="B547" s="7" t="n">
        <x:f>COUNTIF('唯一词标签'!$V$2:$V$1441,A547)</x:f>
        <x:v>1</x:v>
      </x:c>
      <x:c r="C547" s="55" t="n">
        <x:f>B547/COUNTA('唯一词标签'!$C$2:$C$1441)</x:f>
        <x:v>0.0006944444444444445</x:v>
      </x:c>
      <x:c r="D547" s="7" t="n">
        <x:f>COUNTIFS('唯一词标签'!$V$2:$V$1441,A547,'唯一词标签'!$Z$2:$Z$1441,"match")</x:f>
        <x:v>1</x:v>
      </x:c>
      <x:c r="E547" s="7" t="n">
        <x:f>COUNTIFS('唯一词标签'!$V$2:$V$1441,A547,'唯一词标签'!$Z$2:$Z$1441,"partial_match")</x:f>
        <x:v>0</x:v>
      </x:c>
      <x:c r="F547" s="7" t="n">
        <x:f>COUNTIFS('唯一词标签'!$V$2:$V$1441,A547,'唯一词标签'!$Z$2:$Z$1441,"mismatch")</x:f>
        <x:v>0</x:v>
      </x:c>
      <x:c r="G547" s="7" t="n">
        <x:f>COUNTIFS('唯一词标签'!$V$2:$V$1441,A547,'唯一词标签'!$Z$2:$Z$1441,"unknown")</x:f>
        <x:v>0</x:v>
      </x:c>
      <x:c r="H547" s="7" t="n">
        <x:f>COUNTIFS('唯一词标签'!$V$2:$V$1441,A547,'唯一词标签'!$U$2:$U$1441,"low")</x:f>
        <x:v>0</x:v>
      </x:c>
      <x:c r="I547" s="7" t="n">
        <x:f>COUNTIFS('唯一词标签'!$V$2:$V$1441,A547,'唯一词标签'!$AB$2:$AB$1441,"needs_review")</x:f>
        <x:v>0</x:v>
      </x:c>
    </x:row>
    <x:row r="548" ht="22" customHeight="1">
      <x:c r="A548" s="7" t="str">
        <x:v>pink_womens_sandals</x:v>
      </x:c>
      <x:c r="B548" s="7" t="n">
        <x:f>COUNTIF('唯一词标签'!$V$2:$V$1441,A548)</x:f>
        <x:v>1</x:v>
      </x:c>
      <x:c r="C548" s="55" t="n">
        <x:f>B548/COUNTA('唯一词标签'!$C$2:$C$1441)</x:f>
        <x:v>0.0006944444444444445</x:v>
      </x:c>
      <x:c r="D548" s="7" t="n">
        <x:f>COUNTIFS('唯一词标签'!$V$2:$V$1441,A548,'唯一词标签'!$Z$2:$Z$1441,"match")</x:f>
        <x:v>1</x:v>
      </x:c>
      <x:c r="E548" s="7" t="n">
        <x:f>COUNTIFS('唯一词标签'!$V$2:$V$1441,A548,'唯一词标签'!$Z$2:$Z$1441,"partial_match")</x:f>
        <x:v>0</x:v>
      </x:c>
      <x:c r="F548" s="7" t="n">
        <x:f>COUNTIFS('唯一词标签'!$V$2:$V$1441,A548,'唯一词标签'!$Z$2:$Z$1441,"mismatch")</x:f>
        <x:v>0</x:v>
      </x:c>
      <x:c r="G548" s="7" t="n">
        <x:f>COUNTIFS('唯一词标签'!$V$2:$V$1441,A548,'唯一词标签'!$Z$2:$Z$1441,"unknown")</x:f>
        <x:v>0</x:v>
      </x:c>
      <x:c r="H548" s="7" t="n">
        <x:f>COUNTIFS('唯一词标签'!$V$2:$V$1441,A548,'唯一词标签'!$U$2:$U$1441,"low")</x:f>
        <x:v>0</x:v>
      </x:c>
      <x:c r="I548" s="7" t="n">
        <x:f>COUNTIFS('唯一词标签'!$V$2:$V$1441,A548,'唯一词标签'!$AB$2:$AB$1441,"needs_review")</x:f>
        <x:v>0</x:v>
      </x:c>
    </x:row>
    <x:row r="549" ht="22" customHeight="1">
      <x:c r="A549" s="7" t="str">
        <x:v>plain_basic_flip_flops</x:v>
      </x:c>
      <x:c r="B549" s="7" t="n">
        <x:f>COUNTIF('唯一词标签'!$V$2:$V$1441,A549)</x:f>
        <x:v>1</x:v>
      </x:c>
      <x:c r="C549" s="55" t="n">
        <x:f>B549/COUNTA('唯一词标签'!$C$2:$C$1441)</x:f>
        <x:v>0.0006944444444444445</x:v>
      </x:c>
      <x:c r="D549" s="7" t="n">
        <x:f>COUNTIFS('唯一词标签'!$V$2:$V$1441,A549,'唯一词标签'!$Z$2:$Z$1441,"match")</x:f>
        <x:v>1</x:v>
      </x:c>
      <x:c r="E549" s="7" t="n">
        <x:f>COUNTIFS('唯一词标签'!$V$2:$V$1441,A549,'唯一词标签'!$Z$2:$Z$1441,"partial_match")</x:f>
        <x:v>0</x:v>
      </x:c>
      <x:c r="F549" s="7" t="n">
        <x:f>COUNTIFS('唯一词标签'!$V$2:$V$1441,A549,'唯一词标签'!$Z$2:$Z$1441,"mismatch")</x:f>
        <x:v>0</x:v>
      </x:c>
      <x:c r="G549" s="7" t="n">
        <x:f>COUNTIFS('唯一词标签'!$V$2:$V$1441,A549,'唯一词标签'!$Z$2:$Z$1441,"unknown")</x:f>
        <x:v>0</x:v>
      </x:c>
      <x:c r="H549" s="7" t="n">
        <x:f>COUNTIFS('唯一词标签'!$V$2:$V$1441,A549,'唯一词标签'!$U$2:$U$1441,"low")</x:f>
        <x:v>0</x:v>
      </x:c>
      <x:c r="I549" s="7" t="n">
        <x:f>COUNTIFS('唯一词标签'!$V$2:$V$1441,A549,'唯一词标签'!$AB$2:$AB$1441,"needs_review")</x:f>
        <x:v>0</x:v>
      </x:c>
    </x:row>
    <x:row r="550" ht="22" customHeight="1">
      <x:c r="A550" s="7" t="str">
        <x:v>plain_black_flip_flops</x:v>
      </x:c>
      <x:c r="B550" s="7" t="n">
        <x:f>COUNTIF('唯一词标签'!$V$2:$V$1441,A550)</x:f>
        <x:v>1</x:v>
      </x:c>
      <x:c r="C550" s="55" t="n">
        <x:f>B550/COUNTA('唯一词标签'!$C$2:$C$1441)</x:f>
        <x:v>0.0006944444444444445</x:v>
      </x:c>
      <x:c r="D550" s="7" t="n">
        <x:f>COUNTIFS('唯一词标签'!$V$2:$V$1441,A550,'唯一词标签'!$Z$2:$Z$1441,"match")</x:f>
        <x:v>1</x:v>
      </x:c>
      <x:c r="E550" s="7" t="n">
        <x:f>COUNTIFS('唯一词标签'!$V$2:$V$1441,A550,'唯一词标签'!$Z$2:$Z$1441,"partial_match")</x:f>
        <x:v>0</x:v>
      </x:c>
      <x:c r="F550" s="7" t="n">
        <x:f>COUNTIFS('唯一词标签'!$V$2:$V$1441,A550,'唯一词标签'!$Z$2:$Z$1441,"mismatch")</x:f>
        <x:v>0</x:v>
      </x:c>
      <x:c r="G550" s="7" t="n">
        <x:f>COUNTIFS('唯一词标签'!$V$2:$V$1441,A550,'唯一词标签'!$Z$2:$Z$1441,"unknown")</x:f>
        <x:v>0</x:v>
      </x:c>
      <x:c r="H550" s="7" t="n">
        <x:f>COUNTIFS('唯一词标签'!$V$2:$V$1441,A550,'唯一词标签'!$U$2:$U$1441,"low")</x:f>
        <x:v>0</x:v>
      </x:c>
      <x:c r="I550" s="7" t="n">
        <x:f>COUNTIFS('唯一词标签'!$V$2:$V$1441,A550,'唯一词标签'!$AB$2:$AB$1441,"needs_review")</x:f>
        <x:v>0</x:v>
      </x:c>
    </x:row>
    <x:row r="551" ht="22" customHeight="1">
      <x:c r="A551" s="7" t="str">
        <x:v>plain_black_rubber_flip_flops_women</x:v>
      </x:c>
      <x:c r="B551" s="7" t="n">
        <x:f>COUNTIF('唯一词标签'!$V$2:$V$1441,A551)</x:f>
        <x:v>1</x:v>
      </x:c>
      <x:c r="C551" s="55" t="n">
        <x:f>B551/COUNTA('唯一词标签'!$C$2:$C$1441)</x:f>
        <x:v>0.0006944444444444445</x:v>
      </x:c>
      <x:c r="D551" s="7" t="n">
        <x:f>COUNTIFS('唯一词标签'!$V$2:$V$1441,A551,'唯一词标签'!$Z$2:$Z$1441,"match")</x:f>
        <x:v>0</x:v>
      </x:c>
      <x:c r="E551" s="7" t="n">
        <x:f>COUNTIFS('唯一词标签'!$V$2:$V$1441,A551,'唯一词标签'!$Z$2:$Z$1441,"partial_match")</x:f>
        <x:v>1</x:v>
      </x:c>
      <x:c r="F551" s="7" t="n">
        <x:f>COUNTIFS('唯一词标签'!$V$2:$V$1441,A551,'唯一词标签'!$Z$2:$Z$1441,"mismatch")</x:f>
        <x:v>0</x:v>
      </x:c>
      <x:c r="G551" s="7" t="n">
        <x:f>COUNTIFS('唯一词标签'!$V$2:$V$1441,A551,'唯一词标签'!$Z$2:$Z$1441,"unknown")</x:f>
        <x:v>0</x:v>
      </x:c>
      <x:c r="H551" s="7" t="n">
        <x:f>COUNTIFS('唯一词标签'!$V$2:$V$1441,A551,'唯一词标签'!$U$2:$U$1441,"low")</x:f>
        <x:v>0</x:v>
      </x:c>
      <x:c r="I551" s="7" t="n">
        <x:f>COUNTIFS('唯一词标签'!$V$2:$V$1441,A551,'唯一词标签'!$AB$2:$AB$1441,"needs_review")</x:f>
        <x:v>0</x:v>
      </x:c>
    </x:row>
    <x:row r="552" ht="22" customHeight="1">
      <x:c r="A552" s="7" t="str">
        <x:v>plain_black_womens_flip_flops</x:v>
      </x:c>
      <x:c r="B552" s="7" t="n">
        <x:f>COUNTIF('唯一词标签'!$V$2:$V$1441,A552)</x:f>
        <x:v>1</x:v>
      </x:c>
      <x:c r="C552" s="55" t="n">
        <x:f>B552/COUNTA('唯一词标签'!$C$2:$C$1441)</x:f>
        <x:v>0.0006944444444444445</x:v>
      </x:c>
      <x:c r="D552" s="7" t="n">
        <x:f>COUNTIFS('唯一词标签'!$V$2:$V$1441,A552,'唯一词标签'!$Z$2:$Z$1441,"match")</x:f>
        <x:v>1</x:v>
      </x:c>
      <x:c r="E552" s="7" t="n">
        <x:f>COUNTIFS('唯一词标签'!$V$2:$V$1441,A552,'唯一词标签'!$Z$2:$Z$1441,"partial_match")</x:f>
        <x:v>0</x:v>
      </x:c>
      <x:c r="F552" s="7" t="n">
        <x:f>COUNTIFS('唯一词标签'!$V$2:$V$1441,A552,'唯一词标签'!$Z$2:$Z$1441,"mismatch")</x:f>
        <x:v>0</x:v>
      </x:c>
      <x:c r="G552" s="7" t="n">
        <x:f>COUNTIFS('唯一词标签'!$V$2:$V$1441,A552,'唯一词标签'!$Z$2:$Z$1441,"unknown")</x:f>
        <x:v>0</x:v>
      </x:c>
      <x:c r="H552" s="7" t="n">
        <x:f>COUNTIFS('唯一词标签'!$V$2:$V$1441,A552,'唯一词标签'!$U$2:$U$1441,"low")</x:f>
        <x:v>0</x:v>
      </x:c>
      <x:c r="I552" s="7" t="n">
        <x:f>COUNTIFS('唯一词标签'!$V$2:$V$1441,A552,'唯一词标签'!$AB$2:$AB$1441,"needs_review")</x:f>
        <x:v>0</x:v>
      </x:c>
    </x:row>
    <x:row r="553" ht="22" customHeight="1">
      <x:c r="A553" s="7" t="str">
        <x:v>plantar_fasciitis_arch_support_flip_flops</x:v>
      </x:c>
      <x:c r="B553" s="7" t="n">
        <x:f>COUNTIF('唯一词标签'!$V$2:$V$1441,A553)</x:f>
        <x:v>1</x:v>
      </x:c>
      <x:c r="C553" s="55" t="n">
        <x:f>B553/COUNTA('唯一词标签'!$C$2:$C$1441)</x:f>
        <x:v>0.0006944444444444445</x:v>
      </x:c>
      <x:c r="D553" s="7" t="n">
        <x:f>COUNTIFS('唯一词标签'!$V$2:$V$1441,A553,'唯一词标签'!$Z$2:$Z$1441,"match")</x:f>
        <x:v>0</x:v>
      </x:c>
      <x:c r="E553" s="7" t="n">
        <x:f>COUNTIFS('唯一词标签'!$V$2:$V$1441,A553,'唯一词标签'!$Z$2:$Z$1441,"partial_match")</x:f>
        <x:v>1</x:v>
      </x:c>
      <x:c r="F553" s="7" t="n">
        <x:f>COUNTIFS('唯一词标签'!$V$2:$V$1441,A553,'唯一词标签'!$Z$2:$Z$1441,"mismatch")</x:f>
        <x:v>0</x:v>
      </x:c>
      <x:c r="G553" s="7" t="n">
        <x:f>COUNTIFS('唯一词标签'!$V$2:$V$1441,A553,'唯一词标签'!$Z$2:$Z$1441,"unknown")</x:f>
        <x:v>0</x:v>
      </x:c>
      <x:c r="H553" s="7" t="n">
        <x:f>COUNTIFS('唯一词标签'!$V$2:$V$1441,A553,'唯一词标签'!$U$2:$U$1441,"low")</x:f>
        <x:v>0</x:v>
      </x:c>
      <x:c r="I553" s="7" t="n">
        <x:f>COUNTIFS('唯一词标签'!$V$2:$V$1441,A553,'唯一词标签'!$AB$2:$AB$1441,"needs_review")</x:f>
        <x:v>0</x:v>
      </x:c>
    </x:row>
    <x:row r="554" ht="22" customHeight="1">
      <x:c r="A554" s="7" t="str">
        <x:v>plantar_fasciitis_flip_flops</x:v>
      </x:c>
      <x:c r="B554" s="7" t="n">
        <x:f>COUNTIF('唯一词标签'!$V$2:$V$1441,A554)</x:f>
        <x:v>4</x:v>
      </x:c>
      <x:c r="C554" s="55" t="n">
        <x:f>B554/COUNTA('唯一词标签'!$C$2:$C$1441)</x:f>
        <x:v>0.002777777777777778</x:v>
      </x:c>
      <x:c r="D554" s="7" t="n">
        <x:f>COUNTIFS('唯一词标签'!$V$2:$V$1441,A554,'唯一词标签'!$Z$2:$Z$1441,"match")</x:f>
        <x:v>0</x:v>
      </x:c>
      <x:c r="E554" s="7" t="n">
        <x:f>COUNTIFS('唯一词标签'!$V$2:$V$1441,A554,'唯一词标签'!$Z$2:$Z$1441,"partial_match")</x:f>
        <x:v>3</x:v>
      </x:c>
      <x:c r="F554" s="7" t="n">
        <x:f>COUNTIFS('唯一词标签'!$V$2:$V$1441,A554,'唯一词标签'!$Z$2:$Z$1441,"mismatch")</x:f>
        <x:v>1</x:v>
      </x:c>
      <x:c r="G554" s="7" t="n">
        <x:f>COUNTIFS('唯一词标签'!$V$2:$V$1441,A554,'唯一词标签'!$Z$2:$Z$1441,"unknown")</x:f>
        <x:v>0</x:v>
      </x:c>
      <x:c r="H554" s="7" t="n">
        <x:f>COUNTIFS('唯一词标签'!$V$2:$V$1441,A554,'唯一词标签'!$U$2:$U$1441,"low")</x:f>
        <x:v>0</x:v>
      </x:c>
      <x:c r="I554" s="7" t="n">
        <x:f>COUNTIFS('唯一词标签'!$V$2:$V$1441,A554,'唯一词标签'!$AB$2:$AB$1441,"needs_review")</x:f>
        <x:v>0</x:v>
      </x:c>
    </x:row>
    <x:row r="555" ht="22" customHeight="1">
      <x:c r="A555" s="7" t="str">
        <x:v>plantar_fasciitis_flip_flops_white</x:v>
      </x:c>
      <x:c r="B555" s="7" t="n">
        <x:f>COUNTIF('唯一词标签'!$V$2:$V$1441,A555)</x:f>
        <x:v>1</x:v>
      </x:c>
      <x:c r="C555" s="55" t="n">
        <x:f>B555/COUNTA('唯一词标签'!$C$2:$C$1441)</x:f>
        <x:v>0.0006944444444444445</x:v>
      </x:c>
      <x:c r="D555" s="7" t="n">
        <x:f>COUNTIFS('唯一词标签'!$V$2:$V$1441,A555,'唯一词标签'!$Z$2:$Z$1441,"match")</x:f>
        <x:v>0</x:v>
      </x:c>
      <x:c r="E555" s="7" t="n">
        <x:f>COUNTIFS('唯一词标签'!$V$2:$V$1441,A555,'唯一词标签'!$Z$2:$Z$1441,"partial_match")</x:f>
        <x:v>1</x:v>
      </x:c>
      <x:c r="F555" s="7" t="n">
        <x:f>COUNTIFS('唯一词标签'!$V$2:$V$1441,A555,'唯一词标签'!$Z$2:$Z$1441,"mismatch")</x:f>
        <x:v>0</x:v>
      </x:c>
      <x:c r="G555" s="7" t="n">
        <x:f>COUNTIFS('唯一词标签'!$V$2:$V$1441,A555,'唯一词标签'!$Z$2:$Z$1441,"unknown")</x:f>
        <x:v>0</x:v>
      </x:c>
      <x:c r="H555" s="7" t="n">
        <x:f>COUNTIFS('唯一词标签'!$V$2:$V$1441,A555,'唯一词标签'!$U$2:$U$1441,"low")</x:f>
        <x:v>0</x:v>
      </x:c>
      <x:c r="I555" s="7" t="n">
        <x:f>COUNTIFS('唯一词标签'!$V$2:$V$1441,A555,'唯一词标签'!$AB$2:$AB$1441,"needs_review")</x:f>
        <x:v>0</x:v>
      </x:c>
    </x:row>
    <x:row r="556" ht="22" customHeight="1">
      <x:c r="A556" s="7" t="str">
        <x:v>plantar_fasciitis_flip_flops_women</x:v>
      </x:c>
      <x:c r="B556" s="7" t="n">
        <x:f>COUNTIF('唯一词标签'!$V$2:$V$1441,A556)</x:f>
        <x:v>2</x:v>
      </x:c>
      <x:c r="C556" s="55" t="n">
        <x:f>B556/COUNTA('唯一词标签'!$C$2:$C$1441)</x:f>
        <x:v>0.001388888888888889</x:v>
      </x:c>
      <x:c r="D556" s="7" t="n">
        <x:f>COUNTIFS('唯一词标签'!$V$2:$V$1441,A556,'唯一词标签'!$Z$2:$Z$1441,"match")</x:f>
        <x:v>0</x:v>
      </x:c>
      <x:c r="E556" s="7" t="n">
        <x:f>COUNTIFS('唯一词标签'!$V$2:$V$1441,A556,'唯一词标签'!$Z$2:$Z$1441,"partial_match")</x:f>
        <x:v>2</x:v>
      </x:c>
      <x:c r="F556" s="7" t="n">
        <x:f>COUNTIFS('唯一词标签'!$V$2:$V$1441,A556,'唯一词标签'!$Z$2:$Z$1441,"mismatch")</x:f>
        <x:v>0</x:v>
      </x:c>
      <x:c r="G556" s="7" t="n">
        <x:f>COUNTIFS('唯一词标签'!$V$2:$V$1441,A556,'唯一词标签'!$Z$2:$Z$1441,"unknown")</x:f>
        <x:v>0</x:v>
      </x:c>
      <x:c r="H556" s="7" t="n">
        <x:f>COUNTIFS('唯一词标签'!$V$2:$V$1441,A556,'唯一词标签'!$U$2:$U$1441,"low")</x:f>
        <x:v>0</x:v>
      </x:c>
      <x:c r="I556" s="7" t="n">
        <x:f>COUNTIFS('唯一词标签'!$V$2:$V$1441,A556,'唯一词标签'!$AB$2:$AB$1441,"needs_review")</x:f>
        <x:v>0</x:v>
      </x:c>
    </x:row>
    <x:row r="557" ht="22" customHeight="1">
      <x:c r="A557" s="7" t="str">
        <x:v>plantar_fasciitis_sandals_women</x:v>
      </x:c>
      <x:c r="B557" s="7" t="n">
        <x:f>COUNTIF('唯一词标签'!$V$2:$V$1441,A557)</x:f>
        <x:v>1</x:v>
      </x:c>
      <x:c r="C557" s="55" t="n">
        <x:f>B557/COUNTA('唯一词标签'!$C$2:$C$1441)</x:f>
        <x:v>0.0006944444444444445</x:v>
      </x:c>
      <x:c r="D557" s="7" t="n">
        <x:f>COUNTIFS('唯一词标签'!$V$2:$V$1441,A557,'唯一词标签'!$Z$2:$Z$1441,"match")</x:f>
        <x:v>0</x:v>
      </x:c>
      <x:c r="E557" s="7" t="n">
        <x:f>COUNTIFS('唯一词标签'!$V$2:$V$1441,A557,'唯一词标签'!$Z$2:$Z$1441,"partial_match")</x:f>
        <x:v>1</x:v>
      </x:c>
      <x:c r="F557" s="7" t="n">
        <x:f>COUNTIFS('唯一词标签'!$V$2:$V$1441,A557,'唯一词标签'!$Z$2:$Z$1441,"mismatch")</x:f>
        <x:v>0</x:v>
      </x:c>
      <x:c r="G557" s="7" t="n">
        <x:f>COUNTIFS('唯一词标签'!$V$2:$V$1441,A557,'唯一词标签'!$Z$2:$Z$1441,"unknown")</x:f>
        <x:v>0</x:v>
      </x:c>
      <x:c r="H557" s="7" t="n">
        <x:f>COUNTIFS('唯一词标签'!$V$2:$V$1441,A557,'唯一词标签'!$U$2:$U$1441,"low")</x:f>
        <x:v>0</x:v>
      </x:c>
      <x:c r="I557" s="7" t="n">
        <x:f>COUNTIFS('唯一词标签'!$V$2:$V$1441,A557,'唯一词标签'!$AB$2:$AB$1441,"needs_review")</x:f>
        <x:v>0</x:v>
      </x:c>
    </x:row>
    <x:row r="558" ht="22" customHeight="1">
      <x:c r="A558" s="7" t="str">
        <x:v>plantar_fasciitis_sandals_womens</x:v>
      </x:c>
      <x:c r="B558" s="7" t="n">
        <x:f>COUNTIF('唯一词标签'!$V$2:$V$1441,A558)</x:f>
        <x:v>1</x:v>
      </x:c>
      <x:c r="C558" s="55" t="n">
        <x:f>B558/COUNTA('唯一词标签'!$C$2:$C$1441)</x:f>
        <x:v>0.0006944444444444445</x:v>
      </x:c>
      <x:c r="D558" s="7" t="n">
        <x:f>COUNTIFS('唯一词标签'!$V$2:$V$1441,A558,'唯一词标签'!$Z$2:$Z$1441,"match")</x:f>
        <x:v>0</x:v>
      </x:c>
      <x:c r="E558" s="7" t="n">
        <x:f>COUNTIFS('唯一词标签'!$V$2:$V$1441,A558,'唯一词标签'!$Z$2:$Z$1441,"partial_match")</x:f>
        <x:v>1</x:v>
      </x:c>
      <x:c r="F558" s="7" t="n">
        <x:f>COUNTIFS('唯一词标签'!$V$2:$V$1441,A558,'唯一词标签'!$Z$2:$Z$1441,"mismatch")</x:f>
        <x:v>0</x:v>
      </x:c>
      <x:c r="G558" s="7" t="n">
        <x:f>COUNTIFS('唯一词标签'!$V$2:$V$1441,A558,'唯一词标签'!$Z$2:$Z$1441,"unknown")</x:f>
        <x:v>0</x:v>
      </x:c>
      <x:c r="H558" s="7" t="n">
        <x:f>COUNTIFS('唯一词标签'!$V$2:$V$1441,A558,'唯一词标签'!$U$2:$U$1441,"low")</x:f>
        <x:v>0</x:v>
      </x:c>
      <x:c r="I558" s="7" t="n">
        <x:f>COUNTIFS('唯一词标签'!$V$2:$V$1441,A558,'唯一词标签'!$AB$2:$AB$1441,"needs_review")</x:f>
        <x:v>0</x:v>
      </x:c>
    </x:row>
    <x:row r="559" ht="22" customHeight="1">
      <x:c r="A559" s="7" t="str">
        <x:v>plantar_fasciitis_womens_flip_flops</x:v>
      </x:c>
      <x:c r="B559" s="7" t="n">
        <x:f>COUNTIF('唯一词标签'!$V$2:$V$1441,A559)</x:f>
        <x:v>1</x:v>
      </x:c>
      <x:c r="C559" s="55" t="n">
        <x:f>B559/COUNTA('唯一词标签'!$C$2:$C$1441)</x:f>
        <x:v>0.0006944444444444445</x:v>
      </x:c>
      <x:c r="D559" s="7" t="n">
        <x:f>COUNTIFS('唯一词标签'!$V$2:$V$1441,A559,'唯一词标签'!$Z$2:$Z$1441,"match")</x:f>
        <x:v>0</x:v>
      </x:c>
      <x:c r="E559" s="7" t="n">
        <x:f>COUNTIFS('唯一词标签'!$V$2:$V$1441,A559,'唯一词标签'!$Z$2:$Z$1441,"partial_match")</x:f>
        <x:v>1</x:v>
      </x:c>
      <x:c r="F559" s="7" t="n">
        <x:f>COUNTIFS('唯一词标签'!$V$2:$V$1441,A559,'唯一词标签'!$Z$2:$Z$1441,"mismatch")</x:f>
        <x:v>0</x:v>
      </x:c>
      <x:c r="G559" s="7" t="n">
        <x:f>COUNTIFS('唯一词标签'!$V$2:$V$1441,A559,'唯一词标签'!$Z$2:$Z$1441,"unknown")</x:f>
        <x:v>0</x:v>
      </x:c>
      <x:c r="H559" s="7" t="n">
        <x:f>COUNTIFS('唯一词标签'!$V$2:$V$1441,A559,'唯一词标签'!$U$2:$U$1441,"low")</x:f>
        <x:v>0</x:v>
      </x:c>
      <x:c r="I559" s="7" t="n">
        <x:f>COUNTIFS('唯一词标签'!$V$2:$V$1441,A559,'唯一词标签'!$AB$2:$AB$1441,"needs_review")</x:f>
        <x:v>0</x:v>
      </x:c>
    </x:row>
    <x:row r="560" ht="22" customHeight="1">
      <x:c r="A560" s="7" t="str">
        <x:v>plantar_fasciitis_womens_sandals</x:v>
      </x:c>
      <x:c r="B560" s="7" t="n">
        <x:f>COUNTIF('唯一词标签'!$V$2:$V$1441,A560)</x:f>
        <x:v>1</x:v>
      </x:c>
      <x:c r="C560" s="55" t="n">
        <x:f>B560/COUNTA('唯一词标签'!$C$2:$C$1441)</x:f>
        <x:v>0.0006944444444444445</x:v>
      </x:c>
      <x:c r="D560" s="7" t="n">
        <x:f>COUNTIFS('唯一词标签'!$V$2:$V$1441,A560,'唯一词标签'!$Z$2:$Z$1441,"match")</x:f>
        <x:v>0</x:v>
      </x:c>
      <x:c r="E560" s="7" t="n">
        <x:f>COUNTIFS('唯一词标签'!$V$2:$V$1441,A560,'唯一词标签'!$Z$2:$Z$1441,"partial_match")</x:f>
        <x:v>1</x:v>
      </x:c>
      <x:c r="F560" s="7" t="n">
        <x:f>COUNTIFS('唯一词标签'!$V$2:$V$1441,A560,'唯一词标签'!$Z$2:$Z$1441,"mismatch")</x:f>
        <x:v>0</x:v>
      </x:c>
      <x:c r="G560" s="7" t="n">
        <x:f>COUNTIFS('唯一词标签'!$V$2:$V$1441,A560,'唯一词标签'!$Z$2:$Z$1441,"unknown")</x:f>
        <x:v>0</x:v>
      </x:c>
      <x:c r="H560" s="7" t="n">
        <x:f>COUNTIFS('唯一词标签'!$V$2:$V$1441,A560,'唯一词标签'!$U$2:$U$1441,"low")</x:f>
        <x:v>0</x:v>
      </x:c>
      <x:c r="I560" s="7" t="n">
        <x:f>COUNTIFS('唯一词标签'!$V$2:$V$1441,A560,'唯一词标签'!$AB$2:$AB$1441,"needs_review")</x:f>
        <x:v>0</x:v>
      </x:c>
    </x:row>
    <x:row r="561" ht="22" customHeight="1">
      <x:c r="A561" s="7" t="str">
        <x:v>plantar_fasciitis_womens_slippers</x:v>
      </x:c>
      <x:c r="B561" s="7" t="n">
        <x:f>COUNTIF('唯一词标签'!$V$2:$V$1441,A561)</x:f>
        <x:v>1</x:v>
      </x:c>
      <x:c r="C561" s="55" t="n">
        <x:f>B561/COUNTA('唯一词标签'!$C$2:$C$1441)</x:f>
        <x:v>0.0006944444444444445</x:v>
      </x:c>
      <x:c r="D561" s="7" t="n">
        <x:f>COUNTIFS('唯一词标签'!$V$2:$V$1441,A561,'唯一词标签'!$Z$2:$Z$1441,"match")</x:f>
        <x:v>0</x:v>
      </x:c>
      <x:c r="E561" s="7" t="n">
        <x:f>COUNTIFS('唯一词标签'!$V$2:$V$1441,A561,'唯一词标签'!$Z$2:$Z$1441,"partial_match")</x:f>
        <x:v>1</x:v>
      </x:c>
      <x:c r="F561" s="7" t="n">
        <x:f>COUNTIFS('唯一词标签'!$V$2:$V$1441,A561,'唯一词标签'!$Z$2:$Z$1441,"mismatch")</x:f>
        <x:v>0</x:v>
      </x:c>
      <x:c r="G561" s="7" t="n">
        <x:f>COUNTIFS('唯一词标签'!$V$2:$V$1441,A561,'唯一词标签'!$Z$2:$Z$1441,"unknown")</x:f>
        <x:v>0</x:v>
      </x:c>
      <x:c r="H561" s="7" t="n">
        <x:f>COUNTIFS('唯一词标签'!$V$2:$V$1441,A561,'唯一词标签'!$U$2:$U$1441,"low")</x:f>
        <x:v>1</x:v>
      </x:c>
      <x:c r="I561" s="7" t="n">
        <x:f>COUNTIFS('唯一词标签'!$V$2:$V$1441,A561,'唯一词标签'!$AB$2:$AB$1441,"needs_review")</x:f>
        <x:v>0</x:v>
      </x:c>
    </x:row>
    <x:row r="562" ht="22" customHeight="1">
      <x:c r="A562" s="7" t="str">
        <x:v>plantar_footwear</x:v>
      </x:c>
      <x:c r="B562" s="7" t="n">
        <x:f>COUNTIF('唯一词标签'!$V$2:$V$1441,A562)</x:f>
        <x:v>1</x:v>
      </x:c>
      <x:c r="C562" s="55" t="n">
        <x:f>B562/COUNTA('唯一词标签'!$C$2:$C$1441)</x:f>
        <x:v>0.0006944444444444445</x:v>
      </x:c>
      <x:c r="D562" s="7" t="n">
        <x:f>COUNTIFS('唯一词标签'!$V$2:$V$1441,A562,'唯一词标签'!$Z$2:$Z$1441,"match")</x:f>
        <x:v>0</x:v>
      </x:c>
      <x:c r="E562" s="7" t="n">
        <x:f>COUNTIFS('唯一词标签'!$V$2:$V$1441,A562,'唯一词标签'!$Z$2:$Z$1441,"partial_match")</x:f>
        <x:v>1</x:v>
      </x:c>
      <x:c r="F562" s="7" t="n">
        <x:f>COUNTIFS('唯一词标签'!$V$2:$V$1441,A562,'唯一词标签'!$Z$2:$Z$1441,"mismatch")</x:f>
        <x:v>0</x:v>
      </x:c>
      <x:c r="G562" s="7" t="n">
        <x:f>COUNTIFS('唯一词标签'!$V$2:$V$1441,A562,'唯一词标签'!$Z$2:$Z$1441,"unknown")</x:f>
        <x:v>0</x:v>
      </x:c>
      <x:c r="H562" s="7" t="n">
        <x:f>COUNTIFS('唯一词标签'!$V$2:$V$1441,A562,'唯一词标签'!$U$2:$U$1441,"low")</x:f>
        <x:v>0</x:v>
      </x:c>
      <x:c r="I562" s="7" t="n">
        <x:f>COUNTIFS('唯一词标签'!$V$2:$V$1441,A562,'唯一词标签'!$AB$2:$AB$1441,"needs_review")</x:f>
        <x:v>0</x:v>
      </x:c>
    </x:row>
    <x:row r="563" ht="22" customHeight="1">
      <x:c r="A563" s="7" t="str">
        <x:v>plastic_free_womens_flip_flops</x:v>
      </x:c>
      <x:c r="B563" s="7" t="n">
        <x:f>COUNTIF('唯一词标签'!$V$2:$V$1441,A563)</x:f>
        <x:v>1</x:v>
      </x:c>
      <x:c r="C563" s="55" t="n">
        <x:f>B563/COUNTA('唯一词标签'!$C$2:$C$1441)</x:f>
        <x:v>0.0006944444444444445</x:v>
      </x:c>
      <x:c r="D563" s="7" t="n">
        <x:f>COUNTIFS('唯一词标签'!$V$2:$V$1441,A563,'唯一词标签'!$Z$2:$Z$1441,"match")</x:f>
        <x:v>0</x:v>
      </x:c>
      <x:c r="E563" s="7" t="n">
        <x:f>COUNTIFS('唯一词标签'!$V$2:$V$1441,A563,'唯一词标签'!$Z$2:$Z$1441,"partial_match")</x:f>
        <x:v>0</x:v>
      </x:c>
      <x:c r="F563" s="7" t="n">
        <x:f>COUNTIFS('唯一词标签'!$V$2:$V$1441,A563,'唯一词标签'!$Z$2:$Z$1441,"mismatch")</x:f>
        <x:v>1</x:v>
      </x:c>
      <x:c r="G563" s="7" t="n">
        <x:f>COUNTIFS('唯一词标签'!$V$2:$V$1441,A563,'唯一词标签'!$Z$2:$Z$1441,"unknown")</x:f>
        <x:v>0</x:v>
      </x:c>
      <x:c r="H563" s="7" t="n">
        <x:f>COUNTIFS('唯一词标签'!$V$2:$V$1441,A563,'唯一词标签'!$U$2:$U$1441,"low")</x:f>
        <x:v>0</x:v>
      </x:c>
      <x:c r="I563" s="7" t="n">
        <x:f>COUNTIFS('唯一词标签'!$V$2:$V$1441,A563,'唯一词标签'!$AB$2:$AB$1441,"needs_review")</x:f>
        <x:v>0</x:v>
      </x:c>
    </x:row>
    <x:row r="564" ht="22" customHeight="1">
      <x:c r="A564" s="7" t="str">
        <x:v>plastic_thong_sandals_women</x:v>
      </x:c>
      <x:c r="B564" s="7" t="n">
        <x:f>COUNTIF('唯一词标签'!$V$2:$V$1441,A564)</x:f>
        <x:v>1</x:v>
      </x:c>
      <x:c r="C564" s="55" t="n">
        <x:f>B564/COUNTA('唯一词标签'!$C$2:$C$1441)</x:f>
        <x:v>0.0006944444444444445</x:v>
      </x:c>
      <x:c r="D564" s="7" t="n">
        <x:f>COUNTIFS('唯一词标签'!$V$2:$V$1441,A564,'唯一词标签'!$Z$2:$Z$1441,"match")</x:f>
        <x:v>1</x:v>
      </x:c>
      <x:c r="E564" s="7" t="n">
        <x:f>COUNTIFS('唯一词标签'!$V$2:$V$1441,A564,'唯一词标签'!$Z$2:$Z$1441,"partial_match")</x:f>
        <x:v>0</x:v>
      </x:c>
      <x:c r="F564" s="7" t="n">
        <x:f>COUNTIFS('唯一词标签'!$V$2:$V$1441,A564,'唯一词标签'!$Z$2:$Z$1441,"mismatch")</x:f>
        <x:v>0</x:v>
      </x:c>
      <x:c r="G564" s="7" t="n">
        <x:f>COUNTIFS('唯一词标签'!$V$2:$V$1441,A564,'唯一词标签'!$Z$2:$Z$1441,"unknown")</x:f>
        <x:v>0</x:v>
      </x:c>
      <x:c r="H564" s="7" t="n">
        <x:f>COUNTIFS('唯一词标签'!$V$2:$V$1441,A564,'唯一词标签'!$U$2:$U$1441,"low")</x:f>
        <x:v>0</x:v>
      </x:c>
      <x:c r="I564" s="7" t="n">
        <x:f>COUNTIFS('唯一词标签'!$V$2:$V$1441,A564,'唯一词标签'!$AB$2:$AB$1441,"needs_review")</x:f>
        <x:v>0</x:v>
      </x:c>
    </x:row>
    <x:row r="565" ht="22" customHeight="1">
      <x:c r="A565" s="7" t="str">
        <x:v>platform_flip_flops_women</x:v>
      </x:c>
      <x:c r="B565" s="7" t="n">
        <x:f>COUNTIF('唯一词标签'!$V$2:$V$1441,A565)</x:f>
        <x:v>2</x:v>
      </x:c>
      <x:c r="C565" s="55" t="n">
        <x:f>B565/COUNTA('唯一词标签'!$C$2:$C$1441)</x:f>
        <x:v>0.001388888888888889</x:v>
      </x:c>
      <x:c r="D565" s="7" t="n">
        <x:f>COUNTIFS('唯一词标签'!$V$2:$V$1441,A565,'唯一词标签'!$Z$2:$Z$1441,"match")</x:f>
        <x:v>0</x:v>
      </x:c>
      <x:c r="E565" s="7" t="n">
        <x:f>COUNTIFS('唯一词标签'!$V$2:$V$1441,A565,'唯一词标签'!$Z$2:$Z$1441,"partial_match")</x:f>
        <x:v>0</x:v>
      </x:c>
      <x:c r="F565" s="7" t="n">
        <x:f>COUNTIFS('唯一词标签'!$V$2:$V$1441,A565,'唯一词标签'!$Z$2:$Z$1441,"mismatch")</x:f>
        <x:v>2</x:v>
      </x:c>
      <x:c r="G565" s="7" t="n">
        <x:f>COUNTIFS('唯一词标签'!$V$2:$V$1441,A565,'唯一词标签'!$Z$2:$Z$1441,"unknown")</x:f>
        <x:v>0</x:v>
      </x:c>
      <x:c r="H565" s="7" t="n">
        <x:f>COUNTIFS('唯一词标签'!$V$2:$V$1441,A565,'唯一词标签'!$U$2:$U$1441,"low")</x:f>
        <x:v>0</x:v>
      </x:c>
      <x:c r="I565" s="7" t="n">
        <x:f>COUNTIFS('唯一词标签'!$V$2:$V$1441,A565,'唯一词标签'!$AB$2:$AB$1441,"needs_review")</x:f>
        <x:v>0</x:v>
      </x:c>
    </x:row>
    <x:row r="566" ht="22" customHeight="1">
      <x:c r="A566" s="7" t="str">
        <x:v>podiatrist_designed_flip_flops</x:v>
      </x:c>
      <x:c r="B566" s="7" t="n">
        <x:f>COUNTIF('唯一词标签'!$V$2:$V$1441,A566)</x:f>
        <x:v>1</x:v>
      </x:c>
      <x:c r="C566" s="55" t="n">
        <x:f>B566/COUNTA('唯一词标签'!$C$2:$C$1441)</x:f>
        <x:v>0.0006944444444444445</x:v>
      </x:c>
      <x:c r="D566" s="7" t="n">
        <x:f>COUNTIFS('唯一词标签'!$V$2:$V$1441,A566,'唯一词标签'!$Z$2:$Z$1441,"match")</x:f>
        <x:v>0</x:v>
      </x:c>
      <x:c r="E566" s="7" t="n">
        <x:f>COUNTIFS('唯一词标签'!$V$2:$V$1441,A566,'唯一词标签'!$Z$2:$Z$1441,"partial_match")</x:f>
        <x:v>1</x:v>
      </x:c>
      <x:c r="F566" s="7" t="n">
        <x:f>COUNTIFS('唯一词标签'!$V$2:$V$1441,A566,'唯一词标签'!$Z$2:$Z$1441,"mismatch")</x:f>
        <x:v>0</x:v>
      </x:c>
      <x:c r="G566" s="7" t="n">
        <x:f>COUNTIFS('唯一词标签'!$V$2:$V$1441,A566,'唯一词标签'!$Z$2:$Z$1441,"unknown")</x:f>
        <x:v>0</x:v>
      </x:c>
      <x:c r="H566" s="7" t="n">
        <x:f>COUNTIFS('唯一词标签'!$V$2:$V$1441,A566,'唯一词标签'!$U$2:$U$1441,"low")</x:f>
        <x:v>0</x:v>
      </x:c>
      <x:c r="I566" s="7" t="n">
        <x:f>COUNTIFS('唯一词标签'!$V$2:$V$1441,A566,'唯一词标签'!$AB$2:$AB$1441,"needs_review")</x:f>
        <x:v>0</x:v>
      </x:c>
    </x:row>
    <x:row r="567" ht="22" customHeight="1">
      <x:c r="A567" s="7" t="str">
        <x:v>pool_beach_arch_support_flip_flops</x:v>
      </x:c>
      <x:c r="B567" s="7" t="n">
        <x:f>COUNTIF('唯一词标签'!$V$2:$V$1441,A567)</x:f>
        <x:v>1</x:v>
      </x:c>
      <x:c r="C567" s="55" t="n">
        <x:f>B567/COUNTA('唯一词标签'!$C$2:$C$1441)</x:f>
        <x:v>0.0006944444444444445</x:v>
      </x:c>
      <x:c r="D567" s="7" t="n">
        <x:f>COUNTIFS('唯一词标签'!$V$2:$V$1441,A567,'唯一词标签'!$Z$2:$Z$1441,"match")</x:f>
        <x:v>1</x:v>
      </x:c>
      <x:c r="E567" s="7" t="n">
        <x:f>COUNTIFS('唯一词标签'!$V$2:$V$1441,A567,'唯一词标签'!$Z$2:$Z$1441,"partial_match")</x:f>
        <x:v>0</x:v>
      </x:c>
      <x:c r="F567" s="7" t="n">
        <x:f>COUNTIFS('唯一词标签'!$V$2:$V$1441,A567,'唯一词标签'!$Z$2:$Z$1441,"mismatch")</x:f>
        <x:v>0</x:v>
      </x:c>
      <x:c r="G567" s="7" t="n">
        <x:f>COUNTIFS('唯一词标签'!$V$2:$V$1441,A567,'唯一词标签'!$Z$2:$Z$1441,"unknown")</x:f>
        <x:v>0</x:v>
      </x:c>
      <x:c r="H567" s="7" t="n">
        <x:f>COUNTIFS('唯一词标签'!$V$2:$V$1441,A567,'唯一词标签'!$U$2:$U$1441,"low")</x:f>
        <x:v>0</x:v>
      </x:c>
      <x:c r="I567" s="7" t="n">
        <x:f>COUNTIFS('唯一词标签'!$V$2:$V$1441,A567,'唯一词标签'!$AB$2:$AB$1441,"needs_review")</x:f>
        <x:v>0</x:v>
      </x:c>
    </x:row>
    <x:row r="568" ht="22" customHeight="1">
      <x:c r="A568" s="7" t="str">
        <x:v>pool_beach_footwear</x:v>
      </x:c>
      <x:c r="B568" s="7" t="n">
        <x:f>COUNTIF('唯一词标签'!$V$2:$V$1441,A568)</x:f>
        <x:v>1</x:v>
      </x:c>
      <x:c r="C568" s="55" t="n">
        <x:f>B568/COUNTA('唯一词标签'!$C$2:$C$1441)</x:f>
        <x:v>0.0006944444444444445</x:v>
      </x:c>
      <x:c r="D568" s="7" t="n">
        <x:f>COUNTIFS('唯一词标签'!$V$2:$V$1441,A568,'唯一词标签'!$Z$2:$Z$1441,"match")</x:f>
        <x:v>0</x:v>
      </x:c>
      <x:c r="E568" s="7" t="n">
        <x:f>COUNTIFS('唯一词标签'!$V$2:$V$1441,A568,'唯一词标签'!$Z$2:$Z$1441,"partial_match")</x:f>
        <x:v>1</x:v>
      </x:c>
      <x:c r="F568" s="7" t="n">
        <x:f>COUNTIFS('唯一词标签'!$V$2:$V$1441,A568,'唯一词标签'!$Z$2:$Z$1441,"mismatch")</x:f>
        <x:v>0</x:v>
      </x:c>
      <x:c r="G568" s="7" t="n">
        <x:f>COUNTIFS('唯一词标签'!$V$2:$V$1441,A568,'唯一词标签'!$Z$2:$Z$1441,"unknown")</x:f>
        <x:v>0</x:v>
      </x:c>
      <x:c r="H568" s="7" t="n">
        <x:f>COUNTIFS('唯一词标签'!$V$2:$V$1441,A568,'唯一词标签'!$U$2:$U$1441,"low")</x:f>
        <x:v>0</x:v>
      </x:c>
      <x:c r="I568" s="7" t="n">
        <x:f>COUNTIFS('唯一词标签'!$V$2:$V$1441,A568,'唯一词标签'!$AB$2:$AB$1441,"needs_review")</x:f>
        <x:v>0</x:v>
      </x:c>
    </x:row>
    <x:row r="569" ht="22" customHeight="1">
      <x:c r="A569" s="7" t="str">
        <x:v>pool_flip_flop_women</x:v>
      </x:c>
      <x:c r="B569" s="7" t="n">
        <x:f>COUNTIF('唯一词标签'!$V$2:$V$1441,A569)</x:f>
        <x:v>1</x:v>
      </x:c>
      <x:c r="C569" s="55" t="n">
        <x:f>B569/COUNTA('唯一词标签'!$C$2:$C$1441)</x:f>
        <x:v>0.0006944444444444445</x:v>
      </x:c>
      <x:c r="D569" s="7" t="n">
        <x:f>COUNTIFS('唯一词标签'!$V$2:$V$1441,A569,'唯一词标签'!$Z$2:$Z$1441,"match")</x:f>
        <x:v>0</x:v>
      </x:c>
      <x:c r="E569" s="7" t="n">
        <x:f>COUNTIFS('唯一词标签'!$V$2:$V$1441,A569,'唯一词标签'!$Z$2:$Z$1441,"partial_match")</x:f>
        <x:v>1</x:v>
      </x:c>
      <x:c r="F569" s="7" t="n">
        <x:f>COUNTIFS('唯一词标签'!$V$2:$V$1441,A569,'唯一词标签'!$Z$2:$Z$1441,"mismatch")</x:f>
        <x:v>0</x:v>
      </x:c>
      <x:c r="G569" s="7" t="n">
        <x:f>COUNTIFS('唯一词标签'!$V$2:$V$1441,A569,'唯一词标签'!$Z$2:$Z$1441,"unknown")</x:f>
        <x:v>0</x:v>
      </x:c>
      <x:c r="H569" s="7" t="n">
        <x:f>COUNTIFS('唯一词标签'!$V$2:$V$1441,A569,'唯一词标签'!$U$2:$U$1441,"low")</x:f>
        <x:v>0</x:v>
      </x:c>
      <x:c r="I569" s="7" t="n">
        <x:f>COUNTIFS('唯一词标签'!$V$2:$V$1441,A569,'唯一词标签'!$AB$2:$AB$1441,"needs_review")</x:f>
        <x:v>1</x:v>
      </x:c>
    </x:row>
    <x:row r="570" ht="22" customHeight="1">
      <x:c r="A570" s="7" t="str">
        <x:v>pool_flip_flops</x:v>
      </x:c>
      <x:c r="B570" s="7" t="n">
        <x:f>COUNTIF('唯一词标签'!$V$2:$V$1441,A570)</x:f>
        <x:v>3</x:v>
      </x:c>
      <x:c r="C570" s="55" t="n">
        <x:f>B570/COUNTA('唯一词标签'!$C$2:$C$1441)</x:f>
        <x:v>0.0020833333333333333</x:v>
      </x:c>
      <x:c r="D570" s="7" t="n">
        <x:f>COUNTIFS('唯一词标签'!$V$2:$V$1441,A570,'唯一词标签'!$Z$2:$Z$1441,"match")</x:f>
        <x:v>0</x:v>
      </x:c>
      <x:c r="E570" s="7" t="n">
        <x:f>COUNTIFS('唯一词标签'!$V$2:$V$1441,A570,'唯一词标签'!$Z$2:$Z$1441,"partial_match")</x:f>
        <x:v>3</x:v>
      </x:c>
      <x:c r="F570" s="7" t="n">
        <x:f>COUNTIFS('唯一词标签'!$V$2:$V$1441,A570,'唯一词标签'!$Z$2:$Z$1441,"mismatch")</x:f>
        <x:v>0</x:v>
      </x:c>
      <x:c r="G570" s="7" t="n">
        <x:f>COUNTIFS('唯一词标签'!$V$2:$V$1441,A570,'唯一词标签'!$Z$2:$Z$1441,"unknown")</x:f>
        <x:v>0</x:v>
      </x:c>
      <x:c r="H570" s="7" t="n">
        <x:f>COUNTIFS('唯一词标签'!$V$2:$V$1441,A570,'唯一词标签'!$U$2:$U$1441,"low")</x:f>
        <x:v>0</x:v>
      </x:c>
      <x:c r="I570" s="7" t="n">
        <x:f>COUNTIFS('唯一词标签'!$V$2:$V$1441,A570,'唯一词标签'!$AB$2:$AB$1441,"needs_review")</x:f>
        <x:v>0</x:v>
      </x:c>
    </x:row>
    <x:row r="571" ht="22" customHeight="1">
      <x:c r="A571" s="7" t="str">
        <x:v>pool_flip_flops_black</x:v>
      </x:c>
      <x:c r="B571" s="7" t="n">
        <x:f>COUNTIF('唯一词标签'!$V$2:$V$1441,A571)</x:f>
        <x:v>1</x:v>
      </x:c>
      <x:c r="C571" s="55" t="n">
        <x:f>B571/COUNTA('唯一词标签'!$C$2:$C$1441)</x:f>
        <x:v>0.0006944444444444445</x:v>
      </x:c>
      <x:c r="D571" s="7" t="n">
        <x:f>COUNTIFS('唯一词标签'!$V$2:$V$1441,A571,'唯一词标签'!$Z$2:$Z$1441,"match")</x:f>
        <x:v>0</x:v>
      </x:c>
      <x:c r="E571" s="7" t="n">
        <x:f>COUNTIFS('唯一词标签'!$V$2:$V$1441,A571,'唯一词标签'!$Z$2:$Z$1441,"partial_match")</x:f>
        <x:v>1</x:v>
      </x:c>
      <x:c r="F571" s="7" t="n">
        <x:f>COUNTIFS('唯一词标签'!$V$2:$V$1441,A571,'唯一词标签'!$Z$2:$Z$1441,"mismatch")</x:f>
        <x:v>0</x:v>
      </x:c>
      <x:c r="G571" s="7" t="n">
        <x:f>COUNTIFS('唯一词标签'!$V$2:$V$1441,A571,'唯一词标签'!$Z$2:$Z$1441,"unknown")</x:f>
        <x:v>0</x:v>
      </x:c>
      <x:c r="H571" s="7" t="n">
        <x:f>COUNTIFS('唯一词标签'!$V$2:$V$1441,A571,'唯一词标签'!$U$2:$U$1441,"low")</x:f>
        <x:v>0</x:v>
      </x:c>
      <x:c r="I571" s="7" t="n">
        <x:f>COUNTIFS('唯一词标签'!$V$2:$V$1441,A571,'唯一词标签'!$AB$2:$AB$1441,"needs_review")</x:f>
        <x:v>0</x:v>
      </x:c>
    </x:row>
    <x:row r="572" ht="22" customHeight="1">
      <x:c r="A572" s="7" t="str">
        <x:v>pool_flip_flops_women</x:v>
      </x:c>
      <x:c r="B572" s="7" t="n">
        <x:f>COUNTIF('唯一词标签'!$V$2:$V$1441,A572)</x:f>
        <x:v>1</x:v>
      </x:c>
      <x:c r="C572" s="55" t="n">
        <x:f>B572/COUNTA('唯一词标签'!$C$2:$C$1441)</x:f>
        <x:v>0.0006944444444444445</x:v>
      </x:c>
      <x:c r="D572" s="7" t="n">
        <x:f>COUNTIFS('唯一词标签'!$V$2:$V$1441,A572,'唯一词标签'!$Z$2:$Z$1441,"match")</x:f>
        <x:v>0</x:v>
      </x:c>
      <x:c r="E572" s="7" t="n">
        <x:f>COUNTIFS('唯一词标签'!$V$2:$V$1441,A572,'唯一词标签'!$Z$2:$Z$1441,"partial_match")</x:f>
        <x:v>1</x:v>
      </x:c>
      <x:c r="F572" s="7" t="n">
        <x:f>COUNTIFS('唯一词标签'!$V$2:$V$1441,A572,'唯一词标签'!$Z$2:$Z$1441,"mismatch")</x:f>
        <x:v>0</x:v>
      </x:c>
      <x:c r="G572" s="7" t="n">
        <x:f>COUNTIFS('唯一词标签'!$V$2:$V$1441,A572,'唯一词标签'!$Z$2:$Z$1441,"unknown")</x:f>
        <x:v>0</x:v>
      </x:c>
      <x:c r="H572" s="7" t="n">
        <x:f>COUNTIFS('唯一词标签'!$V$2:$V$1441,A572,'唯一词标签'!$U$2:$U$1441,"low")</x:f>
        <x:v>0</x:v>
      </x:c>
      <x:c r="I572" s="7" t="n">
        <x:f>COUNTIFS('唯一词标签'!$V$2:$V$1441,A572,'唯一词标签'!$AB$2:$AB$1441,"needs_review")</x:f>
        <x:v>0</x:v>
      </x:c>
    </x:row>
    <x:row r="573" ht="22" customHeight="1">
      <x:c r="A573" s="7" t="str">
        <x:v>pool_non_slip_womens_flip_flops</x:v>
      </x:c>
      <x:c r="B573" s="7" t="n">
        <x:f>COUNTIF('唯一词标签'!$V$2:$V$1441,A573)</x:f>
        <x:v>1</x:v>
      </x:c>
      <x:c r="C573" s="55" t="n">
        <x:f>B573/COUNTA('唯一词标签'!$C$2:$C$1441)</x:f>
        <x:v>0.0006944444444444445</x:v>
      </x:c>
      <x:c r="D573" s="7" t="n">
        <x:f>COUNTIFS('唯一词标签'!$V$2:$V$1441,A573,'唯一词标签'!$Z$2:$Z$1441,"match")</x:f>
        <x:v>0</x:v>
      </x:c>
      <x:c r="E573" s="7" t="n">
        <x:f>COUNTIFS('唯一词标签'!$V$2:$V$1441,A573,'唯一词标签'!$Z$2:$Z$1441,"partial_match")</x:f>
        <x:v>1</x:v>
      </x:c>
      <x:c r="F573" s="7" t="n">
        <x:f>COUNTIFS('唯一词标签'!$V$2:$V$1441,A573,'唯一词标签'!$Z$2:$Z$1441,"mismatch")</x:f>
        <x:v>0</x:v>
      </x:c>
      <x:c r="G573" s="7" t="n">
        <x:f>COUNTIFS('唯一词标签'!$V$2:$V$1441,A573,'唯一词标签'!$Z$2:$Z$1441,"unknown")</x:f>
        <x:v>0</x:v>
      </x:c>
      <x:c r="H573" s="7" t="n">
        <x:f>COUNTIFS('唯一词标签'!$V$2:$V$1441,A573,'唯一词标签'!$U$2:$U$1441,"low")</x:f>
        <x:v>0</x:v>
      </x:c>
      <x:c r="I573" s="7" t="n">
        <x:f>COUNTIFS('唯一词标签'!$V$2:$V$1441,A573,'唯一词标签'!$AB$2:$AB$1441,"needs_review")</x:f>
        <x:v>0</x:v>
      </x:c>
    </x:row>
    <x:row r="574" ht="22" customHeight="1">
      <x:c r="A574" s="7" t="str">
        <x:v>pool_nonslip_high_arch_flip_flop</x:v>
      </x:c>
      <x:c r="B574" s="7" t="n">
        <x:f>COUNTIF('唯一词标签'!$V$2:$V$1441,A574)</x:f>
        <x:v>1</x:v>
      </x:c>
      <x:c r="C574" s="55" t="n">
        <x:f>B574/COUNTA('唯一词标签'!$C$2:$C$1441)</x:f>
        <x:v>0.0006944444444444445</x:v>
      </x:c>
      <x:c r="D574" s="7" t="n">
        <x:f>COUNTIFS('唯一词标签'!$V$2:$V$1441,A574,'唯一词标签'!$Z$2:$Z$1441,"match")</x:f>
        <x:v>0</x:v>
      </x:c>
      <x:c r="E574" s="7" t="n">
        <x:f>COUNTIFS('唯一词标签'!$V$2:$V$1441,A574,'唯一词标签'!$Z$2:$Z$1441,"partial_match")</x:f>
        <x:v>1</x:v>
      </x:c>
      <x:c r="F574" s="7" t="n">
        <x:f>COUNTIFS('唯一词标签'!$V$2:$V$1441,A574,'唯一词标签'!$Z$2:$Z$1441,"mismatch")</x:f>
        <x:v>0</x:v>
      </x:c>
      <x:c r="G574" s="7" t="n">
        <x:f>COUNTIFS('唯一词标签'!$V$2:$V$1441,A574,'唯一词标签'!$Z$2:$Z$1441,"unknown")</x:f>
        <x:v>0</x:v>
      </x:c>
      <x:c r="H574" s="7" t="n">
        <x:f>COUNTIFS('唯一词标签'!$V$2:$V$1441,A574,'唯一词标签'!$U$2:$U$1441,"low")</x:f>
        <x:v>0</x:v>
      </x:c>
      <x:c r="I574" s="7" t="n">
        <x:f>COUNTIFS('唯一词标签'!$V$2:$V$1441,A574,'唯一词标签'!$AB$2:$AB$1441,"needs_review")</x:f>
        <x:v>0</x:v>
      </x:c>
    </x:row>
    <x:row r="575" ht="22" customHeight="1">
      <x:c r="A575" s="7" t="str">
        <x:v>pool_nonslip_womens_flip_flops</x:v>
      </x:c>
      <x:c r="B575" s="7" t="n">
        <x:f>COUNTIF('唯一词标签'!$V$2:$V$1441,A575)</x:f>
        <x:v>1</x:v>
      </x:c>
      <x:c r="C575" s="55" t="n">
        <x:f>B575/COUNTA('唯一词标签'!$C$2:$C$1441)</x:f>
        <x:v>0.0006944444444444445</x:v>
      </x:c>
      <x:c r="D575" s="7" t="n">
        <x:f>COUNTIFS('唯一词标签'!$V$2:$V$1441,A575,'唯一词标签'!$Z$2:$Z$1441,"match")</x:f>
        <x:v>0</x:v>
      </x:c>
      <x:c r="E575" s="7" t="n">
        <x:f>COUNTIFS('唯一词标签'!$V$2:$V$1441,A575,'唯一词标签'!$Z$2:$Z$1441,"partial_match")</x:f>
        <x:v>1</x:v>
      </x:c>
      <x:c r="F575" s="7" t="n">
        <x:f>COUNTIFS('唯一词标签'!$V$2:$V$1441,A575,'唯一词标签'!$Z$2:$Z$1441,"mismatch")</x:f>
        <x:v>0</x:v>
      </x:c>
      <x:c r="G575" s="7" t="n">
        <x:f>COUNTIFS('唯一词标签'!$V$2:$V$1441,A575,'唯一词标签'!$Z$2:$Z$1441,"unknown")</x:f>
        <x:v>0</x:v>
      </x:c>
      <x:c r="H575" s="7" t="n">
        <x:f>COUNTIFS('唯一词标签'!$V$2:$V$1441,A575,'唯一词标签'!$U$2:$U$1441,"low")</x:f>
        <x:v>0</x:v>
      </x:c>
      <x:c r="I575" s="7" t="n">
        <x:f>COUNTIFS('唯一词标签'!$V$2:$V$1441,A575,'唯一词标签'!$AB$2:$AB$1441,"needs_review")</x:f>
        <x:v>0</x:v>
      </x:c>
    </x:row>
    <x:row r="576" ht="22" customHeight="1">
      <x:c r="A576" s="7" t="str">
        <x:v>pool_sandals</x:v>
      </x:c>
      <x:c r="B576" s="7" t="n">
        <x:f>COUNTIF('唯一词标签'!$V$2:$V$1441,A576)</x:f>
        <x:v>1</x:v>
      </x:c>
      <x:c r="C576" s="55" t="n">
        <x:f>B576/COUNTA('唯一词标签'!$C$2:$C$1441)</x:f>
        <x:v>0.0006944444444444445</x:v>
      </x:c>
      <x:c r="D576" s="7" t="n">
        <x:f>COUNTIFS('唯一词标签'!$V$2:$V$1441,A576,'唯一词标签'!$Z$2:$Z$1441,"match")</x:f>
        <x:v>0</x:v>
      </x:c>
      <x:c r="E576" s="7" t="n">
        <x:f>COUNTIFS('唯一词标签'!$V$2:$V$1441,A576,'唯一词标签'!$Z$2:$Z$1441,"partial_match")</x:f>
        <x:v>1</x:v>
      </x:c>
      <x:c r="F576" s="7" t="n">
        <x:f>COUNTIFS('唯一词标签'!$V$2:$V$1441,A576,'唯一词标签'!$Z$2:$Z$1441,"mismatch")</x:f>
        <x:v>0</x:v>
      </x:c>
      <x:c r="G576" s="7" t="n">
        <x:f>COUNTIFS('唯一词标签'!$V$2:$V$1441,A576,'唯一词标签'!$Z$2:$Z$1441,"unknown")</x:f>
        <x:v>0</x:v>
      </x:c>
      <x:c r="H576" s="7" t="n">
        <x:f>COUNTIFS('唯一词标签'!$V$2:$V$1441,A576,'唯一词标签'!$U$2:$U$1441,"low")</x:f>
        <x:v>0</x:v>
      </x:c>
      <x:c r="I576" s="7" t="n">
        <x:f>COUNTIFS('唯一词标签'!$V$2:$V$1441,A576,'唯一词标签'!$AB$2:$AB$1441,"needs_review")</x:f>
        <x:v>0</x:v>
      </x:c>
    </x:row>
    <x:row r="577" ht="22" customHeight="1">
      <x:c r="A577" s="7" t="str">
        <x:v>pool_sandals_womens</x:v>
      </x:c>
      <x:c r="B577" s="7" t="n">
        <x:f>COUNTIF('唯一词标签'!$V$2:$V$1441,A577)</x:f>
        <x:v>1</x:v>
      </x:c>
      <x:c r="C577" s="55" t="n">
        <x:f>B577/COUNTA('唯一词标签'!$C$2:$C$1441)</x:f>
        <x:v>0.0006944444444444445</x:v>
      </x:c>
      <x:c r="D577" s="7" t="n">
        <x:f>COUNTIFS('唯一词标签'!$V$2:$V$1441,A577,'唯一词标签'!$Z$2:$Z$1441,"match")</x:f>
        <x:v>0</x:v>
      </x:c>
      <x:c r="E577" s="7" t="n">
        <x:f>COUNTIFS('唯一词标签'!$V$2:$V$1441,A577,'唯一词标签'!$Z$2:$Z$1441,"partial_match")</x:f>
        <x:v>1</x:v>
      </x:c>
      <x:c r="F577" s="7" t="n">
        <x:f>COUNTIFS('唯一词标签'!$V$2:$V$1441,A577,'唯一词标签'!$Z$2:$Z$1441,"mismatch")</x:f>
        <x:v>0</x:v>
      </x:c>
      <x:c r="G577" s="7" t="n">
        <x:f>COUNTIFS('唯一词标签'!$V$2:$V$1441,A577,'唯一词标签'!$Z$2:$Z$1441,"unknown")</x:f>
        <x:v>0</x:v>
      </x:c>
      <x:c r="H577" s="7" t="n">
        <x:f>COUNTIFS('唯一词标签'!$V$2:$V$1441,A577,'唯一词标签'!$U$2:$U$1441,"low")</x:f>
        <x:v>0</x:v>
      </x:c>
      <x:c r="I577" s="7" t="n">
        <x:f>COUNTIFS('唯一词标签'!$V$2:$V$1441,A577,'唯一词标签'!$AB$2:$AB$1441,"needs_review")</x:f>
        <x:v>0</x:v>
      </x:c>
    </x:row>
    <x:row r="578" ht="22" customHeight="1">
      <x:c r="A578" s="7" t="str">
        <x:v>pool_side_flip_flops_brown</x:v>
      </x:c>
      <x:c r="B578" s="7" t="n">
        <x:f>COUNTIF('唯一词标签'!$V$2:$V$1441,A578)</x:f>
        <x:v>1</x:v>
      </x:c>
      <x:c r="C578" s="55" t="n">
        <x:f>B578/COUNTA('唯一词标签'!$C$2:$C$1441)</x:f>
        <x:v>0.0006944444444444445</x:v>
      </x:c>
      <x:c r="D578" s="7" t="n">
        <x:f>COUNTIFS('唯一词标签'!$V$2:$V$1441,A578,'唯一词标签'!$Z$2:$Z$1441,"match")</x:f>
        <x:v>1</x:v>
      </x:c>
      <x:c r="E578" s="7" t="n">
        <x:f>COUNTIFS('唯一词标签'!$V$2:$V$1441,A578,'唯一词标签'!$Z$2:$Z$1441,"partial_match")</x:f>
        <x:v>0</x:v>
      </x:c>
      <x:c r="F578" s="7" t="n">
        <x:f>COUNTIFS('唯一词标签'!$V$2:$V$1441,A578,'唯一词标签'!$Z$2:$Z$1441,"mismatch")</x:f>
        <x:v>0</x:v>
      </x:c>
      <x:c r="G578" s="7" t="n">
        <x:f>COUNTIFS('唯一词标签'!$V$2:$V$1441,A578,'唯一词标签'!$Z$2:$Z$1441,"unknown")</x:f>
        <x:v>0</x:v>
      </x:c>
      <x:c r="H578" s="7" t="n">
        <x:f>COUNTIFS('唯一词标签'!$V$2:$V$1441,A578,'唯一词标签'!$U$2:$U$1441,"low")</x:f>
        <x:v>0</x:v>
      </x:c>
      <x:c r="I578" s="7" t="n">
        <x:f>COUNTIFS('唯一词标签'!$V$2:$V$1441,A578,'唯一词标签'!$AB$2:$AB$1441,"needs_review")</x:f>
        <x:v>0</x:v>
      </x:c>
    </x:row>
    <x:row r="579" ht="22" customHeight="1">
      <x:c r="A579" s="7" t="str">
        <x:v>pool_womens_flip_flops</x:v>
      </x:c>
      <x:c r="B579" s="7" t="n">
        <x:f>COUNTIF('唯一词标签'!$V$2:$V$1441,A579)</x:f>
        <x:v>1</x:v>
      </x:c>
      <x:c r="C579" s="55" t="n">
        <x:f>B579/COUNTA('唯一词标签'!$C$2:$C$1441)</x:f>
        <x:v>0.0006944444444444445</x:v>
      </x:c>
      <x:c r="D579" s="7" t="n">
        <x:f>COUNTIFS('唯一词标签'!$V$2:$V$1441,A579,'唯一词标签'!$Z$2:$Z$1441,"match")</x:f>
        <x:v>0</x:v>
      </x:c>
      <x:c r="E579" s="7" t="n">
        <x:f>COUNTIFS('唯一词标签'!$V$2:$V$1441,A579,'唯一词标签'!$Z$2:$Z$1441,"partial_match")</x:f>
        <x:v>1</x:v>
      </x:c>
      <x:c r="F579" s="7" t="n">
        <x:f>COUNTIFS('唯一词标签'!$V$2:$V$1441,A579,'唯一词标签'!$Z$2:$Z$1441,"mismatch")</x:f>
        <x:v>0</x:v>
      </x:c>
      <x:c r="G579" s="7" t="n">
        <x:f>COUNTIFS('唯一词标签'!$V$2:$V$1441,A579,'唯一词标签'!$Z$2:$Z$1441,"unknown")</x:f>
        <x:v>0</x:v>
      </x:c>
      <x:c r="H579" s="7" t="n">
        <x:f>COUNTIFS('唯一词标签'!$V$2:$V$1441,A579,'唯一词标签'!$U$2:$U$1441,"low")</x:f>
        <x:v>0</x:v>
      </x:c>
      <x:c r="I579" s="7" t="n">
        <x:f>COUNTIFS('唯一词标签'!$V$2:$V$1441,A579,'唯一词标签'!$AB$2:$AB$1441,"needs_review")</x:f>
        <x:v>0</x:v>
      </x:c>
    </x:row>
    <x:row r="580" ht="22" customHeight="1">
      <x:c r="A580" s="7" t="str">
        <x:v>poolside_arch_support_sandals</x:v>
      </x:c>
      <x:c r="B580" s="7" t="n">
        <x:f>COUNTIF('唯一词标签'!$V$2:$V$1441,A580)</x:f>
        <x:v>1</x:v>
      </x:c>
      <x:c r="C580" s="55" t="n">
        <x:f>B580/COUNTA('唯一词标签'!$C$2:$C$1441)</x:f>
        <x:v>0.0006944444444444445</x:v>
      </x:c>
      <x:c r="D580" s="7" t="n">
        <x:f>COUNTIFS('唯一词标签'!$V$2:$V$1441,A580,'唯一词标签'!$Z$2:$Z$1441,"match")</x:f>
        <x:v>0</x:v>
      </x:c>
      <x:c r="E580" s="7" t="n">
        <x:f>COUNTIFS('唯一词标签'!$V$2:$V$1441,A580,'唯一词标签'!$Z$2:$Z$1441,"partial_match")</x:f>
        <x:v>1</x:v>
      </x:c>
      <x:c r="F580" s="7" t="n">
        <x:f>COUNTIFS('唯一词标签'!$V$2:$V$1441,A580,'唯一词标签'!$Z$2:$Z$1441,"mismatch")</x:f>
        <x:v>0</x:v>
      </x:c>
      <x:c r="G580" s="7" t="n">
        <x:f>COUNTIFS('唯一词标签'!$V$2:$V$1441,A580,'唯一词标签'!$Z$2:$Z$1441,"unknown")</x:f>
        <x:v>0</x:v>
      </x:c>
      <x:c r="H580" s="7" t="n">
        <x:f>COUNTIFS('唯一词标签'!$V$2:$V$1441,A580,'唯一词标签'!$U$2:$U$1441,"low")</x:f>
        <x:v>0</x:v>
      </x:c>
      <x:c r="I580" s="7" t="n">
        <x:f>COUNTIFS('唯一词标签'!$V$2:$V$1441,A580,'唯一词标签'!$AB$2:$AB$1441,"needs_review")</x:f>
        <x:v>0</x:v>
      </x:c>
    </x:row>
    <x:row r="581" ht="22" customHeight="1">
      <x:c r="A581" s="7" t="str">
        <x:v>poolside_flip_flops</x:v>
      </x:c>
      <x:c r="B581" s="7" t="n">
        <x:f>COUNTIF('唯一词标签'!$V$2:$V$1441,A581)</x:f>
        <x:v>2</x:v>
      </x:c>
      <x:c r="C581" s="55" t="n">
        <x:f>B581/COUNTA('唯一词标签'!$C$2:$C$1441)</x:f>
        <x:v>0.001388888888888889</x:v>
      </x:c>
      <x:c r="D581" s="7" t="n">
        <x:f>COUNTIFS('唯一词标签'!$V$2:$V$1441,A581,'唯一词标签'!$Z$2:$Z$1441,"match")</x:f>
        <x:v>1</x:v>
      </x:c>
      <x:c r="E581" s="7" t="n">
        <x:f>COUNTIFS('唯一词标签'!$V$2:$V$1441,A581,'唯一词标签'!$Z$2:$Z$1441,"partial_match")</x:f>
        <x:v>1</x:v>
      </x:c>
      <x:c r="F581" s="7" t="n">
        <x:f>COUNTIFS('唯一词标签'!$V$2:$V$1441,A581,'唯一词标签'!$Z$2:$Z$1441,"mismatch")</x:f>
        <x:v>0</x:v>
      </x:c>
      <x:c r="G581" s="7" t="n">
        <x:f>COUNTIFS('唯一词标签'!$V$2:$V$1441,A581,'唯一词标签'!$Z$2:$Z$1441,"unknown")</x:f>
        <x:v>0</x:v>
      </x:c>
      <x:c r="H581" s="7" t="n">
        <x:f>COUNTIFS('唯一词标签'!$V$2:$V$1441,A581,'唯一词标签'!$U$2:$U$1441,"low")</x:f>
        <x:v>0</x:v>
      </x:c>
      <x:c r="I581" s="7" t="n">
        <x:f>COUNTIFS('唯一词标签'!$V$2:$V$1441,A581,'唯一词标签'!$AB$2:$AB$1441,"needs_review")</x:f>
        <x:v>0</x:v>
      </x:c>
    </x:row>
    <x:row r="582" ht="22" customHeight="1">
      <x:c r="A582" s="7" t="str">
        <x:v>prime_day_flip_flops</x:v>
      </x:c>
      <x:c r="B582" s="7" t="n">
        <x:f>COUNTIF('唯一词标签'!$V$2:$V$1441,A582)</x:f>
        <x:v>1</x:v>
      </x:c>
      <x:c r="C582" s="55" t="n">
        <x:f>B582/COUNTA('唯一词标签'!$C$2:$C$1441)</x:f>
        <x:v>0.0006944444444444445</x:v>
      </x:c>
      <x:c r="D582" s="7" t="n">
        <x:f>COUNTIFS('唯一词标签'!$V$2:$V$1441,A582,'唯一词标签'!$Z$2:$Z$1441,"match")</x:f>
        <x:v>0</x:v>
      </x:c>
      <x:c r="E582" s="7" t="n">
        <x:f>COUNTIFS('唯一词标签'!$V$2:$V$1441,A582,'唯一词标签'!$Z$2:$Z$1441,"partial_match")</x:f>
        <x:v>1</x:v>
      </x:c>
      <x:c r="F582" s="7" t="n">
        <x:f>COUNTIFS('唯一词标签'!$V$2:$V$1441,A582,'唯一词标签'!$Z$2:$Z$1441,"mismatch")</x:f>
        <x:v>0</x:v>
      </x:c>
      <x:c r="G582" s="7" t="n">
        <x:f>COUNTIFS('唯一词标签'!$V$2:$V$1441,A582,'唯一词标签'!$Z$2:$Z$1441,"unknown")</x:f>
        <x:v>0</x:v>
      </x:c>
      <x:c r="H582" s="7" t="n">
        <x:f>COUNTIFS('唯一词标签'!$V$2:$V$1441,A582,'唯一词标签'!$U$2:$U$1441,"low")</x:f>
        <x:v>0</x:v>
      </x:c>
      <x:c r="I582" s="7" t="n">
        <x:f>COUNTIFS('唯一词标签'!$V$2:$V$1441,A582,'唯一词标签'!$AB$2:$AB$1441,"needs_review")</x:f>
        <x:v>0</x:v>
      </x:c>
    </x:row>
    <x:row r="583" ht="22" customHeight="1">
      <x:c r="A583" s="7" t="str">
        <x:v>printed_flip_flops</x:v>
      </x:c>
      <x:c r="B583" s="7" t="n">
        <x:f>COUNTIF('唯一词标签'!$V$2:$V$1441,A583)</x:f>
        <x:v>1</x:v>
      </x:c>
      <x:c r="C583" s="55" t="n">
        <x:f>B583/COUNTA('唯一词标签'!$C$2:$C$1441)</x:f>
        <x:v>0.0006944444444444445</x:v>
      </x:c>
      <x:c r="D583" s="7" t="n">
        <x:f>COUNTIFS('唯一词标签'!$V$2:$V$1441,A583,'唯一词标签'!$Z$2:$Z$1441,"match")</x:f>
        <x:v>0</x:v>
      </x:c>
      <x:c r="E583" s="7" t="n">
        <x:f>COUNTIFS('唯一词标签'!$V$2:$V$1441,A583,'唯一词标签'!$Z$2:$Z$1441,"partial_match")</x:f>
        <x:v>1</x:v>
      </x:c>
      <x:c r="F583" s="7" t="n">
        <x:f>COUNTIFS('唯一词标签'!$V$2:$V$1441,A583,'唯一词标签'!$Z$2:$Z$1441,"mismatch")</x:f>
        <x:v>0</x:v>
      </x:c>
      <x:c r="G583" s="7" t="n">
        <x:f>COUNTIFS('唯一词标签'!$V$2:$V$1441,A583,'唯一词标签'!$Z$2:$Z$1441,"unknown")</x:f>
        <x:v>0</x:v>
      </x:c>
      <x:c r="H583" s="7" t="n">
        <x:f>COUNTIFS('唯一词标签'!$V$2:$V$1441,A583,'唯一词标签'!$U$2:$U$1441,"low")</x:f>
        <x:v>0</x:v>
      </x:c>
      <x:c r="I583" s="7" t="n">
        <x:f>COUNTIFS('唯一词标签'!$V$2:$V$1441,A583,'唯一词标签'!$AB$2:$AB$1441,"needs_review")</x:f>
        <x:v>0</x:v>
      </x:c>
    </x:row>
    <x:row r="584" ht="22" customHeight="1">
      <x:c r="A584" s="7" t="str">
        <x:v>propet_womens_flip_flop</x:v>
      </x:c>
      <x:c r="B584" s="7" t="n">
        <x:f>COUNTIF('唯一词标签'!$V$2:$V$1441,A584)</x:f>
        <x:v>1</x:v>
      </x:c>
      <x:c r="C584" s="55" t="n">
        <x:f>B584/COUNTA('唯一词标签'!$C$2:$C$1441)</x:f>
        <x:v>0.0006944444444444445</x:v>
      </x:c>
      <x:c r="D584" s="7" t="n">
        <x:f>COUNTIFS('唯一词标签'!$V$2:$V$1441,A584,'唯一词标签'!$Z$2:$Z$1441,"match")</x:f>
        <x:v>0</x:v>
      </x:c>
      <x:c r="E584" s="7" t="n">
        <x:f>COUNTIFS('唯一词标签'!$V$2:$V$1441,A584,'唯一词标签'!$Z$2:$Z$1441,"partial_match")</x:f>
        <x:v>0</x:v>
      </x:c>
      <x:c r="F584" s="7" t="n">
        <x:f>COUNTIFS('唯一词标签'!$V$2:$V$1441,A584,'唯一词标签'!$Z$2:$Z$1441,"mismatch")</x:f>
        <x:v>1</x:v>
      </x:c>
      <x:c r="G584" s="7" t="n">
        <x:f>COUNTIFS('唯一词标签'!$V$2:$V$1441,A584,'唯一词标签'!$Z$2:$Z$1441,"unknown")</x:f>
        <x:v>0</x:v>
      </x:c>
      <x:c r="H584" s="7" t="n">
        <x:f>COUNTIFS('唯一词标签'!$V$2:$V$1441,A584,'唯一词标签'!$U$2:$U$1441,"low")</x:f>
        <x:v>0</x:v>
      </x:c>
      <x:c r="I584" s="7" t="n">
        <x:f>COUNTIFS('唯一词标签'!$V$2:$V$1441,A584,'唯一词标签'!$AB$2:$AB$1441,"needs_review")</x:f>
        <x:v>0</x:v>
      </x:c>
    </x:row>
    <x:row r="585" ht="22" customHeight="1">
      <x:c r="A585" s="7" t="str">
        <x:v>quick_dry_flip_flops</x:v>
      </x:c>
      <x:c r="B585" s="7" t="n">
        <x:f>COUNTIF('唯一词标签'!$V$2:$V$1441,A585)</x:f>
        <x:v>1</x:v>
      </x:c>
      <x:c r="C585" s="55" t="n">
        <x:f>B585/COUNTA('唯一词标签'!$C$2:$C$1441)</x:f>
        <x:v>0.0006944444444444445</x:v>
      </x:c>
      <x:c r="D585" s="7" t="n">
        <x:f>COUNTIFS('唯一词标签'!$V$2:$V$1441,A585,'唯一词标签'!$Z$2:$Z$1441,"match")</x:f>
        <x:v>0</x:v>
      </x:c>
      <x:c r="E585" s="7" t="n">
        <x:f>COUNTIFS('唯一词标签'!$V$2:$V$1441,A585,'唯一词标签'!$Z$2:$Z$1441,"partial_match")</x:f>
        <x:v>1</x:v>
      </x:c>
      <x:c r="F585" s="7" t="n">
        <x:f>COUNTIFS('唯一词标签'!$V$2:$V$1441,A585,'唯一词标签'!$Z$2:$Z$1441,"mismatch")</x:f>
        <x:v>0</x:v>
      </x:c>
      <x:c r="G585" s="7" t="n">
        <x:f>COUNTIFS('唯一词标签'!$V$2:$V$1441,A585,'唯一词标签'!$Z$2:$Z$1441,"unknown")</x:f>
        <x:v>0</x:v>
      </x:c>
      <x:c r="H585" s="7" t="n">
        <x:f>COUNTIFS('唯一词标签'!$V$2:$V$1441,A585,'唯一词标签'!$U$2:$U$1441,"low")</x:f>
        <x:v>0</x:v>
      </x:c>
      <x:c r="I585" s="7" t="n">
        <x:f>COUNTIFS('唯一词标签'!$V$2:$V$1441,A585,'唯一词标签'!$AB$2:$AB$1441,"needs_review")</x:f>
        <x:v>0</x:v>
      </x:c>
    </x:row>
    <x:row r="586" ht="22" customHeight="1">
      <x:c r="A586" s="7" t="str">
        <x:v>quick_dry_womens_flip_flops</x:v>
      </x:c>
      <x:c r="B586" s="7" t="n">
        <x:f>COUNTIF('唯一词标签'!$V$2:$V$1441,A586)</x:f>
        <x:v>2</x:v>
      </x:c>
      <x:c r="C586" s="55" t="n">
        <x:f>B586/COUNTA('唯一词标签'!$C$2:$C$1441)</x:f>
        <x:v>0.001388888888888889</x:v>
      </x:c>
      <x:c r="D586" s="7" t="n">
        <x:f>COUNTIFS('唯一词标签'!$V$2:$V$1441,A586,'唯一词标签'!$Z$2:$Z$1441,"match")</x:f>
        <x:v>0</x:v>
      </x:c>
      <x:c r="E586" s="7" t="n">
        <x:f>COUNTIFS('唯一词标签'!$V$2:$V$1441,A586,'唯一词标签'!$Z$2:$Z$1441,"partial_match")</x:f>
        <x:v>2</x:v>
      </x:c>
      <x:c r="F586" s="7" t="n">
        <x:f>COUNTIFS('唯一词标签'!$V$2:$V$1441,A586,'唯一词标签'!$Z$2:$Z$1441,"mismatch")</x:f>
        <x:v>0</x:v>
      </x:c>
      <x:c r="G586" s="7" t="n">
        <x:f>COUNTIFS('唯一词标签'!$V$2:$V$1441,A586,'唯一词标签'!$Z$2:$Z$1441,"unknown")</x:f>
        <x:v>0</x:v>
      </x:c>
      <x:c r="H586" s="7" t="n">
        <x:f>COUNTIFS('唯一词标签'!$V$2:$V$1441,A586,'唯一词标签'!$U$2:$U$1441,"low")</x:f>
        <x:v>0</x:v>
      </x:c>
      <x:c r="I586" s="7" t="n">
        <x:f>COUNTIFS('唯一词标签'!$V$2:$V$1441,A586,'唯一词标签'!$AB$2:$AB$1441,"needs_review")</x:f>
        <x:v>0</x:v>
      </x:c>
    </x:row>
    <x:row r="587" ht="22" customHeight="1">
      <x:c r="A587" s="7" t="str">
        <x:v>quiet_arch_support_flip_flops</x:v>
      </x:c>
      <x:c r="B587" s="7" t="n">
        <x:f>COUNTIF('唯一词标签'!$V$2:$V$1441,A587)</x:f>
        <x:v>1</x:v>
      </x:c>
      <x:c r="C587" s="55" t="n">
        <x:f>B587/COUNTA('唯一词标签'!$C$2:$C$1441)</x:f>
        <x:v>0.0006944444444444445</x:v>
      </x:c>
      <x:c r="D587" s="7" t="n">
        <x:f>COUNTIFS('唯一词标签'!$V$2:$V$1441,A587,'唯一词标签'!$Z$2:$Z$1441,"match")</x:f>
        <x:v>0</x:v>
      </x:c>
      <x:c r="E587" s="7" t="n">
        <x:f>COUNTIFS('唯一词标签'!$V$2:$V$1441,A587,'唯一词标签'!$Z$2:$Z$1441,"partial_match")</x:f>
        <x:v>1</x:v>
      </x:c>
      <x:c r="F587" s="7" t="n">
        <x:f>COUNTIFS('唯一词标签'!$V$2:$V$1441,A587,'唯一词标签'!$Z$2:$Z$1441,"mismatch")</x:f>
        <x:v>0</x:v>
      </x:c>
      <x:c r="G587" s="7" t="n">
        <x:f>COUNTIFS('唯一词标签'!$V$2:$V$1441,A587,'唯一词标签'!$Z$2:$Z$1441,"unknown")</x:f>
        <x:v>0</x:v>
      </x:c>
      <x:c r="H587" s="7" t="n">
        <x:f>COUNTIFS('唯一词标签'!$V$2:$V$1441,A587,'唯一词标签'!$U$2:$U$1441,"low")</x:f>
        <x:v>0</x:v>
      </x:c>
      <x:c r="I587" s="7" t="n">
        <x:f>COUNTIFS('唯一词标签'!$V$2:$V$1441,A587,'唯一词标签'!$AB$2:$AB$1441,"needs_review")</x:f>
        <x:v>0</x:v>
      </x:c>
    </x:row>
    <x:row r="588" ht="22" customHeight="1">
      <x:c r="A588" s="7" t="str">
        <x:v>rafter_womens_flip_flops_ambiguous</x:v>
      </x:c>
      <x:c r="B588" s="7" t="n">
        <x:f>COUNTIF('唯一词标签'!$V$2:$V$1441,A588)</x:f>
        <x:v>1</x:v>
      </x:c>
      <x:c r="C588" s="55" t="n">
        <x:f>B588/COUNTA('唯一词标签'!$C$2:$C$1441)</x:f>
        <x:v>0.0006944444444444445</x:v>
      </x:c>
      <x:c r="D588" s="7" t="n">
        <x:f>COUNTIFS('唯一词标签'!$V$2:$V$1441,A588,'唯一词标签'!$Z$2:$Z$1441,"match")</x:f>
        <x:v>0</x:v>
      </x:c>
      <x:c r="E588" s="7" t="n">
        <x:f>COUNTIFS('唯一词标签'!$V$2:$V$1441,A588,'唯一词标签'!$Z$2:$Z$1441,"partial_match")</x:f>
        <x:v>0</x:v>
      </x:c>
      <x:c r="F588" s="7" t="n">
        <x:f>COUNTIFS('唯一词标签'!$V$2:$V$1441,A588,'唯一词标签'!$Z$2:$Z$1441,"mismatch")</x:f>
        <x:v>0</x:v>
      </x:c>
      <x:c r="G588" s="7" t="n">
        <x:f>COUNTIFS('唯一词标签'!$V$2:$V$1441,A588,'唯一词标签'!$Z$2:$Z$1441,"unknown")</x:f>
        <x:v>1</x:v>
      </x:c>
      <x:c r="H588" s="7" t="n">
        <x:f>COUNTIFS('唯一词标签'!$V$2:$V$1441,A588,'唯一词标签'!$U$2:$U$1441,"low")</x:f>
        <x:v>1</x:v>
      </x:c>
      <x:c r="I588" s="7" t="n">
        <x:f>COUNTIFS('唯一词标签'!$V$2:$V$1441,A588,'唯一词标签'!$AB$2:$AB$1441,"needs_review")</x:f>
        <x:v>0</x:v>
      </x:c>
    </x:row>
    <x:row r="589" ht="22" customHeight="1">
      <x:c r="A589" s="7" t="str">
        <x:v>recovery_flip_flops_women</x:v>
      </x:c>
      <x:c r="B589" s="7" t="n">
        <x:f>COUNTIF('唯一词标签'!$V$2:$V$1441,A589)</x:f>
        <x:v>1</x:v>
      </x:c>
      <x:c r="C589" s="55" t="n">
        <x:f>B589/COUNTA('唯一词标签'!$C$2:$C$1441)</x:f>
        <x:v>0.0006944444444444445</x:v>
      </x:c>
      <x:c r="D589" s="7" t="n">
        <x:f>COUNTIFS('唯一词标签'!$V$2:$V$1441,A589,'唯一词标签'!$Z$2:$Z$1441,"match")</x:f>
        <x:v>0</x:v>
      </x:c>
      <x:c r="E589" s="7" t="n">
        <x:f>COUNTIFS('唯一词标签'!$V$2:$V$1441,A589,'唯一词标签'!$Z$2:$Z$1441,"partial_match")</x:f>
        <x:v>1</x:v>
      </x:c>
      <x:c r="F589" s="7" t="n">
        <x:f>COUNTIFS('唯一词标签'!$V$2:$V$1441,A589,'唯一词标签'!$Z$2:$Z$1441,"mismatch")</x:f>
        <x:v>0</x:v>
      </x:c>
      <x:c r="G589" s="7" t="n">
        <x:f>COUNTIFS('唯一词标签'!$V$2:$V$1441,A589,'唯一词标签'!$Z$2:$Z$1441,"unknown")</x:f>
        <x:v>0</x:v>
      </x:c>
      <x:c r="H589" s="7" t="n">
        <x:f>COUNTIFS('唯一词标签'!$V$2:$V$1441,A589,'唯一词标签'!$U$2:$U$1441,"low")</x:f>
        <x:v>0</x:v>
      </x:c>
      <x:c r="I589" s="7" t="n">
        <x:f>COUNTIFS('唯一词标签'!$V$2:$V$1441,A589,'唯一词标签'!$AB$2:$AB$1441,"needs_review")</x:f>
        <x:v>0</x:v>
      </x:c>
    </x:row>
    <x:row r="590" ht="22" customHeight="1">
      <x:c r="A590" s="7" t="str">
        <x:v>recovery_footwear_women</x:v>
      </x:c>
      <x:c r="B590" s="7" t="n">
        <x:f>COUNTIF('唯一词标签'!$V$2:$V$1441,A590)</x:f>
        <x:v>1</x:v>
      </x:c>
      <x:c r="C590" s="55" t="n">
        <x:f>B590/COUNTA('唯一词标签'!$C$2:$C$1441)</x:f>
        <x:v>0.0006944444444444445</x:v>
      </x:c>
      <x:c r="D590" s="7" t="n">
        <x:f>COUNTIFS('唯一词标签'!$V$2:$V$1441,A590,'唯一词标签'!$Z$2:$Z$1441,"match")</x:f>
        <x:v>0</x:v>
      </x:c>
      <x:c r="E590" s="7" t="n">
        <x:f>COUNTIFS('唯一词标签'!$V$2:$V$1441,A590,'唯一词标签'!$Z$2:$Z$1441,"partial_match")</x:f>
        <x:v>1</x:v>
      </x:c>
      <x:c r="F590" s="7" t="n">
        <x:f>COUNTIFS('唯一词标签'!$V$2:$V$1441,A590,'唯一词标签'!$Z$2:$Z$1441,"mismatch")</x:f>
        <x:v>0</x:v>
      </x:c>
      <x:c r="G590" s="7" t="n">
        <x:f>COUNTIFS('唯一词标签'!$V$2:$V$1441,A590,'唯一词标签'!$Z$2:$Z$1441,"unknown")</x:f>
        <x:v>0</x:v>
      </x:c>
      <x:c r="H590" s="7" t="n">
        <x:f>COUNTIFS('唯一词标签'!$V$2:$V$1441,A590,'唯一词标签'!$U$2:$U$1441,"low")</x:f>
        <x:v>0</x:v>
      </x:c>
      <x:c r="I590" s="7" t="n">
        <x:f>COUNTIFS('唯一词标签'!$V$2:$V$1441,A590,'唯一词标签'!$AB$2:$AB$1441,"needs_review")</x:f>
        <x:v>0</x:v>
      </x:c>
    </x:row>
    <x:row r="591" ht="22" customHeight="1">
      <x:c r="A591" s="7" t="str">
        <x:v>recycled_tire_flip_flops</x:v>
      </x:c>
      <x:c r="B591" s="7" t="n">
        <x:f>COUNTIF('唯一词标签'!$V$2:$V$1441,A591)</x:f>
        <x:v>1</x:v>
      </x:c>
      <x:c r="C591" s="55" t="n">
        <x:f>B591/COUNTA('唯一词标签'!$C$2:$C$1441)</x:f>
        <x:v>0.0006944444444444445</x:v>
      </x:c>
      <x:c r="D591" s="7" t="n">
        <x:f>COUNTIFS('唯一词标签'!$V$2:$V$1441,A591,'唯一词标签'!$Z$2:$Z$1441,"match")</x:f>
        <x:v>0</x:v>
      </x:c>
      <x:c r="E591" s="7" t="n">
        <x:f>COUNTIFS('唯一词标签'!$V$2:$V$1441,A591,'唯一词标签'!$Z$2:$Z$1441,"partial_match")</x:f>
        <x:v>0</x:v>
      </x:c>
      <x:c r="F591" s="7" t="n">
        <x:f>COUNTIFS('唯一词标签'!$V$2:$V$1441,A591,'唯一词标签'!$Z$2:$Z$1441,"mismatch")</x:f>
        <x:v>1</x:v>
      </x:c>
      <x:c r="G591" s="7" t="n">
        <x:f>COUNTIFS('唯一词标签'!$V$2:$V$1441,A591,'唯一词标签'!$Z$2:$Z$1441,"unknown")</x:f>
        <x:v>0</x:v>
      </x:c>
      <x:c r="H591" s="7" t="n">
        <x:f>COUNTIFS('唯一词标签'!$V$2:$V$1441,A591,'唯一词标签'!$U$2:$U$1441,"low")</x:f>
        <x:v>0</x:v>
      </x:c>
      <x:c r="I591" s="7" t="n">
        <x:f>COUNTIFS('唯一词标签'!$V$2:$V$1441,A591,'唯一词标签'!$AB$2:$AB$1441,"needs_review")</x:f>
        <x:v>0</x:v>
      </x:c>
    </x:row>
    <x:row r="592" ht="22" customHeight="1">
      <x:c r="A592" s="7" t="str">
        <x:v>reed_rubber_sandals_women</x:v>
      </x:c>
      <x:c r="B592" s="7" t="n">
        <x:f>COUNTIF('唯一词标签'!$V$2:$V$1441,A592)</x:f>
        <x:v>1</x:v>
      </x:c>
      <x:c r="C592" s="55" t="n">
        <x:f>B592/COUNTA('唯一词标签'!$C$2:$C$1441)</x:f>
        <x:v>0.0006944444444444445</x:v>
      </x:c>
      <x:c r="D592" s="7" t="n">
        <x:f>COUNTIFS('唯一词标签'!$V$2:$V$1441,A592,'唯一词标签'!$Z$2:$Z$1441,"match")</x:f>
        <x:v>0</x:v>
      </x:c>
      <x:c r="E592" s="7" t="n">
        <x:f>COUNTIFS('唯一词标签'!$V$2:$V$1441,A592,'唯一词标签'!$Z$2:$Z$1441,"partial_match")</x:f>
        <x:v>1</x:v>
      </x:c>
      <x:c r="F592" s="7" t="n">
        <x:f>COUNTIFS('唯一词标签'!$V$2:$V$1441,A592,'唯一词标签'!$Z$2:$Z$1441,"mismatch")</x:f>
        <x:v>0</x:v>
      </x:c>
      <x:c r="G592" s="7" t="n">
        <x:f>COUNTIFS('唯一词标签'!$V$2:$V$1441,A592,'唯一词标签'!$Z$2:$Z$1441,"unknown")</x:f>
        <x:v>0</x:v>
      </x:c>
      <x:c r="H592" s="7" t="n">
        <x:f>COUNTIFS('唯一词标签'!$V$2:$V$1441,A592,'唯一词标签'!$U$2:$U$1441,"low")</x:f>
        <x:v>0</x:v>
      </x:c>
      <x:c r="I592" s="7" t="n">
        <x:f>COUNTIFS('唯一词标签'!$V$2:$V$1441,A592,'唯一词标签'!$AB$2:$AB$1441,"needs_review")</x:f>
        <x:v>0</x:v>
      </x:c>
    </x:row>
    <x:row r="593" ht="22" customHeight="1">
      <x:c r="A593" s="7" t="str">
        <x:v>revitalign_flip_flops_women</x:v>
      </x:c>
      <x:c r="B593" s="7" t="n">
        <x:f>COUNTIF('唯一词标签'!$V$2:$V$1441,A593)</x:f>
        <x:v>1</x:v>
      </x:c>
      <x:c r="C593" s="55" t="n">
        <x:f>B593/COUNTA('唯一词标签'!$C$2:$C$1441)</x:f>
        <x:v>0.0006944444444444445</x:v>
      </x:c>
      <x:c r="D593" s="7" t="n">
        <x:f>COUNTIFS('唯一词标签'!$V$2:$V$1441,A593,'唯一词标签'!$Z$2:$Z$1441,"match")</x:f>
        <x:v>0</x:v>
      </x:c>
      <x:c r="E593" s="7" t="n">
        <x:f>COUNTIFS('唯一词标签'!$V$2:$V$1441,A593,'唯一词标签'!$Z$2:$Z$1441,"partial_match")</x:f>
        <x:v>0</x:v>
      </x:c>
      <x:c r="F593" s="7" t="n">
        <x:f>COUNTIFS('唯一词标签'!$V$2:$V$1441,A593,'唯一词标签'!$Z$2:$Z$1441,"mismatch")</x:f>
        <x:v>1</x:v>
      </x:c>
      <x:c r="G593" s="7" t="n">
        <x:f>COUNTIFS('唯一词标签'!$V$2:$V$1441,A593,'唯一词标签'!$Z$2:$Z$1441,"unknown")</x:f>
        <x:v>0</x:v>
      </x:c>
      <x:c r="H593" s="7" t="n">
        <x:f>COUNTIFS('唯一词标签'!$V$2:$V$1441,A593,'唯一词标签'!$U$2:$U$1441,"low")</x:f>
        <x:v>0</x:v>
      </x:c>
      <x:c r="I593" s="7" t="n">
        <x:f>COUNTIFS('唯一词标签'!$V$2:$V$1441,A593,'唯一词标签'!$AB$2:$AB$1441,"needs_review")</x:f>
        <x:v>0</x:v>
      </x:c>
    </x:row>
    <x:row r="594" ht="22" customHeight="1">
      <x:c r="A594" s="7" t="str">
        <x:v>round_toe_flip_flops</x:v>
      </x:c>
      <x:c r="B594" s="7" t="n">
        <x:f>COUNTIF('唯一词标签'!$V$2:$V$1441,A594)</x:f>
        <x:v>1</x:v>
      </x:c>
      <x:c r="C594" s="55" t="n">
        <x:f>B594/COUNTA('唯一词标签'!$C$2:$C$1441)</x:f>
        <x:v>0.0006944444444444445</x:v>
      </x:c>
      <x:c r="D594" s="7" t="n">
        <x:f>COUNTIFS('唯一词标签'!$V$2:$V$1441,A594,'唯一词标签'!$Z$2:$Z$1441,"match")</x:f>
        <x:v>0</x:v>
      </x:c>
      <x:c r="E594" s="7" t="n">
        <x:f>COUNTIFS('唯一词标签'!$V$2:$V$1441,A594,'唯一词标签'!$Z$2:$Z$1441,"partial_match")</x:f>
        <x:v>0</x:v>
      </x:c>
      <x:c r="F594" s="7" t="n">
        <x:f>COUNTIFS('唯一词标签'!$V$2:$V$1441,A594,'唯一词标签'!$Z$2:$Z$1441,"mismatch")</x:f>
        <x:v>1</x:v>
      </x:c>
      <x:c r="G594" s="7" t="n">
        <x:f>COUNTIFS('唯一词标签'!$V$2:$V$1441,A594,'唯一词标签'!$Z$2:$Z$1441,"unknown")</x:f>
        <x:v>0</x:v>
      </x:c>
      <x:c r="H594" s="7" t="n">
        <x:f>COUNTIFS('唯一词标签'!$V$2:$V$1441,A594,'唯一词标签'!$U$2:$U$1441,"low")</x:f>
        <x:v>0</x:v>
      </x:c>
      <x:c r="I594" s="7" t="n">
        <x:f>COUNTIFS('唯一词标签'!$V$2:$V$1441,A594,'唯一词标签'!$AB$2:$AB$1441,"needs_review")</x:f>
        <x:v>0</x:v>
      </x:c>
    </x:row>
    <x:row r="595" ht="22" customHeight="1">
      <x:c r="A595" s="7" t="str">
        <x:v>round_toe_sandals</x:v>
      </x:c>
      <x:c r="B595" s="7" t="n">
        <x:f>COUNTIF('唯一词标签'!$V$2:$V$1441,A595)</x:f>
        <x:v>1</x:v>
      </x:c>
      <x:c r="C595" s="55" t="n">
        <x:f>B595/COUNTA('唯一词标签'!$C$2:$C$1441)</x:f>
        <x:v>0.0006944444444444445</x:v>
      </x:c>
      <x:c r="D595" s="7" t="n">
        <x:f>COUNTIFS('唯一词标签'!$V$2:$V$1441,A595,'唯一词标签'!$Z$2:$Z$1441,"match")</x:f>
        <x:v>0</x:v>
      </x:c>
      <x:c r="E595" s="7" t="n">
        <x:f>COUNTIFS('唯一词标签'!$V$2:$V$1441,A595,'唯一词标签'!$Z$2:$Z$1441,"partial_match")</x:f>
        <x:v>0</x:v>
      </x:c>
      <x:c r="F595" s="7" t="n">
        <x:f>COUNTIFS('唯一词标签'!$V$2:$V$1441,A595,'唯一词标签'!$Z$2:$Z$1441,"mismatch")</x:f>
        <x:v>1</x:v>
      </x:c>
      <x:c r="G595" s="7" t="n">
        <x:f>COUNTIFS('唯一词标签'!$V$2:$V$1441,A595,'唯一词标签'!$Z$2:$Z$1441,"unknown")</x:f>
        <x:v>0</x:v>
      </x:c>
      <x:c r="H595" s="7" t="n">
        <x:f>COUNTIFS('唯一词标签'!$V$2:$V$1441,A595,'唯一词标签'!$U$2:$U$1441,"low")</x:f>
        <x:v>0</x:v>
      </x:c>
      <x:c r="I595" s="7" t="n">
        <x:f>COUNTIFS('唯一词标签'!$V$2:$V$1441,A595,'唯一词标签'!$AB$2:$AB$1441,"needs_review")</x:f>
        <x:v>0</x:v>
      </x:c>
    </x:row>
    <x:row r="596" ht="22" customHeight="1">
      <x:c r="A596" s="7" t="str">
        <x:v>rowkoo_light_blue_flip_flops</x:v>
      </x:c>
      <x:c r="B596" s="7" t="n">
        <x:f>COUNTIF('唯一词标签'!$V$2:$V$1441,A596)</x:f>
        <x:v>1</x:v>
      </x:c>
      <x:c r="C596" s="55" t="n">
        <x:f>B596/COUNTA('唯一词标签'!$C$2:$C$1441)</x:f>
        <x:v>0.0006944444444444445</x:v>
      </x:c>
      <x:c r="D596" s="7" t="n">
        <x:f>COUNTIFS('唯一词标签'!$V$2:$V$1441,A596,'唯一词标签'!$Z$2:$Z$1441,"match")</x:f>
        <x:v>0</x:v>
      </x:c>
      <x:c r="E596" s="7" t="n">
        <x:f>COUNTIFS('唯一词标签'!$V$2:$V$1441,A596,'唯一词标签'!$Z$2:$Z$1441,"partial_match")</x:f>
        <x:v>0</x:v>
      </x:c>
      <x:c r="F596" s="7" t="n">
        <x:f>COUNTIFS('唯一词标签'!$V$2:$V$1441,A596,'唯一词标签'!$Z$2:$Z$1441,"mismatch")</x:f>
        <x:v>1</x:v>
      </x:c>
      <x:c r="G596" s="7" t="n">
        <x:f>COUNTIFS('唯一词标签'!$V$2:$V$1441,A596,'唯一词标签'!$Z$2:$Z$1441,"unknown")</x:f>
        <x:v>0</x:v>
      </x:c>
      <x:c r="H596" s="7" t="n">
        <x:f>COUNTIFS('唯一词标签'!$V$2:$V$1441,A596,'唯一词标签'!$U$2:$U$1441,"low")</x:f>
        <x:v>0</x:v>
      </x:c>
      <x:c r="I596" s="7" t="n">
        <x:f>COUNTIFS('唯一词标签'!$V$2:$V$1441,A596,'唯一词标签'!$AB$2:$AB$1441,"needs_review")</x:f>
        <x:v>0</x:v>
      </x:c>
    </x:row>
    <x:row r="597" ht="22" customHeight="1">
      <x:c r="A597" s="7" t="str">
        <x:v>rubber_arch_support_flip_flops</x:v>
      </x:c>
      <x:c r="B597" s="7" t="n">
        <x:f>COUNTIF('唯一词标签'!$V$2:$V$1441,A597)</x:f>
        <x:v>1</x:v>
      </x:c>
      <x:c r="C597" s="55" t="n">
        <x:f>B597/COUNTA('唯一词标签'!$C$2:$C$1441)</x:f>
        <x:v>0.0006944444444444445</x:v>
      </x:c>
      <x:c r="D597" s="7" t="n">
        <x:f>COUNTIFS('唯一词标签'!$V$2:$V$1441,A597,'唯一词标签'!$Z$2:$Z$1441,"match")</x:f>
        <x:v>0</x:v>
      </x:c>
      <x:c r="E597" s="7" t="n">
        <x:f>COUNTIFS('唯一词标签'!$V$2:$V$1441,A597,'唯一词标签'!$Z$2:$Z$1441,"partial_match")</x:f>
        <x:v>1</x:v>
      </x:c>
      <x:c r="F597" s="7" t="n">
        <x:f>COUNTIFS('唯一词标签'!$V$2:$V$1441,A597,'唯一词标签'!$Z$2:$Z$1441,"mismatch")</x:f>
        <x:v>0</x:v>
      </x:c>
      <x:c r="G597" s="7" t="n">
        <x:f>COUNTIFS('唯一词标签'!$V$2:$V$1441,A597,'唯一词标签'!$Z$2:$Z$1441,"unknown")</x:f>
        <x:v>0</x:v>
      </x:c>
      <x:c r="H597" s="7" t="n">
        <x:f>COUNTIFS('唯一词标签'!$V$2:$V$1441,A597,'唯一词标签'!$U$2:$U$1441,"low")</x:f>
        <x:v>0</x:v>
      </x:c>
      <x:c r="I597" s="7" t="n">
        <x:f>COUNTIFS('唯一词标签'!$V$2:$V$1441,A597,'唯一词标签'!$AB$2:$AB$1441,"needs_review")</x:f>
        <x:v>0</x:v>
      </x:c>
    </x:row>
    <x:row r="598" ht="22" customHeight="1">
      <x:c r="A598" s="7" t="str">
        <x:v>rubber_beach_flip_flops_women</x:v>
      </x:c>
      <x:c r="B598" s="7" t="n">
        <x:f>COUNTIF('唯一词标签'!$V$2:$V$1441,A598)</x:f>
        <x:v>1</x:v>
      </x:c>
      <x:c r="C598" s="55" t="n">
        <x:f>B598/COUNTA('唯一词标签'!$C$2:$C$1441)</x:f>
        <x:v>0.0006944444444444445</x:v>
      </x:c>
      <x:c r="D598" s="7" t="n">
        <x:f>COUNTIFS('唯一词标签'!$V$2:$V$1441,A598,'唯一词标签'!$Z$2:$Z$1441,"match")</x:f>
        <x:v>0</x:v>
      </x:c>
      <x:c r="E598" s="7" t="n">
        <x:f>COUNTIFS('唯一词标签'!$V$2:$V$1441,A598,'唯一词标签'!$Z$2:$Z$1441,"partial_match")</x:f>
        <x:v>1</x:v>
      </x:c>
      <x:c r="F598" s="7" t="n">
        <x:f>COUNTIFS('唯一词标签'!$V$2:$V$1441,A598,'唯一词标签'!$Z$2:$Z$1441,"mismatch")</x:f>
        <x:v>0</x:v>
      </x:c>
      <x:c r="G598" s="7" t="n">
        <x:f>COUNTIFS('唯一词标签'!$V$2:$V$1441,A598,'唯一词标签'!$Z$2:$Z$1441,"unknown")</x:f>
        <x:v>0</x:v>
      </x:c>
      <x:c r="H598" s="7" t="n">
        <x:f>COUNTIFS('唯一词标签'!$V$2:$V$1441,A598,'唯一词标签'!$U$2:$U$1441,"low")</x:f>
        <x:v>0</x:v>
      </x:c>
      <x:c r="I598" s="7" t="n">
        <x:f>COUNTIFS('唯一词标签'!$V$2:$V$1441,A598,'唯一词标签'!$AB$2:$AB$1441,"needs_review")</x:f>
        <x:v>0</x:v>
      </x:c>
    </x:row>
    <x:row r="599" ht="22" customHeight="1">
      <x:c r="A599" s="7" t="str">
        <x:v>rubber_flip_flop_women</x:v>
      </x:c>
      <x:c r="B599" s="7" t="n">
        <x:f>COUNTIF('唯一词标签'!$V$2:$V$1441,A599)</x:f>
        <x:v>2</x:v>
      </x:c>
      <x:c r="C599" s="55" t="n">
        <x:f>B599/COUNTA('唯一词标签'!$C$2:$C$1441)</x:f>
        <x:v>0.001388888888888889</x:v>
      </x:c>
      <x:c r="D599" s="7" t="n">
        <x:f>COUNTIFS('唯一词标签'!$V$2:$V$1441,A599,'唯一词标签'!$Z$2:$Z$1441,"match")</x:f>
        <x:v>0</x:v>
      </x:c>
      <x:c r="E599" s="7" t="n">
        <x:f>COUNTIFS('唯一词标签'!$V$2:$V$1441,A599,'唯一词标签'!$Z$2:$Z$1441,"partial_match")</x:f>
        <x:v>2</x:v>
      </x:c>
      <x:c r="F599" s="7" t="n">
        <x:f>COUNTIFS('唯一词标签'!$V$2:$V$1441,A599,'唯一词标签'!$Z$2:$Z$1441,"mismatch")</x:f>
        <x:v>0</x:v>
      </x:c>
      <x:c r="G599" s="7" t="n">
        <x:f>COUNTIFS('唯一词标签'!$V$2:$V$1441,A599,'唯一词标签'!$Z$2:$Z$1441,"unknown")</x:f>
        <x:v>0</x:v>
      </x:c>
      <x:c r="H599" s="7" t="n">
        <x:f>COUNTIFS('唯一词标签'!$V$2:$V$1441,A599,'唯一词标签'!$U$2:$U$1441,"low")</x:f>
        <x:v>0</x:v>
      </x:c>
      <x:c r="I599" s="7" t="n">
        <x:f>COUNTIFS('唯一词标签'!$V$2:$V$1441,A599,'唯一词标签'!$AB$2:$AB$1441,"needs_review")</x:f>
        <x:v>2</x:v>
      </x:c>
    </x:row>
    <x:row r="600" ht="22" customHeight="1">
      <x:c r="A600" s="7" t="str">
        <x:v>rubber_flip_flops</x:v>
      </x:c>
      <x:c r="B600" s="7" t="n">
        <x:f>COUNTIF('唯一词标签'!$V$2:$V$1441,A600)</x:f>
        <x:v>1</x:v>
      </x:c>
      <x:c r="C600" s="55" t="n">
        <x:f>B600/COUNTA('唯一词标签'!$C$2:$C$1441)</x:f>
        <x:v>0.0006944444444444445</x:v>
      </x:c>
      <x:c r="D600" s="7" t="n">
        <x:f>COUNTIFS('唯一词标签'!$V$2:$V$1441,A600,'唯一词标签'!$Z$2:$Z$1441,"match")</x:f>
        <x:v>0</x:v>
      </x:c>
      <x:c r="E600" s="7" t="n">
        <x:f>COUNTIFS('唯一词标签'!$V$2:$V$1441,A600,'唯一词标签'!$Z$2:$Z$1441,"partial_match")</x:f>
        <x:v>1</x:v>
      </x:c>
      <x:c r="F600" s="7" t="n">
        <x:f>COUNTIFS('唯一词标签'!$V$2:$V$1441,A600,'唯一词标签'!$Z$2:$Z$1441,"mismatch")</x:f>
        <x:v>0</x:v>
      </x:c>
      <x:c r="G600" s="7" t="n">
        <x:f>COUNTIFS('唯一词标签'!$V$2:$V$1441,A600,'唯一词标签'!$Z$2:$Z$1441,"unknown")</x:f>
        <x:v>0</x:v>
      </x:c>
      <x:c r="H600" s="7" t="n">
        <x:f>COUNTIFS('唯一词标签'!$V$2:$V$1441,A600,'唯一词标签'!$U$2:$U$1441,"low")</x:f>
        <x:v>0</x:v>
      </x:c>
      <x:c r="I600" s="7" t="n">
        <x:f>COUNTIFS('唯一词标签'!$V$2:$V$1441,A600,'唯一词标签'!$AB$2:$AB$1441,"needs_review")</x:f>
        <x:v>1</x:v>
      </x:c>
    </x:row>
    <x:row r="601" ht="22" customHeight="1">
      <x:c r="A601" s="7" t="str">
        <x:v>rubber_flip_flops_royal_blue</x:v>
      </x:c>
      <x:c r="B601" s="7" t="n">
        <x:f>COUNTIF('唯一词标签'!$V$2:$V$1441,A601)</x:f>
        <x:v>1</x:v>
      </x:c>
      <x:c r="C601" s="55" t="n">
        <x:f>B601/COUNTA('唯一词标签'!$C$2:$C$1441)</x:f>
        <x:v>0.0006944444444444445</x:v>
      </x:c>
      <x:c r="D601" s="7" t="n">
        <x:f>COUNTIFS('唯一词标签'!$V$2:$V$1441,A601,'唯一词标签'!$Z$2:$Z$1441,"match")</x:f>
        <x:v>0</x:v>
      </x:c>
      <x:c r="E601" s="7" t="n">
        <x:f>COUNTIFS('唯一词标签'!$V$2:$V$1441,A601,'唯一词标签'!$Z$2:$Z$1441,"partial_match")</x:f>
        <x:v>1</x:v>
      </x:c>
      <x:c r="F601" s="7" t="n">
        <x:f>COUNTIFS('唯一词标签'!$V$2:$V$1441,A601,'唯一词标签'!$Z$2:$Z$1441,"mismatch")</x:f>
        <x:v>0</x:v>
      </x:c>
      <x:c r="G601" s="7" t="n">
        <x:f>COUNTIFS('唯一词标签'!$V$2:$V$1441,A601,'唯一词标签'!$Z$2:$Z$1441,"unknown")</x:f>
        <x:v>0</x:v>
      </x:c>
      <x:c r="H601" s="7" t="n">
        <x:f>COUNTIFS('唯一词标签'!$V$2:$V$1441,A601,'唯一词标签'!$U$2:$U$1441,"low")</x:f>
        <x:v>0</x:v>
      </x:c>
      <x:c r="I601" s="7" t="n">
        <x:f>COUNTIFS('唯一词标签'!$V$2:$V$1441,A601,'唯一词标签'!$AB$2:$AB$1441,"needs_review")</x:f>
        <x:v>0</x:v>
      </x:c>
    </x:row>
    <x:row r="602" ht="22" customHeight="1">
      <x:c r="A602" s="7" t="str">
        <x:v>rubber_flip_flops_women</x:v>
      </x:c>
      <x:c r="B602" s="7" t="n">
        <x:f>COUNTIF('唯一词标签'!$V$2:$V$1441,A602)</x:f>
        <x:v>1</x:v>
      </x:c>
      <x:c r="C602" s="55" t="n">
        <x:f>B602/COUNTA('唯一词标签'!$C$2:$C$1441)</x:f>
        <x:v>0.0006944444444444445</x:v>
      </x:c>
      <x:c r="D602" s="7" t="n">
        <x:f>COUNTIFS('唯一词标签'!$V$2:$V$1441,A602,'唯一词标签'!$Z$2:$Z$1441,"match")</x:f>
        <x:v>0</x:v>
      </x:c>
      <x:c r="E602" s="7" t="n">
        <x:f>COUNTIFS('唯一词标签'!$V$2:$V$1441,A602,'唯一词标签'!$Z$2:$Z$1441,"partial_match")</x:f>
        <x:v>1</x:v>
      </x:c>
      <x:c r="F602" s="7" t="n">
        <x:f>COUNTIFS('唯一词标签'!$V$2:$V$1441,A602,'唯一词标签'!$Z$2:$Z$1441,"mismatch")</x:f>
        <x:v>0</x:v>
      </x:c>
      <x:c r="G602" s="7" t="n">
        <x:f>COUNTIFS('唯一词标签'!$V$2:$V$1441,A602,'唯一词标签'!$Z$2:$Z$1441,"unknown")</x:f>
        <x:v>0</x:v>
      </x:c>
      <x:c r="H602" s="7" t="n">
        <x:f>COUNTIFS('唯一词标签'!$V$2:$V$1441,A602,'唯一词标签'!$U$2:$U$1441,"low")</x:f>
        <x:v>0</x:v>
      </x:c>
      <x:c r="I602" s="7" t="n">
        <x:f>COUNTIFS('唯一词标签'!$V$2:$V$1441,A602,'唯一词标签'!$AB$2:$AB$1441,"needs_review")</x:f>
        <x:v>0</x:v>
      </x:c>
    </x:row>
    <x:row r="603" ht="22" customHeight="1">
      <x:c r="A603" s="7" t="str">
        <x:v>rubber_one_piece_arch_flip_flop</x:v>
      </x:c>
      <x:c r="B603" s="7" t="n">
        <x:f>COUNTIF('唯一词标签'!$V$2:$V$1441,A603)</x:f>
        <x:v>1</x:v>
      </x:c>
      <x:c r="C603" s="55" t="n">
        <x:f>B603/COUNTA('唯一词标签'!$C$2:$C$1441)</x:f>
        <x:v>0.0006944444444444445</x:v>
      </x:c>
      <x:c r="D603" s="7" t="n">
        <x:f>COUNTIFS('唯一词标签'!$V$2:$V$1441,A603,'唯一词标签'!$Z$2:$Z$1441,"match")</x:f>
        <x:v>0</x:v>
      </x:c>
      <x:c r="E603" s="7" t="n">
        <x:f>COUNTIFS('唯一词标签'!$V$2:$V$1441,A603,'唯一词标签'!$Z$2:$Z$1441,"partial_match")</x:f>
        <x:v>1</x:v>
      </x:c>
      <x:c r="F603" s="7" t="n">
        <x:f>COUNTIFS('唯一词标签'!$V$2:$V$1441,A603,'唯一词标签'!$Z$2:$Z$1441,"mismatch")</x:f>
        <x:v>0</x:v>
      </x:c>
      <x:c r="G603" s="7" t="n">
        <x:f>COUNTIFS('唯一词标签'!$V$2:$V$1441,A603,'唯一词标签'!$Z$2:$Z$1441,"unknown")</x:f>
        <x:v>0</x:v>
      </x:c>
      <x:c r="H603" s="7" t="n">
        <x:f>COUNTIFS('唯一词标签'!$V$2:$V$1441,A603,'唯一词标签'!$U$2:$U$1441,"low")</x:f>
        <x:v>0</x:v>
      </x:c>
      <x:c r="I603" s="7" t="n">
        <x:f>COUNTIFS('唯一词标签'!$V$2:$V$1441,A603,'唯一词标签'!$AB$2:$AB$1441,"needs_review")</x:f>
        <x:v>0</x:v>
      </x:c>
    </x:row>
    <x:row r="604" ht="22" customHeight="1">
      <x:c r="A604" s="7" t="str">
        <x:v>rubber_sandals</x:v>
      </x:c>
      <x:c r="B604" s="7" t="n">
        <x:f>COUNTIF('唯一词标签'!$V$2:$V$1441,A604)</x:f>
        <x:v>1</x:v>
      </x:c>
      <x:c r="C604" s="55" t="n">
        <x:f>B604/COUNTA('唯一词标签'!$C$2:$C$1441)</x:f>
        <x:v>0.0006944444444444445</x:v>
      </x:c>
      <x:c r="D604" s="7" t="n">
        <x:f>COUNTIFS('唯一词标签'!$V$2:$V$1441,A604,'唯一词标签'!$Z$2:$Z$1441,"match")</x:f>
        <x:v>0</x:v>
      </x:c>
      <x:c r="E604" s="7" t="n">
        <x:f>COUNTIFS('唯一词标签'!$V$2:$V$1441,A604,'唯一词标签'!$Z$2:$Z$1441,"partial_match")</x:f>
        <x:v>1</x:v>
      </x:c>
      <x:c r="F604" s="7" t="n">
        <x:f>COUNTIFS('唯一词标签'!$V$2:$V$1441,A604,'唯一词标签'!$Z$2:$Z$1441,"mismatch")</x:f>
        <x:v>0</x:v>
      </x:c>
      <x:c r="G604" s="7" t="n">
        <x:f>COUNTIFS('唯一词标签'!$V$2:$V$1441,A604,'唯一词标签'!$Z$2:$Z$1441,"unknown")</x:f>
        <x:v>0</x:v>
      </x:c>
      <x:c r="H604" s="7" t="n">
        <x:f>COUNTIFS('唯一词标签'!$V$2:$V$1441,A604,'唯一词标签'!$U$2:$U$1441,"low")</x:f>
        <x:v>0</x:v>
      </x:c>
      <x:c r="I604" s="7" t="n">
        <x:f>COUNTIFS('唯一词标签'!$V$2:$V$1441,A604,'唯一词标签'!$AB$2:$AB$1441,"needs_review")</x:f>
        <x:v>0</x:v>
      </x:c>
    </x:row>
    <x:row r="605" ht="22" customHeight="1">
      <x:c r="A605" s="7" t="str">
        <x:v>rubber_sandals_waterproof_women</x:v>
      </x:c>
      <x:c r="B605" s="7" t="n">
        <x:f>COUNTIF('唯一词标签'!$V$2:$V$1441,A605)</x:f>
        <x:v>1</x:v>
      </x:c>
      <x:c r="C605" s="55" t="n">
        <x:f>B605/COUNTA('唯一词标签'!$C$2:$C$1441)</x:f>
        <x:v>0.0006944444444444445</x:v>
      </x:c>
      <x:c r="D605" s="7" t="n">
        <x:f>COUNTIFS('唯一词标签'!$V$2:$V$1441,A605,'唯一词标签'!$Z$2:$Z$1441,"match")</x:f>
        <x:v>0</x:v>
      </x:c>
      <x:c r="E605" s="7" t="n">
        <x:f>COUNTIFS('唯一词标签'!$V$2:$V$1441,A605,'唯一词标签'!$Z$2:$Z$1441,"partial_match")</x:f>
        <x:v>1</x:v>
      </x:c>
      <x:c r="F605" s="7" t="n">
        <x:f>COUNTIFS('唯一词标签'!$V$2:$V$1441,A605,'唯一词标签'!$Z$2:$Z$1441,"mismatch")</x:f>
        <x:v>0</x:v>
      </x:c>
      <x:c r="G605" s="7" t="n">
        <x:f>COUNTIFS('唯一词标签'!$V$2:$V$1441,A605,'唯一词标签'!$Z$2:$Z$1441,"unknown")</x:f>
        <x:v>0</x:v>
      </x:c>
      <x:c r="H605" s="7" t="n">
        <x:f>COUNTIFS('唯一词标签'!$V$2:$V$1441,A605,'唯一词标签'!$U$2:$U$1441,"low")</x:f>
        <x:v>0</x:v>
      </x:c>
      <x:c r="I605" s="7" t="n">
        <x:f>COUNTIFS('唯一词标签'!$V$2:$V$1441,A605,'唯一词标签'!$AB$2:$AB$1441,"needs_review")</x:f>
        <x:v>0</x:v>
      </x:c>
    </x:row>
    <x:row r="606" ht="22" customHeight="1">
      <x:c r="A606" s="7" t="str">
        <x:v>rubber_sandals_women</x:v>
      </x:c>
      <x:c r="B606" s="7" t="n">
        <x:f>COUNTIF('唯一词标签'!$V$2:$V$1441,A606)</x:f>
        <x:v>1</x:v>
      </x:c>
      <x:c r="C606" s="55" t="n">
        <x:f>B606/COUNTA('唯一词标签'!$C$2:$C$1441)</x:f>
        <x:v>0.0006944444444444445</x:v>
      </x:c>
      <x:c r="D606" s="7" t="n">
        <x:f>COUNTIFS('唯一词标签'!$V$2:$V$1441,A606,'唯一词标签'!$Z$2:$Z$1441,"match")</x:f>
        <x:v>0</x:v>
      </x:c>
      <x:c r="E606" s="7" t="n">
        <x:f>COUNTIFS('唯一词标签'!$V$2:$V$1441,A606,'唯一词标签'!$Z$2:$Z$1441,"partial_match")</x:f>
        <x:v>1</x:v>
      </x:c>
      <x:c r="F606" s="7" t="n">
        <x:f>COUNTIFS('唯一词标签'!$V$2:$V$1441,A606,'唯一词标签'!$Z$2:$Z$1441,"mismatch")</x:f>
        <x:v>0</x:v>
      </x:c>
      <x:c r="G606" s="7" t="n">
        <x:f>COUNTIFS('唯一词标签'!$V$2:$V$1441,A606,'唯一词标签'!$Z$2:$Z$1441,"unknown")</x:f>
        <x:v>0</x:v>
      </x:c>
      <x:c r="H606" s="7" t="n">
        <x:f>COUNTIFS('唯一词标签'!$V$2:$V$1441,A606,'唯一词标签'!$U$2:$U$1441,"low")</x:f>
        <x:v>0</x:v>
      </x:c>
      <x:c r="I606" s="7" t="n">
        <x:f>COUNTIFS('唯一词标签'!$V$2:$V$1441,A606,'唯一词标签'!$AB$2:$AB$1441,"needs_review")</x:f>
        <x:v>0</x:v>
      </x:c>
    </x:row>
    <x:row r="607" ht="22" customHeight="1">
      <x:c r="A607" s="7" t="str">
        <x:v>rubber_thong_sandals_women</x:v>
      </x:c>
      <x:c r="B607" s="7" t="n">
        <x:f>COUNTIF('唯一词标签'!$V$2:$V$1441,A607)</x:f>
        <x:v>1</x:v>
      </x:c>
      <x:c r="C607" s="55" t="n">
        <x:f>B607/COUNTA('唯一词标签'!$C$2:$C$1441)</x:f>
        <x:v>0.0006944444444444445</x:v>
      </x:c>
      <x:c r="D607" s="7" t="n">
        <x:f>COUNTIFS('唯一词标签'!$V$2:$V$1441,A607,'唯一词标签'!$Z$2:$Z$1441,"match")</x:f>
        <x:v>0</x:v>
      </x:c>
      <x:c r="E607" s="7" t="n">
        <x:f>COUNTIFS('唯一词标签'!$V$2:$V$1441,A607,'唯一词标签'!$Z$2:$Z$1441,"partial_match")</x:f>
        <x:v>0</x:v>
      </x:c>
      <x:c r="F607" s="7" t="n">
        <x:f>COUNTIFS('唯一词标签'!$V$2:$V$1441,A607,'唯一词标签'!$Z$2:$Z$1441,"mismatch")</x:f>
        <x:v>1</x:v>
      </x:c>
      <x:c r="G607" s="7" t="n">
        <x:f>COUNTIFS('唯一词标签'!$V$2:$V$1441,A607,'唯一词标签'!$Z$2:$Z$1441,"unknown")</x:f>
        <x:v>0</x:v>
      </x:c>
      <x:c r="H607" s="7" t="n">
        <x:f>COUNTIFS('唯一词标签'!$V$2:$V$1441,A607,'唯一词标签'!$U$2:$U$1441,"low")</x:f>
        <x:v>0</x:v>
      </x:c>
      <x:c r="I607" s="7" t="n">
        <x:f>COUNTIFS('唯一词标签'!$V$2:$V$1441,A607,'唯一词标签'!$AB$2:$AB$1441,"needs_review")</x:f>
        <x:v>0</x:v>
      </x:c>
    </x:row>
    <x:row r="608" ht="22" customHeight="1">
      <x:c r="A608" s="7" t="str">
        <x:v>rubber_waterproof_womens_flip_flops</x:v>
      </x:c>
      <x:c r="B608" s="7" t="n">
        <x:f>COUNTIF('唯一词标签'!$V$2:$V$1441,A608)</x:f>
        <x:v>1</x:v>
      </x:c>
      <x:c r="C608" s="55" t="n">
        <x:f>B608/COUNTA('唯一词标签'!$C$2:$C$1441)</x:f>
        <x:v>0.0006944444444444445</x:v>
      </x:c>
      <x:c r="D608" s="7" t="n">
        <x:f>COUNTIFS('唯一词标签'!$V$2:$V$1441,A608,'唯一词标签'!$Z$2:$Z$1441,"match")</x:f>
        <x:v>0</x:v>
      </x:c>
      <x:c r="E608" s="7" t="n">
        <x:f>COUNTIFS('唯一词标签'!$V$2:$V$1441,A608,'唯一词标签'!$Z$2:$Z$1441,"partial_match")</x:f>
        <x:v>1</x:v>
      </x:c>
      <x:c r="F608" s="7" t="n">
        <x:f>COUNTIFS('唯一词标签'!$V$2:$V$1441,A608,'唯一词标签'!$Z$2:$Z$1441,"mismatch")</x:f>
        <x:v>0</x:v>
      </x:c>
      <x:c r="G608" s="7" t="n">
        <x:f>COUNTIFS('唯一词标签'!$V$2:$V$1441,A608,'唯一词标签'!$Z$2:$Z$1441,"unknown")</x:f>
        <x:v>0</x:v>
      </x:c>
      <x:c r="H608" s="7" t="n">
        <x:f>COUNTIFS('唯一词标签'!$V$2:$V$1441,A608,'唯一词标签'!$U$2:$U$1441,"low")</x:f>
        <x:v>0</x:v>
      </x:c>
      <x:c r="I608" s="7" t="n">
        <x:f>COUNTIFS('唯一词标签'!$V$2:$V$1441,A608,'唯一词标签'!$AB$2:$AB$1441,"needs_review")</x:f>
        <x:v>0</x:v>
      </x:c>
    </x:row>
    <x:row r="609" ht="22" customHeight="1">
      <x:c r="A609" s="7" t="str">
        <x:v>rubber_womens_sandals</x:v>
      </x:c>
      <x:c r="B609" s="7" t="n">
        <x:f>COUNTIF('唯一词标签'!$V$2:$V$1441,A609)</x:f>
        <x:v>1</x:v>
      </x:c>
      <x:c r="C609" s="55" t="n">
        <x:f>B609/COUNTA('唯一词标签'!$C$2:$C$1441)</x:f>
        <x:v>0.0006944444444444445</x:v>
      </x:c>
      <x:c r="D609" s="7" t="n">
        <x:f>COUNTIFS('唯一词标签'!$V$2:$V$1441,A609,'唯一词标签'!$Z$2:$Z$1441,"match")</x:f>
        <x:v>0</x:v>
      </x:c>
      <x:c r="E609" s="7" t="n">
        <x:f>COUNTIFS('唯一词标签'!$V$2:$V$1441,A609,'唯一词标签'!$Z$2:$Z$1441,"partial_match")</x:f>
        <x:v>1</x:v>
      </x:c>
      <x:c r="F609" s="7" t="n">
        <x:f>COUNTIFS('唯一词标签'!$V$2:$V$1441,A609,'唯一词标签'!$Z$2:$Z$1441,"mismatch")</x:f>
        <x:v>0</x:v>
      </x:c>
      <x:c r="G609" s="7" t="n">
        <x:f>COUNTIFS('唯一词标签'!$V$2:$V$1441,A609,'唯一词标签'!$Z$2:$Z$1441,"unknown")</x:f>
        <x:v>0</x:v>
      </x:c>
      <x:c r="H609" s="7" t="n">
        <x:f>COUNTIFS('唯一词标签'!$V$2:$V$1441,A609,'唯一词标签'!$U$2:$U$1441,"low")</x:f>
        <x:v>0</x:v>
      </x:c>
      <x:c r="I609" s="7" t="n">
        <x:f>COUNTIFS('唯一词标签'!$V$2:$V$1441,A609,'唯一词标签'!$AB$2:$AB$1441,"needs_review")</x:f>
        <x:v>0</x:v>
      </x:c>
    </x:row>
    <x:row r="610" ht="22" customHeight="1">
      <x:c r="A610" s="7" t="str">
        <x:v>sale_flip_flops_women</x:v>
      </x:c>
      <x:c r="B610" s="7" t="n">
        <x:f>COUNTIF('唯一词标签'!$V$2:$V$1441,A610)</x:f>
        <x:v>1</x:v>
      </x:c>
      <x:c r="C610" s="55" t="n">
        <x:f>B610/COUNTA('唯一词标签'!$C$2:$C$1441)</x:f>
        <x:v>0.0006944444444444445</x:v>
      </x:c>
      <x:c r="D610" s="7" t="n">
        <x:f>COUNTIFS('唯一词标签'!$V$2:$V$1441,A610,'唯一词标签'!$Z$2:$Z$1441,"match")</x:f>
        <x:v>0</x:v>
      </x:c>
      <x:c r="E610" s="7" t="n">
        <x:f>COUNTIFS('唯一词标签'!$V$2:$V$1441,A610,'唯一词标签'!$Z$2:$Z$1441,"partial_match")</x:f>
        <x:v>0</x:v>
      </x:c>
      <x:c r="F610" s="7" t="n">
        <x:f>COUNTIFS('唯一词标签'!$V$2:$V$1441,A610,'唯一词标签'!$Z$2:$Z$1441,"mismatch")</x:f>
        <x:v>0</x:v>
      </x:c>
      <x:c r="G610" s="7" t="n">
        <x:f>COUNTIFS('唯一词标签'!$V$2:$V$1441,A610,'唯一词标签'!$Z$2:$Z$1441,"unknown")</x:f>
        <x:v>1</x:v>
      </x:c>
      <x:c r="H610" s="7" t="n">
        <x:f>COUNTIFS('唯一词标签'!$V$2:$V$1441,A610,'唯一词标签'!$U$2:$U$1441,"low")</x:f>
        <x:v>1</x:v>
      </x:c>
      <x:c r="I610" s="7" t="n">
        <x:f>COUNTIFS('唯一词标签'!$V$2:$V$1441,A610,'唯一词标签'!$AB$2:$AB$1441,"needs_review")</x:f>
        <x:v>0</x:v>
      </x:c>
    </x:row>
    <x:row r="611" ht="22" customHeight="1">
      <x:c r="A611" s="7" t="str">
        <x:v>same_day_delivery_flip_flops</x:v>
      </x:c>
      <x:c r="B611" s="7" t="n">
        <x:f>COUNTIF('唯一词标签'!$V$2:$V$1441,A611)</x:f>
        <x:v>1</x:v>
      </x:c>
      <x:c r="C611" s="55" t="n">
        <x:f>B611/COUNTA('唯一词标签'!$C$2:$C$1441)</x:f>
        <x:v>0.0006944444444444445</x:v>
      </x:c>
      <x:c r="D611" s="7" t="n">
        <x:f>COUNTIFS('唯一词标签'!$V$2:$V$1441,A611,'唯一词标签'!$Z$2:$Z$1441,"match")</x:f>
        <x:v>1</x:v>
      </x:c>
      <x:c r="E611" s="7" t="n">
        <x:f>COUNTIFS('唯一词标签'!$V$2:$V$1441,A611,'唯一词标签'!$Z$2:$Z$1441,"partial_match")</x:f>
        <x:v>0</x:v>
      </x:c>
      <x:c r="F611" s="7" t="n">
        <x:f>COUNTIFS('唯一词标签'!$V$2:$V$1441,A611,'唯一词标签'!$Z$2:$Z$1441,"mismatch")</x:f>
        <x:v>0</x:v>
      </x:c>
      <x:c r="G611" s="7" t="n">
        <x:f>COUNTIFS('唯一词标签'!$V$2:$V$1441,A611,'唯一词标签'!$Z$2:$Z$1441,"unknown")</x:f>
        <x:v>0</x:v>
      </x:c>
      <x:c r="H611" s="7" t="n">
        <x:f>COUNTIFS('唯一词标签'!$V$2:$V$1441,A611,'唯一词标签'!$U$2:$U$1441,"low")</x:f>
        <x:v>0</x:v>
      </x:c>
      <x:c r="I611" s="7" t="n">
        <x:f>COUNTIFS('唯一词标签'!$V$2:$V$1441,A611,'唯一词标签'!$AB$2:$AB$1441,"needs_review")</x:f>
        <x:v>0</x:v>
      </x:c>
    </x:row>
    <x:row r="612" ht="22" customHeight="1">
      <x:c r="A612" s="7" t="str">
        <x:v>sandal_generic</x:v>
      </x:c>
      <x:c r="B612" s="7" t="n">
        <x:f>COUNTIF('唯一词标签'!$V$2:$V$1441,A612)</x:f>
        <x:v>1</x:v>
      </x:c>
      <x:c r="C612" s="55" t="n">
        <x:f>B612/COUNTA('唯一词标签'!$C$2:$C$1441)</x:f>
        <x:v>0.0006944444444444445</x:v>
      </x:c>
      <x:c r="D612" s="7" t="n">
        <x:f>COUNTIFS('唯一词标签'!$V$2:$V$1441,A612,'唯一词标签'!$Z$2:$Z$1441,"match")</x:f>
        <x:v>1</x:v>
      </x:c>
      <x:c r="E612" s="7" t="n">
        <x:f>COUNTIFS('唯一词标签'!$V$2:$V$1441,A612,'唯一词标签'!$Z$2:$Z$1441,"partial_match")</x:f>
        <x:v>0</x:v>
      </x:c>
      <x:c r="F612" s="7" t="n">
        <x:f>COUNTIFS('唯一词标签'!$V$2:$V$1441,A612,'唯一词标签'!$Z$2:$Z$1441,"mismatch")</x:f>
        <x:v>0</x:v>
      </x:c>
      <x:c r="G612" s="7" t="n">
        <x:f>COUNTIFS('唯一词标签'!$V$2:$V$1441,A612,'唯一词标签'!$Z$2:$Z$1441,"unknown")</x:f>
        <x:v>0</x:v>
      </x:c>
      <x:c r="H612" s="7" t="n">
        <x:f>COUNTIFS('唯一词标签'!$V$2:$V$1441,A612,'唯一词标签'!$U$2:$U$1441,"low")</x:f>
        <x:v>0</x:v>
      </x:c>
      <x:c r="I612" s="7" t="n">
        <x:f>COUNTIFS('唯一词标签'!$V$2:$V$1441,A612,'唯一词标签'!$AB$2:$AB$1441,"needs_review")</x:f>
        <x:v>0</x:v>
      </x:c>
    </x:row>
    <x:row r="613" ht="22" customHeight="1">
      <x:c r="A613" s="7" t="str">
        <x:v>sandals_arch_support</x:v>
      </x:c>
      <x:c r="B613" s="7" t="n">
        <x:f>COUNTIF('唯一词标签'!$V$2:$V$1441,A613)</x:f>
        <x:v>1</x:v>
      </x:c>
      <x:c r="C613" s="55" t="n">
        <x:f>B613/COUNTA('唯一词标签'!$C$2:$C$1441)</x:f>
        <x:v>0.0006944444444444445</x:v>
      </x:c>
      <x:c r="D613" s="7" t="n">
        <x:f>COUNTIFS('唯一词标签'!$V$2:$V$1441,A613,'唯一词标签'!$Z$2:$Z$1441,"match")</x:f>
        <x:v>1</x:v>
      </x:c>
      <x:c r="E613" s="7" t="n">
        <x:f>COUNTIFS('唯一词标签'!$V$2:$V$1441,A613,'唯一词标签'!$Z$2:$Z$1441,"partial_match")</x:f>
        <x:v>0</x:v>
      </x:c>
      <x:c r="F613" s="7" t="n">
        <x:f>COUNTIFS('唯一词标签'!$V$2:$V$1441,A613,'唯一词标签'!$Z$2:$Z$1441,"mismatch")</x:f>
        <x:v>0</x:v>
      </x:c>
      <x:c r="G613" s="7" t="n">
        <x:f>COUNTIFS('唯一词标签'!$V$2:$V$1441,A613,'唯一词标签'!$Z$2:$Z$1441,"unknown")</x:f>
        <x:v>0</x:v>
      </x:c>
      <x:c r="H613" s="7" t="n">
        <x:f>COUNTIFS('唯一词标签'!$V$2:$V$1441,A613,'唯一词标签'!$U$2:$U$1441,"low")</x:f>
        <x:v>0</x:v>
      </x:c>
      <x:c r="I613" s="7" t="n">
        <x:f>COUNTIFS('唯一词标签'!$V$2:$V$1441,A613,'唯一词标签'!$AB$2:$AB$1441,"needs_review")</x:f>
        <x:v>0</x:v>
      </x:c>
    </x:row>
    <x:row r="614" ht="22" customHeight="1">
      <x:c r="A614" s="7" t="str">
        <x:v>sandals_beach</x:v>
      </x:c>
      <x:c r="B614" s="7" t="n">
        <x:f>COUNTIF('唯一词标签'!$V$2:$V$1441,A614)</x:f>
        <x:v>1</x:v>
      </x:c>
      <x:c r="C614" s="55" t="n">
        <x:f>B614/COUNTA('唯一词标签'!$C$2:$C$1441)</x:f>
        <x:v>0.0006944444444444445</x:v>
      </x:c>
      <x:c r="D614" s="7" t="n">
        <x:f>COUNTIFS('唯一词标签'!$V$2:$V$1441,A614,'唯一词标签'!$Z$2:$Z$1441,"match")</x:f>
        <x:v>1</x:v>
      </x:c>
      <x:c r="E614" s="7" t="n">
        <x:f>COUNTIFS('唯一词标签'!$V$2:$V$1441,A614,'唯一词标签'!$Z$2:$Z$1441,"partial_match")</x:f>
        <x:v>0</x:v>
      </x:c>
      <x:c r="F614" s="7" t="n">
        <x:f>COUNTIFS('唯一词标签'!$V$2:$V$1441,A614,'唯一词标签'!$Z$2:$Z$1441,"mismatch")</x:f>
        <x:v>0</x:v>
      </x:c>
      <x:c r="G614" s="7" t="n">
        <x:f>COUNTIFS('唯一词标签'!$V$2:$V$1441,A614,'唯一词标签'!$Z$2:$Z$1441,"unknown")</x:f>
        <x:v>0</x:v>
      </x:c>
      <x:c r="H614" s="7" t="n">
        <x:f>COUNTIFS('唯一词标签'!$V$2:$V$1441,A614,'唯一词标签'!$U$2:$U$1441,"low")</x:f>
        <x:v>0</x:v>
      </x:c>
      <x:c r="I614" s="7" t="n">
        <x:f>COUNTIFS('唯一词标签'!$V$2:$V$1441,A614,'唯一词标签'!$AB$2:$AB$1441,"needs_review")</x:f>
        <x:v>0</x:v>
      </x:c>
    </x:row>
    <x:row r="615" ht="22" customHeight="1">
      <x:c r="A615" s="7" t="str">
        <x:v>sandals_beach_light_blue</x:v>
      </x:c>
      <x:c r="B615" s="7" t="n">
        <x:f>COUNTIF('唯一词标签'!$V$2:$V$1441,A615)</x:f>
        <x:v>1</x:v>
      </x:c>
      <x:c r="C615" s="55" t="n">
        <x:f>B615/COUNTA('唯一词标签'!$C$2:$C$1441)</x:f>
        <x:v>0.0006944444444444445</x:v>
      </x:c>
      <x:c r="D615" s="7" t="n">
        <x:f>COUNTIFS('唯一词标签'!$V$2:$V$1441,A615,'唯一词标签'!$Z$2:$Z$1441,"match")</x:f>
        <x:v>1</x:v>
      </x:c>
      <x:c r="E615" s="7" t="n">
        <x:f>COUNTIFS('唯一词标签'!$V$2:$V$1441,A615,'唯一词标签'!$Z$2:$Z$1441,"partial_match")</x:f>
        <x:v>0</x:v>
      </x:c>
      <x:c r="F615" s="7" t="n">
        <x:f>COUNTIFS('唯一词标签'!$V$2:$V$1441,A615,'唯一词标签'!$Z$2:$Z$1441,"mismatch")</x:f>
        <x:v>0</x:v>
      </x:c>
      <x:c r="G615" s="7" t="n">
        <x:f>COUNTIFS('唯一词标签'!$V$2:$V$1441,A615,'唯一词标签'!$Z$2:$Z$1441,"unknown")</x:f>
        <x:v>0</x:v>
      </x:c>
      <x:c r="H615" s="7" t="n">
        <x:f>COUNTIFS('唯一词标签'!$V$2:$V$1441,A615,'唯一词标签'!$U$2:$U$1441,"low")</x:f>
        <x:v>0</x:v>
      </x:c>
      <x:c r="I615" s="7" t="n">
        <x:f>COUNTIFS('唯一词标签'!$V$2:$V$1441,A615,'唯一词标签'!$AB$2:$AB$1441,"needs_review")</x:f>
        <x:v>0</x:v>
      </x:c>
    </x:row>
    <x:row r="616" ht="22" customHeight="1">
      <x:c r="A616" s="7" t="str">
        <x:v>sandals_general</x:v>
      </x:c>
      <x:c r="B616" s="7" t="n">
        <x:f>COUNTIF('唯一词标签'!$V$2:$V$1441,A616)</x:f>
        <x:v>1</x:v>
      </x:c>
      <x:c r="C616" s="55" t="n">
        <x:f>B616/COUNTA('唯一词标签'!$C$2:$C$1441)</x:f>
        <x:v>0.0006944444444444445</x:v>
      </x:c>
      <x:c r="D616" s="7" t="n">
        <x:f>COUNTIFS('唯一词标签'!$V$2:$V$1441,A616,'唯一词标签'!$Z$2:$Z$1441,"match")</x:f>
        <x:v>0</x:v>
      </x:c>
      <x:c r="E616" s="7" t="n">
        <x:f>COUNTIFS('唯一词标签'!$V$2:$V$1441,A616,'唯一词标签'!$Z$2:$Z$1441,"partial_match")</x:f>
        <x:v>1</x:v>
      </x:c>
      <x:c r="F616" s="7" t="n">
        <x:f>COUNTIFS('唯一词标签'!$V$2:$V$1441,A616,'唯一词标签'!$Z$2:$Z$1441,"mismatch")</x:f>
        <x:v>0</x:v>
      </x:c>
      <x:c r="G616" s="7" t="n">
        <x:f>COUNTIFS('唯一词标签'!$V$2:$V$1441,A616,'唯一词标签'!$Z$2:$Z$1441,"unknown")</x:f>
        <x:v>0</x:v>
      </x:c>
      <x:c r="H616" s="7" t="n">
        <x:f>COUNTIFS('唯一词标签'!$V$2:$V$1441,A616,'唯一词标签'!$U$2:$U$1441,"low")</x:f>
        <x:v>1</x:v>
      </x:c>
      <x:c r="I616" s="7" t="n">
        <x:f>COUNTIFS('唯一词标签'!$V$2:$V$1441,A616,'唯一词标签'!$AB$2:$AB$1441,"needs_review")</x:f>
        <x:v>0</x:v>
      </x:c>
    </x:row>
    <x:row r="617" ht="22" customHeight="1">
      <x:c r="A617" s="7" t="str">
        <x:v>sandals_hot_pink_size_11</x:v>
      </x:c>
      <x:c r="B617" s="7" t="n">
        <x:f>COUNTIF('唯一词标签'!$V$2:$V$1441,A617)</x:f>
        <x:v>1</x:v>
      </x:c>
      <x:c r="C617" s="55" t="n">
        <x:f>B617/COUNTA('唯一词标签'!$C$2:$C$1441)</x:f>
        <x:v>0.0006944444444444445</x:v>
      </x:c>
      <x:c r="D617" s="7" t="n">
        <x:f>COUNTIFS('唯一词标签'!$V$2:$V$1441,A617,'唯一词标签'!$Z$2:$Z$1441,"match")</x:f>
        <x:v>1</x:v>
      </x:c>
      <x:c r="E617" s="7" t="n">
        <x:f>COUNTIFS('唯一词标签'!$V$2:$V$1441,A617,'唯一词标签'!$Z$2:$Z$1441,"partial_match")</x:f>
        <x:v>0</x:v>
      </x:c>
      <x:c r="F617" s="7" t="n">
        <x:f>COUNTIFS('唯一词标签'!$V$2:$V$1441,A617,'唯一词标签'!$Z$2:$Z$1441,"mismatch")</x:f>
        <x:v>0</x:v>
      </x:c>
      <x:c r="G617" s="7" t="n">
        <x:f>COUNTIFS('唯一词标签'!$V$2:$V$1441,A617,'唯一词标签'!$Z$2:$Z$1441,"unknown")</x:f>
        <x:v>0</x:v>
      </x:c>
      <x:c r="H617" s="7" t="n">
        <x:f>COUNTIFS('唯一词标签'!$V$2:$V$1441,A617,'唯一词标签'!$U$2:$U$1441,"low")</x:f>
        <x:v>0</x:v>
      </x:c>
      <x:c r="I617" s="7" t="n">
        <x:f>COUNTIFS('唯一词标签'!$V$2:$V$1441,A617,'唯一词标签'!$AB$2:$AB$1441,"needs_review")</x:f>
        <x:v>0</x:v>
      </x:c>
    </x:row>
    <x:row r="618" ht="22" customHeight="1">
      <x:c r="A618" s="7" t="str">
        <x:v>sandals_summer</x:v>
      </x:c>
      <x:c r="B618" s="7" t="n">
        <x:f>COUNTIF('唯一词标签'!$V$2:$V$1441,A618)</x:f>
        <x:v>1</x:v>
      </x:c>
      <x:c r="C618" s="55" t="n">
        <x:f>B618/COUNTA('唯一词标签'!$C$2:$C$1441)</x:f>
        <x:v>0.0006944444444444445</x:v>
      </x:c>
      <x:c r="D618" s="7" t="n">
        <x:f>COUNTIFS('唯一词标签'!$V$2:$V$1441,A618,'唯一词标签'!$Z$2:$Z$1441,"match")</x:f>
        <x:v>1</x:v>
      </x:c>
      <x:c r="E618" s="7" t="n">
        <x:f>COUNTIFS('唯一词标签'!$V$2:$V$1441,A618,'唯一词标签'!$Z$2:$Z$1441,"partial_match")</x:f>
        <x:v>0</x:v>
      </x:c>
      <x:c r="F618" s="7" t="n">
        <x:f>COUNTIFS('唯一词标签'!$V$2:$V$1441,A618,'唯一词标签'!$Z$2:$Z$1441,"mismatch")</x:f>
        <x:v>0</x:v>
      </x:c>
      <x:c r="G618" s="7" t="n">
        <x:f>COUNTIFS('唯一词标签'!$V$2:$V$1441,A618,'唯一词标签'!$Z$2:$Z$1441,"unknown")</x:f>
        <x:v>0</x:v>
      </x:c>
      <x:c r="H618" s="7" t="n">
        <x:f>COUNTIFS('唯一词标签'!$V$2:$V$1441,A618,'唯一词标签'!$U$2:$U$1441,"low")</x:f>
        <x:v>0</x:v>
      </x:c>
      <x:c r="I618" s="7" t="n">
        <x:f>COUNTIFS('唯一词标签'!$V$2:$V$1441,A618,'唯一词标签'!$AB$2:$AB$1441,"needs_review")</x:f>
        <x:v>0</x:v>
      </x:c>
    </x:row>
    <x:row r="619" ht="22" customHeight="1">
      <x:c r="A619" s="7" t="str">
        <x:v>sandals_women_beach_coral</x:v>
      </x:c>
      <x:c r="B619" s="7" t="n">
        <x:f>COUNTIF('唯一词标签'!$V$2:$V$1441,A619)</x:f>
        <x:v>1</x:v>
      </x:c>
      <x:c r="C619" s="55" t="n">
        <x:f>B619/COUNTA('唯一词标签'!$C$2:$C$1441)</x:f>
        <x:v>0.0006944444444444445</x:v>
      </x:c>
      <x:c r="D619" s="7" t="n">
        <x:f>COUNTIFS('唯一词标签'!$V$2:$V$1441,A619,'唯一词标签'!$Z$2:$Z$1441,"match")</x:f>
        <x:v>0</x:v>
      </x:c>
      <x:c r="E619" s="7" t="n">
        <x:f>COUNTIFS('唯一词标签'!$V$2:$V$1441,A619,'唯一词标签'!$Z$2:$Z$1441,"partial_match")</x:f>
        <x:v>1</x:v>
      </x:c>
      <x:c r="F619" s="7" t="n">
        <x:f>COUNTIFS('唯一词标签'!$V$2:$V$1441,A619,'唯一词标签'!$Z$2:$Z$1441,"mismatch")</x:f>
        <x:v>0</x:v>
      </x:c>
      <x:c r="G619" s="7" t="n">
        <x:f>COUNTIFS('唯一词标签'!$V$2:$V$1441,A619,'唯一词标签'!$Z$2:$Z$1441,"unknown")</x:f>
        <x:v>0</x:v>
      </x:c>
      <x:c r="H619" s="7" t="n">
        <x:f>COUNTIFS('唯一词标签'!$V$2:$V$1441,A619,'唯一词标签'!$U$2:$U$1441,"low")</x:f>
        <x:v>0</x:v>
      </x:c>
      <x:c r="I619" s="7" t="n">
        <x:f>COUNTIFS('唯一词标签'!$V$2:$V$1441,A619,'唯一词标签'!$AB$2:$AB$1441,"needs_review")</x:f>
        <x:v>0</x:v>
      </x:c>
    </x:row>
    <x:row r="620" ht="22" customHeight="1">
      <x:c r="A620" s="7" t="str">
        <x:v>sandals_women_waterproof</x:v>
      </x:c>
      <x:c r="B620" s="7" t="n">
        <x:f>COUNTIF('唯一词标签'!$V$2:$V$1441,A620)</x:f>
        <x:v>1</x:v>
      </x:c>
      <x:c r="C620" s="55" t="n">
        <x:f>B620/COUNTA('唯一词标签'!$C$2:$C$1441)</x:f>
        <x:v>0.0006944444444444445</x:v>
      </x:c>
      <x:c r="D620" s="7" t="n">
        <x:f>COUNTIFS('唯一词标签'!$V$2:$V$1441,A620,'唯一词标签'!$Z$2:$Z$1441,"match")</x:f>
        <x:v>0</x:v>
      </x:c>
      <x:c r="E620" s="7" t="n">
        <x:f>COUNTIFS('唯一词标签'!$V$2:$V$1441,A620,'唯一词标签'!$Z$2:$Z$1441,"partial_match")</x:f>
        <x:v>1</x:v>
      </x:c>
      <x:c r="F620" s="7" t="n">
        <x:f>COUNTIFS('唯一词标签'!$V$2:$V$1441,A620,'唯一词标签'!$Z$2:$Z$1441,"mismatch")</x:f>
        <x:v>0</x:v>
      </x:c>
      <x:c r="G620" s="7" t="n">
        <x:f>COUNTIFS('唯一词标签'!$V$2:$V$1441,A620,'唯一词标签'!$Z$2:$Z$1441,"unknown")</x:f>
        <x:v>0</x:v>
      </x:c>
      <x:c r="H620" s="7" t="n">
        <x:f>COUNTIFS('唯一词标签'!$V$2:$V$1441,A620,'唯一词标签'!$U$2:$U$1441,"low")</x:f>
        <x:v>0</x:v>
      </x:c>
      <x:c r="I620" s="7" t="n">
        <x:f>COUNTIFS('唯一词标签'!$V$2:$V$1441,A620,'唯一词标签'!$AB$2:$AB$1441,"needs_review")</x:f>
        <x:v>0</x:v>
      </x:c>
    </x:row>
    <x:row r="621" ht="22" customHeight="1">
      <x:c r="A621" s="7" t="str">
        <x:v>shower_flip_flops</x:v>
      </x:c>
      <x:c r="B621" s="7" t="n">
        <x:f>COUNTIF('唯一词标签'!$V$2:$V$1441,A621)</x:f>
        <x:v>2</x:v>
      </x:c>
      <x:c r="C621" s="55" t="n">
        <x:f>B621/COUNTA('唯一词标签'!$C$2:$C$1441)</x:f>
        <x:v>0.001388888888888889</x:v>
      </x:c>
      <x:c r="D621" s="7" t="n">
        <x:f>COUNTIFS('唯一词标签'!$V$2:$V$1441,A621,'唯一词标签'!$Z$2:$Z$1441,"match")</x:f>
        <x:v>0</x:v>
      </x:c>
      <x:c r="E621" s="7" t="n">
        <x:f>COUNTIFS('唯一词标签'!$V$2:$V$1441,A621,'唯一词标签'!$Z$2:$Z$1441,"partial_match")</x:f>
        <x:v>2</x:v>
      </x:c>
      <x:c r="F621" s="7" t="n">
        <x:f>COUNTIFS('唯一词标签'!$V$2:$V$1441,A621,'唯一词标签'!$Z$2:$Z$1441,"mismatch")</x:f>
        <x:v>0</x:v>
      </x:c>
      <x:c r="G621" s="7" t="n">
        <x:f>COUNTIFS('唯一词标签'!$V$2:$V$1441,A621,'唯一词标签'!$Z$2:$Z$1441,"unknown")</x:f>
        <x:v>0</x:v>
      </x:c>
      <x:c r="H621" s="7" t="n">
        <x:f>COUNTIFS('唯一词标签'!$V$2:$V$1441,A621,'唯一词标签'!$U$2:$U$1441,"low")</x:f>
        <x:v>0</x:v>
      </x:c>
      <x:c r="I621" s="7" t="n">
        <x:f>COUNTIFS('唯一词标签'!$V$2:$V$1441,A621,'唯一词标签'!$AB$2:$AB$1441,"needs_review")</x:f>
        <x:v>0</x:v>
      </x:c>
    </x:row>
    <x:row r="622" ht="22" customHeight="1">
      <x:c r="A622" s="7" t="str">
        <x:v>shower_flip_flops_women</x:v>
      </x:c>
      <x:c r="B622" s="7" t="n">
        <x:f>COUNTIF('唯一词标签'!$V$2:$V$1441,A622)</x:f>
        <x:v>3</x:v>
      </x:c>
      <x:c r="C622" s="55" t="n">
        <x:f>B622/COUNTA('唯一词标签'!$C$2:$C$1441)</x:f>
        <x:v>0.0020833333333333333</x:v>
      </x:c>
      <x:c r="D622" s="7" t="n">
        <x:f>COUNTIFS('唯一词标签'!$V$2:$V$1441,A622,'唯一词标签'!$Z$2:$Z$1441,"match")</x:f>
        <x:v>0</x:v>
      </x:c>
      <x:c r="E622" s="7" t="n">
        <x:f>COUNTIFS('唯一词标签'!$V$2:$V$1441,A622,'唯一词标签'!$Z$2:$Z$1441,"partial_match")</x:f>
        <x:v>3</x:v>
      </x:c>
      <x:c r="F622" s="7" t="n">
        <x:f>COUNTIFS('唯一词标签'!$V$2:$V$1441,A622,'唯一词标签'!$Z$2:$Z$1441,"mismatch")</x:f>
        <x:v>0</x:v>
      </x:c>
      <x:c r="G622" s="7" t="n">
        <x:f>COUNTIFS('唯一词标签'!$V$2:$V$1441,A622,'唯一词标签'!$Z$2:$Z$1441,"unknown")</x:f>
        <x:v>0</x:v>
      </x:c>
      <x:c r="H622" s="7" t="n">
        <x:f>COUNTIFS('唯一词标签'!$V$2:$V$1441,A622,'唯一词标签'!$U$2:$U$1441,"low")</x:f>
        <x:v>0</x:v>
      </x:c>
      <x:c r="I622" s="7" t="n">
        <x:f>COUNTIFS('唯一词标签'!$V$2:$V$1441,A622,'唯一词标签'!$AB$2:$AB$1441,"needs_review")</x:f>
        <x:v>0</x:v>
      </x:c>
    </x:row>
    <x:row r="623" ht="22" customHeight="1">
      <x:c r="A623" s="7" t="str">
        <x:v>silicone_flip_flop_women</x:v>
      </x:c>
      <x:c r="B623" s="7" t="n">
        <x:f>COUNTIF('唯一词标签'!$V$2:$V$1441,A623)</x:f>
        <x:v>1</x:v>
      </x:c>
      <x:c r="C623" s="55" t="n">
        <x:f>B623/COUNTA('唯一词标签'!$C$2:$C$1441)</x:f>
        <x:v>0.0006944444444444445</x:v>
      </x:c>
      <x:c r="D623" s="7" t="n">
        <x:f>COUNTIFS('唯一词标签'!$V$2:$V$1441,A623,'唯一词标签'!$Z$2:$Z$1441,"match")</x:f>
        <x:v>0</x:v>
      </x:c>
      <x:c r="E623" s="7" t="n">
        <x:f>COUNTIFS('唯一词标签'!$V$2:$V$1441,A623,'唯一词标签'!$Z$2:$Z$1441,"partial_match")</x:f>
        <x:v>1</x:v>
      </x:c>
      <x:c r="F623" s="7" t="n">
        <x:f>COUNTIFS('唯一词标签'!$V$2:$V$1441,A623,'唯一词标签'!$Z$2:$Z$1441,"mismatch")</x:f>
        <x:v>0</x:v>
      </x:c>
      <x:c r="G623" s="7" t="n">
        <x:f>COUNTIFS('唯一词标签'!$V$2:$V$1441,A623,'唯一词标签'!$Z$2:$Z$1441,"unknown")</x:f>
        <x:v>0</x:v>
      </x:c>
      <x:c r="H623" s="7" t="n">
        <x:f>COUNTIFS('唯一词标签'!$V$2:$V$1441,A623,'唯一词标签'!$U$2:$U$1441,"low")</x:f>
        <x:v>0</x:v>
      </x:c>
      <x:c r="I623" s="7" t="n">
        <x:f>COUNTIFS('唯一词标签'!$V$2:$V$1441,A623,'唯一词标签'!$AB$2:$AB$1441,"needs_review")</x:f>
        <x:v>1</x:v>
      </x:c>
    </x:row>
    <x:row r="624" ht="22" customHeight="1">
      <x:c r="A624" s="7" t="str">
        <x:v>silicone_womens_flip_flops</x:v>
      </x:c>
      <x:c r="B624" s="7" t="n">
        <x:f>COUNTIF('唯一词标签'!$V$2:$V$1441,A624)</x:f>
        <x:v>1</x:v>
      </x:c>
      <x:c r="C624" s="55" t="n">
        <x:f>B624/COUNTA('唯一词标签'!$C$2:$C$1441)</x:f>
        <x:v>0.0006944444444444445</x:v>
      </x:c>
      <x:c r="D624" s="7" t="n">
        <x:f>COUNTIFS('唯一词标签'!$V$2:$V$1441,A624,'唯一词标签'!$Z$2:$Z$1441,"match")</x:f>
        <x:v>0</x:v>
      </x:c>
      <x:c r="E624" s="7" t="n">
        <x:f>COUNTIFS('唯一词标签'!$V$2:$V$1441,A624,'唯一词标签'!$Z$2:$Z$1441,"partial_match")</x:f>
        <x:v>0</x:v>
      </x:c>
      <x:c r="F624" s="7" t="n">
        <x:f>COUNTIFS('唯一词标签'!$V$2:$V$1441,A624,'唯一词标签'!$Z$2:$Z$1441,"mismatch")</x:f>
        <x:v>1</x:v>
      </x:c>
      <x:c r="G624" s="7" t="n">
        <x:f>COUNTIFS('唯一词标签'!$V$2:$V$1441,A624,'唯一词标签'!$Z$2:$Z$1441,"unknown")</x:f>
        <x:v>0</x:v>
      </x:c>
      <x:c r="H624" s="7" t="n">
        <x:f>COUNTIFS('唯一词标签'!$V$2:$V$1441,A624,'唯一词标签'!$U$2:$U$1441,"low")</x:f>
        <x:v>0</x:v>
      </x:c>
      <x:c r="I624" s="7" t="n">
        <x:f>COUNTIFS('唯一词标签'!$V$2:$V$1441,A624,'唯一词标签'!$AB$2:$AB$1441,"needs_review")</x:f>
        <x:v>1</x:v>
      </x:c>
    </x:row>
    <x:row r="625" ht="22" customHeight="1">
      <x:c r="A625" s="7" t="str">
        <x:v>silver_flip_flops</x:v>
      </x:c>
      <x:c r="B625" s="7" t="n">
        <x:f>COUNTIF('唯一词标签'!$V$2:$V$1441,A625)</x:f>
        <x:v>1</x:v>
      </x:c>
      <x:c r="C625" s="55" t="n">
        <x:f>B625/COUNTA('唯一词标签'!$C$2:$C$1441)</x:f>
        <x:v>0.0006944444444444445</x:v>
      </x:c>
      <x:c r="D625" s="7" t="n">
        <x:f>COUNTIFS('唯一词标签'!$V$2:$V$1441,A625,'唯一词标签'!$Z$2:$Z$1441,"match")</x:f>
        <x:v>0</x:v>
      </x:c>
      <x:c r="E625" s="7" t="n">
        <x:f>COUNTIFS('唯一词标签'!$V$2:$V$1441,A625,'唯一词标签'!$Z$2:$Z$1441,"partial_match")</x:f>
        <x:v>1</x:v>
      </x:c>
      <x:c r="F625" s="7" t="n">
        <x:f>COUNTIFS('唯一词标签'!$V$2:$V$1441,A625,'唯一词标签'!$Z$2:$Z$1441,"mismatch")</x:f>
        <x:v>0</x:v>
      </x:c>
      <x:c r="G625" s="7" t="n">
        <x:f>COUNTIFS('唯一词标签'!$V$2:$V$1441,A625,'唯一词标签'!$Z$2:$Z$1441,"unknown")</x:f>
        <x:v>0</x:v>
      </x:c>
      <x:c r="H625" s="7" t="n">
        <x:f>COUNTIFS('唯一词标签'!$V$2:$V$1441,A625,'唯一词标签'!$U$2:$U$1441,"low")</x:f>
        <x:v>0</x:v>
      </x:c>
      <x:c r="I625" s="7" t="n">
        <x:f>COUNTIFS('唯一词标签'!$V$2:$V$1441,A625,'唯一词标签'!$AB$2:$AB$1441,"needs_review")</x:f>
        <x:v>0</x:v>
      </x:c>
    </x:row>
    <x:row r="626" ht="22" customHeight="1">
      <x:c r="A626" s="7" t="str">
        <x:v>silver_metallic_womens_flip_flops</x:v>
      </x:c>
      <x:c r="B626" s="7" t="n">
        <x:f>COUNTIF('唯一词标签'!$V$2:$V$1441,A626)</x:f>
        <x:v>1</x:v>
      </x:c>
      <x:c r="C626" s="55" t="n">
        <x:f>B626/COUNTA('唯一词标签'!$C$2:$C$1441)</x:f>
        <x:v>0.0006944444444444445</x:v>
      </x:c>
      <x:c r="D626" s="7" t="n">
        <x:f>COUNTIFS('唯一词标签'!$V$2:$V$1441,A626,'唯一词标签'!$Z$2:$Z$1441,"match")</x:f>
        <x:v>0</x:v>
      </x:c>
      <x:c r="E626" s="7" t="n">
        <x:f>COUNTIFS('唯一词标签'!$V$2:$V$1441,A626,'唯一词标签'!$Z$2:$Z$1441,"partial_match")</x:f>
        <x:v>1</x:v>
      </x:c>
      <x:c r="F626" s="7" t="n">
        <x:f>COUNTIFS('唯一词标签'!$V$2:$V$1441,A626,'唯一词标签'!$Z$2:$Z$1441,"mismatch")</x:f>
        <x:v>0</x:v>
      </x:c>
      <x:c r="G626" s="7" t="n">
        <x:f>COUNTIFS('唯一词标签'!$V$2:$V$1441,A626,'唯一词标签'!$Z$2:$Z$1441,"unknown")</x:f>
        <x:v>0</x:v>
      </x:c>
      <x:c r="H626" s="7" t="n">
        <x:f>COUNTIFS('唯一词标签'!$V$2:$V$1441,A626,'唯一词标签'!$U$2:$U$1441,"low")</x:f>
        <x:v>0</x:v>
      </x:c>
      <x:c r="I626" s="7" t="n">
        <x:f>COUNTIFS('唯一词标签'!$V$2:$V$1441,A626,'唯一词标签'!$AB$2:$AB$1441,"needs_review")</x:f>
        <x:v>0</x:v>
      </x:c>
    </x:row>
    <x:row r="627" ht="22" customHeight="1">
      <x:c r="A627" s="7" t="str">
        <x:v>size_10_flip_flops</x:v>
      </x:c>
      <x:c r="B627" s="7" t="n">
        <x:f>COUNTIF('唯一词标签'!$V$2:$V$1441,A627)</x:f>
        <x:v>1</x:v>
      </x:c>
      <x:c r="C627" s="55" t="n">
        <x:f>B627/COUNTA('唯一词标签'!$C$2:$C$1441)</x:f>
        <x:v>0.0006944444444444445</x:v>
      </x:c>
      <x:c r="D627" s="7" t="n">
        <x:f>COUNTIFS('唯一词标签'!$V$2:$V$1441,A627,'唯一词标签'!$Z$2:$Z$1441,"match")</x:f>
        <x:v>1</x:v>
      </x:c>
      <x:c r="E627" s="7" t="n">
        <x:f>COUNTIFS('唯一词标签'!$V$2:$V$1441,A627,'唯一词标签'!$Z$2:$Z$1441,"partial_match")</x:f>
        <x:v>0</x:v>
      </x:c>
      <x:c r="F627" s="7" t="n">
        <x:f>COUNTIFS('唯一词标签'!$V$2:$V$1441,A627,'唯一词标签'!$Z$2:$Z$1441,"mismatch")</x:f>
        <x:v>0</x:v>
      </x:c>
      <x:c r="G627" s="7" t="n">
        <x:f>COUNTIFS('唯一词标签'!$V$2:$V$1441,A627,'唯一词标签'!$Z$2:$Z$1441,"unknown")</x:f>
        <x:v>0</x:v>
      </x:c>
      <x:c r="H627" s="7" t="n">
        <x:f>COUNTIFS('唯一词标签'!$V$2:$V$1441,A627,'唯一词标签'!$U$2:$U$1441,"low")</x:f>
        <x:v>0</x:v>
      </x:c>
      <x:c r="I627" s="7" t="n">
        <x:f>COUNTIFS('唯一词标签'!$V$2:$V$1441,A627,'唯一词标签'!$AB$2:$AB$1441,"needs_review")</x:f>
        <x:v>0</x:v>
      </x:c>
    </x:row>
    <x:row r="628" ht="22" customHeight="1">
      <x:c r="A628" s="7" t="str">
        <x:v>size_11_sandals_women</x:v>
      </x:c>
      <x:c r="B628" s="7" t="n">
        <x:f>COUNTIF('唯一词标签'!$V$2:$V$1441,A628)</x:f>
        <x:v>1</x:v>
      </x:c>
      <x:c r="C628" s="55" t="n">
        <x:f>B628/COUNTA('唯一词标签'!$C$2:$C$1441)</x:f>
        <x:v>0.0006944444444444445</x:v>
      </x:c>
      <x:c r="D628" s="7" t="n">
        <x:f>COUNTIFS('唯一词标签'!$V$2:$V$1441,A628,'唯一词标签'!$Z$2:$Z$1441,"match")</x:f>
        <x:v>1</x:v>
      </x:c>
      <x:c r="E628" s="7" t="n">
        <x:f>COUNTIFS('唯一词标签'!$V$2:$V$1441,A628,'唯一词标签'!$Z$2:$Z$1441,"partial_match")</x:f>
        <x:v>0</x:v>
      </x:c>
      <x:c r="F628" s="7" t="n">
        <x:f>COUNTIFS('唯一词标签'!$V$2:$V$1441,A628,'唯一词标签'!$Z$2:$Z$1441,"mismatch")</x:f>
        <x:v>0</x:v>
      </x:c>
      <x:c r="G628" s="7" t="n">
        <x:f>COUNTIFS('唯一词标签'!$V$2:$V$1441,A628,'唯一词标签'!$Z$2:$Z$1441,"unknown")</x:f>
        <x:v>0</x:v>
      </x:c>
      <x:c r="H628" s="7" t="n">
        <x:f>COUNTIFS('唯一词标签'!$V$2:$V$1441,A628,'唯一词标签'!$U$2:$U$1441,"low")</x:f>
        <x:v>0</x:v>
      </x:c>
      <x:c r="I628" s="7" t="n">
        <x:f>COUNTIFS('唯一词标签'!$V$2:$V$1441,A628,'唯一词标签'!$AB$2:$AB$1441,"needs_review")</x:f>
        <x:v>0</x:v>
      </x:c>
    </x:row>
    <x:row r="629" ht="22" customHeight="1">
      <x:c r="A629" s="7" t="str">
        <x:v>size_11_women_flip_flop</x:v>
      </x:c>
      <x:c r="B629" s="7" t="n">
        <x:f>COUNTIF('唯一词标签'!$V$2:$V$1441,A629)</x:f>
        <x:v>1</x:v>
      </x:c>
      <x:c r="C629" s="55" t="n">
        <x:f>B629/COUNTA('唯一词标签'!$C$2:$C$1441)</x:f>
        <x:v>0.0006944444444444445</x:v>
      </x:c>
      <x:c r="D629" s="7" t="n">
        <x:f>COUNTIFS('唯一词标签'!$V$2:$V$1441,A629,'唯一词标签'!$Z$2:$Z$1441,"match")</x:f>
        <x:v>1</x:v>
      </x:c>
      <x:c r="E629" s="7" t="n">
        <x:f>COUNTIFS('唯一词标签'!$V$2:$V$1441,A629,'唯一词标签'!$Z$2:$Z$1441,"partial_match")</x:f>
        <x:v>0</x:v>
      </x:c>
      <x:c r="F629" s="7" t="n">
        <x:f>COUNTIFS('唯一词标签'!$V$2:$V$1441,A629,'唯一词标签'!$Z$2:$Z$1441,"mismatch")</x:f>
        <x:v>0</x:v>
      </x:c>
      <x:c r="G629" s="7" t="n">
        <x:f>COUNTIFS('唯一词标签'!$V$2:$V$1441,A629,'唯一词标签'!$Z$2:$Z$1441,"unknown")</x:f>
        <x:v>0</x:v>
      </x:c>
      <x:c r="H629" s="7" t="n">
        <x:f>COUNTIFS('唯一词标签'!$V$2:$V$1441,A629,'唯一词标签'!$U$2:$U$1441,"low")</x:f>
        <x:v>0</x:v>
      </x:c>
      <x:c r="I629" s="7" t="n">
        <x:f>COUNTIFS('唯一词标签'!$V$2:$V$1441,A629,'唯一词标签'!$AB$2:$AB$1441,"needs_review")</x:f>
        <x:v>0</x:v>
      </x:c>
    </x:row>
    <x:row r="630" ht="22" customHeight="1">
      <x:c r="A630" s="7" t="str">
        <x:v>size_6_womens_flip_flops</x:v>
      </x:c>
      <x:c r="B630" s="7" t="n">
        <x:f>COUNTIF('唯一词标签'!$V$2:$V$1441,A630)</x:f>
        <x:v>1</x:v>
      </x:c>
      <x:c r="C630" s="55" t="n">
        <x:f>B630/COUNTA('唯一词标签'!$C$2:$C$1441)</x:f>
        <x:v>0.0006944444444444445</x:v>
      </x:c>
      <x:c r="D630" s="7" t="n">
        <x:f>COUNTIFS('唯一词标签'!$V$2:$V$1441,A630,'唯一词标签'!$Z$2:$Z$1441,"match")</x:f>
        <x:v>1</x:v>
      </x:c>
      <x:c r="E630" s="7" t="n">
        <x:f>COUNTIFS('唯一词标签'!$V$2:$V$1441,A630,'唯一词标签'!$Z$2:$Z$1441,"partial_match")</x:f>
        <x:v>0</x:v>
      </x:c>
      <x:c r="F630" s="7" t="n">
        <x:f>COUNTIFS('唯一词标签'!$V$2:$V$1441,A630,'唯一词标签'!$Z$2:$Z$1441,"mismatch")</x:f>
        <x:v>0</x:v>
      </x:c>
      <x:c r="G630" s="7" t="n">
        <x:f>COUNTIFS('唯一词标签'!$V$2:$V$1441,A630,'唯一词标签'!$Z$2:$Z$1441,"unknown")</x:f>
        <x:v>0</x:v>
      </x:c>
      <x:c r="H630" s="7" t="n">
        <x:f>COUNTIFS('唯一词标签'!$V$2:$V$1441,A630,'唯一词标签'!$U$2:$U$1441,"low")</x:f>
        <x:v>0</x:v>
      </x:c>
      <x:c r="I630" s="7" t="n">
        <x:f>COUNTIFS('唯一词标签'!$V$2:$V$1441,A630,'唯一词标签'!$AB$2:$AB$1441,"needs_review")</x:f>
        <x:v>0</x:v>
      </x:c>
    </x:row>
    <x:row r="631" ht="22" customHeight="1">
      <x:c r="A631" s="7" t="str">
        <x:v>sized_flip_flops_11</x:v>
      </x:c>
      <x:c r="B631" s="7" t="n">
        <x:f>COUNTIF('唯一词标签'!$V$2:$V$1441,A631)</x:f>
        <x:v>1</x:v>
      </x:c>
      <x:c r="C631" s="55" t="n">
        <x:f>B631/COUNTA('唯一词标签'!$C$2:$C$1441)</x:f>
        <x:v>0.0006944444444444445</x:v>
      </x:c>
      <x:c r="D631" s="7" t="n">
        <x:f>COUNTIFS('唯一词标签'!$V$2:$V$1441,A631,'唯一词标签'!$Z$2:$Z$1441,"match")</x:f>
        <x:v>1</x:v>
      </x:c>
      <x:c r="E631" s="7" t="n">
        <x:f>COUNTIFS('唯一词标签'!$V$2:$V$1441,A631,'唯一词标签'!$Z$2:$Z$1441,"partial_match")</x:f>
        <x:v>0</x:v>
      </x:c>
      <x:c r="F631" s="7" t="n">
        <x:f>COUNTIFS('唯一词标签'!$V$2:$V$1441,A631,'唯一词标签'!$Z$2:$Z$1441,"mismatch")</x:f>
        <x:v>0</x:v>
      </x:c>
      <x:c r="G631" s="7" t="n">
        <x:f>COUNTIFS('唯一词标签'!$V$2:$V$1441,A631,'唯一词标签'!$Z$2:$Z$1441,"unknown")</x:f>
        <x:v>0</x:v>
      </x:c>
      <x:c r="H631" s="7" t="n">
        <x:f>COUNTIFS('唯一词标签'!$V$2:$V$1441,A631,'唯一词标签'!$U$2:$U$1441,"low")</x:f>
        <x:v>0</x:v>
      </x:c>
      <x:c r="I631" s="7" t="n">
        <x:f>COUNTIFS('唯一词标签'!$V$2:$V$1441,A631,'唯一词标签'!$AB$2:$AB$1441,"needs_review")</x:f>
        <x:v>0</x:v>
      </x:c>
    </x:row>
    <x:row r="632" ht="22" customHeight="1">
      <x:c r="A632" s="7" t="str">
        <x:v>skitoe_flip_flops</x:v>
      </x:c>
      <x:c r="B632" s="7" t="n">
        <x:f>COUNTIF('唯一词标签'!$V$2:$V$1441,A632)</x:f>
        <x:v>1</x:v>
      </x:c>
      <x:c r="C632" s="55" t="n">
        <x:f>B632/COUNTA('唯一词标签'!$C$2:$C$1441)</x:f>
        <x:v>0.0006944444444444445</x:v>
      </x:c>
      <x:c r="D632" s="7" t="n">
        <x:f>COUNTIFS('唯一词标签'!$V$2:$V$1441,A632,'唯一词标签'!$Z$2:$Z$1441,"match")</x:f>
        <x:v>0</x:v>
      </x:c>
      <x:c r="E632" s="7" t="n">
        <x:f>COUNTIFS('唯一词标签'!$V$2:$V$1441,A632,'唯一词标签'!$Z$2:$Z$1441,"partial_match")</x:f>
        <x:v>0</x:v>
      </x:c>
      <x:c r="F632" s="7" t="n">
        <x:f>COUNTIFS('唯一词标签'!$V$2:$V$1441,A632,'唯一词标签'!$Z$2:$Z$1441,"mismatch")</x:f>
        <x:v>1</x:v>
      </x:c>
      <x:c r="G632" s="7" t="n">
        <x:f>COUNTIFS('唯一词标签'!$V$2:$V$1441,A632,'唯一词标签'!$Z$2:$Z$1441,"unknown")</x:f>
        <x:v>0</x:v>
      </x:c>
      <x:c r="H632" s="7" t="n">
        <x:f>COUNTIFS('唯一词标签'!$V$2:$V$1441,A632,'唯一词标签'!$U$2:$U$1441,"low")</x:f>
        <x:v>0</x:v>
      </x:c>
      <x:c r="I632" s="7" t="n">
        <x:f>COUNTIFS('唯一词标签'!$V$2:$V$1441,A632,'唯一词标签'!$AB$2:$AB$1441,"needs_review")</x:f>
        <x:v>0</x:v>
      </x:c>
    </x:row>
    <x:row r="633" ht="22" customHeight="1">
      <x:c r="A633" s="7" t="str">
        <x:v>slim_arch_support_flip_flops</x:v>
      </x:c>
      <x:c r="B633" s="7" t="n">
        <x:f>COUNTIF('唯一词标签'!$V$2:$V$1441,A633)</x:f>
        <x:v>1</x:v>
      </x:c>
      <x:c r="C633" s="55" t="n">
        <x:f>B633/COUNTA('唯一词标签'!$C$2:$C$1441)</x:f>
        <x:v>0.0006944444444444445</x:v>
      </x:c>
      <x:c r="D633" s="7" t="n">
        <x:f>COUNTIFS('唯一词标签'!$V$2:$V$1441,A633,'唯一词标签'!$Z$2:$Z$1441,"match")</x:f>
        <x:v>0</x:v>
      </x:c>
      <x:c r="E633" s="7" t="n">
        <x:f>COUNTIFS('唯一词标签'!$V$2:$V$1441,A633,'唯一词标签'!$Z$2:$Z$1441,"partial_match")</x:f>
        <x:v>1</x:v>
      </x:c>
      <x:c r="F633" s="7" t="n">
        <x:f>COUNTIFS('唯一词标签'!$V$2:$V$1441,A633,'唯一词标签'!$Z$2:$Z$1441,"mismatch")</x:f>
        <x:v>0</x:v>
      </x:c>
      <x:c r="G633" s="7" t="n">
        <x:f>COUNTIFS('唯一词标签'!$V$2:$V$1441,A633,'唯一词标签'!$Z$2:$Z$1441,"unknown")</x:f>
        <x:v>0</x:v>
      </x:c>
      <x:c r="H633" s="7" t="n">
        <x:f>COUNTIFS('唯一词标签'!$V$2:$V$1441,A633,'唯一词标签'!$U$2:$U$1441,"low")</x:f>
        <x:v>0</x:v>
      </x:c>
      <x:c r="I633" s="7" t="n">
        <x:f>COUNTIFS('唯一词标签'!$V$2:$V$1441,A633,'唯一词标签'!$AB$2:$AB$1441,"needs_review")</x:f>
        <x:v>0</x:v>
      </x:c>
    </x:row>
    <x:row r="634" ht="22" customHeight="1">
      <x:c r="A634" s="7" t="str">
        <x:v>slim_rubber_womens_flip_flops</x:v>
      </x:c>
      <x:c r="B634" s="7" t="n">
        <x:f>COUNTIF('唯一词标签'!$V$2:$V$1441,A634)</x:f>
        <x:v>1</x:v>
      </x:c>
      <x:c r="C634" s="55" t="n">
        <x:f>B634/COUNTA('唯一词标签'!$C$2:$C$1441)</x:f>
        <x:v>0.0006944444444444445</x:v>
      </x:c>
      <x:c r="D634" s="7" t="n">
        <x:f>COUNTIFS('唯一词标签'!$V$2:$V$1441,A634,'唯一词标签'!$Z$2:$Z$1441,"match")</x:f>
        <x:v>0</x:v>
      </x:c>
      <x:c r="E634" s="7" t="n">
        <x:f>COUNTIFS('唯一词标签'!$V$2:$V$1441,A634,'唯一词标签'!$Z$2:$Z$1441,"partial_match")</x:f>
        <x:v>1</x:v>
      </x:c>
      <x:c r="F634" s="7" t="n">
        <x:f>COUNTIFS('唯一词标签'!$V$2:$V$1441,A634,'唯一词标签'!$Z$2:$Z$1441,"mismatch")</x:f>
        <x:v>0</x:v>
      </x:c>
      <x:c r="G634" s="7" t="n">
        <x:f>COUNTIFS('唯一词标签'!$V$2:$V$1441,A634,'唯一词标签'!$Z$2:$Z$1441,"unknown")</x:f>
        <x:v>0</x:v>
      </x:c>
      <x:c r="H634" s="7" t="n">
        <x:f>COUNTIFS('唯一词标签'!$V$2:$V$1441,A634,'唯一词标签'!$U$2:$U$1441,"low")</x:f>
        <x:v>0</x:v>
      </x:c>
      <x:c r="I634" s="7" t="n">
        <x:f>COUNTIFS('唯一词标签'!$V$2:$V$1441,A634,'唯一词标签'!$AB$2:$AB$1441,"needs_review")</x:f>
        <x:v>1</x:v>
      </x:c>
    </x:row>
    <x:row r="635" ht="22" customHeight="1">
      <x:c r="A635" s="7" t="str">
        <x:v>slip_resistant_flip_flops</x:v>
      </x:c>
      <x:c r="B635" s="7" t="n">
        <x:f>COUNTIF('唯一词标签'!$V$2:$V$1441,A635)</x:f>
        <x:v>1</x:v>
      </x:c>
      <x:c r="C635" s="55" t="n">
        <x:f>B635/COUNTA('唯一词标签'!$C$2:$C$1441)</x:f>
        <x:v>0.0006944444444444445</x:v>
      </x:c>
      <x:c r="D635" s="7" t="n">
        <x:f>COUNTIFS('唯一词标签'!$V$2:$V$1441,A635,'唯一词标签'!$Z$2:$Z$1441,"match")</x:f>
        <x:v>1</x:v>
      </x:c>
      <x:c r="E635" s="7" t="n">
        <x:f>COUNTIFS('唯一词标签'!$V$2:$V$1441,A635,'唯一词标签'!$Z$2:$Z$1441,"partial_match")</x:f>
        <x:v>0</x:v>
      </x:c>
      <x:c r="F635" s="7" t="n">
        <x:f>COUNTIFS('唯一词标签'!$V$2:$V$1441,A635,'唯一词标签'!$Z$2:$Z$1441,"mismatch")</x:f>
        <x:v>0</x:v>
      </x:c>
      <x:c r="G635" s="7" t="n">
        <x:f>COUNTIFS('唯一词标签'!$V$2:$V$1441,A635,'唯一词标签'!$Z$2:$Z$1441,"unknown")</x:f>
        <x:v>0</x:v>
      </x:c>
      <x:c r="H635" s="7" t="n">
        <x:f>COUNTIFS('唯一词标签'!$V$2:$V$1441,A635,'唯一词标签'!$U$2:$U$1441,"low")</x:f>
        <x:v>0</x:v>
      </x:c>
      <x:c r="I635" s="7" t="n">
        <x:f>COUNTIFS('唯一词标签'!$V$2:$V$1441,A635,'唯一词标签'!$AB$2:$AB$1441,"needs_review")</x:f>
        <x:v>0</x:v>
      </x:c>
    </x:row>
    <x:row r="636" ht="22" customHeight="1">
      <x:c r="A636" s="7" t="str">
        <x:v>slippers_generic</x:v>
      </x:c>
      <x:c r="B636" s="7" t="n">
        <x:f>COUNTIF('唯一词标签'!$V$2:$V$1441,A636)</x:f>
        <x:v>1</x:v>
      </x:c>
      <x:c r="C636" s="55" t="n">
        <x:f>B636/COUNTA('唯一词标签'!$C$2:$C$1441)</x:f>
        <x:v>0.0006944444444444445</x:v>
      </x:c>
      <x:c r="D636" s="7" t="n">
        <x:f>COUNTIFS('唯一词标签'!$V$2:$V$1441,A636,'唯一词标签'!$Z$2:$Z$1441,"match")</x:f>
        <x:v>0</x:v>
      </x:c>
      <x:c r="E636" s="7" t="n">
        <x:f>COUNTIFS('唯一词标签'!$V$2:$V$1441,A636,'唯一词标签'!$Z$2:$Z$1441,"partial_match")</x:f>
        <x:v>1</x:v>
      </x:c>
      <x:c r="F636" s="7" t="n">
        <x:f>COUNTIFS('唯一词标签'!$V$2:$V$1441,A636,'唯一词标签'!$Z$2:$Z$1441,"mismatch")</x:f>
        <x:v>0</x:v>
      </x:c>
      <x:c r="G636" s="7" t="n">
        <x:f>COUNTIFS('唯一词标签'!$V$2:$V$1441,A636,'唯一词标签'!$Z$2:$Z$1441,"unknown")</x:f>
        <x:v>0</x:v>
      </x:c>
      <x:c r="H636" s="7" t="n">
        <x:f>COUNTIFS('唯一词标签'!$V$2:$V$1441,A636,'唯一词标签'!$U$2:$U$1441,"low")</x:f>
        <x:v>1</x:v>
      </x:c>
      <x:c r="I636" s="7" t="n">
        <x:f>COUNTIFS('唯一词标签'!$V$2:$V$1441,A636,'唯一词标签'!$AB$2:$AB$1441,"needs_review")</x:f>
        <x:v>0</x:v>
      </x:c>
    </x:row>
    <x:row r="637" ht="22" customHeight="1">
      <x:c r="A637" s="7" t="str">
        <x:v>smooth_bottom_flip_flops</x:v>
      </x:c>
      <x:c r="B637" s="7" t="n">
        <x:f>COUNTIF('唯一词标签'!$V$2:$V$1441,A637)</x:f>
        <x:v>1</x:v>
      </x:c>
      <x:c r="C637" s="55" t="n">
        <x:f>B637/COUNTA('唯一词标签'!$C$2:$C$1441)</x:f>
        <x:v>0.0006944444444444445</x:v>
      </x:c>
      <x:c r="D637" s="7" t="n">
        <x:f>COUNTIFS('唯一词标签'!$V$2:$V$1441,A637,'唯一词标签'!$Z$2:$Z$1441,"match")</x:f>
        <x:v>0</x:v>
      </x:c>
      <x:c r="E637" s="7" t="n">
        <x:f>COUNTIFS('唯一词标签'!$V$2:$V$1441,A637,'唯一词标签'!$Z$2:$Z$1441,"partial_match")</x:f>
        <x:v>0</x:v>
      </x:c>
      <x:c r="F637" s="7" t="n">
        <x:f>COUNTIFS('唯一词标签'!$V$2:$V$1441,A637,'唯一词标签'!$Z$2:$Z$1441,"mismatch")</x:f>
        <x:v>1</x:v>
      </x:c>
      <x:c r="G637" s="7" t="n">
        <x:f>COUNTIFS('唯一词标签'!$V$2:$V$1441,A637,'唯一词标签'!$Z$2:$Z$1441,"unknown")</x:f>
        <x:v>0</x:v>
      </x:c>
      <x:c r="H637" s="7" t="n">
        <x:f>COUNTIFS('唯一词标签'!$V$2:$V$1441,A637,'唯一词标签'!$U$2:$U$1441,"low")</x:f>
        <x:v>0</x:v>
      </x:c>
      <x:c r="I637" s="7" t="n">
        <x:f>COUNTIFS('唯一词标签'!$V$2:$V$1441,A637,'唯一词标签'!$AB$2:$AB$1441,"needs_review")</x:f>
        <x:v>0</x:v>
      </x:c>
    </x:row>
    <x:row r="638" ht="22" customHeight="1">
      <x:c r="A638" s="7" t="str">
        <x:v>soft_cushion_flip_flops</x:v>
      </x:c>
      <x:c r="B638" s="7" t="n">
        <x:f>COUNTIF('唯一词标签'!$V$2:$V$1441,A638)</x:f>
        <x:v>1</x:v>
      </x:c>
      <x:c r="C638" s="55" t="n">
        <x:f>B638/COUNTA('唯一词标签'!$C$2:$C$1441)</x:f>
        <x:v>0.0006944444444444445</x:v>
      </x:c>
      <x:c r="D638" s="7" t="n">
        <x:f>COUNTIFS('唯一词标签'!$V$2:$V$1441,A638,'唯一词标签'!$Z$2:$Z$1441,"match")</x:f>
        <x:v>1</x:v>
      </x:c>
      <x:c r="E638" s="7" t="n">
        <x:f>COUNTIFS('唯一词标签'!$V$2:$V$1441,A638,'唯一词标签'!$Z$2:$Z$1441,"partial_match")</x:f>
        <x:v>0</x:v>
      </x:c>
      <x:c r="F638" s="7" t="n">
        <x:f>COUNTIFS('唯一词标签'!$V$2:$V$1441,A638,'唯一词标签'!$Z$2:$Z$1441,"mismatch")</x:f>
        <x:v>0</x:v>
      </x:c>
      <x:c r="G638" s="7" t="n">
        <x:f>COUNTIFS('唯一词标签'!$V$2:$V$1441,A638,'唯一词标签'!$Z$2:$Z$1441,"unknown")</x:f>
        <x:v>0</x:v>
      </x:c>
      <x:c r="H638" s="7" t="n">
        <x:f>COUNTIFS('唯一词标签'!$V$2:$V$1441,A638,'唯一词标签'!$U$2:$U$1441,"low")</x:f>
        <x:v>0</x:v>
      </x:c>
      <x:c r="I638" s="7" t="n">
        <x:f>COUNTIFS('唯一词标签'!$V$2:$V$1441,A638,'唯一词标签'!$AB$2:$AB$1441,"needs_review")</x:f>
        <x:v>0</x:v>
      </x:c>
    </x:row>
    <x:row r="639" ht="22" customHeight="1">
      <x:c r="A639" s="7" t="str">
        <x:v>soft_flip_flops_women_size</x:v>
      </x:c>
      <x:c r="B639" s="7" t="n">
        <x:f>COUNTIF('唯一词标签'!$V$2:$V$1441,A639)</x:f>
        <x:v>1</x:v>
      </x:c>
      <x:c r="C639" s="55" t="n">
        <x:f>B639/COUNTA('唯一词标签'!$C$2:$C$1441)</x:f>
        <x:v>0.0006944444444444445</x:v>
      </x:c>
      <x:c r="D639" s="7" t="n">
        <x:f>COUNTIFS('唯一词标签'!$V$2:$V$1441,A639,'唯一词标签'!$Z$2:$Z$1441,"match")</x:f>
        <x:v>0</x:v>
      </x:c>
      <x:c r="E639" s="7" t="n">
        <x:f>COUNTIFS('唯一词标签'!$V$2:$V$1441,A639,'唯一词标签'!$Z$2:$Z$1441,"partial_match")</x:f>
        <x:v>1</x:v>
      </x:c>
      <x:c r="F639" s="7" t="n">
        <x:f>COUNTIFS('唯一词标签'!$V$2:$V$1441,A639,'唯一词标签'!$Z$2:$Z$1441,"mismatch")</x:f>
        <x:v>0</x:v>
      </x:c>
      <x:c r="G639" s="7" t="n">
        <x:f>COUNTIFS('唯一词标签'!$V$2:$V$1441,A639,'唯一词标签'!$Z$2:$Z$1441,"unknown")</x:f>
        <x:v>0</x:v>
      </x:c>
      <x:c r="H639" s="7" t="n">
        <x:f>COUNTIFS('唯一词标签'!$V$2:$V$1441,A639,'唯一词标签'!$U$2:$U$1441,"low")</x:f>
        <x:v>0</x:v>
      </x:c>
      <x:c r="I639" s="7" t="n">
        <x:f>COUNTIFS('唯一词标签'!$V$2:$V$1441,A639,'唯一词标签'!$AB$2:$AB$1441,"needs_review")</x:f>
        <x:v>0</x:v>
      </x:c>
    </x:row>
    <x:row r="640" ht="22" customHeight="1">
      <x:c r="A640" s="7" t="str">
        <x:v>soft_home_flip_flops</x:v>
      </x:c>
      <x:c r="B640" s="7" t="n">
        <x:f>COUNTIF('唯一词标签'!$V$2:$V$1441,A640)</x:f>
        <x:v>1</x:v>
      </x:c>
      <x:c r="C640" s="55" t="n">
        <x:f>B640/COUNTA('唯一词标签'!$C$2:$C$1441)</x:f>
        <x:v>0.0006944444444444445</x:v>
      </x:c>
      <x:c r="D640" s="7" t="n">
        <x:f>COUNTIFS('唯一词标签'!$V$2:$V$1441,A640,'唯一词标签'!$Z$2:$Z$1441,"match")</x:f>
        <x:v>0</x:v>
      </x:c>
      <x:c r="E640" s="7" t="n">
        <x:f>COUNTIFS('唯一词标签'!$V$2:$V$1441,A640,'唯一词标签'!$Z$2:$Z$1441,"partial_match")</x:f>
        <x:v>1</x:v>
      </x:c>
      <x:c r="F640" s="7" t="n">
        <x:f>COUNTIFS('唯一词标签'!$V$2:$V$1441,A640,'唯一词标签'!$Z$2:$Z$1441,"mismatch")</x:f>
        <x:v>0</x:v>
      </x:c>
      <x:c r="G640" s="7" t="n">
        <x:f>COUNTIFS('唯一词标签'!$V$2:$V$1441,A640,'唯一词标签'!$Z$2:$Z$1441,"unknown")</x:f>
        <x:v>0</x:v>
      </x:c>
      <x:c r="H640" s="7" t="n">
        <x:f>COUNTIFS('唯一词标签'!$V$2:$V$1441,A640,'唯一词标签'!$U$2:$U$1441,"low")</x:f>
        <x:v>0</x:v>
      </x:c>
      <x:c r="I640" s="7" t="n">
        <x:f>COUNTIFS('唯一词标签'!$V$2:$V$1441,A640,'唯一词标签'!$AB$2:$AB$1441,"needs_review")</x:f>
        <x:v>0</x:v>
      </x:c>
    </x:row>
    <x:row r="641" ht="22" customHeight="1">
      <x:c r="A641" s="7" t="str">
        <x:v>soft_rubber_flip_flops</x:v>
      </x:c>
      <x:c r="B641" s="7" t="n">
        <x:f>COUNTIF('唯一词标签'!$V$2:$V$1441,A641)</x:f>
        <x:v>1</x:v>
      </x:c>
      <x:c r="C641" s="55" t="n">
        <x:f>B641/COUNTA('唯一词标签'!$C$2:$C$1441)</x:f>
        <x:v>0.0006944444444444445</x:v>
      </x:c>
      <x:c r="D641" s="7" t="n">
        <x:f>COUNTIFS('唯一词标签'!$V$2:$V$1441,A641,'唯一词标签'!$Z$2:$Z$1441,"match")</x:f>
        <x:v>0</x:v>
      </x:c>
      <x:c r="E641" s="7" t="n">
        <x:f>COUNTIFS('唯一词标签'!$V$2:$V$1441,A641,'唯一词标签'!$Z$2:$Z$1441,"partial_match")</x:f>
        <x:v>1</x:v>
      </x:c>
      <x:c r="F641" s="7" t="n">
        <x:f>COUNTIFS('唯一词标签'!$V$2:$V$1441,A641,'唯一词标签'!$Z$2:$Z$1441,"mismatch")</x:f>
        <x:v>0</x:v>
      </x:c>
      <x:c r="G641" s="7" t="n">
        <x:f>COUNTIFS('唯一词标签'!$V$2:$V$1441,A641,'唯一词标签'!$Z$2:$Z$1441,"unknown")</x:f>
        <x:v>0</x:v>
      </x:c>
      <x:c r="H641" s="7" t="n">
        <x:f>COUNTIFS('唯一词标签'!$V$2:$V$1441,A641,'唯一词标签'!$U$2:$U$1441,"low")</x:f>
        <x:v>0</x:v>
      </x:c>
      <x:c r="I641" s="7" t="n">
        <x:f>COUNTIFS('唯一词标签'!$V$2:$V$1441,A641,'唯一词标签'!$AB$2:$AB$1441,"needs_review")</x:f>
        <x:v>0</x:v>
      </x:c>
    </x:row>
    <x:row r="642" ht="22" customHeight="1">
      <x:c r="A642" s="7" t="str">
        <x:v>soft_rubber_womens_flip_flops</x:v>
      </x:c>
      <x:c r="B642" s="7" t="n">
        <x:f>COUNTIF('唯一词标签'!$V$2:$V$1441,A642)</x:f>
        <x:v>1</x:v>
      </x:c>
      <x:c r="C642" s="55" t="n">
        <x:f>B642/COUNTA('唯一词标签'!$C$2:$C$1441)</x:f>
        <x:v>0.0006944444444444445</x:v>
      </x:c>
      <x:c r="D642" s="7" t="n">
        <x:f>COUNTIFS('唯一词标签'!$V$2:$V$1441,A642,'唯一词标签'!$Z$2:$Z$1441,"match")</x:f>
        <x:v>0</x:v>
      </x:c>
      <x:c r="E642" s="7" t="n">
        <x:f>COUNTIFS('唯一词标签'!$V$2:$V$1441,A642,'唯一词标签'!$Z$2:$Z$1441,"partial_match")</x:f>
        <x:v>1</x:v>
      </x:c>
      <x:c r="F642" s="7" t="n">
        <x:f>COUNTIFS('唯一词标签'!$V$2:$V$1441,A642,'唯一词标签'!$Z$2:$Z$1441,"mismatch")</x:f>
        <x:v>0</x:v>
      </x:c>
      <x:c r="G642" s="7" t="n">
        <x:f>COUNTIFS('唯一词标签'!$V$2:$V$1441,A642,'唯一词标签'!$Z$2:$Z$1441,"unknown")</x:f>
        <x:v>0</x:v>
      </x:c>
      <x:c r="H642" s="7" t="n">
        <x:f>COUNTIFS('唯一词标签'!$V$2:$V$1441,A642,'唯一词标签'!$U$2:$U$1441,"low")</x:f>
        <x:v>0</x:v>
      </x:c>
      <x:c r="I642" s="7" t="n">
        <x:f>COUNTIFS('唯一词标签'!$V$2:$V$1441,A642,'唯一词标签'!$AB$2:$AB$1441,"needs_review")</x:f>
        <x:v>0</x:v>
      </x:c>
    </x:row>
    <x:row r="643" ht="22" customHeight="1">
      <x:c r="A643" s="7" t="str">
        <x:v>soft_unisex_flip_flops</x:v>
      </x:c>
      <x:c r="B643" s="7" t="n">
        <x:f>COUNTIF('唯一词标签'!$V$2:$V$1441,A643)</x:f>
        <x:v>1</x:v>
      </x:c>
      <x:c r="C643" s="55" t="n">
        <x:f>B643/COUNTA('唯一词标签'!$C$2:$C$1441)</x:f>
        <x:v>0.0006944444444444445</x:v>
      </x:c>
      <x:c r="D643" s="7" t="n">
        <x:f>COUNTIFS('唯一词标签'!$V$2:$V$1441,A643,'唯一词标签'!$Z$2:$Z$1441,"match")</x:f>
        <x:v>0</x:v>
      </x:c>
      <x:c r="E643" s="7" t="n">
        <x:f>COUNTIFS('唯一词标签'!$V$2:$V$1441,A643,'唯一词标签'!$Z$2:$Z$1441,"partial_match")</x:f>
        <x:v>0</x:v>
      </x:c>
      <x:c r="F643" s="7" t="n">
        <x:f>COUNTIFS('唯一词标签'!$V$2:$V$1441,A643,'唯一词标签'!$Z$2:$Z$1441,"mismatch")</x:f>
        <x:v>1</x:v>
      </x:c>
      <x:c r="G643" s="7" t="n">
        <x:f>COUNTIFS('唯一词标签'!$V$2:$V$1441,A643,'唯一词标签'!$Z$2:$Z$1441,"unknown")</x:f>
        <x:v>0</x:v>
      </x:c>
      <x:c r="H643" s="7" t="n">
        <x:f>COUNTIFS('唯一词标签'!$V$2:$V$1441,A643,'唯一词标签'!$U$2:$U$1441,"low")</x:f>
        <x:v>0</x:v>
      </x:c>
      <x:c r="I643" s="7" t="n">
        <x:f>COUNTIFS('唯一词标签'!$V$2:$V$1441,A643,'唯一词标签'!$AB$2:$AB$1441,"needs_review")</x:f>
        <x:v>0</x:v>
      </x:c>
    </x:row>
    <x:row r="644" ht="22" customHeight="1">
      <x:c r="A644" s="7" t="str">
        <x:v>soft_womens_flip_flops</x:v>
      </x:c>
      <x:c r="B644" s="7" t="n">
        <x:f>COUNTIF('唯一词标签'!$V$2:$V$1441,A644)</x:f>
        <x:v>2</x:v>
      </x:c>
      <x:c r="C644" s="55" t="n">
        <x:f>B644/COUNTA('唯一词标签'!$C$2:$C$1441)</x:f>
        <x:v>0.001388888888888889</x:v>
      </x:c>
      <x:c r="D644" s="7" t="n">
        <x:f>COUNTIFS('唯一词标签'!$V$2:$V$1441,A644,'唯一词标签'!$Z$2:$Z$1441,"match")</x:f>
        <x:v>1</x:v>
      </x:c>
      <x:c r="E644" s="7" t="n">
        <x:f>COUNTIFS('唯一词标签'!$V$2:$V$1441,A644,'唯一词标签'!$Z$2:$Z$1441,"partial_match")</x:f>
        <x:v>1</x:v>
      </x:c>
      <x:c r="F644" s="7" t="n">
        <x:f>COUNTIFS('唯一词标签'!$V$2:$V$1441,A644,'唯一词标签'!$Z$2:$Z$1441,"mismatch")</x:f>
        <x:v>0</x:v>
      </x:c>
      <x:c r="G644" s="7" t="n">
        <x:f>COUNTIFS('唯一词标签'!$V$2:$V$1441,A644,'唯一词标签'!$Z$2:$Z$1441,"unknown")</x:f>
        <x:v>0</x:v>
      </x:c>
      <x:c r="H644" s="7" t="n">
        <x:f>COUNTIFS('唯一词标签'!$V$2:$V$1441,A644,'唯一词标签'!$U$2:$U$1441,"low")</x:f>
        <x:v>0</x:v>
      </x:c>
      <x:c r="I644" s="7" t="n">
        <x:f>COUNTIFS('唯一词标签'!$V$2:$V$1441,A644,'唯一词标签'!$AB$2:$AB$1441,"needs_review")</x:f>
        <x:v>1</x:v>
      </x:c>
    </x:row>
    <x:row r="645" ht="22" customHeight="1">
      <x:c r="A645" s="7" t="str">
        <x:v>sootheez_brand_flip_flops</x:v>
      </x:c>
      <x:c r="B645" s="7" t="n">
        <x:f>COUNTIF('唯一词标签'!$V$2:$V$1441,A645)</x:f>
        <x:v>1</x:v>
      </x:c>
      <x:c r="C645" s="55" t="n">
        <x:f>B645/COUNTA('唯一词标签'!$C$2:$C$1441)</x:f>
        <x:v>0.0006944444444444445</x:v>
      </x:c>
      <x:c r="D645" s="7" t="n">
        <x:f>COUNTIFS('唯一词标签'!$V$2:$V$1441,A645,'唯一词标签'!$Z$2:$Z$1441,"match")</x:f>
        <x:v>0</x:v>
      </x:c>
      <x:c r="E645" s="7" t="n">
        <x:f>COUNTIFS('唯一词标签'!$V$2:$V$1441,A645,'唯一词标签'!$Z$2:$Z$1441,"partial_match")</x:f>
        <x:v>0</x:v>
      </x:c>
      <x:c r="F645" s="7" t="n">
        <x:f>COUNTIFS('唯一词标签'!$V$2:$V$1441,A645,'唯一词标签'!$Z$2:$Z$1441,"mismatch")</x:f>
        <x:v>1</x:v>
      </x:c>
      <x:c r="G645" s="7" t="n">
        <x:f>COUNTIFS('唯一词标签'!$V$2:$V$1441,A645,'唯一词标签'!$Z$2:$Z$1441,"unknown")</x:f>
        <x:v>0</x:v>
      </x:c>
      <x:c r="H645" s="7" t="n">
        <x:f>COUNTIFS('唯一词标签'!$V$2:$V$1441,A645,'唯一词标签'!$U$2:$U$1441,"low")</x:f>
        <x:v>0</x:v>
      </x:c>
      <x:c r="I645" s="7" t="n">
        <x:f>COUNTIFS('唯一词标签'!$V$2:$V$1441,A645,'唯一词标签'!$AB$2:$AB$1441,"needs_review")</x:f>
        <x:v>0</x:v>
      </x:c>
    </x:row>
    <x:row r="646" ht="22" customHeight="1">
      <x:c r="A646" s="7" t="str">
        <x:v>spa_flip_flops</x:v>
      </x:c>
      <x:c r="B646" s="7" t="n">
        <x:f>COUNTIF('唯一词标签'!$V$2:$V$1441,A646)</x:f>
        <x:v>1</x:v>
      </x:c>
      <x:c r="C646" s="55" t="n">
        <x:f>B646/COUNTA('唯一词标签'!$C$2:$C$1441)</x:f>
        <x:v>0.0006944444444444445</x:v>
      </x:c>
      <x:c r="D646" s="7" t="n">
        <x:f>COUNTIFS('唯一词标签'!$V$2:$V$1441,A646,'唯一词标签'!$Z$2:$Z$1441,"match")</x:f>
        <x:v>0</x:v>
      </x:c>
      <x:c r="E646" s="7" t="n">
        <x:f>COUNTIFS('唯一词标签'!$V$2:$V$1441,A646,'唯一词标签'!$Z$2:$Z$1441,"partial_match")</x:f>
        <x:v>1</x:v>
      </x:c>
      <x:c r="F646" s="7" t="n">
        <x:f>COUNTIFS('唯一词标签'!$V$2:$V$1441,A646,'唯一词标签'!$Z$2:$Z$1441,"mismatch")</x:f>
        <x:v>0</x:v>
      </x:c>
      <x:c r="G646" s="7" t="n">
        <x:f>COUNTIFS('唯一词标签'!$V$2:$V$1441,A646,'唯一词标签'!$Z$2:$Z$1441,"unknown")</x:f>
        <x:v>0</x:v>
      </x:c>
      <x:c r="H646" s="7" t="n">
        <x:f>COUNTIFS('唯一词标签'!$V$2:$V$1441,A646,'唯一词标签'!$U$2:$U$1441,"low")</x:f>
        <x:v>0</x:v>
      </x:c>
      <x:c r="I646" s="7" t="n">
        <x:f>COUNTIFS('唯一词标签'!$V$2:$V$1441,A646,'唯一词标签'!$AB$2:$AB$1441,"needs_review")</x:f>
        <x:v>0</x:v>
      </x:c>
    </x:row>
    <x:row r="647" ht="22" customHeight="1">
      <x:c r="A647" s="7" t="str">
        <x:v>sport_flip_flops_women</x:v>
      </x:c>
      <x:c r="B647" s="7" t="n">
        <x:f>COUNTIF('唯一词标签'!$V$2:$V$1441,A647)</x:f>
        <x:v>1</x:v>
      </x:c>
      <x:c r="C647" s="55" t="n">
        <x:f>B647/COUNTA('唯一词标签'!$C$2:$C$1441)</x:f>
        <x:v>0.0006944444444444445</x:v>
      </x:c>
      <x:c r="D647" s="7" t="n">
        <x:f>COUNTIFS('唯一词标签'!$V$2:$V$1441,A647,'唯一词标签'!$Z$2:$Z$1441,"match")</x:f>
        <x:v>0</x:v>
      </x:c>
      <x:c r="E647" s="7" t="n">
        <x:f>COUNTIFS('唯一词标签'!$V$2:$V$1441,A647,'唯一词标签'!$Z$2:$Z$1441,"partial_match")</x:f>
        <x:v>1</x:v>
      </x:c>
      <x:c r="F647" s="7" t="n">
        <x:f>COUNTIFS('唯一词标签'!$V$2:$V$1441,A647,'唯一词标签'!$Z$2:$Z$1441,"mismatch")</x:f>
        <x:v>0</x:v>
      </x:c>
      <x:c r="G647" s="7" t="n">
        <x:f>COUNTIFS('唯一词标签'!$V$2:$V$1441,A647,'唯一词标签'!$Z$2:$Z$1441,"unknown")</x:f>
        <x:v>0</x:v>
      </x:c>
      <x:c r="H647" s="7" t="n">
        <x:f>COUNTIFS('唯一词标签'!$V$2:$V$1441,A647,'唯一词标签'!$U$2:$U$1441,"low")</x:f>
        <x:v>0</x:v>
      </x:c>
      <x:c r="I647" s="7" t="n">
        <x:f>COUNTIFS('唯一词标签'!$V$2:$V$1441,A647,'唯一词标签'!$AB$2:$AB$1441,"needs_review")</x:f>
        <x:v>0</x:v>
      </x:c>
    </x:row>
    <x:row r="648" ht="22" customHeight="1">
      <x:c r="A648" s="7" t="str">
        <x:v>sporty_flip_flops</x:v>
      </x:c>
      <x:c r="B648" s="7" t="n">
        <x:f>COUNTIF('唯一词标签'!$V$2:$V$1441,A648)</x:f>
        <x:v>1</x:v>
      </x:c>
      <x:c r="C648" s="55" t="n">
        <x:f>B648/COUNTA('唯一词标签'!$C$2:$C$1441)</x:f>
        <x:v>0.0006944444444444445</x:v>
      </x:c>
      <x:c r="D648" s="7" t="n">
        <x:f>COUNTIFS('唯一词标签'!$V$2:$V$1441,A648,'唯一词标签'!$Z$2:$Z$1441,"match")</x:f>
        <x:v>1</x:v>
      </x:c>
      <x:c r="E648" s="7" t="n">
        <x:f>COUNTIFS('唯一词标签'!$V$2:$V$1441,A648,'唯一词标签'!$Z$2:$Z$1441,"partial_match")</x:f>
        <x:v>0</x:v>
      </x:c>
      <x:c r="F648" s="7" t="n">
        <x:f>COUNTIFS('唯一词标签'!$V$2:$V$1441,A648,'唯一词标签'!$Z$2:$Z$1441,"mismatch")</x:f>
        <x:v>0</x:v>
      </x:c>
      <x:c r="G648" s="7" t="n">
        <x:f>COUNTIFS('唯一词标签'!$V$2:$V$1441,A648,'唯一词标签'!$Z$2:$Z$1441,"unknown")</x:f>
        <x:v>0</x:v>
      </x:c>
      <x:c r="H648" s="7" t="n">
        <x:f>COUNTIFS('唯一词标签'!$V$2:$V$1441,A648,'唯一词标签'!$U$2:$U$1441,"low")</x:f>
        <x:v>0</x:v>
      </x:c>
      <x:c r="I648" s="7" t="n">
        <x:f>COUNTIFS('唯一词标签'!$V$2:$V$1441,A648,'唯一词标签'!$AB$2:$AB$1441,"needs_review")</x:f>
        <x:v>0</x:v>
      </x:c>
    </x:row>
    <x:row r="649" ht="22" customHeight="1">
      <x:c r="A649" s="7" t="str">
        <x:v>square_flip_flops</x:v>
      </x:c>
      <x:c r="B649" s="7" t="n">
        <x:f>COUNTIF('唯一词标签'!$V$2:$V$1441,A649)</x:f>
        <x:v>1</x:v>
      </x:c>
      <x:c r="C649" s="55" t="n">
        <x:f>B649/COUNTA('唯一词标签'!$C$2:$C$1441)</x:f>
        <x:v>0.0006944444444444445</x:v>
      </x:c>
      <x:c r="D649" s="7" t="n">
        <x:f>COUNTIFS('唯一词标签'!$V$2:$V$1441,A649,'唯一词标签'!$Z$2:$Z$1441,"match")</x:f>
        <x:v>0</x:v>
      </x:c>
      <x:c r="E649" s="7" t="n">
        <x:f>COUNTIFS('唯一词标签'!$V$2:$V$1441,A649,'唯一词标签'!$Z$2:$Z$1441,"partial_match")</x:f>
        <x:v>0</x:v>
      </x:c>
      <x:c r="F649" s="7" t="n">
        <x:f>COUNTIFS('唯一词标签'!$V$2:$V$1441,A649,'唯一词标签'!$Z$2:$Z$1441,"mismatch")</x:f>
        <x:v>0</x:v>
      </x:c>
      <x:c r="G649" s="7" t="n">
        <x:f>COUNTIFS('唯一词标签'!$V$2:$V$1441,A649,'唯一词标签'!$Z$2:$Z$1441,"unknown")</x:f>
        <x:v>1</x:v>
      </x:c>
      <x:c r="H649" s="7" t="n">
        <x:f>COUNTIFS('唯一词标签'!$V$2:$V$1441,A649,'唯一词标签'!$U$2:$U$1441,"low")</x:f>
        <x:v>1</x:v>
      </x:c>
      <x:c r="I649" s="7" t="n">
        <x:f>COUNTIFS('唯一词标签'!$V$2:$V$1441,A649,'唯一词标签'!$AB$2:$AB$1441,"needs_review")</x:f>
        <x:v>1</x:v>
      </x:c>
    </x:row>
    <x:row r="650" ht="22" customHeight="1">
      <x:c r="A650" s="7" t="str">
        <x:v>square_toe_flip_flops</x:v>
      </x:c>
      <x:c r="B650" s="7" t="n">
        <x:f>COUNTIF('唯一词标签'!$V$2:$V$1441,A650)</x:f>
        <x:v>1</x:v>
      </x:c>
      <x:c r="C650" s="55" t="n">
        <x:f>B650/COUNTA('唯一词标签'!$C$2:$C$1441)</x:f>
        <x:v>0.0006944444444444445</x:v>
      </x:c>
      <x:c r="D650" s="7" t="n">
        <x:f>COUNTIFS('唯一词标签'!$V$2:$V$1441,A650,'唯一词标签'!$Z$2:$Z$1441,"match")</x:f>
        <x:v>0</x:v>
      </x:c>
      <x:c r="E650" s="7" t="n">
        <x:f>COUNTIFS('唯一词标签'!$V$2:$V$1441,A650,'唯一词标签'!$Z$2:$Z$1441,"partial_match")</x:f>
        <x:v>0</x:v>
      </x:c>
      <x:c r="F650" s="7" t="n">
        <x:f>COUNTIFS('唯一词标签'!$V$2:$V$1441,A650,'唯一词标签'!$Z$2:$Z$1441,"mismatch")</x:f>
        <x:v>1</x:v>
      </x:c>
      <x:c r="G650" s="7" t="n">
        <x:f>COUNTIFS('唯一词标签'!$V$2:$V$1441,A650,'唯一词标签'!$Z$2:$Z$1441,"unknown")</x:f>
        <x:v>0</x:v>
      </x:c>
      <x:c r="H650" s="7" t="n">
        <x:f>COUNTIFS('唯一词标签'!$V$2:$V$1441,A650,'唯一词标签'!$U$2:$U$1441,"low")</x:f>
        <x:v>0</x:v>
      </x:c>
      <x:c r="I650" s="7" t="n">
        <x:f>COUNTIFS('唯一词标签'!$V$2:$V$1441,A650,'唯一词标签'!$AB$2:$AB$1441,"needs_review")</x:f>
        <x:v>0</x:v>
      </x:c>
    </x:row>
    <x:row r="651" ht="22" customHeight="1">
      <x:c r="A651" s="7" t="str">
        <x:v>squishy_black_flip_flops</x:v>
      </x:c>
      <x:c r="B651" s="7" t="n">
        <x:f>COUNTIF('唯一词标签'!$V$2:$V$1441,A651)</x:f>
        <x:v>1</x:v>
      </x:c>
      <x:c r="C651" s="55" t="n">
        <x:f>B651/COUNTA('唯一词标签'!$C$2:$C$1441)</x:f>
        <x:v>0.0006944444444444445</x:v>
      </x:c>
      <x:c r="D651" s="7" t="n">
        <x:f>COUNTIFS('唯一词标签'!$V$2:$V$1441,A651,'唯一词标签'!$Z$2:$Z$1441,"match")</x:f>
        <x:v>0</x:v>
      </x:c>
      <x:c r="E651" s="7" t="n">
        <x:f>COUNTIFS('唯一词标签'!$V$2:$V$1441,A651,'唯一词标签'!$Z$2:$Z$1441,"partial_match")</x:f>
        <x:v>1</x:v>
      </x:c>
      <x:c r="F651" s="7" t="n">
        <x:f>COUNTIFS('唯一词标签'!$V$2:$V$1441,A651,'唯一词标签'!$Z$2:$Z$1441,"mismatch")</x:f>
        <x:v>0</x:v>
      </x:c>
      <x:c r="G651" s="7" t="n">
        <x:f>COUNTIFS('唯一词标签'!$V$2:$V$1441,A651,'唯一词标签'!$Z$2:$Z$1441,"unknown")</x:f>
        <x:v>0</x:v>
      </x:c>
      <x:c r="H651" s="7" t="n">
        <x:f>COUNTIFS('唯一词标签'!$V$2:$V$1441,A651,'唯一词标签'!$U$2:$U$1441,"low")</x:f>
        <x:v>0</x:v>
      </x:c>
      <x:c r="I651" s="7" t="n">
        <x:f>COUNTIFS('唯一词标签'!$V$2:$V$1441,A651,'唯一词标签'!$AB$2:$AB$1441,"needs_review")</x:f>
        <x:v>1</x:v>
      </x:c>
    </x:row>
    <x:row r="652" ht="22" customHeight="1">
      <x:c r="A652" s="7" t="str">
        <x:v>stq_orthopedic_arch_support_flip_flops</x:v>
      </x:c>
      <x:c r="B652" s="7" t="n">
        <x:f>COUNTIF('唯一词标签'!$V$2:$V$1441,A652)</x:f>
        <x:v>1</x:v>
      </x:c>
      <x:c r="C652" s="55" t="n">
        <x:f>B652/COUNTA('唯一词标签'!$C$2:$C$1441)</x:f>
        <x:v>0.0006944444444444445</x:v>
      </x:c>
      <x:c r="D652" s="7" t="n">
        <x:f>COUNTIFS('唯一词标签'!$V$2:$V$1441,A652,'唯一词标签'!$Z$2:$Z$1441,"match")</x:f>
        <x:v>0</x:v>
      </x:c>
      <x:c r="E652" s="7" t="n">
        <x:f>COUNTIFS('唯一词标签'!$V$2:$V$1441,A652,'唯一词标签'!$Z$2:$Z$1441,"partial_match")</x:f>
        <x:v>0</x:v>
      </x:c>
      <x:c r="F652" s="7" t="n">
        <x:f>COUNTIFS('唯一词标签'!$V$2:$V$1441,A652,'唯一词标签'!$Z$2:$Z$1441,"mismatch")</x:f>
        <x:v>1</x:v>
      </x:c>
      <x:c r="G652" s="7" t="n">
        <x:f>COUNTIFS('唯一词标签'!$V$2:$V$1441,A652,'唯一词标签'!$Z$2:$Z$1441,"unknown")</x:f>
        <x:v>0</x:v>
      </x:c>
      <x:c r="H652" s="7" t="n">
        <x:f>COUNTIFS('唯一词标签'!$V$2:$V$1441,A652,'唯一词标签'!$U$2:$U$1441,"low")</x:f>
        <x:v>0</x:v>
      </x:c>
      <x:c r="I652" s="7" t="n">
        <x:f>COUNTIFS('唯一词标签'!$V$2:$V$1441,A652,'唯一词标签'!$AB$2:$AB$1441,"needs_review")</x:f>
        <x:v>0</x:v>
      </x:c>
    </x:row>
    <x:row r="653" ht="22" customHeight="1">
      <x:c r="A653" s="7" t="str">
        <x:v>stq_womens_quick_dry_arch_support_thong_sandals</x:v>
      </x:c>
      <x:c r="B653" s="7" t="n">
        <x:f>COUNTIF('唯一词标签'!$V$2:$V$1441,A653)</x:f>
        <x:v>1</x:v>
      </x:c>
      <x:c r="C653" s="55" t="n">
        <x:f>B653/COUNTA('唯一词标签'!$C$2:$C$1441)</x:f>
        <x:v>0.0006944444444444445</x:v>
      </x:c>
      <x:c r="D653" s="7" t="n">
        <x:f>COUNTIFS('唯一词标签'!$V$2:$V$1441,A653,'唯一词标签'!$Z$2:$Z$1441,"match")</x:f>
        <x:v>0</x:v>
      </x:c>
      <x:c r="E653" s="7" t="n">
        <x:f>COUNTIFS('唯一词标签'!$V$2:$V$1441,A653,'唯一词标签'!$Z$2:$Z$1441,"partial_match")</x:f>
        <x:v>1</x:v>
      </x:c>
      <x:c r="F653" s="7" t="n">
        <x:f>COUNTIFS('唯一词标签'!$V$2:$V$1441,A653,'唯一词标签'!$Z$2:$Z$1441,"mismatch")</x:f>
        <x:v>0</x:v>
      </x:c>
      <x:c r="G653" s="7" t="n">
        <x:f>COUNTIFS('唯一词标签'!$V$2:$V$1441,A653,'唯一词标签'!$Z$2:$Z$1441,"unknown")</x:f>
        <x:v>0</x:v>
      </x:c>
      <x:c r="H653" s="7" t="n">
        <x:f>COUNTIFS('唯一词标签'!$V$2:$V$1441,A653,'唯一词标签'!$U$2:$U$1441,"low")</x:f>
        <x:v>0</x:v>
      </x:c>
      <x:c r="I653" s="7" t="n">
        <x:f>COUNTIFS('唯一词标签'!$V$2:$V$1441,A653,'唯一词标签'!$AB$2:$AB$1441,"needs_review")</x:f>
        <x:v>1</x:v>
      </x:c>
    </x:row>
    <x:row r="654" ht="22" customHeight="1">
      <x:c r="A654" s="7" t="str">
        <x:v>summer_comfortable_flip_flops</x:v>
      </x:c>
      <x:c r="B654" s="7" t="n">
        <x:f>COUNTIF('唯一词标签'!$V$2:$V$1441,A654)</x:f>
        <x:v>1</x:v>
      </x:c>
      <x:c r="C654" s="55" t="n">
        <x:f>B654/COUNTA('唯一词标签'!$C$2:$C$1441)</x:f>
        <x:v>0.0006944444444444445</x:v>
      </x:c>
      <x:c r="D654" s="7" t="n">
        <x:f>COUNTIFS('唯一词标签'!$V$2:$V$1441,A654,'唯一词标签'!$Z$2:$Z$1441,"match")</x:f>
        <x:v>1</x:v>
      </x:c>
      <x:c r="E654" s="7" t="n">
        <x:f>COUNTIFS('唯一词标签'!$V$2:$V$1441,A654,'唯一词标签'!$Z$2:$Z$1441,"partial_match")</x:f>
        <x:v>0</x:v>
      </x:c>
      <x:c r="F654" s="7" t="n">
        <x:f>COUNTIFS('唯一词标签'!$V$2:$V$1441,A654,'唯一词标签'!$Z$2:$Z$1441,"mismatch")</x:f>
        <x:v>0</x:v>
      </x:c>
      <x:c r="G654" s="7" t="n">
        <x:f>COUNTIFS('唯一词标签'!$V$2:$V$1441,A654,'唯一词标签'!$Z$2:$Z$1441,"unknown")</x:f>
        <x:v>0</x:v>
      </x:c>
      <x:c r="H654" s="7" t="n">
        <x:f>COUNTIFS('唯一词标签'!$V$2:$V$1441,A654,'唯一词标签'!$U$2:$U$1441,"low")</x:f>
        <x:v>0</x:v>
      </x:c>
      <x:c r="I654" s="7" t="n">
        <x:f>COUNTIFS('唯一词标签'!$V$2:$V$1441,A654,'唯一词标签'!$AB$2:$AB$1441,"needs_review")</x:f>
        <x:v>0</x:v>
      </x:c>
    </x:row>
    <x:row r="655" ht="22" customHeight="1">
      <x:c r="A655" s="7" t="str">
        <x:v>summer_flip_flops_es</x:v>
      </x:c>
      <x:c r="B655" s="7" t="n">
        <x:f>COUNTIF('唯一词标签'!$V$2:$V$1441,A655)</x:f>
        <x:v>1</x:v>
      </x:c>
      <x:c r="C655" s="55" t="n">
        <x:f>B655/COUNTA('唯一词标签'!$C$2:$C$1441)</x:f>
        <x:v>0.0006944444444444445</x:v>
      </x:c>
      <x:c r="D655" s="7" t="n">
        <x:f>COUNTIFS('唯一词标签'!$V$2:$V$1441,A655,'唯一词标签'!$Z$2:$Z$1441,"match")</x:f>
        <x:v>1</x:v>
      </x:c>
      <x:c r="E655" s="7" t="n">
        <x:f>COUNTIFS('唯一词标签'!$V$2:$V$1441,A655,'唯一词标签'!$Z$2:$Z$1441,"partial_match")</x:f>
        <x:v>0</x:v>
      </x:c>
      <x:c r="F655" s="7" t="n">
        <x:f>COUNTIFS('唯一词标签'!$V$2:$V$1441,A655,'唯一词标签'!$Z$2:$Z$1441,"mismatch")</x:f>
        <x:v>0</x:v>
      </x:c>
      <x:c r="G655" s="7" t="n">
        <x:f>COUNTIFS('唯一词标签'!$V$2:$V$1441,A655,'唯一词标签'!$Z$2:$Z$1441,"unknown")</x:f>
        <x:v>0</x:v>
      </x:c>
      <x:c r="H655" s="7" t="n">
        <x:f>COUNTIFS('唯一词标签'!$V$2:$V$1441,A655,'唯一词标签'!$U$2:$U$1441,"low")</x:f>
        <x:v>0</x:v>
      </x:c>
      <x:c r="I655" s="7" t="n">
        <x:f>COUNTIFS('唯一词标签'!$V$2:$V$1441,A655,'唯一词标签'!$AB$2:$AB$1441,"needs_review")</x:f>
        <x:v>0</x:v>
      </x:c>
    </x:row>
    <x:row r="656" ht="22" customHeight="1">
      <x:c r="A656" s="7" t="str">
        <x:v>summer_sandals</x:v>
      </x:c>
      <x:c r="B656" s="7" t="n">
        <x:f>COUNTIF('唯一词标签'!$V$2:$V$1441,A656)</x:f>
        <x:v>1</x:v>
      </x:c>
      <x:c r="C656" s="55" t="n">
        <x:f>B656/COUNTA('唯一词标签'!$C$2:$C$1441)</x:f>
        <x:v>0.0006944444444444445</x:v>
      </x:c>
      <x:c r="D656" s="7" t="n">
        <x:f>COUNTIFS('唯一词标签'!$V$2:$V$1441,A656,'唯一词标签'!$Z$2:$Z$1441,"match")</x:f>
        <x:v>1</x:v>
      </x:c>
      <x:c r="E656" s="7" t="n">
        <x:f>COUNTIFS('唯一词标签'!$V$2:$V$1441,A656,'唯一词标签'!$Z$2:$Z$1441,"partial_match")</x:f>
        <x:v>0</x:v>
      </x:c>
      <x:c r="F656" s="7" t="n">
        <x:f>COUNTIFS('唯一词标签'!$V$2:$V$1441,A656,'唯一词标签'!$Z$2:$Z$1441,"mismatch")</x:f>
        <x:v>0</x:v>
      </x:c>
      <x:c r="G656" s="7" t="n">
        <x:f>COUNTIFS('唯一词标签'!$V$2:$V$1441,A656,'唯一词标签'!$Z$2:$Z$1441,"unknown")</x:f>
        <x:v>0</x:v>
      </x:c>
      <x:c r="H656" s="7" t="n">
        <x:f>COUNTIFS('唯一词标签'!$V$2:$V$1441,A656,'唯一词标签'!$U$2:$U$1441,"low")</x:f>
        <x:v>0</x:v>
      </x:c>
      <x:c r="I656" s="7" t="n">
        <x:f>COUNTIFS('唯一词标签'!$V$2:$V$1441,A656,'唯一词标签'!$AB$2:$AB$1441,"needs_review")</x:f>
        <x:v>0</x:v>
      </x:c>
    </x:row>
    <x:row r="657" ht="22" customHeight="1">
      <x:c r="A657" s="7" t="str">
        <x:v>summer_sandals_flip_flops_women</x:v>
      </x:c>
      <x:c r="B657" s="7" t="n">
        <x:f>COUNTIF('唯一词标签'!$V$2:$V$1441,A657)</x:f>
        <x:v>1</x:v>
      </x:c>
      <x:c r="C657" s="55" t="n">
        <x:f>B657/COUNTA('唯一词标签'!$C$2:$C$1441)</x:f>
        <x:v>0.0006944444444444445</x:v>
      </x:c>
      <x:c r="D657" s="7" t="n">
        <x:f>COUNTIFS('唯一词标签'!$V$2:$V$1441,A657,'唯一词标签'!$Z$2:$Z$1441,"match")</x:f>
        <x:v>1</x:v>
      </x:c>
      <x:c r="E657" s="7" t="n">
        <x:f>COUNTIFS('唯一词标签'!$V$2:$V$1441,A657,'唯一词标签'!$Z$2:$Z$1441,"partial_match")</x:f>
        <x:v>0</x:v>
      </x:c>
      <x:c r="F657" s="7" t="n">
        <x:f>COUNTIFS('唯一词标签'!$V$2:$V$1441,A657,'唯一词标签'!$Z$2:$Z$1441,"mismatch")</x:f>
        <x:v>0</x:v>
      </x:c>
      <x:c r="G657" s="7" t="n">
        <x:f>COUNTIFS('唯一词标签'!$V$2:$V$1441,A657,'唯一词标签'!$Z$2:$Z$1441,"unknown")</x:f>
        <x:v>0</x:v>
      </x:c>
      <x:c r="H657" s="7" t="n">
        <x:f>COUNTIFS('唯一词标签'!$V$2:$V$1441,A657,'唯一词标签'!$U$2:$U$1441,"low")</x:f>
        <x:v>0</x:v>
      </x:c>
      <x:c r="I657" s="7" t="n">
        <x:f>COUNTIFS('唯一词标签'!$V$2:$V$1441,A657,'唯一词标签'!$AB$2:$AB$1441,"needs_review")</x:f>
        <x:v>0</x:v>
      </x:c>
    </x:row>
    <x:row r="658" ht="22" customHeight="1">
      <x:c r="A658" s="7" t="str">
        <x:v>summer_sandals_women</x:v>
      </x:c>
      <x:c r="B658" s="7" t="n">
        <x:f>COUNTIF('唯一词标签'!$V$2:$V$1441,A658)</x:f>
        <x:v>1</x:v>
      </x:c>
      <x:c r="C658" s="55" t="n">
        <x:f>B658/COUNTA('唯一词标签'!$C$2:$C$1441)</x:f>
        <x:v>0.0006944444444444445</x:v>
      </x:c>
      <x:c r="D658" s="7" t="n">
        <x:f>COUNTIFS('唯一词标签'!$V$2:$V$1441,A658,'唯一词标签'!$Z$2:$Z$1441,"match")</x:f>
        <x:v>0</x:v>
      </x:c>
      <x:c r="E658" s="7" t="n">
        <x:f>COUNTIFS('唯一词标签'!$V$2:$V$1441,A658,'唯一词标签'!$Z$2:$Z$1441,"partial_match")</x:f>
        <x:v>0</x:v>
      </x:c>
      <x:c r="F658" s="7" t="n">
        <x:f>COUNTIFS('唯一词标签'!$V$2:$V$1441,A658,'唯一词标签'!$Z$2:$Z$1441,"mismatch")</x:f>
        <x:v>0</x:v>
      </x:c>
      <x:c r="G658" s="7" t="n">
        <x:f>COUNTIFS('唯一词标签'!$V$2:$V$1441,A658,'唯一词标签'!$Z$2:$Z$1441,"unknown")</x:f>
        <x:v>1</x:v>
      </x:c>
      <x:c r="H658" s="7" t="n">
        <x:f>COUNTIFS('唯一词标签'!$V$2:$V$1441,A658,'唯一词标签'!$U$2:$U$1441,"low")</x:f>
        <x:v>1</x:v>
      </x:c>
      <x:c r="I658" s="7" t="n">
        <x:f>COUNTIFS('唯一词标签'!$V$2:$V$1441,A658,'唯一词标签'!$AB$2:$AB$1441,"needs_review")</x:f>
        <x:v>0</x:v>
      </x:c>
    </x:row>
    <x:row r="659" ht="22" customHeight="1">
      <x:c r="A659" s="7" t="str">
        <x:v>summer_slippers</x:v>
      </x:c>
      <x:c r="B659" s="7" t="n">
        <x:f>COUNTIF('唯一词标签'!$V$2:$V$1441,A659)</x:f>
        <x:v>1</x:v>
      </x:c>
      <x:c r="C659" s="55" t="n">
        <x:f>B659/COUNTA('唯一词标签'!$C$2:$C$1441)</x:f>
        <x:v>0.0006944444444444445</x:v>
      </x:c>
      <x:c r="D659" s="7" t="n">
        <x:f>COUNTIFS('唯一词标签'!$V$2:$V$1441,A659,'唯一词标签'!$Z$2:$Z$1441,"match")</x:f>
        <x:v>0</x:v>
      </x:c>
      <x:c r="E659" s="7" t="n">
        <x:f>COUNTIFS('唯一词标签'!$V$2:$V$1441,A659,'唯一词标签'!$Z$2:$Z$1441,"partial_match")</x:f>
        <x:v>1</x:v>
      </x:c>
      <x:c r="F659" s="7" t="n">
        <x:f>COUNTIFS('唯一词标签'!$V$2:$V$1441,A659,'唯一词标签'!$Z$2:$Z$1441,"mismatch")</x:f>
        <x:v>0</x:v>
      </x:c>
      <x:c r="G659" s="7" t="n">
        <x:f>COUNTIFS('唯一词标签'!$V$2:$V$1441,A659,'唯一词标签'!$Z$2:$Z$1441,"unknown")</x:f>
        <x:v>0</x:v>
      </x:c>
      <x:c r="H659" s="7" t="n">
        <x:f>COUNTIFS('唯一词标签'!$V$2:$V$1441,A659,'唯一词标签'!$U$2:$U$1441,"low")</x:f>
        <x:v>0</x:v>
      </x:c>
      <x:c r="I659" s="7" t="n">
        <x:f>COUNTIFS('唯一词标签'!$V$2:$V$1441,A659,'唯一词标签'!$AB$2:$AB$1441,"needs_review")</x:f>
        <x:v>0</x:v>
      </x:c>
    </x:row>
    <x:row r="660" ht="22" customHeight="1">
      <x:c r="A660" s="7" t="str">
        <x:v>summer_womens_sandals_es</x:v>
      </x:c>
      <x:c r="B660" s="7" t="n">
        <x:f>COUNTIF('唯一词标签'!$V$2:$V$1441,A660)</x:f>
        <x:v>1</x:v>
      </x:c>
      <x:c r="C660" s="55" t="n">
        <x:f>B660/COUNTA('唯一词标签'!$C$2:$C$1441)</x:f>
        <x:v>0.0006944444444444445</x:v>
      </x:c>
      <x:c r="D660" s="7" t="n">
        <x:f>COUNTIFS('唯一词标签'!$V$2:$V$1441,A660,'唯一词标签'!$Z$2:$Z$1441,"match")</x:f>
        <x:v>1</x:v>
      </x:c>
      <x:c r="E660" s="7" t="n">
        <x:f>COUNTIFS('唯一词标签'!$V$2:$V$1441,A660,'唯一词标签'!$Z$2:$Z$1441,"partial_match")</x:f>
        <x:v>0</x:v>
      </x:c>
      <x:c r="F660" s="7" t="n">
        <x:f>COUNTIFS('唯一词标签'!$V$2:$V$1441,A660,'唯一词标签'!$Z$2:$Z$1441,"mismatch")</x:f>
        <x:v>0</x:v>
      </x:c>
      <x:c r="G660" s="7" t="n">
        <x:f>COUNTIFS('唯一词标签'!$V$2:$V$1441,A660,'唯一词标签'!$Z$2:$Z$1441,"unknown")</x:f>
        <x:v>0</x:v>
      </x:c>
      <x:c r="H660" s="7" t="n">
        <x:f>COUNTIFS('唯一词标签'!$V$2:$V$1441,A660,'唯一词标签'!$U$2:$U$1441,"low")</x:f>
        <x:v>0</x:v>
      </x:c>
      <x:c r="I660" s="7" t="n">
        <x:f>COUNTIFS('唯一词标签'!$V$2:$V$1441,A660,'唯一词标签'!$AB$2:$AB$1441,"needs_review")</x:f>
        <x:v>0</x:v>
      </x:c>
    </x:row>
    <x:row r="661" ht="22" customHeight="1">
      <x:c r="A661" s="7" t="str">
        <x:v>super_high_arch_support_sandals</x:v>
      </x:c>
      <x:c r="B661" s="7" t="n">
        <x:f>COUNTIF('唯一词标签'!$V$2:$V$1441,A661)</x:f>
        <x:v>1</x:v>
      </x:c>
      <x:c r="C661" s="55" t="n">
        <x:f>B661/COUNTA('唯一词标签'!$C$2:$C$1441)</x:f>
        <x:v>0.0006944444444444445</x:v>
      </x:c>
      <x:c r="D661" s="7" t="n">
        <x:f>COUNTIFS('唯一词标签'!$V$2:$V$1441,A661,'唯一词标签'!$Z$2:$Z$1441,"match")</x:f>
        <x:v>0</x:v>
      </x:c>
      <x:c r="E661" s="7" t="n">
        <x:f>COUNTIFS('唯一词标签'!$V$2:$V$1441,A661,'唯一词标签'!$Z$2:$Z$1441,"partial_match")</x:f>
        <x:v>1</x:v>
      </x:c>
      <x:c r="F661" s="7" t="n">
        <x:f>COUNTIFS('唯一词标签'!$V$2:$V$1441,A661,'唯一词标签'!$Z$2:$Z$1441,"mismatch")</x:f>
        <x:v>0</x:v>
      </x:c>
      <x:c r="G661" s="7" t="n">
        <x:f>COUNTIFS('唯一词标签'!$V$2:$V$1441,A661,'唯一词标签'!$Z$2:$Z$1441,"unknown")</x:f>
        <x:v>0</x:v>
      </x:c>
      <x:c r="H661" s="7" t="n">
        <x:f>COUNTIFS('唯一词标签'!$V$2:$V$1441,A661,'唯一词标签'!$U$2:$U$1441,"low")</x:f>
        <x:v>0</x:v>
      </x:c>
      <x:c r="I661" s="7" t="n">
        <x:f>COUNTIFS('唯一词标签'!$V$2:$V$1441,A661,'唯一词标签'!$AB$2:$AB$1441,"needs_review")</x:f>
        <x:v>0</x:v>
      </x:c>
    </x:row>
    <x:row r="662" ht="22" customHeight="1">
      <x:c r="A662" s="7" t="str">
        <x:v>support_flip_flops</x:v>
      </x:c>
      <x:c r="B662" s="7" t="n">
        <x:f>COUNTIF('唯一词标签'!$V$2:$V$1441,A662)</x:f>
        <x:v>2</x:v>
      </x:c>
      <x:c r="C662" s="55" t="n">
        <x:f>B662/COUNTA('唯一词标签'!$C$2:$C$1441)</x:f>
        <x:v>0.001388888888888889</x:v>
      </x:c>
      <x:c r="D662" s="7" t="n">
        <x:f>COUNTIFS('唯一词标签'!$V$2:$V$1441,A662,'唯一词标签'!$Z$2:$Z$1441,"match")</x:f>
        <x:v>2</x:v>
      </x:c>
      <x:c r="E662" s="7" t="n">
        <x:f>COUNTIFS('唯一词标签'!$V$2:$V$1441,A662,'唯一词标签'!$Z$2:$Z$1441,"partial_match")</x:f>
        <x:v>0</x:v>
      </x:c>
      <x:c r="F662" s="7" t="n">
        <x:f>COUNTIFS('唯一词标签'!$V$2:$V$1441,A662,'唯一词标签'!$Z$2:$Z$1441,"mismatch")</x:f>
        <x:v>0</x:v>
      </x:c>
      <x:c r="G662" s="7" t="n">
        <x:f>COUNTIFS('唯一词标签'!$V$2:$V$1441,A662,'唯一词标签'!$Z$2:$Z$1441,"unknown")</x:f>
        <x:v>0</x:v>
      </x:c>
      <x:c r="H662" s="7" t="n">
        <x:f>COUNTIFS('唯一词标签'!$V$2:$V$1441,A662,'唯一词标签'!$U$2:$U$1441,"low")</x:f>
        <x:v>0</x:v>
      </x:c>
      <x:c r="I662" s="7" t="n">
        <x:f>COUNTIFS('唯一词标签'!$V$2:$V$1441,A662,'唯一词标签'!$AB$2:$AB$1441,"needs_review")</x:f>
        <x:v>0</x:v>
      </x:c>
    </x:row>
    <x:row r="663" ht="22" customHeight="1">
      <x:c r="A663" s="7" t="str">
        <x:v>support_flip_flops_brown</x:v>
      </x:c>
      <x:c r="B663" s="7" t="n">
        <x:f>COUNTIF('唯一词标签'!$V$2:$V$1441,A663)</x:f>
        <x:v>1</x:v>
      </x:c>
      <x:c r="C663" s="55" t="n">
        <x:f>B663/COUNTA('唯一词标签'!$C$2:$C$1441)</x:f>
        <x:v>0.0006944444444444445</x:v>
      </x:c>
      <x:c r="D663" s="7" t="n">
        <x:f>COUNTIFS('唯一词标签'!$V$2:$V$1441,A663,'唯一词标签'!$Z$2:$Z$1441,"match")</x:f>
        <x:v>1</x:v>
      </x:c>
      <x:c r="E663" s="7" t="n">
        <x:f>COUNTIFS('唯一词标签'!$V$2:$V$1441,A663,'唯一词标签'!$Z$2:$Z$1441,"partial_match")</x:f>
        <x:v>0</x:v>
      </x:c>
      <x:c r="F663" s="7" t="n">
        <x:f>COUNTIFS('唯一词标签'!$V$2:$V$1441,A663,'唯一词标签'!$Z$2:$Z$1441,"mismatch")</x:f>
        <x:v>0</x:v>
      </x:c>
      <x:c r="G663" s="7" t="n">
        <x:f>COUNTIFS('唯一词标签'!$V$2:$V$1441,A663,'唯一词标签'!$Z$2:$Z$1441,"unknown")</x:f>
        <x:v>0</x:v>
      </x:c>
      <x:c r="H663" s="7" t="n">
        <x:f>COUNTIFS('唯一词标签'!$V$2:$V$1441,A663,'唯一词标签'!$U$2:$U$1441,"low")</x:f>
        <x:v>0</x:v>
      </x:c>
      <x:c r="I663" s="7" t="n">
        <x:f>COUNTIFS('唯一词标签'!$V$2:$V$1441,A663,'唯一词标签'!$AB$2:$AB$1441,"needs_review")</x:f>
        <x:v>0</x:v>
      </x:c>
    </x:row>
    <x:row r="664" ht="22" customHeight="1">
      <x:c r="A664" s="7" t="str">
        <x:v>support_flip_flops_women</x:v>
      </x:c>
      <x:c r="B664" s="7" t="n">
        <x:f>COUNTIF('唯一词标签'!$V$2:$V$1441,A664)</x:f>
        <x:v>1</x:v>
      </x:c>
      <x:c r="C664" s="55" t="n">
        <x:f>B664/COUNTA('唯一词标签'!$C$2:$C$1441)</x:f>
        <x:v>0.0006944444444444445</x:v>
      </x:c>
      <x:c r="D664" s="7" t="n">
        <x:f>COUNTIFS('唯一词标签'!$V$2:$V$1441,A664,'唯一词标签'!$Z$2:$Z$1441,"match")</x:f>
        <x:v>1</x:v>
      </x:c>
      <x:c r="E664" s="7" t="n">
        <x:f>COUNTIFS('唯一词标签'!$V$2:$V$1441,A664,'唯一词标签'!$Z$2:$Z$1441,"partial_match")</x:f>
        <x:v>0</x:v>
      </x:c>
      <x:c r="F664" s="7" t="n">
        <x:f>COUNTIFS('唯一词标签'!$V$2:$V$1441,A664,'唯一词标签'!$Z$2:$Z$1441,"mismatch")</x:f>
        <x:v>0</x:v>
      </x:c>
      <x:c r="G664" s="7" t="n">
        <x:f>COUNTIFS('唯一词标签'!$V$2:$V$1441,A664,'唯一词标签'!$Z$2:$Z$1441,"unknown")</x:f>
        <x:v>0</x:v>
      </x:c>
      <x:c r="H664" s="7" t="n">
        <x:f>COUNTIFS('唯一词标签'!$V$2:$V$1441,A664,'唯一词标签'!$U$2:$U$1441,"low")</x:f>
        <x:v>0</x:v>
      </x:c>
      <x:c r="I664" s="7" t="n">
        <x:f>COUNTIFS('唯一词标签'!$V$2:$V$1441,A664,'唯一词标签'!$AB$2:$AB$1441,"needs_review")</x:f>
        <x:v>0</x:v>
      </x:c>
    </x:row>
    <x:row r="665" ht="22" customHeight="1">
      <x:c r="A665" s="7" t="str">
        <x:v>supportive_arch_sandals_women</x:v>
      </x:c>
      <x:c r="B665" s="7" t="n">
        <x:f>COUNTIF('唯一词标签'!$V$2:$V$1441,A665)</x:f>
        <x:v>1</x:v>
      </x:c>
      <x:c r="C665" s="55" t="n">
        <x:f>B665/COUNTA('唯一词标签'!$C$2:$C$1441)</x:f>
        <x:v>0.0006944444444444445</x:v>
      </x:c>
      <x:c r="D665" s="7" t="n">
        <x:f>COUNTIFS('唯一词标签'!$V$2:$V$1441,A665,'唯一词标签'!$Z$2:$Z$1441,"match")</x:f>
        <x:v>1</x:v>
      </x:c>
      <x:c r="E665" s="7" t="n">
        <x:f>COUNTIFS('唯一词标签'!$V$2:$V$1441,A665,'唯一词标签'!$Z$2:$Z$1441,"partial_match")</x:f>
        <x:v>0</x:v>
      </x:c>
      <x:c r="F665" s="7" t="n">
        <x:f>COUNTIFS('唯一词标签'!$V$2:$V$1441,A665,'唯一词标签'!$Z$2:$Z$1441,"mismatch")</x:f>
        <x:v>0</x:v>
      </x:c>
      <x:c r="G665" s="7" t="n">
        <x:f>COUNTIFS('唯一词标签'!$V$2:$V$1441,A665,'唯一词标签'!$Z$2:$Z$1441,"unknown")</x:f>
        <x:v>0</x:v>
      </x:c>
      <x:c r="H665" s="7" t="n">
        <x:f>COUNTIFS('唯一词标签'!$V$2:$V$1441,A665,'唯一词标签'!$U$2:$U$1441,"low")</x:f>
        <x:v>0</x:v>
      </x:c>
      <x:c r="I665" s="7" t="n">
        <x:f>COUNTIFS('唯一词标签'!$V$2:$V$1441,A665,'唯一词标签'!$AB$2:$AB$1441,"needs_review")</x:f>
        <x:v>0</x:v>
      </x:c>
    </x:row>
    <x:row r="666" ht="22" customHeight="1">
      <x:c r="A666" s="7" t="str">
        <x:v>supportive_black_flip_flops</x:v>
      </x:c>
      <x:c r="B666" s="7" t="n">
        <x:f>COUNTIF('唯一词标签'!$V$2:$V$1441,A666)</x:f>
        <x:v>1</x:v>
      </x:c>
      <x:c r="C666" s="55" t="n">
        <x:f>B666/COUNTA('唯一词标签'!$C$2:$C$1441)</x:f>
        <x:v>0.0006944444444444445</x:v>
      </x:c>
      <x:c r="D666" s="7" t="n">
        <x:f>COUNTIFS('唯一词标签'!$V$2:$V$1441,A666,'唯一词标签'!$Z$2:$Z$1441,"match")</x:f>
        <x:v>1</x:v>
      </x:c>
      <x:c r="E666" s="7" t="n">
        <x:f>COUNTIFS('唯一词标签'!$V$2:$V$1441,A666,'唯一词标签'!$Z$2:$Z$1441,"partial_match")</x:f>
        <x:v>0</x:v>
      </x:c>
      <x:c r="F666" s="7" t="n">
        <x:f>COUNTIFS('唯一词标签'!$V$2:$V$1441,A666,'唯一词标签'!$Z$2:$Z$1441,"mismatch")</x:f>
        <x:v>0</x:v>
      </x:c>
      <x:c r="G666" s="7" t="n">
        <x:f>COUNTIFS('唯一词标签'!$V$2:$V$1441,A666,'唯一词标签'!$Z$2:$Z$1441,"unknown")</x:f>
        <x:v>0</x:v>
      </x:c>
      <x:c r="H666" s="7" t="n">
        <x:f>COUNTIFS('唯一词标签'!$V$2:$V$1441,A666,'唯一词标签'!$U$2:$U$1441,"low")</x:f>
        <x:v>0</x:v>
      </x:c>
      <x:c r="I666" s="7" t="n">
        <x:f>COUNTIFS('唯一词标签'!$V$2:$V$1441,A666,'唯一词标签'!$AB$2:$AB$1441,"needs_review")</x:f>
        <x:v>0</x:v>
      </x:c>
    </x:row>
    <x:row r="667" ht="22" customHeight="1">
      <x:c r="A667" s="7" t="str">
        <x:v>supportive_flip_flops</x:v>
      </x:c>
      <x:c r="B667" s="7" t="n">
        <x:f>COUNTIF('唯一词标签'!$V$2:$V$1441,A667)</x:f>
        <x:v>3</x:v>
      </x:c>
      <x:c r="C667" s="55" t="n">
        <x:f>B667/COUNTA('唯一词标签'!$C$2:$C$1441)</x:f>
        <x:v>0.0020833333333333333</x:v>
      </x:c>
      <x:c r="D667" s="7" t="n">
        <x:f>COUNTIFS('唯一词标签'!$V$2:$V$1441,A667,'唯一词标签'!$Z$2:$Z$1441,"match")</x:f>
        <x:v>3</x:v>
      </x:c>
      <x:c r="E667" s="7" t="n">
        <x:f>COUNTIFS('唯一词标签'!$V$2:$V$1441,A667,'唯一词标签'!$Z$2:$Z$1441,"partial_match")</x:f>
        <x:v>0</x:v>
      </x:c>
      <x:c r="F667" s="7" t="n">
        <x:f>COUNTIFS('唯一词标签'!$V$2:$V$1441,A667,'唯一词标签'!$Z$2:$Z$1441,"mismatch")</x:f>
        <x:v>0</x:v>
      </x:c>
      <x:c r="G667" s="7" t="n">
        <x:f>COUNTIFS('唯一词标签'!$V$2:$V$1441,A667,'唯一词标签'!$Z$2:$Z$1441,"unknown")</x:f>
        <x:v>0</x:v>
      </x:c>
      <x:c r="H667" s="7" t="n">
        <x:f>COUNTIFS('唯一词标签'!$V$2:$V$1441,A667,'唯一词标签'!$U$2:$U$1441,"low")</x:f>
        <x:v>0</x:v>
      </x:c>
      <x:c r="I667" s="7" t="n">
        <x:f>COUNTIFS('唯一词标签'!$V$2:$V$1441,A667,'唯一词标签'!$AB$2:$AB$1441,"needs_review")</x:f>
        <x:v>0</x:v>
      </x:c>
    </x:row>
    <x:row r="668" ht="22" customHeight="1">
      <x:c r="A668" s="7" t="str">
        <x:v>supportive_sandals</x:v>
      </x:c>
      <x:c r="B668" s="7" t="n">
        <x:f>COUNTIF('唯一词标签'!$V$2:$V$1441,A668)</x:f>
        <x:v>1</x:v>
      </x:c>
      <x:c r="C668" s="55" t="n">
        <x:f>B668/COUNTA('唯一词标签'!$C$2:$C$1441)</x:f>
        <x:v>0.0006944444444444445</x:v>
      </x:c>
      <x:c r="D668" s="7" t="n">
        <x:f>COUNTIFS('唯一词标签'!$V$2:$V$1441,A668,'唯一词标签'!$Z$2:$Z$1441,"match")</x:f>
        <x:v>1</x:v>
      </x:c>
      <x:c r="E668" s="7" t="n">
        <x:f>COUNTIFS('唯一词标签'!$V$2:$V$1441,A668,'唯一词标签'!$Z$2:$Z$1441,"partial_match")</x:f>
        <x:v>0</x:v>
      </x:c>
      <x:c r="F668" s="7" t="n">
        <x:f>COUNTIFS('唯一词标签'!$V$2:$V$1441,A668,'唯一词标签'!$Z$2:$Z$1441,"mismatch")</x:f>
        <x:v>0</x:v>
      </x:c>
      <x:c r="G668" s="7" t="n">
        <x:f>COUNTIFS('唯一词标签'!$V$2:$V$1441,A668,'唯一词标签'!$Z$2:$Z$1441,"unknown")</x:f>
        <x:v>0</x:v>
      </x:c>
      <x:c r="H668" s="7" t="n">
        <x:f>COUNTIFS('唯一词标签'!$V$2:$V$1441,A668,'唯一词标签'!$U$2:$U$1441,"low")</x:f>
        <x:v>0</x:v>
      </x:c>
      <x:c r="I668" s="7" t="n">
        <x:f>COUNTIFS('唯一词标签'!$V$2:$V$1441,A668,'唯一词标签'!$AB$2:$AB$1441,"needs_review")</x:f>
        <x:v>0</x:v>
      </x:c>
    </x:row>
    <x:row r="669" ht="22" customHeight="1">
      <x:c r="A669" s="7" t="str">
        <x:v>supportive_thong_sandals_womens</x:v>
      </x:c>
      <x:c r="B669" s="7" t="n">
        <x:f>COUNTIF('唯一词标签'!$V$2:$V$1441,A669)</x:f>
        <x:v>1</x:v>
      </x:c>
      <x:c r="C669" s="55" t="n">
        <x:f>B669/COUNTA('唯一词标签'!$C$2:$C$1441)</x:f>
        <x:v>0.0006944444444444445</x:v>
      </x:c>
      <x:c r="D669" s="7" t="n">
        <x:f>COUNTIFS('唯一词标签'!$V$2:$V$1441,A669,'唯一词标签'!$Z$2:$Z$1441,"match")</x:f>
        <x:v>1</x:v>
      </x:c>
      <x:c r="E669" s="7" t="n">
        <x:f>COUNTIFS('唯一词标签'!$V$2:$V$1441,A669,'唯一词标签'!$Z$2:$Z$1441,"partial_match")</x:f>
        <x:v>0</x:v>
      </x:c>
      <x:c r="F669" s="7" t="n">
        <x:f>COUNTIFS('唯一词标签'!$V$2:$V$1441,A669,'唯一词标签'!$Z$2:$Z$1441,"mismatch")</x:f>
        <x:v>0</x:v>
      </x:c>
      <x:c r="G669" s="7" t="n">
        <x:f>COUNTIFS('唯一词标签'!$V$2:$V$1441,A669,'唯一词标签'!$Z$2:$Z$1441,"unknown")</x:f>
        <x:v>0</x:v>
      </x:c>
      <x:c r="H669" s="7" t="n">
        <x:f>COUNTIFS('唯一词标签'!$V$2:$V$1441,A669,'唯一词标签'!$U$2:$U$1441,"low")</x:f>
        <x:v>0</x:v>
      </x:c>
      <x:c r="I669" s="7" t="n">
        <x:f>COUNTIFS('唯一词标签'!$V$2:$V$1441,A669,'唯一词标签'!$AB$2:$AB$1441,"needs_review")</x:f>
        <x:v>0</x:v>
      </x:c>
    </x:row>
    <x:row r="670" ht="22" customHeight="1">
      <x:c r="A670" s="7" t="str">
        <x:v>sweat_absorbent_flip_flops</x:v>
      </x:c>
      <x:c r="B670" s="7" t="n">
        <x:f>COUNTIF('唯一词标签'!$V$2:$V$1441,A670)</x:f>
        <x:v>1</x:v>
      </x:c>
      <x:c r="C670" s="55" t="n">
        <x:f>B670/COUNTA('唯一词标签'!$C$2:$C$1441)</x:f>
        <x:v>0.0006944444444444445</x:v>
      </x:c>
      <x:c r="D670" s="7" t="n">
        <x:f>COUNTIFS('唯一词标签'!$V$2:$V$1441,A670,'唯一词标签'!$Z$2:$Z$1441,"match")</x:f>
        <x:v>0</x:v>
      </x:c>
      <x:c r="E670" s="7" t="n">
        <x:f>COUNTIFS('唯一词标签'!$V$2:$V$1441,A670,'唯一词标签'!$Z$2:$Z$1441,"partial_match")</x:f>
        <x:v>1</x:v>
      </x:c>
      <x:c r="F670" s="7" t="n">
        <x:f>COUNTIFS('唯一词标签'!$V$2:$V$1441,A670,'唯一词标签'!$Z$2:$Z$1441,"mismatch")</x:f>
        <x:v>0</x:v>
      </x:c>
      <x:c r="G670" s="7" t="n">
        <x:f>COUNTIFS('唯一词标签'!$V$2:$V$1441,A670,'唯一词标签'!$Z$2:$Z$1441,"unknown")</x:f>
        <x:v>0</x:v>
      </x:c>
      <x:c r="H670" s="7" t="n">
        <x:f>COUNTIFS('唯一词标签'!$V$2:$V$1441,A670,'唯一词标签'!$U$2:$U$1441,"low")</x:f>
        <x:v>1</x:v>
      </x:c>
      <x:c r="I670" s="7" t="n">
        <x:f>COUNTIFS('唯一词标签'!$V$2:$V$1441,A670,'唯一词标签'!$AB$2:$AB$1441,"needs_review")</x:f>
        <x:v>0</x:v>
      </x:c>
    </x:row>
    <x:row r="671" ht="22" customHeight="1">
      <x:c r="A671" s="7" t="str">
        <x:v>sweat_less_women_flip_flops</x:v>
      </x:c>
      <x:c r="B671" s="7" t="n">
        <x:f>COUNTIF('唯一词标签'!$V$2:$V$1441,A671)</x:f>
        <x:v>1</x:v>
      </x:c>
      <x:c r="C671" s="55" t="n">
        <x:f>B671/COUNTA('唯一词标签'!$C$2:$C$1441)</x:f>
        <x:v>0.0006944444444444445</x:v>
      </x:c>
      <x:c r="D671" s="7" t="n">
        <x:f>COUNTIFS('唯一词标签'!$V$2:$V$1441,A671,'唯一词标签'!$Z$2:$Z$1441,"match")</x:f>
        <x:v>0</x:v>
      </x:c>
      <x:c r="E671" s="7" t="n">
        <x:f>COUNTIFS('唯一词标签'!$V$2:$V$1441,A671,'唯一词标签'!$Z$2:$Z$1441,"partial_match")</x:f>
        <x:v>1</x:v>
      </x:c>
      <x:c r="F671" s="7" t="n">
        <x:f>COUNTIFS('唯一词标签'!$V$2:$V$1441,A671,'唯一词标签'!$Z$2:$Z$1441,"mismatch")</x:f>
        <x:v>0</x:v>
      </x:c>
      <x:c r="G671" s="7" t="n">
        <x:f>COUNTIFS('唯一词标签'!$V$2:$V$1441,A671,'唯一词标签'!$Z$2:$Z$1441,"unknown")</x:f>
        <x:v>0</x:v>
      </x:c>
      <x:c r="H671" s="7" t="n">
        <x:f>COUNTIFS('唯一词标签'!$V$2:$V$1441,A671,'唯一词标签'!$U$2:$U$1441,"low")</x:f>
        <x:v>0</x:v>
      </x:c>
      <x:c r="I671" s="7" t="n">
        <x:f>COUNTIFS('唯一词标签'!$V$2:$V$1441,A671,'唯一词标签'!$AB$2:$AB$1441,"needs_review")</x:f>
        <x:v>1</x:v>
      </x:c>
    </x:row>
    <x:row r="672" ht="22" customHeight="1">
      <x:c r="A672" s="7" t="str">
        <x:v>sweat_resistant_sandals_women</x:v>
      </x:c>
      <x:c r="B672" s="7" t="n">
        <x:f>COUNTIF('唯一词标签'!$V$2:$V$1441,A672)</x:f>
        <x:v>1</x:v>
      </x:c>
      <x:c r="C672" s="55" t="n">
        <x:f>B672/COUNTA('唯一词标签'!$C$2:$C$1441)</x:f>
        <x:v>0.0006944444444444445</x:v>
      </x:c>
      <x:c r="D672" s="7" t="n">
        <x:f>COUNTIFS('唯一词标签'!$V$2:$V$1441,A672,'唯一词标签'!$Z$2:$Z$1441,"match")</x:f>
        <x:v>0</x:v>
      </x:c>
      <x:c r="E672" s="7" t="n">
        <x:f>COUNTIFS('唯一词标签'!$V$2:$V$1441,A672,'唯一词标签'!$Z$2:$Z$1441,"partial_match")</x:f>
        <x:v>1</x:v>
      </x:c>
      <x:c r="F672" s="7" t="n">
        <x:f>COUNTIFS('唯一词标签'!$V$2:$V$1441,A672,'唯一词标签'!$Z$2:$Z$1441,"mismatch")</x:f>
        <x:v>0</x:v>
      </x:c>
      <x:c r="G672" s="7" t="n">
        <x:f>COUNTIFS('唯一词标签'!$V$2:$V$1441,A672,'唯一词标签'!$Z$2:$Z$1441,"unknown")</x:f>
        <x:v>0</x:v>
      </x:c>
      <x:c r="H672" s="7" t="n">
        <x:f>COUNTIFS('唯一词标签'!$V$2:$V$1441,A672,'唯一词标签'!$U$2:$U$1441,"low")</x:f>
        <x:v>0</x:v>
      </x:c>
      <x:c r="I672" s="7" t="n">
        <x:f>COUNTIFS('唯一词标签'!$V$2:$V$1441,A672,'唯一词标签'!$AB$2:$AB$1441,"needs_review")</x:f>
        <x:v>0</x:v>
      </x:c>
    </x:row>
    <x:row r="673" ht="22" customHeight="1">
      <x:c r="A673" s="7" t="str">
        <x:v>sweaty_feet_flip_flops_women</x:v>
      </x:c>
      <x:c r="B673" s="7" t="n">
        <x:f>COUNTIF('唯一词标签'!$V$2:$V$1441,A673)</x:f>
        <x:v>1</x:v>
      </x:c>
      <x:c r="C673" s="55" t="n">
        <x:f>B673/COUNTA('唯一词标签'!$C$2:$C$1441)</x:f>
        <x:v>0.0006944444444444445</x:v>
      </x:c>
      <x:c r="D673" s="7" t="n">
        <x:f>COUNTIFS('唯一词标签'!$V$2:$V$1441,A673,'唯一词标签'!$Z$2:$Z$1441,"match")</x:f>
        <x:v>1</x:v>
      </x:c>
      <x:c r="E673" s="7" t="n">
        <x:f>COUNTIFS('唯一词标签'!$V$2:$V$1441,A673,'唯一词标签'!$Z$2:$Z$1441,"partial_match")</x:f>
        <x:v>0</x:v>
      </x:c>
      <x:c r="F673" s="7" t="n">
        <x:f>COUNTIFS('唯一词标签'!$V$2:$V$1441,A673,'唯一词标签'!$Z$2:$Z$1441,"mismatch")</x:f>
        <x:v>0</x:v>
      </x:c>
      <x:c r="G673" s="7" t="n">
        <x:f>COUNTIFS('唯一词标签'!$V$2:$V$1441,A673,'唯一词标签'!$Z$2:$Z$1441,"unknown")</x:f>
        <x:v>0</x:v>
      </x:c>
      <x:c r="H673" s="7" t="n">
        <x:f>COUNTIFS('唯一词标签'!$V$2:$V$1441,A673,'唯一词标签'!$U$2:$U$1441,"low")</x:f>
        <x:v>0</x:v>
      </x:c>
      <x:c r="I673" s="7" t="n">
        <x:f>COUNTIFS('唯一词标签'!$V$2:$V$1441,A673,'唯一词标签'!$AB$2:$AB$1441,"needs_review")</x:f>
        <x:v>0</x:v>
      </x:c>
    </x:row>
    <x:row r="674" ht="22" customHeight="1">
      <x:c r="A674" s="7" t="str">
        <x:v>swim_flip_flops</x:v>
      </x:c>
      <x:c r="B674" s="7" t="n">
        <x:f>COUNTIF('唯一词标签'!$V$2:$V$1441,A674)</x:f>
        <x:v>1</x:v>
      </x:c>
      <x:c r="C674" s="55" t="n">
        <x:f>B674/COUNTA('唯一词标签'!$C$2:$C$1441)</x:f>
        <x:v>0.0006944444444444445</x:v>
      </x:c>
      <x:c r="D674" s="7" t="n">
        <x:f>COUNTIFS('唯一词标签'!$V$2:$V$1441,A674,'唯一词标签'!$Z$2:$Z$1441,"match")</x:f>
        <x:v>0</x:v>
      </x:c>
      <x:c r="E674" s="7" t="n">
        <x:f>COUNTIFS('唯一词标签'!$V$2:$V$1441,A674,'唯一词标签'!$Z$2:$Z$1441,"partial_match")</x:f>
        <x:v>1</x:v>
      </x:c>
      <x:c r="F674" s="7" t="n">
        <x:f>COUNTIFS('唯一词标签'!$V$2:$V$1441,A674,'唯一词标签'!$Z$2:$Z$1441,"mismatch")</x:f>
        <x:v>0</x:v>
      </x:c>
      <x:c r="G674" s="7" t="n">
        <x:f>COUNTIFS('唯一词标签'!$V$2:$V$1441,A674,'唯一词标签'!$Z$2:$Z$1441,"unknown")</x:f>
        <x:v>0</x:v>
      </x:c>
      <x:c r="H674" s="7" t="n">
        <x:f>COUNTIFS('唯一词标签'!$V$2:$V$1441,A674,'唯一词标签'!$U$2:$U$1441,"low")</x:f>
        <x:v>0</x:v>
      </x:c>
      <x:c r="I674" s="7" t="n">
        <x:f>COUNTIFS('唯一词标签'!$V$2:$V$1441,A674,'唯一词标签'!$AB$2:$AB$1441,"needs_review")</x:f>
        <x:v>0</x:v>
      </x:c>
    </x:row>
    <x:row r="675" ht="22" customHeight="1">
      <x:c r="A675" s="7" t="str">
        <x:v>swim_footwear</x:v>
      </x:c>
      <x:c r="B675" s="7" t="n">
        <x:f>COUNTIF('唯一词标签'!$V$2:$V$1441,A675)</x:f>
        <x:v>1</x:v>
      </x:c>
      <x:c r="C675" s="55" t="n">
        <x:f>B675/COUNTA('唯一词标签'!$C$2:$C$1441)</x:f>
        <x:v>0.0006944444444444445</x:v>
      </x:c>
      <x:c r="D675" s="7" t="n">
        <x:f>COUNTIFS('唯一词标签'!$V$2:$V$1441,A675,'唯一词标签'!$Z$2:$Z$1441,"match")</x:f>
        <x:v>0</x:v>
      </x:c>
      <x:c r="E675" s="7" t="n">
        <x:f>COUNTIFS('唯一词标签'!$V$2:$V$1441,A675,'唯一词标签'!$Z$2:$Z$1441,"partial_match")</x:f>
        <x:v>1</x:v>
      </x:c>
      <x:c r="F675" s="7" t="n">
        <x:f>COUNTIFS('唯一词标签'!$V$2:$V$1441,A675,'唯一词标签'!$Z$2:$Z$1441,"mismatch")</x:f>
        <x:v>0</x:v>
      </x:c>
      <x:c r="G675" s="7" t="n">
        <x:f>COUNTIFS('唯一词标签'!$V$2:$V$1441,A675,'唯一词标签'!$Z$2:$Z$1441,"unknown")</x:f>
        <x:v>0</x:v>
      </x:c>
      <x:c r="H675" s="7" t="n">
        <x:f>COUNTIFS('唯一词标签'!$V$2:$V$1441,A675,'唯一词标签'!$U$2:$U$1441,"low")</x:f>
        <x:v>0</x:v>
      </x:c>
      <x:c r="I675" s="7" t="n">
        <x:f>COUNTIFS('唯一词标签'!$V$2:$V$1441,A675,'唯一词标签'!$AB$2:$AB$1441,"needs_review")</x:f>
        <x:v>0</x:v>
      </x:c>
    </x:row>
    <x:row r="676" ht="22" customHeight="1">
      <x:c r="A676" s="7" t="str">
        <x:v>swim_sandals_women</x:v>
      </x:c>
      <x:c r="B676" s="7" t="n">
        <x:f>COUNTIF('唯一词标签'!$V$2:$V$1441,A676)</x:f>
        <x:v>1</x:v>
      </x:c>
      <x:c r="C676" s="55" t="n">
        <x:f>B676/COUNTA('唯一词标签'!$C$2:$C$1441)</x:f>
        <x:v>0.0006944444444444445</x:v>
      </x:c>
      <x:c r="D676" s="7" t="n">
        <x:f>COUNTIFS('唯一词标签'!$V$2:$V$1441,A676,'唯一词标签'!$Z$2:$Z$1441,"match")</x:f>
        <x:v>0</x:v>
      </x:c>
      <x:c r="E676" s="7" t="n">
        <x:f>COUNTIFS('唯一词标签'!$V$2:$V$1441,A676,'唯一词标签'!$Z$2:$Z$1441,"partial_match")</x:f>
        <x:v>1</x:v>
      </x:c>
      <x:c r="F676" s="7" t="n">
        <x:f>COUNTIFS('唯一词标签'!$V$2:$V$1441,A676,'唯一词标签'!$Z$2:$Z$1441,"mismatch")</x:f>
        <x:v>0</x:v>
      </x:c>
      <x:c r="G676" s="7" t="n">
        <x:f>COUNTIFS('唯一词标签'!$V$2:$V$1441,A676,'唯一词标签'!$Z$2:$Z$1441,"unknown")</x:f>
        <x:v>0</x:v>
      </x:c>
      <x:c r="H676" s="7" t="n">
        <x:f>COUNTIFS('唯一词标签'!$V$2:$V$1441,A676,'唯一词标签'!$U$2:$U$1441,"low")</x:f>
        <x:v>0</x:v>
      </x:c>
      <x:c r="I676" s="7" t="n">
        <x:f>COUNTIFS('唯一词标签'!$V$2:$V$1441,A676,'唯一词标签'!$AB$2:$AB$1441,"needs_review")</x:f>
        <x:v>0</x:v>
      </x:c>
    </x:row>
    <x:row r="677" ht="22" customHeight="1">
      <x:c r="A677" s="7" t="str">
        <x:v>swim_womens_flip_flops</x:v>
      </x:c>
      <x:c r="B677" s="7" t="n">
        <x:f>COUNTIF('唯一词标签'!$V$2:$V$1441,A677)</x:f>
        <x:v>1</x:v>
      </x:c>
      <x:c r="C677" s="55" t="n">
        <x:f>B677/COUNTA('唯一词标签'!$C$2:$C$1441)</x:f>
        <x:v>0.0006944444444444445</x:v>
      </x:c>
      <x:c r="D677" s="7" t="n">
        <x:f>COUNTIFS('唯一词标签'!$V$2:$V$1441,A677,'唯一词标签'!$Z$2:$Z$1441,"match")</x:f>
        <x:v>0</x:v>
      </x:c>
      <x:c r="E677" s="7" t="n">
        <x:f>COUNTIFS('唯一词标签'!$V$2:$V$1441,A677,'唯一词标签'!$Z$2:$Z$1441,"partial_match")</x:f>
        <x:v>1</x:v>
      </x:c>
      <x:c r="F677" s="7" t="n">
        <x:f>COUNTIFS('唯一词标签'!$V$2:$V$1441,A677,'唯一词标签'!$Z$2:$Z$1441,"mismatch")</x:f>
        <x:v>0</x:v>
      </x:c>
      <x:c r="G677" s="7" t="n">
        <x:f>COUNTIFS('唯一词标签'!$V$2:$V$1441,A677,'唯一词标签'!$Z$2:$Z$1441,"unknown")</x:f>
        <x:v>0</x:v>
      </x:c>
      <x:c r="H677" s="7" t="n">
        <x:f>COUNTIFS('唯一词标签'!$V$2:$V$1441,A677,'唯一词标签'!$U$2:$U$1441,"low")</x:f>
        <x:v>0</x:v>
      </x:c>
      <x:c r="I677" s="7" t="n">
        <x:f>COUNTIFS('唯一词标签'!$V$2:$V$1441,A677,'唯一词标签'!$AB$2:$AB$1441,"needs_review")</x:f>
        <x:v>0</x:v>
      </x:c>
    </x:row>
    <x:row r="678" ht="22" customHeight="1">
      <x:c r="A678" s="7" t="str">
        <x:v>tan_womens_flip_flops</x:v>
      </x:c>
      <x:c r="B678" s="7" t="n">
        <x:f>COUNTIF('唯一词标签'!$V$2:$V$1441,A678)</x:f>
        <x:v>1</x:v>
      </x:c>
      <x:c r="C678" s="55" t="n">
        <x:f>B678/COUNTA('唯一词标签'!$C$2:$C$1441)</x:f>
        <x:v>0.0006944444444444445</x:v>
      </x:c>
      <x:c r="D678" s="7" t="n">
        <x:f>COUNTIFS('唯一词标签'!$V$2:$V$1441,A678,'唯一词标签'!$Z$2:$Z$1441,"match")</x:f>
        <x:v>0</x:v>
      </x:c>
      <x:c r="E678" s="7" t="n">
        <x:f>COUNTIFS('唯一词标签'!$V$2:$V$1441,A678,'唯一词标签'!$Z$2:$Z$1441,"partial_match")</x:f>
        <x:v>1</x:v>
      </x:c>
      <x:c r="F678" s="7" t="n">
        <x:f>COUNTIFS('唯一词标签'!$V$2:$V$1441,A678,'唯一词标签'!$Z$2:$Z$1441,"mismatch")</x:f>
        <x:v>0</x:v>
      </x:c>
      <x:c r="G678" s="7" t="n">
        <x:f>COUNTIFS('唯一词标签'!$V$2:$V$1441,A678,'唯一词标签'!$Z$2:$Z$1441,"unknown")</x:f>
        <x:v>0</x:v>
      </x:c>
      <x:c r="H678" s="7" t="n">
        <x:f>COUNTIFS('唯一词标签'!$V$2:$V$1441,A678,'唯一词标签'!$U$2:$U$1441,"low")</x:f>
        <x:v>0</x:v>
      </x:c>
      <x:c r="I678" s="7" t="n">
        <x:f>COUNTIFS('唯一词标签'!$V$2:$V$1441,A678,'唯一词标签'!$AB$2:$AB$1441,"needs_review")</x:f>
        <x:v>0</x:v>
      </x:c>
    </x:row>
    <x:row r="679" ht="22" customHeight="1">
      <x:c r="A679" s="7" t="str">
        <x:v>taupe_flip_flops</x:v>
      </x:c>
      <x:c r="B679" s="7" t="n">
        <x:f>COUNTIF('唯一词标签'!$V$2:$V$1441,A679)</x:f>
        <x:v>1</x:v>
      </x:c>
      <x:c r="C679" s="55" t="n">
        <x:f>B679/COUNTA('唯一词标签'!$C$2:$C$1441)</x:f>
        <x:v>0.0006944444444444445</x:v>
      </x:c>
      <x:c r="D679" s="7" t="n">
        <x:f>COUNTIFS('唯一词标签'!$V$2:$V$1441,A679,'唯一词标签'!$Z$2:$Z$1441,"match")</x:f>
        <x:v>0</x:v>
      </x:c>
      <x:c r="E679" s="7" t="n">
        <x:f>COUNTIFS('唯一词标签'!$V$2:$V$1441,A679,'唯一词标签'!$Z$2:$Z$1441,"partial_match")</x:f>
        <x:v>0</x:v>
      </x:c>
      <x:c r="F679" s="7" t="n">
        <x:f>COUNTIFS('唯一词标签'!$V$2:$V$1441,A679,'唯一词标签'!$Z$2:$Z$1441,"mismatch")</x:f>
        <x:v>1</x:v>
      </x:c>
      <x:c r="G679" s="7" t="n">
        <x:f>COUNTIFS('唯一词标签'!$V$2:$V$1441,A679,'唯一词标签'!$Z$2:$Z$1441,"unknown")</x:f>
        <x:v>0</x:v>
      </x:c>
      <x:c r="H679" s="7" t="n">
        <x:f>COUNTIFS('唯一词标签'!$V$2:$V$1441,A679,'唯一词标签'!$U$2:$U$1441,"low")</x:f>
        <x:v>0</x:v>
      </x:c>
      <x:c r="I679" s="7" t="n">
        <x:f>COUNTIFS('唯一词标签'!$V$2:$V$1441,A679,'唯一词标签'!$AB$2:$AB$1441,"needs_review")</x:f>
        <x:v>0</x:v>
      </x:c>
    </x:row>
    <x:row r="680" ht="22" customHeight="1">
      <x:c r="A680" s="7" t="str">
        <x:v>taupe_womens_sandals</x:v>
      </x:c>
      <x:c r="B680" s="7" t="n">
        <x:f>COUNTIF('唯一词标签'!$V$2:$V$1441,A680)</x:f>
        <x:v>1</x:v>
      </x:c>
      <x:c r="C680" s="55" t="n">
        <x:f>B680/COUNTA('唯一词标签'!$C$2:$C$1441)</x:f>
        <x:v>0.0006944444444444445</x:v>
      </x:c>
      <x:c r="D680" s="7" t="n">
        <x:f>COUNTIFS('唯一词标签'!$V$2:$V$1441,A680,'唯一词标签'!$Z$2:$Z$1441,"match")</x:f>
        <x:v>0</x:v>
      </x:c>
      <x:c r="E680" s="7" t="n">
        <x:f>COUNTIFS('唯一词标签'!$V$2:$V$1441,A680,'唯一词标签'!$Z$2:$Z$1441,"partial_match")</x:f>
        <x:v>1</x:v>
      </x:c>
      <x:c r="F680" s="7" t="n">
        <x:f>COUNTIFS('唯一词标签'!$V$2:$V$1441,A680,'唯一词标签'!$Z$2:$Z$1441,"mismatch")</x:f>
        <x:v>0</x:v>
      </x:c>
      <x:c r="G680" s="7" t="n">
        <x:f>COUNTIFS('唯一词标签'!$V$2:$V$1441,A680,'唯一词标签'!$Z$2:$Z$1441,"unknown")</x:f>
        <x:v>0</x:v>
      </x:c>
      <x:c r="H680" s="7" t="n">
        <x:f>COUNTIFS('唯一词标签'!$V$2:$V$1441,A680,'唯一词标签'!$U$2:$U$1441,"low")</x:f>
        <x:v>0</x:v>
      </x:c>
      <x:c r="I680" s="7" t="n">
        <x:f>COUNTIFS('唯一词标签'!$V$2:$V$1441,A680,'唯一词标签'!$AB$2:$AB$1441,"needs_review")</x:f>
        <x:v>0</x:v>
      </x:c>
    </x:row>
    <x:row r="681" ht="22" customHeight="1">
      <x:c r="A681" s="7" t="str">
        <x:v>teal_flip_flops</x:v>
      </x:c>
      <x:c r="B681" s="7" t="n">
        <x:f>COUNTIF('唯一词标签'!$V$2:$V$1441,A681)</x:f>
        <x:v>1</x:v>
      </x:c>
      <x:c r="C681" s="55" t="n">
        <x:f>B681/COUNTA('唯一词标签'!$C$2:$C$1441)</x:f>
        <x:v>0.0006944444444444445</x:v>
      </x:c>
      <x:c r="D681" s="7" t="n">
        <x:f>COUNTIFS('唯一词标签'!$V$2:$V$1441,A681,'唯一词标签'!$Z$2:$Z$1441,"match")</x:f>
        <x:v>0</x:v>
      </x:c>
      <x:c r="E681" s="7" t="n">
        <x:f>COUNTIFS('唯一词标签'!$V$2:$V$1441,A681,'唯一词标签'!$Z$2:$Z$1441,"partial_match")</x:f>
        <x:v>1</x:v>
      </x:c>
      <x:c r="F681" s="7" t="n">
        <x:f>COUNTIFS('唯一词标签'!$V$2:$V$1441,A681,'唯一词标签'!$Z$2:$Z$1441,"mismatch")</x:f>
        <x:v>0</x:v>
      </x:c>
      <x:c r="G681" s="7" t="n">
        <x:f>COUNTIFS('唯一词标签'!$V$2:$V$1441,A681,'唯一词标签'!$Z$2:$Z$1441,"unknown")</x:f>
        <x:v>0</x:v>
      </x:c>
      <x:c r="H681" s="7" t="n">
        <x:f>COUNTIFS('唯一词标签'!$V$2:$V$1441,A681,'唯一词标签'!$U$2:$U$1441,"low")</x:f>
        <x:v>0</x:v>
      </x:c>
      <x:c r="I681" s="7" t="n">
        <x:f>COUNTIFS('唯一词标签'!$V$2:$V$1441,A681,'唯一词标签'!$AB$2:$AB$1441,"needs_review")</x:f>
        <x:v>0</x:v>
      </x:c>
    </x:row>
    <x:row r="682" ht="22" customHeight="1">
      <x:c r="A682" s="7" t="str">
        <x:v>teal_womens_flip_flops</x:v>
      </x:c>
      <x:c r="B682" s="7" t="n">
        <x:f>COUNTIF('唯一词标签'!$V$2:$V$1441,A682)</x:f>
        <x:v>1</x:v>
      </x:c>
      <x:c r="C682" s="55" t="n">
        <x:f>B682/COUNTA('唯一词标签'!$C$2:$C$1441)</x:f>
        <x:v>0.0006944444444444445</x:v>
      </x:c>
      <x:c r="D682" s="7" t="n">
        <x:f>COUNTIFS('唯一词标签'!$V$2:$V$1441,A682,'唯一词标签'!$Z$2:$Z$1441,"match")</x:f>
        <x:v>0</x:v>
      </x:c>
      <x:c r="E682" s="7" t="n">
        <x:f>COUNTIFS('唯一词标签'!$V$2:$V$1441,A682,'唯一词标签'!$Z$2:$Z$1441,"partial_match")</x:f>
        <x:v>1</x:v>
      </x:c>
      <x:c r="F682" s="7" t="n">
        <x:f>COUNTIFS('唯一词标签'!$V$2:$V$1441,A682,'唯一词标签'!$Z$2:$Z$1441,"mismatch")</x:f>
        <x:v>0</x:v>
      </x:c>
      <x:c r="G682" s="7" t="n">
        <x:f>COUNTIFS('唯一词标签'!$V$2:$V$1441,A682,'唯一词标签'!$Z$2:$Z$1441,"unknown")</x:f>
        <x:v>0</x:v>
      </x:c>
      <x:c r="H682" s="7" t="n">
        <x:f>COUNTIFS('唯一词标签'!$V$2:$V$1441,A682,'唯一词标签'!$U$2:$U$1441,"low")</x:f>
        <x:v>0</x:v>
      </x:c>
      <x:c r="I682" s="7" t="n">
        <x:f>COUNTIFS('唯一词标签'!$V$2:$V$1441,A682,'唯一词标签'!$AB$2:$AB$1441,"needs_review")</x:f>
        <x:v>0</x:v>
      </x:c>
    </x:row>
    <x:row r="683" ht="22" customHeight="1">
      <x:c r="A683" s="7" t="str">
        <x:v>tekees_flip_flops</x:v>
      </x:c>
      <x:c r="B683" s="7" t="n">
        <x:f>COUNTIF('唯一词标签'!$V$2:$V$1441,A683)</x:f>
        <x:v>1</x:v>
      </x:c>
      <x:c r="C683" s="55" t="n">
        <x:f>B683/COUNTA('唯一词标签'!$C$2:$C$1441)</x:f>
        <x:v>0.0006944444444444445</x:v>
      </x:c>
      <x:c r="D683" s="7" t="n">
        <x:f>COUNTIFS('唯一词标签'!$V$2:$V$1441,A683,'唯一词标签'!$Z$2:$Z$1441,"match")</x:f>
        <x:v>0</x:v>
      </x:c>
      <x:c r="E683" s="7" t="n">
        <x:f>COUNTIFS('唯一词标签'!$V$2:$V$1441,A683,'唯一词标签'!$Z$2:$Z$1441,"partial_match")</x:f>
        <x:v>0</x:v>
      </x:c>
      <x:c r="F683" s="7" t="n">
        <x:f>COUNTIFS('唯一词标签'!$V$2:$V$1441,A683,'唯一词标签'!$Z$2:$Z$1441,"mismatch")</x:f>
        <x:v>1</x:v>
      </x:c>
      <x:c r="G683" s="7" t="n">
        <x:f>COUNTIFS('唯一词标签'!$V$2:$V$1441,A683,'唯一词标签'!$Z$2:$Z$1441,"unknown")</x:f>
        <x:v>0</x:v>
      </x:c>
      <x:c r="H683" s="7" t="n">
        <x:f>COUNTIFS('唯一词标签'!$V$2:$V$1441,A683,'唯一词标签'!$U$2:$U$1441,"low")</x:f>
        <x:v>0</x:v>
      </x:c>
      <x:c r="I683" s="7" t="n">
        <x:f>COUNTIFS('唯一词标签'!$V$2:$V$1441,A683,'唯一词标签'!$AB$2:$AB$1441,"needs_review")</x:f>
        <x:v>0</x:v>
      </x:c>
    </x:row>
    <x:row r="684" ht="22" customHeight="1">
      <x:c r="A684" s="7" t="str">
        <x:v>temi_brand_womens_flip_flops</x:v>
      </x:c>
      <x:c r="B684" s="7" t="n">
        <x:f>COUNTIF('唯一词标签'!$V$2:$V$1441,A684)</x:f>
        <x:v>1</x:v>
      </x:c>
      <x:c r="C684" s="55" t="n">
        <x:f>B684/COUNTA('唯一词标签'!$C$2:$C$1441)</x:f>
        <x:v>0.0006944444444444445</x:v>
      </x:c>
      <x:c r="D684" s="7" t="n">
        <x:f>COUNTIFS('唯一词标签'!$V$2:$V$1441,A684,'唯一词标签'!$Z$2:$Z$1441,"match")</x:f>
        <x:v>0</x:v>
      </x:c>
      <x:c r="E684" s="7" t="n">
        <x:f>COUNTIFS('唯一词标签'!$V$2:$V$1441,A684,'唯一词标签'!$Z$2:$Z$1441,"partial_match")</x:f>
        <x:v>0</x:v>
      </x:c>
      <x:c r="F684" s="7" t="n">
        <x:f>COUNTIFS('唯一词标签'!$V$2:$V$1441,A684,'唯一词标签'!$Z$2:$Z$1441,"mismatch")</x:f>
        <x:v>1</x:v>
      </x:c>
      <x:c r="G684" s="7" t="n">
        <x:f>COUNTIFS('唯一词标签'!$V$2:$V$1441,A684,'唯一词标签'!$Z$2:$Z$1441,"unknown")</x:f>
        <x:v>0</x:v>
      </x:c>
      <x:c r="H684" s="7" t="n">
        <x:f>COUNTIFS('唯一词标签'!$V$2:$V$1441,A684,'唯一词标签'!$U$2:$U$1441,"low")</x:f>
        <x:v>0</x:v>
      </x:c>
      <x:c r="I684" s="7" t="n">
        <x:f>COUNTIFS('唯一词标签'!$V$2:$V$1441,A684,'唯一词标签'!$AB$2:$AB$1441,"needs_review")</x:f>
        <x:v>0</x:v>
      </x:c>
    </x:row>
    <x:row r="685" ht="22" customHeight="1">
      <x:c r="A685" s="7" t="str">
        <x:v>terry_cloth_flip_flops</x:v>
      </x:c>
      <x:c r="B685" s="7" t="n">
        <x:f>COUNTIF('唯一词标签'!$V$2:$V$1441,A685)</x:f>
        <x:v>1</x:v>
      </x:c>
      <x:c r="C685" s="55" t="n">
        <x:f>B685/COUNTA('唯一词标签'!$C$2:$C$1441)</x:f>
        <x:v>0.0006944444444444445</x:v>
      </x:c>
      <x:c r="D685" s="7" t="n">
        <x:f>COUNTIFS('唯一词标签'!$V$2:$V$1441,A685,'唯一词标签'!$Z$2:$Z$1441,"match")</x:f>
        <x:v>0</x:v>
      </x:c>
      <x:c r="E685" s="7" t="n">
        <x:f>COUNTIFS('唯一词标签'!$V$2:$V$1441,A685,'唯一词标签'!$Z$2:$Z$1441,"partial_match")</x:f>
        <x:v>0</x:v>
      </x:c>
      <x:c r="F685" s="7" t="n">
        <x:f>COUNTIFS('唯一词标签'!$V$2:$V$1441,A685,'唯一词标签'!$Z$2:$Z$1441,"mismatch")</x:f>
        <x:v>1</x:v>
      </x:c>
      <x:c r="G685" s="7" t="n">
        <x:f>COUNTIFS('唯一词标签'!$V$2:$V$1441,A685,'唯一词标签'!$Z$2:$Z$1441,"unknown")</x:f>
        <x:v>0</x:v>
      </x:c>
      <x:c r="H685" s="7" t="n">
        <x:f>COUNTIFS('唯一词标签'!$V$2:$V$1441,A685,'唯一词标签'!$U$2:$U$1441,"low")</x:f>
        <x:v>0</x:v>
      </x:c>
      <x:c r="I685" s="7" t="n">
        <x:f>COUNTIFS('唯一词标签'!$V$2:$V$1441,A685,'唯一词标签'!$AB$2:$AB$1441,"needs_review")</x:f>
        <x:v>0</x:v>
      </x:c>
    </x:row>
    <x:row r="686" ht="22" customHeight="1">
      <x:c r="A686" s="7" t="str">
        <x:v>textured_flip_flops_women</x:v>
      </x:c>
      <x:c r="B686" s="7" t="n">
        <x:f>COUNTIF('唯一词标签'!$V$2:$V$1441,A686)</x:f>
        <x:v>1</x:v>
      </x:c>
      <x:c r="C686" s="55" t="n">
        <x:f>B686/COUNTA('唯一词标签'!$C$2:$C$1441)</x:f>
        <x:v>0.0006944444444444445</x:v>
      </x:c>
      <x:c r="D686" s="7" t="n">
        <x:f>COUNTIFS('唯一词标签'!$V$2:$V$1441,A686,'唯一词标签'!$Z$2:$Z$1441,"match")</x:f>
        <x:v>1</x:v>
      </x:c>
      <x:c r="E686" s="7" t="n">
        <x:f>COUNTIFS('唯一词标签'!$V$2:$V$1441,A686,'唯一词标签'!$Z$2:$Z$1441,"partial_match")</x:f>
        <x:v>0</x:v>
      </x:c>
      <x:c r="F686" s="7" t="n">
        <x:f>COUNTIFS('唯一词标签'!$V$2:$V$1441,A686,'唯一词标签'!$Z$2:$Z$1441,"mismatch")</x:f>
        <x:v>0</x:v>
      </x:c>
      <x:c r="G686" s="7" t="n">
        <x:f>COUNTIFS('唯一词标签'!$V$2:$V$1441,A686,'唯一词标签'!$Z$2:$Z$1441,"unknown")</x:f>
        <x:v>0</x:v>
      </x:c>
      <x:c r="H686" s="7" t="n">
        <x:f>COUNTIFS('唯一词标签'!$V$2:$V$1441,A686,'唯一词标签'!$U$2:$U$1441,"low")</x:f>
        <x:v>0</x:v>
      </x:c>
      <x:c r="I686" s="7" t="n">
        <x:f>COUNTIFS('唯一词标签'!$V$2:$V$1441,A686,'唯一词标签'!$AB$2:$AB$1441,"needs_review")</x:f>
        <x:v>0</x:v>
      </x:c>
    </x:row>
    <x:row r="687" ht="22" customHeight="1">
      <x:c r="A687" s="7" t="str">
        <x:v>thick_flip_flops_women</x:v>
      </x:c>
      <x:c r="B687" s="7" t="n">
        <x:f>COUNTIF('唯一词标签'!$V$2:$V$1441,A687)</x:f>
        <x:v>1</x:v>
      </x:c>
      <x:c r="C687" s="55" t="n">
        <x:f>B687/COUNTA('唯一词标签'!$C$2:$C$1441)</x:f>
        <x:v>0.0006944444444444445</x:v>
      </x:c>
      <x:c r="D687" s="7" t="n">
        <x:f>COUNTIFS('唯一词标签'!$V$2:$V$1441,A687,'唯一词标签'!$Z$2:$Z$1441,"match")</x:f>
        <x:v>0</x:v>
      </x:c>
      <x:c r="E687" s="7" t="n">
        <x:f>COUNTIFS('唯一词标签'!$V$2:$V$1441,A687,'唯一词标签'!$Z$2:$Z$1441,"partial_match")</x:f>
        <x:v>1</x:v>
      </x:c>
      <x:c r="F687" s="7" t="n">
        <x:f>COUNTIFS('唯一词标签'!$V$2:$V$1441,A687,'唯一词标签'!$Z$2:$Z$1441,"mismatch")</x:f>
        <x:v>0</x:v>
      </x:c>
      <x:c r="G687" s="7" t="n">
        <x:f>COUNTIFS('唯一词标签'!$V$2:$V$1441,A687,'唯一词标签'!$Z$2:$Z$1441,"unknown")</x:f>
        <x:v>0</x:v>
      </x:c>
      <x:c r="H687" s="7" t="n">
        <x:f>COUNTIFS('唯一词标签'!$V$2:$V$1441,A687,'唯一词标签'!$U$2:$U$1441,"low")</x:f>
        <x:v>0</x:v>
      </x:c>
      <x:c r="I687" s="7" t="n">
        <x:f>COUNTIFS('唯一词标签'!$V$2:$V$1441,A687,'唯一词标签'!$AB$2:$AB$1441,"needs_review")</x:f>
        <x:v>0</x:v>
      </x:c>
    </x:row>
    <x:row r="688" ht="22" customHeight="1">
      <x:c r="A688" s="7" t="str">
        <x:v>thick_support_flip_flops</x:v>
      </x:c>
      <x:c r="B688" s="7" t="n">
        <x:f>COUNTIF('唯一词标签'!$V$2:$V$1441,A688)</x:f>
        <x:v>1</x:v>
      </x:c>
      <x:c r="C688" s="55" t="n">
        <x:f>B688/COUNTA('唯一词标签'!$C$2:$C$1441)</x:f>
        <x:v>0.0006944444444444445</x:v>
      </x:c>
      <x:c r="D688" s="7" t="n">
        <x:f>COUNTIFS('唯一词标签'!$V$2:$V$1441,A688,'唯一词标签'!$Z$2:$Z$1441,"match")</x:f>
        <x:v>1</x:v>
      </x:c>
      <x:c r="E688" s="7" t="n">
        <x:f>COUNTIFS('唯一词标签'!$V$2:$V$1441,A688,'唯一词标签'!$Z$2:$Z$1441,"partial_match")</x:f>
        <x:v>0</x:v>
      </x:c>
      <x:c r="F688" s="7" t="n">
        <x:f>COUNTIFS('唯一词标签'!$V$2:$V$1441,A688,'唯一词标签'!$Z$2:$Z$1441,"mismatch")</x:f>
        <x:v>0</x:v>
      </x:c>
      <x:c r="G688" s="7" t="n">
        <x:f>COUNTIFS('唯一词标签'!$V$2:$V$1441,A688,'唯一词标签'!$Z$2:$Z$1441,"unknown")</x:f>
        <x:v>0</x:v>
      </x:c>
      <x:c r="H688" s="7" t="n">
        <x:f>COUNTIFS('唯一词标签'!$V$2:$V$1441,A688,'唯一词标签'!$U$2:$U$1441,"low")</x:f>
        <x:v>0</x:v>
      </x:c>
      <x:c r="I688" s="7" t="n">
        <x:f>COUNTIFS('唯一词标签'!$V$2:$V$1441,A688,'唯一词标签'!$AB$2:$AB$1441,"needs_review")</x:f>
        <x:v>0</x:v>
      </x:c>
    </x:row>
    <x:row r="689" ht="22" customHeight="1">
      <x:c r="A689" s="7" t="str">
        <x:v>thin_fabric_strap_flip_flops</x:v>
      </x:c>
      <x:c r="B689" s="7" t="n">
        <x:f>COUNTIF('唯一词标签'!$V$2:$V$1441,A689)</x:f>
        <x:v>1</x:v>
      </x:c>
      <x:c r="C689" s="55" t="n">
        <x:f>B689/COUNTA('唯一词标签'!$C$2:$C$1441)</x:f>
        <x:v>0.0006944444444444445</x:v>
      </x:c>
      <x:c r="D689" s="7" t="n">
        <x:f>COUNTIFS('唯一词标签'!$V$2:$V$1441,A689,'唯一词标签'!$Z$2:$Z$1441,"match")</x:f>
        <x:v>0</x:v>
      </x:c>
      <x:c r="E689" s="7" t="n">
        <x:f>COUNTIFS('唯一词标签'!$V$2:$V$1441,A689,'唯一词标签'!$Z$2:$Z$1441,"partial_match")</x:f>
        <x:v>1</x:v>
      </x:c>
      <x:c r="F689" s="7" t="n">
        <x:f>COUNTIFS('唯一词标签'!$V$2:$V$1441,A689,'唯一词标签'!$Z$2:$Z$1441,"mismatch")</x:f>
        <x:v>0</x:v>
      </x:c>
      <x:c r="G689" s="7" t="n">
        <x:f>COUNTIFS('唯一词标签'!$V$2:$V$1441,A689,'唯一词标签'!$Z$2:$Z$1441,"unknown")</x:f>
        <x:v>0</x:v>
      </x:c>
      <x:c r="H689" s="7" t="n">
        <x:f>COUNTIFS('唯一词标签'!$V$2:$V$1441,A689,'唯一词标签'!$U$2:$U$1441,"low")</x:f>
        <x:v>0</x:v>
      </x:c>
      <x:c r="I689" s="7" t="n">
        <x:f>COUNTIFS('唯一词标签'!$V$2:$V$1441,A689,'唯一词标签'!$AB$2:$AB$1441,"needs_review")</x:f>
        <x:v>0</x:v>
      </x:c>
    </x:row>
    <x:row r="690" ht="22" customHeight="1">
      <x:c r="A690" s="7" t="str">
        <x:v>thong_flip_flops_color</x:v>
      </x:c>
      <x:c r="B690" s="7" t="n">
        <x:f>COUNTIF('唯一词标签'!$V$2:$V$1441,A690)</x:f>
        <x:v>1</x:v>
      </x:c>
      <x:c r="C690" s="55" t="n">
        <x:f>B690/COUNTA('唯一词标签'!$C$2:$C$1441)</x:f>
        <x:v>0.0006944444444444445</x:v>
      </x:c>
      <x:c r="D690" s="7" t="n">
        <x:f>COUNTIFS('唯一词标签'!$V$2:$V$1441,A690,'唯一词标签'!$Z$2:$Z$1441,"match")</x:f>
        <x:v>1</x:v>
      </x:c>
      <x:c r="E690" s="7" t="n">
        <x:f>COUNTIFS('唯一词标签'!$V$2:$V$1441,A690,'唯一词标签'!$Z$2:$Z$1441,"partial_match")</x:f>
        <x:v>0</x:v>
      </x:c>
      <x:c r="F690" s="7" t="n">
        <x:f>COUNTIFS('唯一词标签'!$V$2:$V$1441,A690,'唯一词标签'!$Z$2:$Z$1441,"mismatch")</x:f>
        <x:v>0</x:v>
      </x:c>
      <x:c r="G690" s="7" t="n">
        <x:f>COUNTIFS('唯一词标签'!$V$2:$V$1441,A690,'唯一词标签'!$Z$2:$Z$1441,"unknown")</x:f>
        <x:v>0</x:v>
      </x:c>
      <x:c r="H690" s="7" t="n">
        <x:f>COUNTIFS('唯一词标签'!$V$2:$V$1441,A690,'唯一词标签'!$U$2:$U$1441,"low")</x:f>
        <x:v>0</x:v>
      </x:c>
      <x:c r="I690" s="7" t="n">
        <x:f>COUNTIFS('唯一词标签'!$V$2:$V$1441,A690,'唯一词标签'!$AB$2:$AB$1441,"needs_review")</x:f>
        <x:v>0</x:v>
      </x:c>
    </x:row>
    <x:row r="691" ht="22" customHeight="1">
      <x:c r="A691" s="7" t="str">
        <x:v>thong_sandals</x:v>
      </x:c>
      <x:c r="B691" s="7" t="n">
        <x:f>COUNTIF('唯一词标签'!$V$2:$V$1441,A691)</x:f>
        <x:v>1</x:v>
      </x:c>
      <x:c r="C691" s="55" t="n">
        <x:f>B691/COUNTA('唯一词标签'!$C$2:$C$1441)</x:f>
        <x:v>0.0006944444444444445</x:v>
      </x:c>
      <x:c r="D691" s="7" t="n">
        <x:f>COUNTIFS('唯一词标签'!$V$2:$V$1441,A691,'唯一词标签'!$Z$2:$Z$1441,"match")</x:f>
        <x:v>1</x:v>
      </x:c>
      <x:c r="E691" s="7" t="n">
        <x:f>COUNTIFS('唯一词标签'!$V$2:$V$1441,A691,'唯一词标签'!$Z$2:$Z$1441,"partial_match")</x:f>
        <x:v>0</x:v>
      </x:c>
      <x:c r="F691" s="7" t="n">
        <x:f>COUNTIFS('唯一词标签'!$V$2:$V$1441,A691,'唯一词标签'!$Z$2:$Z$1441,"mismatch")</x:f>
        <x:v>0</x:v>
      </x:c>
      <x:c r="G691" s="7" t="n">
        <x:f>COUNTIFS('唯一词标签'!$V$2:$V$1441,A691,'唯一词标签'!$Z$2:$Z$1441,"unknown")</x:f>
        <x:v>0</x:v>
      </x:c>
      <x:c r="H691" s="7" t="n">
        <x:f>COUNTIFS('唯一词标签'!$V$2:$V$1441,A691,'唯一词标签'!$U$2:$U$1441,"low")</x:f>
        <x:v>0</x:v>
      </x:c>
      <x:c r="I691" s="7" t="n">
        <x:f>COUNTIFS('唯一词标签'!$V$2:$V$1441,A691,'唯一词标签'!$AB$2:$AB$1441,"needs_review")</x:f>
        <x:v>0</x:v>
      </x:c>
    </x:row>
    <x:row r="692" ht="22" customHeight="1">
      <x:c r="A692" s="7" t="str">
        <x:v>thong_sandals_arch_support</x:v>
      </x:c>
      <x:c r="B692" s="7" t="n">
        <x:f>COUNTIF('唯一词标签'!$V$2:$V$1441,A692)</x:f>
        <x:v>1</x:v>
      </x:c>
      <x:c r="C692" s="55" t="n">
        <x:f>B692/COUNTA('唯一词标签'!$C$2:$C$1441)</x:f>
        <x:v>0.0006944444444444445</x:v>
      </x:c>
      <x:c r="D692" s="7" t="n">
        <x:f>COUNTIFS('唯一词标签'!$V$2:$V$1441,A692,'唯一词标签'!$Z$2:$Z$1441,"match")</x:f>
        <x:v>1</x:v>
      </x:c>
      <x:c r="E692" s="7" t="n">
        <x:f>COUNTIFS('唯一词标签'!$V$2:$V$1441,A692,'唯一词标签'!$Z$2:$Z$1441,"partial_match")</x:f>
        <x:v>0</x:v>
      </x:c>
      <x:c r="F692" s="7" t="n">
        <x:f>COUNTIFS('唯一词标签'!$V$2:$V$1441,A692,'唯一词标签'!$Z$2:$Z$1441,"mismatch")</x:f>
        <x:v>0</x:v>
      </x:c>
      <x:c r="G692" s="7" t="n">
        <x:f>COUNTIFS('唯一词标签'!$V$2:$V$1441,A692,'唯一词标签'!$Z$2:$Z$1441,"unknown")</x:f>
        <x:v>0</x:v>
      </x:c>
      <x:c r="H692" s="7" t="n">
        <x:f>COUNTIFS('唯一词标签'!$V$2:$V$1441,A692,'唯一词标签'!$U$2:$U$1441,"low")</x:f>
        <x:v>0</x:v>
      </x:c>
      <x:c r="I692" s="7" t="n">
        <x:f>COUNTIFS('唯一词标签'!$V$2:$V$1441,A692,'唯一词标签'!$AB$2:$AB$1441,"needs_review")</x:f>
        <x:v>0</x:v>
      </x:c>
    </x:row>
    <x:row r="693" ht="22" customHeight="1">
      <x:c r="A693" s="7" t="str">
        <x:v>thong_sandals_beach</x:v>
      </x:c>
      <x:c r="B693" s="7" t="n">
        <x:f>COUNTIF('唯一词标签'!$V$2:$V$1441,A693)</x:f>
        <x:v>1</x:v>
      </x:c>
      <x:c r="C693" s="55" t="n">
        <x:f>B693/COUNTA('唯一词标签'!$C$2:$C$1441)</x:f>
        <x:v>0.0006944444444444445</x:v>
      </x:c>
      <x:c r="D693" s="7" t="n">
        <x:f>COUNTIFS('唯一词标签'!$V$2:$V$1441,A693,'唯一词标签'!$Z$2:$Z$1441,"match")</x:f>
        <x:v>1</x:v>
      </x:c>
      <x:c r="E693" s="7" t="n">
        <x:f>COUNTIFS('唯一词标签'!$V$2:$V$1441,A693,'唯一词标签'!$Z$2:$Z$1441,"partial_match")</x:f>
        <x:v>0</x:v>
      </x:c>
      <x:c r="F693" s="7" t="n">
        <x:f>COUNTIFS('唯一词标签'!$V$2:$V$1441,A693,'唯一词标签'!$Z$2:$Z$1441,"mismatch")</x:f>
        <x:v>0</x:v>
      </x:c>
      <x:c r="G693" s="7" t="n">
        <x:f>COUNTIFS('唯一词标签'!$V$2:$V$1441,A693,'唯一词标签'!$Z$2:$Z$1441,"unknown")</x:f>
        <x:v>0</x:v>
      </x:c>
      <x:c r="H693" s="7" t="n">
        <x:f>COUNTIFS('唯一词标签'!$V$2:$V$1441,A693,'唯一词标签'!$U$2:$U$1441,"low")</x:f>
        <x:v>0</x:v>
      </x:c>
      <x:c r="I693" s="7" t="n">
        <x:f>COUNTIFS('唯一词标签'!$V$2:$V$1441,A693,'唯一词标签'!$AB$2:$AB$1441,"needs_review")</x:f>
        <x:v>0</x:v>
      </x:c>
    </x:row>
    <x:row r="694" ht="22" customHeight="1">
      <x:c r="A694" s="7" t="str">
        <x:v>thong_sandals_color_specific</x:v>
      </x:c>
      <x:c r="B694" s="7" t="n">
        <x:f>COUNTIF('唯一词标签'!$V$2:$V$1441,A694)</x:f>
        <x:v>1</x:v>
      </x:c>
      <x:c r="C694" s="55" t="n">
        <x:f>B694/COUNTA('唯一词标签'!$C$2:$C$1441)</x:f>
        <x:v>0.0006944444444444445</x:v>
      </x:c>
      <x:c r="D694" s="7" t="n">
        <x:f>COUNTIFS('唯一词标签'!$V$2:$V$1441,A694,'唯一词标签'!$Z$2:$Z$1441,"match")</x:f>
        <x:v>0</x:v>
      </x:c>
      <x:c r="E694" s="7" t="n">
        <x:f>COUNTIFS('唯一词标签'!$V$2:$V$1441,A694,'唯一词标签'!$Z$2:$Z$1441,"partial_match")</x:f>
        <x:v>1</x:v>
      </x:c>
      <x:c r="F694" s="7" t="n">
        <x:f>COUNTIFS('唯一词标签'!$V$2:$V$1441,A694,'唯一词标签'!$Z$2:$Z$1441,"mismatch")</x:f>
        <x:v>0</x:v>
      </x:c>
      <x:c r="G694" s="7" t="n">
        <x:f>COUNTIFS('唯一词标签'!$V$2:$V$1441,A694,'唯一词标签'!$Z$2:$Z$1441,"unknown")</x:f>
        <x:v>0</x:v>
      </x:c>
      <x:c r="H694" s="7" t="n">
        <x:f>COUNTIFS('唯一词标签'!$V$2:$V$1441,A694,'唯一词标签'!$U$2:$U$1441,"low")</x:f>
        <x:v>0</x:v>
      </x:c>
      <x:c r="I694" s="7" t="n">
        <x:f>COUNTIFS('唯一词标签'!$V$2:$V$1441,A694,'唯一词标签'!$AB$2:$AB$1441,"needs_review")</x:f>
        <x:v>0</x:v>
      </x:c>
    </x:row>
    <x:row r="695" ht="22" customHeight="1">
      <x:c r="A695" s="7" t="str">
        <x:v>thong_sandals_women_heavy_duty</x:v>
      </x:c>
      <x:c r="B695" s="7" t="n">
        <x:f>COUNTIF('唯一词标签'!$V$2:$V$1441,A695)</x:f>
        <x:v>1</x:v>
      </x:c>
      <x:c r="C695" s="55" t="n">
        <x:f>B695/COUNTA('唯一词标签'!$C$2:$C$1441)</x:f>
        <x:v>0.0006944444444444445</x:v>
      </x:c>
      <x:c r="D695" s="7" t="n">
        <x:f>COUNTIFS('唯一词标签'!$V$2:$V$1441,A695,'唯一词标签'!$Z$2:$Z$1441,"match")</x:f>
        <x:v>0</x:v>
      </x:c>
      <x:c r="E695" s="7" t="n">
        <x:f>COUNTIFS('唯一词标签'!$V$2:$V$1441,A695,'唯一词标签'!$Z$2:$Z$1441,"partial_match")</x:f>
        <x:v>1</x:v>
      </x:c>
      <x:c r="F695" s="7" t="n">
        <x:f>COUNTIFS('唯一词标签'!$V$2:$V$1441,A695,'唯一词标签'!$Z$2:$Z$1441,"mismatch")</x:f>
        <x:v>0</x:v>
      </x:c>
      <x:c r="G695" s="7" t="n">
        <x:f>COUNTIFS('唯一词标签'!$V$2:$V$1441,A695,'唯一词标签'!$Z$2:$Z$1441,"unknown")</x:f>
        <x:v>0</x:v>
      </x:c>
      <x:c r="H695" s="7" t="n">
        <x:f>COUNTIFS('唯一词标签'!$V$2:$V$1441,A695,'唯一词标签'!$U$2:$U$1441,"low")</x:f>
        <x:v>0</x:v>
      </x:c>
      <x:c r="I695" s="7" t="n">
        <x:f>COUNTIFS('唯一词标签'!$V$2:$V$1441,A695,'唯一词标签'!$AB$2:$AB$1441,"needs_review")</x:f>
        <x:v>0</x:v>
      </x:c>
    </x:row>
    <x:row r="696" ht="22" customHeight="1">
      <x:c r="A696" s="7" t="str">
        <x:v>thong_soft_toe_post_womens_sandals</x:v>
      </x:c>
      <x:c r="B696" s="7" t="n">
        <x:f>COUNTIF('唯一词标签'!$V$2:$V$1441,A696)</x:f>
        <x:v>1</x:v>
      </x:c>
      <x:c r="C696" s="55" t="n">
        <x:f>B696/COUNTA('唯一词标签'!$C$2:$C$1441)</x:f>
        <x:v>0.0006944444444444445</x:v>
      </x:c>
      <x:c r="D696" s="7" t="n">
        <x:f>COUNTIFS('唯一词标签'!$V$2:$V$1441,A696,'唯一词标签'!$Z$2:$Z$1441,"match")</x:f>
        <x:v>1</x:v>
      </x:c>
      <x:c r="E696" s="7" t="n">
        <x:f>COUNTIFS('唯一词标签'!$V$2:$V$1441,A696,'唯一词标签'!$Z$2:$Z$1441,"partial_match")</x:f>
        <x:v>0</x:v>
      </x:c>
      <x:c r="F696" s="7" t="n">
        <x:f>COUNTIFS('唯一词标签'!$V$2:$V$1441,A696,'唯一词标签'!$Z$2:$Z$1441,"mismatch")</x:f>
        <x:v>0</x:v>
      </x:c>
      <x:c r="G696" s="7" t="n">
        <x:f>COUNTIFS('唯一词标签'!$V$2:$V$1441,A696,'唯一词标签'!$Z$2:$Z$1441,"unknown")</x:f>
        <x:v>0</x:v>
      </x:c>
      <x:c r="H696" s="7" t="n">
        <x:f>COUNTIFS('唯一词标签'!$V$2:$V$1441,A696,'唯一词标签'!$U$2:$U$1441,"low")</x:f>
        <x:v>0</x:v>
      </x:c>
      <x:c r="I696" s="7" t="n">
        <x:f>COUNTIFS('唯一词标签'!$V$2:$V$1441,A696,'唯一词标签'!$AB$2:$AB$1441,"needs_review")</x:f>
        <x:v>0</x:v>
      </x:c>
    </x:row>
    <x:row r="697" ht="22" customHeight="1">
      <x:c r="A697" s="7" t="str">
        <x:v>thongs_with_support_soft_toe</x:v>
      </x:c>
      <x:c r="B697" s="7" t="n">
        <x:f>COUNTIF('唯一词标签'!$V$2:$V$1441,A697)</x:f>
        <x:v>1</x:v>
      </x:c>
      <x:c r="C697" s="55" t="n">
        <x:f>B697/COUNTA('唯一词标签'!$C$2:$C$1441)</x:f>
        <x:v>0.0006944444444444445</x:v>
      </x:c>
      <x:c r="D697" s="7" t="n">
        <x:f>COUNTIFS('唯一词标签'!$V$2:$V$1441,A697,'唯一词标签'!$Z$2:$Z$1441,"match")</x:f>
        <x:v>1</x:v>
      </x:c>
      <x:c r="E697" s="7" t="n">
        <x:f>COUNTIFS('唯一词标签'!$V$2:$V$1441,A697,'唯一词标签'!$Z$2:$Z$1441,"partial_match")</x:f>
        <x:v>0</x:v>
      </x:c>
      <x:c r="F697" s="7" t="n">
        <x:f>COUNTIFS('唯一词标签'!$V$2:$V$1441,A697,'唯一词标签'!$Z$2:$Z$1441,"mismatch")</x:f>
        <x:v>0</x:v>
      </x:c>
      <x:c r="G697" s="7" t="n">
        <x:f>COUNTIFS('唯一词标签'!$V$2:$V$1441,A697,'唯一词标签'!$Z$2:$Z$1441,"unknown")</x:f>
        <x:v>0</x:v>
      </x:c>
      <x:c r="H697" s="7" t="n">
        <x:f>COUNTIFS('唯一词标签'!$V$2:$V$1441,A697,'唯一词标签'!$U$2:$U$1441,"low")</x:f>
        <x:v>0</x:v>
      </x:c>
      <x:c r="I697" s="7" t="n">
        <x:f>COUNTIFS('唯一词标签'!$V$2:$V$1441,A697,'唯一词标签'!$AB$2:$AB$1441,"needs_review")</x:f>
        <x:v>0</x:v>
      </x:c>
    </x:row>
    <x:row r="698" ht="22" customHeight="1">
      <x:c r="A698" s="7" t="str">
        <x:v>timpani_flip_flops_brand</x:v>
      </x:c>
      <x:c r="B698" s="7" t="n">
        <x:f>COUNTIF('唯一词标签'!$V$2:$V$1441,A698)</x:f>
        <x:v>1</x:v>
      </x:c>
      <x:c r="C698" s="55" t="n">
        <x:f>B698/COUNTA('唯一词标签'!$C$2:$C$1441)</x:f>
        <x:v>0.0006944444444444445</x:v>
      </x:c>
      <x:c r="D698" s="7" t="n">
        <x:f>COUNTIFS('唯一词标签'!$V$2:$V$1441,A698,'唯一词标签'!$Z$2:$Z$1441,"match")</x:f>
        <x:v>0</x:v>
      </x:c>
      <x:c r="E698" s="7" t="n">
        <x:f>COUNTIFS('唯一词标签'!$V$2:$V$1441,A698,'唯一词标签'!$Z$2:$Z$1441,"partial_match")</x:f>
        <x:v>0</x:v>
      </x:c>
      <x:c r="F698" s="7" t="n">
        <x:f>COUNTIFS('唯一词标签'!$V$2:$V$1441,A698,'唯一词标签'!$Z$2:$Z$1441,"mismatch")</x:f>
        <x:v>1</x:v>
      </x:c>
      <x:c r="G698" s="7" t="n">
        <x:f>COUNTIFS('唯一词标签'!$V$2:$V$1441,A698,'唯一词标签'!$Z$2:$Z$1441,"unknown")</x:f>
        <x:v>0</x:v>
      </x:c>
      <x:c r="H698" s="7" t="n">
        <x:f>COUNTIFS('唯一词标签'!$V$2:$V$1441,A698,'唯一词标签'!$U$2:$U$1441,"low")</x:f>
        <x:v>0</x:v>
      </x:c>
      <x:c r="I698" s="7" t="n">
        <x:f>COUNTIFS('唯一词标签'!$V$2:$V$1441,A698,'唯一词标签'!$AB$2:$AB$1441,"needs_review")</x:f>
        <x:v>0</x:v>
      </x:c>
    </x:row>
    <x:row r="699" ht="22" customHeight="1">
      <x:c r="A699" s="7" t="str">
        <x:v>toe_post_flip_flops</x:v>
      </x:c>
      <x:c r="B699" s="7" t="n">
        <x:f>COUNTIF('唯一词标签'!$V$2:$V$1441,A699)</x:f>
        <x:v>1</x:v>
      </x:c>
      <x:c r="C699" s="55" t="n">
        <x:f>B699/COUNTA('唯一词标签'!$C$2:$C$1441)</x:f>
        <x:v>0.0006944444444444445</x:v>
      </x:c>
      <x:c r="D699" s="7" t="n">
        <x:f>COUNTIFS('唯一词标签'!$V$2:$V$1441,A699,'唯一词标签'!$Z$2:$Z$1441,"match")</x:f>
        <x:v>0</x:v>
      </x:c>
      <x:c r="E699" s="7" t="n">
        <x:f>COUNTIFS('唯一词标签'!$V$2:$V$1441,A699,'唯一词标签'!$Z$2:$Z$1441,"partial_match")</x:f>
        <x:v>1</x:v>
      </x:c>
      <x:c r="F699" s="7" t="n">
        <x:f>COUNTIFS('唯一词标签'!$V$2:$V$1441,A699,'唯一词标签'!$Z$2:$Z$1441,"mismatch")</x:f>
        <x:v>0</x:v>
      </x:c>
      <x:c r="G699" s="7" t="n">
        <x:f>COUNTIFS('唯一词标签'!$V$2:$V$1441,A699,'唯一词标签'!$Z$2:$Z$1441,"unknown")</x:f>
        <x:v>0</x:v>
      </x:c>
      <x:c r="H699" s="7" t="n">
        <x:f>COUNTIFS('唯一词标签'!$V$2:$V$1441,A699,'唯一词标签'!$U$2:$U$1441,"low")</x:f>
        <x:v>0</x:v>
      </x:c>
      <x:c r="I699" s="7" t="n">
        <x:f>COUNTIFS('唯一词标签'!$V$2:$V$1441,A699,'唯一词标签'!$AB$2:$AB$1441,"needs_review")</x:f>
        <x:v>0</x:v>
      </x:c>
    </x:row>
    <x:row r="700" ht="22" customHeight="1">
      <x:c r="A700" s="7" t="str">
        <x:v>tommy_hilfiger_womens_flip_flops</x:v>
      </x:c>
      <x:c r="B700" s="7" t="n">
        <x:f>COUNTIF('唯一词标签'!$V$2:$V$1441,A700)</x:f>
        <x:v>1</x:v>
      </x:c>
      <x:c r="C700" s="55" t="n">
        <x:f>B700/COUNTA('唯一词标签'!$C$2:$C$1441)</x:f>
        <x:v>0.0006944444444444445</x:v>
      </x:c>
      <x:c r="D700" s="7" t="n">
        <x:f>COUNTIFS('唯一词标签'!$V$2:$V$1441,A700,'唯一词标签'!$Z$2:$Z$1441,"match")</x:f>
        <x:v>0</x:v>
      </x:c>
      <x:c r="E700" s="7" t="n">
        <x:f>COUNTIFS('唯一词标签'!$V$2:$V$1441,A700,'唯一词标签'!$Z$2:$Z$1441,"partial_match")</x:f>
        <x:v>0</x:v>
      </x:c>
      <x:c r="F700" s="7" t="n">
        <x:f>COUNTIFS('唯一词标签'!$V$2:$V$1441,A700,'唯一词标签'!$Z$2:$Z$1441,"mismatch")</x:f>
        <x:v>1</x:v>
      </x:c>
      <x:c r="G700" s="7" t="n">
        <x:f>COUNTIFS('唯一词标签'!$V$2:$V$1441,A700,'唯一词标签'!$Z$2:$Z$1441,"unknown")</x:f>
        <x:v>0</x:v>
      </x:c>
      <x:c r="H700" s="7" t="n">
        <x:f>COUNTIFS('唯一词标签'!$V$2:$V$1441,A700,'唯一词标签'!$U$2:$U$1441,"low")</x:f>
        <x:v>0</x:v>
      </x:c>
      <x:c r="I700" s="7" t="n">
        <x:f>COUNTIFS('唯一词标签'!$V$2:$V$1441,A700,'唯一词标签'!$AB$2:$AB$1441,"needs_review")</x:f>
        <x:v>0</x:v>
      </x:c>
    </x:row>
    <x:row r="701" ht="22" customHeight="1">
      <x:c r="A701" s="7" t="str">
        <x:v>turquoise_flip_flops</x:v>
      </x:c>
      <x:c r="B701" s="7" t="n">
        <x:f>COUNTIF('唯一词标签'!$V$2:$V$1441,A701)</x:f>
        <x:v>1</x:v>
      </x:c>
      <x:c r="C701" s="55" t="n">
        <x:f>B701/COUNTA('唯一词标签'!$C$2:$C$1441)</x:f>
        <x:v>0.0006944444444444445</x:v>
      </x:c>
      <x:c r="D701" s="7" t="n">
        <x:f>COUNTIFS('唯一词标签'!$V$2:$V$1441,A701,'唯一词标签'!$Z$2:$Z$1441,"match")</x:f>
        <x:v>0</x:v>
      </x:c>
      <x:c r="E701" s="7" t="n">
        <x:f>COUNTIFS('唯一词标签'!$V$2:$V$1441,A701,'唯一词标签'!$Z$2:$Z$1441,"partial_match")</x:f>
        <x:v>1</x:v>
      </x:c>
      <x:c r="F701" s="7" t="n">
        <x:f>COUNTIFS('唯一词标签'!$V$2:$V$1441,A701,'唯一词标签'!$Z$2:$Z$1441,"mismatch")</x:f>
        <x:v>0</x:v>
      </x:c>
      <x:c r="G701" s="7" t="n">
        <x:f>COUNTIFS('唯一词标签'!$V$2:$V$1441,A701,'唯一词标签'!$Z$2:$Z$1441,"unknown")</x:f>
        <x:v>0</x:v>
      </x:c>
      <x:c r="H701" s="7" t="n">
        <x:f>COUNTIFS('唯一词标签'!$V$2:$V$1441,A701,'唯一词标签'!$U$2:$U$1441,"low")</x:f>
        <x:v>0</x:v>
      </x:c>
      <x:c r="I701" s="7" t="n">
        <x:f>COUNTIFS('唯一词标签'!$V$2:$V$1441,A701,'唯一词标签'!$AB$2:$AB$1441,"needs_review")</x:f>
        <x:v>0</x:v>
      </x:c>
    </x:row>
    <x:row r="702" ht="22" customHeight="1">
      <x:c r="A702" s="7" t="str">
        <x:v>unclassified</x:v>
      </x:c>
      <x:c r="B702" s="7" t="n">
        <x:f>COUNTIF('唯一词标签'!$V$2:$V$1441,A702)</x:f>
        <x:v>14</x:v>
      </x:c>
      <x:c r="C702" s="55" t="n">
        <x:f>B702/COUNTA('唯一词标签'!$C$2:$C$1441)</x:f>
        <x:v>0.009722222222222222</x:v>
      </x:c>
      <x:c r="D702" s="7" t="n">
        <x:f>COUNTIFS('唯一词标签'!$V$2:$V$1441,A702,'唯一词标签'!$Z$2:$Z$1441,"match")</x:f>
        <x:v>0</x:v>
      </x:c>
      <x:c r="E702" s="7" t="n">
        <x:f>COUNTIFS('唯一词标签'!$V$2:$V$1441,A702,'唯一词标签'!$Z$2:$Z$1441,"partial_match")</x:f>
        <x:v>3</x:v>
      </x:c>
      <x:c r="F702" s="7" t="n">
        <x:f>COUNTIFS('唯一词标签'!$V$2:$V$1441,A702,'唯一词标签'!$Z$2:$Z$1441,"mismatch")</x:f>
        <x:v>2</x:v>
      </x:c>
      <x:c r="G702" s="7" t="n">
        <x:f>COUNTIFS('唯一词标签'!$V$2:$V$1441,A702,'唯一词标签'!$Z$2:$Z$1441,"unknown")</x:f>
        <x:v>9</x:v>
      </x:c>
      <x:c r="H702" s="7" t="n">
        <x:f>COUNTIFS('唯一词标签'!$V$2:$V$1441,A702,'唯一词标签'!$U$2:$U$1441,"low")</x:f>
        <x:v>13</x:v>
      </x:c>
      <x:c r="I702" s="7" t="n">
        <x:f>COUNTIFS('唯一词标签'!$V$2:$V$1441,A702,'唯一词标签'!$AB$2:$AB$1441,"needs_review")</x:f>
        <x:v>6</x:v>
      </x:c>
    </x:row>
    <x:row r="703" ht="22" customHeight="1">
      <x:c r="A703" s="7" t="str">
        <x:v>underarmour_brand_womens_flip_flops</x:v>
      </x:c>
      <x:c r="B703" s="7" t="n">
        <x:f>COUNTIF('唯一词标签'!$V$2:$V$1441,A703)</x:f>
        <x:v>1</x:v>
      </x:c>
      <x:c r="C703" s="55" t="n">
        <x:f>B703/COUNTA('唯一词标签'!$C$2:$C$1441)</x:f>
        <x:v>0.0006944444444444445</x:v>
      </x:c>
      <x:c r="D703" s="7" t="n">
        <x:f>COUNTIFS('唯一词标签'!$V$2:$V$1441,A703,'唯一词标签'!$Z$2:$Z$1441,"match")</x:f>
        <x:v>0</x:v>
      </x:c>
      <x:c r="E703" s="7" t="n">
        <x:f>COUNTIFS('唯一词标签'!$V$2:$V$1441,A703,'唯一词标签'!$Z$2:$Z$1441,"partial_match")</x:f>
        <x:v>0</x:v>
      </x:c>
      <x:c r="F703" s="7" t="n">
        <x:f>COUNTIFS('唯一词标签'!$V$2:$V$1441,A703,'唯一词标签'!$Z$2:$Z$1441,"mismatch")</x:f>
        <x:v>1</x:v>
      </x:c>
      <x:c r="G703" s="7" t="n">
        <x:f>COUNTIFS('唯一词标签'!$V$2:$V$1441,A703,'唯一词标签'!$Z$2:$Z$1441,"unknown")</x:f>
        <x:v>0</x:v>
      </x:c>
      <x:c r="H703" s="7" t="n">
        <x:f>COUNTIFS('唯一词标签'!$V$2:$V$1441,A703,'唯一词标签'!$U$2:$U$1441,"low")</x:f>
        <x:v>0</x:v>
      </x:c>
      <x:c r="I703" s="7" t="n">
        <x:f>COUNTIFS('唯一词标签'!$V$2:$V$1441,A703,'唯一词标签'!$AB$2:$AB$1441,"needs_review")</x:f>
        <x:v>1</x:v>
      </x:c>
    </x:row>
    <x:row r="704" ht="22" customHeight="1">
      <x:c r="A704" s="7" t="str">
        <x:v>unique_flip_flops</x:v>
      </x:c>
      <x:c r="B704" s="7" t="n">
        <x:f>COUNTIF('唯一词标签'!$V$2:$V$1441,A704)</x:f>
        <x:v>1</x:v>
      </x:c>
      <x:c r="C704" s="55" t="n">
        <x:f>B704/COUNTA('唯一词标签'!$C$2:$C$1441)</x:f>
        <x:v>0.0006944444444444445</x:v>
      </x:c>
      <x:c r="D704" s="7" t="n">
        <x:f>COUNTIFS('唯一词标签'!$V$2:$V$1441,A704,'唯一词标签'!$Z$2:$Z$1441,"match")</x:f>
        <x:v>0</x:v>
      </x:c>
      <x:c r="E704" s="7" t="n">
        <x:f>COUNTIFS('唯一词标签'!$V$2:$V$1441,A704,'唯一词标签'!$Z$2:$Z$1441,"partial_match")</x:f>
        <x:v>0</x:v>
      </x:c>
      <x:c r="F704" s="7" t="n">
        <x:f>COUNTIFS('唯一词标签'!$V$2:$V$1441,A704,'唯一词标签'!$Z$2:$Z$1441,"mismatch")</x:f>
        <x:v>0</x:v>
      </x:c>
      <x:c r="G704" s="7" t="n">
        <x:f>COUNTIFS('唯一词标签'!$V$2:$V$1441,A704,'唯一词标签'!$Z$2:$Z$1441,"unknown")</x:f>
        <x:v>1</x:v>
      </x:c>
      <x:c r="H704" s="7" t="n">
        <x:f>COUNTIFS('唯一词标签'!$V$2:$V$1441,A704,'唯一词标签'!$U$2:$U$1441,"low")</x:f>
        <x:v>1</x:v>
      </x:c>
      <x:c r="I704" s="7" t="n">
        <x:f>COUNTIFS('唯一词标签'!$V$2:$V$1441,A704,'唯一词标签'!$AB$2:$AB$1441,"needs_review")</x:f>
        <x:v>1</x:v>
      </x:c>
    </x:row>
    <x:row r="705" ht="22" customHeight="1">
      <x:c r="A705" s="7" t="str">
        <x:v>walking_arch_support_flip_flop_women</x:v>
      </x:c>
      <x:c r="B705" s="7" t="n">
        <x:f>COUNTIF('唯一词标签'!$V$2:$V$1441,A705)</x:f>
        <x:v>1</x:v>
      </x:c>
      <x:c r="C705" s="55" t="n">
        <x:f>B705/COUNTA('唯一词标签'!$C$2:$C$1441)</x:f>
        <x:v>0.0006944444444444445</x:v>
      </x:c>
      <x:c r="D705" s="7" t="n">
        <x:f>COUNTIFS('唯一词标签'!$V$2:$V$1441,A705,'唯一词标签'!$Z$2:$Z$1441,"match")</x:f>
        <x:v>1</x:v>
      </x:c>
      <x:c r="E705" s="7" t="n">
        <x:f>COUNTIFS('唯一词标签'!$V$2:$V$1441,A705,'唯一词标签'!$Z$2:$Z$1441,"partial_match")</x:f>
        <x:v>0</x:v>
      </x:c>
      <x:c r="F705" s="7" t="n">
        <x:f>COUNTIFS('唯一词标签'!$V$2:$V$1441,A705,'唯一词标签'!$Z$2:$Z$1441,"mismatch")</x:f>
        <x:v>0</x:v>
      </x:c>
      <x:c r="G705" s="7" t="n">
        <x:f>COUNTIFS('唯一词标签'!$V$2:$V$1441,A705,'唯一词标签'!$Z$2:$Z$1441,"unknown")</x:f>
        <x:v>0</x:v>
      </x:c>
      <x:c r="H705" s="7" t="n">
        <x:f>COUNTIFS('唯一词标签'!$V$2:$V$1441,A705,'唯一词标签'!$U$2:$U$1441,"low")</x:f>
        <x:v>0</x:v>
      </x:c>
      <x:c r="I705" s="7" t="n">
        <x:f>COUNTIFS('唯一词标签'!$V$2:$V$1441,A705,'唯一词标签'!$AB$2:$AB$1441,"needs_review")</x:f>
        <x:v>0</x:v>
      </x:c>
    </x:row>
    <x:row r="706" ht="22" customHeight="1">
      <x:c r="A706" s="7" t="str">
        <x:v>walking_flip_flop</x:v>
      </x:c>
      <x:c r="B706" s="7" t="n">
        <x:f>COUNTIF('唯一词标签'!$V$2:$V$1441,A706)</x:f>
        <x:v>1</x:v>
      </x:c>
      <x:c r="C706" s="55" t="n">
        <x:f>B706/COUNTA('唯一词标签'!$C$2:$C$1441)</x:f>
        <x:v>0.0006944444444444445</x:v>
      </x:c>
      <x:c r="D706" s="7" t="n">
        <x:f>COUNTIFS('唯一词标签'!$V$2:$V$1441,A706,'唯一词标签'!$Z$2:$Z$1441,"match")</x:f>
        <x:v>1</x:v>
      </x:c>
      <x:c r="E706" s="7" t="n">
        <x:f>COUNTIFS('唯一词标签'!$V$2:$V$1441,A706,'唯一词标签'!$Z$2:$Z$1441,"partial_match")</x:f>
        <x:v>0</x:v>
      </x:c>
      <x:c r="F706" s="7" t="n">
        <x:f>COUNTIFS('唯一词标签'!$V$2:$V$1441,A706,'唯一词标签'!$Z$2:$Z$1441,"mismatch")</x:f>
        <x:v>0</x:v>
      </x:c>
      <x:c r="G706" s="7" t="n">
        <x:f>COUNTIFS('唯一词标签'!$V$2:$V$1441,A706,'唯一词标签'!$Z$2:$Z$1441,"unknown")</x:f>
        <x:v>0</x:v>
      </x:c>
      <x:c r="H706" s="7" t="n">
        <x:f>COUNTIFS('唯一词标签'!$V$2:$V$1441,A706,'唯一词标签'!$U$2:$U$1441,"low")</x:f>
        <x:v>0</x:v>
      </x:c>
      <x:c r="I706" s="7" t="n">
        <x:f>COUNTIFS('唯一词标签'!$V$2:$V$1441,A706,'唯一词标签'!$AB$2:$AB$1441,"needs_review")</x:f>
        <x:v>0</x:v>
      </x:c>
    </x:row>
    <x:row r="707" ht="22" customHeight="1">
      <x:c r="A707" s="7" t="str">
        <x:v>walking_flip_flops</x:v>
      </x:c>
      <x:c r="B707" s="7" t="n">
        <x:f>COUNTIF('唯一词标签'!$V$2:$V$1441,A707)</x:f>
        <x:v>2</x:v>
      </x:c>
      <x:c r="C707" s="55" t="n">
        <x:f>B707/COUNTA('唯一词标签'!$C$2:$C$1441)</x:f>
        <x:v>0.001388888888888889</x:v>
      </x:c>
      <x:c r="D707" s="7" t="n">
        <x:f>COUNTIFS('唯一词标签'!$V$2:$V$1441,A707,'唯一词标签'!$Z$2:$Z$1441,"match")</x:f>
        <x:v>2</x:v>
      </x:c>
      <x:c r="E707" s="7" t="n">
        <x:f>COUNTIFS('唯一词标签'!$V$2:$V$1441,A707,'唯一词标签'!$Z$2:$Z$1441,"partial_match")</x:f>
        <x:v>0</x:v>
      </x:c>
      <x:c r="F707" s="7" t="n">
        <x:f>COUNTIFS('唯一词标签'!$V$2:$V$1441,A707,'唯一词标签'!$Z$2:$Z$1441,"mismatch")</x:f>
        <x:v>0</x:v>
      </x:c>
      <x:c r="G707" s="7" t="n">
        <x:f>COUNTIFS('唯一词标签'!$V$2:$V$1441,A707,'唯一词标签'!$Z$2:$Z$1441,"unknown")</x:f>
        <x:v>0</x:v>
      </x:c>
      <x:c r="H707" s="7" t="n">
        <x:f>COUNTIFS('唯一词标签'!$V$2:$V$1441,A707,'唯一词标签'!$U$2:$U$1441,"low")</x:f>
        <x:v>0</x:v>
      </x:c>
      <x:c r="I707" s="7" t="n">
        <x:f>COUNTIFS('唯一词标签'!$V$2:$V$1441,A707,'唯一词标签'!$AB$2:$AB$1441,"needs_review")</x:f>
        <x:v>0</x:v>
      </x:c>
    </x:row>
    <x:row r="708" ht="22" customHeight="1">
      <x:c r="A708" s="7" t="str">
        <x:v>walking_flip_flops_women</x:v>
      </x:c>
      <x:c r="B708" s="7" t="n">
        <x:f>COUNTIF('唯一词标签'!$V$2:$V$1441,A708)</x:f>
        <x:v>1</x:v>
      </x:c>
      <x:c r="C708" s="55" t="n">
        <x:f>B708/COUNTA('唯一词标签'!$C$2:$C$1441)</x:f>
        <x:v>0.0006944444444444445</x:v>
      </x:c>
      <x:c r="D708" s="7" t="n">
        <x:f>COUNTIFS('唯一词标签'!$V$2:$V$1441,A708,'唯一词标签'!$Z$2:$Z$1441,"match")</x:f>
        <x:v>0</x:v>
      </x:c>
      <x:c r="E708" s="7" t="n">
        <x:f>COUNTIFS('唯一词标签'!$V$2:$V$1441,A708,'唯一词标签'!$Z$2:$Z$1441,"partial_match")</x:f>
        <x:v>1</x:v>
      </x:c>
      <x:c r="F708" s="7" t="n">
        <x:f>COUNTIFS('唯一词标签'!$V$2:$V$1441,A708,'唯一词标签'!$Z$2:$Z$1441,"mismatch")</x:f>
        <x:v>0</x:v>
      </x:c>
      <x:c r="G708" s="7" t="n">
        <x:f>COUNTIFS('唯一词标签'!$V$2:$V$1441,A708,'唯一词标签'!$Z$2:$Z$1441,"unknown")</x:f>
        <x:v>0</x:v>
      </x:c>
      <x:c r="H708" s="7" t="n">
        <x:f>COUNTIFS('唯一词标签'!$V$2:$V$1441,A708,'唯一词标签'!$U$2:$U$1441,"low")</x:f>
        <x:v>0</x:v>
      </x:c>
      <x:c r="I708" s="7" t="n">
        <x:f>COUNTIFS('唯一词标签'!$V$2:$V$1441,A708,'唯一词标签'!$AB$2:$AB$1441,"needs_review")</x:f>
        <x:v>0</x:v>
      </x:c>
    </x:row>
    <x:row r="709" ht="22" customHeight="1">
      <x:c r="A709" s="7" t="str">
        <x:v>water_flip_flops_women</x:v>
      </x:c>
      <x:c r="B709" s="7" t="n">
        <x:f>COUNTIF('唯一词标签'!$V$2:$V$1441,A709)</x:f>
        <x:v>2</x:v>
      </x:c>
      <x:c r="C709" s="55" t="n">
        <x:f>B709/COUNTA('唯一词标签'!$C$2:$C$1441)</x:f>
        <x:v>0.001388888888888889</x:v>
      </x:c>
      <x:c r="D709" s="7" t="n">
        <x:f>COUNTIFS('唯一词标签'!$V$2:$V$1441,A709,'唯一词标签'!$Z$2:$Z$1441,"match")</x:f>
        <x:v>0</x:v>
      </x:c>
      <x:c r="E709" s="7" t="n">
        <x:f>COUNTIFS('唯一词标签'!$V$2:$V$1441,A709,'唯一词标签'!$Z$2:$Z$1441,"partial_match")</x:f>
        <x:v>1</x:v>
      </x:c>
      <x:c r="F709" s="7" t="n">
        <x:f>COUNTIFS('唯一词标签'!$V$2:$V$1441,A709,'唯一词标签'!$Z$2:$Z$1441,"mismatch")</x:f>
        <x:v>1</x:v>
      </x:c>
      <x:c r="G709" s="7" t="n">
        <x:f>COUNTIFS('唯一词标签'!$V$2:$V$1441,A709,'唯一词标签'!$Z$2:$Z$1441,"unknown")</x:f>
        <x:v>0</x:v>
      </x:c>
      <x:c r="H709" s="7" t="n">
        <x:f>COUNTIFS('唯一词标签'!$V$2:$V$1441,A709,'唯一词标签'!$U$2:$U$1441,"low")</x:f>
        <x:v>0</x:v>
      </x:c>
      <x:c r="I709" s="7" t="n">
        <x:f>COUNTIFS('唯一词标签'!$V$2:$V$1441,A709,'唯一词标签'!$AB$2:$AB$1441,"needs_review")</x:f>
        <x:v>0</x:v>
      </x:c>
    </x:row>
    <x:row r="710" ht="22" customHeight="1">
      <x:c r="A710" s="7" t="str">
        <x:v>water_flip_flops_womens</x:v>
      </x:c>
      <x:c r="B710" s="7" t="n">
        <x:f>COUNTIF('唯一词标签'!$V$2:$V$1441,A710)</x:f>
        <x:v>1</x:v>
      </x:c>
      <x:c r="C710" s="55" t="n">
        <x:f>B710/COUNTA('唯一词标签'!$C$2:$C$1441)</x:f>
        <x:v>0.0006944444444444445</x:v>
      </x:c>
      <x:c r="D710" s="7" t="n">
        <x:f>COUNTIFS('唯一词标签'!$V$2:$V$1441,A710,'唯一词标签'!$Z$2:$Z$1441,"match")</x:f>
        <x:v>0</x:v>
      </x:c>
      <x:c r="E710" s="7" t="n">
        <x:f>COUNTIFS('唯一词标签'!$V$2:$V$1441,A710,'唯一词标签'!$Z$2:$Z$1441,"partial_match")</x:f>
        <x:v>1</x:v>
      </x:c>
      <x:c r="F710" s="7" t="n">
        <x:f>COUNTIFS('唯一词标签'!$V$2:$V$1441,A710,'唯一词标签'!$Z$2:$Z$1441,"mismatch")</x:f>
        <x:v>0</x:v>
      </x:c>
      <x:c r="G710" s="7" t="n">
        <x:f>COUNTIFS('唯一词标签'!$V$2:$V$1441,A710,'唯一词标签'!$Z$2:$Z$1441,"unknown")</x:f>
        <x:v>0</x:v>
      </x:c>
      <x:c r="H710" s="7" t="n">
        <x:f>COUNTIFS('唯一词标签'!$V$2:$V$1441,A710,'唯一词标签'!$U$2:$U$1441,"low")</x:f>
        <x:v>0</x:v>
      </x:c>
      <x:c r="I710" s="7" t="n">
        <x:f>COUNTIFS('唯一词标签'!$V$2:$V$1441,A710,'唯一词标签'!$AB$2:$AB$1441,"needs_review")</x:f>
        <x:v>0</x:v>
      </x:c>
    </x:row>
    <x:row r="711" ht="22" customHeight="1">
      <x:c r="A711" s="7" t="str">
        <x:v>water_friendly_flip_flops</x:v>
      </x:c>
      <x:c r="B711" s="7" t="n">
        <x:f>COUNTIF('唯一词标签'!$V$2:$V$1441,A711)</x:f>
        <x:v>2</x:v>
      </x:c>
      <x:c r="C711" s="55" t="n">
        <x:f>B711/COUNTA('唯一词标签'!$C$2:$C$1441)</x:f>
        <x:v>0.001388888888888889</x:v>
      </x:c>
      <x:c r="D711" s="7" t="n">
        <x:f>COUNTIFS('唯一词标签'!$V$2:$V$1441,A711,'唯一词标签'!$Z$2:$Z$1441,"match")</x:f>
        <x:v>0</x:v>
      </x:c>
      <x:c r="E711" s="7" t="n">
        <x:f>COUNTIFS('唯一词标签'!$V$2:$V$1441,A711,'唯一词标签'!$Z$2:$Z$1441,"partial_match")</x:f>
        <x:v>1</x:v>
      </x:c>
      <x:c r="F711" s="7" t="n">
        <x:f>COUNTIFS('唯一词标签'!$V$2:$V$1441,A711,'唯一词标签'!$Z$2:$Z$1441,"mismatch")</x:f>
        <x:v>1</x:v>
      </x:c>
      <x:c r="G711" s="7" t="n">
        <x:f>COUNTIFS('唯一词标签'!$V$2:$V$1441,A711,'唯一词标签'!$Z$2:$Z$1441,"unknown")</x:f>
        <x:v>0</x:v>
      </x:c>
      <x:c r="H711" s="7" t="n">
        <x:f>COUNTIFS('唯一词标签'!$V$2:$V$1441,A711,'唯一词标签'!$U$2:$U$1441,"low")</x:f>
        <x:v>0</x:v>
      </x:c>
      <x:c r="I711" s="7" t="n">
        <x:f>COUNTIFS('唯一词标签'!$V$2:$V$1441,A711,'唯一词标签'!$AB$2:$AB$1441,"needs_review")</x:f>
        <x:v>0</x:v>
      </x:c>
    </x:row>
    <x:row r="712" ht="22" customHeight="1">
      <x:c r="A712" s="7" t="str">
        <x:v>water_friendly_womens_flip_flops</x:v>
      </x:c>
      <x:c r="B712" s="7" t="n">
        <x:f>COUNTIF('唯一词标签'!$V$2:$V$1441,A712)</x:f>
        <x:v>1</x:v>
      </x:c>
      <x:c r="C712" s="55" t="n">
        <x:f>B712/COUNTA('唯一词标签'!$C$2:$C$1441)</x:f>
        <x:v>0.0006944444444444445</x:v>
      </x:c>
      <x:c r="D712" s="7" t="n">
        <x:f>COUNTIFS('唯一词标签'!$V$2:$V$1441,A712,'唯一词标签'!$Z$2:$Z$1441,"match")</x:f>
        <x:v>0</x:v>
      </x:c>
      <x:c r="E712" s="7" t="n">
        <x:f>COUNTIFS('唯一词标签'!$V$2:$V$1441,A712,'唯一词标签'!$Z$2:$Z$1441,"partial_match")</x:f>
        <x:v>1</x:v>
      </x:c>
      <x:c r="F712" s="7" t="n">
        <x:f>COUNTIFS('唯一词标签'!$V$2:$V$1441,A712,'唯一词标签'!$Z$2:$Z$1441,"mismatch")</x:f>
        <x:v>0</x:v>
      </x:c>
      <x:c r="G712" s="7" t="n">
        <x:f>COUNTIFS('唯一词标签'!$V$2:$V$1441,A712,'唯一词标签'!$Z$2:$Z$1441,"unknown")</x:f>
        <x:v>0</x:v>
      </x:c>
      <x:c r="H712" s="7" t="n">
        <x:f>COUNTIFS('唯一词标签'!$V$2:$V$1441,A712,'唯一词标签'!$U$2:$U$1441,"low")</x:f>
        <x:v>0</x:v>
      </x:c>
      <x:c r="I712" s="7" t="n">
        <x:f>COUNTIFS('唯一词标签'!$V$2:$V$1441,A712,'唯一词标签'!$AB$2:$AB$1441,"needs_review")</x:f>
        <x:v>0</x:v>
      </x:c>
    </x:row>
    <x:row r="713" ht="22" customHeight="1">
      <x:c r="A713" s="7" t="str">
        <x:v>water_non_slip_flip_flops</x:v>
      </x:c>
      <x:c r="B713" s="7" t="n">
        <x:f>COUNTIF('唯一词标签'!$V$2:$V$1441,A713)</x:f>
        <x:v>1</x:v>
      </x:c>
      <x:c r="C713" s="55" t="n">
        <x:f>B713/COUNTA('唯一词标签'!$C$2:$C$1441)</x:f>
        <x:v>0.0006944444444444445</x:v>
      </x:c>
      <x:c r="D713" s="7" t="n">
        <x:f>COUNTIFS('唯一词标签'!$V$2:$V$1441,A713,'唯一词标签'!$Z$2:$Z$1441,"match")</x:f>
        <x:v>0</x:v>
      </x:c>
      <x:c r="E713" s="7" t="n">
        <x:f>COUNTIFS('唯一词标签'!$V$2:$V$1441,A713,'唯一词标签'!$Z$2:$Z$1441,"partial_match")</x:f>
        <x:v>1</x:v>
      </x:c>
      <x:c r="F713" s="7" t="n">
        <x:f>COUNTIFS('唯一词标签'!$V$2:$V$1441,A713,'唯一词标签'!$Z$2:$Z$1441,"mismatch")</x:f>
        <x:v>0</x:v>
      </x:c>
      <x:c r="G713" s="7" t="n">
        <x:f>COUNTIFS('唯一词标签'!$V$2:$V$1441,A713,'唯一词标签'!$Z$2:$Z$1441,"unknown")</x:f>
        <x:v>0</x:v>
      </x:c>
      <x:c r="H713" s="7" t="n">
        <x:f>COUNTIFS('唯一词标签'!$V$2:$V$1441,A713,'唯一词标签'!$U$2:$U$1441,"low")</x:f>
        <x:v>0</x:v>
      </x:c>
      <x:c r="I713" s="7" t="n">
        <x:f>COUNTIFS('唯一词标签'!$V$2:$V$1441,A713,'唯一词标签'!$AB$2:$AB$1441,"needs_review")</x:f>
        <x:v>0</x:v>
      </x:c>
    </x:row>
    <x:row r="714" ht="22" customHeight="1">
      <x:c r="A714" s="7" t="str">
        <x:v>water_park_flip_flops</x:v>
      </x:c>
      <x:c r="B714" s="7" t="n">
        <x:f>COUNTIF('唯一词标签'!$V$2:$V$1441,A714)</x:f>
        <x:v>1</x:v>
      </x:c>
      <x:c r="C714" s="55" t="n">
        <x:f>B714/COUNTA('唯一词标签'!$C$2:$C$1441)</x:f>
        <x:v>0.0006944444444444445</x:v>
      </x:c>
      <x:c r="D714" s="7" t="n">
        <x:f>COUNTIFS('唯一词标签'!$V$2:$V$1441,A714,'唯一词标签'!$Z$2:$Z$1441,"match")</x:f>
        <x:v>0</x:v>
      </x:c>
      <x:c r="E714" s="7" t="n">
        <x:f>COUNTIFS('唯一词标签'!$V$2:$V$1441,A714,'唯一词标签'!$Z$2:$Z$1441,"partial_match")</x:f>
        <x:v>1</x:v>
      </x:c>
      <x:c r="F714" s="7" t="n">
        <x:f>COUNTIFS('唯一词标签'!$V$2:$V$1441,A714,'唯一词标签'!$Z$2:$Z$1441,"mismatch")</x:f>
        <x:v>0</x:v>
      </x:c>
      <x:c r="G714" s="7" t="n">
        <x:f>COUNTIFS('唯一词标签'!$V$2:$V$1441,A714,'唯一词标签'!$Z$2:$Z$1441,"unknown")</x:f>
        <x:v>0</x:v>
      </x:c>
      <x:c r="H714" s="7" t="n">
        <x:f>COUNTIFS('唯一词标签'!$V$2:$V$1441,A714,'唯一词标签'!$U$2:$U$1441,"low")</x:f>
        <x:v>0</x:v>
      </x:c>
      <x:c r="I714" s="7" t="n">
        <x:f>COUNTIFS('唯一词标签'!$V$2:$V$1441,A714,'唯一词标签'!$AB$2:$AB$1441,"needs_review")</x:f>
        <x:v>0</x:v>
      </x:c>
    </x:row>
    <x:row r="715" ht="22" customHeight="1">
      <x:c r="A715" s="7" t="str">
        <x:v>water_resistant_arch_support_womens_flip_flops</x:v>
      </x:c>
      <x:c r="B715" s="7" t="n">
        <x:f>COUNTIF('唯一词标签'!$V$2:$V$1441,A715)</x:f>
        <x:v>1</x:v>
      </x:c>
      <x:c r="C715" s="55" t="n">
        <x:f>B715/COUNTA('唯一词标签'!$C$2:$C$1441)</x:f>
        <x:v>0.0006944444444444445</x:v>
      </x:c>
      <x:c r="D715" s="7" t="n">
        <x:f>COUNTIFS('唯一词标签'!$V$2:$V$1441,A715,'唯一词标签'!$Z$2:$Z$1441,"match")</x:f>
        <x:v>0</x:v>
      </x:c>
      <x:c r="E715" s="7" t="n">
        <x:f>COUNTIFS('唯一词标签'!$V$2:$V$1441,A715,'唯一词标签'!$Z$2:$Z$1441,"partial_match")</x:f>
        <x:v>1</x:v>
      </x:c>
      <x:c r="F715" s="7" t="n">
        <x:f>COUNTIFS('唯一词标签'!$V$2:$V$1441,A715,'唯一词标签'!$Z$2:$Z$1441,"mismatch")</x:f>
        <x:v>0</x:v>
      </x:c>
      <x:c r="G715" s="7" t="n">
        <x:f>COUNTIFS('唯一词标签'!$V$2:$V$1441,A715,'唯一词标签'!$Z$2:$Z$1441,"unknown")</x:f>
        <x:v>0</x:v>
      </x:c>
      <x:c r="H715" s="7" t="n">
        <x:f>COUNTIFS('唯一词标签'!$V$2:$V$1441,A715,'唯一词标签'!$U$2:$U$1441,"low")</x:f>
        <x:v>0</x:v>
      </x:c>
      <x:c r="I715" s="7" t="n">
        <x:f>COUNTIFS('唯一词标签'!$V$2:$V$1441,A715,'唯一词标签'!$AB$2:$AB$1441,"needs_review")</x:f>
        <x:v>0</x:v>
      </x:c>
    </x:row>
    <x:row r="716" ht="22" customHeight="1">
      <x:c r="A716" s="7" t="str">
        <x:v>water_resistant_womens_flip_flops</x:v>
      </x:c>
      <x:c r="B716" s="7" t="n">
        <x:f>COUNTIF('唯一词标签'!$V$2:$V$1441,A716)</x:f>
        <x:v>1</x:v>
      </x:c>
      <x:c r="C716" s="55" t="n">
        <x:f>B716/COUNTA('唯一词标签'!$C$2:$C$1441)</x:f>
        <x:v>0.0006944444444444445</x:v>
      </x:c>
      <x:c r="D716" s="7" t="n">
        <x:f>COUNTIFS('唯一词标签'!$V$2:$V$1441,A716,'唯一词标签'!$Z$2:$Z$1441,"match")</x:f>
        <x:v>0</x:v>
      </x:c>
      <x:c r="E716" s="7" t="n">
        <x:f>COUNTIFS('唯一词标签'!$V$2:$V$1441,A716,'唯一词标签'!$Z$2:$Z$1441,"partial_match")</x:f>
        <x:v>1</x:v>
      </x:c>
      <x:c r="F716" s="7" t="n">
        <x:f>COUNTIFS('唯一词标签'!$V$2:$V$1441,A716,'唯一词标签'!$Z$2:$Z$1441,"mismatch")</x:f>
        <x:v>0</x:v>
      </x:c>
      <x:c r="G716" s="7" t="n">
        <x:f>COUNTIFS('唯一词标签'!$V$2:$V$1441,A716,'唯一词标签'!$Z$2:$Z$1441,"unknown")</x:f>
        <x:v>0</x:v>
      </x:c>
      <x:c r="H716" s="7" t="n">
        <x:f>COUNTIFS('唯一词标签'!$V$2:$V$1441,A716,'唯一词标签'!$U$2:$U$1441,"low")</x:f>
        <x:v>0</x:v>
      </x:c>
      <x:c r="I716" s="7" t="n">
        <x:f>COUNTIFS('唯一词标签'!$V$2:$V$1441,A716,'唯一词标签'!$AB$2:$AB$1441,"needs_review")</x:f>
        <x:v>0</x:v>
      </x:c>
    </x:row>
    <x:row r="717" ht="22" customHeight="1">
      <x:c r="A717" s="7" t="str">
        <x:v>waterproof_arch_support_flip_flop_women</x:v>
      </x:c>
      <x:c r="B717" s="7" t="n">
        <x:f>COUNTIF('唯一词标签'!$V$2:$V$1441,A717)</x:f>
        <x:v>1</x:v>
      </x:c>
      <x:c r="C717" s="55" t="n">
        <x:f>B717/COUNTA('唯一词标签'!$C$2:$C$1441)</x:f>
        <x:v>0.0006944444444444445</x:v>
      </x:c>
      <x:c r="D717" s="7" t="n">
        <x:f>COUNTIFS('唯一词标签'!$V$2:$V$1441,A717,'唯一词标签'!$Z$2:$Z$1441,"match")</x:f>
        <x:v>0</x:v>
      </x:c>
      <x:c r="E717" s="7" t="n">
        <x:f>COUNTIFS('唯一词标签'!$V$2:$V$1441,A717,'唯一词标签'!$Z$2:$Z$1441,"partial_match")</x:f>
        <x:v>1</x:v>
      </x:c>
      <x:c r="F717" s="7" t="n">
        <x:f>COUNTIFS('唯一词标签'!$V$2:$V$1441,A717,'唯一词标签'!$Z$2:$Z$1441,"mismatch")</x:f>
        <x:v>0</x:v>
      </x:c>
      <x:c r="G717" s="7" t="n">
        <x:f>COUNTIFS('唯一词标签'!$V$2:$V$1441,A717,'唯一词标签'!$Z$2:$Z$1441,"unknown")</x:f>
        <x:v>0</x:v>
      </x:c>
      <x:c r="H717" s="7" t="n">
        <x:f>COUNTIFS('唯一词标签'!$V$2:$V$1441,A717,'唯一词标签'!$U$2:$U$1441,"low")</x:f>
        <x:v>0</x:v>
      </x:c>
      <x:c r="I717" s="7" t="n">
        <x:f>COUNTIFS('唯一词标签'!$V$2:$V$1441,A717,'唯一词标签'!$AB$2:$AB$1441,"needs_review")</x:f>
        <x:v>0</x:v>
      </x:c>
    </x:row>
    <x:row r="718" ht="22" customHeight="1">
      <x:c r="A718" s="7" t="str">
        <x:v>waterproof_arch_support_flip_flops</x:v>
      </x:c>
      <x:c r="B718" s="7" t="n">
        <x:f>COUNTIF('唯一词标签'!$V$2:$V$1441,A718)</x:f>
        <x:v>1</x:v>
      </x:c>
      <x:c r="C718" s="55" t="n">
        <x:f>B718/COUNTA('唯一词标签'!$C$2:$C$1441)</x:f>
        <x:v>0.0006944444444444445</x:v>
      </x:c>
      <x:c r="D718" s="7" t="n">
        <x:f>COUNTIFS('唯一词标签'!$V$2:$V$1441,A718,'唯一词标签'!$Z$2:$Z$1441,"match")</x:f>
        <x:v>0</x:v>
      </x:c>
      <x:c r="E718" s="7" t="n">
        <x:f>COUNTIFS('唯一词标签'!$V$2:$V$1441,A718,'唯一词标签'!$Z$2:$Z$1441,"partial_match")</x:f>
        <x:v>1</x:v>
      </x:c>
      <x:c r="F718" s="7" t="n">
        <x:f>COUNTIFS('唯一词标签'!$V$2:$V$1441,A718,'唯一词标签'!$Z$2:$Z$1441,"mismatch")</x:f>
        <x:v>0</x:v>
      </x:c>
      <x:c r="G718" s="7" t="n">
        <x:f>COUNTIFS('唯一词标签'!$V$2:$V$1441,A718,'唯一词标签'!$Z$2:$Z$1441,"unknown")</x:f>
        <x:v>0</x:v>
      </x:c>
      <x:c r="H718" s="7" t="n">
        <x:f>COUNTIFS('唯一词标签'!$V$2:$V$1441,A718,'唯一词标签'!$U$2:$U$1441,"low")</x:f>
        <x:v>0</x:v>
      </x:c>
      <x:c r="I718" s="7" t="n">
        <x:f>COUNTIFS('唯一词标签'!$V$2:$V$1441,A718,'唯一词标签'!$AB$2:$AB$1441,"needs_review")</x:f>
        <x:v>0</x:v>
      </x:c>
    </x:row>
    <x:row r="719" ht="22" customHeight="1">
      <x:c r="A719" s="7" t="str">
        <x:v>waterproof_arch_support_pool_sandals</x:v>
      </x:c>
      <x:c r="B719" s="7" t="n">
        <x:f>COUNTIF('唯一词标签'!$V$2:$V$1441,A719)</x:f>
        <x:v>1</x:v>
      </x:c>
      <x:c r="C719" s="55" t="n">
        <x:f>B719/COUNTA('唯一词标签'!$C$2:$C$1441)</x:f>
        <x:v>0.0006944444444444445</x:v>
      </x:c>
      <x:c r="D719" s="7" t="n">
        <x:f>COUNTIFS('唯一词标签'!$V$2:$V$1441,A719,'唯一词标签'!$Z$2:$Z$1441,"match")</x:f>
        <x:v>0</x:v>
      </x:c>
      <x:c r="E719" s="7" t="n">
        <x:f>COUNTIFS('唯一词标签'!$V$2:$V$1441,A719,'唯一词标签'!$Z$2:$Z$1441,"partial_match")</x:f>
        <x:v>1</x:v>
      </x:c>
      <x:c r="F719" s="7" t="n">
        <x:f>COUNTIFS('唯一词标签'!$V$2:$V$1441,A719,'唯一词标签'!$Z$2:$Z$1441,"mismatch")</x:f>
        <x:v>0</x:v>
      </x:c>
      <x:c r="G719" s="7" t="n">
        <x:f>COUNTIFS('唯一词标签'!$V$2:$V$1441,A719,'唯一词标签'!$Z$2:$Z$1441,"unknown")</x:f>
        <x:v>0</x:v>
      </x:c>
      <x:c r="H719" s="7" t="n">
        <x:f>COUNTIFS('唯一词标签'!$V$2:$V$1441,A719,'唯一词标签'!$U$2:$U$1441,"low")</x:f>
        <x:v>0</x:v>
      </x:c>
      <x:c r="I719" s="7" t="n">
        <x:f>COUNTIFS('唯一词标签'!$V$2:$V$1441,A719,'唯一词标签'!$AB$2:$AB$1441,"needs_review")</x:f>
        <x:v>1</x:v>
      </x:c>
    </x:row>
    <x:row r="720" ht="22" customHeight="1">
      <x:c r="A720" s="7" t="str">
        <x:v>waterproof_beach_flip_flop</x:v>
      </x:c>
      <x:c r="B720" s="7" t="n">
        <x:f>COUNTIF('唯一词标签'!$V$2:$V$1441,A720)</x:f>
        <x:v>1</x:v>
      </x:c>
      <x:c r="C720" s="55" t="n">
        <x:f>B720/COUNTA('唯一词标签'!$C$2:$C$1441)</x:f>
        <x:v>0.0006944444444444445</x:v>
      </x:c>
      <x:c r="D720" s="7" t="n">
        <x:f>COUNTIFS('唯一词标签'!$V$2:$V$1441,A720,'唯一词标签'!$Z$2:$Z$1441,"match")</x:f>
        <x:v>0</x:v>
      </x:c>
      <x:c r="E720" s="7" t="n">
        <x:f>COUNTIFS('唯一词标签'!$V$2:$V$1441,A720,'唯一词标签'!$Z$2:$Z$1441,"partial_match")</x:f>
        <x:v>1</x:v>
      </x:c>
      <x:c r="F720" s="7" t="n">
        <x:f>COUNTIFS('唯一词标签'!$V$2:$V$1441,A720,'唯一词标签'!$Z$2:$Z$1441,"mismatch")</x:f>
        <x:v>0</x:v>
      </x:c>
      <x:c r="G720" s="7" t="n">
        <x:f>COUNTIFS('唯一词标签'!$V$2:$V$1441,A720,'唯一词标签'!$Z$2:$Z$1441,"unknown")</x:f>
        <x:v>0</x:v>
      </x:c>
      <x:c r="H720" s="7" t="n">
        <x:f>COUNTIFS('唯一词标签'!$V$2:$V$1441,A720,'唯一词标签'!$U$2:$U$1441,"low")</x:f>
        <x:v>0</x:v>
      </x:c>
      <x:c r="I720" s="7" t="n">
        <x:f>COUNTIFS('唯一词标签'!$V$2:$V$1441,A720,'唯一词标签'!$AB$2:$AB$1441,"needs_review")</x:f>
        <x:v>0</x:v>
      </x:c>
    </x:row>
    <x:row r="721" ht="22" customHeight="1">
      <x:c r="A721" s="7" t="str">
        <x:v>waterproof_beach_pool_womens_flip_flops</x:v>
      </x:c>
      <x:c r="B721" s="7" t="n">
        <x:f>COUNTIF('唯一词标签'!$V$2:$V$1441,A721)</x:f>
        <x:v>1</x:v>
      </x:c>
      <x:c r="C721" s="55" t="n">
        <x:f>B721/COUNTA('唯一词标签'!$C$2:$C$1441)</x:f>
        <x:v>0.0006944444444444445</x:v>
      </x:c>
      <x:c r="D721" s="7" t="n">
        <x:f>COUNTIFS('唯一词标签'!$V$2:$V$1441,A721,'唯一词标签'!$Z$2:$Z$1441,"match")</x:f>
        <x:v>0</x:v>
      </x:c>
      <x:c r="E721" s="7" t="n">
        <x:f>COUNTIFS('唯一词标签'!$V$2:$V$1441,A721,'唯一词标签'!$Z$2:$Z$1441,"partial_match")</x:f>
        <x:v>1</x:v>
      </x:c>
      <x:c r="F721" s="7" t="n">
        <x:f>COUNTIFS('唯一词标签'!$V$2:$V$1441,A721,'唯一词标签'!$Z$2:$Z$1441,"mismatch")</x:f>
        <x:v>0</x:v>
      </x:c>
      <x:c r="G721" s="7" t="n">
        <x:f>COUNTIFS('唯一词标签'!$V$2:$V$1441,A721,'唯一词标签'!$Z$2:$Z$1441,"unknown")</x:f>
        <x:v>0</x:v>
      </x:c>
      <x:c r="H721" s="7" t="n">
        <x:f>COUNTIFS('唯一词标签'!$V$2:$V$1441,A721,'唯一词标签'!$U$2:$U$1441,"low")</x:f>
        <x:v>0</x:v>
      </x:c>
      <x:c r="I721" s="7" t="n">
        <x:f>COUNTIFS('唯一词标签'!$V$2:$V$1441,A721,'唯一词标签'!$AB$2:$AB$1441,"needs_review")</x:f>
        <x:v>0</x:v>
      </x:c>
    </x:row>
    <x:row r="722" ht="22" customHeight="1">
      <x:c r="A722" s="7" t="str">
        <x:v>waterproof_beach_sandals</x:v>
      </x:c>
      <x:c r="B722" s="7" t="n">
        <x:f>COUNTIF('唯一词标签'!$V$2:$V$1441,A722)</x:f>
        <x:v>3</x:v>
      </x:c>
      <x:c r="C722" s="55" t="n">
        <x:f>B722/COUNTA('唯一词标签'!$C$2:$C$1441)</x:f>
        <x:v>0.0020833333333333333</x:v>
      </x:c>
      <x:c r="D722" s="7" t="n">
        <x:f>COUNTIFS('唯一词标签'!$V$2:$V$1441,A722,'唯一词标签'!$Z$2:$Z$1441,"match")</x:f>
        <x:v>0</x:v>
      </x:c>
      <x:c r="E722" s="7" t="n">
        <x:f>COUNTIFS('唯一词标签'!$V$2:$V$1441,A722,'唯一词标签'!$Z$2:$Z$1441,"partial_match")</x:f>
        <x:v>2</x:v>
      </x:c>
      <x:c r="F722" s="7" t="n">
        <x:f>COUNTIFS('唯一词标签'!$V$2:$V$1441,A722,'唯一词标签'!$Z$2:$Z$1441,"mismatch")</x:f>
        <x:v>1</x:v>
      </x:c>
      <x:c r="G722" s="7" t="n">
        <x:f>COUNTIFS('唯一词标签'!$V$2:$V$1441,A722,'唯一词标签'!$Z$2:$Z$1441,"unknown")</x:f>
        <x:v>0</x:v>
      </x:c>
      <x:c r="H722" s="7" t="n">
        <x:f>COUNTIFS('唯一词标签'!$V$2:$V$1441,A722,'唯一词标签'!$U$2:$U$1441,"low")</x:f>
        <x:v>0</x:v>
      </x:c>
      <x:c r="I722" s="7" t="n">
        <x:f>COUNTIFS('唯一词标签'!$V$2:$V$1441,A722,'唯一词标签'!$AB$2:$AB$1441,"needs_review")</x:f>
        <x:v>0</x:v>
      </x:c>
    </x:row>
    <x:row r="723" ht="22" customHeight="1">
      <x:c r="A723" s="7" t="str">
        <x:v>waterproof_flip_flops</x:v>
      </x:c>
      <x:c r="B723" s="7" t="n">
        <x:f>COUNTIF('唯一词标签'!$V$2:$V$1441,A723)</x:f>
        <x:v>5</x:v>
      </x:c>
      <x:c r="C723" s="55" t="n">
        <x:f>B723/COUNTA('唯一词标签'!$C$2:$C$1441)</x:f>
        <x:v>0.003472222222222222</x:v>
      </x:c>
      <x:c r="D723" s="7" t="n">
        <x:f>COUNTIFS('唯一词标签'!$V$2:$V$1441,A723,'唯一词标签'!$Z$2:$Z$1441,"match")</x:f>
        <x:v>0</x:v>
      </x:c>
      <x:c r="E723" s="7" t="n">
        <x:f>COUNTIFS('唯一词标签'!$V$2:$V$1441,A723,'唯一词标签'!$Z$2:$Z$1441,"partial_match")</x:f>
        <x:v>3</x:v>
      </x:c>
      <x:c r="F723" s="7" t="n">
        <x:f>COUNTIFS('唯一词标签'!$V$2:$V$1441,A723,'唯一词标签'!$Z$2:$Z$1441,"mismatch")</x:f>
        <x:v>2</x:v>
      </x:c>
      <x:c r="G723" s="7" t="n">
        <x:f>COUNTIFS('唯一词标签'!$V$2:$V$1441,A723,'唯一词标签'!$Z$2:$Z$1441,"unknown")</x:f>
        <x:v>0</x:v>
      </x:c>
      <x:c r="H723" s="7" t="n">
        <x:f>COUNTIFS('唯一词标签'!$V$2:$V$1441,A723,'唯一词标签'!$U$2:$U$1441,"low")</x:f>
        <x:v>0</x:v>
      </x:c>
      <x:c r="I723" s="7" t="n">
        <x:f>COUNTIFS('唯一词标签'!$V$2:$V$1441,A723,'唯一词标签'!$AB$2:$AB$1441,"needs_review")</x:f>
        <x:v>0</x:v>
      </x:c>
    </x:row>
    <x:row r="724" ht="22" customHeight="1">
      <x:c r="A724" s="7" t="str">
        <x:v>waterproof_flip_flops_black</x:v>
      </x:c>
      <x:c r="B724" s="7" t="n">
        <x:f>COUNTIF('唯一词标签'!$V$2:$V$1441,A724)</x:f>
        <x:v>1</x:v>
      </x:c>
      <x:c r="C724" s="55" t="n">
        <x:f>B724/COUNTA('唯一词标签'!$C$2:$C$1441)</x:f>
        <x:v>0.0006944444444444445</x:v>
      </x:c>
      <x:c r="D724" s="7" t="n">
        <x:f>COUNTIFS('唯一词标签'!$V$2:$V$1441,A724,'唯一词标签'!$Z$2:$Z$1441,"match")</x:f>
        <x:v>0</x:v>
      </x:c>
      <x:c r="E724" s="7" t="n">
        <x:f>COUNTIFS('唯一词标签'!$V$2:$V$1441,A724,'唯一词标签'!$Z$2:$Z$1441,"partial_match")</x:f>
        <x:v>1</x:v>
      </x:c>
      <x:c r="F724" s="7" t="n">
        <x:f>COUNTIFS('唯一词标签'!$V$2:$V$1441,A724,'唯一词标签'!$Z$2:$Z$1441,"mismatch")</x:f>
        <x:v>0</x:v>
      </x:c>
      <x:c r="G724" s="7" t="n">
        <x:f>COUNTIFS('唯一词标签'!$V$2:$V$1441,A724,'唯一词标签'!$Z$2:$Z$1441,"unknown")</x:f>
        <x:v>0</x:v>
      </x:c>
      <x:c r="H724" s="7" t="n">
        <x:f>COUNTIFS('唯一词标签'!$V$2:$V$1441,A724,'唯一词标签'!$U$2:$U$1441,"low")</x:f>
        <x:v>0</x:v>
      </x:c>
      <x:c r="I724" s="7" t="n">
        <x:f>COUNTIFS('唯一词标签'!$V$2:$V$1441,A724,'唯一词标签'!$AB$2:$AB$1441,"needs_review")</x:f>
        <x:v>0</x:v>
      </x:c>
    </x:row>
    <x:row r="725" ht="22" customHeight="1">
      <x:c r="A725" s="7" t="str">
        <x:v>waterproof_flip_flops_women</x:v>
      </x:c>
      <x:c r="B725" s="7" t="n">
        <x:f>COUNTIF('唯一词标签'!$V$2:$V$1441,A725)</x:f>
        <x:v>3</x:v>
      </x:c>
      <x:c r="C725" s="55" t="n">
        <x:f>B725/COUNTA('唯一词标签'!$C$2:$C$1441)</x:f>
        <x:v>0.0020833333333333333</x:v>
      </x:c>
      <x:c r="D725" s="7" t="n">
        <x:f>COUNTIFS('唯一词标签'!$V$2:$V$1441,A725,'唯一词标签'!$Z$2:$Z$1441,"match")</x:f>
        <x:v>0</x:v>
      </x:c>
      <x:c r="E725" s="7" t="n">
        <x:f>COUNTIFS('唯一词标签'!$V$2:$V$1441,A725,'唯一词标签'!$Z$2:$Z$1441,"partial_match")</x:f>
        <x:v>2</x:v>
      </x:c>
      <x:c r="F725" s="7" t="n">
        <x:f>COUNTIFS('唯一词标签'!$V$2:$V$1441,A725,'唯一词标签'!$Z$2:$Z$1441,"mismatch")</x:f>
        <x:v>1</x:v>
      </x:c>
      <x:c r="G725" s="7" t="n">
        <x:f>COUNTIFS('唯一词标签'!$V$2:$V$1441,A725,'唯一词标签'!$Z$2:$Z$1441,"unknown")</x:f>
        <x:v>0</x:v>
      </x:c>
      <x:c r="H725" s="7" t="n">
        <x:f>COUNTIFS('唯一词标签'!$V$2:$V$1441,A725,'唯一词标签'!$U$2:$U$1441,"low")</x:f>
        <x:v>0</x:v>
      </x:c>
      <x:c r="I725" s="7" t="n">
        <x:f>COUNTIFS('唯一词标签'!$V$2:$V$1441,A725,'唯一词标签'!$AB$2:$AB$1441,"needs_review")</x:f>
        <x:v>0</x:v>
      </x:c>
    </x:row>
    <x:row r="726" ht="22" customHeight="1">
      <x:c r="A726" s="7" t="str">
        <x:v>waterproof_nonslip_flip_flops</x:v>
      </x:c>
      <x:c r="B726" s="7" t="n">
        <x:f>COUNTIF('唯一词标签'!$V$2:$V$1441,A726)</x:f>
        <x:v>1</x:v>
      </x:c>
      <x:c r="C726" s="55" t="n">
        <x:f>B726/COUNTA('唯一词标签'!$C$2:$C$1441)</x:f>
        <x:v>0.0006944444444444445</x:v>
      </x:c>
      <x:c r="D726" s="7" t="n">
        <x:f>COUNTIFS('唯一词标签'!$V$2:$V$1441,A726,'唯一词标签'!$Z$2:$Z$1441,"match")</x:f>
        <x:v>0</x:v>
      </x:c>
      <x:c r="E726" s="7" t="n">
        <x:f>COUNTIFS('唯一词标签'!$V$2:$V$1441,A726,'唯一词标签'!$Z$2:$Z$1441,"partial_match")</x:f>
        <x:v>1</x:v>
      </x:c>
      <x:c r="F726" s="7" t="n">
        <x:f>COUNTIFS('唯一词标签'!$V$2:$V$1441,A726,'唯一词标签'!$Z$2:$Z$1441,"mismatch")</x:f>
        <x:v>0</x:v>
      </x:c>
      <x:c r="G726" s="7" t="n">
        <x:f>COUNTIFS('唯一词标签'!$V$2:$V$1441,A726,'唯一词标签'!$Z$2:$Z$1441,"unknown")</x:f>
        <x:v>0</x:v>
      </x:c>
      <x:c r="H726" s="7" t="n">
        <x:f>COUNTIFS('唯一词标签'!$V$2:$V$1441,A726,'唯一词标签'!$U$2:$U$1441,"low")</x:f>
        <x:v>0</x:v>
      </x:c>
      <x:c r="I726" s="7" t="n">
        <x:f>COUNTIFS('唯一词标签'!$V$2:$V$1441,A726,'唯一词标签'!$AB$2:$AB$1441,"needs_review")</x:f>
        <x:v>0</x:v>
      </x:c>
    </x:row>
    <x:row r="727" ht="22" customHeight="1">
      <x:c r="A727" s="7" t="str">
        <x:v>waterproof_sandals</x:v>
      </x:c>
      <x:c r="B727" s="7" t="n">
        <x:f>COUNTIF('唯一词标签'!$V$2:$V$1441,A727)</x:f>
        <x:v>1</x:v>
      </x:c>
      <x:c r="C727" s="55" t="n">
        <x:f>B727/COUNTA('唯一词标签'!$C$2:$C$1441)</x:f>
        <x:v>0.0006944444444444445</x:v>
      </x:c>
      <x:c r="D727" s="7" t="n">
        <x:f>COUNTIFS('唯一词标签'!$V$2:$V$1441,A727,'唯一词标签'!$Z$2:$Z$1441,"match")</x:f>
        <x:v>0</x:v>
      </x:c>
      <x:c r="E727" s="7" t="n">
        <x:f>COUNTIFS('唯一词标签'!$V$2:$V$1441,A727,'唯一词标签'!$Z$2:$Z$1441,"partial_match")</x:f>
        <x:v>1</x:v>
      </x:c>
      <x:c r="F727" s="7" t="n">
        <x:f>COUNTIFS('唯一词标签'!$V$2:$V$1441,A727,'唯一词标签'!$Z$2:$Z$1441,"mismatch")</x:f>
        <x:v>0</x:v>
      </x:c>
      <x:c r="G727" s="7" t="n">
        <x:f>COUNTIFS('唯一词标签'!$V$2:$V$1441,A727,'唯一词标签'!$Z$2:$Z$1441,"unknown")</x:f>
        <x:v>0</x:v>
      </x:c>
      <x:c r="H727" s="7" t="n">
        <x:f>COUNTIFS('唯一词标签'!$V$2:$V$1441,A727,'唯一词标签'!$U$2:$U$1441,"low")</x:f>
        <x:v>0</x:v>
      </x:c>
      <x:c r="I727" s="7" t="n">
        <x:f>COUNTIFS('唯一词标签'!$V$2:$V$1441,A727,'唯一词标签'!$AB$2:$AB$1441,"needs_review")</x:f>
        <x:v>0</x:v>
      </x:c>
    </x:row>
    <x:row r="728" ht="22" customHeight="1">
      <x:c r="A728" s="7" t="str">
        <x:v>waterproof_sensitive_skin_flip_flops</x:v>
      </x:c>
      <x:c r="B728" s="7" t="n">
        <x:f>COUNTIF('唯一词标签'!$V$2:$V$1441,A728)</x:f>
        <x:v>1</x:v>
      </x:c>
      <x:c r="C728" s="55" t="n">
        <x:f>B728/COUNTA('唯一词标签'!$C$2:$C$1441)</x:f>
        <x:v>0.0006944444444444445</x:v>
      </x:c>
      <x:c r="D728" s="7" t="n">
        <x:f>COUNTIFS('唯一词标签'!$V$2:$V$1441,A728,'唯一词标签'!$Z$2:$Z$1441,"match")</x:f>
        <x:v>0</x:v>
      </x:c>
      <x:c r="E728" s="7" t="n">
        <x:f>COUNTIFS('唯一词标签'!$V$2:$V$1441,A728,'唯一词标签'!$Z$2:$Z$1441,"partial_match")</x:f>
        <x:v>0</x:v>
      </x:c>
      <x:c r="F728" s="7" t="n">
        <x:f>COUNTIFS('唯一词标签'!$V$2:$V$1441,A728,'唯一词标签'!$Z$2:$Z$1441,"mismatch")</x:f>
        <x:v>1</x:v>
      </x:c>
      <x:c r="G728" s="7" t="n">
        <x:f>COUNTIFS('唯一词标签'!$V$2:$V$1441,A728,'唯一词标签'!$Z$2:$Z$1441,"unknown")</x:f>
        <x:v>0</x:v>
      </x:c>
      <x:c r="H728" s="7" t="n">
        <x:f>COUNTIFS('唯一词标签'!$V$2:$V$1441,A728,'唯一词标签'!$U$2:$U$1441,"low")</x:f>
        <x:v>0</x:v>
      </x:c>
      <x:c r="I728" s="7" t="n">
        <x:f>COUNTIFS('唯一词标签'!$V$2:$V$1441,A728,'唯一词标签'!$AB$2:$AB$1441,"needs_review")</x:f>
        <x:v>0</x:v>
      </x:c>
    </x:row>
    <x:row r="729" ht="22" customHeight="1">
      <x:c r="A729" s="7" t="str">
        <x:v>waterproof_slip_resistant_flip_flops</x:v>
      </x:c>
      <x:c r="B729" s="7" t="n">
        <x:f>COUNTIF('唯一词标签'!$V$2:$V$1441,A729)</x:f>
        <x:v>1</x:v>
      </x:c>
      <x:c r="C729" s="55" t="n">
        <x:f>B729/COUNTA('唯一词标签'!$C$2:$C$1441)</x:f>
        <x:v>0.0006944444444444445</x:v>
      </x:c>
      <x:c r="D729" s="7" t="n">
        <x:f>COUNTIFS('唯一词标签'!$V$2:$V$1441,A729,'唯一词标签'!$Z$2:$Z$1441,"match")</x:f>
        <x:v>0</x:v>
      </x:c>
      <x:c r="E729" s="7" t="n">
        <x:f>COUNTIFS('唯一词标签'!$V$2:$V$1441,A729,'唯一词标签'!$Z$2:$Z$1441,"partial_match")</x:f>
        <x:v>1</x:v>
      </x:c>
      <x:c r="F729" s="7" t="n">
        <x:f>COUNTIFS('唯一词标签'!$V$2:$V$1441,A729,'唯一词标签'!$Z$2:$Z$1441,"mismatch")</x:f>
        <x:v>0</x:v>
      </x:c>
      <x:c r="G729" s="7" t="n">
        <x:f>COUNTIFS('唯一词标签'!$V$2:$V$1441,A729,'唯一词标签'!$Z$2:$Z$1441,"unknown")</x:f>
        <x:v>0</x:v>
      </x:c>
      <x:c r="H729" s="7" t="n">
        <x:f>COUNTIFS('唯一词标签'!$V$2:$V$1441,A729,'唯一词标签'!$U$2:$U$1441,"low")</x:f>
        <x:v>0</x:v>
      </x:c>
      <x:c r="I729" s="7" t="n">
        <x:f>COUNTIFS('唯一词标签'!$V$2:$V$1441,A729,'唯一词标签'!$AB$2:$AB$1441,"needs_review")</x:f>
        <x:v>1</x:v>
      </x:c>
    </x:row>
    <x:row r="730" ht="22" customHeight="1">
      <x:c r="A730" s="7" t="str">
        <x:v>waterproof_soft_womens_flip_flops</x:v>
      </x:c>
      <x:c r="B730" s="7" t="n">
        <x:f>COUNTIF('唯一词标签'!$V$2:$V$1441,A730)</x:f>
        <x:v>1</x:v>
      </x:c>
      <x:c r="C730" s="55" t="n">
        <x:f>B730/COUNTA('唯一词标签'!$C$2:$C$1441)</x:f>
        <x:v>0.0006944444444444445</x:v>
      </x:c>
      <x:c r="D730" s="7" t="n">
        <x:f>COUNTIFS('唯一词标签'!$V$2:$V$1441,A730,'唯一词标签'!$Z$2:$Z$1441,"match")</x:f>
        <x:v>0</x:v>
      </x:c>
      <x:c r="E730" s="7" t="n">
        <x:f>COUNTIFS('唯一词标签'!$V$2:$V$1441,A730,'唯一词标签'!$Z$2:$Z$1441,"partial_match")</x:f>
        <x:v>1</x:v>
      </x:c>
      <x:c r="F730" s="7" t="n">
        <x:f>COUNTIFS('唯一词标签'!$V$2:$V$1441,A730,'唯一词标签'!$Z$2:$Z$1441,"mismatch")</x:f>
        <x:v>0</x:v>
      </x:c>
      <x:c r="G730" s="7" t="n">
        <x:f>COUNTIFS('唯一词标签'!$V$2:$V$1441,A730,'唯一词标签'!$Z$2:$Z$1441,"unknown")</x:f>
        <x:v>0</x:v>
      </x:c>
      <x:c r="H730" s="7" t="n">
        <x:f>COUNTIFS('唯一词标签'!$V$2:$V$1441,A730,'唯一词标签'!$U$2:$U$1441,"low")</x:f>
        <x:v>0</x:v>
      </x:c>
      <x:c r="I730" s="7" t="n">
        <x:f>COUNTIFS('唯一词标签'!$V$2:$V$1441,A730,'唯一词标签'!$AB$2:$AB$1441,"needs_review")</x:f>
        <x:v>0</x:v>
      </x:c>
    </x:row>
    <x:row r="731" ht="22" customHeight="1">
      <x:c r="A731" s="7" t="str">
        <x:v>waterproof_thin_flip_flops</x:v>
      </x:c>
      <x:c r="B731" s="7" t="n">
        <x:f>COUNTIF('唯一词标签'!$V$2:$V$1441,A731)</x:f>
        <x:v>1</x:v>
      </x:c>
      <x:c r="C731" s="55" t="n">
        <x:f>B731/COUNTA('唯一词标签'!$C$2:$C$1441)</x:f>
        <x:v>0.0006944444444444445</x:v>
      </x:c>
      <x:c r="D731" s="7" t="n">
        <x:f>COUNTIFS('唯一词标签'!$V$2:$V$1441,A731,'唯一词标签'!$Z$2:$Z$1441,"match")</x:f>
        <x:v>0</x:v>
      </x:c>
      <x:c r="E731" s="7" t="n">
        <x:f>COUNTIFS('唯一词标签'!$V$2:$V$1441,A731,'唯一词标签'!$Z$2:$Z$1441,"partial_match")</x:f>
        <x:v>0</x:v>
      </x:c>
      <x:c r="F731" s="7" t="n">
        <x:f>COUNTIFS('唯一词标签'!$V$2:$V$1441,A731,'唯一词标签'!$Z$2:$Z$1441,"mismatch")</x:f>
        <x:v>1</x:v>
      </x:c>
      <x:c r="G731" s="7" t="n">
        <x:f>COUNTIFS('唯一词标签'!$V$2:$V$1441,A731,'唯一词标签'!$Z$2:$Z$1441,"unknown")</x:f>
        <x:v>0</x:v>
      </x:c>
      <x:c r="H731" s="7" t="n">
        <x:f>COUNTIFS('唯一词标签'!$V$2:$V$1441,A731,'唯一词标签'!$U$2:$U$1441,"low")</x:f>
        <x:v>0</x:v>
      </x:c>
      <x:c r="I731" s="7" t="n">
        <x:f>COUNTIFS('唯一词标签'!$V$2:$V$1441,A731,'唯一词标签'!$AB$2:$AB$1441,"needs_review")</x:f>
        <x:v>0</x:v>
      </x:c>
    </x:row>
    <x:row r="732" ht="22" customHeight="1">
      <x:c r="A732" s="7" t="str">
        <x:v>waterproof_white_flip_flops</x:v>
      </x:c>
      <x:c r="B732" s="7" t="n">
        <x:f>COUNTIF('唯一词标签'!$V$2:$V$1441,A732)</x:f>
        <x:v>1</x:v>
      </x:c>
      <x:c r="C732" s="55" t="n">
        <x:f>B732/COUNTA('唯一词标签'!$C$2:$C$1441)</x:f>
        <x:v>0.0006944444444444445</x:v>
      </x:c>
      <x:c r="D732" s="7" t="n">
        <x:f>COUNTIFS('唯一词标签'!$V$2:$V$1441,A732,'唯一词标签'!$Z$2:$Z$1441,"match")</x:f>
        <x:v>0</x:v>
      </x:c>
      <x:c r="E732" s="7" t="n">
        <x:f>COUNTIFS('唯一词标签'!$V$2:$V$1441,A732,'唯一词标签'!$Z$2:$Z$1441,"partial_match")</x:f>
        <x:v>0</x:v>
      </x:c>
      <x:c r="F732" s="7" t="n">
        <x:f>COUNTIFS('唯一词标签'!$V$2:$V$1441,A732,'唯一词标签'!$Z$2:$Z$1441,"mismatch")</x:f>
        <x:v>1</x:v>
      </x:c>
      <x:c r="G732" s="7" t="n">
        <x:f>COUNTIFS('唯一词标签'!$V$2:$V$1441,A732,'唯一词标签'!$Z$2:$Z$1441,"unknown")</x:f>
        <x:v>0</x:v>
      </x:c>
      <x:c r="H732" s="7" t="n">
        <x:f>COUNTIFS('唯一词标签'!$V$2:$V$1441,A732,'唯一词标签'!$U$2:$U$1441,"low")</x:f>
        <x:v>0</x:v>
      </x:c>
      <x:c r="I732" s="7" t="n">
        <x:f>COUNTIFS('唯一词标签'!$V$2:$V$1441,A732,'唯一词标签'!$AB$2:$AB$1441,"needs_review")</x:f>
        <x:v>0</x:v>
      </x:c>
    </x:row>
    <x:row r="733" ht="22" customHeight="1">
      <x:c r="A733" s="7" t="str">
        <x:v>waterproof_womens_flip_flops</x:v>
      </x:c>
      <x:c r="B733" s="7" t="n">
        <x:f>COUNTIF('唯一词标签'!$V$2:$V$1441,A733)</x:f>
        <x:v>2</x:v>
      </x:c>
      <x:c r="C733" s="55" t="n">
        <x:f>B733/COUNTA('唯一词标签'!$C$2:$C$1441)</x:f>
        <x:v>0.001388888888888889</x:v>
      </x:c>
      <x:c r="D733" s="7" t="n">
        <x:f>COUNTIFS('唯一词标签'!$V$2:$V$1441,A733,'唯一词标签'!$Z$2:$Z$1441,"match")</x:f>
        <x:v>0</x:v>
      </x:c>
      <x:c r="E733" s="7" t="n">
        <x:f>COUNTIFS('唯一词标签'!$V$2:$V$1441,A733,'唯一词标签'!$Z$2:$Z$1441,"partial_match")</x:f>
        <x:v>1</x:v>
      </x:c>
      <x:c r="F733" s="7" t="n">
        <x:f>COUNTIFS('唯一词标签'!$V$2:$V$1441,A733,'唯一词标签'!$Z$2:$Z$1441,"mismatch")</x:f>
        <x:v>1</x:v>
      </x:c>
      <x:c r="G733" s="7" t="n">
        <x:f>COUNTIFS('唯一词标签'!$V$2:$V$1441,A733,'唯一词标签'!$Z$2:$Z$1441,"unknown")</x:f>
        <x:v>0</x:v>
      </x:c>
      <x:c r="H733" s="7" t="n">
        <x:f>COUNTIFS('唯一词标签'!$V$2:$V$1441,A733,'唯一词标签'!$U$2:$U$1441,"low")</x:f>
        <x:v>0</x:v>
      </x:c>
      <x:c r="I733" s="7" t="n">
        <x:f>COUNTIFS('唯一词标签'!$V$2:$V$1441,A733,'唯一词标签'!$AB$2:$AB$1441,"needs_review")</x:f>
        <x:v>0</x:v>
      </x:c>
    </x:row>
    <x:row r="734" ht="22" customHeight="1">
      <x:c r="A734" s="7" t="str">
        <x:v>waterproof_womens_sandals</x:v>
      </x:c>
      <x:c r="B734" s="7" t="n">
        <x:f>COUNTIF('唯一词标签'!$V$2:$V$1441,A734)</x:f>
        <x:v>1</x:v>
      </x:c>
      <x:c r="C734" s="55" t="n">
        <x:f>B734/COUNTA('唯一词标签'!$C$2:$C$1441)</x:f>
        <x:v>0.0006944444444444445</x:v>
      </x:c>
      <x:c r="D734" s="7" t="n">
        <x:f>COUNTIFS('唯一词标签'!$V$2:$V$1441,A734,'唯一词标签'!$Z$2:$Z$1441,"match")</x:f>
        <x:v>0</x:v>
      </x:c>
      <x:c r="E734" s="7" t="n">
        <x:f>COUNTIFS('唯一词标签'!$V$2:$V$1441,A734,'唯一词标签'!$Z$2:$Z$1441,"partial_match")</x:f>
        <x:v>1</x:v>
      </x:c>
      <x:c r="F734" s="7" t="n">
        <x:f>COUNTIFS('唯一词标签'!$V$2:$V$1441,A734,'唯一词标签'!$Z$2:$Z$1441,"mismatch")</x:f>
        <x:v>0</x:v>
      </x:c>
      <x:c r="G734" s="7" t="n">
        <x:f>COUNTIFS('唯一词标签'!$V$2:$V$1441,A734,'唯一词标签'!$Z$2:$Z$1441,"unknown")</x:f>
        <x:v>0</x:v>
      </x:c>
      <x:c r="H734" s="7" t="n">
        <x:f>COUNTIFS('唯一词标签'!$V$2:$V$1441,A734,'唯一词标签'!$U$2:$U$1441,"low")</x:f>
        <x:v>0</x:v>
      </x:c>
      <x:c r="I734" s="7" t="n">
        <x:f>COUNTIFS('唯一词标签'!$V$2:$V$1441,A734,'唯一词标签'!$AB$2:$AB$1441,"needs_review")</x:f>
        <x:v>0</x:v>
      </x:c>
    </x:row>
    <x:row r="735" ht="22" customHeight="1">
      <x:c r="A735" s="7" t="str">
        <x:v>waterproof_womens_thong_sandals</x:v>
      </x:c>
      <x:c r="B735" s="7" t="n">
        <x:f>COUNTIF('唯一词标签'!$V$2:$V$1441,A735)</x:f>
        <x:v>1</x:v>
      </x:c>
      <x:c r="C735" s="55" t="n">
        <x:f>B735/COUNTA('唯一词标签'!$C$2:$C$1441)</x:f>
        <x:v>0.0006944444444444445</x:v>
      </x:c>
      <x:c r="D735" s="7" t="n">
        <x:f>COUNTIFS('唯一词标签'!$V$2:$V$1441,A735,'唯一词标签'!$Z$2:$Z$1441,"match")</x:f>
        <x:v>0</x:v>
      </x:c>
      <x:c r="E735" s="7" t="n">
        <x:f>COUNTIFS('唯一词标签'!$V$2:$V$1441,A735,'唯一词标签'!$Z$2:$Z$1441,"partial_match")</x:f>
        <x:v>1</x:v>
      </x:c>
      <x:c r="F735" s="7" t="n">
        <x:f>COUNTIFS('唯一词标签'!$V$2:$V$1441,A735,'唯一词标签'!$Z$2:$Z$1441,"mismatch")</x:f>
        <x:v>0</x:v>
      </x:c>
      <x:c r="G735" s="7" t="n">
        <x:f>COUNTIFS('唯一词标签'!$V$2:$V$1441,A735,'唯一词标签'!$Z$2:$Z$1441,"unknown")</x:f>
        <x:v>0</x:v>
      </x:c>
      <x:c r="H735" s="7" t="n">
        <x:f>COUNTIFS('唯一词标签'!$V$2:$V$1441,A735,'唯一词标签'!$U$2:$U$1441,"low")</x:f>
        <x:v>0</x:v>
      </x:c>
      <x:c r="I735" s="7" t="n">
        <x:f>COUNTIFS('唯一词标签'!$V$2:$V$1441,A735,'唯一词标签'!$AB$2:$AB$1441,"needs_review")</x:f>
        <x:v>0</x:v>
      </x:c>
    </x:row>
    <x:row r="736" ht="22" customHeight="1">
      <x:c r="A736" s="7" t="str">
        <x:v>wedding_occasion_flip_flops</x:v>
      </x:c>
      <x:c r="B736" s="7" t="n">
        <x:f>COUNTIF('唯一词标签'!$V$2:$V$1441,A736)</x:f>
        <x:v>1</x:v>
      </x:c>
      <x:c r="C736" s="55" t="n">
        <x:f>B736/COUNTA('唯一词标签'!$C$2:$C$1441)</x:f>
        <x:v>0.0006944444444444445</x:v>
      </x:c>
      <x:c r="D736" s="7" t="n">
        <x:f>COUNTIFS('唯一词标签'!$V$2:$V$1441,A736,'唯一词标签'!$Z$2:$Z$1441,"match")</x:f>
        <x:v>0</x:v>
      </x:c>
      <x:c r="E736" s="7" t="n">
        <x:f>COUNTIFS('唯一词标签'!$V$2:$V$1441,A736,'唯一词标签'!$Z$2:$Z$1441,"partial_match")</x:f>
        <x:v>0</x:v>
      </x:c>
      <x:c r="F736" s="7" t="n">
        <x:f>COUNTIFS('唯一词标签'!$V$2:$V$1441,A736,'唯一词标签'!$Z$2:$Z$1441,"mismatch")</x:f>
        <x:v>1</x:v>
      </x:c>
      <x:c r="G736" s="7" t="n">
        <x:f>COUNTIFS('唯一词标签'!$V$2:$V$1441,A736,'唯一词标签'!$Z$2:$Z$1441,"unknown")</x:f>
        <x:v>0</x:v>
      </x:c>
      <x:c r="H736" s="7" t="n">
        <x:f>COUNTIFS('唯一词标签'!$V$2:$V$1441,A736,'唯一词标签'!$U$2:$U$1441,"low")</x:f>
        <x:v>1</x:v>
      </x:c>
      <x:c r="I736" s="7" t="n">
        <x:f>COUNTIFS('唯一词标签'!$V$2:$V$1441,A736,'唯一词标签'!$AB$2:$AB$1441,"needs_review")</x:f>
        <x:v>0</x:v>
      </x:c>
    </x:row>
    <x:row r="737" ht="22" customHeight="1">
      <x:c r="A737" s="7" t="str">
        <x:v>white_arch_flip_flops</x:v>
      </x:c>
      <x:c r="B737" s="7" t="n">
        <x:f>COUNTIF('唯一词标签'!$V$2:$V$1441,A737)</x:f>
        <x:v>1</x:v>
      </x:c>
      <x:c r="C737" s="55" t="n">
        <x:f>B737/COUNTA('唯一词标签'!$C$2:$C$1441)</x:f>
        <x:v>0.0006944444444444445</x:v>
      </x:c>
      <x:c r="D737" s="7" t="n">
        <x:f>COUNTIFS('唯一词标签'!$V$2:$V$1441,A737,'唯一词标签'!$Z$2:$Z$1441,"match")</x:f>
        <x:v>1</x:v>
      </x:c>
      <x:c r="E737" s="7" t="n">
        <x:f>COUNTIFS('唯一词标签'!$V$2:$V$1441,A737,'唯一词标签'!$Z$2:$Z$1441,"partial_match")</x:f>
        <x:v>0</x:v>
      </x:c>
      <x:c r="F737" s="7" t="n">
        <x:f>COUNTIFS('唯一词标签'!$V$2:$V$1441,A737,'唯一词标签'!$Z$2:$Z$1441,"mismatch")</x:f>
        <x:v>0</x:v>
      </x:c>
      <x:c r="G737" s="7" t="n">
        <x:f>COUNTIFS('唯一词标签'!$V$2:$V$1441,A737,'唯一词标签'!$Z$2:$Z$1441,"unknown")</x:f>
        <x:v>0</x:v>
      </x:c>
      <x:c r="H737" s="7" t="n">
        <x:f>COUNTIFS('唯一词标签'!$V$2:$V$1441,A737,'唯一词标签'!$U$2:$U$1441,"low")</x:f>
        <x:v>0</x:v>
      </x:c>
      <x:c r="I737" s="7" t="n">
        <x:f>COUNTIFS('唯一词标签'!$V$2:$V$1441,A737,'唯一词标签'!$AB$2:$AB$1441,"needs_review")</x:f>
        <x:v>0</x:v>
      </x:c>
    </x:row>
    <x:row r="738" ht="22" customHeight="1">
      <x:c r="A738" s="7" t="str">
        <x:v>white_arch_support_flip_flops</x:v>
      </x:c>
      <x:c r="B738" s="7" t="n">
        <x:f>COUNTIF('唯一词标签'!$V$2:$V$1441,A738)</x:f>
        <x:v>3</x:v>
      </x:c>
      <x:c r="C738" s="55" t="n">
        <x:f>B738/COUNTA('唯一词标签'!$C$2:$C$1441)</x:f>
        <x:v>0.0020833333333333333</x:v>
      </x:c>
      <x:c r="D738" s="7" t="n">
        <x:f>COUNTIFS('唯一词标签'!$V$2:$V$1441,A738,'唯一词标签'!$Z$2:$Z$1441,"match")</x:f>
        <x:v>3</x:v>
      </x:c>
      <x:c r="E738" s="7" t="n">
        <x:f>COUNTIFS('唯一词标签'!$V$2:$V$1441,A738,'唯一词标签'!$Z$2:$Z$1441,"partial_match")</x:f>
        <x:v>0</x:v>
      </x:c>
      <x:c r="F738" s="7" t="n">
        <x:f>COUNTIFS('唯一词标签'!$V$2:$V$1441,A738,'唯一词标签'!$Z$2:$Z$1441,"mismatch")</x:f>
        <x:v>0</x:v>
      </x:c>
      <x:c r="G738" s="7" t="n">
        <x:f>COUNTIFS('唯一词标签'!$V$2:$V$1441,A738,'唯一词标签'!$Z$2:$Z$1441,"unknown")</x:f>
        <x:v>0</x:v>
      </x:c>
      <x:c r="H738" s="7" t="n">
        <x:f>COUNTIFS('唯一词标签'!$V$2:$V$1441,A738,'唯一词标签'!$U$2:$U$1441,"low")</x:f>
        <x:v>0</x:v>
      </x:c>
      <x:c r="I738" s="7" t="n">
        <x:f>COUNTIFS('唯一词标签'!$V$2:$V$1441,A738,'唯一词标签'!$AB$2:$AB$1441,"needs_review")</x:f>
        <x:v>0</x:v>
      </x:c>
    </x:row>
    <x:row r="739" ht="22" customHeight="1">
      <x:c r="A739" s="7" t="str">
        <x:v>white_arch_support_flip_flops_women</x:v>
      </x:c>
      <x:c r="B739" s="7" t="n">
        <x:f>COUNTIF('唯一词标签'!$V$2:$V$1441,A739)</x:f>
        <x:v>1</x:v>
      </x:c>
      <x:c r="C739" s="55" t="n">
        <x:f>B739/COUNTA('唯一词标签'!$C$2:$C$1441)</x:f>
        <x:v>0.0006944444444444445</x:v>
      </x:c>
      <x:c r="D739" s="7" t="n">
        <x:f>COUNTIFS('唯一词标签'!$V$2:$V$1441,A739,'唯一词标签'!$Z$2:$Z$1441,"match")</x:f>
        <x:v>1</x:v>
      </x:c>
      <x:c r="E739" s="7" t="n">
        <x:f>COUNTIFS('唯一词标签'!$V$2:$V$1441,A739,'唯一词标签'!$Z$2:$Z$1441,"partial_match")</x:f>
        <x:v>0</x:v>
      </x:c>
      <x:c r="F739" s="7" t="n">
        <x:f>COUNTIFS('唯一词标签'!$V$2:$V$1441,A739,'唯一词标签'!$Z$2:$Z$1441,"mismatch")</x:f>
        <x:v>0</x:v>
      </x:c>
      <x:c r="G739" s="7" t="n">
        <x:f>COUNTIFS('唯一词标签'!$V$2:$V$1441,A739,'唯一词标签'!$Z$2:$Z$1441,"unknown")</x:f>
        <x:v>0</x:v>
      </x:c>
      <x:c r="H739" s="7" t="n">
        <x:f>COUNTIFS('唯一词标签'!$V$2:$V$1441,A739,'唯一词标签'!$U$2:$U$1441,"low")</x:f>
        <x:v>0</x:v>
      </x:c>
      <x:c r="I739" s="7" t="n">
        <x:f>COUNTIFS('唯一词标签'!$V$2:$V$1441,A739,'唯一词标签'!$AB$2:$AB$1441,"needs_review")</x:f>
        <x:v>0</x:v>
      </x:c>
    </x:row>
    <x:row r="740" ht="22" customHeight="1">
      <x:c r="A740" s="7" t="str">
        <x:v>white_arch_support_womens_flip_flop</x:v>
      </x:c>
      <x:c r="B740" s="7" t="n">
        <x:f>COUNTIF('唯一词标签'!$V$2:$V$1441,A740)</x:f>
        <x:v>1</x:v>
      </x:c>
      <x:c r="C740" s="55" t="n">
        <x:f>B740/COUNTA('唯一词标签'!$C$2:$C$1441)</x:f>
        <x:v>0.0006944444444444445</x:v>
      </x:c>
      <x:c r="D740" s="7" t="n">
        <x:f>COUNTIFS('唯一词标签'!$V$2:$V$1441,A740,'唯一词标签'!$Z$2:$Z$1441,"match")</x:f>
        <x:v>1</x:v>
      </x:c>
      <x:c r="E740" s="7" t="n">
        <x:f>COUNTIFS('唯一词标签'!$V$2:$V$1441,A740,'唯一词标签'!$Z$2:$Z$1441,"partial_match")</x:f>
        <x:v>0</x:v>
      </x:c>
      <x:c r="F740" s="7" t="n">
        <x:f>COUNTIFS('唯一词标签'!$V$2:$V$1441,A740,'唯一词标签'!$Z$2:$Z$1441,"mismatch")</x:f>
        <x:v>0</x:v>
      </x:c>
      <x:c r="G740" s="7" t="n">
        <x:f>COUNTIFS('唯一词标签'!$V$2:$V$1441,A740,'唯一词标签'!$Z$2:$Z$1441,"unknown")</x:f>
        <x:v>0</x:v>
      </x:c>
      <x:c r="H740" s="7" t="n">
        <x:f>COUNTIFS('唯一词标签'!$V$2:$V$1441,A740,'唯一词标签'!$U$2:$U$1441,"low")</x:f>
        <x:v>0</x:v>
      </x:c>
      <x:c r="I740" s="7" t="n">
        <x:f>COUNTIFS('唯一词标签'!$V$2:$V$1441,A740,'唯一词标签'!$AB$2:$AB$1441,"needs_review")</x:f>
        <x:v>0</x:v>
      </x:c>
    </x:row>
    <x:row r="741" ht="22" customHeight="1">
      <x:c r="A741" s="7" t="str">
        <x:v>white_arch_support_womens_flip_flops</x:v>
      </x:c>
      <x:c r="B741" s="7" t="n">
        <x:f>COUNTIF('唯一词标签'!$V$2:$V$1441,A741)</x:f>
        <x:v>1</x:v>
      </x:c>
      <x:c r="C741" s="55" t="n">
        <x:f>B741/COUNTA('唯一词标签'!$C$2:$C$1441)</x:f>
        <x:v>0.0006944444444444445</x:v>
      </x:c>
      <x:c r="D741" s="7" t="n">
        <x:f>COUNTIFS('唯一词标签'!$V$2:$V$1441,A741,'唯一词标签'!$Z$2:$Z$1441,"match")</x:f>
        <x:v>1</x:v>
      </x:c>
      <x:c r="E741" s="7" t="n">
        <x:f>COUNTIFS('唯一词标签'!$V$2:$V$1441,A741,'唯一词标签'!$Z$2:$Z$1441,"partial_match")</x:f>
        <x:v>0</x:v>
      </x:c>
      <x:c r="F741" s="7" t="n">
        <x:f>COUNTIFS('唯一词标签'!$V$2:$V$1441,A741,'唯一词标签'!$Z$2:$Z$1441,"mismatch")</x:f>
        <x:v>0</x:v>
      </x:c>
      <x:c r="G741" s="7" t="n">
        <x:f>COUNTIFS('唯一词标签'!$V$2:$V$1441,A741,'唯一词标签'!$Z$2:$Z$1441,"unknown")</x:f>
        <x:v>0</x:v>
      </x:c>
      <x:c r="H741" s="7" t="n">
        <x:f>COUNTIFS('唯一词标签'!$V$2:$V$1441,A741,'唯一词标签'!$U$2:$U$1441,"low")</x:f>
        <x:v>0</x:v>
      </x:c>
      <x:c r="I741" s="7" t="n">
        <x:f>COUNTIFS('唯一词标签'!$V$2:$V$1441,A741,'唯一词标签'!$AB$2:$AB$1441,"needs_review")</x:f>
        <x:v>0</x:v>
      </x:c>
    </x:row>
    <x:row r="742" ht="22" customHeight="1">
      <x:c r="A742" s="7" t="str">
        <x:v>white_archies_flip_flops</x:v>
      </x:c>
      <x:c r="B742" s="7" t="n">
        <x:f>COUNTIF('唯一词标签'!$V$2:$V$1441,A742)</x:f>
        <x:v>1</x:v>
      </x:c>
      <x:c r="C742" s="55" t="n">
        <x:f>B742/COUNTA('唯一词标签'!$C$2:$C$1441)</x:f>
        <x:v>0.0006944444444444445</x:v>
      </x:c>
      <x:c r="D742" s="7" t="n">
        <x:f>COUNTIFS('唯一词标签'!$V$2:$V$1441,A742,'唯一词标签'!$Z$2:$Z$1441,"match")</x:f>
        <x:v>0</x:v>
      </x:c>
      <x:c r="E742" s="7" t="n">
        <x:f>COUNTIFS('唯一词标签'!$V$2:$V$1441,A742,'唯一词标签'!$Z$2:$Z$1441,"partial_match")</x:f>
        <x:v>1</x:v>
      </x:c>
      <x:c r="F742" s="7" t="n">
        <x:f>COUNTIFS('唯一词标签'!$V$2:$V$1441,A742,'唯一词标签'!$Z$2:$Z$1441,"mismatch")</x:f>
        <x:v>0</x:v>
      </x:c>
      <x:c r="G742" s="7" t="n">
        <x:f>COUNTIFS('唯一词标签'!$V$2:$V$1441,A742,'唯一词标签'!$Z$2:$Z$1441,"unknown")</x:f>
        <x:v>0</x:v>
      </x:c>
      <x:c r="H742" s="7" t="n">
        <x:f>COUNTIFS('唯一词标签'!$V$2:$V$1441,A742,'唯一词标签'!$U$2:$U$1441,"low")</x:f>
        <x:v>1</x:v>
      </x:c>
      <x:c r="I742" s="7" t="n">
        <x:f>COUNTIFS('唯一词标签'!$V$2:$V$1441,A742,'唯一词标签'!$AB$2:$AB$1441,"needs_review")</x:f>
        <x:v>0</x:v>
      </x:c>
    </x:row>
    <x:row r="743" ht="22" customHeight="1">
      <x:c r="A743" s="7" t="str">
        <x:v>white_beach_comfortable_flip_flops</x:v>
      </x:c>
      <x:c r="B743" s="7" t="n">
        <x:f>COUNTIF('唯一词标签'!$V$2:$V$1441,A743)</x:f>
        <x:v>1</x:v>
      </x:c>
      <x:c r="C743" s="55" t="n">
        <x:f>B743/COUNTA('唯一词标签'!$C$2:$C$1441)</x:f>
        <x:v>0.0006944444444444445</x:v>
      </x:c>
      <x:c r="D743" s="7" t="n">
        <x:f>COUNTIFS('唯一词标签'!$V$2:$V$1441,A743,'唯一词标签'!$Z$2:$Z$1441,"match")</x:f>
        <x:v>1</x:v>
      </x:c>
      <x:c r="E743" s="7" t="n">
        <x:f>COUNTIFS('唯一词标签'!$V$2:$V$1441,A743,'唯一词标签'!$Z$2:$Z$1441,"partial_match")</x:f>
        <x:v>0</x:v>
      </x:c>
      <x:c r="F743" s="7" t="n">
        <x:f>COUNTIFS('唯一词标签'!$V$2:$V$1441,A743,'唯一词标签'!$Z$2:$Z$1441,"mismatch")</x:f>
        <x:v>0</x:v>
      </x:c>
      <x:c r="G743" s="7" t="n">
        <x:f>COUNTIFS('唯一词标签'!$V$2:$V$1441,A743,'唯一词标签'!$Z$2:$Z$1441,"unknown")</x:f>
        <x:v>0</x:v>
      </x:c>
      <x:c r="H743" s="7" t="n">
        <x:f>COUNTIFS('唯一词标签'!$V$2:$V$1441,A743,'唯一词标签'!$U$2:$U$1441,"low")</x:f>
        <x:v>0</x:v>
      </x:c>
      <x:c r="I743" s="7" t="n">
        <x:f>COUNTIFS('唯一词标签'!$V$2:$V$1441,A743,'唯一词标签'!$AB$2:$AB$1441,"needs_review")</x:f>
        <x:v>0</x:v>
      </x:c>
    </x:row>
    <x:row r="744" ht="22" customHeight="1">
      <x:c r="A744" s="7" t="str">
        <x:v>white_comfort_flip_flops</x:v>
      </x:c>
      <x:c r="B744" s="7" t="n">
        <x:f>COUNTIF('唯一词标签'!$V$2:$V$1441,A744)</x:f>
        <x:v>1</x:v>
      </x:c>
      <x:c r="C744" s="55" t="n">
        <x:f>B744/COUNTA('唯一词标签'!$C$2:$C$1441)</x:f>
        <x:v>0.0006944444444444445</x:v>
      </x:c>
      <x:c r="D744" s="7" t="n">
        <x:f>COUNTIFS('唯一词标签'!$V$2:$V$1441,A744,'唯一词标签'!$Z$2:$Z$1441,"match")</x:f>
        <x:v>1</x:v>
      </x:c>
      <x:c r="E744" s="7" t="n">
        <x:f>COUNTIFS('唯一词标签'!$V$2:$V$1441,A744,'唯一词标签'!$Z$2:$Z$1441,"partial_match")</x:f>
        <x:v>0</x:v>
      </x:c>
      <x:c r="F744" s="7" t="n">
        <x:f>COUNTIFS('唯一词标签'!$V$2:$V$1441,A744,'唯一词标签'!$Z$2:$Z$1441,"mismatch")</x:f>
        <x:v>0</x:v>
      </x:c>
      <x:c r="G744" s="7" t="n">
        <x:f>COUNTIFS('唯一词标签'!$V$2:$V$1441,A744,'唯一词标签'!$Z$2:$Z$1441,"unknown")</x:f>
        <x:v>0</x:v>
      </x:c>
      <x:c r="H744" s="7" t="n">
        <x:f>COUNTIFS('唯一词标签'!$V$2:$V$1441,A744,'唯一词标签'!$U$2:$U$1441,"low")</x:f>
        <x:v>0</x:v>
      </x:c>
      <x:c r="I744" s="7" t="n">
        <x:f>COUNTIFS('唯一词标签'!$V$2:$V$1441,A744,'唯一词标签'!$AB$2:$AB$1441,"needs_review")</x:f>
        <x:v>0</x:v>
      </x:c>
    </x:row>
    <x:row r="745" ht="22" customHeight="1">
      <x:c r="A745" s="7" t="str">
        <x:v>white_comfortable_flip_flops_women</x:v>
      </x:c>
      <x:c r="B745" s="7" t="n">
        <x:f>COUNTIF('唯一词标签'!$V$2:$V$1441,A745)</x:f>
        <x:v>1</x:v>
      </x:c>
      <x:c r="C745" s="55" t="n">
        <x:f>B745/COUNTA('唯一词标签'!$C$2:$C$1441)</x:f>
        <x:v>0.0006944444444444445</x:v>
      </x:c>
      <x:c r="D745" s="7" t="n">
        <x:f>COUNTIFS('唯一词标签'!$V$2:$V$1441,A745,'唯一词标签'!$Z$2:$Z$1441,"match")</x:f>
        <x:v>1</x:v>
      </x:c>
      <x:c r="E745" s="7" t="n">
        <x:f>COUNTIFS('唯一词标签'!$V$2:$V$1441,A745,'唯一词标签'!$Z$2:$Z$1441,"partial_match")</x:f>
        <x:v>0</x:v>
      </x:c>
      <x:c r="F745" s="7" t="n">
        <x:f>COUNTIFS('唯一词标签'!$V$2:$V$1441,A745,'唯一词标签'!$Z$2:$Z$1441,"mismatch")</x:f>
        <x:v>0</x:v>
      </x:c>
      <x:c r="G745" s="7" t="n">
        <x:f>COUNTIFS('唯一词标签'!$V$2:$V$1441,A745,'唯一词标签'!$Z$2:$Z$1441,"unknown")</x:f>
        <x:v>0</x:v>
      </x:c>
      <x:c r="H745" s="7" t="n">
        <x:f>COUNTIFS('唯一词标签'!$V$2:$V$1441,A745,'唯一词标签'!$U$2:$U$1441,"low")</x:f>
        <x:v>0</x:v>
      </x:c>
      <x:c r="I745" s="7" t="n">
        <x:f>COUNTIFS('唯一词标签'!$V$2:$V$1441,A745,'唯一词标签'!$AB$2:$AB$1441,"needs_review")</x:f>
        <x:v>0</x:v>
      </x:c>
    </x:row>
    <x:row r="746" ht="22" customHeight="1">
      <x:c r="A746" s="7" t="str">
        <x:v>white_comfortable_womens_flip_flops</x:v>
      </x:c>
      <x:c r="B746" s="7" t="n">
        <x:f>COUNTIF('唯一词标签'!$V$2:$V$1441,A746)</x:f>
        <x:v>1</x:v>
      </x:c>
      <x:c r="C746" s="55" t="n">
        <x:f>B746/COUNTA('唯一词标签'!$C$2:$C$1441)</x:f>
        <x:v>0.0006944444444444445</x:v>
      </x:c>
      <x:c r="D746" s="7" t="n">
        <x:f>COUNTIFS('唯一词标签'!$V$2:$V$1441,A746,'唯一词标签'!$Z$2:$Z$1441,"match")</x:f>
        <x:v>1</x:v>
      </x:c>
      <x:c r="E746" s="7" t="n">
        <x:f>COUNTIFS('唯一词标签'!$V$2:$V$1441,A746,'唯一词标签'!$Z$2:$Z$1441,"partial_match")</x:f>
        <x:v>0</x:v>
      </x:c>
      <x:c r="F746" s="7" t="n">
        <x:f>COUNTIFS('唯一词标签'!$V$2:$V$1441,A746,'唯一词标签'!$Z$2:$Z$1441,"mismatch")</x:f>
        <x:v>0</x:v>
      </x:c>
      <x:c r="G746" s="7" t="n">
        <x:f>COUNTIFS('唯一词标签'!$V$2:$V$1441,A746,'唯一词标签'!$Z$2:$Z$1441,"unknown")</x:f>
        <x:v>0</x:v>
      </x:c>
      <x:c r="H746" s="7" t="n">
        <x:f>COUNTIFS('唯一词标签'!$V$2:$V$1441,A746,'唯一词标签'!$U$2:$U$1441,"low")</x:f>
        <x:v>0</x:v>
      </x:c>
      <x:c r="I746" s="7" t="n">
        <x:f>COUNTIFS('唯一词标签'!$V$2:$V$1441,A746,'唯一词标签'!$AB$2:$AB$1441,"needs_review")</x:f>
        <x:v>0</x:v>
      </x:c>
    </x:row>
    <x:row r="747" ht="22" customHeight="1">
      <x:c r="A747" s="7" t="str">
        <x:v>white_cream_flip_flops</x:v>
      </x:c>
      <x:c r="B747" s="7" t="n">
        <x:f>COUNTIF('唯一词标签'!$V$2:$V$1441,A747)</x:f>
        <x:v>1</x:v>
      </x:c>
      <x:c r="C747" s="55" t="n">
        <x:f>B747/COUNTA('唯一词标签'!$C$2:$C$1441)</x:f>
        <x:v>0.0006944444444444445</x:v>
      </x:c>
      <x:c r="D747" s="7" t="n">
        <x:f>COUNTIFS('唯一词标签'!$V$2:$V$1441,A747,'唯一词标签'!$Z$2:$Z$1441,"match")</x:f>
        <x:v>0</x:v>
      </x:c>
      <x:c r="E747" s="7" t="n">
        <x:f>COUNTIFS('唯一词标签'!$V$2:$V$1441,A747,'唯一词标签'!$Z$2:$Z$1441,"partial_match")</x:f>
        <x:v>1</x:v>
      </x:c>
      <x:c r="F747" s="7" t="n">
        <x:f>COUNTIFS('唯一词标签'!$V$2:$V$1441,A747,'唯一词标签'!$Z$2:$Z$1441,"mismatch")</x:f>
        <x:v>0</x:v>
      </x:c>
      <x:c r="G747" s="7" t="n">
        <x:f>COUNTIFS('唯一词标签'!$V$2:$V$1441,A747,'唯一词标签'!$Z$2:$Z$1441,"unknown")</x:f>
        <x:v>0</x:v>
      </x:c>
      <x:c r="H747" s="7" t="n">
        <x:f>COUNTIFS('唯一词标签'!$V$2:$V$1441,A747,'唯一词标签'!$U$2:$U$1441,"low")</x:f>
        <x:v>0</x:v>
      </x:c>
      <x:c r="I747" s="7" t="n">
        <x:f>COUNTIFS('唯一词标签'!$V$2:$V$1441,A747,'唯一词标签'!$AB$2:$AB$1441,"needs_review")</x:f>
        <x:v>0</x:v>
      </x:c>
    </x:row>
    <x:row r="748" ht="22" customHeight="1">
      <x:c r="A748" s="7" t="str">
        <x:v>white_flip_flop</x:v>
      </x:c>
      <x:c r="B748" s="7" t="n">
        <x:f>COUNTIF('唯一词标签'!$V$2:$V$1441,A748)</x:f>
        <x:v>1</x:v>
      </x:c>
      <x:c r="C748" s="55" t="n">
        <x:f>B748/COUNTA('唯一词标签'!$C$2:$C$1441)</x:f>
        <x:v>0.0006944444444444445</x:v>
      </x:c>
      <x:c r="D748" s="7" t="n">
        <x:f>COUNTIFS('唯一词标签'!$V$2:$V$1441,A748,'唯一词标签'!$Z$2:$Z$1441,"match")</x:f>
        <x:v>1</x:v>
      </x:c>
      <x:c r="E748" s="7" t="n">
        <x:f>COUNTIFS('唯一词标签'!$V$2:$V$1441,A748,'唯一词标签'!$Z$2:$Z$1441,"partial_match")</x:f>
        <x:v>0</x:v>
      </x:c>
      <x:c r="F748" s="7" t="n">
        <x:f>COUNTIFS('唯一词标签'!$V$2:$V$1441,A748,'唯一词标签'!$Z$2:$Z$1441,"mismatch")</x:f>
        <x:v>0</x:v>
      </x:c>
      <x:c r="G748" s="7" t="n">
        <x:f>COUNTIFS('唯一词标签'!$V$2:$V$1441,A748,'唯一词标签'!$Z$2:$Z$1441,"unknown")</x:f>
        <x:v>0</x:v>
      </x:c>
      <x:c r="H748" s="7" t="n">
        <x:f>COUNTIFS('唯一词标签'!$V$2:$V$1441,A748,'唯一词标签'!$U$2:$U$1441,"low")</x:f>
        <x:v>0</x:v>
      </x:c>
      <x:c r="I748" s="7" t="n">
        <x:f>COUNTIFS('唯一词标签'!$V$2:$V$1441,A748,'唯一词标签'!$AB$2:$AB$1441,"needs_review")</x:f>
        <x:v>0</x:v>
      </x:c>
    </x:row>
    <x:row r="749" ht="22" customHeight="1">
      <x:c r="A749" s="7" t="str">
        <x:v>white_flip_flops</x:v>
      </x:c>
      <x:c r="B749" s="7" t="n">
        <x:f>COUNTIF('唯一词标签'!$V$2:$V$1441,A749)</x:f>
        <x:v>6</x:v>
      </x:c>
      <x:c r="C749" s="55" t="n">
        <x:f>B749/COUNTA('唯一词标签'!$C$2:$C$1441)</x:f>
        <x:v>0.004166666666666667</x:v>
      </x:c>
      <x:c r="D749" s="7" t="n">
        <x:f>COUNTIFS('唯一词标签'!$V$2:$V$1441,A749,'唯一词标签'!$Z$2:$Z$1441,"match")</x:f>
        <x:v>5</x:v>
      </x:c>
      <x:c r="E749" s="7" t="n">
        <x:f>COUNTIFS('唯一词标签'!$V$2:$V$1441,A749,'唯一词标签'!$Z$2:$Z$1441,"partial_match")</x:f>
        <x:v>1</x:v>
      </x:c>
      <x:c r="F749" s="7" t="n">
        <x:f>COUNTIFS('唯一词标签'!$V$2:$V$1441,A749,'唯一词标签'!$Z$2:$Z$1441,"mismatch")</x:f>
        <x:v>0</x:v>
      </x:c>
      <x:c r="G749" s="7" t="n">
        <x:f>COUNTIFS('唯一词标签'!$V$2:$V$1441,A749,'唯一词标签'!$Z$2:$Z$1441,"unknown")</x:f>
        <x:v>0</x:v>
      </x:c>
      <x:c r="H749" s="7" t="n">
        <x:f>COUNTIFS('唯一词标签'!$V$2:$V$1441,A749,'唯一词标签'!$U$2:$U$1441,"low")</x:f>
        <x:v>0</x:v>
      </x:c>
      <x:c r="I749" s="7" t="n">
        <x:f>COUNTIFS('唯一词标签'!$V$2:$V$1441,A749,'唯一词标签'!$AB$2:$AB$1441,"needs_review")</x:f>
        <x:v>0</x:v>
      </x:c>
    </x:row>
    <x:row r="750" ht="22" customHeight="1">
      <x:c r="A750" s="7" t="str">
        <x:v>white_flip_flops_women_cheap</x:v>
      </x:c>
      <x:c r="B750" s="7" t="n">
        <x:f>COUNTIF('唯一词标签'!$V$2:$V$1441,A750)</x:f>
        <x:v>1</x:v>
      </x:c>
      <x:c r="C750" s="55" t="n">
        <x:f>B750/COUNTA('唯一词标签'!$C$2:$C$1441)</x:f>
        <x:v>0.0006944444444444445</x:v>
      </x:c>
      <x:c r="D750" s="7" t="n">
        <x:f>COUNTIFS('唯一词标签'!$V$2:$V$1441,A750,'唯一词标签'!$Z$2:$Z$1441,"match")</x:f>
        <x:v>1</x:v>
      </x:c>
      <x:c r="E750" s="7" t="n">
        <x:f>COUNTIFS('唯一词标签'!$V$2:$V$1441,A750,'唯一词标签'!$Z$2:$Z$1441,"partial_match")</x:f>
        <x:v>0</x:v>
      </x:c>
      <x:c r="F750" s="7" t="n">
        <x:f>COUNTIFS('唯一词标签'!$V$2:$V$1441,A750,'唯一词标签'!$Z$2:$Z$1441,"mismatch")</x:f>
        <x:v>0</x:v>
      </x:c>
      <x:c r="G750" s="7" t="n">
        <x:f>COUNTIFS('唯一词标签'!$V$2:$V$1441,A750,'唯一词标签'!$Z$2:$Z$1441,"unknown")</x:f>
        <x:v>0</x:v>
      </x:c>
      <x:c r="H750" s="7" t="n">
        <x:f>COUNTIFS('唯一词标签'!$V$2:$V$1441,A750,'唯一词标签'!$U$2:$U$1441,"low")</x:f>
        <x:v>0</x:v>
      </x:c>
      <x:c r="I750" s="7" t="n">
        <x:f>COUNTIFS('唯一词标签'!$V$2:$V$1441,A750,'唯一词标签'!$AB$2:$AB$1441,"needs_review")</x:f>
        <x:v>0</x:v>
      </x:c>
    </x:row>
    <x:row r="751" ht="22" customHeight="1">
      <x:c r="A751" s="7" t="str">
        <x:v>white_foam_flip_flops</x:v>
      </x:c>
      <x:c r="B751" s="7" t="n">
        <x:f>COUNTIF('唯一词标签'!$V$2:$V$1441,A751)</x:f>
        <x:v>1</x:v>
      </x:c>
      <x:c r="C751" s="55" t="n">
        <x:f>B751/COUNTA('唯一词标签'!$C$2:$C$1441)</x:f>
        <x:v>0.0006944444444444445</x:v>
      </x:c>
      <x:c r="D751" s="7" t="n">
        <x:f>COUNTIFS('唯一词标签'!$V$2:$V$1441,A751,'唯一词标签'!$Z$2:$Z$1441,"match")</x:f>
        <x:v>1</x:v>
      </x:c>
      <x:c r="E751" s="7" t="n">
        <x:f>COUNTIFS('唯一词标签'!$V$2:$V$1441,A751,'唯一词标签'!$Z$2:$Z$1441,"partial_match")</x:f>
        <x:v>0</x:v>
      </x:c>
      <x:c r="F751" s="7" t="n">
        <x:f>COUNTIFS('唯一词标签'!$V$2:$V$1441,A751,'唯一词标签'!$Z$2:$Z$1441,"mismatch")</x:f>
        <x:v>0</x:v>
      </x:c>
      <x:c r="G751" s="7" t="n">
        <x:f>COUNTIFS('唯一词标签'!$V$2:$V$1441,A751,'唯一词标签'!$Z$2:$Z$1441,"unknown")</x:f>
        <x:v>0</x:v>
      </x:c>
      <x:c r="H751" s="7" t="n">
        <x:f>COUNTIFS('唯一词标签'!$V$2:$V$1441,A751,'唯一词标签'!$U$2:$U$1441,"low")</x:f>
        <x:v>0</x:v>
      </x:c>
      <x:c r="I751" s="7" t="n">
        <x:f>COUNTIFS('唯一词标签'!$V$2:$V$1441,A751,'唯一词标签'!$AB$2:$AB$1441,"needs_review")</x:f>
        <x:v>0</x:v>
      </x:c>
    </x:row>
    <x:row r="752" ht="22" customHeight="1">
      <x:c r="A752" s="7" t="str">
        <x:v>white_foam_womens_flip_flops</x:v>
      </x:c>
      <x:c r="B752" s="7" t="n">
        <x:f>COUNTIF('唯一词标签'!$V$2:$V$1441,A752)</x:f>
        <x:v>1</x:v>
      </x:c>
      <x:c r="C752" s="55" t="n">
        <x:f>B752/COUNTA('唯一词标签'!$C$2:$C$1441)</x:f>
        <x:v>0.0006944444444444445</x:v>
      </x:c>
      <x:c r="D752" s="7" t="n">
        <x:f>COUNTIFS('唯一词标签'!$V$2:$V$1441,A752,'唯一词标签'!$Z$2:$Z$1441,"match")</x:f>
        <x:v>1</x:v>
      </x:c>
      <x:c r="E752" s="7" t="n">
        <x:f>COUNTIFS('唯一词标签'!$V$2:$V$1441,A752,'唯一词标签'!$Z$2:$Z$1441,"partial_match")</x:f>
        <x:v>0</x:v>
      </x:c>
      <x:c r="F752" s="7" t="n">
        <x:f>COUNTIFS('唯一词标签'!$V$2:$V$1441,A752,'唯一词标签'!$Z$2:$Z$1441,"mismatch")</x:f>
        <x:v>0</x:v>
      </x:c>
      <x:c r="G752" s="7" t="n">
        <x:f>COUNTIFS('唯一词标签'!$V$2:$V$1441,A752,'唯一词标签'!$Z$2:$Z$1441,"unknown")</x:f>
        <x:v>0</x:v>
      </x:c>
      <x:c r="H752" s="7" t="n">
        <x:f>COUNTIFS('唯一词标签'!$V$2:$V$1441,A752,'唯一词标签'!$U$2:$U$1441,"low")</x:f>
        <x:v>0</x:v>
      </x:c>
      <x:c r="I752" s="7" t="n">
        <x:f>COUNTIFS('唯一词标签'!$V$2:$V$1441,A752,'唯一词标签'!$AB$2:$AB$1441,"needs_review")</x:f>
        <x:v>0</x:v>
      </x:c>
    </x:row>
    <x:row r="753" ht="22" customHeight="1">
      <x:c r="A753" s="7" t="str">
        <x:v>white_rubber_flip_flops</x:v>
      </x:c>
      <x:c r="B753" s="7" t="n">
        <x:f>COUNTIF('唯一词标签'!$V$2:$V$1441,A753)</x:f>
        <x:v>2</x:v>
      </x:c>
      <x:c r="C753" s="55" t="n">
        <x:f>B753/COUNTA('唯一词标签'!$C$2:$C$1441)</x:f>
        <x:v>0.001388888888888889</x:v>
      </x:c>
      <x:c r="D753" s="7" t="n">
        <x:f>COUNTIFS('唯一词标签'!$V$2:$V$1441,A753,'唯一词标签'!$Z$2:$Z$1441,"match")</x:f>
        <x:v>0</x:v>
      </x:c>
      <x:c r="E753" s="7" t="n">
        <x:f>COUNTIFS('唯一词标签'!$V$2:$V$1441,A753,'唯一词标签'!$Z$2:$Z$1441,"partial_match")</x:f>
        <x:v>2</x:v>
      </x:c>
      <x:c r="F753" s="7" t="n">
        <x:f>COUNTIFS('唯一词标签'!$V$2:$V$1441,A753,'唯一词标签'!$Z$2:$Z$1441,"mismatch")</x:f>
        <x:v>0</x:v>
      </x:c>
      <x:c r="G753" s="7" t="n">
        <x:f>COUNTIFS('唯一词标签'!$V$2:$V$1441,A753,'唯一词标签'!$Z$2:$Z$1441,"unknown")</x:f>
        <x:v>0</x:v>
      </x:c>
      <x:c r="H753" s="7" t="n">
        <x:f>COUNTIFS('唯一词标签'!$V$2:$V$1441,A753,'唯一词标签'!$U$2:$U$1441,"low")</x:f>
        <x:v>0</x:v>
      </x:c>
      <x:c r="I753" s="7" t="n">
        <x:f>COUNTIFS('唯一词标签'!$V$2:$V$1441,A753,'唯一词标签'!$AB$2:$AB$1441,"needs_review")</x:f>
        <x:v>1</x:v>
      </x:c>
    </x:row>
    <x:row r="754" ht="22" customHeight="1">
      <x:c r="A754" s="7" t="str">
        <x:v>white_rubber_sandals</x:v>
      </x:c>
      <x:c r="B754" s="7" t="n">
        <x:f>COUNTIF('唯一词标签'!$V$2:$V$1441,A754)</x:f>
        <x:v>1</x:v>
      </x:c>
      <x:c r="C754" s="55" t="n">
        <x:f>B754/COUNTA('唯一词标签'!$C$2:$C$1441)</x:f>
        <x:v>0.0006944444444444445</x:v>
      </x:c>
      <x:c r="D754" s="7" t="n">
        <x:f>COUNTIFS('唯一词标签'!$V$2:$V$1441,A754,'唯一词标签'!$Z$2:$Z$1441,"match")</x:f>
        <x:v>0</x:v>
      </x:c>
      <x:c r="E754" s="7" t="n">
        <x:f>COUNTIFS('唯一词标签'!$V$2:$V$1441,A754,'唯一词标签'!$Z$2:$Z$1441,"partial_match")</x:f>
        <x:v>1</x:v>
      </x:c>
      <x:c r="F754" s="7" t="n">
        <x:f>COUNTIFS('唯一词标签'!$V$2:$V$1441,A754,'唯一词标签'!$Z$2:$Z$1441,"mismatch")</x:f>
        <x:v>0</x:v>
      </x:c>
      <x:c r="G754" s="7" t="n">
        <x:f>COUNTIFS('唯一词标签'!$V$2:$V$1441,A754,'唯一词标签'!$Z$2:$Z$1441,"unknown")</x:f>
        <x:v>0</x:v>
      </x:c>
      <x:c r="H754" s="7" t="n">
        <x:f>COUNTIFS('唯一词标签'!$V$2:$V$1441,A754,'唯一词标签'!$U$2:$U$1441,"low")</x:f>
        <x:v>0</x:v>
      </x:c>
      <x:c r="I754" s="7" t="n">
        <x:f>COUNTIFS('唯一词标签'!$V$2:$V$1441,A754,'唯一词标签'!$AB$2:$AB$1441,"needs_review")</x:f>
        <x:v>0</x:v>
      </x:c>
    </x:row>
    <x:row r="755" ht="22" customHeight="1">
      <x:c r="A755" s="7" t="str">
        <x:v>white_sandals</x:v>
      </x:c>
      <x:c r="B755" s="7" t="n">
        <x:f>COUNTIF('唯一词标签'!$V$2:$V$1441,A755)</x:f>
        <x:v>1</x:v>
      </x:c>
      <x:c r="C755" s="55" t="n">
        <x:f>B755/COUNTA('唯一词标签'!$C$2:$C$1441)</x:f>
        <x:v>0.0006944444444444445</x:v>
      </x:c>
      <x:c r="D755" s="7" t="n">
        <x:f>COUNTIFS('唯一词标签'!$V$2:$V$1441,A755,'唯一词标签'!$Z$2:$Z$1441,"match")</x:f>
        <x:v>1</x:v>
      </x:c>
      <x:c r="E755" s="7" t="n">
        <x:f>COUNTIFS('唯一词标签'!$V$2:$V$1441,A755,'唯一词标签'!$Z$2:$Z$1441,"partial_match")</x:f>
        <x:v>0</x:v>
      </x:c>
      <x:c r="F755" s="7" t="n">
        <x:f>COUNTIFS('唯一词标签'!$V$2:$V$1441,A755,'唯一词标签'!$Z$2:$Z$1441,"mismatch")</x:f>
        <x:v>0</x:v>
      </x:c>
      <x:c r="G755" s="7" t="n">
        <x:f>COUNTIFS('唯一词标签'!$V$2:$V$1441,A755,'唯一词标签'!$Z$2:$Z$1441,"unknown")</x:f>
        <x:v>0</x:v>
      </x:c>
      <x:c r="H755" s="7" t="n">
        <x:f>COUNTIFS('唯一词标签'!$V$2:$V$1441,A755,'唯一词标签'!$U$2:$U$1441,"low")</x:f>
        <x:v>0</x:v>
      </x:c>
      <x:c r="I755" s="7" t="n">
        <x:f>COUNTIFS('唯一词标签'!$V$2:$V$1441,A755,'唯一词标签'!$AB$2:$AB$1441,"needs_review")</x:f>
        <x:v>0</x:v>
      </x:c>
    </x:row>
    <x:row r="756" ht="22" customHeight="1">
      <x:c r="A756" s="7" t="str">
        <x:v>white_soft_womens_flip_flops</x:v>
      </x:c>
      <x:c r="B756" s="7" t="n">
        <x:f>COUNTIF('唯一词标签'!$V$2:$V$1441,A756)</x:f>
        <x:v>1</x:v>
      </x:c>
      <x:c r="C756" s="55" t="n">
        <x:f>B756/COUNTA('唯一词标签'!$C$2:$C$1441)</x:f>
        <x:v>0.0006944444444444445</x:v>
      </x:c>
      <x:c r="D756" s="7" t="n">
        <x:f>COUNTIFS('唯一词标签'!$V$2:$V$1441,A756,'唯一词标签'!$Z$2:$Z$1441,"match")</x:f>
        <x:v>1</x:v>
      </x:c>
      <x:c r="E756" s="7" t="n">
        <x:f>COUNTIFS('唯一词标签'!$V$2:$V$1441,A756,'唯一词标签'!$Z$2:$Z$1441,"partial_match")</x:f>
        <x:v>0</x:v>
      </x:c>
      <x:c r="F756" s="7" t="n">
        <x:f>COUNTIFS('唯一词标签'!$V$2:$V$1441,A756,'唯一词标签'!$Z$2:$Z$1441,"mismatch")</x:f>
        <x:v>0</x:v>
      </x:c>
      <x:c r="G756" s="7" t="n">
        <x:f>COUNTIFS('唯一词标签'!$V$2:$V$1441,A756,'唯一词标签'!$Z$2:$Z$1441,"unknown")</x:f>
        <x:v>0</x:v>
      </x:c>
      <x:c r="H756" s="7" t="n">
        <x:f>COUNTIFS('唯一词标签'!$V$2:$V$1441,A756,'唯一词标签'!$U$2:$U$1441,"low")</x:f>
        <x:v>0</x:v>
      </x:c>
      <x:c r="I756" s="7" t="n">
        <x:f>COUNTIFS('唯一词标签'!$V$2:$V$1441,A756,'唯一词标签'!$AB$2:$AB$1441,"needs_review")</x:f>
        <x:v>0</x:v>
      </x:c>
    </x:row>
    <x:row r="757" ht="22" customHeight="1">
      <x:c r="A757" s="7" t="str">
        <x:v>white_thong_beach_sandals</x:v>
      </x:c>
      <x:c r="B757" s="7" t="n">
        <x:f>COUNTIF('唯一词标签'!$V$2:$V$1441,A757)</x:f>
        <x:v>1</x:v>
      </x:c>
      <x:c r="C757" s="55" t="n">
        <x:f>B757/COUNTA('唯一词标签'!$C$2:$C$1441)</x:f>
        <x:v>0.0006944444444444445</x:v>
      </x:c>
      <x:c r="D757" s="7" t="n">
        <x:f>COUNTIFS('唯一词标签'!$V$2:$V$1441,A757,'唯一词标签'!$Z$2:$Z$1441,"match")</x:f>
        <x:v>1</x:v>
      </x:c>
      <x:c r="E757" s="7" t="n">
        <x:f>COUNTIFS('唯一词标签'!$V$2:$V$1441,A757,'唯一词标签'!$Z$2:$Z$1441,"partial_match")</x:f>
        <x:v>0</x:v>
      </x:c>
      <x:c r="F757" s="7" t="n">
        <x:f>COUNTIFS('唯一词标签'!$V$2:$V$1441,A757,'唯一词标签'!$Z$2:$Z$1441,"mismatch")</x:f>
        <x:v>0</x:v>
      </x:c>
      <x:c r="G757" s="7" t="n">
        <x:f>COUNTIFS('唯一词标签'!$V$2:$V$1441,A757,'唯一词标签'!$Z$2:$Z$1441,"unknown")</x:f>
        <x:v>0</x:v>
      </x:c>
      <x:c r="H757" s="7" t="n">
        <x:f>COUNTIFS('唯一词标签'!$V$2:$V$1441,A757,'唯一词标签'!$U$2:$U$1441,"low")</x:f>
        <x:v>0</x:v>
      </x:c>
      <x:c r="I757" s="7" t="n">
        <x:f>COUNTIFS('唯一词标签'!$V$2:$V$1441,A757,'唯一词标签'!$AB$2:$AB$1441,"needs_review")</x:f>
        <x:v>0</x:v>
      </x:c>
    </x:row>
    <x:row r="758" ht="22" customHeight="1">
      <x:c r="A758" s="7" t="str">
        <x:v>white_thong_sandals</x:v>
      </x:c>
      <x:c r="B758" s="7" t="n">
        <x:f>COUNTIF('唯一词标签'!$V$2:$V$1441,A758)</x:f>
        <x:v>1</x:v>
      </x:c>
      <x:c r="C758" s="55" t="n">
        <x:f>B758/COUNTA('唯一词标签'!$C$2:$C$1441)</x:f>
        <x:v>0.0006944444444444445</x:v>
      </x:c>
      <x:c r="D758" s="7" t="n">
        <x:f>COUNTIFS('唯一词标签'!$V$2:$V$1441,A758,'唯一词标签'!$Z$2:$Z$1441,"match")</x:f>
        <x:v>0</x:v>
      </x:c>
      <x:c r="E758" s="7" t="n">
        <x:f>COUNTIFS('唯一词标签'!$V$2:$V$1441,A758,'唯一词标签'!$Z$2:$Z$1441,"partial_match")</x:f>
        <x:v>1</x:v>
      </x:c>
      <x:c r="F758" s="7" t="n">
        <x:f>COUNTIFS('唯一词标签'!$V$2:$V$1441,A758,'唯一词标签'!$Z$2:$Z$1441,"mismatch")</x:f>
        <x:v>0</x:v>
      </x:c>
      <x:c r="G758" s="7" t="n">
        <x:f>COUNTIFS('唯一词标签'!$V$2:$V$1441,A758,'唯一词标签'!$Z$2:$Z$1441,"unknown")</x:f>
        <x:v>0</x:v>
      </x:c>
      <x:c r="H758" s="7" t="n">
        <x:f>COUNTIFS('唯一词标签'!$V$2:$V$1441,A758,'唯一词标签'!$U$2:$U$1441,"low")</x:f>
        <x:v>0</x:v>
      </x:c>
      <x:c r="I758" s="7" t="n">
        <x:f>COUNTIFS('唯一词标签'!$V$2:$V$1441,A758,'唯一词标签'!$AB$2:$AB$1441,"needs_review")</x:f>
        <x:v>1</x:v>
      </x:c>
    </x:row>
    <x:row r="759" ht="22" customHeight="1">
      <x:c r="A759" s="7" t="str">
        <x:v>white_womens_flip_flops</x:v>
      </x:c>
      <x:c r="B759" s="7" t="n">
        <x:f>COUNTIF('唯一词标签'!$V$2:$V$1441,A759)</x:f>
        <x:v>4</x:v>
      </x:c>
      <x:c r="C759" s="55" t="n">
        <x:f>B759/COUNTA('唯一词标签'!$C$2:$C$1441)</x:f>
        <x:v>0.002777777777777778</x:v>
      </x:c>
      <x:c r="D759" s="7" t="n">
        <x:f>COUNTIFS('唯一词标签'!$V$2:$V$1441,A759,'唯一词标签'!$Z$2:$Z$1441,"match")</x:f>
        <x:v>4</x:v>
      </x:c>
      <x:c r="E759" s="7" t="n">
        <x:f>COUNTIFS('唯一词标签'!$V$2:$V$1441,A759,'唯一词标签'!$Z$2:$Z$1441,"partial_match")</x:f>
        <x:v>0</x:v>
      </x:c>
      <x:c r="F759" s="7" t="n">
        <x:f>COUNTIFS('唯一词标签'!$V$2:$V$1441,A759,'唯一词标签'!$Z$2:$Z$1441,"mismatch")</x:f>
        <x:v>0</x:v>
      </x:c>
      <x:c r="G759" s="7" t="n">
        <x:f>COUNTIFS('唯一词标签'!$V$2:$V$1441,A759,'唯一词标签'!$Z$2:$Z$1441,"unknown")</x:f>
        <x:v>0</x:v>
      </x:c>
      <x:c r="H759" s="7" t="n">
        <x:f>COUNTIFS('唯一词标签'!$V$2:$V$1441,A759,'唯一词标签'!$U$2:$U$1441,"low")</x:f>
        <x:v>0</x:v>
      </x:c>
      <x:c r="I759" s="7" t="n">
        <x:f>COUNTIFS('唯一词标签'!$V$2:$V$1441,A759,'唯一词标签'!$AB$2:$AB$1441,"needs_review")</x:f>
        <x:v>1</x:v>
      </x:c>
    </x:row>
    <x:row r="760" ht="22" customHeight="1">
      <x:c r="A760" s="7" t="str">
        <x:v>white_womens_sandals</x:v>
      </x:c>
      <x:c r="B760" s="7" t="n">
        <x:f>COUNTIF('唯一词标签'!$V$2:$V$1441,A760)</x:f>
        <x:v>1</x:v>
      </x:c>
      <x:c r="C760" s="55" t="n">
        <x:f>B760/COUNTA('唯一词标签'!$C$2:$C$1441)</x:f>
        <x:v>0.0006944444444444445</x:v>
      </x:c>
      <x:c r="D760" s="7" t="n">
        <x:f>COUNTIFS('唯一词标签'!$V$2:$V$1441,A760,'唯一词标签'!$Z$2:$Z$1441,"match")</x:f>
        <x:v>1</x:v>
      </x:c>
      <x:c r="E760" s="7" t="n">
        <x:f>COUNTIFS('唯一词标签'!$V$2:$V$1441,A760,'唯一词标签'!$Z$2:$Z$1441,"partial_match")</x:f>
        <x:v>0</x:v>
      </x:c>
      <x:c r="F760" s="7" t="n">
        <x:f>COUNTIFS('唯一词标签'!$V$2:$V$1441,A760,'唯一词标签'!$Z$2:$Z$1441,"mismatch")</x:f>
        <x:v>0</x:v>
      </x:c>
      <x:c r="G760" s="7" t="n">
        <x:f>COUNTIFS('唯一词标签'!$V$2:$V$1441,A760,'唯一词标签'!$Z$2:$Z$1441,"unknown")</x:f>
        <x:v>0</x:v>
      </x:c>
      <x:c r="H760" s="7" t="n">
        <x:f>COUNTIFS('唯一词标签'!$V$2:$V$1441,A760,'唯一词标签'!$U$2:$U$1441,"low")</x:f>
        <x:v>0</x:v>
      </x:c>
      <x:c r="I760" s="7" t="n">
        <x:f>COUNTIFS('唯一词标签'!$V$2:$V$1441,A760,'唯一词标签'!$AB$2:$AB$1441,"needs_review")</x:f>
        <x:v>0</x:v>
      </x:c>
    </x:row>
    <x:row r="761" ht="22" customHeight="1">
      <x:c r="A761" s="7" t="str">
        <x:v>wide_arch_support_flip_flops_women</x:v>
      </x:c>
      <x:c r="B761" s="7" t="n">
        <x:f>COUNTIF('唯一词标签'!$V$2:$V$1441,A761)</x:f>
        <x:v>1</x:v>
      </x:c>
      <x:c r="C761" s="55" t="n">
        <x:f>B761/COUNTA('唯一词标签'!$C$2:$C$1441)</x:f>
        <x:v>0.0006944444444444445</x:v>
      </x:c>
      <x:c r="D761" s="7" t="n">
        <x:f>COUNTIFS('唯一词标签'!$V$2:$V$1441,A761,'唯一词标签'!$Z$2:$Z$1441,"match")</x:f>
        <x:v>0</x:v>
      </x:c>
      <x:c r="E761" s="7" t="n">
        <x:f>COUNTIFS('唯一词标签'!$V$2:$V$1441,A761,'唯一词标签'!$Z$2:$Z$1441,"partial_match")</x:f>
        <x:v>1</x:v>
      </x:c>
      <x:c r="F761" s="7" t="n">
        <x:f>COUNTIFS('唯一词标签'!$V$2:$V$1441,A761,'唯一词标签'!$Z$2:$Z$1441,"mismatch")</x:f>
        <x:v>0</x:v>
      </x:c>
      <x:c r="G761" s="7" t="n">
        <x:f>COUNTIFS('唯一词标签'!$V$2:$V$1441,A761,'唯一词标签'!$Z$2:$Z$1441,"unknown")</x:f>
        <x:v>0</x:v>
      </x:c>
      <x:c r="H761" s="7" t="n">
        <x:f>COUNTIFS('唯一词标签'!$V$2:$V$1441,A761,'唯一词标签'!$U$2:$U$1441,"low")</x:f>
        <x:v>0</x:v>
      </x:c>
      <x:c r="I761" s="7" t="n">
        <x:f>COUNTIFS('唯一词标签'!$V$2:$V$1441,A761,'唯一词标签'!$AB$2:$AB$1441,"needs_review")</x:f>
        <x:v>0</x:v>
      </x:c>
    </x:row>
    <x:row r="762" ht="22" customHeight="1">
      <x:c r="A762" s="7" t="str">
        <x:v>woman_flip_flops_size_11</x:v>
      </x:c>
      <x:c r="B762" s="7" t="n">
        <x:f>COUNTIF('唯一词标签'!$V$2:$V$1441,A762)</x:f>
        <x:v>1</x:v>
      </x:c>
      <x:c r="C762" s="55" t="n">
        <x:f>B762/COUNTA('唯一词标签'!$C$2:$C$1441)</x:f>
        <x:v>0.0006944444444444445</x:v>
      </x:c>
      <x:c r="D762" s="7" t="n">
        <x:f>COUNTIFS('唯一词标签'!$V$2:$V$1441,A762,'唯一词标签'!$Z$2:$Z$1441,"match")</x:f>
        <x:v>1</x:v>
      </x:c>
      <x:c r="E762" s="7" t="n">
        <x:f>COUNTIFS('唯一词标签'!$V$2:$V$1441,A762,'唯一词标签'!$Z$2:$Z$1441,"partial_match")</x:f>
        <x:v>0</x:v>
      </x:c>
      <x:c r="F762" s="7" t="n">
        <x:f>COUNTIFS('唯一词标签'!$V$2:$V$1441,A762,'唯一词标签'!$Z$2:$Z$1441,"mismatch")</x:f>
        <x:v>0</x:v>
      </x:c>
      <x:c r="G762" s="7" t="n">
        <x:f>COUNTIFS('唯一词标签'!$V$2:$V$1441,A762,'唯一词标签'!$Z$2:$Z$1441,"unknown")</x:f>
        <x:v>0</x:v>
      </x:c>
      <x:c r="H762" s="7" t="n">
        <x:f>COUNTIFS('唯一词标签'!$V$2:$V$1441,A762,'唯一词标签'!$U$2:$U$1441,"low")</x:f>
        <x:v>0</x:v>
      </x:c>
      <x:c r="I762" s="7" t="n">
        <x:f>COUNTIFS('唯一词标签'!$V$2:$V$1441,A762,'唯一词标签'!$AB$2:$AB$1441,"needs_review")</x:f>
        <x:v>0</x:v>
      </x:c>
    </x:row>
    <x:row r="763" ht="22" customHeight="1">
      <x:c r="A763" s="7" t="str">
        <x:v>women_arch_support_flip_flop</x:v>
      </x:c>
      <x:c r="B763" s="7" t="n">
        <x:f>COUNTIF('唯一词标签'!$V$2:$V$1441,A763)</x:f>
        <x:v>2</x:v>
      </x:c>
      <x:c r="C763" s="55" t="n">
        <x:f>B763/COUNTA('唯一词标签'!$C$2:$C$1441)</x:f>
        <x:v>0.001388888888888889</x:v>
      </x:c>
      <x:c r="D763" s="7" t="n">
        <x:f>COUNTIFS('唯一词标签'!$V$2:$V$1441,A763,'唯一词标签'!$Z$2:$Z$1441,"match")</x:f>
        <x:v>2</x:v>
      </x:c>
      <x:c r="E763" s="7" t="n">
        <x:f>COUNTIFS('唯一词标签'!$V$2:$V$1441,A763,'唯一词标签'!$Z$2:$Z$1441,"partial_match")</x:f>
        <x:v>0</x:v>
      </x:c>
      <x:c r="F763" s="7" t="n">
        <x:f>COUNTIFS('唯一词标签'!$V$2:$V$1441,A763,'唯一词标签'!$Z$2:$Z$1441,"mismatch")</x:f>
        <x:v>0</x:v>
      </x:c>
      <x:c r="G763" s="7" t="n">
        <x:f>COUNTIFS('唯一词标签'!$V$2:$V$1441,A763,'唯一词标签'!$Z$2:$Z$1441,"unknown")</x:f>
        <x:v>0</x:v>
      </x:c>
      <x:c r="H763" s="7" t="n">
        <x:f>COUNTIFS('唯一词标签'!$V$2:$V$1441,A763,'唯一词标签'!$U$2:$U$1441,"low")</x:f>
        <x:v>0</x:v>
      </x:c>
      <x:c r="I763" s="7" t="n">
        <x:f>COUNTIFS('唯一词标签'!$V$2:$V$1441,A763,'唯一词标签'!$AB$2:$AB$1441,"needs_review")</x:f>
        <x:v>0</x:v>
      </x:c>
    </x:row>
    <x:row r="764" ht="22" customHeight="1">
      <x:c r="A764" s="7" t="str">
        <x:v>women_beach_eva_flip_flops</x:v>
      </x:c>
      <x:c r="B764" s="7" t="n">
        <x:f>COUNTIF('唯一词标签'!$V$2:$V$1441,A764)</x:f>
        <x:v>1</x:v>
      </x:c>
      <x:c r="C764" s="55" t="n">
        <x:f>B764/COUNTA('唯一词标签'!$C$2:$C$1441)</x:f>
        <x:v>0.0006944444444444445</x:v>
      </x:c>
      <x:c r="D764" s="7" t="n">
        <x:f>COUNTIFS('唯一词标签'!$V$2:$V$1441,A764,'唯一词标签'!$Z$2:$Z$1441,"match")</x:f>
        <x:v>1</x:v>
      </x:c>
      <x:c r="E764" s="7" t="n">
        <x:f>COUNTIFS('唯一词标签'!$V$2:$V$1441,A764,'唯一词标签'!$Z$2:$Z$1441,"partial_match")</x:f>
        <x:v>0</x:v>
      </x:c>
      <x:c r="F764" s="7" t="n">
        <x:f>COUNTIFS('唯一词标签'!$V$2:$V$1441,A764,'唯一词标签'!$Z$2:$Z$1441,"mismatch")</x:f>
        <x:v>0</x:v>
      </x:c>
      <x:c r="G764" s="7" t="n">
        <x:f>COUNTIFS('唯一词标签'!$V$2:$V$1441,A764,'唯一词标签'!$Z$2:$Z$1441,"unknown")</x:f>
        <x:v>0</x:v>
      </x:c>
      <x:c r="H764" s="7" t="n">
        <x:f>COUNTIFS('唯一词标签'!$V$2:$V$1441,A764,'唯一词标签'!$U$2:$U$1441,"low")</x:f>
        <x:v>0</x:v>
      </x:c>
      <x:c r="I764" s="7" t="n">
        <x:f>COUNTIFS('唯一词标签'!$V$2:$V$1441,A764,'唯一词标签'!$AB$2:$AB$1441,"needs_review")</x:f>
        <x:v>0</x:v>
      </x:c>
    </x:row>
    <x:row r="765" ht="22" customHeight="1">
      <x:c r="A765" s="7" t="str">
        <x:v>women_beach_flip_flops</x:v>
      </x:c>
      <x:c r="B765" s="7" t="n">
        <x:f>COUNTIF('唯一词标签'!$V$2:$V$1441,A765)</x:f>
        <x:v>2</x:v>
      </x:c>
      <x:c r="C765" s="55" t="n">
        <x:f>B765/COUNTA('唯一词标签'!$C$2:$C$1441)</x:f>
        <x:v>0.001388888888888889</x:v>
      </x:c>
      <x:c r="D765" s="7" t="n">
        <x:f>COUNTIFS('唯一词标签'!$V$2:$V$1441,A765,'唯一词标签'!$Z$2:$Z$1441,"match")</x:f>
        <x:v>2</x:v>
      </x:c>
      <x:c r="E765" s="7" t="n">
        <x:f>COUNTIFS('唯一词标签'!$V$2:$V$1441,A765,'唯一词标签'!$Z$2:$Z$1441,"partial_match")</x:f>
        <x:v>0</x:v>
      </x:c>
      <x:c r="F765" s="7" t="n">
        <x:f>COUNTIFS('唯一词标签'!$V$2:$V$1441,A765,'唯一词标签'!$Z$2:$Z$1441,"mismatch")</x:f>
        <x:v>0</x:v>
      </x:c>
      <x:c r="G765" s="7" t="n">
        <x:f>COUNTIFS('唯一词标签'!$V$2:$V$1441,A765,'唯一词标签'!$Z$2:$Z$1441,"unknown")</x:f>
        <x:v>0</x:v>
      </x:c>
      <x:c r="H765" s="7" t="n">
        <x:f>COUNTIFS('唯一词标签'!$V$2:$V$1441,A765,'唯一词标签'!$U$2:$U$1441,"low")</x:f>
        <x:v>0</x:v>
      </x:c>
      <x:c r="I765" s="7" t="n">
        <x:f>COUNTIFS('唯一词标签'!$V$2:$V$1441,A765,'唯一词标签'!$AB$2:$AB$1441,"needs_review")</x:f>
        <x:v>0</x:v>
      </x:c>
    </x:row>
    <x:row r="766" ht="22" customHeight="1">
      <x:c r="A766" s="7" t="str">
        <x:v>women_beach_pool_flip_flops</x:v>
      </x:c>
      <x:c r="B766" s="7" t="n">
        <x:f>COUNTIF('唯一词标签'!$V$2:$V$1441,A766)</x:f>
        <x:v>1</x:v>
      </x:c>
      <x:c r="C766" s="55" t="n">
        <x:f>B766/COUNTA('唯一词标签'!$C$2:$C$1441)</x:f>
        <x:v>0.0006944444444444445</x:v>
      </x:c>
      <x:c r="D766" s="7" t="n">
        <x:f>COUNTIFS('唯一词标签'!$V$2:$V$1441,A766,'唯一词标签'!$Z$2:$Z$1441,"match")</x:f>
        <x:v>1</x:v>
      </x:c>
      <x:c r="E766" s="7" t="n">
        <x:f>COUNTIFS('唯一词标签'!$V$2:$V$1441,A766,'唯一词标签'!$Z$2:$Z$1441,"partial_match")</x:f>
        <x:v>0</x:v>
      </x:c>
      <x:c r="F766" s="7" t="n">
        <x:f>COUNTIFS('唯一词标签'!$V$2:$V$1441,A766,'唯一词标签'!$Z$2:$Z$1441,"mismatch")</x:f>
        <x:v>0</x:v>
      </x:c>
      <x:c r="G766" s="7" t="n">
        <x:f>COUNTIFS('唯一词标签'!$V$2:$V$1441,A766,'唯一词标签'!$Z$2:$Z$1441,"unknown")</x:f>
        <x:v>0</x:v>
      </x:c>
      <x:c r="H766" s="7" t="n">
        <x:f>COUNTIFS('唯一词标签'!$V$2:$V$1441,A766,'唯一词标签'!$U$2:$U$1441,"low")</x:f>
        <x:v>0</x:v>
      </x:c>
      <x:c r="I766" s="7" t="n">
        <x:f>COUNTIFS('唯一词标签'!$V$2:$V$1441,A766,'唯一词标签'!$AB$2:$AB$1441,"needs_review")</x:f>
        <x:v>0</x:v>
      </x:c>
    </x:row>
    <x:row r="767" ht="22" customHeight="1">
      <x:c r="A767" s="7" t="str">
        <x:v>women_beach_sandals</x:v>
      </x:c>
      <x:c r="B767" s="7" t="n">
        <x:f>COUNTIF('唯一词标签'!$V$2:$V$1441,A767)</x:f>
        <x:v>1</x:v>
      </x:c>
      <x:c r="C767" s="55" t="n">
        <x:f>B767/COUNTA('唯一词标签'!$C$2:$C$1441)</x:f>
        <x:v>0.0006944444444444445</x:v>
      </x:c>
      <x:c r="D767" s="7" t="n">
        <x:f>COUNTIFS('唯一词标签'!$V$2:$V$1441,A767,'唯一词标签'!$Z$2:$Z$1441,"match")</x:f>
        <x:v>1</x:v>
      </x:c>
      <x:c r="E767" s="7" t="n">
        <x:f>COUNTIFS('唯一词标签'!$V$2:$V$1441,A767,'唯一词标签'!$Z$2:$Z$1441,"partial_match")</x:f>
        <x:v>0</x:v>
      </x:c>
      <x:c r="F767" s="7" t="n">
        <x:f>COUNTIFS('唯一词标签'!$V$2:$V$1441,A767,'唯一词标签'!$Z$2:$Z$1441,"mismatch")</x:f>
        <x:v>0</x:v>
      </x:c>
      <x:c r="G767" s="7" t="n">
        <x:f>COUNTIFS('唯一词标签'!$V$2:$V$1441,A767,'唯一词标签'!$Z$2:$Z$1441,"unknown")</x:f>
        <x:v>0</x:v>
      </x:c>
      <x:c r="H767" s="7" t="n">
        <x:f>COUNTIFS('唯一词标签'!$V$2:$V$1441,A767,'唯一词标签'!$U$2:$U$1441,"low")</x:f>
        <x:v>0</x:v>
      </x:c>
      <x:c r="I767" s="7" t="n">
        <x:f>COUNTIFS('唯一词标签'!$V$2:$V$1441,A767,'唯一词标签'!$AB$2:$AB$1441,"needs_review")</x:f>
        <x:v>0</x:v>
      </x:c>
    </x:row>
    <x:row r="768" ht="22" customHeight="1">
      <x:c r="A768" s="7" t="str">
        <x:v>women_black_cheap_flip_flop</x:v>
      </x:c>
      <x:c r="B768" s="7" t="n">
        <x:f>COUNTIF('唯一词标签'!$V$2:$V$1441,A768)</x:f>
        <x:v>1</x:v>
      </x:c>
      <x:c r="C768" s="55" t="n">
        <x:f>B768/COUNTA('唯一词标签'!$C$2:$C$1441)</x:f>
        <x:v>0.0006944444444444445</x:v>
      </x:c>
      <x:c r="D768" s="7" t="n">
        <x:f>COUNTIFS('唯一词标签'!$V$2:$V$1441,A768,'唯一词标签'!$Z$2:$Z$1441,"match")</x:f>
        <x:v>1</x:v>
      </x:c>
      <x:c r="E768" s="7" t="n">
        <x:f>COUNTIFS('唯一词标签'!$V$2:$V$1441,A768,'唯一词标签'!$Z$2:$Z$1441,"partial_match")</x:f>
        <x:v>0</x:v>
      </x:c>
      <x:c r="F768" s="7" t="n">
        <x:f>COUNTIFS('唯一词标签'!$V$2:$V$1441,A768,'唯一词标签'!$Z$2:$Z$1441,"mismatch")</x:f>
        <x:v>0</x:v>
      </x:c>
      <x:c r="G768" s="7" t="n">
        <x:f>COUNTIFS('唯一词标签'!$V$2:$V$1441,A768,'唯一词标签'!$Z$2:$Z$1441,"unknown")</x:f>
        <x:v>0</x:v>
      </x:c>
      <x:c r="H768" s="7" t="n">
        <x:f>COUNTIFS('唯一词标签'!$V$2:$V$1441,A768,'唯一词标签'!$U$2:$U$1441,"low")</x:f>
        <x:v>0</x:v>
      </x:c>
      <x:c r="I768" s="7" t="n">
        <x:f>COUNTIFS('唯一词标签'!$V$2:$V$1441,A768,'唯一词标签'!$AB$2:$AB$1441,"needs_review")</x:f>
        <x:v>0</x:v>
      </x:c>
    </x:row>
    <x:row r="769" ht="22" customHeight="1">
      <x:c r="A769" s="7" t="str">
        <x:v>women_black_flip_flop</x:v>
      </x:c>
      <x:c r="B769" s="7" t="n">
        <x:f>COUNTIF('唯一词标签'!$V$2:$V$1441,A769)</x:f>
        <x:v>1</x:v>
      </x:c>
      <x:c r="C769" s="55" t="n">
        <x:f>B769/COUNTA('唯一词标签'!$C$2:$C$1441)</x:f>
        <x:v>0.0006944444444444445</x:v>
      </x:c>
      <x:c r="D769" s="7" t="n">
        <x:f>COUNTIFS('唯一词标签'!$V$2:$V$1441,A769,'唯一词标签'!$Z$2:$Z$1441,"match")</x:f>
        <x:v>1</x:v>
      </x:c>
      <x:c r="E769" s="7" t="n">
        <x:f>COUNTIFS('唯一词标签'!$V$2:$V$1441,A769,'唯一词标签'!$Z$2:$Z$1441,"partial_match")</x:f>
        <x:v>0</x:v>
      </x:c>
      <x:c r="F769" s="7" t="n">
        <x:f>COUNTIFS('唯一词标签'!$V$2:$V$1441,A769,'唯一词标签'!$Z$2:$Z$1441,"mismatch")</x:f>
        <x:v>0</x:v>
      </x:c>
      <x:c r="G769" s="7" t="n">
        <x:f>COUNTIFS('唯一词标签'!$V$2:$V$1441,A769,'唯一词标签'!$Z$2:$Z$1441,"unknown")</x:f>
        <x:v>0</x:v>
      </x:c>
      <x:c r="H769" s="7" t="n">
        <x:f>COUNTIFS('唯一词标签'!$V$2:$V$1441,A769,'唯一词标签'!$U$2:$U$1441,"low")</x:f>
        <x:v>0</x:v>
      </x:c>
      <x:c r="I769" s="7" t="n">
        <x:f>COUNTIFS('唯一词标签'!$V$2:$V$1441,A769,'唯一词标签'!$AB$2:$AB$1441,"needs_review")</x:f>
        <x:v>0</x:v>
      </x:c>
    </x:row>
    <x:row r="770" ht="22" customHeight="1">
      <x:c r="A770" s="7" t="str">
        <x:v>women_brown_comfortable_flip_flop</x:v>
      </x:c>
      <x:c r="B770" s="7" t="n">
        <x:f>COUNTIF('唯一词标签'!$V$2:$V$1441,A770)</x:f>
        <x:v>1</x:v>
      </x:c>
      <x:c r="C770" s="55" t="n">
        <x:f>B770/COUNTA('唯一词标签'!$C$2:$C$1441)</x:f>
        <x:v>0.0006944444444444445</x:v>
      </x:c>
      <x:c r="D770" s="7" t="n">
        <x:f>COUNTIFS('唯一词标签'!$V$2:$V$1441,A770,'唯一词标签'!$Z$2:$Z$1441,"match")</x:f>
        <x:v>1</x:v>
      </x:c>
      <x:c r="E770" s="7" t="n">
        <x:f>COUNTIFS('唯一词标签'!$V$2:$V$1441,A770,'唯一词标签'!$Z$2:$Z$1441,"partial_match")</x:f>
        <x:v>0</x:v>
      </x:c>
      <x:c r="F770" s="7" t="n">
        <x:f>COUNTIFS('唯一词标签'!$V$2:$V$1441,A770,'唯一词标签'!$Z$2:$Z$1441,"mismatch")</x:f>
        <x:v>0</x:v>
      </x:c>
      <x:c r="G770" s="7" t="n">
        <x:f>COUNTIFS('唯一词标签'!$V$2:$V$1441,A770,'唯一词标签'!$Z$2:$Z$1441,"unknown")</x:f>
        <x:v>0</x:v>
      </x:c>
      <x:c r="H770" s="7" t="n">
        <x:f>COUNTIFS('唯一词标签'!$V$2:$V$1441,A770,'唯一词标签'!$U$2:$U$1441,"low")</x:f>
        <x:v>0</x:v>
      </x:c>
      <x:c r="I770" s="7" t="n">
        <x:f>COUNTIFS('唯一词标签'!$V$2:$V$1441,A770,'唯一词标签'!$AB$2:$AB$1441,"needs_review")</x:f>
        <x:v>0</x:v>
      </x:c>
    </x:row>
    <x:row r="771" ht="22" customHeight="1">
      <x:c r="A771" s="7" t="str">
        <x:v>women_cheap_flip_flops</x:v>
      </x:c>
      <x:c r="B771" s="7" t="n">
        <x:f>COUNTIF('唯一词标签'!$V$2:$V$1441,A771)</x:f>
        <x:v>1</x:v>
      </x:c>
      <x:c r="C771" s="55" t="n">
        <x:f>B771/COUNTA('唯一词标签'!$C$2:$C$1441)</x:f>
        <x:v>0.0006944444444444445</x:v>
      </x:c>
      <x:c r="D771" s="7" t="n">
        <x:f>COUNTIFS('唯一词标签'!$V$2:$V$1441,A771,'唯一词标签'!$Z$2:$Z$1441,"match")</x:f>
        <x:v>0</x:v>
      </x:c>
      <x:c r="E771" s="7" t="n">
        <x:f>COUNTIFS('唯一词标签'!$V$2:$V$1441,A771,'唯一词标签'!$Z$2:$Z$1441,"partial_match")</x:f>
        <x:v>0</x:v>
      </x:c>
      <x:c r="F771" s="7" t="n">
        <x:f>COUNTIFS('唯一词标签'!$V$2:$V$1441,A771,'唯一词标签'!$Z$2:$Z$1441,"mismatch")</x:f>
        <x:v>0</x:v>
      </x:c>
      <x:c r="G771" s="7" t="n">
        <x:f>COUNTIFS('唯一词标签'!$V$2:$V$1441,A771,'唯一词标签'!$Z$2:$Z$1441,"unknown")</x:f>
        <x:v>1</x:v>
      </x:c>
      <x:c r="H771" s="7" t="n">
        <x:f>COUNTIFS('唯一词标签'!$V$2:$V$1441,A771,'唯一词标签'!$U$2:$U$1441,"low")</x:f>
        <x:v>0</x:v>
      </x:c>
      <x:c r="I771" s="7" t="n">
        <x:f>COUNTIFS('唯一词标签'!$V$2:$V$1441,A771,'唯一词标签'!$AB$2:$AB$1441,"needs_review")</x:f>
        <x:v>0</x:v>
      </x:c>
    </x:row>
    <x:row r="772" ht="22" customHeight="1">
      <x:c r="A772" s="7" t="str">
        <x:v>women_comfort_flip_flops</x:v>
      </x:c>
      <x:c r="B772" s="7" t="n">
        <x:f>COUNTIF('唯一词标签'!$V$2:$V$1441,A772)</x:f>
        <x:v>1</x:v>
      </x:c>
      <x:c r="C772" s="55" t="n">
        <x:f>B772/COUNTA('唯一词标签'!$C$2:$C$1441)</x:f>
        <x:v>0.0006944444444444445</x:v>
      </x:c>
      <x:c r="D772" s="7" t="n">
        <x:f>COUNTIFS('唯一词标签'!$V$2:$V$1441,A772,'唯一词标签'!$Z$2:$Z$1441,"match")</x:f>
        <x:v>1</x:v>
      </x:c>
      <x:c r="E772" s="7" t="n">
        <x:f>COUNTIFS('唯一词标签'!$V$2:$V$1441,A772,'唯一词标签'!$Z$2:$Z$1441,"partial_match")</x:f>
        <x:v>0</x:v>
      </x:c>
      <x:c r="F772" s="7" t="n">
        <x:f>COUNTIFS('唯一词标签'!$V$2:$V$1441,A772,'唯一词标签'!$Z$2:$Z$1441,"mismatch")</x:f>
        <x:v>0</x:v>
      </x:c>
      <x:c r="G772" s="7" t="n">
        <x:f>COUNTIFS('唯一词标签'!$V$2:$V$1441,A772,'唯一词标签'!$Z$2:$Z$1441,"unknown")</x:f>
        <x:v>0</x:v>
      </x:c>
      <x:c r="H772" s="7" t="n">
        <x:f>COUNTIFS('唯一词标签'!$V$2:$V$1441,A772,'唯一词标签'!$U$2:$U$1441,"low")</x:f>
        <x:v>0</x:v>
      </x:c>
      <x:c r="I772" s="7" t="n">
        <x:f>COUNTIFS('唯一词标签'!$V$2:$V$1441,A772,'唯一词标签'!$AB$2:$AB$1441,"needs_review")</x:f>
        <x:v>0</x:v>
      </x:c>
    </x:row>
    <x:row r="773" ht="22" customHeight="1">
      <x:c r="A773" s="7" t="str">
        <x:v>women_flip_flop_water_use</x:v>
      </x:c>
      <x:c r="B773" s="7" t="n">
        <x:f>COUNTIF('唯一词标签'!$V$2:$V$1441,A773)</x:f>
        <x:v>1</x:v>
      </x:c>
      <x:c r="C773" s="55" t="n">
        <x:f>B773/COUNTA('唯一词标签'!$C$2:$C$1441)</x:f>
        <x:v>0.0006944444444444445</x:v>
      </x:c>
      <x:c r="D773" s="7" t="n">
        <x:f>COUNTIFS('唯一词标签'!$V$2:$V$1441,A773,'唯一词标签'!$Z$2:$Z$1441,"match")</x:f>
        <x:v>0</x:v>
      </x:c>
      <x:c r="E773" s="7" t="n">
        <x:f>COUNTIFS('唯一词标签'!$V$2:$V$1441,A773,'唯一词标签'!$Z$2:$Z$1441,"partial_match")</x:f>
        <x:v>1</x:v>
      </x:c>
      <x:c r="F773" s="7" t="n">
        <x:f>COUNTIFS('唯一词标签'!$V$2:$V$1441,A773,'唯一词标签'!$Z$2:$Z$1441,"mismatch")</x:f>
        <x:v>0</x:v>
      </x:c>
      <x:c r="G773" s="7" t="n">
        <x:f>COUNTIFS('唯一词标签'!$V$2:$V$1441,A773,'唯一词标签'!$Z$2:$Z$1441,"unknown")</x:f>
        <x:v>0</x:v>
      </x:c>
      <x:c r="H773" s="7" t="n">
        <x:f>COUNTIFS('唯一词标签'!$V$2:$V$1441,A773,'唯一词标签'!$U$2:$U$1441,"low")</x:f>
        <x:v>0</x:v>
      </x:c>
      <x:c r="I773" s="7" t="n">
        <x:f>COUNTIFS('唯一词标签'!$V$2:$V$1441,A773,'唯一词标签'!$AB$2:$AB$1441,"needs_review")</x:f>
        <x:v>0</x:v>
      </x:c>
    </x:row>
    <x:row r="774" ht="22" customHeight="1">
      <x:c r="A774" s="7" t="str">
        <x:v>women_flip_flops_color_navy</x:v>
      </x:c>
      <x:c r="B774" s="7" t="n">
        <x:f>COUNTIF('唯一词标签'!$V$2:$V$1441,A774)</x:f>
        <x:v>1</x:v>
      </x:c>
      <x:c r="C774" s="55" t="n">
        <x:f>B774/COUNTA('唯一词标签'!$C$2:$C$1441)</x:f>
        <x:v>0.0006944444444444445</x:v>
      </x:c>
      <x:c r="D774" s="7" t="n">
        <x:f>COUNTIFS('唯一词标签'!$V$2:$V$1441,A774,'唯一词标签'!$Z$2:$Z$1441,"match")</x:f>
        <x:v>0</x:v>
      </x:c>
      <x:c r="E774" s="7" t="n">
        <x:f>COUNTIFS('唯一词标签'!$V$2:$V$1441,A774,'唯一词标签'!$Z$2:$Z$1441,"partial_match")</x:f>
        <x:v>1</x:v>
      </x:c>
      <x:c r="F774" s="7" t="n">
        <x:f>COUNTIFS('唯一词标签'!$V$2:$V$1441,A774,'唯一词标签'!$Z$2:$Z$1441,"mismatch")</x:f>
        <x:v>0</x:v>
      </x:c>
      <x:c r="G774" s="7" t="n">
        <x:f>COUNTIFS('唯一词标签'!$V$2:$V$1441,A774,'唯一词标签'!$Z$2:$Z$1441,"unknown")</x:f>
        <x:v>0</x:v>
      </x:c>
      <x:c r="H774" s="7" t="n">
        <x:f>COUNTIFS('唯一词标签'!$V$2:$V$1441,A774,'唯一词标签'!$U$2:$U$1441,"low")</x:f>
        <x:v>0</x:v>
      </x:c>
      <x:c r="I774" s="7" t="n">
        <x:f>COUNTIFS('唯一词标签'!$V$2:$V$1441,A774,'唯一词标签'!$AB$2:$AB$1441,"needs_review")</x:f>
        <x:v>0</x:v>
      </x:c>
    </x:row>
    <x:row r="775" ht="22" customHeight="1">
      <x:c r="A775" s="7" t="str">
        <x:v>women_flip_flops_light_blue</x:v>
      </x:c>
      <x:c r="B775" s="7" t="n">
        <x:f>COUNTIF('唯一词标签'!$V$2:$V$1441,A775)</x:f>
        <x:v>1</x:v>
      </x:c>
      <x:c r="C775" s="55" t="n">
        <x:f>B775/COUNTA('唯一词标签'!$C$2:$C$1441)</x:f>
        <x:v>0.0006944444444444445</x:v>
      </x:c>
      <x:c r="D775" s="7" t="n">
        <x:f>COUNTIFS('唯一词标签'!$V$2:$V$1441,A775,'唯一词标签'!$Z$2:$Z$1441,"match")</x:f>
        <x:v>1</x:v>
      </x:c>
      <x:c r="E775" s="7" t="n">
        <x:f>COUNTIFS('唯一词标签'!$V$2:$V$1441,A775,'唯一词标签'!$Z$2:$Z$1441,"partial_match")</x:f>
        <x:v>0</x:v>
      </x:c>
      <x:c r="F775" s="7" t="n">
        <x:f>COUNTIFS('唯一词标签'!$V$2:$V$1441,A775,'唯一词标签'!$Z$2:$Z$1441,"mismatch")</x:f>
        <x:v>0</x:v>
      </x:c>
      <x:c r="G775" s="7" t="n">
        <x:f>COUNTIFS('唯一词标签'!$V$2:$V$1441,A775,'唯一词标签'!$Z$2:$Z$1441,"unknown")</x:f>
        <x:v>0</x:v>
      </x:c>
      <x:c r="H775" s="7" t="n">
        <x:f>COUNTIFS('唯一词标签'!$V$2:$V$1441,A775,'唯一词标签'!$U$2:$U$1441,"low")</x:f>
        <x:v>0</x:v>
      </x:c>
      <x:c r="I775" s="7" t="n">
        <x:f>COUNTIFS('唯一词标签'!$V$2:$V$1441,A775,'唯一词标签'!$AB$2:$AB$1441,"needs_review")</x:f>
        <x:v>0</x:v>
      </x:c>
    </x:row>
    <x:row r="776" ht="22" customHeight="1">
      <x:c r="A776" s="7" t="str">
        <x:v>women_flip_flops_size_11</x:v>
      </x:c>
      <x:c r="B776" s="7" t="n">
        <x:f>COUNTIF('唯一词标签'!$V$2:$V$1441,A776)</x:f>
        <x:v>1</x:v>
      </x:c>
      <x:c r="C776" s="55" t="n">
        <x:f>B776/COUNTA('唯一词标签'!$C$2:$C$1441)</x:f>
        <x:v>0.0006944444444444445</x:v>
      </x:c>
      <x:c r="D776" s="7" t="n">
        <x:f>COUNTIFS('唯一词标签'!$V$2:$V$1441,A776,'唯一词标签'!$Z$2:$Z$1441,"match")</x:f>
        <x:v>1</x:v>
      </x:c>
      <x:c r="E776" s="7" t="n">
        <x:f>COUNTIFS('唯一词标签'!$V$2:$V$1441,A776,'唯一词标签'!$Z$2:$Z$1441,"partial_match")</x:f>
        <x:v>0</x:v>
      </x:c>
      <x:c r="F776" s="7" t="n">
        <x:f>COUNTIFS('唯一词标签'!$V$2:$V$1441,A776,'唯一词标签'!$Z$2:$Z$1441,"mismatch")</x:f>
        <x:v>0</x:v>
      </x:c>
      <x:c r="G776" s="7" t="n">
        <x:f>COUNTIFS('唯一词标签'!$V$2:$V$1441,A776,'唯一词标签'!$Z$2:$Z$1441,"unknown")</x:f>
        <x:v>0</x:v>
      </x:c>
      <x:c r="H776" s="7" t="n">
        <x:f>COUNTIFS('唯一词标签'!$V$2:$V$1441,A776,'唯一词标签'!$U$2:$U$1441,"low")</x:f>
        <x:v>0</x:v>
      </x:c>
      <x:c r="I776" s="7" t="n">
        <x:f>COUNTIFS('唯一词标签'!$V$2:$V$1441,A776,'唯一词标签'!$AB$2:$AB$1441,"needs_review")</x:f>
        <x:v>0</x:v>
      </x:c>
    </x:row>
    <x:row r="777" ht="22" customHeight="1">
      <x:c r="A777" s="7" t="str">
        <x:v>women_flip_flops_size_9_5</x:v>
      </x:c>
      <x:c r="B777" s="7" t="n">
        <x:f>COUNTIF('唯一词标签'!$V$2:$V$1441,A777)</x:f>
        <x:v>1</x:v>
      </x:c>
      <x:c r="C777" s="55" t="n">
        <x:f>B777/COUNTA('唯一词标签'!$C$2:$C$1441)</x:f>
        <x:v>0.0006944444444444445</x:v>
      </x:c>
      <x:c r="D777" s="7" t="n">
        <x:f>COUNTIFS('唯一词标签'!$V$2:$V$1441,A777,'唯一词标签'!$Z$2:$Z$1441,"match")</x:f>
        <x:v>0</x:v>
      </x:c>
      <x:c r="E777" s="7" t="n">
        <x:f>COUNTIFS('唯一词标签'!$V$2:$V$1441,A777,'唯一词标签'!$Z$2:$Z$1441,"partial_match")</x:f>
        <x:v>1</x:v>
      </x:c>
      <x:c r="F777" s="7" t="n">
        <x:f>COUNTIFS('唯一词标签'!$V$2:$V$1441,A777,'唯一词标签'!$Z$2:$Z$1441,"mismatch")</x:f>
        <x:v>0</x:v>
      </x:c>
      <x:c r="G777" s="7" t="n">
        <x:f>COUNTIFS('唯一词标签'!$V$2:$V$1441,A777,'唯一词标签'!$Z$2:$Z$1441,"unknown")</x:f>
        <x:v>0</x:v>
      </x:c>
      <x:c r="H777" s="7" t="n">
        <x:f>COUNTIFS('唯一词标签'!$V$2:$V$1441,A777,'唯一词标签'!$U$2:$U$1441,"low")</x:f>
        <x:v>0</x:v>
      </x:c>
      <x:c r="I777" s="7" t="n">
        <x:f>COUNTIFS('唯一词标签'!$V$2:$V$1441,A777,'唯一词标签'!$AB$2:$AB$1441,"needs_review")</x:f>
        <x:v>0</x:v>
      </x:c>
    </x:row>
    <x:row r="778" ht="22" customHeight="1">
      <x:c r="A778" s="7" t="str">
        <x:v>women_flip_flops_size_specific</x:v>
      </x:c>
      <x:c r="B778" s="7" t="n">
        <x:f>COUNTIF('唯一词标签'!$V$2:$V$1441,A778)</x:f>
        <x:v>1</x:v>
      </x:c>
      <x:c r="C778" s="55" t="n">
        <x:f>B778/COUNTA('唯一词标签'!$C$2:$C$1441)</x:f>
        <x:v>0.0006944444444444445</x:v>
      </x:c>
      <x:c r="D778" s="7" t="n">
        <x:f>COUNTIFS('唯一词标签'!$V$2:$V$1441,A778,'唯一词标签'!$Z$2:$Z$1441,"match")</x:f>
        <x:v>1</x:v>
      </x:c>
      <x:c r="E778" s="7" t="n">
        <x:f>COUNTIFS('唯一词标签'!$V$2:$V$1441,A778,'唯一词标签'!$Z$2:$Z$1441,"partial_match")</x:f>
        <x:v>0</x:v>
      </x:c>
      <x:c r="F778" s="7" t="n">
        <x:f>COUNTIFS('唯一词标签'!$V$2:$V$1441,A778,'唯一词标签'!$Z$2:$Z$1441,"mismatch")</x:f>
        <x:v>0</x:v>
      </x:c>
      <x:c r="G778" s="7" t="n">
        <x:f>COUNTIFS('唯一词标签'!$V$2:$V$1441,A778,'唯一词标签'!$Z$2:$Z$1441,"unknown")</x:f>
        <x:v>0</x:v>
      </x:c>
      <x:c r="H778" s="7" t="n">
        <x:f>COUNTIFS('唯一词标签'!$V$2:$V$1441,A778,'唯一词标签'!$U$2:$U$1441,"low")</x:f>
        <x:v>0</x:v>
      </x:c>
      <x:c r="I778" s="7" t="n">
        <x:f>COUNTIFS('唯一词标签'!$V$2:$V$1441,A778,'唯一词标签'!$AB$2:$AB$1441,"needs_review")</x:f>
        <x:v>0</x:v>
      </x:c>
    </x:row>
    <x:row r="779" ht="22" customHeight="1">
      <x:c r="A779" s="7" t="str">
        <x:v>women_orthopedic_flip_flop</x:v>
      </x:c>
      <x:c r="B779" s="7" t="n">
        <x:f>COUNTIF('唯一词标签'!$V$2:$V$1441,A779)</x:f>
        <x:v>1</x:v>
      </x:c>
      <x:c r="C779" s="55" t="n">
        <x:f>B779/COUNTA('唯一词标签'!$C$2:$C$1441)</x:f>
        <x:v>0.0006944444444444445</x:v>
      </x:c>
      <x:c r="D779" s="7" t="n">
        <x:f>COUNTIFS('唯一词标签'!$V$2:$V$1441,A779,'唯一词标签'!$Z$2:$Z$1441,"match")</x:f>
        <x:v>0</x:v>
      </x:c>
      <x:c r="E779" s="7" t="n">
        <x:f>COUNTIFS('唯一词标签'!$V$2:$V$1441,A779,'唯一词标签'!$Z$2:$Z$1441,"partial_match")</x:f>
        <x:v>1</x:v>
      </x:c>
      <x:c r="F779" s="7" t="n">
        <x:f>COUNTIFS('唯一词标签'!$V$2:$V$1441,A779,'唯一词标签'!$Z$2:$Z$1441,"mismatch")</x:f>
        <x:v>0</x:v>
      </x:c>
      <x:c r="G779" s="7" t="n">
        <x:f>COUNTIFS('唯一词标签'!$V$2:$V$1441,A779,'唯一词标签'!$Z$2:$Z$1441,"unknown")</x:f>
        <x:v>0</x:v>
      </x:c>
      <x:c r="H779" s="7" t="n">
        <x:f>COUNTIFS('唯一词标签'!$V$2:$V$1441,A779,'唯一词标签'!$U$2:$U$1441,"low")</x:f>
        <x:v>0</x:v>
      </x:c>
      <x:c r="I779" s="7" t="n">
        <x:f>COUNTIFS('唯一词标签'!$V$2:$V$1441,A779,'唯一词标签'!$AB$2:$AB$1441,"needs_review")</x:f>
        <x:v>0</x:v>
      </x:c>
    </x:row>
    <x:row r="780" ht="22" customHeight="1">
      <x:c r="A780" s="7" t="str">
        <x:v>women_pool_nonslip_flip_flop</x:v>
      </x:c>
      <x:c r="B780" s="7" t="n">
        <x:f>COUNTIF('唯一词标签'!$V$2:$V$1441,A780)</x:f>
        <x:v>1</x:v>
      </x:c>
      <x:c r="C780" s="55" t="n">
        <x:f>B780/COUNTA('唯一词标签'!$C$2:$C$1441)</x:f>
        <x:v>0.0006944444444444445</x:v>
      </x:c>
      <x:c r="D780" s="7" t="n">
        <x:f>COUNTIFS('唯一词标签'!$V$2:$V$1441,A780,'唯一词标签'!$Z$2:$Z$1441,"match")</x:f>
        <x:v>0</x:v>
      </x:c>
      <x:c r="E780" s="7" t="n">
        <x:f>COUNTIFS('唯一词标签'!$V$2:$V$1441,A780,'唯一词标签'!$Z$2:$Z$1441,"partial_match")</x:f>
        <x:v>1</x:v>
      </x:c>
      <x:c r="F780" s="7" t="n">
        <x:f>COUNTIFS('唯一词标签'!$V$2:$V$1441,A780,'唯一词标签'!$Z$2:$Z$1441,"mismatch")</x:f>
        <x:v>0</x:v>
      </x:c>
      <x:c r="G780" s="7" t="n">
        <x:f>COUNTIFS('唯一词标签'!$V$2:$V$1441,A780,'唯一词标签'!$Z$2:$Z$1441,"unknown")</x:f>
        <x:v>0</x:v>
      </x:c>
      <x:c r="H780" s="7" t="n">
        <x:f>COUNTIFS('唯一词标签'!$V$2:$V$1441,A780,'唯一词标签'!$U$2:$U$1441,"low")</x:f>
        <x:v>0</x:v>
      </x:c>
      <x:c r="I780" s="7" t="n">
        <x:f>COUNTIFS('唯一词标签'!$V$2:$V$1441,A780,'唯一词标签'!$AB$2:$AB$1441,"needs_review")</x:f>
        <x:v>0</x:v>
      </x:c>
    </x:row>
    <x:row r="781" ht="22" customHeight="1">
      <x:c r="A781" s="7" t="str">
        <x:v>women_size11_arch_support_flip_flop</x:v>
      </x:c>
      <x:c r="B781" s="7" t="n">
        <x:f>COUNTIF('唯一词标签'!$V$2:$V$1441,A781)</x:f>
        <x:v>1</x:v>
      </x:c>
      <x:c r="C781" s="55" t="n">
        <x:f>B781/COUNTA('唯一词标签'!$C$2:$C$1441)</x:f>
        <x:v>0.0006944444444444445</x:v>
      </x:c>
      <x:c r="D781" s="7" t="n">
        <x:f>COUNTIFS('唯一词标签'!$V$2:$V$1441,A781,'唯一词标签'!$Z$2:$Z$1441,"match")</x:f>
        <x:v>1</x:v>
      </x:c>
      <x:c r="E781" s="7" t="n">
        <x:f>COUNTIFS('唯一词标签'!$V$2:$V$1441,A781,'唯一词标签'!$Z$2:$Z$1441,"partial_match")</x:f>
        <x:v>0</x:v>
      </x:c>
      <x:c r="F781" s="7" t="n">
        <x:f>COUNTIFS('唯一词标签'!$V$2:$V$1441,A781,'唯一词标签'!$Z$2:$Z$1441,"mismatch")</x:f>
        <x:v>0</x:v>
      </x:c>
      <x:c r="G781" s="7" t="n">
        <x:f>COUNTIFS('唯一词标签'!$V$2:$V$1441,A781,'唯一词标签'!$Z$2:$Z$1441,"unknown")</x:f>
        <x:v>0</x:v>
      </x:c>
      <x:c r="H781" s="7" t="n">
        <x:f>COUNTIFS('唯一词标签'!$V$2:$V$1441,A781,'唯一词标签'!$U$2:$U$1441,"low")</x:f>
        <x:v>0</x:v>
      </x:c>
      <x:c r="I781" s="7" t="n">
        <x:f>COUNTIFS('唯一词标签'!$V$2:$V$1441,A781,'唯一词标签'!$AB$2:$AB$1441,"needs_review")</x:f>
        <x:v>0</x:v>
      </x:c>
    </x:row>
    <x:row r="782" ht="22" customHeight="1">
      <x:c r="A782" s="7" t="str">
        <x:v>women_slides_navy_blue</x:v>
      </x:c>
      <x:c r="B782" s="7" t="n">
        <x:f>COUNTIF('唯一词标签'!$V$2:$V$1441,A782)</x:f>
        <x:v>1</x:v>
      </x:c>
      <x:c r="C782" s="55" t="n">
        <x:f>B782/COUNTA('唯一词标签'!$C$2:$C$1441)</x:f>
        <x:v>0.0006944444444444445</x:v>
      </x:c>
      <x:c r="D782" s="7" t="n">
        <x:f>COUNTIFS('唯一词标签'!$V$2:$V$1441,A782,'唯一词标签'!$Z$2:$Z$1441,"match")</x:f>
        <x:v>0</x:v>
      </x:c>
      <x:c r="E782" s="7" t="n">
        <x:f>COUNTIFS('唯一词标签'!$V$2:$V$1441,A782,'唯一词标签'!$Z$2:$Z$1441,"partial_match")</x:f>
        <x:v>0</x:v>
      </x:c>
      <x:c r="F782" s="7" t="n">
        <x:f>COUNTIFS('唯一词标签'!$V$2:$V$1441,A782,'唯一词标签'!$Z$2:$Z$1441,"mismatch")</x:f>
        <x:v>1</x:v>
      </x:c>
      <x:c r="G782" s="7" t="n">
        <x:f>COUNTIFS('唯一词标签'!$V$2:$V$1441,A782,'唯一词标签'!$Z$2:$Z$1441,"unknown")</x:f>
        <x:v>0</x:v>
      </x:c>
      <x:c r="H782" s="7" t="n">
        <x:f>COUNTIFS('唯一词标签'!$V$2:$V$1441,A782,'唯一词标签'!$U$2:$U$1441,"low")</x:f>
        <x:v>0</x:v>
      </x:c>
      <x:c r="I782" s="7" t="n">
        <x:f>COUNTIFS('唯一词标签'!$V$2:$V$1441,A782,'唯一词标签'!$AB$2:$AB$1441,"needs_review")</x:f>
        <x:v>0</x:v>
      </x:c>
    </x:row>
    <x:row r="783" ht="22" customHeight="1">
      <x:c r="A783" s="7" t="str">
        <x:v>women_support_sandals_thin_sole</x:v>
      </x:c>
      <x:c r="B783" s="7" t="n">
        <x:f>COUNTIF('唯一词标签'!$V$2:$V$1441,A783)</x:f>
        <x:v>1</x:v>
      </x:c>
      <x:c r="C783" s="55" t="n">
        <x:f>B783/COUNTA('唯一词标签'!$C$2:$C$1441)</x:f>
        <x:v>0.0006944444444444445</x:v>
      </x:c>
      <x:c r="D783" s="7" t="n">
        <x:f>COUNTIFS('唯一词标签'!$V$2:$V$1441,A783,'唯一词标签'!$Z$2:$Z$1441,"match")</x:f>
        <x:v>0</x:v>
      </x:c>
      <x:c r="E783" s="7" t="n">
        <x:f>COUNTIFS('唯一词标签'!$V$2:$V$1441,A783,'唯一词标签'!$Z$2:$Z$1441,"partial_match")</x:f>
        <x:v>1</x:v>
      </x:c>
      <x:c r="F783" s="7" t="n">
        <x:f>COUNTIFS('唯一词标签'!$V$2:$V$1441,A783,'唯一词标签'!$Z$2:$Z$1441,"mismatch")</x:f>
        <x:v>0</x:v>
      </x:c>
      <x:c r="G783" s="7" t="n">
        <x:f>COUNTIFS('唯一词标签'!$V$2:$V$1441,A783,'唯一词标签'!$Z$2:$Z$1441,"unknown")</x:f>
        <x:v>0</x:v>
      </x:c>
      <x:c r="H783" s="7" t="n">
        <x:f>COUNTIFS('唯一词标签'!$V$2:$V$1441,A783,'唯一词标签'!$U$2:$U$1441,"low")</x:f>
        <x:v>0</x:v>
      </x:c>
      <x:c r="I783" s="7" t="n">
        <x:f>COUNTIFS('唯一词标签'!$V$2:$V$1441,A783,'唯一词标签'!$AB$2:$AB$1441,"needs_review")</x:f>
        <x:v>0</x:v>
      </x:c>
    </x:row>
    <x:row r="784" ht="22" customHeight="1">
      <x:c r="A784" s="7" t="str">
        <x:v>women_thong_flip_flops</x:v>
      </x:c>
      <x:c r="B784" s="7" t="n">
        <x:f>COUNTIF('唯一词标签'!$V$2:$V$1441,A784)</x:f>
        <x:v>1</x:v>
      </x:c>
      <x:c r="C784" s="55" t="n">
        <x:f>B784/COUNTA('唯一词标签'!$C$2:$C$1441)</x:f>
        <x:v>0.0006944444444444445</x:v>
      </x:c>
      <x:c r="D784" s="7" t="n">
        <x:f>COUNTIFS('唯一词标签'!$V$2:$V$1441,A784,'唯一词标签'!$Z$2:$Z$1441,"match")</x:f>
        <x:v>1</x:v>
      </x:c>
      <x:c r="E784" s="7" t="n">
        <x:f>COUNTIFS('唯一词标签'!$V$2:$V$1441,A784,'唯一词标签'!$Z$2:$Z$1441,"partial_match")</x:f>
        <x:v>0</x:v>
      </x:c>
      <x:c r="F784" s="7" t="n">
        <x:f>COUNTIFS('唯一词标签'!$V$2:$V$1441,A784,'唯一词标签'!$Z$2:$Z$1441,"mismatch")</x:f>
        <x:v>0</x:v>
      </x:c>
      <x:c r="G784" s="7" t="n">
        <x:f>COUNTIFS('唯一词标签'!$V$2:$V$1441,A784,'唯一词标签'!$Z$2:$Z$1441,"unknown")</x:f>
        <x:v>0</x:v>
      </x:c>
      <x:c r="H784" s="7" t="n">
        <x:f>COUNTIFS('唯一词标签'!$V$2:$V$1441,A784,'唯一词标签'!$U$2:$U$1441,"low")</x:f>
        <x:v>0</x:v>
      </x:c>
      <x:c r="I784" s="7" t="n">
        <x:f>COUNTIFS('唯一词标签'!$V$2:$V$1441,A784,'唯一词标签'!$AB$2:$AB$1441,"needs_review")</x:f>
        <x:v>0</x:v>
      </x:c>
    </x:row>
    <x:row r="785" ht="22" customHeight="1">
      <x:c r="A785" s="7" t="str">
        <x:v>women_waterproof_beach_sandals</x:v>
      </x:c>
      <x:c r="B785" s="7" t="n">
        <x:f>COUNTIF('唯一词标签'!$V$2:$V$1441,A785)</x:f>
        <x:v>1</x:v>
      </x:c>
      <x:c r="C785" s="55" t="n">
        <x:f>B785/COUNTA('唯一词标签'!$C$2:$C$1441)</x:f>
        <x:v>0.0006944444444444445</x:v>
      </x:c>
      <x:c r="D785" s="7" t="n">
        <x:f>COUNTIFS('唯一词标签'!$V$2:$V$1441,A785,'唯一词标签'!$Z$2:$Z$1441,"match")</x:f>
        <x:v>0</x:v>
      </x:c>
      <x:c r="E785" s="7" t="n">
        <x:f>COUNTIFS('唯一词标签'!$V$2:$V$1441,A785,'唯一词标签'!$Z$2:$Z$1441,"partial_match")</x:f>
        <x:v>1</x:v>
      </x:c>
      <x:c r="F785" s="7" t="n">
        <x:f>COUNTIFS('唯一词标签'!$V$2:$V$1441,A785,'唯一词标签'!$Z$2:$Z$1441,"mismatch")</x:f>
        <x:v>0</x:v>
      </x:c>
      <x:c r="G785" s="7" t="n">
        <x:f>COUNTIFS('唯一词标签'!$V$2:$V$1441,A785,'唯一词标签'!$Z$2:$Z$1441,"unknown")</x:f>
        <x:v>0</x:v>
      </x:c>
      <x:c r="H785" s="7" t="n">
        <x:f>COUNTIFS('唯一词标签'!$V$2:$V$1441,A785,'唯一词标签'!$U$2:$U$1441,"low")</x:f>
        <x:v>0</x:v>
      </x:c>
      <x:c r="I785" s="7" t="n">
        <x:f>COUNTIFS('唯一词标签'!$V$2:$V$1441,A785,'唯一词标签'!$AB$2:$AB$1441,"needs_review")</x:f>
        <x:v>0</x:v>
      </x:c>
    </x:row>
    <x:row r="786" ht="22" customHeight="1">
      <x:c r="A786" s="7" t="str">
        <x:v>women_waterproof_flip_flops</x:v>
      </x:c>
      <x:c r="B786" s="7" t="n">
        <x:f>COUNTIF('唯一词标签'!$V$2:$V$1441,A786)</x:f>
        <x:v>1</x:v>
      </x:c>
      <x:c r="C786" s="55" t="n">
        <x:f>B786/COUNTA('唯一词标签'!$C$2:$C$1441)</x:f>
        <x:v>0.0006944444444444445</x:v>
      </x:c>
      <x:c r="D786" s="7" t="n">
        <x:f>COUNTIFS('唯一词标签'!$V$2:$V$1441,A786,'唯一词标签'!$Z$2:$Z$1441,"match")</x:f>
        <x:v>0</x:v>
      </x:c>
      <x:c r="E786" s="7" t="n">
        <x:f>COUNTIFS('唯一词标签'!$V$2:$V$1441,A786,'唯一词标签'!$Z$2:$Z$1441,"partial_match")</x:f>
        <x:v>0</x:v>
      </x:c>
      <x:c r="F786" s="7" t="n">
        <x:f>COUNTIFS('唯一词标签'!$V$2:$V$1441,A786,'唯一词标签'!$Z$2:$Z$1441,"mismatch")</x:f>
        <x:v>1</x:v>
      </x:c>
      <x:c r="G786" s="7" t="n">
        <x:f>COUNTIFS('唯一词标签'!$V$2:$V$1441,A786,'唯一词标签'!$Z$2:$Z$1441,"unknown")</x:f>
        <x:v>0</x:v>
      </x:c>
      <x:c r="H786" s="7" t="n">
        <x:f>COUNTIFS('唯一词标签'!$V$2:$V$1441,A786,'唯一词标签'!$U$2:$U$1441,"low")</x:f>
        <x:v>0</x:v>
      </x:c>
      <x:c r="I786" s="7" t="n">
        <x:f>COUNTIFS('唯一词标签'!$V$2:$V$1441,A786,'唯一词标签'!$AB$2:$AB$1441,"needs_review")</x:f>
        <x:v>0</x:v>
      </x:c>
    </x:row>
    <x:row r="787" ht="22" customHeight="1">
      <x:c r="A787" s="7" t="str">
        <x:v>women_white_beach_flip_flops</x:v>
      </x:c>
      <x:c r="B787" s="7" t="n">
        <x:f>COUNTIF('唯一词标签'!$V$2:$V$1441,A787)</x:f>
        <x:v>1</x:v>
      </x:c>
      <x:c r="C787" s="55" t="n">
        <x:f>B787/COUNTA('唯一词标签'!$C$2:$C$1441)</x:f>
        <x:v>0.0006944444444444445</x:v>
      </x:c>
      <x:c r="D787" s="7" t="n">
        <x:f>COUNTIFS('唯一词标签'!$V$2:$V$1441,A787,'唯一词标签'!$Z$2:$Z$1441,"match")</x:f>
        <x:v>1</x:v>
      </x:c>
      <x:c r="E787" s="7" t="n">
        <x:f>COUNTIFS('唯一词标签'!$V$2:$V$1441,A787,'唯一词标签'!$Z$2:$Z$1441,"partial_match")</x:f>
        <x:v>0</x:v>
      </x:c>
      <x:c r="F787" s="7" t="n">
        <x:f>COUNTIFS('唯一词标签'!$V$2:$V$1441,A787,'唯一词标签'!$Z$2:$Z$1441,"mismatch")</x:f>
        <x:v>0</x:v>
      </x:c>
      <x:c r="G787" s="7" t="n">
        <x:f>COUNTIFS('唯一词标签'!$V$2:$V$1441,A787,'唯一词标签'!$Z$2:$Z$1441,"unknown")</x:f>
        <x:v>0</x:v>
      </x:c>
      <x:c r="H787" s="7" t="n">
        <x:f>COUNTIFS('唯一词标签'!$V$2:$V$1441,A787,'唯一词标签'!$U$2:$U$1441,"low")</x:f>
        <x:v>0</x:v>
      </x:c>
      <x:c r="I787" s="7" t="n">
        <x:f>COUNTIFS('唯一词标签'!$V$2:$V$1441,A787,'唯一词标签'!$AB$2:$AB$1441,"needs_review")</x:f>
        <x:v>0</x:v>
      </x:c>
    </x:row>
    <x:row r="788" ht="22" customHeight="1">
      <x:c r="A788" s="7" t="str">
        <x:v>womens_affordable_flip_flops</x:v>
      </x:c>
      <x:c r="B788" s="7" t="n">
        <x:f>COUNTIF('唯一词标签'!$V$2:$V$1441,A788)</x:f>
        <x:v>1</x:v>
      </x:c>
      <x:c r="C788" s="55" t="n">
        <x:f>B788/COUNTA('唯一词标签'!$C$2:$C$1441)</x:f>
        <x:v>0.0006944444444444445</x:v>
      </x:c>
      <x:c r="D788" s="7" t="n">
        <x:f>COUNTIFS('唯一词标签'!$V$2:$V$1441,A788,'唯一词标签'!$Z$2:$Z$1441,"match")</x:f>
        <x:v>0</x:v>
      </x:c>
      <x:c r="E788" s="7" t="n">
        <x:f>COUNTIFS('唯一词标签'!$V$2:$V$1441,A788,'唯一词标签'!$Z$2:$Z$1441,"partial_match")</x:f>
        <x:v>1</x:v>
      </x:c>
      <x:c r="F788" s="7" t="n">
        <x:f>COUNTIFS('唯一词标签'!$V$2:$V$1441,A788,'唯一词标签'!$Z$2:$Z$1441,"mismatch")</x:f>
        <x:v>0</x:v>
      </x:c>
      <x:c r="G788" s="7" t="n">
        <x:f>COUNTIFS('唯一词标签'!$V$2:$V$1441,A788,'唯一词标签'!$Z$2:$Z$1441,"unknown")</x:f>
        <x:v>0</x:v>
      </x:c>
      <x:c r="H788" s="7" t="n">
        <x:f>COUNTIFS('唯一词标签'!$V$2:$V$1441,A788,'唯一词标签'!$U$2:$U$1441,"low")</x:f>
        <x:v>0</x:v>
      </x:c>
      <x:c r="I788" s="7" t="n">
        <x:f>COUNTIFS('唯一词标签'!$V$2:$V$1441,A788,'唯一词标签'!$AB$2:$AB$1441,"needs_review")</x:f>
        <x:v>0</x:v>
      </x:c>
    </x:row>
    <x:row r="789" ht="22" customHeight="1">
      <x:c r="A789" s="7" t="str">
        <x:v>womens_arch_alternative_brands</x:v>
      </x:c>
      <x:c r="B789" s="7" t="n">
        <x:f>COUNTIF('唯一词标签'!$V$2:$V$1441,A789)</x:f>
        <x:v>1</x:v>
      </x:c>
      <x:c r="C789" s="55" t="n">
        <x:f>B789/COUNTA('唯一词标签'!$C$2:$C$1441)</x:f>
        <x:v>0.0006944444444444445</x:v>
      </x:c>
      <x:c r="D789" s="7" t="n">
        <x:f>COUNTIFS('唯一词标签'!$V$2:$V$1441,A789,'唯一词标签'!$Z$2:$Z$1441,"match")</x:f>
        <x:v>0</x:v>
      </x:c>
      <x:c r="E789" s="7" t="n">
        <x:f>COUNTIFS('唯一词标签'!$V$2:$V$1441,A789,'唯一词标签'!$Z$2:$Z$1441,"partial_match")</x:f>
        <x:v>1</x:v>
      </x:c>
      <x:c r="F789" s="7" t="n">
        <x:f>COUNTIFS('唯一词标签'!$V$2:$V$1441,A789,'唯一词标签'!$Z$2:$Z$1441,"mismatch")</x:f>
        <x:v>0</x:v>
      </x:c>
      <x:c r="G789" s="7" t="n">
        <x:f>COUNTIFS('唯一词标签'!$V$2:$V$1441,A789,'唯一词标签'!$Z$2:$Z$1441,"unknown")</x:f>
        <x:v>0</x:v>
      </x:c>
      <x:c r="H789" s="7" t="n">
        <x:f>COUNTIFS('唯一词标签'!$V$2:$V$1441,A789,'唯一词标签'!$U$2:$U$1441,"low")</x:f>
        <x:v>0</x:v>
      </x:c>
      <x:c r="I789" s="7" t="n">
        <x:f>COUNTIFS('唯一词标签'!$V$2:$V$1441,A789,'唯一词标签'!$AB$2:$AB$1441,"needs_review")</x:f>
        <x:v>0</x:v>
      </x:c>
    </x:row>
    <x:row r="790" ht="22" customHeight="1">
      <x:c r="A790" s="7" t="str">
        <x:v>womens_arch_flip_flop</x:v>
      </x:c>
      <x:c r="B790" s="7" t="n">
        <x:f>COUNTIF('唯一词标签'!$V$2:$V$1441,A790)</x:f>
        <x:v>1</x:v>
      </x:c>
      <x:c r="C790" s="55" t="n">
        <x:f>B790/COUNTA('唯一词标签'!$C$2:$C$1441)</x:f>
        <x:v>0.0006944444444444445</x:v>
      </x:c>
      <x:c r="D790" s="7" t="n">
        <x:f>COUNTIFS('唯一词标签'!$V$2:$V$1441,A790,'唯一词标签'!$Z$2:$Z$1441,"match")</x:f>
        <x:v>1</x:v>
      </x:c>
      <x:c r="E790" s="7" t="n">
        <x:f>COUNTIFS('唯一词标签'!$V$2:$V$1441,A790,'唯一词标签'!$Z$2:$Z$1441,"partial_match")</x:f>
        <x:v>0</x:v>
      </x:c>
      <x:c r="F790" s="7" t="n">
        <x:f>COUNTIFS('唯一词标签'!$V$2:$V$1441,A790,'唯一词标签'!$Z$2:$Z$1441,"mismatch")</x:f>
        <x:v>0</x:v>
      </x:c>
      <x:c r="G790" s="7" t="n">
        <x:f>COUNTIFS('唯一词标签'!$V$2:$V$1441,A790,'唯一词标签'!$Z$2:$Z$1441,"unknown")</x:f>
        <x:v>0</x:v>
      </x:c>
      <x:c r="H790" s="7" t="n">
        <x:f>COUNTIFS('唯一词标签'!$V$2:$V$1441,A790,'唯一词标签'!$U$2:$U$1441,"low")</x:f>
        <x:v>0</x:v>
      </x:c>
      <x:c r="I790" s="7" t="n">
        <x:f>COUNTIFS('唯一词标签'!$V$2:$V$1441,A790,'唯一词标签'!$AB$2:$AB$1441,"needs_review")</x:f>
        <x:v>0</x:v>
      </x:c>
    </x:row>
    <x:row r="791" ht="22" customHeight="1">
      <x:c r="A791" s="7" t="str">
        <x:v>womens_arch_flip_flops_color</x:v>
      </x:c>
      <x:c r="B791" s="7" t="n">
        <x:f>COUNTIF('唯一词标签'!$V$2:$V$1441,A791)</x:f>
        <x:v>1</x:v>
      </x:c>
      <x:c r="C791" s="55" t="n">
        <x:f>B791/COUNTA('唯一词标签'!$C$2:$C$1441)</x:f>
        <x:v>0.0006944444444444445</x:v>
      </x:c>
      <x:c r="D791" s="7" t="n">
        <x:f>COUNTIFS('唯一词标签'!$V$2:$V$1441,A791,'唯一词标签'!$Z$2:$Z$1441,"match")</x:f>
        <x:v>0</x:v>
      </x:c>
      <x:c r="E791" s="7" t="n">
        <x:f>COUNTIFS('唯一词标签'!$V$2:$V$1441,A791,'唯一词标签'!$Z$2:$Z$1441,"partial_match")</x:f>
        <x:v>1</x:v>
      </x:c>
      <x:c r="F791" s="7" t="n">
        <x:f>COUNTIFS('唯一词标签'!$V$2:$V$1441,A791,'唯一词标签'!$Z$2:$Z$1441,"mismatch")</x:f>
        <x:v>0</x:v>
      </x:c>
      <x:c r="G791" s="7" t="n">
        <x:f>COUNTIFS('唯一词标签'!$V$2:$V$1441,A791,'唯一词标签'!$Z$2:$Z$1441,"unknown")</x:f>
        <x:v>0</x:v>
      </x:c>
      <x:c r="H791" s="7" t="n">
        <x:f>COUNTIFS('唯一词标签'!$V$2:$V$1441,A791,'唯一词标签'!$U$2:$U$1441,"low")</x:f>
        <x:v>0</x:v>
      </x:c>
      <x:c r="I791" s="7" t="n">
        <x:f>COUNTIFS('唯一词标签'!$V$2:$V$1441,A791,'唯一词标签'!$AB$2:$AB$1441,"needs_review")</x:f>
        <x:v>0</x:v>
      </x:c>
    </x:row>
    <x:row r="792" ht="22" customHeight="1">
      <x:c r="A792" s="7" t="str">
        <x:v>womens_arch_heel_support_flip_flops</x:v>
      </x:c>
      <x:c r="B792" s="7" t="n">
        <x:f>COUNTIF('唯一词标签'!$V$2:$V$1441,A792)</x:f>
        <x:v>1</x:v>
      </x:c>
      <x:c r="C792" s="55" t="n">
        <x:f>B792/COUNTA('唯一词标签'!$C$2:$C$1441)</x:f>
        <x:v>0.0006944444444444445</x:v>
      </x:c>
      <x:c r="D792" s="7" t="n">
        <x:f>COUNTIFS('唯一词标签'!$V$2:$V$1441,A792,'唯一词标签'!$Z$2:$Z$1441,"match")</x:f>
        <x:v>0</x:v>
      </x:c>
      <x:c r="E792" s="7" t="n">
        <x:f>COUNTIFS('唯一词标签'!$V$2:$V$1441,A792,'唯一词标签'!$Z$2:$Z$1441,"partial_match")</x:f>
        <x:v>1</x:v>
      </x:c>
      <x:c r="F792" s="7" t="n">
        <x:f>COUNTIFS('唯一词标签'!$V$2:$V$1441,A792,'唯一词标签'!$Z$2:$Z$1441,"mismatch")</x:f>
        <x:v>0</x:v>
      </x:c>
      <x:c r="G792" s="7" t="n">
        <x:f>COUNTIFS('唯一词标签'!$V$2:$V$1441,A792,'唯一词标签'!$Z$2:$Z$1441,"unknown")</x:f>
        <x:v>0</x:v>
      </x:c>
      <x:c r="H792" s="7" t="n">
        <x:f>COUNTIFS('唯一词标签'!$V$2:$V$1441,A792,'唯一词标签'!$U$2:$U$1441,"low")</x:f>
        <x:v>0</x:v>
      </x:c>
      <x:c r="I792" s="7" t="n">
        <x:f>COUNTIFS('唯一词标签'!$V$2:$V$1441,A792,'唯一词标签'!$AB$2:$AB$1441,"needs_review")</x:f>
        <x:v>0</x:v>
      </x:c>
    </x:row>
    <x:row r="793" ht="22" customHeight="1">
      <x:c r="A793" s="7" t="str">
        <x:v>womens_arch_support_beach_flip_flops</x:v>
      </x:c>
      <x:c r="B793" s="7" t="n">
        <x:f>COUNTIF('唯一词标签'!$V$2:$V$1441,A793)</x:f>
        <x:v>1</x:v>
      </x:c>
      <x:c r="C793" s="55" t="n">
        <x:f>B793/COUNTA('唯一词标签'!$C$2:$C$1441)</x:f>
        <x:v>0.0006944444444444445</x:v>
      </x:c>
      <x:c r="D793" s="7" t="n">
        <x:f>COUNTIFS('唯一词标签'!$V$2:$V$1441,A793,'唯一词标签'!$Z$2:$Z$1441,"match")</x:f>
        <x:v>0</x:v>
      </x:c>
      <x:c r="E793" s="7" t="n">
        <x:f>COUNTIFS('唯一词标签'!$V$2:$V$1441,A793,'唯一词标签'!$Z$2:$Z$1441,"partial_match")</x:f>
        <x:v>1</x:v>
      </x:c>
      <x:c r="F793" s="7" t="n">
        <x:f>COUNTIFS('唯一词标签'!$V$2:$V$1441,A793,'唯一词标签'!$Z$2:$Z$1441,"mismatch")</x:f>
        <x:v>0</x:v>
      </x:c>
      <x:c r="G793" s="7" t="n">
        <x:f>COUNTIFS('唯一词标签'!$V$2:$V$1441,A793,'唯一词标签'!$Z$2:$Z$1441,"unknown")</x:f>
        <x:v>0</x:v>
      </x:c>
      <x:c r="H793" s="7" t="n">
        <x:f>COUNTIFS('唯一词标签'!$V$2:$V$1441,A793,'唯一词标签'!$U$2:$U$1441,"low")</x:f>
        <x:v>0</x:v>
      </x:c>
      <x:c r="I793" s="7" t="n">
        <x:f>COUNTIFS('唯一词标签'!$V$2:$V$1441,A793,'唯一词标签'!$AB$2:$AB$1441,"needs_review")</x:f>
        <x:v>0</x:v>
      </x:c>
    </x:row>
    <x:row r="794" ht="22" customHeight="1">
      <x:c r="A794" s="7" t="str">
        <x:v>womens_arch_support_beach_waterproof_sandals</x:v>
      </x:c>
      <x:c r="B794" s="7" t="n">
        <x:f>COUNTIF('唯一词标签'!$V$2:$V$1441,A794)</x:f>
        <x:v>1</x:v>
      </x:c>
      <x:c r="C794" s="55" t="n">
        <x:f>B794/COUNTA('唯一词标签'!$C$2:$C$1441)</x:f>
        <x:v>0.0006944444444444445</x:v>
      </x:c>
      <x:c r="D794" s="7" t="n">
        <x:f>COUNTIFS('唯一词标签'!$V$2:$V$1441,A794,'唯一词标签'!$Z$2:$Z$1441,"match")</x:f>
        <x:v>0</x:v>
      </x:c>
      <x:c r="E794" s="7" t="n">
        <x:f>COUNTIFS('唯一词标签'!$V$2:$V$1441,A794,'唯一词标签'!$Z$2:$Z$1441,"partial_match")</x:f>
        <x:v>1</x:v>
      </x:c>
      <x:c r="F794" s="7" t="n">
        <x:f>COUNTIFS('唯一词标签'!$V$2:$V$1441,A794,'唯一词标签'!$Z$2:$Z$1441,"mismatch")</x:f>
        <x:v>0</x:v>
      </x:c>
      <x:c r="G794" s="7" t="n">
        <x:f>COUNTIFS('唯一词标签'!$V$2:$V$1441,A794,'唯一词标签'!$Z$2:$Z$1441,"unknown")</x:f>
        <x:v>0</x:v>
      </x:c>
      <x:c r="H794" s="7" t="n">
        <x:f>COUNTIFS('唯一词标签'!$V$2:$V$1441,A794,'唯一词标签'!$U$2:$U$1441,"low")</x:f>
        <x:v>0</x:v>
      </x:c>
      <x:c r="I794" s="7" t="n">
        <x:f>COUNTIFS('唯一词标签'!$V$2:$V$1441,A794,'唯一词标签'!$AB$2:$AB$1441,"needs_review")</x:f>
        <x:v>0</x:v>
      </x:c>
    </x:row>
    <x:row r="795" ht="22" customHeight="1">
      <x:c r="A795" s="7" t="str">
        <x:v>womens_arch_support_brown_flip_flops</x:v>
      </x:c>
      <x:c r="B795" s="7" t="n">
        <x:f>COUNTIF('唯一词标签'!$V$2:$V$1441,A795)</x:f>
        <x:v>1</x:v>
      </x:c>
      <x:c r="C795" s="55" t="n">
        <x:f>B795/COUNTA('唯一词标签'!$C$2:$C$1441)</x:f>
        <x:v>0.0006944444444444445</x:v>
      </x:c>
      <x:c r="D795" s="7" t="n">
        <x:f>COUNTIFS('唯一词标签'!$V$2:$V$1441,A795,'唯一词标签'!$Z$2:$Z$1441,"match")</x:f>
        <x:v>1</x:v>
      </x:c>
      <x:c r="E795" s="7" t="n">
        <x:f>COUNTIFS('唯一词标签'!$V$2:$V$1441,A795,'唯一词标签'!$Z$2:$Z$1441,"partial_match")</x:f>
        <x:v>0</x:v>
      </x:c>
      <x:c r="F795" s="7" t="n">
        <x:f>COUNTIFS('唯一词标签'!$V$2:$V$1441,A795,'唯一词标签'!$Z$2:$Z$1441,"mismatch")</x:f>
        <x:v>0</x:v>
      </x:c>
      <x:c r="G795" s="7" t="n">
        <x:f>COUNTIFS('唯一词标签'!$V$2:$V$1441,A795,'唯一词标签'!$Z$2:$Z$1441,"unknown")</x:f>
        <x:v>0</x:v>
      </x:c>
      <x:c r="H795" s="7" t="n">
        <x:f>COUNTIFS('唯一词标签'!$V$2:$V$1441,A795,'唯一词标签'!$U$2:$U$1441,"low")</x:f>
        <x:v>0</x:v>
      </x:c>
      <x:c r="I795" s="7" t="n">
        <x:f>COUNTIFS('唯一词标签'!$V$2:$V$1441,A795,'唯一词标签'!$AB$2:$AB$1441,"needs_review")</x:f>
        <x:v>0</x:v>
      </x:c>
    </x:row>
    <x:row r="796" ht="22" customHeight="1">
      <x:c r="A796" s="7" t="str">
        <x:v>womens_arch_support_flip_flops</x:v>
      </x:c>
      <x:c r="B796" s="7" t="n">
        <x:f>COUNTIF('唯一词标签'!$V$2:$V$1441,A796)</x:f>
        <x:v>20</x:v>
      </x:c>
      <x:c r="C796" s="55" t="n">
        <x:f>B796/COUNTA('唯一词标签'!$C$2:$C$1441)</x:f>
        <x:v>0.013888888888888888</x:v>
      </x:c>
      <x:c r="D796" s="7" t="n">
        <x:f>COUNTIFS('唯一词标签'!$V$2:$V$1441,A796,'唯一词标签'!$Z$2:$Z$1441,"match")</x:f>
        <x:v>17</x:v>
      </x:c>
      <x:c r="E796" s="7" t="n">
        <x:f>COUNTIFS('唯一词标签'!$V$2:$V$1441,A796,'唯一词标签'!$Z$2:$Z$1441,"partial_match")</x:f>
        <x:v>3</x:v>
      </x:c>
      <x:c r="F796" s="7" t="n">
        <x:f>COUNTIFS('唯一词标签'!$V$2:$V$1441,A796,'唯一词标签'!$Z$2:$Z$1441,"mismatch")</x:f>
        <x:v>0</x:v>
      </x:c>
      <x:c r="G796" s="7" t="n">
        <x:f>COUNTIFS('唯一词标签'!$V$2:$V$1441,A796,'唯一词标签'!$Z$2:$Z$1441,"unknown")</x:f>
        <x:v>0</x:v>
      </x:c>
      <x:c r="H796" s="7" t="n">
        <x:f>COUNTIFS('唯一词标签'!$V$2:$V$1441,A796,'唯一词标签'!$U$2:$U$1441,"low")</x:f>
        <x:v>0</x:v>
      </x:c>
      <x:c r="I796" s="7" t="n">
        <x:f>COUNTIFS('唯一词标签'!$V$2:$V$1441,A796,'唯一词标签'!$AB$2:$AB$1441,"needs_review")</x:f>
        <x:v>0</x:v>
      </x:c>
    </x:row>
    <x:row r="797" ht="22" customHeight="1">
      <x:c r="A797" s="7" t="str">
        <x:v>womens_arch_support_flip_flops_branded</x:v>
      </x:c>
      <x:c r="B797" s="7" t="n">
        <x:f>COUNTIF('唯一词标签'!$V$2:$V$1441,A797)</x:f>
        <x:v>2</x:v>
      </x:c>
      <x:c r="C797" s="55" t="n">
        <x:f>B797/COUNTA('唯一词标签'!$C$2:$C$1441)</x:f>
        <x:v>0.001388888888888889</x:v>
      </x:c>
      <x:c r="D797" s="7" t="n">
        <x:f>COUNTIFS('唯一词标签'!$V$2:$V$1441,A797,'唯一词标签'!$Z$2:$Z$1441,"match")</x:f>
        <x:v>0</x:v>
      </x:c>
      <x:c r="E797" s="7" t="n">
        <x:f>COUNTIFS('唯一词标签'!$V$2:$V$1441,A797,'唯一词标签'!$Z$2:$Z$1441,"partial_match")</x:f>
        <x:v>2</x:v>
      </x:c>
      <x:c r="F797" s="7" t="n">
        <x:f>COUNTIFS('唯一词标签'!$V$2:$V$1441,A797,'唯一词标签'!$Z$2:$Z$1441,"mismatch")</x:f>
        <x:v>0</x:v>
      </x:c>
      <x:c r="G797" s="7" t="n">
        <x:f>COUNTIFS('唯一词标签'!$V$2:$V$1441,A797,'唯一词标签'!$Z$2:$Z$1441,"unknown")</x:f>
        <x:v>0</x:v>
      </x:c>
      <x:c r="H797" s="7" t="n">
        <x:f>COUNTIFS('唯一词标签'!$V$2:$V$1441,A797,'唯一词标签'!$U$2:$U$1441,"low")</x:f>
        <x:v>0</x:v>
      </x:c>
      <x:c r="I797" s="7" t="n">
        <x:f>COUNTIFS('唯一词标签'!$V$2:$V$1441,A797,'唯一词标签'!$AB$2:$AB$1441,"needs_review")</x:f>
        <x:v>0</x:v>
      </x:c>
    </x:row>
    <x:row r="798" ht="22" customHeight="1">
      <x:c r="A798" s="7" t="str">
        <x:v>womens_arch_support_flip_flops_color</x:v>
      </x:c>
      <x:c r="B798" s="7" t="n">
        <x:f>COUNTIF('唯一词标签'!$V$2:$V$1441,A798)</x:f>
        <x:v>3</x:v>
      </x:c>
      <x:c r="C798" s="55" t="n">
        <x:f>B798/COUNTA('唯一词标签'!$C$2:$C$1441)</x:f>
        <x:v>0.0020833333333333333</x:v>
      </x:c>
      <x:c r="D798" s="7" t="n">
        <x:f>COUNTIFS('唯一词标签'!$V$2:$V$1441,A798,'唯一词标签'!$Z$2:$Z$1441,"match")</x:f>
        <x:v>1</x:v>
      </x:c>
      <x:c r="E798" s="7" t="n">
        <x:f>COUNTIFS('唯一词标签'!$V$2:$V$1441,A798,'唯一词标签'!$Z$2:$Z$1441,"partial_match")</x:f>
        <x:v>2</x:v>
      </x:c>
      <x:c r="F798" s="7" t="n">
        <x:f>COUNTIFS('唯一词标签'!$V$2:$V$1441,A798,'唯一词标签'!$Z$2:$Z$1441,"mismatch")</x:f>
        <x:v>0</x:v>
      </x:c>
      <x:c r="G798" s="7" t="n">
        <x:f>COUNTIFS('唯一词标签'!$V$2:$V$1441,A798,'唯一词标签'!$Z$2:$Z$1441,"unknown")</x:f>
        <x:v>0</x:v>
      </x:c>
      <x:c r="H798" s="7" t="n">
        <x:f>COUNTIFS('唯一词标签'!$V$2:$V$1441,A798,'唯一词标签'!$U$2:$U$1441,"low")</x:f>
        <x:v>0</x:v>
      </x:c>
      <x:c r="I798" s="7" t="n">
        <x:f>COUNTIFS('唯一词标签'!$V$2:$V$1441,A798,'唯一词标签'!$AB$2:$AB$1441,"needs_review")</x:f>
        <x:v>0</x:v>
      </x:c>
    </x:row>
    <x:row r="799" ht="22" customHeight="1">
      <x:c r="A799" s="7" t="str">
        <x:v>womens_arch_support_flip_flops_color_specific</x:v>
      </x:c>
      <x:c r="B799" s="7" t="n">
        <x:f>COUNTIF('唯一词标签'!$V$2:$V$1441,A799)</x:f>
        <x:v>1</x:v>
      </x:c>
      <x:c r="C799" s="55" t="n">
        <x:f>B799/COUNTA('唯一词标签'!$C$2:$C$1441)</x:f>
        <x:v>0.0006944444444444445</x:v>
      </x:c>
      <x:c r="D799" s="7" t="n">
        <x:f>COUNTIFS('唯一词标签'!$V$2:$V$1441,A799,'唯一词标签'!$Z$2:$Z$1441,"match")</x:f>
        <x:v>1</x:v>
      </x:c>
      <x:c r="E799" s="7" t="n">
        <x:f>COUNTIFS('唯一词标签'!$V$2:$V$1441,A799,'唯一词标签'!$Z$2:$Z$1441,"partial_match")</x:f>
        <x:v>0</x:v>
      </x:c>
      <x:c r="F799" s="7" t="n">
        <x:f>COUNTIFS('唯一词标签'!$V$2:$V$1441,A799,'唯一词标签'!$Z$2:$Z$1441,"mismatch")</x:f>
        <x:v>0</x:v>
      </x:c>
      <x:c r="G799" s="7" t="n">
        <x:f>COUNTIFS('唯一词标签'!$V$2:$V$1441,A799,'唯一词标签'!$Z$2:$Z$1441,"unknown")</x:f>
        <x:v>0</x:v>
      </x:c>
      <x:c r="H799" s="7" t="n">
        <x:f>COUNTIFS('唯一词标签'!$V$2:$V$1441,A799,'唯一词标签'!$U$2:$U$1441,"low")</x:f>
        <x:v>0</x:v>
      </x:c>
      <x:c r="I799" s="7" t="n">
        <x:f>COUNTIFS('唯一词标签'!$V$2:$V$1441,A799,'唯一词标签'!$AB$2:$AB$1441,"needs_review")</x:f>
        <x:v>0</x:v>
      </x:c>
    </x:row>
    <x:row r="800" ht="22" customHeight="1">
      <x:c r="A800" s="7" t="str">
        <x:v>womens_arch_support_flip_flops_narrow</x:v>
      </x:c>
      <x:c r="B800" s="7" t="n">
        <x:f>COUNTIF('唯一词标签'!$V$2:$V$1441,A800)</x:f>
        <x:v>1</x:v>
      </x:c>
      <x:c r="C800" s="55" t="n">
        <x:f>B800/COUNTA('唯一词标签'!$C$2:$C$1441)</x:f>
        <x:v>0.0006944444444444445</x:v>
      </x:c>
      <x:c r="D800" s="7" t="n">
        <x:f>COUNTIFS('唯一词标签'!$V$2:$V$1441,A800,'唯一词标签'!$Z$2:$Z$1441,"match")</x:f>
        <x:v>0</x:v>
      </x:c>
      <x:c r="E800" s="7" t="n">
        <x:f>COUNTIFS('唯一词标签'!$V$2:$V$1441,A800,'唯一词标签'!$Z$2:$Z$1441,"partial_match")</x:f>
        <x:v>1</x:v>
      </x:c>
      <x:c r="F800" s="7" t="n">
        <x:f>COUNTIFS('唯一词标签'!$V$2:$V$1441,A800,'唯一词标签'!$Z$2:$Z$1441,"mismatch")</x:f>
        <x:v>0</x:v>
      </x:c>
      <x:c r="G800" s="7" t="n">
        <x:f>COUNTIFS('唯一词标签'!$V$2:$V$1441,A800,'唯一词标签'!$Z$2:$Z$1441,"unknown")</x:f>
        <x:v>0</x:v>
      </x:c>
      <x:c r="H800" s="7" t="n">
        <x:f>COUNTIFS('唯一词标签'!$V$2:$V$1441,A800,'唯一词标签'!$U$2:$U$1441,"low")</x:f>
        <x:v>0</x:v>
      </x:c>
      <x:c r="I800" s="7" t="n">
        <x:f>COUNTIFS('唯一词标签'!$V$2:$V$1441,A800,'唯一词标签'!$AB$2:$AB$1441,"needs_review")</x:f>
        <x:v>0</x:v>
      </x:c>
    </x:row>
    <x:row r="801" ht="22" customHeight="1">
      <x:c r="A801" s="7" t="str">
        <x:v>womens_arch_support_flip_flops_size5</x:v>
      </x:c>
      <x:c r="B801" s="7" t="n">
        <x:f>COUNTIF('唯一词标签'!$V$2:$V$1441,A801)</x:f>
        <x:v>1</x:v>
      </x:c>
      <x:c r="C801" s="55" t="n">
        <x:f>B801/COUNTA('唯一词标签'!$C$2:$C$1441)</x:f>
        <x:v>0.0006944444444444445</x:v>
      </x:c>
      <x:c r="D801" s="7" t="n">
        <x:f>COUNTIFS('唯一词标签'!$V$2:$V$1441,A801,'唯一词标签'!$Z$2:$Z$1441,"match")</x:f>
        <x:v>0</x:v>
      </x:c>
      <x:c r="E801" s="7" t="n">
        <x:f>COUNTIFS('唯一词标签'!$V$2:$V$1441,A801,'唯一词标签'!$Z$2:$Z$1441,"partial_match")</x:f>
        <x:v>1</x:v>
      </x:c>
      <x:c r="F801" s="7" t="n">
        <x:f>COUNTIFS('唯一词标签'!$V$2:$V$1441,A801,'唯一词标签'!$Z$2:$Z$1441,"mismatch")</x:f>
        <x:v>0</x:v>
      </x:c>
      <x:c r="G801" s="7" t="n">
        <x:f>COUNTIFS('唯一词标签'!$V$2:$V$1441,A801,'唯一词标签'!$Z$2:$Z$1441,"unknown")</x:f>
        <x:v>0</x:v>
      </x:c>
      <x:c r="H801" s="7" t="n">
        <x:f>COUNTIFS('唯一词标签'!$V$2:$V$1441,A801,'唯一词标签'!$U$2:$U$1441,"low")</x:f>
        <x:v>0</x:v>
      </x:c>
      <x:c r="I801" s="7" t="n">
        <x:f>COUNTIFS('唯一词标签'!$V$2:$V$1441,A801,'唯一词标签'!$AB$2:$AB$1441,"needs_review")</x:f>
        <x:v>0</x:v>
      </x:c>
    </x:row>
    <x:row r="802" ht="22" customHeight="1">
      <x:c r="A802" s="7" t="str">
        <x:v>womens_arch_support_flip_flops_sized</x:v>
      </x:c>
      <x:c r="B802" s="7" t="n">
        <x:f>COUNTIF('唯一词标签'!$V$2:$V$1441,A802)</x:f>
        <x:v>1</x:v>
      </x:c>
      <x:c r="C802" s="55" t="n">
        <x:f>B802/COUNTA('唯一词标签'!$C$2:$C$1441)</x:f>
        <x:v>0.0006944444444444445</x:v>
      </x:c>
      <x:c r="D802" s="7" t="n">
        <x:f>COUNTIFS('唯一词标签'!$V$2:$V$1441,A802,'唯一词标签'!$Z$2:$Z$1441,"match")</x:f>
        <x:v>1</x:v>
      </x:c>
      <x:c r="E802" s="7" t="n">
        <x:f>COUNTIFS('唯一词标签'!$V$2:$V$1441,A802,'唯一词标签'!$Z$2:$Z$1441,"partial_match")</x:f>
        <x:v>0</x:v>
      </x:c>
      <x:c r="F802" s="7" t="n">
        <x:f>COUNTIFS('唯一词标签'!$V$2:$V$1441,A802,'唯一词标签'!$Z$2:$Z$1441,"mismatch")</x:f>
        <x:v>0</x:v>
      </x:c>
      <x:c r="G802" s="7" t="n">
        <x:f>COUNTIFS('唯一词标签'!$V$2:$V$1441,A802,'唯一词标签'!$Z$2:$Z$1441,"unknown")</x:f>
        <x:v>0</x:v>
      </x:c>
      <x:c r="H802" s="7" t="n">
        <x:f>COUNTIFS('唯一词标签'!$V$2:$V$1441,A802,'唯一词标签'!$U$2:$U$1441,"low")</x:f>
        <x:v>0</x:v>
      </x:c>
      <x:c r="I802" s="7" t="n">
        <x:f>COUNTIFS('唯一词标签'!$V$2:$V$1441,A802,'唯一词标签'!$AB$2:$AB$1441,"needs_review")</x:f>
        <x:v>0</x:v>
      </x:c>
    </x:row>
    <x:row r="803" ht="22" customHeight="1">
      <x:c r="A803" s="7" t="str">
        <x:v>womens_arch_support_flip_flops_summer_beach</x:v>
      </x:c>
      <x:c r="B803" s="7" t="n">
        <x:f>COUNTIF('唯一词标签'!$V$2:$V$1441,A803)</x:f>
        <x:v>1</x:v>
      </x:c>
      <x:c r="C803" s="55" t="n">
        <x:f>B803/COUNTA('唯一词标签'!$C$2:$C$1441)</x:f>
        <x:v>0.0006944444444444445</x:v>
      </x:c>
      <x:c r="D803" s="7" t="n">
        <x:f>COUNTIFS('唯一词标签'!$V$2:$V$1441,A803,'唯一词标签'!$Z$2:$Z$1441,"match")</x:f>
        <x:v>0</x:v>
      </x:c>
      <x:c r="E803" s="7" t="n">
        <x:f>COUNTIFS('唯一词标签'!$V$2:$V$1441,A803,'唯一词标签'!$Z$2:$Z$1441,"partial_match")</x:f>
        <x:v>1</x:v>
      </x:c>
      <x:c r="F803" s="7" t="n">
        <x:f>COUNTIFS('唯一词标签'!$V$2:$V$1441,A803,'唯一词标签'!$Z$2:$Z$1441,"mismatch")</x:f>
        <x:v>0</x:v>
      </x:c>
      <x:c r="G803" s="7" t="n">
        <x:f>COUNTIFS('唯一词标签'!$V$2:$V$1441,A803,'唯一词标签'!$Z$2:$Z$1441,"unknown")</x:f>
        <x:v>0</x:v>
      </x:c>
      <x:c r="H803" s="7" t="n">
        <x:f>COUNTIFS('唯一词标签'!$V$2:$V$1441,A803,'唯一词标签'!$U$2:$U$1441,"low")</x:f>
        <x:v>0</x:v>
      </x:c>
      <x:c r="I803" s="7" t="n">
        <x:f>COUNTIFS('唯一词标签'!$V$2:$V$1441,A803,'唯一词标签'!$AB$2:$AB$1441,"needs_review")</x:f>
        <x:v>0</x:v>
      </x:c>
    </x:row>
    <x:row r="804" ht="22" customHeight="1">
      <x:c r="A804" s="7" t="str">
        <x:v>womens_arch_support_flip_flops_teal</x:v>
      </x:c>
      <x:c r="B804" s="7" t="n">
        <x:f>COUNTIF('唯一词标签'!$V$2:$V$1441,A804)</x:f>
        <x:v>1</x:v>
      </x:c>
      <x:c r="C804" s="55" t="n">
        <x:f>B804/COUNTA('唯一词标签'!$C$2:$C$1441)</x:f>
        <x:v>0.0006944444444444445</x:v>
      </x:c>
      <x:c r="D804" s="7" t="n">
        <x:f>COUNTIFS('唯一词标签'!$V$2:$V$1441,A804,'唯一词标签'!$Z$2:$Z$1441,"match")</x:f>
        <x:v>0</x:v>
      </x:c>
      <x:c r="E804" s="7" t="n">
        <x:f>COUNTIFS('唯一词标签'!$V$2:$V$1441,A804,'唯一词标签'!$Z$2:$Z$1441,"partial_match")</x:f>
        <x:v>1</x:v>
      </x:c>
      <x:c r="F804" s="7" t="n">
        <x:f>COUNTIFS('唯一词标签'!$V$2:$V$1441,A804,'唯一词标签'!$Z$2:$Z$1441,"mismatch")</x:f>
        <x:v>0</x:v>
      </x:c>
      <x:c r="G804" s="7" t="n">
        <x:f>COUNTIFS('唯一词标签'!$V$2:$V$1441,A804,'唯一词标签'!$Z$2:$Z$1441,"unknown")</x:f>
        <x:v>0</x:v>
      </x:c>
      <x:c r="H804" s="7" t="n">
        <x:f>COUNTIFS('唯一词标签'!$V$2:$V$1441,A804,'唯一词标签'!$U$2:$U$1441,"low")</x:f>
        <x:v>0</x:v>
      </x:c>
      <x:c r="I804" s="7" t="n">
        <x:f>COUNTIFS('唯一词标签'!$V$2:$V$1441,A804,'唯一词标签'!$AB$2:$AB$1441,"needs_review")</x:f>
        <x:v>0</x:v>
      </x:c>
    </x:row>
    <x:row r="805" ht="22" customHeight="1">
      <x:c r="A805" s="7" t="str">
        <x:v>womens_arch_support_hot_pink_flip_flops</x:v>
      </x:c>
      <x:c r="B805" s="7" t="n">
        <x:f>COUNTIF('唯一词标签'!$V$2:$V$1441,A805)</x:f>
        <x:v>1</x:v>
      </x:c>
      <x:c r="C805" s="55" t="n">
        <x:f>B805/COUNTA('唯一词标签'!$C$2:$C$1441)</x:f>
        <x:v>0.0006944444444444445</x:v>
      </x:c>
      <x:c r="D805" s="7" t="n">
        <x:f>COUNTIFS('唯一词标签'!$V$2:$V$1441,A805,'唯一词标签'!$Z$2:$Z$1441,"match")</x:f>
        <x:v>1</x:v>
      </x:c>
      <x:c r="E805" s="7" t="n">
        <x:f>COUNTIFS('唯一词标签'!$V$2:$V$1441,A805,'唯一词标签'!$Z$2:$Z$1441,"partial_match")</x:f>
        <x:v>0</x:v>
      </x:c>
      <x:c r="F805" s="7" t="n">
        <x:f>COUNTIFS('唯一词标签'!$V$2:$V$1441,A805,'唯一词标签'!$Z$2:$Z$1441,"mismatch")</x:f>
        <x:v>0</x:v>
      </x:c>
      <x:c r="G805" s="7" t="n">
        <x:f>COUNTIFS('唯一词标签'!$V$2:$V$1441,A805,'唯一词标签'!$Z$2:$Z$1441,"unknown")</x:f>
        <x:v>0</x:v>
      </x:c>
      <x:c r="H805" s="7" t="n">
        <x:f>COUNTIFS('唯一词标签'!$V$2:$V$1441,A805,'唯一词标签'!$U$2:$U$1441,"low")</x:f>
        <x:v>0</x:v>
      </x:c>
      <x:c r="I805" s="7" t="n">
        <x:f>COUNTIFS('唯一词标签'!$V$2:$V$1441,A805,'唯一词标签'!$AB$2:$AB$1441,"needs_review")</x:f>
        <x:v>0</x:v>
      </x:c>
    </x:row>
    <x:row r="806" ht="22" customHeight="1">
      <x:c r="A806" s="7" t="str">
        <x:v>womens_arch_support_lift_flip_flops</x:v>
      </x:c>
      <x:c r="B806" s="7" t="n">
        <x:f>COUNTIF('唯一词标签'!$V$2:$V$1441,A806)</x:f>
        <x:v>1</x:v>
      </x:c>
      <x:c r="C806" s="55" t="n">
        <x:f>B806/COUNTA('唯一词标签'!$C$2:$C$1441)</x:f>
        <x:v>0.0006944444444444445</x:v>
      </x:c>
      <x:c r="D806" s="7" t="n">
        <x:f>COUNTIFS('唯一词标签'!$V$2:$V$1441,A806,'唯一词标签'!$Z$2:$Z$1441,"match")</x:f>
        <x:v>0</x:v>
      </x:c>
      <x:c r="E806" s="7" t="n">
        <x:f>COUNTIFS('唯一词标签'!$V$2:$V$1441,A806,'唯一词标签'!$Z$2:$Z$1441,"partial_match")</x:f>
        <x:v>1</x:v>
      </x:c>
      <x:c r="F806" s="7" t="n">
        <x:f>COUNTIFS('唯一词标签'!$V$2:$V$1441,A806,'唯一词标签'!$Z$2:$Z$1441,"mismatch")</x:f>
        <x:v>0</x:v>
      </x:c>
      <x:c r="G806" s="7" t="n">
        <x:f>COUNTIFS('唯一词标签'!$V$2:$V$1441,A806,'唯一词标签'!$Z$2:$Z$1441,"unknown")</x:f>
        <x:v>0</x:v>
      </x:c>
      <x:c r="H806" s="7" t="n">
        <x:f>COUNTIFS('唯一词标签'!$V$2:$V$1441,A806,'唯一词标签'!$U$2:$U$1441,"low")</x:f>
        <x:v>0</x:v>
      </x:c>
      <x:c r="I806" s="7" t="n">
        <x:f>COUNTIFS('唯一词标签'!$V$2:$V$1441,A806,'唯一词标签'!$AB$2:$AB$1441,"needs_review")</x:f>
        <x:v>1</x:v>
      </x:c>
    </x:row>
    <x:row r="807" ht="22" customHeight="1">
      <x:c r="A807" s="7" t="str">
        <x:v>womens_arch_support_pool_flip_flops</x:v>
      </x:c>
      <x:c r="B807" s="7" t="n">
        <x:f>COUNTIF('唯一词标签'!$V$2:$V$1441,A807)</x:f>
        <x:v>1</x:v>
      </x:c>
      <x:c r="C807" s="55" t="n">
        <x:f>B807/COUNTA('唯一词标签'!$C$2:$C$1441)</x:f>
        <x:v>0.0006944444444444445</x:v>
      </x:c>
      <x:c r="D807" s="7" t="n">
        <x:f>COUNTIFS('唯一词标签'!$V$2:$V$1441,A807,'唯一词标签'!$Z$2:$Z$1441,"match")</x:f>
        <x:v>0</x:v>
      </x:c>
      <x:c r="E807" s="7" t="n">
        <x:f>COUNTIFS('唯一词标签'!$V$2:$V$1441,A807,'唯一词标签'!$Z$2:$Z$1441,"partial_match")</x:f>
        <x:v>1</x:v>
      </x:c>
      <x:c r="F807" s="7" t="n">
        <x:f>COUNTIFS('唯一词标签'!$V$2:$V$1441,A807,'唯一词标签'!$Z$2:$Z$1441,"mismatch")</x:f>
        <x:v>0</x:v>
      </x:c>
      <x:c r="G807" s="7" t="n">
        <x:f>COUNTIFS('唯一词标签'!$V$2:$V$1441,A807,'唯一词标签'!$Z$2:$Z$1441,"unknown")</x:f>
        <x:v>0</x:v>
      </x:c>
      <x:c r="H807" s="7" t="n">
        <x:f>COUNTIFS('唯一词标签'!$V$2:$V$1441,A807,'唯一词标签'!$U$2:$U$1441,"low")</x:f>
        <x:v>0</x:v>
      </x:c>
      <x:c r="I807" s="7" t="n">
        <x:f>COUNTIFS('唯一词标签'!$V$2:$V$1441,A807,'唯一词标签'!$AB$2:$AB$1441,"needs_review")</x:f>
        <x:v>0</x:v>
      </x:c>
    </x:row>
    <x:row r="808" ht="22" customHeight="1">
      <x:c r="A808" s="7" t="str">
        <x:v>womens_arch_support_sandals</x:v>
      </x:c>
      <x:c r="B808" s="7" t="n">
        <x:f>COUNTIF('唯一词标签'!$V$2:$V$1441,A808)</x:f>
        <x:v>5</x:v>
      </x:c>
      <x:c r="C808" s="55" t="n">
        <x:f>B808/COUNTA('唯一词标签'!$C$2:$C$1441)</x:f>
        <x:v>0.003472222222222222</x:v>
      </x:c>
      <x:c r="D808" s="7" t="n">
        <x:f>COUNTIFS('唯一词标签'!$V$2:$V$1441,A808,'唯一词标签'!$Z$2:$Z$1441,"match")</x:f>
        <x:v>5</x:v>
      </x:c>
      <x:c r="E808" s="7" t="n">
        <x:f>COUNTIFS('唯一词标签'!$V$2:$V$1441,A808,'唯一词标签'!$Z$2:$Z$1441,"partial_match")</x:f>
        <x:v>0</x:v>
      </x:c>
      <x:c r="F808" s="7" t="n">
        <x:f>COUNTIFS('唯一词标签'!$V$2:$V$1441,A808,'唯一词标签'!$Z$2:$Z$1441,"mismatch")</x:f>
        <x:v>0</x:v>
      </x:c>
      <x:c r="G808" s="7" t="n">
        <x:f>COUNTIFS('唯一词标签'!$V$2:$V$1441,A808,'唯一词标签'!$Z$2:$Z$1441,"unknown")</x:f>
        <x:v>0</x:v>
      </x:c>
      <x:c r="H808" s="7" t="n">
        <x:f>COUNTIFS('唯一词标签'!$V$2:$V$1441,A808,'唯一词标签'!$U$2:$U$1441,"low")</x:f>
        <x:v>0</x:v>
      </x:c>
      <x:c r="I808" s="7" t="n">
        <x:f>COUNTIFS('唯一词标签'!$V$2:$V$1441,A808,'唯一词标签'!$AB$2:$AB$1441,"needs_review")</x:f>
        <x:v>0</x:v>
      </x:c>
    </x:row>
    <x:row r="809" ht="22" customHeight="1">
      <x:c r="A809" s="7" t="str">
        <x:v>womens_basic_black_flip_flops</x:v>
      </x:c>
      <x:c r="B809" s="7" t="n">
        <x:f>COUNTIF('唯一词标签'!$V$2:$V$1441,A809)</x:f>
        <x:v>1</x:v>
      </x:c>
      <x:c r="C809" s="55" t="n">
        <x:f>B809/COUNTA('唯一词标签'!$C$2:$C$1441)</x:f>
        <x:v>0.0006944444444444445</x:v>
      </x:c>
      <x:c r="D809" s="7" t="n">
        <x:f>COUNTIFS('唯一词标签'!$V$2:$V$1441,A809,'唯一词标签'!$Z$2:$Z$1441,"match")</x:f>
        <x:v>1</x:v>
      </x:c>
      <x:c r="E809" s="7" t="n">
        <x:f>COUNTIFS('唯一词标签'!$V$2:$V$1441,A809,'唯一词标签'!$Z$2:$Z$1441,"partial_match")</x:f>
        <x:v>0</x:v>
      </x:c>
      <x:c r="F809" s="7" t="n">
        <x:f>COUNTIFS('唯一词标签'!$V$2:$V$1441,A809,'唯一词标签'!$Z$2:$Z$1441,"mismatch")</x:f>
        <x:v>0</x:v>
      </x:c>
      <x:c r="G809" s="7" t="n">
        <x:f>COUNTIFS('唯一词标签'!$V$2:$V$1441,A809,'唯一词标签'!$Z$2:$Z$1441,"unknown")</x:f>
        <x:v>0</x:v>
      </x:c>
      <x:c r="H809" s="7" t="n">
        <x:f>COUNTIFS('唯一词标签'!$V$2:$V$1441,A809,'唯一词标签'!$U$2:$U$1441,"low")</x:f>
        <x:v>0</x:v>
      </x:c>
      <x:c r="I809" s="7" t="n">
        <x:f>COUNTIFS('唯一词标签'!$V$2:$V$1441,A809,'唯一词标签'!$AB$2:$AB$1441,"needs_review")</x:f>
        <x:v>0</x:v>
      </x:c>
    </x:row>
    <x:row r="810" ht="22" customHeight="1">
      <x:c r="A810" s="7" t="str">
        <x:v>womens_bath_shower_flip_flops</x:v>
      </x:c>
      <x:c r="B810" s="7" t="n">
        <x:f>COUNTIF('唯一词标签'!$V$2:$V$1441,A810)</x:f>
        <x:v>1</x:v>
      </x:c>
      <x:c r="C810" s="55" t="n">
        <x:f>B810/COUNTA('唯一词标签'!$C$2:$C$1441)</x:f>
        <x:v>0.0006944444444444445</x:v>
      </x:c>
      <x:c r="D810" s="7" t="n">
        <x:f>COUNTIFS('唯一词标签'!$V$2:$V$1441,A810,'唯一词标签'!$Z$2:$Z$1441,"match")</x:f>
        <x:v>0</x:v>
      </x:c>
      <x:c r="E810" s="7" t="n">
        <x:f>COUNTIFS('唯一词标签'!$V$2:$V$1441,A810,'唯一词标签'!$Z$2:$Z$1441,"partial_match")</x:f>
        <x:v>0</x:v>
      </x:c>
      <x:c r="F810" s="7" t="n">
        <x:f>COUNTIFS('唯一词标签'!$V$2:$V$1441,A810,'唯一词标签'!$Z$2:$Z$1441,"mismatch")</x:f>
        <x:v>1</x:v>
      </x:c>
      <x:c r="G810" s="7" t="n">
        <x:f>COUNTIFS('唯一词标签'!$V$2:$V$1441,A810,'唯一词标签'!$Z$2:$Z$1441,"unknown")</x:f>
        <x:v>0</x:v>
      </x:c>
      <x:c r="H810" s="7" t="n">
        <x:f>COUNTIFS('唯一词标签'!$V$2:$V$1441,A810,'唯一词标签'!$U$2:$U$1441,"low")</x:f>
        <x:v>0</x:v>
      </x:c>
      <x:c r="I810" s="7" t="n">
        <x:f>COUNTIFS('唯一词标签'!$V$2:$V$1441,A810,'唯一词标签'!$AB$2:$AB$1441,"needs_review")</x:f>
        <x:v>0</x:v>
      </x:c>
    </x:row>
    <x:row r="811" ht="22" customHeight="1">
      <x:c r="A811" s="7" t="str">
        <x:v>womens_beach_comfort_flip_flops</x:v>
      </x:c>
      <x:c r="B811" s="7" t="n">
        <x:f>COUNTIF('唯一词标签'!$V$2:$V$1441,A811)</x:f>
        <x:v>1</x:v>
      </x:c>
      <x:c r="C811" s="55" t="n">
        <x:f>B811/COUNTA('唯一词标签'!$C$2:$C$1441)</x:f>
        <x:v>0.0006944444444444445</x:v>
      </x:c>
      <x:c r="D811" s="7" t="n">
        <x:f>COUNTIFS('唯一词标签'!$V$2:$V$1441,A811,'唯一词标签'!$Z$2:$Z$1441,"match")</x:f>
        <x:v>1</x:v>
      </x:c>
      <x:c r="E811" s="7" t="n">
        <x:f>COUNTIFS('唯一词标签'!$V$2:$V$1441,A811,'唯一词标签'!$Z$2:$Z$1441,"partial_match")</x:f>
        <x:v>0</x:v>
      </x:c>
      <x:c r="F811" s="7" t="n">
        <x:f>COUNTIFS('唯一词标签'!$V$2:$V$1441,A811,'唯一词标签'!$Z$2:$Z$1441,"mismatch")</x:f>
        <x:v>0</x:v>
      </x:c>
      <x:c r="G811" s="7" t="n">
        <x:f>COUNTIFS('唯一词标签'!$V$2:$V$1441,A811,'唯一词标签'!$Z$2:$Z$1441,"unknown")</x:f>
        <x:v>0</x:v>
      </x:c>
      <x:c r="H811" s="7" t="n">
        <x:f>COUNTIFS('唯一词标签'!$V$2:$V$1441,A811,'唯一词标签'!$U$2:$U$1441,"low")</x:f>
        <x:v>0</x:v>
      </x:c>
      <x:c r="I811" s="7" t="n">
        <x:f>COUNTIFS('唯一词标签'!$V$2:$V$1441,A811,'唯一词标签'!$AB$2:$AB$1441,"needs_review")</x:f>
        <x:v>0</x:v>
      </x:c>
    </x:row>
    <x:row r="812" ht="22" customHeight="1">
      <x:c r="A812" s="7" t="str">
        <x:v>womens_beach_flip_flops</x:v>
      </x:c>
      <x:c r="B812" s="7" t="n">
        <x:f>COUNTIF('唯一词标签'!$V$2:$V$1441,A812)</x:f>
        <x:v>12</x:v>
      </x:c>
      <x:c r="C812" s="55" t="n">
        <x:f>B812/COUNTA('唯一词标签'!$C$2:$C$1441)</x:f>
        <x:v>0.008333333333333333</x:v>
      </x:c>
      <x:c r="D812" s="7" t="n">
        <x:f>COUNTIFS('唯一词标签'!$V$2:$V$1441,A812,'唯一词标签'!$Z$2:$Z$1441,"match")</x:f>
        <x:v>7</x:v>
      </x:c>
      <x:c r="E812" s="7" t="n">
        <x:f>COUNTIFS('唯一词标签'!$V$2:$V$1441,A812,'唯一词标签'!$Z$2:$Z$1441,"partial_match")</x:f>
        <x:v>5</x:v>
      </x:c>
      <x:c r="F812" s="7" t="n">
        <x:f>COUNTIFS('唯一词标签'!$V$2:$V$1441,A812,'唯一词标签'!$Z$2:$Z$1441,"mismatch")</x:f>
        <x:v>0</x:v>
      </x:c>
      <x:c r="G812" s="7" t="n">
        <x:f>COUNTIFS('唯一词标签'!$V$2:$V$1441,A812,'唯一词标签'!$Z$2:$Z$1441,"unknown")</x:f>
        <x:v>0</x:v>
      </x:c>
      <x:c r="H812" s="7" t="n">
        <x:f>COUNTIFS('唯一词标签'!$V$2:$V$1441,A812,'唯一词标签'!$U$2:$U$1441,"low")</x:f>
        <x:v>0</x:v>
      </x:c>
      <x:c r="I812" s="7" t="n">
        <x:f>COUNTIFS('唯一词标签'!$V$2:$V$1441,A812,'唯一词标签'!$AB$2:$AB$1441,"needs_review")</x:f>
        <x:v>1</x:v>
      </x:c>
    </x:row>
    <x:row r="813" ht="22" customHeight="1">
      <x:c r="A813" s="7" t="str">
        <x:v>womens_beach_flip_flops_by_color</x:v>
      </x:c>
      <x:c r="B813" s="7" t="n">
        <x:f>COUNTIF('唯一词标签'!$V$2:$V$1441,A813)</x:f>
        <x:v>1</x:v>
      </x:c>
      <x:c r="C813" s="55" t="n">
        <x:f>B813/COUNTA('唯一词标签'!$C$2:$C$1441)</x:f>
        <x:v>0.0006944444444444445</x:v>
      </x:c>
      <x:c r="D813" s="7" t="n">
        <x:f>COUNTIFS('唯一词标签'!$V$2:$V$1441,A813,'唯一词标签'!$Z$2:$Z$1441,"match")</x:f>
        <x:v>1</x:v>
      </x:c>
      <x:c r="E813" s="7" t="n">
        <x:f>COUNTIFS('唯一词标签'!$V$2:$V$1441,A813,'唯一词标签'!$Z$2:$Z$1441,"partial_match")</x:f>
        <x:v>0</x:v>
      </x:c>
      <x:c r="F813" s="7" t="n">
        <x:f>COUNTIFS('唯一词标签'!$V$2:$V$1441,A813,'唯一词标签'!$Z$2:$Z$1441,"mismatch")</x:f>
        <x:v>0</x:v>
      </x:c>
      <x:c r="G813" s="7" t="n">
        <x:f>COUNTIFS('唯一词标签'!$V$2:$V$1441,A813,'唯一词标签'!$Z$2:$Z$1441,"unknown")</x:f>
        <x:v>0</x:v>
      </x:c>
      <x:c r="H813" s="7" t="n">
        <x:f>COUNTIFS('唯一词标签'!$V$2:$V$1441,A813,'唯一词标签'!$U$2:$U$1441,"low")</x:f>
        <x:v>0</x:v>
      </x:c>
      <x:c r="I813" s="7" t="n">
        <x:f>COUNTIFS('唯一词标签'!$V$2:$V$1441,A813,'唯一词标签'!$AB$2:$AB$1441,"needs_review")</x:f>
        <x:v>0</x:v>
      </x:c>
    </x:row>
    <x:row r="814" ht="22" customHeight="1">
      <x:c r="A814" s="7" t="str">
        <x:v>womens_beach_flip_flops_es</x:v>
      </x:c>
      <x:c r="B814" s="7" t="n">
        <x:f>COUNTIF('唯一词标签'!$V$2:$V$1441,A814)</x:f>
        <x:v>1</x:v>
      </x:c>
      <x:c r="C814" s="55" t="n">
        <x:f>B814/COUNTA('唯一词标签'!$C$2:$C$1441)</x:f>
        <x:v>0.0006944444444444445</x:v>
      </x:c>
      <x:c r="D814" s="7" t="n">
        <x:f>COUNTIFS('唯一词标签'!$V$2:$V$1441,A814,'唯一词标签'!$Z$2:$Z$1441,"match")</x:f>
        <x:v>1</x:v>
      </x:c>
      <x:c r="E814" s="7" t="n">
        <x:f>COUNTIFS('唯一词标签'!$V$2:$V$1441,A814,'唯一词标签'!$Z$2:$Z$1441,"partial_match")</x:f>
        <x:v>0</x:v>
      </x:c>
      <x:c r="F814" s="7" t="n">
        <x:f>COUNTIFS('唯一词标签'!$V$2:$V$1441,A814,'唯一词标签'!$Z$2:$Z$1441,"mismatch")</x:f>
        <x:v>0</x:v>
      </x:c>
      <x:c r="G814" s="7" t="n">
        <x:f>COUNTIFS('唯一词标签'!$V$2:$V$1441,A814,'唯一词标签'!$Z$2:$Z$1441,"unknown")</x:f>
        <x:v>0</x:v>
      </x:c>
      <x:c r="H814" s="7" t="n">
        <x:f>COUNTIFS('唯一词标签'!$V$2:$V$1441,A814,'唯一词标签'!$U$2:$U$1441,"low")</x:f>
        <x:v>0</x:v>
      </x:c>
      <x:c r="I814" s="7" t="n">
        <x:f>COUNTIFS('唯一词标签'!$V$2:$V$1441,A814,'唯一词标签'!$AB$2:$AB$1441,"needs_review")</x:f>
        <x:v>0</x:v>
      </x:c>
    </x:row>
    <x:row r="815" ht="22" customHeight="1">
      <x:c r="A815" s="7" t="str">
        <x:v>womens_beach_footwear</x:v>
      </x:c>
      <x:c r="B815" s="7" t="n">
        <x:f>COUNTIF('唯一词标签'!$V$2:$V$1441,A815)</x:f>
        <x:v>2</x:v>
      </x:c>
      <x:c r="C815" s="55" t="n">
        <x:f>B815/COUNTA('唯一词标签'!$C$2:$C$1441)</x:f>
        <x:v>0.001388888888888889</x:v>
      </x:c>
      <x:c r="D815" s="7" t="n">
        <x:f>COUNTIFS('唯一词标签'!$V$2:$V$1441,A815,'唯一词标签'!$Z$2:$Z$1441,"match")</x:f>
        <x:v>1</x:v>
      </x:c>
      <x:c r="E815" s="7" t="n">
        <x:f>COUNTIFS('唯一词标签'!$V$2:$V$1441,A815,'唯一词标签'!$Z$2:$Z$1441,"partial_match")</x:f>
        <x:v>1</x:v>
      </x:c>
      <x:c r="F815" s="7" t="n">
        <x:f>COUNTIFS('唯一词标签'!$V$2:$V$1441,A815,'唯一词标签'!$Z$2:$Z$1441,"mismatch")</x:f>
        <x:v>0</x:v>
      </x:c>
      <x:c r="G815" s="7" t="n">
        <x:f>COUNTIFS('唯一词标签'!$V$2:$V$1441,A815,'唯一词标签'!$Z$2:$Z$1441,"unknown")</x:f>
        <x:v>0</x:v>
      </x:c>
      <x:c r="H815" s="7" t="n">
        <x:f>COUNTIFS('唯一词标签'!$V$2:$V$1441,A815,'唯一词标签'!$U$2:$U$1441,"low")</x:f>
        <x:v>0</x:v>
      </x:c>
      <x:c r="I815" s="7" t="n">
        <x:f>COUNTIFS('唯一词标签'!$V$2:$V$1441,A815,'唯一词标签'!$AB$2:$AB$1441,"needs_review")</x:f>
        <x:v>1</x:v>
      </x:c>
    </x:row>
    <x:row r="816" ht="22" customHeight="1">
      <x:c r="A816" s="7" t="str">
        <x:v>womens_beach_nonslip_sandals</x:v>
      </x:c>
      <x:c r="B816" s="7" t="n">
        <x:f>COUNTIF('唯一词标签'!$V$2:$V$1441,A816)</x:f>
        <x:v>1</x:v>
      </x:c>
      <x:c r="C816" s="55" t="n">
        <x:f>B816/COUNTA('唯一词标签'!$C$2:$C$1441)</x:f>
        <x:v>0.0006944444444444445</x:v>
      </x:c>
      <x:c r="D816" s="7" t="n">
        <x:f>COUNTIFS('唯一词标签'!$V$2:$V$1441,A816,'唯一词标签'!$Z$2:$Z$1441,"match")</x:f>
        <x:v>1</x:v>
      </x:c>
      <x:c r="E816" s="7" t="n">
        <x:f>COUNTIFS('唯一词标签'!$V$2:$V$1441,A816,'唯一词标签'!$Z$2:$Z$1441,"partial_match")</x:f>
        <x:v>0</x:v>
      </x:c>
      <x:c r="F816" s="7" t="n">
        <x:f>COUNTIFS('唯一词标签'!$V$2:$V$1441,A816,'唯一词标签'!$Z$2:$Z$1441,"mismatch")</x:f>
        <x:v>0</x:v>
      </x:c>
      <x:c r="G816" s="7" t="n">
        <x:f>COUNTIFS('唯一词标签'!$V$2:$V$1441,A816,'唯一词标签'!$Z$2:$Z$1441,"unknown")</x:f>
        <x:v>0</x:v>
      </x:c>
      <x:c r="H816" s="7" t="n">
        <x:f>COUNTIFS('唯一词标签'!$V$2:$V$1441,A816,'唯一词标签'!$U$2:$U$1441,"low")</x:f>
        <x:v>0</x:v>
      </x:c>
      <x:c r="I816" s="7" t="n">
        <x:f>COUNTIFS('唯一词标签'!$V$2:$V$1441,A816,'唯一词标签'!$AB$2:$AB$1441,"needs_review")</x:f>
        <x:v>0</x:v>
      </x:c>
    </x:row>
    <x:row r="817" ht="22" customHeight="1">
      <x:c r="A817" s="7" t="str">
        <x:v>womens_beach_sandals</x:v>
      </x:c>
      <x:c r="B817" s="7" t="n">
        <x:f>COUNTIF('唯一词标签'!$V$2:$V$1441,A817)</x:f>
        <x:v>3</x:v>
      </x:c>
      <x:c r="C817" s="55" t="n">
        <x:f>B817/COUNTA('唯一词标签'!$C$2:$C$1441)</x:f>
        <x:v>0.0020833333333333333</x:v>
      </x:c>
      <x:c r="D817" s="7" t="n">
        <x:f>COUNTIFS('唯一词标签'!$V$2:$V$1441,A817,'唯一词标签'!$Z$2:$Z$1441,"match")</x:f>
        <x:v>3</x:v>
      </x:c>
      <x:c r="E817" s="7" t="n">
        <x:f>COUNTIFS('唯一词标签'!$V$2:$V$1441,A817,'唯一词标签'!$Z$2:$Z$1441,"partial_match")</x:f>
        <x:v>0</x:v>
      </x:c>
      <x:c r="F817" s="7" t="n">
        <x:f>COUNTIFS('唯一词标签'!$V$2:$V$1441,A817,'唯一词标签'!$Z$2:$Z$1441,"mismatch")</x:f>
        <x:v>0</x:v>
      </x:c>
      <x:c r="G817" s="7" t="n">
        <x:f>COUNTIFS('唯一词标签'!$V$2:$V$1441,A817,'唯一词标签'!$Z$2:$Z$1441,"unknown")</x:f>
        <x:v>0</x:v>
      </x:c>
      <x:c r="H817" s="7" t="n">
        <x:f>COUNTIFS('唯一词标签'!$V$2:$V$1441,A817,'唯一词标签'!$U$2:$U$1441,"low")</x:f>
        <x:v>0</x:v>
      </x:c>
      <x:c r="I817" s="7" t="n">
        <x:f>COUNTIFS('唯一词标签'!$V$2:$V$1441,A817,'唯一词标签'!$AB$2:$AB$1441,"needs_review")</x:f>
        <x:v>0</x:v>
      </x:c>
    </x:row>
    <x:row r="818" ht="22" customHeight="1">
      <x:c r="A818" s="7" t="str">
        <x:v>womens_beach_sandals_es</x:v>
      </x:c>
      <x:c r="B818" s="7" t="n">
        <x:f>COUNTIF('唯一词标签'!$V$2:$V$1441,A818)</x:f>
        <x:v>1</x:v>
      </x:c>
      <x:c r="C818" s="55" t="n">
        <x:f>B818/COUNTA('唯一词标签'!$C$2:$C$1441)</x:f>
        <x:v>0.0006944444444444445</x:v>
      </x:c>
      <x:c r="D818" s="7" t="n">
        <x:f>COUNTIFS('唯一词标签'!$V$2:$V$1441,A818,'唯一词标签'!$Z$2:$Z$1441,"match")</x:f>
        <x:v>1</x:v>
      </x:c>
      <x:c r="E818" s="7" t="n">
        <x:f>COUNTIFS('唯一词标签'!$V$2:$V$1441,A818,'唯一词标签'!$Z$2:$Z$1441,"partial_match")</x:f>
        <x:v>0</x:v>
      </x:c>
      <x:c r="F818" s="7" t="n">
        <x:f>COUNTIFS('唯一词标签'!$V$2:$V$1441,A818,'唯一词标签'!$Z$2:$Z$1441,"mismatch")</x:f>
        <x:v>0</x:v>
      </x:c>
      <x:c r="G818" s="7" t="n">
        <x:f>COUNTIFS('唯一词标签'!$V$2:$V$1441,A818,'唯一词标签'!$Z$2:$Z$1441,"unknown")</x:f>
        <x:v>0</x:v>
      </x:c>
      <x:c r="H818" s="7" t="n">
        <x:f>COUNTIFS('唯一词标签'!$V$2:$V$1441,A818,'唯一词标签'!$U$2:$U$1441,"low")</x:f>
        <x:v>0</x:v>
      </x:c>
      <x:c r="I818" s="7" t="n">
        <x:f>COUNTIFS('唯一词标签'!$V$2:$V$1441,A818,'唯一词标签'!$AB$2:$AB$1441,"needs_review")</x:f>
        <x:v>0</x:v>
      </x:c>
    </x:row>
    <x:row r="819" ht="22" customHeight="1">
      <x:c r="A819" s="7" t="str">
        <x:v>womens_beach_sandals_thick_strap</x:v>
      </x:c>
      <x:c r="B819" s="7" t="n">
        <x:f>COUNTIF('唯一词标签'!$V$2:$V$1441,A819)</x:f>
        <x:v>1</x:v>
      </x:c>
      <x:c r="C819" s="55" t="n">
        <x:f>B819/COUNTA('唯一词标签'!$C$2:$C$1441)</x:f>
        <x:v>0.0006944444444444445</x:v>
      </x:c>
      <x:c r="D819" s="7" t="n">
        <x:f>COUNTIFS('唯一词标签'!$V$2:$V$1441,A819,'唯一词标签'!$Z$2:$Z$1441,"match")</x:f>
        <x:v>0</x:v>
      </x:c>
      <x:c r="E819" s="7" t="n">
        <x:f>COUNTIFS('唯一词标签'!$V$2:$V$1441,A819,'唯一词标签'!$Z$2:$Z$1441,"partial_match")</x:f>
        <x:v>1</x:v>
      </x:c>
      <x:c r="F819" s="7" t="n">
        <x:f>COUNTIFS('唯一词标签'!$V$2:$V$1441,A819,'唯一词标签'!$Z$2:$Z$1441,"mismatch")</x:f>
        <x:v>0</x:v>
      </x:c>
      <x:c r="G819" s="7" t="n">
        <x:f>COUNTIFS('唯一词标签'!$V$2:$V$1441,A819,'唯一词标签'!$Z$2:$Z$1441,"unknown")</x:f>
        <x:v>0</x:v>
      </x:c>
      <x:c r="H819" s="7" t="n">
        <x:f>COUNTIFS('唯一词标签'!$V$2:$V$1441,A819,'唯一词标签'!$U$2:$U$1441,"low")</x:f>
        <x:v>0</x:v>
      </x:c>
      <x:c r="I819" s="7" t="n">
        <x:f>COUNTIFS('唯一词标签'!$V$2:$V$1441,A819,'唯一词标签'!$AB$2:$AB$1441,"needs_review")</x:f>
        <x:v>0</x:v>
      </x:c>
    </x:row>
    <x:row r="820" ht="22" customHeight="1">
      <x:c r="A820" s="7" t="str">
        <x:v>womens_beach_slippers</x:v>
      </x:c>
      <x:c r="B820" s="7" t="n">
        <x:f>COUNTIF('唯一词标签'!$V$2:$V$1441,A820)</x:f>
        <x:v>3</x:v>
      </x:c>
      <x:c r="C820" s="55" t="n">
        <x:f>B820/COUNTA('唯一词标签'!$C$2:$C$1441)</x:f>
        <x:v>0.0020833333333333333</x:v>
      </x:c>
      <x:c r="D820" s="7" t="n">
        <x:f>COUNTIFS('唯一词标签'!$V$2:$V$1441,A820,'唯一词标签'!$Z$2:$Z$1441,"match")</x:f>
        <x:v>3</x:v>
      </x:c>
      <x:c r="E820" s="7" t="n">
        <x:f>COUNTIFS('唯一词标签'!$V$2:$V$1441,A820,'唯一词标签'!$Z$2:$Z$1441,"partial_match")</x:f>
        <x:v>0</x:v>
      </x:c>
      <x:c r="F820" s="7" t="n">
        <x:f>COUNTIFS('唯一词标签'!$V$2:$V$1441,A820,'唯一词标签'!$Z$2:$Z$1441,"mismatch")</x:f>
        <x:v>0</x:v>
      </x:c>
      <x:c r="G820" s="7" t="n">
        <x:f>COUNTIFS('唯一词标签'!$V$2:$V$1441,A820,'唯一词标签'!$Z$2:$Z$1441,"unknown")</x:f>
        <x:v>0</x:v>
      </x:c>
      <x:c r="H820" s="7" t="n">
        <x:f>COUNTIFS('唯一词标签'!$V$2:$V$1441,A820,'唯一词标签'!$U$2:$U$1441,"low")</x:f>
        <x:v>0</x:v>
      </x:c>
      <x:c r="I820" s="7" t="n">
        <x:f>COUNTIFS('唯一词标签'!$V$2:$V$1441,A820,'唯一词标签'!$AB$2:$AB$1441,"needs_review")</x:f>
        <x:v>0</x:v>
      </x:c>
    </x:row>
    <x:row r="821" ht="22" customHeight="1">
      <x:c r="A821" s="7" t="str">
        <x:v>womens_black_arch_support_flip_flops</x:v>
      </x:c>
      <x:c r="B821" s="7" t="n">
        <x:f>COUNTIF('唯一词标签'!$V$2:$V$1441,A821)</x:f>
        <x:v>3</x:v>
      </x:c>
      <x:c r="C821" s="55" t="n">
        <x:f>B821/COUNTA('唯一词标签'!$C$2:$C$1441)</x:f>
        <x:v>0.0020833333333333333</x:v>
      </x:c>
      <x:c r="D821" s="7" t="n">
        <x:f>COUNTIFS('唯一词标签'!$V$2:$V$1441,A821,'唯一词标签'!$Z$2:$Z$1441,"match")</x:f>
        <x:v>3</x:v>
      </x:c>
      <x:c r="E821" s="7" t="n">
        <x:f>COUNTIFS('唯一词标签'!$V$2:$V$1441,A821,'唯一词标签'!$Z$2:$Z$1441,"partial_match")</x:f>
        <x:v>0</x:v>
      </x:c>
      <x:c r="F821" s="7" t="n">
        <x:f>COUNTIFS('唯一词标签'!$V$2:$V$1441,A821,'唯一词标签'!$Z$2:$Z$1441,"mismatch")</x:f>
        <x:v>0</x:v>
      </x:c>
      <x:c r="G821" s="7" t="n">
        <x:f>COUNTIFS('唯一词标签'!$V$2:$V$1441,A821,'唯一词标签'!$Z$2:$Z$1441,"unknown")</x:f>
        <x:v>0</x:v>
      </x:c>
      <x:c r="H821" s="7" t="n">
        <x:f>COUNTIFS('唯一词标签'!$V$2:$V$1441,A821,'唯一词标签'!$U$2:$U$1441,"low")</x:f>
        <x:v>0</x:v>
      </x:c>
      <x:c r="I821" s="7" t="n">
        <x:f>COUNTIFS('唯一词标签'!$V$2:$V$1441,A821,'唯一词标签'!$AB$2:$AB$1441,"needs_review")</x:f>
        <x:v>0</x:v>
      </x:c>
    </x:row>
    <x:row r="822" ht="22" customHeight="1">
      <x:c r="A822" s="7" t="str">
        <x:v>womens_black_dress_flip_flops</x:v>
      </x:c>
      <x:c r="B822" s="7" t="n">
        <x:f>COUNTIF('唯一词标签'!$V$2:$V$1441,A822)</x:f>
        <x:v>1</x:v>
      </x:c>
      <x:c r="C822" s="55" t="n">
        <x:f>B822/COUNTA('唯一词标签'!$C$2:$C$1441)</x:f>
        <x:v>0.0006944444444444445</x:v>
      </x:c>
      <x:c r="D822" s="7" t="n">
        <x:f>COUNTIFS('唯一词标签'!$V$2:$V$1441,A822,'唯一词标签'!$Z$2:$Z$1441,"match")</x:f>
        <x:v>0</x:v>
      </x:c>
      <x:c r="E822" s="7" t="n">
        <x:f>COUNTIFS('唯一词标签'!$V$2:$V$1441,A822,'唯一词标签'!$Z$2:$Z$1441,"partial_match")</x:f>
        <x:v>1</x:v>
      </x:c>
      <x:c r="F822" s="7" t="n">
        <x:f>COUNTIFS('唯一词标签'!$V$2:$V$1441,A822,'唯一词标签'!$Z$2:$Z$1441,"mismatch")</x:f>
        <x:v>0</x:v>
      </x:c>
      <x:c r="G822" s="7" t="n">
        <x:f>COUNTIFS('唯一词标签'!$V$2:$V$1441,A822,'唯一词标签'!$Z$2:$Z$1441,"unknown")</x:f>
        <x:v>0</x:v>
      </x:c>
      <x:c r="H822" s="7" t="n">
        <x:f>COUNTIFS('唯一词标签'!$V$2:$V$1441,A822,'唯一词标签'!$U$2:$U$1441,"low")</x:f>
        <x:v>0</x:v>
      </x:c>
      <x:c r="I822" s="7" t="n">
        <x:f>COUNTIFS('唯一词标签'!$V$2:$V$1441,A822,'唯一词标签'!$AB$2:$AB$1441,"needs_review")</x:f>
        <x:v>0</x:v>
      </x:c>
    </x:row>
    <x:row r="823" ht="22" customHeight="1">
      <x:c r="A823" s="7" t="str">
        <x:v>womens_black_flip_flops</x:v>
      </x:c>
      <x:c r="B823" s="7" t="n">
        <x:f>COUNTIF('唯一词标签'!$V$2:$V$1441,A823)</x:f>
        <x:v>11</x:v>
      </x:c>
      <x:c r="C823" s="55" t="n">
        <x:f>B823/COUNTA('唯一词标签'!$C$2:$C$1441)</x:f>
        <x:v>0.007638888888888889</x:v>
      </x:c>
      <x:c r="D823" s="7" t="n">
        <x:f>COUNTIFS('唯一词标签'!$V$2:$V$1441,A823,'唯一词标签'!$Z$2:$Z$1441,"match")</x:f>
        <x:v>11</x:v>
      </x:c>
      <x:c r="E823" s="7" t="n">
        <x:f>COUNTIFS('唯一词标签'!$V$2:$V$1441,A823,'唯一词标签'!$Z$2:$Z$1441,"partial_match")</x:f>
        <x:v>0</x:v>
      </x:c>
      <x:c r="F823" s="7" t="n">
        <x:f>COUNTIFS('唯一词标签'!$V$2:$V$1441,A823,'唯一词标签'!$Z$2:$Z$1441,"mismatch")</x:f>
        <x:v>0</x:v>
      </x:c>
      <x:c r="G823" s="7" t="n">
        <x:f>COUNTIFS('唯一词标签'!$V$2:$V$1441,A823,'唯一词标签'!$Z$2:$Z$1441,"unknown")</x:f>
        <x:v>0</x:v>
      </x:c>
      <x:c r="H823" s="7" t="n">
        <x:f>COUNTIFS('唯一词标签'!$V$2:$V$1441,A823,'唯一词标签'!$U$2:$U$1441,"low")</x:f>
        <x:v>0</x:v>
      </x:c>
      <x:c r="I823" s="7" t="n">
        <x:f>COUNTIFS('唯一词标签'!$V$2:$V$1441,A823,'唯一词标签'!$AB$2:$AB$1441,"needs_review")</x:f>
        <x:v>0</x:v>
      </x:c>
    </x:row>
    <x:row r="824" ht="22" customHeight="1">
      <x:c r="A824" s="7" t="str">
        <x:v>womens_black_flip_flops_size_9</x:v>
      </x:c>
      <x:c r="B824" s="7" t="n">
        <x:f>COUNTIF('唯一词标签'!$V$2:$V$1441,A824)</x:f>
        <x:v>1</x:v>
      </x:c>
      <x:c r="C824" s="55" t="n">
        <x:f>B824/COUNTA('唯一词标签'!$C$2:$C$1441)</x:f>
        <x:v>0.0006944444444444445</x:v>
      </x:c>
      <x:c r="D824" s="7" t="n">
        <x:f>COUNTIFS('唯一词标签'!$V$2:$V$1441,A824,'唯一词标签'!$Z$2:$Z$1441,"match")</x:f>
        <x:v>1</x:v>
      </x:c>
      <x:c r="E824" s="7" t="n">
        <x:f>COUNTIFS('唯一词标签'!$V$2:$V$1441,A824,'唯一词标签'!$Z$2:$Z$1441,"partial_match")</x:f>
        <x:v>0</x:v>
      </x:c>
      <x:c r="F824" s="7" t="n">
        <x:f>COUNTIFS('唯一词标签'!$V$2:$V$1441,A824,'唯一词标签'!$Z$2:$Z$1441,"mismatch")</x:f>
        <x:v>0</x:v>
      </x:c>
      <x:c r="G824" s="7" t="n">
        <x:f>COUNTIFS('唯一词标签'!$V$2:$V$1441,A824,'唯一词标签'!$Z$2:$Z$1441,"unknown")</x:f>
        <x:v>0</x:v>
      </x:c>
      <x:c r="H824" s="7" t="n">
        <x:f>COUNTIFS('唯一词标签'!$V$2:$V$1441,A824,'唯一词标签'!$U$2:$U$1441,"low")</x:f>
        <x:v>0</x:v>
      </x:c>
      <x:c r="I824" s="7" t="n">
        <x:f>COUNTIFS('唯一词标签'!$V$2:$V$1441,A824,'唯一词标签'!$AB$2:$AB$1441,"needs_review")</x:f>
        <x:v>0</x:v>
      </x:c>
    </x:row>
    <x:row r="825" ht="22" customHeight="1">
      <x:c r="A825" s="7" t="str">
        <x:v>womens_black_flip_flops_sized</x:v>
      </x:c>
      <x:c r="B825" s="7" t="n">
        <x:f>COUNTIF('唯一词标签'!$V$2:$V$1441,A825)</x:f>
        <x:v>3</x:v>
      </x:c>
      <x:c r="C825" s="55" t="n">
        <x:f>B825/COUNTA('唯一词标签'!$C$2:$C$1441)</x:f>
        <x:v>0.0020833333333333333</x:v>
      </x:c>
      <x:c r="D825" s="7" t="n">
        <x:f>COUNTIFS('唯一词标签'!$V$2:$V$1441,A825,'唯一词标签'!$Z$2:$Z$1441,"match")</x:f>
        <x:v>3</x:v>
      </x:c>
      <x:c r="E825" s="7" t="n">
        <x:f>COUNTIFS('唯一词标签'!$V$2:$V$1441,A825,'唯一词标签'!$Z$2:$Z$1441,"partial_match")</x:f>
        <x:v>0</x:v>
      </x:c>
      <x:c r="F825" s="7" t="n">
        <x:f>COUNTIFS('唯一词标签'!$V$2:$V$1441,A825,'唯一词标签'!$Z$2:$Z$1441,"mismatch")</x:f>
        <x:v>0</x:v>
      </x:c>
      <x:c r="G825" s="7" t="n">
        <x:f>COUNTIFS('唯一词标签'!$V$2:$V$1441,A825,'唯一词标签'!$Z$2:$Z$1441,"unknown")</x:f>
        <x:v>0</x:v>
      </x:c>
      <x:c r="H825" s="7" t="n">
        <x:f>COUNTIFS('唯一词标签'!$V$2:$V$1441,A825,'唯一词标签'!$U$2:$U$1441,"low")</x:f>
        <x:v>0</x:v>
      </x:c>
      <x:c r="I825" s="7" t="n">
        <x:f>COUNTIFS('唯一词标签'!$V$2:$V$1441,A825,'唯一词标签'!$AB$2:$AB$1441,"needs_review")</x:f>
        <x:v>0</x:v>
      </x:c>
    </x:row>
    <x:row r="826" ht="22" customHeight="1">
      <x:c r="A826" s="7" t="str">
        <x:v>womens_black_rubber_flip_flops</x:v>
      </x:c>
      <x:c r="B826" s="7" t="n">
        <x:f>COUNTIF('唯一词标签'!$V$2:$V$1441,A826)</x:f>
        <x:v>2</x:v>
      </x:c>
      <x:c r="C826" s="55" t="n">
        <x:f>B826/COUNTA('唯一词标签'!$C$2:$C$1441)</x:f>
        <x:v>0.001388888888888889</x:v>
      </x:c>
      <x:c r="D826" s="7" t="n">
        <x:f>COUNTIFS('唯一词标签'!$V$2:$V$1441,A826,'唯一词标签'!$Z$2:$Z$1441,"match")</x:f>
        <x:v>0</x:v>
      </x:c>
      <x:c r="E826" s="7" t="n">
        <x:f>COUNTIFS('唯一词标签'!$V$2:$V$1441,A826,'唯一词标签'!$Z$2:$Z$1441,"partial_match")</x:f>
        <x:v>2</x:v>
      </x:c>
      <x:c r="F826" s="7" t="n">
        <x:f>COUNTIFS('唯一词标签'!$V$2:$V$1441,A826,'唯一词标签'!$Z$2:$Z$1441,"mismatch")</x:f>
        <x:v>0</x:v>
      </x:c>
      <x:c r="G826" s="7" t="n">
        <x:f>COUNTIFS('唯一词标签'!$V$2:$V$1441,A826,'唯一词标签'!$Z$2:$Z$1441,"unknown")</x:f>
        <x:v>0</x:v>
      </x:c>
      <x:c r="H826" s="7" t="n">
        <x:f>COUNTIFS('唯一词标签'!$V$2:$V$1441,A826,'唯一词标签'!$U$2:$U$1441,"low")</x:f>
        <x:v>0</x:v>
      </x:c>
      <x:c r="I826" s="7" t="n">
        <x:f>COUNTIFS('唯一词标签'!$V$2:$V$1441,A826,'唯一词标签'!$AB$2:$AB$1441,"needs_review")</x:f>
        <x:v>0</x:v>
      </x:c>
    </x:row>
    <x:row r="827" ht="22" customHeight="1">
      <x:c r="A827" s="7" t="str">
        <x:v>womens_black_sized_flip_flops</x:v>
      </x:c>
      <x:c r="B827" s="7" t="n">
        <x:f>COUNTIF('唯一词标签'!$V$2:$V$1441,A827)</x:f>
        <x:v>1</x:v>
      </x:c>
      <x:c r="C827" s="55" t="n">
        <x:f>B827/COUNTA('唯一词标签'!$C$2:$C$1441)</x:f>
        <x:v>0.0006944444444444445</x:v>
      </x:c>
      <x:c r="D827" s="7" t="n">
        <x:f>COUNTIFS('唯一词标签'!$V$2:$V$1441,A827,'唯一词标签'!$Z$2:$Z$1441,"match")</x:f>
        <x:v>1</x:v>
      </x:c>
      <x:c r="E827" s="7" t="n">
        <x:f>COUNTIFS('唯一词标签'!$V$2:$V$1441,A827,'唯一词标签'!$Z$2:$Z$1441,"partial_match")</x:f>
        <x:v>0</x:v>
      </x:c>
      <x:c r="F827" s="7" t="n">
        <x:f>COUNTIFS('唯一词标签'!$V$2:$V$1441,A827,'唯一词标签'!$Z$2:$Z$1441,"mismatch")</x:f>
        <x:v>0</x:v>
      </x:c>
      <x:c r="G827" s="7" t="n">
        <x:f>COUNTIFS('唯一词标签'!$V$2:$V$1441,A827,'唯一词标签'!$Z$2:$Z$1441,"unknown")</x:f>
        <x:v>0</x:v>
      </x:c>
      <x:c r="H827" s="7" t="n">
        <x:f>COUNTIFS('唯一词标签'!$V$2:$V$1441,A827,'唯一词标签'!$U$2:$U$1441,"low")</x:f>
        <x:v>0</x:v>
      </x:c>
      <x:c r="I827" s="7" t="n">
        <x:f>COUNTIFS('唯一词标签'!$V$2:$V$1441,A827,'唯一词标签'!$AB$2:$AB$1441,"needs_review")</x:f>
        <x:v>0</x:v>
      </x:c>
    </x:row>
    <x:row r="828" ht="22" customHeight="1">
      <x:c r="A828" s="7" t="str">
        <x:v>womens_black_thick_strap_flip_flops</x:v>
      </x:c>
      <x:c r="B828" s="7" t="n">
        <x:f>COUNTIF('唯一词标签'!$V$2:$V$1441,A828)</x:f>
        <x:v>1</x:v>
      </x:c>
      <x:c r="C828" s="55" t="n">
        <x:f>B828/COUNTA('唯一词标签'!$C$2:$C$1441)</x:f>
        <x:v>0.0006944444444444445</x:v>
      </x:c>
      <x:c r="D828" s="7" t="n">
        <x:f>COUNTIFS('唯一词标签'!$V$2:$V$1441,A828,'唯一词标签'!$Z$2:$Z$1441,"match")</x:f>
        <x:v>0</x:v>
      </x:c>
      <x:c r="E828" s="7" t="n">
        <x:f>COUNTIFS('唯一词标签'!$V$2:$V$1441,A828,'唯一词标签'!$Z$2:$Z$1441,"partial_match")</x:f>
        <x:v>1</x:v>
      </x:c>
      <x:c r="F828" s="7" t="n">
        <x:f>COUNTIFS('唯一词标签'!$V$2:$V$1441,A828,'唯一词标签'!$Z$2:$Z$1441,"mismatch")</x:f>
        <x:v>0</x:v>
      </x:c>
      <x:c r="G828" s="7" t="n">
        <x:f>COUNTIFS('唯一词标签'!$V$2:$V$1441,A828,'唯一词标签'!$Z$2:$Z$1441,"unknown")</x:f>
        <x:v>0</x:v>
      </x:c>
      <x:c r="H828" s="7" t="n">
        <x:f>COUNTIFS('唯一词标签'!$V$2:$V$1441,A828,'唯一词标签'!$U$2:$U$1441,"low")</x:f>
        <x:v>0</x:v>
      </x:c>
      <x:c r="I828" s="7" t="n">
        <x:f>COUNTIFS('唯一词标签'!$V$2:$V$1441,A828,'唯一词标签'!$AB$2:$AB$1441,"needs_review")</x:f>
        <x:v>0</x:v>
      </x:c>
    </x:row>
    <x:row r="829" ht="22" customHeight="1">
      <x:c r="A829" s="7" t="str">
        <x:v>womens_black_thin_strap_flip_flops</x:v>
      </x:c>
      <x:c r="B829" s="7" t="n">
        <x:f>COUNTIF('唯一词标签'!$V$2:$V$1441,A829)</x:f>
        <x:v>1</x:v>
      </x:c>
      <x:c r="C829" s="55" t="n">
        <x:f>B829/COUNTA('唯一词标签'!$C$2:$C$1441)</x:f>
        <x:v>0.0006944444444444445</x:v>
      </x:c>
      <x:c r="D829" s="7" t="n">
        <x:f>COUNTIFS('唯一词标签'!$V$2:$V$1441,A829,'唯一词标签'!$Z$2:$Z$1441,"match")</x:f>
        <x:v>1</x:v>
      </x:c>
      <x:c r="E829" s="7" t="n">
        <x:f>COUNTIFS('唯一词标签'!$V$2:$V$1441,A829,'唯一词标签'!$Z$2:$Z$1441,"partial_match")</x:f>
        <x:v>0</x:v>
      </x:c>
      <x:c r="F829" s="7" t="n">
        <x:f>COUNTIFS('唯一词标签'!$V$2:$V$1441,A829,'唯一词标签'!$Z$2:$Z$1441,"mismatch")</x:f>
        <x:v>0</x:v>
      </x:c>
      <x:c r="G829" s="7" t="n">
        <x:f>COUNTIFS('唯一词标签'!$V$2:$V$1441,A829,'唯一词标签'!$Z$2:$Z$1441,"unknown")</x:f>
        <x:v>0</x:v>
      </x:c>
      <x:c r="H829" s="7" t="n">
        <x:f>COUNTIFS('唯一词标签'!$V$2:$V$1441,A829,'唯一词标签'!$U$2:$U$1441,"low")</x:f>
        <x:v>0</x:v>
      </x:c>
      <x:c r="I829" s="7" t="n">
        <x:f>COUNTIFS('唯一词标签'!$V$2:$V$1441,A829,'唯一词标签'!$AB$2:$AB$1441,"needs_review")</x:f>
        <x:v>0</x:v>
      </x:c>
    </x:row>
    <x:row r="830" ht="22" customHeight="1">
      <x:c r="A830" s="7" t="str">
        <x:v>womens_black_thong_sandals</x:v>
      </x:c>
      <x:c r="B830" s="7" t="n">
        <x:f>COUNTIF('唯一词标签'!$V$2:$V$1441,A830)</x:f>
        <x:v>1</x:v>
      </x:c>
      <x:c r="C830" s="55" t="n">
        <x:f>B830/COUNTA('唯一词标签'!$C$2:$C$1441)</x:f>
        <x:v>0.0006944444444444445</x:v>
      </x:c>
      <x:c r="D830" s="7" t="n">
        <x:f>COUNTIFS('唯一词标签'!$V$2:$V$1441,A830,'唯一词标签'!$Z$2:$Z$1441,"match")</x:f>
        <x:v>1</x:v>
      </x:c>
      <x:c r="E830" s="7" t="n">
        <x:f>COUNTIFS('唯一词标签'!$V$2:$V$1441,A830,'唯一词标签'!$Z$2:$Z$1441,"partial_match")</x:f>
        <x:v>0</x:v>
      </x:c>
      <x:c r="F830" s="7" t="n">
        <x:f>COUNTIFS('唯一词标签'!$V$2:$V$1441,A830,'唯一词标签'!$Z$2:$Z$1441,"mismatch")</x:f>
        <x:v>0</x:v>
      </x:c>
      <x:c r="G830" s="7" t="n">
        <x:f>COUNTIFS('唯一词标签'!$V$2:$V$1441,A830,'唯一词标签'!$Z$2:$Z$1441,"unknown")</x:f>
        <x:v>0</x:v>
      </x:c>
      <x:c r="H830" s="7" t="n">
        <x:f>COUNTIFS('唯一词标签'!$V$2:$V$1441,A830,'唯一词标签'!$U$2:$U$1441,"low")</x:f>
        <x:v>0</x:v>
      </x:c>
      <x:c r="I830" s="7" t="n">
        <x:f>COUNTIFS('唯一词标签'!$V$2:$V$1441,A830,'唯一词标签'!$AB$2:$AB$1441,"needs_review")</x:f>
        <x:v>0</x:v>
      </x:c>
    </x:row>
    <x:row r="831" ht="22" customHeight="1">
      <x:c r="A831" s="7" t="str">
        <x:v>womens_blue_flip_flops</x:v>
      </x:c>
      <x:c r="B831" s="7" t="n">
        <x:f>COUNTIF('唯一词标签'!$V$2:$V$1441,A831)</x:f>
        <x:v>1</x:v>
      </x:c>
      <x:c r="C831" s="55" t="n">
        <x:f>B831/COUNTA('唯一词标签'!$C$2:$C$1441)</x:f>
        <x:v>0.0006944444444444445</x:v>
      </x:c>
      <x:c r="D831" s="7" t="n">
        <x:f>COUNTIFS('唯一词标签'!$V$2:$V$1441,A831,'唯一词标签'!$Z$2:$Z$1441,"match")</x:f>
        <x:v>1</x:v>
      </x:c>
      <x:c r="E831" s="7" t="n">
        <x:f>COUNTIFS('唯一词标签'!$V$2:$V$1441,A831,'唯一词标签'!$Z$2:$Z$1441,"partial_match")</x:f>
        <x:v>0</x:v>
      </x:c>
      <x:c r="F831" s="7" t="n">
        <x:f>COUNTIFS('唯一词标签'!$V$2:$V$1441,A831,'唯一词标签'!$Z$2:$Z$1441,"mismatch")</x:f>
        <x:v>0</x:v>
      </x:c>
      <x:c r="G831" s="7" t="n">
        <x:f>COUNTIFS('唯一词标签'!$V$2:$V$1441,A831,'唯一词标签'!$Z$2:$Z$1441,"unknown")</x:f>
        <x:v>0</x:v>
      </x:c>
      <x:c r="H831" s="7" t="n">
        <x:f>COUNTIFS('唯一词标签'!$V$2:$V$1441,A831,'唯一词标签'!$U$2:$U$1441,"low")</x:f>
        <x:v>0</x:v>
      </x:c>
      <x:c r="I831" s="7" t="n">
        <x:f>COUNTIFS('唯一词标签'!$V$2:$V$1441,A831,'唯一词标签'!$AB$2:$AB$1441,"needs_review")</x:f>
        <x:v>0</x:v>
      </x:c>
    </x:row>
    <x:row r="832" ht="22" customHeight="1">
      <x:c r="A832" s="7" t="str">
        <x:v>womens_boat_flip_flops</x:v>
      </x:c>
      <x:c r="B832" s="7" t="n">
        <x:f>COUNTIF('唯一词标签'!$V$2:$V$1441,A832)</x:f>
        <x:v>1</x:v>
      </x:c>
      <x:c r="C832" s="55" t="n">
        <x:f>B832/COUNTA('唯一词标签'!$C$2:$C$1441)</x:f>
        <x:v>0.0006944444444444445</x:v>
      </x:c>
      <x:c r="D832" s="7" t="n">
        <x:f>COUNTIFS('唯一词标签'!$V$2:$V$1441,A832,'唯一词标签'!$Z$2:$Z$1441,"match")</x:f>
        <x:v>0</x:v>
      </x:c>
      <x:c r="E832" s="7" t="n">
        <x:f>COUNTIFS('唯一词标签'!$V$2:$V$1441,A832,'唯一词标签'!$Z$2:$Z$1441,"partial_match")</x:f>
        <x:v>1</x:v>
      </x:c>
      <x:c r="F832" s="7" t="n">
        <x:f>COUNTIFS('唯一词标签'!$V$2:$V$1441,A832,'唯一词标签'!$Z$2:$Z$1441,"mismatch")</x:f>
        <x:v>0</x:v>
      </x:c>
      <x:c r="G832" s="7" t="n">
        <x:f>COUNTIFS('唯一词标签'!$V$2:$V$1441,A832,'唯一词标签'!$Z$2:$Z$1441,"unknown")</x:f>
        <x:v>0</x:v>
      </x:c>
      <x:c r="H832" s="7" t="n">
        <x:f>COUNTIFS('唯一词标签'!$V$2:$V$1441,A832,'唯一词标签'!$U$2:$U$1441,"low")</x:f>
        <x:v>0</x:v>
      </x:c>
      <x:c r="I832" s="7" t="n">
        <x:f>COUNTIFS('唯一词标签'!$V$2:$V$1441,A832,'唯一词标签'!$AB$2:$AB$1441,"needs_review")</x:f>
        <x:v>0</x:v>
      </x:c>
    </x:row>
    <x:row r="833" ht="22" customHeight="1">
      <x:c r="A833" s="7" t="str">
        <x:v>womens_boat_thong_sandals</x:v>
      </x:c>
      <x:c r="B833" s="7" t="n">
        <x:f>COUNTIF('唯一词标签'!$V$2:$V$1441,A833)</x:f>
        <x:v>1</x:v>
      </x:c>
      <x:c r="C833" s="55" t="n">
        <x:f>B833/COUNTA('唯一词标签'!$C$2:$C$1441)</x:f>
        <x:v>0.0006944444444444445</x:v>
      </x:c>
      <x:c r="D833" s="7" t="n">
        <x:f>COUNTIFS('唯一词标签'!$V$2:$V$1441,A833,'唯一词标签'!$Z$2:$Z$1441,"match")</x:f>
        <x:v>1</x:v>
      </x:c>
      <x:c r="E833" s="7" t="n">
        <x:f>COUNTIFS('唯一词标签'!$V$2:$V$1441,A833,'唯一词标签'!$Z$2:$Z$1441,"partial_match")</x:f>
        <x:v>0</x:v>
      </x:c>
      <x:c r="F833" s="7" t="n">
        <x:f>COUNTIFS('唯一词标签'!$V$2:$V$1441,A833,'唯一词标签'!$Z$2:$Z$1441,"mismatch")</x:f>
        <x:v>0</x:v>
      </x:c>
      <x:c r="G833" s="7" t="n">
        <x:f>COUNTIFS('唯一词标签'!$V$2:$V$1441,A833,'唯一词标签'!$Z$2:$Z$1441,"unknown")</x:f>
        <x:v>0</x:v>
      </x:c>
      <x:c r="H833" s="7" t="n">
        <x:f>COUNTIFS('唯一词标签'!$V$2:$V$1441,A833,'唯一词标签'!$U$2:$U$1441,"low")</x:f>
        <x:v>0</x:v>
      </x:c>
      <x:c r="I833" s="7" t="n">
        <x:f>COUNTIFS('唯一词标签'!$V$2:$V$1441,A833,'唯一词标签'!$AB$2:$AB$1441,"needs_review")</x:f>
        <x:v>0</x:v>
      </x:c>
    </x:row>
    <x:row r="834" ht="22" customHeight="1">
      <x:c r="A834" s="7" t="str">
        <x:v>womens_brown_arch_support_flip_flops</x:v>
      </x:c>
      <x:c r="B834" s="7" t="n">
        <x:f>COUNTIF('唯一词标签'!$V$2:$V$1441,A834)</x:f>
        <x:v>1</x:v>
      </x:c>
      <x:c r="C834" s="55" t="n">
        <x:f>B834/COUNTA('唯一词标签'!$C$2:$C$1441)</x:f>
        <x:v>0.0006944444444444445</x:v>
      </x:c>
      <x:c r="D834" s="7" t="n">
        <x:f>COUNTIFS('唯一词标签'!$V$2:$V$1441,A834,'唯一词标签'!$Z$2:$Z$1441,"match")</x:f>
        <x:v>1</x:v>
      </x:c>
      <x:c r="E834" s="7" t="n">
        <x:f>COUNTIFS('唯一词标签'!$V$2:$V$1441,A834,'唯一词标签'!$Z$2:$Z$1441,"partial_match")</x:f>
        <x:v>0</x:v>
      </x:c>
      <x:c r="F834" s="7" t="n">
        <x:f>COUNTIFS('唯一词标签'!$V$2:$V$1441,A834,'唯一词标签'!$Z$2:$Z$1441,"mismatch")</x:f>
        <x:v>0</x:v>
      </x:c>
      <x:c r="G834" s="7" t="n">
        <x:f>COUNTIFS('唯一词标签'!$V$2:$V$1441,A834,'唯一词标签'!$Z$2:$Z$1441,"unknown")</x:f>
        <x:v>0</x:v>
      </x:c>
      <x:c r="H834" s="7" t="n">
        <x:f>COUNTIFS('唯一词标签'!$V$2:$V$1441,A834,'唯一词标签'!$U$2:$U$1441,"low")</x:f>
        <x:v>0</x:v>
      </x:c>
      <x:c r="I834" s="7" t="n">
        <x:f>COUNTIFS('唯一词标签'!$V$2:$V$1441,A834,'唯一词标签'!$AB$2:$AB$1441,"needs_review")</x:f>
        <x:v>0</x:v>
      </x:c>
    </x:row>
    <x:row r="835" ht="22" customHeight="1">
      <x:c r="A835" s="7" t="str">
        <x:v>womens_brown_beach_flip_flops</x:v>
      </x:c>
      <x:c r="B835" s="7" t="n">
        <x:f>COUNTIF('唯一词标签'!$V$2:$V$1441,A835)</x:f>
        <x:v>1</x:v>
      </x:c>
      <x:c r="C835" s="55" t="n">
        <x:f>B835/COUNTA('唯一词标签'!$C$2:$C$1441)</x:f>
        <x:v>0.0006944444444444445</x:v>
      </x:c>
      <x:c r="D835" s="7" t="n">
        <x:f>COUNTIFS('唯一词标签'!$V$2:$V$1441,A835,'唯一词标签'!$Z$2:$Z$1441,"match")</x:f>
        <x:v>1</x:v>
      </x:c>
      <x:c r="E835" s="7" t="n">
        <x:f>COUNTIFS('唯一词标签'!$V$2:$V$1441,A835,'唯一词标签'!$Z$2:$Z$1441,"partial_match")</x:f>
        <x:v>0</x:v>
      </x:c>
      <x:c r="F835" s="7" t="n">
        <x:f>COUNTIFS('唯一词标签'!$V$2:$V$1441,A835,'唯一词标签'!$Z$2:$Z$1441,"mismatch")</x:f>
        <x:v>0</x:v>
      </x:c>
      <x:c r="G835" s="7" t="n">
        <x:f>COUNTIFS('唯一词标签'!$V$2:$V$1441,A835,'唯一词标签'!$Z$2:$Z$1441,"unknown")</x:f>
        <x:v>0</x:v>
      </x:c>
      <x:c r="H835" s="7" t="n">
        <x:f>COUNTIFS('唯一词标签'!$V$2:$V$1441,A835,'唯一词标签'!$U$2:$U$1441,"low")</x:f>
        <x:v>0</x:v>
      </x:c>
      <x:c r="I835" s="7" t="n">
        <x:f>COUNTIFS('唯一词标签'!$V$2:$V$1441,A835,'唯一词标签'!$AB$2:$AB$1441,"needs_review")</x:f>
        <x:v>0</x:v>
      </x:c>
    </x:row>
    <x:row r="836" ht="22" customHeight="1">
      <x:c r="A836" s="7" t="str">
        <x:v>womens_brown_cushioned_flip_flops</x:v>
      </x:c>
      <x:c r="B836" s="7" t="n">
        <x:f>COUNTIF('唯一词标签'!$V$2:$V$1441,A836)</x:f>
        <x:v>1</x:v>
      </x:c>
      <x:c r="C836" s="55" t="n">
        <x:f>B836/COUNTA('唯一词标签'!$C$2:$C$1441)</x:f>
        <x:v>0.0006944444444444445</x:v>
      </x:c>
      <x:c r="D836" s="7" t="n">
        <x:f>COUNTIFS('唯一词标签'!$V$2:$V$1441,A836,'唯一词标签'!$Z$2:$Z$1441,"match")</x:f>
        <x:v>1</x:v>
      </x:c>
      <x:c r="E836" s="7" t="n">
        <x:f>COUNTIFS('唯一词标签'!$V$2:$V$1441,A836,'唯一词标签'!$Z$2:$Z$1441,"partial_match")</x:f>
        <x:v>0</x:v>
      </x:c>
      <x:c r="F836" s="7" t="n">
        <x:f>COUNTIFS('唯一词标签'!$V$2:$V$1441,A836,'唯一词标签'!$Z$2:$Z$1441,"mismatch")</x:f>
        <x:v>0</x:v>
      </x:c>
      <x:c r="G836" s="7" t="n">
        <x:f>COUNTIFS('唯一词标签'!$V$2:$V$1441,A836,'唯一词标签'!$Z$2:$Z$1441,"unknown")</x:f>
        <x:v>0</x:v>
      </x:c>
      <x:c r="H836" s="7" t="n">
        <x:f>COUNTIFS('唯一词标签'!$V$2:$V$1441,A836,'唯一词标签'!$U$2:$U$1441,"low")</x:f>
        <x:v>0</x:v>
      </x:c>
      <x:c r="I836" s="7" t="n">
        <x:f>COUNTIFS('唯一词标签'!$V$2:$V$1441,A836,'唯一词标签'!$AB$2:$AB$1441,"needs_review")</x:f>
        <x:v>0</x:v>
      </x:c>
    </x:row>
    <x:row r="837" ht="22" customHeight="1">
      <x:c r="A837" s="7" t="str">
        <x:v>womens_brown_flip_flops</x:v>
      </x:c>
      <x:c r="B837" s="7" t="n">
        <x:f>COUNTIF('唯一词标签'!$V$2:$V$1441,A837)</x:f>
        <x:v>3</x:v>
      </x:c>
      <x:c r="C837" s="55" t="n">
        <x:f>B837/COUNTA('唯一词标签'!$C$2:$C$1441)</x:f>
        <x:v>0.0020833333333333333</x:v>
      </x:c>
      <x:c r="D837" s="7" t="n">
        <x:f>COUNTIFS('唯一词标签'!$V$2:$V$1441,A837,'唯一词标签'!$Z$2:$Z$1441,"match")</x:f>
        <x:v>2</x:v>
      </x:c>
      <x:c r="E837" s="7" t="n">
        <x:f>COUNTIFS('唯一词标签'!$V$2:$V$1441,A837,'唯一词标签'!$Z$2:$Z$1441,"partial_match")</x:f>
        <x:v>1</x:v>
      </x:c>
      <x:c r="F837" s="7" t="n">
        <x:f>COUNTIFS('唯一词标签'!$V$2:$V$1441,A837,'唯一词标签'!$Z$2:$Z$1441,"mismatch")</x:f>
        <x:v>0</x:v>
      </x:c>
      <x:c r="G837" s="7" t="n">
        <x:f>COUNTIFS('唯一词标签'!$V$2:$V$1441,A837,'唯一词标签'!$Z$2:$Z$1441,"unknown")</x:f>
        <x:v>0</x:v>
      </x:c>
      <x:c r="H837" s="7" t="n">
        <x:f>COUNTIFS('唯一词标签'!$V$2:$V$1441,A837,'唯一词标签'!$U$2:$U$1441,"low")</x:f>
        <x:v>0</x:v>
      </x:c>
      <x:c r="I837" s="7" t="n">
        <x:f>COUNTIFS('唯一词标签'!$V$2:$V$1441,A837,'唯一词标签'!$AB$2:$AB$1441,"needs_review")</x:f>
        <x:v>0</x:v>
      </x:c>
    </x:row>
    <x:row r="838" ht="22" customHeight="1">
      <x:c r="A838" s="7" t="str">
        <x:v>womens_brown_high_arch_flip_flops</x:v>
      </x:c>
      <x:c r="B838" s="7" t="n">
        <x:f>COUNTIF('唯一词标签'!$V$2:$V$1441,A838)</x:f>
        <x:v>1</x:v>
      </x:c>
      <x:c r="C838" s="55" t="n">
        <x:f>B838/COUNTA('唯一词标签'!$C$2:$C$1441)</x:f>
        <x:v>0.0006944444444444445</x:v>
      </x:c>
      <x:c r="D838" s="7" t="n">
        <x:f>COUNTIFS('唯一词标签'!$V$2:$V$1441,A838,'唯一词标签'!$Z$2:$Z$1441,"match")</x:f>
        <x:v>0</x:v>
      </x:c>
      <x:c r="E838" s="7" t="n">
        <x:f>COUNTIFS('唯一词标签'!$V$2:$V$1441,A838,'唯一词标签'!$Z$2:$Z$1441,"partial_match")</x:f>
        <x:v>1</x:v>
      </x:c>
      <x:c r="F838" s="7" t="n">
        <x:f>COUNTIFS('唯一词标签'!$V$2:$V$1441,A838,'唯一词标签'!$Z$2:$Z$1441,"mismatch")</x:f>
        <x:v>0</x:v>
      </x:c>
      <x:c r="G838" s="7" t="n">
        <x:f>COUNTIFS('唯一词标签'!$V$2:$V$1441,A838,'唯一词标签'!$Z$2:$Z$1441,"unknown")</x:f>
        <x:v>0</x:v>
      </x:c>
      <x:c r="H838" s="7" t="n">
        <x:f>COUNTIFS('唯一词标签'!$V$2:$V$1441,A838,'唯一词标签'!$U$2:$U$1441,"low")</x:f>
        <x:v>0</x:v>
      </x:c>
      <x:c r="I838" s="7" t="n">
        <x:f>COUNTIFS('唯一词标签'!$V$2:$V$1441,A838,'唯一词标签'!$AB$2:$AB$1441,"needs_review")</x:f>
        <x:v>0</x:v>
      </x:c>
    </x:row>
    <x:row r="839" ht="22" customHeight="1">
      <x:c r="A839" s="7" t="str">
        <x:v>womens_brown_pool_flip_flops</x:v>
      </x:c>
      <x:c r="B839" s="7" t="n">
        <x:f>COUNTIF('唯一词标签'!$V$2:$V$1441,A839)</x:f>
        <x:v>1</x:v>
      </x:c>
      <x:c r="C839" s="55" t="n">
        <x:f>B839/COUNTA('唯一词标签'!$C$2:$C$1441)</x:f>
        <x:v>0.0006944444444444445</x:v>
      </x:c>
      <x:c r="D839" s="7" t="n">
        <x:f>COUNTIFS('唯一词标签'!$V$2:$V$1441,A839,'唯一词标签'!$Z$2:$Z$1441,"match")</x:f>
        <x:v>0</x:v>
      </x:c>
      <x:c r="E839" s="7" t="n">
        <x:f>COUNTIFS('唯一词标签'!$V$2:$V$1441,A839,'唯一词标签'!$Z$2:$Z$1441,"partial_match")</x:f>
        <x:v>1</x:v>
      </x:c>
      <x:c r="F839" s="7" t="n">
        <x:f>COUNTIFS('唯一词标签'!$V$2:$V$1441,A839,'唯一词标签'!$Z$2:$Z$1441,"mismatch")</x:f>
        <x:v>0</x:v>
      </x:c>
      <x:c r="G839" s="7" t="n">
        <x:f>COUNTIFS('唯一词标签'!$V$2:$V$1441,A839,'唯一词标签'!$Z$2:$Z$1441,"unknown")</x:f>
        <x:v>0</x:v>
      </x:c>
      <x:c r="H839" s="7" t="n">
        <x:f>COUNTIFS('唯一词标签'!$V$2:$V$1441,A839,'唯一词标签'!$U$2:$U$1441,"low")</x:f>
        <x:v>0</x:v>
      </x:c>
      <x:c r="I839" s="7" t="n">
        <x:f>COUNTIFS('唯一词标签'!$V$2:$V$1441,A839,'唯一词标签'!$AB$2:$AB$1441,"needs_review")</x:f>
        <x:v>0</x:v>
      </x:c>
    </x:row>
    <x:row r="840" ht="22" customHeight="1">
      <x:c r="A840" s="7" t="str">
        <x:v>womens_brown_sandals</x:v>
      </x:c>
      <x:c r="B840" s="7" t="n">
        <x:f>COUNTIF('唯一词标签'!$V$2:$V$1441,A840)</x:f>
        <x:v>1</x:v>
      </x:c>
      <x:c r="C840" s="55" t="n">
        <x:f>B840/COUNTA('唯一词标签'!$C$2:$C$1441)</x:f>
        <x:v>0.0006944444444444445</x:v>
      </x:c>
      <x:c r="D840" s="7" t="n">
        <x:f>COUNTIFS('唯一词标签'!$V$2:$V$1441,A840,'唯一词标签'!$Z$2:$Z$1441,"match")</x:f>
        <x:v>1</x:v>
      </x:c>
      <x:c r="E840" s="7" t="n">
        <x:f>COUNTIFS('唯一词标签'!$V$2:$V$1441,A840,'唯一词标签'!$Z$2:$Z$1441,"partial_match")</x:f>
        <x:v>0</x:v>
      </x:c>
      <x:c r="F840" s="7" t="n">
        <x:f>COUNTIFS('唯一词标签'!$V$2:$V$1441,A840,'唯一词标签'!$Z$2:$Z$1441,"mismatch")</x:f>
        <x:v>0</x:v>
      </x:c>
      <x:c r="G840" s="7" t="n">
        <x:f>COUNTIFS('唯一词标签'!$V$2:$V$1441,A840,'唯一词标签'!$Z$2:$Z$1441,"unknown")</x:f>
        <x:v>0</x:v>
      </x:c>
      <x:c r="H840" s="7" t="n">
        <x:f>COUNTIFS('唯一词标签'!$V$2:$V$1441,A840,'唯一词标签'!$U$2:$U$1441,"low")</x:f>
        <x:v>0</x:v>
      </x:c>
      <x:c r="I840" s="7" t="n">
        <x:f>COUNTIFS('唯一词标签'!$V$2:$V$1441,A840,'唯一词标签'!$AB$2:$AB$1441,"needs_review")</x:f>
        <x:v>0</x:v>
      </x:c>
    </x:row>
    <x:row r="841" ht="22" customHeight="1">
      <x:c r="A841" s="7" t="str">
        <x:v>womens_bunion_support_flip_flops</x:v>
      </x:c>
      <x:c r="B841" s="7" t="n">
        <x:f>COUNTIF('唯一词标签'!$V$2:$V$1441,A841)</x:f>
        <x:v>1</x:v>
      </x:c>
      <x:c r="C841" s="55" t="n">
        <x:f>B841/COUNTA('唯一词标签'!$C$2:$C$1441)</x:f>
        <x:v>0.0006944444444444445</x:v>
      </x:c>
      <x:c r="D841" s="7" t="n">
        <x:f>COUNTIFS('唯一词标签'!$V$2:$V$1441,A841,'唯一词标签'!$Z$2:$Z$1441,"match")</x:f>
        <x:v>0</x:v>
      </x:c>
      <x:c r="E841" s="7" t="n">
        <x:f>COUNTIFS('唯一词标签'!$V$2:$V$1441,A841,'唯一词标签'!$Z$2:$Z$1441,"partial_match")</x:f>
        <x:v>1</x:v>
      </x:c>
      <x:c r="F841" s="7" t="n">
        <x:f>COUNTIFS('唯一词标签'!$V$2:$V$1441,A841,'唯一词标签'!$Z$2:$Z$1441,"mismatch")</x:f>
        <x:v>0</x:v>
      </x:c>
      <x:c r="G841" s="7" t="n">
        <x:f>COUNTIFS('唯一词标签'!$V$2:$V$1441,A841,'唯一词标签'!$Z$2:$Z$1441,"unknown")</x:f>
        <x:v>0</x:v>
      </x:c>
      <x:c r="H841" s="7" t="n">
        <x:f>COUNTIFS('唯一词标签'!$V$2:$V$1441,A841,'唯一词标签'!$U$2:$U$1441,"low")</x:f>
        <x:v>0</x:v>
      </x:c>
      <x:c r="I841" s="7" t="n">
        <x:f>COUNTIFS('唯一词标签'!$V$2:$V$1441,A841,'唯一词标签'!$AB$2:$AB$1441,"needs_review")</x:f>
        <x:v>0</x:v>
      </x:c>
    </x:row>
    <x:row r="842" ht="22" customHeight="1">
      <x:c r="A842" s="7" t="str">
        <x:v>womens_camping_flip_flops</x:v>
      </x:c>
      <x:c r="B842" s="7" t="n">
        <x:f>COUNTIF('唯一词标签'!$V$2:$V$1441,A842)</x:f>
        <x:v>1</x:v>
      </x:c>
      <x:c r="C842" s="55" t="n">
        <x:f>B842/COUNTA('唯一词标签'!$C$2:$C$1441)</x:f>
        <x:v>0.0006944444444444445</x:v>
      </x:c>
      <x:c r="D842" s="7" t="n">
        <x:f>COUNTIFS('唯一词标签'!$V$2:$V$1441,A842,'唯一词标签'!$Z$2:$Z$1441,"match")</x:f>
        <x:v>0</x:v>
      </x:c>
      <x:c r="E842" s="7" t="n">
        <x:f>COUNTIFS('唯一词标签'!$V$2:$V$1441,A842,'唯一词标签'!$Z$2:$Z$1441,"partial_match")</x:f>
        <x:v>1</x:v>
      </x:c>
      <x:c r="F842" s="7" t="n">
        <x:f>COUNTIFS('唯一词标签'!$V$2:$V$1441,A842,'唯一词标签'!$Z$2:$Z$1441,"mismatch")</x:f>
        <x:v>0</x:v>
      </x:c>
      <x:c r="G842" s="7" t="n">
        <x:f>COUNTIFS('唯一词标签'!$V$2:$V$1441,A842,'唯一词标签'!$Z$2:$Z$1441,"unknown")</x:f>
        <x:v>0</x:v>
      </x:c>
      <x:c r="H842" s="7" t="n">
        <x:f>COUNTIFS('唯一词标签'!$V$2:$V$1441,A842,'唯一词标签'!$U$2:$U$1441,"low")</x:f>
        <x:v>0</x:v>
      </x:c>
      <x:c r="I842" s="7" t="n">
        <x:f>COUNTIFS('唯一词标签'!$V$2:$V$1441,A842,'唯一词标签'!$AB$2:$AB$1441,"needs_review")</x:f>
        <x:v>1</x:v>
      </x:c>
    </x:row>
    <x:row r="843" ht="22" customHeight="1">
      <x:c r="A843" s="7" t="str">
        <x:v>womens_casual_comfortable_flip_flops</x:v>
      </x:c>
      <x:c r="B843" s="7" t="n">
        <x:f>COUNTIF('唯一词标签'!$V$2:$V$1441,A843)</x:f>
        <x:v>1</x:v>
      </x:c>
      <x:c r="C843" s="55" t="n">
        <x:f>B843/COUNTA('唯一词标签'!$C$2:$C$1441)</x:f>
        <x:v>0.0006944444444444445</x:v>
      </x:c>
      <x:c r="D843" s="7" t="n">
        <x:f>COUNTIFS('唯一词标签'!$V$2:$V$1441,A843,'唯一词标签'!$Z$2:$Z$1441,"match")</x:f>
        <x:v>1</x:v>
      </x:c>
      <x:c r="E843" s="7" t="n">
        <x:f>COUNTIFS('唯一词标签'!$V$2:$V$1441,A843,'唯一词标签'!$Z$2:$Z$1441,"partial_match")</x:f>
        <x:v>0</x:v>
      </x:c>
      <x:c r="F843" s="7" t="n">
        <x:f>COUNTIFS('唯一词标签'!$V$2:$V$1441,A843,'唯一词标签'!$Z$2:$Z$1441,"mismatch")</x:f>
        <x:v>0</x:v>
      </x:c>
      <x:c r="G843" s="7" t="n">
        <x:f>COUNTIFS('唯一词标签'!$V$2:$V$1441,A843,'唯一词标签'!$Z$2:$Z$1441,"unknown")</x:f>
        <x:v>0</x:v>
      </x:c>
      <x:c r="H843" s="7" t="n">
        <x:f>COUNTIFS('唯一词标签'!$V$2:$V$1441,A843,'唯一词标签'!$U$2:$U$1441,"low")</x:f>
        <x:v>0</x:v>
      </x:c>
      <x:c r="I843" s="7" t="n">
        <x:f>COUNTIFS('唯一词标签'!$V$2:$V$1441,A843,'唯一词标签'!$AB$2:$AB$1441,"needs_review")</x:f>
        <x:v>0</x:v>
      </x:c>
    </x:row>
    <x:row r="844" ht="22" customHeight="1">
      <x:c r="A844" s="7" t="str">
        <x:v>womens_cheap_arch_support_flip_flops</x:v>
      </x:c>
      <x:c r="B844" s="7" t="n">
        <x:f>COUNTIF('唯一词标签'!$V$2:$V$1441,A844)</x:f>
        <x:v>1</x:v>
      </x:c>
      <x:c r="C844" s="55" t="n">
        <x:f>B844/COUNTA('唯一词标签'!$C$2:$C$1441)</x:f>
        <x:v>0.0006944444444444445</x:v>
      </x:c>
      <x:c r="D844" s="7" t="n">
        <x:f>COUNTIFS('唯一词标签'!$V$2:$V$1441,A844,'唯一词标签'!$Z$2:$Z$1441,"match")</x:f>
        <x:v>1</x:v>
      </x:c>
      <x:c r="E844" s="7" t="n">
        <x:f>COUNTIFS('唯一词标签'!$V$2:$V$1441,A844,'唯一词标签'!$Z$2:$Z$1441,"partial_match")</x:f>
        <x:v>0</x:v>
      </x:c>
      <x:c r="F844" s="7" t="n">
        <x:f>COUNTIFS('唯一词标签'!$V$2:$V$1441,A844,'唯一词标签'!$Z$2:$Z$1441,"mismatch")</x:f>
        <x:v>0</x:v>
      </x:c>
      <x:c r="G844" s="7" t="n">
        <x:f>COUNTIFS('唯一词标签'!$V$2:$V$1441,A844,'唯一词标签'!$Z$2:$Z$1441,"unknown")</x:f>
        <x:v>0</x:v>
      </x:c>
      <x:c r="H844" s="7" t="n">
        <x:f>COUNTIFS('唯一词标签'!$V$2:$V$1441,A844,'唯一词标签'!$U$2:$U$1441,"low")</x:f>
        <x:v>0</x:v>
      </x:c>
      <x:c r="I844" s="7" t="n">
        <x:f>COUNTIFS('唯一词标签'!$V$2:$V$1441,A844,'唯一词标签'!$AB$2:$AB$1441,"needs_review")</x:f>
        <x:v>1</x:v>
      </x:c>
    </x:row>
    <x:row r="845" ht="22" customHeight="1">
      <x:c r="A845" s="7" t="str">
        <x:v>womens_clearance_flip_flops</x:v>
      </x:c>
      <x:c r="B845" s="7" t="n">
        <x:f>COUNTIF('唯一词标签'!$V$2:$V$1441,A845)</x:f>
        <x:v>1</x:v>
      </x:c>
      <x:c r="C845" s="55" t="n">
        <x:f>B845/COUNTA('唯一词标签'!$C$2:$C$1441)</x:f>
        <x:v>0.0006944444444444445</x:v>
      </x:c>
      <x:c r="D845" s="7" t="n">
        <x:f>COUNTIFS('唯一词标签'!$V$2:$V$1441,A845,'唯一词标签'!$Z$2:$Z$1441,"match")</x:f>
        <x:v>1</x:v>
      </x:c>
      <x:c r="E845" s="7" t="n">
        <x:f>COUNTIFS('唯一词标签'!$V$2:$V$1441,A845,'唯一词标签'!$Z$2:$Z$1441,"partial_match")</x:f>
        <x:v>0</x:v>
      </x:c>
      <x:c r="F845" s="7" t="n">
        <x:f>COUNTIFS('唯一词标签'!$V$2:$V$1441,A845,'唯一词标签'!$Z$2:$Z$1441,"mismatch")</x:f>
        <x:v>0</x:v>
      </x:c>
      <x:c r="G845" s="7" t="n">
        <x:f>COUNTIFS('唯一词标签'!$V$2:$V$1441,A845,'唯一词标签'!$Z$2:$Z$1441,"unknown")</x:f>
        <x:v>0</x:v>
      </x:c>
      <x:c r="H845" s="7" t="n">
        <x:f>COUNTIFS('唯一词标签'!$V$2:$V$1441,A845,'唯一词标签'!$U$2:$U$1441,"low")</x:f>
        <x:v>0</x:v>
      </x:c>
      <x:c r="I845" s="7" t="n">
        <x:f>COUNTIFS('唯一词标签'!$V$2:$V$1441,A845,'唯一词标签'!$AB$2:$AB$1441,"needs_review")</x:f>
        <x:v>0</x:v>
      </x:c>
    </x:row>
    <x:row r="846" ht="22" customHeight="1">
      <x:c r="A846" s="7" t="str">
        <x:v>womens_clog_flip_flops</x:v>
      </x:c>
      <x:c r="B846" s="7" t="n">
        <x:f>COUNTIF('唯一词标签'!$V$2:$V$1441,A846)</x:f>
        <x:v>1</x:v>
      </x:c>
      <x:c r="C846" s="55" t="n">
        <x:f>B846/COUNTA('唯一词标签'!$C$2:$C$1441)</x:f>
        <x:v>0.0006944444444444445</x:v>
      </x:c>
      <x:c r="D846" s="7" t="n">
        <x:f>COUNTIFS('唯一词标签'!$V$2:$V$1441,A846,'唯一词标签'!$Z$2:$Z$1441,"match")</x:f>
        <x:v>0</x:v>
      </x:c>
      <x:c r="E846" s="7" t="n">
        <x:f>COUNTIFS('唯一词标签'!$V$2:$V$1441,A846,'唯一词标签'!$Z$2:$Z$1441,"partial_match")</x:f>
        <x:v>0</x:v>
      </x:c>
      <x:c r="F846" s="7" t="n">
        <x:f>COUNTIFS('唯一词标签'!$V$2:$V$1441,A846,'唯一词标签'!$Z$2:$Z$1441,"mismatch")</x:f>
        <x:v>1</x:v>
      </x:c>
      <x:c r="G846" s="7" t="n">
        <x:f>COUNTIFS('唯一词标签'!$V$2:$V$1441,A846,'唯一词标签'!$Z$2:$Z$1441,"unknown")</x:f>
        <x:v>0</x:v>
      </x:c>
      <x:c r="H846" s="7" t="n">
        <x:f>COUNTIFS('唯一词标签'!$V$2:$V$1441,A846,'唯一词标签'!$U$2:$U$1441,"low")</x:f>
        <x:v>0</x:v>
      </x:c>
      <x:c r="I846" s="7" t="n">
        <x:f>COUNTIFS('唯一词标签'!$V$2:$V$1441,A846,'唯一词标签'!$AB$2:$AB$1441,"needs_review")</x:f>
        <x:v>1</x:v>
      </x:c>
    </x:row>
    <x:row r="847" ht="22" customHeight="1">
      <x:c r="A847" s="7" t="str">
        <x:v>womens_color_arch_flip_flops</x:v>
      </x:c>
      <x:c r="B847" s="7" t="n">
        <x:f>COUNTIF('唯一词标签'!$V$2:$V$1441,A847)</x:f>
        <x:v>1</x:v>
      </x:c>
      <x:c r="C847" s="55" t="n">
        <x:f>B847/COUNTA('唯一词标签'!$C$2:$C$1441)</x:f>
        <x:v>0.0006944444444444445</x:v>
      </x:c>
      <x:c r="D847" s="7" t="n">
        <x:f>COUNTIFS('唯一词标签'!$V$2:$V$1441,A847,'唯一词标签'!$Z$2:$Z$1441,"match")</x:f>
        <x:v>1</x:v>
      </x:c>
      <x:c r="E847" s="7" t="n">
        <x:f>COUNTIFS('唯一词标签'!$V$2:$V$1441,A847,'唯一词标签'!$Z$2:$Z$1441,"partial_match")</x:f>
        <x:v>0</x:v>
      </x:c>
      <x:c r="F847" s="7" t="n">
        <x:f>COUNTIFS('唯一词标签'!$V$2:$V$1441,A847,'唯一词标签'!$Z$2:$Z$1441,"mismatch")</x:f>
        <x:v>0</x:v>
      </x:c>
      <x:c r="G847" s="7" t="n">
        <x:f>COUNTIFS('唯一词标签'!$V$2:$V$1441,A847,'唯一词标签'!$Z$2:$Z$1441,"unknown")</x:f>
        <x:v>0</x:v>
      </x:c>
      <x:c r="H847" s="7" t="n">
        <x:f>COUNTIFS('唯一词标签'!$V$2:$V$1441,A847,'唯一词标签'!$U$2:$U$1441,"low")</x:f>
        <x:v>0</x:v>
      </x:c>
      <x:c r="I847" s="7" t="n">
        <x:f>COUNTIFS('唯一词标签'!$V$2:$V$1441,A847,'唯一词标签'!$AB$2:$AB$1441,"needs_review")</x:f>
        <x:v>0</x:v>
      </x:c>
    </x:row>
    <x:row r="848" ht="22" customHeight="1">
      <x:c r="A848" s="7" t="str">
        <x:v>womens_color_flip_flops</x:v>
      </x:c>
      <x:c r="B848" s="7" t="n">
        <x:f>COUNTIF('唯一词标签'!$V$2:$V$1441,A848)</x:f>
        <x:v>4</x:v>
      </x:c>
      <x:c r="C848" s="55" t="n">
        <x:f>B848/COUNTA('唯一词标签'!$C$2:$C$1441)</x:f>
        <x:v>0.002777777777777778</x:v>
      </x:c>
      <x:c r="D848" s="7" t="n">
        <x:f>COUNTIFS('唯一词标签'!$V$2:$V$1441,A848,'唯一词标签'!$Z$2:$Z$1441,"match")</x:f>
        <x:v>3</x:v>
      </x:c>
      <x:c r="E848" s="7" t="n">
        <x:f>COUNTIFS('唯一词标签'!$V$2:$V$1441,A848,'唯一词标签'!$Z$2:$Z$1441,"partial_match")</x:f>
        <x:v>1</x:v>
      </x:c>
      <x:c r="F848" s="7" t="n">
        <x:f>COUNTIFS('唯一词标签'!$V$2:$V$1441,A848,'唯一词标签'!$Z$2:$Z$1441,"mismatch")</x:f>
        <x:v>0</x:v>
      </x:c>
      <x:c r="G848" s="7" t="n">
        <x:f>COUNTIFS('唯一词标签'!$V$2:$V$1441,A848,'唯一词标签'!$Z$2:$Z$1441,"unknown")</x:f>
        <x:v>0</x:v>
      </x:c>
      <x:c r="H848" s="7" t="n">
        <x:f>COUNTIFS('唯一词标签'!$V$2:$V$1441,A848,'唯一词标签'!$U$2:$U$1441,"low")</x:f>
        <x:v>0</x:v>
      </x:c>
      <x:c r="I848" s="7" t="n">
        <x:f>COUNTIFS('唯一词标签'!$V$2:$V$1441,A848,'唯一词标签'!$AB$2:$AB$1441,"needs_review")</x:f>
        <x:v>0</x:v>
      </x:c>
    </x:row>
    <x:row r="849" ht="22" customHeight="1">
      <x:c r="A849" s="7" t="str">
        <x:v>womens_colored_flip_flops</x:v>
      </x:c>
      <x:c r="B849" s="7" t="n">
        <x:f>COUNTIF('唯一词标签'!$V$2:$V$1441,A849)</x:f>
        <x:v>3</x:v>
      </x:c>
      <x:c r="C849" s="55" t="n">
        <x:f>B849/COUNTA('唯一词标签'!$C$2:$C$1441)</x:f>
        <x:v>0.0020833333333333333</x:v>
      </x:c>
      <x:c r="D849" s="7" t="n">
        <x:f>COUNTIFS('唯一词标签'!$V$2:$V$1441,A849,'唯一词标签'!$Z$2:$Z$1441,"match")</x:f>
        <x:v>0</x:v>
      </x:c>
      <x:c r="E849" s="7" t="n">
        <x:f>COUNTIFS('唯一词标签'!$V$2:$V$1441,A849,'唯一词标签'!$Z$2:$Z$1441,"partial_match")</x:f>
        <x:v>3</x:v>
      </x:c>
      <x:c r="F849" s="7" t="n">
        <x:f>COUNTIFS('唯一词标签'!$V$2:$V$1441,A849,'唯一词标签'!$Z$2:$Z$1441,"mismatch")</x:f>
        <x:v>0</x:v>
      </x:c>
      <x:c r="G849" s="7" t="n">
        <x:f>COUNTIFS('唯一词标签'!$V$2:$V$1441,A849,'唯一词标签'!$Z$2:$Z$1441,"unknown")</x:f>
        <x:v>0</x:v>
      </x:c>
      <x:c r="H849" s="7" t="n">
        <x:f>COUNTIFS('唯一词标签'!$V$2:$V$1441,A849,'唯一词标签'!$U$2:$U$1441,"low")</x:f>
        <x:v>0</x:v>
      </x:c>
      <x:c r="I849" s="7" t="n">
        <x:f>COUNTIFS('唯一词标签'!$V$2:$V$1441,A849,'唯一词标签'!$AB$2:$AB$1441,"needs_review")</x:f>
        <x:v>0</x:v>
      </x:c>
    </x:row>
    <x:row r="850" ht="22" customHeight="1">
      <x:c r="A850" s="7" t="str">
        <x:v>womens_comfort_arch_support_flip_flops_black</x:v>
      </x:c>
      <x:c r="B850" s="7" t="n">
        <x:f>COUNTIF('唯一词标签'!$V$2:$V$1441,A850)</x:f>
        <x:v>1</x:v>
      </x:c>
      <x:c r="C850" s="55" t="n">
        <x:f>B850/COUNTA('唯一词标签'!$C$2:$C$1441)</x:f>
        <x:v>0.0006944444444444445</x:v>
      </x:c>
      <x:c r="D850" s="7" t="n">
        <x:f>COUNTIFS('唯一词标签'!$V$2:$V$1441,A850,'唯一词标签'!$Z$2:$Z$1441,"match")</x:f>
        <x:v>1</x:v>
      </x:c>
      <x:c r="E850" s="7" t="n">
        <x:f>COUNTIFS('唯一词标签'!$V$2:$V$1441,A850,'唯一词标签'!$Z$2:$Z$1441,"partial_match")</x:f>
        <x:v>0</x:v>
      </x:c>
      <x:c r="F850" s="7" t="n">
        <x:f>COUNTIFS('唯一词标签'!$V$2:$V$1441,A850,'唯一词标签'!$Z$2:$Z$1441,"mismatch")</x:f>
        <x:v>0</x:v>
      </x:c>
      <x:c r="G850" s="7" t="n">
        <x:f>COUNTIFS('唯一词标签'!$V$2:$V$1441,A850,'唯一词标签'!$Z$2:$Z$1441,"unknown")</x:f>
        <x:v>0</x:v>
      </x:c>
      <x:c r="H850" s="7" t="n">
        <x:f>COUNTIFS('唯一词标签'!$V$2:$V$1441,A850,'唯一词标签'!$U$2:$U$1441,"low")</x:f>
        <x:v>0</x:v>
      </x:c>
      <x:c r="I850" s="7" t="n">
        <x:f>COUNTIFS('唯一词标签'!$V$2:$V$1441,A850,'唯一词标签'!$AB$2:$AB$1441,"needs_review")</x:f>
        <x:v>0</x:v>
      </x:c>
    </x:row>
    <x:row r="851" ht="22" customHeight="1">
      <x:c r="A851" s="7" t="str">
        <x:v>womens_comfort_beach_flip_flops</x:v>
      </x:c>
      <x:c r="B851" s="7" t="n">
        <x:f>COUNTIF('唯一词标签'!$V$2:$V$1441,A851)</x:f>
        <x:v>1</x:v>
      </x:c>
      <x:c r="C851" s="55" t="n">
        <x:f>B851/COUNTA('唯一词标签'!$C$2:$C$1441)</x:f>
        <x:v>0.0006944444444444445</x:v>
      </x:c>
      <x:c r="D851" s="7" t="n">
        <x:f>COUNTIFS('唯一词标签'!$V$2:$V$1441,A851,'唯一词标签'!$Z$2:$Z$1441,"match")</x:f>
        <x:v>1</x:v>
      </x:c>
      <x:c r="E851" s="7" t="n">
        <x:f>COUNTIFS('唯一词标签'!$V$2:$V$1441,A851,'唯一词标签'!$Z$2:$Z$1441,"partial_match")</x:f>
        <x:v>0</x:v>
      </x:c>
      <x:c r="F851" s="7" t="n">
        <x:f>COUNTIFS('唯一词标签'!$V$2:$V$1441,A851,'唯一词标签'!$Z$2:$Z$1441,"mismatch")</x:f>
        <x:v>0</x:v>
      </x:c>
      <x:c r="G851" s="7" t="n">
        <x:f>COUNTIFS('唯一词标签'!$V$2:$V$1441,A851,'唯一词标签'!$Z$2:$Z$1441,"unknown")</x:f>
        <x:v>0</x:v>
      </x:c>
      <x:c r="H851" s="7" t="n">
        <x:f>COUNTIFS('唯一词标签'!$V$2:$V$1441,A851,'唯一词标签'!$U$2:$U$1441,"low")</x:f>
        <x:v>0</x:v>
      </x:c>
      <x:c r="I851" s="7" t="n">
        <x:f>COUNTIFS('唯一词标签'!$V$2:$V$1441,A851,'唯一词标签'!$AB$2:$AB$1441,"needs_review")</x:f>
        <x:v>0</x:v>
      </x:c>
    </x:row>
    <x:row r="852" ht="22" customHeight="1">
      <x:c r="A852" s="7" t="str">
        <x:v>womens_comfort_flip_flops</x:v>
      </x:c>
      <x:c r="B852" s="7" t="n">
        <x:f>COUNTIF('唯一词标签'!$V$2:$V$1441,A852)</x:f>
        <x:v>2</x:v>
      </x:c>
      <x:c r="C852" s="55" t="n">
        <x:f>B852/COUNTA('唯一词标签'!$C$2:$C$1441)</x:f>
        <x:v>0.001388888888888889</x:v>
      </x:c>
      <x:c r="D852" s="7" t="n">
        <x:f>COUNTIFS('唯一词标签'!$V$2:$V$1441,A852,'唯一词标签'!$Z$2:$Z$1441,"match")</x:f>
        <x:v>1</x:v>
      </x:c>
      <x:c r="E852" s="7" t="n">
        <x:f>COUNTIFS('唯一词标签'!$V$2:$V$1441,A852,'唯一词标签'!$Z$2:$Z$1441,"partial_match")</x:f>
        <x:v>1</x:v>
      </x:c>
      <x:c r="F852" s="7" t="n">
        <x:f>COUNTIFS('唯一词标签'!$V$2:$V$1441,A852,'唯一词标签'!$Z$2:$Z$1441,"mismatch")</x:f>
        <x:v>0</x:v>
      </x:c>
      <x:c r="G852" s="7" t="n">
        <x:f>COUNTIFS('唯一词标签'!$V$2:$V$1441,A852,'唯一词标签'!$Z$2:$Z$1441,"unknown")</x:f>
        <x:v>0</x:v>
      </x:c>
      <x:c r="H852" s="7" t="n">
        <x:f>COUNTIFS('唯一词标签'!$V$2:$V$1441,A852,'唯一词标签'!$U$2:$U$1441,"low")</x:f>
        <x:v>0</x:v>
      </x:c>
      <x:c r="I852" s="7" t="n">
        <x:f>COUNTIFS('唯一词标签'!$V$2:$V$1441,A852,'唯一词标签'!$AB$2:$AB$1441,"needs_review")</x:f>
        <x:v>0</x:v>
      </x:c>
    </x:row>
    <x:row r="853" ht="22" customHeight="1">
      <x:c r="A853" s="7" t="str">
        <x:v>womens_comfortable_flip_flops</x:v>
      </x:c>
      <x:c r="B853" s="7" t="n">
        <x:f>COUNTIF('唯一词标签'!$V$2:$V$1441,A853)</x:f>
        <x:v>2</x:v>
      </x:c>
      <x:c r="C853" s="55" t="n">
        <x:f>B853/COUNTA('唯一词标签'!$C$2:$C$1441)</x:f>
        <x:v>0.001388888888888889</x:v>
      </x:c>
      <x:c r="D853" s="7" t="n">
        <x:f>COUNTIFS('唯一词标签'!$V$2:$V$1441,A853,'唯一词标签'!$Z$2:$Z$1441,"match")</x:f>
        <x:v>2</x:v>
      </x:c>
      <x:c r="E853" s="7" t="n">
        <x:f>COUNTIFS('唯一词标签'!$V$2:$V$1441,A853,'唯一词标签'!$Z$2:$Z$1441,"partial_match")</x:f>
        <x:v>0</x:v>
      </x:c>
      <x:c r="F853" s="7" t="n">
        <x:f>COUNTIFS('唯一词标签'!$V$2:$V$1441,A853,'唯一词标签'!$Z$2:$Z$1441,"mismatch")</x:f>
        <x:v>0</x:v>
      </x:c>
      <x:c r="G853" s="7" t="n">
        <x:f>COUNTIFS('唯一词标签'!$V$2:$V$1441,A853,'唯一词标签'!$Z$2:$Z$1441,"unknown")</x:f>
        <x:v>0</x:v>
      </x:c>
      <x:c r="H853" s="7" t="n">
        <x:f>COUNTIFS('唯一词标签'!$V$2:$V$1441,A853,'唯一词标签'!$U$2:$U$1441,"low")</x:f>
        <x:v>0</x:v>
      </x:c>
      <x:c r="I853" s="7" t="n">
        <x:f>COUNTIFS('唯一词标签'!$V$2:$V$1441,A853,'唯一词标签'!$AB$2:$AB$1441,"needs_review")</x:f>
        <x:v>0</x:v>
      </x:c>
    </x:row>
    <x:row r="854" ht="22" customHeight="1">
      <x:c r="A854" s="7" t="str">
        <x:v>womens_comfortable_sandals</x:v>
      </x:c>
      <x:c r="B854" s="7" t="n">
        <x:f>COUNTIF('唯一词标签'!$V$2:$V$1441,A854)</x:f>
        <x:v>3</x:v>
      </x:c>
      <x:c r="C854" s="55" t="n">
        <x:f>B854/COUNTA('唯一词标签'!$C$2:$C$1441)</x:f>
        <x:v>0.0020833333333333333</x:v>
      </x:c>
      <x:c r="D854" s="7" t="n">
        <x:f>COUNTIFS('唯一词标签'!$V$2:$V$1441,A854,'唯一词标签'!$Z$2:$Z$1441,"match")</x:f>
        <x:v>2</x:v>
      </x:c>
      <x:c r="E854" s="7" t="n">
        <x:f>COUNTIFS('唯一词标签'!$V$2:$V$1441,A854,'唯一词标签'!$Z$2:$Z$1441,"partial_match")</x:f>
        <x:v>1</x:v>
      </x:c>
      <x:c r="F854" s="7" t="n">
        <x:f>COUNTIFS('唯一词标签'!$V$2:$V$1441,A854,'唯一词标签'!$Z$2:$Z$1441,"mismatch")</x:f>
        <x:v>0</x:v>
      </x:c>
      <x:c r="G854" s="7" t="n">
        <x:f>COUNTIFS('唯一词标签'!$V$2:$V$1441,A854,'唯一词标签'!$Z$2:$Z$1441,"unknown")</x:f>
        <x:v>0</x:v>
      </x:c>
      <x:c r="H854" s="7" t="n">
        <x:f>COUNTIFS('唯一词标签'!$V$2:$V$1441,A854,'唯一词标签'!$U$2:$U$1441,"low")</x:f>
        <x:v>0</x:v>
      </x:c>
      <x:c r="I854" s="7" t="n">
        <x:f>COUNTIFS('唯一词标签'!$V$2:$V$1441,A854,'唯一词标签'!$AB$2:$AB$1441,"needs_review")</x:f>
        <x:v>0</x:v>
      </x:c>
    </x:row>
    <x:row r="855" ht="22" customHeight="1">
      <x:c r="A855" s="7" t="str">
        <x:v>womens_comfortable_thong_sandals</x:v>
      </x:c>
      <x:c r="B855" s="7" t="n">
        <x:f>COUNTIF('唯一词标签'!$V$2:$V$1441,A855)</x:f>
        <x:v>1</x:v>
      </x:c>
      <x:c r="C855" s="55" t="n">
        <x:f>B855/COUNTA('唯一词标签'!$C$2:$C$1441)</x:f>
        <x:v>0.0006944444444444445</x:v>
      </x:c>
      <x:c r="D855" s="7" t="n">
        <x:f>COUNTIFS('唯一词标签'!$V$2:$V$1441,A855,'唯一词标签'!$Z$2:$Z$1441,"match")</x:f>
        <x:v>1</x:v>
      </x:c>
      <x:c r="E855" s="7" t="n">
        <x:f>COUNTIFS('唯一词标签'!$V$2:$V$1441,A855,'唯一词标签'!$Z$2:$Z$1441,"partial_match")</x:f>
        <x:v>0</x:v>
      </x:c>
      <x:c r="F855" s="7" t="n">
        <x:f>COUNTIFS('唯一词标签'!$V$2:$V$1441,A855,'唯一词标签'!$Z$2:$Z$1441,"mismatch")</x:f>
        <x:v>0</x:v>
      </x:c>
      <x:c r="G855" s="7" t="n">
        <x:f>COUNTIFS('唯一词标签'!$V$2:$V$1441,A855,'唯一词标签'!$Z$2:$Z$1441,"unknown")</x:f>
        <x:v>0</x:v>
      </x:c>
      <x:c r="H855" s="7" t="n">
        <x:f>COUNTIFS('唯一词标签'!$V$2:$V$1441,A855,'唯一词标签'!$U$2:$U$1441,"low")</x:f>
        <x:v>0</x:v>
      </x:c>
      <x:c r="I855" s="7" t="n">
        <x:f>COUNTIFS('唯一词标签'!$V$2:$V$1441,A855,'唯一词标签'!$AB$2:$AB$1441,"needs_review")</x:f>
        <x:v>0</x:v>
      </x:c>
    </x:row>
    <x:row r="856" ht="22" customHeight="1">
      <x:c r="A856" s="7" t="str">
        <x:v>womens_comfy_beach_flip_flops</x:v>
      </x:c>
      <x:c r="B856" s="7" t="n">
        <x:f>COUNTIF('唯一词标签'!$V$2:$V$1441,A856)</x:f>
        <x:v>1</x:v>
      </x:c>
      <x:c r="C856" s="55" t="n">
        <x:f>B856/COUNTA('唯一词标签'!$C$2:$C$1441)</x:f>
        <x:v>0.0006944444444444445</x:v>
      </x:c>
      <x:c r="D856" s="7" t="n">
        <x:f>COUNTIFS('唯一词标签'!$V$2:$V$1441,A856,'唯一词标签'!$Z$2:$Z$1441,"match")</x:f>
        <x:v>1</x:v>
      </x:c>
      <x:c r="E856" s="7" t="n">
        <x:f>COUNTIFS('唯一词标签'!$V$2:$V$1441,A856,'唯一词标签'!$Z$2:$Z$1441,"partial_match")</x:f>
        <x:v>0</x:v>
      </x:c>
      <x:c r="F856" s="7" t="n">
        <x:f>COUNTIFS('唯一词标签'!$V$2:$V$1441,A856,'唯一词标签'!$Z$2:$Z$1441,"mismatch")</x:f>
        <x:v>0</x:v>
      </x:c>
      <x:c r="G856" s="7" t="n">
        <x:f>COUNTIFS('唯一词标签'!$V$2:$V$1441,A856,'唯一词标签'!$Z$2:$Z$1441,"unknown")</x:f>
        <x:v>0</x:v>
      </x:c>
      <x:c r="H856" s="7" t="n">
        <x:f>COUNTIFS('唯一词标签'!$V$2:$V$1441,A856,'唯一词标签'!$U$2:$U$1441,"low")</x:f>
        <x:v>0</x:v>
      </x:c>
      <x:c r="I856" s="7" t="n">
        <x:f>COUNTIFS('唯一词标签'!$V$2:$V$1441,A856,'唯一词标签'!$AB$2:$AB$1441,"needs_review")</x:f>
        <x:v>0</x:v>
      </x:c>
    </x:row>
    <x:row r="857" ht="22" customHeight="1">
      <x:c r="A857" s="7" t="str">
        <x:v>womens_contoured_footbed_flip_flops</x:v>
      </x:c>
      <x:c r="B857" s="7" t="n">
        <x:f>COUNTIF('唯一词标签'!$V$2:$V$1441,A857)</x:f>
        <x:v>1</x:v>
      </x:c>
      <x:c r="C857" s="55" t="n">
        <x:f>B857/COUNTA('唯一词标签'!$C$2:$C$1441)</x:f>
        <x:v>0.0006944444444444445</x:v>
      </x:c>
      <x:c r="D857" s="7" t="n">
        <x:f>COUNTIFS('唯一词标签'!$V$2:$V$1441,A857,'唯一词标签'!$Z$2:$Z$1441,"match")</x:f>
        <x:v>1</x:v>
      </x:c>
      <x:c r="E857" s="7" t="n">
        <x:f>COUNTIFS('唯一词标签'!$V$2:$V$1441,A857,'唯一词标签'!$Z$2:$Z$1441,"partial_match")</x:f>
        <x:v>0</x:v>
      </x:c>
      <x:c r="F857" s="7" t="n">
        <x:f>COUNTIFS('唯一词标签'!$V$2:$V$1441,A857,'唯一词标签'!$Z$2:$Z$1441,"mismatch")</x:f>
        <x:v>0</x:v>
      </x:c>
      <x:c r="G857" s="7" t="n">
        <x:f>COUNTIFS('唯一词标签'!$V$2:$V$1441,A857,'唯一词标签'!$Z$2:$Z$1441,"unknown")</x:f>
        <x:v>0</x:v>
      </x:c>
      <x:c r="H857" s="7" t="n">
        <x:f>COUNTIFS('唯一词标签'!$V$2:$V$1441,A857,'唯一词标签'!$U$2:$U$1441,"low")</x:f>
        <x:v>0</x:v>
      </x:c>
      <x:c r="I857" s="7" t="n">
        <x:f>COUNTIFS('唯一词标签'!$V$2:$V$1441,A857,'唯一词标签'!$AB$2:$AB$1441,"needs_review")</x:f>
        <x:v>0</x:v>
      </x:c>
    </x:row>
    <x:row r="858" ht="22" customHeight="1">
      <x:c r="A858" s="7" t="str">
        <x:v>womens_cooling_flip_flops</x:v>
      </x:c>
      <x:c r="B858" s="7" t="n">
        <x:f>COUNTIF('唯一词标签'!$V$2:$V$1441,A858)</x:f>
        <x:v>1</x:v>
      </x:c>
      <x:c r="C858" s="55" t="n">
        <x:f>B858/COUNTA('唯一词标签'!$C$2:$C$1441)</x:f>
        <x:v>0.0006944444444444445</x:v>
      </x:c>
      <x:c r="D858" s="7" t="n">
        <x:f>COUNTIFS('唯一词标签'!$V$2:$V$1441,A858,'唯一词标签'!$Z$2:$Z$1441,"match")</x:f>
        <x:v>0</x:v>
      </x:c>
      <x:c r="E858" s="7" t="n">
        <x:f>COUNTIFS('唯一词标签'!$V$2:$V$1441,A858,'唯一词标签'!$Z$2:$Z$1441,"partial_match")</x:f>
        <x:v>1</x:v>
      </x:c>
      <x:c r="F858" s="7" t="n">
        <x:f>COUNTIFS('唯一词标签'!$V$2:$V$1441,A858,'唯一词标签'!$Z$2:$Z$1441,"mismatch")</x:f>
        <x:v>0</x:v>
      </x:c>
      <x:c r="G858" s="7" t="n">
        <x:f>COUNTIFS('唯一词标签'!$V$2:$V$1441,A858,'唯一词标签'!$Z$2:$Z$1441,"unknown")</x:f>
        <x:v>0</x:v>
      </x:c>
      <x:c r="H858" s="7" t="n">
        <x:f>COUNTIFS('唯一词标签'!$V$2:$V$1441,A858,'唯一词标签'!$U$2:$U$1441,"low")</x:f>
        <x:v>0</x:v>
      </x:c>
      <x:c r="I858" s="7" t="n">
        <x:f>COUNTIFS('唯一词标签'!$V$2:$V$1441,A858,'唯一词标签'!$AB$2:$AB$1441,"needs_review")</x:f>
        <x:v>0</x:v>
      </x:c>
    </x:row>
    <x:row r="859" ht="22" customHeight="1">
      <x:c r="A859" s="7" t="str">
        <x:v>womens_cushion_rubber_flip_flops</x:v>
      </x:c>
      <x:c r="B859" s="7" t="n">
        <x:f>COUNTIF('唯一词标签'!$V$2:$V$1441,A859)</x:f>
        <x:v>1</x:v>
      </x:c>
      <x:c r="C859" s="55" t="n">
        <x:f>B859/COUNTA('唯一词标签'!$C$2:$C$1441)</x:f>
        <x:v>0.0006944444444444445</x:v>
      </x:c>
      <x:c r="D859" s="7" t="n">
        <x:f>COUNTIFS('唯一词标签'!$V$2:$V$1441,A859,'唯一词标签'!$Z$2:$Z$1441,"match")</x:f>
        <x:v>0</x:v>
      </x:c>
      <x:c r="E859" s="7" t="n">
        <x:f>COUNTIFS('唯一词标签'!$V$2:$V$1441,A859,'唯一词标签'!$Z$2:$Z$1441,"partial_match")</x:f>
        <x:v>1</x:v>
      </x:c>
      <x:c r="F859" s="7" t="n">
        <x:f>COUNTIFS('唯一词标签'!$V$2:$V$1441,A859,'唯一词标签'!$Z$2:$Z$1441,"mismatch")</x:f>
        <x:v>0</x:v>
      </x:c>
      <x:c r="G859" s="7" t="n">
        <x:f>COUNTIFS('唯一词标签'!$V$2:$V$1441,A859,'唯一词标签'!$Z$2:$Z$1441,"unknown")</x:f>
        <x:v>0</x:v>
      </x:c>
      <x:c r="H859" s="7" t="n">
        <x:f>COUNTIFS('唯一词标签'!$V$2:$V$1441,A859,'唯一词标签'!$U$2:$U$1441,"low")</x:f>
        <x:v>0</x:v>
      </x:c>
      <x:c r="I859" s="7" t="n">
        <x:f>COUNTIFS('唯一词标签'!$V$2:$V$1441,A859,'唯一词标签'!$AB$2:$AB$1441,"needs_review")</x:f>
        <x:v>0</x:v>
      </x:c>
    </x:row>
    <x:row r="860" ht="22" customHeight="1">
      <x:c r="A860" s="7" t="str">
        <x:v>womens_dress_flip_flops</x:v>
      </x:c>
      <x:c r="B860" s="7" t="n">
        <x:f>COUNTIF('唯一词标签'!$V$2:$V$1441,A860)</x:f>
        <x:v>1</x:v>
      </x:c>
      <x:c r="C860" s="55" t="n">
        <x:f>B860/COUNTA('唯一词标签'!$C$2:$C$1441)</x:f>
        <x:v>0.0006944444444444445</x:v>
      </x:c>
      <x:c r="D860" s="7" t="n">
        <x:f>COUNTIFS('唯一词标签'!$V$2:$V$1441,A860,'唯一词标签'!$Z$2:$Z$1441,"match")</x:f>
        <x:v>0</x:v>
      </x:c>
      <x:c r="E860" s="7" t="n">
        <x:f>COUNTIFS('唯一词标签'!$V$2:$V$1441,A860,'唯一词标签'!$Z$2:$Z$1441,"partial_match")</x:f>
        <x:v>1</x:v>
      </x:c>
      <x:c r="F860" s="7" t="n">
        <x:f>COUNTIFS('唯一词标签'!$V$2:$V$1441,A860,'唯一词标签'!$Z$2:$Z$1441,"mismatch")</x:f>
        <x:v>0</x:v>
      </x:c>
      <x:c r="G860" s="7" t="n">
        <x:f>COUNTIFS('唯一词标签'!$V$2:$V$1441,A860,'唯一词标签'!$Z$2:$Z$1441,"unknown")</x:f>
        <x:v>0</x:v>
      </x:c>
      <x:c r="H860" s="7" t="n">
        <x:f>COUNTIFS('唯一词标签'!$V$2:$V$1441,A860,'唯一词标签'!$U$2:$U$1441,"low")</x:f>
        <x:v>0</x:v>
      </x:c>
      <x:c r="I860" s="7" t="n">
        <x:f>COUNTIFS('唯一词标签'!$V$2:$V$1441,A860,'唯一词标签'!$AB$2:$AB$1441,"needs_review")</x:f>
        <x:v>0</x:v>
      </x:c>
    </x:row>
    <x:row r="861" ht="22" customHeight="1">
      <x:c r="A861" s="7" t="str">
        <x:v>womens_durable_flip_flops</x:v>
      </x:c>
      <x:c r="B861" s="7" t="n">
        <x:f>COUNTIF('唯一词标签'!$V$2:$V$1441,A861)</x:f>
        <x:v>1</x:v>
      </x:c>
      <x:c r="C861" s="55" t="n">
        <x:f>B861/COUNTA('唯一词标签'!$C$2:$C$1441)</x:f>
        <x:v>0.0006944444444444445</x:v>
      </x:c>
      <x:c r="D861" s="7" t="n">
        <x:f>COUNTIFS('唯一词标签'!$V$2:$V$1441,A861,'唯一词标签'!$Z$2:$Z$1441,"match")</x:f>
        <x:v>0</x:v>
      </x:c>
      <x:c r="E861" s="7" t="n">
        <x:f>COUNTIFS('唯一词标签'!$V$2:$V$1441,A861,'唯一词标签'!$Z$2:$Z$1441,"partial_match")</x:f>
        <x:v>1</x:v>
      </x:c>
      <x:c r="F861" s="7" t="n">
        <x:f>COUNTIFS('唯一词标签'!$V$2:$V$1441,A861,'唯一词标签'!$Z$2:$Z$1441,"mismatch")</x:f>
        <x:v>0</x:v>
      </x:c>
      <x:c r="G861" s="7" t="n">
        <x:f>COUNTIFS('唯一词标签'!$V$2:$V$1441,A861,'唯一词标签'!$Z$2:$Z$1441,"unknown")</x:f>
        <x:v>0</x:v>
      </x:c>
      <x:c r="H861" s="7" t="n">
        <x:f>COUNTIFS('唯一词标签'!$V$2:$V$1441,A861,'唯一词标签'!$U$2:$U$1441,"low")</x:f>
        <x:v>0</x:v>
      </x:c>
      <x:c r="I861" s="7" t="n">
        <x:f>COUNTIFS('唯一词标签'!$V$2:$V$1441,A861,'唯一词标签'!$AB$2:$AB$1441,"needs_review")</x:f>
        <x:v>1</x:v>
      </x:c>
    </x:row>
    <x:row r="862" ht="22" customHeight="1">
      <x:c r="A862" s="7" t="str">
        <x:v>womens_ergonomic_flip_flops</x:v>
      </x:c>
      <x:c r="B862" s="7" t="n">
        <x:f>COUNTIF('唯一词标签'!$V$2:$V$1441,A862)</x:f>
        <x:v>2</x:v>
      </x:c>
      <x:c r="C862" s="55" t="n">
        <x:f>B862/COUNTA('唯一词标签'!$C$2:$C$1441)</x:f>
        <x:v>0.001388888888888889</x:v>
      </x:c>
      <x:c r="D862" s="7" t="n">
        <x:f>COUNTIFS('唯一词标签'!$V$2:$V$1441,A862,'唯一词标签'!$Z$2:$Z$1441,"match")</x:f>
        <x:v>2</x:v>
      </x:c>
      <x:c r="E862" s="7" t="n">
        <x:f>COUNTIFS('唯一词标签'!$V$2:$V$1441,A862,'唯一词标签'!$Z$2:$Z$1441,"partial_match")</x:f>
        <x:v>0</x:v>
      </x:c>
      <x:c r="F862" s="7" t="n">
        <x:f>COUNTIFS('唯一词标签'!$V$2:$V$1441,A862,'唯一词标签'!$Z$2:$Z$1441,"mismatch")</x:f>
        <x:v>0</x:v>
      </x:c>
      <x:c r="G862" s="7" t="n">
        <x:f>COUNTIFS('唯一词标签'!$V$2:$V$1441,A862,'唯一词标签'!$Z$2:$Z$1441,"unknown")</x:f>
        <x:v>0</x:v>
      </x:c>
      <x:c r="H862" s="7" t="n">
        <x:f>COUNTIFS('唯一词标签'!$V$2:$V$1441,A862,'唯一词标签'!$U$2:$U$1441,"low")</x:f>
        <x:v>0</x:v>
      </x:c>
      <x:c r="I862" s="7" t="n">
        <x:f>COUNTIFS('唯一词标签'!$V$2:$V$1441,A862,'唯一词标签'!$AB$2:$AB$1441,"needs_review")</x:f>
        <x:v>0</x:v>
      </x:c>
    </x:row>
    <x:row r="863" ht="22" customHeight="1">
      <x:c r="A863" s="7" t="str">
        <x:v>womens_eva_flip_flop_sandals_feature_rich</x:v>
      </x:c>
      <x:c r="B863" s="7" t="n">
        <x:f>COUNTIF('唯一词标签'!$V$2:$V$1441,A863)</x:f>
        <x:v>1</x:v>
      </x:c>
      <x:c r="C863" s="55" t="n">
        <x:f>B863/COUNTA('唯一词标签'!$C$2:$C$1441)</x:f>
        <x:v>0.0006944444444444445</x:v>
      </x:c>
      <x:c r="D863" s="7" t="n">
        <x:f>COUNTIFS('唯一词标签'!$V$2:$V$1441,A863,'唯一词标签'!$Z$2:$Z$1441,"match")</x:f>
        <x:v>0</x:v>
      </x:c>
      <x:c r="E863" s="7" t="n">
        <x:f>COUNTIFS('唯一词标签'!$V$2:$V$1441,A863,'唯一词标签'!$Z$2:$Z$1441,"partial_match")</x:f>
        <x:v>1</x:v>
      </x:c>
      <x:c r="F863" s="7" t="n">
        <x:f>COUNTIFS('唯一词标签'!$V$2:$V$1441,A863,'唯一词标签'!$Z$2:$Z$1441,"mismatch")</x:f>
        <x:v>0</x:v>
      </x:c>
      <x:c r="G863" s="7" t="n">
        <x:f>COUNTIFS('唯一词标签'!$V$2:$V$1441,A863,'唯一词标签'!$Z$2:$Z$1441,"unknown")</x:f>
        <x:v>0</x:v>
      </x:c>
      <x:c r="H863" s="7" t="n">
        <x:f>COUNTIFS('唯一词标签'!$V$2:$V$1441,A863,'唯一词标签'!$U$2:$U$1441,"low")</x:f>
        <x:v>0</x:v>
      </x:c>
      <x:c r="I863" s="7" t="n">
        <x:f>COUNTIFS('唯一词标签'!$V$2:$V$1441,A863,'唯一词标签'!$AB$2:$AB$1441,"needs_review")</x:f>
        <x:v>0</x:v>
      </x:c>
    </x:row>
    <x:row r="864" ht="22" customHeight="1">
      <x:c r="A864" s="7" t="str">
        <x:v>womens_eva_flip_flops</x:v>
      </x:c>
      <x:c r="B864" s="7" t="n">
        <x:f>COUNTIF('唯一词标签'!$V$2:$V$1441,A864)</x:f>
        <x:v>2</x:v>
      </x:c>
      <x:c r="C864" s="55" t="n">
        <x:f>B864/COUNTA('唯一词标签'!$C$2:$C$1441)</x:f>
        <x:v>0.001388888888888889</x:v>
      </x:c>
      <x:c r="D864" s="7" t="n">
        <x:f>COUNTIFS('唯一词标签'!$V$2:$V$1441,A864,'唯一词标签'!$Z$2:$Z$1441,"match")</x:f>
        <x:v>2</x:v>
      </x:c>
      <x:c r="E864" s="7" t="n">
        <x:f>COUNTIFS('唯一词标签'!$V$2:$V$1441,A864,'唯一词标签'!$Z$2:$Z$1441,"partial_match")</x:f>
        <x:v>0</x:v>
      </x:c>
      <x:c r="F864" s="7" t="n">
        <x:f>COUNTIFS('唯一词标签'!$V$2:$V$1441,A864,'唯一词标签'!$Z$2:$Z$1441,"mismatch")</x:f>
        <x:v>0</x:v>
      </x:c>
      <x:c r="G864" s="7" t="n">
        <x:f>COUNTIFS('唯一词标签'!$V$2:$V$1441,A864,'唯一词标签'!$Z$2:$Z$1441,"unknown")</x:f>
        <x:v>0</x:v>
      </x:c>
      <x:c r="H864" s="7" t="n">
        <x:f>COUNTIFS('唯一词标签'!$V$2:$V$1441,A864,'唯一词标签'!$U$2:$U$1441,"low")</x:f>
        <x:v>0</x:v>
      </x:c>
      <x:c r="I864" s="7" t="n">
        <x:f>COUNTIFS('唯一词标签'!$V$2:$V$1441,A864,'唯一词标签'!$AB$2:$AB$1441,"needs_review")</x:f>
        <x:v>0</x:v>
      </x:c>
    </x:row>
    <x:row r="865" ht="22" customHeight="1">
      <x:c r="A865" s="7" t="str">
        <x:v>womens_eva_sandals</x:v>
      </x:c>
      <x:c r="B865" s="7" t="n">
        <x:f>COUNTIF('唯一词标签'!$V$2:$V$1441,A865)</x:f>
        <x:v>1</x:v>
      </x:c>
      <x:c r="C865" s="55" t="n">
        <x:f>B865/COUNTA('唯一词标签'!$C$2:$C$1441)</x:f>
        <x:v>0.0006944444444444445</x:v>
      </x:c>
      <x:c r="D865" s="7" t="n">
        <x:f>COUNTIFS('唯一词标签'!$V$2:$V$1441,A865,'唯一词标签'!$Z$2:$Z$1441,"match")</x:f>
        <x:v>1</x:v>
      </x:c>
      <x:c r="E865" s="7" t="n">
        <x:f>COUNTIFS('唯一词标签'!$V$2:$V$1441,A865,'唯一词标签'!$Z$2:$Z$1441,"partial_match")</x:f>
        <x:v>0</x:v>
      </x:c>
      <x:c r="F865" s="7" t="n">
        <x:f>COUNTIFS('唯一词标签'!$V$2:$V$1441,A865,'唯一词标签'!$Z$2:$Z$1441,"mismatch")</x:f>
        <x:v>0</x:v>
      </x:c>
      <x:c r="G865" s="7" t="n">
        <x:f>COUNTIFS('唯一词标签'!$V$2:$V$1441,A865,'唯一词标签'!$Z$2:$Z$1441,"unknown")</x:f>
        <x:v>0</x:v>
      </x:c>
      <x:c r="H865" s="7" t="n">
        <x:f>COUNTIFS('唯一词标签'!$V$2:$V$1441,A865,'唯一词标签'!$U$2:$U$1441,"low")</x:f>
        <x:v>0</x:v>
      </x:c>
      <x:c r="I865" s="7" t="n">
        <x:f>COUNTIFS('唯一词标签'!$V$2:$V$1441,A865,'唯一词标签'!$AB$2:$AB$1441,"needs_review")</x:f>
        <x:v>0</x:v>
      </x:c>
    </x:row>
    <x:row r="866" ht="22" customHeight="1">
      <x:c r="A866" s="7" t="str">
        <x:v>womens_flat_flip_flops</x:v>
      </x:c>
      <x:c r="B866" s="7" t="n">
        <x:f>COUNTIF('唯一词标签'!$V$2:$V$1441,A866)</x:f>
        <x:v>1</x:v>
      </x:c>
      <x:c r="C866" s="55" t="n">
        <x:f>B866/COUNTA('唯一词标签'!$C$2:$C$1441)</x:f>
        <x:v>0.0006944444444444445</x:v>
      </x:c>
      <x:c r="D866" s="7" t="n">
        <x:f>COUNTIFS('唯一词标签'!$V$2:$V$1441,A866,'唯一词标签'!$Z$2:$Z$1441,"match")</x:f>
        <x:v>1</x:v>
      </x:c>
      <x:c r="E866" s="7" t="n">
        <x:f>COUNTIFS('唯一词标签'!$V$2:$V$1441,A866,'唯一词标签'!$Z$2:$Z$1441,"partial_match")</x:f>
        <x:v>0</x:v>
      </x:c>
      <x:c r="F866" s="7" t="n">
        <x:f>COUNTIFS('唯一词标签'!$V$2:$V$1441,A866,'唯一词标签'!$Z$2:$Z$1441,"mismatch")</x:f>
        <x:v>0</x:v>
      </x:c>
      <x:c r="G866" s="7" t="n">
        <x:f>COUNTIFS('唯一词标签'!$V$2:$V$1441,A866,'唯一词标签'!$Z$2:$Z$1441,"unknown")</x:f>
        <x:v>0</x:v>
      </x:c>
      <x:c r="H866" s="7" t="n">
        <x:f>COUNTIFS('唯一词标签'!$V$2:$V$1441,A866,'唯一词标签'!$U$2:$U$1441,"low")</x:f>
        <x:v>0</x:v>
      </x:c>
      <x:c r="I866" s="7" t="n">
        <x:f>COUNTIFS('唯一词标签'!$V$2:$V$1441,A866,'唯一词标签'!$AB$2:$AB$1441,"needs_review")</x:f>
        <x:v>0</x:v>
      </x:c>
    </x:row>
    <x:row r="867" ht="22" customHeight="1">
      <x:c r="A867" s="7" t="str">
        <x:v>womens_flip_flop</x:v>
      </x:c>
      <x:c r="B867" s="7" t="n">
        <x:f>COUNTIF('唯一词标签'!$V$2:$V$1441,A867)</x:f>
        <x:v>1</x:v>
      </x:c>
      <x:c r="C867" s="55" t="n">
        <x:f>B867/COUNTA('唯一词标签'!$C$2:$C$1441)</x:f>
        <x:v>0.0006944444444444445</x:v>
      </x:c>
      <x:c r="D867" s="7" t="n">
        <x:f>COUNTIFS('唯一词标签'!$V$2:$V$1441,A867,'唯一词标签'!$Z$2:$Z$1441,"match")</x:f>
        <x:v>1</x:v>
      </x:c>
      <x:c r="E867" s="7" t="n">
        <x:f>COUNTIFS('唯一词标签'!$V$2:$V$1441,A867,'唯一词标签'!$Z$2:$Z$1441,"partial_match")</x:f>
        <x:v>0</x:v>
      </x:c>
      <x:c r="F867" s="7" t="n">
        <x:f>COUNTIFS('唯一词标签'!$V$2:$V$1441,A867,'唯一词标签'!$Z$2:$Z$1441,"mismatch")</x:f>
        <x:v>0</x:v>
      </x:c>
      <x:c r="G867" s="7" t="n">
        <x:f>COUNTIFS('唯一词标签'!$V$2:$V$1441,A867,'唯一词标签'!$Z$2:$Z$1441,"unknown")</x:f>
        <x:v>0</x:v>
      </x:c>
      <x:c r="H867" s="7" t="n">
        <x:f>COUNTIFS('唯一词标签'!$V$2:$V$1441,A867,'唯一词标签'!$U$2:$U$1441,"low")</x:f>
        <x:v>0</x:v>
      </x:c>
      <x:c r="I867" s="7" t="n">
        <x:f>COUNTIFS('唯一词标签'!$V$2:$V$1441,A867,'唯一词标签'!$AB$2:$AB$1441,"needs_review")</x:f>
        <x:v>0</x:v>
      </x:c>
    </x:row>
    <x:row r="868" ht="22" customHeight="1">
      <x:c r="A868" s="7" t="str">
        <x:v>womens_flip_flop_arch_support</x:v>
      </x:c>
      <x:c r="B868" s="7" t="n">
        <x:f>COUNTIF('唯一词标签'!$V$2:$V$1441,A868)</x:f>
        <x:v>2</x:v>
      </x:c>
      <x:c r="C868" s="55" t="n">
        <x:f>B868/COUNTA('唯一词标签'!$C$2:$C$1441)</x:f>
        <x:v>0.001388888888888889</x:v>
      </x:c>
      <x:c r="D868" s="7" t="n">
        <x:f>COUNTIFS('唯一词标签'!$V$2:$V$1441,A868,'唯一词标签'!$Z$2:$Z$1441,"match")</x:f>
        <x:v>2</x:v>
      </x:c>
      <x:c r="E868" s="7" t="n">
        <x:f>COUNTIFS('唯一词标签'!$V$2:$V$1441,A868,'唯一词标签'!$Z$2:$Z$1441,"partial_match")</x:f>
        <x:v>0</x:v>
      </x:c>
      <x:c r="F868" s="7" t="n">
        <x:f>COUNTIFS('唯一词标签'!$V$2:$V$1441,A868,'唯一词标签'!$Z$2:$Z$1441,"mismatch")</x:f>
        <x:v>0</x:v>
      </x:c>
      <x:c r="G868" s="7" t="n">
        <x:f>COUNTIFS('唯一词标签'!$V$2:$V$1441,A868,'唯一词标签'!$Z$2:$Z$1441,"unknown")</x:f>
        <x:v>0</x:v>
      </x:c>
      <x:c r="H868" s="7" t="n">
        <x:f>COUNTIFS('唯一词标签'!$V$2:$V$1441,A868,'唯一词标签'!$U$2:$U$1441,"low")</x:f>
        <x:v>0</x:v>
      </x:c>
      <x:c r="I868" s="7" t="n">
        <x:f>COUNTIFS('唯一词标签'!$V$2:$V$1441,A868,'唯一词标签'!$AB$2:$AB$1441,"needs_review")</x:f>
        <x:v>0</x:v>
      </x:c>
    </x:row>
    <x:row r="869" ht="22" customHeight="1">
      <x:c r="A869" s="7" t="str">
        <x:v>womens_flip_flop_sandals</x:v>
      </x:c>
      <x:c r="B869" s="7" t="n">
        <x:f>COUNTIF('唯一词标签'!$V$2:$V$1441,A869)</x:f>
        <x:v>2</x:v>
      </x:c>
      <x:c r="C869" s="55" t="n">
        <x:f>B869/COUNTA('唯一词标签'!$C$2:$C$1441)</x:f>
        <x:v>0.001388888888888889</x:v>
      </x:c>
      <x:c r="D869" s="7" t="n">
        <x:f>COUNTIFS('唯一词标签'!$V$2:$V$1441,A869,'唯一词标签'!$Z$2:$Z$1441,"match")</x:f>
        <x:v>2</x:v>
      </x:c>
      <x:c r="E869" s="7" t="n">
        <x:f>COUNTIFS('唯一词标签'!$V$2:$V$1441,A869,'唯一词标签'!$Z$2:$Z$1441,"partial_match")</x:f>
        <x:v>0</x:v>
      </x:c>
      <x:c r="F869" s="7" t="n">
        <x:f>COUNTIFS('唯一词标签'!$V$2:$V$1441,A869,'唯一词标签'!$Z$2:$Z$1441,"mismatch")</x:f>
        <x:v>0</x:v>
      </x:c>
      <x:c r="G869" s="7" t="n">
        <x:f>COUNTIFS('唯一词标签'!$V$2:$V$1441,A869,'唯一词标签'!$Z$2:$Z$1441,"unknown")</x:f>
        <x:v>0</x:v>
      </x:c>
      <x:c r="H869" s="7" t="n">
        <x:f>COUNTIFS('唯一词标签'!$V$2:$V$1441,A869,'唯一词标签'!$U$2:$U$1441,"low")</x:f>
        <x:v>0</x:v>
      </x:c>
      <x:c r="I869" s="7" t="n">
        <x:f>COUNTIFS('唯一词标签'!$V$2:$V$1441,A869,'唯一词标签'!$AB$2:$AB$1441,"needs_review")</x:f>
        <x:v>0</x:v>
      </x:c>
    </x:row>
    <x:row r="870" ht="22" customHeight="1">
      <x:c r="A870" s="7" t="str">
        <x:v>womens_flip_flop_size</x:v>
      </x:c>
      <x:c r="B870" s="7" t="n">
        <x:f>COUNTIF('唯一词标签'!$V$2:$V$1441,A870)</x:f>
        <x:v>1</x:v>
      </x:c>
      <x:c r="C870" s="55" t="n">
        <x:f>B870/COUNTA('唯一词标签'!$C$2:$C$1441)</x:f>
        <x:v>0.0006944444444444445</x:v>
      </x:c>
      <x:c r="D870" s="7" t="n">
        <x:f>COUNTIFS('唯一词标签'!$V$2:$V$1441,A870,'唯一词标签'!$Z$2:$Z$1441,"match")</x:f>
        <x:v>1</x:v>
      </x:c>
      <x:c r="E870" s="7" t="n">
        <x:f>COUNTIFS('唯一词标签'!$V$2:$V$1441,A870,'唯一词标签'!$Z$2:$Z$1441,"partial_match")</x:f>
        <x:v>0</x:v>
      </x:c>
      <x:c r="F870" s="7" t="n">
        <x:f>COUNTIFS('唯一词标签'!$V$2:$V$1441,A870,'唯一词标签'!$Z$2:$Z$1441,"mismatch")</x:f>
        <x:v>0</x:v>
      </x:c>
      <x:c r="G870" s="7" t="n">
        <x:f>COUNTIFS('唯一词标签'!$V$2:$V$1441,A870,'唯一词标签'!$Z$2:$Z$1441,"unknown")</x:f>
        <x:v>0</x:v>
      </x:c>
      <x:c r="H870" s="7" t="n">
        <x:f>COUNTIFS('唯一词标签'!$V$2:$V$1441,A870,'唯一词标签'!$U$2:$U$1441,"low")</x:f>
        <x:v>0</x:v>
      </x:c>
      <x:c r="I870" s="7" t="n">
        <x:f>COUNTIFS('唯一词标签'!$V$2:$V$1441,A870,'唯一词标签'!$AB$2:$AB$1441,"needs_review")</x:f>
        <x:v>0</x:v>
      </x:c>
    </x:row>
    <x:row r="871" ht="22" customHeight="1">
      <x:c r="A871" s="7" t="str">
        <x:v>womens_flip_flop_size_10</x:v>
      </x:c>
      <x:c r="B871" s="7" t="n">
        <x:f>COUNTIF('唯一词标签'!$V$2:$V$1441,A871)</x:f>
        <x:v>1</x:v>
      </x:c>
      <x:c r="C871" s="55" t="n">
        <x:f>B871/COUNTA('唯一词标签'!$C$2:$C$1441)</x:f>
        <x:v>0.0006944444444444445</x:v>
      </x:c>
      <x:c r="D871" s="7" t="n">
        <x:f>COUNTIFS('唯一词标签'!$V$2:$V$1441,A871,'唯一词标签'!$Z$2:$Z$1441,"match")</x:f>
        <x:v>1</x:v>
      </x:c>
      <x:c r="E871" s="7" t="n">
        <x:f>COUNTIFS('唯一词标签'!$V$2:$V$1441,A871,'唯一词标签'!$Z$2:$Z$1441,"partial_match")</x:f>
        <x:v>0</x:v>
      </x:c>
      <x:c r="F871" s="7" t="n">
        <x:f>COUNTIFS('唯一词标签'!$V$2:$V$1441,A871,'唯一词标签'!$Z$2:$Z$1441,"mismatch")</x:f>
        <x:v>0</x:v>
      </x:c>
      <x:c r="G871" s="7" t="n">
        <x:f>COUNTIFS('唯一词标签'!$V$2:$V$1441,A871,'唯一词标签'!$Z$2:$Z$1441,"unknown")</x:f>
        <x:v>0</x:v>
      </x:c>
      <x:c r="H871" s="7" t="n">
        <x:f>COUNTIFS('唯一词标签'!$V$2:$V$1441,A871,'唯一词标签'!$U$2:$U$1441,"low")</x:f>
        <x:v>0</x:v>
      </x:c>
      <x:c r="I871" s="7" t="n">
        <x:f>COUNTIFS('唯一词标签'!$V$2:$V$1441,A871,'唯一词标签'!$AB$2:$AB$1441,"needs_review")</x:f>
        <x:v>0</x:v>
      </x:c>
    </x:row>
    <x:row r="872" ht="22" customHeight="1">
      <x:c r="A872" s="7" t="str">
        <x:v>womens_flip_flop_slippers</x:v>
      </x:c>
      <x:c r="B872" s="7" t="n">
        <x:f>COUNTIF('唯一词标签'!$V$2:$V$1441,A872)</x:f>
        <x:v>1</x:v>
      </x:c>
      <x:c r="C872" s="55" t="n">
        <x:f>B872/COUNTA('唯一词标签'!$C$2:$C$1441)</x:f>
        <x:v>0.0006944444444444445</x:v>
      </x:c>
      <x:c r="D872" s="7" t="n">
        <x:f>COUNTIFS('唯一词标签'!$V$2:$V$1441,A872,'唯一词标签'!$Z$2:$Z$1441,"match")</x:f>
        <x:v>1</x:v>
      </x:c>
      <x:c r="E872" s="7" t="n">
        <x:f>COUNTIFS('唯一词标签'!$V$2:$V$1441,A872,'唯一词标签'!$Z$2:$Z$1441,"partial_match")</x:f>
        <x:v>0</x:v>
      </x:c>
      <x:c r="F872" s="7" t="n">
        <x:f>COUNTIFS('唯一词标签'!$V$2:$V$1441,A872,'唯一词标签'!$Z$2:$Z$1441,"mismatch")</x:f>
        <x:v>0</x:v>
      </x:c>
      <x:c r="G872" s="7" t="n">
        <x:f>COUNTIFS('唯一词标签'!$V$2:$V$1441,A872,'唯一词标签'!$Z$2:$Z$1441,"unknown")</x:f>
        <x:v>0</x:v>
      </x:c>
      <x:c r="H872" s="7" t="n">
        <x:f>COUNTIFS('唯一词标签'!$V$2:$V$1441,A872,'唯一词标签'!$U$2:$U$1441,"low")</x:f>
        <x:v>0</x:v>
      </x:c>
      <x:c r="I872" s="7" t="n">
        <x:f>COUNTIFS('唯一词标签'!$V$2:$V$1441,A872,'唯一词标签'!$AB$2:$AB$1441,"needs_review")</x:f>
        <x:v>0</x:v>
      </x:c>
    </x:row>
    <x:row r="873" ht="22" customHeight="1">
      <x:c r="A873" s="7" t="str">
        <x:v>womens_flip_flops</x:v>
      </x:c>
      <x:c r="B873" s="7" t="n">
        <x:f>COUNTIF('唯一词标签'!$V$2:$V$1441,A873)</x:f>
        <x:v>23</x:v>
      </x:c>
      <x:c r="C873" s="55" t="n">
        <x:f>B873/COUNTA('唯一词标签'!$C$2:$C$1441)</x:f>
        <x:v>0.01597222222222222</x:v>
      </x:c>
      <x:c r="D873" s="7" t="n">
        <x:f>COUNTIFS('唯一词标签'!$V$2:$V$1441,A873,'唯一词标签'!$Z$2:$Z$1441,"match")</x:f>
        <x:v>17</x:v>
      </x:c>
      <x:c r="E873" s="7" t="n">
        <x:f>COUNTIFS('唯一词标签'!$V$2:$V$1441,A873,'唯一词标签'!$Z$2:$Z$1441,"partial_match")</x:f>
        <x:v>6</x:v>
      </x:c>
      <x:c r="F873" s="7" t="n">
        <x:f>COUNTIFS('唯一词标签'!$V$2:$V$1441,A873,'唯一词标签'!$Z$2:$Z$1441,"mismatch")</x:f>
        <x:v>0</x:v>
      </x:c>
      <x:c r="G873" s="7" t="n">
        <x:f>COUNTIFS('唯一词标签'!$V$2:$V$1441,A873,'唯一词标签'!$Z$2:$Z$1441,"unknown")</x:f>
        <x:v>0</x:v>
      </x:c>
      <x:c r="H873" s="7" t="n">
        <x:f>COUNTIFS('唯一词标签'!$V$2:$V$1441,A873,'唯一词标签'!$U$2:$U$1441,"low")</x:f>
        <x:v>0</x:v>
      </x:c>
      <x:c r="I873" s="7" t="n">
        <x:f>COUNTIFS('唯一词标签'!$V$2:$V$1441,A873,'唯一词标签'!$AB$2:$AB$1441,"needs_review")</x:f>
        <x:v>0</x:v>
      </x:c>
    </x:row>
    <x:row r="874" ht="22" customHeight="1">
      <x:c r="A874" s="7" t="str">
        <x:v>womens_flip_flops_ambiguous_prefix</x:v>
      </x:c>
      <x:c r="B874" s="7" t="n">
        <x:f>COUNTIF('唯一词标签'!$V$2:$V$1441,A874)</x:f>
        <x:v>1</x:v>
      </x:c>
      <x:c r="C874" s="55" t="n">
        <x:f>B874/COUNTA('唯一词标签'!$C$2:$C$1441)</x:f>
        <x:v>0.0006944444444444445</x:v>
      </x:c>
      <x:c r="D874" s="7" t="n">
        <x:f>COUNTIFS('唯一词标签'!$V$2:$V$1441,A874,'唯一词标签'!$Z$2:$Z$1441,"match")</x:f>
        <x:v>0</x:v>
      </x:c>
      <x:c r="E874" s="7" t="n">
        <x:f>COUNTIFS('唯一词标签'!$V$2:$V$1441,A874,'唯一词标签'!$Z$2:$Z$1441,"partial_match")</x:f>
        <x:v>1</x:v>
      </x:c>
      <x:c r="F874" s="7" t="n">
        <x:f>COUNTIFS('唯一词标签'!$V$2:$V$1441,A874,'唯一词标签'!$Z$2:$Z$1441,"mismatch")</x:f>
        <x:v>0</x:v>
      </x:c>
      <x:c r="G874" s="7" t="n">
        <x:f>COUNTIFS('唯一词标签'!$V$2:$V$1441,A874,'唯一词标签'!$Z$2:$Z$1441,"unknown")</x:f>
        <x:v>0</x:v>
      </x:c>
      <x:c r="H874" s="7" t="n">
        <x:f>COUNTIFS('唯一词标签'!$V$2:$V$1441,A874,'唯一词标签'!$U$2:$U$1441,"low")</x:f>
        <x:v>0</x:v>
      </x:c>
      <x:c r="I874" s="7" t="n">
        <x:f>COUNTIFS('唯一词标签'!$V$2:$V$1441,A874,'唯一词标签'!$AB$2:$AB$1441,"needs_review")</x:f>
        <x:v>0</x:v>
      </x:c>
    </x:row>
    <x:row r="875" ht="22" customHeight="1">
      <x:c r="A875" s="7" t="str">
        <x:v>womens_flip_flops_arch_support</x:v>
      </x:c>
      <x:c r="B875" s="7" t="n">
        <x:f>COUNTIF('唯一词标签'!$V$2:$V$1441,A875)</x:f>
        <x:v>4</x:v>
      </x:c>
      <x:c r="C875" s="55" t="n">
        <x:f>B875/COUNTA('唯一词标签'!$C$2:$C$1441)</x:f>
        <x:v>0.002777777777777778</x:v>
      </x:c>
      <x:c r="D875" s="7" t="n">
        <x:f>COUNTIFS('唯一词标签'!$V$2:$V$1441,A875,'唯一词标签'!$Z$2:$Z$1441,"match")</x:f>
        <x:v>4</x:v>
      </x:c>
      <x:c r="E875" s="7" t="n">
        <x:f>COUNTIFS('唯一词标签'!$V$2:$V$1441,A875,'唯一词标签'!$Z$2:$Z$1441,"partial_match")</x:f>
        <x:v>0</x:v>
      </x:c>
      <x:c r="F875" s="7" t="n">
        <x:f>COUNTIFS('唯一词标签'!$V$2:$V$1441,A875,'唯一词标签'!$Z$2:$Z$1441,"mismatch")</x:f>
        <x:v>0</x:v>
      </x:c>
      <x:c r="G875" s="7" t="n">
        <x:f>COUNTIFS('唯一词标签'!$V$2:$V$1441,A875,'唯一词标签'!$Z$2:$Z$1441,"unknown")</x:f>
        <x:v>0</x:v>
      </x:c>
      <x:c r="H875" s="7" t="n">
        <x:f>COUNTIFS('唯一词标签'!$V$2:$V$1441,A875,'唯一词标签'!$U$2:$U$1441,"low")</x:f>
        <x:v>0</x:v>
      </x:c>
      <x:c r="I875" s="7" t="n">
        <x:f>COUNTIFS('唯一词标签'!$V$2:$V$1441,A875,'唯一词标签'!$AB$2:$AB$1441,"needs_review")</x:f>
        <x:v>0</x:v>
      </x:c>
    </x:row>
    <x:row r="876" ht="22" customHeight="1">
      <x:c r="A876" s="7" t="str">
        <x:v>womens_flip_flops_arch_support_black</x:v>
      </x:c>
      <x:c r="B876" s="7" t="n">
        <x:f>COUNTIF('唯一词标签'!$V$2:$V$1441,A876)</x:f>
        <x:v>1</x:v>
      </x:c>
      <x:c r="C876" s="55" t="n">
        <x:f>B876/COUNTA('唯一词标签'!$C$2:$C$1441)</x:f>
        <x:v>0.0006944444444444445</x:v>
      </x:c>
      <x:c r="D876" s="7" t="n">
        <x:f>COUNTIFS('唯一词标签'!$V$2:$V$1441,A876,'唯一词标签'!$Z$2:$Z$1441,"match")</x:f>
        <x:v>1</x:v>
      </x:c>
      <x:c r="E876" s="7" t="n">
        <x:f>COUNTIFS('唯一词标签'!$V$2:$V$1441,A876,'唯一词标签'!$Z$2:$Z$1441,"partial_match")</x:f>
        <x:v>0</x:v>
      </x:c>
      <x:c r="F876" s="7" t="n">
        <x:f>COUNTIFS('唯一词标签'!$V$2:$V$1441,A876,'唯一词标签'!$Z$2:$Z$1441,"mismatch")</x:f>
        <x:v>0</x:v>
      </x:c>
      <x:c r="G876" s="7" t="n">
        <x:f>COUNTIFS('唯一词标签'!$V$2:$V$1441,A876,'唯一词标签'!$Z$2:$Z$1441,"unknown")</x:f>
        <x:v>0</x:v>
      </x:c>
      <x:c r="H876" s="7" t="n">
        <x:f>COUNTIFS('唯一词标签'!$V$2:$V$1441,A876,'唯一词标签'!$U$2:$U$1441,"low")</x:f>
        <x:v>0</x:v>
      </x:c>
      <x:c r="I876" s="7" t="n">
        <x:f>COUNTIFS('唯一词标签'!$V$2:$V$1441,A876,'唯一词标签'!$AB$2:$AB$1441,"needs_review")</x:f>
        <x:v>0</x:v>
      </x:c>
    </x:row>
    <x:row r="877" ht="22" customHeight="1">
      <x:c r="A877" s="7" t="str">
        <x:v>womens_flip_flops_arch_white</x:v>
      </x:c>
      <x:c r="B877" s="7" t="n">
        <x:f>COUNTIF('唯一词标签'!$V$2:$V$1441,A877)</x:f>
        <x:v>1</x:v>
      </x:c>
      <x:c r="C877" s="55" t="n">
        <x:f>B877/COUNTA('唯一词标签'!$C$2:$C$1441)</x:f>
        <x:v>0.0006944444444444445</x:v>
      </x:c>
      <x:c r="D877" s="7" t="n">
        <x:f>COUNTIFS('唯一词标签'!$V$2:$V$1441,A877,'唯一词标签'!$Z$2:$Z$1441,"match")</x:f>
        <x:v>1</x:v>
      </x:c>
      <x:c r="E877" s="7" t="n">
        <x:f>COUNTIFS('唯一词标签'!$V$2:$V$1441,A877,'唯一词标签'!$Z$2:$Z$1441,"partial_match")</x:f>
        <x:v>0</x:v>
      </x:c>
      <x:c r="F877" s="7" t="n">
        <x:f>COUNTIFS('唯一词标签'!$V$2:$V$1441,A877,'唯一词标签'!$Z$2:$Z$1441,"mismatch")</x:f>
        <x:v>0</x:v>
      </x:c>
      <x:c r="G877" s="7" t="n">
        <x:f>COUNTIFS('唯一词标签'!$V$2:$V$1441,A877,'唯一词标签'!$Z$2:$Z$1441,"unknown")</x:f>
        <x:v>0</x:v>
      </x:c>
      <x:c r="H877" s="7" t="n">
        <x:f>COUNTIFS('唯一词标签'!$V$2:$V$1441,A877,'唯一词标签'!$U$2:$U$1441,"low")</x:f>
        <x:v>0</x:v>
      </x:c>
      <x:c r="I877" s="7" t="n">
        <x:f>COUNTIFS('唯一词标签'!$V$2:$V$1441,A877,'唯一词标签'!$AB$2:$AB$1441,"needs_review")</x:f>
        <x:v>0</x:v>
      </x:c>
    </x:row>
    <x:row r="878" ht="22" customHeight="1">
      <x:c r="A878" s="7" t="str">
        <x:v>womens_flip_flops_beach_size</x:v>
      </x:c>
      <x:c r="B878" s="7" t="n">
        <x:f>COUNTIF('唯一词标签'!$V$2:$V$1441,A878)</x:f>
        <x:v>1</x:v>
      </x:c>
      <x:c r="C878" s="55" t="n">
        <x:f>B878/COUNTA('唯一词标签'!$C$2:$C$1441)</x:f>
        <x:v>0.0006944444444444445</x:v>
      </x:c>
      <x:c r="D878" s="7" t="n">
        <x:f>COUNTIFS('唯一词标签'!$V$2:$V$1441,A878,'唯一词标签'!$Z$2:$Z$1441,"match")</x:f>
        <x:v>1</x:v>
      </x:c>
      <x:c r="E878" s="7" t="n">
        <x:f>COUNTIFS('唯一词标签'!$V$2:$V$1441,A878,'唯一词标签'!$Z$2:$Z$1441,"partial_match")</x:f>
        <x:v>0</x:v>
      </x:c>
      <x:c r="F878" s="7" t="n">
        <x:f>COUNTIFS('唯一词标签'!$V$2:$V$1441,A878,'唯一词标签'!$Z$2:$Z$1441,"mismatch")</x:f>
        <x:v>0</x:v>
      </x:c>
      <x:c r="G878" s="7" t="n">
        <x:f>COUNTIFS('唯一词标签'!$V$2:$V$1441,A878,'唯一词标签'!$Z$2:$Z$1441,"unknown")</x:f>
        <x:v>0</x:v>
      </x:c>
      <x:c r="H878" s="7" t="n">
        <x:f>COUNTIFS('唯一词标签'!$V$2:$V$1441,A878,'唯一词标签'!$U$2:$U$1441,"low")</x:f>
        <x:v>0</x:v>
      </x:c>
      <x:c r="I878" s="7" t="n">
        <x:f>COUNTIFS('唯一词标签'!$V$2:$V$1441,A878,'唯一词标签'!$AB$2:$AB$1441,"needs_review")</x:f>
        <x:v>0</x:v>
      </x:c>
    </x:row>
    <x:row r="879" ht="22" customHeight="1">
      <x:c r="A879" s="7" t="str">
        <x:v>womens_flip_flops_black</x:v>
      </x:c>
      <x:c r="B879" s="7" t="n">
        <x:f>COUNTIF('唯一词标签'!$V$2:$V$1441,A879)</x:f>
        <x:v>1</x:v>
      </x:c>
      <x:c r="C879" s="55" t="n">
        <x:f>B879/COUNTA('唯一词标签'!$C$2:$C$1441)</x:f>
        <x:v>0.0006944444444444445</x:v>
      </x:c>
      <x:c r="D879" s="7" t="n">
        <x:f>COUNTIFS('唯一词标签'!$V$2:$V$1441,A879,'唯一词标签'!$Z$2:$Z$1441,"match")</x:f>
        <x:v>1</x:v>
      </x:c>
      <x:c r="E879" s="7" t="n">
        <x:f>COUNTIFS('唯一词标签'!$V$2:$V$1441,A879,'唯一词标签'!$Z$2:$Z$1441,"partial_match")</x:f>
        <x:v>0</x:v>
      </x:c>
      <x:c r="F879" s="7" t="n">
        <x:f>COUNTIFS('唯一词标签'!$V$2:$V$1441,A879,'唯一词标签'!$Z$2:$Z$1441,"mismatch")</x:f>
        <x:v>0</x:v>
      </x:c>
      <x:c r="G879" s="7" t="n">
        <x:f>COUNTIFS('唯一词标签'!$V$2:$V$1441,A879,'唯一词标签'!$Z$2:$Z$1441,"unknown")</x:f>
        <x:v>0</x:v>
      </x:c>
      <x:c r="H879" s="7" t="n">
        <x:f>COUNTIFS('唯一词标签'!$V$2:$V$1441,A879,'唯一词标签'!$U$2:$U$1441,"low")</x:f>
        <x:v>0</x:v>
      </x:c>
      <x:c r="I879" s="7" t="n">
        <x:f>COUNTIFS('唯一词标签'!$V$2:$V$1441,A879,'唯一词标签'!$AB$2:$AB$1441,"needs_review")</x:f>
        <x:v>0</x:v>
      </x:c>
    </x:row>
    <x:row r="880" ht="22" customHeight="1">
      <x:c r="A880" s="7" t="str">
        <x:v>womens_flip_flops_black_size10</x:v>
      </x:c>
      <x:c r="B880" s="7" t="n">
        <x:f>COUNTIF('唯一词标签'!$V$2:$V$1441,A880)</x:f>
        <x:v>1</x:v>
      </x:c>
      <x:c r="C880" s="55" t="n">
        <x:f>B880/COUNTA('唯一词标签'!$C$2:$C$1441)</x:f>
        <x:v>0.0006944444444444445</x:v>
      </x:c>
      <x:c r="D880" s="7" t="n">
        <x:f>COUNTIFS('唯一词标签'!$V$2:$V$1441,A880,'唯一词标签'!$Z$2:$Z$1441,"match")</x:f>
        <x:v>1</x:v>
      </x:c>
      <x:c r="E880" s="7" t="n">
        <x:f>COUNTIFS('唯一词标签'!$V$2:$V$1441,A880,'唯一词标签'!$Z$2:$Z$1441,"partial_match")</x:f>
        <x:v>0</x:v>
      </x:c>
      <x:c r="F880" s="7" t="n">
        <x:f>COUNTIFS('唯一词标签'!$V$2:$V$1441,A880,'唯一词标签'!$Z$2:$Z$1441,"mismatch")</x:f>
        <x:v>0</x:v>
      </x:c>
      <x:c r="G880" s="7" t="n">
        <x:f>COUNTIFS('唯一词标签'!$V$2:$V$1441,A880,'唯一词标签'!$Z$2:$Z$1441,"unknown")</x:f>
        <x:v>0</x:v>
      </x:c>
      <x:c r="H880" s="7" t="n">
        <x:f>COUNTIFS('唯一词标签'!$V$2:$V$1441,A880,'唯一词标签'!$U$2:$U$1441,"low")</x:f>
        <x:v>0</x:v>
      </x:c>
      <x:c r="I880" s="7" t="n">
        <x:f>COUNTIFS('唯一词标签'!$V$2:$V$1441,A880,'唯一词标签'!$AB$2:$AB$1441,"needs_review")</x:f>
        <x:v>0</x:v>
      </x:c>
    </x:row>
    <x:row r="881" ht="22" customHeight="1">
      <x:c r="A881" s="7" t="str">
        <x:v>womens_flip_flops_broad</x:v>
      </x:c>
      <x:c r="B881" s="7" t="n">
        <x:f>COUNTIF('唯一词标签'!$V$2:$V$1441,A881)</x:f>
        <x:v>1</x:v>
      </x:c>
      <x:c r="C881" s="55" t="n">
        <x:f>B881/COUNTA('唯一词标签'!$C$2:$C$1441)</x:f>
        <x:v>0.0006944444444444445</x:v>
      </x:c>
      <x:c r="D881" s="7" t="n">
        <x:f>COUNTIFS('唯一词标签'!$V$2:$V$1441,A881,'唯一词标签'!$Z$2:$Z$1441,"match")</x:f>
        <x:v>1</x:v>
      </x:c>
      <x:c r="E881" s="7" t="n">
        <x:f>COUNTIFS('唯一词标签'!$V$2:$V$1441,A881,'唯一词标签'!$Z$2:$Z$1441,"partial_match")</x:f>
        <x:v>0</x:v>
      </x:c>
      <x:c r="F881" s="7" t="n">
        <x:f>COUNTIFS('唯一词标签'!$V$2:$V$1441,A881,'唯一词标签'!$Z$2:$Z$1441,"mismatch")</x:f>
        <x:v>0</x:v>
      </x:c>
      <x:c r="G881" s="7" t="n">
        <x:f>COUNTIFS('唯一词标签'!$V$2:$V$1441,A881,'唯一词标签'!$Z$2:$Z$1441,"unknown")</x:f>
        <x:v>0</x:v>
      </x:c>
      <x:c r="H881" s="7" t="n">
        <x:f>COUNTIFS('唯一词标签'!$V$2:$V$1441,A881,'唯一词标签'!$U$2:$U$1441,"low")</x:f>
        <x:v>0</x:v>
      </x:c>
      <x:c r="I881" s="7" t="n">
        <x:f>COUNTIFS('唯一词标签'!$V$2:$V$1441,A881,'唯一词标签'!$AB$2:$AB$1441,"needs_review")</x:f>
        <x:v>0</x:v>
      </x:c>
    </x:row>
    <x:row r="882" ht="22" customHeight="1">
      <x:c r="A882" s="7" t="str">
        <x:v>womens_flip_flops_brown</x:v>
      </x:c>
      <x:c r="B882" s="7" t="n">
        <x:f>COUNTIF('唯一词标签'!$V$2:$V$1441,A882)</x:f>
        <x:v>2</x:v>
      </x:c>
      <x:c r="C882" s="55" t="n">
        <x:f>B882/COUNTA('唯一词标签'!$C$2:$C$1441)</x:f>
        <x:v>0.001388888888888889</x:v>
      </x:c>
      <x:c r="D882" s="7" t="n">
        <x:f>COUNTIFS('唯一词标签'!$V$2:$V$1441,A882,'唯一词标签'!$Z$2:$Z$1441,"match")</x:f>
        <x:v>2</x:v>
      </x:c>
      <x:c r="E882" s="7" t="n">
        <x:f>COUNTIFS('唯一词标签'!$V$2:$V$1441,A882,'唯一词标签'!$Z$2:$Z$1441,"partial_match")</x:f>
        <x:v>0</x:v>
      </x:c>
      <x:c r="F882" s="7" t="n">
        <x:f>COUNTIFS('唯一词标签'!$V$2:$V$1441,A882,'唯一词标签'!$Z$2:$Z$1441,"mismatch")</x:f>
        <x:v>0</x:v>
      </x:c>
      <x:c r="G882" s="7" t="n">
        <x:f>COUNTIFS('唯一词标签'!$V$2:$V$1441,A882,'唯一词标签'!$Z$2:$Z$1441,"unknown")</x:f>
        <x:v>0</x:v>
      </x:c>
      <x:c r="H882" s="7" t="n">
        <x:f>COUNTIFS('唯一词标签'!$V$2:$V$1441,A882,'唯一词标签'!$U$2:$U$1441,"low")</x:f>
        <x:v>0</x:v>
      </x:c>
      <x:c r="I882" s="7" t="n">
        <x:f>COUNTIFS('唯一词标签'!$V$2:$V$1441,A882,'唯一词标签'!$AB$2:$AB$1441,"needs_review")</x:f>
        <x:v>0</x:v>
      </x:c>
    </x:row>
    <x:row r="883" ht="22" customHeight="1">
      <x:c r="A883" s="7" t="str">
        <x:v>womens_flip_flops_by_color</x:v>
      </x:c>
      <x:c r="B883" s="7" t="n">
        <x:f>COUNTIF('唯一词标签'!$V$2:$V$1441,A883)</x:f>
        <x:v>2</x:v>
      </x:c>
      <x:c r="C883" s="55" t="n">
        <x:f>B883/COUNTA('唯一词标签'!$C$2:$C$1441)</x:f>
        <x:v>0.001388888888888889</x:v>
      </x:c>
      <x:c r="D883" s="7" t="n">
        <x:f>COUNTIFS('唯一词标签'!$V$2:$V$1441,A883,'唯一词标签'!$Z$2:$Z$1441,"match")</x:f>
        <x:v>2</x:v>
      </x:c>
      <x:c r="E883" s="7" t="n">
        <x:f>COUNTIFS('唯一词标签'!$V$2:$V$1441,A883,'唯一词标签'!$Z$2:$Z$1441,"partial_match")</x:f>
        <x:v>0</x:v>
      </x:c>
      <x:c r="F883" s="7" t="n">
        <x:f>COUNTIFS('唯一词标签'!$V$2:$V$1441,A883,'唯一词标签'!$Z$2:$Z$1441,"mismatch")</x:f>
        <x:v>0</x:v>
      </x:c>
      <x:c r="G883" s="7" t="n">
        <x:f>COUNTIFS('唯一词标签'!$V$2:$V$1441,A883,'唯一词标签'!$Z$2:$Z$1441,"unknown")</x:f>
        <x:v>0</x:v>
      </x:c>
      <x:c r="H883" s="7" t="n">
        <x:f>COUNTIFS('唯一词标签'!$V$2:$V$1441,A883,'唯一词标签'!$U$2:$U$1441,"low")</x:f>
        <x:v>0</x:v>
      </x:c>
      <x:c r="I883" s="7" t="n">
        <x:f>COUNTIFS('唯一词标签'!$V$2:$V$1441,A883,'唯一词标签'!$AB$2:$AB$1441,"needs_review")</x:f>
        <x:v>1</x:v>
      </x:c>
    </x:row>
    <x:row r="884" ht="22" customHeight="1">
      <x:c r="A884" s="7" t="str">
        <x:v>womens_flip_flops_by_size</x:v>
      </x:c>
      <x:c r="B884" s="7" t="n">
        <x:f>COUNTIF('唯一词标签'!$V$2:$V$1441,A884)</x:f>
        <x:v>2</x:v>
      </x:c>
      <x:c r="C884" s="55" t="n">
        <x:f>B884/COUNTA('唯一词标签'!$C$2:$C$1441)</x:f>
        <x:v>0.001388888888888889</x:v>
      </x:c>
      <x:c r="D884" s="7" t="n">
        <x:f>COUNTIFS('唯一词标签'!$V$2:$V$1441,A884,'唯一词标签'!$Z$2:$Z$1441,"match")</x:f>
        <x:v>2</x:v>
      </x:c>
      <x:c r="E884" s="7" t="n">
        <x:f>COUNTIFS('唯一词标签'!$V$2:$V$1441,A884,'唯一词标签'!$Z$2:$Z$1441,"partial_match")</x:f>
        <x:v>0</x:v>
      </x:c>
      <x:c r="F884" s="7" t="n">
        <x:f>COUNTIFS('唯一词标签'!$V$2:$V$1441,A884,'唯一词标签'!$Z$2:$Z$1441,"mismatch")</x:f>
        <x:v>0</x:v>
      </x:c>
      <x:c r="G884" s="7" t="n">
        <x:f>COUNTIFS('唯一词标签'!$V$2:$V$1441,A884,'唯一词标签'!$Z$2:$Z$1441,"unknown")</x:f>
        <x:v>0</x:v>
      </x:c>
      <x:c r="H884" s="7" t="n">
        <x:f>COUNTIFS('唯一词标签'!$V$2:$V$1441,A884,'唯一词标签'!$U$2:$U$1441,"low")</x:f>
        <x:v>0</x:v>
      </x:c>
      <x:c r="I884" s="7" t="n">
        <x:f>COUNTIFS('唯一词标签'!$V$2:$V$1441,A884,'唯一词标签'!$AB$2:$AB$1441,"needs_review")</x:f>
        <x:v>0</x:v>
      </x:c>
    </x:row>
    <x:row r="885" ht="22" customHeight="1">
      <x:c r="A885" s="7" t="str">
        <x:v>womens_flip_flops_clearance</x:v>
      </x:c>
      <x:c r="B885" s="7" t="n">
        <x:f>COUNTIF('唯一词标签'!$V$2:$V$1441,A885)</x:f>
        <x:v>2</x:v>
      </x:c>
      <x:c r="C885" s="55" t="n">
        <x:f>B885/COUNTA('唯一词标签'!$C$2:$C$1441)</x:f>
        <x:v>0.001388888888888889</x:v>
      </x:c>
      <x:c r="D885" s="7" t="n">
        <x:f>COUNTIFS('唯一词标签'!$V$2:$V$1441,A885,'唯一词标签'!$Z$2:$Z$1441,"match")</x:f>
        <x:v>0</x:v>
      </x:c>
      <x:c r="E885" s="7" t="n">
        <x:f>COUNTIFS('唯一词标签'!$V$2:$V$1441,A885,'唯一词标签'!$Z$2:$Z$1441,"partial_match")</x:f>
        <x:v>2</x:v>
      </x:c>
      <x:c r="F885" s="7" t="n">
        <x:f>COUNTIFS('唯一词标签'!$V$2:$V$1441,A885,'唯一词标签'!$Z$2:$Z$1441,"mismatch")</x:f>
        <x:v>0</x:v>
      </x:c>
      <x:c r="G885" s="7" t="n">
        <x:f>COUNTIFS('唯一词标签'!$V$2:$V$1441,A885,'唯一词标签'!$Z$2:$Z$1441,"unknown")</x:f>
        <x:v>0</x:v>
      </x:c>
      <x:c r="H885" s="7" t="n">
        <x:f>COUNTIFS('唯一词标签'!$V$2:$V$1441,A885,'唯一词标签'!$U$2:$U$1441,"low")</x:f>
        <x:v>0</x:v>
      </x:c>
      <x:c r="I885" s="7" t="n">
        <x:f>COUNTIFS('唯一词标签'!$V$2:$V$1441,A885,'唯一词标签'!$AB$2:$AB$1441,"needs_review")</x:f>
        <x:v>0</x:v>
      </x:c>
    </x:row>
    <x:row r="886" ht="22" customHeight="1">
      <x:c r="A886" s="7" t="str">
        <x:v>womens_flip_flops_cloth_strap</x:v>
      </x:c>
      <x:c r="B886" s="7" t="n">
        <x:f>COUNTIF('唯一词标签'!$V$2:$V$1441,A886)</x:f>
        <x:v>1</x:v>
      </x:c>
      <x:c r="C886" s="55" t="n">
        <x:f>B886/COUNTA('唯一词标签'!$C$2:$C$1441)</x:f>
        <x:v>0.0006944444444444445</x:v>
      </x:c>
      <x:c r="D886" s="7" t="n">
        <x:f>COUNTIFS('唯一词标签'!$V$2:$V$1441,A886,'唯一词标签'!$Z$2:$Z$1441,"match")</x:f>
        <x:v>0</x:v>
      </x:c>
      <x:c r="E886" s="7" t="n">
        <x:f>COUNTIFS('唯一词标签'!$V$2:$V$1441,A886,'唯一词标签'!$Z$2:$Z$1441,"partial_match")</x:f>
        <x:v>0</x:v>
      </x:c>
      <x:c r="F886" s="7" t="n">
        <x:f>COUNTIFS('唯一词标签'!$V$2:$V$1441,A886,'唯一词标签'!$Z$2:$Z$1441,"mismatch")</x:f>
        <x:v>1</x:v>
      </x:c>
      <x:c r="G886" s="7" t="n">
        <x:f>COUNTIFS('唯一词标签'!$V$2:$V$1441,A886,'唯一词标签'!$Z$2:$Z$1441,"unknown")</x:f>
        <x:v>0</x:v>
      </x:c>
      <x:c r="H886" s="7" t="n">
        <x:f>COUNTIFS('唯一词标签'!$V$2:$V$1441,A886,'唯一词标签'!$U$2:$U$1441,"low")</x:f>
        <x:v>0</x:v>
      </x:c>
      <x:c r="I886" s="7" t="n">
        <x:f>COUNTIFS('唯一词标签'!$V$2:$V$1441,A886,'唯一词标签'!$AB$2:$AB$1441,"needs_review")</x:f>
        <x:v>0</x:v>
      </x:c>
    </x:row>
    <x:row r="887" ht="22" customHeight="1">
      <x:c r="A887" s="7" t="str">
        <x:v>womens_flip_flops_color</x:v>
      </x:c>
      <x:c r="B887" s="7" t="n">
        <x:f>COUNTIF('唯一词标签'!$V$2:$V$1441,A887)</x:f>
        <x:v>9</x:v>
      </x:c>
      <x:c r="C887" s="55" t="n">
        <x:f>B887/COUNTA('唯一词标签'!$C$2:$C$1441)</x:f>
        <x:v>0.00625</x:v>
      </x:c>
      <x:c r="D887" s="7" t="n">
        <x:f>COUNTIFS('唯一词标签'!$V$2:$V$1441,A887,'唯一词标签'!$Z$2:$Z$1441,"match")</x:f>
        <x:v>4</x:v>
      </x:c>
      <x:c r="E887" s="7" t="n">
        <x:f>COUNTIFS('唯一词标签'!$V$2:$V$1441,A887,'唯一词标签'!$Z$2:$Z$1441,"partial_match")</x:f>
        <x:v>5</x:v>
      </x:c>
      <x:c r="F887" s="7" t="n">
        <x:f>COUNTIFS('唯一词标签'!$V$2:$V$1441,A887,'唯一词标签'!$Z$2:$Z$1441,"mismatch")</x:f>
        <x:v>0</x:v>
      </x:c>
      <x:c r="G887" s="7" t="n">
        <x:f>COUNTIFS('唯一词标签'!$V$2:$V$1441,A887,'唯一词标签'!$Z$2:$Z$1441,"unknown")</x:f>
        <x:v>0</x:v>
      </x:c>
      <x:c r="H887" s="7" t="n">
        <x:f>COUNTIFS('唯一词标签'!$V$2:$V$1441,A887,'唯一词标签'!$U$2:$U$1441,"low")</x:f>
        <x:v>0</x:v>
      </x:c>
      <x:c r="I887" s="7" t="n">
        <x:f>COUNTIFS('唯一词标签'!$V$2:$V$1441,A887,'唯一词标签'!$AB$2:$AB$1441,"needs_review")</x:f>
        <x:v>0</x:v>
      </x:c>
    </x:row>
    <x:row r="888" ht="22" customHeight="1">
      <x:c r="A888" s="7" t="str">
        <x:v>womens_flip_flops_color_branded</x:v>
      </x:c>
      <x:c r="B888" s="7" t="n">
        <x:f>COUNTIF('唯一词标签'!$V$2:$V$1441,A888)</x:f>
        <x:v>1</x:v>
      </x:c>
      <x:c r="C888" s="55" t="n">
        <x:f>B888/COUNTA('唯一词标签'!$C$2:$C$1441)</x:f>
        <x:v>0.0006944444444444445</x:v>
      </x:c>
      <x:c r="D888" s="7" t="n">
        <x:f>COUNTIFS('唯一词标签'!$V$2:$V$1441,A888,'唯一词标签'!$Z$2:$Z$1441,"match")</x:f>
        <x:v>0</x:v>
      </x:c>
      <x:c r="E888" s="7" t="n">
        <x:f>COUNTIFS('唯一词标签'!$V$2:$V$1441,A888,'唯一词标签'!$Z$2:$Z$1441,"partial_match")</x:f>
        <x:v>1</x:v>
      </x:c>
      <x:c r="F888" s="7" t="n">
        <x:f>COUNTIFS('唯一词标签'!$V$2:$V$1441,A888,'唯一词标签'!$Z$2:$Z$1441,"mismatch")</x:f>
        <x:v>0</x:v>
      </x:c>
      <x:c r="G888" s="7" t="n">
        <x:f>COUNTIFS('唯一词标签'!$V$2:$V$1441,A888,'唯一词标签'!$Z$2:$Z$1441,"unknown")</x:f>
        <x:v>0</x:v>
      </x:c>
      <x:c r="H888" s="7" t="n">
        <x:f>COUNTIFS('唯一词标签'!$V$2:$V$1441,A888,'唯一词标签'!$U$2:$U$1441,"low")</x:f>
        <x:v>0</x:v>
      </x:c>
      <x:c r="I888" s="7" t="n">
        <x:f>COUNTIFS('唯一词标签'!$V$2:$V$1441,A888,'唯一词标签'!$AB$2:$AB$1441,"needs_review")</x:f>
        <x:v>0</x:v>
      </x:c>
    </x:row>
    <x:row r="889" ht="22" customHeight="1">
      <x:c r="A889" s="7" t="str">
        <x:v>womens_flip_flops_color_material</x:v>
      </x:c>
      <x:c r="B889" s="7" t="n">
        <x:f>COUNTIF('唯一词标签'!$V$2:$V$1441,A889)</x:f>
        <x:v>1</x:v>
      </x:c>
      <x:c r="C889" s="55" t="n">
        <x:f>B889/COUNTA('唯一词标签'!$C$2:$C$1441)</x:f>
        <x:v>0.0006944444444444445</x:v>
      </x:c>
      <x:c r="D889" s="7" t="n">
        <x:f>COUNTIFS('唯一词标签'!$V$2:$V$1441,A889,'唯一词标签'!$Z$2:$Z$1441,"match")</x:f>
        <x:v>0</x:v>
      </x:c>
      <x:c r="E889" s="7" t="n">
        <x:f>COUNTIFS('唯一词标签'!$V$2:$V$1441,A889,'唯一词标签'!$Z$2:$Z$1441,"partial_match")</x:f>
        <x:v>1</x:v>
      </x:c>
      <x:c r="F889" s="7" t="n">
        <x:f>COUNTIFS('唯一词标签'!$V$2:$V$1441,A889,'唯一词标签'!$Z$2:$Z$1441,"mismatch")</x:f>
        <x:v>0</x:v>
      </x:c>
      <x:c r="G889" s="7" t="n">
        <x:f>COUNTIFS('唯一词标签'!$V$2:$V$1441,A889,'唯一词标签'!$Z$2:$Z$1441,"unknown")</x:f>
        <x:v>0</x:v>
      </x:c>
      <x:c r="H889" s="7" t="n">
        <x:f>COUNTIFS('唯一词标签'!$V$2:$V$1441,A889,'唯一词标签'!$U$2:$U$1441,"low")</x:f>
        <x:v>0</x:v>
      </x:c>
      <x:c r="I889" s="7" t="n">
        <x:f>COUNTIFS('唯一词标签'!$V$2:$V$1441,A889,'唯一词标签'!$AB$2:$AB$1441,"needs_review")</x:f>
        <x:v>0</x:v>
      </x:c>
    </x:row>
    <x:row r="890" ht="22" customHeight="1">
      <x:c r="A890" s="7" t="str">
        <x:v>womens_flip_flops_color_pink</x:v>
      </x:c>
      <x:c r="B890" s="7" t="n">
        <x:f>COUNTIF('唯一词标签'!$V$2:$V$1441,A890)</x:f>
        <x:v>1</x:v>
      </x:c>
      <x:c r="C890" s="55" t="n">
        <x:f>B890/COUNTA('唯一词标签'!$C$2:$C$1441)</x:f>
        <x:v>0.0006944444444444445</x:v>
      </x:c>
      <x:c r="D890" s="7" t="n">
        <x:f>COUNTIFS('唯一词标签'!$V$2:$V$1441,A890,'唯一词标签'!$Z$2:$Z$1441,"match")</x:f>
        <x:v>1</x:v>
      </x:c>
      <x:c r="E890" s="7" t="n">
        <x:f>COUNTIFS('唯一词标签'!$V$2:$V$1441,A890,'唯一词标签'!$Z$2:$Z$1441,"partial_match")</x:f>
        <x:v>0</x:v>
      </x:c>
      <x:c r="F890" s="7" t="n">
        <x:f>COUNTIFS('唯一词标签'!$V$2:$V$1441,A890,'唯一词标签'!$Z$2:$Z$1441,"mismatch")</x:f>
        <x:v>0</x:v>
      </x:c>
      <x:c r="G890" s="7" t="n">
        <x:f>COUNTIFS('唯一词标签'!$V$2:$V$1441,A890,'唯一词标签'!$Z$2:$Z$1441,"unknown")</x:f>
        <x:v>0</x:v>
      </x:c>
      <x:c r="H890" s="7" t="n">
        <x:f>COUNTIFS('唯一词标签'!$V$2:$V$1441,A890,'唯一词标签'!$U$2:$U$1441,"low")</x:f>
        <x:v>0</x:v>
      </x:c>
      <x:c r="I890" s="7" t="n">
        <x:f>COUNTIFS('唯一词标签'!$V$2:$V$1441,A890,'唯一词标签'!$AB$2:$AB$1441,"needs_review")</x:f>
        <x:v>0</x:v>
      </x:c>
    </x:row>
    <x:row r="891" ht="22" customHeight="1">
      <x:c r="A891" s="7" t="str">
        <x:v>womens_flip_flops_color_size</x:v>
      </x:c>
      <x:c r="B891" s="7" t="n">
        <x:f>COUNTIF('唯一词标签'!$V$2:$V$1441,A891)</x:f>
        <x:v>3</x:v>
      </x:c>
      <x:c r="C891" s="55" t="n">
        <x:f>B891/COUNTA('唯一词标签'!$C$2:$C$1441)</x:f>
        <x:v>0.0020833333333333333</x:v>
      </x:c>
      <x:c r="D891" s="7" t="n">
        <x:f>COUNTIFS('唯一词标签'!$V$2:$V$1441,A891,'唯一词标签'!$Z$2:$Z$1441,"match")</x:f>
        <x:v>0</x:v>
      </x:c>
      <x:c r="E891" s="7" t="n">
        <x:f>COUNTIFS('唯一词标签'!$V$2:$V$1441,A891,'唯一词标签'!$Z$2:$Z$1441,"partial_match")</x:f>
        <x:v>2</x:v>
      </x:c>
      <x:c r="F891" s="7" t="n">
        <x:f>COUNTIFS('唯一词标签'!$V$2:$V$1441,A891,'唯一词标签'!$Z$2:$Z$1441,"mismatch")</x:f>
        <x:v>1</x:v>
      </x:c>
      <x:c r="G891" s="7" t="n">
        <x:f>COUNTIFS('唯一词标签'!$V$2:$V$1441,A891,'唯一词标签'!$Z$2:$Z$1441,"unknown")</x:f>
        <x:v>0</x:v>
      </x:c>
      <x:c r="H891" s="7" t="n">
        <x:f>COUNTIFS('唯一词标签'!$V$2:$V$1441,A891,'唯一词标签'!$U$2:$U$1441,"low")</x:f>
        <x:v>0</x:v>
      </x:c>
      <x:c r="I891" s="7" t="n">
        <x:f>COUNTIFS('唯一词标签'!$V$2:$V$1441,A891,'唯一词标签'!$AB$2:$AB$1441,"needs_review")</x:f>
        <x:v>0</x:v>
      </x:c>
    </x:row>
    <x:row r="892" ht="22" customHeight="1">
      <x:c r="A892" s="7" t="str">
        <x:v>womens_flip_flops_color_specific</x:v>
      </x:c>
      <x:c r="B892" s="7" t="n">
        <x:f>COUNTIF('唯一词标签'!$V$2:$V$1441,A892)</x:f>
        <x:v>1</x:v>
      </x:c>
      <x:c r="C892" s="55" t="n">
        <x:f>B892/COUNTA('唯一词标签'!$C$2:$C$1441)</x:f>
        <x:v>0.0006944444444444445</x:v>
      </x:c>
      <x:c r="D892" s="7" t="n">
        <x:f>COUNTIFS('唯一词标签'!$V$2:$V$1441,A892,'唯一词标签'!$Z$2:$Z$1441,"match")</x:f>
        <x:v>0</x:v>
      </x:c>
      <x:c r="E892" s="7" t="n">
        <x:f>COUNTIFS('唯一词标签'!$V$2:$V$1441,A892,'唯一词标签'!$Z$2:$Z$1441,"partial_match")</x:f>
        <x:v>1</x:v>
      </x:c>
      <x:c r="F892" s="7" t="n">
        <x:f>COUNTIFS('唯一词标签'!$V$2:$V$1441,A892,'唯一词标签'!$Z$2:$Z$1441,"mismatch")</x:f>
        <x:v>0</x:v>
      </x:c>
      <x:c r="G892" s="7" t="n">
        <x:f>COUNTIFS('唯一词标签'!$V$2:$V$1441,A892,'唯一词标签'!$Z$2:$Z$1441,"unknown")</x:f>
        <x:v>0</x:v>
      </x:c>
      <x:c r="H892" s="7" t="n">
        <x:f>COUNTIFS('唯一词标签'!$V$2:$V$1441,A892,'唯一词标签'!$U$2:$U$1441,"low")</x:f>
        <x:v>0</x:v>
      </x:c>
      <x:c r="I892" s="7" t="n">
        <x:f>COUNTIFS('唯一词标签'!$V$2:$V$1441,A892,'唯一词标签'!$AB$2:$AB$1441,"needs_review")</x:f>
        <x:v>0</x:v>
      </x:c>
    </x:row>
    <x:row r="893" ht="22" customHeight="1">
      <x:c r="A893" s="7" t="str">
        <x:v>womens_flip_flops_color_tan</x:v>
      </x:c>
      <x:c r="B893" s="7" t="n">
        <x:f>COUNTIF('唯一词标签'!$V$2:$V$1441,A893)</x:f>
        <x:v>1</x:v>
      </x:c>
      <x:c r="C893" s="55" t="n">
        <x:f>B893/COUNTA('唯一词标签'!$C$2:$C$1441)</x:f>
        <x:v>0.0006944444444444445</x:v>
      </x:c>
      <x:c r="D893" s="7" t="n">
        <x:f>COUNTIFS('唯一词标签'!$V$2:$V$1441,A893,'唯一词标签'!$Z$2:$Z$1441,"match")</x:f>
        <x:v>0</x:v>
      </x:c>
      <x:c r="E893" s="7" t="n">
        <x:f>COUNTIFS('唯一词标签'!$V$2:$V$1441,A893,'唯一词标签'!$Z$2:$Z$1441,"partial_match")</x:f>
        <x:v>1</x:v>
      </x:c>
      <x:c r="F893" s="7" t="n">
        <x:f>COUNTIFS('唯一词标签'!$V$2:$V$1441,A893,'唯一词标签'!$Z$2:$Z$1441,"mismatch")</x:f>
        <x:v>0</x:v>
      </x:c>
      <x:c r="G893" s="7" t="n">
        <x:f>COUNTIFS('唯一词标签'!$V$2:$V$1441,A893,'唯一词标签'!$Z$2:$Z$1441,"unknown")</x:f>
        <x:v>0</x:v>
      </x:c>
      <x:c r="H893" s="7" t="n">
        <x:f>COUNTIFS('唯一词标签'!$V$2:$V$1441,A893,'唯一词标签'!$U$2:$U$1441,"low")</x:f>
        <x:v>0</x:v>
      </x:c>
      <x:c r="I893" s="7" t="n">
        <x:f>COUNTIFS('唯一词标签'!$V$2:$V$1441,A893,'唯一词标签'!$AB$2:$AB$1441,"needs_review")</x:f>
        <x:v>0</x:v>
      </x:c>
    </x:row>
    <x:row r="894" ht="22" customHeight="1">
      <x:c r="A894" s="7" t="str">
        <x:v>womens_flip_flops_color_variety</x:v>
      </x:c>
      <x:c r="B894" s="7" t="n">
        <x:f>COUNTIF('唯一词标签'!$V$2:$V$1441,A894)</x:f>
        <x:v>1</x:v>
      </x:c>
      <x:c r="C894" s="55" t="n">
        <x:f>B894/COUNTA('唯一词标签'!$C$2:$C$1441)</x:f>
        <x:v>0.0006944444444444445</x:v>
      </x:c>
      <x:c r="D894" s="7" t="n">
        <x:f>COUNTIFS('唯一词标签'!$V$2:$V$1441,A894,'唯一词标签'!$Z$2:$Z$1441,"match")</x:f>
        <x:v>1</x:v>
      </x:c>
      <x:c r="E894" s="7" t="n">
        <x:f>COUNTIFS('唯一词标签'!$V$2:$V$1441,A894,'唯一词标签'!$Z$2:$Z$1441,"partial_match")</x:f>
        <x:v>0</x:v>
      </x:c>
      <x:c r="F894" s="7" t="n">
        <x:f>COUNTIFS('唯一词标签'!$V$2:$V$1441,A894,'唯一词标签'!$Z$2:$Z$1441,"mismatch")</x:f>
        <x:v>0</x:v>
      </x:c>
      <x:c r="G894" s="7" t="n">
        <x:f>COUNTIFS('唯一词标签'!$V$2:$V$1441,A894,'唯一词标签'!$Z$2:$Z$1441,"unknown")</x:f>
        <x:v>0</x:v>
      </x:c>
      <x:c r="H894" s="7" t="n">
        <x:f>COUNTIFS('唯一词标签'!$V$2:$V$1441,A894,'唯一词标签'!$U$2:$U$1441,"low")</x:f>
        <x:v>0</x:v>
      </x:c>
      <x:c r="I894" s="7" t="n">
        <x:f>COUNTIFS('唯一词标签'!$V$2:$V$1441,A894,'唯一词标签'!$AB$2:$AB$1441,"needs_review")</x:f>
        <x:v>0</x:v>
      </x:c>
    </x:row>
    <x:row r="895" ht="22" customHeight="1">
      <x:c r="A895" s="7" t="str">
        <x:v>womens_flip_flops_comfort</x:v>
      </x:c>
      <x:c r="B895" s="7" t="n">
        <x:f>COUNTIF('唯一词标签'!$V$2:$V$1441,A895)</x:f>
        <x:v>1</x:v>
      </x:c>
      <x:c r="C895" s="55" t="n">
        <x:f>B895/COUNTA('唯一词标签'!$C$2:$C$1441)</x:f>
        <x:v>0.0006944444444444445</x:v>
      </x:c>
      <x:c r="D895" s="7" t="n">
        <x:f>COUNTIFS('唯一词标签'!$V$2:$V$1441,A895,'唯一词标签'!$Z$2:$Z$1441,"match")</x:f>
        <x:v>1</x:v>
      </x:c>
      <x:c r="E895" s="7" t="n">
        <x:f>COUNTIFS('唯一词标签'!$V$2:$V$1441,A895,'唯一词标签'!$Z$2:$Z$1441,"partial_match")</x:f>
        <x:v>0</x:v>
      </x:c>
      <x:c r="F895" s="7" t="n">
        <x:f>COUNTIFS('唯一词标签'!$V$2:$V$1441,A895,'唯一词标签'!$Z$2:$Z$1441,"mismatch")</x:f>
        <x:v>0</x:v>
      </x:c>
      <x:c r="G895" s="7" t="n">
        <x:f>COUNTIFS('唯一词标签'!$V$2:$V$1441,A895,'唯一词标签'!$Z$2:$Z$1441,"unknown")</x:f>
        <x:v>0</x:v>
      </x:c>
      <x:c r="H895" s="7" t="n">
        <x:f>COUNTIFS('唯一词标签'!$V$2:$V$1441,A895,'唯一词标签'!$U$2:$U$1441,"low")</x:f>
        <x:v>0</x:v>
      </x:c>
      <x:c r="I895" s="7" t="n">
        <x:f>COUNTIFS('唯一词标签'!$V$2:$V$1441,A895,'唯一词标签'!$AB$2:$AB$1441,"needs_review")</x:f>
        <x:v>0</x:v>
      </x:c>
    </x:row>
    <x:row r="896" ht="22" customHeight="1">
      <x:c r="A896" s="7" t="str">
        <x:v>womens_flip_flops_contoured_cushioned</x:v>
      </x:c>
      <x:c r="B896" s="7" t="n">
        <x:f>COUNTIF('唯一词标签'!$V$2:$V$1441,A896)</x:f>
        <x:v>1</x:v>
      </x:c>
      <x:c r="C896" s="55" t="n">
        <x:f>B896/COUNTA('唯一词标签'!$C$2:$C$1441)</x:f>
        <x:v>0.0006944444444444445</x:v>
      </x:c>
      <x:c r="D896" s="7" t="n">
        <x:f>COUNTIFS('唯一词标签'!$V$2:$V$1441,A896,'唯一词标签'!$Z$2:$Z$1441,"match")</x:f>
        <x:v>1</x:v>
      </x:c>
      <x:c r="E896" s="7" t="n">
        <x:f>COUNTIFS('唯一词标签'!$V$2:$V$1441,A896,'唯一词标签'!$Z$2:$Z$1441,"partial_match")</x:f>
        <x:v>0</x:v>
      </x:c>
      <x:c r="F896" s="7" t="n">
        <x:f>COUNTIFS('唯一词标签'!$V$2:$V$1441,A896,'唯一词标签'!$Z$2:$Z$1441,"mismatch")</x:f>
        <x:v>0</x:v>
      </x:c>
      <x:c r="G896" s="7" t="n">
        <x:f>COUNTIFS('唯一词标签'!$V$2:$V$1441,A896,'唯一词标签'!$Z$2:$Z$1441,"unknown")</x:f>
        <x:v>0</x:v>
      </x:c>
      <x:c r="H896" s="7" t="n">
        <x:f>COUNTIFS('唯一词标签'!$V$2:$V$1441,A896,'唯一词标签'!$U$2:$U$1441,"low")</x:f>
        <x:v>0</x:v>
      </x:c>
      <x:c r="I896" s="7" t="n">
        <x:f>COUNTIFS('唯一词标签'!$V$2:$V$1441,A896,'唯一词标签'!$AB$2:$AB$1441,"needs_review")</x:f>
        <x:v>0</x:v>
      </x:c>
    </x:row>
    <x:row r="897" ht="22" customHeight="1">
      <x:c r="A897" s="7" t="str">
        <x:v>womens_flip_flops_deal</x:v>
      </x:c>
      <x:c r="B897" s="7" t="n">
        <x:f>COUNTIF('唯一词标签'!$V$2:$V$1441,A897)</x:f>
        <x:v>1</x:v>
      </x:c>
      <x:c r="C897" s="55" t="n">
        <x:f>B897/COUNTA('唯一词标签'!$C$2:$C$1441)</x:f>
        <x:v>0.0006944444444444445</x:v>
      </x:c>
      <x:c r="D897" s="7" t="n">
        <x:f>COUNTIFS('唯一词标签'!$V$2:$V$1441,A897,'唯一词标签'!$Z$2:$Z$1441,"match")</x:f>
        <x:v>1</x:v>
      </x:c>
      <x:c r="E897" s="7" t="n">
        <x:f>COUNTIFS('唯一词标签'!$V$2:$V$1441,A897,'唯一词标签'!$Z$2:$Z$1441,"partial_match")</x:f>
        <x:v>0</x:v>
      </x:c>
      <x:c r="F897" s="7" t="n">
        <x:f>COUNTIFS('唯一词标签'!$V$2:$V$1441,A897,'唯一词标签'!$Z$2:$Z$1441,"mismatch")</x:f>
        <x:v>0</x:v>
      </x:c>
      <x:c r="G897" s="7" t="n">
        <x:f>COUNTIFS('唯一词标签'!$V$2:$V$1441,A897,'唯一词标签'!$Z$2:$Z$1441,"unknown")</x:f>
        <x:v>0</x:v>
      </x:c>
      <x:c r="H897" s="7" t="n">
        <x:f>COUNTIFS('唯一词标签'!$V$2:$V$1441,A897,'唯一词标签'!$U$2:$U$1441,"low")</x:f>
        <x:v>0</x:v>
      </x:c>
      <x:c r="I897" s="7" t="n">
        <x:f>COUNTIFS('唯一词标签'!$V$2:$V$1441,A897,'唯一词标签'!$AB$2:$AB$1441,"needs_review")</x:f>
        <x:v>0</x:v>
      </x:c>
    </x:row>
    <x:row r="898" ht="22" customHeight="1">
      <x:c r="A898" s="7" t="str">
        <x:v>womens_flip_flops_eu_size_43</x:v>
      </x:c>
      <x:c r="B898" s="7" t="n">
        <x:f>COUNTIF('唯一词标签'!$V$2:$V$1441,A898)</x:f>
        <x:v>1</x:v>
      </x:c>
      <x:c r="C898" s="55" t="n">
        <x:f>B898/COUNTA('唯一词标签'!$C$2:$C$1441)</x:f>
        <x:v>0.0006944444444444445</x:v>
      </x:c>
      <x:c r="D898" s="7" t="n">
        <x:f>COUNTIFS('唯一词标签'!$V$2:$V$1441,A898,'唯一词标签'!$Z$2:$Z$1441,"match")</x:f>
        <x:v>0</x:v>
      </x:c>
      <x:c r="E898" s="7" t="n">
        <x:f>COUNTIFS('唯一词标签'!$V$2:$V$1441,A898,'唯一词标签'!$Z$2:$Z$1441,"partial_match")</x:f>
        <x:v>1</x:v>
      </x:c>
      <x:c r="F898" s="7" t="n">
        <x:f>COUNTIFS('唯一词标签'!$V$2:$V$1441,A898,'唯一词标签'!$Z$2:$Z$1441,"mismatch")</x:f>
        <x:v>0</x:v>
      </x:c>
      <x:c r="G898" s="7" t="n">
        <x:f>COUNTIFS('唯一词标签'!$V$2:$V$1441,A898,'唯一词标签'!$Z$2:$Z$1441,"unknown")</x:f>
        <x:v>0</x:v>
      </x:c>
      <x:c r="H898" s="7" t="n">
        <x:f>COUNTIFS('唯一词标签'!$V$2:$V$1441,A898,'唯一词标签'!$U$2:$U$1441,"low")</x:f>
        <x:v>0</x:v>
      </x:c>
      <x:c r="I898" s="7" t="n">
        <x:f>COUNTIFS('唯一词标签'!$V$2:$V$1441,A898,'唯一词标签'!$AB$2:$AB$1441,"needs_review")</x:f>
        <x:v>1</x:v>
      </x:c>
    </x:row>
    <x:row r="899" ht="22" customHeight="1">
      <x:c r="A899" s="7" t="str">
        <x:v>womens_flip_flops_fast_delivery</x:v>
      </x:c>
      <x:c r="B899" s="7" t="n">
        <x:f>COUNTIF('唯一词标签'!$V$2:$V$1441,A899)</x:f>
        <x:v>1</x:v>
      </x:c>
      <x:c r="C899" s="55" t="n">
        <x:f>B899/COUNTA('唯一词标签'!$C$2:$C$1441)</x:f>
        <x:v>0.0006944444444444445</x:v>
      </x:c>
      <x:c r="D899" s="7" t="n">
        <x:f>COUNTIFS('唯一词标签'!$V$2:$V$1441,A899,'唯一词标签'!$Z$2:$Z$1441,"match")</x:f>
        <x:v>0</x:v>
      </x:c>
      <x:c r="E899" s="7" t="n">
        <x:f>COUNTIFS('唯一词标签'!$V$2:$V$1441,A899,'唯一词标签'!$Z$2:$Z$1441,"partial_match")</x:f>
        <x:v>1</x:v>
      </x:c>
      <x:c r="F899" s="7" t="n">
        <x:f>COUNTIFS('唯一词标签'!$V$2:$V$1441,A899,'唯一词标签'!$Z$2:$Z$1441,"mismatch")</x:f>
        <x:v>0</x:v>
      </x:c>
      <x:c r="G899" s="7" t="n">
        <x:f>COUNTIFS('唯一词标签'!$V$2:$V$1441,A899,'唯一词标签'!$Z$2:$Z$1441,"unknown")</x:f>
        <x:v>0</x:v>
      </x:c>
      <x:c r="H899" s="7" t="n">
        <x:f>COUNTIFS('唯一词标签'!$V$2:$V$1441,A899,'唯一词标签'!$U$2:$U$1441,"low")</x:f>
        <x:v>0</x:v>
      </x:c>
      <x:c r="I899" s="7" t="n">
        <x:f>COUNTIFS('唯一词标签'!$V$2:$V$1441,A899,'唯一词标签'!$AB$2:$AB$1441,"needs_review")</x:f>
        <x:v>0</x:v>
      </x:c>
    </x:row>
    <x:row r="900" ht="22" customHeight="1">
      <x:c r="A900" s="7" t="str">
        <x:v>womens_flip_flops_general</x:v>
      </x:c>
      <x:c r="B900" s="7" t="n">
        <x:f>COUNTIF('唯一词标签'!$V$2:$V$1441,A900)</x:f>
        <x:v>2</x:v>
      </x:c>
      <x:c r="C900" s="55" t="n">
        <x:f>B900/COUNTA('唯一词标签'!$C$2:$C$1441)</x:f>
        <x:v>0.001388888888888889</x:v>
      </x:c>
      <x:c r="D900" s="7" t="n">
        <x:f>COUNTIFS('唯一词标签'!$V$2:$V$1441,A900,'唯一词标签'!$Z$2:$Z$1441,"match")</x:f>
        <x:v>2</x:v>
      </x:c>
      <x:c r="E900" s="7" t="n">
        <x:f>COUNTIFS('唯一词标签'!$V$2:$V$1441,A900,'唯一词标签'!$Z$2:$Z$1441,"partial_match")</x:f>
        <x:v>0</x:v>
      </x:c>
      <x:c r="F900" s="7" t="n">
        <x:f>COUNTIFS('唯一词标签'!$V$2:$V$1441,A900,'唯一词标签'!$Z$2:$Z$1441,"mismatch")</x:f>
        <x:v>0</x:v>
      </x:c>
      <x:c r="G900" s="7" t="n">
        <x:f>COUNTIFS('唯一词标签'!$V$2:$V$1441,A900,'唯一词标签'!$Z$2:$Z$1441,"unknown")</x:f>
        <x:v>0</x:v>
      </x:c>
      <x:c r="H900" s="7" t="n">
        <x:f>COUNTIFS('唯一词标签'!$V$2:$V$1441,A900,'唯一词标签'!$U$2:$U$1441,"low")</x:f>
        <x:v>0</x:v>
      </x:c>
      <x:c r="I900" s="7" t="n">
        <x:f>COUNTIFS('唯一词标签'!$V$2:$V$1441,A900,'唯一词标签'!$AB$2:$AB$1441,"needs_review")</x:f>
        <x:v>2</x:v>
      </x:c>
    </x:row>
    <x:row r="901" ht="22" customHeight="1">
      <x:c r="A901" s="7" t="str">
        <x:v>womens_flip_flops_generic</x:v>
      </x:c>
      <x:c r="B901" s="7" t="n">
        <x:f>COUNTIF('唯一词标签'!$V$2:$V$1441,A901)</x:f>
        <x:v>2</x:v>
      </x:c>
      <x:c r="C901" s="55" t="n">
        <x:f>B901/COUNTA('唯一词标签'!$C$2:$C$1441)</x:f>
        <x:v>0.001388888888888889</x:v>
      </x:c>
      <x:c r="D901" s="7" t="n">
        <x:f>COUNTIFS('唯一词标签'!$V$2:$V$1441,A901,'唯一词标签'!$Z$2:$Z$1441,"match")</x:f>
        <x:v>2</x:v>
      </x:c>
      <x:c r="E901" s="7" t="n">
        <x:f>COUNTIFS('唯一词标签'!$V$2:$V$1441,A901,'唯一词标签'!$Z$2:$Z$1441,"partial_match")</x:f>
        <x:v>0</x:v>
      </x:c>
      <x:c r="F901" s="7" t="n">
        <x:f>COUNTIFS('唯一词标签'!$V$2:$V$1441,A901,'唯一词标签'!$Z$2:$Z$1441,"mismatch")</x:f>
        <x:v>0</x:v>
      </x:c>
      <x:c r="G901" s="7" t="n">
        <x:f>COUNTIFS('唯一词标签'!$V$2:$V$1441,A901,'唯一词标签'!$Z$2:$Z$1441,"unknown")</x:f>
        <x:v>0</x:v>
      </x:c>
      <x:c r="H901" s="7" t="n">
        <x:f>COUNTIFS('唯一词标签'!$V$2:$V$1441,A901,'唯一词标签'!$U$2:$U$1441,"low")</x:f>
        <x:v>0</x:v>
      </x:c>
      <x:c r="I901" s="7" t="n">
        <x:f>COUNTIFS('唯一词标签'!$V$2:$V$1441,A901,'唯一词标签'!$AB$2:$AB$1441,"needs_review")</x:f>
        <x:v>0</x:v>
      </x:c>
    </x:row>
    <x:row r="902" ht="22" customHeight="1">
      <x:c r="A902" s="7" t="str">
        <x:v>womens_flip_flops_home_indoor</x:v>
      </x:c>
      <x:c r="B902" s="7" t="n">
        <x:f>COUNTIF('唯一词标签'!$V$2:$V$1441,A902)</x:f>
        <x:v>2</x:v>
      </x:c>
      <x:c r="C902" s="55" t="n">
        <x:f>B902/COUNTA('唯一词标签'!$C$2:$C$1441)</x:f>
        <x:v>0.001388888888888889</x:v>
      </x:c>
      <x:c r="D902" s="7" t="n">
        <x:f>COUNTIFS('唯一词标签'!$V$2:$V$1441,A902,'唯一词标签'!$Z$2:$Z$1441,"match")</x:f>
        <x:v>0</x:v>
      </x:c>
      <x:c r="E902" s="7" t="n">
        <x:f>COUNTIFS('唯一词标签'!$V$2:$V$1441,A902,'唯一词标签'!$Z$2:$Z$1441,"partial_match")</x:f>
        <x:v>2</x:v>
      </x:c>
      <x:c r="F902" s="7" t="n">
        <x:f>COUNTIFS('唯一词标签'!$V$2:$V$1441,A902,'唯一词标签'!$Z$2:$Z$1441,"mismatch")</x:f>
        <x:v>0</x:v>
      </x:c>
      <x:c r="G902" s="7" t="n">
        <x:f>COUNTIFS('唯一词标签'!$V$2:$V$1441,A902,'唯一词标签'!$Z$2:$Z$1441,"unknown")</x:f>
        <x:v>0</x:v>
      </x:c>
      <x:c r="H902" s="7" t="n">
        <x:f>COUNTIFS('唯一词标签'!$V$2:$V$1441,A902,'唯一词标签'!$U$2:$U$1441,"low")</x:f>
        <x:v>0</x:v>
      </x:c>
      <x:c r="I902" s="7" t="n">
        <x:f>COUNTIFS('唯一词标签'!$V$2:$V$1441,A902,'唯一词标签'!$AB$2:$AB$1441,"needs_review")</x:f>
        <x:v>0</x:v>
      </x:c>
    </x:row>
    <x:row r="903" ht="22" customHeight="1">
      <x:c r="A903" s="7" t="str">
        <x:v>womens_flip_flops_rubber</x:v>
      </x:c>
      <x:c r="B903" s="7" t="n">
        <x:f>COUNTIF('唯一词标签'!$V$2:$V$1441,A903)</x:f>
        <x:v>1</x:v>
      </x:c>
      <x:c r="C903" s="55" t="n">
        <x:f>B903/COUNTA('唯一词标签'!$C$2:$C$1441)</x:f>
        <x:v>0.0006944444444444445</x:v>
      </x:c>
      <x:c r="D903" s="7" t="n">
        <x:f>COUNTIFS('唯一词标签'!$V$2:$V$1441,A903,'唯一词标签'!$Z$2:$Z$1441,"match")</x:f>
        <x:v>0</x:v>
      </x:c>
      <x:c r="E903" s="7" t="n">
        <x:f>COUNTIFS('唯一词标签'!$V$2:$V$1441,A903,'唯一词标签'!$Z$2:$Z$1441,"partial_match")</x:f>
        <x:v>0</x:v>
      </x:c>
      <x:c r="F903" s="7" t="n">
        <x:f>COUNTIFS('唯一词标签'!$V$2:$V$1441,A903,'唯一词标签'!$Z$2:$Z$1441,"mismatch")</x:f>
        <x:v>1</x:v>
      </x:c>
      <x:c r="G903" s="7" t="n">
        <x:f>COUNTIFS('唯一词标签'!$V$2:$V$1441,A903,'唯一词标签'!$Z$2:$Z$1441,"unknown")</x:f>
        <x:v>0</x:v>
      </x:c>
      <x:c r="H903" s="7" t="n">
        <x:f>COUNTIFS('唯一词标签'!$V$2:$V$1441,A903,'唯一词标签'!$U$2:$U$1441,"low")</x:f>
        <x:v>0</x:v>
      </x:c>
      <x:c r="I903" s="7" t="n">
        <x:f>COUNTIFS('唯一词标签'!$V$2:$V$1441,A903,'唯一词标签'!$AB$2:$AB$1441,"needs_review")</x:f>
        <x:v>0</x:v>
      </x:c>
    </x:row>
    <x:row r="904" ht="22" customHeight="1">
      <x:c r="A904" s="7" t="str">
        <x:v>womens_flip_flops_sale</x:v>
      </x:c>
      <x:c r="B904" s="7" t="n">
        <x:f>COUNTIF('唯一词标签'!$V$2:$V$1441,A904)</x:f>
        <x:v>2</x:v>
      </x:c>
      <x:c r="C904" s="55" t="n">
        <x:f>B904/COUNTA('唯一词标签'!$C$2:$C$1441)</x:f>
        <x:v>0.001388888888888889</x:v>
      </x:c>
      <x:c r="D904" s="7" t="n">
        <x:f>COUNTIFS('唯一词标签'!$V$2:$V$1441,A904,'唯一词标签'!$Z$2:$Z$1441,"match")</x:f>
        <x:v>1</x:v>
      </x:c>
      <x:c r="E904" s="7" t="n">
        <x:f>COUNTIFS('唯一词标签'!$V$2:$V$1441,A904,'唯一词标签'!$Z$2:$Z$1441,"partial_match")</x:f>
        <x:v>1</x:v>
      </x:c>
      <x:c r="F904" s="7" t="n">
        <x:f>COUNTIFS('唯一词标签'!$V$2:$V$1441,A904,'唯一词标签'!$Z$2:$Z$1441,"mismatch")</x:f>
        <x:v>0</x:v>
      </x:c>
      <x:c r="G904" s="7" t="n">
        <x:f>COUNTIFS('唯一词标签'!$V$2:$V$1441,A904,'唯一词标签'!$Z$2:$Z$1441,"unknown")</x:f>
        <x:v>0</x:v>
      </x:c>
      <x:c r="H904" s="7" t="n">
        <x:f>COUNTIFS('唯一词标签'!$V$2:$V$1441,A904,'唯一词标签'!$U$2:$U$1441,"low")</x:f>
        <x:v>0</x:v>
      </x:c>
      <x:c r="I904" s="7" t="n">
        <x:f>COUNTIFS('唯一词标签'!$V$2:$V$1441,A904,'唯一词标签'!$AB$2:$AB$1441,"needs_review")</x:f>
        <x:v>0</x:v>
      </x:c>
    </x:row>
    <x:row r="905" ht="22" customHeight="1">
      <x:c r="A905" s="7" t="str">
        <x:v>womens_flip_flops_size</x:v>
      </x:c>
      <x:c r="B905" s="7" t="n">
        <x:f>COUNTIF('唯一词标签'!$V$2:$V$1441,A905)</x:f>
        <x:v>3</x:v>
      </x:c>
      <x:c r="C905" s="55" t="n">
        <x:f>B905/COUNTA('唯一词标签'!$C$2:$C$1441)</x:f>
        <x:v>0.0020833333333333333</x:v>
      </x:c>
      <x:c r="D905" s="7" t="n">
        <x:f>COUNTIFS('唯一词标签'!$V$2:$V$1441,A905,'唯一词标签'!$Z$2:$Z$1441,"match")</x:f>
        <x:v>3</x:v>
      </x:c>
      <x:c r="E905" s="7" t="n">
        <x:f>COUNTIFS('唯一词标签'!$V$2:$V$1441,A905,'唯一词标签'!$Z$2:$Z$1441,"partial_match")</x:f>
        <x:v>0</x:v>
      </x:c>
      <x:c r="F905" s="7" t="n">
        <x:f>COUNTIFS('唯一词标签'!$V$2:$V$1441,A905,'唯一词标签'!$Z$2:$Z$1441,"mismatch")</x:f>
        <x:v>0</x:v>
      </x:c>
      <x:c r="G905" s="7" t="n">
        <x:f>COUNTIFS('唯一词标签'!$V$2:$V$1441,A905,'唯一词标签'!$Z$2:$Z$1441,"unknown")</x:f>
        <x:v>0</x:v>
      </x:c>
      <x:c r="H905" s="7" t="n">
        <x:f>COUNTIFS('唯一词标签'!$V$2:$V$1441,A905,'唯一词标签'!$U$2:$U$1441,"low")</x:f>
        <x:v>0</x:v>
      </x:c>
      <x:c r="I905" s="7" t="n">
        <x:f>COUNTIFS('唯一词标签'!$V$2:$V$1441,A905,'唯一词标签'!$AB$2:$AB$1441,"needs_review")</x:f>
        <x:v>0</x:v>
      </x:c>
    </x:row>
    <x:row r="906" ht="22" customHeight="1">
      <x:c r="A906" s="7" t="str">
        <x:v>womens_flip_flops_size_11</x:v>
      </x:c>
      <x:c r="B906" s="7" t="n">
        <x:f>COUNTIF('唯一词标签'!$V$2:$V$1441,A906)</x:f>
        <x:v>1</x:v>
      </x:c>
      <x:c r="C906" s="55" t="n">
        <x:f>B906/COUNTA('唯一词标签'!$C$2:$C$1441)</x:f>
        <x:v>0.0006944444444444445</x:v>
      </x:c>
      <x:c r="D906" s="7" t="n">
        <x:f>COUNTIFS('唯一词标签'!$V$2:$V$1441,A906,'唯一词标签'!$Z$2:$Z$1441,"match")</x:f>
        <x:v>1</x:v>
      </x:c>
      <x:c r="E906" s="7" t="n">
        <x:f>COUNTIFS('唯一词标签'!$V$2:$V$1441,A906,'唯一词标签'!$Z$2:$Z$1441,"partial_match")</x:f>
        <x:v>0</x:v>
      </x:c>
      <x:c r="F906" s="7" t="n">
        <x:f>COUNTIFS('唯一词标签'!$V$2:$V$1441,A906,'唯一词标签'!$Z$2:$Z$1441,"mismatch")</x:f>
        <x:v>0</x:v>
      </x:c>
      <x:c r="G906" s="7" t="n">
        <x:f>COUNTIFS('唯一词标签'!$V$2:$V$1441,A906,'唯一词标签'!$Z$2:$Z$1441,"unknown")</x:f>
        <x:v>0</x:v>
      </x:c>
      <x:c r="H906" s="7" t="n">
        <x:f>COUNTIFS('唯一词标签'!$V$2:$V$1441,A906,'唯一词标签'!$U$2:$U$1441,"low")</x:f>
        <x:v>0</x:v>
      </x:c>
      <x:c r="I906" s="7" t="n">
        <x:f>COUNTIFS('唯一词标签'!$V$2:$V$1441,A906,'唯一词标签'!$AB$2:$AB$1441,"needs_review")</x:f>
        <x:v>0</x:v>
      </x:c>
    </x:row>
    <x:row r="907" ht="22" customHeight="1">
      <x:c r="A907" s="7" t="str">
        <x:v>womens_flip_flops_size_12</x:v>
      </x:c>
      <x:c r="B907" s="7" t="n">
        <x:f>COUNTIF('唯一词标签'!$V$2:$V$1441,A907)</x:f>
        <x:v>1</x:v>
      </x:c>
      <x:c r="C907" s="55" t="n">
        <x:f>B907/COUNTA('唯一词标签'!$C$2:$C$1441)</x:f>
        <x:v>0.0006944444444444445</x:v>
      </x:c>
      <x:c r="D907" s="7" t="n">
        <x:f>COUNTIFS('唯一词标签'!$V$2:$V$1441,A907,'唯一词标签'!$Z$2:$Z$1441,"match")</x:f>
        <x:v>0</x:v>
      </x:c>
      <x:c r="E907" s="7" t="n">
        <x:f>COUNTIFS('唯一词标签'!$V$2:$V$1441,A907,'唯一词标签'!$Z$2:$Z$1441,"partial_match")</x:f>
        <x:v>1</x:v>
      </x:c>
      <x:c r="F907" s="7" t="n">
        <x:f>COUNTIFS('唯一词标签'!$V$2:$V$1441,A907,'唯一词标签'!$Z$2:$Z$1441,"mismatch")</x:f>
        <x:v>0</x:v>
      </x:c>
      <x:c r="G907" s="7" t="n">
        <x:f>COUNTIFS('唯一词标签'!$V$2:$V$1441,A907,'唯一词标签'!$Z$2:$Z$1441,"unknown")</x:f>
        <x:v>0</x:v>
      </x:c>
      <x:c r="H907" s="7" t="n">
        <x:f>COUNTIFS('唯一词标签'!$V$2:$V$1441,A907,'唯一词标签'!$U$2:$U$1441,"low")</x:f>
        <x:v>0</x:v>
      </x:c>
      <x:c r="I907" s="7" t="n">
        <x:f>COUNTIFS('唯一词标签'!$V$2:$V$1441,A907,'唯一词标签'!$AB$2:$AB$1441,"needs_review")</x:f>
        <x:v>0</x:v>
      </x:c>
    </x:row>
    <x:row r="908" ht="22" customHeight="1">
      <x:c r="A908" s="7" t="str">
        <x:v>womens_flip_flops_size_5</x:v>
      </x:c>
      <x:c r="B908" s="7" t="n">
        <x:f>COUNTIF('唯一词标签'!$V$2:$V$1441,A908)</x:f>
        <x:v>1</x:v>
      </x:c>
      <x:c r="C908" s="55" t="n">
        <x:f>B908/COUNTA('唯一词标签'!$C$2:$C$1441)</x:f>
        <x:v>0.0006944444444444445</x:v>
      </x:c>
      <x:c r="D908" s="7" t="n">
        <x:f>COUNTIFS('唯一词标签'!$V$2:$V$1441,A908,'唯一词标签'!$Z$2:$Z$1441,"match")</x:f>
        <x:v>0</x:v>
      </x:c>
      <x:c r="E908" s="7" t="n">
        <x:f>COUNTIFS('唯一词标签'!$V$2:$V$1441,A908,'唯一词标签'!$Z$2:$Z$1441,"partial_match")</x:f>
        <x:v>1</x:v>
      </x:c>
      <x:c r="F908" s="7" t="n">
        <x:f>COUNTIFS('唯一词标签'!$V$2:$V$1441,A908,'唯一词标签'!$Z$2:$Z$1441,"mismatch")</x:f>
        <x:v>0</x:v>
      </x:c>
      <x:c r="G908" s="7" t="n">
        <x:f>COUNTIFS('唯一词标签'!$V$2:$V$1441,A908,'唯一词标签'!$Z$2:$Z$1441,"unknown")</x:f>
        <x:v>0</x:v>
      </x:c>
      <x:c r="H908" s="7" t="n">
        <x:f>COUNTIFS('唯一词标签'!$V$2:$V$1441,A908,'唯一词标签'!$U$2:$U$1441,"low")</x:f>
        <x:v>0</x:v>
      </x:c>
      <x:c r="I908" s="7" t="n">
        <x:f>COUNTIFS('唯一词标签'!$V$2:$V$1441,A908,'唯一词标签'!$AB$2:$AB$1441,"needs_review")</x:f>
        <x:v>0</x:v>
      </x:c>
    </x:row>
    <x:row r="909" ht="22" customHeight="1">
      <x:c r="A909" s="7" t="str">
        <x:v>womens_flip_flops_size_5_5_arch</x:v>
      </x:c>
      <x:c r="B909" s="7" t="n">
        <x:f>COUNTIF('唯一词标签'!$V$2:$V$1441,A909)</x:f>
        <x:v>1</x:v>
      </x:c>
      <x:c r="C909" s="55" t="n">
        <x:f>B909/COUNTA('唯一词标签'!$C$2:$C$1441)</x:f>
        <x:v>0.0006944444444444445</x:v>
      </x:c>
      <x:c r="D909" s="7" t="n">
        <x:f>COUNTIFS('唯一词标签'!$V$2:$V$1441,A909,'唯一词标签'!$Z$2:$Z$1441,"match")</x:f>
        <x:v>0</x:v>
      </x:c>
      <x:c r="E909" s="7" t="n">
        <x:f>COUNTIFS('唯一词标签'!$V$2:$V$1441,A909,'唯一词标签'!$Z$2:$Z$1441,"partial_match")</x:f>
        <x:v>1</x:v>
      </x:c>
      <x:c r="F909" s="7" t="n">
        <x:f>COUNTIFS('唯一词标签'!$V$2:$V$1441,A909,'唯一词标签'!$Z$2:$Z$1441,"mismatch")</x:f>
        <x:v>0</x:v>
      </x:c>
      <x:c r="G909" s="7" t="n">
        <x:f>COUNTIFS('唯一词标签'!$V$2:$V$1441,A909,'唯一词标签'!$Z$2:$Z$1441,"unknown")</x:f>
        <x:v>0</x:v>
      </x:c>
      <x:c r="H909" s="7" t="n">
        <x:f>COUNTIFS('唯一词标签'!$V$2:$V$1441,A909,'唯一词标签'!$U$2:$U$1441,"low")</x:f>
        <x:v>0</x:v>
      </x:c>
      <x:c r="I909" s="7" t="n">
        <x:f>COUNTIFS('唯一词标签'!$V$2:$V$1441,A909,'唯一词标签'!$AB$2:$AB$1441,"needs_review")</x:f>
        <x:v>0</x:v>
      </x:c>
    </x:row>
    <x:row r="910" ht="22" customHeight="1">
      <x:c r="A910" s="7" t="str">
        <x:v>womens_flip_flops_size_8</x:v>
      </x:c>
      <x:c r="B910" s="7" t="n">
        <x:f>COUNTIF('唯一词标签'!$V$2:$V$1441,A910)</x:f>
        <x:v>2</x:v>
      </x:c>
      <x:c r="C910" s="55" t="n">
        <x:f>B910/COUNTA('唯一词标签'!$C$2:$C$1441)</x:f>
        <x:v>0.001388888888888889</x:v>
      </x:c>
      <x:c r="D910" s="7" t="n">
        <x:f>COUNTIFS('唯一词标签'!$V$2:$V$1441,A910,'唯一词标签'!$Z$2:$Z$1441,"match")</x:f>
        <x:v>2</x:v>
      </x:c>
      <x:c r="E910" s="7" t="n">
        <x:f>COUNTIFS('唯一词标签'!$V$2:$V$1441,A910,'唯一词标签'!$Z$2:$Z$1441,"partial_match")</x:f>
        <x:v>0</x:v>
      </x:c>
      <x:c r="F910" s="7" t="n">
        <x:f>COUNTIFS('唯一词标签'!$V$2:$V$1441,A910,'唯一词标签'!$Z$2:$Z$1441,"mismatch")</x:f>
        <x:v>0</x:v>
      </x:c>
      <x:c r="G910" s="7" t="n">
        <x:f>COUNTIFS('唯一词标签'!$V$2:$V$1441,A910,'唯一词标签'!$Z$2:$Z$1441,"unknown")</x:f>
        <x:v>0</x:v>
      </x:c>
      <x:c r="H910" s="7" t="n">
        <x:f>COUNTIFS('唯一词标签'!$V$2:$V$1441,A910,'唯一词标签'!$U$2:$U$1441,"low")</x:f>
        <x:v>0</x:v>
      </x:c>
      <x:c r="I910" s="7" t="n">
        <x:f>COUNTIFS('唯一词标签'!$V$2:$V$1441,A910,'唯一词标签'!$AB$2:$AB$1441,"needs_review")</x:f>
        <x:v>0</x:v>
      </x:c>
    </x:row>
    <x:row r="911" ht="22" customHeight="1">
      <x:c r="A911" s="7" t="str">
        <x:v>womens_flip_flops_size_color</x:v>
      </x:c>
      <x:c r="B911" s="7" t="n">
        <x:f>COUNTIF('唯一词标签'!$V$2:$V$1441,A911)</x:f>
        <x:v>1</x:v>
      </x:c>
      <x:c r="C911" s="55" t="n">
        <x:f>B911/COUNTA('唯一词标签'!$C$2:$C$1441)</x:f>
        <x:v>0.0006944444444444445</x:v>
      </x:c>
      <x:c r="D911" s="7" t="n">
        <x:f>COUNTIFS('唯一词标签'!$V$2:$V$1441,A911,'唯一词标签'!$Z$2:$Z$1441,"match")</x:f>
        <x:v>1</x:v>
      </x:c>
      <x:c r="E911" s="7" t="n">
        <x:f>COUNTIFS('唯一词标签'!$V$2:$V$1441,A911,'唯一词标签'!$Z$2:$Z$1441,"partial_match")</x:f>
        <x:v>0</x:v>
      </x:c>
      <x:c r="F911" s="7" t="n">
        <x:f>COUNTIFS('唯一词标签'!$V$2:$V$1441,A911,'唯一词标签'!$Z$2:$Z$1441,"mismatch")</x:f>
        <x:v>0</x:v>
      </x:c>
      <x:c r="G911" s="7" t="n">
        <x:f>COUNTIFS('唯一词标签'!$V$2:$V$1441,A911,'唯一词标签'!$Z$2:$Z$1441,"unknown")</x:f>
        <x:v>0</x:v>
      </x:c>
      <x:c r="H911" s="7" t="n">
        <x:f>COUNTIFS('唯一词标签'!$V$2:$V$1441,A911,'唯一词标签'!$U$2:$U$1441,"low")</x:f>
        <x:v>0</x:v>
      </x:c>
      <x:c r="I911" s="7" t="n">
        <x:f>COUNTIFS('唯一词标签'!$V$2:$V$1441,A911,'唯一词标签'!$AB$2:$AB$1441,"needs_review")</x:f>
        <x:v>0</x:v>
      </x:c>
    </x:row>
    <x:row r="912" ht="22" customHeight="1">
      <x:c r="A912" s="7" t="str">
        <x:v>womens_flip_flops_size9_textured</x:v>
      </x:c>
      <x:c r="B912" s="7" t="n">
        <x:f>COUNTIF('唯一词标签'!$V$2:$V$1441,A912)</x:f>
        <x:v>1</x:v>
      </x:c>
      <x:c r="C912" s="55" t="n">
        <x:f>B912/COUNTA('唯一词标签'!$C$2:$C$1441)</x:f>
        <x:v>0.0006944444444444445</x:v>
      </x:c>
      <x:c r="D912" s="7" t="n">
        <x:f>COUNTIFS('唯一词标签'!$V$2:$V$1441,A912,'唯一词标签'!$Z$2:$Z$1441,"match")</x:f>
        <x:v>0</x:v>
      </x:c>
      <x:c r="E912" s="7" t="n">
        <x:f>COUNTIFS('唯一词标签'!$V$2:$V$1441,A912,'唯一词标签'!$Z$2:$Z$1441,"partial_match")</x:f>
        <x:v>1</x:v>
      </x:c>
      <x:c r="F912" s="7" t="n">
        <x:f>COUNTIFS('唯一词标签'!$V$2:$V$1441,A912,'唯一词标签'!$Z$2:$Z$1441,"mismatch")</x:f>
        <x:v>0</x:v>
      </x:c>
      <x:c r="G912" s="7" t="n">
        <x:f>COUNTIFS('唯一词标签'!$V$2:$V$1441,A912,'唯一词标签'!$Z$2:$Z$1441,"unknown")</x:f>
        <x:v>0</x:v>
      </x:c>
      <x:c r="H912" s="7" t="n">
        <x:f>COUNTIFS('唯一词标签'!$V$2:$V$1441,A912,'唯一词标签'!$U$2:$U$1441,"low")</x:f>
        <x:v>0</x:v>
      </x:c>
      <x:c r="I912" s="7" t="n">
        <x:f>COUNTIFS('唯一词标签'!$V$2:$V$1441,A912,'唯一词标签'!$AB$2:$AB$1441,"needs_review")</x:f>
        <x:v>0</x:v>
      </x:c>
    </x:row>
    <x:row r="913" ht="22" customHeight="1">
      <x:c r="A913" s="7" t="str">
        <x:v>womens_flip_flops_sized</x:v>
      </x:c>
      <x:c r="B913" s="7" t="n">
        <x:f>COUNTIF('唯一词标签'!$V$2:$V$1441,A913)</x:f>
        <x:v>7</x:v>
      </x:c>
      <x:c r="C913" s="55" t="n">
        <x:f>B913/COUNTA('唯一词标签'!$C$2:$C$1441)</x:f>
        <x:v>0.004861111111111111</x:v>
      </x:c>
      <x:c r="D913" s="7" t="n">
        <x:f>COUNTIFS('唯一词标签'!$V$2:$V$1441,A913,'唯一词标签'!$Z$2:$Z$1441,"match")</x:f>
        <x:v>7</x:v>
      </x:c>
      <x:c r="E913" s="7" t="n">
        <x:f>COUNTIFS('唯一词标签'!$V$2:$V$1441,A913,'唯一词标签'!$Z$2:$Z$1441,"partial_match")</x:f>
        <x:v>0</x:v>
      </x:c>
      <x:c r="F913" s="7" t="n">
        <x:f>COUNTIFS('唯一词标签'!$V$2:$V$1441,A913,'唯一词标签'!$Z$2:$Z$1441,"mismatch")</x:f>
        <x:v>0</x:v>
      </x:c>
      <x:c r="G913" s="7" t="n">
        <x:f>COUNTIFS('唯一词标签'!$V$2:$V$1441,A913,'唯一词标签'!$Z$2:$Z$1441,"unknown")</x:f>
        <x:v>0</x:v>
      </x:c>
      <x:c r="H913" s="7" t="n">
        <x:f>COUNTIFS('唯一词标签'!$V$2:$V$1441,A913,'唯一词标签'!$U$2:$U$1441,"low")</x:f>
        <x:v>0</x:v>
      </x:c>
      <x:c r="I913" s="7" t="n">
        <x:f>COUNTIFS('唯一词标签'!$V$2:$V$1441,A913,'唯一词标签'!$AB$2:$AB$1441,"needs_review")</x:f>
        <x:v>0</x:v>
      </x:c>
    </x:row>
    <x:row r="914" ht="22" customHeight="1">
      <x:c r="A914" s="7" t="str">
        <x:v>womens_flip_flops_soft</x:v>
      </x:c>
      <x:c r="B914" s="7" t="n">
        <x:f>COUNTIF('唯一词标签'!$V$2:$V$1441,A914)</x:f>
        <x:v>1</x:v>
      </x:c>
      <x:c r="C914" s="55" t="n">
        <x:f>B914/COUNTA('唯一词标签'!$C$2:$C$1441)</x:f>
        <x:v>0.0006944444444444445</x:v>
      </x:c>
      <x:c r="D914" s="7" t="n">
        <x:f>COUNTIFS('唯一词标签'!$V$2:$V$1441,A914,'唯一词标签'!$Z$2:$Z$1441,"match")</x:f>
        <x:v>1</x:v>
      </x:c>
      <x:c r="E914" s="7" t="n">
        <x:f>COUNTIFS('唯一词标签'!$V$2:$V$1441,A914,'唯一词标签'!$Z$2:$Z$1441,"partial_match")</x:f>
        <x:v>0</x:v>
      </x:c>
      <x:c r="F914" s="7" t="n">
        <x:f>COUNTIFS('唯一词标签'!$V$2:$V$1441,A914,'唯一词标签'!$Z$2:$Z$1441,"mismatch")</x:f>
        <x:v>0</x:v>
      </x:c>
      <x:c r="G914" s="7" t="n">
        <x:f>COUNTIFS('唯一词标签'!$V$2:$V$1441,A914,'唯一词标签'!$Z$2:$Z$1441,"unknown")</x:f>
        <x:v>0</x:v>
      </x:c>
      <x:c r="H914" s="7" t="n">
        <x:f>COUNTIFS('唯一词标签'!$V$2:$V$1441,A914,'唯一词标签'!$U$2:$U$1441,"low")</x:f>
        <x:v>0</x:v>
      </x:c>
      <x:c r="I914" s="7" t="n">
        <x:f>COUNTIFS('唯一词标签'!$V$2:$V$1441,A914,'唯一词标签'!$AB$2:$AB$1441,"needs_review")</x:f>
        <x:v>0</x:v>
      </x:c>
    </x:row>
    <x:row r="915" ht="22" customHeight="1">
      <x:c r="A915" s="7" t="str">
        <x:v>womens_flip_flops_spanish</x:v>
      </x:c>
      <x:c r="B915" s="7" t="n">
        <x:f>COUNTIF('唯一词标签'!$V$2:$V$1441,A915)</x:f>
        <x:v>1</x:v>
      </x:c>
      <x:c r="C915" s="55" t="n">
        <x:f>B915/COUNTA('唯一词标签'!$C$2:$C$1441)</x:f>
        <x:v>0.0006944444444444445</x:v>
      </x:c>
      <x:c r="D915" s="7" t="n">
        <x:f>COUNTIFS('唯一词标签'!$V$2:$V$1441,A915,'唯一词标签'!$Z$2:$Z$1441,"match")</x:f>
        <x:v>1</x:v>
      </x:c>
      <x:c r="E915" s="7" t="n">
        <x:f>COUNTIFS('唯一词标签'!$V$2:$V$1441,A915,'唯一词标签'!$Z$2:$Z$1441,"partial_match")</x:f>
        <x:v>0</x:v>
      </x:c>
      <x:c r="F915" s="7" t="n">
        <x:f>COUNTIFS('唯一词标签'!$V$2:$V$1441,A915,'唯一词标签'!$Z$2:$Z$1441,"mismatch")</x:f>
        <x:v>0</x:v>
      </x:c>
      <x:c r="G915" s="7" t="n">
        <x:f>COUNTIFS('唯一词标签'!$V$2:$V$1441,A915,'唯一词标签'!$Z$2:$Z$1441,"unknown")</x:f>
        <x:v>0</x:v>
      </x:c>
      <x:c r="H915" s="7" t="n">
        <x:f>COUNTIFS('唯一词标签'!$V$2:$V$1441,A915,'唯一词标签'!$U$2:$U$1441,"low")</x:f>
        <x:v>0</x:v>
      </x:c>
      <x:c r="I915" s="7" t="n">
        <x:f>COUNTIFS('唯一词标签'!$V$2:$V$1441,A915,'唯一词标签'!$AB$2:$AB$1441,"needs_review")</x:f>
        <x:v>0</x:v>
      </x:c>
    </x:row>
    <x:row r="916" ht="22" customHeight="1">
      <x:c r="A916" s="7" t="str">
        <x:v>womens_flip_flops_toe_strap</x:v>
      </x:c>
      <x:c r="B916" s="7" t="n">
        <x:f>COUNTIF('唯一词标签'!$V$2:$V$1441,A916)</x:f>
        <x:v>1</x:v>
      </x:c>
      <x:c r="C916" s="55" t="n">
        <x:f>B916/COUNTA('唯一词标签'!$C$2:$C$1441)</x:f>
        <x:v>0.0006944444444444445</x:v>
      </x:c>
      <x:c r="D916" s="7" t="n">
        <x:f>COUNTIFS('唯一词标签'!$V$2:$V$1441,A916,'唯一词标签'!$Z$2:$Z$1441,"match")</x:f>
        <x:v>1</x:v>
      </x:c>
      <x:c r="E916" s="7" t="n">
        <x:f>COUNTIFS('唯一词标签'!$V$2:$V$1441,A916,'唯一词标签'!$Z$2:$Z$1441,"partial_match")</x:f>
        <x:v>0</x:v>
      </x:c>
      <x:c r="F916" s="7" t="n">
        <x:f>COUNTIFS('唯一词标签'!$V$2:$V$1441,A916,'唯一词标签'!$Z$2:$Z$1441,"mismatch")</x:f>
        <x:v>0</x:v>
      </x:c>
      <x:c r="G916" s="7" t="n">
        <x:f>COUNTIFS('唯一词标签'!$V$2:$V$1441,A916,'唯一词标签'!$Z$2:$Z$1441,"unknown")</x:f>
        <x:v>0</x:v>
      </x:c>
      <x:c r="H916" s="7" t="n">
        <x:f>COUNTIFS('唯一词标签'!$V$2:$V$1441,A916,'唯一词标签'!$U$2:$U$1441,"low")</x:f>
        <x:v>0</x:v>
      </x:c>
      <x:c r="I916" s="7" t="n">
        <x:f>COUNTIFS('唯一词标签'!$V$2:$V$1441,A916,'唯一词标签'!$AB$2:$AB$1441,"needs_review")</x:f>
        <x:v>0</x:v>
      </x:c>
    </x:row>
    <x:row r="917" ht="22" customHeight="1">
      <x:c r="A917" s="7" t="str">
        <x:v>womens_flip_flops_waterproof</x:v>
      </x:c>
      <x:c r="B917" s="7" t="n">
        <x:f>COUNTIF('唯一词标签'!$V$2:$V$1441,A917)</x:f>
        <x:v>1</x:v>
      </x:c>
      <x:c r="C917" s="55" t="n">
        <x:f>B917/COUNTA('唯一词标签'!$C$2:$C$1441)</x:f>
        <x:v>0.0006944444444444445</x:v>
      </x:c>
      <x:c r="D917" s="7" t="n">
        <x:f>COUNTIFS('唯一词标签'!$V$2:$V$1441,A917,'唯一词标签'!$Z$2:$Z$1441,"match")</x:f>
        <x:v>0</x:v>
      </x:c>
      <x:c r="E917" s="7" t="n">
        <x:f>COUNTIFS('唯一词标签'!$V$2:$V$1441,A917,'唯一词标签'!$Z$2:$Z$1441,"partial_match")</x:f>
        <x:v>1</x:v>
      </x:c>
      <x:c r="F917" s="7" t="n">
        <x:f>COUNTIFS('唯一词标签'!$V$2:$V$1441,A917,'唯一词标签'!$Z$2:$Z$1441,"mismatch")</x:f>
        <x:v>0</x:v>
      </x:c>
      <x:c r="G917" s="7" t="n">
        <x:f>COUNTIFS('唯一词标签'!$V$2:$V$1441,A917,'唯一词标签'!$Z$2:$Z$1441,"unknown")</x:f>
        <x:v>0</x:v>
      </x:c>
      <x:c r="H917" s="7" t="n">
        <x:f>COUNTIFS('唯一词标签'!$V$2:$V$1441,A917,'唯一词标签'!$U$2:$U$1441,"low")</x:f>
        <x:v>0</x:v>
      </x:c>
      <x:c r="I917" s="7" t="n">
        <x:f>COUNTIFS('唯一词标签'!$V$2:$V$1441,A917,'唯一词标签'!$AB$2:$AB$1441,"needs_review")</x:f>
        <x:v>0</x:v>
      </x:c>
    </x:row>
    <x:row r="918" ht="22" customHeight="1">
      <x:c r="A918" s="7" t="str">
        <x:v>womens_flip_flops_white_best</x:v>
      </x:c>
      <x:c r="B918" s="7" t="n">
        <x:f>COUNTIF('唯一词标签'!$V$2:$V$1441,A918)</x:f>
        <x:v>1</x:v>
      </x:c>
      <x:c r="C918" s="55" t="n">
        <x:f>B918/COUNTA('唯一词标签'!$C$2:$C$1441)</x:f>
        <x:v>0.0006944444444444445</x:v>
      </x:c>
      <x:c r="D918" s="7" t="n">
        <x:f>COUNTIFS('唯一词标签'!$V$2:$V$1441,A918,'唯一词标签'!$Z$2:$Z$1441,"match")</x:f>
        <x:v>1</x:v>
      </x:c>
      <x:c r="E918" s="7" t="n">
        <x:f>COUNTIFS('唯一词标签'!$V$2:$V$1441,A918,'唯一词标签'!$Z$2:$Z$1441,"partial_match")</x:f>
        <x:v>0</x:v>
      </x:c>
      <x:c r="F918" s="7" t="n">
        <x:f>COUNTIFS('唯一词标签'!$V$2:$V$1441,A918,'唯一词标签'!$Z$2:$Z$1441,"mismatch")</x:f>
        <x:v>0</x:v>
      </x:c>
      <x:c r="G918" s="7" t="n">
        <x:f>COUNTIFS('唯一词标签'!$V$2:$V$1441,A918,'唯一词标签'!$Z$2:$Z$1441,"unknown")</x:f>
        <x:v>0</x:v>
      </x:c>
      <x:c r="H918" s="7" t="n">
        <x:f>COUNTIFS('唯一词标签'!$V$2:$V$1441,A918,'唯一词标签'!$U$2:$U$1441,"low")</x:f>
        <x:v>0</x:v>
      </x:c>
      <x:c r="I918" s="7" t="n">
        <x:f>COUNTIFS('唯一词标签'!$V$2:$V$1441,A918,'唯一词标签'!$AB$2:$AB$1441,"needs_review")</x:f>
        <x:v>0</x:v>
      </x:c>
    </x:row>
    <x:row r="919" ht="22" customHeight="1">
      <x:c r="A919" s="7" t="str">
        <x:v>womens_foam_flip_flops</x:v>
      </x:c>
      <x:c r="B919" s="7" t="n">
        <x:f>COUNTIF('唯一词标签'!$V$2:$V$1441,A919)</x:f>
        <x:v>1</x:v>
      </x:c>
      <x:c r="C919" s="55" t="n">
        <x:f>B919/COUNTA('唯一词标签'!$C$2:$C$1441)</x:f>
        <x:v>0.0006944444444444445</x:v>
      </x:c>
      <x:c r="D919" s="7" t="n">
        <x:f>COUNTIFS('唯一词标签'!$V$2:$V$1441,A919,'唯一词标签'!$Z$2:$Z$1441,"match")</x:f>
        <x:v>1</x:v>
      </x:c>
      <x:c r="E919" s="7" t="n">
        <x:f>COUNTIFS('唯一词标签'!$V$2:$V$1441,A919,'唯一词标签'!$Z$2:$Z$1441,"partial_match")</x:f>
        <x:v>0</x:v>
      </x:c>
      <x:c r="F919" s="7" t="n">
        <x:f>COUNTIFS('唯一词标签'!$V$2:$V$1441,A919,'唯一词标签'!$Z$2:$Z$1441,"mismatch")</x:f>
        <x:v>0</x:v>
      </x:c>
      <x:c r="G919" s="7" t="n">
        <x:f>COUNTIFS('唯一词标签'!$V$2:$V$1441,A919,'唯一词标签'!$Z$2:$Z$1441,"unknown")</x:f>
        <x:v>0</x:v>
      </x:c>
      <x:c r="H919" s="7" t="n">
        <x:f>COUNTIFS('唯一词标签'!$V$2:$V$1441,A919,'唯一词标签'!$U$2:$U$1441,"low")</x:f>
        <x:v>0</x:v>
      </x:c>
      <x:c r="I919" s="7" t="n">
        <x:f>COUNTIFS('唯一词标签'!$V$2:$V$1441,A919,'唯一词标签'!$AB$2:$AB$1441,"needs_review")</x:f>
        <x:v>0</x:v>
      </x:c>
    </x:row>
    <x:row r="920" ht="22" customHeight="1">
      <x:c r="A920" s="7" t="str">
        <x:v>womens_garden_flip_flops</x:v>
      </x:c>
      <x:c r="B920" s="7" t="n">
        <x:f>COUNTIF('唯一词标签'!$V$2:$V$1441,A920)</x:f>
        <x:v>1</x:v>
      </x:c>
      <x:c r="C920" s="55" t="n">
        <x:f>B920/COUNTA('唯一词标签'!$C$2:$C$1441)</x:f>
        <x:v>0.0006944444444444445</x:v>
      </x:c>
      <x:c r="D920" s="7" t="n">
        <x:f>COUNTIFS('唯一词标签'!$V$2:$V$1441,A920,'唯一词标签'!$Z$2:$Z$1441,"match")</x:f>
        <x:v>1</x:v>
      </x:c>
      <x:c r="E920" s="7" t="n">
        <x:f>COUNTIFS('唯一词标签'!$V$2:$V$1441,A920,'唯一词标签'!$Z$2:$Z$1441,"partial_match")</x:f>
        <x:v>0</x:v>
      </x:c>
      <x:c r="F920" s="7" t="n">
        <x:f>COUNTIFS('唯一词标签'!$V$2:$V$1441,A920,'唯一词标签'!$Z$2:$Z$1441,"mismatch")</x:f>
        <x:v>0</x:v>
      </x:c>
      <x:c r="G920" s="7" t="n">
        <x:f>COUNTIFS('唯一词标签'!$V$2:$V$1441,A920,'唯一词标签'!$Z$2:$Z$1441,"unknown")</x:f>
        <x:v>0</x:v>
      </x:c>
      <x:c r="H920" s="7" t="n">
        <x:f>COUNTIFS('唯一词标签'!$V$2:$V$1441,A920,'唯一词标签'!$U$2:$U$1441,"low")</x:f>
        <x:v>0</x:v>
      </x:c>
      <x:c r="I920" s="7" t="n">
        <x:f>COUNTIFS('唯一词标签'!$V$2:$V$1441,A920,'唯一词标签'!$AB$2:$AB$1441,"needs_review")</x:f>
        <x:v>0</x:v>
      </x:c>
    </x:row>
    <x:row r="921" ht="22" customHeight="1">
      <x:c r="A921" s="7" t="str">
        <x:v>womens_gardening_sandals</x:v>
      </x:c>
      <x:c r="B921" s="7" t="n">
        <x:f>COUNTIF('唯一词标签'!$V$2:$V$1441,A921)</x:f>
        <x:v>1</x:v>
      </x:c>
      <x:c r="C921" s="55" t="n">
        <x:f>B921/COUNTA('唯一词标签'!$C$2:$C$1441)</x:f>
        <x:v>0.0006944444444444445</x:v>
      </x:c>
      <x:c r="D921" s="7" t="n">
        <x:f>COUNTIFS('唯一词标签'!$V$2:$V$1441,A921,'唯一词标签'!$Z$2:$Z$1441,"match")</x:f>
        <x:v>0</x:v>
      </x:c>
      <x:c r="E921" s="7" t="n">
        <x:f>COUNTIFS('唯一词标签'!$V$2:$V$1441,A921,'唯一词标签'!$Z$2:$Z$1441,"partial_match")</x:f>
        <x:v>1</x:v>
      </x:c>
      <x:c r="F921" s="7" t="n">
        <x:f>COUNTIFS('唯一词标签'!$V$2:$V$1441,A921,'唯一词标签'!$Z$2:$Z$1441,"mismatch")</x:f>
        <x:v>0</x:v>
      </x:c>
      <x:c r="G921" s="7" t="n">
        <x:f>COUNTIFS('唯一词标签'!$V$2:$V$1441,A921,'唯一词标签'!$Z$2:$Z$1441,"unknown")</x:f>
        <x:v>0</x:v>
      </x:c>
      <x:c r="H921" s="7" t="n">
        <x:f>COUNTIFS('唯一词标签'!$V$2:$V$1441,A921,'唯一词标签'!$U$2:$U$1441,"low")</x:f>
        <x:v>0</x:v>
      </x:c>
      <x:c r="I921" s="7" t="n">
        <x:f>COUNTIFS('唯一词标签'!$V$2:$V$1441,A921,'唯一词标签'!$AB$2:$AB$1441,"needs_review")</x:f>
        <x:v>0</x:v>
      </x:c>
    </x:row>
    <x:row r="922" ht="22" customHeight="1">
      <x:c r="A922" s="7" t="str">
        <x:v>womens_girls_personalized_flip_flops</x:v>
      </x:c>
      <x:c r="B922" s="7" t="n">
        <x:f>COUNTIF('唯一词标签'!$V$2:$V$1441,A922)</x:f>
        <x:v>1</x:v>
      </x:c>
      <x:c r="C922" s="55" t="n">
        <x:f>B922/COUNTA('唯一词标签'!$C$2:$C$1441)</x:f>
        <x:v>0.0006944444444444445</x:v>
      </x:c>
      <x:c r="D922" s="7" t="n">
        <x:f>COUNTIFS('唯一词标签'!$V$2:$V$1441,A922,'唯一词标签'!$Z$2:$Z$1441,"match")</x:f>
        <x:v>0</x:v>
      </x:c>
      <x:c r="E922" s="7" t="n">
        <x:f>COUNTIFS('唯一词标签'!$V$2:$V$1441,A922,'唯一词标签'!$Z$2:$Z$1441,"partial_match")</x:f>
        <x:v>1</x:v>
      </x:c>
      <x:c r="F922" s="7" t="n">
        <x:f>COUNTIFS('唯一词标签'!$V$2:$V$1441,A922,'唯一词标签'!$Z$2:$Z$1441,"mismatch")</x:f>
        <x:v>0</x:v>
      </x:c>
      <x:c r="G922" s="7" t="n">
        <x:f>COUNTIFS('唯一词标签'!$V$2:$V$1441,A922,'唯一词标签'!$Z$2:$Z$1441,"unknown")</x:f>
        <x:v>0</x:v>
      </x:c>
      <x:c r="H922" s="7" t="n">
        <x:f>COUNTIFS('唯一词标签'!$V$2:$V$1441,A922,'唯一词标签'!$U$2:$U$1441,"low")</x:f>
        <x:v>0</x:v>
      </x:c>
      <x:c r="I922" s="7" t="n">
        <x:f>COUNTIFS('唯一词标签'!$V$2:$V$1441,A922,'唯一词标签'!$AB$2:$AB$1441,"needs_review")</x:f>
        <x:v>0</x:v>
      </x:c>
    </x:row>
    <x:row r="923" ht="22" customHeight="1">
      <x:c r="A923" s="7" t="str">
        <x:v>womens_gray_flip_flops_arch_support</x:v>
      </x:c>
      <x:c r="B923" s="7" t="n">
        <x:f>COUNTIF('唯一词标签'!$V$2:$V$1441,A923)</x:f>
        <x:v>1</x:v>
      </x:c>
      <x:c r="C923" s="55" t="n">
        <x:f>B923/COUNTA('唯一词标签'!$C$2:$C$1441)</x:f>
        <x:v>0.0006944444444444445</x:v>
      </x:c>
      <x:c r="D923" s="7" t="n">
        <x:f>COUNTIFS('唯一词标签'!$V$2:$V$1441,A923,'唯一词标签'!$Z$2:$Z$1441,"match")</x:f>
        <x:v>1</x:v>
      </x:c>
      <x:c r="E923" s="7" t="n">
        <x:f>COUNTIFS('唯一词标签'!$V$2:$V$1441,A923,'唯一词标签'!$Z$2:$Z$1441,"partial_match")</x:f>
        <x:v>0</x:v>
      </x:c>
      <x:c r="F923" s="7" t="n">
        <x:f>COUNTIFS('唯一词标签'!$V$2:$V$1441,A923,'唯一词标签'!$Z$2:$Z$1441,"mismatch")</x:f>
        <x:v>0</x:v>
      </x:c>
      <x:c r="G923" s="7" t="n">
        <x:f>COUNTIFS('唯一词标签'!$V$2:$V$1441,A923,'唯一词标签'!$Z$2:$Z$1441,"unknown")</x:f>
        <x:v>0</x:v>
      </x:c>
      <x:c r="H923" s="7" t="n">
        <x:f>COUNTIFS('唯一词标签'!$V$2:$V$1441,A923,'唯一词标签'!$U$2:$U$1441,"low")</x:f>
        <x:v>0</x:v>
      </x:c>
      <x:c r="I923" s="7" t="n">
        <x:f>COUNTIFS('唯一词标签'!$V$2:$V$1441,A923,'唯一词标签'!$AB$2:$AB$1441,"needs_review")</x:f>
        <x:v>0</x:v>
      </x:c>
    </x:row>
    <x:row r="924" ht="22" customHeight="1">
      <x:c r="A924" s="7" t="str">
        <x:v>womens_grey_arch_support_flip_flops</x:v>
      </x:c>
      <x:c r="B924" s="7" t="n">
        <x:f>COUNTIF('唯一词标签'!$V$2:$V$1441,A924)</x:f>
        <x:v>1</x:v>
      </x:c>
      <x:c r="C924" s="55" t="n">
        <x:f>B924/COUNTA('唯一词标签'!$C$2:$C$1441)</x:f>
        <x:v>0.0006944444444444445</x:v>
      </x:c>
      <x:c r="D924" s="7" t="n">
        <x:f>COUNTIFS('唯一词标签'!$V$2:$V$1441,A924,'唯一词标签'!$Z$2:$Z$1441,"match")</x:f>
        <x:v>1</x:v>
      </x:c>
      <x:c r="E924" s="7" t="n">
        <x:f>COUNTIFS('唯一词标签'!$V$2:$V$1441,A924,'唯一词标签'!$Z$2:$Z$1441,"partial_match")</x:f>
        <x:v>0</x:v>
      </x:c>
      <x:c r="F924" s="7" t="n">
        <x:f>COUNTIFS('唯一词标签'!$V$2:$V$1441,A924,'唯一词标签'!$Z$2:$Z$1441,"mismatch")</x:f>
        <x:v>0</x:v>
      </x:c>
      <x:c r="G924" s="7" t="n">
        <x:f>COUNTIFS('唯一词标签'!$V$2:$V$1441,A924,'唯一词标签'!$Z$2:$Z$1441,"unknown")</x:f>
        <x:v>0</x:v>
      </x:c>
      <x:c r="H924" s="7" t="n">
        <x:f>COUNTIFS('唯一词标签'!$V$2:$V$1441,A924,'唯一词标签'!$U$2:$U$1441,"low")</x:f>
        <x:v>0</x:v>
      </x:c>
      <x:c r="I924" s="7" t="n">
        <x:f>COUNTIFS('唯一词标签'!$V$2:$V$1441,A924,'唯一词标签'!$AB$2:$AB$1441,"needs_review")</x:f>
        <x:v>0</x:v>
      </x:c>
    </x:row>
    <x:row r="925" ht="22" customHeight="1">
      <x:c r="A925" s="7" t="str">
        <x:v>womens_high_arch_flip_flops</x:v>
      </x:c>
      <x:c r="B925" s="7" t="n">
        <x:f>COUNTIF('唯一词标签'!$V$2:$V$1441,A925)</x:f>
        <x:v>1</x:v>
      </x:c>
      <x:c r="C925" s="55" t="n">
        <x:f>B925/COUNTA('唯一词标签'!$C$2:$C$1441)</x:f>
        <x:v>0.0006944444444444445</x:v>
      </x:c>
      <x:c r="D925" s="7" t="n">
        <x:f>COUNTIFS('唯一词标签'!$V$2:$V$1441,A925,'唯一词标签'!$Z$2:$Z$1441,"match")</x:f>
        <x:v>0</x:v>
      </x:c>
      <x:c r="E925" s="7" t="n">
        <x:f>COUNTIFS('唯一词标签'!$V$2:$V$1441,A925,'唯一词标签'!$Z$2:$Z$1441,"partial_match")</x:f>
        <x:v>1</x:v>
      </x:c>
      <x:c r="F925" s="7" t="n">
        <x:f>COUNTIFS('唯一词标签'!$V$2:$V$1441,A925,'唯一词标签'!$Z$2:$Z$1441,"mismatch")</x:f>
        <x:v>0</x:v>
      </x:c>
      <x:c r="G925" s="7" t="n">
        <x:f>COUNTIFS('唯一词标签'!$V$2:$V$1441,A925,'唯一词标签'!$Z$2:$Z$1441,"unknown")</x:f>
        <x:v>0</x:v>
      </x:c>
      <x:c r="H925" s="7" t="n">
        <x:f>COUNTIFS('唯一词标签'!$V$2:$V$1441,A925,'唯一词标签'!$U$2:$U$1441,"low")</x:f>
        <x:v>0</x:v>
      </x:c>
      <x:c r="I925" s="7" t="n">
        <x:f>COUNTIFS('唯一词标签'!$V$2:$V$1441,A925,'唯一词标签'!$AB$2:$AB$1441,"needs_review")</x:f>
        <x:v>0</x:v>
      </x:c>
    </x:row>
    <x:row r="926" ht="22" customHeight="1">
      <x:c r="A926" s="7" t="str">
        <x:v>womens_high_arch_pf_flip_flops</x:v>
      </x:c>
      <x:c r="B926" s="7" t="n">
        <x:f>COUNTIF('唯一词标签'!$V$2:$V$1441,A926)</x:f>
        <x:v>1</x:v>
      </x:c>
      <x:c r="C926" s="55" t="n">
        <x:f>B926/COUNTA('唯一词标签'!$C$2:$C$1441)</x:f>
        <x:v>0.0006944444444444445</x:v>
      </x:c>
      <x:c r="D926" s="7" t="n">
        <x:f>COUNTIFS('唯一词标签'!$V$2:$V$1441,A926,'唯一词标签'!$Z$2:$Z$1441,"match")</x:f>
        <x:v>0</x:v>
      </x:c>
      <x:c r="E926" s="7" t="n">
        <x:f>COUNTIFS('唯一词标签'!$V$2:$V$1441,A926,'唯一词标签'!$Z$2:$Z$1441,"partial_match")</x:f>
        <x:v>1</x:v>
      </x:c>
      <x:c r="F926" s="7" t="n">
        <x:f>COUNTIFS('唯一词标签'!$V$2:$V$1441,A926,'唯一词标签'!$Z$2:$Z$1441,"mismatch")</x:f>
        <x:v>0</x:v>
      </x:c>
      <x:c r="G926" s="7" t="n">
        <x:f>COUNTIFS('唯一词标签'!$V$2:$V$1441,A926,'唯一词标签'!$Z$2:$Z$1441,"unknown")</x:f>
        <x:v>0</x:v>
      </x:c>
      <x:c r="H926" s="7" t="n">
        <x:f>COUNTIFS('唯一词标签'!$V$2:$V$1441,A926,'唯一词标签'!$U$2:$U$1441,"low")</x:f>
        <x:v>0</x:v>
      </x:c>
      <x:c r="I926" s="7" t="n">
        <x:f>COUNTIFS('唯一词标签'!$V$2:$V$1441,A926,'唯一词标签'!$AB$2:$AB$1441,"needs_review")</x:f>
        <x:v>0</x:v>
      </x:c>
    </x:row>
    <x:row r="927" ht="22" customHeight="1">
      <x:c r="A927" s="7" t="str">
        <x:v>womens_home_sandals</x:v>
      </x:c>
      <x:c r="B927" s="7" t="n">
        <x:f>COUNTIF('唯一词标签'!$V$2:$V$1441,A927)</x:f>
        <x:v>1</x:v>
      </x:c>
      <x:c r="C927" s="55" t="n">
        <x:f>B927/COUNTA('唯一词标签'!$C$2:$C$1441)</x:f>
        <x:v>0.0006944444444444445</x:v>
      </x:c>
      <x:c r="D927" s="7" t="n">
        <x:f>COUNTIFS('唯一词标签'!$V$2:$V$1441,A927,'唯一词标签'!$Z$2:$Z$1441,"match")</x:f>
        <x:v>0</x:v>
      </x:c>
      <x:c r="E927" s="7" t="n">
        <x:f>COUNTIFS('唯一词标签'!$V$2:$V$1441,A927,'唯一词标签'!$Z$2:$Z$1441,"partial_match")</x:f>
        <x:v>1</x:v>
      </x:c>
      <x:c r="F927" s="7" t="n">
        <x:f>COUNTIFS('唯一词标签'!$V$2:$V$1441,A927,'唯一词标签'!$Z$2:$Z$1441,"mismatch")</x:f>
        <x:v>0</x:v>
      </x:c>
      <x:c r="G927" s="7" t="n">
        <x:f>COUNTIFS('唯一词标签'!$V$2:$V$1441,A927,'唯一词标签'!$Z$2:$Z$1441,"unknown")</x:f>
        <x:v>0</x:v>
      </x:c>
      <x:c r="H927" s="7" t="n">
        <x:f>COUNTIFS('唯一词标签'!$V$2:$V$1441,A927,'唯一词标签'!$U$2:$U$1441,"low")</x:f>
        <x:v>0</x:v>
      </x:c>
      <x:c r="I927" s="7" t="n">
        <x:f>COUNTIFS('唯一词标签'!$V$2:$V$1441,A927,'唯一词标签'!$AB$2:$AB$1441,"needs_review")</x:f>
        <x:v>0</x:v>
      </x:c>
    </x:row>
    <x:row r="928" ht="22" customHeight="1">
      <x:c r="A928" s="7" t="str">
        <x:v>womens_hot_pink_soft_flip_flops</x:v>
      </x:c>
      <x:c r="B928" s="7" t="n">
        <x:f>COUNTIF('唯一词标签'!$V$2:$V$1441,A928)</x:f>
        <x:v>1</x:v>
      </x:c>
      <x:c r="C928" s="55" t="n">
        <x:f>B928/COUNTA('唯一词标签'!$C$2:$C$1441)</x:f>
        <x:v>0.0006944444444444445</x:v>
      </x:c>
      <x:c r="D928" s="7" t="n">
        <x:f>COUNTIFS('唯一词标签'!$V$2:$V$1441,A928,'唯一词标签'!$Z$2:$Z$1441,"match")</x:f>
        <x:v>0</x:v>
      </x:c>
      <x:c r="E928" s="7" t="n">
        <x:f>COUNTIFS('唯一词标签'!$V$2:$V$1441,A928,'唯一词标签'!$Z$2:$Z$1441,"partial_match")</x:f>
        <x:v>1</x:v>
      </x:c>
      <x:c r="F928" s="7" t="n">
        <x:f>COUNTIFS('唯一词标签'!$V$2:$V$1441,A928,'唯一词标签'!$Z$2:$Z$1441,"mismatch")</x:f>
        <x:v>0</x:v>
      </x:c>
      <x:c r="G928" s="7" t="n">
        <x:f>COUNTIFS('唯一词标签'!$V$2:$V$1441,A928,'唯一词标签'!$Z$2:$Z$1441,"unknown")</x:f>
        <x:v>0</x:v>
      </x:c>
      <x:c r="H928" s="7" t="n">
        <x:f>COUNTIFS('唯一词标签'!$V$2:$V$1441,A928,'唯一词标签'!$U$2:$U$1441,"low")</x:f>
        <x:v>0</x:v>
      </x:c>
      <x:c r="I928" s="7" t="n">
        <x:f>COUNTIFS('唯一词标签'!$V$2:$V$1441,A928,'唯一词标签'!$AB$2:$AB$1441,"needs_review")</x:f>
        <x:v>0</x:v>
      </x:c>
    </x:row>
    <x:row r="929" ht="22" customHeight="1">
      <x:c r="A929" s="7" t="str">
        <x:v>womens_huaraches_water</x:v>
      </x:c>
      <x:c r="B929" s="7" t="n">
        <x:f>COUNTIF('唯一词标签'!$V$2:$V$1441,A929)</x:f>
        <x:v>1</x:v>
      </x:c>
      <x:c r="C929" s="55" t="n">
        <x:f>B929/COUNTA('唯一词标签'!$C$2:$C$1441)</x:f>
        <x:v>0.0006944444444444445</x:v>
      </x:c>
      <x:c r="D929" s="7" t="n">
        <x:f>COUNTIFS('唯一词标签'!$V$2:$V$1441,A929,'唯一词标签'!$Z$2:$Z$1441,"match")</x:f>
        <x:v>0</x:v>
      </x:c>
      <x:c r="E929" s="7" t="n">
        <x:f>COUNTIFS('唯一词标签'!$V$2:$V$1441,A929,'唯一词标签'!$Z$2:$Z$1441,"partial_match")</x:f>
        <x:v>0</x:v>
      </x:c>
      <x:c r="F929" s="7" t="n">
        <x:f>COUNTIFS('唯一词标签'!$V$2:$V$1441,A929,'唯一词标签'!$Z$2:$Z$1441,"mismatch")</x:f>
        <x:v>1</x:v>
      </x:c>
      <x:c r="G929" s="7" t="n">
        <x:f>COUNTIFS('唯一词标签'!$V$2:$V$1441,A929,'唯一词标签'!$Z$2:$Z$1441,"unknown")</x:f>
        <x:v>0</x:v>
      </x:c>
      <x:c r="H929" s="7" t="n">
        <x:f>COUNTIFS('唯一词标签'!$V$2:$V$1441,A929,'唯一词标签'!$U$2:$U$1441,"low")</x:f>
        <x:v>0</x:v>
      </x:c>
      <x:c r="I929" s="7" t="n">
        <x:f>COUNTIFS('唯一词标签'!$V$2:$V$1441,A929,'唯一词标签'!$AB$2:$AB$1441,"needs_review")</x:f>
        <x:v>0</x:v>
      </x:c>
    </x:row>
    <x:row r="930" ht="22" customHeight="1">
      <x:c r="A930" s="7" t="str">
        <x:v>womens_indoor_budget_flip_flops</x:v>
      </x:c>
      <x:c r="B930" s="7" t="n">
        <x:f>COUNTIF('唯一词标签'!$V$2:$V$1441,A930)</x:f>
        <x:v>1</x:v>
      </x:c>
      <x:c r="C930" s="55" t="n">
        <x:f>B930/COUNTA('唯一词标签'!$C$2:$C$1441)</x:f>
        <x:v>0.0006944444444444445</x:v>
      </x:c>
      <x:c r="D930" s="7" t="n">
        <x:f>COUNTIFS('唯一词标签'!$V$2:$V$1441,A930,'唯一词标签'!$Z$2:$Z$1441,"match")</x:f>
        <x:v>0</x:v>
      </x:c>
      <x:c r="E930" s="7" t="n">
        <x:f>COUNTIFS('唯一词标签'!$V$2:$V$1441,A930,'唯一词标签'!$Z$2:$Z$1441,"partial_match")</x:f>
        <x:v>1</x:v>
      </x:c>
      <x:c r="F930" s="7" t="n">
        <x:f>COUNTIFS('唯一词标签'!$V$2:$V$1441,A930,'唯一词标签'!$Z$2:$Z$1441,"mismatch")</x:f>
        <x:v>0</x:v>
      </x:c>
      <x:c r="G930" s="7" t="n">
        <x:f>COUNTIFS('唯一词标签'!$V$2:$V$1441,A930,'唯一词标签'!$Z$2:$Z$1441,"unknown")</x:f>
        <x:v>0</x:v>
      </x:c>
      <x:c r="H930" s="7" t="n">
        <x:f>COUNTIFS('唯一词标签'!$V$2:$V$1441,A930,'唯一词标签'!$U$2:$U$1441,"low")</x:f>
        <x:v>0</x:v>
      </x:c>
      <x:c r="I930" s="7" t="n">
        <x:f>COUNTIFS('唯一词标签'!$V$2:$V$1441,A930,'唯一词标签'!$AB$2:$AB$1441,"needs_review")</x:f>
        <x:v>0</x:v>
      </x:c>
    </x:row>
    <x:row r="931" ht="22" customHeight="1">
      <x:c r="A931" s="7" t="str">
        <x:v>womens_indoor_flip_flops</x:v>
      </x:c>
      <x:c r="B931" s="7" t="n">
        <x:f>COUNTIF('唯一词标签'!$V$2:$V$1441,A931)</x:f>
        <x:v>1</x:v>
      </x:c>
      <x:c r="C931" s="55" t="n">
        <x:f>B931/COUNTA('唯一词标签'!$C$2:$C$1441)</x:f>
        <x:v>0.0006944444444444445</x:v>
      </x:c>
      <x:c r="D931" s="7" t="n">
        <x:f>COUNTIFS('唯一词标签'!$V$2:$V$1441,A931,'唯一词标签'!$Z$2:$Z$1441,"match")</x:f>
        <x:v>0</x:v>
      </x:c>
      <x:c r="E931" s="7" t="n">
        <x:f>COUNTIFS('唯一词标签'!$V$2:$V$1441,A931,'唯一词标签'!$Z$2:$Z$1441,"partial_match")</x:f>
        <x:v>1</x:v>
      </x:c>
      <x:c r="F931" s="7" t="n">
        <x:f>COUNTIFS('唯一词标签'!$V$2:$V$1441,A931,'唯一词标签'!$Z$2:$Z$1441,"mismatch")</x:f>
        <x:v>0</x:v>
      </x:c>
      <x:c r="G931" s="7" t="n">
        <x:f>COUNTIFS('唯一词标签'!$V$2:$V$1441,A931,'唯一词标签'!$Z$2:$Z$1441,"unknown")</x:f>
        <x:v>0</x:v>
      </x:c>
      <x:c r="H931" s="7" t="n">
        <x:f>COUNTIFS('唯一词标签'!$V$2:$V$1441,A931,'唯一词标签'!$U$2:$U$1441,"low")</x:f>
        <x:v>0</x:v>
      </x:c>
      <x:c r="I931" s="7" t="n">
        <x:f>COUNTIFS('唯一词标签'!$V$2:$V$1441,A931,'唯一词标签'!$AB$2:$AB$1441,"needs_review")</x:f>
        <x:v>0</x:v>
      </x:c>
    </x:row>
    <x:row r="932" ht="22" customHeight="1">
      <x:c r="A932" s="7" t="str">
        <x:v>womens_indoor_slippers</x:v>
      </x:c>
      <x:c r="B932" s="7" t="n">
        <x:f>COUNTIF('唯一词标签'!$V$2:$V$1441,A932)</x:f>
        <x:v>1</x:v>
      </x:c>
      <x:c r="C932" s="55" t="n">
        <x:f>B932/COUNTA('唯一词标签'!$C$2:$C$1441)</x:f>
        <x:v>0.0006944444444444445</x:v>
      </x:c>
      <x:c r="D932" s="7" t="n">
        <x:f>COUNTIFS('唯一词标签'!$V$2:$V$1441,A932,'唯一词标签'!$Z$2:$Z$1441,"match")</x:f>
        <x:v>0</x:v>
      </x:c>
      <x:c r="E932" s="7" t="n">
        <x:f>COUNTIFS('唯一词标签'!$V$2:$V$1441,A932,'唯一词标签'!$Z$2:$Z$1441,"partial_match")</x:f>
        <x:v>0</x:v>
      </x:c>
      <x:c r="F932" s="7" t="n">
        <x:f>COUNTIFS('唯一词标签'!$V$2:$V$1441,A932,'唯一词标签'!$Z$2:$Z$1441,"mismatch")</x:f>
        <x:v>1</x:v>
      </x:c>
      <x:c r="G932" s="7" t="n">
        <x:f>COUNTIFS('唯一词标签'!$V$2:$V$1441,A932,'唯一词标签'!$Z$2:$Z$1441,"unknown")</x:f>
        <x:v>0</x:v>
      </x:c>
      <x:c r="H932" s="7" t="n">
        <x:f>COUNTIFS('唯一词标签'!$V$2:$V$1441,A932,'唯一词标签'!$U$2:$U$1441,"low")</x:f>
        <x:v>0</x:v>
      </x:c>
      <x:c r="I932" s="7" t="n">
        <x:f>COUNTIFS('唯一词标签'!$V$2:$V$1441,A932,'唯一词标签'!$AB$2:$AB$1441,"needs_review")</x:f>
        <x:v>0</x:v>
      </x:c>
    </x:row>
    <x:row r="933" ht="22" customHeight="1">
      <x:c r="A933" s="7" t="str">
        <x:v>womens_jade_sandals</x:v>
      </x:c>
      <x:c r="B933" s="7" t="n">
        <x:f>COUNTIF('唯一词标签'!$V$2:$V$1441,A933)</x:f>
        <x:v>1</x:v>
      </x:c>
      <x:c r="C933" s="55" t="n">
        <x:f>B933/COUNTA('唯一词标签'!$C$2:$C$1441)</x:f>
        <x:v>0.0006944444444444445</x:v>
      </x:c>
      <x:c r="D933" s="7" t="n">
        <x:f>COUNTIFS('唯一词标签'!$V$2:$V$1441,A933,'唯一词标签'!$Z$2:$Z$1441,"match")</x:f>
        <x:v>0</x:v>
      </x:c>
      <x:c r="E933" s="7" t="n">
        <x:f>COUNTIFS('唯一词标签'!$V$2:$V$1441,A933,'唯一词标签'!$Z$2:$Z$1441,"partial_match")</x:f>
        <x:v>1</x:v>
      </x:c>
      <x:c r="F933" s="7" t="n">
        <x:f>COUNTIFS('唯一词标签'!$V$2:$V$1441,A933,'唯一词标签'!$Z$2:$Z$1441,"mismatch")</x:f>
        <x:v>0</x:v>
      </x:c>
      <x:c r="G933" s="7" t="n">
        <x:f>COUNTIFS('唯一词标签'!$V$2:$V$1441,A933,'唯一词标签'!$Z$2:$Z$1441,"unknown")</x:f>
        <x:v>0</x:v>
      </x:c>
      <x:c r="H933" s="7" t="n">
        <x:f>COUNTIFS('唯一词标签'!$V$2:$V$1441,A933,'唯一词标签'!$U$2:$U$1441,"low")</x:f>
        <x:v>0</x:v>
      </x:c>
      <x:c r="I933" s="7" t="n">
        <x:f>COUNTIFS('唯一词标签'!$V$2:$V$1441,A933,'唯一词标签'!$AB$2:$AB$1441,"needs_review")</x:f>
        <x:v>0</x:v>
      </x:c>
    </x:row>
    <x:row r="934" ht="22" customHeight="1">
      <x:c r="A934" s="7" t="str">
        <x:v>womens_khaki_flip_flops</x:v>
      </x:c>
      <x:c r="B934" s="7" t="n">
        <x:f>COUNTIF('唯一词标签'!$V$2:$V$1441,A934)</x:f>
        <x:v>1</x:v>
      </x:c>
      <x:c r="C934" s="55" t="n">
        <x:f>B934/COUNTA('唯一词标签'!$C$2:$C$1441)</x:f>
        <x:v>0.0006944444444444445</x:v>
      </x:c>
      <x:c r="D934" s="7" t="n">
        <x:f>COUNTIFS('唯一词标签'!$V$2:$V$1441,A934,'唯一词标签'!$Z$2:$Z$1441,"match")</x:f>
        <x:v>0</x:v>
      </x:c>
      <x:c r="E934" s="7" t="n">
        <x:f>COUNTIFS('唯一词标签'!$V$2:$V$1441,A934,'唯一词标签'!$Z$2:$Z$1441,"partial_match")</x:f>
        <x:v>1</x:v>
      </x:c>
      <x:c r="F934" s="7" t="n">
        <x:f>COUNTIFS('唯一词标签'!$V$2:$V$1441,A934,'唯一词标签'!$Z$2:$Z$1441,"mismatch")</x:f>
        <x:v>0</x:v>
      </x:c>
      <x:c r="G934" s="7" t="n">
        <x:f>COUNTIFS('唯一词标签'!$V$2:$V$1441,A934,'唯一词标签'!$Z$2:$Z$1441,"unknown")</x:f>
        <x:v>0</x:v>
      </x:c>
      <x:c r="H934" s="7" t="n">
        <x:f>COUNTIFS('唯一词标签'!$V$2:$V$1441,A934,'唯一词标签'!$U$2:$U$1441,"low")</x:f>
        <x:v>0</x:v>
      </x:c>
      <x:c r="I934" s="7" t="n">
        <x:f>COUNTIFS('唯一词标签'!$V$2:$V$1441,A934,'唯一词标签'!$AB$2:$AB$1441,"needs_review")</x:f>
        <x:v>0</x:v>
      </x:c>
    </x:row>
    <x:row r="935" ht="22" customHeight="1">
      <x:c r="A935" s="7" t="str">
        <x:v>womens_light_blue_arch_support_flip_flops</x:v>
      </x:c>
      <x:c r="B935" s="7" t="n">
        <x:f>COUNTIF('唯一词标签'!$V$2:$V$1441,A935)</x:f>
        <x:v>1</x:v>
      </x:c>
      <x:c r="C935" s="55" t="n">
        <x:f>B935/COUNTA('唯一词标签'!$C$2:$C$1441)</x:f>
        <x:v>0.0006944444444444445</x:v>
      </x:c>
      <x:c r="D935" s="7" t="n">
        <x:f>COUNTIFS('唯一词标签'!$V$2:$V$1441,A935,'唯一词标签'!$Z$2:$Z$1441,"match")</x:f>
        <x:v>1</x:v>
      </x:c>
      <x:c r="E935" s="7" t="n">
        <x:f>COUNTIFS('唯一词标签'!$V$2:$V$1441,A935,'唯一词标签'!$Z$2:$Z$1441,"partial_match")</x:f>
        <x:v>0</x:v>
      </x:c>
      <x:c r="F935" s="7" t="n">
        <x:f>COUNTIFS('唯一词标签'!$V$2:$V$1441,A935,'唯一词标签'!$Z$2:$Z$1441,"mismatch")</x:f>
        <x:v>0</x:v>
      </x:c>
      <x:c r="G935" s="7" t="n">
        <x:f>COUNTIFS('唯一词标签'!$V$2:$V$1441,A935,'唯一词标签'!$Z$2:$Z$1441,"unknown")</x:f>
        <x:v>0</x:v>
      </x:c>
      <x:c r="H935" s="7" t="n">
        <x:f>COUNTIFS('唯一词标签'!$V$2:$V$1441,A935,'唯一词标签'!$U$2:$U$1441,"low")</x:f>
        <x:v>0</x:v>
      </x:c>
      <x:c r="I935" s="7" t="n">
        <x:f>COUNTIFS('唯一词标签'!$V$2:$V$1441,A935,'唯一词标签'!$AB$2:$AB$1441,"needs_review")</x:f>
        <x:v>0</x:v>
      </x:c>
    </x:row>
    <x:row r="936" ht="22" customHeight="1">
      <x:c r="A936" s="7" t="str">
        <x:v>womens_light_blue_flip_flops</x:v>
      </x:c>
      <x:c r="B936" s="7" t="n">
        <x:f>COUNTIF('唯一词标签'!$V$2:$V$1441,A936)</x:f>
        <x:v>1</x:v>
      </x:c>
      <x:c r="C936" s="55" t="n">
        <x:f>B936/COUNTA('唯一词标签'!$C$2:$C$1441)</x:f>
        <x:v>0.0006944444444444445</x:v>
      </x:c>
      <x:c r="D936" s="7" t="n">
        <x:f>COUNTIFS('唯一词标签'!$V$2:$V$1441,A936,'唯一词标签'!$Z$2:$Z$1441,"match")</x:f>
        <x:v>1</x:v>
      </x:c>
      <x:c r="E936" s="7" t="n">
        <x:f>COUNTIFS('唯一词标签'!$V$2:$V$1441,A936,'唯一词标签'!$Z$2:$Z$1441,"partial_match")</x:f>
        <x:v>0</x:v>
      </x:c>
      <x:c r="F936" s="7" t="n">
        <x:f>COUNTIFS('唯一词标签'!$V$2:$V$1441,A936,'唯一词标签'!$Z$2:$Z$1441,"mismatch")</x:f>
        <x:v>0</x:v>
      </x:c>
      <x:c r="G936" s="7" t="n">
        <x:f>COUNTIFS('唯一词标签'!$V$2:$V$1441,A936,'唯一词标签'!$Z$2:$Z$1441,"unknown")</x:f>
        <x:v>0</x:v>
      </x:c>
      <x:c r="H936" s="7" t="n">
        <x:f>COUNTIFS('唯一词标签'!$V$2:$V$1441,A936,'唯一词标签'!$U$2:$U$1441,"low")</x:f>
        <x:v>0</x:v>
      </x:c>
      <x:c r="I936" s="7" t="n">
        <x:f>COUNTIFS('唯一词标签'!$V$2:$V$1441,A936,'唯一词标签'!$AB$2:$AB$1441,"needs_review")</x:f>
        <x:v>0</x:v>
      </x:c>
    </x:row>
    <x:row r="937" ht="22" customHeight="1">
      <x:c r="A937" s="7" t="str">
        <x:v>womens_light_pink_flip_flops</x:v>
      </x:c>
      <x:c r="B937" s="7" t="n">
        <x:f>COUNTIF('唯一词标签'!$V$2:$V$1441,A937)</x:f>
        <x:v>1</x:v>
      </x:c>
      <x:c r="C937" s="55" t="n">
        <x:f>B937/COUNTA('唯一词标签'!$C$2:$C$1441)</x:f>
        <x:v>0.0006944444444444445</x:v>
      </x:c>
      <x:c r="D937" s="7" t="n">
        <x:f>COUNTIFS('唯一词标签'!$V$2:$V$1441,A937,'唯一词标签'!$Z$2:$Z$1441,"match")</x:f>
        <x:v>1</x:v>
      </x:c>
      <x:c r="E937" s="7" t="n">
        <x:f>COUNTIFS('唯一词标签'!$V$2:$V$1441,A937,'唯一词标签'!$Z$2:$Z$1441,"partial_match")</x:f>
        <x:v>0</x:v>
      </x:c>
      <x:c r="F937" s="7" t="n">
        <x:f>COUNTIFS('唯一词标签'!$V$2:$V$1441,A937,'唯一词标签'!$Z$2:$Z$1441,"mismatch")</x:f>
        <x:v>0</x:v>
      </x:c>
      <x:c r="G937" s="7" t="n">
        <x:f>COUNTIFS('唯一词标签'!$V$2:$V$1441,A937,'唯一词标签'!$Z$2:$Z$1441,"unknown")</x:f>
        <x:v>0</x:v>
      </x:c>
      <x:c r="H937" s="7" t="n">
        <x:f>COUNTIFS('唯一词标签'!$V$2:$V$1441,A937,'唯一词标签'!$U$2:$U$1441,"low")</x:f>
        <x:v>0</x:v>
      </x:c>
      <x:c r="I937" s="7" t="n">
        <x:f>COUNTIFS('唯一词标签'!$V$2:$V$1441,A937,'唯一词标签'!$AB$2:$AB$1441,"needs_review")</x:f>
        <x:v>0</x:v>
      </x:c>
    </x:row>
    <x:row r="938" ht="22" customHeight="1">
      <x:c r="A938" s="7" t="str">
        <x:v>womens_lightweight_flip_flops</x:v>
      </x:c>
      <x:c r="B938" s="7" t="n">
        <x:f>COUNTIF('唯一词标签'!$V$2:$V$1441,A938)</x:f>
        <x:v>2</x:v>
      </x:c>
      <x:c r="C938" s="55" t="n">
        <x:f>B938/COUNTA('唯一词标签'!$C$2:$C$1441)</x:f>
        <x:v>0.001388888888888889</x:v>
      </x:c>
      <x:c r="D938" s="7" t="n">
        <x:f>COUNTIFS('唯一词标签'!$V$2:$V$1441,A938,'唯一词标签'!$Z$2:$Z$1441,"match")</x:f>
        <x:v>2</x:v>
      </x:c>
      <x:c r="E938" s="7" t="n">
        <x:f>COUNTIFS('唯一词标签'!$V$2:$V$1441,A938,'唯一词标签'!$Z$2:$Z$1441,"partial_match")</x:f>
        <x:v>0</x:v>
      </x:c>
      <x:c r="F938" s="7" t="n">
        <x:f>COUNTIFS('唯一词标签'!$V$2:$V$1441,A938,'唯一词标签'!$Z$2:$Z$1441,"mismatch")</x:f>
        <x:v>0</x:v>
      </x:c>
      <x:c r="G938" s="7" t="n">
        <x:f>COUNTIFS('唯一词标签'!$V$2:$V$1441,A938,'唯一词标签'!$Z$2:$Z$1441,"unknown")</x:f>
        <x:v>0</x:v>
      </x:c>
      <x:c r="H938" s="7" t="n">
        <x:f>COUNTIFS('唯一词标签'!$V$2:$V$1441,A938,'唯一词标签'!$U$2:$U$1441,"low")</x:f>
        <x:v>0</x:v>
      </x:c>
      <x:c r="I938" s="7" t="n">
        <x:f>COUNTIFS('唯一词标签'!$V$2:$V$1441,A938,'唯一词标签'!$AB$2:$AB$1441,"needs_review")</x:f>
        <x:v>0</x:v>
      </x:c>
    </x:row>
    <x:row r="939" ht="22" customHeight="1">
      <x:c r="A939" s="7" t="str">
        <x:v>womens_lightweight_flip_flops_size10</x:v>
      </x:c>
      <x:c r="B939" s="7" t="n">
        <x:f>COUNTIF('唯一词标签'!$V$2:$V$1441,A939)</x:f>
        <x:v>1</x:v>
      </x:c>
      <x:c r="C939" s="55" t="n">
        <x:f>B939/COUNTA('唯一词标签'!$C$2:$C$1441)</x:f>
        <x:v>0.0006944444444444445</x:v>
      </x:c>
      <x:c r="D939" s="7" t="n">
        <x:f>COUNTIFS('唯一词标签'!$V$2:$V$1441,A939,'唯一词标签'!$Z$2:$Z$1441,"match")</x:f>
        <x:v>1</x:v>
      </x:c>
      <x:c r="E939" s="7" t="n">
        <x:f>COUNTIFS('唯一词标签'!$V$2:$V$1441,A939,'唯一词标签'!$Z$2:$Z$1441,"partial_match")</x:f>
        <x:v>0</x:v>
      </x:c>
      <x:c r="F939" s="7" t="n">
        <x:f>COUNTIFS('唯一词标签'!$V$2:$V$1441,A939,'唯一词标签'!$Z$2:$Z$1441,"mismatch")</x:f>
        <x:v>0</x:v>
      </x:c>
      <x:c r="G939" s="7" t="n">
        <x:f>COUNTIFS('唯一词标签'!$V$2:$V$1441,A939,'唯一词标签'!$Z$2:$Z$1441,"unknown")</x:f>
        <x:v>0</x:v>
      </x:c>
      <x:c r="H939" s="7" t="n">
        <x:f>COUNTIFS('唯一词标签'!$V$2:$V$1441,A939,'唯一词标签'!$U$2:$U$1441,"low")</x:f>
        <x:v>0</x:v>
      </x:c>
      <x:c r="I939" s="7" t="n">
        <x:f>COUNTIFS('唯一词标签'!$V$2:$V$1441,A939,'唯一词标签'!$AB$2:$AB$1441,"needs_review")</x:f>
        <x:v>0</x:v>
      </x:c>
    </x:row>
    <x:row r="940" ht="22" customHeight="1">
      <x:c r="A940" s="7" t="str">
        <x:v>womens_low_flat_flip_flops</x:v>
      </x:c>
      <x:c r="B940" s="7" t="n">
        <x:f>COUNTIF('唯一词标签'!$V$2:$V$1441,A940)</x:f>
        <x:v>1</x:v>
      </x:c>
      <x:c r="C940" s="55" t="n">
        <x:f>B940/COUNTA('唯一词标签'!$C$2:$C$1441)</x:f>
        <x:v>0.0006944444444444445</x:v>
      </x:c>
      <x:c r="D940" s="7" t="n">
        <x:f>COUNTIFS('唯一词标签'!$V$2:$V$1441,A940,'唯一词标签'!$Z$2:$Z$1441,"match")</x:f>
        <x:v>1</x:v>
      </x:c>
      <x:c r="E940" s="7" t="n">
        <x:f>COUNTIFS('唯一词标签'!$V$2:$V$1441,A940,'唯一词标签'!$Z$2:$Z$1441,"partial_match")</x:f>
        <x:v>0</x:v>
      </x:c>
      <x:c r="F940" s="7" t="n">
        <x:f>COUNTIFS('唯一词标签'!$V$2:$V$1441,A940,'唯一词标签'!$Z$2:$Z$1441,"mismatch")</x:f>
        <x:v>0</x:v>
      </x:c>
      <x:c r="G940" s="7" t="n">
        <x:f>COUNTIFS('唯一词标签'!$V$2:$V$1441,A940,'唯一词标签'!$Z$2:$Z$1441,"unknown")</x:f>
        <x:v>0</x:v>
      </x:c>
      <x:c r="H940" s="7" t="n">
        <x:f>COUNTIFS('唯一词标签'!$V$2:$V$1441,A940,'唯一词标签'!$U$2:$U$1441,"low")</x:f>
        <x:v>0</x:v>
      </x:c>
      <x:c r="I940" s="7" t="n">
        <x:f>COUNTIFS('唯一词标签'!$V$2:$V$1441,A940,'唯一词标签'!$AB$2:$AB$1441,"needs_review")</x:f>
        <x:v>0</x:v>
      </x:c>
    </x:row>
    <x:row r="941" ht="22" customHeight="1">
      <x:c r="A941" s="7" t="str">
        <x:v>womens_medical_flip_flops</x:v>
      </x:c>
      <x:c r="B941" s="7" t="n">
        <x:f>COUNTIF('唯一词标签'!$V$2:$V$1441,A941)</x:f>
        <x:v>1</x:v>
      </x:c>
      <x:c r="C941" s="55" t="n">
        <x:f>B941/COUNTA('唯一词标签'!$C$2:$C$1441)</x:f>
        <x:v>0.0006944444444444445</x:v>
      </x:c>
      <x:c r="D941" s="7" t="n">
        <x:f>COUNTIFS('唯一词标签'!$V$2:$V$1441,A941,'唯一词标签'!$Z$2:$Z$1441,"match")</x:f>
        <x:v>0</x:v>
      </x:c>
      <x:c r="E941" s="7" t="n">
        <x:f>COUNTIFS('唯一词标签'!$V$2:$V$1441,A941,'唯一词标签'!$Z$2:$Z$1441,"partial_match")</x:f>
        <x:v>1</x:v>
      </x:c>
      <x:c r="F941" s="7" t="n">
        <x:f>COUNTIFS('唯一词标签'!$V$2:$V$1441,A941,'唯一词标签'!$Z$2:$Z$1441,"mismatch")</x:f>
        <x:v>0</x:v>
      </x:c>
      <x:c r="G941" s="7" t="n">
        <x:f>COUNTIFS('唯一词标签'!$V$2:$V$1441,A941,'唯一词标签'!$Z$2:$Z$1441,"unknown")</x:f>
        <x:v>0</x:v>
      </x:c>
      <x:c r="H941" s="7" t="n">
        <x:f>COUNTIFS('唯一词标签'!$V$2:$V$1441,A941,'唯一词标签'!$U$2:$U$1441,"low")</x:f>
        <x:v>0</x:v>
      </x:c>
      <x:c r="I941" s="7" t="n">
        <x:f>COUNTIFS('唯一词标签'!$V$2:$V$1441,A941,'唯一词标签'!$AB$2:$AB$1441,"needs_review")</x:f>
        <x:v>0</x:v>
      </x:c>
    </x:row>
    <x:row r="942" ht="22" customHeight="1">
      <x:c r="A942" s="7" t="str">
        <x:v>womens_memory_foam_flip_flops</x:v>
      </x:c>
      <x:c r="B942" s="7" t="n">
        <x:f>COUNTIF('唯一词标签'!$V$2:$V$1441,A942)</x:f>
        <x:v>2</x:v>
      </x:c>
      <x:c r="C942" s="55" t="n">
        <x:f>B942/COUNTA('唯一词标签'!$C$2:$C$1441)</x:f>
        <x:v>0.001388888888888889</x:v>
      </x:c>
      <x:c r="D942" s="7" t="n">
        <x:f>COUNTIFS('唯一词标签'!$V$2:$V$1441,A942,'唯一词标签'!$Z$2:$Z$1441,"match")</x:f>
        <x:v>0</x:v>
      </x:c>
      <x:c r="E942" s="7" t="n">
        <x:f>COUNTIFS('唯一词标签'!$V$2:$V$1441,A942,'唯一词标签'!$Z$2:$Z$1441,"partial_match")</x:f>
        <x:v>2</x:v>
      </x:c>
      <x:c r="F942" s="7" t="n">
        <x:f>COUNTIFS('唯一词标签'!$V$2:$V$1441,A942,'唯一词标签'!$Z$2:$Z$1441,"mismatch")</x:f>
        <x:v>0</x:v>
      </x:c>
      <x:c r="G942" s="7" t="n">
        <x:f>COUNTIFS('唯一词标签'!$V$2:$V$1441,A942,'唯一词标签'!$Z$2:$Z$1441,"unknown")</x:f>
        <x:v>0</x:v>
      </x:c>
      <x:c r="H942" s="7" t="n">
        <x:f>COUNTIFS('唯一词标签'!$V$2:$V$1441,A942,'唯一词标签'!$U$2:$U$1441,"low")</x:f>
        <x:v>0</x:v>
      </x:c>
      <x:c r="I942" s="7" t="n">
        <x:f>COUNTIFS('唯一词标签'!$V$2:$V$1441,A942,'唯一词标签'!$AB$2:$AB$1441,"needs_review")</x:f>
        <x:v>0</x:v>
      </x:c>
    </x:row>
    <x:row r="943" ht="22" customHeight="1">
      <x:c r="A943" s="7" t="str">
        <x:v>womens_mushroom_flip_flops</x:v>
      </x:c>
      <x:c r="B943" s="7" t="n">
        <x:f>COUNTIF('唯一词标签'!$V$2:$V$1441,A943)</x:f>
        <x:v>1</x:v>
      </x:c>
      <x:c r="C943" s="55" t="n">
        <x:f>B943/COUNTA('唯一词标签'!$C$2:$C$1441)</x:f>
        <x:v>0.0006944444444444445</x:v>
      </x:c>
      <x:c r="D943" s="7" t="n">
        <x:f>COUNTIFS('唯一词标签'!$V$2:$V$1441,A943,'唯一词标签'!$Z$2:$Z$1441,"match")</x:f>
        <x:v>0</x:v>
      </x:c>
      <x:c r="E943" s="7" t="n">
        <x:f>COUNTIFS('唯一词标签'!$V$2:$V$1441,A943,'唯一词标签'!$Z$2:$Z$1441,"partial_match")</x:f>
        <x:v>1</x:v>
      </x:c>
      <x:c r="F943" s="7" t="n">
        <x:f>COUNTIFS('唯一词标签'!$V$2:$V$1441,A943,'唯一词标签'!$Z$2:$Z$1441,"mismatch")</x:f>
        <x:v>0</x:v>
      </x:c>
      <x:c r="G943" s="7" t="n">
        <x:f>COUNTIFS('唯一词标签'!$V$2:$V$1441,A943,'唯一词标签'!$Z$2:$Z$1441,"unknown")</x:f>
        <x:v>0</x:v>
      </x:c>
      <x:c r="H943" s="7" t="n">
        <x:f>COUNTIFS('唯一词标签'!$V$2:$V$1441,A943,'唯一词标签'!$U$2:$U$1441,"low")</x:f>
        <x:v>0</x:v>
      </x:c>
      <x:c r="I943" s="7" t="n">
        <x:f>COUNTIFS('唯一词标签'!$V$2:$V$1441,A943,'唯一词标签'!$AB$2:$AB$1441,"needs_review")</x:f>
        <x:v>0</x:v>
      </x:c>
    </x:row>
    <x:row r="944" ht="22" customHeight="1">
      <x:c r="A944" s="7" t="str">
        <x:v>womens_narrow_flip_flops</x:v>
      </x:c>
      <x:c r="B944" s="7" t="n">
        <x:f>COUNTIF('唯一词标签'!$V$2:$V$1441,A944)</x:f>
        <x:v>2</x:v>
      </x:c>
      <x:c r="C944" s="55" t="n">
        <x:f>B944/COUNTA('唯一词标签'!$C$2:$C$1441)</x:f>
        <x:v>0.001388888888888889</x:v>
      </x:c>
      <x:c r="D944" s="7" t="n">
        <x:f>COUNTIFS('唯一词标签'!$V$2:$V$1441,A944,'唯一词标签'!$Z$2:$Z$1441,"match")</x:f>
        <x:v>0</x:v>
      </x:c>
      <x:c r="E944" s="7" t="n">
        <x:f>COUNTIFS('唯一词标签'!$V$2:$V$1441,A944,'唯一词标签'!$Z$2:$Z$1441,"partial_match")</x:f>
        <x:v>2</x:v>
      </x:c>
      <x:c r="F944" s="7" t="n">
        <x:f>COUNTIFS('唯一词标签'!$V$2:$V$1441,A944,'唯一词标签'!$Z$2:$Z$1441,"mismatch")</x:f>
        <x:v>0</x:v>
      </x:c>
      <x:c r="G944" s="7" t="n">
        <x:f>COUNTIFS('唯一词标签'!$V$2:$V$1441,A944,'唯一词标签'!$Z$2:$Z$1441,"unknown")</x:f>
        <x:v>0</x:v>
      </x:c>
      <x:c r="H944" s="7" t="n">
        <x:f>COUNTIFS('唯一词标签'!$V$2:$V$1441,A944,'唯一词标签'!$U$2:$U$1441,"low")</x:f>
        <x:v>0</x:v>
      </x:c>
      <x:c r="I944" s="7" t="n">
        <x:f>COUNTIFS('唯一词标签'!$V$2:$V$1441,A944,'唯一词标签'!$AB$2:$AB$1441,"needs_review")</x:f>
        <x:v>0</x:v>
      </x:c>
    </x:row>
    <x:row r="945" ht="22" customHeight="1">
      <x:c r="A945" s="7" t="str">
        <x:v>womens_narrow_width_flip_flops</x:v>
      </x:c>
      <x:c r="B945" s="7" t="n">
        <x:f>COUNTIF('唯一词标签'!$V$2:$V$1441,A945)</x:f>
        <x:v>1</x:v>
      </x:c>
      <x:c r="C945" s="55" t="n">
        <x:f>B945/COUNTA('唯一词标签'!$C$2:$C$1441)</x:f>
        <x:v>0.0006944444444444445</x:v>
      </x:c>
      <x:c r="D945" s="7" t="n">
        <x:f>COUNTIFS('唯一词标签'!$V$2:$V$1441,A945,'唯一词标签'!$Z$2:$Z$1441,"match")</x:f>
        <x:v>0</x:v>
      </x:c>
      <x:c r="E945" s="7" t="n">
        <x:f>COUNTIFS('唯一词标签'!$V$2:$V$1441,A945,'唯一词标签'!$Z$2:$Z$1441,"partial_match")</x:f>
        <x:v>1</x:v>
      </x:c>
      <x:c r="F945" s="7" t="n">
        <x:f>COUNTIFS('唯一词标签'!$V$2:$V$1441,A945,'唯一词标签'!$Z$2:$Z$1441,"mismatch")</x:f>
        <x:v>0</x:v>
      </x:c>
      <x:c r="G945" s="7" t="n">
        <x:f>COUNTIFS('唯一词标签'!$V$2:$V$1441,A945,'唯一词标签'!$Z$2:$Z$1441,"unknown")</x:f>
        <x:v>0</x:v>
      </x:c>
      <x:c r="H945" s="7" t="n">
        <x:f>COUNTIFS('唯一词标签'!$V$2:$V$1441,A945,'唯一词标签'!$U$2:$U$1441,"low")</x:f>
        <x:v>0</x:v>
      </x:c>
      <x:c r="I945" s="7" t="n">
        <x:f>COUNTIFS('唯一词标签'!$V$2:$V$1441,A945,'唯一词标签'!$AB$2:$AB$1441,"needs_review")</x:f>
        <x:v>1</x:v>
      </x:c>
    </x:row>
    <x:row r="946" ht="22" customHeight="1">
      <x:c r="A946" s="7" t="str">
        <x:v>womens_navy_blue_sandals</x:v>
      </x:c>
      <x:c r="B946" s="7" t="n">
        <x:f>COUNTIF('唯一词标签'!$V$2:$V$1441,A946)</x:f>
        <x:v>1</x:v>
      </x:c>
      <x:c r="C946" s="55" t="n">
        <x:f>B946/COUNTA('唯一词标签'!$C$2:$C$1441)</x:f>
        <x:v>0.0006944444444444445</x:v>
      </x:c>
      <x:c r="D946" s="7" t="n">
        <x:f>COUNTIFS('唯一词标签'!$V$2:$V$1441,A946,'唯一词标签'!$Z$2:$Z$1441,"match")</x:f>
        <x:v>0</x:v>
      </x:c>
      <x:c r="E946" s="7" t="n">
        <x:f>COUNTIFS('唯一词标签'!$V$2:$V$1441,A946,'唯一词标签'!$Z$2:$Z$1441,"partial_match")</x:f>
        <x:v>1</x:v>
      </x:c>
      <x:c r="F946" s="7" t="n">
        <x:f>COUNTIFS('唯一词标签'!$V$2:$V$1441,A946,'唯一词标签'!$Z$2:$Z$1441,"mismatch")</x:f>
        <x:v>0</x:v>
      </x:c>
      <x:c r="G946" s="7" t="n">
        <x:f>COUNTIFS('唯一词标签'!$V$2:$V$1441,A946,'唯一词标签'!$Z$2:$Z$1441,"unknown")</x:f>
        <x:v>0</x:v>
      </x:c>
      <x:c r="H946" s="7" t="n">
        <x:f>COUNTIFS('唯一词标签'!$V$2:$V$1441,A946,'唯一词标签'!$U$2:$U$1441,"low")</x:f>
        <x:v>0</x:v>
      </x:c>
      <x:c r="I946" s="7" t="n">
        <x:f>COUNTIFS('唯一词标签'!$V$2:$V$1441,A946,'唯一词标签'!$AB$2:$AB$1441,"needs_review")</x:f>
        <x:v>0</x:v>
      </x:c>
    </x:row>
    <x:row r="947" ht="22" customHeight="1">
      <x:c r="A947" s="7" t="str">
        <x:v>womens_navy_flip_flop_sandals</x:v>
      </x:c>
      <x:c r="B947" s="7" t="n">
        <x:f>COUNTIF('唯一词标签'!$V$2:$V$1441,A947)</x:f>
        <x:v>1</x:v>
      </x:c>
      <x:c r="C947" s="55" t="n">
        <x:f>B947/COUNTA('唯一词标签'!$C$2:$C$1441)</x:f>
        <x:v>0.0006944444444444445</x:v>
      </x:c>
      <x:c r="D947" s="7" t="n">
        <x:f>COUNTIFS('唯一词标签'!$V$2:$V$1441,A947,'唯一词标签'!$Z$2:$Z$1441,"match")</x:f>
        <x:v>0</x:v>
      </x:c>
      <x:c r="E947" s="7" t="n">
        <x:f>COUNTIFS('唯一词标签'!$V$2:$V$1441,A947,'唯一词标签'!$Z$2:$Z$1441,"partial_match")</x:f>
        <x:v>1</x:v>
      </x:c>
      <x:c r="F947" s="7" t="n">
        <x:f>COUNTIFS('唯一词标签'!$V$2:$V$1441,A947,'唯一词标签'!$Z$2:$Z$1441,"mismatch")</x:f>
        <x:v>0</x:v>
      </x:c>
      <x:c r="G947" s="7" t="n">
        <x:f>COUNTIFS('唯一词标签'!$V$2:$V$1441,A947,'唯一词标签'!$Z$2:$Z$1441,"unknown")</x:f>
        <x:v>0</x:v>
      </x:c>
      <x:c r="H947" s="7" t="n">
        <x:f>COUNTIFS('唯一词标签'!$V$2:$V$1441,A947,'唯一词标签'!$U$2:$U$1441,"low")</x:f>
        <x:v>0</x:v>
      </x:c>
      <x:c r="I947" s="7" t="n">
        <x:f>COUNTIFS('唯一词标签'!$V$2:$V$1441,A947,'唯一词标签'!$AB$2:$AB$1441,"needs_review")</x:f>
        <x:v>0</x:v>
      </x:c>
    </x:row>
    <x:row r="948" ht="22" customHeight="1">
      <x:c r="A948" s="7" t="str">
        <x:v>womens_navy_flip_flops</x:v>
      </x:c>
      <x:c r="B948" s="7" t="n">
        <x:f>COUNTIF('唯一词标签'!$V$2:$V$1441,A948)</x:f>
        <x:v>1</x:v>
      </x:c>
      <x:c r="C948" s="55" t="n">
        <x:f>B948/COUNTA('唯一词标签'!$C$2:$C$1441)</x:f>
        <x:v>0.0006944444444444445</x:v>
      </x:c>
      <x:c r="D948" s="7" t="n">
        <x:f>COUNTIFS('唯一词标签'!$V$2:$V$1441,A948,'唯一词标签'!$Z$2:$Z$1441,"match")</x:f>
        <x:v>0</x:v>
      </x:c>
      <x:c r="E948" s="7" t="n">
        <x:f>COUNTIFS('唯一词标签'!$V$2:$V$1441,A948,'唯一词标签'!$Z$2:$Z$1441,"partial_match")</x:f>
        <x:v>1</x:v>
      </x:c>
      <x:c r="F948" s="7" t="n">
        <x:f>COUNTIFS('唯一词标签'!$V$2:$V$1441,A948,'唯一词标签'!$Z$2:$Z$1441,"mismatch")</x:f>
        <x:v>0</x:v>
      </x:c>
      <x:c r="G948" s="7" t="n">
        <x:f>COUNTIFS('唯一词标签'!$V$2:$V$1441,A948,'唯一词标签'!$Z$2:$Z$1441,"unknown")</x:f>
        <x:v>0</x:v>
      </x:c>
      <x:c r="H948" s="7" t="n">
        <x:f>COUNTIFS('唯一词标签'!$V$2:$V$1441,A948,'唯一词标签'!$U$2:$U$1441,"low")</x:f>
        <x:v>0</x:v>
      </x:c>
      <x:c r="I948" s="7" t="n">
        <x:f>COUNTIFS('唯一词标签'!$V$2:$V$1441,A948,'唯一词标签'!$AB$2:$AB$1441,"needs_review")</x:f>
        <x:v>0</x:v>
      </x:c>
    </x:row>
    <x:row r="949" ht="22" customHeight="1">
      <x:c r="A949" s="7" t="str">
        <x:v>womens_non_slip_flip_flops</x:v>
      </x:c>
      <x:c r="B949" s="7" t="n">
        <x:f>COUNTIF('唯一词标签'!$V$2:$V$1441,A949)</x:f>
        <x:v>2</x:v>
      </x:c>
      <x:c r="C949" s="55" t="n">
        <x:f>B949/COUNTA('唯一词标签'!$C$2:$C$1441)</x:f>
        <x:v>0.001388888888888889</x:v>
      </x:c>
      <x:c r="D949" s="7" t="n">
        <x:f>COUNTIFS('唯一词标签'!$V$2:$V$1441,A949,'唯一词标签'!$Z$2:$Z$1441,"match")</x:f>
        <x:v>2</x:v>
      </x:c>
      <x:c r="E949" s="7" t="n">
        <x:f>COUNTIFS('唯一词标签'!$V$2:$V$1441,A949,'唯一词标签'!$Z$2:$Z$1441,"partial_match")</x:f>
        <x:v>0</x:v>
      </x:c>
      <x:c r="F949" s="7" t="n">
        <x:f>COUNTIFS('唯一词标签'!$V$2:$V$1441,A949,'唯一词标签'!$Z$2:$Z$1441,"mismatch")</x:f>
        <x:v>0</x:v>
      </x:c>
      <x:c r="G949" s="7" t="n">
        <x:f>COUNTIFS('唯一词标签'!$V$2:$V$1441,A949,'唯一词标签'!$Z$2:$Z$1441,"unknown")</x:f>
        <x:v>0</x:v>
      </x:c>
      <x:c r="H949" s="7" t="n">
        <x:f>COUNTIFS('唯一词标签'!$V$2:$V$1441,A949,'唯一词标签'!$U$2:$U$1441,"low")</x:f>
        <x:v>0</x:v>
      </x:c>
      <x:c r="I949" s="7" t="n">
        <x:f>COUNTIFS('唯一词标签'!$V$2:$V$1441,A949,'唯一词标签'!$AB$2:$AB$1441,"needs_review")</x:f>
        <x:v>0</x:v>
      </x:c>
    </x:row>
    <x:row r="950" ht="22" customHeight="1">
      <x:c r="A950" s="7" t="str">
        <x:v>womens_non_slip_rubber_flip_flops</x:v>
      </x:c>
      <x:c r="B950" s="7" t="n">
        <x:f>COUNTIF('唯一词标签'!$V$2:$V$1441,A950)</x:f>
        <x:v>1</x:v>
      </x:c>
      <x:c r="C950" s="55" t="n">
        <x:f>B950/COUNTA('唯一词标签'!$C$2:$C$1441)</x:f>
        <x:v>0.0006944444444444445</x:v>
      </x:c>
      <x:c r="D950" s="7" t="n">
        <x:f>COUNTIFS('唯一词标签'!$V$2:$V$1441,A950,'唯一词标签'!$Z$2:$Z$1441,"match")</x:f>
        <x:v>0</x:v>
      </x:c>
      <x:c r="E950" s="7" t="n">
        <x:f>COUNTIFS('唯一词标签'!$V$2:$V$1441,A950,'唯一词标签'!$Z$2:$Z$1441,"partial_match")</x:f>
        <x:v>1</x:v>
      </x:c>
      <x:c r="F950" s="7" t="n">
        <x:f>COUNTIFS('唯一词标签'!$V$2:$V$1441,A950,'唯一词标签'!$Z$2:$Z$1441,"mismatch")</x:f>
        <x:v>0</x:v>
      </x:c>
      <x:c r="G950" s="7" t="n">
        <x:f>COUNTIFS('唯一词标签'!$V$2:$V$1441,A950,'唯一词标签'!$Z$2:$Z$1441,"unknown")</x:f>
        <x:v>0</x:v>
      </x:c>
      <x:c r="H950" s="7" t="n">
        <x:f>COUNTIFS('唯一词标签'!$V$2:$V$1441,A950,'唯一词标签'!$U$2:$U$1441,"low")</x:f>
        <x:v>0</x:v>
      </x:c>
      <x:c r="I950" s="7" t="n">
        <x:f>COUNTIFS('唯一词标签'!$V$2:$V$1441,A950,'唯一词标签'!$AB$2:$AB$1441,"needs_review")</x:f>
        <x:v>0</x:v>
      </x:c>
    </x:row>
    <x:row r="951" ht="22" customHeight="1">
      <x:c r="A951" s="7" t="str">
        <x:v>womens_nonslip_flip_flops</x:v>
      </x:c>
      <x:c r="B951" s="7" t="n">
        <x:f>COUNTIF('唯一词标签'!$V$2:$V$1441,A951)</x:f>
        <x:v>2</x:v>
      </x:c>
      <x:c r="C951" s="55" t="n">
        <x:f>B951/COUNTA('唯一词标签'!$C$2:$C$1441)</x:f>
        <x:v>0.001388888888888889</x:v>
      </x:c>
      <x:c r="D951" s="7" t="n">
        <x:f>COUNTIFS('唯一词标签'!$V$2:$V$1441,A951,'唯一词标签'!$Z$2:$Z$1441,"match")</x:f>
        <x:v>2</x:v>
      </x:c>
      <x:c r="E951" s="7" t="n">
        <x:f>COUNTIFS('唯一词标签'!$V$2:$V$1441,A951,'唯一词标签'!$Z$2:$Z$1441,"partial_match")</x:f>
        <x:v>0</x:v>
      </x:c>
      <x:c r="F951" s="7" t="n">
        <x:f>COUNTIFS('唯一词标签'!$V$2:$V$1441,A951,'唯一词标签'!$Z$2:$Z$1441,"mismatch")</x:f>
        <x:v>0</x:v>
      </x:c>
      <x:c r="G951" s="7" t="n">
        <x:f>COUNTIFS('唯一词标签'!$V$2:$V$1441,A951,'唯一词标签'!$Z$2:$Z$1441,"unknown")</x:f>
        <x:v>0</x:v>
      </x:c>
      <x:c r="H951" s="7" t="n">
        <x:f>COUNTIFS('唯一词标签'!$V$2:$V$1441,A951,'唯一词标签'!$U$2:$U$1441,"low")</x:f>
        <x:v>0</x:v>
      </x:c>
      <x:c r="I951" s="7" t="n">
        <x:f>COUNTIFS('唯一词标签'!$V$2:$V$1441,A951,'唯一词标签'!$AB$2:$AB$1441,"needs_review")</x:f>
        <x:v>0</x:v>
      </x:c>
    </x:row>
    <x:row r="952" ht="22" customHeight="1">
      <x:c r="A952" s="7" t="str">
        <x:v>womens_orange_flip_flops</x:v>
      </x:c>
      <x:c r="B952" s="7" t="n">
        <x:f>COUNTIF('唯一词标签'!$V$2:$V$1441,A952)</x:f>
        <x:v>1</x:v>
      </x:c>
      <x:c r="C952" s="55" t="n">
        <x:f>B952/COUNTA('唯一词标签'!$C$2:$C$1441)</x:f>
        <x:v>0.0006944444444444445</x:v>
      </x:c>
      <x:c r="D952" s="7" t="n">
        <x:f>COUNTIFS('唯一词标签'!$V$2:$V$1441,A952,'唯一词标签'!$Z$2:$Z$1441,"match")</x:f>
        <x:v>0</x:v>
      </x:c>
      <x:c r="E952" s="7" t="n">
        <x:f>COUNTIFS('唯一词标签'!$V$2:$V$1441,A952,'唯一词标签'!$Z$2:$Z$1441,"partial_match")</x:f>
        <x:v>1</x:v>
      </x:c>
      <x:c r="F952" s="7" t="n">
        <x:f>COUNTIFS('唯一词标签'!$V$2:$V$1441,A952,'唯一词标签'!$Z$2:$Z$1441,"mismatch")</x:f>
        <x:v>0</x:v>
      </x:c>
      <x:c r="G952" s="7" t="n">
        <x:f>COUNTIFS('唯一词标签'!$V$2:$V$1441,A952,'唯一词标签'!$Z$2:$Z$1441,"unknown")</x:f>
        <x:v>0</x:v>
      </x:c>
      <x:c r="H952" s="7" t="n">
        <x:f>COUNTIFS('唯一词标签'!$V$2:$V$1441,A952,'唯一词标签'!$U$2:$U$1441,"low")</x:f>
        <x:v>0</x:v>
      </x:c>
      <x:c r="I952" s="7" t="n">
        <x:f>COUNTIFS('唯一词标签'!$V$2:$V$1441,A952,'唯一词标签'!$AB$2:$AB$1441,"needs_review")</x:f>
        <x:v>0</x:v>
      </x:c>
    </x:row>
    <x:row r="953" ht="22" customHeight="1">
      <x:c r="A953" s="7" t="str">
        <x:v>womens_orange_flip_flops_size_11</x:v>
      </x:c>
      <x:c r="B953" s="7" t="n">
        <x:f>COUNTIF('唯一词标签'!$V$2:$V$1441,A953)</x:f>
        <x:v>1</x:v>
      </x:c>
      <x:c r="C953" s="55" t="n">
        <x:f>B953/COUNTA('唯一词标签'!$C$2:$C$1441)</x:f>
        <x:v>0.0006944444444444445</x:v>
      </x:c>
      <x:c r="D953" s="7" t="n">
        <x:f>COUNTIFS('唯一词标签'!$V$2:$V$1441,A953,'唯一词标签'!$Z$2:$Z$1441,"match")</x:f>
        <x:v>0</x:v>
      </x:c>
      <x:c r="E953" s="7" t="n">
        <x:f>COUNTIFS('唯一词标签'!$V$2:$V$1441,A953,'唯一词标签'!$Z$2:$Z$1441,"partial_match")</x:f>
        <x:v>1</x:v>
      </x:c>
      <x:c r="F953" s="7" t="n">
        <x:f>COUNTIFS('唯一词标签'!$V$2:$V$1441,A953,'唯一词标签'!$Z$2:$Z$1441,"mismatch")</x:f>
        <x:v>0</x:v>
      </x:c>
      <x:c r="G953" s="7" t="n">
        <x:f>COUNTIFS('唯一词标签'!$V$2:$V$1441,A953,'唯一词标签'!$Z$2:$Z$1441,"unknown")</x:f>
        <x:v>0</x:v>
      </x:c>
      <x:c r="H953" s="7" t="n">
        <x:f>COUNTIFS('唯一词标签'!$V$2:$V$1441,A953,'唯一词标签'!$U$2:$U$1441,"low")</x:f>
        <x:v>0</x:v>
      </x:c>
      <x:c r="I953" s="7" t="n">
        <x:f>COUNTIFS('唯一词标签'!$V$2:$V$1441,A953,'唯一词标签'!$AB$2:$AB$1441,"needs_review")</x:f>
        <x:v>1</x:v>
      </x:c>
    </x:row>
    <x:row r="954" ht="22" customHeight="1">
      <x:c r="A954" s="7" t="str">
        <x:v>womens_orthopedic_brown_flip_flops</x:v>
      </x:c>
      <x:c r="B954" s="7" t="n">
        <x:f>COUNTIF('唯一词标签'!$V$2:$V$1441,A954)</x:f>
        <x:v>1</x:v>
      </x:c>
      <x:c r="C954" s="55" t="n">
        <x:f>B954/COUNTA('唯一词标签'!$C$2:$C$1441)</x:f>
        <x:v>0.0006944444444444445</x:v>
      </x:c>
      <x:c r="D954" s="7" t="n">
        <x:f>COUNTIFS('唯一词标签'!$V$2:$V$1441,A954,'唯一词标签'!$Z$2:$Z$1441,"match")</x:f>
        <x:v>0</x:v>
      </x:c>
      <x:c r="E954" s="7" t="n">
        <x:f>COUNTIFS('唯一词标签'!$V$2:$V$1441,A954,'唯一词标签'!$Z$2:$Z$1441,"partial_match")</x:f>
        <x:v>1</x:v>
      </x:c>
      <x:c r="F954" s="7" t="n">
        <x:f>COUNTIFS('唯一词标签'!$V$2:$V$1441,A954,'唯一词标签'!$Z$2:$Z$1441,"mismatch")</x:f>
        <x:v>0</x:v>
      </x:c>
      <x:c r="G954" s="7" t="n">
        <x:f>COUNTIFS('唯一词标签'!$V$2:$V$1441,A954,'唯一词标签'!$Z$2:$Z$1441,"unknown")</x:f>
        <x:v>0</x:v>
      </x:c>
      <x:c r="H954" s="7" t="n">
        <x:f>COUNTIFS('唯一词标签'!$V$2:$V$1441,A954,'唯一词标签'!$U$2:$U$1441,"low")</x:f>
        <x:v>0</x:v>
      </x:c>
      <x:c r="I954" s="7" t="n">
        <x:f>COUNTIFS('唯一词标签'!$V$2:$V$1441,A954,'唯一词标签'!$AB$2:$AB$1441,"needs_review")</x:f>
        <x:v>0</x:v>
      </x:c>
    </x:row>
    <x:row r="955" ht="22" customHeight="1">
      <x:c r="A955" s="7" t="str">
        <x:v>womens_orthopedic_flip_flops</x:v>
      </x:c>
      <x:c r="B955" s="7" t="n">
        <x:f>COUNTIF('唯一词标签'!$V$2:$V$1441,A955)</x:f>
        <x:v>5</x:v>
      </x:c>
      <x:c r="C955" s="55" t="n">
        <x:f>B955/COUNTA('唯一词标签'!$C$2:$C$1441)</x:f>
        <x:v>0.003472222222222222</x:v>
      </x:c>
      <x:c r="D955" s="7" t="n">
        <x:f>COUNTIFS('唯一词标签'!$V$2:$V$1441,A955,'唯一词标签'!$Z$2:$Z$1441,"match")</x:f>
        <x:v>0</x:v>
      </x:c>
      <x:c r="E955" s="7" t="n">
        <x:f>COUNTIFS('唯一词标签'!$V$2:$V$1441,A955,'唯一词标签'!$Z$2:$Z$1441,"partial_match")</x:f>
        <x:v>5</x:v>
      </x:c>
      <x:c r="F955" s="7" t="n">
        <x:f>COUNTIFS('唯一词标签'!$V$2:$V$1441,A955,'唯一词标签'!$Z$2:$Z$1441,"mismatch")</x:f>
        <x:v>0</x:v>
      </x:c>
      <x:c r="G955" s="7" t="n">
        <x:f>COUNTIFS('唯一词标签'!$V$2:$V$1441,A955,'唯一词标签'!$Z$2:$Z$1441,"unknown")</x:f>
        <x:v>0</x:v>
      </x:c>
      <x:c r="H955" s="7" t="n">
        <x:f>COUNTIFS('唯一词标签'!$V$2:$V$1441,A955,'唯一词标签'!$U$2:$U$1441,"low")</x:f>
        <x:v>0</x:v>
      </x:c>
      <x:c r="I955" s="7" t="n">
        <x:f>COUNTIFS('唯一词标签'!$V$2:$V$1441,A955,'唯一词标签'!$AB$2:$AB$1441,"needs_review")</x:f>
        <x:v>0</x:v>
      </x:c>
    </x:row>
    <x:row r="956" ht="22" customHeight="1">
      <x:c r="A956" s="7" t="str">
        <x:v>womens_orthopedic_flip_flops_fasciitis</x:v>
      </x:c>
      <x:c r="B956" s="7" t="n">
        <x:f>COUNTIF('唯一词标签'!$V$2:$V$1441,A956)</x:f>
        <x:v>1</x:v>
      </x:c>
      <x:c r="C956" s="55" t="n">
        <x:f>B956/COUNTA('唯一词标签'!$C$2:$C$1441)</x:f>
        <x:v>0.0006944444444444445</x:v>
      </x:c>
      <x:c r="D956" s="7" t="n">
        <x:f>COUNTIFS('唯一词标签'!$V$2:$V$1441,A956,'唯一词标签'!$Z$2:$Z$1441,"match")</x:f>
        <x:v>0</x:v>
      </x:c>
      <x:c r="E956" s="7" t="n">
        <x:f>COUNTIFS('唯一词标签'!$V$2:$V$1441,A956,'唯一词标签'!$Z$2:$Z$1441,"partial_match")</x:f>
        <x:v>1</x:v>
      </x:c>
      <x:c r="F956" s="7" t="n">
        <x:f>COUNTIFS('唯一词标签'!$V$2:$V$1441,A956,'唯一词标签'!$Z$2:$Z$1441,"mismatch")</x:f>
        <x:v>0</x:v>
      </x:c>
      <x:c r="G956" s="7" t="n">
        <x:f>COUNTIFS('唯一词标签'!$V$2:$V$1441,A956,'唯一词标签'!$Z$2:$Z$1441,"unknown")</x:f>
        <x:v>0</x:v>
      </x:c>
      <x:c r="H956" s="7" t="n">
        <x:f>COUNTIFS('唯一词标签'!$V$2:$V$1441,A956,'唯一词标签'!$U$2:$U$1441,"low")</x:f>
        <x:v>0</x:v>
      </x:c>
      <x:c r="I956" s="7" t="n">
        <x:f>COUNTIFS('唯一词标签'!$V$2:$V$1441,A956,'唯一词标签'!$AB$2:$AB$1441,"needs_review")</x:f>
        <x:v>0</x:v>
      </x:c>
    </x:row>
    <x:row r="957" ht="22" customHeight="1">
      <x:c r="A957" s="7" t="str">
        <x:v>womens_orthopedic_sandals</x:v>
      </x:c>
      <x:c r="B957" s="7" t="n">
        <x:f>COUNTIF('唯一词标签'!$V$2:$V$1441,A957)</x:f>
        <x:v>1</x:v>
      </x:c>
      <x:c r="C957" s="55" t="n">
        <x:f>B957/COUNTA('唯一词标签'!$C$2:$C$1441)</x:f>
        <x:v>0.0006944444444444445</x:v>
      </x:c>
      <x:c r="D957" s="7" t="n">
        <x:f>COUNTIFS('唯一词标签'!$V$2:$V$1441,A957,'唯一词标签'!$Z$2:$Z$1441,"match")</x:f>
        <x:v>0</x:v>
      </x:c>
      <x:c r="E957" s="7" t="n">
        <x:f>COUNTIFS('唯一词标签'!$V$2:$V$1441,A957,'唯一词标签'!$Z$2:$Z$1441,"partial_match")</x:f>
        <x:v>1</x:v>
      </x:c>
      <x:c r="F957" s="7" t="n">
        <x:f>COUNTIFS('唯一词标签'!$V$2:$V$1441,A957,'唯一词标签'!$Z$2:$Z$1441,"mismatch")</x:f>
        <x:v>0</x:v>
      </x:c>
      <x:c r="G957" s="7" t="n">
        <x:f>COUNTIFS('唯一词标签'!$V$2:$V$1441,A957,'唯一词标签'!$Z$2:$Z$1441,"unknown")</x:f>
        <x:v>0</x:v>
      </x:c>
      <x:c r="H957" s="7" t="n">
        <x:f>COUNTIFS('唯一词标签'!$V$2:$V$1441,A957,'唯一词标签'!$U$2:$U$1441,"low")</x:f>
        <x:v>0</x:v>
      </x:c>
      <x:c r="I957" s="7" t="n">
        <x:f>COUNTIFS('唯一词标签'!$V$2:$V$1441,A957,'唯一词标签'!$AB$2:$AB$1441,"needs_review")</x:f>
        <x:v>0</x:v>
      </x:c>
    </x:row>
    <x:row r="958" ht="22" customHeight="1">
      <x:c r="A958" s="7" t="str">
        <x:v>womens_outdoor_flip_flops</x:v>
      </x:c>
      <x:c r="B958" s="7" t="n">
        <x:f>COUNTIF('唯一词标签'!$V$2:$V$1441,A958)</x:f>
        <x:v>1</x:v>
      </x:c>
      <x:c r="C958" s="55" t="n">
        <x:f>B958/COUNTA('唯一词标签'!$C$2:$C$1441)</x:f>
        <x:v>0.0006944444444444445</x:v>
      </x:c>
      <x:c r="D958" s="7" t="n">
        <x:f>COUNTIFS('唯一词标签'!$V$2:$V$1441,A958,'唯一词标签'!$Z$2:$Z$1441,"match")</x:f>
        <x:v>1</x:v>
      </x:c>
      <x:c r="E958" s="7" t="n">
        <x:f>COUNTIFS('唯一词标签'!$V$2:$V$1441,A958,'唯一词标签'!$Z$2:$Z$1441,"partial_match")</x:f>
        <x:v>0</x:v>
      </x:c>
      <x:c r="F958" s="7" t="n">
        <x:f>COUNTIFS('唯一词标签'!$V$2:$V$1441,A958,'唯一词标签'!$Z$2:$Z$1441,"mismatch")</x:f>
        <x:v>0</x:v>
      </x:c>
      <x:c r="G958" s="7" t="n">
        <x:f>COUNTIFS('唯一词标签'!$V$2:$V$1441,A958,'唯一词标签'!$Z$2:$Z$1441,"unknown")</x:f>
        <x:v>0</x:v>
      </x:c>
      <x:c r="H958" s="7" t="n">
        <x:f>COUNTIFS('唯一词标签'!$V$2:$V$1441,A958,'唯一词标签'!$U$2:$U$1441,"low")</x:f>
        <x:v>0</x:v>
      </x:c>
      <x:c r="I958" s="7" t="n">
        <x:f>COUNTIFS('唯一词标签'!$V$2:$V$1441,A958,'唯一词标签'!$AB$2:$AB$1441,"needs_review")</x:f>
        <x:v>0</x:v>
      </x:c>
    </x:row>
    <x:row r="959" ht="22" customHeight="1">
      <x:c r="A959" s="7" t="str">
        <x:v>womens_pale_pink_flip_flops</x:v>
      </x:c>
      <x:c r="B959" s="7" t="n">
        <x:f>COUNTIF('唯一词标签'!$V$2:$V$1441,A959)</x:f>
        <x:v>1</x:v>
      </x:c>
      <x:c r="C959" s="55" t="n">
        <x:f>B959/COUNTA('唯一词标签'!$C$2:$C$1441)</x:f>
        <x:v>0.0006944444444444445</x:v>
      </x:c>
      <x:c r="D959" s="7" t="n">
        <x:f>COUNTIFS('唯一词标签'!$V$2:$V$1441,A959,'唯一词标签'!$Z$2:$Z$1441,"match")</x:f>
        <x:v>1</x:v>
      </x:c>
      <x:c r="E959" s="7" t="n">
        <x:f>COUNTIFS('唯一词标签'!$V$2:$V$1441,A959,'唯一词标签'!$Z$2:$Z$1441,"partial_match")</x:f>
        <x:v>0</x:v>
      </x:c>
      <x:c r="F959" s="7" t="n">
        <x:f>COUNTIFS('唯一词标签'!$V$2:$V$1441,A959,'唯一词标签'!$Z$2:$Z$1441,"mismatch")</x:f>
        <x:v>0</x:v>
      </x:c>
      <x:c r="G959" s="7" t="n">
        <x:f>COUNTIFS('唯一词标签'!$V$2:$V$1441,A959,'唯一词标签'!$Z$2:$Z$1441,"unknown")</x:f>
        <x:v>0</x:v>
      </x:c>
      <x:c r="H959" s="7" t="n">
        <x:f>COUNTIFS('唯一词标签'!$V$2:$V$1441,A959,'唯一词标签'!$U$2:$U$1441,"low")</x:f>
        <x:v>0</x:v>
      </x:c>
      <x:c r="I959" s="7" t="n">
        <x:f>COUNTIFS('唯一词标签'!$V$2:$V$1441,A959,'唯一词标签'!$AB$2:$AB$1441,"needs_review")</x:f>
        <x:v>0</x:v>
      </x:c>
    </x:row>
    <x:row r="960" ht="22" customHeight="1">
      <x:c r="A960" s="7" t="str">
        <x:v>womens_pedicure_flip_flops</x:v>
      </x:c>
      <x:c r="B960" s="7" t="n">
        <x:f>COUNTIF('唯一词标签'!$V$2:$V$1441,A960)</x:f>
        <x:v>1</x:v>
      </x:c>
      <x:c r="C960" s="55" t="n">
        <x:f>B960/COUNTA('唯一词标签'!$C$2:$C$1441)</x:f>
        <x:v>0.0006944444444444445</x:v>
      </x:c>
      <x:c r="D960" s="7" t="n">
        <x:f>COUNTIFS('唯一词标签'!$V$2:$V$1441,A960,'唯一词标签'!$Z$2:$Z$1441,"match")</x:f>
        <x:v>0</x:v>
      </x:c>
      <x:c r="E960" s="7" t="n">
        <x:f>COUNTIFS('唯一词标签'!$V$2:$V$1441,A960,'唯一词标签'!$Z$2:$Z$1441,"partial_match")</x:f>
        <x:v>1</x:v>
      </x:c>
      <x:c r="F960" s="7" t="n">
        <x:f>COUNTIFS('唯一词标签'!$V$2:$V$1441,A960,'唯一词标签'!$Z$2:$Z$1441,"mismatch")</x:f>
        <x:v>0</x:v>
      </x:c>
      <x:c r="G960" s="7" t="n">
        <x:f>COUNTIFS('唯一词标签'!$V$2:$V$1441,A960,'唯一词标签'!$Z$2:$Z$1441,"unknown")</x:f>
        <x:v>0</x:v>
      </x:c>
      <x:c r="H960" s="7" t="n">
        <x:f>COUNTIFS('唯一词标签'!$V$2:$V$1441,A960,'唯一词标签'!$U$2:$U$1441,"low")</x:f>
        <x:v>0</x:v>
      </x:c>
      <x:c r="I960" s="7" t="n">
        <x:f>COUNTIFS('唯一词标签'!$V$2:$V$1441,A960,'唯一词标签'!$AB$2:$AB$1441,"needs_review")</x:f>
        <x:v>0</x:v>
      </x:c>
    </x:row>
    <x:row r="961" ht="22" customHeight="1">
      <x:c r="A961" s="7" t="str">
        <x:v>womens_pink_flip_flops</x:v>
      </x:c>
      <x:c r="B961" s="7" t="n">
        <x:f>COUNTIF('唯一词标签'!$V$2:$V$1441,A961)</x:f>
        <x:v>2</x:v>
      </x:c>
      <x:c r="C961" s="55" t="n">
        <x:f>B961/COUNTA('唯一词标签'!$C$2:$C$1441)</x:f>
        <x:v>0.001388888888888889</x:v>
      </x:c>
      <x:c r="D961" s="7" t="n">
        <x:f>COUNTIFS('唯一词标签'!$V$2:$V$1441,A961,'唯一词标签'!$Z$2:$Z$1441,"match")</x:f>
        <x:v>1</x:v>
      </x:c>
      <x:c r="E961" s="7" t="n">
        <x:f>COUNTIFS('唯一词标签'!$V$2:$V$1441,A961,'唯一词标签'!$Z$2:$Z$1441,"partial_match")</x:f>
        <x:v>1</x:v>
      </x:c>
      <x:c r="F961" s="7" t="n">
        <x:f>COUNTIFS('唯一词标签'!$V$2:$V$1441,A961,'唯一词标签'!$Z$2:$Z$1441,"mismatch")</x:f>
        <x:v>0</x:v>
      </x:c>
      <x:c r="G961" s="7" t="n">
        <x:f>COUNTIFS('唯一词标签'!$V$2:$V$1441,A961,'唯一词标签'!$Z$2:$Z$1441,"unknown")</x:f>
        <x:v>0</x:v>
      </x:c>
      <x:c r="H961" s="7" t="n">
        <x:f>COUNTIFS('唯一词标签'!$V$2:$V$1441,A961,'唯一词标签'!$U$2:$U$1441,"low")</x:f>
        <x:v>0</x:v>
      </x:c>
      <x:c r="I961" s="7" t="n">
        <x:f>COUNTIFS('唯一词标签'!$V$2:$V$1441,A961,'唯一词标签'!$AB$2:$AB$1441,"needs_review")</x:f>
        <x:v>0</x:v>
      </x:c>
    </x:row>
    <x:row r="962" ht="22" customHeight="1">
      <x:c r="A962" s="7" t="str">
        <x:v>womens_plantar_fasciitis_flip_flops</x:v>
      </x:c>
      <x:c r="B962" s="7" t="n">
        <x:f>COUNTIF('唯一词标签'!$V$2:$V$1441,A962)</x:f>
        <x:v>3</x:v>
      </x:c>
      <x:c r="C962" s="55" t="n">
        <x:f>B962/COUNTA('唯一词标签'!$C$2:$C$1441)</x:f>
        <x:v>0.0020833333333333333</x:v>
      </x:c>
      <x:c r="D962" s="7" t="n">
        <x:f>COUNTIFS('唯一词标签'!$V$2:$V$1441,A962,'唯一词标签'!$Z$2:$Z$1441,"match")</x:f>
        <x:v>0</x:v>
      </x:c>
      <x:c r="E962" s="7" t="n">
        <x:f>COUNTIFS('唯一词标签'!$V$2:$V$1441,A962,'唯一词标签'!$Z$2:$Z$1441,"partial_match")</x:f>
        <x:v>3</x:v>
      </x:c>
      <x:c r="F962" s="7" t="n">
        <x:f>COUNTIFS('唯一词标签'!$V$2:$V$1441,A962,'唯一词标签'!$Z$2:$Z$1441,"mismatch")</x:f>
        <x:v>0</x:v>
      </x:c>
      <x:c r="G962" s="7" t="n">
        <x:f>COUNTIFS('唯一词标签'!$V$2:$V$1441,A962,'唯一词标签'!$Z$2:$Z$1441,"unknown")</x:f>
        <x:v>0</x:v>
      </x:c>
      <x:c r="H962" s="7" t="n">
        <x:f>COUNTIFS('唯一词标签'!$V$2:$V$1441,A962,'唯一词标签'!$U$2:$U$1441,"low")</x:f>
        <x:v>0</x:v>
      </x:c>
      <x:c r="I962" s="7" t="n">
        <x:f>COUNTIFS('唯一词标签'!$V$2:$V$1441,A962,'唯一词标签'!$AB$2:$AB$1441,"needs_review")</x:f>
        <x:v>0</x:v>
      </x:c>
    </x:row>
    <x:row r="963" ht="22" customHeight="1">
      <x:c r="A963" s="7" t="str">
        <x:v>womens_plantar_fasciitis_sandals</x:v>
      </x:c>
      <x:c r="B963" s="7" t="n">
        <x:f>COUNTIF('唯一词标签'!$V$2:$V$1441,A963)</x:f>
        <x:v>1</x:v>
      </x:c>
      <x:c r="C963" s="55" t="n">
        <x:f>B963/COUNTA('唯一词标签'!$C$2:$C$1441)</x:f>
        <x:v>0.0006944444444444445</x:v>
      </x:c>
      <x:c r="D963" s="7" t="n">
        <x:f>COUNTIFS('唯一词标签'!$V$2:$V$1441,A963,'唯一词标签'!$Z$2:$Z$1441,"match")</x:f>
        <x:v>0</x:v>
      </x:c>
      <x:c r="E963" s="7" t="n">
        <x:f>COUNTIFS('唯一词标签'!$V$2:$V$1441,A963,'唯一词标签'!$Z$2:$Z$1441,"partial_match")</x:f>
        <x:v>1</x:v>
      </x:c>
      <x:c r="F963" s="7" t="n">
        <x:f>COUNTIFS('唯一词标签'!$V$2:$V$1441,A963,'唯一词标签'!$Z$2:$Z$1441,"mismatch")</x:f>
        <x:v>0</x:v>
      </x:c>
      <x:c r="G963" s="7" t="n">
        <x:f>COUNTIFS('唯一词标签'!$V$2:$V$1441,A963,'唯一词标签'!$Z$2:$Z$1441,"unknown")</x:f>
        <x:v>0</x:v>
      </x:c>
      <x:c r="H963" s="7" t="n">
        <x:f>COUNTIFS('唯一词标签'!$V$2:$V$1441,A963,'唯一词标签'!$U$2:$U$1441,"low")</x:f>
        <x:v>0</x:v>
      </x:c>
      <x:c r="I963" s="7" t="n">
        <x:f>COUNTIFS('唯一词标签'!$V$2:$V$1441,A963,'唯一词标签'!$AB$2:$AB$1441,"needs_review")</x:f>
        <x:v>0</x:v>
      </x:c>
    </x:row>
    <x:row r="964" ht="22" customHeight="1">
      <x:c r="A964" s="7" t="str">
        <x:v>womens_plastic_arch_support_flip_flops</x:v>
      </x:c>
      <x:c r="B964" s="7" t="n">
        <x:f>COUNTIF('唯一词标签'!$V$2:$V$1441,A964)</x:f>
        <x:v>1</x:v>
      </x:c>
      <x:c r="C964" s="55" t="n">
        <x:f>B964/COUNTA('唯一词标签'!$C$2:$C$1441)</x:f>
        <x:v>0.0006944444444444445</x:v>
      </x:c>
      <x:c r="D964" s="7" t="n">
        <x:f>COUNTIFS('唯一词标签'!$V$2:$V$1441,A964,'唯一词标签'!$Z$2:$Z$1441,"match")</x:f>
        <x:v>1</x:v>
      </x:c>
      <x:c r="E964" s="7" t="n">
        <x:f>COUNTIFS('唯一词标签'!$V$2:$V$1441,A964,'唯一词标签'!$Z$2:$Z$1441,"partial_match")</x:f>
        <x:v>0</x:v>
      </x:c>
      <x:c r="F964" s="7" t="n">
        <x:f>COUNTIFS('唯一词标签'!$V$2:$V$1441,A964,'唯一词标签'!$Z$2:$Z$1441,"mismatch")</x:f>
        <x:v>0</x:v>
      </x:c>
      <x:c r="G964" s="7" t="n">
        <x:f>COUNTIFS('唯一词标签'!$V$2:$V$1441,A964,'唯一词标签'!$Z$2:$Z$1441,"unknown")</x:f>
        <x:v>0</x:v>
      </x:c>
      <x:c r="H964" s="7" t="n">
        <x:f>COUNTIFS('唯一词标签'!$V$2:$V$1441,A964,'唯一词标签'!$U$2:$U$1441,"low")</x:f>
        <x:v>0</x:v>
      </x:c>
      <x:c r="I964" s="7" t="n">
        <x:f>COUNTIFS('唯一词标签'!$V$2:$V$1441,A964,'唯一词标签'!$AB$2:$AB$1441,"needs_review")</x:f>
        <x:v>0</x:v>
      </x:c>
    </x:row>
    <x:row r="965" ht="22" customHeight="1">
      <x:c r="A965" s="7" t="str">
        <x:v>womens_plastic_flip_flops</x:v>
      </x:c>
      <x:c r="B965" s="7" t="n">
        <x:f>COUNTIF('唯一词标签'!$V$2:$V$1441,A965)</x:f>
        <x:v>2</x:v>
      </x:c>
      <x:c r="C965" s="55" t="n">
        <x:f>B965/COUNTA('唯一词标签'!$C$2:$C$1441)</x:f>
        <x:v>0.001388888888888889</x:v>
      </x:c>
      <x:c r="D965" s="7" t="n">
        <x:f>COUNTIFS('唯一词标签'!$V$2:$V$1441,A965,'唯一词标签'!$Z$2:$Z$1441,"match")</x:f>
        <x:v>1</x:v>
      </x:c>
      <x:c r="E965" s="7" t="n">
        <x:f>COUNTIFS('唯一词标签'!$V$2:$V$1441,A965,'唯一词标签'!$Z$2:$Z$1441,"partial_match")</x:f>
        <x:v>1</x:v>
      </x:c>
      <x:c r="F965" s="7" t="n">
        <x:f>COUNTIFS('唯一词标签'!$V$2:$V$1441,A965,'唯一词标签'!$Z$2:$Z$1441,"mismatch")</x:f>
        <x:v>0</x:v>
      </x:c>
      <x:c r="G965" s="7" t="n">
        <x:f>COUNTIFS('唯一词标签'!$V$2:$V$1441,A965,'唯一词标签'!$Z$2:$Z$1441,"unknown")</x:f>
        <x:v>0</x:v>
      </x:c>
      <x:c r="H965" s="7" t="n">
        <x:f>COUNTIFS('唯一词标签'!$V$2:$V$1441,A965,'唯一词标签'!$U$2:$U$1441,"low")</x:f>
        <x:v>0</x:v>
      </x:c>
      <x:c r="I965" s="7" t="n">
        <x:f>COUNTIFS('唯一词标签'!$V$2:$V$1441,A965,'唯一词标签'!$AB$2:$AB$1441,"needs_review")</x:f>
        <x:v>0</x:v>
      </x:c>
    </x:row>
    <x:row r="966" ht="22" customHeight="1">
      <x:c r="A966" s="7" t="str">
        <x:v>womens_plastic_sandals</x:v>
      </x:c>
      <x:c r="B966" s="7" t="n">
        <x:f>COUNTIF('唯一词标签'!$V$2:$V$1441,A966)</x:f>
        <x:v>1</x:v>
      </x:c>
      <x:c r="C966" s="55" t="n">
        <x:f>B966/COUNTA('唯一词标签'!$C$2:$C$1441)</x:f>
        <x:v>0.0006944444444444445</x:v>
      </x:c>
      <x:c r="D966" s="7" t="n">
        <x:f>COUNTIFS('唯一词标签'!$V$2:$V$1441,A966,'唯一词标签'!$Z$2:$Z$1441,"match")</x:f>
        <x:v>1</x:v>
      </x:c>
      <x:c r="E966" s="7" t="n">
        <x:f>COUNTIFS('唯一词标签'!$V$2:$V$1441,A966,'唯一词标签'!$Z$2:$Z$1441,"partial_match")</x:f>
        <x:v>0</x:v>
      </x:c>
      <x:c r="F966" s="7" t="n">
        <x:f>COUNTIFS('唯一词标签'!$V$2:$V$1441,A966,'唯一词标签'!$Z$2:$Z$1441,"mismatch")</x:f>
        <x:v>0</x:v>
      </x:c>
      <x:c r="G966" s="7" t="n">
        <x:f>COUNTIFS('唯一词标签'!$V$2:$V$1441,A966,'唯一词标签'!$Z$2:$Z$1441,"unknown")</x:f>
        <x:v>0</x:v>
      </x:c>
      <x:c r="H966" s="7" t="n">
        <x:f>COUNTIFS('唯一词标签'!$V$2:$V$1441,A966,'唯一词标签'!$U$2:$U$1441,"low")</x:f>
        <x:v>0</x:v>
      </x:c>
      <x:c r="I966" s="7" t="n">
        <x:f>COUNTIFS('唯一词标签'!$V$2:$V$1441,A966,'唯一词标签'!$AB$2:$AB$1441,"needs_review")</x:f>
        <x:v>0</x:v>
      </x:c>
    </x:row>
    <x:row r="967" ht="22" customHeight="1">
      <x:c r="A967" s="7" t="str">
        <x:v>womens_plastic_thong_sandals</x:v>
      </x:c>
      <x:c r="B967" s="7" t="n">
        <x:f>COUNTIF('唯一词标签'!$V$2:$V$1441,A967)</x:f>
        <x:v>1</x:v>
      </x:c>
      <x:c r="C967" s="55" t="n">
        <x:f>B967/COUNTA('唯一词标签'!$C$2:$C$1441)</x:f>
        <x:v>0.0006944444444444445</x:v>
      </x:c>
      <x:c r="D967" s="7" t="n">
        <x:f>COUNTIFS('唯一词标签'!$V$2:$V$1441,A967,'唯一词标签'!$Z$2:$Z$1441,"match")</x:f>
        <x:v>0</x:v>
      </x:c>
      <x:c r="E967" s="7" t="n">
        <x:f>COUNTIFS('唯一词标签'!$V$2:$V$1441,A967,'唯一词标签'!$Z$2:$Z$1441,"partial_match")</x:f>
        <x:v>1</x:v>
      </x:c>
      <x:c r="F967" s="7" t="n">
        <x:f>COUNTIFS('唯一词标签'!$V$2:$V$1441,A967,'唯一词标签'!$Z$2:$Z$1441,"mismatch")</x:f>
        <x:v>0</x:v>
      </x:c>
      <x:c r="G967" s="7" t="n">
        <x:f>COUNTIFS('唯一词标签'!$V$2:$V$1441,A967,'唯一词标签'!$Z$2:$Z$1441,"unknown")</x:f>
        <x:v>0</x:v>
      </x:c>
      <x:c r="H967" s="7" t="n">
        <x:f>COUNTIFS('唯一词标签'!$V$2:$V$1441,A967,'唯一词标签'!$U$2:$U$1441,"low")</x:f>
        <x:v>0</x:v>
      </x:c>
      <x:c r="I967" s="7" t="n">
        <x:f>COUNTIFS('唯一词标签'!$V$2:$V$1441,A967,'唯一词标签'!$AB$2:$AB$1441,"needs_review")</x:f>
        <x:v>0</x:v>
      </x:c>
    </x:row>
    <x:row r="968" ht="22" customHeight="1">
      <x:c r="A968" s="7" t="str">
        <x:v>womens_pool_flip_flop</x:v>
      </x:c>
      <x:c r="B968" s="7" t="n">
        <x:f>COUNTIF('唯一词标签'!$V$2:$V$1441,A968)</x:f>
        <x:v>1</x:v>
      </x:c>
      <x:c r="C968" s="55" t="n">
        <x:f>B968/COUNTA('唯一词标签'!$C$2:$C$1441)</x:f>
        <x:v>0.0006944444444444445</x:v>
      </x:c>
      <x:c r="D968" s="7" t="n">
        <x:f>COUNTIFS('唯一词标签'!$V$2:$V$1441,A968,'唯一词标签'!$Z$2:$Z$1441,"match")</x:f>
        <x:v>1</x:v>
      </x:c>
      <x:c r="E968" s="7" t="n">
        <x:f>COUNTIFS('唯一词标签'!$V$2:$V$1441,A968,'唯一词标签'!$Z$2:$Z$1441,"partial_match")</x:f>
        <x:v>0</x:v>
      </x:c>
      <x:c r="F968" s="7" t="n">
        <x:f>COUNTIFS('唯一词标签'!$V$2:$V$1441,A968,'唯一词标签'!$Z$2:$Z$1441,"mismatch")</x:f>
        <x:v>0</x:v>
      </x:c>
      <x:c r="G968" s="7" t="n">
        <x:f>COUNTIFS('唯一词标签'!$V$2:$V$1441,A968,'唯一词标签'!$Z$2:$Z$1441,"unknown")</x:f>
        <x:v>0</x:v>
      </x:c>
      <x:c r="H968" s="7" t="n">
        <x:f>COUNTIFS('唯一词标签'!$V$2:$V$1441,A968,'唯一词标签'!$U$2:$U$1441,"low")</x:f>
        <x:v>0</x:v>
      </x:c>
      <x:c r="I968" s="7" t="n">
        <x:f>COUNTIFS('唯一词标签'!$V$2:$V$1441,A968,'唯一词标签'!$AB$2:$AB$1441,"needs_review")</x:f>
        <x:v>0</x:v>
      </x:c>
    </x:row>
    <x:row r="969" ht="22" customHeight="1">
      <x:c r="A969" s="7" t="str">
        <x:v>womens_pool_flip_flops</x:v>
      </x:c>
      <x:c r="B969" s="7" t="n">
        <x:f>COUNTIF('唯一词标签'!$V$2:$V$1441,A969)</x:f>
        <x:v>2</x:v>
      </x:c>
      <x:c r="C969" s="55" t="n">
        <x:f>B969/COUNTA('唯一词标签'!$C$2:$C$1441)</x:f>
        <x:v>0.001388888888888889</x:v>
      </x:c>
      <x:c r="D969" s="7" t="n">
        <x:f>COUNTIFS('唯一词标签'!$V$2:$V$1441,A969,'唯一词标签'!$Z$2:$Z$1441,"match")</x:f>
        <x:v>0</x:v>
      </x:c>
      <x:c r="E969" s="7" t="n">
        <x:f>COUNTIFS('唯一词标签'!$V$2:$V$1441,A969,'唯一词标签'!$Z$2:$Z$1441,"partial_match")</x:f>
        <x:v>2</x:v>
      </x:c>
      <x:c r="F969" s="7" t="n">
        <x:f>COUNTIFS('唯一词标签'!$V$2:$V$1441,A969,'唯一词标签'!$Z$2:$Z$1441,"mismatch")</x:f>
        <x:v>0</x:v>
      </x:c>
      <x:c r="G969" s="7" t="n">
        <x:f>COUNTIFS('唯一词标签'!$V$2:$V$1441,A969,'唯一词标签'!$Z$2:$Z$1441,"unknown")</x:f>
        <x:v>0</x:v>
      </x:c>
      <x:c r="H969" s="7" t="n">
        <x:f>COUNTIFS('唯一词标签'!$V$2:$V$1441,A969,'唯一词标签'!$U$2:$U$1441,"low")</x:f>
        <x:v>0</x:v>
      </x:c>
      <x:c r="I969" s="7" t="n">
        <x:f>COUNTIFS('唯一词标签'!$V$2:$V$1441,A969,'唯一词标签'!$AB$2:$AB$1441,"needs_review")</x:f>
        <x:v>0</x:v>
      </x:c>
    </x:row>
    <x:row r="970" ht="22" customHeight="1">
      <x:c r="A970" s="7" t="str">
        <x:v>womens_pool_flip_flops_size_11</x:v>
      </x:c>
      <x:c r="B970" s="7" t="n">
        <x:f>COUNTIF('唯一词标签'!$V$2:$V$1441,A970)</x:f>
        <x:v>1</x:v>
      </x:c>
      <x:c r="C970" s="55" t="n">
        <x:f>B970/COUNTA('唯一词标签'!$C$2:$C$1441)</x:f>
        <x:v>0.0006944444444444445</x:v>
      </x:c>
      <x:c r="D970" s="7" t="n">
        <x:f>COUNTIFS('唯一词标签'!$V$2:$V$1441,A970,'唯一词标签'!$Z$2:$Z$1441,"match")</x:f>
        <x:v>1</x:v>
      </x:c>
      <x:c r="E970" s="7" t="n">
        <x:f>COUNTIFS('唯一词标签'!$V$2:$V$1441,A970,'唯一词标签'!$Z$2:$Z$1441,"partial_match")</x:f>
        <x:v>0</x:v>
      </x:c>
      <x:c r="F970" s="7" t="n">
        <x:f>COUNTIFS('唯一词标签'!$V$2:$V$1441,A970,'唯一词标签'!$Z$2:$Z$1441,"mismatch")</x:f>
        <x:v>0</x:v>
      </x:c>
      <x:c r="G970" s="7" t="n">
        <x:f>COUNTIFS('唯一词标签'!$V$2:$V$1441,A970,'唯一词标签'!$Z$2:$Z$1441,"unknown")</x:f>
        <x:v>0</x:v>
      </x:c>
      <x:c r="H970" s="7" t="n">
        <x:f>COUNTIFS('唯一词标签'!$V$2:$V$1441,A970,'唯一词标签'!$U$2:$U$1441,"low")</x:f>
        <x:v>0</x:v>
      </x:c>
      <x:c r="I970" s="7" t="n">
        <x:f>COUNTIFS('唯一词标签'!$V$2:$V$1441,A970,'唯一词标签'!$AB$2:$AB$1441,"needs_review")</x:f>
        <x:v>0</x:v>
      </x:c>
    </x:row>
    <x:row r="971" ht="22" customHeight="1">
      <x:c r="A971" s="7" t="str">
        <x:v>womens_pool_sandals</x:v>
      </x:c>
      <x:c r="B971" s="7" t="n">
        <x:f>COUNTIF('唯一词标签'!$V$2:$V$1441,A971)</x:f>
        <x:v>3</x:v>
      </x:c>
      <x:c r="C971" s="55" t="n">
        <x:f>B971/COUNTA('唯一词标签'!$C$2:$C$1441)</x:f>
        <x:v>0.0020833333333333333</x:v>
      </x:c>
      <x:c r="D971" s="7" t="n">
        <x:f>COUNTIFS('唯一词标签'!$V$2:$V$1441,A971,'唯一词标签'!$Z$2:$Z$1441,"match")</x:f>
        <x:v>0</x:v>
      </x:c>
      <x:c r="E971" s="7" t="n">
        <x:f>COUNTIFS('唯一词标签'!$V$2:$V$1441,A971,'唯一词标签'!$Z$2:$Z$1441,"partial_match")</x:f>
        <x:v>3</x:v>
      </x:c>
      <x:c r="F971" s="7" t="n">
        <x:f>COUNTIFS('唯一词标签'!$V$2:$V$1441,A971,'唯一词标签'!$Z$2:$Z$1441,"mismatch")</x:f>
        <x:v>0</x:v>
      </x:c>
      <x:c r="G971" s="7" t="n">
        <x:f>COUNTIFS('唯一词标签'!$V$2:$V$1441,A971,'唯一词标签'!$Z$2:$Z$1441,"unknown")</x:f>
        <x:v>0</x:v>
      </x:c>
      <x:c r="H971" s="7" t="n">
        <x:f>COUNTIFS('唯一词标签'!$V$2:$V$1441,A971,'唯一词标签'!$U$2:$U$1441,"low")</x:f>
        <x:v>0</x:v>
      </x:c>
      <x:c r="I971" s="7" t="n">
        <x:f>COUNTIFS('唯一词标签'!$V$2:$V$1441,A971,'唯一词标签'!$AB$2:$AB$1441,"needs_review")</x:f>
        <x:v>0</x:v>
      </x:c>
    </x:row>
    <x:row r="972" ht="22" customHeight="1">
      <x:c r="A972" s="7" t="str">
        <x:v>womens_pool_sandals_sized</x:v>
      </x:c>
      <x:c r="B972" s="7" t="n">
        <x:f>COUNTIF('唯一词标签'!$V$2:$V$1441,A972)</x:f>
        <x:v>1</x:v>
      </x:c>
      <x:c r="C972" s="55" t="n">
        <x:f>B972/COUNTA('唯一词标签'!$C$2:$C$1441)</x:f>
        <x:v>0.0006944444444444445</x:v>
      </x:c>
      <x:c r="D972" s="7" t="n">
        <x:f>COUNTIFS('唯一词标签'!$V$2:$V$1441,A972,'唯一词标签'!$Z$2:$Z$1441,"match")</x:f>
        <x:v>0</x:v>
      </x:c>
      <x:c r="E972" s="7" t="n">
        <x:f>COUNTIFS('唯一词标签'!$V$2:$V$1441,A972,'唯一词标签'!$Z$2:$Z$1441,"partial_match")</x:f>
        <x:v>1</x:v>
      </x:c>
      <x:c r="F972" s="7" t="n">
        <x:f>COUNTIFS('唯一词标签'!$V$2:$V$1441,A972,'唯一词标签'!$Z$2:$Z$1441,"mismatch")</x:f>
        <x:v>0</x:v>
      </x:c>
      <x:c r="G972" s="7" t="n">
        <x:f>COUNTIFS('唯一词标签'!$V$2:$V$1441,A972,'唯一词标签'!$Z$2:$Z$1441,"unknown")</x:f>
        <x:v>0</x:v>
      </x:c>
      <x:c r="H972" s="7" t="n">
        <x:f>COUNTIFS('唯一词标签'!$V$2:$V$1441,A972,'唯一词标签'!$U$2:$U$1441,"low")</x:f>
        <x:v>0</x:v>
      </x:c>
      <x:c r="I972" s="7" t="n">
        <x:f>COUNTIFS('唯一词标签'!$V$2:$V$1441,A972,'唯一词标签'!$AB$2:$AB$1441,"needs_review")</x:f>
        <x:v>0</x:v>
      </x:c>
    </x:row>
    <x:row r="973" ht="22" customHeight="1">
      <x:c r="A973" s="7" t="str">
        <x:v>womens_pool_thong_flip_flops</x:v>
      </x:c>
      <x:c r="B973" s="7" t="n">
        <x:f>COUNTIF('唯一词标签'!$V$2:$V$1441,A973)</x:f>
        <x:v>1</x:v>
      </x:c>
      <x:c r="C973" s="55" t="n">
        <x:f>B973/COUNTA('唯一词标签'!$C$2:$C$1441)</x:f>
        <x:v>0.0006944444444444445</x:v>
      </x:c>
      <x:c r="D973" s="7" t="n">
        <x:f>COUNTIFS('唯一词标签'!$V$2:$V$1441,A973,'唯一词标签'!$Z$2:$Z$1441,"match")</x:f>
        <x:v>1</x:v>
      </x:c>
      <x:c r="E973" s="7" t="n">
        <x:f>COUNTIFS('唯一词标签'!$V$2:$V$1441,A973,'唯一词标签'!$Z$2:$Z$1441,"partial_match")</x:f>
        <x:v>0</x:v>
      </x:c>
      <x:c r="F973" s="7" t="n">
        <x:f>COUNTIFS('唯一词标签'!$V$2:$V$1441,A973,'唯一词标签'!$Z$2:$Z$1441,"mismatch")</x:f>
        <x:v>0</x:v>
      </x:c>
      <x:c r="G973" s="7" t="n">
        <x:f>COUNTIFS('唯一词标签'!$V$2:$V$1441,A973,'唯一词标签'!$Z$2:$Z$1441,"unknown")</x:f>
        <x:v>0</x:v>
      </x:c>
      <x:c r="H973" s="7" t="n">
        <x:f>COUNTIFS('唯一词标签'!$V$2:$V$1441,A973,'唯一词标签'!$U$2:$U$1441,"low")</x:f>
        <x:v>0</x:v>
      </x:c>
      <x:c r="I973" s="7" t="n">
        <x:f>COUNTIFS('唯一词标签'!$V$2:$V$1441,A973,'唯一词标签'!$AB$2:$AB$1441,"needs_review")</x:f>
        <x:v>0</x:v>
      </x:c>
    </x:row>
    <x:row r="974" ht="22" customHeight="1">
      <x:c r="A974" s="7" t="str">
        <x:v>womens_poolside_flip_flops</x:v>
      </x:c>
      <x:c r="B974" s="7" t="n">
        <x:f>COUNTIF('唯一词标签'!$V$2:$V$1441,A974)</x:f>
        <x:v>2</x:v>
      </x:c>
      <x:c r="C974" s="55" t="n">
        <x:f>B974/COUNTA('唯一词标签'!$C$2:$C$1441)</x:f>
        <x:v>0.001388888888888889</x:v>
      </x:c>
      <x:c r="D974" s="7" t="n">
        <x:f>COUNTIFS('唯一词标签'!$V$2:$V$1441,A974,'唯一词标签'!$Z$2:$Z$1441,"match")</x:f>
        <x:v>0</x:v>
      </x:c>
      <x:c r="E974" s="7" t="n">
        <x:f>COUNTIFS('唯一词标签'!$V$2:$V$1441,A974,'唯一词标签'!$Z$2:$Z$1441,"partial_match")</x:f>
        <x:v>2</x:v>
      </x:c>
      <x:c r="F974" s="7" t="n">
        <x:f>COUNTIFS('唯一词标签'!$V$2:$V$1441,A974,'唯一词标签'!$Z$2:$Z$1441,"mismatch")</x:f>
        <x:v>0</x:v>
      </x:c>
      <x:c r="G974" s="7" t="n">
        <x:f>COUNTIFS('唯一词标签'!$V$2:$V$1441,A974,'唯一词标签'!$Z$2:$Z$1441,"unknown")</x:f>
        <x:v>0</x:v>
      </x:c>
      <x:c r="H974" s="7" t="n">
        <x:f>COUNTIFS('唯一词标签'!$V$2:$V$1441,A974,'唯一词标签'!$U$2:$U$1441,"low")</x:f>
        <x:v>0</x:v>
      </x:c>
      <x:c r="I974" s="7" t="n">
        <x:f>COUNTIFS('唯一词标签'!$V$2:$V$1441,A974,'唯一词标签'!$AB$2:$AB$1441,"needs_review")</x:f>
        <x:v>0</x:v>
      </x:c>
    </x:row>
    <x:row r="975" ht="22" customHeight="1">
      <x:c r="A975" s="7" t="str">
        <x:v>womens_quick_dry_sandals</x:v>
      </x:c>
      <x:c r="B975" s="7" t="n">
        <x:f>COUNTIF('唯一词标签'!$V$2:$V$1441,A975)</x:f>
        <x:v>1</x:v>
      </x:c>
      <x:c r="C975" s="55" t="n">
        <x:f>B975/COUNTA('唯一词标签'!$C$2:$C$1441)</x:f>
        <x:v>0.0006944444444444445</x:v>
      </x:c>
      <x:c r="D975" s="7" t="n">
        <x:f>COUNTIFS('唯一词标签'!$V$2:$V$1441,A975,'唯一词标签'!$Z$2:$Z$1441,"match")</x:f>
        <x:v>0</x:v>
      </x:c>
      <x:c r="E975" s="7" t="n">
        <x:f>COUNTIFS('唯一词标签'!$V$2:$V$1441,A975,'唯一词标签'!$Z$2:$Z$1441,"partial_match")</x:f>
        <x:v>1</x:v>
      </x:c>
      <x:c r="F975" s="7" t="n">
        <x:f>COUNTIFS('唯一词标签'!$V$2:$V$1441,A975,'唯一词标签'!$Z$2:$Z$1441,"mismatch")</x:f>
        <x:v>0</x:v>
      </x:c>
      <x:c r="G975" s="7" t="n">
        <x:f>COUNTIFS('唯一词标签'!$V$2:$V$1441,A975,'唯一词标签'!$Z$2:$Z$1441,"unknown")</x:f>
        <x:v>0</x:v>
      </x:c>
      <x:c r="H975" s="7" t="n">
        <x:f>COUNTIFS('唯一词标签'!$V$2:$V$1441,A975,'唯一词标签'!$U$2:$U$1441,"low")</x:f>
        <x:v>0</x:v>
      </x:c>
      <x:c r="I975" s="7" t="n">
        <x:f>COUNTIFS('唯一词标签'!$V$2:$V$1441,A975,'唯一词标签'!$AB$2:$AB$1441,"needs_review")</x:f>
        <x:v>0</x:v>
      </x:c>
    </x:row>
    <x:row r="976" ht="22" customHeight="1">
      <x:c r="A976" s="7" t="str">
        <x:v>womens_recovery_sandals</x:v>
      </x:c>
      <x:c r="B976" s="7" t="n">
        <x:f>COUNTIF('唯一词标签'!$V$2:$V$1441,A976)</x:f>
        <x:v>1</x:v>
      </x:c>
      <x:c r="C976" s="55" t="n">
        <x:f>B976/COUNTA('唯一词标签'!$C$2:$C$1441)</x:f>
        <x:v>0.0006944444444444445</x:v>
      </x:c>
      <x:c r="D976" s="7" t="n">
        <x:f>COUNTIFS('唯一词标签'!$V$2:$V$1441,A976,'唯一词标签'!$Z$2:$Z$1441,"match")</x:f>
        <x:v>1</x:v>
      </x:c>
      <x:c r="E976" s="7" t="n">
        <x:f>COUNTIFS('唯一词标签'!$V$2:$V$1441,A976,'唯一词标签'!$Z$2:$Z$1441,"partial_match")</x:f>
        <x:v>0</x:v>
      </x:c>
      <x:c r="F976" s="7" t="n">
        <x:f>COUNTIFS('唯一词标签'!$V$2:$V$1441,A976,'唯一词标签'!$Z$2:$Z$1441,"mismatch")</x:f>
        <x:v>0</x:v>
      </x:c>
      <x:c r="G976" s="7" t="n">
        <x:f>COUNTIFS('唯一词标签'!$V$2:$V$1441,A976,'唯一词标签'!$Z$2:$Z$1441,"unknown")</x:f>
        <x:v>0</x:v>
      </x:c>
      <x:c r="H976" s="7" t="n">
        <x:f>COUNTIFS('唯一词标签'!$V$2:$V$1441,A976,'唯一词标签'!$U$2:$U$1441,"low")</x:f>
        <x:v>0</x:v>
      </x:c>
      <x:c r="I976" s="7" t="n">
        <x:f>COUNTIFS('唯一词标签'!$V$2:$V$1441,A976,'唯一词标签'!$AB$2:$AB$1441,"needs_review")</x:f>
        <x:v>0</x:v>
      </x:c>
    </x:row>
    <x:row r="977" ht="22" customHeight="1">
      <x:c r="A977" s="7" t="str">
        <x:v>womens_rubber_black_flip_flops</x:v>
      </x:c>
      <x:c r="B977" s="7" t="n">
        <x:f>COUNTIF('唯一词标签'!$V$2:$V$1441,A977)</x:f>
        <x:v>1</x:v>
      </x:c>
      <x:c r="C977" s="55" t="n">
        <x:f>B977/COUNTA('唯一词标签'!$C$2:$C$1441)</x:f>
        <x:v>0.0006944444444444445</x:v>
      </x:c>
      <x:c r="D977" s="7" t="n">
        <x:f>COUNTIFS('唯一词标签'!$V$2:$V$1441,A977,'唯一词标签'!$Z$2:$Z$1441,"match")</x:f>
        <x:v>0</x:v>
      </x:c>
      <x:c r="E977" s="7" t="n">
        <x:f>COUNTIFS('唯一词标签'!$V$2:$V$1441,A977,'唯一词标签'!$Z$2:$Z$1441,"partial_match")</x:f>
        <x:v>1</x:v>
      </x:c>
      <x:c r="F977" s="7" t="n">
        <x:f>COUNTIFS('唯一词标签'!$V$2:$V$1441,A977,'唯一词标签'!$Z$2:$Z$1441,"mismatch")</x:f>
        <x:v>0</x:v>
      </x:c>
      <x:c r="G977" s="7" t="n">
        <x:f>COUNTIFS('唯一词标签'!$V$2:$V$1441,A977,'唯一词标签'!$Z$2:$Z$1441,"unknown")</x:f>
        <x:v>0</x:v>
      </x:c>
      <x:c r="H977" s="7" t="n">
        <x:f>COUNTIFS('唯一词标签'!$V$2:$V$1441,A977,'唯一词标签'!$U$2:$U$1441,"low")</x:f>
        <x:v>0</x:v>
      </x:c>
      <x:c r="I977" s="7" t="n">
        <x:f>COUNTIFS('唯一词标签'!$V$2:$V$1441,A977,'唯一词标签'!$AB$2:$AB$1441,"needs_review")</x:f>
        <x:v>1</x:v>
      </x:c>
    </x:row>
    <x:row r="978" ht="22" customHeight="1">
      <x:c r="A978" s="7" t="str">
        <x:v>womens_rubber_flip_flops</x:v>
      </x:c>
      <x:c r="B978" s="7" t="n">
        <x:f>COUNTIF('唯一词标签'!$V$2:$V$1441,A978)</x:f>
        <x:v>7</x:v>
      </x:c>
      <x:c r="C978" s="55" t="n">
        <x:f>B978/COUNTA('唯一词标签'!$C$2:$C$1441)</x:f>
        <x:v>0.004861111111111111</x:v>
      </x:c>
      <x:c r="D978" s="7" t="n">
        <x:f>COUNTIFS('唯一词标签'!$V$2:$V$1441,A978,'唯一词标签'!$Z$2:$Z$1441,"match")</x:f>
        <x:v>0</x:v>
      </x:c>
      <x:c r="E978" s="7" t="n">
        <x:f>COUNTIFS('唯一词标签'!$V$2:$V$1441,A978,'唯一词标签'!$Z$2:$Z$1441,"partial_match")</x:f>
        <x:v>6</x:v>
      </x:c>
      <x:c r="F978" s="7" t="n">
        <x:f>COUNTIFS('唯一词标签'!$V$2:$V$1441,A978,'唯一词标签'!$Z$2:$Z$1441,"mismatch")</x:f>
        <x:v>1</x:v>
      </x:c>
      <x:c r="G978" s="7" t="n">
        <x:f>COUNTIFS('唯一词标签'!$V$2:$V$1441,A978,'唯一词标签'!$Z$2:$Z$1441,"unknown")</x:f>
        <x:v>0</x:v>
      </x:c>
      <x:c r="H978" s="7" t="n">
        <x:f>COUNTIFS('唯一词标签'!$V$2:$V$1441,A978,'唯一词标签'!$U$2:$U$1441,"low")</x:f>
        <x:v>0</x:v>
      </x:c>
      <x:c r="I978" s="7" t="n">
        <x:f>COUNTIFS('唯一词标签'!$V$2:$V$1441,A978,'唯一词标签'!$AB$2:$AB$1441,"needs_review")</x:f>
        <x:v>0</x:v>
      </x:c>
    </x:row>
    <x:row r="979" ht="22" customHeight="1">
      <x:c r="A979" s="7" t="str">
        <x:v>womens_rubber_flip_flops_beige</x:v>
      </x:c>
      <x:c r="B979" s="7" t="n">
        <x:f>COUNTIF('唯一词标签'!$V$2:$V$1441,A979)</x:f>
        <x:v>1</x:v>
      </x:c>
      <x:c r="C979" s="55" t="n">
        <x:f>B979/COUNTA('唯一词标签'!$C$2:$C$1441)</x:f>
        <x:v>0.0006944444444444445</x:v>
      </x:c>
      <x:c r="D979" s="7" t="n">
        <x:f>COUNTIFS('唯一词标签'!$V$2:$V$1441,A979,'唯一词标签'!$Z$2:$Z$1441,"match")</x:f>
        <x:v>0</x:v>
      </x:c>
      <x:c r="E979" s="7" t="n">
        <x:f>COUNTIFS('唯一词标签'!$V$2:$V$1441,A979,'唯一词标签'!$Z$2:$Z$1441,"partial_match")</x:f>
        <x:v>0</x:v>
      </x:c>
      <x:c r="F979" s="7" t="n">
        <x:f>COUNTIFS('唯一词标签'!$V$2:$V$1441,A979,'唯一词标签'!$Z$2:$Z$1441,"mismatch")</x:f>
        <x:v>1</x:v>
      </x:c>
      <x:c r="G979" s="7" t="n">
        <x:f>COUNTIFS('唯一词标签'!$V$2:$V$1441,A979,'唯一词标签'!$Z$2:$Z$1441,"unknown")</x:f>
        <x:v>0</x:v>
      </x:c>
      <x:c r="H979" s="7" t="n">
        <x:f>COUNTIFS('唯一词标签'!$V$2:$V$1441,A979,'唯一词标签'!$U$2:$U$1441,"low")</x:f>
        <x:v>0</x:v>
      </x:c>
      <x:c r="I979" s="7" t="n">
        <x:f>COUNTIFS('唯一词标签'!$V$2:$V$1441,A979,'唯一词标签'!$AB$2:$AB$1441,"needs_review")</x:f>
        <x:v>0</x:v>
      </x:c>
    </x:row>
    <x:row r="980" ht="22" customHeight="1">
      <x:c r="A980" s="7" t="str">
        <x:v>womens_rubber_flip_flops_size</x:v>
      </x:c>
      <x:c r="B980" s="7" t="n">
        <x:f>COUNTIF('唯一词标签'!$V$2:$V$1441,A980)</x:f>
        <x:v>1</x:v>
      </x:c>
      <x:c r="C980" s="55" t="n">
        <x:f>B980/COUNTA('唯一词标签'!$C$2:$C$1441)</x:f>
        <x:v>0.0006944444444444445</x:v>
      </x:c>
      <x:c r="D980" s="7" t="n">
        <x:f>COUNTIFS('唯一词标签'!$V$2:$V$1441,A980,'唯一词标签'!$Z$2:$Z$1441,"match")</x:f>
        <x:v>0</x:v>
      </x:c>
      <x:c r="E980" s="7" t="n">
        <x:f>COUNTIFS('唯一词标签'!$V$2:$V$1441,A980,'唯一词标签'!$Z$2:$Z$1441,"partial_match")</x:f>
        <x:v>1</x:v>
      </x:c>
      <x:c r="F980" s="7" t="n">
        <x:f>COUNTIFS('唯一词标签'!$V$2:$V$1441,A980,'唯一词标签'!$Z$2:$Z$1441,"mismatch")</x:f>
        <x:v>0</x:v>
      </x:c>
      <x:c r="G980" s="7" t="n">
        <x:f>COUNTIFS('唯一词标签'!$V$2:$V$1441,A980,'唯一词标签'!$Z$2:$Z$1441,"unknown")</x:f>
        <x:v>0</x:v>
      </x:c>
      <x:c r="H980" s="7" t="n">
        <x:f>COUNTIFS('唯一词标签'!$V$2:$V$1441,A980,'唯一词标签'!$U$2:$U$1441,"low")</x:f>
        <x:v>0</x:v>
      </x:c>
      <x:c r="I980" s="7" t="n">
        <x:f>COUNTIFS('唯一词标签'!$V$2:$V$1441,A980,'唯一词标签'!$AB$2:$AB$1441,"needs_review")</x:f>
        <x:v>0</x:v>
      </x:c>
    </x:row>
    <x:row r="981" ht="22" customHeight="1">
      <x:c r="A981" s="7" t="str">
        <x:v>womens_rubber_sole_flip_flops</x:v>
      </x:c>
      <x:c r="B981" s="7" t="n">
        <x:f>COUNTIF('唯一词标签'!$V$2:$V$1441,A981)</x:f>
        <x:v>1</x:v>
      </x:c>
      <x:c r="C981" s="55" t="n">
        <x:f>B981/COUNTA('唯一词标签'!$C$2:$C$1441)</x:f>
        <x:v>0.0006944444444444445</x:v>
      </x:c>
      <x:c r="D981" s="7" t="n">
        <x:f>COUNTIFS('唯一词标签'!$V$2:$V$1441,A981,'唯一词标签'!$Z$2:$Z$1441,"match")</x:f>
        <x:v>0</x:v>
      </x:c>
      <x:c r="E981" s="7" t="n">
        <x:f>COUNTIFS('唯一词标签'!$V$2:$V$1441,A981,'唯一词标签'!$Z$2:$Z$1441,"partial_match")</x:f>
        <x:v>1</x:v>
      </x:c>
      <x:c r="F981" s="7" t="n">
        <x:f>COUNTIFS('唯一词标签'!$V$2:$V$1441,A981,'唯一词标签'!$Z$2:$Z$1441,"mismatch")</x:f>
        <x:v>0</x:v>
      </x:c>
      <x:c r="G981" s="7" t="n">
        <x:f>COUNTIFS('唯一词标签'!$V$2:$V$1441,A981,'唯一词标签'!$Z$2:$Z$1441,"unknown")</x:f>
        <x:v>0</x:v>
      </x:c>
      <x:c r="H981" s="7" t="n">
        <x:f>COUNTIFS('唯一词标签'!$V$2:$V$1441,A981,'唯一词标签'!$U$2:$U$1441,"low")</x:f>
        <x:v>0</x:v>
      </x:c>
      <x:c r="I981" s="7" t="n">
        <x:f>COUNTIFS('唯一词标签'!$V$2:$V$1441,A981,'唯一词标签'!$AB$2:$AB$1441,"needs_review")</x:f>
        <x:v>0</x:v>
      </x:c>
    </x:row>
    <x:row r="982" ht="22" customHeight="1">
      <x:c r="A982" s="7" t="str">
        <x:v>womens_sale_sandals</x:v>
      </x:c>
      <x:c r="B982" s="7" t="n">
        <x:f>COUNTIF('唯一词标签'!$V$2:$V$1441,A982)</x:f>
        <x:v>1</x:v>
      </x:c>
      <x:c r="C982" s="55" t="n">
        <x:f>B982/COUNTA('唯一词标签'!$C$2:$C$1441)</x:f>
        <x:v>0.0006944444444444445</x:v>
      </x:c>
      <x:c r="D982" s="7" t="n">
        <x:f>COUNTIFS('唯一词标签'!$V$2:$V$1441,A982,'唯一词标签'!$Z$2:$Z$1441,"match")</x:f>
        <x:v>0</x:v>
      </x:c>
      <x:c r="E982" s="7" t="n">
        <x:f>COUNTIFS('唯一词标签'!$V$2:$V$1441,A982,'唯一词标签'!$Z$2:$Z$1441,"partial_match")</x:f>
        <x:v>1</x:v>
      </x:c>
      <x:c r="F982" s="7" t="n">
        <x:f>COUNTIFS('唯一词标签'!$V$2:$V$1441,A982,'唯一词标签'!$Z$2:$Z$1441,"mismatch")</x:f>
        <x:v>0</x:v>
      </x:c>
      <x:c r="G982" s="7" t="n">
        <x:f>COUNTIFS('唯一词标签'!$V$2:$V$1441,A982,'唯一词标签'!$Z$2:$Z$1441,"unknown")</x:f>
        <x:v>0</x:v>
      </x:c>
      <x:c r="H982" s="7" t="n">
        <x:f>COUNTIFS('唯一词标签'!$V$2:$V$1441,A982,'唯一词标签'!$U$2:$U$1441,"low")</x:f>
        <x:v>0</x:v>
      </x:c>
      <x:c r="I982" s="7" t="n">
        <x:f>COUNTIFS('唯一词标签'!$V$2:$V$1441,A982,'唯一词标签'!$AB$2:$AB$1441,"needs_review")</x:f>
        <x:v>0</x:v>
      </x:c>
    </x:row>
    <x:row r="983" ht="22" customHeight="1">
      <x:c r="A983" s="7" t="str">
        <x:v>womens_sandals</x:v>
      </x:c>
      <x:c r="B983" s="7" t="n">
        <x:f>COUNTIF('唯一词标签'!$V$2:$V$1441,A983)</x:f>
        <x:v>3</x:v>
      </x:c>
      <x:c r="C983" s="55" t="n">
        <x:f>B983/COUNTA('唯一词标签'!$C$2:$C$1441)</x:f>
        <x:v>0.0020833333333333333</x:v>
      </x:c>
      <x:c r="D983" s="7" t="n">
        <x:f>COUNTIFS('唯一词标签'!$V$2:$V$1441,A983,'唯一词标签'!$Z$2:$Z$1441,"match")</x:f>
        <x:v>3</x:v>
      </x:c>
      <x:c r="E983" s="7" t="n">
        <x:f>COUNTIFS('唯一词标签'!$V$2:$V$1441,A983,'唯一词标签'!$Z$2:$Z$1441,"partial_match")</x:f>
        <x:v>0</x:v>
      </x:c>
      <x:c r="F983" s="7" t="n">
        <x:f>COUNTIFS('唯一词标签'!$V$2:$V$1441,A983,'唯一词标签'!$Z$2:$Z$1441,"mismatch")</x:f>
        <x:v>0</x:v>
      </x:c>
      <x:c r="G983" s="7" t="n">
        <x:f>COUNTIFS('唯一词标签'!$V$2:$V$1441,A983,'唯一词标签'!$Z$2:$Z$1441,"unknown")</x:f>
        <x:v>0</x:v>
      </x:c>
      <x:c r="H983" s="7" t="n">
        <x:f>COUNTIFS('唯一词标签'!$V$2:$V$1441,A983,'唯一词标签'!$U$2:$U$1441,"low")</x:f>
        <x:v>0</x:v>
      </x:c>
      <x:c r="I983" s="7" t="n">
        <x:f>COUNTIFS('唯一词标签'!$V$2:$V$1441,A983,'唯一词标签'!$AB$2:$AB$1441,"needs_review")</x:f>
        <x:v>0</x:v>
      </x:c>
    </x:row>
    <x:row r="984" ht="22" customHeight="1">
      <x:c r="A984" s="7" t="str">
        <x:v>womens_sandals_broad</x:v>
      </x:c>
      <x:c r="B984" s="7" t="n">
        <x:f>COUNTIF('唯一词标签'!$V$2:$V$1441,A984)</x:f>
        <x:v>1</x:v>
      </x:c>
      <x:c r="C984" s="55" t="n">
        <x:f>B984/COUNTA('唯一词标签'!$C$2:$C$1441)</x:f>
        <x:v>0.0006944444444444445</x:v>
      </x:c>
      <x:c r="D984" s="7" t="n">
        <x:f>COUNTIFS('唯一词标签'!$V$2:$V$1441,A984,'唯一词标签'!$Z$2:$Z$1441,"match")</x:f>
        <x:v>0</x:v>
      </x:c>
      <x:c r="E984" s="7" t="n">
        <x:f>COUNTIFS('唯一词标签'!$V$2:$V$1441,A984,'唯一词标签'!$Z$2:$Z$1441,"partial_match")</x:f>
        <x:v>1</x:v>
      </x:c>
      <x:c r="F984" s="7" t="n">
        <x:f>COUNTIFS('唯一词标签'!$V$2:$V$1441,A984,'唯一词标签'!$Z$2:$Z$1441,"mismatch")</x:f>
        <x:v>0</x:v>
      </x:c>
      <x:c r="G984" s="7" t="n">
        <x:f>COUNTIFS('唯一词标签'!$V$2:$V$1441,A984,'唯一词标签'!$Z$2:$Z$1441,"unknown")</x:f>
        <x:v>0</x:v>
      </x:c>
      <x:c r="H984" s="7" t="n">
        <x:f>COUNTIFS('唯一词标签'!$V$2:$V$1441,A984,'唯一词标签'!$U$2:$U$1441,"low")</x:f>
        <x:v>0</x:v>
      </x:c>
      <x:c r="I984" s="7" t="n">
        <x:f>COUNTIFS('唯一词标签'!$V$2:$V$1441,A984,'唯一词标签'!$AB$2:$AB$1441,"needs_review")</x:f>
        <x:v>0</x:v>
      </x:c>
    </x:row>
    <x:row r="985" ht="22" customHeight="1">
      <x:c r="A985" s="7" t="str">
        <x:v>womens_sandals_by_color</x:v>
      </x:c>
      <x:c r="B985" s="7" t="n">
        <x:f>COUNTIF('唯一词标签'!$V$2:$V$1441,A985)</x:f>
        <x:v>1</x:v>
      </x:c>
      <x:c r="C985" s="55" t="n">
        <x:f>B985/COUNTA('唯一词标签'!$C$2:$C$1441)</x:f>
        <x:v>0.0006944444444444445</x:v>
      </x:c>
      <x:c r="D985" s="7" t="n">
        <x:f>COUNTIFS('唯一词标签'!$V$2:$V$1441,A985,'唯一词标签'!$Z$2:$Z$1441,"match")</x:f>
        <x:v>1</x:v>
      </x:c>
      <x:c r="E985" s="7" t="n">
        <x:f>COUNTIFS('唯一词标签'!$V$2:$V$1441,A985,'唯一词标签'!$Z$2:$Z$1441,"partial_match")</x:f>
        <x:v>0</x:v>
      </x:c>
      <x:c r="F985" s="7" t="n">
        <x:f>COUNTIFS('唯一词标签'!$V$2:$V$1441,A985,'唯一词标签'!$Z$2:$Z$1441,"mismatch")</x:f>
        <x:v>0</x:v>
      </x:c>
      <x:c r="G985" s="7" t="n">
        <x:f>COUNTIFS('唯一词标签'!$V$2:$V$1441,A985,'唯一词标签'!$Z$2:$Z$1441,"unknown")</x:f>
        <x:v>0</x:v>
      </x:c>
      <x:c r="H985" s="7" t="n">
        <x:f>COUNTIFS('唯一词标签'!$V$2:$V$1441,A985,'唯一词标签'!$U$2:$U$1441,"low")</x:f>
        <x:v>0</x:v>
      </x:c>
      <x:c r="I985" s="7" t="n">
        <x:f>COUNTIFS('唯一词标签'!$V$2:$V$1441,A985,'唯一词标签'!$AB$2:$AB$1441,"needs_review")</x:f>
        <x:v>1</x:v>
      </x:c>
    </x:row>
    <x:row r="986" ht="22" customHeight="1">
      <x:c r="A986" s="7" t="str">
        <x:v>womens_sandals_by_size</x:v>
      </x:c>
      <x:c r="B986" s="7" t="n">
        <x:f>COUNTIF('唯一词标签'!$V$2:$V$1441,A986)</x:f>
        <x:v>1</x:v>
      </x:c>
      <x:c r="C986" s="55" t="n">
        <x:f>B986/COUNTA('唯一词标签'!$C$2:$C$1441)</x:f>
        <x:v>0.0006944444444444445</x:v>
      </x:c>
      <x:c r="D986" s="7" t="n">
        <x:f>COUNTIFS('唯一词标签'!$V$2:$V$1441,A986,'唯一词标签'!$Z$2:$Z$1441,"match")</x:f>
        <x:v>1</x:v>
      </x:c>
      <x:c r="E986" s="7" t="n">
        <x:f>COUNTIFS('唯一词标签'!$V$2:$V$1441,A986,'唯一词标签'!$Z$2:$Z$1441,"partial_match")</x:f>
        <x:v>0</x:v>
      </x:c>
      <x:c r="F986" s="7" t="n">
        <x:f>COUNTIFS('唯一词标签'!$V$2:$V$1441,A986,'唯一词标签'!$Z$2:$Z$1441,"mismatch")</x:f>
        <x:v>0</x:v>
      </x:c>
      <x:c r="G986" s="7" t="n">
        <x:f>COUNTIFS('唯一词标签'!$V$2:$V$1441,A986,'唯一词标签'!$Z$2:$Z$1441,"unknown")</x:f>
        <x:v>0</x:v>
      </x:c>
      <x:c r="H986" s="7" t="n">
        <x:f>COUNTIFS('唯一词标签'!$V$2:$V$1441,A986,'唯一词标签'!$U$2:$U$1441,"low")</x:f>
        <x:v>0</x:v>
      </x:c>
      <x:c r="I986" s="7" t="n">
        <x:f>COUNTIFS('唯一词标签'!$V$2:$V$1441,A986,'唯一词标签'!$AB$2:$AB$1441,"needs_review")</x:f>
        <x:v>0</x:v>
      </x:c>
    </x:row>
    <x:row r="987" ht="22" customHeight="1">
      <x:c r="A987" s="7" t="str">
        <x:v>womens_sandals_current</x:v>
      </x:c>
      <x:c r="B987" s="7" t="n">
        <x:f>COUNTIF('唯一词标签'!$V$2:$V$1441,A987)</x:f>
        <x:v>1</x:v>
      </x:c>
      <x:c r="C987" s="55" t="n">
        <x:f>B987/COUNTA('唯一词标签'!$C$2:$C$1441)</x:f>
        <x:v>0.0006944444444444445</x:v>
      </x:c>
      <x:c r="D987" s="7" t="n">
        <x:f>COUNTIFS('唯一词标签'!$V$2:$V$1441,A987,'唯一词标签'!$Z$2:$Z$1441,"match")</x:f>
        <x:v>1</x:v>
      </x:c>
      <x:c r="E987" s="7" t="n">
        <x:f>COUNTIFS('唯一词标签'!$V$2:$V$1441,A987,'唯一词标签'!$Z$2:$Z$1441,"partial_match")</x:f>
        <x:v>0</x:v>
      </x:c>
      <x:c r="F987" s="7" t="n">
        <x:f>COUNTIFS('唯一词标签'!$V$2:$V$1441,A987,'唯一词标签'!$Z$2:$Z$1441,"mismatch")</x:f>
        <x:v>0</x:v>
      </x:c>
      <x:c r="G987" s="7" t="n">
        <x:f>COUNTIFS('唯一词标签'!$V$2:$V$1441,A987,'唯一词标签'!$Z$2:$Z$1441,"unknown")</x:f>
        <x:v>0</x:v>
      </x:c>
      <x:c r="H987" s="7" t="n">
        <x:f>COUNTIFS('唯一词标签'!$V$2:$V$1441,A987,'唯一词标签'!$U$2:$U$1441,"low")</x:f>
        <x:v>0</x:v>
      </x:c>
      <x:c r="I987" s="7" t="n">
        <x:f>COUNTIFS('唯一词标签'!$V$2:$V$1441,A987,'唯一词标签'!$AB$2:$AB$1441,"needs_review")</x:f>
        <x:v>0</x:v>
      </x:c>
    </x:row>
    <x:row r="988" ht="22" customHeight="1">
      <x:c r="A988" s="7" t="str">
        <x:v>womens_sandals_flip_flops</x:v>
      </x:c>
      <x:c r="B988" s="7" t="n">
        <x:f>COUNTIF('唯一词标签'!$V$2:$V$1441,A988)</x:f>
        <x:v>1</x:v>
      </x:c>
      <x:c r="C988" s="55" t="n">
        <x:f>B988/COUNTA('唯一词标签'!$C$2:$C$1441)</x:f>
        <x:v>0.0006944444444444445</x:v>
      </x:c>
      <x:c r="D988" s="7" t="n">
        <x:f>COUNTIFS('唯一词标签'!$V$2:$V$1441,A988,'唯一词标签'!$Z$2:$Z$1441,"match")</x:f>
        <x:v>1</x:v>
      </x:c>
      <x:c r="E988" s="7" t="n">
        <x:f>COUNTIFS('唯一词标签'!$V$2:$V$1441,A988,'唯一词标签'!$Z$2:$Z$1441,"partial_match")</x:f>
        <x:v>0</x:v>
      </x:c>
      <x:c r="F988" s="7" t="n">
        <x:f>COUNTIFS('唯一词标签'!$V$2:$V$1441,A988,'唯一词标签'!$Z$2:$Z$1441,"mismatch")</x:f>
        <x:v>0</x:v>
      </x:c>
      <x:c r="G988" s="7" t="n">
        <x:f>COUNTIFS('唯一词标签'!$V$2:$V$1441,A988,'唯一词标签'!$Z$2:$Z$1441,"unknown")</x:f>
        <x:v>0</x:v>
      </x:c>
      <x:c r="H988" s="7" t="n">
        <x:f>COUNTIFS('唯一词标签'!$V$2:$V$1441,A988,'唯一词标签'!$U$2:$U$1441,"low")</x:f>
        <x:v>0</x:v>
      </x:c>
      <x:c r="I988" s="7" t="n">
        <x:f>COUNTIFS('唯一词标签'!$V$2:$V$1441,A988,'唯一词标签'!$AB$2:$AB$1441,"needs_review")</x:f>
        <x:v>0</x:v>
      </x:c>
    </x:row>
    <x:row r="989" ht="22" customHeight="1">
      <x:c r="A989" s="7" t="str">
        <x:v>womens_sandals_spanish</x:v>
      </x:c>
      <x:c r="B989" s="7" t="n">
        <x:f>COUNTIF('唯一词标签'!$V$2:$V$1441,A989)</x:f>
        <x:v>1</x:v>
      </x:c>
      <x:c r="C989" s="55" t="n">
        <x:f>B989/COUNTA('唯一词标签'!$C$2:$C$1441)</x:f>
        <x:v>0.0006944444444444445</x:v>
      </x:c>
      <x:c r="D989" s="7" t="n">
        <x:f>COUNTIFS('唯一词标签'!$V$2:$V$1441,A989,'唯一词标签'!$Z$2:$Z$1441,"match")</x:f>
        <x:v>1</x:v>
      </x:c>
      <x:c r="E989" s="7" t="n">
        <x:f>COUNTIFS('唯一词标签'!$V$2:$V$1441,A989,'唯一词标签'!$Z$2:$Z$1441,"partial_match")</x:f>
        <x:v>0</x:v>
      </x:c>
      <x:c r="F989" s="7" t="n">
        <x:f>COUNTIFS('唯一词标签'!$V$2:$V$1441,A989,'唯一词标签'!$Z$2:$Z$1441,"mismatch")</x:f>
        <x:v>0</x:v>
      </x:c>
      <x:c r="G989" s="7" t="n">
        <x:f>COUNTIFS('唯一词标签'!$V$2:$V$1441,A989,'唯一词标签'!$Z$2:$Z$1441,"unknown")</x:f>
        <x:v>0</x:v>
      </x:c>
      <x:c r="H989" s="7" t="n">
        <x:f>COUNTIFS('唯一词标签'!$V$2:$V$1441,A989,'唯一词标签'!$U$2:$U$1441,"low")</x:f>
        <x:v>0</x:v>
      </x:c>
      <x:c r="I989" s="7" t="n">
        <x:f>COUNTIFS('唯一词标签'!$V$2:$V$1441,A989,'唯一词标签'!$AB$2:$AB$1441,"needs_review")</x:f>
        <x:v>0</x:v>
      </x:c>
    </x:row>
    <x:row r="990" ht="22" customHeight="1">
      <x:c r="A990" s="7" t="str">
        <x:v>womens_shower_flip_flops</x:v>
      </x:c>
      <x:c r="B990" s="7" t="n">
        <x:f>COUNTIF('唯一词标签'!$V$2:$V$1441,A990)</x:f>
        <x:v>4</x:v>
      </x:c>
      <x:c r="C990" s="55" t="n">
        <x:f>B990/COUNTA('唯一词标签'!$C$2:$C$1441)</x:f>
        <x:v>0.002777777777777778</x:v>
      </x:c>
      <x:c r="D990" s="7" t="n">
        <x:f>COUNTIFS('唯一词标签'!$V$2:$V$1441,A990,'唯一词标签'!$Z$2:$Z$1441,"match")</x:f>
        <x:v>0</x:v>
      </x:c>
      <x:c r="E990" s="7" t="n">
        <x:f>COUNTIFS('唯一词标签'!$V$2:$V$1441,A990,'唯一词标签'!$Z$2:$Z$1441,"partial_match")</x:f>
        <x:v>3</x:v>
      </x:c>
      <x:c r="F990" s="7" t="n">
        <x:f>COUNTIFS('唯一词标签'!$V$2:$V$1441,A990,'唯一词标签'!$Z$2:$Z$1441,"mismatch")</x:f>
        <x:v>1</x:v>
      </x:c>
      <x:c r="G990" s="7" t="n">
        <x:f>COUNTIFS('唯一词标签'!$V$2:$V$1441,A990,'唯一词标签'!$Z$2:$Z$1441,"unknown")</x:f>
        <x:v>0</x:v>
      </x:c>
      <x:c r="H990" s="7" t="n">
        <x:f>COUNTIFS('唯一词标签'!$V$2:$V$1441,A990,'唯一词标签'!$U$2:$U$1441,"low")</x:f>
        <x:v>0</x:v>
      </x:c>
      <x:c r="I990" s="7" t="n">
        <x:f>COUNTIFS('唯一词标签'!$V$2:$V$1441,A990,'唯一词标签'!$AB$2:$AB$1441,"needs_review")</x:f>
        <x:v>1</x:v>
      </x:c>
    </x:row>
    <x:row r="991" ht="22" customHeight="1">
      <x:c r="A991" s="7" t="str">
        <x:v>womens_shower_sandals_non_slip</x:v>
      </x:c>
      <x:c r="B991" s="7" t="n">
        <x:f>COUNTIF('唯一词标签'!$V$2:$V$1441,A991)</x:f>
        <x:v>1</x:v>
      </x:c>
      <x:c r="C991" s="55" t="n">
        <x:f>B991/COUNTA('唯一词标签'!$C$2:$C$1441)</x:f>
        <x:v>0.0006944444444444445</x:v>
      </x:c>
      <x:c r="D991" s="7" t="n">
        <x:f>COUNTIFS('唯一词标签'!$V$2:$V$1441,A991,'唯一词标签'!$Z$2:$Z$1441,"match")</x:f>
        <x:v>0</x:v>
      </x:c>
      <x:c r="E991" s="7" t="n">
        <x:f>COUNTIFS('唯一词标签'!$V$2:$V$1441,A991,'唯一词标签'!$Z$2:$Z$1441,"partial_match")</x:f>
        <x:v>1</x:v>
      </x:c>
      <x:c r="F991" s="7" t="n">
        <x:f>COUNTIFS('唯一词标签'!$V$2:$V$1441,A991,'唯一词标签'!$Z$2:$Z$1441,"mismatch")</x:f>
        <x:v>0</x:v>
      </x:c>
      <x:c r="G991" s="7" t="n">
        <x:f>COUNTIFS('唯一词标签'!$V$2:$V$1441,A991,'唯一词标签'!$Z$2:$Z$1441,"unknown")</x:f>
        <x:v>0</x:v>
      </x:c>
      <x:c r="H991" s="7" t="n">
        <x:f>COUNTIFS('唯一词标签'!$V$2:$V$1441,A991,'唯一词标签'!$U$2:$U$1441,"low")</x:f>
        <x:v>0</x:v>
      </x:c>
      <x:c r="I991" s="7" t="n">
        <x:f>COUNTIFS('唯一词标签'!$V$2:$V$1441,A991,'唯一词标签'!$AB$2:$AB$1441,"needs_review")</x:f>
        <x:v>0</x:v>
      </x:c>
    </x:row>
    <x:row r="992" ht="22" customHeight="1">
      <x:c r="A992" s="7" t="str">
        <x:v>womens_shower_shoes</x:v>
      </x:c>
      <x:c r="B992" s="7" t="n">
        <x:f>COUNTIF('唯一词标签'!$V$2:$V$1441,A992)</x:f>
        <x:v>3</x:v>
      </x:c>
      <x:c r="C992" s="55" t="n">
        <x:f>B992/COUNTA('唯一词标签'!$C$2:$C$1441)</x:f>
        <x:v>0.0020833333333333333</x:v>
      </x:c>
      <x:c r="D992" s="7" t="n">
        <x:f>COUNTIFS('唯一词标签'!$V$2:$V$1441,A992,'唯一词标签'!$Z$2:$Z$1441,"match")</x:f>
        <x:v>0</x:v>
      </x:c>
      <x:c r="E992" s="7" t="n">
        <x:f>COUNTIFS('唯一词标签'!$V$2:$V$1441,A992,'唯一词标签'!$Z$2:$Z$1441,"partial_match")</x:f>
        <x:v>0</x:v>
      </x:c>
      <x:c r="F992" s="7" t="n">
        <x:f>COUNTIFS('唯一词标签'!$V$2:$V$1441,A992,'唯一词标签'!$Z$2:$Z$1441,"mismatch")</x:f>
        <x:v>3</x:v>
      </x:c>
      <x:c r="G992" s="7" t="n">
        <x:f>COUNTIFS('唯一词标签'!$V$2:$V$1441,A992,'唯一词标签'!$Z$2:$Z$1441,"unknown")</x:f>
        <x:v>0</x:v>
      </x:c>
      <x:c r="H992" s="7" t="n">
        <x:f>COUNTIFS('唯一词标签'!$V$2:$V$1441,A992,'唯一词标签'!$U$2:$U$1441,"low")</x:f>
        <x:v>0</x:v>
      </x:c>
      <x:c r="I992" s="7" t="n">
        <x:f>COUNTIFS('唯一词标签'!$V$2:$V$1441,A992,'唯一词标签'!$AB$2:$AB$1441,"needs_review")</x:f>
        <x:v>0</x:v>
      </x:c>
    </x:row>
    <x:row r="993" ht="22" customHeight="1">
      <x:c r="A993" s="7" t="str">
        <x:v>womens_silicone_flip_flops</x:v>
      </x:c>
      <x:c r="B993" s="7" t="n">
        <x:f>COUNTIF('唯一词标签'!$V$2:$V$1441,A993)</x:f>
        <x:v>1</x:v>
      </x:c>
      <x:c r="C993" s="55" t="n">
        <x:f>B993/COUNTA('唯一词标签'!$C$2:$C$1441)</x:f>
        <x:v>0.0006944444444444445</x:v>
      </x:c>
      <x:c r="D993" s="7" t="n">
        <x:f>COUNTIFS('唯一词标签'!$V$2:$V$1441,A993,'唯一词标签'!$Z$2:$Z$1441,"match")</x:f>
        <x:v>0</x:v>
      </x:c>
      <x:c r="E993" s="7" t="n">
        <x:f>COUNTIFS('唯一词标签'!$V$2:$V$1441,A993,'唯一词标签'!$Z$2:$Z$1441,"partial_match")</x:f>
        <x:v>1</x:v>
      </x:c>
      <x:c r="F993" s="7" t="n">
        <x:f>COUNTIFS('唯一词标签'!$V$2:$V$1441,A993,'唯一词标签'!$Z$2:$Z$1441,"mismatch")</x:f>
        <x:v>0</x:v>
      </x:c>
      <x:c r="G993" s="7" t="n">
        <x:f>COUNTIFS('唯一词标签'!$V$2:$V$1441,A993,'唯一词标签'!$Z$2:$Z$1441,"unknown")</x:f>
        <x:v>0</x:v>
      </x:c>
      <x:c r="H993" s="7" t="n">
        <x:f>COUNTIFS('唯一词标签'!$V$2:$V$1441,A993,'唯一词标签'!$U$2:$U$1441,"low")</x:f>
        <x:v>0</x:v>
      </x:c>
      <x:c r="I993" s="7" t="n">
        <x:f>COUNTIFS('唯一词标签'!$V$2:$V$1441,A993,'唯一词标签'!$AB$2:$AB$1441,"needs_review")</x:f>
        <x:v>0</x:v>
      </x:c>
    </x:row>
    <x:row r="994" ht="22" customHeight="1">
      <x:c r="A994" s="7" t="str">
        <x:v>womens_silver_arch_support_flip_flops</x:v>
      </x:c>
      <x:c r="B994" s="7" t="n">
        <x:f>COUNTIF('唯一词标签'!$V$2:$V$1441,A994)</x:f>
        <x:v>1</x:v>
      </x:c>
      <x:c r="C994" s="55" t="n">
        <x:f>B994/COUNTA('唯一词标签'!$C$2:$C$1441)</x:f>
        <x:v>0.0006944444444444445</x:v>
      </x:c>
      <x:c r="D994" s="7" t="n">
        <x:f>COUNTIFS('唯一词标签'!$V$2:$V$1441,A994,'唯一词标签'!$Z$2:$Z$1441,"match")</x:f>
        <x:v>0</x:v>
      </x:c>
      <x:c r="E994" s="7" t="n">
        <x:f>COUNTIFS('唯一词标签'!$V$2:$V$1441,A994,'唯一词标签'!$Z$2:$Z$1441,"partial_match")</x:f>
        <x:v>1</x:v>
      </x:c>
      <x:c r="F994" s="7" t="n">
        <x:f>COUNTIFS('唯一词标签'!$V$2:$V$1441,A994,'唯一词标签'!$Z$2:$Z$1441,"mismatch")</x:f>
        <x:v>0</x:v>
      </x:c>
      <x:c r="G994" s="7" t="n">
        <x:f>COUNTIFS('唯一词标签'!$V$2:$V$1441,A994,'唯一词标签'!$Z$2:$Z$1441,"unknown")</x:f>
        <x:v>0</x:v>
      </x:c>
      <x:c r="H994" s="7" t="n">
        <x:f>COUNTIFS('唯一词标签'!$V$2:$V$1441,A994,'唯一词标签'!$U$2:$U$1441,"low")</x:f>
        <x:v>0</x:v>
      </x:c>
      <x:c r="I994" s="7" t="n">
        <x:f>COUNTIFS('唯一词标签'!$V$2:$V$1441,A994,'唯一词标签'!$AB$2:$AB$1441,"needs_review")</x:f>
        <x:v>0</x:v>
      </x:c>
    </x:row>
    <x:row r="995" ht="22" customHeight="1">
      <x:c r="A995" s="7" t="str">
        <x:v>womens_size_8_flip_flops</x:v>
      </x:c>
      <x:c r="B995" s="7" t="n">
        <x:f>COUNTIF('唯一词标签'!$V$2:$V$1441,A995)</x:f>
        <x:v>1</x:v>
      </x:c>
      <x:c r="C995" s="55" t="n">
        <x:f>B995/COUNTA('唯一词标签'!$C$2:$C$1441)</x:f>
        <x:v>0.0006944444444444445</x:v>
      </x:c>
      <x:c r="D995" s="7" t="n">
        <x:f>COUNTIFS('唯一词标签'!$V$2:$V$1441,A995,'唯一词标签'!$Z$2:$Z$1441,"match")</x:f>
        <x:v>1</x:v>
      </x:c>
      <x:c r="E995" s="7" t="n">
        <x:f>COUNTIFS('唯一词标签'!$V$2:$V$1441,A995,'唯一词标签'!$Z$2:$Z$1441,"partial_match")</x:f>
        <x:v>0</x:v>
      </x:c>
      <x:c r="F995" s="7" t="n">
        <x:f>COUNTIFS('唯一词标签'!$V$2:$V$1441,A995,'唯一词标签'!$Z$2:$Z$1441,"mismatch")</x:f>
        <x:v>0</x:v>
      </x:c>
      <x:c r="G995" s="7" t="n">
        <x:f>COUNTIFS('唯一词标签'!$V$2:$V$1441,A995,'唯一词标签'!$Z$2:$Z$1441,"unknown")</x:f>
        <x:v>0</x:v>
      </x:c>
      <x:c r="H995" s="7" t="n">
        <x:f>COUNTIFS('唯一词标签'!$V$2:$V$1441,A995,'唯一词标签'!$U$2:$U$1441,"low")</x:f>
        <x:v>0</x:v>
      </x:c>
      <x:c r="I995" s="7" t="n">
        <x:f>COUNTIFS('唯一词标签'!$V$2:$V$1441,A995,'唯一词标签'!$AB$2:$AB$1441,"needs_review")</x:f>
        <x:v>0</x:v>
      </x:c>
    </x:row>
    <x:row r="996" ht="22" customHeight="1">
      <x:c r="A996" s="7" t="str">
        <x:v>womens_size_8_waterproof_flip_flops</x:v>
      </x:c>
      <x:c r="B996" s="7" t="n">
        <x:f>COUNTIF('唯一词标签'!$V$2:$V$1441,A996)</x:f>
        <x:v>1</x:v>
      </x:c>
      <x:c r="C996" s="55" t="n">
        <x:f>B996/COUNTA('唯一词标签'!$C$2:$C$1441)</x:f>
        <x:v>0.0006944444444444445</x:v>
      </x:c>
      <x:c r="D996" s="7" t="n">
        <x:f>COUNTIFS('唯一词标签'!$V$2:$V$1441,A996,'唯一词标签'!$Z$2:$Z$1441,"match")</x:f>
        <x:v>0</x:v>
      </x:c>
      <x:c r="E996" s="7" t="n">
        <x:f>COUNTIFS('唯一词标签'!$V$2:$V$1441,A996,'唯一词标签'!$Z$2:$Z$1441,"partial_match")</x:f>
        <x:v>1</x:v>
      </x:c>
      <x:c r="F996" s="7" t="n">
        <x:f>COUNTIFS('唯一词标签'!$V$2:$V$1441,A996,'唯一词标签'!$Z$2:$Z$1441,"mismatch")</x:f>
        <x:v>0</x:v>
      </x:c>
      <x:c r="G996" s="7" t="n">
        <x:f>COUNTIFS('唯一词标签'!$V$2:$V$1441,A996,'唯一词标签'!$Z$2:$Z$1441,"unknown")</x:f>
        <x:v>0</x:v>
      </x:c>
      <x:c r="H996" s="7" t="n">
        <x:f>COUNTIFS('唯一词标签'!$V$2:$V$1441,A996,'唯一词标签'!$U$2:$U$1441,"low")</x:f>
        <x:v>0</x:v>
      </x:c>
      <x:c r="I996" s="7" t="n">
        <x:f>COUNTIFS('唯一词标签'!$V$2:$V$1441,A996,'唯一词标签'!$AB$2:$AB$1441,"needs_review")</x:f>
        <x:v>0</x:v>
      </x:c>
    </x:row>
    <x:row r="997" ht="22" customHeight="1">
      <x:c r="A997" s="7" t="str">
        <x:v>womens_size_9_arch_support_flip_flops</x:v>
      </x:c>
      <x:c r="B997" s="7" t="n">
        <x:f>COUNTIF('唯一词标签'!$V$2:$V$1441,A997)</x:f>
        <x:v>1</x:v>
      </x:c>
      <x:c r="C997" s="55" t="n">
        <x:f>B997/COUNTA('唯一词标签'!$C$2:$C$1441)</x:f>
        <x:v>0.0006944444444444445</x:v>
      </x:c>
      <x:c r="D997" s="7" t="n">
        <x:f>COUNTIFS('唯一词标签'!$V$2:$V$1441,A997,'唯一词标签'!$Z$2:$Z$1441,"match")</x:f>
        <x:v>1</x:v>
      </x:c>
      <x:c r="E997" s="7" t="n">
        <x:f>COUNTIFS('唯一词标签'!$V$2:$V$1441,A997,'唯一词标签'!$Z$2:$Z$1441,"partial_match")</x:f>
        <x:v>0</x:v>
      </x:c>
      <x:c r="F997" s="7" t="n">
        <x:f>COUNTIFS('唯一词标签'!$V$2:$V$1441,A997,'唯一词标签'!$Z$2:$Z$1441,"mismatch")</x:f>
        <x:v>0</x:v>
      </x:c>
      <x:c r="G997" s="7" t="n">
        <x:f>COUNTIFS('唯一词标签'!$V$2:$V$1441,A997,'唯一词标签'!$Z$2:$Z$1441,"unknown")</x:f>
        <x:v>0</x:v>
      </x:c>
      <x:c r="H997" s="7" t="n">
        <x:f>COUNTIFS('唯一词标签'!$V$2:$V$1441,A997,'唯一词标签'!$U$2:$U$1441,"low")</x:f>
        <x:v>0</x:v>
      </x:c>
      <x:c r="I997" s="7" t="n">
        <x:f>COUNTIFS('唯一词标签'!$V$2:$V$1441,A997,'唯一词标签'!$AB$2:$AB$1441,"needs_review")</x:f>
        <x:v>0</x:v>
      </x:c>
    </x:row>
    <x:row r="998" ht="22" customHeight="1">
      <x:c r="A998" s="7" t="str">
        <x:v>womens_size_9_flip_flops</x:v>
      </x:c>
      <x:c r="B998" s="7" t="n">
        <x:f>COUNTIF('唯一词标签'!$V$2:$V$1441,A998)</x:f>
        <x:v>2</x:v>
      </x:c>
      <x:c r="C998" s="55" t="n">
        <x:f>B998/COUNTA('唯一词标签'!$C$2:$C$1441)</x:f>
        <x:v>0.001388888888888889</x:v>
      </x:c>
      <x:c r="D998" s="7" t="n">
        <x:f>COUNTIFS('唯一词标签'!$V$2:$V$1441,A998,'唯一词标签'!$Z$2:$Z$1441,"match")</x:f>
        <x:v>2</x:v>
      </x:c>
      <x:c r="E998" s="7" t="n">
        <x:f>COUNTIFS('唯一词标签'!$V$2:$V$1441,A998,'唯一词标签'!$Z$2:$Z$1441,"partial_match")</x:f>
        <x:v>0</x:v>
      </x:c>
      <x:c r="F998" s="7" t="n">
        <x:f>COUNTIFS('唯一词标签'!$V$2:$V$1441,A998,'唯一词标签'!$Z$2:$Z$1441,"mismatch")</x:f>
        <x:v>0</x:v>
      </x:c>
      <x:c r="G998" s="7" t="n">
        <x:f>COUNTIFS('唯一词标签'!$V$2:$V$1441,A998,'唯一词标签'!$Z$2:$Z$1441,"unknown")</x:f>
        <x:v>0</x:v>
      </x:c>
      <x:c r="H998" s="7" t="n">
        <x:f>COUNTIFS('唯一词标签'!$V$2:$V$1441,A998,'唯一词标签'!$U$2:$U$1441,"low")</x:f>
        <x:v>0</x:v>
      </x:c>
      <x:c r="I998" s="7" t="n">
        <x:f>COUNTIFS('唯一词标签'!$V$2:$V$1441,A998,'唯一词标签'!$AB$2:$AB$1441,"needs_review")</x:f>
        <x:v>0</x:v>
      </x:c>
    </x:row>
    <x:row r="999" ht="22" customHeight="1">
      <x:c r="A999" s="7" t="str">
        <x:v>womens_size_flip_flops</x:v>
      </x:c>
      <x:c r="B999" s="7" t="n">
        <x:f>COUNTIF('唯一词标签'!$V$2:$V$1441,A999)</x:f>
        <x:v>1</x:v>
      </x:c>
      <x:c r="C999" s="55" t="n">
        <x:f>B999/COUNTA('唯一词标签'!$C$2:$C$1441)</x:f>
        <x:v>0.0006944444444444445</x:v>
      </x:c>
      <x:c r="D999" s="7" t="n">
        <x:f>COUNTIFS('唯一词标签'!$V$2:$V$1441,A999,'唯一词标签'!$Z$2:$Z$1441,"match")</x:f>
        <x:v>1</x:v>
      </x:c>
      <x:c r="E999" s="7" t="n">
        <x:f>COUNTIFS('唯一词标签'!$V$2:$V$1441,A999,'唯一词标签'!$Z$2:$Z$1441,"partial_match")</x:f>
        <x:v>0</x:v>
      </x:c>
      <x:c r="F999" s="7" t="n">
        <x:f>COUNTIFS('唯一词标签'!$V$2:$V$1441,A999,'唯一词标签'!$Z$2:$Z$1441,"mismatch")</x:f>
        <x:v>0</x:v>
      </x:c>
      <x:c r="G999" s="7" t="n">
        <x:f>COUNTIFS('唯一词标签'!$V$2:$V$1441,A999,'唯一词标签'!$Z$2:$Z$1441,"unknown")</x:f>
        <x:v>0</x:v>
      </x:c>
      <x:c r="H999" s="7" t="n">
        <x:f>COUNTIFS('唯一词标签'!$V$2:$V$1441,A999,'唯一词标签'!$U$2:$U$1441,"low")</x:f>
        <x:v>0</x:v>
      </x:c>
      <x:c r="I999" s="7" t="n">
        <x:f>COUNTIFS('唯一词标签'!$V$2:$V$1441,A999,'唯一词标签'!$AB$2:$AB$1441,"needs_review")</x:f>
        <x:v>0</x:v>
      </x:c>
    </x:row>
    <x:row r="1000" ht="22" customHeight="1">
      <x:c r="A1000" s="7" t="str">
        <x:v>womens_size10_wide_flip_flops</x:v>
      </x:c>
      <x:c r="B1000" s="7" t="n">
        <x:f>COUNTIF('唯一词标签'!$V$2:$V$1441,A1000)</x:f>
        <x:v>1</x:v>
      </x:c>
      <x:c r="C1000" s="55" t="n">
        <x:f>B1000/COUNTA('唯一词标签'!$C$2:$C$1441)</x:f>
        <x:v>0.0006944444444444445</x:v>
      </x:c>
      <x:c r="D1000" s="7" t="n">
        <x:f>COUNTIFS('唯一词标签'!$V$2:$V$1441,A1000,'唯一词标签'!$Z$2:$Z$1441,"match")</x:f>
        <x:v>0</x:v>
      </x:c>
      <x:c r="E1000" s="7" t="n">
        <x:f>COUNTIFS('唯一词标签'!$V$2:$V$1441,A1000,'唯一词标签'!$Z$2:$Z$1441,"partial_match")</x:f>
        <x:v>1</x:v>
      </x:c>
      <x:c r="F1000" s="7" t="n">
        <x:f>COUNTIFS('唯一词标签'!$V$2:$V$1441,A1000,'唯一词标签'!$Z$2:$Z$1441,"mismatch")</x:f>
        <x:v>0</x:v>
      </x:c>
      <x:c r="G1000" s="7" t="n">
        <x:f>COUNTIFS('唯一词标签'!$V$2:$V$1441,A1000,'唯一词标签'!$Z$2:$Z$1441,"unknown")</x:f>
        <x:v>0</x:v>
      </x:c>
      <x:c r="H1000" s="7" t="n">
        <x:f>COUNTIFS('唯一词标签'!$V$2:$V$1441,A1000,'唯一词标签'!$U$2:$U$1441,"low")</x:f>
        <x:v>0</x:v>
      </x:c>
      <x:c r="I1000" s="7" t="n">
        <x:f>COUNTIFS('唯一词标签'!$V$2:$V$1441,A1000,'唯一词标签'!$AB$2:$AB$1441,"needs_review")</x:f>
        <x:v>0</x:v>
      </x:c>
    </x:row>
    <x:row r="1001" ht="22" customHeight="1">
      <x:c r="A1001" s="7" t="str">
        <x:v>womens_size6_flip_flops</x:v>
      </x:c>
      <x:c r="B1001" s="7" t="n">
        <x:f>COUNTIF('唯一词标签'!$V$2:$V$1441,A1001)</x:f>
        <x:v>1</x:v>
      </x:c>
      <x:c r="C1001" s="55" t="n">
        <x:f>B1001/COUNTA('唯一词标签'!$C$2:$C$1441)</x:f>
        <x:v>0.0006944444444444445</x:v>
      </x:c>
      <x:c r="D1001" s="7" t="n">
        <x:f>COUNTIFS('唯一词标签'!$V$2:$V$1441,A1001,'唯一词标签'!$Z$2:$Z$1441,"match")</x:f>
        <x:v>1</x:v>
      </x:c>
      <x:c r="E1001" s="7" t="n">
        <x:f>COUNTIFS('唯一词标签'!$V$2:$V$1441,A1001,'唯一词标签'!$Z$2:$Z$1441,"partial_match")</x:f>
        <x:v>0</x:v>
      </x:c>
      <x:c r="F1001" s="7" t="n">
        <x:f>COUNTIFS('唯一词标签'!$V$2:$V$1441,A1001,'唯一词标签'!$Z$2:$Z$1441,"mismatch")</x:f>
        <x:v>0</x:v>
      </x:c>
      <x:c r="G1001" s="7" t="n">
        <x:f>COUNTIFS('唯一词标签'!$V$2:$V$1441,A1001,'唯一词标签'!$Z$2:$Z$1441,"unknown")</x:f>
        <x:v>0</x:v>
      </x:c>
      <x:c r="H1001" s="7" t="n">
        <x:f>COUNTIFS('唯一词标签'!$V$2:$V$1441,A1001,'唯一词标签'!$U$2:$U$1441,"low")</x:f>
        <x:v>0</x:v>
      </x:c>
      <x:c r="I1001" s="7" t="n">
        <x:f>COUNTIFS('唯一词标签'!$V$2:$V$1441,A1001,'唯一词标签'!$AB$2:$AB$1441,"needs_review")</x:f>
        <x:v>0</x:v>
      </x:c>
    </x:row>
    <x:row r="1002" ht="22" customHeight="1">
      <x:c r="A1002" s="7" t="str">
        <x:v>womens_size7_flip_flops</x:v>
      </x:c>
      <x:c r="B1002" s="7" t="n">
        <x:f>COUNTIF('唯一词标签'!$V$2:$V$1441,A1002)</x:f>
        <x:v>1</x:v>
      </x:c>
      <x:c r="C1002" s="55" t="n">
        <x:f>B1002/COUNTA('唯一词标签'!$C$2:$C$1441)</x:f>
        <x:v>0.0006944444444444445</x:v>
      </x:c>
      <x:c r="D1002" s="7" t="n">
        <x:f>COUNTIFS('唯一词标签'!$V$2:$V$1441,A1002,'唯一词标签'!$Z$2:$Z$1441,"match")</x:f>
        <x:v>1</x:v>
      </x:c>
      <x:c r="E1002" s="7" t="n">
        <x:f>COUNTIFS('唯一词标签'!$V$2:$V$1441,A1002,'唯一词标签'!$Z$2:$Z$1441,"partial_match")</x:f>
        <x:v>0</x:v>
      </x:c>
      <x:c r="F1002" s="7" t="n">
        <x:f>COUNTIFS('唯一词标签'!$V$2:$V$1441,A1002,'唯一词标签'!$Z$2:$Z$1441,"mismatch")</x:f>
        <x:v>0</x:v>
      </x:c>
      <x:c r="G1002" s="7" t="n">
        <x:f>COUNTIFS('唯一词标签'!$V$2:$V$1441,A1002,'唯一词标签'!$Z$2:$Z$1441,"unknown")</x:f>
        <x:v>0</x:v>
      </x:c>
      <x:c r="H1002" s="7" t="n">
        <x:f>COUNTIFS('唯一词标签'!$V$2:$V$1441,A1002,'唯一词标签'!$U$2:$U$1441,"low")</x:f>
        <x:v>0</x:v>
      </x:c>
      <x:c r="I1002" s="7" t="n">
        <x:f>COUNTIFS('唯一词标签'!$V$2:$V$1441,A1002,'唯一词标签'!$AB$2:$AB$1441,"needs_review")</x:f>
        <x:v>0</x:v>
      </x:c>
    </x:row>
    <x:row r="1003" ht="22" customHeight="1">
      <x:c r="A1003" s="7" t="str">
        <x:v>womens_size9_pool_flip_flops</x:v>
      </x:c>
      <x:c r="B1003" s="7" t="n">
        <x:f>COUNTIF('唯一词标签'!$V$2:$V$1441,A1003)</x:f>
        <x:v>1</x:v>
      </x:c>
      <x:c r="C1003" s="55" t="n">
        <x:f>B1003/COUNTA('唯一词标签'!$C$2:$C$1441)</x:f>
        <x:v>0.0006944444444444445</x:v>
      </x:c>
      <x:c r="D1003" s="7" t="n">
        <x:f>COUNTIFS('唯一词标签'!$V$2:$V$1441,A1003,'唯一词标签'!$Z$2:$Z$1441,"match")</x:f>
        <x:v>1</x:v>
      </x:c>
      <x:c r="E1003" s="7" t="n">
        <x:f>COUNTIFS('唯一词标签'!$V$2:$V$1441,A1003,'唯一词标签'!$Z$2:$Z$1441,"partial_match")</x:f>
        <x:v>0</x:v>
      </x:c>
      <x:c r="F1003" s="7" t="n">
        <x:f>COUNTIFS('唯一词标签'!$V$2:$V$1441,A1003,'唯一词标签'!$Z$2:$Z$1441,"mismatch")</x:f>
        <x:v>0</x:v>
      </x:c>
      <x:c r="G1003" s="7" t="n">
        <x:f>COUNTIFS('唯一词标签'!$V$2:$V$1441,A1003,'唯一词标签'!$Z$2:$Z$1441,"unknown")</x:f>
        <x:v>0</x:v>
      </x:c>
      <x:c r="H1003" s="7" t="n">
        <x:f>COUNTIFS('唯一词标签'!$V$2:$V$1441,A1003,'唯一词标签'!$U$2:$U$1441,"low")</x:f>
        <x:v>0</x:v>
      </x:c>
      <x:c r="I1003" s="7" t="n">
        <x:f>COUNTIFS('唯一词标签'!$V$2:$V$1441,A1003,'唯一词标签'!$AB$2:$AB$1441,"needs_review")</x:f>
        <x:v>0</x:v>
      </x:c>
    </x:row>
    <x:row r="1004" ht="22" customHeight="1">
      <x:c r="A1004" s="7" t="str">
        <x:v>womens_sized_beach_flip_flops</x:v>
      </x:c>
      <x:c r="B1004" s="7" t="n">
        <x:f>COUNTIF('唯一词标签'!$V$2:$V$1441,A1004)</x:f>
        <x:v>1</x:v>
      </x:c>
      <x:c r="C1004" s="55" t="n">
        <x:f>B1004/COUNTA('唯一词标签'!$C$2:$C$1441)</x:f>
        <x:v>0.0006944444444444445</x:v>
      </x:c>
      <x:c r="D1004" s="7" t="n">
        <x:f>COUNTIFS('唯一词标签'!$V$2:$V$1441,A1004,'唯一词标签'!$Z$2:$Z$1441,"match")</x:f>
        <x:v>1</x:v>
      </x:c>
      <x:c r="E1004" s="7" t="n">
        <x:f>COUNTIFS('唯一词标签'!$V$2:$V$1441,A1004,'唯一词标签'!$Z$2:$Z$1441,"partial_match")</x:f>
        <x:v>0</x:v>
      </x:c>
      <x:c r="F1004" s="7" t="n">
        <x:f>COUNTIFS('唯一词标签'!$V$2:$V$1441,A1004,'唯一词标签'!$Z$2:$Z$1441,"mismatch")</x:f>
        <x:v>0</x:v>
      </x:c>
      <x:c r="G1004" s="7" t="n">
        <x:f>COUNTIFS('唯一词标签'!$V$2:$V$1441,A1004,'唯一词标签'!$Z$2:$Z$1441,"unknown")</x:f>
        <x:v>0</x:v>
      </x:c>
      <x:c r="H1004" s="7" t="n">
        <x:f>COUNTIFS('唯一词标签'!$V$2:$V$1441,A1004,'唯一词标签'!$U$2:$U$1441,"low")</x:f>
        <x:v>0</x:v>
      </x:c>
      <x:c r="I1004" s="7" t="n">
        <x:f>COUNTIFS('唯一词标签'!$V$2:$V$1441,A1004,'唯一词标签'!$AB$2:$AB$1441,"needs_review")</x:f>
        <x:v>0</x:v>
      </x:c>
    </x:row>
    <x:row r="1005" ht="22" customHeight="1">
      <x:c r="A1005" s="7" t="str">
        <x:v>womens_sized_flip_flops</x:v>
      </x:c>
      <x:c r="B1005" s="7" t="n">
        <x:f>COUNTIF('唯一词标签'!$V$2:$V$1441,A1005)</x:f>
        <x:v>6</x:v>
      </x:c>
      <x:c r="C1005" s="55" t="n">
        <x:f>B1005/COUNTA('唯一词标签'!$C$2:$C$1441)</x:f>
        <x:v>0.004166666666666667</x:v>
      </x:c>
      <x:c r="D1005" s="7" t="n">
        <x:f>COUNTIFS('唯一词标签'!$V$2:$V$1441,A1005,'唯一词标签'!$Z$2:$Z$1441,"match")</x:f>
        <x:v>5</x:v>
      </x:c>
      <x:c r="E1005" s="7" t="n">
        <x:f>COUNTIFS('唯一词标签'!$V$2:$V$1441,A1005,'唯一词标签'!$Z$2:$Z$1441,"partial_match")</x:f>
        <x:v>1</x:v>
      </x:c>
      <x:c r="F1005" s="7" t="n">
        <x:f>COUNTIFS('唯一词标签'!$V$2:$V$1441,A1005,'唯一词标签'!$Z$2:$Z$1441,"mismatch")</x:f>
        <x:v>0</x:v>
      </x:c>
      <x:c r="G1005" s="7" t="n">
        <x:f>COUNTIFS('唯一词标签'!$V$2:$V$1441,A1005,'唯一词标签'!$Z$2:$Z$1441,"unknown")</x:f>
        <x:v>0</x:v>
      </x:c>
      <x:c r="H1005" s="7" t="n">
        <x:f>COUNTIFS('唯一词标签'!$V$2:$V$1441,A1005,'唯一词标签'!$U$2:$U$1441,"low")</x:f>
        <x:v>0</x:v>
      </x:c>
      <x:c r="I1005" s="7" t="n">
        <x:f>COUNTIFS('唯一词标签'!$V$2:$V$1441,A1005,'唯一词标签'!$AB$2:$AB$1441,"needs_review")</x:f>
        <x:v>0</x:v>
      </x:c>
    </x:row>
    <x:row r="1006" ht="22" customHeight="1">
      <x:c r="A1006" s="7" t="str">
        <x:v>womens_sleepwear_flip_flop_ambiguous</x:v>
      </x:c>
      <x:c r="B1006" s="7" t="n">
        <x:f>COUNTIF('唯一词标签'!$V$2:$V$1441,A1006)</x:f>
        <x:v>1</x:v>
      </x:c>
      <x:c r="C1006" s="55" t="n">
        <x:f>B1006/COUNTA('唯一词标签'!$C$2:$C$1441)</x:f>
        <x:v>0.0006944444444444445</x:v>
      </x:c>
      <x:c r="D1006" s="7" t="n">
        <x:f>COUNTIFS('唯一词标签'!$V$2:$V$1441,A1006,'唯一词标签'!$Z$2:$Z$1441,"match")</x:f>
        <x:v>0</x:v>
      </x:c>
      <x:c r="E1006" s="7" t="n">
        <x:f>COUNTIFS('唯一词标签'!$V$2:$V$1441,A1006,'唯一词标签'!$Z$2:$Z$1441,"partial_match")</x:f>
        <x:v>0</x:v>
      </x:c>
      <x:c r="F1006" s="7" t="n">
        <x:f>COUNTIFS('唯一词标签'!$V$2:$V$1441,A1006,'唯一词标签'!$Z$2:$Z$1441,"mismatch")</x:f>
        <x:v>1</x:v>
      </x:c>
      <x:c r="G1006" s="7" t="n">
        <x:f>COUNTIFS('唯一词标签'!$V$2:$V$1441,A1006,'唯一词标签'!$Z$2:$Z$1441,"unknown")</x:f>
        <x:v>0</x:v>
      </x:c>
      <x:c r="H1006" s="7" t="n">
        <x:f>COUNTIFS('唯一词标签'!$V$2:$V$1441,A1006,'唯一词标签'!$U$2:$U$1441,"low")</x:f>
        <x:v>0</x:v>
      </x:c>
      <x:c r="I1006" s="7" t="n">
        <x:f>COUNTIFS('唯一词标签'!$V$2:$V$1441,A1006,'唯一词标签'!$AB$2:$AB$1441,"needs_review")</x:f>
        <x:v>0</x:v>
      </x:c>
    </x:row>
    <x:row r="1007" ht="22" customHeight="1">
      <x:c r="A1007" s="7" t="str">
        <x:v>womens_slim_flip_flops</x:v>
      </x:c>
      <x:c r="B1007" s="7" t="n">
        <x:f>COUNTIF('唯一词标签'!$V$2:$V$1441,A1007)</x:f>
        <x:v>1</x:v>
      </x:c>
      <x:c r="C1007" s="55" t="n">
        <x:f>B1007/COUNTA('唯一词标签'!$C$2:$C$1441)</x:f>
        <x:v>0.0006944444444444445</x:v>
      </x:c>
      <x:c r="D1007" s="7" t="n">
        <x:f>COUNTIFS('唯一词标签'!$V$2:$V$1441,A1007,'唯一词标签'!$Z$2:$Z$1441,"match")</x:f>
        <x:v>0</x:v>
      </x:c>
      <x:c r="E1007" s="7" t="n">
        <x:f>COUNTIFS('唯一词标签'!$V$2:$V$1441,A1007,'唯一词标签'!$Z$2:$Z$1441,"partial_match")</x:f>
        <x:v>1</x:v>
      </x:c>
      <x:c r="F1007" s="7" t="n">
        <x:f>COUNTIFS('唯一词标签'!$V$2:$V$1441,A1007,'唯一词标签'!$Z$2:$Z$1441,"mismatch")</x:f>
        <x:v>0</x:v>
      </x:c>
      <x:c r="G1007" s="7" t="n">
        <x:f>COUNTIFS('唯一词标签'!$V$2:$V$1441,A1007,'唯一词标签'!$Z$2:$Z$1441,"unknown")</x:f>
        <x:v>0</x:v>
      </x:c>
      <x:c r="H1007" s="7" t="n">
        <x:f>COUNTIFS('唯一词标签'!$V$2:$V$1441,A1007,'唯一词标签'!$U$2:$U$1441,"low")</x:f>
        <x:v>0</x:v>
      </x:c>
      <x:c r="I1007" s="7" t="n">
        <x:f>COUNTIFS('唯一词标签'!$V$2:$V$1441,A1007,'唯一词标签'!$AB$2:$AB$1441,"needs_review")</x:f>
        <x:v>0</x:v>
      </x:c>
    </x:row>
    <x:row r="1008" ht="22" customHeight="1">
      <x:c r="A1008" s="7" t="str">
        <x:v>womens_slip_on_flip_flop_sandals</x:v>
      </x:c>
      <x:c r="B1008" s="7" t="n">
        <x:f>COUNTIF('唯一词标签'!$V$2:$V$1441,A1008)</x:f>
        <x:v>1</x:v>
      </x:c>
      <x:c r="C1008" s="55" t="n">
        <x:f>B1008/COUNTA('唯一词标签'!$C$2:$C$1441)</x:f>
        <x:v>0.0006944444444444445</x:v>
      </x:c>
      <x:c r="D1008" s="7" t="n">
        <x:f>COUNTIFS('唯一词标签'!$V$2:$V$1441,A1008,'唯一词标签'!$Z$2:$Z$1441,"match")</x:f>
        <x:v>1</x:v>
      </x:c>
      <x:c r="E1008" s="7" t="n">
        <x:f>COUNTIFS('唯一词标签'!$V$2:$V$1441,A1008,'唯一词标签'!$Z$2:$Z$1441,"partial_match")</x:f>
        <x:v>0</x:v>
      </x:c>
      <x:c r="F1008" s="7" t="n">
        <x:f>COUNTIFS('唯一词标签'!$V$2:$V$1441,A1008,'唯一词标签'!$Z$2:$Z$1441,"mismatch")</x:f>
        <x:v>0</x:v>
      </x:c>
      <x:c r="G1008" s="7" t="n">
        <x:f>COUNTIFS('唯一词标签'!$V$2:$V$1441,A1008,'唯一词标签'!$Z$2:$Z$1441,"unknown")</x:f>
        <x:v>0</x:v>
      </x:c>
      <x:c r="H1008" s="7" t="n">
        <x:f>COUNTIFS('唯一词标签'!$V$2:$V$1441,A1008,'唯一词标签'!$U$2:$U$1441,"low")</x:f>
        <x:v>0</x:v>
      </x:c>
      <x:c r="I1008" s="7" t="n">
        <x:f>COUNTIFS('唯一词标签'!$V$2:$V$1441,A1008,'唯一词标签'!$AB$2:$AB$1441,"needs_review")</x:f>
        <x:v>0</x:v>
      </x:c>
    </x:row>
    <x:row r="1009" ht="22" customHeight="1">
      <x:c r="A1009" s="7" t="str">
        <x:v>womens_slip_on_waterproof_generic</x:v>
      </x:c>
      <x:c r="B1009" s="7" t="n">
        <x:f>COUNTIF('唯一词标签'!$V$2:$V$1441,A1009)</x:f>
        <x:v>1</x:v>
      </x:c>
      <x:c r="C1009" s="55" t="n">
        <x:f>B1009/COUNTA('唯一词标签'!$C$2:$C$1441)</x:f>
        <x:v>0.0006944444444444445</x:v>
      </x:c>
      <x:c r="D1009" s="7" t="n">
        <x:f>COUNTIFS('唯一词标签'!$V$2:$V$1441,A1009,'唯一词标签'!$Z$2:$Z$1441,"match")</x:f>
        <x:v>0</x:v>
      </x:c>
      <x:c r="E1009" s="7" t="n">
        <x:f>COUNTIFS('唯一词标签'!$V$2:$V$1441,A1009,'唯一词标签'!$Z$2:$Z$1441,"partial_match")</x:f>
        <x:v>0</x:v>
      </x:c>
      <x:c r="F1009" s="7" t="n">
        <x:f>COUNTIFS('唯一词标签'!$V$2:$V$1441,A1009,'唯一词标签'!$Z$2:$Z$1441,"mismatch")</x:f>
        <x:v>0</x:v>
      </x:c>
      <x:c r="G1009" s="7" t="n">
        <x:f>COUNTIFS('唯一词标签'!$V$2:$V$1441,A1009,'唯一词标签'!$Z$2:$Z$1441,"unknown")</x:f>
        <x:v>1</x:v>
      </x:c>
      <x:c r="H1009" s="7" t="n">
        <x:f>COUNTIFS('唯一词标签'!$V$2:$V$1441,A1009,'唯一词标签'!$U$2:$U$1441,"low")</x:f>
        <x:v>1</x:v>
      </x:c>
      <x:c r="I1009" s="7" t="n">
        <x:f>COUNTIFS('唯一词标签'!$V$2:$V$1441,A1009,'唯一词标签'!$AB$2:$AB$1441,"needs_review")</x:f>
        <x:v>0</x:v>
      </x:c>
    </x:row>
    <x:row r="1010" ht="22" customHeight="1">
      <x:c r="A1010" s="7" t="str">
        <x:v>womens_slip_resistant_flip_flops</x:v>
      </x:c>
      <x:c r="B1010" s="7" t="n">
        <x:f>COUNTIF('唯一词标签'!$V$2:$V$1441,A1010)</x:f>
        <x:v>1</x:v>
      </x:c>
      <x:c r="C1010" s="55" t="n">
        <x:f>B1010/COUNTA('唯一词标签'!$C$2:$C$1441)</x:f>
        <x:v>0.0006944444444444445</x:v>
      </x:c>
      <x:c r="D1010" s="7" t="n">
        <x:f>COUNTIFS('唯一词标签'!$V$2:$V$1441,A1010,'唯一词标签'!$Z$2:$Z$1441,"match")</x:f>
        <x:v>1</x:v>
      </x:c>
      <x:c r="E1010" s="7" t="n">
        <x:f>COUNTIFS('唯一词标签'!$V$2:$V$1441,A1010,'唯一词标签'!$Z$2:$Z$1441,"partial_match")</x:f>
        <x:v>0</x:v>
      </x:c>
      <x:c r="F1010" s="7" t="n">
        <x:f>COUNTIFS('唯一词标签'!$V$2:$V$1441,A1010,'唯一词标签'!$Z$2:$Z$1441,"mismatch")</x:f>
        <x:v>0</x:v>
      </x:c>
      <x:c r="G1010" s="7" t="n">
        <x:f>COUNTIFS('唯一词标签'!$V$2:$V$1441,A1010,'唯一词标签'!$Z$2:$Z$1441,"unknown")</x:f>
        <x:v>0</x:v>
      </x:c>
      <x:c r="H1010" s="7" t="n">
        <x:f>COUNTIFS('唯一词标签'!$V$2:$V$1441,A1010,'唯一词标签'!$U$2:$U$1441,"low")</x:f>
        <x:v>0</x:v>
      </x:c>
      <x:c r="I1010" s="7" t="n">
        <x:f>COUNTIFS('唯一词标签'!$V$2:$V$1441,A1010,'唯一词标签'!$AB$2:$AB$1441,"needs_review")</x:f>
        <x:v>0</x:v>
      </x:c>
    </x:row>
    <x:row r="1011" ht="22" customHeight="1">
      <x:c r="A1011" s="7" t="str">
        <x:v>womens_slipper_flip_flop</x:v>
      </x:c>
      <x:c r="B1011" s="7" t="n">
        <x:f>COUNTIF('唯一词标签'!$V$2:$V$1441,A1011)</x:f>
        <x:v>1</x:v>
      </x:c>
      <x:c r="C1011" s="55" t="n">
        <x:f>B1011/COUNTA('唯一词标签'!$C$2:$C$1441)</x:f>
        <x:v>0.0006944444444444445</x:v>
      </x:c>
      <x:c r="D1011" s="7" t="n">
        <x:f>COUNTIFS('唯一词标签'!$V$2:$V$1441,A1011,'唯一词标签'!$Z$2:$Z$1441,"match")</x:f>
        <x:v>0</x:v>
      </x:c>
      <x:c r="E1011" s="7" t="n">
        <x:f>COUNTIFS('唯一词标签'!$V$2:$V$1441,A1011,'唯一词标签'!$Z$2:$Z$1441,"partial_match")</x:f>
        <x:v>1</x:v>
      </x:c>
      <x:c r="F1011" s="7" t="n">
        <x:f>COUNTIFS('唯一词标签'!$V$2:$V$1441,A1011,'唯一词标签'!$Z$2:$Z$1441,"mismatch")</x:f>
        <x:v>0</x:v>
      </x:c>
      <x:c r="G1011" s="7" t="n">
        <x:f>COUNTIFS('唯一词标签'!$V$2:$V$1441,A1011,'唯一词标签'!$Z$2:$Z$1441,"unknown")</x:f>
        <x:v>0</x:v>
      </x:c>
      <x:c r="H1011" s="7" t="n">
        <x:f>COUNTIFS('唯一词标签'!$V$2:$V$1441,A1011,'唯一词标签'!$U$2:$U$1441,"low")</x:f>
        <x:v>0</x:v>
      </x:c>
      <x:c r="I1011" s="7" t="n">
        <x:f>COUNTIFS('唯一词标签'!$V$2:$V$1441,A1011,'唯一词标签'!$AB$2:$AB$1441,"needs_review")</x:f>
        <x:v>0</x:v>
      </x:c>
    </x:row>
    <x:row r="1012" ht="22" customHeight="1">
      <x:c r="A1012" s="7" t="str">
        <x:v>womens_slippers_zh</x:v>
      </x:c>
      <x:c r="B1012" s="7" t="n">
        <x:f>COUNTIF('唯一词标签'!$V$2:$V$1441,A1012)</x:f>
        <x:v>1</x:v>
      </x:c>
      <x:c r="C1012" s="55" t="n">
        <x:f>B1012/COUNTA('唯一词标签'!$C$2:$C$1441)</x:f>
        <x:v>0.0006944444444444445</x:v>
      </x:c>
      <x:c r="D1012" s="7" t="n">
        <x:f>COUNTIFS('唯一词标签'!$V$2:$V$1441,A1012,'唯一词标签'!$Z$2:$Z$1441,"match")</x:f>
        <x:v>1</x:v>
      </x:c>
      <x:c r="E1012" s="7" t="n">
        <x:f>COUNTIFS('唯一词标签'!$V$2:$V$1441,A1012,'唯一词标签'!$Z$2:$Z$1441,"partial_match")</x:f>
        <x:v>0</x:v>
      </x:c>
      <x:c r="F1012" s="7" t="n">
        <x:f>COUNTIFS('唯一词标签'!$V$2:$V$1441,A1012,'唯一词标签'!$Z$2:$Z$1441,"mismatch")</x:f>
        <x:v>0</x:v>
      </x:c>
      <x:c r="G1012" s="7" t="n">
        <x:f>COUNTIFS('唯一词标签'!$V$2:$V$1441,A1012,'唯一词标签'!$Z$2:$Z$1441,"unknown")</x:f>
        <x:v>0</x:v>
      </x:c>
      <x:c r="H1012" s="7" t="n">
        <x:f>COUNTIFS('唯一词标签'!$V$2:$V$1441,A1012,'唯一词标签'!$U$2:$U$1441,"low")</x:f>
        <x:v>0</x:v>
      </x:c>
      <x:c r="I1012" s="7" t="n">
        <x:f>COUNTIFS('唯一词标签'!$V$2:$V$1441,A1012,'唯一词标签'!$AB$2:$AB$1441,"needs_review")</x:f>
        <x:v>0</x:v>
      </x:c>
    </x:row>
    <x:row r="1013" ht="22" customHeight="1">
      <x:c r="A1013" s="7" t="str">
        <x:v>womens_soft_flip_flops</x:v>
      </x:c>
      <x:c r="B1013" s="7" t="n">
        <x:f>COUNTIF('唯一词标签'!$V$2:$V$1441,A1013)</x:f>
        <x:v>3</x:v>
      </x:c>
      <x:c r="C1013" s="55" t="n">
        <x:f>B1013/COUNTA('唯一词标签'!$C$2:$C$1441)</x:f>
        <x:v>0.0020833333333333333</x:v>
      </x:c>
      <x:c r="D1013" s="7" t="n">
        <x:f>COUNTIFS('唯一词标签'!$V$2:$V$1441,A1013,'唯一词标签'!$Z$2:$Z$1441,"match")</x:f>
        <x:v>3</x:v>
      </x:c>
      <x:c r="E1013" s="7" t="n">
        <x:f>COUNTIFS('唯一词标签'!$V$2:$V$1441,A1013,'唯一词标签'!$Z$2:$Z$1441,"partial_match")</x:f>
        <x:v>0</x:v>
      </x:c>
      <x:c r="F1013" s="7" t="n">
        <x:f>COUNTIFS('唯一词标签'!$V$2:$V$1441,A1013,'唯一词标签'!$Z$2:$Z$1441,"mismatch")</x:f>
        <x:v>0</x:v>
      </x:c>
      <x:c r="G1013" s="7" t="n">
        <x:f>COUNTIFS('唯一词标签'!$V$2:$V$1441,A1013,'唯一词标签'!$Z$2:$Z$1441,"unknown")</x:f>
        <x:v>0</x:v>
      </x:c>
      <x:c r="H1013" s="7" t="n">
        <x:f>COUNTIFS('唯一词标签'!$V$2:$V$1441,A1013,'唯一词标签'!$U$2:$U$1441,"low")</x:f>
        <x:v>0</x:v>
      </x:c>
      <x:c r="I1013" s="7" t="n">
        <x:f>COUNTIFS('唯一词标签'!$V$2:$V$1441,A1013,'唯一词标签'!$AB$2:$AB$1441,"needs_review")</x:f>
        <x:v>0</x:v>
      </x:c>
    </x:row>
    <x:row r="1014" ht="22" customHeight="1">
      <x:c r="A1014" s="7" t="str">
        <x:v>womens_soft_memory_foam_flip_flops</x:v>
      </x:c>
      <x:c r="B1014" s="7" t="n">
        <x:f>COUNTIF('唯一词标签'!$V$2:$V$1441,A1014)</x:f>
        <x:v>1</x:v>
      </x:c>
      <x:c r="C1014" s="55" t="n">
        <x:f>B1014/COUNTA('唯一词标签'!$C$2:$C$1441)</x:f>
        <x:v>0.0006944444444444445</x:v>
      </x:c>
      <x:c r="D1014" s="7" t="n">
        <x:f>COUNTIFS('唯一词标签'!$V$2:$V$1441,A1014,'唯一词标签'!$Z$2:$Z$1441,"match")</x:f>
        <x:v>0</x:v>
      </x:c>
      <x:c r="E1014" s="7" t="n">
        <x:f>COUNTIFS('唯一词标签'!$V$2:$V$1441,A1014,'唯一词标签'!$Z$2:$Z$1441,"partial_match")</x:f>
        <x:v>1</x:v>
      </x:c>
      <x:c r="F1014" s="7" t="n">
        <x:f>COUNTIFS('唯一词标签'!$V$2:$V$1441,A1014,'唯一词标签'!$Z$2:$Z$1441,"mismatch")</x:f>
        <x:v>0</x:v>
      </x:c>
      <x:c r="G1014" s="7" t="n">
        <x:f>COUNTIFS('唯一词标签'!$V$2:$V$1441,A1014,'唯一词标签'!$Z$2:$Z$1441,"unknown")</x:f>
        <x:v>0</x:v>
      </x:c>
      <x:c r="H1014" s="7" t="n">
        <x:f>COUNTIFS('唯一词标签'!$V$2:$V$1441,A1014,'唯一词标签'!$U$2:$U$1441,"low")</x:f>
        <x:v>0</x:v>
      </x:c>
      <x:c r="I1014" s="7" t="n">
        <x:f>COUNTIFS('唯一词标签'!$V$2:$V$1441,A1014,'唯一词标签'!$AB$2:$AB$1441,"needs_review")</x:f>
        <x:v>0</x:v>
      </x:c>
    </x:row>
    <x:row r="1015" ht="22" customHeight="1">
      <x:c r="A1015" s="7" t="str">
        <x:v>womens_soft_toe_flip_flops</x:v>
      </x:c>
      <x:c r="B1015" s="7" t="n">
        <x:f>COUNTIF('唯一词标签'!$V$2:$V$1441,A1015)</x:f>
        <x:v>1</x:v>
      </x:c>
      <x:c r="C1015" s="55" t="n">
        <x:f>B1015/COUNTA('唯一词标签'!$C$2:$C$1441)</x:f>
        <x:v>0.0006944444444444445</x:v>
      </x:c>
      <x:c r="D1015" s="7" t="n">
        <x:f>COUNTIFS('唯一词标签'!$V$2:$V$1441,A1015,'唯一词标签'!$Z$2:$Z$1441,"match")</x:f>
        <x:v>1</x:v>
      </x:c>
      <x:c r="E1015" s="7" t="n">
        <x:f>COUNTIFS('唯一词标签'!$V$2:$V$1441,A1015,'唯一词标签'!$Z$2:$Z$1441,"partial_match")</x:f>
        <x:v>0</x:v>
      </x:c>
      <x:c r="F1015" s="7" t="n">
        <x:f>COUNTIFS('唯一词标签'!$V$2:$V$1441,A1015,'唯一词标签'!$Z$2:$Z$1441,"mismatch")</x:f>
        <x:v>0</x:v>
      </x:c>
      <x:c r="G1015" s="7" t="n">
        <x:f>COUNTIFS('唯一词标签'!$V$2:$V$1441,A1015,'唯一词标签'!$Z$2:$Z$1441,"unknown")</x:f>
        <x:v>0</x:v>
      </x:c>
      <x:c r="H1015" s="7" t="n">
        <x:f>COUNTIFS('唯一词标签'!$V$2:$V$1441,A1015,'唯一词标签'!$U$2:$U$1441,"low")</x:f>
        <x:v>0</x:v>
      </x:c>
      <x:c r="I1015" s="7" t="n">
        <x:f>COUNTIFS('唯一词标签'!$V$2:$V$1441,A1015,'唯一词标签'!$AB$2:$AB$1441,"needs_review")</x:f>
        <x:v>0</x:v>
      </x:c>
    </x:row>
    <x:row r="1016" ht="22" customHeight="1">
      <x:c r="A1016" s="7" t="str">
        <x:v>womens_soft_toe_sandals</x:v>
      </x:c>
      <x:c r="B1016" s="7" t="n">
        <x:f>COUNTIF('唯一词标签'!$V$2:$V$1441,A1016)</x:f>
        <x:v>1</x:v>
      </x:c>
      <x:c r="C1016" s="55" t="n">
        <x:f>B1016/COUNTA('唯一词标签'!$C$2:$C$1441)</x:f>
        <x:v>0.0006944444444444445</x:v>
      </x:c>
      <x:c r="D1016" s="7" t="n">
        <x:f>COUNTIFS('唯一词标签'!$V$2:$V$1441,A1016,'唯一词标签'!$Z$2:$Z$1441,"match")</x:f>
        <x:v>1</x:v>
      </x:c>
      <x:c r="E1016" s="7" t="n">
        <x:f>COUNTIFS('唯一词标签'!$V$2:$V$1441,A1016,'唯一词标签'!$Z$2:$Z$1441,"partial_match")</x:f>
        <x:v>0</x:v>
      </x:c>
      <x:c r="F1016" s="7" t="n">
        <x:f>COUNTIFS('唯一词标签'!$V$2:$V$1441,A1016,'唯一词标签'!$Z$2:$Z$1441,"mismatch")</x:f>
        <x:v>0</x:v>
      </x:c>
      <x:c r="G1016" s="7" t="n">
        <x:f>COUNTIFS('唯一词标签'!$V$2:$V$1441,A1016,'唯一词标签'!$Z$2:$Z$1441,"unknown")</x:f>
        <x:v>0</x:v>
      </x:c>
      <x:c r="H1016" s="7" t="n">
        <x:f>COUNTIFS('唯一词标签'!$V$2:$V$1441,A1016,'唯一词标签'!$U$2:$U$1441,"low")</x:f>
        <x:v>0</x:v>
      </x:c>
      <x:c r="I1016" s="7" t="n">
        <x:f>COUNTIFS('唯一词标签'!$V$2:$V$1441,A1016,'唯一词标签'!$AB$2:$AB$1441,"needs_review")</x:f>
        <x:v>0</x:v>
      </x:c>
    </x:row>
    <x:row r="1017" ht="22" customHeight="1">
      <x:c r="A1017" s="7" t="str">
        <x:v>womens_sole_support_flip_flops</x:v>
      </x:c>
      <x:c r="B1017" s="7" t="n">
        <x:f>COUNTIF('唯一词标签'!$V$2:$V$1441,A1017)</x:f>
        <x:v>1</x:v>
      </x:c>
      <x:c r="C1017" s="55" t="n">
        <x:f>B1017/COUNTA('唯一词标签'!$C$2:$C$1441)</x:f>
        <x:v>0.0006944444444444445</x:v>
      </x:c>
      <x:c r="D1017" s="7" t="n">
        <x:f>COUNTIFS('唯一词标签'!$V$2:$V$1441,A1017,'唯一词标签'!$Z$2:$Z$1441,"match")</x:f>
        <x:v>1</x:v>
      </x:c>
      <x:c r="E1017" s="7" t="n">
        <x:f>COUNTIFS('唯一词标签'!$V$2:$V$1441,A1017,'唯一词标签'!$Z$2:$Z$1441,"partial_match")</x:f>
        <x:v>0</x:v>
      </x:c>
      <x:c r="F1017" s="7" t="n">
        <x:f>COUNTIFS('唯一词标签'!$V$2:$V$1441,A1017,'唯一词标签'!$Z$2:$Z$1441,"mismatch")</x:f>
        <x:v>0</x:v>
      </x:c>
      <x:c r="G1017" s="7" t="n">
        <x:f>COUNTIFS('唯一词标签'!$V$2:$V$1441,A1017,'唯一词标签'!$Z$2:$Z$1441,"unknown")</x:f>
        <x:v>0</x:v>
      </x:c>
      <x:c r="H1017" s="7" t="n">
        <x:f>COUNTIFS('唯一词标签'!$V$2:$V$1441,A1017,'唯一词标签'!$U$2:$U$1441,"low")</x:f>
        <x:v>0</x:v>
      </x:c>
      <x:c r="I1017" s="7" t="n">
        <x:f>COUNTIFS('唯一词标签'!$V$2:$V$1441,A1017,'唯一词标签'!$AB$2:$AB$1441,"needs_review")</x:f>
        <x:v>0</x:v>
      </x:c>
    </x:row>
    <x:row r="1018" ht="22" customHeight="1">
      <x:c r="A1018" s="7" t="str">
        <x:v>womens_spa_flip_flops</x:v>
      </x:c>
      <x:c r="B1018" s="7" t="n">
        <x:f>COUNTIF('唯一词标签'!$V$2:$V$1441,A1018)</x:f>
        <x:v>1</x:v>
      </x:c>
      <x:c r="C1018" s="55" t="n">
        <x:f>B1018/COUNTA('唯一词标签'!$C$2:$C$1441)</x:f>
        <x:v>0.0006944444444444445</x:v>
      </x:c>
      <x:c r="D1018" s="7" t="n">
        <x:f>COUNTIFS('唯一词标签'!$V$2:$V$1441,A1018,'唯一词标签'!$Z$2:$Z$1441,"match")</x:f>
        <x:v>0</x:v>
      </x:c>
      <x:c r="E1018" s="7" t="n">
        <x:f>COUNTIFS('唯一词标签'!$V$2:$V$1441,A1018,'唯一词标签'!$Z$2:$Z$1441,"partial_match")</x:f>
        <x:v>1</x:v>
      </x:c>
      <x:c r="F1018" s="7" t="n">
        <x:f>COUNTIFS('唯一词标签'!$V$2:$V$1441,A1018,'唯一词标签'!$Z$2:$Z$1441,"mismatch")</x:f>
        <x:v>0</x:v>
      </x:c>
      <x:c r="G1018" s="7" t="n">
        <x:f>COUNTIFS('唯一词标签'!$V$2:$V$1441,A1018,'唯一词标签'!$Z$2:$Z$1441,"unknown")</x:f>
        <x:v>0</x:v>
      </x:c>
      <x:c r="H1018" s="7" t="n">
        <x:f>COUNTIFS('唯一词标签'!$V$2:$V$1441,A1018,'唯一词标签'!$U$2:$U$1441,"low")</x:f>
        <x:v>0</x:v>
      </x:c>
      <x:c r="I1018" s="7" t="n">
        <x:f>COUNTIFS('唯一词标签'!$V$2:$V$1441,A1018,'唯一词标签'!$AB$2:$AB$1441,"needs_review")</x:f>
        <x:v>0</x:v>
      </x:c>
    </x:row>
    <x:row r="1019" ht="22" customHeight="1">
      <x:c r="A1019" s="7" t="str">
        <x:v>womens_specific_flip_flops</x:v>
      </x:c>
      <x:c r="B1019" s="7" t="n">
        <x:f>COUNTIF('唯一词标签'!$V$2:$V$1441,A1019)</x:f>
        <x:v>1</x:v>
      </x:c>
      <x:c r="C1019" s="55" t="n">
        <x:f>B1019/COUNTA('唯一词标签'!$C$2:$C$1441)</x:f>
        <x:v>0.0006944444444444445</x:v>
      </x:c>
      <x:c r="D1019" s="7" t="n">
        <x:f>COUNTIFS('唯一词标签'!$V$2:$V$1441,A1019,'唯一词标签'!$Z$2:$Z$1441,"match")</x:f>
        <x:v>1</x:v>
      </x:c>
      <x:c r="E1019" s="7" t="n">
        <x:f>COUNTIFS('唯一词标签'!$V$2:$V$1441,A1019,'唯一词标签'!$Z$2:$Z$1441,"partial_match")</x:f>
        <x:v>0</x:v>
      </x:c>
      <x:c r="F1019" s="7" t="n">
        <x:f>COUNTIFS('唯一词标签'!$V$2:$V$1441,A1019,'唯一词标签'!$Z$2:$Z$1441,"mismatch")</x:f>
        <x:v>0</x:v>
      </x:c>
      <x:c r="G1019" s="7" t="n">
        <x:f>COUNTIFS('唯一词标签'!$V$2:$V$1441,A1019,'唯一词标签'!$Z$2:$Z$1441,"unknown")</x:f>
        <x:v>0</x:v>
      </x:c>
      <x:c r="H1019" s="7" t="n">
        <x:f>COUNTIFS('唯一词标签'!$V$2:$V$1441,A1019,'唯一词标签'!$U$2:$U$1441,"low")</x:f>
        <x:v>0</x:v>
      </x:c>
      <x:c r="I1019" s="7" t="n">
        <x:f>COUNTIFS('唯一词标签'!$V$2:$V$1441,A1019,'唯一词标签'!$AB$2:$AB$1441,"needs_review")</x:f>
        <x:v>0</x:v>
      </x:c>
    </x:row>
    <x:row r="1020" ht="22" customHeight="1">
      <x:c r="A1020" s="7" t="str">
        <x:v>womens_square_flip_flops</x:v>
      </x:c>
      <x:c r="B1020" s="7" t="n">
        <x:f>COUNTIF('唯一词标签'!$V$2:$V$1441,A1020)</x:f>
        <x:v>1</x:v>
      </x:c>
      <x:c r="C1020" s="55" t="n">
        <x:f>B1020/COUNTA('唯一词标签'!$C$2:$C$1441)</x:f>
        <x:v>0.0006944444444444445</x:v>
      </x:c>
      <x:c r="D1020" s="7" t="n">
        <x:f>COUNTIFS('唯一词标签'!$V$2:$V$1441,A1020,'唯一词标签'!$Z$2:$Z$1441,"match")</x:f>
        <x:v>0</x:v>
      </x:c>
      <x:c r="E1020" s="7" t="n">
        <x:f>COUNTIFS('唯一词标签'!$V$2:$V$1441,A1020,'唯一词标签'!$Z$2:$Z$1441,"partial_match")</x:f>
        <x:v>1</x:v>
      </x:c>
      <x:c r="F1020" s="7" t="n">
        <x:f>COUNTIFS('唯一词标签'!$V$2:$V$1441,A1020,'唯一词标签'!$Z$2:$Z$1441,"mismatch")</x:f>
        <x:v>0</x:v>
      </x:c>
      <x:c r="G1020" s="7" t="n">
        <x:f>COUNTIFS('唯一词标签'!$V$2:$V$1441,A1020,'唯一词标签'!$Z$2:$Z$1441,"unknown")</x:f>
        <x:v>0</x:v>
      </x:c>
      <x:c r="H1020" s="7" t="n">
        <x:f>COUNTIFS('唯一词标签'!$V$2:$V$1441,A1020,'唯一词标签'!$U$2:$U$1441,"low")</x:f>
        <x:v>0</x:v>
      </x:c>
      <x:c r="I1020" s="7" t="n">
        <x:f>COUNTIFS('唯一词标签'!$V$2:$V$1441,A1020,'唯一词标签'!$AB$2:$AB$1441,"needs_review")</x:f>
        <x:v>0</x:v>
      </x:c>
    </x:row>
    <x:row r="1021" ht="22" customHeight="1">
      <x:c r="A1021" s="7" t="str">
        <x:v>womens_squishy_cushioned_flip_flops</x:v>
      </x:c>
      <x:c r="B1021" s="7" t="n">
        <x:f>COUNTIF('唯一词标签'!$V$2:$V$1441,A1021)</x:f>
        <x:v>1</x:v>
      </x:c>
      <x:c r="C1021" s="55" t="n">
        <x:f>B1021/COUNTA('唯一词标签'!$C$2:$C$1441)</x:f>
        <x:v>0.0006944444444444445</x:v>
      </x:c>
      <x:c r="D1021" s="7" t="n">
        <x:f>COUNTIFS('唯一词标签'!$V$2:$V$1441,A1021,'唯一词标签'!$Z$2:$Z$1441,"match")</x:f>
        <x:v>1</x:v>
      </x:c>
      <x:c r="E1021" s="7" t="n">
        <x:f>COUNTIFS('唯一词标签'!$V$2:$V$1441,A1021,'唯一词标签'!$Z$2:$Z$1441,"partial_match")</x:f>
        <x:v>0</x:v>
      </x:c>
      <x:c r="F1021" s="7" t="n">
        <x:f>COUNTIFS('唯一词标签'!$V$2:$V$1441,A1021,'唯一词标签'!$Z$2:$Z$1441,"mismatch")</x:f>
        <x:v>0</x:v>
      </x:c>
      <x:c r="G1021" s="7" t="n">
        <x:f>COUNTIFS('唯一词标签'!$V$2:$V$1441,A1021,'唯一词标签'!$Z$2:$Z$1441,"unknown")</x:f>
        <x:v>0</x:v>
      </x:c>
      <x:c r="H1021" s="7" t="n">
        <x:f>COUNTIFS('唯一词标签'!$V$2:$V$1441,A1021,'唯一词标签'!$U$2:$U$1441,"low")</x:f>
        <x:v>0</x:v>
      </x:c>
      <x:c r="I1021" s="7" t="n">
        <x:f>COUNTIFS('唯一词标签'!$V$2:$V$1441,A1021,'唯一词标签'!$AB$2:$AB$1441,"needs_review")</x:f>
        <x:v>0</x:v>
      </x:c>
    </x:row>
    <x:row r="1022" ht="22" customHeight="1">
      <x:c r="A1022" s="7" t="str">
        <x:v>womens_stretch_flip_flops</x:v>
      </x:c>
      <x:c r="B1022" s="7" t="n">
        <x:f>COUNTIF('唯一词标签'!$V$2:$V$1441,A1022)</x:f>
        <x:v>1</x:v>
      </x:c>
      <x:c r="C1022" s="55" t="n">
        <x:f>B1022/COUNTA('唯一词标签'!$C$2:$C$1441)</x:f>
        <x:v>0.0006944444444444445</x:v>
      </x:c>
      <x:c r="D1022" s="7" t="n">
        <x:f>COUNTIFS('唯一词标签'!$V$2:$V$1441,A1022,'唯一词标签'!$Z$2:$Z$1441,"match")</x:f>
        <x:v>0</x:v>
      </x:c>
      <x:c r="E1022" s="7" t="n">
        <x:f>COUNTIFS('唯一词标签'!$V$2:$V$1441,A1022,'唯一词标签'!$Z$2:$Z$1441,"partial_match")</x:f>
        <x:v>1</x:v>
      </x:c>
      <x:c r="F1022" s="7" t="n">
        <x:f>COUNTIFS('唯一词标签'!$V$2:$V$1441,A1022,'唯一词标签'!$Z$2:$Z$1441,"mismatch")</x:f>
        <x:v>0</x:v>
      </x:c>
      <x:c r="G1022" s="7" t="n">
        <x:f>COUNTIFS('唯一词标签'!$V$2:$V$1441,A1022,'唯一词标签'!$Z$2:$Z$1441,"unknown")</x:f>
        <x:v>0</x:v>
      </x:c>
      <x:c r="H1022" s="7" t="n">
        <x:f>COUNTIFS('唯一词标签'!$V$2:$V$1441,A1022,'唯一词标签'!$U$2:$U$1441,"low")</x:f>
        <x:v>0</x:v>
      </x:c>
      <x:c r="I1022" s="7" t="n">
        <x:f>COUNTIFS('唯一词标签'!$V$2:$V$1441,A1022,'唯一词标签'!$AB$2:$AB$1441,"needs_review")</x:f>
        <x:v>0</x:v>
      </x:c>
    </x:row>
    <x:row r="1023" ht="22" customHeight="1">
      <x:c r="A1023" s="7" t="str">
        <x:v>womens_stylish_flip_flops</x:v>
      </x:c>
      <x:c r="B1023" s="7" t="n">
        <x:f>COUNTIF('唯一词标签'!$V$2:$V$1441,A1023)</x:f>
        <x:v>1</x:v>
      </x:c>
      <x:c r="C1023" s="55" t="n">
        <x:f>B1023/COUNTA('唯一词标签'!$C$2:$C$1441)</x:f>
        <x:v>0.0006944444444444445</x:v>
      </x:c>
      <x:c r="D1023" s="7" t="n">
        <x:f>COUNTIFS('唯一词标签'!$V$2:$V$1441,A1023,'唯一词标签'!$Z$2:$Z$1441,"match")</x:f>
        <x:v>1</x:v>
      </x:c>
      <x:c r="E1023" s="7" t="n">
        <x:f>COUNTIFS('唯一词标签'!$V$2:$V$1441,A1023,'唯一词标签'!$Z$2:$Z$1441,"partial_match")</x:f>
        <x:v>0</x:v>
      </x:c>
      <x:c r="F1023" s="7" t="n">
        <x:f>COUNTIFS('唯一词标签'!$V$2:$V$1441,A1023,'唯一词标签'!$Z$2:$Z$1441,"mismatch")</x:f>
        <x:v>0</x:v>
      </x:c>
      <x:c r="G1023" s="7" t="n">
        <x:f>COUNTIFS('唯一词标签'!$V$2:$V$1441,A1023,'唯一词标签'!$Z$2:$Z$1441,"unknown")</x:f>
        <x:v>0</x:v>
      </x:c>
      <x:c r="H1023" s="7" t="n">
        <x:f>COUNTIFS('唯一词标签'!$V$2:$V$1441,A1023,'唯一词标签'!$U$2:$U$1441,"low")</x:f>
        <x:v>0</x:v>
      </x:c>
      <x:c r="I1023" s="7" t="n">
        <x:f>COUNTIFS('唯一词标签'!$V$2:$V$1441,A1023,'唯一词标签'!$AB$2:$AB$1441,"needs_review")</x:f>
        <x:v>0</x:v>
      </x:c>
    </x:row>
    <x:row r="1024" ht="22" customHeight="1">
      <x:c r="A1024" s="7" t="str">
        <x:v>womens_summer_flats</x:v>
      </x:c>
      <x:c r="B1024" s="7" t="n">
        <x:f>COUNTIF('唯一词标签'!$V$2:$V$1441,A1024)</x:f>
        <x:v>1</x:v>
      </x:c>
      <x:c r="C1024" s="55" t="n">
        <x:f>B1024/COUNTA('唯一词标签'!$C$2:$C$1441)</x:f>
        <x:v>0.0006944444444444445</x:v>
      </x:c>
      <x:c r="D1024" s="7" t="n">
        <x:f>COUNTIFS('唯一词标签'!$V$2:$V$1441,A1024,'唯一词标签'!$Z$2:$Z$1441,"match")</x:f>
        <x:v>1</x:v>
      </x:c>
      <x:c r="E1024" s="7" t="n">
        <x:f>COUNTIFS('唯一词标签'!$V$2:$V$1441,A1024,'唯一词标签'!$Z$2:$Z$1441,"partial_match")</x:f>
        <x:v>0</x:v>
      </x:c>
      <x:c r="F1024" s="7" t="n">
        <x:f>COUNTIFS('唯一词标签'!$V$2:$V$1441,A1024,'唯一词标签'!$Z$2:$Z$1441,"mismatch")</x:f>
        <x:v>0</x:v>
      </x:c>
      <x:c r="G1024" s="7" t="n">
        <x:f>COUNTIFS('唯一词标签'!$V$2:$V$1441,A1024,'唯一词标签'!$Z$2:$Z$1441,"unknown")</x:f>
        <x:v>0</x:v>
      </x:c>
      <x:c r="H1024" s="7" t="n">
        <x:f>COUNTIFS('唯一词标签'!$V$2:$V$1441,A1024,'唯一词标签'!$U$2:$U$1441,"low")</x:f>
        <x:v>0</x:v>
      </x:c>
      <x:c r="I1024" s="7" t="n">
        <x:f>COUNTIFS('唯一词标签'!$V$2:$V$1441,A1024,'唯一词标签'!$AB$2:$AB$1441,"needs_review")</x:f>
        <x:v>0</x:v>
      </x:c>
    </x:row>
    <x:row r="1025" ht="22" customHeight="1">
      <x:c r="A1025" s="7" t="str">
        <x:v>womens_summer_flip_flops</x:v>
      </x:c>
      <x:c r="B1025" s="7" t="n">
        <x:f>COUNTIF('唯一词标签'!$V$2:$V$1441,A1025)</x:f>
        <x:v>3</x:v>
      </x:c>
      <x:c r="C1025" s="55" t="n">
        <x:f>B1025/COUNTA('唯一词标签'!$C$2:$C$1441)</x:f>
        <x:v>0.0020833333333333333</x:v>
      </x:c>
      <x:c r="D1025" s="7" t="n">
        <x:f>COUNTIFS('唯一词标签'!$V$2:$V$1441,A1025,'唯一词标签'!$Z$2:$Z$1441,"match")</x:f>
        <x:v>3</x:v>
      </x:c>
      <x:c r="E1025" s="7" t="n">
        <x:f>COUNTIFS('唯一词标签'!$V$2:$V$1441,A1025,'唯一词标签'!$Z$2:$Z$1441,"partial_match")</x:f>
        <x:v>0</x:v>
      </x:c>
      <x:c r="F1025" s="7" t="n">
        <x:f>COUNTIFS('唯一词标签'!$V$2:$V$1441,A1025,'唯一词标签'!$Z$2:$Z$1441,"mismatch")</x:f>
        <x:v>0</x:v>
      </x:c>
      <x:c r="G1025" s="7" t="n">
        <x:f>COUNTIFS('唯一词标签'!$V$2:$V$1441,A1025,'唯一词标签'!$Z$2:$Z$1441,"unknown")</x:f>
        <x:v>0</x:v>
      </x:c>
      <x:c r="H1025" s="7" t="n">
        <x:f>COUNTIFS('唯一词标签'!$V$2:$V$1441,A1025,'唯一词标签'!$U$2:$U$1441,"low")</x:f>
        <x:v>0</x:v>
      </x:c>
      <x:c r="I1025" s="7" t="n">
        <x:f>COUNTIFS('唯一词标签'!$V$2:$V$1441,A1025,'唯一词标签'!$AB$2:$AB$1441,"needs_review")</x:f>
        <x:v>0</x:v>
      </x:c>
    </x:row>
    <x:row r="1026" ht="22" customHeight="1">
      <x:c r="A1026" s="7" t="str">
        <x:v>womens_summer_shoes</x:v>
      </x:c>
      <x:c r="B1026" s="7" t="n">
        <x:f>COUNTIF('唯一词标签'!$V$2:$V$1441,A1026)</x:f>
        <x:v>1</x:v>
      </x:c>
      <x:c r="C1026" s="55" t="n">
        <x:f>B1026/COUNTA('唯一词标签'!$C$2:$C$1441)</x:f>
        <x:v>0.0006944444444444445</x:v>
      </x:c>
      <x:c r="D1026" s="7" t="n">
        <x:f>COUNTIFS('唯一词标签'!$V$2:$V$1441,A1026,'唯一词标签'!$Z$2:$Z$1441,"match")</x:f>
        <x:v>1</x:v>
      </x:c>
      <x:c r="E1026" s="7" t="n">
        <x:f>COUNTIFS('唯一词标签'!$V$2:$V$1441,A1026,'唯一词标签'!$Z$2:$Z$1441,"partial_match")</x:f>
        <x:v>0</x:v>
      </x:c>
      <x:c r="F1026" s="7" t="n">
        <x:f>COUNTIFS('唯一词标签'!$V$2:$V$1441,A1026,'唯一词标签'!$Z$2:$Z$1441,"mismatch")</x:f>
        <x:v>0</x:v>
      </x:c>
      <x:c r="G1026" s="7" t="n">
        <x:f>COUNTIFS('唯一词标签'!$V$2:$V$1441,A1026,'唯一词标签'!$Z$2:$Z$1441,"unknown")</x:f>
        <x:v>0</x:v>
      </x:c>
      <x:c r="H1026" s="7" t="n">
        <x:f>COUNTIFS('唯一词标签'!$V$2:$V$1441,A1026,'唯一词标签'!$U$2:$U$1441,"low")</x:f>
        <x:v>0</x:v>
      </x:c>
      <x:c r="I1026" s="7" t="n">
        <x:f>COUNTIFS('唯一词标签'!$V$2:$V$1441,A1026,'唯一词标签'!$AB$2:$AB$1441,"needs_review")</x:f>
        <x:v>0</x:v>
      </x:c>
    </x:row>
    <x:row r="1027" ht="22" customHeight="1">
      <x:c r="A1027" s="7" t="str">
        <x:v>womens_support_flip_flops</x:v>
      </x:c>
      <x:c r="B1027" s="7" t="n">
        <x:f>COUNTIF('唯一词标签'!$V$2:$V$1441,A1027)</x:f>
        <x:v>1</x:v>
      </x:c>
      <x:c r="C1027" s="55" t="n">
        <x:f>B1027/COUNTA('唯一词标签'!$C$2:$C$1441)</x:f>
        <x:v>0.0006944444444444445</x:v>
      </x:c>
      <x:c r="D1027" s="7" t="n">
        <x:f>COUNTIFS('唯一词标签'!$V$2:$V$1441,A1027,'唯一词标签'!$Z$2:$Z$1441,"match")</x:f>
        <x:v>1</x:v>
      </x:c>
      <x:c r="E1027" s="7" t="n">
        <x:f>COUNTIFS('唯一词标签'!$V$2:$V$1441,A1027,'唯一词标签'!$Z$2:$Z$1441,"partial_match")</x:f>
        <x:v>0</x:v>
      </x:c>
      <x:c r="F1027" s="7" t="n">
        <x:f>COUNTIFS('唯一词标签'!$V$2:$V$1441,A1027,'唯一词标签'!$Z$2:$Z$1441,"mismatch")</x:f>
        <x:v>0</x:v>
      </x:c>
      <x:c r="G1027" s="7" t="n">
        <x:f>COUNTIFS('唯一词标签'!$V$2:$V$1441,A1027,'唯一词标签'!$Z$2:$Z$1441,"unknown")</x:f>
        <x:v>0</x:v>
      </x:c>
      <x:c r="H1027" s="7" t="n">
        <x:f>COUNTIFS('唯一词标签'!$V$2:$V$1441,A1027,'唯一词标签'!$U$2:$U$1441,"low")</x:f>
        <x:v>0</x:v>
      </x:c>
      <x:c r="I1027" s="7" t="n">
        <x:f>COUNTIFS('唯一词标签'!$V$2:$V$1441,A1027,'唯一词标签'!$AB$2:$AB$1441,"needs_review")</x:f>
        <x:v>0</x:v>
      </x:c>
    </x:row>
    <x:row r="1028" ht="22" customHeight="1">
      <x:c r="A1028" s="7" t="str">
        <x:v>womens_supportive_brown_flip_flops</x:v>
      </x:c>
      <x:c r="B1028" s="7" t="n">
        <x:f>COUNTIF('唯一词标签'!$V$2:$V$1441,A1028)</x:f>
        <x:v>1</x:v>
      </x:c>
      <x:c r="C1028" s="55" t="n">
        <x:f>B1028/COUNTA('唯一词标签'!$C$2:$C$1441)</x:f>
        <x:v>0.0006944444444444445</x:v>
      </x:c>
      <x:c r="D1028" s="7" t="n">
        <x:f>COUNTIFS('唯一词标签'!$V$2:$V$1441,A1028,'唯一词标签'!$Z$2:$Z$1441,"match")</x:f>
        <x:v>1</x:v>
      </x:c>
      <x:c r="E1028" s="7" t="n">
        <x:f>COUNTIFS('唯一词标签'!$V$2:$V$1441,A1028,'唯一词标签'!$Z$2:$Z$1441,"partial_match")</x:f>
        <x:v>0</x:v>
      </x:c>
      <x:c r="F1028" s="7" t="n">
        <x:f>COUNTIFS('唯一词标签'!$V$2:$V$1441,A1028,'唯一词标签'!$Z$2:$Z$1441,"mismatch")</x:f>
        <x:v>0</x:v>
      </x:c>
      <x:c r="G1028" s="7" t="n">
        <x:f>COUNTIFS('唯一词标签'!$V$2:$V$1441,A1028,'唯一词标签'!$Z$2:$Z$1441,"unknown")</x:f>
        <x:v>0</x:v>
      </x:c>
      <x:c r="H1028" s="7" t="n">
        <x:f>COUNTIFS('唯一词标签'!$V$2:$V$1441,A1028,'唯一词标签'!$U$2:$U$1441,"low")</x:f>
        <x:v>0</x:v>
      </x:c>
      <x:c r="I1028" s="7" t="n">
        <x:f>COUNTIFS('唯一词标签'!$V$2:$V$1441,A1028,'唯一词标签'!$AB$2:$AB$1441,"needs_review")</x:f>
        <x:v>0</x:v>
      </x:c>
    </x:row>
    <x:row r="1029" ht="22" customHeight="1">
      <x:c r="A1029" s="7" t="str">
        <x:v>womens_supportive_flip_flops</x:v>
      </x:c>
      <x:c r="B1029" s="7" t="n">
        <x:f>COUNTIF('唯一词标签'!$V$2:$V$1441,A1029)</x:f>
        <x:v>2</x:v>
      </x:c>
      <x:c r="C1029" s="55" t="n">
        <x:f>B1029/COUNTA('唯一词标签'!$C$2:$C$1441)</x:f>
        <x:v>0.001388888888888889</x:v>
      </x:c>
      <x:c r="D1029" s="7" t="n">
        <x:f>COUNTIFS('唯一词标签'!$V$2:$V$1441,A1029,'唯一词标签'!$Z$2:$Z$1441,"match")</x:f>
        <x:v>2</x:v>
      </x:c>
      <x:c r="E1029" s="7" t="n">
        <x:f>COUNTIFS('唯一词标签'!$V$2:$V$1441,A1029,'唯一词标签'!$Z$2:$Z$1441,"partial_match")</x:f>
        <x:v>0</x:v>
      </x:c>
      <x:c r="F1029" s="7" t="n">
        <x:f>COUNTIFS('唯一词标签'!$V$2:$V$1441,A1029,'唯一词标签'!$Z$2:$Z$1441,"mismatch")</x:f>
        <x:v>0</x:v>
      </x:c>
      <x:c r="G1029" s="7" t="n">
        <x:f>COUNTIFS('唯一词标签'!$V$2:$V$1441,A1029,'唯一词标签'!$Z$2:$Z$1441,"unknown")</x:f>
        <x:v>0</x:v>
      </x:c>
      <x:c r="H1029" s="7" t="n">
        <x:f>COUNTIFS('唯一词标签'!$V$2:$V$1441,A1029,'唯一词标签'!$U$2:$U$1441,"low")</x:f>
        <x:v>0</x:v>
      </x:c>
      <x:c r="I1029" s="7" t="n">
        <x:f>COUNTIFS('唯一词标签'!$V$2:$V$1441,A1029,'唯一词标签'!$AB$2:$AB$1441,"needs_review")</x:f>
        <x:v>0</x:v>
      </x:c>
    </x:row>
    <x:row r="1030" ht="22" customHeight="1">
      <x:c r="A1030" s="7" t="str">
        <x:v>womens_supportive_flip_flops_black</x:v>
      </x:c>
      <x:c r="B1030" s="7" t="n">
        <x:f>COUNTIF('唯一词标签'!$V$2:$V$1441,A1030)</x:f>
        <x:v>1</x:v>
      </x:c>
      <x:c r="C1030" s="55" t="n">
        <x:f>B1030/COUNTA('唯一词标签'!$C$2:$C$1441)</x:f>
        <x:v>0.0006944444444444445</x:v>
      </x:c>
      <x:c r="D1030" s="7" t="n">
        <x:f>COUNTIFS('唯一词标签'!$V$2:$V$1441,A1030,'唯一词标签'!$Z$2:$Z$1441,"match")</x:f>
        <x:v>1</x:v>
      </x:c>
      <x:c r="E1030" s="7" t="n">
        <x:f>COUNTIFS('唯一词标签'!$V$2:$V$1441,A1030,'唯一词标签'!$Z$2:$Z$1441,"partial_match")</x:f>
        <x:v>0</x:v>
      </x:c>
      <x:c r="F1030" s="7" t="n">
        <x:f>COUNTIFS('唯一词标签'!$V$2:$V$1441,A1030,'唯一词标签'!$Z$2:$Z$1441,"mismatch")</x:f>
        <x:v>0</x:v>
      </x:c>
      <x:c r="G1030" s="7" t="n">
        <x:f>COUNTIFS('唯一词标签'!$V$2:$V$1441,A1030,'唯一词标签'!$Z$2:$Z$1441,"unknown")</x:f>
        <x:v>0</x:v>
      </x:c>
      <x:c r="H1030" s="7" t="n">
        <x:f>COUNTIFS('唯一词标签'!$V$2:$V$1441,A1030,'唯一词标签'!$U$2:$U$1441,"low")</x:f>
        <x:v>0</x:v>
      </x:c>
      <x:c r="I1030" s="7" t="n">
        <x:f>COUNTIFS('唯一词标签'!$V$2:$V$1441,A1030,'唯一词标签'!$AB$2:$AB$1441,"needs_review")</x:f>
        <x:v>0</x:v>
      </x:c>
    </x:row>
    <x:row r="1031" ht="22" customHeight="1">
      <x:c r="A1031" s="7" t="str">
        <x:v>womens_swim_sandals</x:v>
      </x:c>
      <x:c r="B1031" s="7" t="n">
        <x:f>COUNTIF('唯一词标签'!$V$2:$V$1441,A1031)</x:f>
        <x:v>1</x:v>
      </x:c>
      <x:c r="C1031" s="55" t="n">
        <x:f>B1031/COUNTA('唯一词标签'!$C$2:$C$1441)</x:f>
        <x:v>0.0006944444444444445</x:v>
      </x:c>
      <x:c r="D1031" s="7" t="n">
        <x:f>COUNTIFS('唯一词标签'!$V$2:$V$1441,A1031,'唯一词标签'!$Z$2:$Z$1441,"match")</x:f>
        <x:v>0</x:v>
      </x:c>
      <x:c r="E1031" s="7" t="n">
        <x:f>COUNTIFS('唯一词标签'!$V$2:$V$1441,A1031,'唯一词标签'!$Z$2:$Z$1441,"partial_match")</x:f>
        <x:v>1</x:v>
      </x:c>
      <x:c r="F1031" s="7" t="n">
        <x:f>COUNTIFS('唯一词标签'!$V$2:$V$1441,A1031,'唯一词标签'!$Z$2:$Z$1441,"mismatch")</x:f>
        <x:v>0</x:v>
      </x:c>
      <x:c r="G1031" s="7" t="n">
        <x:f>COUNTIFS('唯一词标签'!$V$2:$V$1441,A1031,'唯一词标签'!$Z$2:$Z$1441,"unknown")</x:f>
        <x:v>0</x:v>
      </x:c>
      <x:c r="H1031" s="7" t="n">
        <x:f>COUNTIFS('唯一词标签'!$V$2:$V$1441,A1031,'唯一词标签'!$U$2:$U$1441,"low")</x:f>
        <x:v>0</x:v>
      </x:c>
      <x:c r="I1031" s="7" t="n">
        <x:f>COUNTIFS('唯一词标签'!$V$2:$V$1441,A1031,'唯一词标签'!$AB$2:$AB$1441,"needs_review")</x:f>
        <x:v>0</x:v>
      </x:c>
    </x:row>
    <x:row r="1032" ht="22" customHeight="1">
      <x:c r="A1032" s="7" t="str">
        <x:v>womens_thick_sole_flip_flops</x:v>
      </x:c>
      <x:c r="B1032" s="7" t="n">
        <x:f>COUNTIF('唯一词标签'!$V$2:$V$1441,A1032)</x:f>
        <x:v>1</x:v>
      </x:c>
      <x:c r="C1032" s="55" t="n">
        <x:f>B1032/COUNTA('唯一词标签'!$C$2:$C$1441)</x:f>
        <x:v>0.0006944444444444445</x:v>
      </x:c>
      <x:c r="D1032" s="7" t="n">
        <x:f>COUNTIFS('唯一词标签'!$V$2:$V$1441,A1032,'唯一词标签'!$Z$2:$Z$1441,"match")</x:f>
        <x:v>0</x:v>
      </x:c>
      <x:c r="E1032" s="7" t="n">
        <x:f>COUNTIFS('唯一词标签'!$V$2:$V$1441,A1032,'唯一词标签'!$Z$2:$Z$1441,"partial_match")</x:f>
        <x:v>1</x:v>
      </x:c>
      <x:c r="F1032" s="7" t="n">
        <x:f>COUNTIFS('唯一词标签'!$V$2:$V$1441,A1032,'唯一词标签'!$Z$2:$Z$1441,"mismatch")</x:f>
        <x:v>0</x:v>
      </x:c>
      <x:c r="G1032" s="7" t="n">
        <x:f>COUNTIFS('唯一词标签'!$V$2:$V$1441,A1032,'唯一词标签'!$Z$2:$Z$1441,"unknown")</x:f>
        <x:v>0</x:v>
      </x:c>
      <x:c r="H1032" s="7" t="n">
        <x:f>COUNTIFS('唯一词标签'!$V$2:$V$1441,A1032,'唯一词标签'!$U$2:$U$1441,"low")</x:f>
        <x:v>0</x:v>
      </x:c>
      <x:c r="I1032" s="7" t="n">
        <x:f>COUNTIFS('唯一词标签'!$V$2:$V$1441,A1032,'唯一词标签'!$AB$2:$AB$1441,"needs_review")</x:f>
        <x:v>0</x:v>
      </x:c>
    </x:row>
    <x:row r="1033" ht="22" customHeight="1">
      <x:c r="A1033" s="7" t="str">
        <x:v>womens_thong_cushion_flip_flops</x:v>
      </x:c>
      <x:c r="B1033" s="7" t="n">
        <x:f>COUNTIF('唯一词标签'!$V$2:$V$1441,A1033)</x:f>
        <x:v>1</x:v>
      </x:c>
      <x:c r="C1033" s="55" t="n">
        <x:f>B1033/COUNTA('唯一词标签'!$C$2:$C$1441)</x:f>
        <x:v>0.0006944444444444445</x:v>
      </x:c>
      <x:c r="D1033" s="7" t="n">
        <x:f>COUNTIFS('唯一词标签'!$V$2:$V$1441,A1033,'唯一词标签'!$Z$2:$Z$1441,"match")</x:f>
        <x:v>1</x:v>
      </x:c>
      <x:c r="E1033" s="7" t="n">
        <x:f>COUNTIFS('唯一词标签'!$V$2:$V$1441,A1033,'唯一词标签'!$Z$2:$Z$1441,"partial_match")</x:f>
        <x:v>0</x:v>
      </x:c>
      <x:c r="F1033" s="7" t="n">
        <x:f>COUNTIFS('唯一词标签'!$V$2:$V$1441,A1033,'唯一词标签'!$Z$2:$Z$1441,"mismatch")</x:f>
        <x:v>0</x:v>
      </x:c>
      <x:c r="G1033" s="7" t="n">
        <x:f>COUNTIFS('唯一词标签'!$V$2:$V$1441,A1033,'唯一词标签'!$Z$2:$Z$1441,"unknown")</x:f>
        <x:v>0</x:v>
      </x:c>
      <x:c r="H1033" s="7" t="n">
        <x:f>COUNTIFS('唯一词标签'!$V$2:$V$1441,A1033,'唯一词标签'!$U$2:$U$1441,"low")</x:f>
        <x:v>0</x:v>
      </x:c>
      <x:c r="I1033" s="7" t="n">
        <x:f>COUNTIFS('唯一词标签'!$V$2:$V$1441,A1033,'唯一词标签'!$AB$2:$AB$1441,"needs_review")</x:f>
        <x:v>0</x:v>
      </x:c>
    </x:row>
    <x:row r="1034" ht="22" customHeight="1">
      <x:c r="A1034" s="7" t="str">
        <x:v>womens_thong_eva_sandals</x:v>
      </x:c>
      <x:c r="B1034" s="7" t="n">
        <x:f>COUNTIF('唯一词标签'!$V$2:$V$1441,A1034)</x:f>
        <x:v>1</x:v>
      </x:c>
      <x:c r="C1034" s="55" t="n">
        <x:f>B1034/COUNTA('唯一词标签'!$C$2:$C$1441)</x:f>
        <x:v>0.0006944444444444445</x:v>
      </x:c>
      <x:c r="D1034" s="7" t="n">
        <x:f>COUNTIFS('唯一词标签'!$V$2:$V$1441,A1034,'唯一词标签'!$Z$2:$Z$1441,"match")</x:f>
        <x:v>1</x:v>
      </x:c>
      <x:c r="E1034" s="7" t="n">
        <x:f>COUNTIFS('唯一词标签'!$V$2:$V$1441,A1034,'唯一词标签'!$Z$2:$Z$1441,"partial_match")</x:f>
        <x:v>0</x:v>
      </x:c>
      <x:c r="F1034" s="7" t="n">
        <x:f>COUNTIFS('唯一词标签'!$V$2:$V$1441,A1034,'唯一词标签'!$Z$2:$Z$1441,"mismatch")</x:f>
        <x:v>0</x:v>
      </x:c>
      <x:c r="G1034" s="7" t="n">
        <x:f>COUNTIFS('唯一词标签'!$V$2:$V$1441,A1034,'唯一词标签'!$Z$2:$Z$1441,"unknown")</x:f>
        <x:v>0</x:v>
      </x:c>
      <x:c r="H1034" s="7" t="n">
        <x:f>COUNTIFS('唯一词标签'!$V$2:$V$1441,A1034,'唯一词标签'!$U$2:$U$1441,"low")</x:f>
        <x:v>0</x:v>
      </x:c>
      <x:c r="I1034" s="7" t="n">
        <x:f>COUNTIFS('唯一词标签'!$V$2:$V$1441,A1034,'唯一词标签'!$AB$2:$AB$1441,"needs_review")</x:f>
        <x:v>0</x:v>
      </x:c>
    </x:row>
    <x:row r="1035" ht="22" customHeight="1">
      <x:c r="A1035" s="7" t="str">
        <x:v>womens_thong_flip_flops_rubber</x:v>
      </x:c>
      <x:c r="B1035" s="7" t="n">
        <x:f>COUNTIF('唯一词标签'!$V$2:$V$1441,A1035)</x:f>
        <x:v>1</x:v>
      </x:c>
      <x:c r="C1035" s="55" t="n">
        <x:f>B1035/COUNTA('唯一词标签'!$C$2:$C$1441)</x:f>
        <x:v>0.0006944444444444445</x:v>
      </x:c>
      <x:c r="D1035" s="7" t="n">
        <x:f>COUNTIFS('唯一词标签'!$V$2:$V$1441,A1035,'唯一词标签'!$Z$2:$Z$1441,"match")</x:f>
        <x:v>0</x:v>
      </x:c>
      <x:c r="E1035" s="7" t="n">
        <x:f>COUNTIFS('唯一词标签'!$V$2:$V$1441,A1035,'唯一词标签'!$Z$2:$Z$1441,"partial_match")</x:f>
        <x:v>1</x:v>
      </x:c>
      <x:c r="F1035" s="7" t="n">
        <x:f>COUNTIFS('唯一词标签'!$V$2:$V$1441,A1035,'唯一词标签'!$Z$2:$Z$1441,"mismatch")</x:f>
        <x:v>0</x:v>
      </x:c>
      <x:c r="G1035" s="7" t="n">
        <x:f>COUNTIFS('唯一词标签'!$V$2:$V$1441,A1035,'唯一词标签'!$Z$2:$Z$1441,"unknown")</x:f>
        <x:v>0</x:v>
      </x:c>
      <x:c r="H1035" s="7" t="n">
        <x:f>COUNTIFS('唯一词标签'!$V$2:$V$1441,A1035,'唯一词标签'!$U$2:$U$1441,"low")</x:f>
        <x:v>0</x:v>
      </x:c>
      <x:c r="I1035" s="7" t="n">
        <x:f>COUNTIFS('唯一词标签'!$V$2:$V$1441,A1035,'唯一词标签'!$AB$2:$AB$1441,"needs_review")</x:f>
        <x:v>0</x:v>
      </x:c>
    </x:row>
    <x:row r="1036" ht="22" customHeight="1">
      <x:c r="A1036" s="7" t="str">
        <x:v>womens_thong_sandals</x:v>
      </x:c>
      <x:c r="B1036" s="7" t="n">
        <x:f>COUNTIF('唯一词标签'!$V$2:$V$1441,A1036)</x:f>
        <x:v>4</x:v>
      </x:c>
      <x:c r="C1036" s="55" t="n">
        <x:f>B1036/COUNTA('唯一词标签'!$C$2:$C$1441)</x:f>
        <x:v>0.002777777777777778</x:v>
      </x:c>
      <x:c r="D1036" s="7" t="n">
        <x:f>COUNTIFS('唯一词标签'!$V$2:$V$1441,A1036,'唯一词标签'!$Z$2:$Z$1441,"match")</x:f>
        <x:v>3</x:v>
      </x:c>
      <x:c r="E1036" s="7" t="n">
        <x:f>COUNTIFS('唯一词标签'!$V$2:$V$1441,A1036,'唯一词标签'!$Z$2:$Z$1441,"partial_match")</x:f>
        <x:v>1</x:v>
      </x:c>
      <x:c r="F1036" s="7" t="n">
        <x:f>COUNTIFS('唯一词标签'!$V$2:$V$1441,A1036,'唯一词标签'!$Z$2:$Z$1441,"mismatch")</x:f>
        <x:v>0</x:v>
      </x:c>
      <x:c r="G1036" s="7" t="n">
        <x:f>COUNTIFS('唯一词标签'!$V$2:$V$1441,A1036,'唯一词标签'!$Z$2:$Z$1441,"unknown")</x:f>
        <x:v>0</x:v>
      </x:c>
      <x:c r="H1036" s="7" t="n">
        <x:f>COUNTIFS('唯一词标签'!$V$2:$V$1441,A1036,'唯一词标签'!$U$2:$U$1441,"low")</x:f>
        <x:v>0</x:v>
      </x:c>
      <x:c r="I1036" s="7" t="n">
        <x:f>COUNTIFS('唯一词标签'!$V$2:$V$1441,A1036,'唯一词标签'!$AB$2:$AB$1441,"needs_review")</x:f>
        <x:v>0</x:v>
      </x:c>
    </x:row>
    <x:row r="1037" ht="22" customHeight="1">
      <x:c r="A1037" s="7" t="str">
        <x:v>womens_thong_sandals_beach</x:v>
      </x:c>
      <x:c r="B1037" s="7" t="n">
        <x:f>COUNTIF('唯一词标签'!$V$2:$V$1441,A1037)</x:f>
        <x:v>1</x:v>
      </x:c>
      <x:c r="C1037" s="55" t="n">
        <x:f>B1037/COUNTA('唯一词标签'!$C$2:$C$1441)</x:f>
        <x:v>0.0006944444444444445</x:v>
      </x:c>
      <x:c r="D1037" s="7" t="n">
        <x:f>COUNTIFS('唯一词标签'!$V$2:$V$1441,A1037,'唯一词标签'!$Z$2:$Z$1441,"match")</x:f>
        <x:v>1</x:v>
      </x:c>
      <x:c r="E1037" s="7" t="n">
        <x:f>COUNTIFS('唯一词标签'!$V$2:$V$1441,A1037,'唯一词标签'!$Z$2:$Z$1441,"partial_match")</x:f>
        <x:v>0</x:v>
      </x:c>
      <x:c r="F1037" s="7" t="n">
        <x:f>COUNTIFS('唯一词标签'!$V$2:$V$1441,A1037,'唯一词标签'!$Z$2:$Z$1441,"mismatch")</x:f>
        <x:v>0</x:v>
      </x:c>
      <x:c r="G1037" s="7" t="n">
        <x:f>COUNTIFS('唯一词标签'!$V$2:$V$1441,A1037,'唯一词标签'!$Z$2:$Z$1441,"unknown")</x:f>
        <x:v>0</x:v>
      </x:c>
      <x:c r="H1037" s="7" t="n">
        <x:f>COUNTIFS('唯一词标签'!$V$2:$V$1441,A1037,'唯一词标签'!$U$2:$U$1441,"low")</x:f>
        <x:v>0</x:v>
      </x:c>
      <x:c r="I1037" s="7" t="n">
        <x:f>COUNTIFS('唯一词标签'!$V$2:$V$1441,A1037,'唯一词标签'!$AB$2:$AB$1441,"needs_review")</x:f>
        <x:v>0</x:v>
      </x:c>
    </x:row>
    <x:row r="1038" ht="22" customHeight="1">
      <x:c r="A1038" s="7" t="str">
        <x:v>womens_thong_sandals_black</x:v>
      </x:c>
      <x:c r="B1038" s="7" t="n">
        <x:f>COUNTIF('唯一词标签'!$V$2:$V$1441,A1038)</x:f>
        <x:v>1</x:v>
      </x:c>
      <x:c r="C1038" s="55" t="n">
        <x:f>B1038/COUNTA('唯一词标签'!$C$2:$C$1441)</x:f>
        <x:v>0.0006944444444444445</x:v>
      </x:c>
      <x:c r="D1038" s="7" t="n">
        <x:f>COUNTIFS('唯一词标签'!$V$2:$V$1441,A1038,'唯一词标签'!$Z$2:$Z$1441,"match")</x:f>
        <x:v>1</x:v>
      </x:c>
      <x:c r="E1038" s="7" t="n">
        <x:f>COUNTIFS('唯一词标签'!$V$2:$V$1441,A1038,'唯一词标签'!$Z$2:$Z$1441,"partial_match")</x:f>
        <x:v>0</x:v>
      </x:c>
      <x:c r="F1038" s="7" t="n">
        <x:f>COUNTIFS('唯一词标签'!$V$2:$V$1441,A1038,'唯一词标签'!$Z$2:$Z$1441,"mismatch")</x:f>
        <x:v>0</x:v>
      </x:c>
      <x:c r="G1038" s="7" t="n">
        <x:f>COUNTIFS('唯一词标签'!$V$2:$V$1441,A1038,'唯一词标签'!$Z$2:$Z$1441,"unknown")</x:f>
        <x:v>0</x:v>
      </x:c>
      <x:c r="H1038" s="7" t="n">
        <x:f>COUNTIFS('唯一词标签'!$V$2:$V$1441,A1038,'唯一词标签'!$U$2:$U$1441,"low")</x:f>
        <x:v>0</x:v>
      </x:c>
      <x:c r="I1038" s="7" t="n">
        <x:f>COUNTIFS('唯一词标签'!$V$2:$V$1441,A1038,'唯一词标签'!$AB$2:$AB$1441,"needs_review")</x:f>
        <x:v>0</x:v>
      </x:c>
    </x:row>
    <x:row r="1039" ht="22" customHeight="1">
      <x:c r="A1039" s="7" t="str">
        <x:v>womens_thong_sandals_broad</x:v>
      </x:c>
      <x:c r="B1039" s="7" t="n">
        <x:f>COUNTIF('唯一词标签'!$V$2:$V$1441,A1039)</x:f>
        <x:v>1</x:v>
      </x:c>
      <x:c r="C1039" s="55" t="n">
        <x:f>B1039/COUNTA('唯一词标签'!$C$2:$C$1441)</x:f>
        <x:v>0.0006944444444444445</x:v>
      </x:c>
      <x:c r="D1039" s="7" t="n">
        <x:f>COUNTIFS('唯一词标签'!$V$2:$V$1441,A1039,'唯一词标签'!$Z$2:$Z$1441,"match")</x:f>
        <x:v>1</x:v>
      </x:c>
      <x:c r="E1039" s="7" t="n">
        <x:f>COUNTIFS('唯一词标签'!$V$2:$V$1441,A1039,'唯一词标签'!$Z$2:$Z$1441,"partial_match")</x:f>
        <x:v>0</x:v>
      </x:c>
      <x:c r="F1039" s="7" t="n">
        <x:f>COUNTIFS('唯一词标签'!$V$2:$V$1441,A1039,'唯一词标签'!$Z$2:$Z$1441,"mismatch")</x:f>
        <x:v>0</x:v>
      </x:c>
      <x:c r="G1039" s="7" t="n">
        <x:f>COUNTIFS('唯一词标签'!$V$2:$V$1441,A1039,'唯一词标签'!$Z$2:$Z$1441,"unknown")</x:f>
        <x:v>0</x:v>
      </x:c>
      <x:c r="H1039" s="7" t="n">
        <x:f>COUNTIFS('唯一词标签'!$V$2:$V$1441,A1039,'唯一词标签'!$U$2:$U$1441,"low")</x:f>
        <x:v>0</x:v>
      </x:c>
      <x:c r="I1039" s="7" t="n">
        <x:f>COUNTIFS('唯一词标签'!$V$2:$V$1441,A1039,'唯一词标签'!$AB$2:$AB$1441,"needs_review")</x:f>
        <x:v>0</x:v>
      </x:c>
    </x:row>
    <x:row r="1040" ht="22" customHeight="1">
      <x:c r="A1040" s="7" t="str">
        <x:v>womens_traction_water_resistant_flip_flops</x:v>
      </x:c>
      <x:c r="B1040" s="7" t="n">
        <x:f>COUNTIF('唯一词标签'!$V$2:$V$1441,A1040)</x:f>
        <x:v>1</x:v>
      </x:c>
      <x:c r="C1040" s="55" t="n">
        <x:f>B1040/COUNTA('唯一词标签'!$C$2:$C$1441)</x:f>
        <x:v>0.0006944444444444445</x:v>
      </x:c>
      <x:c r="D1040" s="7" t="n">
        <x:f>COUNTIFS('唯一词标签'!$V$2:$V$1441,A1040,'唯一词标签'!$Z$2:$Z$1441,"match")</x:f>
        <x:v>0</x:v>
      </x:c>
      <x:c r="E1040" s="7" t="n">
        <x:f>COUNTIFS('唯一词标签'!$V$2:$V$1441,A1040,'唯一词标签'!$Z$2:$Z$1441,"partial_match")</x:f>
        <x:v>1</x:v>
      </x:c>
      <x:c r="F1040" s="7" t="n">
        <x:f>COUNTIFS('唯一词标签'!$V$2:$V$1441,A1040,'唯一词标签'!$Z$2:$Z$1441,"mismatch")</x:f>
        <x:v>0</x:v>
      </x:c>
      <x:c r="G1040" s="7" t="n">
        <x:f>COUNTIFS('唯一词标签'!$V$2:$V$1441,A1040,'唯一词标签'!$Z$2:$Z$1441,"unknown")</x:f>
        <x:v>0</x:v>
      </x:c>
      <x:c r="H1040" s="7" t="n">
        <x:f>COUNTIFS('唯一词标签'!$V$2:$V$1441,A1040,'唯一词标签'!$U$2:$U$1441,"low")</x:f>
        <x:v>0</x:v>
      </x:c>
      <x:c r="I1040" s="7" t="n">
        <x:f>COUNTIFS('唯一词标签'!$V$2:$V$1441,A1040,'唯一词标签'!$AB$2:$AB$1441,"needs_review")</x:f>
        <x:v>0</x:v>
      </x:c>
    </x:row>
    <x:row r="1041" ht="22" customHeight="1">
      <x:c r="A1041" s="7" t="str">
        <x:v>womens_water_flip_flops</x:v>
      </x:c>
      <x:c r="B1041" s="7" t="n">
        <x:f>COUNTIF('唯一词标签'!$V$2:$V$1441,A1041)</x:f>
        <x:v>3</x:v>
      </x:c>
      <x:c r="C1041" s="55" t="n">
        <x:f>B1041/COUNTA('唯一词标签'!$C$2:$C$1441)</x:f>
        <x:v>0.0020833333333333333</x:v>
      </x:c>
      <x:c r="D1041" s="7" t="n">
        <x:f>COUNTIFS('唯一词标签'!$V$2:$V$1441,A1041,'唯一词标签'!$Z$2:$Z$1441,"match")</x:f>
        <x:v>0</x:v>
      </x:c>
      <x:c r="E1041" s="7" t="n">
        <x:f>COUNTIFS('唯一词标签'!$V$2:$V$1441,A1041,'唯一词标签'!$Z$2:$Z$1441,"partial_match")</x:f>
        <x:v>3</x:v>
      </x:c>
      <x:c r="F1041" s="7" t="n">
        <x:f>COUNTIFS('唯一词标签'!$V$2:$V$1441,A1041,'唯一词标签'!$Z$2:$Z$1441,"mismatch")</x:f>
        <x:v>0</x:v>
      </x:c>
      <x:c r="G1041" s="7" t="n">
        <x:f>COUNTIFS('唯一词标签'!$V$2:$V$1441,A1041,'唯一词标签'!$Z$2:$Z$1441,"unknown")</x:f>
        <x:v>0</x:v>
      </x:c>
      <x:c r="H1041" s="7" t="n">
        <x:f>COUNTIFS('唯一词标签'!$V$2:$V$1441,A1041,'唯一词标签'!$U$2:$U$1441,"low")</x:f>
        <x:v>0</x:v>
      </x:c>
      <x:c r="I1041" s="7" t="n">
        <x:f>COUNTIFS('唯一词标签'!$V$2:$V$1441,A1041,'唯一词标签'!$AB$2:$AB$1441,"needs_review")</x:f>
        <x:v>0</x:v>
      </x:c>
    </x:row>
    <x:row r="1042" ht="22" customHeight="1">
      <x:c r="A1042" s="7" t="str">
        <x:v>womens_water_ready_flip_flops</x:v>
      </x:c>
      <x:c r="B1042" s="7" t="n">
        <x:f>COUNTIF('唯一词标签'!$V$2:$V$1441,A1042)</x:f>
        <x:v>1</x:v>
      </x:c>
      <x:c r="C1042" s="55" t="n">
        <x:f>B1042/COUNTA('唯一词标签'!$C$2:$C$1441)</x:f>
        <x:v>0.0006944444444444445</x:v>
      </x:c>
      <x:c r="D1042" s="7" t="n">
        <x:f>COUNTIFS('唯一词标签'!$V$2:$V$1441,A1042,'唯一词标签'!$Z$2:$Z$1441,"match")</x:f>
        <x:v>0</x:v>
      </x:c>
      <x:c r="E1042" s="7" t="n">
        <x:f>COUNTIFS('唯一词标签'!$V$2:$V$1441,A1042,'唯一词标签'!$Z$2:$Z$1441,"partial_match")</x:f>
        <x:v>1</x:v>
      </x:c>
      <x:c r="F1042" s="7" t="n">
        <x:f>COUNTIFS('唯一词标签'!$V$2:$V$1441,A1042,'唯一词标签'!$Z$2:$Z$1441,"mismatch")</x:f>
        <x:v>0</x:v>
      </x:c>
      <x:c r="G1042" s="7" t="n">
        <x:f>COUNTIFS('唯一词标签'!$V$2:$V$1441,A1042,'唯一词标签'!$Z$2:$Z$1441,"unknown")</x:f>
        <x:v>0</x:v>
      </x:c>
      <x:c r="H1042" s="7" t="n">
        <x:f>COUNTIFS('唯一词标签'!$V$2:$V$1441,A1042,'唯一词标签'!$U$2:$U$1441,"low")</x:f>
        <x:v>0</x:v>
      </x:c>
      <x:c r="I1042" s="7" t="n">
        <x:f>COUNTIFS('唯一词标签'!$V$2:$V$1441,A1042,'唯一词标签'!$AB$2:$AB$1441,"needs_review")</x:f>
        <x:v>0</x:v>
      </x:c>
    </x:row>
    <x:row r="1043" ht="22" customHeight="1">
      <x:c r="A1043" s="7" t="str">
        <x:v>womens_waterproof_arch_flip_flops</x:v>
      </x:c>
      <x:c r="B1043" s="7" t="n">
        <x:f>COUNTIF('唯一词标签'!$V$2:$V$1441,A1043)</x:f>
        <x:v>2</x:v>
      </x:c>
      <x:c r="C1043" s="55" t="n">
        <x:f>B1043/COUNTA('唯一词标签'!$C$2:$C$1441)</x:f>
        <x:v>0.001388888888888889</x:v>
      </x:c>
      <x:c r="D1043" s="7" t="n">
        <x:f>COUNTIFS('唯一词标签'!$V$2:$V$1441,A1043,'唯一词标签'!$Z$2:$Z$1441,"match")</x:f>
        <x:v>0</x:v>
      </x:c>
      <x:c r="E1043" s="7" t="n">
        <x:f>COUNTIFS('唯一词标签'!$V$2:$V$1441,A1043,'唯一词标签'!$Z$2:$Z$1441,"partial_match")</x:f>
        <x:v>1</x:v>
      </x:c>
      <x:c r="F1043" s="7" t="n">
        <x:f>COUNTIFS('唯一词标签'!$V$2:$V$1441,A1043,'唯一词标签'!$Z$2:$Z$1441,"mismatch")</x:f>
        <x:v>1</x:v>
      </x:c>
      <x:c r="G1043" s="7" t="n">
        <x:f>COUNTIFS('唯一词标签'!$V$2:$V$1441,A1043,'唯一词标签'!$Z$2:$Z$1441,"unknown")</x:f>
        <x:v>0</x:v>
      </x:c>
      <x:c r="H1043" s="7" t="n">
        <x:f>COUNTIFS('唯一词标签'!$V$2:$V$1441,A1043,'唯一词标签'!$U$2:$U$1441,"low")</x:f>
        <x:v>0</x:v>
      </x:c>
      <x:c r="I1043" s="7" t="n">
        <x:f>COUNTIFS('唯一词标签'!$V$2:$V$1441,A1043,'唯一词标签'!$AB$2:$AB$1441,"needs_review")</x:f>
        <x:v>0</x:v>
      </x:c>
    </x:row>
    <x:row r="1044" ht="22" customHeight="1">
      <x:c r="A1044" s="7" t="str">
        <x:v>womens_waterproof_beach_sandals</x:v>
      </x:c>
      <x:c r="B1044" s="7" t="n">
        <x:f>COUNTIF('唯一词标签'!$V$2:$V$1441,A1044)</x:f>
        <x:v>1</x:v>
      </x:c>
      <x:c r="C1044" s="55" t="n">
        <x:f>B1044/COUNTA('唯一词标签'!$C$2:$C$1441)</x:f>
        <x:v>0.0006944444444444445</x:v>
      </x:c>
      <x:c r="D1044" s="7" t="n">
        <x:f>COUNTIFS('唯一词标签'!$V$2:$V$1441,A1044,'唯一词标签'!$Z$2:$Z$1441,"match")</x:f>
        <x:v>0</x:v>
      </x:c>
      <x:c r="E1044" s="7" t="n">
        <x:f>COUNTIFS('唯一词标签'!$V$2:$V$1441,A1044,'唯一词标签'!$Z$2:$Z$1441,"partial_match")</x:f>
        <x:v>1</x:v>
      </x:c>
      <x:c r="F1044" s="7" t="n">
        <x:f>COUNTIFS('唯一词标签'!$V$2:$V$1441,A1044,'唯一词标签'!$Z$2:$Z$1441,"mismatch")</x:f>
        <x:v>0</x:v>
      </x:c>
      <x:c r="G1044" s="7" t="n">
        <x:f>COUNTIFS('唯一词标签'!$V$2:$V$1441,A1044,'唯一词标签'!$Z$2:$Z$1441,"unknown")</x:f>
        <x:v>0</x:v>
      </x:c>
      <x:c r="H1044" s="7" t="n">
        <x:f>COUNTIFS('唯一词标签'!$V$2:$V$1441,A1044,'唯一词标签'!$U$2:$U$1441,"low")</x:f>
        <x:v>0</x:v>
      </x:c>
      <x:c r="I1044" s="7" t="n">
        <x:f>COUNTIFS('唯一词标签'!$V$2:$V$1441,A1044,'唯一词标签'!$AB$2:$AB$1441,"needs_review")</x:f>
        <x:v>0</x:v>
      </x:c>
    </x:row>
    <x:row r="1045" ht="22" customHeight="1">
      <x:c r="A1045" s="7" t="str">
        <x:v>womens_waterproof_flip_flop</x:v>
      </x:c>
      <x:c r="B1045" s="7" t="n">
        <x:f>COUNTIF('唯一词标签'!$V$2:$V$1441,A1045)</x:f>
        <x:v>1</x:v>
      </x:c>
      <x:c r="C1045" s="55" t="n">
        <x:f>B1045/COUNTA('唯一词标签'!$C$2:$C$1441)</x:f>
        <x:v>0.0006944444444444445</x:v>
      </x:c>
      <x:c r="D1045" s="7" t="n">
        <x:f>COUNTIFS('唯一词标签'!$V$2:$V$1441,A1045,'唯一词标签'!$Z$2:$Z$1441,"match")</x:f>
        <x:v>0</x:v>
      </x:c>
      <x:c r="E1045" s="7" t="n">
        <x:f>COUNTIFS('唯一词标签'!$V$2:$V$1441,A1045,'唯一词标签'!$Z$2:$Z$1441,"partial_match")</x:f>
        <x:v>1</x:v>
      </x:c>
      <x:c r="F1045" s="7" t="n">
        <x:f>COUNTIFS('唯一词标签'!$V$2:$V$1441,A1045,'唯一词标签'!$Z$2:$Z$1441,"mismatch")</x:f>
        <x:v>0</x:v>
      </x:c>
      <x:c r="G1045" s="7" t="n">
        <x:f>COUNTIFS('唯一词标签'!$V$2:$V$1441,A1045,'唯一词标签'!$Z$2:$Z$1441,"unknown")</x:f>
        <x:v>0</x:v>
      </x:c>
      <x:c r="H1045" s="7" t="n">
        <x:f>COUNTIFS('唯一词标签'!$V$2:$V$1441,A1045,'唯一词标签'!$U$2:$U$1441,"low")</x:f>
        <x:v>0</x:v>
      </x:c>
      <x:c r="I1045" s="7" t="n">
        <x:f>COUNTIFS('唯一词标签'!$V$2:$V$1441,A1045,'唯一词标签'!$AB$2:$AB$1441,"needs_review")</x:f>
        <x:v>0</x:v>
      </x:c>
    </x:row>
    <x:row r="1046" ht="22" customHeight="1">
      <x:c r="A1046" s="7" t="str">
        <x:v>womens_waterproof_flip_flops</x:v>
      </x:c>
      <x:c r="B1046" s="7" t="n">
        <x:f>COUNTIF('唯一词标签'!$V$2:$V$1441,A1046)</x:f>
        <x:v>6</x:v>
      </x:c>
      <x:c r="C1046" s="55" t="n">
        <x:f>B1046/COUNTA('唯一词标签'!$C$2:$C$1441)</x:f>
        <x:v>0.004166666666666667</x:v>
      </x:c>
      <x:c r="D1046" s="7" t="n">
        <x:f>COUNTIFS('唯一词标签'!$V$2:$V$1441,A1046,'唯一词标签'!$Z$2:$Z$1441,"match")</x:f>
        <x:v>0</x:v>
      </x:c>
      <x:c r="E1046" s="7" t="n">
        <x:f>COUNTIFS('唯一词标签'!$V$2:$V$1441,A1046,'唯一词标签'!$Z$2:$Z$1441,"partial_match")</x:f>
        <x:v>3</x:v>
      </x:c>
      <x:c r="F1046" s="7" t="n">
        <x:f>COUNTIFS('唯一词标签'!$V$2:$V$1441,A1046,'唯一词标签'!$Z$2:$Z$1441,"mismatch")</x:f>
        <x:v>3</x:v>
      </x:c>
      <x:c r="G1046" s="7" t="n">
        <x:f>COUNTIFS('唯一词标签'!$V$2:$V$1441,A1046,'唯一词标签'!$Z$2:$Z$1441,"unknown")</x:f>
        <x:v>0</x:v>
      </x:c>
      <x:c r="H1046" s="7" t="n">
        <x:f>COUNTIFS('唯一词标签'!$V$2:$V$1441,A1046,'唯一词标签'!$U$2:$U$1441,"low")</x:f>
        <x:v>0</x:v>
      </x:c>
      <x:c r="I1046" s="7" t="n">
        <x:f>COUNTIFS('唯一词标签'!$V$2:$V$1441,A1046,'唯一词标签'!$AB$2:$AB$1441,"needs_review")</x:f>
        <x:v>0</x:v>
      </x:c>
    </x:row>
    <x:row r="1047" ht="22" customHeight="1">
      <x:c r="A1047" s="7" t="str">
        <x:v>womens_waterproof_flip_flops_sized</x:v>
      </x:c>
      <x:c r="B1047" s="7" t="n">
        <x:f>COUNTIF('唯一词标签'!$V$2:$V$1441,A1047)</x:f>
        <x:v>1</x:v>
      </x:c>
      <x:c r="C1047" s="55" t="n">
        <x:f>B1047/COUNTA('唯一词标签'!$C$2:$C$1441)</x:f>
        <x:v>0.0006944444444444445</x:v>
      </x:c>
      <x:c r="D1047" s="7" t="n">
        <x:f>COUNTIFS('唯一词标签'!$V$2:$V$1441,A1047,'唯一词标签'!$Z$2:$Z$1441,"match")</x:f>
        <x:v>0</x:v>
      </x:c>
      <x:c r="E1047" s="7" t="n">
        <x:f>COUNTIFS('唯一词标签'!$V$2:$V$1441,A1047,'唯一词标签'!$Z$2:$Z$1441,"partial_match")</x:f>
        <x:v>1</x:v>
      </x:c>
      <x:c r="F1047" s="7" t="n">
        <x:f>COUNTIFS('唯一词标签'!$V$2:$V$1441,A1047,'唯一词标签'!$Z$2:$Z$1441,"mismatch")</x:f>
        <x:v>0</x:v>
      </x:c>
      <x:c r="G1047" s="7" t="n">
        <x:f>COUNTIFS('唯一词标签'!$V$2:$V$1441,A1047,'唯一词标签'!$Z$2:$Z$1441,"unknown")</x:f>
        <x:v>0</x:v>
      </x:c>
      <x:c r="H1047" s="7" t="n">
        <x:f>COUNTIFS('唯一词标签'!$V$2:$V$1441,A1047,'唯一词标签'!$U$2:$U$1441,"low")</x:f>
        <x:v>0</x:v>
      </x:c>
      <x:c r="I1047" s="7" t="n">
        <x:f>COUNTIFS('唯一词标签'!$V$2:$V$1441,A1047,'唯一词标签'!$AB$2:$AB$1441,"needs_review")</x:f>
        <x:v>0</x:v>
      </x:c>
    </x:row>
    <x:row r="1048" ht="22" customHeight="1">
      <x:c r="A1048" s="7" t="str">
        <x:v>womens_waterproof_sandals</x:v>
      </x:c>
      <x:c r="B1048" s="7" t="n">
        <x:f>COUNTIF('唯一词标签'!$V$2:$V$1441,A1048)</x:f>
        <x:v>1</x:v>
      </x:c>
      <x:c r="C1048" s="55" t="n">
        <x:f>B1048/COUNTA('唯一词标签'!$C$2:$C$1441)</x:f>
        <x:v>0.0006944444444444445</x:v>
      </x:c>
      <x:c r="D1048" s="7" t="n">
        <x:f>COUNTIFS('唯一词标签'!$V$2:$V$1441,A1048,'唯一词标签'!$Z$2:$Z$1441,"match")</x:f>
        <x:v>0</x:v>
      </x:c>
      <x:c r="E1048" s="7" t="n">
        <x:f>COUNTIFS('唯一词标签'!$V$2:$V$1441,A1048,'唯一词标签'!$Z$2:$Z$1441,"partial_match")</x:f>
        <x:v>1</x:v>
      </x:c>
      <x:c r="F1048" s="7" t="n">
        <x:f>COUNTIFS('唯一词标签'!$V$2:$V$1441,A1048,'唯一词标签'!$Z$2:$Z$1441,"mismatch")</x:f>
        <x:v>0</x:v>
      </x:c>
      <x:c r="G1048" s="7" t="n">
        <x:f>COUNTIFS('唯一词标签'!$V$2:$V$1441,A1048,'唯一词标签'!$Z$2:$Z$1441,"unknown")</x:f>
        <x:v>0</x:v>
      </x:c>
      <x:c r="H1048" s="7" t="n">
        <x:f>COUNTIFS('唯一词标签'!$V$2:$V$1441,A1048,'唯一词标签'!$U$2:$U$1441,"low")</x:f>
        <x:v>0</x:v>
      </x:c>
      <x:c r="I1048" s="7" t="n">
        <x:f>COUNTIFS('唯一词标签'!$V$2:$V$1441,A1048,'唯一词标签'!$AB$2:$AB$1441,"needs_review")</x:f>
        <x:v>0</x:v>
      </x:c>
    </x:row>
    <x:row r="1049" ht="22" customHeight="1">
      <x:c r="A1049" s="7" t="str">
        <x:v>womens_waterproof_thong_sandals</x:v>
      </x:c>
      <x:c r="B1049" s="7" t="n">
        <x:f>COUNTIF('唯一词标签'!$V$2:$V$1441,A1049)</x:f>
        <x:v>1</x:v>
      </x:c>
      <x:c r="C1049" s="55" t="n">
        <x:f>B1049/COUNTA('唯一词标签'!$C$2:$C$1441)</x:f>
        <x:v>0.0006944444444444445</x:v>
      </x:c>
      <x:c r="D1049" s="7" t="n">
        <x:f>COUNTIFS('唯一词标签'!$V$2:$V$1441,A1049,'唯一词标签'!$Z$2:$Z$1441,"match")</x:f>
        <x:v>0</x:v>
      </x:c>
      <x:c r="E1049" s="7" t="n">
        <x:f>COUNTIFS('唯一词标签'!$V$2:$V$1441,A1049,'唯一词标签'!$Z$2:$Z$1441,"partial_match")</x:f>
        <x:v>0</x:v>
      </x:c>
      <x:c r="F1049" s="7" t="n">
        <x:f>COUNTIFS('唯一词标签'!$V$2:$V$1441,A1049,'唯一词标签'!$Z$2:$Z$1441,"mismatch")</x:f>
        <x:v>1</x:v>
      </x:c>
      <x:c r="G1049" s="7" t="n">
        <x:f>COUNTIFS('唯一词标签'!$V$2:$V$1441,A1049,'唯一词标签'!$Z$2:$Z$1441,"unknown")</x:f>
        <x:v>0</x:v>
      </x:c>
      <x:c r="H1049" s="7" t="n">
        <x:f>COUNTIFS('唯一词标签'!$V$2:$V$1441,A1049,'唯一词标签'!$U$2:$U$1441,"low")</x:f>
        <x:v>0</x:v>
      </x:c>
      <x:c r="I1049" s="7" t="n">
        <x:f>COUNTIFS('唯一词标签'!$V$2:$V$1441,A1049,'唯一词标签'!$AB$2:$AB$1441,"needs_review")</x:f>
        <x:v>0</x:v>
      </x:c>
    </x:row>
    <x:row r="1050" ht="22" customHeight="1">
      <x:c r="A1050" s="7" t="str">
        <x:v>womens_waterproof_white_flip_flops</x:v>
      </x:c>
      <x:c r="B1050" s="7" t="n">
        <x:f>COUNTIF('唯一词标签'!$V$2:$V$1441,A1050)</x:f>
        <x:v>1</x:v>
      </x:c>
      <x:c r="C1050" s="55" t="n">
        <x:f>B1050/COUNTA('唯一词标签'!$C$2:$C$1441)</x:f>
        <x:v>0.0006944444444444445</x:v>
      </x:c>
      <x:c r="D1050" s="7" t="n">
        <x:f>COUNTIFS('唯一词标签'!$V$2:$V$1441,A1050,'唯一词标签'!$Z$2:$Z$1441,"match")</x:f>
        <x:v>0</x:v>
      </x:c>
      <x:c r="E1050" s="7" t="n">
        <x:f>COUNTIFS('唯一词标签'!$V$2:$V$1441,A1050,'唯一词标签'!$Z$2:$Z$1441,"partial_match")</x:f>
        <x:v>0</x:v>
      </x:c>
      <x:c r="F1050" s="7" t="n">
        <x:f>COUNTIFS('唯一词标签'!$V$2:$V$1441,A1050,'唯一词标签'!$Z$2:$Z$1441,"mismatch")</x:f>
        <x:v>1</x:v>
      </x:c>
      <x:c r="G1050" s="7" t="n">
        <x:f>COUNTIFS('唯一词标签'!$V$2:$V$1441,A1050,'唯一词标签'!$Z$2:$Z$1441,"unknown")</x:f>
        <x:v>0</x:v>
      </x:c>
      <x:c r="H1050" s="7" t="n">
        <x:f>COUNTIFS('唯一词标签'!$V$2:$V$1441,A1050,'唯一词标签'!$U$2:$U$1441,"low")</x:f>
        <x:v>0</x:v>
      </x:c>
      <x:c r="I1050" s="7" t="n">
        <x:f>COUNTIFS('唯一词标签'!$V$2:$V$1441,A1050,'唯一词标签'!$AB$2:$AB$1441,"needs_review")</x:f>
        <x:v>0</x:v>
      </x:c>
    </x:row>
    <x:row r="1051" ht="22" customHeight="1">
      <x:c r="A1051" s="7" t="str">
        <x:v>womens_white_arch_support_flip_flops</x:v>
      </x:c>
      <x:c r="B1051" s="7" t="n">
        <x:f>COUNTIF('唯一词标签'!$V$2:$V$1441,A1051)</x:f>
        <x:v>3</x:v>
      </x:c>
      <x:c r="C1051" s="55" t="n">
        <x:f>B1051/COUNTA('唯一词标签'!$C$2:$C$1441)</x:f>
        <x:v>0.0020833333333333333</x:v>
      </x:c>
      <x:c r="D1051" s="7" t="n">
        <x:f>COUNTIFS('唯一词标签'!$V$2:$V$1441,A1051,'唯一词标签'!$Z$2:$Z$1441,"match")</x:f>
        <x:v>2</x:v>
      </x:c>
      <x:c r="E1051" s="7" t="n">
        <x:f>COUNTIFS('唯一词标签'!$V$2:$V$1441,A1051,'唯一词标签'!$Z$2:$Z$1441,"partial_match")</x:f>
        <x:v>1</x:v>
      </x:c>
      <x:c r="F1051" s="7" t="n">
        <x:f>COUNTIFS('唯一词标签'!$V$2:$V$1441,A1051,'唯一词标签'!$Z$2:$Z$1441,"mismatch")</x:f>
        <x:v>0</x:v>
      </x:c>
      <x:c r="G1051" s="7" t="n">
        <x:f>COUNTIFS('唯一词标签'!$V$2:$V$1441,A1051,'唯一词标签'!$Z$2:$Z$1441,"unknown")</x:f>
        <x:v>0</x:v>
      </x:c>
      <x:c r="H1051" s="7" t="n">
        <x:f>COUNTIFS('唯一词标签'!$V$2:$V$1441,A1051,'唯一词标签'!$U$2:$U$1441,"low")</x:f>
        <x:v>0</x:v>
      </x:c>
      <x:c r="I1051" s="7" t="n">
        <x:f>COUNTIFS('唯一词标签'!$V$2:$V$1441,A1051,'唯一词标签'!$AB$2:$AB$1441,"needs_review")</x:f>
        <x:v>0</x:v>
      </x:c>
    </x:row>
    <x:row r="1052" ht="22" customHeight="1">
      <x:c r="A1052" s="7" t="str">
        <x:v>womens_white_comfortable_flip_flops</x:v>
      </x:c>
      <x:c r="B1052" s="7" t="n">
        <x:f>COUNTIF('唯一词标签'!$V$2:$V$1441,A1052)</x:f>
        <x:v>1</x:v>
      </x:c>
      <x:c r="C1052" s="55" t="n">
        <x:f>B1052/COUNTA('唯一词标签'!$C$2:$C$1441)</x:f>
        <x:v>0.0006944444444444445</x:v>
      </x:c>
      <x:c r="D1052" s="7" t="n">
        <x:f>COUNTIFS('唯一词标签'!$V$2:$V$1441,A1052,'唯一词标签'!$Z$2:$Z$1441,"match")</x:f>
        <x:v>1</x:v>
      </x:c>
      <x:c r="E1052" s="7" t="n">
        <x:f>COUNTIFS('唯一词标签'!$V$2:$V$1441,A1052,'唯一词标签'!$Z$2:$Z$1441,"partial_match")</x:f>
        <x:v>0</x:v>
      </x:c>
      <x:c r="F1052" s="7" t="n">
        <x:f>COUNTIFS('唯一词标签'!$V$2:$V$1441,A1052,'唯一词标签'!$Z$2:$Z$1441,"mismatch")</x:f>
        <x:v>0</x:v>
      </x:c>
      <x:c r="G1052" s="7" t="n">
        <x:f>COUNTIFS('唯一词标签'!$V$2:$V$1441,A1052,'唯一词标签'!$Z$2:$Z$1441,"unknown")</x:f>
        <x:v>0</x:v>
      </x:c>
      <x:c r="H1052" s="7" t="n">
        <x:f>COUNTIFS('唯一词标签'!$V$2:$V$1441,A1052,'唯一词标签'!$U$2:$U$1441,"low")</x:f>
        <x:v>0</x:v>
      </x:c>
      <x:c r="I1052" s="7" t="n">
        <x:f>COUNTIFS('唯一词标签'!$V$2:$V$1441,A1052,'唯一词标签'!$AB$2:$AB$1441,"needs_review")</x:f>
        <x:v>0</x:v>
      </x:c>
    </x:row>
    <x:row r="1053" ht="22" customHeight="1">
      <x:c r="A1053" s="7" t="str">
        <x:v>womens_white_flat_flip_flops</x:v>
      </x:c>
      <x:c r="B1053" s="7" t="n">
        <x:f>COUNTIF('唯一词标签'!$V$2:$V$1441,A1053)</x:f>
        <x:v>1</x:v>
      </x:c>
      <x:c r="C1053" s="55" t="n">
        <x:f>B1053/COUNTA('唯一词标签'!$C$2:$C$1441)</x:f>
        <x:v>0.0006944444444444445</x:v>
      </x:c>
      <x:c r="D1053" s="7" t="n">
        <x:f>COUNTIFS('唯一词标签'!$V$2:$V$1441,A1053,'唯一词标签'!$Z$2:$Z$1441,"match")</x:f>
        <x:v>1</x:v>
      </x:c>
      <x:c r="E1053" s="7" t="n">
        <x:f>COUNTIFS('唯一词标签'!$V$2:$V$1441,A1053,'唯一词标签'!$Z$2:$Z$1441,"partial_match")</x:f>
        <x:v>0</x:v>
      </x:c>
      <x:c r="F1053" s="7" t="n">
        <x:f>COUNTIFS('唯一词标签'!$V$2:$V$1441,A1053,'唯一词标签'!$Z$2:$Z$1441,"mismatch")</x:f>
        <x:v>0</x:v>
      </x:c>
      <x:c r="G1053" s="7" t="n">
        <x:f>COUNTIFS('唯一词标签'!$V$2:$V$1441,A1053,'唯一词标签'!$Z$2:$Z$1441,"unknown")</x:f>
        <x:v>0</x:v>
      </x:c>
      <x:c r="H1053" s="7" t="n">
        <x:f>COUNTIFS('唯一词标签'!$V$2:$V$1441,A1053,'唯一词标签'!$U$2:$U$1441,"low")</x:f>
        <x:v>0</x:v>
      </x:c>
      <x:c r="I1053" s="7" t="n">
        <x:f>COUNTIFS('唯一词标签'!$V$2:$V$1441,A1053,'唯一词标签'!$AB$2:$AB$1441,"needs_review")</x:f>
        <x:v>0</x:v>
      </x:c>
    </x:row>
    <x:row r="1054" ht="22" customHeight="1">
      <x:c r="A1054" s="7" t="str">
        <x:v>womens_white_flip_flops</x:v>
      </x:c>
      <x:c r="B1054" s="7" t="n">
        <x:f>COUNTIF('唯一词标签'!$V$2:$V$1441,A1054)</x:f>
        <x:v>5</x:v>
      </x:c>
      <x:c r="C1054" s="55" t="n">
        <x:f>B1054/COUNTA('唯一词标签'!$C$2:$C$1441)</x:f>
        <x:v>0.003472222222222222</x:v>
      </x:c>
      <x:c r="D1054" s="7" t="n">
        <x:f>COUNTIFS('唯一词标签'!$V$2:$V$1441,A1054,'唯一词标签'!$Z$2:$Z$1441,"match")</x:f>
        <x:v>5</x:v>
      </x:c>
      <x:c r="E1054" s="7" t="n">
        <x:f>COUNTIFS('唯一词标签'!$V$2:$V$1441,A1054,'唯一词标签'!$Z$2:$Z$1441,"partial_match")</x:f>
        <x:v>0</x:v>
      </x:c>
      <x:c r="F1054" s="7" t="n">
        <x:f>COUNTIFS('唯一词标签'!$V$2:$V$1441,A1054,'唯一词标签'!$Z$2:$Z$1441,"mismatch")</x:f>
        <x:v>0</x:v>
      </x:c>
      <x:c r="G1054" s="7" t="n">
        <x:f>COUNTIFS('唯一词标签'!$V$2:$V$1441,A1054,'唯一词标签'!$Z$2:$Z$1441,"unknown")</x:f>
        <x:v>0</x:v>
      </x:c>
      <x:c r="H1054" s="7" t="n">
        <x:f>COUNTIFS('唯一词标签'!$V$2:$V$1441,A1054,'唯一词标签'!$U$2:$U$1441,"low")</x:f>
        <x:v>0</x:v>
      </x:c>
      <x:c r="I1054" s="7" t="n">
        <x:f>COUNTIFS('唯一词标签'!$V$2:$V$1441,A1054,'唯一词标签'!$AB$2:$AB$1441,"needs_review")</x:f>
        <x:v>0</x:v>
      </x:c>
    </x:row>
    <x:row r="1055" ht="22" customHeight="1">
      <x:c r="A1055" s="7" t="str">
        <x:v>womens_white_flip_flops_sale</x:v>
      </x:c>
      <x:c r="B1055" s="7" t="n">
        <x:f>COUNTIF('唯一词标签'!$V$2:$V$1441,A1055)</x:f>
        <x:v>1</x:v>
      </x:c>
      <x:c r="C1055" s="55" t="n">
        <x:f>B1055/COUNTA('唯一词标签'!$C$2:$C$1441)</x:f>
        <x:v>0.0006944444444444445</x:v>
      </x:c>
      <x:c r="D1055" s="7" t="n">
        <x:f>COUNTIFS('唯一词标签'!$V$2:$V$1441,A1055,'唯一词标签'!$Z$2:$Z$1441,"match")</x:f>
        <x:v>1</x:v>
      </x:c>
      <x:c r="E1055" s="7" t="n">
        <x:f>COUNTIFS('唯一词标签'!$V$2:$V$1441,A1055,'唯一词标签'!$Z$2:$Z$1441,"partial_match")</x:f>
        <x:v>0</x:v>
      </x:c>
      <x:c r="F1055" s="7" t="n">
        <x:f>COUNTIFS('唯一词标签'!$V$2:$V$1441,A1055,'唯一词标签'!$Z$2:$Z$1441,"mismatch")</x:f>
        <x:v>0</x:v>
      </x:c>
      <x:c r="G1055" s="7" t="n">
        <x:f>COUNTIFS('唯一词标签'!$V$2:$V$1441,A1055,'唯一词标签'!$Z$2:$Z$1441,"unknown")</x:f>
        <x:v>0</x:v>
      </x:c>
      <x:c r="H1055" s="7" t="n">
        <x:f>COUNTIFS('唯一词标签'!$V$2:$V$1441,A1055,'唯一词标签'!$U$2:$U$1441,"low")</x:f>
        <x:v>0</x:v>
      </x:c>
      <x:c r="I1055" s="7" t="n">
        <x:f>COUNTIFS('唯一词标签'!$V$2:$V$1441,A1055,'唯一词标签'!$AB$2:$AB$1441,"needs_review")</x:f>
        <x:v>0</x:v>
      </x:c>
    </x:row>
    <x:row r="1056" ht="22" customHeight="1">
      <x:c r="A1056" s="7" t="str">
        <x:v>womens_white_flip_flops_size_6</x:v>
      </x:c>
      <x:c r="B1056" s="7" t="n">
        <x:f>COUNTIF('唯一词标签'!$V$2:$V$1441,A1056)</x:f>
        <x:v>1</x:v>
      </x:c>
      <x:c r="C1056" s="55" t="n">
        <x:f>B1056/COUNTA('唯一词标签'!$C$2:$C$1441)</x:f>
        <x:v>0.0006944444444444445</x:v>
      </x:c>
      <x:c r="D1056" s="7" t="n">
        <x:f>COUNTIFS('唯一词标签'!$V$2:$V$1441,A1056,'唯一词标签'!$Z$2:$Z$1441,"match")</x:f>
        <x:v>1</x:v>
      </x:c>
      <x:c r="E1056" s="7" t="n">
        <x:f>COUNTIFS('唯一词标签'!$V$2:$V$1441,A1056,'唯一词标签'!$Z$2:$Z$1441,"partial_match")</x:f>
        <x:v>0</x:v>
      </x:c>
      <x:c r="F1056" s="7" t="n">
        <x:f>COUNTIFS('唯一词标签'!$V$2:$V$1441,A1056,'唯一词标签'!$Z$2:$Z$1441,"mismatch")</x:f>
        <x:v>0</x:v>
      </x:c>
      <x:c r="G1056" s="7" t="n">
        <x:f>COUNTIFS('唯一词标签'!$V$2:$V$1441,A1056,'唯一词标签'!$Z$2:$Z$1441,"unknown")</x:f>
        <x:v>0</x:v>
      </x:c>
      <x:c r="H1056" s="7" t="n">
        <x:f>COUNTIFS('唯一词标签'!$V$2:$V$1441,A1056,'唯一词标签'!$U$2:$U$1441,"low")</x:f>
        <x:v>0</x:v>
      </x:c>
      <x:c r="I1056" s="7" t="n">
        <x:f>COUNTIFS('唯一词标签'!$V$2:$V$1441,A1056,'唯一词标签'!$AB$2:$AB$1441,"needs_review")</x:f>
        <x:v>0</x:v>
      </x:c>
    </x:row>
    <x:row r="1057" ht="22" customHeight="1">
      <x:c r="A1057" s="7" t="str">
        <x:v>womens_white_flip_flops_size_8</x:v>
      </x:c>
      <x:c r="B1057" s="7" t="n">
        <x:f>COUNTIF('唯一词标签'!$V$2:$V$1441,A1057)</x:f>
        <x:v>1</x:v>
      </x:c>
      <x:c r="C1057" s="55" t="n">
        <x:f>B1057/COUNTA('唯一词标签'!$C$2:$C$1441)</x:f>
        <x:v>0.0006944444444444445</x:v>
      </x:c>
      <x:c r="D1057" s="7" t="n">
        <x:f>COUNTIFS('唯一词标签'!$V$2:$V$1441,A1057,'唯一词标签'!$Z$2:$Z$1441,"match")</x:f>
        <x:v>1</x:v>
      </x:c>
      <x:c r="E1057" s="7" t="n">
        <x:f>COUNTIFS('唯一词标签'!$V$2:$V$1441,A1057,'唯一词标签'!$Z$2:$Z$1441,"partial_match")</x:f>
        <x:v>0</x:v>
      </x:c>
      <x:c r="F1057" s="7" t="n">
        <x:f>COUNTIFS('唯一词标签'!$V$2:$V$1441,A1057,'唯一词标签'!$Z$2:$Z$1441,"mismatch")</x:f>
        <x:v>0</x:v>
      </x:c>
      <x:c r="G1057" s="7" t="n">
        <x:f>COUNTIFS('唯一词标签'!$V$2:$V$1441,A1057,'唯一词标签'!$Z$2:$Z$1441,"unknown")</x:f>
        <x:v>0</x:v>
      </x:c>
      <x:c r="H1057" s="7" t="n">
        <x:f>COUNTIFS('唯一词标签'!$V$2:$V$1441,A1057,'唯一词标签'!$U$2:$U$1441,"low")</x:f>
        <x:v>0</x:v>
      </x:c>
      <x:c r="I1057" s="7" t="n">
        <x:f>COUNTIFS('唯一词标签'!$V$2:$V$1441,A1057,'唯一词标签'!$AB$2:$AB$1441,"needs_review")</x:f>
        <x:v>0</x:v>
      </x:c>
    </x:row>
    <x:row r="1058" ht="22" customHeight="1">
      <x:c r="A1058" s="7" t="str">
        <x:v>womens_white_rubber_flip_flops</x:v>
      </x:c>
      <x:c r="B1058" s="7" t="n">
        <x:f>COUNTIF('唯一词标签'!$V$2:$V$1441,A1058)</x:f>
        <x:v>1</x:v>
      </x:c>
      <x:c r="C1058" s="55" t="n">
        <x:f>B1058/COUNTA('唯一词标签'!$C$2:$C$1441)</x:f>
        <x:v>0.0006944444444444445</x:v>
      </x:c>
      <x:c r="D1058" s="7" t="n">
        <x:f>COUNTIFS('唯一词标签'!$V$2:$V$1441,A1058,'唯一词标签'!$Z$2:$Z$1441,"match")</x:f>
        <x:v>0</x:v>
      </x:c>
      <x:c r="E1058" s="7" t="n">
        <x:f>COUNTIFS('唯一词标签'!$V$2:$V$1441,A1058,'唯一词标签'!$Z$2:$Z$1441,"partial_match")</x:f>
        <x:v>1</x:v>
      </x:c>
      <x:c r="F1058" s="7" t="n">
        <x:f>COUNTIFS('唯一词标签'!$V$2:$V$1441,A1058,'唯一词标签'!$Z$2:$Z$1441,"mismatch")</x:f>
        <x:v>0</x:v>
      </x:c>
      <x:c r="G1058" s="7" t="n">
        <x:f>COUNTIFS('唯一词标签'!$V$2:$V$1441,A1058,'唯一词标签'!$Z$2:$Z$1441,"unknown")</x:f>
        <x:v>0</x:v>
      </x:c>
      <x:c r="H1058" s="7" t="n">
        <x:f>COUNTIFS('唯一词标签'!$V$2:$V$1441,A1058,'唯一词标签'!$U$2:$U$1441,"low")</x:f>
        <x:v>0</x:v>
      </x:c>
      <x:c r="I1058" s="7" t="n">
        <x:f>COUNTIFS('唯一词标签'!$V$2:$V$1441,A1058,'唯一词标签'!$AB$2:$AB$1441,"needs_review")</x:f>
        <x:v>0</x:v>
      </x:c>
    </x:row>
    <x:row r="1059" ht="22" customHeight="1">
      <x:c r="A1059" s="7" t="str">
        <x:v>womens_white_sandals</x:v>
      </x:c>
      <x:c r="B1059" s="7" t="n">
        <x:f>COUNTIF('唯一词标签'!$V$2:$V$1441,A1059)</x:f>
        <x:v>1</x:v>
      </x:c>
      <x:c r="C1059" s="55" t="n">
        <x:f>B1059/COUNTA('唯一词标签'!$C$2:$C$1441)</x:f>
        <x:v>0.0006944444444444445</x:v>
      </x:c>
      <x:c r="D1059" s="7" t="n">
        <x:f>COUNTIFS('唯一词标签'!$V$2:$V$1441,A1059,'唯一词标签'!$Z$2:$Z$1441,"match")</x:f>
        <x:v>1</x:v>
      </x:c>
      <x:c r="E1059" s="7" t="n">
        <x:f>COUNTIFS('唯一词标签'!$V$2:$V$1441,A1059,'唯一词标签'!$Z$2:$Z$1441,"partial_match")</x:f>
        <x:v>0</x:v>
      </x:c>
      <x:c r="F1059" s="7" t="n">
        <x:f>COUNTIFS('唯一词标签'!$V$2:$V$1441,A1059,'唯一词标签'!$Z$2:$Z$1441,"mismatch")</x:f>
        <x:v>0</x:v>
      </x:c>
      <x:c r="G1059" s="7" t="n">
        <x:f>COUNTIFS('唯一词标签'!$V$2:$V$1441,A1059,'唯一词标签'!$Z$2:$Z$1441,"unknown")</x:f>
        <x:v>0</x:v>
      </x:c>
      <x:c r="H1059" s="7" t="n">
        <x:f>COUNTIFS('唯一词标签'!$V$2:$V$1441,A1059,'唯一词标签'!$U$2:$U$1441,"low")</x:f>
        <x:v>0</x:v>
      </x:c>
      <x:c r="I1059" s="7" t="n">
        <x:f>COUNTIFS('唯一词标签'!$V$2:$V$1441,A1059,'唯一词标签'!$AB$2:$AB$1441,"needs_review")</x:f>
        <x:v>0</x:v>
      </x:c>
    </x:row>
    <x:row r="1060" ht="22" customHeight="1">
      <x:c r="A1060" s="7" t="str">
        <x:v>womens_white_size7_flip_flops</x:v>
      </x:c>
      <x:c r="B1060" s="7" t="n">
        <x:f>COUNTIF('唯一词标签'!$V$2:$V$1441,A1060)</x:f>
        <x:v>1</x:v>
      </x:c>
      <x:c r="C1060" s="55" t="n">
        <x:f>B1060/COUNTA('唯一词标签'!$C$2:$C$1441)</x:f>
        <x:v>0.0006944444444444445</x:v>
      </x:c>
      <x:c r="D1060" s="7" t="n">
        <x:f>COUNTIFS('唯一词标签'!$V$2:$V$1441,A1060,'唯一词标签'!$Z$2:$Z$1441,"match")</x:f>
        <x:v>1</x:v>
      </x:c>
      <x:c r="E1060" s="7" t="n">
        <x:f>COUNTIFS('唯一词标签'!$V$2:$V$1441,A1060,'唯一词标签'!$Z$2:$Z$1441,"partial_match")</x:f>
        <x:v>0</x:v>
      </x:c>
      <x:c r="F1060" s="7" t="n">
        <x:f>COUNTIFS('唯一词标签'!$V$2:$V$1441,A1060,'唯一词标签'!$Z$2:$Z$1441,"mismatch")</x:f>
        <x:v>0</x:v>
      </x:c>
      <x:c r="G1060" s="7" t="n">
        <x:f>COUNTIFS('唯一词标签'!$V$2:$V$1441,A1060,'唯一词标签'!$Z$2:$Z$1441,"unknown")</x:f>
        <x:v>0</x:v>
      </x:c>
      <x:c r="H1060" s="7" t="n">
        <x:f>COUNTIFS('唯一词标签'!$V$2:$V$1441,A1060,'唯一词标签'!$U$2:$U$1441,"low")</x:f>
        <x:v>0</x:v>
      </x:c>
      <x:c r="I1060" s="7" t="n">
        <x:f>COUNTIFS('唯一词标签'!$V$2:$V$1441,A1060,'唯一词标签'!$AB$2:$AB$1441,"needs_review")</x:f>
        <x:v>0</x:v>
      </x:c>
    </x:row>
    <x:row r="1061" ht="22" customHeight="1">
      <x:c r="A1061" s="7" t="str">
        <x:v>womens_white_sized_flip_flops</x:v>
      </x:c>
      <x:c r="B1061" s="7" t="n">
        <x:f>COUNTIF('唯一词标签'!$V$2:$V$1441,A1061)</x:f>
        <x:v>1</x:v>
      </x:c>
      <x:c r="C1061" s="55" t="n">
        <x:f>B1061/COUNTA('唯一词标签'!$C$2:$C$1441)</x:f>
        <x:v>0.0006944444444444445</x:v>
      </x:c>
      <x:c r="D1061" s="7" t="n">
        <x:f>COUNTIFS('唯一词标签'!$V$2:$V$1441,A1061,'唯一词标签'!$Z$2:$Z$1441,"match")</x:f>
        <x:v>1</x:v>
      </x:c>
      <x:c r="E1061" s="7" t="n">
        <x:f>COUNTIFS('唯一词标签'!$V$2:$V$1441,A1061,'唯一词标签'!$Z$2:$Z$1441,"partial_match")</x:f>
        <x:v>0</x:v>
      </x:c>
      <x:c r="F1061" s="7" t="n">
        <x:f>COUNTIFS('唯一词标签'!$V$2:$V$1441,A1061,'唯一词标签'!$Z$2:$Z$1441,"mismatch")</x:f>
        <x:v>0</x:v>
      </x:c>
      <x:c r="G1061" s="7" t="n">
        <x:f>COUNTIFS('唯一词标签'!$V$2:$V$1441,A1061,'唯一词标签'!$Z$2:$Z$1441,"unknown")</x:f>
        <x:v>0</x:v>
      </x:c>
      <x:c r="H1061" s="7" t="n">
        <x:f>COUNTIFS('唯一词标签'!$V$2:$V$1441,A1061,'唯一词标签'!$U$2:$U$1441,"low")</x:f>
        <x:v>0</x:v>
      </x:c>
      <x:c r="I1061" s="7" t="n">
        <x:f>COUNTIFS('唯一词标签'!$V$2:$V$1441,A1061,'唯一词标签'!$AB$2:$AB$1441,"needs_review")</x:f>
        <x:v>0</x:v>
      </x:c>
    </x:row>
    <x:row r="1062" ht="22" customHeight="1">
      <x:c r="A1062" s="7" t="str">
        <x:v>womens_wide_feet_flip_flops</x:v>
      </x:c>
      <x:c r="B1062" s="7" t="n">
        <x:f>COUNTIF('唯一词标签'!$V$2:$V$1441,A1062)</x:f>
        <x:v>1</x:v>
      </x:c>
      <x:c r="C1062" s="55" t="n">
        <x:f>B1062/COUNTA('唯一词标签'!$C$2:$C$1441)</x:f>
        <x:v>0.0006944444444444445</x:v>
      </x:c>
      <x:c r="D1062" s="7" t="n">
        <x:f>COUNTIFS('唯一词标签'!$V$2:$V$1441,A1062,'唯一词标签'!$Z$2:$Z$1441,"match")</x:f>
        <x:v>0</x:v>
      </x:c>
      <x:c r="E1062" s="7" t="n">
        <x:f>COUNTIFS('唯一词标签'!$V$2:$V$1441,A1062,'唯一词标签'!$Z$2:$Z$1441,"partial_match")</x:f>
        <x:v>1</x:v>
      </x:c>
      <x:c r="F1062" s="7" t="n">
        <x:f>COUNTIFS('唯一词标签'!$V$2:$V$1441,A1062,'唯一词标签'!$Z$2:$Z$1441,"mismatch")</x:f>
        <x:v>0</x:v>
      </x:c>
      <x:c r="G1062" s="7" t="n">
        <x:f>COUNTIFS('唯一词标签'!$V$2:$V$1441,A1062,'唯一词标签'!$Z$2:$Z$1441,"unknown")</x:f>
        <x:v>0</x:v>
      </x:c>
      <x:c r="H1062" s="7" t="n">
        <x:f>COUNTIFS('唯一词标签'!$V$2:$V$1441,A1062,'唯一词标签'!$U$2:$U$1441,"low")</x:f>
        <x:v>0</x:v>
      </x:c>
      <x:c r="I1062" s="7" t="n">
        <x:f>COUNTIFS('唯一词标签'!$V$2:$V$1441,A1062,'唯一词标签'!$AB$2:$AB$1441,"needs_review")</x:f>
        <x:v>1</x:v>
      </x:c>
    </x:row>
    <x:row r="1063" ht="22" customHeight="1">
      <x:c r="A1063" s="7" t="str">
        <x:v>womens_wide_width_flip_flops</x:v>
      </x:c>
      <x:c r="B1063" s="7" t="n">
        <x:f>COUNTIF('唯一词标签'!$V$2:$V$1441,A1063)</x:f>
        <x:v>2</x:v>
      </x:c>
      <x:c r="C1063" s="55" t="n">
        <x:f>B1063/COUNTA('唯一词标签'!$C$2:$C$1441)</x:f>
        <x:v>0.001388888888888889</x:v>
      </x:c>
      <x:c r="D1063" s="7" t="n">
        <x:f>COUNTIFS('唯一词标签'!$V$2:$V$1441,A1063,'唯一词标签'!$Z$2:$Z$1441,"match")</x:f>
        <x:v>0</x:v>
      </x:c>
      <x:c r="E1063" s="7" t="n">
        <x:f>COUNTIFS('唯一词标签'!$V$2:$V$1441,A1063,'唯一词标签'!$Z$2:$Z$1441,"partial_match")</x:f>
        <x:v>2</x:v>
      </x:c>
      <x:c r="F1063" s="7" t="n">
        <x:f>COUNTIFS('唯一词标签'!$V$2:$V$1441,A1063,'唯一词标签'!$Z$2:$Z$1441,"mismatch")</x:f>
        <x:v>0</x:v>
      </x:c>
      <x:c r="G1063" s="7" t="n">
        <x:f>COUNTIFS('唯一词标签'!$V$2:$V$1441,A1063,'唯一词标签'!$Z$2:$Z$1441,"unknown")</x:f>
        <x:v>0</x:v>
      </x:c>
      <x:c r="H1063" s="7" t="n">
        <x:f>COUNTIFS('唯一词标签'!$V$2:$V$1441,A1063,'唯一词标签'!$U$2:$U$1441,"low")</x:f>
        <x:v>1</x:v>
      </x:c>
      <x:c r="I1063" s="7" t="n">
        <x:f>COUNTIFS('唯一词标签'!$V$2:$V$1441,A1063,'唯一词标签'!$AB$2:$AB$1441,"needs_review")</x:f>
        <x:v>0</x:v>
      </x:c>
    </x:row>
    <x:row r="1064" ht="22" customHeight="1">
      <x:c r="A1064" s="7" t="str">
        <x:v>yellow_box_cushioned_flip_flop_women</x:v>
      </x:c>
      <x:c r="B1064" s="7" t="n">
        <x:f>COUNTIF('唯一词标签'!$V$2:$V$1441,A1064)</x:f>
        <x:v>1</x:v>
      </x:c>
      <x:c r="C1064" s="55" t="n">
        <x:f>B1064/COUNTA('唯一词标签'!$C$2:$C$1441)</x:f>
        <x:v>0.0006944444444444445</x:v>
      </x:c>
      <x:c r="D1064" s="7" t="n">
        <x:f>COUNTIFS('唯一词标签'!$V$2:$V$1441,A1064,'唯一词标签'!$Z$2:$Z$1441,"match")</x:f>
        <x:v>0</x:v>
      </x:c>
      <x:c r="E1064" s="7" t="n">
        <x:f>COUNTIFS('唯一词标签'!$V$2:$V$1441,A1064,'唯一词标签'!$Z$2:$Z$1441,"partial_match")</x:f>
        <x:v>1</x:v>
      </x:c>
      <x:c r="F1064" s="7" t="n">
        <x:f>COUNTIFS('唯一词标签'!$V$2:$V$1441,A1064,'唯一词标签'!$Z$2:$Z$1441,"mismatch")</x:f>
        <x:v>0</x:v>
      </x:c>
      <x:c r="G1064" s="7" t="n">
        <x:f>COUNTIFS('唯一词标签'!$V$2:$V$1441,A1064,'唯一词标签'!$Z$2:$Z$1441,"unknown")</x:f>
        <x:v>0</x:v>
      </x:c>
      <x:c r="H1064" s="7" t="n">
        <x:f>COUNTIFS('唯一词标签'!$V$2:$V$1441,A1064,'唯一词标签'!$U$2:$U$1441,"low")</x:f>
        <x:v>0</x:v>
      </x:c>
      <x:c r="I1064" s="7" t="n">
        <x:f>COUNTIFS('唯一词标签'!$V$2:$V$1441,A1064,'唯一词标签'!$AB$2:$AB$1441,"needs_review")</x:f>
        <x:v>0</x:v>
      </x:c>
    </x:row>
    <x:row r="1065" ht="22" customHeight="1">
      <x:c r="A1065" s="7" t="str">
        <x:v>yellow_flip_flops_women</x:v>
      </x:c>
      <x:c r="B1065" s="7" t="n">
        <x:f>COUNTIF('唯一词标签'!$V$2:$V$1441,A1065)</x:f>
        <x:v>1</x:v>
      </x:c>
      <x:c r="C1065" s="55" t="n">
        <x:f>B1065/COUNTA('唯一词标签'!$C$2:$C$1441)</x:f>
        <x:v>0.0006944444444444445</x:v>
      </x:c>
      <x:c r="D1065" s="7" t="n">
        <x:f>COUNTIFS('唯一词标签'!$V$2:$V$1441,A1065,'唯一词标签'!$Z$2:$Z$1441,"match")</x:f>
        <x:v>0</x:v>
      </x:c>
      <x:c r="E1065" s="7" t="n">
        <x:f>COUNTIFS('唯一词标签'!$V$2:$V$1441,A1065,'唯一词标签'!$Z$2:$Z$1441,"partial_match")</x:f>
        <x:v>1</x:v>
      </x:c>
      <x:c r="F1065" s="7" t="n">
        <x:f>COUNTIFS('唯一词标签'!$V$2:$V$1441,A1065,'唯一词标签'!$Z$2:$Z$1441,"mismatch")</x:f>
        <x:v>0</x:v>
      </x:c>
      <x:c r="G1065" s="7" t="n">
        <x:f>COUNTIFS('唯一词标签'!$V$2:$V$1441,A1065,'唯一词标签'!$Z$2:$Z$1441,"unknown")</x:f>
        <x:v>0</x:v>
      </x:c>
      <x:c r="H1065" s="7" t="n">
        <x:f>COUNTIFS('唯一词标签'!$V$2:$V$1441,A1065,'唯一词标签'!$U$2:$U$1441,"low")</x:f>
        <x:v>0</x:v>
      </x:c>
      <x:c r="I1065" s="7" t="n">
        <x:f>COUNTIFS('唯一词标签'!$V$2:$V$1441,A1065,'唯一词标签'!$AB$2:$AB$1441,"needs_review")</x:f>
        <x:v>0</x:v>
      </x:c>
    </x:row>
    <x:row r="1066" ht="22" customHeight="1">
      <x:c r="A1066" s="7" t="str">
        <x:v>yoga_mat_arch_support_flip_flops</x:v>
      </x:c>
      <x:c r="B1066" s="7" t="n">
        <x:f>COUNTIF('唯一词标签'!$V$2:$V$1441,A1066)</x:f>
        <x:v>1</x:v>
      </x:c>
      <x:c r="C1066" s="55" t="n">
        <x:f>B1066/COUNTA('唯一词标签'!$C$2:$C$1441)</x:f>
        <x:v>0.0006944444444444445</x:v>
      </x:c>
      <x:c r="D1066" s="7" t="n">
        <x:f>COUNTIFS('唯一词标签'!$V$2:$V$1441,A1066,'唯一词标签'!$Z$2:$Z$1441,"match")</x:f>
        <x:v>1</x:v>
      </x:c>
      <x:c r="E1066" s="7" t="n">
        <x:f>COUNTIFS('唯一词标签'!$V$2:$V$1441,A1066,'唯一词标签'!$Z$2:$Z$1441,"partial_match")</x:f>
        <x:v>0</x:v>
      </x:c>
      <x:c r="F1066" s="7" t="n">
        <x:f>COUNTIFS('唯一词标签'!$V$2:$V$1441,A1066,'唯一词标签'!$Z$2:$Z$1441,"mismatch")</x:f>
        <x:v>0</x:v>
      </x:c>
      <x:c r="G1066" s="7" t="n">
        <x:f>COUNTIFS('唯一词标签'!$V$2:$V$1441,A1066,'唯一词标签'!$Z$2:$Z$1441,"unknown")</x:f>
        <x:v>0</x:v>
      </x:c>
      <x:c r="H1066" s="7" t="n">
        <x:f>COUNTIFS('唯一词标签'!$V$2:$V$1441,A1066,'唯一词标签'!$U$2:$U$1441,"low")</x:f>
        <x:v>0</x:v>
      </x:c>
      <x:c r="I1066" s="7" t="n">
        <x:f>COUNTIFS('唯一词标签'!$V$2:$V$1441,A1066,'唯一词标签'!$AB$2:$AB$1441,"needs_review")</x:f>
        <x:v>0</x:v>
      </x:c>
    </x:row>
    <x:row r="1067" ht="22" customHeight="1">
      <x:c r="A1067" s="7" t="str">
        <x:v>yoga_mat_flip_flops_women</x:v>
      </x:c>
      <x:c r="B1067" s="7" t="n">
        <x:f>COUNTIF('唯一词标签'!$V$2:$V$1441,A1067)</x:f>
        <x:v>2</x:v>
      </x:c>
      <x:c r="C1067" s="55" t="n">
        <x:f>B1067/COUNTA('唯一词标签'!$C$2:$C$1441)</x:f>
        <x:v>0.001388888888888889</x:v>
      </x:c>
      <x:c r="D1067" s="7" t="n">
        <x:f>COUNTIFS('唯一词标签'!$V$2:$V$1441,A1067,'唯一词标签'!$Z$2:$Z$1441,"match")</x:f>
        <x:v>0</x:v>
      </x:c>
      <x:c r="E1067" s="7" t="n">
        <x:f>COUNTIFS('唯一词标签'!$V$2:$V$1441,A1067,'唯一词标签'!$Z$2:$Z$1441,"partial_match")</x:f>
        <x:v>2</x:v>
      </x:c>
      <x:c r="F1067" s="7" t="n">
        <x:f>COUNTIFS('唯一词标签'!$V$2:$V$1441,A1067,'唯一词标签'!$Z$2:$Z$1441,"mismatch")</x:f>
        <x:v>0</x:v>
      </x:c>
      <x:c r="G1067" s="7" t="n">
        <x:f>COUNTIFS('唯一词标签'!$V$2:$V$1441,A1067,'唯一词标签'!$Z$2:$Z$1441,"unknown")</x:f>
        <x:v>0</x:v>
      </x:c>
      <x:c r="H1067" s="7" t="n">
        <x:f>COUNTIFS('唯一词标签'!$V$2:$V$1441,A1067,'唯一词标签'!$U$2:$U$1441,"low")</x:f>
        <x:v>0</x:v>
      </x:c>
      <x:c r="I1067" s="7" t="n">
        <x:f>COUNTIFS('唯一词标签'!$V$2:$V$1441,A1067,'唯一词标签'!$AB$2:$AB$1441,"needs_review")</x:f>
        <x:v>0</x:v>
      </x:c>
    </x:row>
    <x:row r="1068" ht="22" customHeight="1">
      <x:c r="A1068" s="7" t="str">
        <x:v>yoga_mat_material_flip_flops</x:v>
      </x:c>
      <x:c r="B1068" s="7" t="n">
        <x:f>COUNTIF('唯一词标签'!$V$2:$V$1441,A1068)</x:f>
        <x:v>1</x:v>
      </x:c>
      <x:c r="C1068" s="55" t="n">
        <x:f>B1068/COUNTA('唯一词标签'!$C$2:$C$1441)</x:f>
        <x:v>0.0006944444444444445</x:v>
      </x:c>
      <x:c r="D1068" s="7" t="n">
        <x:f>COUNTIFS('唯一词标签'!$V$2:$V$1441,A1068,'唯一词标签'!$Z$2:$Z$1441,"match")</x:f>
        <x:v>0</x:v>
      </x:c>
      <x:c r="E1068" s="7" t="n">
        <x:f>COUNTIFS('唯一词标签'!$V$2:$V$1441,A1068,'唯一词标签'!$Z$2:$Z$1441,"partial_match")</x:f>
        <x:v>1</x:v>
      </x:c>
      <x:c r="F1068" s="7" t="n">
        <x:f>COUNTIFS('唯一词标签'!$V$2:$V$1441,A1068,'唯一词标签'!$Z$2:$Z$1441,"mismatch")</x:f>
        <x:v>0</x:v>
      </x:c>
      <x:c r="G1068" s="7" t="n">
        <x:f>COUNTIFS('唯一词标签'!$V$2:$V$1441,A1068,'唯一词标签'!$Z$2:$Z$1441,"unknown")</x:f>
        <x:v>0</x:v>
      </x:c>
      <x:c r="H1068" s="7" t="n">
        <x:f>COUNTIFS('唯一词标签'!$V$2:$V$1441,A1068,'唯一词标签'!$U$2:$U$1441,"low")</x:f>
        <x:v>0</x:v>
      </x:c>
      <x:c r="I1068" s="7" t="n">
        <x:f>COUNTIFS('唯一词标签'!$V$2:$V$1441,A1068,'唯一词标签'!$AB$2:$AB$1441,"needs_review")</x:f>
        <x:v>0</x:v>
      </x:c>
    </x:row>
    <x:row r="1069" ht="22" customHeight="1">
      <x:c r="A1069" s="8" t="str">
        <x:v>zero_drop_no_arch_flip_flops</x:v>
      </x:c>
      <x:c r="B1069" s="8" t="n">
        <x:f>COUNTIF('唯一词标签'!$V$2:$V$1441,A1069)</x:f>
        <x:v>1</x:v>
      </x:c>
      <x:c r="C1069" s="56" t="n">
        <x:f>B1069/COUNTA('唯一词标签'!$C$2:$C$1441)</x:f>
        <x:v>0.0006944444444444445</x:v>
      </x:c>
      <x:c r="D1069" s="8" t="n">
        <x:f>COUNTIFS('唯一词标签'!$V$2:$V$1441,A1069,'唯一词标签'!$Z$2:$Z$1441,"match")</x:f>
        <x:v>0</x:v>
      </x:c>
      <x:c r="E1069" s="8" t="n">
        <x:f>COUNTIFS('唯一词标签'!$V$2:$V$1441,A1069,'唯一词标签'!$Z$2:$Z$1441,"partial_match")</x:f>
        <x:v>0</x:v>
      </x:c>
      <x:c r="F1069" s="8" t="n">
        <x:f>COUNTIFS('唯一词标签'!$V$2:$V$1441,A1069,'唯一词标签'!$Z$2:$Z$1441,"mismatch")</x:f>
        <x:v>1</x:v>
      </x:c>
      <x:c r="G1069" s="8" t="n">
        <x:f>COUNTIFS('唯一词标签'!$V$2:$V$1441,A1069,'唯一词标签'!$Z$2:$Z$1441,"unknown")</x:f>
        <x:v>0</x:v>
      </x:c>
      <x:c r="H1069" s="8" t="n">
        <x:f>COUNTIFS('唯一词标签'!$V$2:$V$1441,A1069,'唯一词标签'!$U$2:$U$1441,"low")</x:f>
        <x:v>0</x:v>
      </x:c>
      <x:c r="I1069" s="8" t="n">
        <x:f>COUNTIFS('唯一词标签'!$V$2:$V$1441,A1069,'唯一词标签'!$AB$2:$AB$1441,"needs_review")</x:f>
        <x:v>0</x:v>
      </x:c>
    </x:row>
  </x:sheetData>
  <x:pageMargins left="0.7" right="0.7" top="0.75" bottom="0.75" header="0.3" footer="0.3"/>
  <x:tableParts count="1">
    <x:tablePart xmlns:r="http://schemas.openxmlformats.org/officeDocument/2006/relationships" r:id="Rabb13ff781fb4de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0" hidden="0" customWidth="1"/>
    <x:col min="2" max="2" width="20" hidden="0" customWidth="1"/>
    <x:col min="3" max="3" width="18" hidden="0" customWidth="1"/>
    <x:col min="4" max="4" width="18" hidden="0" customWidth="1"/>
    <x:col min="5" max="5" width="18" hidden="0" customWidth="1"/>
    <x:col min="6" max="6" width="52"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32" hidden="0" customWidth="1"/>
    <x:col min="18" max="18" width="32" hidden="0" customWidth="1"/>
  </x:cols>
  <x:sheetData>
    <x:row r="1">
      <x:c r="A1" s="19" t="str">
        <x:v>source_term</x:v>
      </x:c>
      <x:c r="B1" s="19" t="str">
        <x:v>normalized_term</x:v>
      </x:c>
      <x:c r="C1" s="19" t="str">
        <x:v>term_id</x:v>
      </x:c>
      <x:c r="D1" s="19" t="str">
        <x:v>query_kind</x:v>
      </x:c>
      <x:c r="E1" s="19" t="str">
        <x:v>language</x:v>
      </x:c>
      <x:c r="F1" s="19" t="str">
        <x:v>latent_task</x:v>
      </x:c>
      <x:c r="G1" s="19" t="str">
        <x:v>intent_stage</x:v>
      </x:c>
      <x:c r="H1" s="19" t="str">
        <x:v>confidence_level</x:v>
      </x:c>
      <x:c r="I1" s="19" t="str">
        <x:v>intent_cluster</x:v>
      </x:c>
      <x:c r="J1" s="19" t="str">
        <x:v>routing_action</x:v>
      </x:c>
      <x:c r="K1" s="19" t="str">
        <x:v>ambiguity_flags</x:v>
      </x:c>
      <x:c r="L1" s="19" t="str">
        <x:v>asin_fit</x:v>
      </x:c>
      <x:c r="M1" s="19" t="str">
        <x:v>review_status</x:v>
      </x:c>
      <x:c r="N1" s="19" t="str">
        <x:v>source_occurrences</x:v>
      </x:c>
      <x:c r="O1" s="19" t="str">
        <x:v>schema_version</x:v>
      </x:c>
      <x:c r="P1" s="19" t="str">
        <x:v>prompt_version</x:v>
      </x:c>
      <x:c r="Q1" s="19" t="str">
        <x:v>model_name</x:v>
      </x:c>
      <x:c r="R1" s="19" t="str">
        <x:v>run_id</x:v>
      </x:c>
    </x:row>
    <x:row r="2" ht="28" customHeight="1">
      <x:c r="A2" s="20" t="str">
        <x:v>B0GT848YVM</x:v>
      </x:c>
      <x:c r="B2" s="20" t="str">
        <x:v>b0gt848yvm</x:v>
      </x:c>
      <x:c r="C2" s="20" t="str">
        <x:v>000bbaaf89f5b5c0</x:v>
      </x:c>
      <x:c r="D2" s="20" t="str">
        <x:v>asin_target</x:v>
      </x:c>
      <x:c r="E2" s="20" t="str">
        <x:v>en</x:v>
      </x:c>
      <x:c r="F2" s="20" t="str">
        <x:v>该搜索词为 ASIN 形式，需补充商品元数据后再判断用户意图。</x:v>
      </x:c>
      <x:c r="G2" s="20" t="str">
        <x:v>unknown</x:v>
      </x:c>
      <x:c r="H2" s="20" t="str">
        <x:v>low</x:v>
      </x:c>
      <x:c r="I2" s="20" t="str">
        <x:v>asin_target</x:v>
      </x:c>
      <x:c r="J2" s="20" t="str">
        <x:v>asin_metadata_pending</x:v>
      </x:c>
      <x:c r="K2" s="20" t="str">
        <x:v>asin_without_metadata</x:v>
      </x:c>
      <x:c r="L2" s="20" t="str">
        <x:v>not_applicable</x:v>
      </x:c>
      <x:c r="M2" s="20" t="str">
        <x:v>non_model</x:v>
      </x:c>
      <x:c r="N2" s="20" t="str">
        <x:v>1</x:v>
      </x:c>
      <x:c r="O2" s="20" t="str">
        <x:v>1.0.0</x:v>
      </x:c>
      <x:c r="P2" s="20" t="str">
        <x:v>1.1.0</x:v>
      </x:c>
      <x:c r="Q2" s="20" t="str">
        <x:v>deepseek/deepseek-v4-pro</x:v>
      </x:c>
      <x:c r="R2" s="20" t="str">
        <x:v>aj2-y90-20260714T234810-0bea2f52</x:v>
      </x:c>
    </x:row>
    <x:row r="3" ht="28" customHeight="1">
      <x:c r="A3" s="20" t="str">
        <x:v>B0GDQZXPM1</x:v>
      </x:c>
      <x:c r="B3" s="20" t="str">
        <x:v>b0gdqzxpm1</x:v>
      </x:c>
      <x:c r="C3" s="20" t="str">
        <x:v>0062e6a143c5cbaa</x:v>
      </x:c>
      <x:c r="D3" s="20" t="str">
        <x:v>asin_target</x:v>
      </x:c>
      <x:c r="E3" s="20" t="str">
        <x:v>en</x:v>
      </x:c>
      <x:c r="F3" s="20" t="str">
        <x:v>该搜索词为 ASIN 形式，需补充商品元数据后再判断用户意图。</x:v>
      </x:c>
      <x:c r="G3" s="20" t="str">
        <x:v>unknown</x:v>
      </x:c>
      <x:c r="H3" s="20" t="str">
        <x:v>low</x:v>
      </x:c>
      <x:c r="I3" s="20" t="str">
        <x:v>asin_target</x:v>
      </x:c>
      <x:c r="J3" s="20" t="str">
        <x:v>asin_metadata_pending</x:v>
      </x:c>
      <x:c r="K3" s="20" t="str">
        <x:v>asin_without_metadata</x:v>
      </x:c>
      <x:c r="L3" s="20" t="str">
        <x:v>not_applicable</x:v>
      </x:c>
      <x:c r="M3" s="20" t="str">
        <x:v>non_model</x:v>
      </x:c>
      <x:c r="N3" s="20" t="str">
        <x:v>1</x:v>
      </x:c>
      <x:c r="O3" s="20" t="str">
        <x:v>1.0.0</x:v>
      </x:c>
      <x:c r="P3" s="20" t="str">
        <x:v>1.1.0</x:v>
      </x:c>
      <x:c r="Q3" s="20" t="str">
        <x:v>deepseek/deepseek-v4-pro</x:v>
      </x:c>
      <x:c r="R3" s="20" t="str">
        <x:v>aj2-y90-20260714T234810-0bea2f52</x:v>
      </x:c>
    </x:row>
    <x:row r="4" ht="28" customHeight="1">
      <x:c r="A4" s="20" t="str">
        <x:v>B0FPSM46LF</x:v>
      </x:c>
      <x:c r="B4" s="20" t="str">
        <x:v>b0fpsm46lf</x:v>
      </x:c>
      <x:c r="C4" s="20" t="str">
        <x:v>00da368199f04da1</x:v>
      </x:c>
      <x:c r="D4" s="20" t="str">
        <x:v>asin_target</x:v>
      </x:c>
      <x:c r="E4" s="20" t="str">
        <x:v>en</x:v>
      </x:c>
      <x:c r="F4" s="20" t="str">
        <x:v>该搜索词为 ASIN 形式，需补充商品元数据后再判断用户意图。</x:v>
      </x:c>
      <x:c r="G4" s="20" t="str">
        <x:v>unknown</x:v>
      </x:c>
      <x:c r="H4" s="20" t="str">
        <x:v>low</x:v>
      </x:c>
      <x:c r="I4" s="20" t="str">
        <x:v>asin_target</x:v>
      </x:c>
      <x:c r="J4" s="20" t="str">
        <x:v>asin_metadata_pending</x:v>
      </x:c>
      <x:c r="K4" s="20" t="str">
        <x:v>asin_without_metadata</x:v>
      </x:c>
      <x:c r="L4" s="20" t="str">
        <x:v>not_applicable</x:v>
      </x:c>
      <x:c r="M4" s="20" t="str">
        <x:v>non_model</x:v>
      </x:c>
      <x:c r="N4" s="20" t="str">
        <x:v>1</x:v>
      </x:c>
      <x:c r="O4" s="20" t="str">
        <x:v>1.0.0</x:v>
      </x:c>
      <x:c r="P4" s="20" t="str">
        <x:v>1.1.0</x:v>
      </x:c>
      <x:c r="Q4" s="20" t="str">
        <x:v>deepseek/deepseek-v4-pro</x:v>
      </x:c>
      <x:c r="R4" s="20" t="str">
        <x:v>aj2-y90-20260714T234810-0bea2f52</x:v>
      </x:c>
    </x:row>
    <x:row r="5" ht="28" customHeight="1">
      <x:c r="A5" s="20" t="str">
        <x:v>B0G2SVB8NZ</x:v>
      </x:c>
      <x:c r="B5" s="20" t="str">
        <x:v>b0g2svb8nz</x:v>
      </x:c>
      <x:c r="C5" s="20" t="str">
        <x:v>0161c031ebe22113</x:v>
      </x:c>
      <x:c r="D5" s="20" t="str">
        <x:v>asin_target</x:v>
      </x:c>
      <x:c r="E5" s="20" t="str">
        <x:v>en</x:v>
      </x:c>
      <x:c r="F5" s="20" t="str">
        <x:v>该搜索词为 ASIN 形式，需补充商品元数据后再判断用户意图。</x:v>
      </x:c>
      <x:c r="G5" s="20" t="str">
        <x:v>unknown</x:v>
      </x:c>
      <x:c r="H5" s="20" t="str">
        <x:v>low</x:v>
      </x:c>
      <x:c r="I5" s="20" t="str">
        <x:v>asin_target</x:v>
      </x:c>
      <x:c r="J5" s="20" t="str">
        <x:v>asin_metadata_pending</x:v>
      </x:c>
      <x:c r="K5" s="20" t="str">
        <x:v>asin_without_metadata</x:v>
      </x:c>
      <x:c r="L5" s="20" t="str">
        <x:v>not_applicable</x:v>
      </x:c>
      <x:c r="M5" s="20" t="str">
        <x:v>non_model</x:v>
      </x:c>
      <x:c r="N5" s="20" t="str">
        <x:v>1</x:v>
      </x:c>
      <x:c r="O5" s="20" t="str">
        <x:v>1.0.0</x:v>
      </x:c>
      <x:c r="P5" s="20" t="str">
        <x:v>1.1.0</x:v>
      </x:c>
      <x:c r="Q5" s="20" t="str">
        <x:v>deepseek/deepseek-v4-pro</x:v>
      </x:c>
      <x:c r="R5" s="20" t="str">
        <x:v>aj2-y90-20260714T234810-0bea2f52</x:v>
      </x:c>
    </x:row>
    <x:row r="6" ht="28" customHeight="1">
      <x:c r="A6" s="20" t="str">
        <x:v>B0G48LQ939</x:v>
      </x:c>
      <x:c r="B6" s="20" t="str">
        <x:v>b0g48lq939</x:v>
      </x:c>
      <x:c r="C6" s="20" t="str">
        <x:v>0196b250de696390</x:v>
      </x:c>
      <x:c r="D6" s="20" t="str">
        <x:v>asin_target</x:v>
      </x:c>
      <x:c r="E6" s="20" t="str">
        <x:v>en</x:v>
      </x:c>
      <x:c r="F6" s="20" t="str">
        <x:v>该搜索词为 ASIN 形式，需补充商品元数据后再判断用户意图。</x:v>
      </x:c>
      <x:c r="G6" s="20" t="str">
        <x:v>unknown</x:v>
      </x:c>
      <x:c r="H6" s="20" t="str">
        <x:v>low</x:v>
      </x:c>
      <x:c r="I6" s="20" t="str">
        <x:v>asin_target</x:v>
      </x:c>
      <x:c r="J6" s="20" t="str">
        <x:v>asin_metadata_pending</x:v>
      </x:c>
      <x:c r="K6" s="20" t="str">
        <x:v>asin_without_metadata</x:v>
      </x:c>
      <x:c r="L6" s="20" t="str">
        <x:v>not_applicable</x:v>
      </x:c>
      <x:c r="M6" s="20" t="str">
        <x:v>non_model</x:v>
      </x:c>
      <x:c r="N6" s="20" t="str">
        <x:v>1</x:v>
      </x:c>
      <x:c r="O6" s="20" t="str">
        <x:v>1.0.0</x:v>
      </x:c>
      <x:c r="P6" s="20" t="str">
        <x:v>1.1.0</x:v>
      </x:c>
      <x:c r="Q6" s="20" t="str">
        <x:v>deepseek/deepseek-v4-pro</x:v>
      </x:c>
      <x:c r="R6" s="20" t="str">
        <x:v>aj2-y90-20260714T234810-0bea2f52</x:v>
      </x:c>
    </x:row>
    <x:row r="7" ht="28" customHeight="1">
      <x:c r="A7" s="20" t="str">
        <x:v>B086SYPH11</x:v>
      </x:c>
      <x:c r="B7" s="20" t="str">
        <x:v>b086syph11</x:v>
      </x:c>
      <x:c r="C7" s="20" t="str">
        <x:v>01b4ff70cbf70eb5</x:v>
      </x:c>
      <x:c r="D7" s="20" t="str">
        <x:v>asin_target</x:v>
      </x:c>
      <x:c r="E7" s="20" t="str">
        <x:v>en</x:v>
      </x:c>
      <x:c r="F7" s="20" t="str">
        <x:v>该搜索词为 ASIN 形式，需补充商品元数据后再判断用户意图。</x:v>
      </x:c>
      <x:c r="G7" s="20" t="str">
        <x:v>unknown</x:v>
      </x:c>
      <x:c r="H7" s="20" t="str">
        <x:v>low</x:v>
      </x:c>
      <x:c r="I7" s="20" t="str">
        <x:v>asin_target</x:v>
      </x:c>
      <x:c r="J7" s="20" t="str">
        <x:v>asin_metadata_pending</x:v>
      </x:c>
      <x:c r="K7" s="20" t="str">
        <x:v>asin_without_metadata</x:v>
      </x:c>
      <x:c r="L7" s="20" t="str">
        <x:v>not_applicable</x:v>
      </x:c>
      <x:c r="M7" s="20" t="str">
        <x:v>non_model</x:v>
      </x:c>
      <x:c r="N7" s="20" t="str">
        <x:v>1</x:v>
      </x:c>
      <x:c r="O7" s="20" t="str">
        <x:v>1.0.0</x:v>
      </x:c>
      <x:c r="P7" s="20" t="str">
        <x:v>1.1.0</x:v>
      </x:c>
      <x:c r="Q7" s="20" t="str">
        <x:v>deepseek/deepseek-v4-pro</x:v>
      </x:c>
      <x:c r="R7" s="20" t="str">
        <x:v>aj2-y90-20260714T234810-0bea2f52</x:v>
      </x:c>
    </x:row>
    <x:row r="8" ht="28" customHeight="1">
      <x:c r="A8" s="20" t="str">
        <x:v>B0GKCKJZNQ</x:v>
      </x:c>
      <x:c r="B8" s="20" t="str">
        <x:v>b0gkckjznq</x:v>
      </x:c>
      <x:c r="C8" s="20" t="str">
        <x:v>020381e60113c033</x:v>
      </x:c>
      <x:c r="D8" s="20" t="str">
        <x:v>asin_target</x:v>
      </x:c>
      <x:c r="E8" s="20" t="str">
        <x:v>en</x:v>
      </x:c>
      <x:c r="F8" s="20" t="str">
        <x:v>该搜索词为 ASIN 形式，需补充商品元数据后再判断用户意图。</x:v>
      </x:c>
      <x:c r="G8" s="20" t="str">
        <x:v>unknown</x:v>
      </x:c>
      <x:c r="H8" s="20" t="str">
        <x:v>low</x:v>
      </x:c>
      <x:c r="I8" s="20" t="str">
        <x:v>asin_target</x:v>
      </x:c>
      <x:c r="J8" s="20" t="str">
        <x:v>asin_metadata_pending</x:v>
      </x:c>
      <x:c r="K8" s="20" t="str">
        <x:v>asin_without_metadata</x:v>
      </x:c>
      <x:c r="L8" s="20" t="str">
        <x:v>not_applicable</x:v>
      </x:c>
      <x:c r="M8" s="20" t="str">
        <x:v>non_model</x:v>
      </x:c>
      <x:c r="N8" s="20" t="str">
        <x:v>1</x:v>
      </x:c>
      <x:c r="O8" s="20" t="str">
        <x:v>1.0.0</x:v>
      </x:c>
      <x:c r="P8" s="20" t="str">
        <x:v>1.1.0</x:v>
      </x:c>
      <x:c r="Q8" s="20" t="str">
        <x:v>deepseek/deepseek-v4-pro</x:v>
      </x:c>
      <x:c r="R8" s="20" t="str">
        <x:v>aj2-y90-20260714T234810-0bea2f52</x:v>
      </x:c>
    </x:row>
    <x:row r="9" ht="28" customHeight="1">
      <x:c r="A9" s="20" t="str">
        <x:v>B0BKBVJW63</x:v>
      </x:c>
      <x:c r="B9" s="20" t="str">
        <x:v>b0bkbvjw63</x:v>
      </x:c>
      <x:c r="C9" s="20" t="str">
        <x:v>0283e7471e304087</x:v>
      </x:c>
      <x:c r="D9" s="20" t="str">
        <x:v>asin_target</x:v>
      </x:c>
      <x:c r="E9" s="20" t="str">
        <x:v>en</x:v>
      </x:c>
      <x:c r="F9" s="20" t="str">
        <x:v>该搜索词为 ASIN 形式，需补充商品元数据后再判断用户意图。</x:v>
      </x:c>
      <x:c r="G9" s="20" t="str">
        <x:v>unknown</x:v>
      </x:c>
      <x:c r="H9" s="20" t="str">
        <x:v>low</x:v>
      </x:c>
      <x:c r="I9" s="20" t="str">
        <x:v>asin_target</x:v>
      </x:c>
      <x:c r="J9" s="20" t="str">
        <x:v>asin_metadata_pending</x:v>
      </x:c>
      <x:c r="K9" s="20" t="str">
        <x:v>asin_without_metadata</x:v>
      </x:c>
      <x:c r="L9" s="20" t="str">
        <x:v>not_applicable</x:v>
      </x:c>
      <x:c r="M9" s="20" t="str">
        <x:v>non_model</x:v>
      </x:c>
      <x:c r="N9" s="20" t="str">
        <x:v>1</x:v>
      </x:c>
      <x:c r="O9" s="20" t="str">
        <x:v>1.0.0</x:v>
      </x:c>
      <x:c r="P9" s="20" t="str">
        <x:v>1.1.0</x:v>
      </x:c>
      <x:c r="Q9" s="20" t="str">
        <x:v>deepseek/deepseek-v4-pro</x:v>
      </x:c>
      <x:c r="R9" s="20" t="str">
        <x:v>aj2-y90-20260714T234810-0bea2f52</x:v>
      </x:c>
    </x:row>
    <x:row r="10" ht="28" customHeight="1">
      <x:c r="A10" s="20" t="str">
        <x:v>B0BKBW27YK</x:v>
      </x:c>
      <x:c r="B10" s="20" t="str">
        <x:v>b0bkbw27yk</x:v>
      </x:c>
      <x:c r="C10" s="20" t="str">
        <x:v>02ef52929fcd002c</x:v>
      </x:c>
      <x:c r="D10" s="20" t="str">
        <x:v>asin_target</x:v>
      </x:c>
      <x:c r="E10" s="20" t="str">
        <x:v>en</x:v>
      </x:c>
      <x:c r="F10" s="20" t="str">
        <x:v>该搜索词为 ASIN 形式，需补充商品元数据后再判断用户意图。</x:v>
      </x:c>
      <x:c r="G10" s="20" t="str">
        <x:v>unknown</x:v>
      </x:c>
      <x:c r="H10" s="20" t="str">
        <x:v>low</x:v>
      </x:c>
      <x:c r="I10" s="20" t="str">
        <x:v>asin_target</x:v>
      </x:c>
      <x:c r="J10" s="20" t="str">
        <x:v>asin_metadata_pending</x:v>
      </x:c>
      <x:c r="K10" s="20" t="str">
        <x:v>asin_without_metadata</x:v>
      </x:c>
      <x:c r="L10" s="20" t="str">
        <x:v>not_applicable</x:v>
      </x:c>
      <x:c r="M10" s="20" t="str">
        <x:v>non_model</x:v>
      </x:c>
      <x:c r="N10" s="20" t="str">
        <x:v>1</x:v>
      </x:c>
      <x:c r="O10" s="20" t="str">
        <x:v>1.0.0</x:v>
      </x:c>
      <x:c r="P10" s="20" t="str">
        <x:v>1.1.0</x:v>
      </x:c>
      <x:c r="Q10" s="20" t="str">
        <x:v>deepseek/deepseek-v4-pro</x:v>
      </x:c>
      <x:c r="R10" s="20" t="str">
        <x:v>aj2-y90-20260714T234810-0bea2f52</x:v>
      </x:c>
    </x:row>
    <x:row r="11" ht="28" customHeight="1">
      <x:c r="A11" s="20" t="str">
        <x:v>B0F8ML24TY</x:v>
      </x:c>
      <x:c r="B11" s="20" t="str">
        <x:v>b0f8ml24ty</x:v>
      </x:c>
      <x:c r="C11" s="20" t="str">
        <x:v>047d7ad59483954b</x:v>
      </x:c>
      <x:c r="D11" s="20" t="str">
        <x:v>asin_target</x:v>
      </x:c>
      <x:c r="E11" s="20" t="str">
        <x:v>en</x:v>
      </x:c>
      <x:c r="F11" s="20" t="str">
        <x:v>该搜索词为 ASIN 形式，需补充商品元数据后再判断用户意图。</x:v>
      </x:c>
      <x:c r="G11" s="20" t="str">
        <x:v>unknown</x:v>
      </x:c>
      <x:c r="H11" s="20" t="str">
        <x:v>low</x:v>
      </x:c>
      <x:c r="I11" s="20" t="str">
        <x:v>asin_target</x:v>
      </x:c>
      <x:c r="J11" s="20" t="str">
        <x:v>asin_metadata_pending</x:v>
      </x:c>
      <x:c r="K11" s="20" t="str">
        <x:v>asin_without_metadata</x:v>
      </x:c>
      <x:c r="L11" s="20" t="str">
        <x:v>not_applicable</x:v>
      </x:c>
      <x:c r="M11" s="20" t="str">
        <x:v>non_model</x:v>
      </x:c>
      <x:c r="N11" s="20" t="str">
        <x:v>1</x:v>
      </x:c>
      <x:c r="O11" s="20" t="str">
        <x:v>1.0.0</x:v>
      </x:c>
      <x:c r="P11" s="20" t="str">
        <x:v>1.1.0</x:v>
      </x:c>
      <x:c r="Q11" s="20" t="str">
        <x:v>deepseek/deepseek-v4-pro</x:v>
      </x:c>
      <x:c r="R11" s="20" t="str">
        <x:v>aj2-y90-20260714T234810-0bea2f52</x:v>
      </x:c>
    </x:row>
    <x:row r="12" ht="28" customHeight="1">
      <x:c r="A12" s="20" t="str">
        <x:v>B0GMQN9BZV</x:v>
      </x:c>
      <x:c r="B12" s="20" t="str">
        <x:v>b0gmqn9bzv</x:v>
      </x:c>
      <x:c r="C12" s="20" t="str">
        <x:v>04ba9cafecdf59e2</x:v>
      </x:c>
      <x:c r="D12" s="20" t="str">
        <x:v>asin_target</x:v>
      </x:c>
      <x:c r="E12" s="20" t="str">
        <x:v>en</x:v>
      </x:c>
      <x:c r="F12" s="20" t="str">
        <x:v>该搜索词为 ASIN 形式，需补充商品元数据后再判断用户意图。</x:v>
      </x:c>
      <x:c r="G12" s="20" t="str">
        <x:v>unknown</x:v>
      </x:c>
      <x:c r="H12" s="20" t="str">
        <x:v>low</x:v>
      </x:c>
      <x:c r="I12" s="20" t="str">
        <x:v>asin_target</x:v>
      </x:c>
      <x:c r="J12" s="20" t="str">
        <x:v>asin_metadata_pending</x:v>
      </x:c>
      <x:c r="K12" s="20" t="str">
        <x:v>asin_without_metadata</x:v>
      </x:c>
      <x:c r="L12" s="20" t="str">
        <x:v>not_applicable</x:v>
      </x:c>
      <x:c r="M12" s="20" t="str">
        <x:v>non_model</x:v>
      </x:c>
      <x:c r="N12" s="20" t="str">
        <x:v>1</x:v>
      </x:c>
      <x:c r="O12" s="20" t="str">
        <x:v>1.0.0</x:v>
      </x:c>
      <x:c r="P12" s="20" t="str">
        <x:v>1.1.0</x:v>
      </x:c>
      <x:c r="Q12" s="20" t="str">
        <x:v>deepseek/deepseek-v4-pro</x:v>
      </x:c>
      <x:c r="R12" s="20" t="str">
        <x:v>aj2-y90-20260714T234810-0bea2f52</x:v>
      </x:c>
    </x:row>
    <x:row r="13" ht="28" customHeight="1">
      <x:c r="A13" s="20" t="str">
        <x:v>B0GLFPSMWP</x:v>
      </x:c>
      <x:c r="B13" s="20" t="str">
        <x:v>b0glfpsmwp</x:v>
      </x:c>
      <x:c r="C13" s="20" t="str">
        <x:v>04fae44864cd1d16</x:v>
      </x:c>
      <x:c r="D13" s="20" t="str">
        <x:v>asin_target</x:v>
      </x:c>
      <x:c r="E13" s="20" t="str">
        <x:v>en</x:v>
      </x:c>
      <x:c r="F13" s="20" t="str">
        <x:v>该搜索词为 ASIN 形式，需补充商品元数据后再判断用户意图。</x:v>
      </x:c>
      <x:c r="G13" s="20" t="str">
        <x:v>unknown</x:v>
      </x:c>
      <x:c r="H13" s="20" t="str">
        <x:v>low</x:v>
      </x:c>
      <x:c r="I13" s="20" t="str">
        <x:v>asin_target</x:v>
      </x:c>
      <x:c r="J13" s="20" t="str">
        <x:v>asin_metadata_pending</x:v>
      </x:c>
      <x:c r="K13" s="20" t="str">
        <x:v>asin_without_metadata</x:v>
      </x:c>
      <x:c r="L13" s="20" t="str">
        <x:v>not_applicable</x:v>
      </x:c>
      <x:c r="M13" s="20" t="str">
        <x:v>non_model</x:v>
      </x:c>
      <x:c r="N13" s="20" t="str">
        <x:v>1</x:v>
      </x:c>
      <x:c r="O13" s="20" t="str">
        <x:v>1.0.0</x:v>
      </x:c>
      <x:c r="P13" s="20" t="str">
        <x:v>1.1.0</x:v>
      </x:c>
      <x:c r="Q13" s="20" t="str">
        <x:v>deepseek/deepseek-v4-pro</x:v>
      </x:c>
      <x:c r="R13" s="20" t="str">
        <x:v>aj2-y90-20260714T234810-0bea2f52</x:v>
      </x:c>
    </x:row>
    <x:row r="14" ht="28" customHeight="1">
      <x:c r="A14" s="20" t="str">
        <x:v>B0GLFJQR2K</x:v>
      </x:c>
      <x:c r="B14" s="20" t="str">
        <x:v>b0glfjqr2k</x:v>
      </x:c>
      <x:c r="C14" s="20" t="str">
        <x:v>0559c18e51a3d807</x:v>
      </x:c>
      <x:c r="D14" s="20" t="str">
        <x:v>asin_target</x:v>
      </x:c>
      <x:c r="E14" s="20" t="str">
        <x:v>en</x:v>
      </x:c>
      <x:c r="F14" s="20" t="str">
        <x:v>该搜索词为 ASIN 形式，需补充商品元数据后再判断用户意图。</x:v>
      </x:c>
      <x:c r="G14" s="20" t="str">
        <x:v>unknown</x:v>
      </x:c>
      <x:c r="H14" s="20" t="str">
        <x:v>low</x:v>
      </x:c>
      <x:c r="I14" s="20" t="str">
        <x:v>asin_target</x:v>
      </x:c>
      <x:c r="J14" s="20" t="str">
        <x:v>asin_metadata_pending</x:v>
      </x:c>
      <x:c r="K14" s="20" t="str">
        <x:v>asin_without_metadata</x:v>
      </x:c>
      <x:c r="L14" s="20" t="str">
        <x:v>not_applicable</x:v>
      </x:c>
      <x:c r="M14" s="20" t="str">
        <x:v>non_model</x:v>
      </x:c>
      <x:c r="N14" s="20" t="str">
        <x:v>1</x:v>
      </x:c>
      <x:c r="O14" s="20" t="str">
        <x:v>1.0.0</x:v>
      </x:c>
      <x:c r="P14" s="20" t="str">
        <x:v>1.1.0</x:v>
      </x:c>
      <x:c r="Q14" s="20" t="str">
        <x:v>deepseek/deepseek-v4-pro</x:v>
      </x:c>
      <x:c r="R14" s="20" t="str">
        <x:v>aj2-y90-20260714T234810-0bea2f52</x:v>
      </x:c>
    </x:row>
    <x:row r="15" ht="28" customHeight="1">
      <x:c r="A15" s="20" t="str">
        <x:v>B0FR8ZVD9Q</x:v>
      </x:c>
      <x:c r="B15" s="20" t="str">
        <x:v>b0fr8zvd9q</x:v>
      </x:c>
      <x:c r="C15" s="20" t="str">
        <x:v>0601600aba30e40e</x:v>
      </x:c>
      <x:c r="D15" s="20" t="str">
        <x:v>asin_target</x:v>
      </x:c>
      <x:c r="E15" s="20" t="str">
        <x:v>en</x:v>
      </x:c>
      <x:c r="F15" s="20" t="str">
        <x:v>该搜索词为 ASIN 形式，需补充商品元数据后再判断用户意图。</x:v>
      </x:c>
      <x:c r="G15" s="20" t="str">
        <x:v>unknown</x:v>
      </x:c>
      <x:c r="H15" s="20" t="str">
        <x:v>low</x:v>
      </x:c>
      <x:c r="I15" s="20" t="str">
        <x:v>asin_target</x:v>
      </x:c>
      <x:c r="J15" s="20" t="str">
        <x:v>asin_metadata_pending</x:v>
      </x:c>
      <x:c r="K15" s="20" t="str">
        <x:v>asin_without_metadata</x:v>
      </x:c>
      <x:c r="L15" s="20" t="str">
        <x:v>not_applicable</x:v>
      </x:c>
      <x:c r="M15" s="20" t="str">
        <x:v>non_model</x:v>
      </x:c>
      <x:c r="N15" s="20" t="str">
        <x:v>1</x:v>
      </x:c>
      <x:c r="O15" s="20" t="str">
        <x:v>1.0.0</x:v>
      </x:c>
      <x:c r="P15" s="20" t="str">
        <x:v>1.1.0</x:v>
      </x:c>
      <x:c r="Q15" s="20" t="str">
        <x:v>deepseek/deepseek-v4-pro</x:v>
      </x:c>
      <x:c r="R15" s="20" t="str">
        <x:v>aj2-y90-20260714T234810-0bea2f52</x:v>
      </x:c>
    </x:row>
    <x:row r="16" ht="28" customHeight="1">
      <x:c r="A16" s="20" t="str">
        <x:v>B0G52B96XB</x:v>
      </x:c>
      <x:c r="B16" s="20" t="str">
        <x:v>b0g52b96xb</x:v>
      </x:c>
      <x:c r="C16" s="20" t="str">
        <x:v>061b62cd2c462674</x:v>
      </x:c>
      <x:c r="D16" s="20" t="str">
        <x:v>asin_target</x:v>
      </x:c>
      <x:c r="E16" s="20" t="str">
        <x:v>en</x:v>
      </x:c>
      <x:c r="F16" s="20" t="str">
        <x:v>该搜索词为 ASIN 形式，需补充商品元数据后再判断用户意图。</x:v>
      </x:c>
      <x:c r="G16" s="20" t="str">
        <x:v>unknown</x:v>
      </x:c>
      <x:c r="H16" s="20" t="str">
        <x:v>low</x:v>
      </x:c>
      <x:c r="I16" s="20" t="str">
        <x:v>asin_target</x:v>
      </x:c>
      <x:c r="J16" s="20" t="str">
        <x:v>asin_metadata_pending</x:v>
      </x:c>
      <x:c r="K16" s="20" t="str">
        <x:v>asin_without_metadata</x:v>
      </x:c>
      <x:c r="L16" s="20" t="str">
        <x:v>not_applicable</x:v>
      </x:c>
      <x:c r="M16" s="20" t="str">
        <x:v>non_model</x:v>
      </x:c>
      <x:c r="N16" s="20" t="str">
        <x:v>1</x:v>
      </x:c>
      <x:c r="O16" s="20" t="str">
        <x:v>1.0.0</x:v>
      </x:c>
      <x:c r="P16" s="20" t="str">
        <x:v>1.1.0</x:v>
      </x:c>
      <x:c r="Q16" s="20" t="str">
        <x:v>deepseek/deepseek-v4-pro</x:v>
      </x:c>
      <x:c r="R16" s="20" t="str">
        <x:v>aj2-y90-20260714T234810-0bea2f52</x:v>
      </x:c>
    </x:row>
    <x:row r="17" ht="28" customHeight="1">
      <x:c r="A17" s="20" t="str">
        <x:v>B09L8D97QQ</x:v>
      </x:c>
      <x:c r="B17" s="20" t="str">
        <x:v>b09l8d97qq</x:v>
      </x:c>
      <x:c r="C17" s="20" t="str">
        <x:v>063d24e8b9caa430</x:v>
      </x:c>
      <x:c r="D17" s="20" t="str">
        <x:v>asin_target</x:v>
      </x:c>
      <x:c r="E17" s="20" t="str">
        <x:v>en</x:v>
      </x:c>
      <x:c r="F17" s="20" t="str">
        <x:v>该搜索词为 ASIN 形式，需补充商品元数据后再判断用户意图。</x:v>
      </x:c>
      <x:c r="G17" s="20" t="str">
        <x:v>unknown</x:v>
      </x:c>
      <x:c r="H17" s="20" t="str">
        <x:v>low</x:v>
      </x:c>
      <x:c r="I17" s="20" t="str">
        <x:v>asin_target</x:v>
      </x:c>
      <x:c r="J17" s="20" t="str">
        <x:v>asin_metadata_pending</x:v>
      </x:c>
      <x:c r="K17" s="20" t="str">
        <x:v>asin_without_metadata</x:v>
      </x:c>
      <x:c r="L17" s="20" t="str">
        <x:v>not_applicable</x:v>
      </x:c>
      <x:c r="M17" s="20" t="str">
        <x:v>non_model</x:v>
      </x:c>
      <x:c r="N17" s="20" t="str">
        <x:v>1</x:v>
      </x:c>
      <x:c r="O17" s="20" t="str">
        <x:v>1.0.0</x:v>
      </x:c>
      <x:c r="P17" s="20" t="str">
        <x:v>1.1.0</x:v>
      </x:c>
      <x:c r="Q17" s="20" t="str">
        <x:v>deepseek/deepseek-v4-pro</x:v>
      </x:c>
      <x:c r="R17" s="20" t="str">
        <x:v>aj2-y90-20260714T234810-0bea2f52</x:v>
      </x:c>
    </x:row>
    <x:row r="18" ht="28" customHeight="1">
      <x:c r="A18" s="20" t="str">
        <x:v>B0GLPV1YQM</x:v>
      </x:c>
      <x:c r="B18" s="20" t="str">
        <x:v>b0glpv1yqm</x:v>
      </x:c>
      <x:c r="C18" s="20" t="str">
        <x:v>069c2657d74b2bbc</x:v>
      </x:c>
      <x:c r="D18" s="20" t="str">
        <x:v>asin_target</x:v>
      </x:c>
      <x:c r="E18" s="20" t="str">
        <x:v>en</x:v>
      </x:c>
      <x:c r="F18" s="20" t="str">
        <x:v>该搜索词为 ASIN 形式，需补充商品元数据后再判断用户意图。</x:v>
      </x:c>
      <x:c r="G18" s="20" t="str">
        <x:v>unknown</x:v>
      </x:c>
      <x:c r="H18" s="20" t="str">
        <x:v>low</x:v>
      </x:c>
      <x:c r="I18" s="20" t="str">
        <x:v>asin_target</x:v>
      </x:c>
      <x:c r="J18" s="20" t="str">
        <x:v>asin_metadata_pending</x:v>
      </x:c>
      <x:c r="K18" s="20" t="str">
        <x:v>asin_without_metadata</x:v>
      </x:c>
      <x:c r="L18" s="20" t="str">
        <x:v>not_applicable</x:v>
      </x:c>
      <x:c r="M18" s="20" t="str">
        <x:v>non_model</x:v>
      </x:c>
      <x:c r="N18" s="20" t="str">
        <x:v>1</x:v>
      </x:c>
      <x:c r="O18" s="20" t="str">
        <x:v>1.0.0</x:v>
      </x:c>
      <x:c r="P18" s="20" t="str">
        <x:v>1.1.0</x:v>
      </x:c>
      <x:c r="Q18" s="20" t="str">
        <x:v>deepseek/deepseek-v4-pro</x:v>
      </x:c>
      <x:c r="R18" s="20" t="str">
        <x:v>aj2-y90-20260714T234810-0bea2f52</x:v>
      </x:c>
    </x:row>
    <x:row r="19" ht="28" customHeight="1">
      <x:c r="A19" s="20" t="str">
        <x:v>B0DG1FTDT2</x:v>
      </x:c>
      <x:c r="B19" s="20" t="str">
        <x:v>b0dg1ftdt2</x:v>
      </x:c>
      <x:c r="C19" s="20" t="str">
        <x:v>06d7dc41d5d55c70</x:v>
      </x:c>
      <x:c r="D19" s="20" t="str">
        <x:v>asin_target</x:v>
      </x:c>
      <x:c r="E19" s="20" t="str">
        <x:v>en</x:v>
      </x:c>
      <x:c r="F19" s="20" t="str">
        <x:v>该搜索词为 ASIN 形式，需补充商品元数据后再判断用户意图。</x:v>
      </x:c>
      <x:c r="G19" s="20" t="str">
        <x:v>unknown</x:v>
      </x:c>
      <x:c r="H19" s="20" t="str">
        <x:v>low</x:v>
      </x:c>
      <x:c r="I19" s="20" t="str">
        <x:v>asin_target</x:v>
      </x:c>
      <x:c r="J19" s="20" t="str">
        <x:v>asin_metadata_pending</x:v>
      </x:c>
      <x:c r="K19" s="20" t="str">
        <x:v>asin_without_metadata</x:v>
      </x:c>
      <x:c r="L19" s="20" t="str">
        <x:v>not_applicable</x:v>
      </x:c>
      <x:c r="M19" s="20" t="str">
        <x:v>non_model</x:v>
      </x:c>
      <x:c r="N19" s="20" t="str">
        <x:v>1</x:v>
      </x:c>
      <x:c r="O19" s="20" t="str">
        <x:v>1.0.0</x:v>
      </x:c>
      <x:c r="P19" s="20" t="str">
        <x:v>1.1.0</x:v>
      </x:c>
      <x:c r="Q19" s="20" t="str">
        <x:v>deepseek/deepseek-v4-pro</x:v>
      </x:c>
      <x:c r="R19" s="20" t="str">
        <x:v>aj2-y90-20260714T234810-0bea2f52</x:v>
      </x:c>
    </x:row>
    <x:row r="20" ht="28" customHeight="1">
      <x:c r="A20" s="20" t="str">
        <x:v>B0BKBKR23K</x:v>
      </x:c>
      <x:c r="B20" s="20" t="str">
        <x:v>b0bkbkr23k</x:v>
      </x:c>
      <x:c r="C20" s="20" t="str">
        <x:v>06d9b6cc0ce8de45</x:v>
      </x:c>
      <x:c r="D20" s="20" t="str">
        <x:v>asin_target</x:v>
      </x:c>
      <x:c r="E20" s="20" t="str">
        <x:v>en</x:v>
      </x:c>
      <x:c r="F20" s="20" t="str">
        <x:v>该搜索词为 ASIN 形式，需补充商品元数据后再判断用户意图。</x:v>
      </x:c>
      <x:c r="G20" s="20" t="str">
        <x:v>unknown</x:v>
      </x:c>
      <x:c r="H20" s="20" t="str">
        <x:v>low</x:v>
      </x:c>
      <x:c r="I20" s="20" t="str">
        <x:v>asin_target</x:v>
      </x:c>
      <x:c r="J20" s="20" t="str">
        <x:v>asin_metadata_pending</x:v>
      </x:c>
      <x:c r="K20" s="20" t="str">
        <x:v>asin_without_metadata</x:v>
      </x:c>
      <x:c r="L20" s="20" t="str">
        <x:v>not_applicable</x:v>
      </x:c>
      <x:c r="M20" s="20" t="str">
        <x:v>non_model</x:v>
      </x:c>
      <x:c r="N20" s="20" t="str">
        <x:v>3</x:v>
      </x:c>
      <x:c r="O20" s="20" t="str">
        <x:v>1.0.0</x:v>
      </x:c>
      <x:c r="P20" s="20" t="str">
        <x:v>1.1.0</x:v>
      </x:c>
      <x:c r="Q20" s="20" t="str">
        <x:v>deepseek/deepseek-v4-pro</x:v>
      </x:c>
      <x:c r="R20" s="20" t="str">
        <x:v>aj2-y90-20260714T234810-0bea2f52</x:v>
      </x:c>
    </x:row>
    <x:row r="21" ht="28" customHeight="1">
      <x:c r="A21" s="20" t="str">
        <x:v>B0G48NRTBD</x:v>
      </x:c>
      <x:c r="B21" s="20" t="str">
        <x:v>b0g48nrtbd</x:v>
      </x:c>
      <x:c r="C21" s="20" t="str">
        <x:v>071bebe80fd1b86b</x:v>
      </x:c>
      <x:c r="D21" s="20" t="str">
        <x:v>asin_target</x:v>
      </x:c>
      <x:c r="E21" s="20" t="str">
        <x:v>en</x:v>
      </x:c>
      <x:c r="F21" s="20" t="str">
        <x:v>该搜索词为 ASIN 形式，需补充商品元数据后再判断用户意图。</x:v>
      </x:c>
      <x:c r="G21" s="20" t="str">
        <x:v>unknown</x:v>
      </x:c>
      <x:c r="H21" s="20" t="str">
        <x:v>low</x:v>
      </x:c>
      <x:c r="I21" s="20" t="str">
        <x:v>asin_target</x:v>
      </x:c>
      <x:c r="J21" s="20" t="str">
        <x:v>asin_metadata_pending</x:v>
      </x:c>
      <x:c r="K21" s="20" t="str">
        <x:v>asin_without_metadata</x:v>
      </x:c>
      <x:c r="L21" s="20" t="str">
        <x:v>not_applicable</x:v>
      </x:c>
      <x:c r="M21" s="20" t="str">
        <x:v>non_model</x:v>
      </x:c>
      <x:c r="N21" s="20" t="str">
        <x:v>1</x:v>
      </x:c>
      <x:c r="O21" s="20" t="str">
        <x:v>1.0.0</x:v>
      </x:c>
      <x:c r="P21" s="20" t="str">
        <x:v>1.1.0</x:v>
      </x:c>
      <x:c r="Q21" s="20" t="str">
        <x:v>deepseek/deepseek-v4-pro</x:v>
      </x:c>
      <x:c r="R21" s="20" t="str">
        <x:v>aj2-y90-20260714T234810-0bea2f52</x:v>
      </x:c>
    </x:row>
    <x:row r="22" ht="28" customHeight="1">
      <x:c r="A22" s="20" t="str">
        <x:v>B0FXGBNZJH</x:v>
      </x:c>
      <x:c r="B22" s="20" t="str">
        <x:v>b0fxgbnzjh</x:v>
      </x:c>
      <x:c r="C22" s="20" t="str">
        <x:v>087bc069202f46a5</x:v>
      </x:c>
      <x:c r="D22" s="20" t="str">
        <x:v>asin_target</x:v>
      </x:c>
      <x:c r="E22" s="20" t="str">
        <x:v>en</x:v>
      </x:c>
      <x:c r="F22" s="20" t="str">
        <x:v>该搜索词为 ASIN 形式，需补充商品元数据后再判断用户意图。</x:v>
      </x:c>
      <x:c r="G22" s="20" t="str">
        <x:v>unknown</x:v>
      </x:c>
      <x:c r="H22" s="20" t="str">
        <x:v>low</x:v>
      </x:c>
      <x:c r="I22" s="20" t="str">
        <x:v>asin_target</x:v>
      </x:c>
      <x:c r="J22" s="20" t="str">
        <x:v>asin_metadata_pending</x:v>
      </x:c>
      <x:c r="K22" s="20" t="str">
        <x:v>asin_without_metadata</x:v>
      </x:c>
      <x:c r="L22" s="20" t="str">
        <x:v>not_applicable</x:v>
      </x:c>
      <x:c r="M22" s="20" t="str">
        <x:v>non_model</x:v>
      </x:c>
      <x:c r="N22" s="20" t="str">
        <x:v>1</x:v>
      </x:c>
      <x:c r="O22" s="20" t="str">
        <x:v>1.0.0</x:v>
      </x:c>
      <x:c r="P22" s="20" t="str">
        <x:v>1.1.0</x:v>
      </x:c>
      <x:c r="Q22" s="20" t="str">
        <x:v>deepseek/deepseek-v4-pro</x:v>
      </x:c>
      <x:c r="R22" s="20" t="str">
        <x:v>aj2-y90-20260714T234810-0bea2f52</x:v>
      </x:c>
    </x:row>
    <x:row r="23" ht="28" customHeight="1">
      <x:c r="A23" s="20" t="str">
        <x:v>B09QXCC517</x:v>
      </x:c>
      <x:c r="B23" s="20" t="str">
        <x:v>b09qxcc517</x:v>
      </x:c>
      <x:c r="C23" s="20" t="str">
        <x:v>099a9e42cd6c9255</x:v>
      </x:c>
      <x:c r="D23" s="20" t="str">
        <x:v>asin_target</x:v>
      </x:c>
      <x:c r="E23" s="20" t="str">
        <x:v>en</x:v>
      </x:c>
      <x:c r="F23" s="20" t="str">
        <x:v>该搜索词为 ASIN 形式，需补充商品元数据后再判断用户意图。</x:v>
      </x:c>
      <x:c r="G23" s="20" t="str">
        <x:v>unknown</x:v>
      </x:c>
      <x:c r="H23" s="20" t="str">
        <x:v>low</x:v>
      </x:c>
      <x:c r="I23" s="20" t="str">
        <x:v>asin_target</x:v>
      </x:c>
      <x:c r="J23" s="20" t="str">
        <x:v>asin_metadata_pending</x:v>
      </x:c>
      <x:c r="K23" s="20" t="str">
        <x:v>asin_without_metadata</x:v>
      </x:c>
      <x:c r="L23" s="20" t="str">
        <x:v>not_applicable</x:v>
      </x:c>
      <x:c r="M23" s="20" t="str">
        <x:v>non_model</x:v>
      </x:c>
      <x:c r="N23" s="20" t="str">
        <x:v>1</x:v>
      </x:c>
      <x:c r="O23" s="20" t="str">
        <x:v>1.0.0</x:v>
      </x:c>
      <x:c r="P23" s="20" t="str">
        <x:v>1.1.0</x:v>
      </x:c>
      <x:c r="Q23" s="20" t="str">
        <x:v>deepseek/deepseek-v4-pro</x:v>
      </x:c>
      <x:c r="R23" s="20" t="str">
        <x:v>aj2-y90-20260714T234810-0bea2f52</x:v>
      </x:c>
    </x:row>
    <x:row r="24" ht="28" customHeight="1">
      <x:c r="A24" s="20" t="str">
        <x:v>B09SWZ3WMH</x:v>
      </x:c>
      <x:c r="B24" s="20" t="str">
        <x:v>b09swz3wmh</x:v>
      </x:c>
      <x:c r="C24" s="20" t="str">
        <x:v>09b1e0685f780ecb</x:v>
      </x:c>
      <x:c r="D24" s="20" t="str">
        <x:v>asin_target</x:v>
      </x:c>
      <x:c r="E24" s="20" t="str">
        <x:v>en</x:v>
      </x:c>
      <x:c r="F24" s="20" t="str">
        <x:v>该搜索词为 ASIN 形式，需补充商品元数据后再判断用户意图。</x:v>
      </x:c>
      <x:c r="G24" s="20" t="str">
        <x:v>unknown</x:v>
      </x:c>
      <x:c r="H24" s="20" t="str">
        <x:v>low</x:v>
      </x:c>
      <x:c r="I24" s="20" t="str">
        <x:v>asin_target</x:v>
      </x:c>
      <x:c r="J24" s="20" t="str">
        <x:v>asin_metadata_pending</x:v>
      </x:c>
      <x:c r="K24" s="20" t="str">
        <x:v>asin_without_metadata</x:v>
      </x:c>
      <x:c r="L24" s="20" t="str">
        <x:v>not_applicable</x:v>
      </x:c>
      <x:c r="M24" s="20" t="str">
        <x:v>non_model</x:v>
      </x:c>
      <x:c r="N24" s="20" t="str">
        <x:v>1</x:v>
      </x:c>
      <x:c r="O24" s="20" t="str">
        <x:v>1.0.0</x:v>
      </x:c>
      <x:c r="P24" s="20" t="str">
        <x:v>1.1.0</x:v>
      </x:c>
      <x:c r="Q24" s="20" t="str">
        <x:v>deepseek/deepseek-v4-pro</x:v>
      </x:c>
      <x:c r="R24" s="20" t="str">
        <x:v>aj2-y90-20260714T234810-0bea2f52</x:v>
      </x:c>
    </x:row>
    <x:row r="25" ht="28" customHeight="1">
      <x:c r="A25" s="20" t="str">
        <x:v>B0GGQYMGBN</x:v>
      </x:c>
      <x:c r="B25" s="20" t="str">
        <x:v>b0ggqymgbn</x:v>
      </x:c>
      <x:c r="C25" s="20" t="str">
        <x:v>09db1fbfdc4d09fe</x:v>
      </x:c>
      <x:c r="D25" s="20" t="str">
        <x:v>asin_target</x:v>
      </x:c>
      <x:c r="E25" s="20" t="str">
        <x:v>en</x:v>
      </x:c>
      <x:c r="F25" s="20" t="str">
        <x:v>该搜索词为 ASIN 形式，需补充商品元数据后再判断用户意图。</x:v>
      </x:c>
      <x:c r="G25" s="20" t="str">
        <x:v>unknown</x:v>
      </x:c>
      <x:c r="H25" s="20" t="str">
        <x:v>low</x:v>
      </x:c>
      <x:c r="I25" s="20" t="str">
        <x:v>asin_target</x:v>
      </x:c>
      <x:c r="J25" s="20" t="str">
        <x:v>asin_metadata_pending</x:v>
      </x:c>
      <x:c r="K25" s="20" t="str">
        <x:v>asin_without_metadata</x:v>
      </x:c>
      <x:c r="L25" s="20" t="str">
        <x:v>not_applicable</x:v>
      </x:c>
      <x:c r="M25" s="20" t="str">
        <x:v>non_model</x:v>
      </x:c>
      <x:c r="N25" s="20" t="str">
        <x:v>1</x:v>
      </x:c>
      <x:c r="O25" s="20" t="str">
        <x:v>1.0.0</x:v>
      </x:c>
      <x:c r="P25" s="20" t="str">
        <x:v>1.1.0</x:v>
      </x:c>
      <x:c r="Q25" s="20" t="str">
        <x:v>deepseek/deepseek-v4-pro</x:v>
      </x:c>
      <x:c r="R25" s="20" t="str">
        <x:v>aj2-y90-20260714T234810-0bea2f52</x:v>
      </x:c>
    </x:row>
    <x:row r="26" ht="28" customHeight="1">
      <x:c r="A26" s="20" t="str">
        <x:v>B09LC836QG</x:v>
      </x:c>
      <x:c r="B26" s="20" t="str">
        <x:v>b09lc836qg</x:v>
      </x:c>
      <x:c r="C26" s="20" t="str">
        <x:v>09ecde28a048cfbd</x:v>
      </x:c>
      <x:c r="D26" s="20" t="str">
        <x:v>asin_target</x:v>
      </x:c>
      <x:c r="E26" s="20" t="str">
        <x:v>en</x:v>
      </x:c>
      <x:c r="F26" s="20" t="str">
        <x:v>该搜索词为 ASIN 形式，需补充商品元数据后再判断用户意图。</x:v>
      </x:c>
      <x:c r="G26" s="20" t="str">
        <x:v>unknown</x:v>
      </x:c>
      <x:c r="H26" s="20" t="str">
        <x:v>low</x:v>
      </x:c>
      <x:c r="I26" s="20" t="str">
        <x:v>asin_target</x:v>
      </x:c>
      <x:c r="J26" s="20" t="str">
        <x:v>asin_metadata_pending</x:v>
      </x:c>
      <x:c r="K26" s="20" t="str">
        <x:v>asin_without_metadata</x:v>
      </x:c>
      <x:c r="L26" s="20" t="str">
        <x:v>not_applicable</x:v>
      </x:c>
      <x:c r="M26" s="20" t="str">
        <x:v>non_model</x:v>
      </x:c>
      <x:c r="N26" s="20" t="str">
        <x:v>2</x:v>
      </x:c>
      <x:c r="O26" s="20" t="str">
        <x:v>1.0.0</x:v>
      </x:c>
      <x:c r="P26" s="20" t="str">
        <x:v>1.1.0</x:v>
      </x:c>
      <x:c r="Q26" s="20" t="str">
        <x:v>deepseek/deepseek-v4-pro</x:v>
      </x:c>
      <x:c r="R26" s="20" t="str">
        <x:v>aj2-y90-20260714T234810-0bea2f52</x:v>
      </x:c>
    </x:row>
    <x:row r="27" ht="28" customHeight="1">
      <x:c r="A27" s="20" t="str">
        <x:v>B0FH7BH7D9</x:v>
      </x:c>
      <x:c r="B27" s="20" t="str">
        <x:v>b0fh7bh7d9</x:v>
      </x:c>
      <x:c r="C27" s="20" t="str">
        <x:v>09edda1bf9f9dd5a</x:v>
      </x:c>
      <x:c r="D27" s="20" t="str">
        <x:v>asin_target</x:v>
      </x:c>
      <x:c r="E27" s="20" t="str">
        <x:v>en</x:v>
      </x:c>
      <x:c r="F27" s="20" t="str">
        <x:v>该搜索词为 ASIN 形式，需补充商品元数据后再判断用户意图。</x:v>
      </x:c>
      <x:c r="G27" s="20" t="str">
        <x:v>unknown</x:v>
      </x:c>
      <x:c r="H27" s="20" t="str">
        <x:v>low</x:v>
      </x:c>
      <x:c r="I27" s="20" t="str">
        <x:v>asin_target</x:v>
      </x:c>
      <x:c r="J27" s="20" t="str">
        <x:v>asin_metadata_pending</x:v>
      </x:c>
      <x:c r="K27" s="20" t="str">
        <x:v>asin_without_metadata</x:v>
      </x:c>
      <x:c r="L27" s="20" t="str">
        <x:v>not_applicable</x:v>
      </x:c>
      <x:c r="M27" s="20" t="str">
        <x:v>non_model</x:v>
      </x:c>
      <x:c r="N27" s="20" t="str">
        <x:v>1</x:v>
      </x:c>
      <x:c r="O27" s="20" t="str">
        <x:v>1.0.0</x:v>
      </x:c>
      <x:c r="P27" s="20" t="str">
        <x:v>1.1.0</x:v>
      </x:c>
      <x:c r="Q27" s="20" t="str">
        <x:v>deepseek/deepseek-v4-pro</x:v>
      </x:c>
      <x:c r="R27" s="20" t="str">
        <x:v>aj2-y90-20260714T234810-0bea2f52</x:v>
      </x:c>
    </x:row>
    <x:row r="28" ht="28" customHeight="1">
      <x:c r="A28" s="20" t="str">
        <x:v>B0G48MWDFP</x:v>
      </x:c>
      <x:c r="B28" s="20" t="str">
        <x:v>b0g48mwdfp</x:v>
      </x:c>
      <x:c r="C28" s="20" t="str">
        <x:v>09ffa05c83c6ec27</x:v>
      </x:c>
      <x:c r="D28" s="20" t="str">
        <x:v>asin_target</x:v>
      </x:c>
      <x:c r="E28" s="20" t="str">
        <x:v>en</x:v>
      </x:c>
      <x:c r="F28" s="20" t="str">
        <x:v>该搜索词为 ASIN 形式，需补充商品元数据后再判断用户意图。</x:v>
      </x:c>
      <x:c r="G28" s="20" t="str">
        <x:v>unknown</x:v>
      </x:c>
      <x:c r="H28" s="20" t="str">
        <x:v>low</x:v>
      </x:c>
      <x:c r="I28" s="20" t="str">
        <x:v>asin_target</x:v>
      </x:c>
      <x:c r="J28" s="20" t="str">
        <x:v>asin_metadata_pending</x:v>
      </x:c>
      <x:c r="K28" s="20" t="str">
        <x:v>asin_without_metadata</x:v>
      </x:c>
      <x:c r="L28" s="20" t="str">
        <x:v>not_applicable</x:v>
      </x:c>
      <x:c r="M28" s="20" t="str">
        <x:v>non_model</x:v>
      </x:c>
      <x:c r="N28" s="20" t="str">
        <x:v>1</x:v>
      </x:c>
      <x:c r="O28" s="20" t="str">
        <x:v>1.0.0</x:v>
      </x:c>
      <x:c r="P28" s="20" t="str">
        <x:v>1.1.0</x:v>
      </x:c>
      <x:c r="Q28" s="20" t="str">
        <x:v>deepseek/deepseek-v4-pro</x:v>
      </x:c>
      <x:c r="R28" s="20" t="str">
        <x:v>aj2-y90-20260714T234810-0bea2f52</x:v>
      </x:c>
    </x:row>
    <x:row r="29" ht="28" customHeight="1">
      <x:c r="A29" s="20" t="str">
        <x:v>B0GXK1M1GZ</x:v>
      </x:c>
      <x:c r="B29" s="20" t="str">
        <x:v>b0gxk1m1gz</x:v>
      </x:c>
      <x:c r="C29" s="20" t="str">
        <x:v>0b19d3dbfc963e32</x:v>
      </x:c>
      <x:c r="D29" s="20" t="str">
        <x:v>asin_target</x:v>
      </x:c>
      <x:c r="E29" s="20" t="str">
        <x:v>en</x:v>
      </x:c>
      <x:c r="F29" s="20" t="str">
        <x:v>该搜索词为 ASIN 形式，需补充商品元数据后再判断用户意图。</x:v>
      </x:c>
      <x:c r="G29" s="20" t="str">
        <x:v>unknown</x:v>
      </x:c>
      <x:c r="H29" s="20" t="str">
        <x:v>low</x:v>
      </x:c>
      <x:c r="I29" s="20" t="str">
        <x:v>asin_target</x:v>
      </x:c>
      <x:c r="J29" s="20" t="str">
        <x:v>asin_metadata_pending</x:v>
      </x:c>
      <x:c r="K29" s="20" t="str">
        <x:v>asin_without_metadata</x:v>
      </x:c>
      <x:c r="L29" s="20" t="str">
        <x:v>not_applicable</x:v>
      </x:c>
      <x:c r="M29" s="20" t="str">
        <x:v>non_model</x:v>
      </x:c>
      <x:c r="N29" s="20" t="str">
        <x:v>1</x:v>
      </x:c>
      <x:c r="O29" s="20" t="str">
        <x:v>1.0.0</x:v>
      </x:c>
      <x:c r="P29" s="20" t="str">
        <x:v>1.1.0</x:v>
      </x:c>
      <x:c r="Q29" s="20" t="str">
        <x:v>deepseek/deepseek-v4-pro</x:v>
      </x:c>
      <x:c r="R29" s="20" t="str">
        <x:v>aj2-y90-20260714T234810-0bea2f52</x:v>
      </x:c>
    </x:row>
    <x:row r="30" ht="28" customHeight="1">
      <x:c r="A30" s="20" t="str">
        <x:v>B0D2NRN958</x:v>
      </x:c>
      <x:c r="B30" s="20" t="str">
        <x:v>b0d2nrn958</x:v>
      </x:c>
      <x:c r="C30" s="20" t="str">
        <x:v>0bda79a24b9e04b6</x:v>
      </x:c>
      <x:c r="D30" s="20" t="str">
        <x:v>asin_target</x:v>
      </x:c>
      <x:c r="E30" s="20" t="str">
        <x:v>en</x:v>
      </x:c>
      <x:c r="F30" s="20" t="str">
        <x:v>该搜索词为 ASIN 形式，需补充商品元数据后再判断用户意图。</x:v>
      </x:c>
      <x:c r="G30" s="20" t="str">
        <x:v>unknown</x:v>
      </x:c>
      <x:c r="H30" s="20" t="str">
        <x:v>low</x:v>
      </x:c>
      <x:c r="I30" s="20" t="str">
        <x:v>asin_target</x:v>
      </x:c>
      <x:c r="J30" s="20" t="str">
        <x:v>asin_metadata_pending</x:v>
      </x:c>
      <x:c r="K30" s="20" t="str">
        <x:v>asin_without_metadata</x:v>
      </x:c>
      <x:c r="L30" s="20" t="str">
        <x:v>not_applicable</x:v>
      </x:c>
      <x:c r="M30" s="20" t="str">
        <x:v>non_model</x:v>
      </x:c>
      <x:c r="N30" s="20" t="str">
        <x:v>1</x:v>
      </x:c>
      <x:c r="O30" s="20" t="str">
        <x:v>1.0.0</x:v>
      </x:c>
      <x:c r="P30" s="20" t="str">
        <x:v>1.1.0</x:v>
      </x:c>
      <x:c r="Q30" s="20" t="str">
        <x:v>deepseek/deepseek-v4-pro</x:v>
      </x:c>
      <x:c r="R30" s="20" t="str">
        <x:v>aj2-y90-20260714T234810-0bea2f52</x:v>
      </x:c>
    </x:row>
    <x:row r="31" ht="28" customHeight="1">
      <x:c r="A31" s="20" t="str">
        <x:v>B0H1HQ6THD</x:v>
      </x:c>
      <x:c r="B31" s="20" t="str">
        <x:v>b0h1hq6thd</x:v>
      </x:c>
      <x:c r="C31" s="20" t="str">
        <x:v>0bf124137397e3b8</x:v>
      </x:c>
      <x:c r="D31" s="20" t="str">
        <x:v>asin_target</x:v>
      </x:c>
      <x:c r="E31" s="20" t="str">
        <x:v>en</x:v>
      </x:c>
      <x:c r="F31" s="20" t="str">
        <x:v>该搜索词为 ASIN 形式，需补充商品元数据后再判断用户意图。</x:v>
      </x:c>
      <x:c r="G31" s="20" t="str">
        <x:v>unknown</x:v>
      </x:c>
      <x:c r="H31" s="20" t="str">
        <x:v>low</x:v>
      </x:c>
      <x:c r="I31" s="20" t="str">
        <x:v>asin_target</x:v>
      </x:c>
      <x:c r="J31" s="20" t="str">
        <x:v>asin_metadata_pending</x:v>
      </x:c>
      <x:c r="K31" s="20" t="str">
        <x:v>asin_without_metadata</x:v>
      </x:c>
      <x:c r="L31" s="20" t="str">
        <x:v>not_applicable</x:v>
      </x:c>
      <x:c r="M31" s="20" t="str">
        <x:v>non_model</x:v>
      </x:c>
      <x:c r="N31" s="20" t="str">
        <x:v>1</x:v>
      </x:c>
      <x:c r="O31" s="20" t="str">
        <x:v>1.0.0</x:v>
      </x:c>
      <x:c r="P31" s="20" t="str">
        <x:v>1.1.0</x:v>
      </x:c>
      <x:c r="Q31" s="20" t="str">
        <x:v>deepseek/deepseek-v4-pro</x:v>
      </x:c>
      <x:c r="R31" s="20" t="str">
        <x:v>aj2-y90-20260714T234810-0bea2f52</x:v>
      </x:c>
    </x:row>
    <x:row r="32" ht="28" customHeight="1">
      <x:c r="A32" s="20" t="str">
        <x:v>B0GLDN8VZX</x:v>
      </x:c>
      <x:c r="B32" s="20" t="str">
        <x:v>b0gldn8vzx</x:v>
      </x:c>
      <x:c r="C32" s="20" t="str">
        <x:v>0c71d78fa4a0ab68</x:v>
      </x:c>
      <x:c r="D32" s="20" t="str">
        <x:v>asin_target</x:v>
      </x:c>
      <x:c r="E32" s="20" t="str">
        <x:v>en</x:v>
      </x:c>
      <x:c r="F32" s="20" t="str">
        <x:v>该搜索词为 ASIN 形式，需补充商品元数据后再判断用户意图。</x:v>
      </x:c>
      <x:c r="G32" s="20" t="str">
        <x:v>unknown</x:v>
      </x:c>
      <x:c r="H32" s="20" t="str">
        <x:v>low</x:v>
      </x:c>
      <x:c r="I32" s="20" t="str">
        <x:v>asin_target</x:v>
      </x:c>
      <x:c r="J32" s="20" t="str">
        <x:v>asin_metadata_pending</x:v>
      </x:c>
      <x:c r="K32" s="20" t="str">
        <x:v>asin_without_metadata</x:v>
      </x:c>
      <x:c r="L32" s="20" t="str">
        <x:v>not_applicable</x:v>
      </x:c>
      <x:c r="M32" s="20" t="str">
        <x:v>non_model</x:v>
      </x:c>
      <x:c r="N32" s="20" t="str">
        <x:v>1</x:v>
      </x:c>
      <x:c r="O32" s="20" t="str">
        <x:v>1.0.0</x:v>
      </x:c>
      <x:c r="P32" s="20" t="str">
        <x:v>1.1.0</x:v>
      </x:c>
      <x:c r="Q32" s="20" t="str">
        <x:v>deepseek/deepseek-v4-pro</x:v>
      </x:c>
      <x:c r="R32" s="20" t="str">
        <x:v>aj2-y90-20260714T234810-0bea2f52</x:v>
      </x:c>
    </x:row>
    <x:row r="33" ht="28" customHeight="1">
      <x:c r="A33" s="20" t="str">
        <x:v>B0GGQZ3RCF</x:v>
      </x:c>
      <x:c r="B33" s="20" t="str">
        <x:v>b0ggqz3rcf</x:v>
      </x:c>
      <x:c r="C33" s="20" t="str">
        <x:v>0c7df19bdfe12ddc</x:v>
      </x:c>
      <x:c r="D33" s="20" t="str">
        <x:v>asin_target</x:v>
      </x:c>
      <x:c r="E33" s="20" t="str">
        <x:v>en</x:v>
      </x:c>
      <x:c r="F33" s="20" t="str">
        <x:v>该搜索词为 ASIN 形式，需补充商品元数据后再判断用户意图。</x:v>
      </x:c>
      <x:c r="G33" s="20" t="str">
        <x:v>unknown</x:v>
      </x:c>
      <x:c r="H33" s="20" t="str">
        <x:v>low</x:v>
      </x:c>
      <x:c r="I33" s="20" t="str">
        <x:v>asin_target</x:v>
      </x:c>
      <x:c r="J33" s="20" t="str">
        <x:v>asin_metadata_pending</x:v>
      </x:c>
      <x:c r="K33" s="20" t="str">
        <x:v>asin_without_metadata</x:v>
      </x:c>
      <x:c r="L33" s="20" t="str">
        <x:v>not_applicable</x:v>
      </x:c>
      <x:c r="M33" s="20" t="str">
        <x:v>non_model</x:v>
      </x:c>
      <x:c r="N33" s="20" t="str">
        <x:v>2</x:v>
      </x:c>
      <x:c r="O33" s="20" t="str">
        <x:v>1.0.0</x:v>
      </x:c>
      <x:c r="P33" s="20" t="str">
        <x:v>1.1.0</x:v>
      </x:c>
      <x:c r="Q33" s="20" t="str">
        <x:v>deepseek/deepseek-v4-pro</x:v>
      </x:c>
      <x:c r="R33" s="20" t="str">
        <x:v>aj2-y90-20260714T234810-0bea2f52</x:v>
      </x:c>
    </x:row>
    <x:row r="34" ht="28" customHeight="1">
      <x:c r="A34" s="20" t="str">
        <x:v>B0GGQJQ7T3</x:v>
      </x:c>
      <x:c r="B34" s="20" t="str">
        <x:v>b0ggqjq7t3</x:v>
      </x:c>
      <x:c r="C34" s="20" t="str">
        <x:v>0cdbf71992f6eaf1</x:v>
      </x:c>
      <x:c r="D34" s="20" t="str">
        <x:v>asin_target</x:v>
      </x:c>
      <x:c r="E34" s="20" t="str">
        <x:v>en</x:v>
      </x:c>
      <x:c r="F34" s="20" t="str">
        <x:v>该搜索词为 ASIN 形式，需补充商品元数据后再判断用户意图。</x:v>
      </x:c>
      <x:c r="G34" s="20" t="str">
        <x:v>unknown</x:v>
      </x:c>
      <x:c r="H34" s="20" t="str">
        <x:v>low</x:v>
      </x:c>
      <x:c r="I34" s="20" t="str">
        <x:v>asin_target</x:v>
      </x:c>
      <x:c r="J34" s="20" t="str">
        <x:v>asin_metadata_pending</x:v>
      </x:c>
      <x:c r="K34" s="20" t="str">
        <x:v>asin_without_metadata</x:v>
      </x:c>
      <x:c r="L34" s="20" t="str">
        <x:v>not_applicable</x:v>
      </x:c>
      <x:c r="M34" s="20" t="str">
        <x:v>non_model</x:v>
      </x:c>
      <x:c r="N34" s="20" t="str">
        <x:v>1</x:v>
      </x:c>
      <x:c r="O34" s="20" t="str">
        <x:v>1.0.0</x:v>
      </x:c>
      <x:c r="P34" s="20" t="str">
        <x:v>1.1.0</x:v>
      </x:c>
      <x:c r="Q34" s="20" t="str">
        <x:v>deepseek/deepseek-v4-pro</x:v>
      </x:c>
      <x:c r="R34" s="20" t="str">
        <x:v>aj2-y90-20260714T234810-0bea2f52</x:v>
      </x:c>
    </x:row>
    <x:row r="35" ht="28" customHeight="1">
      <x:c r="A35" s="20" t="str">
        <x:v>B0CN38MBK7</x:v>
      </x:c>
      <x:c r="B35" s="20" t="str">
        <x:v>b0cn38mbk7</x:v>
      </x:c>
      <x:c r="C35" s="20" t="str">
        <x:v>0d503150b38b440a</x:v>
      </x:c>
      <x:c r="D35" s="20" t="str">
        <x:v>asin_target</x:v>
      </x:c>
      <x:c r="E35" s="20" t="str">
        <x:v>en</x:v>
      </x:c>
      <x:c r="F35" s="20" t="str">
        <x:v>该搜索词为 ASIN 形式，需补充商品元数据后再判断用户意图。</x:v>
      </x:c>
      <x:c r="G35" s="20" t="str">
        <x:v>unknown</x:v>
      </x:c>
      <x:c r="H35" s="20" t="str">
        <x:v>low</x:v>
      </x:c>
      <x:c r="I35" s="20" t="str">
        <x:v>asin_target</x:v>
      </x:c>
      <x:c r="J35" s="20" t="str">
        <x:v>asin_metadata_pending</x:v>
      </x:c>
      <x:c r="K35" s="20" t="str">
        <x:v>asin_without_metadata</x:v>
      </x:c>
      <x:c r="L35" s="20" t="str">
        <x:v>not_applicable</x:v>
      </x:c>
      <x:c r="M35" s="20" t="str">
        <x:v>non_model</x:v>
      </x:c>
      <x:c r="N35" s="20" t="str">
        <x:v>1</x:v>
      </x:c>
      <x:c r="O35" s="20" t="str">
        <x:v>1.0.0</x:v>
      </x:c>
      <x:c r="P35" s="20" t="str">
        <x:v>1.1.0</x:v>
      </x:c>
      <x:c r="Q35" s="20" t="str">
        <x:v>deepseek/deepseek-v4-pro</x:v>
      </x:c>
      <x:c r="R35" s="20" t="str">
        <x:v>aj2-y90-20260714T234810-0bea2f52</x:v>
      </x:c>
    </x:row>
    <x:row r="36" ht="28" customHeight="1">
      <x:c r="A36" s="20" t="str">
        <x:v>B0D2NQ9DRY</x:v>
      </x:c>
      <x:c r="B36" s="20" t="str">
        <x:v>b0d2nq9dry</x:v>
      </x:c>
      <x:c r="C36" s="20" t="str">
        <x:v>0d5def1a81641f1e</x:v>
      </x:c>
      <x:c r="D36" s="20" t="str">
        <x:v>asin_target</x:v>
      </x:c>
      <x:c r="E36" s="20" t="str">
        <x:v>en</x:v>
      </x:c>
      <x:c r="F36" s="20" t="str">
        <x:v>该搜索词为 ASIN 形式，需补充商品元数据后再判断用户意图。</x:v>
      </x:c>
      <x:c r="G36" s="20" t="str">
        <x:v>unknown</x:v>
      </x:c>
      <x:c r="H36" s="20" t="str">
        <x:v>low</x:v>
      </x:c>
      <x:c r="I36" s="20" t="str">
        <x:v>asin_target</x:v>
      </x:c>
      <x:c r="J36" s="20" t="str">
        <x:v>asin_metadata_pending</x:v>
      </x:c>
      <x:c r="K36" s="20" t="str">
        <x:v>asin_without_metadata</x:v>
      </x:c>
      <x:c r="L36" s="20" t="str">
        <x:v>not_applicable</x:v>
      </x:c>
      <x:c r="M36" s="20" t="str">
        <x:v>non_model</x:v>
      </x:c>
      <x:c r="N36" s="20" t="str">
        <x:v>1</x:v>
      </x:c>
      <x:c r="O36" s="20" t="str">
        <x:v>1.0.0</x:v>
      </x:c>
      <x:c r="P36" s="20" t="str">
        <x:v>1.1.0</x:v>
      </x:c>
      <x:c r="Q36" s="20" t="str">
        <x:v>deepseek/deepseek-v4-pro</x:v>
      </x:c>
      <x:c r="R36" s="20" t="str">
        <x:v>aj2-y90-20260714T234810-0bea2f52</x:v>
      </x:c>
    </x:row>
    <x:row r="37" ht="28" customHeight="1">
      <x:c r="A37" s="20" t="str">
        <x:v>B0DTN5PMN6</x:v>
      </x:c>
      <x:c r="B37" s="20" t="str">
        <x:v>b0dtn5pmn6</x:v>
      </x:c>
      <x:c r="C37" s="20" t="str">
        <x:v>0dbbccebdf20a4b5</x:v>
      </x:c>
      <x:c r="D37" s="20" t="str">
        <x:v>asin_target</x:v>
      </x:c>
      <x:c r="E37" s="20" t="str">
        <x:v>en</x:v>
      </x:c>
      <x:c r="F37" s="20" t="str">
        <x:v>该搜索词为 ASIN 形式，需补充商品元数据后再判断用户意图。</x:v>
      </x:c>
      <x:c r="G37" s="20" t="str">
        <x:v>unknown</x:v>
      </x:c>
      <x:c r="H37" s="20" t="str">
        <x:v>low</x:v>
      </x:c>
      <x:c r="I37" s="20" t="str">
        <x:v>asin_target</x:v>
      </x:c>
      <x:c r="J37" s="20" t="str">
        <x:v>asin_metadata_pending</x:v>
      </x:c>
      <x:c r="K37" s="20" t="str">
        <x:v>asin_without_metadata</x:v>
      </x:c>
      <x:c r="L37" s="20" t="str">
        <x:v>not_applicable</x:v>
      </x:c>
      <x:c r="M37" s="20" t="str">
        <x:v>non_model</x:v>
      </x:c>
      <x:c r="N37" s="20" t="str">
        <x:v>1</x:v>
      </x:c>
      <x:c r="O37" s="20" t="str">
        <x:v>1.0.0</x:v>
      </x:c>
      <x:c r="P37" s="20" t="str">
        <x:v>1.1.0</x:v>
      </x:c>
      <x:c r="Q37" s="20" t="str">
        <x:v>deepseek/deepseek-v4-pro</x:v>
      </x:c>
      <x:c r="R37" s="20" t="str">
        <x:v>aj2-y90-20260714T234810-0bea2f52</x:v>
      </x:c>
    </x:row>
    <x:row r="38" ht="28" customHeight="1">
      <x:c r="A38" s="20" t="str">
        <x:v>B0DK3NG2W9</x:v>
      </x:c>
      <x:c r="B38" s="20" t="str">
        <x:v>b0dk3ng2w9</x:v>
      </x:c>
      <x:c r="C38" s="20" t="str">
        <x:v>0dd4e3965193e1e4</x:v>
      </x:c>
      <x:c r="D38" s="20" t="str">
        <x:v>asin_target</x:v>
      </x:c>
      <x:c r="E38" s="20" t="str">
        <x:v>en</x:v>
      </x:c>
      <x:c r="F38" s="20" t="str">
        <x:v>该搜索词为 ASIN 形式，需补充商品元数据后再判断用户意图。</x:v>
      </x:c>
      <x:c r="G38" s="20" t="str">
        <x:v>unknown</x:v>
      </x:c>
      <x:c r="H38" s="20" t="str">
        <x:v>low</x:v>
      </x:c>
      <x:c r="I38" s="20" t="str">
        <x:v>asin_target</x:v>
      </x:c>
      <x:c r="J38" s="20" t="str">
        <x:v>asin_metadata_pending</x:v>
      </x:c>
      <x:c r="K38" s="20" t="str">
        <x:v>asin_without_metadata</x:v>
      </x:c>
      <x:c r="L38" s="20" t="str">
        <x:v>not_applicable</x:v>
      </x:c>
      <x:c r="M38" s="20" t="str">
        <x:v>non_model</x:v>
      </x:c>
      <x:c r="N38" s="20" t="str">
        <x:v>1</x:v>
      </x:c>
      <x:c r="O38" s="20" t="str">
        <x:v>1.0.0</x:v>
      </x:c>
      <x:c r="P38" s="20" t="str">
        <x:v>1.1.0</x:v>
      </x:c>
      <x:c r="Q38" s="20" t="str">
        <x:v>deepseek/deepseek-v4-pro</x:v>
      </x:c>
      <x:c r="R38" s="20" t="str">
        <x:v>aj2-y90-20260714T234810-0bea2f52</x:v>
      </x:c>
    </x:row>
    <x:row r="39" ht="28" customHeight="1">
      <x:c r="A39" s="20" t="str">
        <x:v>B093WGH38J</x:v>
      </x:c>
      <x:c r="B39" s="20" t="str">
        <x:v>b093wgh38j</x:v>
      </x:c>
      <x:c r="C39" s="20" t="str">
        <x:v>0e13f10a5dca121d</x:v>
      </x:c>
      <x:c r="D39" s="20" t="str">
        <x:v>asin_target</x:v>
      </x:c>
      <x:c r="E39" s="20" t="str">
        <x:v>en</x:v>
      </x:c>
      <x:c r="F39" s="20" t="str">
        <x:v>该搜索词为 ASIN 形式，需补充商品元数据后再判断用户意图。</x:v>
      </x:c>
      <x:c r="G39" s="20" t="str">
        <x:v>unknown</x:v>
      </x:c>
      <x:c r="H39" s="20" t="str">
        <x:v>low</x:v>
      </x:c>
      <x:c r="I39" s="20" t="str">
        <x:v>asin_target</x:v>
      </x:c>
      <x:c r="J39" s="20" t="str">
        <x:v>asin_metadata_pending</x:v>
      </x:c>
      <x:c r="K39" s="20" t="str">
        <x:v>asin_without_metadata</x:v>
      </x:c>
      <x:c r="L39" s="20" t="str">
        <x:v>not_applicable</x:v>
      </x:c>
      <x:c r="M39" s="20" t="str">
        <x:v>non_model</x:v>
      </x:c>
      <x:c r="N39" s="20" t="str">
        <x:v>1</x:v>
      </x:c>
      <x:c r="O39" s="20" t="str">
        <x:v>1.0.0</x:v>
      </x:c>
      <x:c r="P39" s="20" t="str">
        <x:v>1.1.0</x:v>
      </x:c>
      <x:c r="Q39" s="20" t="str">
        <x:v>deepseek/deepseek-v4-pro</x:v>
      </x:c>
      <x:c r="R39" s="20" t="str">
        <x:v>aj2-y90-20260714T234810-0bea2f52</x:v>
      </x:c>
    </x:row>
    <x:row r="40" ht="28" customHeight="1">
      <x:c r="A40" s="20" t="str">
        <x:v>B010123A44</x:v>
      </x:c>
      <x:c r="B40" s="20" t="str">
        <x:v>b010123a44</x:v>
      </x:c>
      <x:c r="C40" s="20" t="str">
        <x:v>0e20931b22acea43</x:v>
      </x:c>
      <x:c r="D40" s="20" t="str">
        <x:v>asin_target</x:v>
      </x:c>
      <x:c r="E40" s="20" t="str">
        <x:v>en</x:v>
      </x:c>
      <x:c r="F40" s="20" t="str">
        <x:v>该搜索词为 ASIN 形式，需补充商品元数据后再判断用户意图。</x:v>
      </x:c>
      <x:c r="G40" s="20" t="str">
        <x:v>unknown</x:v>
      </x:c>
      <x:c r="H40" s="20" t="str">
        <x:v>low</x:v>
      </x:c>
      <x:c r="I40" s="20" t="str">
        <x:v>asin_target</x:v>
      </x:c>
      <x:c r="J40" s="20" t="str">
        <x:v>asin_metadata_pending</x:v>
      </x:c>
      <x:c r="K40" s="20" t="str">
        <x:v>asin_without_metadata</x:v>
      </x:c>
      <x:c r="L40" s="20" t="str">
        <x:v>not_applicable</x:v>
      </x:c>
      <x:c r="M40" s="20" t="str">
        <x:v>non_model</x:v>
      </x:c>
      <x:c r="N40" s="20" t="str">
        <x:v>1</x:v>
      </x:c>
      <x:c r="O40" s="20" t="str">
        <x:v>1.0.0</x:v>
      </x:c>
      <x:c r="P40" s="20" t="str">
        <x:v>1.1.0</x:v>
      </x:c>
      <x:c r="Q40" s="20" t="str">
        <x:v>deepseek/deepseek-v4-pro</x:v>
      </x:c>
      <x:c r="R40" s="20" t="str">
        <x:v>aj2-y90-20260714T234810-0bea2f52</x:v>
      </x:c>
    </x:row>
    <x:row r="41" ht="28" customHeight="1">
      <x:c r="A41" s="20" t="str">
        <x:v>B0GLDYPY2B</x:v>
      </x:c>
      <x:c r="B41" s="20" t="str">
        <x:v>b0gldypy2b</x:v>
      </x:c>
      <x:c r="C41" s="20" t="str">
        <x:v>0e7c97828edabb43</x:v>
      </x:c>
      <x:c r="D41" s="20" t="str">
        <x:v>asin_target</x:v>
      </x:c>
      <x:c r="E41" s="20" t="str">
        <x:v>en</x:v>
      </x:c>
      <x:c r="F41" s="20" t="str">
        <x:v>该搜索词为 ASIN 形式，需补充商品元数据后再判断用户意图。</x:v>
      </x:c>
      <x:c r="G41" s="20" t="str">
        <x:v>unknown</x:v>
      </x:c>
      <x:c r="H41" s="20" t="str">
        <x:v>low</x:v>
      </x:c>
      <x:c r="I41" s="20" t="str">
        <x:v>asin_target</x:v>
      </x:c>
      <x:c r="J41" s="20" t="str">
        <x:v>asin_metadata_pending</x:v>
      </x:c>
      <x:c r="K41" s="20" t="str">
        <x:v>asin_without_metadata</x:v>
      </x:c>
      <x:c r="L41" s="20" t="str">
        <x:v>not_applicable</x:v>
      </x:c>
      <x:c r="M41" s="20" t="str">
        <x:v>non_model</x:v>
      </x:c>
      <x:c r="N41" s="20" t="str">
        <x:v>1</x:v>
      </x:c>
      <x:c r="O41" s="20" t="str">
        <x:v>1.0.0</x:v>
      </x:c>
      <x:c r="P41" s="20" t="str">
        <x:v>1.1.0</x:v>
      </x:c>
      <x:c r="Q41" s="20" t="str">
        <x:v>deepseek/deepseek-v4-pro</x:v>
      </x:c>
      <x:c r="R41" s="20" t="str">
        <x:v>aj2-y90-20260714T234810-0bea2f52</x:v>
      </x:c>
    </x:row>
    <x:row r="42" ht="28" customHeight="1">
      <x:c r="A42" s="20" t="str">
        <x:v>B0C33J647K</x:v>
      </x:c>
      <x:c r="B42" s="20" t="str">
        <x:v>b0c33j647k</x:v>
      </x:c>
      <x:c r="C42" s="20" t="str">
        <x:v>0e851d13e48f0db9</x:v>
      </x:c>
      <x:c r="D42" s="20" t="str">
        <x:v>asin_target</x:v>
      </x:c>
      <x:c r="E42" s="20" t="str">
        <x:v>en</x:v>
      </x:c>
      <x:c r="F42" s="20" t="str">
        <x:v>该搜索词为 ASIN 形式，需补充商品元数据后再判断用户意图。</x:v>
      </x:c>
      <x:c r="G42" s="20" t="str">
        <x:v>unknown</x:v>
      </x:c>
      <x:c r="H42" s="20" t="str">
        <x:v>low</x:v>
      </x:c>
      <x:c r="I42" s="20" t="str">
        <x:v>asin_target</x:v>
      </x:c>
      <x:c r="J42" s="20" t="str">
        <x:v>asin_metadata_pending</x:v>
      </x:c>
      <x:c r="K42" s="20" t="str">
        <x:v>asin_without_metadata</x:v>
      </x:c>
      <x:c r="L42" s="20" t="str">
        <x:v>not_applicable</x:v>
      </x:c>
      <x:c r="M42" s="20" t="str">
        <x:v>non_model</x:v>
      </x:c>
      <x:c r="N42" s="20" t="str">
        <x:v>1</x:v>
      </x:c>
      <x:c r="O42" s="20" t="str">
        <x:v>1.0.0</x:v>
      </x:c>
      <x:c r="P42" s="20" t="str">
        <x:v>1.1.0</x:v>
      </x:c>
      <x:c r="Q42" s="20" t="str">
        <x:v>deepseek/deepseek-v4-pro</x:v>
      </x:c>
      <x:c r="R42" s="20" t="str">
        <x:v>aj2-y90-20260714T234810-0bea2f52</x:v>
      </x:c>
    </x:row>
    <x:row r="43" ht="28" customHeight="1">
      <x:c r="A43" s="20" t="str">
        <x:v>B08GLS3QLN</x:v>
      </x:c>
      <x:c r="B43" s="20" t="str">
        <x:v>b08gls3qln</x:v>
      </x:c>
      <x:c r="C43" s="20" t="str">
        <x:v>0ee08d65a7c8f279</x:v>
      </x:c>
      <x:c r="D43" s="20" t="str">
        <x:v>asin_target</x:v>
      </x:c>
      <x:c r="E43" s="20" t="str">
        <x:v>en</x:v>
      </x:c>
      <x:c r="F43" s="20" t="str">
        <x:v>该搜索词为 ASIN 形式，需补充商品元数据后再判断用户意图。</x:v>
      </x:c>
      <x:c r="G43" s="20" t="str">
        <x:v>unknown</x:v>
      </x:c>
      <x:c r="H43" s="20" t="str">
        <x:v>low</x:v>
      </x:c>
      <x:c r="I43" s="20" t="str">
        <x:v>asin_target</x:v>
      </x:c>
      <x:c r="J43" s="20" t="str">
        <x:v>asin_metadata_pending</x:v>
      </x:c>
      <x:c r="K43" s="20" t="str">
        <x:v>asin_without_metadata</x:v>
      </x:c>
      <x:c r="L43" s="20" t="str">
        <x:v>not_applicable</x:v>
      </x:c>
      <x:c r="M43" s="20" t="str">
        <x:v>non_model</x:v>
      </x:c>
      <x:c r="N43" s="20" t="str">
        <x:v>1</x:v>
      </x:c>
      <x:c r="O43" s="20" t="str">
        <x:v>1.0.0</x:v>
      </x:c>
      <x:c r="P43" s="20" t="str">
        <x:v>1.1.0</x:v>
      </x:c>
      <x:c r="Q43" s="20" t="str">
        <x:v>deepseek/deepseek-v4-pro</x:v>
      </x:c>
      <x:c r="R43" s="20" t="str">
        <x:v>aj2-y90-20260714T234810-0bea2f52</x:v>
      </x:c>
    </x:row>
    <x:row r="44" ht="28" customHeight="1">
      <x:c r="A44" s="20" t="str">
        <x:v>B0GD65W9FT</x:v>
      </x:c>
      <x:c r="B44" s="20" t="str">
        <x:v>b0gd65w9ft</x:v>
      </x:c>
      <x:c r="C44" s="20" t="str">
        <x:v>0ef9b71415417b3d</x:v>
      </x:c>
      <x:c r="D44" s="20" t="str">
        <x:v>asin_target</x:v>
      </x:c>
      <x:c r="E44" s="20" t="str">
        <x:v>en</x:v>
      </x:c>
      <x:c r="F44" s="20" t="str">
        <x:v>该搜索词为 ASIN 形式，需补充商品元数据后再判断用户意图。</x:v>
      </x:c>
      <x:c r="G44" s="20" t="str">
        <x:v>unknown</x:v>
      </x:c>
      <x:c r="H44" s="20" t="str">
        <x:v>low</x:v>
      </x:c>
      <x:c r="I44" s="20" t="str">
        <x:v>asin_target</x:v>
      </x:c>
      <x:c r="J44" s="20" t="str">
        <x:v>asin_metadata_pending</x:v>
      </x:c>
      <x:c r="K44" s="20" t="str">
        <x:v>asin_without_metadata</x:v>
      </x:c>
      <x:c r="L44" s="20" t="str">
        <x:v>not_applicable</x:v>
      </x:c>
      <x:c r="M44" s="20" t="str">
        <x:v>non_model</x:v>
      </x:c>
      <x:c r="N44" s="20" t="str">
        <x:v>1</x:v>
      </x:c>
      <x:c r="O44" s="20" t="str">
        <x:v>1.0.0</x:v>
      </x:c>
      <x:c r="P44" s="20" t="str">
        <x:v>1.1.0</x:v>
      </x:c>
      <x:c r="Q44" s="20" t="str">
        <x:v>deepseek/deepseek-v4-pro</x:v>
      </x:c>
      <x:c r="R44" s="20" t="str">
        <x:v>aj2-y90-20260714T234810-0bea2f52</x:v>
      </x:c>
    </x:row>
    <x:row r="45" ht="28" customHeight="1">
      <x:c r="A45" s="20" t="str">
        <x:v>B0F8LBR2KD</x:v>
      </x:c>
      <x:c r="B45" s="20" t="str">
        <x:v>b0f8lbr2kd</x:v>
      </x:c>
      <x:c r="C45" s="20" t="str">
        <x:v>0f186ae715e4f440</x:v>
      </x:c>
      <x:c r="D45" s="20" t="str">
        <x:v>asin_target</x:v>
      </x:c>
      <x:c r="E45" s="20" t="str">
        <x:v>en</x:v>
      </x:c>
      <x:c r="F45" s="20" t="str">
        <x:v>该搜索词为 ASIN 形式，需补充商品元数据后再判断用户意图。</x:v>
      </x:c>
      <x:c r="G45" s="20" t="str">
        <x:v>unknown</x:v>
      </x:c>
      <x:c r="H45" s="20" t="str">
        <x:v>low</x:v>
      </x:c>
      <x:c r="I45" s="20" t="str">
        <x:v>asin_target</x:v>
      </x:c>
      <x:c r="J45" s="20" t="str">
        <x:v>asin_metadata_pending</x:v>
      </x:c>
      <x:c r="K45" s="20" t="str">
        <x:v>asin_without_metadata</x:v>
      </x:c>
      <x:c r="L45" s="20" t="str">
        <x:v>not_applicable</x:v>
      </x:c>
      <x:c r="M45" s="20" t="str">
        <x:v>non_model</x:v>
      </x:c>
      <x:c r="N45" s="20" t="str">
        <x:v>1</x:v>
      </x:c>
      <x:c r="O45" s="20" t="str">
        <x:v>1.0.0</x:v>
      </x:c>
      <x:c r="P45" s="20" t="str">
        <x:v>1.1.0</x:v>
      </x:c>
      <x:c r="Q45" s="20" t="str">
        <x:v>deepseek/deepseek-v4-pro</x:v>
      </x:c>
      <x:c r="R45" s="20" t="str">
        <x:v>aj2-y90-20260714T234810-0bea2f52</x:v>
      </x:c>
    </x:row>
    <x:row r="46" ht="28" customHeight="1">
      <x:c r="A46" s="20" t="str">
        <x:v>B0DSMXGP2P</x:v>
      </x:c>
      <x:c r="B46" s="20" t="str">
        <x:v>b0dsmxgp2p</x:v>
      </x:c>
      <x:c r="C46" s="20" t="str">
        <x:v>0f23b92e053da195</x:v>
      </x:c>
      <x:c r="D46" s="20" t="str">
        <x:v>asin_target</x:v>
      </x:c>
      <x:c r="E46" s="20" t="str">
        <x:v>en</x:v>
      </x:c>
      <x:c r="F46" s="20" t="str">
        <x:v>该搜索词为 ASIN 形式，需补充商品元数据后再判断用户意图。</x:v>
      </x:c>
      <x:c r="G46" s="20" t="str">
        <x:v>unknown</x:v>
      </x:c>
      <x:c r="H46" s="20" t="str">
        <x:v>low</x:v>
      </x:c>
      <x:c r="I46" s="20" t="str">
        <x:v>asin_target</x:v>
      </x:c>
      <x:c r="J46" s="20" t="str">
        <x:v>asin_metadata_pending</x:v>
      </x:c>
      <x:c r="K46" s="20" t="str">
        <x:v>asin_without_metadata</x:v>
      </x:c>
      <x:c r="L46" s="20" t="str">
        <x:v>not_applicable</x:v>
      </x:c>
      <x:c r="M46" s="20" t="str">
        <x:v>non_model</x:v>
      </x:c>
      <x:c r="N46" s="20" t="str">
        <x:v>1</x:v>
      </x:c>
      <x:c r="O46" s="20" t="str">
        <x:v>1.0.0</x:v>
      </x:c>
      <x:c r="P46" s="20" t="str">
        <x:v>1.1.0</x:v>
      </x:c>
      <x:c r="Q46" s="20" t="str">
        <x:v>deepseek/deepseek-v4-pro</x:v>
      </x:c>
      <x:c r="R46" s="20" t="str">
        <x:v>aj2-y90-20260714T234810-0bea2f52</x:v>
      </x:c>
    </x:row>
    <x:row r="47" ht="28" customHeight="1">
      <x:c r="A47" s="20" t="str">
        <x:v>B00607MFS2</x:v>
      </x:c>
      <x:c r="B47" s="20" t="str">
        <x:v>b00607mfs2</x:v>
      </x:c>
      <x:c r="C47" s="20" t="str">
        <x:v>0f9057a7235b2932</x:v>
      </x:c>
      <x:c r="D47" s="20" t="str">
        <x:v>asin_target</x:v>
      </x:c>
      <x:c r="E47" s="20" t="str">
        <x:v>en</x:v>
      </x:c>
      <x:c r="F47" s="20" t="str">
        <x:v>该搜索词为 ASIN 形式，需补充商品元数据后再判断用户意图。</x:v>
      </x:c>
      <x:c r="G47" s="20" t="str">
        <x:v>unknown</x:v>
      </x:c>
      <x:c r="H47" s="20" t="str">
        <x:v>low</x:v>
      </x:c>
      <x:c r="I47" s="20" t="str">
        <x:v>asin_target</x:v>
      </x:c>
      <x:c r="J47" s="20" t="str">
        <x:v>asin_metadata_pending</x:v>
      </x:c>
      <x:c r="K47" s="20" t="str">
        <x:v>asin_without_metadata</x:v>
      </x:c>
      <x:c r="L47" s="20" t="str">
        <x:v>not_applicable</x:v>
      </x:c>
      <x:c r="M47" s="20" t="str">
        <x:v>non_model</x:v>
      </x:c>
      <x:c r="N47" s="20" t="str">
        <x:v>1</x:v>
      </x:c>
      <x:c r="O47" s="20" t="str">
        <x:v>1.0.0</x:v>
      </x:c>
      <x:c r="P47" s="20" t="str">
        <x:v>1.1.0</x:v>
      </x:c>
      <x:c r="Q47" s="20" t="str">
        <x:v>deepseek/deepseek-v4-pro</x:v>
      </x:c>
      <x:c r="R47" s="20" t="str">
        <x:v>aj2-y90-20260714T234810-0bea2f52</x:v>
      </x:c>
    </x:row>
    <x:row r="48" ht="28" customHeight="1">
      <x:c r="A48" s="20" t="str">
        <x:v>B0GGQXW1G6</x:v>
      </x:c>
      <x:c r="B48" s="20" t="str">
        <x:v>b0ggqxw1g6</x:v>
      </x:c>
      <x:c r="C48" s="20" t="str">
        <x:v>1020a2fe8fb1d078</x:v>
      </x:c>
      <x:c r="D48" s="20" t="str">
        <x:v>asin_target</x:v>
      </x:c>
      <x:c r="E48" s="20" t="str">
        <x:v>en</x:v>
      </x:c>
      <x:c r="F48" s="20" t="str">
        <x:v>该搜索词为 ASIN 形式，需补充商品元数据后再判断用户意图。</x:v>
      </x:c>
      <x:c r="G48" s="20" t="str">
        <x:v>unknown</x:v>
      </x:c>
      <x:c r="H48" s="20" t="str">
        <x:v>low</x:v>
      </x:c>
      <x:c r="I48" s="20" t="str">
        <x:v>asin_target</x:v>
      </x:c>
      <x:c r="J48" s="20" t="str">
        <x:v>asin_metadata_pending</x:v>
      </x:c>
      <x:c r="K48" s="20" t="str">
        <x:v>asin_without_metadata</x:v>
      </x:c>
      <x:c r="L48" s="20" t="str">
        <x:v>not_applicable</x:v>
      </x:c>
      <x:c r="M48" s="20" t="str">
        <x:v>non_model</x:v>
      </x:c>
      <x:c r="N48" s="20" t="str">
        <x:v>1</x:v>
      </x:c>
      <x:c r="O48" s="20" t="str">
        <x:v>1.0.0</x:v>
      </x:c>
      <x:c r="P48" s="20" t="str">
        <x:v>1.1.0</x:v>
      </x:c>
      <x:c r="Q48" s="20" t="str">
        <x:v>deepseek/deepseek-v4-pro</x:v>
      </x:c>
      <x:c r="R48" s="20" t="str">
        <x:v>aj2-y90-20260714T234810-0bea2f52</x:v>
      </x:c>
    </x:row>
    <x:row r="49" ht="28" customHeight="1">
      <x:c r="A49" s="20" t="str">
        <x:v>B0BN3G3M3P</x:v>
      </x:c>
      <x:c r="B49" s="20" t="str">
        <x:v>b0bn3g3m3p</x:v>
      </x:c>
      <x:c r="C49" s="20" t="str">
        <x:v>107875740950abc7</x:v>
      </x:c>
      <x:c r="D49" s="20" t="str">
        <x:v>asin_target</x:v>
      </x:c>
      <x:c r="E49" s="20" t="str">
        <x:v>en</x:v>
      </x:c>
      <x:c r="F49" s="20" t="str">
        <x:v>该搜索词为 ASIN 形式，需补充商品元数据后再判断用户意图。</x:v>
      </x:c>
      <x:c r="G49" s="20" t="str">
        <x:v>unknown</x:v>
      </x:c>
      <x:c r="H49" s="20" t="str">
        <x:v>low</x:v>
      </x:c>
      <x:c r="I49" s="20" t="str">
        <x:v>asin_target</x:v>
      </x:c>
      <x:c r="J49" s="20" t="str">
        <x:v>asin_metadata_pending</x:v>
      </x:c>
      <x:c r="K49" s="20" t="str">
        <x:v>asin_without_metadata</x:v>
      </x:c>
      <x:c r="L49" s="20" t="str">
        <x:v>not_applicable</x:v>
      </x:c>
      <x:c r="M49" s="20" t="str">
        <x:v>non_model</x:v>
      </x:c>
      <x:c r="N49" s="20" t="str">
        <x:v>1</x:v>
      </x:c>
      <x:c r="O49" s="20" t="str">
        <x:v>1.0.0</x:v>
      </x:c>
      <x:c r="P49" s="20" t="str">
        <x:v>1.1.0</x:v>
      </x:c>
      <x:c r="Q49" s="20" t="str">
        <x:v>deepseek/deepseek-v4-pro</x:v>
      </x:c>
      <x:c r="R49" s="20" t="str">
        <x:v>aj2-y90-20260714T234810-0bea2f52</x:v>
      </x:c>
    </x:row>
    <x:row r="50" ht="28" customHeight="1">
      <x:c r="A50" s="20" t="str">
        <x:v>B0GKNGX682</x:v>
      </x:c>
      <x:c r="B50" s="20" t="str">
        <x:v>b0gkngx682</x:v>
      </x:c>
      <x:c r="C50" s="20" t="str">
        <x:v>1088818a2ffacd6f</x:v>
      </x:c>
      <x:c r="D50" s="20" t="str">
        <x:v>asin_target</x:v>
      </x:c>
      <x:c r="E50" s="20" t="str">
        <x:v>en</x:v>
      </x:c>
      <x:c r="F50" s="20" t="str">
        <x:v>该搜索词为 ASIN 形式，需补充商品元数据后再判断用户意图。</x:v>
      </x:c>
      <x:c r="G50" s="20" t="str">
        <x:v>unknown</x:v>
      </x:c>
      <x:c r="H50" s="20" t="str">
        <x:v>low</x:v>
      </x:c>
      <x:c r="I50" s="20" t="str">
        <x:v>asin_target</x:v>
      </x:c>
      <x:c r="J50" s="20" t="str">
        <x:v>asin_metadata_pending</x:v>
      </x:c>
      <x:c r="K50" s="20" t="str">
        <x:v>asin_without_metadata</x:v>
      </x:c>
      <x:c r="L50" s="20" t="str">
        <x:v>not_applicable</x:v>
      </x:c>
      <x:c r="M50" s="20" t="str">
        <x:v>non_model</x:v>
      </x:c>
      <x:c r="N50" s="20" t="str">
        <x:v>1</x:v>
      </x:c>
      <x:c r="O50" s="20" t="str">
        <x:v>1.0.0</x:v>
      </x:c>
      <x:c r="P50" s="20" t="str">
        <x:v>1.1.0</x:v>
      </x:c>
      <x:c r="Q50" s="20" t="str">
        <x:v>deepseek/deepseek-v4-pro</x:v>
      </x:c>
      <x:c r="R50" s="20" t="str">
        <x:v>aj2-y90-20260714T234810-0bea2f52</x:v>
      </x:c>
    </x:row>
    <x:row r="51" ht="28" customHeight="1">
      <x:c r="A51" s="20" t="str">
        <x:v>B0FSCYVKZG</x:v>
      </x:c>
      <x:c r="B51" s="20" t="str">
        <x:v>b0fscyvkzg</x:v>
      </x:c>
      <x:c r="C51" s="20" t="str">
        <x:v>108c20d6e3febaa8</x:v>
      </x:c>
      <x:c r="D51" s="20" t="str">
        <x:v>asin_target</x:v>
      </x:c>
      <x:c r="E51" s="20" t="str">
        <x:v>en</x:v>
      </x:c>
      <x:c r="F51" s="20" t="str">
        <x:v>该搜索词为 ASIN 形式，需补充商品元数据后再判断用户意图。</x:v>
      </x:c>
      <x:c r="G51" s="20" t="str">
        <x:v>unknown</x:v>
      </x:c>
      <x:c r="H51" s="20" t="str">
        <x:v>low</x:v>
      </x:c>
      <x:c r="I51" s="20" t="str">
        <x:v>asin_target</x:v>
      </x:c>
      <x:c r="J51" s="20" t="str">
        <x:v>asin_metadata_pending</x:v>
      </x:c>
      <x:c r="K51" s="20" t="str">
        <x:v>asin_without_metadata</x:v>
      </x:c>
      <x:c r="L51" s="20" t="str">
        <x:v>not_applicable</x:v>
      </x:c>
      <x:c r="M51" s="20" t="str">
        <x:v>non_model</x:v>
      </x:c>
      <x:c r="N51" s="20" t="str">
        <x:v>1</x:v>
      </x:c>
      <x:c r="O51" s="20" t="str">
        <x:v>1.0.0</x:v>
      </x:c>
      <x:c r="P51" s="20" t="str">
        <x:v>1.1.0</x:v>
      </x:c>
      <x:c r="Q51" s="20" t="str">
        <x:v>deepseek/deepseek-v4-pro</x:v>
      </x:c>
      <x:c r="R51" s="20" t="str">
        <x:v>aj2-y90-20260714T234810-0bea2f52</x:v>
      </x:c>
    </x:row>
    <x:row r="52" ht="28" customHeight="1">
      <x:c r="A52" s="20" t="str">
        <x:v>B0DSLG96ZY</x:v>
      </x:c>
      <x:c r="B52" s="20" t="str">
        <x:v>b0dslg96zy</x:v>
      </x:c>
      <x:c r="C52" s="20" t="str">
        <x:v>10bf680f4e6951b8</x:v>
      </x:c>
      <x:c r="D52" s="20" t="str">
        <x:v>asin_target</x:v>
      </x:c>
      <x:c r="E52" s="20" t="str">
        <x:v>en</x:v>
      </x:c>
      <x:c r="F52" s="20" t="str">
        <x:v>该搜索词为 ASIN 形式，需补充商品元数据后再判断用户意图。</x:v>
      </x:c>
      <x:c r="G52" s="20" t="str">
        <x:v>unknown</x:v>
      </x:c>
      <x:c r="H52" s="20" t="str">
        <x:v>low</x:v>
      </x:c>
      <x:c r="I52" s="20" t="str">
        <x:v>asin_target</x:v>
      </x:c>
      <x:c r="J52" s="20" t="str">
        <x:v>asin_metadata_pending</x:v>
      </x:c>
      <x:c r="K52" s="20" t="str">
        <x:v>asin_without_metadata</x:v>
      </x:c>
      <x:c r="L52" s="20" t="str">
        <x:v>not_applicable</x:v>
      </x:c>
      <x:c r="M52" s="20" t="str">
        <x:v>non_model</x:v>
      </x:c>
      <x:c r="N52" s="20" t="str">
        <x:v>1</x:v>
      </x:c>
      <x:c r="O52" s="20" t="str">
        <x:v>1.0.0</x:v>
      </x:c>
      <x:c r="P52" s="20" t="str">
        <x:v>1.1.0</x:v>
      </x:c>
      <x:c r="Q52" s="20" t="str">
        <x:v>deepseek/deepseek-v4-pro</x:v>
      </x:c>
      <x:c r="R52" s="20" t="str">
        <x:v>aj2-y90-20260714T234810-0bea2f52</x:v>
      </x:c>
    </x:row>
    <x:row r="53" ht="28" customHeight="1">
      <x:c r="A53" s="20" t="str">
        <x:v>B0FXX54Q2L</x:v>
      </x:c>
      <x:c r="B53" s="20" t="str">
        <x:v>b0fxx54q2l</x:v>
      </x:c>
      <x:c r="C53" s="20" t="str">
        <x:v>110376c87fb17062</x:v>
      </x:c>
      <x:c r="D53" s="20" t="str">
        <x:v>asin_target</x:v>
      </x:c>
      <x:c r="E53" s="20" t="str">
        <x:v>en</x:v>
      </x:c>
      <x:c r="F53" s="20" t="str">
        <x:v>该搜索词为 ASIN 形式，需补充商品元数据后再判断用户意图。</x:v>
      </x:c>
      <x:c r="G53" s="20" t="str">
        <x:v>unknown</x:v>
      </x:c>
      <x:c r="H53" s="20" t="str">
        <x:v>low</x:v>
      </x:c>
      <x:c r="I53" s="20" t="str">
        <x:v>asin_target</x:v>
      </x:c>
      <x:c r="J53" s="20" t="str">
        <x:v>asin_metadata_pending</x:v>
      </x:c>
      <x:c r="K53" s="20" t="str">
        <x:v>asin_without_metadata</x:v>
      </x:c>
      <x:c r="L53" s="20" t="str">
        <x:v>not_applicable</x:v>
      </x:c>
      <x:c r="M53" s="20" t="str">
        <x:v>non_model</x:v>
      </x:c>
      <x:c r="N53" s="20" t="str">
        <x:v>1</x:v>
      </x:c>
      <x:c r="O53" s="20" t="str">
        <x:v>1.0.0</x:v>
      </x:c>
      <x:c r="P53" s="20" t="str">
        <x:v>1.1.0</x:v>
      </x:c>
      <x:c r="Q53" s="20" t="str">
        <x:v>deepseek/deepseek-v4-pro</x:v>
      </x:c>
      <x:c r="R53" s="20" t="str">
        <x:v>aj2-y90-20260714T234810-0bea2f52</x:v>
      </x:c>
    </x:row>
    <x:row r="54" ht="28" customHeight="1">
      <x:c r="A54" s="20" t="str">
        <x:v>B0CTML36SJ</x:v>
      </x:c>
      <x:c r="B54" s="20" t="str">
        <x:v>b0ctml36sj</x:v>
      </x:c>
      <x:c r="C54" s="20" t="str">
        <x:v>1149829f2adf93d8</x:v>
      </x:c>
      <x:c r="D54" s="20" t="str">
        <x:v>asin_target</x:v>
      </x:c>
      <x:c r="E54" s="20" t="str">
        <x:v>en</x:v>
      </x:c>
      <x:c r="F54" s="20" t="str">
        <x:v>该搜索词为 ASIN 形式，需补充商品元数据后再判断用户意图。</x:v>
      </x:c>
      <x:c r="G54" s="20" t="str">
        <x:v>unknown</x:v>
      </x:c>
      <x:c r="H54" s="20" t="str">
        <x:v>low</x:v>
      </x:c>
      <x:c r="I54" s="20" t="str">
        <x:v>asin_target</x:v>
      </x:c>
      <x:c r="J54" s="20" t="str">
        <x:v>asin_metadata_pending</x:v>
      </x:c>
      <x:c r="K54" s="20" t="str">
        <x:v>asin_without_metadata</x:v>
      </x:c>
      <x:c r="L54" s="20" t="str">
        <x:v>not_applicable</x:v>
      </x:c>
      <x:c r="M54" s="20" t="str">
        <x:v>non_model</x:v>
      </x:c>
      <x:c r="N54" s="20" t="str">
        <x:v>1</x:v>
      </x:c>
      <x:c r="O54" s="20" t="str">
        <x:v>1.0.0</x:v>
      </x:c>
      <x:c r="P54" s="20" t="str">
        <x:v>1.1.0</x:v>
      </x:c>
      <x:c r="Q54" s="20" t="str">
        <x:v>deepseek/deepseek-v4-pro</x:v>
      </x:c>
      <x:c r="R54" s="20" t="str">
        <x:v>aj2-y90-20260714T234810-0bea2f52</x:v>
      </x:c>
    </x:row>
    <x:row r="55" ht="28" customHeight="1">
      <x:c r="A55" s="20" t="str">
        <x:v>B0G48P92FQ</x:v>
      </x:c>
      <x:c r="B55" s="20" t="str">
        <x:v>b0g48p92fq</x:v>
      </x:c>
      <x:c r="C55" s="20" t="str">
        <x:v>1163de3f283a6ee8</x:v>
      </x:c>
      <x:c r="D55" s="20" t="str">
        <x:v>asin_target</x:v>
      </x:c>
      <x:c r="E55" s="20" t="str">
        <x:v>en</x:v>
      </x:c>
      <x:c r="F55" s="20" t="str">
        <x:v>该搜索词为 ASIN 形式，需补充商品元数据后再判断用户意图。</x:v>
      </x:c>
      <x:c r="G55" s="20" t="str">
        <x:v>unknown</x:v>
      </x:c>
      <x:c r="H55" s="20" t="str">
        <x:v>low</x:v>
      </x:c>
      <x:c r="I55" s="20" t="str">
        <x:v>asin_target</x:v>
      </x:c>
      <x:c r="J55" s="20" t="str">
        <x:v>asin_metadata_pending</x:v>
      </x:c>
      <x:c r="K55" s="20" t="str">
        <x:v>asin_without_metadata</x:v>
      </x:c>
      <x:c r="L55" s="20" t="str">
        <x:v>not_applicable</x:v>
      </x:c>
      <x:c r="M55" s="20" t="str">
        <x:v>non_model</x:v>
      </x:c>
      <x:c r="N55" s="20" t="str">
        <x:v>1</x:v>
      </x:c>
      <x:c r="O55" s="20" t="str">
        <x:v>1.0.0</x:v>
      </x:c>
      <x:c r="P55" s="20" t="str">
        <x:v>1.1.0</x:v>
      </x:c>
      <x:c r="Q55" s="20" t="str">
        <x:v>deepseek/deepseek-v4-pro</x:v>
      </x:c>
      <x:c r="R55" s="20" t="str">
        <x:v>aj2-y90-20260714T234810-0bea2f52</x:v>
      </x:c>
    </x:row>
    <x:row r="56" ht="28" customHeight="1">
      <x:c r="A56" s="20" t="str">
        <x:v>B0DSMYN8MK</x:v>
      </x:c>
      <x:c r="B56" s="20" t="str">
        <x:v>b0dsmyn8mk</x:v>
      </x:c>
      <x:c r="C56" s="20" t="str">
        <x:v>1165e58e4ffe6236</x:v>
      </x:c>
      <x:c r="D56" s="20" t="str">
        <x:v>asin_target</x:v>
      </x:c>
      <x:c r="E56" s="20" t="str">
        <x:v>en</x:v>
      </x:c>
      <x:c r="F56" s="20" t="str">
        <x:v>该搜索词为 ASIN 形式，需补充商品元数据后再判断用户意图。</x:v>
      </x:c>
      <x:c r="G56" s="20" t="str">
        <x:v>unknown</x:v>
      </x:c>
      <x:c r="H56" s="20" t="str">
        <x:v>low</x:v>
      </x:c>
      <x:c r="I56" s="20" t="str">
        <x:v>asin_target</x:v>
      </x:c>
      <x:c r="J56" s="20" t="str">
        <x:v>asin_metadata_pending</x:v>
      </x:c>
      <x:c r="K56" s="20" t="str">
        <x:v>asin_without_metadata</x:v>
      </x:c>
      <x:c r="L56" s="20" t="str">
        <x:v>not_applicable</x:v>
      </x:c>
      <x:c r="M56" s="20" t="str">
        <x:v>non_model</x:v>
      </x:c>
      <x:c r="N56" s="20" t="str">
        <x:v>1</x:v>
      </x:c>
      <x:c r="O56" s="20" t="str">
        <x:v>1.0.0</x:v>
      </x:c>
      <x:c r="P56" s="20" t="str">
        <x:v>1.1.0</x:v>
      </x:c>
      <x:c r="Q56" s="20" t="str">
        <x:v>deepseek/deepseek-v4-pro</x:v>
      </x:c>
      <x:c r="R56" s="20" t="str">
        <x:v>aj2-y90-20260714T234810-0bea2f52</x:v>
      </x:c>
    </x:row>
    <x:row r="57" ht="28" customHeight="1">
      <x:c r="A57" s="20" t="str">
        <x:v>B0D6J31TVF</x:v>
      </x:c>
      <x:c r="B57" s="20" t="str">
        <x:v>b0d6j31tvf</x:v>
      </x:c>
      <x:c r="C57" s="20" t="str">
        <x:v>1246179240d36311</x:v>
      </x:c>
      <x:c r="D57" s="20" t="str">
        <x:v>asin_target</x:v>
      </x:c>
      <x:c r="E57" s="20" t="str">
        <x:v>en</x:v>
      </x:c>
      <x:c r="F57" s="20" t="str">
        <x:v>该搜索词为 ASIN 形式，需补充商品元数据后再判断用户意图。</x:v>
      </x:c>
      <x:c r="G57" s="20" t="str">
        <x:v>unknown</x:v>
      </x:c>
      <x:c r="H57" s="20" t="str">
        <x:v>low</x:v>
      </x:c>
      <x:c r="I57" s="20" t="str">
        <x:v>asin_target</x:v>
      </x:c>
      <x:c r="J57" s="20" t="str">
        <x:v>asin_metadata_pending</x:v>
      </x:c>
      <x:c r="K57" s="20" t="str">
        <x:v>asin_without_metadata</x:v>
      </x:c>
      <x:c r="L57" s="20" t="str">
        <x:v>not_applicable</x:v>
      </x:c>
      <x:c r="M57" s="20" t="str">
        <x:v>non_model</x:v>
      </x:c>
      <x:c r="N57" s="20" t="str">
        <x:v>1</x:v>
      </x:c>
      <x:c r="O57" s="20" t="str">
        <x:v>1.0.0</x:v>
      </x:c>
      <x:c r="P57" s="20" t="str">
        <x:v>1.1.0</x:v>
      </x:c>
      <x:c r="Q57" s="20" t="str">
        <x:v>deepseek/deepseek-v4-pro</x:v>
      </x:c>
      <x:c r="R57" s="20" t="str">
        <x:v>aj2-y90-20260714T234810-0bea2f52</x:v>
      </x:c>
    </x:row>
    <x:row r="58" ht="28" customHeight="1">
      <x:c r="A58" s="20" t="str">
        <x:v>B0GLFDFHBS</x:v>
      </x:c>
      <x:c r="B58" s="20" t="str">
        <x:v>b0glfdfhbs</x:v>
      </x:c>
      <x:c r="C58" s="20" t="str">
        <x:v>127fef96360f4690</x:v>
      </x:c>
      <x:c r="D58" s="20" t="str">
        <x:v>asin_target</x:v>
      </x:c>
      <x:c r="E58" s="20" t="str">
        <x:v>en</x:v>
      </x:c>
      <x:c r="F58" s="20" t="str">
        <x:v>该搜索词为 ASIN 形式，需补充商品元数据后再判断用户意图。</x:v>
      </x:c>
      <x:c r="G58" s="20" t="str">
        <x:v>unknown</x:v>
      </x:c>
      <x:c r="H58" s="20" t="str">
        <x:v>low</x:v>
      </x:c>
      <x:c r="I58" s="20" t="str">
        <x:v>asin_target</x:v>
      </x:c>
      <x:c r="J58" s="20" t="str">
        <x:v>asin_metadata_pending</x:v>
      </x:c>
      <x:c r="K58" s="20" t="str">
        <x:v>asin_without_metadata</x:v>
      </x:c>
      <x:c r="L58" s="20" t="str">
        <x:v>not_applicable</x:v>
      </x:c>
      <x:c r="M58" s="20" t="str">
        <x:v>non_model</x:v>
      </x:c>
      <x:c r="N58" s="20" t="str">
        <x:v>2</x:v>
      </x:c>
      <x:c r="O58" s="20" t="str">
        <x:v>1.0.0</x:v>
      </x:c>
      <x:c r="P58" s="20" t="str">
        <x:v>1.1.0</x:v>
      </x:c>
      <x:c r="Q58" s="20" t="str">
        <x:v>deepseek/deepseek-v4-pro</x:v>
      </x:c>
      <x:c r="R58" s="20" t="str">
        <x:v>aj2-y90-20260714T234810-0bea2f52</x:v>
      </x:c>
    </x:row>
    <x:row r="59" ht="28" customHeight="1">
      <x:c r="A59" s="20" t="str">
        <x:v>B09Q2VH6S4</x:v>
      </x:c>
      <x:c r="B59" s="20" t="str">
        <x:v>b09q2vh6s4</x:v>
      </x:c>
      <x:c r="C59" s="20" t="str">
        <x:v>135237b96a052db0</x:v>
      </x:c>
      <x:c r="D59" s="20" t="str">
        <x:v>asin_target</x:v>
      </x:c>
      <x:c r="E59" s="20" t="str">
        <x:v>en</x:v>
      </x:c>
      <x:c r="F59" s="20" t="str">
        <x:v>该搜索词为 ASIN 形式，需补充商品元数据后再判断用户意图。</x:v>
      </x:c>
      <x:c r="G59" s="20" t="str">
        <x:v>unknown</x:v>
      </x:c>
      <x:c r="H59" s="20" t="str">
        <x:v>low</x:v>
      </x:c>
      <x:c r="I59" s="20" t="str">
        <x:v>asin_target</x:v>
      </x:c>
      <x:c r="J59" s="20" t="str">
        <x:v>asin_metadata_pending</x:v>
      </x:c>
      <x:c r="K59" s="20" t="str">
        <x:v>asin_without_metadata</x:v>
      </x:c>
      <x:c r="L59" s="20" t="str">
        <x:v>not_applicable</x:v>
      </x:c>
      <x:c r="M59" s="20" t="str">
        <x:v>non_model</x:v>
      </x:c>
      <x:c r="N59" s="20" t="str">
        <x:v>1</x:v>
      </x:c>
      <x:c r="O59" s="20" t="str">
        <x:v>1.0.0</x:v>
      </x:c>
      <x:c r="P59" s="20" t="str">
        <x:v>1.1.0</x:v>
      </x:c>
      <x:c r="Q59" s="20" t="str">
        <x:v>deepseek/deepseek-v4-pro</x:v>
      </x:c>
      <x:c r="R59" s="20" t="str">
        <x:v>aj2-y90-20260714T234810-0bea2f52</x:v>
      </x:c>
    </x:row>
    <x:row r="60" ht="28" customHeight="1">
      <x:c r="A60" s="20" t="str">
        <x:v>B0GGQRS59G</x:v>
      </x:c>
      <x:c r="B60" s="20" t="str">
        <x:v>b0ggqrs59g</x:v>
      </x:c>
      <x:c r="C60" s="20" t="str">
        <x:v>135f1f9392b7b365</x:v>
      </x:c>
      <x:c r="D60" s="20" t="str">
        <x:v>asin_target</x:v>
      </x:c>
      <x:c r="E60" s="20" t="str">
        <x:v>en</x:v>
      </x:c>
      <x:c r="F60" s="20" t="str">
        <x:v>该搜索词为 ASIN 形式，需补充商品元数据后再判断用户意图。</x:v>
      </x:c>
      <x:c r="G60" s="20" t="str">
        <x:v>unknown</x:v>
      </x:c>
      <x:c r="H60" s="20" t="str">
        <x:v>low</x:v>
      </x:c>
      <x:c r="I60" s="20" t="str">
        <x:v>asin_target</x:v>
      </x:c>
      <x:c r="J60" s="20" t="str">
        <x:v>asin_metadata_pending</x:v>
      </x:c>
      <x:c r="K60" s="20" t="str">
        <x:v>asin_without_metadata</x:v>
      </x:c>
      <x:c r="L60" s="20" t="str">
        <x:v>not_applicable</x:v>
      </x:c>
      <x:c r="M60" s="20" t="str">
        <x:v>non_model</x:v>
      </x:c>
      <x:c r="N60" s="20" t="str">
        <x:v>2</x:v>
      </x:c>
      <x:c r="O60" s="20" t="str">
        <x:v>1.0.0</x:v>
      </x:c>
      <x:c r="P60" s="20" t="str">
        <x:v>1.1.0</x:v>
      </x:c>
      <x:c r="Q60" s="20" t="str">
        <x:v>deepseek/deepseek-v4-pro</x:v>
      </x:c>
      <x:c r="R60" s="20" t="str">
        <x:v>aj2-y90-20260714T234810-0bea2f52</x:v>
      </x:c>
    </x:row>
    <x:row r="61" ht="28" customHeight="1">
      <x:c r="A61" s="20" t="str">
        <x:v>B09SWZ16ZN</x:v>
      </x:c>
      <x:c r="B61" s="20" t="str">
        <x:v>b09swz16zn</x:v>
      </x:c>
      <x:c r="C61" s="20" t="str">
        <x:v>1368e9d110c9c3e0</x:v>
      </x:c>
      <x:c r="D61" s="20" t="str">
        <x:v>asin_target</x:v>
      </x:c>
      <x:c r="E61" s="20" t="str">
        <x:v>en</x:v>
      </x:c>
      <x:c r="F61" s="20" t="str">
        <x:v>该搜索词为 ASIN 形式，需补充商品元数据后再判断用户意图。</x:v>
      </x:c>
      <x:c r="G61" s="20" t="str">
        <x:v>unknown</x:v>
      </x:c>
      <x:c r="H61" s="20" t="str">
        <x:v>low</x:v>
      </x:c>
      <x:c r="I61" s="20" t="str">
        <x:v>asin_target</x:v>
      </x:c>
      <x:c r="J61" s="20" t="str">
        <x:v>asin_metadata_pending</x:v>
      </x:c>
      <x:c r="K61" s="20" t="str">
        <x:v>asin_without_metadata</x:v>
      </x:c>
      <x:c r="L61" s="20" t="str">
        <x:v>not_applicable</x:v>
      </x:c>
      <x:c r="M61" s="20" t="str">
        <x:v>non_model</x:v>
      </x:c>
      <x:c r="N61" s="20" t="str">
        <x:v>1</x:v>
      </x:c>
      <x:c r="O61" s="20" t="str">
        <x:v>1.0.0</x:v>
      </x:c>
      <x:c r="P61" s="20" t="str">
        <x:v>1.1.0</x:v>
      </x:c>
      <x:c r="Q61" s="20" t="str">
        <x:v>deepseek/deepseek-v4-pro</x:v>
      </x:c>
      <x:c r="R61" s="20" t="str">
        <x:v>aj2-y90-20260714T234810-0bea2f52</x:v>
      </x:c>
    </x:row>
    <x:row r="62" ht="28" customHeight="1">
      <x:c r="A62" s="20" t="str">
        <x:v>B0GVPKWS8N</x:v>
      </x:c>
      <x:c r="B62" s="20" t="str">
        <x:v>b0gvpkws8n</x:v>
      </x:c>
      <x:c r="C62" s="20" t="str">
        <x:v>1370b84315fd66e6</x:v>
      </x:c>
      <x:c r="D62" s="20" t="str">
        <x:v>asin_target</x:v>
      </x:c>
      <x:c r="E62" s="20" t="str">
        <x:v>en</x:v>
      </x:c>
      <x:c r="F62" s="20" t="str">
        <x:v>该搜索词为 ASIN 形式，需补充商品元数据后再判断用户意图。</x:v>
      </x:c>
      <x:c r="G62" s="20" t="str">
        <x:v>unknown</x:v>
      </x:c>
      <x:c r="H62" s="20" t="str">
        <x:v>low</x:v>
      </x:c>
      <x:c r="I62" s="20" t="str">
        <x:v>asin_target</x:v>
      </x:c>
      <x:c r="J62" s="20" t="str">
        <x:v>asin_metadata_pending</x:v>
      </x:c>
      <x:c r="K62" s="20" t="str">
        <x:v>asin_without_metadata</x:v>
      </x:c>
      <x:c r="L62" s="20" t="str">
        <x:v>not_applicable</x:v>
      </x:c>
      <x:c r="M62" s="20" t="str">
        <x:v>non_model</x:v>
      </x:c>
      <x:c r="N62" s="20" t="str">
        <x:v>1</x:v>
      </x:c>
      <x:c r="O62" s="20" t="str">
        <x:v>1.0.0</x:v>
      </x:c>
      <x:c r="P62" s="20" t="str">
        <x:v>1.1.0</x:v>
      </x:c>
      <x:c r="Q62" s="20" t="str">
        <x:v>deepseek/deepseek-v4-pro</x:v>
      </x:c>
      <x:c r="R62" s="20" t="str">
        <x:v>aj2-y90-20260714T234810-0bea2f52</x:v>
      </x:c>
    </x:row>
    <x:row r="63" ht="28" customHeight="1">
      <x:c r="A63" s="20" t="str">
        <x:v>B08729L65F</x:v>
      </x:c>
      <x:c r="B63" s="20" t="str">
        <x:v>b08729l65f</x:v>
      </x:c>
      <x:c r="C63" s="20" t="str">
        <x:v>13797cb80a12f2b5</x:v>
      </x:c>
      <x:c r="D63" s="20" t="str">
        <x:v>asin_target</x:v>
      </x:c>
      <x:c r="E63" s="20" t="str">
        <x:v>en</x:v>
      </x:c>
      <x:c r="F63" s="20" t="str">
        <x:v>该搜索词为 ASIN 形式，需补充商品元数据后再判断用户意图。</x:v>
      </x:c>
      <x:c r="G63" s="20" t="str">
        <x:v>unknown</x:v>
      </x:c>
      <x:c r="H63" s="20" t="str">
        <x:v>low</x:v>
      </x:c>
      <x:c r="I63" s="20" t="str">
        <x:v>asin_target</x:v>
      </x:c>
      <x:c r="J63" s="20" t="str">
        <x:v>asin_metadata_pending</x:v>
      </x:c>
      <x:c r="K63" s="20" t="str">
        <x:v>asin_without_metadata</x:v>
      </x:c>
      <x:c r="L63" s="20" t="str">
        <x:v>not_applicable</x:v>
      </x:c>
      <x:c r="M63" s="20" t="str">
        <x:v>non_model</x:v>
      </x:c>
      <x:c r="N63" s="20" t="str">
        <x:v>1</x:v>
      </x:c>
      <x:c r="O63" s="20" t="str">
        <x:v>1.0.0</x:v>
      </x:c>
      <x:c r="P63" s="20" t="str">
        <x:v>1.1.0</x:v>
      </x:c>
      <x:c r="Q63" s="20" t="str">
        <x:v>deepseek/deepseek-v4-pro</x:v>
      </x:c>
      <x:c r="R63" s="20" t="str">
        <x:v>aj2-y90-20260714T234810-0bea2f52</x:v>
      </x:c>
    </x:row>
    <x:row r="64" ht="28" customHeight="1">
      <x:c r="A64" s="20" t="str">
        <x:v>B0FXX74BYT</x:v>
      </x:c>
      <x:c r="B64" s="20" t="str">
        <x:v>b0fxx74byt</x:v>
      </x:c>
      <x:c r="C64" s="20" t="str">
        <x:v>141f04507ca48ecb</x:v>
      </x:c>
      <x:c r="D64" s="20" t="str">
        <x:v>asin_target</x:v>
      </x:c>
      <x:c r="E64" s="20" t="str">
        <x:v>en</x:v>
      </x:c>
      <x:c r="F64" s="20" t="str">
        <x:v>该搜索词为 ASIN 形式，需补充商品元数据后再判断用户意图。</x:v>
      </x:c>
      <x:c r="G64" s="20" t="str">
        <x:v>unknown</x:v>
      </x:c>
      <x:c r="H64" s="20" t="str">
        <x:v>low</x:v>
      </x:c>
      <x:c r="I64" s="20" t="str">
        <x:v>asin_target</x:v>
      </x:c>
      <x:c r="J64" s="20" t="str">
        <x:v>asin_metadata_pending</x:v>
      </x:c>
      <x:c r="K64" s="20" t="str">
        <x:v>asin_without_metadata</x:v>
      </x:c>
      <x:c r="L64" s="20" t="str">
        <x:v>not_applicable</x:v>
      </x:c>
      <x:c r="M64" s="20" t="str">
        <x:v>non_model</x:v>
      </x:c>
      <x:c r="N64" s="20" t="str">
        <x:v>2</x:v>
      </x:c>
      <x:c r="O64" s="20" t="str">
        <x:v>1.0.0</x:v>
      </x:c>
      <x:c r="P64" s="20" t="str">
        <x:v>1.1.0</x:v>
      </x:c>
      <x:c r="Q64" s="20" t="str">
        <x:v>deepseek/deepseek-v4-pro</x:v>
      </x:c>
      <x:c r="R64" s="20" t="str">
        <x:v>aj2-y90-20260714T234810-0bea2f52</x:v>
      </x:c>
    </x:row>
    <x:row r="65" ht="28" customHeight="1">
      <x:c r="A65" s="20" t="str">
        <x:v>B0D2NQK5Y1</x:v>
      </x:c>
      <x:c r="B65" s="20" t="str">
        <x:v>b0d2nqk5y1</x:v>
      </x:c>
      <x:c r="C65" s="20" t="str">
        <x:v>1428ec5bf8174df8</x:v>
      </x:c>
      <x:c r="D65" s="20" t="str">
        <x:v>asin_target</x:v>
      </x:c>
      <x:c r="E65" s="20" t="str">
        <x:v>en</x:v>
      </x:c>
      <x:c r="F65" s="20" t="str">
        <x:v>该搜索词为 ASIN 形式，需补充商品元数据后再判断用户意图。</x:v>
      </x:c>
      <x:c r="G65" s="20" t="str">
        <x:v>unknown</x:v>
      </x:c>
      <x:c r="H65" s="20" t="str">
        <x:v>low</x:v>
      </x:c>
      <x:c r="I65" s="20" t="str">
        <x:v>asin_target</x:v>
      </x:c>
      <x:c r="J65" s="20" t="str">
        <x:v>asin_metadata_pending</x:v>
      </x:c>
      <x:c r="K65" s="20" t="str">
        <x:v>asin_without_metadata</x:v>
      </x:c>
      <x:c r="L65" s="20" t="str">
        <x:v>not_applicable</x:v>
      </x:c>
      <x:c r="M65" s="20" t="str">
        <x:v>non_model</x:v>
      </x:c>
      <x:c r="N65" s="20" t="str">
        <x:v>1</x:v>
      </x:c>
      <x:c r="O65" s="20" t="str">
        <x:v>1.0.0</x:v>
      </x:c>
      <x:c r="P65" s="20" t="str">
        <x:v>1.1.0</x:v>
      </x:c>
      <x:c r="Q65" s="20" t="str">
        <x:v>deepseek/deepseek-v4-pro</x:v>
      </x:c>
      <x:c r="R65" s="20" t="str">
        <x:v>aj2-y90-20260714T234810-0bea2f52</x:v>
      </x:c>
    </x:row>
    <x:row r="66" ht="28" customHeight="1">
      <x:c r="A66" s="20" t="str">
        <x:v>B0D7V6KLKF</x:v>
      </x:c>
      <x:c r="B66" s="20" t="str">
        <x:v>b0d7v6klkf</x:v>
      </x:c>
      <x:c r="C66" s="20" t="str">
        <x:v>1507464fef4b5b4a</x:v>
      </x:c>
      <x:c r="D66" s="20" t="str">
        <x:v>asin_target</x:v>
      </x:c>
      <x:c r="E66" s="20" t="str">
        <x:v>en</x:v>
      </x:c>
      <x:c r="F66" s="20" t="str">
        <x:v>该搜索词为 ASIN 形式，需补充商品元数据后再判断用户意图。</x:v>
      </x:c>
      <x:c r="G66" s="20" t="str">
        <x:v>unknown</x:v>
      </x:c>
      <x:c r="H66" s="20" t="str">
        <x:v>low</x:v>
      </x:c>
      <x:c r="I66" s="20" t="str">
        <x:v>asin_target</x:v>
      </x:c>
      <x:c r="J66" s="20" t="str">
        <x:v>asin_metadata_pending</x:v>
      </x:c>
      <x:c r="K66" s="20" t="str">
        <x:v>asin_without_metadata</x:v>
      </x:c>
      <x:c r="L66" s="20" t="str">
        <x:v>not_applicable</x:v>
      </x:c>
      <x:c r="M66" s="20" t="str">
        <x:v>non_model</x:v>
      </x:c>
      <x:c r="N66" s="20" t="str">
        <x:v>1</x:v>
      </x:c>
      <x:c r="O66" s="20" t="str">
        <x:v>1.0.0</x:v>
      </x:c>
      <x:c r="P66" s="20" t="str">
        <x:v>1.1.0</x:v>
      </x:c>
      <x:c r="Q66" s="20" t="str">
        <x:v>deepseek/deepseek-v4-pro</x:v>
      </x:c>
      <x:c r="R66" s="20" t="str">
        <x:v>aj2-y90-20260714T234810-0bea2f52</x:v>
      </x:c>
    </x:row>
    <x:row r="67" ht="28" customHeight="1">
      <x:c r="A67" s="20" t="str">
        <x:v>B0C6NY12VW</x:v>
      </x:c>
      <x:c r="B67" s="20" t="str">
        <x:v>b0c6ny12vw</x:v>
      </x:c>
      <x:c r="C67" s="20" t="str">
        <x:v>1578081f93c44257</x:v>
      </x:c>
      <x:c r="D67" s="20" t="str">
        <x:v>asin_target</x:v>
      </x:c>
      <x:c r="E67" s="20" t="str">
        <x:v>en</x:v>
      </x:c>
      <x:c r="F67" s="20" t="str">
        <x:v>该搜索词为 ASIN 形式，需补充商品元数据后再判断用户意图。</x:v>
      </x:c>
      <x:c r="G67" s="20" t="str">
        <x:v>unknown</x:v>
      </x:c>
      <x:c r="H67" s="20" t="str">
        <x:v>low</x:v>
      </x:c>
      <x:c r="I67" s="20" t="str">
        <x:v>asin_target</x:v>
      </x:c>
      <x:c r="J67" s="20" t="str">
        <x:v>asin_metadata_pending</x:v>
      </x:c>
      <x:c r="K67" s="20" t="str">
        <x:v>asin_without_metadata</x:v>
      </x:c>
      <x:c r="L67" s="20" t="str">
        <x:v>not_applicable</x:v>
      </x:c>
      <x:c r="M67" s="20" t="str">
        <x:v>non_model</x:v>
      </x:c>
      <x:c r="N67" s="20" t="str">
        <x:v>1</x:v>
      </x:c>
      <x:c r="O67" s="20" t="str">
        <x:v>1.0.0</x:v>
      </x:c>
      <x:c r="P67" s="20" t="str">
        <x:v>1.1.0</x:v>
      </x:c>
      <x:c r="Q67" s="20" t="str">
        <x:v>deepseek/deepseek-v4-pro</x:v>
      </x:c>
      <x:c r="R67" s="20" t="str">
        <x:v>aj2-y90-20260714T234810-0bea2f52</x:v>
      </x:c>
    </x:row>
    <x:row r="68" ht="28" customHeight="1">
      <x:c r="A68" s="20" t="str">
        <x:v>B0G48NMXFM</x:v>
      </x:c>
      <x:c r="B68" s="20" t="str">
        <x:v>b0g48nmxfm</x:v>
      </x:c>
      <x:c r="C68" s="20" t="str">
        <x:v>17ac898f75743087</x:v>
      </x:c>
      <x:c r="D68" s="20" t="str">
        <x:v>asin_target</x:v>
      </x:c>
      <x:c r="E68" s="20" t="str">
        <x:v>en</x:v>
      </x:c>
      <x:c r="F68" s="20" t="str">
        <x:v>该搜索词为 ASIN 形式，需补充商品元数据后再判断用户意图。</x:v>
      </x:c>
      <x:c r="G68" s="20" t="str">
        <x:v>unknown</x:v>
      </x:c>
      <x:c r="H68" s="20" t="str">
        <x:v>low</x:v>
      </x:c>
      <x:c r="I68" s="20" t="str">
        <x:v>asin_target</x:v>
      </x:c>
      <x:c r="J68" s="20" t="str">
        <x:v>asin_metadata_pending</x:v>
      </x:c>
      <x:c r="K68" s="20" t="str">
        <x:v>asin_without_metadata</x:v>
      </x:c>
      <x:c r="L68" s="20" t="str">
        <x:v>not_applicable</x:v>
      </x:c>
      <x:c r="M68" s="20" t="str">
        <x:v>non_model</x:v>
      </x:c>
      <x:c r="N68" s="20" t="str">
        <x:v>1</x:v>
      </x:c>
      <x:c r="O68" s="20" t="str">
        <x:v>1.0.0</x:v>
      </x:c>
      <x:c r="P68" s="20" t="str">
        <x:v>1.1.0</x:v>
      </x:c>
      <x:c r="Q68" s="20" t="str">
        <x:v>deepseek/deepseek-v4-pro</x:v>
      </x:c>
      <x:c r="R68" s="20" t="str">
        <x:v>aj2-y90-20260714T234810-0bea2f52</x:v>
      </x:c>
    </x:row>
    <x:row r="69" ht="28" customHeight="1">
      <x:c r="A69" s="20" t="str">
        <x:v>B0GGR23P38</x:v>
      </x:c>
      <x:c r="B69" s="20" t="str">
        <x:v>b0ggr23p38</x:v>
      </x:c>
      <x:c r="C69" s="20" t="str">
        <x:v>1871e6818ba254d5</x:v>
      </x:c>
      <x:c r="D69" s="20" t="str">
        <x:v>asin_target</x:v>
      </x:c>
      <x:c r="E69" s="20" t="str">
        <x:v>en</x:v>
      </x:c>
      <x:c r="F69" s="20" t="str">
        <x:v>该搜索词为 ASIN 形式，需补充商品元数据后再判断用户意图。</x:v>
      </x:c>
      <x:c r="G69" s="20" t="str">
        <x:v>unknown</x:v>
      </x:c>
      <x:c r="H69" s="20" t="str">
        <x:v>low</x:v>
      </x:c>
      <x:c r="I69" s="20" t="str">
        <x:v>asin_target</x:v>
      </x:c>
      <x:c r="J69" s="20" t="str">
        <x:v>asin_metadata_pending</x:v>
      </x:c>
      <x:c r="K69" s="20" t="str">
        <x:v>asin_without_metadata</x:v>
      </x:c>
      <x:c r="L69" s="20" t="str">
        <x:v>not_applicable</x:v>
      </x:c>
      <x:c r="M69" s="20" t="str">
        <x:v>non_model</x:v>
      </x:c>
      <x:c r="N69" s="20" t="str">
        <x:v>1</x:v>
      </x:c>
      <x:c r="O69" s="20" t="str">
        <x:v>1.0.0</x:v>
      </x:c>
      <x:c r="P69" s="20" t="str">
        <x:v>1.1.0</x:v>
      </x:c>
      <x:c r="Q69" s="20" t="str">
        <x:v>deepseek/deepseek-v4-pro</x:v>
      </x:c>
      <x:c r="R69" s="20" t="str">
        <x:v>aj2-y90-20260714T234810-0bea2f52</x:v>
      </x:c>
    </x:row>
    <x:row r="70" ht="28" customHeight="1">
      <x:c r="A70" s="20" t="str">
        <x:v>B0GGR4WLNC</x:v>
      </x:c>
      <x:c r="B70" s="20" t="str">
        <x:v>b0ggr4wlnc</x:v>
      </x:c>
      <x:c r="C70" s="20" t="str">
        <x:v>195a9b3fc4e2714d</x:v>
      </x:c>
      <x:c r="D70" s="20" t="str">
        <x:v>asin_target</x:v>
      </x:c>
      <x:c r="E70" s="20" t="str">
        <x:v>en</x:v>
      </x:c>
      <x:c r="F70" s="20" t="str">
        <x:v>该搜索词为 ASIN 形式，需补充商品元数据后再判断用户意图。</x:v>
      </x:c>
      <x:c r="G70" s="20" t="str">
        <x:v>unknown</x:v>
      </x:c>
      <x:c r="H70" s="20" t="str">
        <x:v>low</x:v>
      </x:c>
      <x:c r="I70" s="20" t="str">
        <x:v>asin_target</x:v>
      </x:c>
      <x:c r="J70" s="20" t="str">
        <x:v>asin_metadata_pending</x:v>
      </x:c>
      <x:c r="K70" s="20" t="str">
        <x:v>asin_without_metadata</x:v>
      </x:c>
      <x:c r="L70" s="20" t="str">
        <x:v>not_applicable</x:v>
      </x:c>
      <x:c r="M70" s="20" t="str">
        <x:v>non_model</x:v>
      </x:c>
      <x:c r="N70" s="20" t="str">
        <x:v>2</x:v>
      </x:c>
      <x:c r="O70" s="20" t="str">
        <x:v>1.0.0</x:v>
      </x:c>
      <x:c r="P70" s="20" t="str">
        <x:v>1.1.0</x:v>
      </x:c>
      <x:c r="Q70" s="20" t="str">
        <x:v>deepseek/deepseek-v4-pro</x:v>
      </x:c>
      <x:c r="R70" s="20" t="str">
        <x:v>aj2-y90-20260714T234810-0bea2f52</x:v>
      </x:c>
    </x:row>
    <x:row r="71" ht="28" customHeight="1">
      <x:c r="A71" s="20" t="str">
        <x:v>B0C5ZYLRVY</x:v>
      </x:c>
      <x:c r="B71" s="20" t="str">
        <x:v>b0c5zylrvy</x:v>
      </x:c>
      <x:c r="C71" s="20" t="str">
        <x:v>19fa21f4b4bb22f0</x:v>
      </x:c>
      <x:c r="D71" s="20" t="str">
        <x:v>asin_target</x:v>
      </x:c>
      <x:c r="E71" s="20" t="str">
        <x:v>en</x:v>
      </x:c>
      <x:c r="F71" s="20" t="str">
        <x:v>该搜索词为 ASIN 形式，需补充商品元数据后再判断用户意图。</x:v>
      </x:c>
      <x:c r="G71" s="20" t="str">
        <x:v>unknown</x:v>
      </x:c>
      <x:c r="H71" s="20" t="str">
        <x:v>low</x:v>
      </x:c>
      <x:c r="I71" s="20" t="str">
        <x:v>asin_target</x:v>
      </x:c>
      <x:c r="J71" s="20" t="str">
        <x:v>asin_metadata_pending</x:v>
      </x:c>
      <x:c r="K71" s="20" t="str">
        <x:v>asin_without_metadata</x:v>
      </x:c>
      <x:c r="L71" s="20" t="str">
        <x:v>not_applicable</x:v>
      </x:c>
      <x:c r="M71" s="20" t="str">
        <x:v>non_model</x:v>
      </x:c>
      <x:c r="N71" s="20" t="str">
        <x:v>1</x:v>
      </x:c>
      <x:c r="O71" s="20" t="str">
        <x:v>1.0.0</x:v>
      </x:c>
      <x:c r="P71" s="20" t="str">
        <x:v>1.1.0</x:v>
      </x:c>
      <x:c r="Q71" s="20" t="str">
        <x:v>deepseek/deepseek-v4-pro</x:v>
      </x:c>
      <x:c r="R71" s="20" t="str">
        <x:v>aj2-y90-20260714T234810-0bea2f52</x:v>
      </x:c>
    </x:row>
    <x:row r="72" ht="28" customHeight="1">
      <x:c r="A72" s="20" t="str">
        <x:v>B071WSVX1P</x:v>
      </x:c>
      <x:c r="B72" s="20" t="str">
        <x:v>b071wsvx1p</x:v>
      </x:c>
      <x:c r="C72" s="20" t="str">
        <x:v>1a1ec5b4127b71a6</x:v>
      </x:c>
      <x:c r="D72" s="20" t="str">
        <x:v>asin_target</x:v>
      </x:c>
      <x:c r="E72" s="20" t="str">
        <x:v>en</x:v>
      </x:c>
      <x:c r="F72" s="20" t="str">
        <x:v>该搜索词为 ASIN 形式，需补充商品元数据后再判断用户意图。</x:v>
      </x:c>
      <x:c r="G72" s="20" t="str">
        <x:v>unknown</x:v>
      </x:c>
      <x:c r="H72" s="20" t="str">
        <x:v>low</x:v>
      </x:c>
      <x:c r="I72" s="20" t="str">
        <x:v>asin_target</x:v>
      </x:c>
      <x:c r="J72" s="20" t="str">
        <x:v>asin_metadata_pending</x:v>
      </x:c>
      <x:c r="K72" s="20" t="str">
        <x:v>asin_without_metadata</x:v>
      </x:c>
      <x:c r="L72" s="20" t="str">
        <x:v>not_applicable</x:v>
      </x:c>
      <x:c r="M72" s="20" t="str">
        <x:v>non_model</x:v>
      </x:c>
      <x:c r="N72" s="20" t="str">
        <x:v>1</x:v>
      </x:c>
      <x:c r="O72" s="20" t="str">
        <x:v>1.0.0</x:v>
      </x:c>
      <x:c r="P72" s="20" t="str">
        <x:v>1.1.0</x:v>
      </x:c>
      <x:c r="Q72" s="20" t="str">
        <x:v>deepseek/deepseek-v4-pro</x:v>
      </x:c>
      <x:c r="R72" s="20" t="str">
        <x:v>aj2-y90-20260714T234810-0bea2f52</x:v>
      </x:c>
    </x:row>
    <x:row r="73" ht="28" customHeight="1">
      <x:c r="A73" s="20" t="str">
        <x:v>B0FXX74KB6</x:v>
      </x:c>
      <x:c r="B73" s="20" t="str">
        <x:v>b0fxx74kb6</x:v>
      </x:c>
      <x:c r="C73" s="20" t="str">
        <x:v>1b7e2393dba896e2</x:v>
      </x:c>
      <x:c r="D73" s="20" t="str">
        <x:v>asin_target</x:v>
      </x:c>
      <x:c r="E73" s="20" t="str">
        <x:v>en</x:v>
      </x:c>
      <x:c r="F73" s="20" t="str">
        <x:v>该搜索词为 ASIN 形式，需补充商品元数据后再判断用户意图。</x:v>
      </x:c>
      <x:c r="G73" s="20" t="str">
        <x:v>unknown</x:v>
      </x:c>
      <x:c r="H73" s="20" t="str">
        <x:v>low</x:v>
      </x:c>
      <x:c r="I73" s="20" t="str">
        <x:v>asin_target</x:v>
      </x:c>
      <x:c r="J73" s="20" t="str">
        <x:v>asin_metadata_pending</x:v>
      </x:c>
      <x:c r="K73" s="20" t="str">
        <x:v>asin_without_metadata</x:v>
      </x:c>
      <x:c r="L73" s="20" t="str">
        <x:v>not_applicable</x:v>
      </x:c>
      <x:c r="M73" s="20" t="str">
        <x:v>non_model</x:v>
      </x:c>
      <x:c r="N73" s="20" t="str">
        <x:v>1</x:v>
      </x:c>
      <x:c r="O73" s="20" t="str">
        <x:v>1.0.0</x:v>
      </x:c>
      <x:c r="P73" s="20" t="str">
        <x:v>1.1.0</x:v>
      </x:c>
      <x:c r="Q73" s="20" t="str">
        <x:v>deepseek/deepseek-v4-pro</x:v>
      </x:c>
      <x:c r="R73" s="20" t="str">
        <x:v>aj2-y90-20260714T234810-0bea2f52</x:v>
      </x:c>
    </x:row>
    <x:row r="74" ht="28" customHeight="1">
      <x:c r="A74" s="20" t="str">
        <x:v>B0F8LQ3PQZ</x:v>
      </x:c>
      <x:c r="B74" s="20" t="str">
        <x:v>b0f8lq3pqz</x:v>
      </x:c>
      <x:c r="C74" s="20" t="str">
        <x:v>1e165afead38c646</x:v>
      </x:c>
      <x:c r="D74" s="20" t="str">
        <x:v>asin_target</x:v>
      </x:c>
      <x:c r="E74" s="20" t="str">
        <x:v>en</x:v>
      </x:c>
      <x:c r="F74" s="20" t="str">
        <x:v>该搜索词为 ASIN 形式，需补充商品元数据后再判断用户意图。</x:v>
      </x:c>
      <x:c r="G74" s="20" t="str">
        <x:v>unknown</x:v>
      </x:c>
      <x:c r="H74" s="20" t="str">
        <x:v>low</x:v>
      </x:c>
      <x:c r="I74" s="20" t="str">
        <x:v>asin_target</x:v>
      </x:c>
      <x:c r="J74" s="20" t="str">
        <x:v>asin_metadata_pending</x:v>
      </x:c>
      <x:c r="K74" s="20" t="str">
        <x:v>asin_without_metadata</x:v>
      </x:c>
      <x:c r="L74" s="20" t="str">
        <x:v>not_applicable</x:v>
      </x:c>
      <x:c r="M74" s="20" t="str">
        <x:v>non_model</x:v>
      </x:c>
      <x:c r="N74" s="20" t="str">
        <x:v>1</x:v>
      </x:c>
      <x:c r="O74" s="20" t="str">
        <x:v>1.0.0</x:v>
      </x:c>
      <x:c r="P74" s="20" t="str">
        <x:v>1.1.0</x:v>
      </x:c>
      <x:c r="Q74" s="20" t="str">
        <x:v>deepseek/deepseek-v4-pro</x:v>
      </x:c>
      <x:c r="R74" s="20" t="str">
        <x:v>aj2-y90-20260714T234810-0bea2f52</x:v>
      </x:c>
    </x:row>
    <x:row r="75" ht="28" customHeight="1">
      <x:c r="A75" s="20" t="str">
        <x:v>B0GGRDRQ3R</x:v>
      </x:c>
      <x:c r="B75" s="20" t="str">
        <x:v>b0ggrdrq3r</x:v>
      </x:c>
      <x:c r="C75" s="20" t="str">
        <x:v>1e9708cfc27a396a</x:v>
      </x:c>
      <x:c r="D75" s="20" t="str">
        <x:v>asin_target</x:v>
      </x:c>
      <x:c r="E75" s="20" t="str">
        <x:v>en</x:v>
      </x:c>
      <x:c r="F75" s="20" t="str">
        <x:v>该搜索词为 ASIN 形式，需补充商品元数据后再判断用户意图。</x:v>
      </x:c>
      <x:c r="G75" s="20" t="str">
        <x:v>unknown</x:v>
      </x:c>
      <x:c r="H75" s="20" t="str">
        <x:v>low</x:v>
      </x:c>
      <x:c r="I75" s="20" t="str">
        <x:v>asin_target</x:v>
      </x:c>
      <x:c r="J75" s="20" t="str">
        <x:v>asin_metadata_pending</x:v>
      </x:c>
      <x:c r="K75" s="20" t="str">
        <x:v>asin_without_metadata</x:v>
      </x:c>
      <x:c r="L75" s="20" t="str">
        <x:v>not_applicable</x:v>
      </x:c>
      <x:c r="M75" s="20" t="str">
        <x:v>non_model</x:v>
      </x:c>
      <x:c r="N75" s="20" t="str">
        <x:v>1</x:v>
      </x:c>
      <x:c r="O75" s="20" t="str">
        <x:v>1.0.0</x:v>
      </x:c>
      <x:c r="P75" s="20" t="str">
        <x:v>1.1.0</x:v>
      </x:c>
      <x:c r="Q75" s="20" t="str">
        <x:v>deepseek/deepseek-v4-pro</x:v>
      </x:c>
      <x:c r="R75" s="20" t="str">
        <x:v>aj2-y90-20260714T234810-0bea2f52</x:v>
      </x:c>
    </x:row>
    <x:row r="76" ht="28" customHeight="1">
      <x:c r="A76" s="20" t="str">
        <x:v>B09M7XJYBL</x:v>
      </x:c>
      <x:c r="B76" s="20" t="str">
        <x:v>b09m7xjybl</x:v>
      </x:c>
      <x:c r="C76" s="20" t="str">
        <x:v>1ece2a12cc5c455e</x:v>
      </x:c>
      <x:c r="D76" s="20" t="str">
        <x:v>asin_target</x:v>
      </x:c>
      <x:c r="E76" s="20" t="str">
        <x:v>en</x:v>
      </x:c>
      <x:c r="F76" s="20" t="str">
        <x:v>该搜索词为 ASIN 形式，需补充商品元数据后再判断用户意图。</x:v>
      </x:c>
      <x:c r="G76" s="20" t="str">
        <x:v>unknown</x:v>
      </x:c>
      <x:c r="H76" s="20" t="str">
        <x:v>low</x:v>
      </x:c>
      <x:c r="I76" s="20" t="str">
        <x:v>asin_target</x:v>
      </x:c>
      <x:c r="J76" s="20" t="str">
        <x:v>asin_metadata_pending</x:v>
      </x:c>
      <x:c r="K76" s="20" t="str">
        <x:v>asin_without_metadata</x:v>
      </x:c>
      <x:c r="L76" s="20" t="str">
        <x:v>not_applicable</x:v>
      </x:c>
      <x:c r="M76" s="20" t="str">
        <x:v>non_model</x:v>
      </x:c>
      <x:c r="N76" s="20" t="str">
        <x:v>1</x:v>
      </x:c>
      <x:c r="O76" s="20" t="str">
        <x:v>1.0.0</x:v>
      </x:c>
      <x:c r="P76" s="20" t="str">
        <x:v>1.1.0</x:v>
      </x:c>
      <x:c r="Q76" s="20" t="str">
        <x:v>deepseek/deepseek-v4-pro</x:v>
      </x:c>
      <x:c r="R76" s="20" t="str">
        <x:v>aj2-y90-20260714T234810-0bea2f52</x:v>
      </x:c>
    </x:row>
    <x:row r="77" ht="28" customHeight="1">
      <x:c r="A77" s="20" t="str">
        <x:v>B0CBP3S439</x:v>
      </x:c>
      <x:c r="B77" s="20" t="str">
        <x:v>b0cbp3s439</x:v>
      </x:c>
      <x:c r="C77" s="20" t="str">
        <x:v>1f09ea2d86dd1712</x:v>
      </x:c>
      <x:c r="D77" s="20" t="str">
        <x:v>asin_target</x:v>
      </x:c>
      <x:c r="E77" s="20" t="str">
        <x:v>en</x:v>
      </x:c>
      <x:c r="F77" s="20" t="str">
        <x:v>该搜索词为 ASIN 形式，需补充商品元数据后再判断用户意图。</x:v>
      </x:c>
      <x:c r="G77" s="20" t="str">
        <x:v>unknown</x:v>
      </x:c>
      <x:c r="H77" s="20" t="str">
        <x:v>low</x:v>
      </x:c>
      <x:c r="I77" s="20" t="str">
        <x:v>asin_target</x:v>
      </x:c>
      <x:c r="J77" s="20" t="str">
        <x:v>asin_metadata_pending</x:v>
      </x:c>
      <x:c r="K77" s="20" t="str">
        <x:v>asin_without_metadata</x:v>
      </x:c>
      <x:c r="L77" s="20" t="str">
        <x:v>not_applicable</x:v>
      </x:c>
      <x:c r="M77" s="20" t="str">
        <x:v>non_model</x:v>
      </x:c>
      <x:c r="N77" s="20" t="str">
        <x:v>1</x:v>
      </x:c>
      <x:c r="O77" s="20" t="str">
        <x:v>1.0.0</x:v>
      </x:c>
      <x:c r="P77" s="20" t="str">
        <x:v>1.1.0</x:v>
      </x:c>
      <x:c r="Q77" s="20" t="str">
        <x:v>deepseek/deepseek-v4-pro</x:v>
      </x:c>
      <x:c r="R77" s="20" t="str">
        <x:v>aj2-y90-20260714T234810-0bea2f52</x:v>
      </x:c>
    </x:row>
    <x:row r="78" ht="28" customHeight="1">
      <x:c r="A78" s="20" t="str">
        <x:v>B09TPBT3Q3</x:v>
      </x:c>
      <x:c r="B78" s="20" t="str">
        <x:v>b09tpbt3q3</x:v>
      </x:c>
      <x:c r="C78" s="20" t="str">
        <x:v>1f12e9ff6d902c1c</x:v>
      </x:c>
      <x:c r="D78" s="20" t="str">
        <x:v>asin_target</x:v>
      </x:c>
      <x:c r="E78" s="20" t="str">
        <x:v>en</x:v>
      </x:c>
      <x:c r="F78" s="20" t="str">
        <x:v>该搜索词为 ASIN 形式，需补充商品元数据后再判断用户意图。</x:v>
      </x:c>
      <x:c r="G78" s="20" t="str">
        <x:v>unknown</x:v>
      </x:c>
      <x:c r="H78" s="20" t="str">
        <x:v>low</x:v>
      </x:c>
      <x:c r="I78" s="20" t="str">
        <x:v>asin_target</x:v>
      </x:c>
      <x:c r="J78" s="20" t="str">
        <x:v>asin_metadata_pending</x:v>
      </x:c>
      <x:c r="K78" s="20" t="str">
        <x:v>asin_without_metadata</x:v>
      </x:c>
      <x:c r="L78" s="20" t="str">
        <x:v>not_applicable</x:v>
      </x:c>
      <x:c r="M78" s="20" t="str">
        <x:v>non_model</x:v>
      </x:c>
      <x:c r="N78" s="20" t="str">
        <x:v>1</x:v>
      </x:c>
      <x:c r="O78" s="20" t="str">
        <x:v>1.0.0</x:v>
      </x:c>
      <x:c r="P78" s="20" t="str">
        <x:v>1.1.0</x:v>
      </x:c>
      <x:c r="Q78" s="20" t="str">
        <x:v>deepseek/deepseek-v4-pro</x:v>
      </x:c>
      <x:c r="R78" s="20" t="str">
        <x:v>aj2-y90-20260714T234810-0bea2f52</x:v>
      </x:c>
    </x:row>
    <x:row r="79" ht="28" customHeight="1">
      <x:c r="A79" s="20" t="str">
        <x:v>B0GGR25VZ1</x:v>
      </x:c>
      <x:c r="B79" s="20" t="str">
        <x:v>b0ggr25vz1</x:v>
      </x:c>
      <x:c r="C79" s="20" t="str">
        <x:v>1f765a99b0ba668d</x:v>
      </x:c>
      <x:c r="D79" s="20" t="str">
        <x:v>asin_target</x:v>
      </x:c>
      <x:c r="E79" s="20" t="str">
        <x:v>en</x:v>
      </x:c>
      <x:c r="F79" s="20" t="str">
        <x:v>该搜索词为 ASIN 形式，需补充商品元数据后再判断用户意图。</x:v>
      </x:c>
      <x:c r="G79" s="20" t="str">
        <x:v>unknown</x:v>
      </x:c>
      <x:c r="H79" s="20" t="str">
        <x:v>low</x:v>
      </x:c>
      <x:c r="I79" s="20" t="str">
        <x:v>asin_target</x:v>
      </x:c>
      <x:c r="J79" s="20" t="str">
        <x:v>asin_metadata_pending</x:v>
      </x:c>
      <x:c r="K79" s="20" t="str">
        <x:v>asin_without_metadata</x:v>
      </x:c>
      <x:c r="L79" s="20" t="str">
        <x:v>not_applicable</x:v>
      </x:c>
      <x:c r="M79" s="20" t="str">
        <x:v>non_model</x:v>
      </x:c>
      <x:c r="N79" s="20" t="str">
        <x:v>1</x:v>
      </x:c>
      <x:c r="O79" s="20" t="str">
        <x:v>1.0.0</x:v>
      </x:c>
      <x:c r="P79" s="20" t="str">
        <x:v>1.1.0</x:v>
      </x:c>
      <x:c r="Q79" s="20" t="str">
        <x:v>deepseek/deepseek-v4-pro</x:v>
      </x:c>
      <x:c r="R79" s="20" t="str">
        <x:v>aj2-y90-20260714T234810-0bea2f52</x:v>
      </x:c>
    </x:row>
    <x:row r="80" ht="28" customHeight="1">
      <x:c r="A80" s="20" t="str">
        <x:v>B079NH5LR3</x:v>
      </x:c>
      <x:c r="B80" s="20" t="str">
        <x:v>b079nh5lr3</x:v>
      </x:c>
      <x:c r="C80" s="20" t="str">
        <x:v>203a9a163635e0cc</x:v>
      </x:c>
      <x:c r="D80" s="20" t="str">
        <x:v>asin_target</x:v>
      </x:c>
      <x:c r="E80" s="20" t="str">
        <x:v>en</x:v>
      </x:c>
      <x:c r="F80" s="20" t="str">
        <x:v>该搜索词为 ASIN 形式，需补充商品元数据后再判断用户意图。</x:v>
      </x:c>
      <x:c r="G80" s="20" t="str">
        <x:v>unknown</x:v>
      </x:c>
      <x:c r="H80" s="20" t="str">
        <x:v>low</x:v>
      </x:c>
      <x:c r="I80" s="20" t="str">
        <x:v>asin_target</x:v>
      </x:c>
      <x:c r="J80" s="20" t="str">
        <x:v>asin_metadata_pending</x:v>
      </x:c>
      <x:c r="K80" s="20" t="str">
        <x:v>asin_without_metadata</x:v>
      </x:c>
      <x:c r="L80" s="20" t="str">
        <x:v>not_applicable</x:v>
      </x:c>
      <x:c r="M80" s="20" t="str">
        <x:v>non_model</x:v>
      </x:c>
      <x:c r="N80" s="20" t="str">
        <x:v>1</x:v>
      </x:c>
      <x:c r="O80" s="20" t="str">
        <x:v>1.0.0</x:v>
      </x:c>
      <x:c r="P80" s="20" t="str">
        <x:v>1.1.0</x:v>
      </x:c>
      <x:c r="Q80" s="20" t="str">
        <x:v>deepseek/deepseek-v4-pro</x:v>
      </x:c>
      <x:c r="R80" s="20" t="str">
        <x:v>aj2-y90-20260714T234810-0bea2f52</x:v>
      </x:c>
    </x:row>
    <x:row r="81" ht="28" customHeight="1">
      <x:c r="A81" s="20" t="str">
        <x:v>B0GKCKQ172</x:v>
      </x:c>
      <x:c r="B81" s="20" t="str">
        <x:v>b0gkckq172</x:v>
      </x:c>
      <x:c r="C81" s="20" t="str">
        <x:v>2090c4ca35e3af03</x:v>
      </x:c>
      <x:c r="D81" s="20" t="str">
        <x:v>asin_target</x:v>
      </x:c>
      <x:c r="E81" s="20" t="str">
        <x:v>en</x:v>
      </x:c>
      <x:c r="F81" s="20" t="str">
        <x:v>该搜索词为 ASIN 形式，需补充商品元数据后再判断用户意图。</x:v>
      </x:c>
      <x:c r="G81" s="20" t="str">
        <x:v>unknown</x:v>
      </x:c>
      <x:c r="H81" s="20" t="str">
        <x:v>low</x:v>
      </x:c>
      <x:c r="I81" s="20" t="str">
        <x:v>asin_target</x:v>
      </x:c>
      <x:c r="J81" s="20" t="str">
        <x:v>asin_metadata_pending</x:v>
      </x:c>
      <x:c r="K81" s="20" t="str">
        <x:v>asin_without_metadata</x:v>
      </x:c>
      <x:c r="L81" s="20" t="str">
        <x:v>not_applicable</x:v>
      </x:c>
      <x:c r="M81" s="20" t="str">
        <x:v>non_model</x:v>
      </x:c>
      <x:c r="N81" s="20" t="str">
        <x:v>1</x:v>
      </x:c>
      <x:c r="O81" s="20" t="str">
        <x:v>1.0.0</x:v>
      </x:c>
      <x:c r="P81" s="20" t="str">
        <x:v>1.1.0</x:v>
      </x:c>
      <x:c r="Q81" s="20" t="str">
        <x:v>deepseek/deepseek-v4-pro</x:v>
      </x:c>
      <x:c r="R81" s="20" t="str">
        <x:v>aj2-y90-20260714T234810-0bea2f52</x:v>
      </x:c>
    </x:row>
    <x:row r="82" ht="28" customHeight="1">
      <x:c r="A82" s="20" t="str">
        <x:v>B0BR7S973G</x:v>
      </x:c>
      <x:c r="B82" s="20" t="str">
        <x:v>b0br7s973g</x:v>
      </x:c>
      <x:c r="C82" s="20" t="str">
        <x:v>209a3d4807308311</x:v>
      </x:c>
      <x:c r="D82" s="20" t="str">
        <x:v>asin_target</x:v>
      </x:c>
      <x:c r="E82" s="20" t="str">
        <x:v>en</x:v>
      </x:c>
      <x:c r="F82" s="20" t="str">
        <x:v>该搜索词为 ASIN 形式，需补充商品元数据后再判断用户意图。</x:v>
      </x:c>
      <x:c r="G82" s="20" t="str">
        <x:v>unknown</x:v>
      </x:c>
      <x:c r="H82" s="20" t="str">
        <x:v>low</x:v>
      </x:c>
      <x:c r="I82" s="20" t="str">
        <x:v>asin_target</x:v>
      </x:c>
      <x:c r="J82" s="20" t="str">
        <x:v>asin_metadata_pending</x:v>
      </x:c>
      <x:c r="K82" s="20" t="str">
        <x:v>asin_without_metadata</x:v>
      </x:c>
      <x:c r="L82" s="20" t="str">
        <x:v>not_applicable</x:v>
      </x:c>
      <x:c r="M82" s="20" t="str">
        <x:v>non_model</x:v>
      </x:c>
      <x:c r="N82" s="20" t="str">
        <x:v>1</x:v>
      </x:c>
      <x:c r="O82" s="20" t="str">
        <x:v>1.0.0</x:v>
      </x:c>
      <x:c r="P82" s="20" t="str">
        <x:v>1.1.0</x:v>
      </x:c>
      <x:c r="Q82" s="20" t="str">
        <x:v>deepseek/deepseek-v4-pro</x:v>
      </x:c>
      <x:c r="R82" s="20" t="str">
        <x:v>aj2-y90-20260714T234810-0bea2f52</x:v>
      </x:c>
    </x:row>
    <x:row r="83" ht="28" customHeight="1">
      <x:c r="A83" s="20" t="str">
        <x:v>B0D1JF8RDW</x:v>
      </x:c>
      <x:c r="B83" s="20" t="str">
        <x:v>b0d1jf8rdw</x:v>
      </x:c>
      <x:c r="C83" s="20" t="str">
        <x:v>20c9f177aae1e1ac</x:v>
      </x:c>
      <x:c r="D83" s="20" t="str">
        <x:v>asin_target</x:v>
      </x:c>
      <x:c r="E83" s="20" t="str">
        <x:v>en</x:v>
      </x:c>
      <x:c r="F83" s="20" t="str">
        <x:v>该搜索词为 ASIN 形式，需补充商品元数据后再判断用户意图。</x:v>
      </x:c>
      <x:c r="G83" s="20" t="str">
        <x:v>unknown</x:v>
      </x:c>
      <x:c r="H83" s="20" t="str">
        <x:v>low</x:v>
      </x:c>
      <x:c r="I83" s="20" t="str">
        <x:v>asin_target</x:v>
      </x:c>
      <x:c r="J83" s="20" t="str">
        <x:v>asin_metadata_pending</x:v>
      </x:c>
      <x:c r="K83" s="20" t="str">
        <x:v>asin_without_metadata</x:v>
      </x:c>
      <x:c r="L83" s="20" t="str">
        <x:v>not_applicable</x:v>
      </x:c>
      <x:c r="M83" s="20" t="str">
        <x:v>non_model</x:v>
      </x:c>
      <x:c r="N83" s="20" t="str">
        <x:v>1</x:v>
      </x:c>
      <x:c r="O83" s="20" t="str">
        <x:v>1.0.0</x:v>
      </x:c>
      <x:c r="P83" s="20" t="str">
        <x:v>1.1.0</x:v>
      </x:c>
      <x:c r="Q83" s="20" t="str">
        <x:v>deepseek/deepseek-v4-pro</x:v>
      </x:c>
      <x:c r="R83" s="20" t="str">
        <x:v>aj2-y90-20260714T234810-0bea2f52</x:v>
      </x:c>
    </x:row>
    <x:row r="84" ht="28" customHeight="1">
      <x:c r="A84" s="20" t="str">
        <x:v>B0GGQYB48S</x:v>
      </x:c>
      <x:c r="B84" s="20" t="str">
        <x:v>b0ggqyb48s</x:v>
      </x:c>
      <x:c r="C84" s="20" t="str">
        <x:v>20f301ace5ca16f6</x:v>
      </x:c>
      <x:c r="D84" s="20" t="str">
        <x:v>asin_target</x:v>
      </x:c>
      <x:c r="E84" s="20" t="str">
        <x:v>en</x:v>
      </x:c>
      <x:c r="F84" s="20" t="str">
        <x:v>该搜索词为 ASIN 形式，需补充商品元数据后再判断用户意图。</x:v>
      </x:c>
      <x:c r="G84" s="20" t="str">
        <x:v>unknown</x:v>
      </x:c>
      <x:c r="H84" s="20" t="str">
        <x:v>low</x:v>
      </x:c>
      <x:c r="I84" s="20" t="str">
        <x:v>asin_target</x:v>
      </x:c>
      <x:c r="J84" s="20" t="str">
        <x:v>asin_metadata_pending</x:v>
      </x:c>
      <x:c r="K84" s="20" t="str">
        <x:v>asin_without_metadata</x:v>
      </x:c>
      <x:c r="L84" s="20" t="str">
        <x:v>not_applicable</x:v>
      </x:c>
      <x:c r="M84" s="20" t="str">
        <x:v>non_model</x:v>
      </x:c>
      <x:c r="N84" s="20" t="str">
        <x:v>1</x:v>
      </x:c>
      <x:c r="O84" s="20" t="str">
        <x:v>1.0.0</x:v>
      </x:c>
      <x:c r="P84" s="20" t="str">
        <x:v>1.1.0</x:v>
      </x:c>
      <x:c r="Q84" s="20" t="str">
        <x:v>deepseek/deepseek-v4-pro</x:v>
      </x:c>
      <x:c r="R84" s="20" t="str">
        <x:v>aj2-y90-20260714T234810-0bea2f52</x:v>
      </x:c>
    </x:row>
    <x:row r="85" ht="28" customHeight="1">
      <x:c r="A85" s="20" t="str">
        <x:v>B0GGRNQDQJ</x:v>
      </x:c>
      <x:c r="B85" s="20" t="str">
        <x:v>b0ggrnqdqj</x:v>
      </x:c>
      <x:c r="C85" s="20" t="str">
        <x:v>210f487851820b4b</x:v>
      </x:c>
      <x:c r="D85" s="20" t="str">
        <x:v>asin_target</x:v>
      </x:c>
      <x:c r="E85" s="20" t="str">
        <x:v>en</x:v>
      </x:c>
      <x:c r="F85" s="20" t="str">
        <x:v>该搜索词为 ASIN 形式，需补充商品元数据后再判断用户意图。</x:v>
      </x:c>
      <x:c r="G85" s="20" t="str">
        <x:v>unknown</x:v>
      </x:c>
      <x:c r="H85" s="20" t="str">
        <x:v>low</x:v>
      </x:c>
      <x:c r="I85" s="20" t="str">
        <x:v>asin_target</x:v>
      </x:c>
      <x:c r="J85" s="20" t="str">
        <x:v>asin_metadata_pending</x:v>
      </x:c>
      <x:c r="K85" s="20" t="str">
        <x:v>asin_without_metadata</x:v>
      </x:c>
      <x:c r="L85" s="20" t="str">
        <x:v>not_applicable</x:v>
      </x:c>
      <x:c r="M85" s="20" t="str">
        <x:v>non_model</x:v>
      </x:c>
      <x:c r="N85" s="20" t="str">
        <x:v>1</x:v>
      </x:c>
      <x:c r="O85" s="20" t="str">
        <x:v>1.0.0</x:v>
      </x:c>
      <x:c r="P85" s="20" t="str">
        <x:v>1.1.0</x:v>
      </x:c>
      <x:c r="Q85" s="20" t="str">
        <x:v>deepseek/deepseek-v4-pro</x:v>
      </x:c>
      <x:c r="R85" s="20" t="str">
        <x:v>aj2-y90-20260714T234810-0bea2f52</x:v>
      </x:c>
    </x:row>
    <x:row r="86" ht="28" customHeight="1">
      <x:c r="A86" s="20" t="str">
        <x:v>B0DSKFXRGH</x:v>
      </x:c>
      <x:c r="B86" s="20" t="str">
        <x:v>b0dskfxrgh</x:v>
      </x:c>
      <x:c r="C86" s="20" t="str">
        <x:v>215c393dab9a85b9</x:v>
      </x:c>
      <x:c r="D86" s="20" t="str">
        <x:v>asin_target</x:v>
      </x:c>
      <x:c r="E86" s="20" t="str">
        <x:v>en</x:v>
      </x:c>
      <x:c r="F86" s="20" t="str">
        <x:v>该搜索词为 ASIN 形式，需补充商品元数据后再判断用户意图。</x:v>
      </x:c>
      <x:c r="G86" s="20" t="str">
        <x:v>unknown</x:v>
      </x:c>
      <x:c r="H86" s="20" t="str">
        <x:v>low</x:v>
      </x:c>
      <x:c r="I86" s="20" t="str">
        <x:v>asin_target</x:v>
      </x:c>
      <x:c r="J86" s="20" t="str">
        <x:v>asin_metadata_pending</x:v>
      </x:c>
      <x:c r="K86" s="20" t="str">
        <x:v>asin_without_metadata</x:v>
      </x:c>
      <x:c r="L86" s="20" t="str">
        <x:v>not_applicable</x:v>
      </x:c>
      <x:c r="M86" s="20" t="str">
        <x:v>non_model</x:v>
      </x:c>
      <x:c r="N86" s="20" t="str">
        <x:v>1</x:v>
      </x:c>
      <x:c r="O86" s="20" t="str">
        <x:v>1.0.0</x:v>
      </x:c>
      <x:c r="P86" s="20" t="str">
        <x:v>1.1.0</x:v>
      </x:c>
      <x:c r="Q86" s="20" t="str">
        <x:v>deepseek/deepseek-v4-pro</x:v>
      </x:c>
      <x:c r="R86" s="20" t="str">
        <x:v>aj2-y90-20260714T234810-0bea2f52</x:v>
      </x:c>
    </x:row>
    <x:row r="87" ht="28" customHeight="1">
      <x:c r="A87" s="20" t="str">
        <x:v>B0BK9Y4FHT</x:v>
      </x:c>
      <x:c r="B87" s="20" t="str">
        <x:v>b0bk9y4fht</x:v>
      </x:c>
      <x:c r="C87" s="20" t="str">
        <x:v>21617e1e523d1bc8</x:v>
      </x:c>
      <x:c r="D87" s="20" t="str">
        <x:v>asin_target</x:v>
      </x:c>
      <x:c r="E87" s="20" t="str">
        <x:v>en</x:v>
      </x:c>
      <x:c r="F87" s="20" t="str">
        <x:v>该搜索词为 ASIN 形式，需补充商品元数据后再判断用户意图。</x:v>
      </x:c>
      <x:c r="G87" s="20" t="str">
        <x:v>unknown</x:v>
      </x:c>
      <x:c r="H87" s="20" t="str">
        <x:v>low</x:v>
      </x:c>
      <x:c r="I87" s="20" t="str">
        <x:v>asin_target</x:v>
      </x:c>
      <x:c r="J87" s="20" t="str">
        <x:v>asin_metadata_pending</x:v>
      </x:c>
      <x:c r="K87" s="20" t="str">
        <x:v>asin_without_metadata</x:v>
      </x:c>
      <x:c r="L87" s="20" t="str">
        <x:v>not_applicable</x:v>
      </x:c>
      <x:c r="M87" s="20" t="str">
        <x:v>non_model</x:v>
      </x:c>
      <x:c r="N87" s="20" t="str">
        <x:v>1</x:v>
      </x:c>
      <x:c r="O87" s="20" t="str">
        <x:v>1.0.0</x:v>
      </x:c>
      <x:c r="P87" s="20" t="str">
        <x:v>1.1.0</x:v>
      </x:c>
      <x:c r="Q87" s="20" t="str">
        <x:v>deepseek/deepseek-v4-pro</x:v>
      </x:c>
      <x:c r="R87" s="20" t="str">
        <x:v>aj2-y90-20260714T234810-0bea2f52</x:v>
      </x:c>
    </x:row>
    <x:row r="88" ht="28" customHeight="1">
      <x:c r="A88" s="20" t="str">
        <x:v>B0FJ1VVPTS</x:v>
      </x:c>
      <x:c r="B88" s="20" t="str">
        <x:v>b0fj1vvpts</x:v>
      </x:c>
      <x:c r="C88" s="20" t="str">
        <x:v>216c5180c26a3264</x:v>
      </x:c>
      <x:c r="D88" s="20" t="str">
        <x:v>asin_target</x:v>
      </x:c>
      <x:c r="E88" s="20" t="str">
        <x:v>en</x:v>
      </x:c>
      <x:c r="F88" s="20" t="str">
        <x:v>该搜索词为 ASIN 形式，需补充商品元数据后再判断用户意图。</x:v>
      </x:c>
      <x:c r="G88" s="20" t="str">
        <x:v>unknown</x:v>
      </x:c>
      <x:c r="H88" s="20" t="str">
        <x:v>low</x:v>
      </x:c>
      <x:c r="I88" s="20" t="str">
        <x:v>asin_target</x:v>
      </x:c>
      <x:c r="J88" s="20" t="str">
        <x:v>asin_metadata_pending</x:v>
      </x:c>
      <x:c r="K88" s="20" t="str">
        <x:v>asin_without_metadata</x:v>
      </x:c>
      <x:c r="L88" s="20" t="str">
        <x:v>not_applicable</x:v>
      </x:c>
      <x:c r="M88" s="20" t="str">
        <x:v>non_model</x:v>
      </x:c>
      <x:c r="N88" s="20" t="str">
        <x:v>1</x:v>
      </x:c>
      <x:c r="O88" s="20" t="str">
        <x:v>1.0.0</x:v>
      </x:c>
      <x:c r="P88" s="20" t="str">
        <x:v>1.1.0</x:v>
      </x:c>
      <x:c r="Q88" s="20" t="str">
        <x:v>deepseek/deepseek-v4-pro</x:v>
      </x:c>
      <x:c r="R88" s="20" t="str">
        <x:v>aj2-y90-20260714T234810-0bea2f52</x:v>
      </x:c>
    </x:row>
    <x:row r="89" ht="28" customHeight="1">
      <x:c r="A89" s="20" t="str">
        <x:v>B0DSMZ2BL7</x:v>
      </x:c>
      <x:c r="B89" s="20" t="str">
        <x:v>b0dsmz2bl7</x:v>
      </x:c>
      <x:c r="C89" s="20" t="str">
        <x:v>218d7727f44f255a</x:v>
      </x:c>
      <x:c r="D89" s="20" t="str">
        <x:v>asin_target</x:v>
      </x:c>
      <x:c r="E89" s="20" t="str">
        <x:v>en</x:v>
      </x:c>
      <x:c r="F89" s="20" t="str">
        <x:v>该搜索词为 ASIN 形式，需补充商品元数据后再判断用户意图。</x:v>
      </x:c>
      <x:c r="G89" s="20" t="str">
        <x:v>unknown</x:v>
      </x:c>
      <x:c r="H89" s="20" t="str">
        <x:v>low</x:v>
      </x:c>
      <x:c r="I89" s="20" t="str">
        <x:v>asin_target</x:v>
      </x:c>
      <x:c r="J89" s="20" t="str">
        <x:v>asin_metadata_pending</x:v>
      </x:c>
      <x:c r="K89" s="20" t="str">
        <x:v>asin_without_metadata</x:v>
      </x:c>
      <x:c r="L89" s="20" t="str">
        <x:v>not_applicable</x:v>
      </x:c>
      <x:c r="M89" s="20" t="str">
        <x:v>non_model</x:v>
      </x:c>
      <x:c r="N89" s="20" t="str">
        <x:v>1</x:v>
      </x:c>
      <x:c r="O89" s="20" t="str">
        <x:v>1.0.0</x:v>
      </x:c>
      <x:c r="P89" s="20" t="str">
        <x:v>1.1.0</x:v>
      </x:c>
      <x:c r="Q89" s="20" t="str">
        <x:v>deepseek/deepseek-v4-pro</x:v>
      </x:c>
      <x:c r="R89" s="20" t="str">
        <x:v>aj2-y90-20260714T234810-0bea2f52</x:v>
      </x:c>
    </x:row>
    <x:row r="90" ht="28" customHeight="1">
      <x:c r="A90" s="20" t="str">
        <x:v>B08GKQT73R</x:v>
      </x:c>
      <x:c r="B90" s="20" t="str">
        <x:v>b08gkqt73r</x:v>
      </x:c>
      <x:c r="C90" s="20" t="str">
        <x:v>21acddb3346ee901</x:v>
      </x:c>
      <x:c r="D90" s="20" t="str">
        <x:v>asin_target</x:v>
      </x:c>
      <x:c r="E90" s="20" t="str">
        <x:v>en</x:v>
      </x:c>
      <x:c r="F90" s="20" t="str">
        <x:v>该搜索词为 ASIN 形式，需补充商品元数据后再判断用户意图。</x:v>
      </x:c>
      <x:c r="G90" s="20" t="str">
        <x:v>unknown</x:v>
      </x:c>
      <x:c r="H90" s="20" t="str">
        <x:v>low</x:v>
      </x:c>
      <x:c r="I90" s="20" t="str">
        <x:v>asin_target</x:v>
      </x:c>
      <x:c r="J90" s="20" t="str">
        <x:v>asin_metadata_pending</x:v>
      </x:c>
      <x:c r="K90" s="20" t="str">
        <x:v>asin_without_metadata</x:v>
      </x:c>
      <x:c r="L90" s="20" t="str">
        <x:v>not_applicable</x:v>
      </x:c>
      <x:c r="M90" s="20" t="str">
        <x:v>non_model</x:v>
      </x:c>
      <x:c r="N90" s="20" t="str">
        <x:v>1</x:v>
      </x:c>
      <x:c r="O90" s="20" t="str">
        <x:v>1.0.0</x:v>
      </x:c>
      <x:c r="P90" s="20" t="str">
        <x:v>1.1.0</x:v>
      </x:c>
      <x:c r="Q90" s="20" t="str">
        <x:v>deepseek/deepseek-v4-pro</x:v>
      </x:c>
      <x:c r="R90" s="20" t="str">
        <x:v>aj2-y90-20260714T234810-0bea2f52</x:v>
      </x:c>
    </x:row>
    <x:row r="91" ht="28" customHeight="1">
      <x:c r="A91" s="20" t="str">
        <x:v>B0C9K7FJ79</x:v>
      </x:c>
      <x:c r="B91" s="20" t="str">
        <x:v>b0c9k7fj79</x:v>
      </x:c>
      <x:c r="C91" s="20" t="str">
        <x:v>21b5c2f1980f5107</x:v>
      </x:c>
      <x:c r="D91" s="20" t="str">
        <x:v>asin_target</x:v>
      </x:c>
      <x:c r="E91" s="20" t="str">
        <x:v>en</x:v>
      </x:c>
      <x:c r="F91" s="20" t="str">
        <x:v>该搜索词为 ASIN 形式，需补充商品元数据后再判断用户意图。</x:v>
      </x:c>
      <x:c r="G91" s="20" t="str">
        <x:v>unknown</x:v>
      </x:c>
      <x:c r="H91" s="20" t="str">
        <x:v>low</x:v>
      </x:c>
      <x:c r="I91" s="20" t="str">
        <x:v>asin_target</x:v>
      </x:c>
      <x:c r="J91" s="20" t="str">
        <x:v>asin_metadata_pending</x:v>
      </x:c>
      <x:c r="K91" s="20" t="str">
        <x:v>asin_without_metadata</x:v>
      </x:c>
      <x:c r="L91" s="20" t="str">
        <x:v>not_applicable</x:v>
      </x:c>
      <x:c r="M91" s="20" t="str">
        <x:v>non_model</x:v>
      </x:c>
      <x:c r="N91" s="20" t="str">
        <x:v>1</x:v>
      </x:c>
      <x:c r="O91" s="20" t="str">
        <x:v>1.0.0</x:v>
      </x:c>
      <x:c r="P91" s="20" t="str">
        <x:v>1.1.0</x:v>
      </x:c>
      <x:c r="Q91" s="20" t="str">
        <x:v>deepseek/deepseek-v4-pro</x:v>
      </x:c>
      <x:c r="R91" s="20" t="str">
        <x:v>aj2-y90-20260714T234810-0bea2f52</x:v>
      </x:c>
    </x:row>
    <x:row r="92" ht="28" customHeight="1">
      <x:c r="A92" s="20" t="str">
        <x:v>B0FXX5STV1</x:v>
      </x:c>
      <x:c r="B92" s="20" t="str">
        <x:v>b0fxx5stv1</x:v>
      </x:c>
      <x:c r="C92" s="20" t="str">
        <x:v>21f04e6fea65e6d9</x:v>
      </x:c>
      <x:c r="D92" s="20" t="str">
        <x:v>asin_target</x:v>
      </x:c>
      <x:c r="E92" s="20" t="str">
        <x:v>en</x:v>
      </x:c>
      <x:c r="F92" s="20" t="str">
        <x:v>该搜索词为 ASIN 形式，需补充商品元数据后再判断用户意图。</x:v>
      </x:c>
      <x:c r="G92" s="20" t="str">
        <x:v>unknown</x:v>
      </x:c>
      <x:c r="H92" s="20" t="str">
        <x:v>low</x:v>
      </x:c>
      <x:c r="I92" s="20" t="str">
        <x:v>asin_target</x:v>
      </x:c>
      <x:c r="J92" s="20" t="str">
        <x:v>asin_metadata_pending</x:v>
      </x:c>
      <x:c r="K92" s="20" t="str">
        <x:v>asin_without_metadata</x:v>
      </x:c>
      <x:c r="L92" s="20" t="str">
        <x:v>not_applicable</x:v>
      </x:c>
      <x:c r="M92" s="20" t="str">
        <x:v>non_model</x:v>
      </x:c>
      <x:c r="N92" s="20" t="str">
        <x:v>1</x:v>
      </x:c>
      <x:c r="O92" s="20" t="str">
        <x:v>1.0.0</x:v>
      </x:c>
      <x:c r="P92" s="20" t="str">
        <x:v>1.1.0</x:v>
      </x:c>
      <x:c r="Q92" s="20" t="str">
        <x:v>deepseek/deepseek-v4-pro</x:v>
      </x:c>
      <x:c r="R92" s="20" t="str">
        <x:v>aj2-y90-20260714T234810-0bea2f52</x:v>
      </x:c>
    </x:row>
    <x:row r="93" ht="28" customHeight="1">
      <x:c r="A93" s="20" t="str">
        <x:v>B0BRKP6PTX</x:v>
      </x:c>
      <x:c r="B93" s="20" t="str">
        <x:v>b0brkp6ptx</x:v>
      </x:c>
      <x:c r="C93" s="20" t="str">
        <x:v>221ec2b9ada3ff1f</x:v>
      </x:c>
      <x:c r="D93" s="20" t="str">
        <x:v>asin_target</x:v>
      </x:c>
      <x:c r="E93" s="20" t="str">
        <x:v>en</x:v>
      </x:c>
      <x:c r="F93" s="20" t="str">
        <x:v>该搜索词为 ASIN 形式，需补充商品元数据后再判断用户意图。</x:v>
      </x:c>
      <x:c r="G93" s="20" t="str">
        <x:v>unknown</x:v>
      </x:c>
      <x:c r="H93" s="20" t="str">
        <x:v>low</x:v>
      </x:c>
      <x:c r="I93" s="20" t="str">
        <x:v>asin_target</x:v>
      </x:c>
      <x:c r="J93" s="20" t="str">
        <x:v>asin_metadata_pending</x:v>
      </x:c>
      <x:c r="K93" s="20" t="str">
        <x:v>asin_without_metadata</x:v>
      </x:c>
      <x:c r="L93" s="20" t="str">
        <x:v>not_applicable</x:v>
      </x:c>
      <x:c r="M93" s="20" t="str">
        <x:v>non_model</x:v>
      </x:c>
      <x:c r="N93" s="20" t="str">
        <x:v>1</x:v>
      </x:c>
      <x:c r="O93" s="20" t="str">
        <x:v>1.0.0</x:v>
      </x:c>
      <x:c r="P93" s="20" t="str">
        <x:v>1.1.0</x:v>
      </x:c>
      <x:c r="Q93" s="20" t="str">
        <x:v>deepseek/deepseek-v4-pro</x:v>
      </x:c>
      <x:c r="R93" s="20" t="str">
        <x:v>aj2-y90-20260714T234810-0bea2f52</x:v>
      </x:c>
    </x:row>
    <x:row r="94" ht="28" customHeight="1">
      <x:c r="A94" s="20" t="str">
        <x:v>B088BB7GK3</x:v>
      </x:c>
      <x:c r="B94" s="20" t="str">
        <x:v>b088bb7gk3</x:v>
      </x:c>
      <x:c r="C94" s="20" t="str">
        <x:v>2274427f7e54ef16</x:v>
      </x:c>
      <x:c r="D94" s="20" t="str">
        <x:v>asin_target</x:v>
      </x:c>
      <x:c r="E94" s="20" t="str">
        <x:v>en</x:v>
      </x:c>
      <x:c r="F94" s="20" t="str">
        <x:v>该搜索词为 ASIN 形式，需补充商品元数据后再判断用户意图。</x:v>
      </x:c>
      <x:c r="G94" s="20" t="str">
        <x:v>unknown</x:v>
      </x:c>
      <x:c r="H94" s="20" t="str">
        <x:v>low</x:v>
      </x:c>
      <x:c r="I94" s="20" t="str">
        <x:v>asin_target</x:v>
      </x:c>
      <x:c r="J94" s="20" t="str">
        <x:v>asin_metadata_pending</x:v>
      </x:c>
      <x:c r="K94" s="20" t="str">
        <x:v>asin_without_metadata</x:v>
      </x:c>
      <x:c r="L94" s="20" t="str">
        <x:v>not_applicable</x:v>
      </x:c>
      <x:c r="M94" s="20" t="str">
        <x:v>non_model</x:v>
      </x:c>
      <x:c r="N94" s="20" t="str">
        <x:v>1</x:v>
      </x:c>
      <x:c r="O94" s="20" t="str">
        <x:v>1.0.0</x:v>
      </x:c>
      <x:c r="P94" s="20" t="str">
        <x:v>1.1.0</x:v>
      </x:c>
      <x:c r="Q94" s="20" t="str">
        <x:v>deepseek/deepseek-v4-pro</x:v>
      </x:c>
      <x:c r="R94" s="20" t="str">
        <x:v>aj2-y90-20260714T234810-0bea2f52</x:v>
      </x:c>
    </x:row>
    <x:row r="95" ht="28" customHeight="1">
      <x:c r="A95" s="20" t="str">
        <x:v>B0D9PXTCNG</x:v>
      </x:c>
      <x:c r="B95" s="20" t="str">
        <x:v>b0d9pxtcng</x:v>
      </x:c>
      <x:c r="C95" s="20" t="str">
        <x:v>22b495320ca21485</x:v>
      </x:c>
      <x:c r="D95" s="20" t="str">
        <x:v>asin_target</x:v>
      </x:c>
      <x:c r="E95" s="20" t="str">
        <x:v>en</x:v>
      </x:c>
      <x:c r="F95" s="20" t="str">
        <x:v>该搜索词为 ASIN 形式，需补充商品元数据后再判断用户意图。</x:v>
      </x:c>
      <x:c r="G95" s="20" t="str">
        <x:v>unknown</x:v>
      </x:c>
      <x:c r="H95" s="20" t="str">
        <x:v>low</x:v>
      </x:c>
      <x:c r="I95" s="20" t="str">
        <x:v>asin_target</x:v>
      </x:c>
      <x:c r="J95" s="20" t="str">
        <x:v>asin_metadata_pending</x:v>
      </x:c>
      <x:c r="K95" s="20" t="str">
        <x:v>asin_without_metadata</x:v>
      </x:c>
      <x:c r="L95" s="20" t="str">
        <x:v>not_applicable</x:v>
      </x:c>
      <x:c r="M95" s="20" t="str">
        <x:v>non_model</x:v>
      </x:c>
      <x:c r="N95" s="20" t="str">
        <x:v>1</x:v>
      </x:c>
      <x:c r="O95" s="20" t="str">
        <x:v>1.0.0</x:v>
      </x:c>
      <x:c r="P95" s="20" t="str">
        <x:v>1.1.0</x:v>
      </x:c>
      <x:c r="Q95" s="20" t="str">
        <x:v>deepseek/deepseek-v4-pro</x:v>
      </x:c>
      <x:c r="R95" s="20" t="str">
        <x:v>aj2-y90-20260714T234810-0bea2f52</x:v>
      </x:c>
    </x:row>
    <x:row r="96" ht="28" customHeight="1">
      <x:c r="A96" s="20" t="str">
        <x:v>B0G47VW8VX</x:v>
      </x:c>
      <x:c r="B96" s="20" t="str">
        <x:v>b0g47vw8vx</x:v>
      </x:c>
      <x:c r="C96" s="20" t="str">
        <x:v>234771d9f88820f2</x:v>
      </x:c>
      <x:c r="D96" s="20" t="str">
        <x:v>asin_target</x:v>
      </x:c>
      <x:c r="E96" s="20" t="str">
        <x:v>en</x:v>
      </x:c>
      <x:c r="F96" s="20" t="str">
        <x:v>该搜索词为 ASIN 形式，需补充商品元数据后再判断用户意图。</x:v>
      </x:c>
      <x:c r="G96" s="20" t="str">
        <x:v>unknown</x:v>
      </x:c>
      <x:c r="H96" s="20" t="str">
        <x:v>low</x:v>
      </x:c>
      <x:c r="I96" s="20" t="str">
        <x:v>asin_target</x:v>
      </x:c>
      <x:c r="J96" s="20" t="str">
        <x:v>asin_metadata_pending</x:v>
      </x:c>
      <x:c r="K96" s="20" t="str">
        <x:v>asin_without_metadata</x:v>
      </x:c>
      <x:c r="L96" s="20" t="str">
        <x:v>not_applicable</x:v>
      </x:c>
      <x:c r="M96" s="20" t="str">
        <x:v>non_model</x:v>
      </x:c>
      <x:c r="N96" s="20" t="str">
        <x:v>1</x:v>
      </x:c>
      <x:c r="O96" s="20" t="str">
        <x:v>1.0.0</x:v>
      </x:c>
      <x:c r="P96" s="20" t="str">
        <x:v>1.1.0</x:v>
      </x:c>
      <x:c r="Q96" s="20" t="str">
        <x:v>deepseek/deepseek-v4-pro</x:v>
      </x:c>
      <x:c r="R96" s="20" t="str">
        <x:v>aj2-y90-20260714T234810-0bea2f52</x:v>
      </x:c>
    </x:row>
    <x:row r="97" ht="28" customHeight="1">
      <x:c r="A97" s="20" t="str">
        <x:v>B0GQL67MZ6</x:v>
      </x:c>
      <x:c r="B97" s="20" t="str">
        <x:v>b0gql67mz6</x:v>
      </x:c>
      <x:c r="C97" s="20" t="str">
        <x:v>2379c542834ce3c8</x:v>
      </x:c>
      <x:c r="D97" s="20" t="str">
        <x:v>asin_target</x:v>
      </x:c>
      <x:c r="E97" s="20" t="str">
        <x:v>en</x:v>
      </x:c>
      <x:c r="F97" s="20" t="str">
        <x:v>该搜索词为 ASIN 形式，需补充商品元数据后再判断用户意图。</x:v>
      </x:c>
      <x:c r="G97" s="20" t="str">
        <x:v>unknown</x:v>
      </x:c>
      <x:c r="H97" s="20" t="str">
        <x:v>low</x:v>
      </x:c>
      <x:c r="I97" s="20" t="str">
        <x:v>asin_target</x:v>
      </x:c>
      <x:c r="J97" s="20" t="str">
        <x:v>asin_metadata_pending</x:v>
      </x:c>
      <x:c r="K97" s="20" t="str">
        <x:v>asin_without_metadata</x:v>
      </x:c>
      <x:c r="L97" s="20" t="str">
        <x:v>not_applicable</x:v>
      </x:c>
      <x:c r="M97" s="20" t="str">
        <x:v>non_model</x:v>
      </x:c>
      <x:c r="N97" s="20" t="str">
        <x:v>1</x:v>
      </x:c>
      <x:c r="O97" s="20" t="str">
        <x:v>1.0.0</x:v>
      </x:c>
      <x:c r="P97" s="20" t="str">
        <x:v>1.1.0</x:v>
      </x:c>
      <x:c r="Q97" s="20" t="str">
        <x:v>deepseek/deepseek-v4-pro</x:v>
      </x:c>
      <x:c r="R97" s="20" t="str">
        <x:v>aj2-y90-20260714T234810-0bea2f52</x:v>
      </x:c>
    </x:row>
    <x:row r="98" ht="28" customHeight="1">
      <x:c r="A98" s="20" t="str">
        <x:v>B07RYY2LQP</x:v>
      </x:c>
      <x:c r="B98" s="20" t="str">
        <x:v>b07ryy2lqp</x:v>
      </x:c>
      <x:c r="C98" s="20" t="str">
        <x:v>239cf1be0cc30fe6</x:v>
      </x:c>
      <x:c r="D98" s="20" t="str">
        <x:v>asin_target</x:v>
      </x:c>
      <x:c r="E98" s="20" t="str">
        <x:v>en</x:v>
      </x:c>
      <x:c r="F98" s="20" t="str">
        <x:v>该搜索词为 ASIN 形式，需补充商品元数据后再判断用户意图。</x:v>
      </x:c>
      <x:c r="G98" s="20" t="str">
        <x:v>unknown</x:v>
      </x:c>
      <x:c r="H98" s="20" t="str">
        <x:v>low</x:v>
      </x:c>
      <x:c r="I98" s="20" t="str">
        <x:v>asin_target</x:v>
      </x:c>
      <x:c r="J98" s="20" t="str">
        <x:v>asin_metadata_pending</x:v>
      </x:c>
      <x:c r="K98" s="20" t="str">
        <x:v>asin_without_metadata</x:v>
      </x:c>
      <x:c r="L98" s="20" t="str">
        <x:v>not_applicable</x:v>
      </x:c>
      <x:c r="M98" s="20" t="str">
        <x:v>non_model</x:v>
      </x:c>
      <x:c r="N98" s="20" t="str">
        <x:v>1</x:v>
      </x:c>
      <x:c r="O98" s="20" t="str">
        <x:v>1.0.0</x:v>
      </x:c>
      <x:c r="P98" s="20" t="str">
        <x:v>1.1.0</x:v>
      </x:c>
      <x:c r="Q98" s="20" t="str">
        <x:v>deepseek/deepseek-v4-pro</x:v>
      </x:c>
      <x:c r="R98" s="20" t="str">
        <x:v>aj2-y90-20260714T234810-0bea2f52</x:v>
      </x:c>
    </x:row>
    <x:row r="99" ht="28" customHeight="1">
      <x:c r="A99" s="20" t="str">
        <x:v>B0DSN159Z6</x:v>
      </x:c>
      <x:c r="B99" s="20" t="str">
        <x:v>b0dsn159z6</x:v>
      </x:c>
      <x:c r="C99" s="20" t="str">
        <x:v>23d77111128084df</x:v>
      </x:c>
      <x:c r="D99" s="20" t="str">
        <x:v>asin_target</x:v>
      </x:c>
      <x:c r="E99" s="20" t="str">
        <x:v>en</x:v>
      </x:c>
      <x:c r="F99" s="20" t="str">
        <x:v>该搜索词为 ASIN 形式，需补充商品元数据后再判断用户意图。</x:v>
      </x:c>
      <x:c r="G99" s="20" t="str">
        <x:v>unknown</x:v>
      </x:c>
      <x:c r="H99" s="20" t="str">
        <x:v>low</x:v>
      </x:c>
      <x:c r="I99" s="20" t="str">
        <x:v>asin_target</x:v>
      </x:c>
      <x:c r="J99" s="20" t="str">
        <x:v>asin_metadata_pending</x:v>
      </x:c>
      <x:c r="K99" s="20" t="str">
        <x:v>asin_without_metadata</x:v>
      </x:c>
      <x:c r="L99" s="20" t="str">
        <x:v>not_applicable</x:v>
      </x:c>
      <x:c r="M99" s="20" t="str">
        <x:v>non_model</x:v>
      </x:c>
      <x:c r="N99" s="20" t="str">
        <x:v>1</x:v>
      </x:c>
      <x:c r="O99" s="20" t="str">
        <x:v>1.0.0</x:v>
      </x:c>
      <x:c r="P99" s="20" t="str">
        <x:v>1.1.0</x:v>
      </x:c>
      <x:c r="Q99" s="20" t="str">
        <x:v>deepseek/deepseek-v4-pro</x:v>
      </x:c>
      <x:c r="R99" s="20" t="str">
        <x:v>aj2-y90-20260714T234810-0bea2f52</x:v>
      </x:c>
    </x:row>
    <x:row r="100" ht="28" customHeight="1">
      <x:c r="A100" s="20" t="str">
        <x:v>B0GTZM2X7L</x:v>
      </x:c>
      <x:c r="B100" s="20" t="str">
        <x:v>b0gtzm2x7l</x:v>
      </x:c>
      <x:c r="C100" s="20" t="str">
        <x:v>248a13cf36e39daa</x:v>
      </x:c>
      <x:c r="D100" s="20" t="str">
        <x:v>asin_target</x:v>
      </x:c>
      <x:c r="E100" s="20" t="str">
        <x:v>en</x:v>
      </x:c>
      <x:c r="F100" s="20" t="str">
        <x:v>该搜索词为 ASIN 形式，需补充商品元数据后再判断用户意图。</x:v>
      </x:c>
      <x:c r="G100" s="20" t="str">
        <x:v>unknown</x:v>
      </x:c>
      <x:c r="H100" s="20" t="str">
        <x:v>low</x:v>
      </x:c>
      <x:c r="I100" s="20" t="str">
        <x:v>asin_target</x:v>
      </x:c>
      <x:c r="J100" s="20" t="str">
        <x:v>asin_metadata_pending</x:v>
      </x:c>
      <x:c r="K100" s="20" t="str">
        <x:v>asin_without_metadata</x:v>
      </x:c>
      <x:c r="L100" s="20" t="str">
        <x:v>not_applicable</x:v>
      </x:c>
      <x:c r="M100" s="20" t="str">
        <x:v>non_model</x:v>
      </x:c>
      <x:c r="N100" s="20" t="str">
        <x:v>1</x:v>
      </x:c>
      <x:c r="O100" s="20" t="str">
        <x:v>1.0.0</x:v>
      </x:c>
      <x:c r="P100" s="20" t="str">
        <x:v>1.1.0</x:v>
      </x:c>
      <x:c r="Q100" s="20" t="str">
        <x:v>deepseek/deepseek-v4-pro</x:v>
      </x:c>
      <x:c r="R100" s="20" t="str">
        <x:v>aj2-y90-20260714T234810-0bea2f52</x:v>
      </x:c>
    </x:row>
    <x:row r="101" ht="28" customHeight="1">
      <x:c r="A101" s="20" t="str">
        <x:v>B0BWY88NZD</x:v>
      </x:c>
      <x:c r="B101" s="20" t="str">
        <x:v>b0bwy88nzd</x:v>
      </x:c>
      <x:c r="C101" s="20" t="str">
        <x:v>24a098da840a0295</x:v>
      </x:c>
      <x:c r="D101" s="20" t="str">
        <x:v>asin_target</x:v>
      </x:c>
      <x:c r="E101" s="20" t="str">
        <x:v>en</x:v>
      </x:c>
      <x:c r="F101" s="20" t="str">
        <x:v>该搜索词为 ASIN 形式，需补充商品元数据后再判断用户意图。</x:v>
      </x:c>
      <x:c r="G101" s="20" t="str">
        <x:v>unknown</x:v>
      </x:c>
      <x:c r="H101" s="20" t="str">
        <x:v>low</x:v>
      </x:c>
      <x:c r="I101" s="20" t="str">
        <x:v>asin_target</x:v>
      </x:c>
      <x:c r="J101" s="20" t="str">
        <x:v>asin_metadata_pending</x:v>
      </x:c>
      <x:c r="K101" s="20" t="str">
        <x:v>asin_without_metadata</x:v>
      </x:c>
      <x:c r="L101" s="20" t="str">
        <x:v>not_applicable</x:v>
      </x:c>
      <x:c r="M101" s="20" t="str">
        <x:v>non_model</x:v>
      </x:c>
      <x:c r="N101" s="20" t="str">
        <x:v>1</x:v>
      </x:c>
      <x:c r="O101" s="20" t="str">
        <x:v>1.0.0</x:v>
      </x:c>
      <x:c r="P101" s="20" t="str">
        <x:v>1.1.0</x:v>
      </x:c>
      <x:c r="Q101" s="20" t="str">
        <x:v>deepseek/deepseek-v4-pro</x:v>
      </x:c>
      <x:c r="R101" s="20" t="str">
        <x:v>aj2-y90-20260714T234810-0bea2f52</x:v>
      </x:c>
    </x:row>
    <x:row r="102" ht="28" customHeight="1">
      <x:c r="A102" s="20" t="str">
        <x:v>B0G47R212W</x:v>
      </x:c>
      <x:c r="B102" s="20" t="str">
        <x:v>b0g47r212w</x:v>
      </x:c>
      <x:c r="C102" s="20" t="str">
        <x:v>24ac489989a8fde0</x:v>
      </x:c>
      <x:c r="D102" s="20" t="str">
        <x:v>asin_target</x:v>
      </x:c>
      <x:c r="E102" s="20" t="str">
        <x:v>en</x:v>
      </x:c>
      <x:c r="F102" s="20" t="str">
        <x:v>该搜索词为 ASIN 形式，需补充商品元数据后再判断用户意图。</x:v>
      </x:c>
      <x:c r="G102" s="20" t="str">
        <x:v>unknown</x:v>
      </x:c>
      <x:c r="H102" s="20" t="str">
        <x:v>low</x:v>
      </x:c>
      <x:c r="I102" s="20" t="str">
        <x:v>asin_target</x:v>
      </x:c>
      <x:c r="J102" s="20" t="str">
        <x:v>asin_metadata_pending</x:v>
      </x:c>
      <x:c r="K102" s="20" t="str">
        <x:v>asin_without_metadata</x:v>
      </x:c>
      <x:c r="L102" s="20" t="str">
        <x:v>not_applicable</x:v>
      </x:c>
      <x:c r="M102" s="20" t="str">
        <x:v>non_model</x:v>
      </x:c>
      <x:c r="N102" s="20" t="str">
        <x:v>1</x:v>
      </x:c>
      <x:c r="O102" s="20" t="str">
        <x:v>1.0.0</x:v>
      </x:c>
      <x:c r="P102" s="20" t="str">
        <x:v>1.1.0</x:v>
      </x:c>
      <x:c r="Q102" s="20" t="str">
        <x:v>deepseek/deepseek-v4-pro</x:v>
      </x:c>
      <x:c r="R102" s="20" t="str">
        <x:v>aj2-y90-20260714T234810-0bea2f52</x:v>
      </x:c>
    </x:row>
    <x:row r="103" ht="28" customHeight="1">
      <x:c r="A103" s="20" t="str">
        <x:v>B0GGR4RNKY</x:v>
      </x:c>
      <x:c r="B103" s="20" t="str">
        <x:v>b0ggr4rnky</x:v>
      </x:c>
      <x:c r="C103" s="20" t="str">
        <x:v>253a4d2802115e15</x:v>
      </x:c>
      <x:c r="D103" s="20" t="str">
        <x:v>asin_target</x:v>
      </x:c>
      <x:c r="E103" s="20" t="str">
        <x:v>en</x:v>
      </x:c>
      <x:c r="F103" s="20" t="str">
        <x:v>该搜索词为 ASIN 形式，需补充商品元数据后再判断用户意图。</x:v>
      </x:c>
      <x:c r="G103" s="20" t="str">
        <x:v>unknown</x:v>
      </x:c>
      <x:c r="H103" s="20" t="str">
        <x:v>low</x:v>
      </x:c>
      <x:c r="I103" s="20" t="str">
        <x:v>asin_target</x:v>
      </x:c>
      <x:c r="J103" s="20" t="str">
        <x:v>asin_metadata_pending</x:v>
      </x:c>
      <x:c r="K103" s="20" t="str">
        <x:v>asin_without_metadata</x:v>
      </x:c>
      <x:c r="L103" s="20" t="str">
        <x:v>not_applicable</x:v>
      </x:c>
      <x:c r="M103" s="20" t="str">
        <x:v>non_model</x:v>
      </x:c>
      <x:c r="N103" s="20" t="str">
        <x:v>2</x:v>
      </x:c>
      <x:c r="O103" s="20" t="str">
        <x:v>1.0.0</x:v>
      </x:c>
      <x:c r="P103" s="20" t="str">
        <x:v>1.1.0</x:v>
      </x:c>
      <x:c r="Q103" s="20" t="str">
        <x:v>deepseek/deepseek-v4-pro</x:v>
      </x:c>
      <x:c r="R103" s="20" t="str">
        <x:v>aj2-y90-20260714T234810-0bea2f52</x:v>
      </x:c>
    </x:row>
    <x:row r="104" ht="28" customHeight="1">
      <x:c r="A104" s="20" t="str">
        <x:v>B0GLFN965D</x:v>
      </x:c>
      <x:c r="B104" s="20" t="str">
        <x:v>b0glfn965d</x:v>
      </x:c>
      <x:c r="C104" s="20" t="str">
        <x:v>25936b40b41b5b2a</x:v>
      </x:c>
      <x:c r="D104" s="20" t="str">
        <x:v>asin_target</x:v>
      </x:c>
      <x:c r="E104" s="20" t="str">
        <x:v>en</x:v>
      </x:c>
      <x:c r="F104" s="20" t="str">
        <x:v>该搜索词为 ASIN 形式，需补充商品元数据后再判断用户意图。</x:v>
      </x:c>
      <x:c r="G104" s="20" t="str">
        <x:v>unknown</x:v>
      </x:c>
      <x:c r="H104" s="20" t="str">
        <x:v>low</x:v>
      </x:c>
      <x:c r="I104" s="20" t="str">
        <x:v>asin_target</x:v>
      </x:c>
      <x:c r="J104" s="20" t="str">
        <x:v>asin_metadata_pending</x:v>
      </x:c>
      <x:c r="K104" s="20" t="str">
        <x:v>asin_without_metadata</x:v>
      </x:c>
      <x:c r="L104" s="20" t="str">
        <x:v>not_applicable</x:v>
      </x:c>
      <x:c r="M104" s="20" t="str">
        <x:v>non_model</x:v>
      </x:c>
      <x:c r="N104" s="20" t="str">
        <x:v>1</x:v>
      </x:c>
      <x:c r="O104" s="20" t="str">
        <x:v>1.0.0</x:v>
      </x:c>
      <x:c r="P104" s="20" t="str">
        <x:v>1.1.0</x:v>
      </x:c>
      <x:c r="Q104" s="20" t="str">
        <x:v>deepseek/deepseek-v4-pro</x:v>
      </x:c>
      <x:c r="R104" s="20" t="str">
        <x:v>aj2-y90-20260714T234810-0bea2f52</x:v>
      </x:c>
    </x:row>
    <x:row r="105" ht="28" customHeight="1">
      <x:c r="A105" s="20" t="str">
        <x:v>B0GVC5QZH3</x:v>
      </x:c>
      <x:c r="B105" s="20" t="str">
        <x:v>b0gvc5qzh3</x:v>
      </x:c>
      <x:c r="C105" s="20" t="str">
        <x:v>25aa870bd7c43da5</x:v>
      </x:c>
      <x:c r="D105" s="20" t="str">
        <x:v>asin_target</x:v>
      </x:c>
      <x:c r="E105" s="20" t="str">
        <x:v>en</x:v>
      </x:c>
      <x:c r="F105" s="20" t="str">
        <x:v>该搜索词为 ASIN 形式，需补充商品元数据后再判断用户意图。</x:v>
      </x:c>
      <x:c r="G105" s="20" t="str">
        <x:v>unknown</x:v>
      </x:c>
      <x:c r="H105" s="20" t="str">
        <x:v>low</x:v>
      </x:c>
      <x:c r="I105" s="20" t="str">
        <x:v>asin_target</x:v>
      </x:c>
      <x:c r="J105" s="20" t="str">
        <x:v>asin_metadata_pending</x:v>
      </x:c>
      <x:c r="K105" s="20" t="str">
        <x:v>asin_without_metadata</x:v>
      </x:c>
      <x:c r="L105" s="20" t="str">
        <x:v>not_applicable</x:v>
      </x:c>
      <x:c r="M105" s="20" t="str">
        <x:v>non_model</x:v>
      </x:c>
      <x:c r="N105" s="20" t="str">
        <x:v>1</x:v>
      </x:c>
      <x:c r="O105" s="20" t="str">
        <x:v>1.0.0</x:v>
      </x:c>
      <x:c r="P105" s="20" t="str">
        <x:v>1.1.0</x:v>
      </x:c>
      <x:c r="Q105" s="20" t="str">
        <x:v>deepseek/deepseek-v4-pro</x:v>
      </x:c>
      <x:c r="R105" s="20" t="str">
        <x:v>aj2-y90-20260714T234810-0bea2f52</x:v>
      </x:c>
    </x:row>
    <x:row r="106" ht="28" customHeight="1">
      <x:c r="A106" s="20" t="str">
        <x:v>B092P7X52M</x:v>
      </x:c>
      <x:c r="B106" s="20" t="str">
        <x:v>b092p7x52m</x:v>
      </x:c>
      <x:c r="C106" s="20" t="str">
        <x:v>26267888b8f4ef87</x:v>
      </x:c>
      <x:c r="D106" s="20" t="str">
        <x:v>asin_target</x:v>
      </x:c>
      <x:c r="E106" s="20" t="str">
        <x:v>en</x:v>
      </x:c>
      <x:c r="F106" s="20" t="str">
        <x:v>该搜索词为 ASIN 形式，需补充商品元数据后再判断用户意图。</x:v>
      </x:c>
      <x:c r="G106" s="20" t="str">
        <x:v>unknown</x:v>
      </x:c>
      <x:c r="H106" s="20" t="str">
        <x:v>low</x:v>
      </x:c>
      <x:c r="I106" s="20" t="str">
        <x:v>asin_target</x:v>
      </x:c>
      <x:c r="J106" s="20" t="str">
        <x:v>asin_metadata_pending</x:v>
      </x:c>
      <x:c r="K106" s="20" t="str">
        <x:v>asin_without_metadata</x:v>
      </x:c>
      <x:c r="L106" s="20" t="str">
        <x:v>not_applicable</x:v>
      </x:c>
      <x:c r="M106" s="20" t="str">
        <x:v>non_model</x:v>
      </x:c>
      <x:c r="N106" s="20" t="str">
        <x:v>1</x:v>
      </x:c>
      <x:c r="O106" s="20" t="str">
        <x:v>1.0.0</x:v>
      </x:c>
      <x:c r="P106" s="20" t="str">
        <x:v>1.1.0</x:v>
      </x:c>
      <x:c r="Q106" s="20" t="str">
        <x:v>deepseek/deepseek-v4-pro</x:v>
      </x:c>
      <x:c r="R106" s="20" t="str">
        <x:v>aj2-y90-20260714T234810-0bea2f52</x:v>
      </x:c>
    </x:row>
    <x:row r="107" ht="28" customHeight="1">
      <x:c r="A107" s="20" t="str">
        <x:v>B09T72C35N</x:v>
      </x:c>
      <x:c r="B107" s="20" t="str">
        <x:v>b09t72c35n</x:v>
      </x:c>
      <x:c r="C107" s="20" t="str">
        <x:v>268b066325179c62</x:v>
      </x:c>
      <x:c r="D107" s="20" t="str">
        <x:v>asin_target</x:v>
      </x:c>
      <x:c r="E107" s="20" t="str">
        <x:v>en</x:v>
      </x:c>
      <x:c r="F107" s="20" t="str">
        <x:v>该搜索词为 ASIN 形式，需补充商品元数据后再判断用户意图。</x:v>
      </x:c>
      <x:c r="G107" s="20" t="str">
        <x:v>unknown</x:v>
      </x:c>
      <x:c r="H107" s="20" t="str">
        <x:v>low</x:v>
      </x:c>
      <x:c r="I107" s="20" t="str">
        <x:v>asin_target</x:v>
      </x:c>
      <x:c r="J107" s="20" t="str">
        <x:v>asin_metadata_pending</x:v>
      </x:c>
      <x:c r="K107" s="20" t="str">
        <x:v>asin_without_metadata</x:v>
      </x:c>
      <x:c r="L107" s="20" t="str">
        <x:v>not_applicable</x:v>
      </x:c>
      <x:c r="M107" s="20" t="str">
        <x:v>non_model</x:v>
      </x:c>
      <x:c r="N107" s="20" t="str">
        <x:v>1</x:v>
      </x:c>
      <x:c r="O107" s="20" t="str">
        <x:v>1.0.0</x:v>
      </x:c>
      <x:c r="P107" s="20" t="str">
        <x:v>1.1.0</x:v>
      </x:c>
      <x:c r="Q107" s="20" t="str">
        <x:v>deepseek/deepseek-v4-pro</x:v>
      </x:c>
      <x:c r="R107" s="20" t="str">
        <x:v>aj2-y90-20260714T234810-0bea2f52</x:v>
      </x:c>
    </x:row>
    <x:row r="108" ht="28" customHeight="1">
      <x:c r="A108" s="20" t="str">
        <x:v>B0CQY9TDLZ</x:v>
      </x:c>
      <x:c r="B108" s="20" t="str">
        <x:v>b0cqy9tdlz</x:v>
      </x:c>
      <x:c r="C108" s="20" t="str">
        <x:v>269874d00d20a506</x:v>
      </x:c>
      <x:c r="D108" s="20" t="str">
        <x:v>asin_target</x:v>
      </x:c>
      <x:c r="E108" s="20" t="str">
        <x:v>en</x:v>
      </x:c>
      <x:c r="F108" s="20" t="str">
        <x:v>该搜索词为 ASIN 形式，需补充商品元数据后再判断用户意图。</x:v>
      </x:c>
      <x:c r="G108" s="20" t="str">
        <x:v>unknown</x:v>
      </x:c>
      <x:c r="H108" s="20" t="str">
        <x:v>low</x:v>
      </x:c>
      <x:c r="I108" s="20" t="str">
        <x:v>asin_target</x:v>
      </x:c>
      <x:c r="J108" s="20" t="str">
        <x:v>asin_metadata_pending</x:v>
      </x:c>
      <x:c r="K108" s="20" t="str">
        <x:v>asin_without_metadata</x:v>
      </x:c>
      <x:c r="L108" s="20" t="str">
        <x:v>not_applicable</x:v>
      </x:c>
      <x:c r="M108" s="20" t="str">
        <x:v>non_model</x:v>
      </x:c>
      <x:c r="N108" s="20" t="str">
        <x:v>1</x:v>
      </x:c>
      <x:c r="O108" s="20" t="str">
        <x:v>1.0.0</x:v>
      </x:c>
      <x:c r="P108" s="20" t="str">
        <x:v>1.1.0</x:v>
      </x:c>
      <x:c r="Q108" s="20" t="str">
        <x:v>deepseek/deepseek-v4-pro</x:v>
      </x:c>
      <x:c r="R108" s="20" t="str">
        <x:v>aj2-y90-20260714T234810-0bea2f52</x:v>
      </x:c>
    </x:row>
    <x:row r="109" ht="28" customHeight="1">
      <x:c r="A109" s="20" t="str">
        <x:v>B0BQ242RVM</x:v>
      </x:c>
      <x:c r="B109" s="20" t="str">
        <x:v>b0bq242rvm</x:v>
      </x:c>
      <x:c r="C109" s="20" t="str">
        <x:v>26a6605e5259178c</x:v>
      </x:c>
      <x:c r="D109" s="20" t="str">
        <x:v>asin_target</x:v>
      </x:c>
      <x:c r="E109" s="20" t="str">
        <x:v>en</x:v>
      </x:c>
      <x:c r="F109" s="20" t="str">
        <x:v>该搜索词为 ASIN 形式，需补充商品元数据后再判断用户意图。</x:v>
      </x:c>
      <x:c r="G109" s="20" t="str">
        <x:v>unknown</x:v>
      </x:c>
      <x:c r="H109" s="20" t="str">
        <x:v>low</x:v>
      </x:c>
      <x:c r="I109" s="20" t="str">
        <x:v>asin_target</x:v>
      </x:c>
      <x:c r="J109" s="20" t="str">
        <x:v>asin_metadata_pending</x:v>
      </x:c>
      <x:c r="K109" s="20" t="str">
        <x:v>asin_without_metadata</x:v>
      </x:c>
      <x:c r="L109" s="20" t="str">
        <x:v>not_applicable</x:v>
      </x:c>
      <x:c r="M109" s="20" t="str">
        <x:v>non_model</x:v>
      </x:c>
      <x:c r="N109" s="20" t="str">
        <x:v>1</x:v>
      </x:c>
      <x:c r="O109" s="20" t="str">
        <x:v>1.0.0</x:v>
      </x:c>
      <x:c r="P109" s="20" t="str">
        <x:v>1.1.0</x:v>
      </x:c>
      <x:c r="Q109" s="20" t="str">
        <x:v>deepseek/deepseek-v4-pro</x:v>
      </x:c>
      <x:c r="R109" s="20" t="str">
        <x:v>aj2-y90-20260714T234810-0bea2f52</x:v>
      </x:c>
    </x:row>
    <x:row r="110" ht="28" customHeight="1">
      <x:c r="A110" s="20" t="str">
        <x:v>B0GGRCHHKQ</x:v>
      </x:c>
      <x:c r="B110" s="20" t="str">
        <x:v>b0ggrchhkq</x:v>
      </x:c>
      <x:c r="C110" s="20" t="str">
        <x:v>26c1ec3be8f0c09c</x:v>
      </x:c>
      <x:c r="D110" s="20" t="str">
        <x:v>asin_target</x:v>
      </x:c>
      <x:c r="E110" s="20" t="str">
        <x:v>en</x:v>
      </x:c>
      <x:c r="F110" s="20" t="str">
        <x:v>该搜索词为 ASIN 形式，需补充商品元数据后再判断用户意图。</x:v>
      </x:c>
      <x:c r="G110" s="20" t="str">
        <x:v>unknown</x:v>
      </x:c>
      <x:c r="H110" s="20" t="str">
        <x:v>low</x:v>
      </x:c>
      <x:c r="I110" s="20" t="str">
        <x:v>asin_target</x:v>
      </x:c>
      <x:c r="J110" s="20" t="str">
        <x:v>asin_metadata_pending</x:v>
      </x:c>
      <x:c r="K110" s="20" t="str">
        <x:v>asin_without_metadata</x:v>
      </x:c>
      <x:c r="L110" s="20" t="str">
        <x:v>not_applicable</x:v>
      </x:c>
      <x:c r="M110" s="20" t="str">
        <x:v>non_model</x:v>
      </x:c>
      <x:c r="N110" s="20" t="str">
        <x:v>1</x:v>
      </x:c>
      <x:c r="O110" s="20" t="str">
        <x:v>1.0.0</x:v>
      </x:c>
      <x:c r="P110" s="20" t="str">
        <x:v>1.1.0</x:v>
      </x:c>
      <x:c r="Q110" s="20" t="str">
        <x:v>deepseek/deepseek-v4-pro</x:v>
      </x:c>
      <x:c r="R110" s="20" t="str">
        <x:v>aj2-y90-20260714T234810-0bea2f52</x:v>
      </x:c>
    </x:row>
    <x:row r="111" ht="28" customHeight="1">
      <x:c r="A111" s="20" t="str">
        <x:v>B0GGR1K538</x:v>
      </x:c>
      <x:c r="B111" s="20" t="str">
        <x:v>b0ggr1k538</x:v>
      </x:c>
      <x:c r="C111" s="20" t="str">
        <x:v>26e136786ac300a2</x:v>
      </x:c>
      <x:c r="D111" s="20" t="str">
        <x:v>asin_target</x:v>
      </x:c>
      <x:c r="E111" s="20" t="str">
        <x:v>en</x:v>
      </x:c>
      <x:c r="F111" s="20" t="str">
        <x:v>该搜索词为 ASIN 形式，需补充商品元数据后再判断用户意图。</x:v>
      </x:c>
      <x:c r="G111" s="20" t="str">
        <x:v>unknown</x:v>
      </x:c>
      <x:c r="H111" s="20" t="str">
        <x:v>low</x:v>
      </x:c>
      <x:c r="I111" s="20" t="str">
        <x:v>asin_target</x:v>
      </x:c>
      <x:c r="J111" s="20" t="str">
        <x:v>asin_metadata_pending</x:v>
      </x:c>
      <x:c r="K111" s="20" t="str">
        <x:v>asin_without_metadata</x:v>
      </x:c>
      <x:c r="L111" s="20" t="str">
        <x:v>not_applicable</x:v>
      </x:c>
      <x:c r="M111" s="20" t="str">
        <x:v>non_model</x:v>
      </x:c>
      <x:c r="N111" s="20" t="str">
        <x:v>3</x:v>
      </x:c>
      <x:c r="O111" s="20" t="str">
        <x:v>1.0.0</x:v>
      </x:c>
      <x:c r="P111" s="20" t="str">
        <x:v>1.1.0</x:v>
      </x:c>
      <x:c r="Q111" s="20" t="str">
        <x:v>deepseek/deepseek-v4-pro</x:v>
      </x:c>
      <x:c r="R111" s="20" t="str">
        <x:v>aj2-y90-20260714T234810-0bea2f52</x:v>
      </x:c>
    </x:row>
    <x:row r="112" ht="28" customHeight="1">
      <x:c r="A112" s="20" t="str">
        <x:v>B0C61CVHZ5</x:v>
      </x:c>
      <x:c r="B112" s="20" t="str">
        <x:v>b0c61cvhz5</x:v>
      </x:c>
      <x:c r="C112" s="20" t="str">
        <x:v>26eaed62b376c59f</x:v>
      </x:c>
      <x:c r="D112" s="20" t="str">
        <x:v>asin_target</x:v>
      </x:c>
      <x:c r="E112" s="20" t="str">
        <x:v>en</x:v>
      </x:c>
      <x:c r="F112" s="20" t="str">
        <x:v>该搜索词为 ASIN 形式，需补充商品元数据后再判断用户意图。</x:v>
      </x:c>
      <x:c r="G112" s="20" t="str">
        <x:v>unknown</x:v>
      </x:c>
      <x:c r="H112" s="20" t="str">
        <x:v>low</x:v>
      </x:c>
      <x:c r="I112" s="20" t="str">
        <x:v>asin_target</x:v>
      </x:c>
      <x:c r="J112" s="20" t="str">
        <x:v>asin_metadata_pending</x:v>
      </x:c>
      <x:c r="K112" s="20" t="str">
        <x:v>asin_without_metadata</x:v>
      </x:c>
      <x:c r="L112" s="20" t="str">
        <x:v>not_applicable</x:v>
      </x:c>
      <x:c r="M112" s="20" t="str">
        <x:v>non_model</x:v>
      </x:c>
      <x:c r="N112" s="20" t="str">
        <x:v>2</x:v>
      </x:c>
      <x:c r="O112" s="20" t="str">
        <x:v>1.0.0</x:v>
      </x:c>
      <x:c r="P112" s="20" t="str">
        <x:v>1.1.0</x:v>
      </x:c>
      <x:c r="Q112" s="20" t="str">
        <x:v>deepseek/deepseek-v4-pro</x:v>
      </x:c>
      <x:c r="R112" s="20" t="str">
        <x:v>aj2-y90-20260714T234810-0bea2f52</x:v>
      </x:c>
    </x:row>
    <x:row r="113" ht="28" customHeight="1">
      <x:c r="A113" s="20" t="str">
        <x:v>B0GJSPPDHY</x:v>
      </x:c>
      <x:c r="B113" s="20" t="str">
        <x:v>b0gjsppdhy</x:v>
      </x:c>
      <x:c r="C113" s="20" t="str">
        <x:v>2745b1425d961b0e</x:v>
      </x:c>
      <x:c r="D113" s="20" t="str">
        <x:v>asin_target</x:v>
      </x:c>
      <x:c r="E113" s="20" t="str">
        <x:v>en</x:v>
      </x:c>
      <x:c r="F113" s="20" t="str">
        <x:v>该搜索词为 ASIN 形式，需补充商品元数据后再判断用户意图。</x:v>
      </x:c>
      <x:c r="G113" s="20" t="str">
        <x:v>unknown</x:v>
      </x:c>
      <x:c r="H113" s="20" t="str">
        <x:v>low</x:v>
      </x:c>
      <x:c r="I113" s="20" t="str">
        <x:v>asin_target</x:v>
      </x:c>
      <x:c r="J113" s="20" t="str">
        <x:v>asin_metadata_pending</x:v>
      </x:c>
      <x:c r="K113" s="20" t="str">
        <x:v>asin_without_metadata</x:v>
      </x:c>
      <x:c r="L113" s="20" t="str">
        <x:v>not_applicable</x:v>
      </x:c>
      <x:c r="M113" s="20" t="str">
        <x:v>non_model</x:v>
      </x:c>
      <x:c r="N113" s="20" t="str">
        <x:v>1</x:v>
      </x:c>
      <x:c r="O113" s="20" t="str">
        <x:v>1.0.0</x:v>
      </x:c>
      <x:c r="P113" s="20" t="str">
        <x:v>1.1.0</x:v>
      </x:c>
      <x:c r="Q113" s="20" t="str">
        <x:v>deepseek/deepseek-v4-pro</x:v>
      </x:c>
      <x:c r="R113" s="20" t="str">
        <x:v>aj2-y90-20260714T234810-0bea2f52</x:v>
      </x:c>
    </x:row>
    <x:row r="114" ht="28" customHeight="1">
      <x:c r="A114" s="20" t="str">
        <x:v>B0G3931KR2</x:v>
      </x:c>
      <x:c r="B114" s="20" t="str">
        <x:v>b0g3931kr2</x:v>
      </x:c>
      <x:c r="C114" s="20" t="str">
        <x:v>279da277df6b3e64</x:v>
      </x:c>
      <x:c r="D114" s="20" t="str">
        <x:v>asin_target</x:v>
      </x:c>
      <x:c r="E114" s="20" t="str">
        <x:v>en</x:v>
      </x:c>
      <x:c r="F114" s="20" t="str">
        <x:v>该搜索词为 ASIN 形式，需补充商品元数据后再判断用户意图。</x:v>
      </x:c>
      <x:c r="G114" s="20" t="str">
        <x:v>unknown</x:v>
      </x:c>
      <x:c r="H114" s="20" t="str">
        <x:v>low</x:v>
      </x:c>
      <x:c r="I114" s="20" t="str">
        <x:v>asin_target</x:v>
      </x:c>
      <x:c r="J114" s="20" t="str">
        <x:v>asin_metadata_pending</x:v>
      </x:c>
      <x:c r="K114" s="20" t="str">
        <x:v>asin_without_metadata</x:v>
      </x:c>
      <x:c r="L114" s="20" t="str">
        <x:v>not_applicable</x:v>
      </x:c>
      <x:c r="M114" s="20" t="str">
        <x:v>non_model</x:v>
      </x:c>
      <x:c r="N114" s="20" t="str">
        <x:v>1</x:v>
      </x:c>
      <x:c r="O114" s="20" t="str">
        <x:v>1.0.0</x:v>
      </x:c>
      <x:c r="P114" s="20" t="str">
        <x:v>1.1.0</x:v>
      </x:c>
      <x:c r="Q114" s="20" t="str">
        <x:v>deepseek/deepseek-v4-pro</x:v>
      </x:c>
      <x:c r="R114" s="20" t="str">
        <x:v>aj2-y90-20260714T234810-0bea2f52</x:v>
      </x:c>
    </x:row>
    <x:row r="115" ht="28" customHeight="1">
      <x:c r="A115" s="20" t="str">
        <x:v>B0C6NCG4CW</x:v>
      </x:c>
      <x:c r="B115" s="20" t="str">
        <x:v>b0c6ncg4cw</x:v>
      </x:c>
      <x:c r="C115" s="20" t="str">
        <x:v>27ea7d4032b97105</x:v>
      </x:c>
      <x:c r="D115" s="20" t="str">
        <x:v>asin_target</x:v>
      </x:c>
      <x:c r="E115" s="20" t="str">
        <x:v>en</x:v>
      </x:c>
      <x:c r="F115" s="20" t="str">
        <x:v>该搜索词为 ASIN 形式，需补充商品元数据后再判断用户意图。</x:v>
      </x:c>
      <x:c r="G115" s="20" t="str">
        <x:v>unknown</x:v>
      </x:c>
      <x:c r="H115" s="20" t="str">
        <x:v>low</x:v>
      </x:c>
      <x:c r="I115" s="20" t="str">
        <x:v>asin_target</x:v>
      </x:c>
      <x:c r="J115" s="20" t="str">
        <x:v>asin_metadata_pending</x:v>
      </x:c>
      <x:c r="K115" s="20" t="str">
        <x:v>asin_without_metadata</x:v>
      </x:c>
      <x:c r="L115" s="20" t="str">
        <x:v>not_applicable</x:v>
      </x:c>
      <x:c r="M115" s="20" t="str">
        <x:v>non_model</x:v>
      </x:c>
      <x:c r="N115" s="20" t="str">
        <x:v>1</x:v>
      </x:c>
      <x:c r="O115" s="20" t="str">
        <x:v>1.0.0</x:v>
      </x:c>
      <x:c r="P115" s="20" t="str">
        <x:v>1.1.0</x:v>
      </x:c>
      <x:c r="Q115" s="20" t="str">
        <x:v>deepseek/deepseek-v4-pro</x:v>
      </x:c>
      <x:c r="R115" s="20" t="str">
        <x:v>aj2-y90-20260714T234810-0bea2f52</x:v>
      </x:c>
    </x:row>
    <x:row r="116" ht="28" customHeight="1">
      <x:c r="A116" s="20" t="str">
        <x:v>B0FW6K4TXH</x:v>
      </x:c>
      <x:c r="B116" s="20" t="str">
        <x:v>b0fw6k4txh</x:v>
      </x:c>
      <x:c r="C116" s="20" t="str">
        <x:v>28ed164e8c7b3828</x:v>
      </x:c>
      <x:c r="D116" s="20" t="str">
        <x:v>asin_target</x:v>
      </x:c>
      <x:c r="E116" s="20" t="str">
        <x:v>en</x:v>
      </x:c>
      <x:c r="F116" s="20" t="str">
        <x:v>该搜索词为 ASIN 形式，需补充商品元数据后再判断用户意图。</x:v>
      </x:c>
      <x:c r="G116" s="20" t="str">
        <x:v>unknown</x:v>
      </x:c>
      <x:c r="H116" s="20" t="str">
        <x:v>low</x:v>
      </x:c>
      <x:c r="I116" s="20" t="str">
        <x:v>asin_target</x:v>
      </x:c>
      <x:c r="J116" s="20" t="str">
        <x:v>asin_metadata_pending</x:v>
      </x:c>
      <x:c r="K116" s="20" t="str">
        <x:v>asin_without_metadata</x:v>
      </x:c>
      <x:c r="L116" s="20" t="str">
        <x:v>not_applicable</x:v>
      </x:c>
      <x:c r="M116" s="20" t="str">
        <x:v>non_model</x:v>
      </x:c>
      <x:c r="N116" s="20" t="str">
        <x:v>1</x:v>
      </x:c>
      <x:c r="O116" s="20" t="str">
        <x:v>1.0.0</x:v>
      </x:c>
      <x:c r="P116" s="20" t="str">
        <x:v>1.1.0</x:v>
      </x:c>
      <x:c r="Q116" s="20" t="str">
        <x:v>deepseek/deepseek-v4-pro</x:v>
      </x:c>
      <x:c r="R116" s="20" t="str">
        <x:v>aj2-y90-20260714T234810-0bea2f52</x:v>
      </x:c>
    </x:row>
    <x:row r="117" ht="28" customHeight="1">
      <x:c r="A117" s="20" t="str">
        <x:v>B0D1JPM1LY</x:v>
      </x:c>
      <x:c r="B117" s="20" t="str">
        <x:v>b0d1jpm1ly</x:v>
      </x:c>
      <x:c r="C117" s="20" t="str">
        <x:v>29014077ae922595</x:v>
      </x:c>
      <x:c r="D117" s="20" t="str">
        <x:v>asin_target</x:v>
      </x:c>
      <x:c r="E117" s="20" t="str">
        <x:v>en</x:v>
      </x:c>
      <x:c r="F117" s="20" t="str">
        <x:v>该搜索词为 ASIN 形式，需补充商品元数据后再判断用户意图。</x:v>
      </x:c>
      <x:c r="G117" s="20" t="str">
        <x:v>unknown</x:v>
      </x:c>
      <x:c r="H117" s="20" t="str">
        <x:v>low</x:v>
      </x:c>
      <x:c r="I117" s="20" t="str">
        <x:v>asin_target</x:v>
      </x:c>
      <x:c r="J117" s="20" t="str">
        <x:v>asin_metadata_pending</x:v>
      </x:c>
      <x:c r="K117" s="20" t="str">
        <x:v>asin_without_metadata</x:v>
      </x:c>
      <x:c r="L117" s="20" t="str">
        <x:v>not_applicable</x:v>
      </x:c>
      <x:c r="M117" s="20" t="str">
        <x:v>non_model</x:v>
      </x:c>
      <x:c r="N117" s="20" t="str">
        <x:v>1</x:v>
      </x:c>
      <x:c r="O117" s="20" t="str">
        <x:v>1.0.0</x:v>
      </x:c>
      <x:c r="P117" s="20" t="str">
        <x:v>1.1.0</x:v>
      </x:c>
      <x:c r="Q117" s="20" t="str">
        <x:v>deepseek/deepseek-v4-pro</x:v>
      </x:c>
      <x:c r="R117" s="20" t="str">
        <x:v>aj2-y90-20260714T234810-0bea2f52</x:v>
      </x:c>
    </x:row>
    <x:row r="118" ht="28" customHeight="1">
      <x:c r="A118" s="20" t="str">
        <x:v>B0DSMZ7YCK</x:v>
      </x:c>
      <x:c r="B118" s="20" t="str">
        <x:v>b0dsmz7yck</x:v>
      </x:c>
      <x:c r="C118" s="20" t="str">
        <x:v>2a6fe376c9783313</x:v>
      </x:c>
      <x:c r="D118" s="20" t="str">
        <x:v>asin_target</x:v>
      </x:c>
      <x:c r="E118" s="20" t="str">
        <x:v>en</x:v>
      </x:c>
      <x:c r="F118" s="20" t="str">
        <x:v>该搜索词为 ASIN 形式，需补充商品元数据后再判断用户意图。</x:v>
      </x:c>
      <x:c r="G118" s="20" t="str">
        <x:v>unknown</x:v>
      </x:c>
      <x:c r="H118" s="20" t="str">
        <x:v>low</x:v>
      </x:c>
      <x:c r="I118" s="20" t="str">
        <x:v>asin_target</x:v>
      </x:c>
      <x:c r="J118" s="20" t="str">
        <x:v>asin_metadata_pending</x:v>
      </x:c>
      <x:c r="K118" s="20" t="str">
        <x:v>asin_without_metadata</x:v>
      </x:c>
      <x:c r="L118" s="20" t="str">
        <x:v>not_applicable</x:v>
      </x:c>
      <x:c r="M118" s="20" t="str">
        <x:v>non_model</x:v>
      </x:c>
      <x:c r="N118" s="20" t="str">
        <x:v>1</x:v>
      </x:c>
      <x:c r="O118" s="20" t="str">
        <x:v>1.0.0</x:v>
      </x:c>
      <x:c r="P118" s="20" t="str">
        <x:v>1.1.0</x:v>
      </x:c>
      <x:c r="Q118" s="20" t="str">
        <x:v>deepseek/deepseek-v4-pro</x:v>
      </x:c>
      <x:c r="R118" s="20" t="str">
        <x:v>aj2-y90-20260714T234810-0bea2f52</x:v>
      </x:c>
    </x:row>
    <x:row r="119" ht="28" customHeight="1">
      <x:c r="A119" s="20" t="str">
        <x:v>B0GGR21BFT</x:v>
      </x:c>
      <x:c r="B119" s="20" t="str">
        <x:v>b0ggr21bft</x:v>
      </x:c>
      <x:c r="C119" s="20" t="str">
        <x:v>2ad1090d9f0f3afb</x:v>
      </x:c>
      <x:c r="D119" s="20" t="str">
        <x:v>asin_target</x:v>
      </x:c>
      <x:c r="E119" s="20" t="str">
        <x:v>en</x:v>
      </x:c>
      <x:c r="F119" s="20" t="str">
        <x:v>该搜索词为 ASIN 形式，需补充商品元数据后再判断用户意图。</x:v>
      </x:c>
      <x:c r="G119" s="20" t="str">
        <x:v>unknown</x:v>
      </x:c>
      <x:c r="H119" s="20" t="str">
        <x:v>low</x:v>
      </x:c>
      <x:c r="I119" s="20" t="str">
        <x:v>asin_target</x:v>
      </x:c>
      <x:c r="J119" s="20" t="str">
        <x:v>asin_metadata_pending</x:v>
      </x:c>
      <x:c r="K119" s="20" t="str">
        <x:v>asin_without_metadata</x:v>
      </x:c>
      <x:c r="L119" s="20" t="str">
        <x:v>not_applicable</x:v>
      </x:c>
      <x:c r="M119" s="20" t="str">
        <x:v>non_model</x:v>
      </x:c>
      <x:c r="N119" s="20" t="str">
        <x:v>1</x:v>
      </x:c>
      <x:c r="O119" s="20" t="str">
        <x:v>1.0.0</x:v>
      </x:c>
      <x:c r="P119" s="20" t="str">
        <x:v>1.1.0</x:v>
      </x:c>
      <x:c r="Q119" s="20" t="str">
        <x:v>deepseek/deepseek-v4-pro</x:v>
      </x:c>
      <x:c r="R119" s="20" t="str">
        <x:v>aj2-y90-20260714T234810-0bea2f52</x:v>
      </x:c>
    </x:row>
    <x:row r="120" ht="28" customHeight="1">
      <x:c r="A120" s="20" t="str">
        <x:v>B0GGQRFQ3V</x:v>
      </x:c>
      <x:c r="B120" s="20" t="str">
        <x:v>b0ggqrfq3v</x:v>
      </x:c>
      <x:c r="C120" s="20" t="str">
        <x:v>2b0ce7051921c182</x:v>
      </x:c>
      <x:c r="D120" s="20" t="str">
        <x:v>asin_target</x:v>
      </x:c>
      <x:c r="E120" s="20" t="str">
        <x:v>en</x:v>
      </x:c>
      <x:c r="F120" s="20" t="str">
        <x:v>该搜索词为 ASIN 形式，需补充商品元数据后再判断用户意图。</x:v>
      </x:c>
      <x:c r="G120" s="20" t="str">
        <x:v>unknown</x:v>
      </x:c>
      <x:c r="H120" s="20" t="str">
        <x:v>low</x:v>
      </x:c>
      <x:c r="I120" s="20" t="str">
        <x:v>asin_target</x:v>
      </x:c>
      <x:c r="J120" s="20" t="str">
        <x:v>asin_metadata_pending</x:v>
      </x:c>
      <x:c r="K120" s="20" t="str">
        <x:v>asin_without_metadata</x:v>
      </x:c>
      <x:c r="L120" s="20" t="str">
        <x:v>not_applicable</x:v>
      </x:c>
      <x:c r="M120" s="20" t="str">
        <x:v>non_model</x:v>
      </x:c>
      <x:c r="N120" s="20" t="str">
        <x:v>3</x:v>
      </x:c>
      <x:c r="O120" s="20" t="str">
        <x:v>1.0.0</x:v>
      </x:c>
      <x:c r="P120" s="20" t="str">
        <x:v>1.1.0</x:v>
      </x:c>
      <x:c r="Q120" s="20" t="str">
        <x:v>deepseek/deepseek-v4-pro</x:v>
      </x:c>
      <x:c r="R120" s="20" t="str">
        <x:v>aj2-y90-20260714T234810-0bea2f52</x:v>
      </x:c>
    </x:row>
    <x:row r="121" ht="28" customHeight="1">
      <x:c r="A121" s="20" t="str">
        <x:v>B0GGR2J9H5</x:v>
      </x:c>
      <x:c r="B121" s="20" t="str">
        <x:v>b0ggr2j9h5</x:v>
      </x:c>
      <x:c r="C121" s="20" t="str">
        <x:v>2b32e1a039b1506f</x:v>
      </x:c>
      <x:c r="D121" s="20" t="str">
        <x:v>asin_target</x:v>
      </x:c>
      <x:c r="E121" s="20" t="str">
        <x:v>en</x:v>
      </x:c>
      <x:c r="F121" s="20" t="str">
        <x:v>该搜索词为 ASIN 形式，需补充商品元数据后再判断用户意图。</x:v>
      </x:c>
      <x:c r="G121" s="20" t="str">
        <x:v>unknown</x:v>
      </x:c>
      <x:c r="H121" s="20" t="str">
        <x:v>low</x:v>
      </x:c>
      <x:c r="I121" s="20" t="str">
        <x:v>asin_target</x:v>
      </x:c>
      <x:c r="J121" s="20" t="str">
        <x:v>asin_metadata_pending</x:v>
      </x:c>
      <x:c r="K121" s="20" t="str">
        <x:v>asin_without_metadata</x:v>
      </x:c>
      <x:c r="L121" s="20" t="str">
        <x:v>not_applicable</x:v>
      </x:c>
      <x:c r="M121" s="20" t="str">
        <x:v>non_model</x:v>
      </x:c>
      <x:c r="N121" s="20" t="str">
        <x:v>1</x:v>
      </x:c>
      <x:c r="O121" s="20" t="str">
        <x:v>1.0.0</x:v>
      </x:c>
      <x:c r="P121" s="20" t="str">
        <x:v>1.1.0</x:v>
      </x:c>
      <x:c r="Q121" s="20" t="str">
        <x:v>deepseek/deepseek-v4-pro</x:v>
      </x:c>
      <x:c r="R121" s="20" t="str">
        <x:v>aj2-y90-20260714T234810-0bea2f52</x:v>
      </x:c>
    </x:row>
    <x:row r="122" ht="28" customHeight="1">
      <x:c r="A122" s="20" t="str">
        <x:v>B0G25G7TJ1</x:v>
      </x:c>
      <x:c r="B122" s="20" t="str">
        <x:v>b0g25g7tj1</x:v>
      </x:c>
      <x:c r="C122" s="20" t="str">
        <x:v>2b4568b6ab239383</x:v>
      </x:c>
      <x:c r="D122" s="20" t="str">
        <x:v>asin_target</x:v>
      </x:c>
      <x:c r="E122" s="20" t="str">
        <x:v>en</x:v>
      </x:c>
      <x:c r="F122" s="20" t="str">
        <x:v>该搜索词为 ASIN 形式，需补充商品元数据后再判断用户意图。</x:v>
      </x:c>
      <x:c r="G122" s="20" t="str">
        <x:v>unknown</x:v>
      </x:c>
      <x:c r="H122" s="20" t="str">
        <x:v>low</x:v>
      </x:c>
      <x:c r="I122" s="20" t="str">
        <x:v>asin_target</x:v>
      </x:c>
      <x:c r="J122" s="20" t="str">
        <x:v>asin_metadata_pending</x:v>
      </x:c>
      <x:c r="K122" s="20" t="str">
        <x:v>asin_without_metadata</x:v>
      </x:c>
      <x:c r="L122" s="20" t="str">
        <x:v>not_applicable</x:v>
      </x:c>
      <x:c r="M122" s="20" t="str">
        <x:v>non_model</x:v>
      </x:c>
      <x:c r="N122" s="20" t="str">
        <x:v>1</x:v>
      </x:c>
      <x:c r="O122" s="20" t="str">
        <x:v>1.0.0</x:v>
      </x:c>
      <x:c r="P122" s="20" t="str">
        <x:v>1.1.0</x:v>
      </x:c>
      <x:c r="Q122" s="20" t="str">
        <x:v>deepseek/deepseek-v4-pro</x:v>
      </x:c>
      <x:c r="R122" s="20" t="str">
        <x:v>aj2-y90-20260714T234810-0bea2f52</x:v>
      </x:c>
    </x:row>
    <x:row r="123" ht="28" customHeight="1">
      <x:c r="A123" s="20" t="str">
        <x:v>B0DSMY4HMH</x:v>
      </x:c>
      <x:c r="B123" s="20" t="str">
        <x:v>b0dsmy4hmh</x:v>
      </x:c>
      <x:c r="C123" s="20" t="str">
        <x:v>2bdd006df90e3c8c</x:v>
      </x:c>
      <x:c r="D123" s="20" t="str">
        <x:v>asin_target</x:v>
      </x:c>
      <x:c r="E123" s="20" t="str">
        <x:v>en</x:v>
      </x:c>
      <x:c r="F123" s="20" t="str">
        <x:v>该搜索词为 ASIN 形式，需补充商品元数据后再判断用户意图。</x:v>
      </x:c>
      <x:c r="G123" s="20" t="str">
        <x:v>unknown</x:v>
      </x:c>
      <x:c r="H123" s="20" t="str">
        <x:v>low</x:v>
      </x:c>
      <x:c r="I123" s="20" t="str">
        <x:v>asin_target</x:v>
      </x:c>
      <x:c r="J123" s="20" t="str">
        <x:v>asin_metadata_pending</x:v>
      </x:c>
      <x:c r="K123" s="20" t="str">
        <x:v>asin_without_metadata</x:v>
      </x:c>
      <x:c r="L123" s="20" t="str">
        <x:v>not_applicable</x:v>
      </x:c>
      <x:c r="M123" s="20" t="str">
        <x:v>non_model</x:v>
      </x:c>
      <x:c r="N123" s="20" t="str">
        <x:v>2</x:v>
      </x:c>
      <x:c r="O123" s="20" t="str">
        <x:v>1.0.0</x:v>
      </x:c>
      <x:c r="P123" s="20" t="str">
        <x:v>1.1.0</x:v>
      </x:c>
      <x:c r="Q123" s="20" t="str">
        <x:v>deepseek/deepseek-v4-pro</x:v>
      </x:c>
      <x:c r="R123" s="20" t="str">
        <x:v>aj2-y90-20260714T234810-0bea2f52</x:v>
      </x:c>
    </x:row>
    <x:row r="124" ht="28" customHeight="1">
      <x:c r="A124" s="20" t="str">
        <x:v>B07D55784K</x:v>
      </x:c>
      <x:c r="B124" s="20" t="str">
        <x:v>b07d55784k</x:v>
      </x:c>
      <x:c r="C124" s="20" t="str">
        <x:v>2c1ee35d7f04bf6c</x:v>
      </x:c>
      <x:c r="D124" s="20" t="str">
        <x:v>asin_target</x:v>
      </x:c>
      <x:c r="E124" s="20" t="str">
        <x:v>en</x:v>
      </x:c>
      <x:c r="F124" s="20" t="str">
        <x:v>该搜索词为 ASIN 形式，需补充商品元数据后再判断用户意图。</x:v>
      </x:c>
      <x:c r="G124" s="20" t="str">
        <x:v>unknown</x:v>
      </x:c>
      <x:c r="H124" s="20" t="str">
        <x:v>low</x:v>
      </x:c>
      <x:c r="I124" s="20" t="str">
        <x:v>asin_target</x:v>
      </x:c>
      <x:c r="J124" s="20" t="str">
        <x:v>asin_metadata_pending</x:v>
      </x:c>
      <x:c r="K124" s="20" t="str">
        <x:v>asin_without_metadata</x:v>
      </x:c>
      <x:c r="L124" s="20" t="str">
        <x:v>not_applicable</x:v>
      </x:c>
      <x:c r="M124" s="20" t="str">
        <x:v>non_model</x:v>
      </x:c>
      <x:c r="N124" s="20" t="str">
        <x:v>1</x:v>
      </x:c>
      <x:c r="O124" s="20" t="str">
        <x:v>1.0.0</x:v>
      </x:c>
      <x:c r="P124" s="20" t="str">
        <x:v>1.1.0</x:v>
      </x:c>
      <x:c r="Q124" s="20" t="str">
        <x:v>deepseek/deepseek-v4-pro</x:v>
      </x:c>
      <x:c r="R124" s="20" t="str">
        <x:v>aj2-y90-20260714T234810-0bea2f52</x:v>
      </x:c>
    </x:row>
    <x:row r="125" ht="28" customHeight="1">
      <x:c r="A125" s="20" t="str">
        <x:v>B0GKDX33FV</x:v>
      </x:c>
      <x:c r="B125" s="20" t="str">
        <x:v>b0gkdx33fv</x:v>
      </x:c>
      <x:c r="C125" s="20" t="str">
        <x:v>2c569993d9c888d5</x:v>
      </x:c>
      <x:c r="D125" s="20" t="str">
        <x:v>asin_target</x:v>
      </x:c>
      <x:c r="E125" s="20" t="str">
        <x:v>en</x:v>
      </x:c>
      <x:c r="F125" s="20" t="str">
        <x:v>该搜索词为 ASIN 形式，需补充商品元数据后再判断用户意图。</x:v>
      </x:c>
      <x:c r="G125" s="20" t="str">
        <x:v>unknown</x:v>
      </x:c>
      <x:c r="H125" s="20" t="str">
        <x:v>low</x:v>
      </x:c>
      <x:c r="I125" s="20" t="str">
        <x:v>asin_target</x:v>
      </x:c>
      <x:c r="J125" s="20" t="str">
        <x:v>asin_metadata_pending</x:v>
      </x:c>
      <x:c r="K125" s="20" t="str">
        <x:v>asin_without_metadata</x:v>
      </x:c>
      <x:c r="L125" s="20" t="str">
        <x:v>not_applicable</x:v>
      </x:c>
      <x:c r="M125" s="20" t="str">
        <x:v>non_model</x:v>
      </x:c>
      <x:c r="N125" s="20" t="str">
        <x:v>1</x:v>
      </x:c>
      <x:c r="O125" s="20" t="str">
        <x:v>1.0.0</x:v>
      </x:c>
      <x:c r="P125" s="20" t="str">
        <x:v>1.1.0</x:v>
      </x:c>
      <x:c r="Q125" s="20" t="str">
        <x:v>deepseek/deepseek-v4-pro</x:v>
      </x:c>
      <x:c r="R125" s="20" t="str">
        <x:v>aj2-y90-20260714T234810-0bea2f52</x:v>
      </x:c>
    </x:row>
    <x:row r="126" ht="28" customHeight="1">
      <x:c r="A126" s="20" t="str">
        <x:v>B0BJ3BMLGT</x:v>
      </x:c>
      <x:c r="B126" s="20" t="str">
        <x:v>b0bj3bmlgt</x:v>
      </x:c>
      <x:c r="C126" s="20" t="str">
        <x:v>2c69d29c83642f44</x:v>
      </x:c>
      <x:c r="D126" s="20" t="str">
        <x:v>asin_target</x:v>
      </x:c>
      <x:c r="E126" s="20" t="str">
        <x:v>en</x:v>
      </x:c>
      <x:c r="F126" s="20" t="str">
        <x:v>该搜索词为 ASIN 形式，需补充商品元数据后再判断用户意图。</x:v>
      </x:c>
      <x:c r="G126" s="20" t="str">
        <x:v>unknown</x:v>
      </x:c>
      <x:c r="H126" s="20" t="str">
        <x:v>low</x:v>
      </x:c>
      <x:c r="I126" s="20" t="str">
        <x:v>asin_target</x:v>
      </x:c>
      <x:c r="J126" s="20" t="str">
        <x:v>asin_metadata_pending</x:v>
      </x:c>
      <x:c r="K126" s="20" t="str">
        <x:v>asin_without_metadata</x:v>
      </x:c>
      <x:c r="L126" s="20" t="str">
        <x:v>not_applicable</x:v>
      </x:c>
      <x:c r="M126" s="20" t="str">
        <x:v>non_model</x:v>
      </x:c>
      <x:c r="N126" s="20" t="str">
        <x:v>1</x:v>
      </x:c>
      <x:c r="O126" s="20" t="str">
        <x:v>1.0.0</x:v>
      </x:c>
      <x:c r="P126" s="20" t="str">
        <x:v>1.1.0</x:v>
      </x:c>
      <x:c r="Q126" s="20" t="str">
        <x:v>deepseek/deepseek-v4-pro</x:v>
      </x:c>
      <x:c r="R126" s="20" t="str">
        <x:v>aj2-y90-20260714T234810-0bea2f52</x:v>
      </x:c>
    </x:row>
    <x:row r="127" ht="28" customHeight="1">
      <x:c r="A127" s="20" t="str">
        <x:v>B09L8CTMW8</x:v>
      </x:c>
      <x:c r="B127" s="20" t="str">
        <x:v>b09l8ctmw8</x:v>
      </x:c>
      <x:c r="C127" s="20" t="str">
        <x:v>2ca1870b88210189</x:v>
      </x:c>
      <x:c r="D127" s="20" t="str">
        <x:v>asin_target</x:v>
      </x:c>
      <x:c r="E127" s="20" t="str">
        <x:v>en</x:v>
      </x:c>
      <x:c r="F127" s="20" t="str">
        <x:v>该搜索词为 ASIN 形式，需补充商品元数据后再判断用户意图。</x:v>
      </x:c>
      <x:c r="G127" s="20" t="str">
        <x:v>unknown</x:v>
      </x:c>
      <x:c r="H127" s="20" t="str">
        <x:v>low</x:v>
      </x:c>
      <x:c r="I127" s="20" t="str">
        <x:v>asin_target</x:v>
      </x:c>
      <x:c r="J127" s="20" t="str">
        <x:v>asin_metadata_pending</x:v>
      </x:c>
      <x:c r="K127" s="20" t="str">
        <x:v>asin_without_metadata</x:v>
      </x:c>
      <x:c r="L127" s="20" t="str">
        <x:v>not_applicable</x:v>
      </x:c>
      <x:c r="M127" s="20" t="str">
        <x:v>non_model</x:v>
      </x:c>
      <x:c r="N127" s="20" t="str">
        <x:v>1</x:v>
      </x:c>
      <x:c r="O127" s="20" t="str">
        <x:v>1.0.0</x:v>
      </x:c>
      <x:c r="P127" s="20" t="str">
        <x:v>1.1.0</x:v>
      </x:c>
      <x:c r="Q127" s="20" t="str">
        <x:v>deepseek/deepseek-v4-pro</x:v>
      </x:c>
      <x:c r="R127" s="20" t="str">
        <x:v>aj2-y90-20260714T234810-0bea2f52</x:v>
      </x:c>
    </x:row>
    <x:row r="128" ht="28" customHeight="1">
      <x:c r="A128" s="20" t="str">
        <x:v>B0GKD5TH1S</x:v>
      </x:c>
      <x:c r="B128" s="20" t="str">
        <x:v>b0gkd5th1s</x:v>
      </x:c>
      <x:c r="C128" s="20" t="str">
        <x:v>2ce65a201fc27e59</x:v>
      </x:c>
      <x:c r="D128" s="20" t="str">
        <x:v>asin_target</x:v>
      </x:c>
      <x:c r="E128" s="20" t="str">
        <x:v>en</x:v>
      </x:c>
      <x:c r="F128" s="20" t="str">
        <x:v>该搜索词为 ASIN 形式，需补充商品元数据后再判断用户意图。</x:v>
      </x:c>
      <x:c r="G128" s="20" t="str">
        <x:v>unknown</x:v>
      </x:c>
      <x:c r="H128" s="20" t="str">
        <x:v>low</x:v>
      </x:c>
      <x:c r="I128" s="20" t="str">
        <x:v>asin_target</x:v>
      </x:c>
      <x:c r="J128" s="20" t="str">
        <x:v>asin_metadata_pending</x:v>
      </x:c>
      <x:c r="K128" s="20" t="str">
        <x:v>asin_without_metadata</x:v>
      </x:c>
      <x:c r="L128" s="20" t="str">
        <x:v>not_applicable</x:v>
      </x:c>
      <x:c r="M128" s="20" t="str">
        <x:v>non_model</x:v>
      </x:c>
      <x:c r="N128" s="20" t="str">
        <x:v>1</x:v>
      </x:c>
      <x:c r="O128" s="20" t="str">
        <x:v>1.0.0</x:v>
      </x:c>
      <x:c r="P128" s="20" t="str">
        <x:v>1.1.0</x:v>
      </x:c>
      <x:c r="Q128" s="20" t="str">
        <x:v>deepseek/deepseek-v4-pro</x:v>
      </x:c>
      <x:c r="R128" s="20" t="str">
        <x:v>aj2-y90-20260714T234810-0bea2f52</x:v>
      </x:c>
    </x:row>
    <x:row r="129" ht="28" customHeight="1">
      <x:c r="A129" s="20" t="str">
        <x:v>B0G48P6C7C</x:v>
      </x:c>
      <x:c r="B129" s="20" t="str">
        <x:v>b0g48p6c7c</x:v>
      </x:c>
      <x:c r="C129" s="20" t="str">
        <x:v>2cf277cecc3fad59</x:v>
      </x:c>
      <x:c r="D129" s="20" t="str">
        <x:v>asin_target</x:v>
      </x:c>
      <x:c r="E129" s="20" t="str">
        <x:v>en</x:v>
      </x:c>
      <x:c r="F129" s="20" t="str">
        <x:v>该搜索词为 ASIN 形式，需补充商品元数据后再判断用户意图。</x:v>
      </x:c>
      <x:c r="G129" s="20" t="str">
        <x:v>unknown</x:v>
      </x:c>
      <x:c r="H129" s="20" t="str">
        <x:v>low</x:v>
      </x:c>
      <x:c r="I129" s="20" t="str">
        <x:v>asin_target</x:v>
      </x:c>
      <x:c r="J129" s="20" t="str">
        <x:v>asin_metadata_pending</x:v>
      </x:c>
      <x:c r="K129" s="20" t="str">
        <x:v>asin_without_metadata</x:v>
      </x:c>
      <x:c r="L129" s="20" t="str">
        <x:v>not_applicable</x:v>
      </x:c>
      <x:c r="M129" s="20" t="str">
        <x:v>non_model</x:v>
      </x:c>
      <x:c r="N129" s="20" t="str">
        <x:v>1</x:v>
      </x:c>
      <x:c r="O129" s="20" t="str">
        <x:v>1.0.0</x:v>
      </x:c>
      <x:c r="P129" s="20" t="str">
        <x:v>1.1.0</x:v>
      </x:c>
      <x:c r="Q129" s="20" t="str">
        <x:v>deepseek/deepseek-v4-pro</x:v>
      </x:c>
      <x:c r="R129" s="20" t="str">
        <x:v>aj2-y90-20260714T234810-0bea2f52</x:v>
      </x:c>
    </x:row>
    <x:row r="130" ht="28" customHeight="1">
      <x:c r="A130" s="20" t="str">
        <x:v>B0C6XQGQMW</x:v>
      </x:c>
      <x:c r="B130" s="20" t="str">
        <x:v>b0c6xqgqmw</x:v>
      </x:c>
      <x:c r="C130" s="20" t="str">
        <x:v>2d18bc8d5ebf8b21</x:v>
      </x:c>
      <x:c r="D130" s="20" t="str">
        <x:v>asin_target</x:v>
      </x:c>
      <x:c r="E130" s="20" t="str">
        <x:v>en</x:v>
      </x:c>
      <x:c r="F130" s="20" t="str">
        <x:v>该搜索词为 ASIN 形式，需补充商品元数据后再判断用户意图。</x:v>
      </x:c>
      <x:c r="G130" s="20" t="str">
        <x:v>unknown</x:v>
      </x:c>
      <x:c r="H130" s="20" t="str">
        <x:v>low</x:v>
      </x:c>
      <x:c r="I130" s="20" t="str">
        <x:v>asin_target</x:v>
      </x:c>
      <x:c r="J130" s="20" t="str">
        <x:v>asin_metadata_pending</x:v>
      </x:c>
      <x:c r="K130" s="20" t="str">
        <x:v>asin_without_metadata</x:v>
      </x:c>
      <x:c r="L130" s="20" t="str">
        <x:v>not_applicable</x:v>
      </x:c>
      <x:c r="M130" s="20" t="str">
        <x:v>non_model</x:v>
      </x:c>
      <x:c r="N130" s="20" t="str">
        <x:v>1</x:v>
      </x:c>
      <x:c r="O130" s="20" t="str">
        <x:v>1.0.0</x:v>
      </x:c>
      <x:c r="P130" s="20" t="str">
        <x:v>1.1.0</x:v>
      </x:c>
      <x:c r="Q130" s="20" t="str">
        <x:v>deepseek/deepseek-v4-pro</x:v>
      </x:c>
      <x:c r="R130" s="20" t="str">
        <x:v>aj2-y90-20260714T234810-0bea2f52</x:v>
      </x:c>
    </x:row>
    <x:row r="131" ht="28" customHeight="1">
      <x:c r="A131" s="20" t="str">
        <x:v>B0DHN9Z6SF</x:v>
      </x:c>
      <x:c r="B131" s="20" t="str">
        <x:v>b0dhn9z6sf</x:v>
      </x:c>
      <x:c r="C131" s="20" t="str">
        <x:v>2d6abad750995a0d</x:v>
      </x:c>
      <x:c r="D131" s="20" t="str">
        <x:v>asin_target</x:v>
      </x:c>
      <x:c r="E131" s="20" t="str">
        <x:v>en</x:v>
      </x:c>
      <x:c r="F131" s="20" t="str">
        <x:v>该搜索词为 ASIN 形式，需补充商品元数据后再判断用户意图。</x:v>
      </x:c>
      <x:c r="G131" s="20" t="str">
        <x:v>unknown</x:v>
      </x:c>
      <x:c r="H131" s="20" t="str">
        <x:v>low</x:v>
      </x:c>
      <x:c r="I131" s="20" t="str">
        <x:v>asin_target</x:v>
      </x:c>
      <x:c r="J131" s="20" t="str">
        <x:v>asin_metadata_pending</x:v>
      </x:c>
      <x:c r="K131" s="20" t="str">
        <x:v>asin_without_metadata</x:v>
      </x:c>
      <x:c r="L131" s="20" t="str">
        <x:v>not_applicable</x:v>
      </x:c>
      <x:c r="M131" s="20" t="str">
        <x:v>non_model</x:v>
      </x:c>
      <x:c r="N131" s="20" t="str">
        <x:v>1</x:v>
      </x:c>
      <x:c r="O131" s="20" t="str">
        <x:v>1.0.0</x:v>
      </x:c>
      <x:c r="P131" s="20" t="str">
        <x:v>1.1.0</x:v>
      </x:c>
      <x:c r="Q131" s="20" t="str">
        <x:v>deepseek/deepseek-v4-pro</x:v>
      </x:c>
      <x:c r="R131" s="20" t="str">
        <x:v>aj2-y90-20260714T234810-0bea2f52</x:v>
      </x:c>
    </x:row>
    <x:row r="132" ht="28" customHeight="1">
      <x:c r="A132" s="20" t="str">
        <x:v>B0FK8RTBXV</x:v>
      </x:c>
      <x:c r="B132" s="20" t="str">
        <x:v>b0fk8rtbxv</x:v>
      </x:c>
      <x:c r="C132" s="20" t="str">
        <x:v>2d869e9f5cb91a2b</x:v>
      </x:c>
      <x:c r="D132" s="20" t="str">
        <x:v>asin_target</x:v>
      </x:c>
      <x:c r="E132" s="20" t="str">
        <x:v>en</x:v>
      </x:c>
      <x:c r="F132" s="20" t="str">
        <x:v>该搜索词为 ASIN 形式，需补充商品元数据后再判断用户意图。</x:v>
      </x:c>
      <x:c r="G132" s="20" t="str">
        <x:v>unknown</x:v>
      </x:c>
      <x:c r="H132" s="20" t="str">
        <x:v>low</x:v>
      </x:c>
      <x:c r="I132" s="20" t="str">
        <x:v>asin_target</x:v>
      </x:c>
      <x:c r="J132" s="20" t="str">
        <x:v>asin_metadata_pending</x:v>
      </x:c>
      <x:c r="K132" s="20" t="str">
        <x:v>asin_without_metadata</x:v>
      </x:c>
      <x:c r="L132" s="20" t="str">
        <x:v>not_applicable</x:v>
      </x:c>
      <x:c r="M132" s="20" t="str">
        <x:v>non_model</x:v>
      </x:c>
      <x:c r="N132" s="20" t="str">
        <x:v>2</x:v>
      </x:c>
      <x:c r="O132" s="20" t="str">
        <x:v>1.0.0</x:v>
      </x:c>
      <x:c r="P132" s="20" t="str">
        <x:v>1.1.0</x:v>
      </x:c>
      <x:c r="Q132" s="20" t="str">
        <x:v>deepseek/deepseek-v4-pro</x:v>
      </x:c>
      <x:c r="R132" s="20" t="str">
        <x:v>aj2-y90-20260714T234810-0bea2f52</x:v>
      </x:c>
    </x:row>
    <x:row r="133" ht="28" customHeight="1">
      <x:c r="A133" s="20" t="str">
        <x:v>B0GJSMSSGY</x:v>
      </x:c>
      <x:c r="B133" s="20" t="str">
        <x:v>b0gjsmssgy</x:v>
      </x:c>
      <x:c r="C133" s="20" t="str">
        <x:v>2db91c1585ddb744</x:v>
      </x:c>
      <x:c r="D133" s="20" t="str">
        <x:v>asin_target</x:v>
      </x:c>
      <x:c r="E133" s="20" t="str">
        <x:v>en</x:v>
      </x:c>
      <x:c r="F133" s="20" t="str">
        <x:v>该搜索词为 ASIN 形式，需补充商品元数据后再判断用户意图。</x:v>
      </x:c>
      <x:c r="G133" s="20" t="str">
        <x:v>unknown</x:v>
      </x:c>
      <x:c r="H133" s="20" t="str">
        <x:v>low</x:v>
      </x:c>
      <x:c r="I133" s="20" t="str">
        <x:v>asin_target</x:v>
      </x:c>
      <x:c r="J133" s="20" t="str">
        <x:v>asin_metadata_pending</x:v>
      </x:c>
      <x:c r="K133" s="20" t="str">
        <x:v>asin_without_metadata</x:v>
      </x:c>
      <x:c r="L133" s="20" t="str">
        <x:v>not_applicable</x:v>
      </x:c>
      <x:c r="M133" s="20" t="str">
        <x:v>non_model</x:v>
      </x:c>
      <x:c r="N133" s="20" t="str">
        <x:v>1</x:v>
      </x:c>
      <x:c r="O133" s="20" t="str">
        <x:v>1.0.0</x:v>
      </x:c>
      <x:c r="P133" s="20" t="str">
        <x:v>1.1.0</x:v>
      </x:c>
      <x:c r="Q133" s="20" t="str">
        <x:v>deepseek/deepseek-v4-pro</x:v>
      </x:c>
      <x:c r="R133" s="20" t="str">
        <x:v>aj2-y90-20260714T234810-0bea2f52</x:v>
      </x:c>
    </x:row>
    <x:row r="134" ht="28" customHeight="1">
      <x:c r="A134" s="20" t="str">
        <x:v>B0FGKG5NKY</x:v>
      </x:c>
      <x:c r="B134" s="20" t="str">
        <x:v>b0fgkg5nky</x:v>
      </x:c>
      <x:c r="C134" s="20" t="str">
        <x:v>2de642c91ccaf31b</x:v>
      </x:c>
      <x:c r="D134" s="20" t="str">
        <x:v>asin_target</x:v>
      </x:c>
      <x:c r="E134" s="20" t="str">
        <x:v>en</x:v>
      </x:c>
      <x:c r="F134" s="20" t="str">
        <x:v>该搜索词为 ASIN 形式，需补充商品元数据后再判断用户意图。</x:v>
      </x:c>
      <x:c r="G134" s="20" t="str">
        <x:v>unknown</x:v>
      </x:c>
      <x:c r="H134" s="20" t="str">
        <x:v>low</x:v>
      </x:c>
      <x:c r="I134" s="20" t="str">
        <x:v>asin_target</x:v>
      </x:c>
      <x:c r="J134" s="20" t="str">
        <x:v>asin_metadata_pending</x:v>
      </x:c>
      <x:c r="K134" s="20" t="str">
        <x:v>asin_without_metadata</x:v>
      </x:c>
      <x:c r="L134" s="20" t="str">
        <x:v>not_applicable</x:v>
      </x:c>
      <x:c r="M134" s="20" t="str">
        <x:v>non_model</x:v>
      </x:c>
      <x:c r="N134" s="20" t="str">
        <x:v>1</x:v>
      </x:c>
      <x:c r="O134" s="20" t="str">
        <x:v>1.0.0</x:v>
      </x:c>
      <x:c r="P134" s="20" t="str">
        <x:v>1.1.0</x:v>
      </x:c>
      <x:c r="Q134" s="20" t="str">
        <x:v>deepseek/deepseek-v4-pro</x:v>
      </x:c>
      <x:c r="R134" s="20" t="str">
        <x:v>aj2-y90-20260714T234810-0bea2f52</x:v>
      </x:c>
    </x:row>
    <x:row r="135" ht="28" customHeight="1">
      <x:c r="A135" s="20" t="str">
        <x:v>B09PD3VC3Z</x:v>
      </x:c>
      <x:c r="B135" s="20" t="str">
        <x:v>b09pd3vc3z</x:v>
      </x:c>
      <x:c r="C135" s="20" t="str">
        <x:v>2df2f240e4aa4b12</x:v>
      </x:c>
      <x:c r="D135" s="20" t="str">
        <x:v>asin_target</x:v>
      </x:c>
      <x:c r="E135" s="20" t="str">
        <x:v>en</x:v>
      </x:c>
      <x:c r="F135" s="20" t="str">
        <x:v>该搜索词为 ASIN 形式，需补充商品元数据后再判断用户意图。</x:v>
      </x:c>
      <x:c r="G135" s="20" t="str">
        <x:v>unknown</x:v>
      </x:c>
      <x:c r="H135" s="20" t="str">
        <x:v>low</x:v>
      </x:c>
      <x:c r="I135" s="20" t="str">
        <x:v>asin_target</x:v>
      </x:c>
      <x:c r="J135" s="20" t="str">
        <x:v>asin_metadata_pending</x:v>
      </x:c>
      <x:c r="K135" s="20" t="str">
        <x:v>asin_without_metadata</x:v>
      </x:c>
      <x:c r="L135" s="20" t="str">
        <x:v>not_applicable</x:v>
      </x:c>
      <x:c r="M135" s="20" t="str">
        <x:v>non_model</x:v>
      </x:c>
      <x:c r="N135" s="20" t="str">
        <x:v>1</x:v>
      </x:c>
      <x:c r="O135" s="20" t="str">
        <x:v>1.0.0</x:v>
      </x:c>
      <x:c r="P135" s="20" t="str">
        <x:v>1.1.0</x:v>
      </x:c>
      <x:c r="Q135" s="20" t="str">
        <x:v>deepseek/deepseek-v4-pro</x:v>
      </x:c>
      <x:c r="R135" s="20" t="str">
        <x:v>aj2-y90-20260714T234810-0bea2f52</x:v>
      </x:c>
    </x:row>
    <x:row r="136" ht="28" customHeight="1">
      <x:c r="A136" s="20" t="str">
        <x:v>B0F8M9XPBJ</x:v>
      </x:c>
      <x:c r="B136" s="20" t="str">
        <x:v>b0f8m9xpbj</x:v>
      </x:c>
      <x:c r="C136" s="20" t="str">
        <x:v>2e2f05d3eb62dfd3</x:v>
      </x:c>
      <x:c r="D136" s="20" t="str">
        <x:v>asin_target</x:v>
      </x:c>
      <x:c r="E136" s="20" t="str">
        <x:v>en</x:v>
      </x:c>
      <x:c r="F136" s="20" t="str">
        <x:v>该搜索词为 ASIN 形式，需补充商品元数据后再判断用户意图。</x:v>
      </x:c>
      <x:c r="G136" s="20" t="str">
        <x:v>unknown</x:v>
      </x:c>
      <x:c r="H136" s="20" t="str">
        <x:v>low</x:v>
      </x:c>
      <x:c r="I136" s="20" t="str">
        <x:v>asin_target</x:v>
      </x:c>
      <x:c r="J136" s="20" t="str">
        <x:v>asin_metadata_pending</x:v>
      </x:c>
      <x:c r="K136" s="20" t="str">
        <x:v>asin_without_metadata</x:v>
      </x:c>
      <x:c r="L136" s="20" t="str">
        <x:v>not_applicable</x:v>
      </x:c>
      <x:c r="M136" s="20" t="str">
        <x:v>non_model</x:v>
      </x:c>
      <x:c r="N136" s="20" t="str">
        <x:v>1</x:v>
      </x:c>
      <x:c r="O136" s="20" t="str">
        <x:v>1.0.0</x:v>
      </x:c>
      <x:c r="P136" s="20" t="str">
        <x:v>1.1.0</x:v>
      </x:c>
      <x:c r="Q136" s="20" t="str">
        <x:v>deepseek/deepseek-v4-pro</x:v>
      </x:c>
      <x:c r="R136" s="20" t="str">
        <x:v>aj2-y90-20260714T234810-0bea2f52</x:v>
      </x:c>
    </x:row>
    <x:row r="137" ht="28" customHeight="1">
      <x:c r="A137" s="20" t="str">
        <x:v>B0DK7M1KVD</x:v>
      </x:c>
      <x:c r="B137" s="20" t="str">
        <x:v>b0dk7m1kvd</x:v>
      </x:c>
      <x:c r="C137" s="20" t="str">
        <x:v>2e4f6aa08f6ea976</x:v>
      </x:c>
      <x:c r="D137" s="20" t="str">
        <x:v>asin_target</x:v>
      </x:c>
      <x:c r="E137" s="20" t="str">
        <x:v>en</x:v>
      </x:c>
      <x:c r="F137" s="20" t="str">
        <x:v>该搜索词为 ASIN 形式，需补充商品元数据后再判断用户意图。</x:v>
      </x:c>
      <x:c r="G137" s="20" t="str">
        <x:v>unknown</x:v>
      </x:c>
      <x:c r="H137" s="20" t="str">
        <x:v>low</x:v>
      </x:c>
      <x:c r="I137" s="20" t="str">
        <x:v>asin_target</x:v>
      </x:c>
      <x:c r="J137" s="20" t="str">
        <x:v>asin_metadata_pending</x:v>
      </x:c>
      <x:c r="K137" s="20" t="str">
        <x:v>asin_without_metadata</x:v>
      </x:c>
      <x:c r="L137" s="20" t="str">
        <x:v>not_applicable</x:v>
      </x:c>
      <x:c r="M137" s="20" t="str">
        <x:v>non_model</x:v>
      </x:c>
      <x:c r="N137" s="20" t="str">
        <x:v>1</x:v>
      </x:c>
      <x:c r="O137" s="20" t="str">
        <x:v>1.0.0</x:v>
      </x:c>
      <x:c r="P137" s="20" t="str">
        <x:v>1.1.0</x:v>
      </x:c>
      <x:c r="Q137" s="20" t="str">
        <x:v>deepseek/deepseek-v4-pro</x:v>
      </x:c>
      <x:c r="R137" s="20" t="str">
        <x:v>aj2-y90-20260714T234810-0bea2f52</x:v>
      </x:c>
    </x:row>
    <x:row r="138" ht="28" customHeight="1">
      <x:c r="A138" s="20" t="str">
        <x:v>B0GLFJY4F9</x:v>
      </x:c>
      <x:c r="B138" s="20" t="str">
        <x:v>b0glfjy4f9</x:v>
      </x:c>
      <x:c r="C138" s="20" t="str">
        <x:v>2e5ede4131586d33</x:v>
      </x:c>
      <x:c r="D138" s="20" t="str">
        <x:v>asin_target</x:v>
      </x:c>
      <x:c r="E138" s="20" t="str">
        <x:v>en</x:v>
      </x:c>
      <x:c r="F138" s="20" t="str">
        <x:v>该搜索词为 ASIN 形式，需补充商品元数据后再判断用户意图。</x:v>
      </x:c>
      <x:c r="G138" s="20" t="str">
        <x:v>unknown</x:v>
      </x:c>
      <x:c r="H138" s="20" t="str">
        <x:v>low</x:v>
      </x:c>
      <x:c r="I138" s="20" t="str">
        <x:v>asin_target</x:v>
      </x:c>
      <x:c r="J138" s="20" t="str">
        <x:v>asin_metadata_pending</x:v>
      </x:c>
      <x:c r="K138" s="20" t="str">
        <x:v>asin_without_metadata</x:v>
      </x:c>
      <x:c r="L138" s="20" t="str">
        <x:v>not_applicable</x:v>
      </x:c>
      <x:c r="M138" s="20" t="str">
        <x:v>non_model</x:v>
      </x:c>
      <x:c r="N138" s="20" t="str">
        <x:v>1</x:v>
      </x:c>
      <x:c r="O138" s="20" t="str">
        <x:v>1.0.0</x:v>
      </x:c>
      <x:c r="P138" s="20" t="str">
        <x:v>1.1.0</x:v>
      </x:c>
      <x:c r="Q138" s="20" t="str">
        <x:v>deepseek/deepseek-v4-pro</x:v>
      </x:c>
      <x:c r="R138" s="20" t="str">
        <x:v>aj2-y90-20260714T234810-0bea2f52</x:v>
      </x:c>
    </x:row>
    <x:row r="139" ht="28" customHeight="1">
      <x:c r="A139" s="20" t="str">
        <x:v>B0GSF7LHPT</x:v>
      </x:c>
      <x:c r="B139" s="20" t="str">
        <x:v>b0gsf7lhpt</x:v>
      </x:c>
      <x:c r="C139" s="20" t="str">
        <x:v>2e89357bdcff73f3</x:v>
      </x:c>
      <x:c r="D139" s="20" t="str">
        <x:v>asin_target</x:v>
      </x:c>
      <x:c r="E139" s="20" t="str">
        <x:v>en</x:v>
      </x:c>
      <x:c r="F139" s="20" t="str">
        <x:v>该搜索词为 ASIN 形式，需补充商品元数据后再判断用户意图。</x:v>
      </x:c>
      <x:c r="G139" s="20" t="str">
        <x:v>unknown</x:v>
      </x:c>
      <x:c r="H139" s="20" t="str">
        <x:v>low</x:v>
      </x:c>
      <x:c r="I139" s="20" t="str">
        <x:v>asin_target</x:v>
      </x:c>
      <x:c r="J139" s="20" t="str">
        <x:v>asin_metadata_pending</x:v>
      </x:c>
      <x:c r="K139" s="20" t="str">
        <x:v>asin_without_metadata</x:v>
      </x:c>
      <x:c r="L139" s="20" t="str">
        <x:v>not_applicable</x:v>
      </x:c>
      <x:c r="M139" s="20" t="str">
        <x:v>non_model</x:v>
      </x:c>
      <x:c r="N139" s="20" t="str">
        <x:v>1</x:v>
      </x:c>
      <x:c r="O139" s="20" t="str">
        <x:v>1.0.0</x:v>
      </x:c>
      <x:c r="P139" s="20" t="str">
        <x:v>1.1.0</x:v>
      </x:c>
      <x:c r="Q139" s="20" t="str">
        <x:v>deepseek/deepseek-v4-pro</x:v>
      </x:c>
      <x:c r="R139" s="20" t="str">
        <x:v>aj2-y90-20260714T234810-0bea2f52</x:v>
      </x:c>
    </x:row>
    <x:row r="140" ht="28" customHeight="1">
      <x:c r="A140" s="20" t="str">
        <x:v>B088BCSMQX</x:v>
      </x:c>
      <x:c r="B140" s="20" t="str">
        <x:v>b088bcsmqx</x:v>
      </x:c>
      <x:c r="C140" s="20" t="str">
        <x:v>2ecf2e73d55a9ef7</x:v>
      </x:c>
      <x:c r="D140" s="20" t="str">
        <x:v>asin_target</x:v>
      </x:c>
      <x:c r="E140" s="20" t="str">
        <x:v>en</x:v>
      </x:c>
      <x:c r="F140" s="20" t="str">
        <x:v>该搜索词为 ASIN 形式，需补充商品元数据后再判断用户意图。</x:v>
      </x:c>
      <x:c r="G140" s="20" t="str">
        <x:v>unknown</x:v>
      </x:c>
      <x:c r="H140" s="20" t="str">
        <x:v>low</x:v>
      </x:c>
      <x:c r="I140" s="20" t="str">
        <x:v>asin_target</x:v>
      </x:c>
      <x:c r="J140" s="20" t="str">
        <x:v>asin_metadata_pending</x:v>
      </x:c>
      <x:c r="K140" s="20" t="str">
        <x:v>asin_without_metadata</x:v>
      </x:c>
      <x:c r="L140" s="20" t="str">
        <x:v>not_applicable</x:v>
      </x:c>
      <x:c r="M140" s="20" t="str">
        <x:v>non_model</x:v>
      </x:c>
      <x:c r="N140" s="20" t="str">
        <x:v>2</x:v>
      </x:c>
      <x:c r="O140" s="20" t="str">
        <x:v>1.0.0</x:v>
      </x:c>
      <x:c r="P140" s="20" t="str">
        <x:v>1.1.0</x:v>
      </x:c>
      <x:c r="Q140" s="20" t="str">
        <x:v>deepseek/deepseek-v4-pro</x:v>
      </x:c>
      <x:c r="R140" s="20" t="str">
        <x:v>aj2-y90-20260714T234810-0bea2f52</x:v>
      </x:c>
    </x:row>
    <x:row r="141" ht="28" customHeight="1">
      <x:c r="A141" s="20" t="str">
        <x:v>B0BR5KQXLM</x:v>
      </x:c>
      <x:c r="B141" s="20" t="str">
        <x:v>b0br5kqxlm</x:v>
      </x:c>
      <x:c r="C141" s="20" t="str">
        <x:v>2f666aac1fef6c17</x:v>
      </x:c>
      <x:c r="D141" s="20" t="str">
        <x:v>asin_target</x:v>
      </x:c>
      <x:c r="E141" s="20" t="str">
        <x:v>en</x:v>
      </x:c>
      <x:c r="F141" s="20" t="str">
        <x:v>该搜索词为 ASIN 形式，需补充商品元数据后再判断用户意图。</x:v>
      </x:c>
      <x:c r="G141" s="20" t="str">
        <x:v>unknown</x:v>
      </x:c>
      <x:c r="H141" s="20" t="str">
        <x:v>low</x:v>
      </x:c>
      <x:c r="I141" s="20" t="str">
        <x:v>asin_target</x:v>
      </x:c>
      <x:c r="J141" s="20" t="str">
        <x:v>asin_metadata_pending</x:v>
      </x:c>
      <x:c r="K141" s="20" t="str">
        <x:v>asin_without_metadata</x:v>
      </x:c>
      <x:c r="L141" s="20" t="str">
        <x:v>not_applicable</x:v>
      </x:c>
      <x:c r="M141" s="20" t="str">
        <x:v>non_model</x:v>
      </x:c>
      <x:c r="N141" s="20" t="str">
        <x:v>1</x:v>
      </x:c>
      <x:c r="O141" s="20" t="str">
        <x:v>1.0.0</x:v>
      </x:c>
      <x:c r="P141" s="20" t="str">
        <x:v>1.1.0</x:v>
      </x:c>
      <x:c r="Q141" s="20" t="str">
        <x:v>deepseek/deepseek-v4-pro</x:v>
      </x:c>
      <x:c r="R141" s="20" t="str">
        <x:v>aj2-y90-20260714T234810-0bea2f52</x:v>
      </x:c>
    </x:row>
    <x:row r="142" ht="28" customHeight="1">
      <x:c r="A142" s="20" t="str">
        <x:v>B0D228SCMZ</x:v>
      </x:c>
      <x:c r="B142" s="20" t="str">
        <x:v>b0d228scmz</x:v>
      </x:c>
      <x:c r="C142" s="20" t="str">
        <x:v>2f7229e19398e36e</x:v>
      </x:c>
      <x:c r="D142" s="20" t="str">
        <x:v>asin_target</x:v>
      </x:c>
      <x:c r="E142" s="20" t="str">
        <x:v>en</x:v>
      </x:c>
      <x:c r="F142" s="20" t="str">
        <x:v>该搜索词为 ASIN 形式，需补充商品元数据后再判断用户意图。</x:v>
      </x:c>
      <x:c r="G142" s="20" t="str">
        <x:v>unknown</x:v>
      </x:c>
      <x:c r="H142" s="20" t="str">
        <x:v>low</x:v>
      </x:c>
      <x:c r="I142" s="20" t="str">
        <x:v>asin_target</x:v>
      </x:c>
      <x:c r="J142" s="20" t="str">
        <x:v>asin_metadata_pending</x:v>
      </x:c>
      <x:c r="K142" s="20" t="str">
        <x:v>asin_without_metadata</x:v>
      </x:c>
      <x:c r="L142" s="20" t="str">
        <x:v>not_applicable</x:v>
      </x:c>
      <x:c r="M142" s="20" t="str">
        <x:v>non_model</x:v>
      </x:c>
      <x:c r="N142" s="20" t="str">
        <x:v>1</x:v>
      </x:c>
      <x:c r="O142" s="20" t="str">
        <x:v>1.0.0</x:v>
      </x:c>
      <x:c r="P142" s="20" t="str">
        <x:v>1.1.0</x:v>
      </x:c>
      <x:c r="Q142" s="20" t="str">
        <x:v>deepseek/deepseek-v4-pro</x:v>
      </x:c>
      <x:c r="R142" s="20" t="str">
        <x:v>aj2-y90-20260714T234810-0bea2f52</x:v>
      </x:c>
    </x:row>
    <x:row r="143" ht="28" customHeight="1">
      <x:c r="A143" s="20" t="str">
        <x:v>B092QMYV79</x:v>
      </x:c>
      <x:c r="B143" s="20" t="str">
        <x:v>b092qmyv79</x:v>
      </x:c>
      <x:c r="C143" s="20" t="str">
        <x:v>2fc198f2ff4dadf7</x:v>
      </x:c>
      <x:c r="D143" s="20" t="str">
        <x:v>asin_target</x:v>
      </x:c>
      <x:c r="E143" s="20" t="str">
        <x:v>en</x:v>
      </x:c>
      <x:c r="F143" s="20" t="str">
        <x:v>该搜索词为 ASIN 形式，需补充商品元数据后再判断用户意图。</x:v>
      </x:c>
      <x:c r="G143" s="20" t="str">
        <x:v>unknown</x:v>
      </x:c>
      <x:c r="H143" s="20" t="str">
        <x:v>low</x:v>
      </x:c>
      <x:c r="I143" s="20" t="str">
        <x:v>asin_target</x:v>
      </x:c>
      <x:c r="J143" s="20" t="str">
        <x:v>asin_metadata_pending</x:v>
      </x:c>
      <x:c r="K143" s="20" t="str">
        <x:v>asin_without_metadata</x:v>
      </x:c>
      <x:c r="L143" s="20" t="str">
        <x:v>not_applicable</x:v>
      </x:c>
      <x:c r="M143" s="20" t="str">
        <x:v>non_model</x:v>
      </x:c>
      <x:c r="N143" s="20" t="str">
        <x:v>1</x:v>
      </x:c>
      <x:c r="O143" s="20" t="str">
        <x:v>1.0.0</x:v>
      </x:c>
      <x:c r="P143" s="20" t="str">
        <x:v>1.1.0</x:v>
      </x:c>
      <x:c r="Q143" s="20" t="str">
        <x:v>deepseek/deepseek-v4-pro</x:v>
      </x:c>
      <x:c r="R143" s="20" t="str">
        <x:v>aj2-y90-20260714T234810-0bea2f52</x:v>
      </x:c>
    </x:row>
    <x:row r="144" ht="28" customHeight="1">
      <x:c r="A144" s="20" t="str">
        <x:v>B0GZNQWNCC</x:v>
      </x:c>
      <x:c r="B144" s="20" t="str">
        <x:v>b0gznqwncc</x:v>
      </x:c>
      <x:c r="C144" s="20" t="str">
        <x:v>309286d6530b8361</x:v>
      </x:c>
      <x:c r="D144" s="20" t="str">
        <x:v>asin_target</x:v>
      </x:c>
      <x:c r="E144" s="20" t="str">
        <x:v>en</x:v>
      </x:c>
      <x:c r="F144" s="20" t="str">
        <x:v>该搜索词为 ASIN 形式，需补充商品元数据后再判断用户意图。</x:v>
      </x:c>
      <x:c r="G144" s="20" t="str">
        <x:v>unknown</x:v>
      </x:c>
      <x:c r="H144" s="20" t="str">
        <x:v>low</x:v>
      </x:c>
      <x:c r="I144" s="20" t="str">
        <x:v>asin_target</x:v>
      </x:c>
      <x:c r="J144" s="20" t="str">
        <x:v>asin_metadata_pending</x:v>
      </x:c>
      <x:c r="K144" s="20" t="str">
        <x:v>asin_without_metadata</x:v>
      </x:c>
      <x:c r="L144" s="20" t="str">
        <x:v>not_applicable</x:v>
      </x:c>
      <x:c r="M144" s="20" t="str">
        <x:v>non_model</x:v>
      </x:c>
      <x:c r="N144" s="20" t="str">
        <x:v>1</x:v>
      </x:c>
      <x:c r="O144" s="20" t="str">
        <x:v>1.0.0</x:v>
      </x:c>
      <x:c r="P144" s="20" t="str">
        <x:v>1.1.0</x:v>
      </x:c>
      <x:c r="Q144" s="20" t="str">
        <x:v>deepseek/deepseek-v4-pro</x:v>
      </x:c>
      <x:c r="R144" s="20" t="str">
        <x:v>aj2-y90-20260714T234810-0bea2f52</x:v>
      </x:c>
    </x:row>
    <x:row r="145" ht="28" customHeight="1">
      <x:c r="A145" s="20" t="str">
        <x:v>B0F8M9GG5T</x:v>
      </x:c>
      <x:c r="B145" s="20" t="str">
        <x:v>b0f8m9gg5t</x:v>
      </x:c>
      <x:c r="C145" s="20" t="str">
        <x:v>3158142f391b4394</x:v>
      </x:c>
      <x:c r="D145" s="20" t="str">
        <x:v>asin_target</x:v>
      </x:c>
      <x:c r="E145" s="20" t="str">
        <x:v>en</x:v>
      </x:c>
      <x:c r="F145" s="20" t="str">
        <x:v>该搜索词为 ASIN 形式，需补充商品元数据后再判断用户意图。</x:v>
      </x:c>
      <x:c r="G145" s="20" t="str">
        <x:v>unknown</x:v>
      </x:c>
      <x:c r="H145" s="20" t="str">
        <x:v>low</x:v>
      </x:c>
      <x:c r="I145" s="20" t="str">
        <x:v>asin_target</x:v>
      </x:c>
      <x:c r="J145" s="20" t="str">
        <x:v>asin_metadata_pending</x:v>
      </x:c>
      <x:c r="K145" s="20" t="str">
        <x:v>asin_without_metadata</x:v>
      </x:c>
      <x:c r="L145" s="20" t="str">
        <x:v>not_applicable</x:v>
      </x:c>
      <x:c r="M145" s="20" t="str">
        <x:v>non_model</x:v>
      </x:c>
      <x:c r="N145" s="20" t="str">
        <x:v>2</x:v>
      </x:c>
      <x:c r="O145" s="20" t="str">
        <x:v>1.0.0</x:v>
      </x:c>
      <x:c r="P145" s="20" t="str">
        <x:v>1.1.0</x:v>
      </x:c>
      <x:c r="Q145" s="20" t="str">
        <x:v>deepseek/deepseek-v4-pro</x:v>
      </x:c>
      <x:c r="R145" s="20" t="str">
        <x:v>aj2-y90-20260714T234810-0bea2f52</x:v>
      </x:c>
    </x:row>
    <x:row r="146" ht="28" customHeight="1">
      <x:c r="A146" s="20" t="str">
        <x:v>B09PL61Y9W</x:v>
      </x:c>
      <x:c r="B146" s="20" t="str">
        <x:v>b09pl61y9w</x:v>
      </x:c>
      <x:c r="C146" s="20" t="str">
        <x:v>316b8621f5bdf83e</x:v>
      </x:c>
      <x:c r="D146" s="20" t="str">
        <x:v>asin_target</x:v>
      </x:c>
      <x:c r="E146" s="20" t="str">
        <x:v>en</x:v>
      </x:c>
      <x:c r="F146" s="20" t="str">
        <x:v>该搜索词为 ASIN 形式，需补充商品元数据后再判断用户意图。</x:v>
      </x:c>
      <x:c r="G146" s="20" t="str">
        <x:v>unknown</x:v>
      </x:c>
      <x:c r="H146" s="20" t="str">
        <x:v>low</x:v>
      </x:c>
      <x:c r="I146" s="20" t="str">
        <x:v>asin_target</x:v>
      </x:c>
      <x:c r="J146" s="20" t="str">
        <x:v>asin_metadata_pending</x:v>
      </x:c>
      <x:c r="K146" s="20" t="str">
        <x:v>asin_without_metadata</x:v>
      </x:c>
      <x:c r="L146" s="20" t="str">
        <x:v>not_applicable</x:v>
      </x:c>
      <x:c r="M146" s="20" t="str">
        <x:v>non_model</x:v>
      </x:c>
      <x:c r="N146" s="20" t="str">
        <x:v>1</x:v>
      </x:c>
      <x:c r="O146" s="20" t="str">
        <x:v>1.0.0</x:v>
      </x:c>
      <x:c r="P146" s="20" t="str">
        <x:v>1.1.0</x:v>
      </x:c>
      <x:c r="Q146" s="20" t="str">
        <x:v>deepseek/deepseek-v4-pro</x:v>
      </x:c>
      <x:c r="R146" s="20" t="str">
        <x:v>aj2-y90-20260714T234810-0bea2f52</x:v>
      </x:c>
    </x:row>
    <x:row r="147" ht="28" customHeight="1">
      <x:c r="A147" s="20" t="str">
        <x:v>B0GGR2F2Q2</x:v>
      </x:c>
      <x:c r="B147" s="20" t="str">
        <x:v>b0ggr2f2q2</x:v>
      </x:c>
      <x:c r="C147" s="20" t="str">
        <x:v>3197029b39c51512</x:v>
      </x:c>
      <x:c r="D147" s="20" t="str">
        <x:v>asin_target</x:v>
      </x:c>
      <x:c r="E147" s="20" t="str">
        <x:v>en</x:v>
      </x:c>
      <x:c r="F147" s="20" t="str">
        <x:v>该搜索词为 ASIN 形式，需补充商品元数据后再判断用户意图。</x:v>
      </x:c>
      <x:c r="G147" s="20" t="str">
        <x:v>unknown</x:v>
      </x:c>
      <x:c r="H147" s="20" t="str">
        <x:v>low</x:v>
      </x:c>
      <x:c r="I147" s="20" t="str">
        <x:v>asin_target</x:v>
      </x:c>
      <x:c r="J147" s="20" t="str">
        <x:v>asin_metadata_pending</x:v>
      </x:c>
      <x:c r="K147" s="20" t="str">
        <x:v>asin_without_metadata</x:v>
      </x:c>
      <x:c r="L147" s="20" t="str">
        <x:v>not_applicable</x:v>
      </x:c>
      <x:c r="M147" s="20" t="str">
        <x:v>non_model</x:v>
      </x:c>
      <x:c r="N147" s="20" t="str">
        <x:v>2</x:v>
      </x:c>
      <x:c r="O147" s="20" t="str">
        <x:v>1.0.0</x:v>
      </x:c>
      <x:c r="P147" s="20" t="str">
        <x:v>1.1.0</x:v>
      </x:c>
      <x:c r="Q147" s="20" t="str">
        <x:v>deepseek/deepseek-v4-pro</x:v>
      </x:c>
      <x:c r="R147" s="20" t="str">
        <x:v>aj2-y90-20260714T234810-0bea2f52</x:v>
      </x:c>
    </x:row>
    <x:row r="148" ht="28" customHeight="1">
      <x:c r="A148" s="20" t="str">
        <x:v>B0GGR1JHXR</x:v>
      </x:c>
      <x:c r="B148" s="20" t="str">
        <x:v>b0ggr1jhxr</x:v>
      </x:c>
      <x:c r="C148" s="20" t="str">
        <x:v>31aa9e2e24d23ef2</x:v>
      </x:c>
      <x:c r="D148" s="20" t="str">
        <x:v>asin_target</x:v>
      </x:c>
      <x:c r="E148" s="20" t="str">
        <x:v>en</x:v>
      </x:c>
      <x:c r="F148" s="20" t="str">
        <x:v>该搜索词为 ASIN 形式，需补充商品元数据后再判断用户意图。</x:v>
      </x:c>
      <x:c r="G148" s="20" t="str">
        <x:v>unknown</x:v>
      </x:c>
      <x:c r="H148" s="20" t="str">
        <x:v>low</x:v>
      </x:c>
      <x:c r="I148" s="20" t="str">
        <x:v>asin_target</x:v>
      </x:c>
      <x:c r="J148" s="20" t="str">
        <x:v>asin_metadata_pending</x:v>
      </x:c>
      <x:c r="K148" s="20" t="str">
        <x:v>asin_without_metadata</x:v>
      </x:c>
      <x:c r="L148" s="20" t="str">
        <x:v>not_applicable</x:v>
      </x:c>
      <x:c r="M148" s="20" t="str">
        <x:v>non_model</x:v>
      </x:c>
      <x:c r="N148" s="20" t="str">
        <x:v>1</x:v>
      </x:c>
      <x:c r="O148" s="20" t="str">
        <x:v>1.0.0</x:v>
      </x:c>
      <x:c r="P148" s="20" t="str">
        <x:v>1.1.0</x:v>
      </x:c>
      <x:c r="Q148" s="20" t="str">
        <x:v>deepseek/deepseek-v4-pro</x:v>
      </x:c>
      <x:c r="R148" s="20" t="str">
        <x:v>aj2-y90-20260714T234810-0bea2f52</x:v>
      </x:c>
    </x:row>
    <x:row r="149" ht="28" customHeight="1">
      <x:c r="A149" s="20" t="str">
        <x:v>B0G64MQ43G</x:v>
      </x:c>
      <x:c r="B149" s="20" t="str">
        <x:v>b0g64mq43g</x:v>
      </x:c>
      <x:c r="C149" s="20" t="str">
        <x:v>31d66cf29cbc26ae</x:v>
      </x:c>
      <x:c r="D149" s="20" t="str">
        <x:v>asin_target</x:v>
      </x:c>
      <x:c r="E149" s="20" t="str">
        <x:v>en</x:v>
      </x:c>
      <x:c r="F149" s="20" t="str">
        <x:v>该搜索词为 ASIN 形式，需补充商品元数据后再判断用户意图。</x:v>
      </x:c>
      <x:c r="G149" s="20" t="str">
        <x:v>unknown</x:v>
      </x:c>
      <x:c r="H149" s="20" t="str">
        <x:v>low</x:v>
      </x:c>
      <x:c r="I149" s="20" t="str">
        <x:v>asin_target</x:v>
      </x:c>
      <x:c r="J149" s="20" t="str">
        <x:v>asin_metadata_pending</x:v>
      </x:c>
      <x:c r="K149" s="20" t="str">
        <x:v>asin_without_metadata</x:v>
      </x:c>
      <x:c r="L149" s="20" t="str">
        <x:v>not_applicable</x:v>
      </x:c>
      <x:c r="M149" s="20" t="str">
        <x:v>non_model</x:v>
      </x:c>
      <x:c r="N149" s="20" t="str">
        <x:v>2</x:v>
      </x:c>
      <x:c r="O149" s="20" t="str">
        <x:v>1.0.0</x:v>
      </x:c>
      <x:c r="P149" s="20" t="str">
        <x:v>1.1.0</x:v>
      </x:c>
      <x:c r="Q149" s="20" t="str">
        <x:v>deepseek/deepseek-v4-pro</x:v>
      </x:c>
      <x:c r="R149" s="20" t="str">
        <x:v>aj2-y90-20260714T234810-0bea2f52</x:v>
      </x:c>
    </x:row>
    <x:row r="150" ht="28" customHeight="1">
      <x:c r="A150" s="20" t="str">
        <x:v>B0D5HF6LKD</x:v>
      </x:c>
      <x:c r="B150" s="20" t="str">
        <x:v>b0d5hf6lkd</x:v>
      </x:c>
      <x:c r="C150" s="20" t="str">
        <x:v>3204c658933584ff</x:v>
      </x:c>
      <x:c r="D150" s="20" t="str">
        <x:v>asin_target</x:v>
      </x:c>
      <x:c r="E150" s="20" t="str">
        <x:v>en</x:v>
      </x:c>
      <x:c r="F150" s="20" t="str">
        <x:v>该搜索词为 ASIN 形式，需补充商品元数据后再判断用户意图。</x:v>
      </x:c>
      <x:c r="G150" s="20" t="str">
        <x:v>unknown</x:v>
      </x:c>
      <x:c r="H150" s="20" t="str">
        <x:v>low</x:v>
      </x:c>
      <x:c r="I150" s="20" t="str">
        <x:v>asin_target</x:v>
      </x:c>
      <x:c r="J150" s="20" t="str">
        <x:v>asin_metadata_pending</x:v>
      </x:c>
      <x:c r="K150" s="20" t="str">
        <x:v>asin_without_metadata</x:v>
      </x:c>
      <x:c r="L150" s="20" t="str">
        <x:v>not_applicable</x:v>
      </x:c>
      <x:c r="M150" s="20" t="str">
        <x:v>non_model</x:v>
      </x:c>
      <x:c r="N150" s="20" t="str">
        <x:v>1</x:v>
      </x:c>
      <x:c r="O150" s="20" t="str">
        <x:v>1.0.0</x:v>
      </x:c>
      <x:c r="P150" s="20" t="str">
        <x:v>1.1.0</x:v>
      </x:c>
      <x:c r="Q150" s="20" t="str">
        <x:v>deepseek/deepseek-v4-pro</x:v>
      </x:c>
      <x:c r="R150" s="20" t="str">
        <x:v>aj2-y90-20260714T234810-0bea2f52</x:v>
      </x:c>
    </x:row>
    <x:row r="151" ht="28" customHeight="1">
      <x:c r="A151" s="20" t="str">
        <x:v>B0BV6HR4Q1</x:v>
      </x:c>
      <x:c r="B151" s="20" t="str">
        <x:v>b0bv6hr4q1</x:v>
      </x:c>
      <x:c r="C151" s="20" t="str">
        <x:v>321eaae485b41862</x:v>
      </x:c>
      <x:c r="D151" s="20" t="str">
        <x:v>asin_target</x:v>
      </x:c>
      <x:c r="E151" s="20" t="str">
        <x:v>en</x:v>
      </x:c>
      <x:c r="F151" s="20" t="str">
        <x:v>该搜索词为 ASIN 形式，需补充商品元数据后再判断用户意图。</x:v>
      </x:c>
      <x:c r="G151" s="20" t="str">
        <x:v>unknown</x:v>
      </x:c>
      <x:c r="H151" s="20" t="str">
        <x:v>low</x:v>
      </x:c>
      <x:c r="I151" s="20" t="str">
        <x:v>asin_target</x:v>
      </x:c>
      <x:c r="J151" s="20" t="str">
        <x:v>asin_metadata_pending</x:v>
      </x:c>
      <x:c r="K151" s="20" t="str">
        <x:v>asin_without_metadata</x:v>
      </x:c>
      <x:c r="L151" s="20" t="str">
        <x:v>not_applicable</x:v>
      </x:c>
      <x:c r="M151" s="20" t="str">
        <x:v>non_model</x:v>
      </x:c>
      <x:c r="N151" s="20" t="str">
        <x:v>1</x:v>
      </x:c>
      <x:c r="O151" s="20" t="str">
        <x:v>1.0.0</x:v>
      </x:c>
      <x:c r="P151" s="20" t="str">
        <x:v>1.1.0</x:v>
      </x:c>
      <x:c r="Q151" s="20" t="str">
        <x:v>deepseek/deepseek-v4-pro</x:v>
      </x:c>
      <x:c r="R151" s="20" t="str">
        <x:v>aj2-y90-20260714T234810-0bea2f52</x:v>
      </x:c>
    </x:row>
    <x:row r="152" ht="28" customHeight="1">
      <x:c r="A152" s="20" t="str">
        <x:v>B07FQP5KX9</x:v>
      </x:c>
      <x:c r="B152" s="20" t="str">
        <x:v>b07fqp5kx9</x:v>
      </x:c>
      <x:c r="C152" s="20" t="str">
        <x:v>32afcea08fb0604c</x:v>
      </x:c>
      <x:c r="D152" s="20" t="str">
        <x:v>asin_target</x:v>
      </x:c>
      <x:c r="E152" s="20" t="str">
        <x:v>en</x:v>
      </x:c>
      <x:c r="F152" s="20" t="str">
        <x:v>该搜索词为 ASIN 形式，需补充商品元数据后再判断用户意图。</x:v>
      </x:c>
      <x:c r="G152" s="20" t="str">
        <x:v>unknown</x:v>
      </x:c>
      <x:c r="H152" s="20" t="str">
        <x:v>low</x:v>
      </x:c>
      <x:c r="I152" s="20" t="str">
        <x:v>asin_target</x:v>
      </x:c>
      <x:c r="J152" s="20" t="str">
        <x:v>asin_metadata_pending</x:v>
      </x:c>
      <x:c r="K152" s="20" t="str">
        <x:v>asin_without_metadata</x:v>
      </x:c>
      <x:c r="L152" s="20" t="str">
        <x:v>not_applicable</x:v>
      </x:c>
      <x:c r="M152" s="20" t="str">
        <x:v>non_model</x:v>
      </x:c>
      <x:c r="N152" s="20" t="str">
        <x:v>1</x:v>
      </x:c>
      <x:c r="O152" s="20" t="str">
        <x:v>1.0.0</x:v>
      </x:c>
      <x:c r="P152" s="20" t="str">
        <x:v>1.1.0</x:v>
      </x:c>
      <x:c r="Q152" s="20" t="str">
        <x:v>deepseek/deepseek-v4-pro</x:v>
      </x:c>
      <x:c r="R152" s="20" t="str">
        <x:v>aj2-y90-20260714T234810-0bea2f52</x:v>
      </x:c>
    </x:row>
    <x:row r="153" ht="28" customHeight="1">
      <x:c r="A153" s="20" t="str">
        <x:v>B0D9PYNWV6</x:v>
      </x:c>
      <x:c r="B153" s="20" t="str">
        <x:v>b0d9pynwv6</x:v>
      </x:c>
      <x:c r="C153" s="20" t="str">
        <x:v>32dc18430a15eb84</x:v>
      </x:c>
      <x:c r="D153" s="20" t="str">
        <x:v>asin_target</x:v>
      </x:c>
      <x:c r="E153" s="20" t="str">
        <x:v>en</x:v>
      </x:c>
      <x:c r="F153" s="20" t="str">
        <x:v>该搜索词为 ASIN 形式，需补充商品元数据后再判断用户意图。</x:v>
      </x:c>
      <x:c r="G153" s="20" t="str">
        <x:v>unknown</x:v>
      </x:c>
      <x:c r="H153" s="20" t="str">
        <x:v>low</x:v>
      </x:c>
      <x:c r="I153" s="20" t="str">
        <x:v>asin_target</x:v>
      </x:c>
      <x:c r="J153" s="20" t="str">
        <x:v>asin_metadata_pending</x:v>
      </x:c>
      <x:c r="K153" s="20" t="str">
        <x:v>asin_without_metadata</x:v>
      </x:c>
      <x:c r="L153" s="20" t="str">
        <x:v>not_applicable</x:v>
      </x:c>
      <x:c r="M153" s="20" t="str">
        <x:v>non_model</x:v>
      </x:c>
      <x:c r="N153" s="20" t="str">
        <x:v>1</x:v>
      </x:c>
      <x:c r="O153" s="20" t="str">
        <x:v>1.0.0</x:v>
      </x:c>
      <x:c r="P153" s="20" t="str">
        <x:v>1.1.0</x:v>
      </x:c>
      <x:c r="Q153" s="20" t="str">
        <x:v>deepseek/deepseek-v4-pro</x:v>
      </x:c>
      <x:c r="R153" s="20" t="str">
        <x:v>aj2-y90-20260714T234810-0bea2f52</x:v>
      </x:c>
    </x:row>
    <x:row r="154" ht="28" customHeight="1">
      <x:c r="A154" s="20" t="str">
        <x:v>B07S855N7L</x:v>
      </x:c>
      <x:c r="B154" s="20" t="str">
        <x:v>b07s855n7l</x:v>
      </x:c>
      <x:c r="C154" s="20" t="str">
        <x:v>3303553fa32494d1</x:v>
      </x:c>
      <x:c r="D154" s="20" t="str">
        <x:v>asin_target</x:v>
      </x:c>
      <x:c r="E154" s="20" t="str">
        <x:v>en</x:v>
      </x:c>
      <x:c r="F154" s="20" t="str">
        <x:v>该搜索词为 ASIN 形式，需补充商品元数据后再判断用户意图。</x:v>
      </x:c>
      <x:c r="G154" s="20" t="str">
        <x:v>unknown</x:v>
      </x:c>
      <x:c r="H154" s="20" t="str">
        <x:v>low</x:v>
      </x:c>
      <x:c r="I154" s="20" t="str">
        <x:v>asin_target</x:v>
      </x:c>
      <x:c r="J154" s="20" t="str">
        <x:v>asin_metadata_pending</x:v>
      </x:c>
      <x:c r="K154" s="20" t="str">
        <x:v>asin_without_metadata</x:v>
      </x:c>
      <x:c r="L154" s="20" t="str">
        <x:v>not_applicable</x:v>
      </x:c>
      <x:c r="M154" s="20" t="str">
        <x:v>non_model</x:v>
      </x:c>
      <x:c r="N154" s="20" t="str">
        <x:v>1</x:v>
      </x:c>
      <x:c r="O154" s="20" t="str">
        <x:v>1.0.0</x:v>
      </x:c>
      <x:c r="P154" s="20" t="str">
        <x:v>1.1.0</x:v>
      </x:c>
      <x:c r="Q154" s="20" t="str">
        <x:v>deepseek/deepseek-v4-pro</x:v>
      </x:c>
      <x:c r="R154" s="20" t="str">
        <x:v>aj2-y90-20260714T234810-0bea2f52</x:v>
      </x:c>
    </x:row>
    <x:row r="155" ht="28" customHeight="1">
      <x:c r="A155" s="20" t="str">
        <x:v>B083HV9LFT</x:v>
      </x:c>
      <x:c r="B155" s="20" t="str">
        <x:v>b083hv9lft</x:v>
      </x:c>
      <x:c r="C155" s="20" t="str">
        <x:v>33877a1e46acb7ff</x:v>
      </x:c>
      <x:c r="D155" s="20" t="str">
        <x:v>asin_target</x:v>
      </x:c>
      <x:c r="E155" s="20" t="str">
        <x:v>en</x:v>
      </x:c>
      <x:c r="F155" s="20" t="str">
        <x:v>该搜索词为 ASIN 形式，需补充商品元数据后再判断用户意图。</x:v>
      </x:c>
      <x:c r="G155" s="20" t="str">
        <x:v>unknown</x:v>
      </x:c>
      <x:c r="H155" s="20" t="str">
        <x:v>low</x:v>
      </x:c>
      <x:c r="I155" s="20" t="str">
        <x:v>asin_target</x:v>
      </x:c>
      <x:c r="J155" s="20" t="str">
        <x:v>asin_metadata_pending</x:v>
      </x:c>
      <x:c r="K155" s="20" t="str">
        <x:v>asin_without_metadata</x:v>
      </x:c>
      <x:c r="L155" s="20" t="str">
        <x:v>not_applicable</x:v>
      </x:c>
      <x:c r="M155" s="20" t="str">
        <x:v>non_model</x:v>
      </x:c>
      <x:c r="N155" s="20" t="str">
        <x:v>1</x:v>
      </x:c>
      <x:c r="O155" s="20" t="str">
        <x:v>1.0.0</x:v>
      </x:c>
      <x:c r="P155" s="20" t="str">
        <x:v>1.1.0</x:v>
      </x:c>
      <x:c r="Q155" s="20" t="str">
        <x:v>deepseek/deepseek-v4-pro</x:v>
      </x:c>
      <x:c r="R155" s="20" t="str">
        <x:v>aj2-y90-20260714T234810-0bea2f52</x:v>
      </x:c>
    </x:row>
    <x:row r="156" ht="28" customHeight="1">
      <x:c r="A156" s="20" t="str">
        <x:v>B0GLF2Z4SQ</x:v>
      </x:c>
      <x:c r="B156" s="20" t="str">
        <x:v>b0glf2z4sq</x:v>
      </x:c>
      <x:c r="C156" s="20" t="str">
        <x:v>3403e13cb8c2620f</x:v>
      </x:c>
      <x:c r="D156" s="20" t="str">
        <x:v>asin_target</x:v>
      </x:c>
      <x:c r="E156" s="20" t="str">
        <x:v>en</x:v>
      </x:c>
      <x:c r="F156" s="20" t="str">
        <x:v>该搜索词为 ASIN 形式，需补充商品元数据后再判断用户意图。</x:v>
      </x:c>
      <x:c r="G156" s="20" t="str">
        <x:v>unknown</x:v>
      </x:c>
      <x:c r="H156" s="20" t="str">
        <x:v>low</x:v>
      </x:c>
      <x:c r="I156" s="20" t="str">
        <x:v>asin_target</x:v>
      </x:c>
      <x:c r="J156" s="20" t="str">
        <x:v>asin_metadata_pending</x:v>
      </x:c>
      <x:c r="K156" s="20" t="str">
        <x:v>asin_without_metadata</x:v>
      </x:c>
      <x:c r="L156" s="20" t="str">
        <x:v>not_applicable</x:v>
      </x:c>
      <x:c r="M156" s="20" t="str">
        <x:v>non_model</x:v>
      </x:c>
      <x:c r="N156" s="20" t="str">
        <x:v>1</x:v>
      </x:c>
      <x:c r="O156" s="20" t="str">
        <x:v>1.0.0</x:v>
      </x:c>
      <x:c r="P156" s="20" t="str">
        <x:v>1.1.0</x:v>
      </x:c>
      <x:c r="Q156" s="20" t="str">
        <x:v>deepseek/deepseek-v4-pro</x:v>
      </x:c>
      <x:c r="R156" s="20" t="str">
        <x:v>aj2-y90-20260714T234810-0bea2f52</x:v>
      </x:c>
    </x:row>
    <x:row r="157" ht="28" customHeight="1">
      <x:c r="A157" s="20" t="str">
        <x:v>B003LZN3KA</x:v>
      </x:c>
      <x:c r="B157" s="20" t="str">
        <x:v>b003lzn3ka</x:v>
      </x:c>
      <x:c r="C157" s="20" t="str">
        <x:v>343c66284c4cb824</x:v>
      </x:c>
      <x:c r="D157" s="20" t="str">
        <x:v>asin_target</x:v>
      </x:c>
      <x:c r="E157" s="20" t="str">
        <x:v>en</x:v>
      </x:c>
      <x:c r="F157" s="20" t="str">
        <x:v>该搜索词为 ASIN 形式，需补充商品元数据后再判断用户意图。</x:v>
      </x:c>
      <x:c r="G157" s="20" t="str">
        <x:v>unknown</x:v>
      </x:c>
      <x:c r="H157" s="20" t="str">
        <x:v>low</x:v>
      </x:c>
      <x:c r="I157" s="20" t="str">
        <x:v>asin_target</x:v>
      </x:c>
      <x:c r="J157" s="20" t="str">
        <x:v>asin_metadata_pending</x:v>
      </x:c>
      <x:c r="K157" s="20" t="str">
        <x:v>asin_without_metadata</x:v>
      </x:c>
      <x:c r="L157" s="20" t="str">
        <x:v>not_applicable</x:v>
      </x:c>
      <x:c r="M157" s="20" t="str">
        <x:v>non_model</x:v>
      </x:c>
      <x:c r="N157" s="20" t="str">
        <x:v>1</x:v>
      </x:c>
      <x:c r="O157" s="20" t="str">
        <x:v>1.0.0</x:v>
      </x:c>
      <x:c r="P157" s="20" t="str">
        <x:v>1.1.0</x:v>
      </x:c>
      <x:c r="Q157" s="20" t="str">
        <x:v>deepseek/deepseek-v4-pro</x:v>
      </x:c>
      <x:c r="R157" s="20" t="str">
        <x:v>aj2-y90-20260714T234810-0bea2f52</x:v>
      </x:c>
    </x:row>
    <x:row r="158" ht="28" customHeight="1">
      <x:c r="A158" s="20" t="str">
        <x:v>B0F7NP2ZXR</x:v>
      </x:c>
      <x:c r="B158" s="20" t="str">
        <x:v>b0f7np2zxr</x:v>
      </x:c>
      <x:c r="C158" s="20" t="str">
        <x:v>343c85a6ab198ea6</x:v>
      </x:c>
      <x:c r="D158" s="20" t="str">
        <x:v>asin_target</x:v>
      </x:c>
      <x:c r="E158" s="20" t="str">
        <x:v>en</x:v>
      </x:c>
      <x:c r="F158" s="20" t="str">
        <x:v>该搜索词为 ASIN 形式，需补充商品元数据后再判断用户意图。</x:v>
      </x:c>
      <x:c r="G158" s="20" t="str">
        <x:v>unknown</x:v>
      </x:c>
      <x:c r="H158" s="20" t="str">
        <x:v>low</x:v>
      </x:c>
      <x:c r="I158" s="20" t="str">
        <x:v>asin_target</x:v>
      </x:c>
      <x:c r="J158" s="20" t="str">
        <x:v>asin_metadata_pending</x:v>
      </x:c>
      <x:c r="K158" s="20" t="str">
        <x:v>asin_without_metadata</x:v>
      </x:c>
      <x:c r="L158" s="20" t="str">
        <x:v>not_applicable</x:v>
      </x:c>
      <x:c r="M158" s="20" t="str">
        <x:v>non_model</x:v>
      </x:c>
      <x:c r="N158" s="20" t="str">
        <x:v>1</x:v>
      </x:c>
      <x:c r="O158" s="20" t="str">
        <x:v>1.0.0</x:v>
      </x:c>
      <x:c r="P158" s="20" t="str">
        <x:v>1.1.0</x:v>
      </x:c>
      <x:c r="Q158" s="20" t="str">
        <x:v>deepseek/deepseek-v4-pro</x:v>
      </x:c>
      <x:c r="R158" s="20" t="str">
        <x:v>aj2-y90-20260714T234810-0bea2f52</x:v>
      </x:c>
    </x:row>
    <x:row r="159" ht="28" customHeight="1">
      <x:c r="A159" s="20" t="str">
        <x:v>B0G255ZDF7</x:v>
      </x:c>
      <x:c r="B159" s="20" t="str">
        <x:v>b0g255zdf7</x:v>
      </x:c>
      <x:c r="C159" s="20" t="str">
        <x:v>35cfa0551d35a8e4</x:v>
      </x:c>
      <x:c r="D159" s="20" t="str">
        <x:v>asin_target</x:v>
      </x:c>
      <x:c r="E159" s="20" t="str">
        <x:v>en</x:v>
      </x:c>
      <x:c r="F159" s="20" t="str">
        <x:v>该搜索词为 ASIN 形式，需补充商品元数据后再判断用户意图。</x:v>
      </x:c>
      <x:c r="G159" s="20" t="str">
        <x:v>unknown</x:v>
      </x:c>
      <x:c r="H159" s="20" t="str">
        <x:v>low</x:v>
      </x:c>
      <x:c r="I159" s="20" t="str">
        <x:v>asin_target</x:v>
      </x:c>
      <x:c r="J159" s="20" t="str">
        <x:v>asin_metadata_pending</x:v>
      </x:c>
      <x:c r="K159" s="20" t="str">
        <x:v>asin_without_metadata</x:v>
      </x:c>
      <x:c r="L159" s="20" t="str">
        <x:v>not_applicable</x:v>
      </x:c>
      <x:c r="M159" s="20" t="str">
        <x:v>non_model</x:v>
      </x:c>
      <x:c r="N159" s="20" t="str">
        <x:v>1</x:v>
      </x:c>
      <x:c r="O159" s="20" t="str">
        <x:v>1.0.0</x:v>
      </x:c>
      <x:c r="P159" s="20" t="str">
        <x:v>1.1.0</x:v>
      </x:c>
      <x:c r="Q159" s="20" t="str">
        <x:v>deepseek/deepseek-v4-pro</x:v>
      </x:c>
      <x:c r="R159" s="20" t="str">
        <x:v>aj2-y90-20260714T234810-0bea2f52</x:v>
      </x:c>
    </x:row>
    <x:row r="160" ht="28" customHeight="1">
      <x:c r="A160" s="20" t="str">
        <x:v>B0GVJY1R7G</x:v>
      </x:c>
      <x:c r="B160" s="20" t="str">
        <x:v>b0gvjy1r7g</x:v>
      </x:c>
      <x:c r="C160" s="20" t="str">
        <x:v>35f29696e87c6f34</x:v>
      </x:c>
      <x:c r="D160" s="20" t="str">
        <x:v>asin_target</x:v>
      </x:c>
      <x:c r="E160" s="20" t="str">
        <x:v>en</x:v>
      </x:c>
      <x:c r="F160" s="20" t="str">
        <x:v>该搜索词为 ASIN 形式，需补充商品元数据后再判断用户意图。</x:v>
      </x:c>
      <x:c r="G160" s="20" t="str">
        <x:v>unknown</x:v>
      </x:c>
      <x:c r="H160" s="20" t="str">
        <x:v>low</x:v>
      </x:c>
      <x:c r="I160" s="20" t="str">
        <x:v>asin_target</x:v>
      </x:c>
      <x:c r="J160" s="20" t="str">
        <x:v>asin_metadata_pending</x:v>
      </x:c>
      <x:c r="K160" s="20" t="str">
        <x:v>asin_without_metadata</x:v>
      </x:c>
      <x:c r="L160" s="20" t="str">
        <x:v>not_applicable</x:v>
      </x:c>
      <x:c r="M160" s="20" t="str">
        <x:v>non_model</x:v>
      </x:c>
      <x:c r="N160" s="20" t="str">
        <x:v>2</x:v>
      </x:c>
      <x:c r="O160" s="20" t="str">
        <x:v>1.0.0</x:v>
      </x:c>
      <x:c r="P160" s="20" t="str">
        <x:v>1.1.0</x:v>
      </x:c>
      <x:c r="Q160" s="20" t="str">
        <x:v>deepseek/deepseek-v4-pro</x:v>
      </x:c>
      <x:c r="R160" s="20" t="str">
        <x:v>aj2-y90-20260714T234810-0bea2f52</x:v>
      </x:c>
    </x:row>
    <x:row r="161" ht="28" customHeight="1">
      <x:c r="A161" s="20" t="str">
        <x:v>B0GF9NGPFR</x:v>
      </x:c>
      <x:c r="B161" s="20" t="str">
        <x:v>b0gf9ngpfr</x:v>
      </x:c>
      <x:c r="C161" s="20" t="str">
        <x:v>360fb1fad718dd05</x:v>
      </x:c>
      <x:c r="D161" s="20" t="str">
        <x:v>asin_target</x:v>
      </x:c>
      <x:c r="E161" s="20" t="str">
        <x:v>en</x:v>
      </x:c>
      <x:c r="F161" s="20" t="str">
        <x:v>该搜索词为 ASIN 形式，需补充商品元数据后再判断用户意图。</x:v>
      </x:c>
      <x:c r="G161" s="20" t="str">
        <x:v>unknown</x:v>
      </x:c>
      <x:c r="H161" s="20" t="str">
        <x:v>low</x:v>
      </x:c>
      <x:c r="I161" s="20" t="str">
        <x:v>asin_target</x:v>
      </x:c>
      <x:c r="J161" s="20" t="str">
        <x:v>asin_metadata_pending</x:v>
      </x:c>
      <x:c r="K161" s="20" t="str">
        <x:v>asin_without_metadata</x:v>
      </x:c>
      <x:c r="L161" s="20" t="str">
        <x:v>not_applicable</x:v>
      </x:c>
      <x:c r="M161" s="20" t="str">
        <x:v>non_model</x:v>
      </x:c>
      <x:c r="N161" s="20" t="str">
        <x:v>1</x:v>
      </x:c>
      <x:c r="O161" s="20" t="str">
        <x:v>1.0.0</x:v>
      </x:c>
      <x:c r="P161" s="20" t="str">
        <x:v>1.1.0</x:v>
      </x:c>
      <x:c r="Q161" s="20" t="str">
        <x:v>deepseek/deepseek-v4-pro</x:v>
      </x:c>
      <x:c r="R161" s="20" t="str">
        <x:v>aj2-y90-20260714T234810-0bea2f52</x:v>
      </x:c>
    </x:row>
    <x:row r="162" ht="28" customHeight="1">
      <x:c r="A162" s="20" t="str">
        <x:v>B0DS9J9FXK</x:v>
      </x:c>
      <x:c r="B162" s="20" t="str">
        <x:v>b0ds9j9fxk</x:v>
      </x:c>
      <x:c r="C162" s="20" t="str">
        <x:v>3618a90a2fe45ffe</x:v>
      </x:c>
      <x:c r="D162" s="20" t="str">
        <x:v>asin_target</x:v>
      </x:c>
      <x:c r="E162" s="20" t="str">
        <x:v>en</x:v>
      </x:c>
      <x:c r="F162" s="20" t="str">
        <x:v>该搜索词为 ASIN 形式，需补充商品元数据后再判断用户意图。</x:v>
      </x:c>
      <x:c r="G162" s="20" t="str">
        <x:v>unknown</x:v>
      </x:c>
      <x:c r="H162" s="20" t="str">
        <x:v>low</x:v>
      </x:c>
      <x:c r="I162" s="20" t="str">
        <x:v>asin_target</x:v>
      </x:c>
      <x:c r="J162" s="20" t="str">
        <x:v>asin_metadata_pending</x:v>
      </x:c>
      <x:c r="K162" s="20" t="str">
        <x:v>asin_without_metadata</x:v>
      </x:c>
      <x:c r="L162" s="20" t="str">
        <x:v>not_applicable</x:v>
      </x:c>
      <x:c r="M162" s="20" t="str">
        <x:v>non_model</x:v>
      </x:c>
      <x:c r="N162" s="20" t="str">
        <x:v>1</x:v>
      </x:c>
      <x:c r="O162" s="20" t="str">
        <x:v>1.0.0</x:v>
      </x:c>
      <x:c r="P162" s="20" t="str">
        <x:v>1.1.0</x:v>
      </x:c>
      <x:c r="Q162" s="20" t="str">
        <x:v>deepseek/deepseek-v4-pro</x:v>
      </x:c>
      <x:c r="R162" s="20" t="str">
        <x:v>aj2-y90-20260714T234810-0bea2f52</x:v>
      </x:c>
    </x:row>
    <x:row r="163" ht="28" customHeight="1">
      <x:c r="A163" s="20" t="str">
        <x:v>B01M1337FB</x:v>
      </x:c>
      <x:c r="B163" s="20" t="str">
        <x:v>b01m1337fb</x:v>
      </x:c>
      <x:c r="C163" s="20" t="str">
        <x:v>363598938bff3c30</x:v>
      </x:c>
      <x:c r="D163" s="20" t="str">
        <x:v>asin_target</x:v>
      </x:c>
      <x:c r="E163" s="20" t="str">
        <x:v>en</x:v>
      </x:c>
      <x:c r="F163" s="20" t="str">
        <x:v>该搜索词为 ASIN 形式，需补充商品元数据后再判断用户意图。</x:v>
      </x:c>
      <x:c r="G163" s="20" t="str">
        <x:v>unknown</x:v>
      </x:c>
      <x:c r="H163" s="20" t="str">
        <x:v>low</x:v>
      </x:c>
      <x:c r="I163" s="20" t="str">
        <x:v>asin_target</x:v>
      </x:c>
      <x:c r="J163" s="20" t="str">
        <x:v>asin_metadata_pending</x:v>
      </x:c>
      <x:c r="K163" s="20" t="str">
        <x:v>asin_without_metadata</x:v>
      </x:c>
      <x:c r="L163" s="20" t="str">
        <x:v>not_applicable</x:v>
      </x:c>
      <x:c r="M163" s="20" t="str">
        <x:v>non_model</x:v>
      </x:c>
      <x:c r="N163" s="20" t="str">
        <x:v>1</x:v>
      </x:c>
      <x:c r="O163" s="20" t="str">
        <x:v>1.0.0</x:v>
      </x:c>
      <x:c r="P163" s="20" t="str">
        <x:v>1.1.0</x:v>
      </x:c>
      <x:c r="Q163" s="20" t="str">
        <x:v>deepseek/deepseek-v4-pro</x:v>
      </x:c>
      <x:c r="R163" s="20" t="str">
        <x:v>aj2-y90-20260714T234810-0bea2f52</x:v>
      </x:c>
    </x:row>
    <x:row r="164" ht="28" customHeight="1">
      <x:c r="A164" s="20" t="str">
        <x:v>B09TPDQ24P</x:v>
      </x:c>
      <x:c r="B164" s="20" t="str">
        <x:v>b09tpdq24p</x:v>
      </x:c>
      <x:c r="C164" s="20" t="str">
        <x:v>36868da716b2918f</x:v>
      </x:c>
      <x:c r="D164" s="20" t="str">
        <x:v>asin_target</x:v>
      </x:c>
      <x:c r="E164" s="20" t="str">
        <x:v>en</x:v>
      </x:c>
      <x:c r="F164" s="20" t="str">
        <x:v>该搜索词为 ASIN 形式，需补充商品元数据后再判断用户意图。</x:v>
      </x:c>
      <x:c r="G164" s="20" t="str">
        <x:v>unknown</x:v>
      </x:c>
      <x:c r="H164" s="20" t="str">
        <x:v>low</x:v>
      </x:c>
      <x:c r="I164" s="20" t="str">
        <x:v>asin_target</x:v>
      </x:c>
      <x:c r="J164" s="20" t="str">
        <x:v>asin_metadata_pending</x:v>
      </x:c>
      <x:c r="K164" s="20" t="str">
        <x:v>asin_without_metadata</x:v>
      </x:c>
      <x:c r="L164" s="20" t="str">
        <x:v>not_applicable</x:v>
      </x:c>
      <x:c r="M164" s="20" t="str">
        <x:v>non_model</x:v>
      </x:c>
      <x:c r="N164" s="20" t="str">
        <x:v>1</x:v>
      </x:c>
      <x:c r="O164" s="20" t="str">
        <x:v>1.0.0</x:v>
      </x:c>
      <x:c r="P164" s="20" t="str">
        <x:v>1.1.0</x:v>
      </x:c>
      <x:c r="Q164" s="20" t="str">
        <x:v>deepseek/deepseek-v4-pro</x:v>
      </x:c>
      <x:c r="R164" s="20" t="str">
        <x:v>aj2-y90-20260714T234810-0bea2f52</x:v>
      </x:c>
    </x:row>
    <x:row r="165" ht="28" customHeight="1">
      <x:c r="A165" s="20" t="str">
        <x:v>B0G25L4ZY7</x:v>
      </x:c>
      <x:c r="B165" s="20" t="str">
        <x:v>b0g25l4zy7</x:v>
      </x:c>
      <x:c r="C165" s="20" t="str">
        <x:v>36c37c688fa89be4</x:v>
      </x:c>
      <x:c r="D165" s="20" t="str">
        <x:v>asin_target</x:v>
      </x:c>
      <x:c r="E165" s="20" t="str">
        <x:v>en</x:v>
      </x:c>
      <x:c r="F165" s="20" t="str">
        <x:v>该搜索词为 ASIN 形式，需补充商品元数据后再判断用户意图。</x:v>
      </x:c>
      <x:c r="G165" s="20" t="str">
        <x:v>unknown</x:v>
      </x:c>
      <x:c r="H165" s="20" t="str">
        <x:v>low</x:v>
      </x:c>
      <x:c r="I165" s="20" t="str">
        <x:v>asin_target</x:v>
      </x:c>
      <x:c r="J165" s="20" t="str">
        <x:v>asin_metadata_pending</x:v>
      </x:c>
      <x:c r="K165" s="20" t="str">
        <x:v>asin_without_metadata</x:v>
      </x:c>
      <x:c r="L165" s="20" t="str">
        <x:v>not_applicable</x:v>
      </x:c>
      <x:c r="M165" s="20" t="str">
        <x:v>non_model</x:v>
      </x:c>
      <x:c r="N165" s="20" t="str">
        <x:v>1</x:v>
      </x:c>
      <x:c r="O165" s="20" t="str">
        <x:v>1.0.0</x:v>
      </x:c>
      <x:c r="P165" s="20" t="str">
        <x:v>1.1.0</x:v>
      </x:c>
      <x:c r="Q165" s="20" t="str">
        <x:v>deepseek/deepseek-v4-pro</x:v>
      </x:c>
      <x:c r="R165" s="20" t="str">
        <x:v>aj2-y90-20260714T234810-0bea2f52</x:v>
      </x:c>
    </x:row>
    <x:row r="166" ht="28" customHeight="1">
      <x:c r="A166" s="20" t="str">
        <x:v>B0FV8NCY7L</x:v>
      </x:c>
      <x:c r="B166" s="20" t="str">
        <x:v>b0fv8ncy7l</x:v>
      </x:c>
      <x:c r="C166" s="20" t="str">
        <x:v>36ee490846877771</x:v>
      </x:c>
      <x:c r="D166" s="20" t="str">
        <x:v>asin_target</x:v>
      </x:c>
      <x:c r="E166" s="20" t="str">
        <x:v>en</x:v>
      </x:c>
      <x:c r="F166" s="20" t="str">
        <x:v>该搜索词为 ASIN 形式，需补充商品元数据后再判断用户意图。</x:v>
      </x:c>
      <x:c r="G166" s="20" t="str">
        <x:v>unknown</x:v>
      </x:c>
      <x:c r="H166" s="20" t="str">
        <x:v>low</x:v>
      </x:c>
      <x:c r="I166" s="20" t="str">
        <x:v>asin_target</x:v>
      </x:c>
      <x:c r="J166" s="20" t="str">
        <x:v>asin_metadata_pending</x:v>
      </x:c>
      <x:c r="K166" s="20" t="str">
        <x:v>asin_without_metadata</x:v>
      </x:c>
      <x:c r="L166" s="20" t="str">
        <x:v>not_applicable</x:v>
      </x:c>
      <x:c r="M166" s="20" t="str">
        <x:v>non_model</x:v>
      </x:c>
      <x:c r="N166" s="20" t="str">
        <x:v>1</x:v>
      </x:c>
      <x:c r="O166" s="20" t="str">
        <x:v>1.0.0</x:v>
      </x:c>
      <x:c r="P166" s="20" t="str">
        <x:v>1.1.0</x:v>
      </x:c>
      <x:c r="Q166" s="20" t="str">
        <x:v>deepseek/deepseek-v4-pro</x:v>
      </x:c>
      <x:c r="R166" s="20" t="str">
        <x:v>aj2-y90-20260714T234810-0bea2f52</x:v>
      </x:c>
    </x:row>
    <x:row r="167" ht="28" customHeight="1">
      <x:c r="A167" s="20" t="str">
        <x:v>B088BFB136</x:v>
      </x:c>
      <x:c r="B167" s="20" t="str">
        <x:v>b088bfb136</x:v>
      </x:c>
      <x:c r="C167" s="20" t="str">
        <x:v>37068a202abc7cec</x:v>
      </x:c>
      <x:c r="D167" s="20" t="str">
        <x:v>asin_target</x:v>
      </x:c>
      <x:c r="E167" s="20" t="str">
        <x:v>en</x:v>
      </x:c>
      <x:c r="F167" s="20" t="str">
        <x:v>该搜索词为 ASIN 形式，需补充商品元数据后再判断用户意图。</x:v>
      </x:c>
      <x:c r="G167" s="20" t="str">
        <x:v>unknown</x:v>
      </x:c>
      <x:c r="H167" s="20" t="str">
        <x:v>low</x:v>
      </x:c>
      <x:c r="I167" s="20" t="str">
        <x:v>asin_target</x:v>
      </x:c>
      <x:c r="J167" s="20" t="str">
        <x:v>asin_metadata_pending</x:v>
      </x:c>
      <x:c r="K167" s="20" t="str">
        <x:v>asin_without_metadata</x:v>
      </x:c>
      <x:c r="L167" s="20" t="str">
        <x:v>not_applicable</x:v>
      </x:c>
      <x:c r="M167" s="20" t="str">
        <x:v>non_model</x:v>
      </x:c>
      <x:c r="N167" s="20" t="str">
        <x:v>1</x:v>
      </x:c>
      <x:c r="O167" s="20" t="str">
        <x:v>1.0.0</x:v>
      </x:c>
      <x:c r="P167" s="20" t="str">
        <x:v>1.1.0</x:v>
      </x:c>
      <x:c r="Q167" s="20" t="str">
        <x:v>deepseek/deepseek-v4-pro</x:v>
      </x:c>
      <x:c r="R167" s="20" t="str">
        <x:v>aj2-y90-20260714T234810-0bea2f52</x:v>
      </x:c>
    </x:row>
    <x:row r="168" ht="28" customHeight="1">
      <x:c r="A168" s="20" t="str">
        <x:v>B0DHNG3FTD</x:v>
      </x:c>
      <x:c r="B168" s="20" t="str">
        <x:v>b0dhng3ftd</x:v>
      </x:c>
      <x:c r="C168" s="20" t="str">
        <x:v>3707f0a051885f3c</x:v>
      </x:c>
      <x:c r="D168" s="20" t="str">
        <x:v>asin_target</x:v>
      </x:c>
      <x:c r="E168" s="20" t="str">
        <x:v>en</x:v>
      </x:c>
      <x:c r="F168" s="20" t="str">
        <x:v>该搜索词为 ASIN 形式，需补充商品元数据后再判断用户意图。</x:v>
      </x:c>
      <x:c r="G168" s="20" t="str">
        <x:v>unknown</x:v>
      </x:c>
      <x:c r="H168" s="20" t="str">
        <x:v>low</x:v>
      </x:c>
      <x:c r="I168" s="20" t="str">
        <x:v>asin_target</x:v>
      </x:c>
      <x:c r="J168" s="20" t="str">
        <x:v>asin_metadata_pending</x:v>
      </x:c>
      <x:c r="K168" s="20" t="str">
        <x:v>asin_without_metadata</x:v>
      </x:c>
      <x:c r="L168" s="20" t="str">
        <x:v>not_applicable</x:v>
      </x:c>
      <x:c r="M168" s="20" t="str">
        <x:v>non_model</x:v>
      </x:c>
      <x:c r="N168" s="20" t="str">
        <x:v>1</x:v>
      </x:c>
      <x:c r="O168" s="20" t="str">
        <x:v>1.0.0</x:v>
      </x:c>
      <x:c r="P168" s="20" t="str">
        <x:v>1.1.0</x:v>
      </x:c>
      <x:c r="Q168" s="20" t="str">
        <x:v>deepseek/deepseek-v4-pro</x:v>
      </x:c>
      <x:c r="R168" s="20" t="str">
        <x:v>aj2-y90-20260714T234810-0bea2f52</x:v>
      </x:c>
    </x:row>
    <x:row r="169" ht="28" customHeight="1">
      <x:c r="A169" s="20" t="str">
        <x:v>B09ZL1TPYY</x:v>
      </x:c>
      <x:c r="B169" s="20" t="str">
        <x:v>b09zl1tpyy</x:v>
      </x:c>
      <x:c r="C169" s="20" t="str">
        <x:v>37cdba85013fa7d9</x:v>
      </x:c>
      <x:c r="D169" s="20" t="str">
        <x:v>asin_target</x:v>
      </x:c>
      <x:c r="E169" s="20" t="str">
        <x:v>en</x:v>
      </x:c>
      <x:c r="F169" s="20" t="str">
        <x:v>该搜索词为 ASIN 形式，需补充商品元数据后再判断用户意图。</x:v>
      </x:c>
      <x:c r="G169" s="20" t="str">
        <x:v>unknown</x:v>
      </x:c>
      <x:c r="H169" s="20" t="str">
        <x:v>low</x:v>
      </x:c>
      <x:c r="I169" s="20" t="str">
        <x:v>asin_target</x:v>
      </x:c>
      <x:c r="J169" s="20" t="str">
        <x:v>asin_metadata_pending</x:v>
      </x:c>
      <x:c r="K169" s="20" t="str">
        <x:v>asin_without_metadata</x:v>
      </x:c>
      <x:c r="L169" s="20" t="str">
        <x:v>not_applicable</x:v>
      </x:c>
      <x:c r="M169" s="20" t="str">
        <x:v>non_model</x:v>
      </x:c>
      <x:c r="N169" s="20" t="str">
        <x:v>1</x:v>
      </x:c>
      <x:c r="O169" s="20" t="str">
        <x:v>1.0.0</x:v>
      </x:c>
      <x:c r="P169" s="20" t="str">
        <x:v>1.1.0</x:v>
      </x:c>
      <x:c r="Q169" s="20" t="str">
        <x:v>deepseek/deepseek-v4-pro</x:v>
      </x:c>
      <x:c r="R169" s="20" t="str">
        <x:v>aj2-y90-20260714T234810-0bea2f52</x:v>
      </x:c>
    </x:row>
    <x:row r="170" ht="28" customHeight="1">
      <x:c r="A170" s="20" t="str">
        <x:v>B0F3HD7B7X</x:v>
      </x:c>
      <x:c r="B170" s="20" t="str">
        <x:v>b0f3hd7b7x</x:v>
      </x:c>
      <x:c r="C170" s="20" t="str">
        <x:v>37d787138ccec4d5</x:v>
      </x:c>
      <x:c r="D170" s="20" t="str">
        <x:v>asin_target</x:v>
      </x:c>
      <x:c r="E170" s="20" t="str">
        <x:v>en</x:v>
      </x:c>
      <x:c r="F170" s="20" t="str">
        <x:v>该搜索词为 ASIN 形式，需补充商品元数据后再判断用户意图。</x:v>
      </x:c>
      <x:c r="G170" s="20" t="str">
        <x:v>unknown</x:v>
      </x:c>
      <x:c r="H170" s="20" t="str">
        <x:v>low</x:v>
      </x:c>
      <x:c r="I170" s="20" t="str">
        <x:v>asin_target</x:v>
      </x:c>
      <x:c r="J170" s="20" t="str">
        <x:v>asin_metadata_pending</x:v>
      </x:c>
      <x:c r="K170" s="20" t="str">
        <x:v>asin_without_metadata</x:v>
      </x:c>
      <x:c r="L170" s="20" t="str">
        <x:v>not_applicable</x:v>
      </x:c>
      <x:c r="M170" s="20" t="str">
        <x:v>non_model</x:v>
      </x:c>
      <x:c r="N170" s="20" t="str">
        <x:v>1</x:v>
      </x:c>
      <x:c r="O170" s="20" t="str">
        <x:v>1.0.0</x:v>
      </x:c>
      <x:c r="P170" s="20" t="str">
        <x:v>1.1.0</x:v>
      </x:c>
      <x:c r="Q170" s="20" t="str">
        <x:v>deepseek/deepseek-v4-pro</x:v>
      </x:c>
      <x:c r="R170" s="20" t="str">
        <x:v>aj2-y90-20260714T234810-0bea2f52</x:v>
      </x:c>
    </x:row>
    <x:row r="171" ht="28" customHeight="1">
      <x:c r="A171" s="20" t="str">
        <x:v>B0FC2BP2PJ</x:v>
      </x:c>
      <x:c r="B171" s="20" t="str">
        <x:v>b0fc2bp2pj</x:v>
      </x:c>
      <x:c r="C171" s="20" t="str">
        <x:v>380a34850a9717bf</x:v>
      </x:c>
      <x:c r="D171" s="20" t="str">
        <x:v>asin_target</x:v>
      </x:c>
      <x:c r="E171" s="20" t="str">
        <x:v>en</x:v>
      </x:c>
      <x:c r="F171" s="20" t="str">
        <x:v>该搜索词为 ASIN 形式，需补充商品元数据后再判断用户意图。</x:v>
      </x:c>
      <x:c r="G171" s="20" t="str">
        <x:v>unknown</x:v>
      </x:c>
      <x:c r="H171" s="20" t="str">
        <x:v>low</x:v>
      </x:c>
      <x:c r="I171" s="20" t="str">
        <x:v>asin_target</x:v>
      </x:c>
      <x:c r="J171" s="20" t="str">
        <x:v>asin_metadata_pending</x:v>
      </x:c>
      <x:c r="K171" s="20" t="str">
        <x:v>asin_without_metadata</x:v>
      </x:c>
      <x:c r="L171" s="20" t="str">
        <x:v>not_applicable</x:v>
      </x:c>
      <x:c r="M171" s="20" t="str">
        <x:v>non_model</x:v>
      </x:c>
      <x:c r="N171" s="20" t="str">
        <x:v>1</x:v>
      </x:c>
      <x:c r="O171" s="20" t="str">
        <x:v>1.0.0</x:v>
      </x:c>
      <x:c r="P171" s="20" t="str">
        <x:v>1.1.0</x:v>
      </x:c>
      <x:c r="Q171" s="20" t="str">
        <x:v>deepseek/deepseek-v4-pro</x:v>
      </x:c>
      <x:c r="R171" s="20" t="str">
        <x:v>aj2-y90-20260714T234810-0bea2f52</x:v>
      </x:c>
    </x:row>
    <x:row r="172" ht="28" customHeight="1">
      <x:c r="A172" s="20" t="str">
        <x:v>B08QD957NN</x:v>
      </x:c>
      <x:c r="B172" s="20" t="str">
        <x:v>b08qd957nn</x:v>
      </x:c>
      <x:c r="C172" s="20" t="str">
        <x:v>388dd669ac6dcae4</x:v>
      </x:c>
      <x:c r="D172" s="20" t="str">
        <x:v>asin_target</x:v>
      </x:c>
      <x:c r="E172" s="20" t="str">
        <x:v>en</x:v>
      </x:c>
      <x:c r="F172" s="20" t="str">
        <x:v>该搜索词为 ASIN 形式，需补充商品元数据后再判断用户意图。</x:v>
      </x:c>
      <x:c r="G172" s="20" t="str">
        <x:v>unknown</x:v>
      </x:c>
      <x:c r="H172" s="20" t="str">
        <x:v>low</x:v>
      </x:c>
      <x:c r="I172" s="20" t="str">
        <x:v>asin_target</x:v>
      </x:c>
      <x:c r="J172" s="20" t="str">
        <x:v>asin_metadata_pending</x:v>
      </x:c>
      <x:c r="K172" s="20" t="str">
        <x:v>asin_without_metadata</x:v>
      </x:c>
      <x:c r="L172" s="20" t="str">
        <x:v>not_applicable</x:v>
      </x:c>
      <x:c r="M172" s="20" t="str">
        <x:v>non_model</x:v>
      </x:c>
      <x:c r="N172" s="20" t="str">
        <x:v>2</x:v>
      </x:c>
      <x:c r="O172" s="20" t="str">
        <x:v>1.0.0</x:v>
      </x:c>
      <x:c r="P172" s="20" t="str">
        <x:v>1.1.0</x:v>
      </x:c>
      <x:c r="Q172" s="20" t="str">
        <x:v>deepseek/deepseek-v4-pro</x:v>
      </x:c>
      <x:c r="R172" s="20" t="str">
        <x:v>aj2-y90-20260714T234810-0bea2f52</x:v>
      </x:c>
    </x:row>
    <x:row r="173" ht="28" customHeight="1">
      <x:c r="A173" s="20" t="str">
        <x:v>B07KRR5KH7</x:v>
      </x:c>
      <x:c r="B173" s="20" t="str">
        <x:v>b07krr5kh7</x:v>
      </x:c>
      <x:c r="C173" s="20" t="str">
        <x:v>390f30649df2fd4f</x:v>
      </x:c>
      <x:c r="D173" s="20" t="str">
        <x:v>asin_target</x:v>
      </x:c>
      <x:c r="E173" s="20" t="str">
        <x:v>en</x:v>
      </x:c>
      <x:c r="F173" s="20" t="str">
        <x:v>该搜索词为 ASIN 形式，需补充商品元数据后再判断用户意图。</x:v>
      </x:c>
      <x:c r="G173" s="20" t="str">
        <x:v>unknown</x:v>
      </x:c>
      <x:c r="H173" s="20" t="str">
        <x:v>low</x:v>
      </x:c>
      <x:c r="I173" s="20" t="str">
        <x:v>asin_target</x:v>
      </x:c>
      <x:c r="J173" s="20" t="str">
        <x:v>asin_metadata_pending</x:v>
      </x:c>
      <x:c r="K173" s="20" t="str">
        <x:v>asin_without_metadata</x:v>
      </x:c>
      <x:c r="L173" s="20" t="str">
        <x:v>not_applicable</x:v>
      </x:c>
      <x:c r="M173" s="20" t="str">
        <x:v>non_model</x:v>
      </x:c>
      <x:c r="N173" s="20" t="str">
        <x:v>1</x:v>
      </x:c>
      <x:c r="O173" s="20" t="str">
        <x:v>1.0.0</x:v>
      </x:c>
      <x:c r="P173" s="20" t="str">
        <x:v>1.1.0</x:v>
      </x:c>
      <x:c r="Q173" s="20" t="str">
        <x:v>deepseek/deepseek-v4-pro</x:v>
      </x:c>
      <x:c r="R173" s="20" t="str">
        <x:v>aj2-y90-20260714T234810-0bea2f52</x:v>
      </x:c>
    </x:row>
    <x:row r="174" ht="28" customHeight="1">
      <x:c r="A174" s="20" t="str">
        <x:v>B0DHS33VZB</x:v>
      </x:c>
      <x:c r="B174" s="20" t="str">
        <x:v>b0dhs33vzb</x:v>
      </x:c>
      <x:c r="C174" s="20" t="str">
        <x:v>39417cfc443b1132</x:v>
      </x:c>
      <x:c r="D174" s="20" t="str">
        <x:v>asin_target</x:v>
      </x:c>
      <x:c r="E174" s="20" t="str">
        <x:v>en</x:v>
      </x:c>
      <x:c r="F174" s="20" t="str">
        <x:v>该搜索词为 ASIN 形式，需补充商品元数据后再判断用户意图。</x:v>
      </x:c>
      <x:c r="G174" s="20" t="str">
        <x:v>unknown</x:v>
      </x:c>
      <x:c r="H174" s="20" t="str">
        <x:v>low</x:v>
      </x:c>
      <x:c r="I174" s="20" t="str">
        <x:v>asin_target</x:v>
      </x:c>
      <x:c r="J174" s="20" t="str">
        <x:v>asin_metadata_pending</x:v>
      </x:c>
      <x:c r="K174" s="20" t="str">
        <x:v>asin_without_metadata</x:v>
      </x:c>
      <x:c r="L174" s="20" t="str">
        <x:v>not_applicable</x:v>
      </x:c>
      <x:c r="M174" s="20" t="str">
        <x:v>non_model</x:v>
      </x:c>
      <x:c r="N174" s="20" t="str">
        <x:v>1</x:v>
      </x:c>
      <x:c r="O174" s="20" t="str">
        <x:v>1.0.0</x:v>
      </x:c>
      <x:c r="P174" s="20" t="str">
        <x:v>1.1.0</x:v>
      </x:c>
      <x:c r="Q174" s="20" t="str">
        <x:v>deepseek/deepseek-v4-pro</x:v>
      </x:c>
      <x:c r="R174" s="20" t="str">
        <x:v>aj2-y90-20260714T234810-0bea2f52</x:v>
      </x:c>
    </x:row>
    <x:row r="175" ht="28" customHeight="1">
      <x:c r="A175" s="20" t="str">
        <x:v>B0FXX4R162</x:v>
      </x:c>
      <x:c r="B175" s="20" t="str">
        <x:v>b0fxx4r162</x:v>
      </x:c>
      <x:c r="C175" s="20" t="str">
        <x:v>395380e23b511428</x:v>
      </x:c>
      <x:c r="D175" s="20" t="str">
        <x:v>asin_target</x:v>
      </x:c>
      <x:c r="E175" s="20" t="str">
        <x:v>en</x:v>
      </x:c>
      <x:c r="F175" s="20" t="str">
        <x:v>该搜索词为 ASIN 形式，需补充商品元数据后再判断用户意图。</x:v>
      </x:c>
      <x:c r="G175" s="20" t="str">
        <x:v>unknown</x:v>
      </x:c>
      <x:c r="H175" s="20" t="str">
        <x:v>low</x:v>
      </x:c>
      <x:c r="I175" s="20" t="str">
        <x:v>asin_target</x:v>
      </x:c>
      <x:c r="J175" s="20" t="str">
        <x:v>asin_metadata_pending</x:v>
      </x:c>
      <x:c r="K175" s="20" t="str">
        <x:v>asin_without_metadata</x:v>
      </x:c>
      <x:c r="L175" s="20" t="str">
        <x:v>not_applicable</x:v>
      </x:c>
      <x:c r="M175" s="20" t="str">
        <x:v>non_model</x:v>
      </x:c>
      <x:c r="N175" s="20" t="str">
        <x:v>1</x:v>
      </x:c>
      <x:c r="O175" s="20" t="str">
        <x:v>1.0.0</x:v>
      </x:c>
      <x:c r="P175" s="20" t="str">
        <x:v>1.1.0</x:v>
      </x:c>
      <x:c r="Q175" s="20" t="str">
        <x:v>deepseek/deepseek-v4-pro</x:v>
      </x:c>
      <x:c r="R175" s="20" t="str">
        <x:v>aj2-y90-20260714T234810-0bea2f52</x:v>
      </x:c>
    </x:row>
    <x:row r="176" ht="28" customHeight="1">
      <x:c r="A176" s="20" t="str">
        <x:v>B010123EV8</x:v>
      </x:c>
      <x:c r="B176" s="20" t="str">
        <x:v>b010123ev8</x:v>
      </x:c>
      <x:c r="C176" s="20" t="str">
        <x:v>395b7f638d38cf52</x:v>
      </x:c>
      <x:c r="D176" s="20" t="str">
        <x:v>asin_target</x:v>
      </x:c>
      <x:c r="E176" s="20" t="str">
        <x:v>en</x:v>
      </x:c>
      <x:c r="F176" s="20" t="str">
        <x:v>该搜索词为 ASIN 形式，需补充商品元数据后再判断用户意图。</x:v>
      </x:c>
      <x:c r="G176" s="20" t="str">
        <x:v>unknown</x:v>
      </x:c>
      <x:c r="H176" s="20" t="str">
        <x:v>low</x:v>
      </x:c>
      <x:c r="I176" s="20" t="str">
        <x:v>asin_target</x:v>
      </x:c>
      <x:c r="J176" s="20" t="str">
        <x:v>asin_metadata_pending</x:v>
      </x:c>
      <x:c r="K176" s="20" t="str">
        <x:v>asin_without_metadata</x:v>
      </x:c>
      <x:c r="L176" s="20" t="str">
        <x:v>not_applicable</x:v>
      </x:c>
      <x:c r="M176" s="20" t="str">
        <x:v>non_model</x:v>
      </x:c>
      <x:c r="N176" s="20" t="str">
        <x:v>1</x:v>
      </x:c>
      <x:c r="O176" s="20" t="str">
        <x:v>1.0.0</x:v>
      </x:c>
      <x:c r="P176" s="20" t="str">
        <x:v>1.1.0</x:v>
      </x:c>
      <x:c r="Q176" s="20" t="str">
        <x:v>deepseek/deepseek-v4-pro</x:v>
      </x:c>
      <x:c r="R176" s="20" t="str">
        <x:v>aj2-y90-20260714T234810-0bea2f52</x:v>
      </x:c>
    </x:row>
    <x:row r="177" ht="28" customHeight="1">
      <x:c r="A177" s="20" t="str">
        <x:v>B0777Q9Y7C</x:v>
      </x:c>
      <x:c r="B177" s="20" t="str">
        <x:v>b0777q9y7c</x:v>
      </x:c>
      <x:c r="C177" s="20" t="str">
        <x:v>3967cdb317dc3055</x:v>
      </x:c>
      <x:c r="D177" s="20" t="str">
        <x:v>asin_target</x:v>
      </x:c>
      <x:c r="E177" s="20" t="str">
        <x:v>en</x:v>
      </x:c>
      <x:c r="F177" s="20" t="str">
        <x:v>该搜索词为 ASIN 形式，需补充商品元数据后再判断用户意图。</x:v>
      </x:c>
      <x:c r="G177" s="20" t="str">
        <x:v>unknown</x:v>
      </x:c>
      <x:c r="H177" s="20" t="str">
        <x:v>low</x:v>
      </x:c>
      <x:c r="I177" s="20" t="str">
        <x:v>asin_target</x:v>
      </x:c>
      <x:c r="J177" s="20" t="str">
        <x:v>asin_metadata_pending</x:v>
      </x:c>
      <x:c r="K177" s="20" t="str">
        <x:v>asin_without_metadata</x:v>
      </x:c>
      <x:c r="L177" s="20" t="str">
        <x:v>not_applicable</x:v>
      </x:c>
      <x:c r="M177" s="20" t="str">
        <x:v>non_model</x:v>
      </x:c>
      <x:c r="N177" s="20" t="str">
        <x:v>1</x:v>
      </x:c>
      <x:c r="O177" s="20" t="str">
        <x:v>1.0.0</x:v>
      </x:c>
      <x:c r="P177" s="20" t="str">
        <x:v>1.1.0</x:v>
      </x:c>
      <x:c r="Q177" s="20" t="str">
        <x:v>deepseek/deepseek-v4-pro</x:v>
      </x:c>
      <x:c r="R177" s="20" t="str">
        <x:v>aj2-y90-20260714T234810-0bea2f52</x:v>
      </x:c>
    </x:row>
    <x:row r="178" ht="28" customHeight="1">
      <x:c r="A178" s="20" t="str">
        <x:v>B0DSMWRR7S</x:v>
      </x:c>
      <x:c r="B178" s="20" t="str">
        <x:v>b0dsmwrr7s</x:v>
      </x:c>
      <x:c r="C178" s="20" t="str">
        <x:v>39bb2ef762232855</x:v>
      </x:c>
      <x:c r="D178" s="20" t="str">
        <x:v>asin_target</x:v>
      </x:c>
      <x:c r="E178" s="20" t="str">
        <x:v>en</x:v>
      </x:c>
      <x:c r="F178" s="20" t="str">
        <x:v>该搜索词为 ASIN 形式，需补充商品元数据后再判断用户意图。</x:v>
      </x:c>
      <x:c r="G178" s="20" t="str">
        <x:v>unknown</x:v>
      </x:c>
      <x:c r="H178" s="20" t="str">
        <x:v>low</x:v>
      </x:c>
      <x:c r="I178" s="20" t="str">
        <x:v>asin_target</x:v>
      </x:c>
      <x:c r="J178" s="20" t="str">
        <x:v>asin_metadata_pending</x:v>
      </x:c>
      <x:c r="K178" s="20" t="str">
        <x:v>asin_without_metadata</x:v>
      </x:c>
      <x:c r="L178" s="20" t="str">
        <x:v>not_applicable</x:v>
      </x:c>
      <x:c r="M178" s="20" t="str">
        <x:v>non_model</x:v>
      </x:c>
      <x:c r="N178" s="20" t="str">
        <x:v>2</x:v>
      </x:c>
      <x:c r="O178" s="20" t="str">
        <x:v>1.0.0</x:v>
      </x:c>
      <x:c r="P178" s="20" t="str">
        <x:v>1.1.0</x:v>
      </x:c>
      <x:c r="Q178" s="20" t="str">
        <x:v>deepseek/deepseek-v4-pro</x:v>
      </x:c>
      <x:c r="R178" s="20" t="str">
        <x:v>aj2-y90-20260714T234810-0bea2f52</x:v>
      </x:c>
    </x:row>
    <x:row r="179" ht="28" customHeight="1">
      <x:c r="A179" s="20" t="str">
        <x:v>B091ZDHFMM</x:v>
      </x:c>
      <x:c r="B179" s="20" t="str">
        <x:v>b091zdhfmm</x:v>
      </x:c>
      <x:c r="C179" s="20" t="str">
        <x:v>3a4cc85fa5c7f42e</x:v>
      </x:c>
      <x:c r="D179" s="20" t="str">
        <x:v>asin_target</x:v>
      </x:c>
      <x:c r="E179" s="20" t="str">
        <x:v>en</x:v>
      </x:c>
      <x:c r="F179" s="20" t="str">
        <x:v>该搜索词为 ASIN 形式，需补充商品元数据后再判断用户意图。</x:v>
      </x:c>
      <x:c r="G179" s="20" t="str">
        <x:v>unknown</x:v>
      </x:c>
      <x:c r="H179" s="20" t="str">
        <x:v>low</x:v>
      </x:c>
      <x:c r="I179" s="20" t="str">
        <x:v>asin_target</x:v>
      </x:c>
      <x:c r="J179" s="20" t="str">
        <x:v>asin_metadata_pending</x:v>
      </x:c>
      <x:c r="K179" s="20" t="str">
        <x:v>asin_without_metadata</x:v>
      </x:c>
      <x:c r="L179" s="20" t="str">
        <x:v>not_applicable</x:v>
      </x:c>
      <x:c r="M179" s="20" t="str">
        <x:v>non_model</x:v>
      </x:c>
      <x:c r="N179" s="20" t="str">
        <x:v>1</x:v>
      </x:c>
      <x:c r="O179" s="20" t="str">
        <x:v>1.0.0</x:v>
      </x:c>
      <x:c r="P179" s="20" t="str">
        <x:v>1.1.0</x:v>
      </x:c>
      <x:c r="Q179" s="20" t="str">
        <x:v>deepseek/deepseek-v4-pro</x:v>
      </x:c>
      <x:c r="R179" s="20" t="str">
        <x:v>aj2-y90-20260714T234810-0bea2f52</x:v>
      </x:c>
    </x:row>
    <x:row r="180" ht="28" customHeight="1">
      <x:c r="A180" s="20" t="str">
        <x:v>B0GGR48WPW</x:v>
      </x:c>
      <x:c r="B180" s="20" t="str">
        <x:v>b0ggr48wpw</x:v>
      </x:c>
      <x:c r="C180" s="20" t="str">
        <x:v>3a7ccc17a1ca6cf6</x:v>
      </x:c>
      <x:c r="D180" s="20" t="str">
        <x:v>asin_target</x:v>
      </x:c>
      <x:c r="E180" s="20" t="str">
        <x:v>en</x:v>
      </x:c>
      <x:c r="F180" s="20" t="str">
        <x:v>该搜索词为 ASIN 形式，需补充商品元数据后再判断用户意图。</x:v>
      </x:c>
      <x:c r="G180" s="20" t="str">
        <x:v>unknown</x:v>
      </x:c>
      <x:c r="H180" s="20" t="str">
        <x:v>low</x:v>
      </x:c>
      <x:c r="I180" s="20" t="str">
        <x:v>asin_target</x:v>
      </x:c>
      <x:c r="J180" s="20" t="str">
        <x:v>asin_metadata_pending</x:v>
      </x:c>
      <x:c r="K180" s="20" t="str">
        <x:v>asin_without_metadata</x:v>
      </x:c>
      <x:c r="L180" s="20" t="str">
        <x:v>not_applicable</x:v>
      </x:c>
      <x:c r="M180" s="20" t="str">
        <x:v>non_model</x:v>
      </x:c>
      <x:c r="N180" s="20" t="str">
        <x:v>1</x:v>
      </x:c>
      <x:c r="O180" s="20" t="str">
        <x:v>1.0.0</x:v>
      </x:c>
      <x:c r="P180" s="20" t="str">
        <x:v>1.1.0</x:v>
      </x:c>
      <x:c r="Q180" s="20" t="str">
        <x:v>deepseek/deepseek-v4-pro</x:v>
      </x:c>
      <x:c r="R180" s="20" t="str">
        <x:v>aj2-y90-20260714T234810-0bea2f52</x:v>
      </x:c>
    </x:row>
    <x:row r="181" ht="28" customHeight="1">
      <x:c r="A181" s="20" t="str">
        <x:v>B088B9N1XH</x:v>
      </x:c>
      <x:c r="B181" s="20" t="str">
        <x:v>b088b9n1xh</x:v>
      </x:c>
      <x:c r="C181" s="20" t="str">
        <x:v>3ac016a928c80d20</x:v>
      </x:c>
      <x:c r="D181" s="20" t="str">
        <x:v>asin_target</x:v>
      </x:c>
      <x:c r="E181" s="20" t="str">
        <x:v>en</x:v>
      </x:c>
      <x:c r="F181" s="20" t="str">
        <x:v>该搜索词为 ASIN 形式，需补充商品元数据后再判断用户意图。</x:v>
      </x:c>
      <x:c r="G181" s="20" t="str">
        <x:v>unknown</x:v>
      </x:c>
      <x:c r="H181" s="20" t="str">
        <x:v>low</x:v>
      </x:c>
      <x:c r="I181" s="20" t="str">
        <x:v>asin_target</x:v>
      </x:c>
      <x:c r="J181" s="20" t="str">
        <x:v>asin_metadata_pending</x:v>
      </x:c>
      <x:c r="K181" s="20" t="str">
        <x:v>asin_without_metadata</x:v>
      </x:c>
      <x:c r="L181" s="20" t="str">
        <x:v>not_applicable</x:v>
      </x:c>
      <x:c r="M181" s="20" t="str">
        <x:v>non_model</x:v>
      </x:c>
      <x:c r="N181" s="20" t="str">
        <x:v>2</x:v>
      </x:c>
      <x:c r="O181" s="20" t="str">
        <x:v>1.0.0</x:v>
      </x:c>
      <x:c r="P181" s="20" t="str">
        <x:v>1.1.0</x:v>
      </x:c>
      <x:c r="Q181" s="20" t="str">
        <x:v>deepseek/deepseek-v4-pro</x:v>
      </x:c>
      <x:c r="R181" s="20" t="str">
        <x:v>aj2-y90-20260714T234810-0bea2f52</x:v>
      </x:c>
    </x:row>
    <x:row r="182" ht="28" customHeight="1">
      <x:c r="A182" s="20" t="str">
        <x:v>B0965422NC</x:v>
      </x:c>
      <x:c r="B182" s="20" t="str">
        <x:v>b0965422nc</x:v>
      </x:c>
      <x:c r="C182" s="20" t="str">
        <x:v>3b6959b70e6e88c0</x:v>
      </x:c>
      <x:c r="D182" s="20" t="str">
        <x:v>asin_target</x:v>
      </x:c>
      <x:c r="E182" s="20" t="str">
        <x:v>en</x:v>
      </x:c>
      <x:c r="F182" s="20" t="str">
        <x:v>该搜索词为 ASIN 形式，需补充商品元数据后再判断用户意图。</x:v>
      </x:c>
      <x:c r="G182" s="20" t="str">
        <x:v>unknown</x:v>
      </x:c>
      <x:c r="H182" s="20" t="str">
        <x:v>low</x:v>
      </x:c>
      <x:c r="I182" s="20" t="str">
        <x:v>asin_target</x:v>
      </x:c>
      <x:c r="J182" s="20" t="str">
        <x:v>asin_metadata_pending</x:v>
      </x:c>
      <x:c r="K182" s="20" t="str">
        <x:v>asin_without_metadata</x:v>
      </x:c>
      <x:c r="L182" s="20" t="str">
        <x:v>not_applicable</x:v>
      </x:c>
      <x:c r="M182" s="20" t="str">
        <x:v>non_model</x:v>
      </x:c>
      <x:c r="N182" s="20" t="str">
        <x:v>1</x:v>
      </x:c>
      <x:c r="O182" s="20" t="str">
        <x:v>1.0.0</x:v>
      </x:c>
      <x:c r="P182" s="20" t="str">
        <x:v>1.1.0</x:v>
      </x:c>
      <x:c r="Q182" s="20" t="str">
        <x:v>deepseek/deepseek-v4-pro</x:v>
      </x:c>
      <x:c r="R182" s="20" t="str">
        <x:v>aj2-y90-20260714T234810-0bea2f52</x:v>
      </x:c>
    </x:row>
    <x:row r="183" ht="28" customHeight="1">
      <x:c r="A183" s="20" t="str">
        <x:v>B0G11HNX1G</x:v>
      </x:c>
      <x:c r="B183" s="20" t="str">
        <x:v>b0g11hnx1g</x:v>
      </x:c>
      <x:c r="C183" s="20" t="str">
        <x:v>3d13957450f0b23c</x:v>
      </x:c>
      <x:c r="D183" s="20" t="str">
        <x:v>asin_target</x:v>
      </x:c>
      <x:c r="E183" s="20" t="str">
        <x:v>en</x:v>
      </x:c>
      <x:c r="F183" s="20" t="str">
        <x:v>该搜索词为 ASIN 形式，需补充商品元数据后再判断用户意图。</x:v>
      </x:c>
      <x:c r="G183" s="20" t="str">
        <x:v>unknown</x:v>
      </x:c>
      <x:c r="H183" s="20" t="str">
        <x:v>low</x:v>
      </x:c>
      <x:c r="I183" s="20" t="str">
        <x:v>asin_target</x:v>
      </x:c>
      <x:c r="J183" s="20" t="str">
        <x:v>asin_metadata_pending</x:v>
      </x:c>
      <x:c r="K183" s="20" t="str">
        <x:v>asin_without_metadata</x:v>
      </x:c>
      <x:c r="L183" s="20" t="str">
        <x:v>not_applicable</x:v>
      </x:c>
      <x:c r="M183" s="20" t="str">
        <x:v>non_model</x:v>
      </x:c>
      <x:c r="N183" s="20" t="str">
        <x:v>1</x:v>
      </x:c>
      <x:c r="O183" s="20" t="str">
        <x:v>1.0.0</x:v>
      </x:c>
      <x:c r="P183" s="20" t="str">
        <x:v>1.1.0</x:v>
      </x:c>
      <x:c r="Q183" s="20" t="str">
        <x:v>deepseek/deepseek-v4-pro</x:v>
      </x:c>
      <x:c r="R183" s="20" t="str">
        <x:v>aj2-y90-20260714T234810-0bea2f52</x:v>
      </x:c>
    </x:row>
    <x:row r="184" ht="28" customHeight="1">
      <x:c r="A184" s="20" t="str">
        <x:v>B0FSQFTCL8</x:v>
      </x:c>
      <x:c r="B184" s="20" t="str">
        <x:v>b0fsqftcl8</x:v>
      </x:c>
      <x:c r="C184" s="20" t="str">
        <x:v>3dac9e470dec2820</x:v>
      </x:c>
      <x:c r="D184" s="20" t="str">
        <x:v>asin_target</x:v>
      </x:c>
      <x:c r="E184" s="20" t="str">
        <x:v>en</x:v>
      </x:c>
      <x:c r="F184" s="20" t="str">
        <x:v>该搜索词为 ASIN 形式，需补充商品元数据后再判断用户意图。</x:v>
      </x:c>
      <x:c r="G184" s="20" t="str">
        <x:v>unknown</x:v>
      </x:c>
      <x:c r="H184" s="20" t="str">
        <x:v>low</x:v>
      </x:c>
      <x:c r="I184" s="20" t="str">
        <x:v>asin_target</x:v>
      </x:c>
      <x:c r="J184" s="20" t="str">
        <x:v>asin_metadata_pending</x:v>
      </x:c>
      <x:c r="K184" s="20" t="str">
        <x:v>asin_without_metadata</x:v>
      </x:c>
      <x:c r="L184" s="20" t="str">
        <x:v>not_applicable</x:v>
      </x:c>
      <x:c r="M184" s="20" t="str">
        <x:v>non_model</x:v>
      </x:c>
      <x:c r="N184" s="20" t="str">
        <x:v>1</x:v>
      </x:c>
      <x:c r="O184" s="20" t="str">
        <x:v>1.0.0</x:v>
      </x:c>
      <x:c r="P184" s="20" t="str">
        <x:v>1.1.0</x:v>
      </x:c>
      <x:c r="Q184" s="20" t="str">
        <x:v>deepseek/deepseek-v4-pro</x:v>
      </x:c>
      <x:c r="R184" s="20" t="str">
        <x:v>aj2-y90-20260714T234810-0bea2f52</x:v>
      </x:c>
    </x:row>
    <x:row r="185" ht="28" customHeight="1">
      <x:c r="A185" s="20" t="str">
        <x:v>B0GKCYHDRS</x:v>
      </x:c>
      <x:c r="B185" s="20" t="str">
        <x:v>b0gkcyhdrs</x:v>
      </x:c>
      <x:c r="C185" s="20" t="str">
        <x:v>3eabfcf2c25b16cd</x:v>
      </x:c>
      <x:c r="D185" s="20" t="str">
        <x:v>asin_target</x:v>
      </x:c>
      <x:c r="E185" s="20" t="str">
        <x:v>en</x:v>
      </x:c>
      <x:c r="F185" s="20" t="str">
        <x:v>该搜索词为 ASIN 形式，需补充商品元数据后再判断用户意图。</x:v>
      </x:c>
      <x:c r="G185" s="20" t="str">
        <x:v>unknown</x:v>
      </x:c>
      <x:c r="H185" s="20" t="str">
        <x:v>low</x:v>
      </x:c>
      <x:c r="I185" s="20" t="str">
        <x:v>asin_target</x:v>
      </x:c>
      <x:c r="J185" s="20" t="str">
        <x:v>asin_metadata_pending</x:v>
      </x:c>
      <x:c r="K185" s="20" t="str">
        <x:v>asin_without_metadata</x:v>
      </x:c>
      <x:c r="L185" s="20" t="str">
        <x:v>not_applicable</x:v>
      </x:c>
      <x:c r="M185" s="20" t="str">
        <x:v>non_model</x:v>
      </x:c>
      <x:c r="N185" s="20" t="str">
        <x:v>2</x:v>
      </x:c>
      <x:c r="O185" s="20" t="str">
        <x:v>1.0.0</x:v>
      </x:c>
      <x:c r="P185" s="20" t="str">
        <x:v>1.1.0</x:v>
      </x:c>
      <x:c r="Q185" s="20" t="str">
        <x:v>deepseek/deepseek-v4-pro</x:v>
      </x:c>
      <x:c r="R185" s="20" t="str">
        <x:v>aj2-y90-20260714T234810-0bea2f52</x:v>
      </x:c>
    </x:row>
    <x:row r="186" ht="28" customHeight="1">
      <x:c r="A186" s="20" t="str">
        <x:v>B073XRGJRL</x:v>
      </x:c>
      <x:c r="B186" s="20" t="str">
        <x:v>b073xrgjrl</x:v>
      </x:c>
      <x:c r="C186" s="20" t="str">
        <x:v>3efd162b28adf2da</x:v>
      </x:c>
      <x:c r="D186" s="20" t="str">
        <x:v>asin_target</x:v>
      </x:c>
      <x:c r="E186" s="20" t="str">
        <x:v>en</x:v>
      </x:c>
      <x:c r="F186" s="20" t="str">
        <x:v>该搜索词为 ASIN 形式，需补充商品元数据后再判断用户意图。</x:v>
      </x:c>
      <x:c r="G186" s="20" t="str">
        <x:v>unknown</x:v>
      </x:c>
      <x:c r="H186" s="20" t="str">
        <x:v>low</x:v>
      </x:c>
      <x:c r="I186" s="20" t="str">
        <x:v>asin_target</x:v>
      </x:c>
      <x:c r="J186" s="20" t="str">
        <x:v>asin_metadata_pending</x:v>
      </x:c>
      <x:c r="K186" s="20" t="str">
        <x:v>asin_without_metadata</x:v>
      </x:c>
      <x:c r="L186" s="20" t="str">
        <x:v>not_applicable</x:v>
      </x:c>
      <x:c r="M186" s="20" t="str">
        <x:v>non_model</x:v>
      </x:c>
      <x:c r="N186" s="20" t="str">
        <x:v>1</x:v>
      </x:c>
      <x:c r="O186" s="20" t="str">
        <x:v>1.0.0</x:v>
      </x:c>
      <x:c r="P186" s="20" t="str">
        <x:v>1.1.0</x:v>
      </x:c>
      <x:c r="Q186" s="20" t="str">
        <x:v>deepseek/deepseek-v4-pro</x:v>
      </x:c>
      <x:c r="R186" s="20" t="str">
        <x:v>aj2-y90-20260714T234810-0bea2f52</x:v>
      </x:c>
    </x:row>
    <x:row r="187" ht="28" customHeight="1">
      <x:c r="A187" s="20" t="str">
        <x:v>B0989W3D6Y</x:v>
      </x:c>
      <x:c r="B187" s="20" t="str">
        <x:v>b0989w3d6y</x:v>
      </x:c>
      <x:c r="C187" s="20" t="str">
        <x:v>403317c90249ce20</x:v>
      </x:c>
      <x:c r="D187" s="20" t="str">
        <x:v>asin_target</x:v>
      </x:c>
      <x:c r="E187" s="20" t="str">
        <x:v>en</x:v>
      </x:c>
      <x:c r="F187" s="20" t="str">
        <x:v>该搜索词为 ASIN 形式，需补充商品元数据后再判断用户意图。</x:v>
      </x:c>
      <x:c r="G187" s="20" t="str">
        <x:v>unknown</x:v>
      </x:c>
      <x:c r="H187" s="20" t="str">
        <x:v>low</x:v>
      </x:c>
      <x:c r="I187" s="20" t="str">
        <x:v>asin_target</x:v>
      </x:c>
      <x:c r="J187" s="20" t="str">
        <x:v>asin_metadata_pending</x:v>
      </x:c>
      <x:c r="K187" s="20" t="str">
        <x:v>asin_without_metadata</x:v>
      </x:c>
      <x:c r="L187" s="20" t="str">
        <x:v>not_applicable</x:v>
      </x:c>
      <x:c r="M187" s="20" t="str">
        <x:v>non_model</x:v>
      </x:c>
      <x:c r="N187" s="20" t="str">
        <x:v>2</x:v>
      </x:c>
      <x:c r="O187" s="20" t="str">
        <x:v>1.0.0</x:v>
      </x:c>
      <x:c r="P187" s="20" t="str">
        <x:v>1.1.0</x:v>
      </x:c>
      <x:c r="Q187" s="20" t="str">
        <x:v>deepseek/deepseek-v4-pro</x:v>
      </x:c>
      <x:c r="R187" s="20" t="str">
        <x:v>aj2-y90-20260714T234810-0bea2f52</x:v>
      </x:c>
    </x:row>
    <x:row r="188" ht="28" customHeight="1">
      <x:c r="A188" s="20" t="str">
        <x:v>B0DG1D94TS</x:v>
      </x:c>
      <x:c r="B188" s="20" t="str">
        <x:v>b0dg1d94ts</x:v>
      </x:c>
      <x:c r="C188" s="20" t="str">
        <x:v>406d907b4b5d7f3b</x:v>
      </x:c>
      <x:c r="D188" s="20" t="str">
        <x:v>asin_target</x:v>
      </x:c>
      <x:c r="E188" s="20" t="str">
        <x:v>en</x:v>
      </x:c>
      <x:c r="F188" s="20" t="str">
        <x:v>该搜索词为 ASIN 形式，需补充商品元数据后再判断用户意图。</x:v>
      </x:c>
      <x:c r="G188" s="20" t="str">
        <x:v>unknown</x:v>
      </x:c>
      <x:c r="H188" s="20" t="str">
        <x:v>low</x:v>
      </x:c>
      <x:c r="I188" s="20" t="str">
        <x:v>asin_target</x:v>
      </x:c>
      <x:c r="J188" s="20" t="str">
        <x:v>asin_metadata_pending</x:v>
      </x:c>
      <x:c r="K188" s="20" t="str">
        <x:v>asin_without_metadata</x:v>
      </x:c>
      <x:c r="L188" s="20" t="str">
        <x:v>not_applicable</x:v>
      </x:c>
      <x:c r="M188" s="20" t="str">
        <x:v>non_model</x:v>
      </x:c>
      <x:c r="N188" s="20" t="str">
        <x:v>1</x:v>
      </x:c>
      <x:c r="O188" s="20" t="str">
        <x:v>1.0.0</x:v>
      </x:c>
      <x:c r="P188" s="20" t="str">
        <x:v>1.1.0</x:v>
      </x:c>
      <x:c r="Q188" s="20" t="str">
        <x:v>deepseek/deepseek-v4-pro</x:v>
      </x:c>
      <x:c r="R188" s="20" t="str">
        <x:v>aj2-y90-20260714T234810-0bea2f52</x:v>
      </x:c>
    </x:row>
    <x:row r="189" ht="28" customHeight="1">
      <x:c r="A189" s="20" t="str">
        <x:v>B086SXZGM1</x:v>
      </x:c>
      <x:c r="B189" s="20" t="str">
        <x:v>b086sxzgm1</x:v>
      </x:c>
      <x:c r="C189" s="20" t="str">
        <x:v>41863584e33a27d4</x:v>
      </x:c>
      <x:c r="D189" s="20" t="str">
        <x:v>asin_target</x:v>
      </x:c>
      <x:c r="E189" s="20" t="str">
        <x:v>en</x:v>
      </x:c>
      <x:c r="F189" s="20" t="str">
        <x:v>该搜索词为 ASIN 形式，需补充商品元数据后再判断用户意图。</x:v>
      </x:c>
      <x:c r="G189" s="20" t="str">
        <x:v>unknown</x:v>
      </x:c>
      <x:c r="H189" s="20" t="str">
        <x:v>low</x:v>
      </x:c>
      <x:c r="I189" s="20" t="str">
        <x:v>asin_target</x:v>
      </x:c>
      <x:c r="J189" s="20" t="str">
        <x:v>asin_metadata_pending</x:v>
      </x:c>
      <x:c r="K189" s="20" t="str">
        <x:v>asin_without_metadata</x:v>
      </x:c>
      <x:c r="L189" s="20" t="str">
        <x:v>not_applicable</x:v>
      </x:c>
      <x:c r="M189" s="20" t="str">
        <x:v>non_model</x:v>
      </x:c>
      <x:c r="N189" s="20" t="str">
        <x:v>1</x:v>
      </x:c>
      <x:c r="O189" s="20" t="str">
        <x:v>1.0.0</x:v>
      </x:c>
      <x:c r="P189" s="20" t="str">
        <x:v>1.1.0</x:v>
      </x:c>
      <x:c r="Q189" s="20" t="str">
        <x:v>deepseek/deepseek-v4-pro</x:v>
      </x:c>
      <x:c r="R189" s="20" t="str">
        <x:v>aj2-y90-20260714T234810-0bea2f52</x:v>
      </x:c>
    </x:row>
    <x:row r="190" ht="28" customHeight="1">
      <x:c r="A190" s="20" t="str">
        <x:v>B0D2292JM9</x:v>
      </x:c>
      <x:c r="B190" s="20" t="str">
        <x:v>b0d2292jm9</x:v>
      </x:c>
      <x:c r="C190" s="20" t="str">
        <x:v>41efeaa9f1303edc</x:v>
      </x:c>
      <x:c r="D190" s="20" t="str">
        <x:v>asin_target</x:v>
      </x:c>
      <x:c r="E190" s="20" t="str">
        <x:v>en</x:v>
      </x:c>
      <x:c r="F190" s="20" t="str">
        <x:v>该搜索词为 ASIN 形式，需补充商品元数据后再判断用户意图。</x:v>
      </x:c>
      <x:c r="G190" s="20" t="str">
        <x:v>unknown</x:v>
      </x:c>
      <x:c r="H190" s="20" t="str">
        <x:v>low</x:v>
      </x:c>
      <x:c r="I190" s="20" t="str">
        <x:v>asin_target</x:v>
      </x:c>
      <x:c r="J190" s="20" t="str">
        <x:v>asin_metadata_pending</x:v>
      </x:c>
      <x:c r="K190" s="20" t="str">
        <x:v>asin_without_metadata</x:v>
      </x:c>
      <x:c r="L190" s="20" t="str">
        <x:v>not_applicable</x:v>
      </x:c>
      <x:c r="M190" s="20" t="str">
        <x:v>non_model</x:v>
      </x:c>
      <x:c r="N190" s="20" t="str">
        <x:v>1</x:v>
      </x:c>
      <x:c r="O190" s="20" t="str">
        <x:v>1.0.0</x:v>
      </x:c>
      <x:c r="P190" s="20" t="str">
        <x:v>1.1.0</x:v>
      </x:c>
      <x:c r="Q190" s="20" t="str">
        <x:v>deepseek/deepseek-v4-pro</x:v>
      </x:c>
      <x:c r="R190" s="20" t="str">
        <x:v>aj2-y90-20260714T234810-0bea2f52</x:v>
      </x:c>
    </x:row>
    <x:row r="191" ht="28" customHeight="1">
      <x:c r="A191" s="20" t="str">
        <x:v>B0G48MGTXP</x:v>
      </x:c>
      <x:c r="B191" s="20" t="str">
        <x:v>b0g48mgtxp</x:v>
      </x:c>
      <x:c r="C191" s="20" t="str">
        <x:v>4224dec6cf3ad493</x:v>
      </x:c>
      <x:c r="D191" s="20" t="str">
        <x:v>asin_target</x:v>
      </x:c>
      <x:c r="E191" s="20" t="str">
        <x:v>en</x:v>
      </x:c>
      <x:c r="F191" s="20" t="str">
        <x:v>该搜索词为 ASIN 形式，需补充商品元数据后再判断用户意图。</x:v>
      </x:c>
      <x:c r="G191" s="20" t="str">
        <x:v>unknown</x:v>
      </x:c>
      <x:c r="H191" s="20" t="str">
        <x:v>low</x:v>
      </x:c>
      <x:c r="I191" s="20" t="str">
        <x:v>asin_target</x:v>
      </x:c>
      <x:c r="J191" s="20" t="str">
        <x:v>asin_metadata_pending</x:v>
      </x:c>
      <x:c r="K191" s="20" t="str">
        <x:v>asin_without_metadata</x:v>
      </x:c>
      <x:c r="L191" s="20" t="str">
        <x:v>not_applicable</x:v>
      </x:c>
      <x:c r="M191" s="20" t="str">
        <x:v>non_model</x:v>
      </x:c>
      <x:c r="N191" s="20" t="str">
        <x:v>1</x:v>
      </x:c>
      <x:c r="O191" s="20" t="str">
        <x:v>1.0.0</x:v>
      </x:c>
      <x:c r="P191" s="20" t="str">
        <x:v>1.1.0</x:v>
      </x:c>
      <x:c r="Q191" s="20" t="str">
        <x:v>deepseek/deepseek-v4-pro</x:v>
      </x:c>
      <x:c r="R191" s="20" t="str">
        <x:v>aj2-y90-20260714T234810-0bea2f52</x:v>
      </x:c>
    </x:row>
    <x:row r="192" ht="28" customHeight="1">
      <x:c r="A192" s="20" t="str">
        <x:v>B00XAIZY78</x:v>
      </x:c>
      <x:c r="B192" s="20" t="str">
        <x:v>b00xaizy78</x:v>
      </x:c>
      <x:c r="C192" s="20" t="str">
        <x:v>425451880a745dd8</x:v>
      </x:c>
      <x:c r="D192" s="20" t="str">
        <x:v>asin_target</x:v>
      </x:c>
      <x:c r="E192" s="20" t="str">
        <x:v>en</x:v>
      </x:c>
      <x:c r="F192" s="20" t="str">
        <x:v>该搜索词为 ASIN 形式，需补充商品元数据后再判断用户意图。</x:v>
      </x:c>
      <x:c r="G192" s="20" t="str">
        <x:v>unknown</x:v>
      </x:c>
      <x:c r="H192" s="20" t="str">
        <x:v>low</x:v>
      </x:c>
      <x:c r="I192" s="20" t="str">
        <x:v>asin_target</x:v>
      </x:c>
      <x:c r="J192" s="20" t="str">
        <x:v>asin_metadata_pending</x:v>
      </x:c>
      <x:c r="K192" s="20" t="str">
        <x:v>asin_without_metadata</x:v>
      </x:c>
      <x:c r="L192" s="20" t="str">
        <x:v>not_applicable</x:v>
      </x:c>
      <x:c r="M192" s="20" t="str">
        <x:v>non_model</x:v>
      </x:c>
      <x:c r="N192" s="20" t="str">
        <x:v>1</x:v>
      </x:c>
      <x:c r="O192" s="20" t="str">
        <x:v>1.0.0</x:v>
      </x:c>
      <x:c r="P192" s="20" t="str">
        <x:v>1.1.0</x:v>
      </x:c>
      <x:c r="Q192" s="20" t="str">
        <x:v>deepseek/deepseek-v4-pro</x:v>
      </x:c>
      <x:c r="R192" s="20" t="str">
        <x:v>aj2-y90-20260714T234810-0bea2f52</x:v>
      </x:c>
    </x:row>
    <x:row r="193" ht="28" customHeight="1">
      <x:c r="A193" s="20" t="str">
        <x:v>B0G48NSCRC</x:v>
      </x:c>
      <x:c r="B193" s="20" t="str">
        <x:v>b0g48nscrc</x:v>
      </x:c>
      <x:c r="C193" s="20" t="str">
        <x:v>425f21296df43f97</x:v>
      </x:c>
      <x:c r="D193" s="20" t="str">
        <x:v>asin_target</x:v>
      </x:c>
      <x:c r="E193" s="20" t="str">
        <x:v>en</x:v>
      </x:c>
      <x:c r="F193" s="20" t="str">
        <x:v>该搜索词为 ASIN 形式，需补充商品元数据后再判断用户意图。</x:v>
      </x:c>
      <x:c r="G193" s="20" t="str">
        <x:v>unknown</x:v>
      </x:c>
      <x:c r="H193" s="20" t="str">
        <x:v>low</x:v>
      </x:c>
      <x:c r="I193" s="20" t="str">
        <x:v>asin_target</x:v>
      </x:c>
      <x:c r="J193" s="20" t="str">
        <x:v>asin_metadata_pending</x:v>
      </x:c>
      <x:c r="K193" s="20" t="str">
        <x:v>asin_without_metadata</x:v>
      </x:c>
      <x:c r="L193" s="20" t="str">
        <x:v>not_applicable</x:v>
      </x:c>
      <x:c r="M193" s="20" t="str">
        <x:v>non_model</x:v>
      </x:c>
      <x:c r="N193" s="20" t="str">
        <x:v>1</x:v>
      </x:c>
      <x:c r="O193" s="20" t="str">
        <x:v>1.0.0</x:v>
      </x:c>
      <x:c r="P193" s="20" t="str">
        <x:v>1.1.0</x:v>
      </x:c>
      <x:c r="Q193" s="20" t="str">
        <x:v>deepseek/deepseek-v4-pro</x:v>
      </x:c>
      <x:c r="R193" s="20" t="str">
        <x:v>aj2-y90-20260714T234810-0bea2f52</x:v>
      </x:c>
    </x:row>
    <x:row r="194" ht="28" customHeight="1">
      <x:c r="A194" s="20" t="str">
        <x:v>B087D97QV1</x:v>
      </x:c>
      <x:c r="B194" s="20" t="str">
        <x:v>b087d97qv1</x:v>
      </x:c>
      <x:c r="C194" s="20" t="str">
        <x:v>42fb8d084012a7ca</x:v>
      </x:c>
      <x:c r="D194" s="20" t="str">
        <x:v>asin_target</x:v>
      </x:c>
      <x:c r="E194" s="20" t="str">
        <x:v>en</x:v>
      </x:c>
      <x:c r="F194" s="20" t="str">
        <x:v>该搜索词为 ASIN 形式，需补充商品元数据后再判断用户意图。</x:v>
      </x:c>
      <x:c r="G194" s="20" t="str">
        <x:v>unknown</x:v>
      </x:c>
      <x:c r="H194" s="20" t="str">
        <x:v>low</x:v>
      </x:c>
      <x:c r="I194" s="20" t="str">
        <x:v>asin_target</x:v>
      </x:c>
      <x:c r="J194" s="20" t="str">
        <x:v>asin_metadata_pending</x:v>
      </x:c>
      <x:c r="K194" s="20" t="str">
        <x:v>asin_without_metadata</x:v>
      </x:c>
      <x:c r="L194" s="20" t="str">
        <x:v>not_applicable</x:v>
      </x:c>
      <x:c r="M194" s="20" t="str">
        <x:v>non_model</x:v>
      </x:c>
      <x:c r="N194" s="20" t="str">
        <x:v>1</x:v>
      </x:c>
      <x:c r="O194" s="20" t="str">
        <x:v>1.0.0</x:v>
      </x:c>
      <x:c r="P194" s="20" t="str">
        <x:v>1.1.0</x:v>
      </x:c>
      <x:c r="Q194" s="20" t="str">
        <x:v>deepseek/deepseek-v4-pro</x:v>
      </x:c>
      <x:c r="R194" s="20" t="str">
        <x:v>aj2-y90-20260714T234810-0bea2f52</x:v>
      </x:c>
    </x:row>
    <x:row r="195" ht="28" customHeight="1">
      <x:c r="A195" s="20" t="str">
        <x:v>B0GKD8W9J1</x:v>
      </x:c>
      <x:c r="B195" s="20" t="str">
        <x:v>b0gkd8w9j1</x:v>
      </x:c>
      <x:c r="C195" s="20" t="str">
        <x:v>43241f686a93f3bc</x:v>
      </x:c>
      <x:c r="D195" s="20" t="str">
        <x:v>asin_target</x:v>
      </x:c>
      <x:c r="E195" s="20" t="str">
        <x:v>en</x:v>
      </x:c>
      <x:c r="F195" s="20" t="str">
        <x:v>该搜索词为 ASIN 形式，需补充商品元数据后再判断用户意图。</x:v>
      </x:c>
      <x:c r="G195" s="20" t="str">
        <x:v>unknown</x:v>
      </x:c>
      <x:c r="H195" s="20" t="str">
        <x:v>low</x:v>
      </x:c>
      <x:c r="I195" s="20" t="str">
        <x:v>asin_target</x:v>
      </x:c>
      <x:c r="J195" s="20" t="str">
        <x:v>asin_metadata_pending</x:v>
      </x:c>
      <x:c r="K195" s="20" t="str">
        <x:v>asin_without_metadata</x:v>
      </x:c>
      <x:c r="L195" s="20" t="str">
        <x:v>not_applicable</x:v>
      </x:c>
      <x:c r="M195" s="20" t="str">
        <x:v>non_model</x:v>
      </x:c>
      <x:c r="N195" s="20" t="str">
        <x:v>2</x:v>
      </x:c>
      <x:c r="O195" s="20" t="str">
        <x:v>1.0.0</x:v>
      </x:c>
      <x:c r="P195" s="20" t="str">
        <x:v>1.1.0</x:v>
      </x:c>
      <x:c r="Q195" s="20" t="str">
        <x:v>deepseek/deepseek-v4-pro</x:v>
      </x:c>
      <x:c r="R195" s="20" t="str">
        <x:v>aj2-y90-20260714T234810-0bea2f52</x:v>
      </x:c>
    </x:row>
    <x:row r="196" ht="28" customHeight="1">
      <x:c r="A196" s="20" t="str">
        <x:v>B081STPZVN</x:v>
      </x:c>
      <x:c r="B196" s="20" t="str">
        <x:v>b081stpzvn</x:v>
      </x:c>
      <x:c r="C196" s="20" t="str">
        <x:v>43594c96712b2fa2</x:v>
      </x:c>
      <x:c r="D196" s="20" t="str">
        <x:v>asin_target</x:v>
      </x:c>
      <x:c r="E196" s="20" t="str">
        <x:v>en</x:v>
      </x:c>
      <x:c r="F196" s="20" t="str">
        <x:v>该搜索词为 ASIN 形式，需补充商品元数据后再判断用户意图。</x:v>
      </x:c>
      <x:c r="G196" s="20" t="str">
        <x:v>unknown</x:v>
      </x:c>
      <x:c r="H196" s="20" t="str">
        <x:v>low</x:v>
      </x:c>
      <x:c r="I196" s="20" t="str">
        <x:v>asin_target</x:v>
      </x:c>
      <x:c r="J196" s="20" t="str">
        <x:v>asin_metadata_pending</x:v>
      </x:c>
      <x:c r="K196" s="20" t="str">
        <x:v>asin_without_metadata</x:v>
      </x:c>
      <x:c r="L196" s="20" t="str">
        <x:v>not_applicable</x:v>
      </x:c>
      <x:c r="M196" s="20" t="str">
        <x:v>non_model</x:v>
      </x:c>
      <x:c r="N196" s="20" t="str">
        <x:v>1</x:v>
      </x:c>
      <x:c r="O196" s="20" t="str">
        <x:v>1.0.0</x:v>
      </x:c>
      <x:c r="P196" s="20" t="str">
        <x:v>1.1.0</x:v>
      </x:c>
      <x:c r="Q196" s="20" t="str">
        <x:v>deepseek/deepseek-v4-pro</x:v>
      </x:c>
      <x:c r="R196" s="20" t="str">
        <x:v>aj2-y90-20260714T234810-0bea2f52</x:v>
      </x:c>
    </x:row>
    <x:row r="197" ht="28" customHeight="1">
      <x:c r="A197" s="20" t="str">
        <x:v>B0BBFQQXPR</x:v>
      </x:c>
      <x:c r="B197" s="20" t="str">
        <x:v>b0bbfqqxpr</x:v>
      </x:c>
      <x:c r="C197" s="20" t="str">
        <x:v>43b06470497da3d1</x:v>
      </x:c>
      <x:c r="D197" s="20" t="str">
        <x:v>asin_target</x:v>
      </x:c>
      <x:c r="E197" s="20" t="str">
        <x:v>en</x:v>
      </x:c>
      <x:c r="F197" s="20" t="str">
        <x:v>该搜索词为 ASIN 形式，需补充商品元数据后再判断用户意图。</x:v>
      </x:c>
      <x:c r="G197" s="20" t="str">
        <x:v>unknown</x:v>
      </x:c>
      <x:c r="H197" s="20" t="str">
        <x:v>low</x:v>
      </x:c>
      <x:c r="I197" s="20" t="str">
        <x:v>asin_target</x:v>
      </x:c>
      <x:c r="J197" s="20" t="str">
        <x:v>asin_metadata_pending</x:v>
      </x:c>
      <x:c r="K197" s="20" t="str">
        <x:v>asin_without_metadata</x:v>
      </x:c>
      <x:c r="L197" s="20" t="str">
        <x:v>not_applicable</x:v>
      </x:c>
      <x:c r="M197" s="20" t="str">
        <x:v>non_model</x:v>
      </x:c>
      <x:c r="N197" s="20" t="str">
        <x:v>1</x:v>
      </x:c>
      <x:c r="O197" s="20" t="str">
        <x:v>1.0.0</x:v>
      </x:c>
      <x:c r="P197" s="20" t="str">
        <x:v>1.1.0</x:v>
      </x:c>
      <x:c r="Q197" s="20" t="str">
        <x:v>deepseek/deepseek-v4-pro</x:v>
      </x:c>
      <x:c r="R197" s="20" t="str">
        <x:v>aj2-y90-20260714T234810-0bea2f52</x:v>
      </x:c>
    </x:row>
    <x:row r="198" ht="28" customHeight="1">
      <x:c r="A198" s="20" t="str">
        <x:v>B0GKDM5444</x:v>
      </x:c>
      <x:c r="B198" s="20" t="str">
        <x:v>b0gkdm5444</x:v>
      </x:c>
      <x:c r="C198" s="20" t="str">
        <x:v>43efe9a7d5311943</x:v>
      </x:c>
      <x:c r="D198" s="20" t="str">
        <x:v>asin_target</x:v>
      </x:c>
      <x:c r="E198" s="20" t="str">
        <x:v>en</x:v>
      </x:c>
      <x:c r="F198" s="20" t="str">
        <x:v>该搜索词为 ASIN 形式，需补充商品元数据后再判断用户意图。</x:v>
      </x:c>
      <x:c r="G198" s="20" t="str">
        <x:v>unknown</x:v>
      </x:c>
      <x:c r="H198" s="20" t="str">
        <x:v>low</x:v>
      </x:c>
      <x:c r="I198" s="20" t="str">
        <x:v>asin_target</x:v>
      </x:c>
      <x:c r="J198" s="20" t="str">
        <x:v>asin_metadata_pending</x:v>
      </x:c>
      <x:c r="K198" s="20" t="str">
        <x:v>asin_without_metadata</x:v>
      </x:c>
      <x:c r="L198" s="20" t="str">
        <x:v>not_applicable</x:v>
      </x:c>
      <x:c r="M198" s="20" t="str">
        <x:v>non_model</x:v>
      </x:c>
      <x:c r="N198" s="20" t="str">
        <x:v>1</x:v>
      </x:c>
      <x:c r="O198" s="20" t="str">
        <x:v>1.0.0</x:v>
      </x:c>
      <x:c r="P198" s="20" t="str">
        <x:v>1.1.0</x:v>
      </x:c>
      <x:c r="Q198" s="20" t="str">
        <x:v>deepseek/deepseek-v4-pro</x:v>
      </x:c>
      <x:c r="R198" s="20" t="str">
        <x:v>aj2-y90-20260714T234810-0bea2f52</x:v>
      </x:c>
    </x:row>
    <x:row r="199" ht="28" customHeight="1">
      <x:c r="A199" s="20" t="str">
        <x:v>B0G64CQ5R7</x:v>
      </x:c>
      <x:c r="B199" s="20" t="str">
        <x:v>b0g64cq5r7</x:v>
      </x:c>
      <x:c r="C199" s="20" t="str">
        <x:v>4484691adaab4eaa</x:v>
      </x:c>
      <x:c r="D199" s="20" t="str">
        <x:v>asin_target</x:v>
      </x:c>
      <x:c r="E199" s="20" t="str">
        <x:v>en</x:v>
      </x:c>
      <x:c r="F199" s="20" t="str">
        <x:v>该搜索词为 ASIN 形式，需补充商品元数据后再判断用户意图。</x:v>
      </x:c>
      <x:c r="G199" s="20" t="str">
        <x:v>unknown</x:v>
      </x:c>
      <x:c r="H199" s="20" t="str">
        <x:v>low</x:v>
      </x:c>
      <x:c r="I199" s="20" t="str">
        <x:v>asin_target</x:v>
      </x:c>
      <x:c r="J199" s="20" t="str">
        <x:v>asin_metadata_pending</x:v>
      </x:c>
      <x:c r="K199" s="20" t="str">
        <x:v>asin_without_metadata</x:v>
      </x:c>
      <x:c r="L199" s="20" t="str">
        <x:v>not_applicable</x:v>
      </x:c>
      <x:c r="M199" s="20" t="str">
        <x:v>non_model</x:v>
      </x:c>
      <x:c r="N199" s="20" t="str">
        <x:v>1</x:v>
      </x:c>
      <x:c r="O199" s="20" t="str">
        <x:v>1.0.0</x:v>
      </x:c>
      <x:c r="P199" s="20" t="str">
        <x:v>1.1.0</x:v>
      </x:c>
      <x:c r="Q199" s="20" t="str">
        <x:v>deepseek/deepseek-v4-pro</x:v>
      </x:c>
      <x:c r="R199" s="20" t="str">
        <x:v>aj2-y90-20260714T234810-0bea2f52</x:v>
      </x:c>
    </x:row>
    <x:row r="200" ht="28" customHeight="1">
      <x:c r="A200" s="20" t="str">
        <x:v>B0DZCN6Q8T</x:v>
      </x:c>
      <x:c r="B200" s="20" t="str">
        <x:v>b0dzcn6q8t</x:v>
      </x:c>
      <x:c r="C200" s="20" t="str">
        <x:v>453079c8f0d6449e</x:v>
      </x:c>
      <x:c r="D200" s="20" t="str">
        <x:v>asin_target</x:v>
      </x:c>
      <x:c r="E200" s="20" t="str">
        <x:v>en</x:v>
      </x:c>
      <x:c r="F200" s="20" t="str">
        <x:v>该搜索词为 ASIN 形式，需补充商品元数据后再判断用户意图。</x:v>
      </x:c>
      <x:c r="G200" s="20" t="str">
        <x:v>unknown</x:v>
      </x:c>
      <x:c r="H200" s="20" t="str">
        <x:v>low</x:v>
      </x:c>
      <x:c r="I200" s="20" t="str">
        <x:v>asin_target</x:v>
      </x:c>
      <x:c r="J200" s="20" t="str">
        <x:v>asin_metadata_pending</x:v>
      </x:c>
      <x:c r="K200" s="20" t="str">
        <x:v>asin_without_metadata</x:v>
      </x:c>
      <x:c r="L200" s="20" t="str">
        <x:v>not_applicable</x:v>
      </x:c>
      <x:c r="M200" s="20" t="str">
        <x:v>non_model</x:v>
      </x:c>
      <x:c r="N200" s="20" t="str">
        <x:v>1</x:v>
      </x:c>
      <x:c r="O200" s="20" t="str">
        <x:v>1.0.0</x:v>
      </x:c>
      <x:c r="P200" s="20" t="str">
        <x:v>1.1.0</x:v>
      </x:c>
      <x:c r="Q200" s="20" t="str">
        <x:v>deepseek/deepseek-v4-pro</x:v>
      </x:c>
      <x:c r="R200" s="20" t="str">
        <x:v>aj2-y90-20260714T234810-0bea2f52</x:v>
      </x:c>
    </x:row>
    <x:row r="201" ht="28" customHeight="1">
      <x:c r="A201" s="20" t="str">
        <x:v>B0FFCYHMH1</x:v>
      </x:c>
      <x:c r="B201" s="20" t="str">
        <x:v>b0ffcyhmh1</x:v>
      </x:c>
      <x:c r="C201" s="20" t="str">
        <x:v>45c867bec79bb866</x:v>
      </x:c>
      <x:c r="D201" s="20" t="str">
        <x:v>asin_target</x:v>
      </x:c>
      <x:c r="E201" s="20" t="str">
        <x:v>en</x:v>
      </x:c>
      <x:c r="F201" s="20" t="str">
        <x:v>该搜索词为 ASIN 形式，需补充商品元数据后再判断用户意图。</x:v>
      </x:c>
      <x:c r="G201" s="20" t="str">
        <x:v>unknown</x:v>
      </x:c>
      <x:c r="H201" s="20" t="str">
        <x:v>low</x:v>
      </x:c>
      <x:c r="I201" s="20" t="str">
        <x:v>asin_target</x:v>
      </x:c>
      <x:c r="J201" s="20" t="str">
        <x:v>asin_metadata_pending</x:v>
      </x:c>
      <x:c r="K201" s="20" t="str">
        <x:v>asin_without_metadata</x:v>
      </x:c>
      <x:c r="L201" s="20" t="str">
        <x:v>not_applicable</x:v>
      </x:c>
      <x:c r="M201" s="20" t="str">
        <x:v>non_model</x:v>
      </x:c>
      <x:c r="N201" s="20" t="str">
        <x:v>1</x:v>
      </x:c>
      <x:c r="O201" s="20" t="str">
        <x:v>1.0.0</x:v>
      </x:c>
      <x:c r="P201" s="20" t="str">
        <x:v>1.1.0</x:v>
      </x:c>
      <x:c r="Q201" s="20" t="str">
        <x:v>deepseek/deepseek-v4-pro</x:v>
      </x:c>
      <x:c r="R201" s="20" t="str">
        <x:v>aj2-y90-20260714T234810-0bea2f52</x:v>
      </x:c>
    </x:row>
    <x:row r="202" ht="28" customHeight="1">
      <x:c r="A202" s="20" t="str">
        <x:v>B0GGR8FXS1</x:v>
      </x:c>
      <x:c r="B202" s="20" t="str">
        <x:v>b0ggr8fxs1</x:v>
      </x:c>
      <x:c r="C202" s="20" t="str">
        <x:v>46cfd75f16b921e4</x:v>
      </x:c>
      <x:c r="D202" s="20" t="str">
        <x:v>asin_target</x:v>
      </x:c>
      <x:c r="E202" s="20" t="str">
        <x:v>en</x:v>
      </x:c>
      <x:c r="F202" s="20" t="str">
        <x:v>该搜索词为 ASIN 形式，需补充商品元数据后再判断用户意图。</x:v>
      </x:c>
      <x:c r="G202" s="20" t="str">
        <x:v>unknown</x:v>
      </x:c>
      <x:c r="H202" s="20" t="str">
        <x:v>low</x:v>
      </x:c>
      <x:c r="I202" s="20" t="str">
        <x:v>asin_target</x:v>
      </x:c>
      <x:c r="J202" s="20" t="str">
        <x:v>asin_metadata_pending</x:v>
      </x:c>
      <x:c r="K202" s="20" t="str">
        <x:v>asin_without_metadata</x:v>
      </x:c>
      <x:c r="L202" s="20" t="str">
        <x:v>not_applicable</x:v>
      </x:c>
      <x:c r="M202" s="20" t="str">
        <x:v>non_model</x:v>
      </x:c>
      <x:c r="N202" s="20" t="str">
        <x:v>1</x:v>
      </x:c>
      <x:c r="O202" s="20" t="str">
        <x:v>1.0.0</x:v>
      </x:c>
      <x:c r="P202" s="20" t="str">
        <x:v>1.1.0</x:v>
      </x:c>
      <x:c r="Q202" s="20" t="str">
        <x:v>deepseek/deepseek-v4-pro</x:v>
      </x:c>
      <x:c r="R202" s="20" t="str">
        <x:v>aj2-y90-20260714T234810-0bea2f52</x:v>
      </x:c>
    </x:row>
    <x:row r="203" ht="28" customHeight="1">
      <x:c r="A203" s="20" t="str">
        <x:v>B0D1NZQJCQ</x:v>
      </x:c>
      <x:c r="B203" s="20" t="str">
        <x:v>b0d1nzqjcq</x:v>
      </x:c>
      <x:c r="C203" s="20" t="str">
        <x:v>46fb2a68445a7afe</x:v>
      </x:c>
      <x:c r="D203" s="20" t="str">
        <x:v>asin_target</x:v>
      </x:c>
      <x:c r="E203" s="20" t="str">
        <x:v>en</x:v>
      </x:c>
      <x:c r="F203" s="20" t="str">
        <x:v>该搜索词为 ASIN 形式，需补充商品元数据后再判断用户意图。</x:v>
      </x:c>
      <x:c r="G203" s="20" t="str">
        <x:v>unknown</x:v>
      </x:c>
      <x:c r="H203" s="20" t="str">
        <x:v>low</x:v>
      </x:c>
      <x:c r="I203" s="20" t="str">
        <x:v>asin_target</x:v>
      </x:c>
      <x:c r="J203" s="20" t="str">
        <x:v>asin_metadata_pending</x:v>
      </x:c>
      <x:c r="K203" s="20" t="str">
        <x:v>asin_without_metadata</x:v>
      </x:c>
      <x:c r="L203" s="20" t="str">
        <x:v>not_applicable</x:v>
      </x:c>
      <x:c r="M203" s="20" t="str">
        <x:v>non_model</x:v>
      </x:c>
      <x:c r="N203" s="20" t="str">
        <x:v>1</x:v>
      </x:c>
      <x:c r="O203" s="20" t="str">
        <x:v>1.0.0</x:v>
      </x:c>
      <x:c r="P203" s="20" t="str">
        <x:v>1.1.0</x:v>
      </x:c>
      <x:c r="Q203" s="20" t="str">
        <x:v>deepseek/deepseek-v4-pro</x:v>
      </x:c>
      <x:c r="R203" s="20" t="str">
        <x:v>aj2-y90-20260714T234810-0bea2f52</x:v>
      </x:c>
    </x:row>
    <x:row r="204" ht="28" customHeight="1">
      <x:c r="A204" s="20" t="str">
        <x:v>B088BH6MC7</x:v>
      </x:c>
      <x:c r="B204" s="20" t="str">
        <x:v>b088bh6mc7</x:v>
      </x:c>
      <x:c r="C204" s="20" t="str">
        <x:v>48944c9142433aca</x:v>
      </x:c>
      <x:c r="D204" s="20" t="str">
        <x:v>asin_target</x:v>
      </x:c>
      <x:c r="E204" s="20" t="str">
        <x:v>en</x:v>
      </x:c>
      <x:c r="F204" s="20" t="str">
        <x:v>该搜索词为 ASIN 形式，需补充商品元数据后再判断用户意图。</x:v>
      </x:c>
      <x:c r="G204" s="20" t="str">
        <x:v>unknown</x:v>
      </x:c>
      <x:c r="H204" s="20" t="str">
        <x:v>low</x:v>
      </x:c>
      <x:c r="I204" s="20" t="str">
        <x:v>asin_target</x:v>
      </x:c>
      <x:c r="J204" s="20" t="str">
        <x:v>asin_metadata_pending</x:v>
      </x:c>
      <x:c r="K204" s="20" t="str">
        <x:v>asin_without_metadata</x:v>
      </x:c>
      <x:c r="L204" s="20" t="str">
        <x:v>not_applicable</x:v>
      </x:c>
      <x:c r="M204" s="20" t="str">
        <x:v>non_model</x:v>
      </x:c>
      <x:c r="N204" s="20" t="str">
        <x:v>2</x:v>
      </x:c>
      <x:c r="O204" s="20" t="str">
        <x:v>1.0.0</x:v>
      </x:c>
      <x:c r="P204" s="20" t="str">
        <x:v>1.1.0</x:v>
      </x:c>
      <x:c r="Q204" s="20" t="str">
        <x:v>deepseek/deepseek-v4-pro</x:v>
      </x:c>
      <x:c r="R204" s="20" t="str">
        <x:v>aj2-y90-20260714T234810-0bea2f52</x:v>
      </x:c>
    </x:row>
    <x:row r="205" ht="28" customHeight="1">
      <x:c r="A205" s="20" t="str">
        <x:v>B0FX4F532H</x:v>
      </x:c>
      <x:c r="B205" s="20" t="str">
        <x:v>b0fx4f532h</x:v>
      </x:c>
      <x:c r="C205" s="20" t="str">
        <x:v>4910436dcb25ddb0</x:v>
      </x:c>
      <x:c r="D205" s="20" t="str">
        <x:v>asin_target</x:v>
      </x:c>
      <x:c r="E205" s="20" t="str">
        <x:v>en</x:v>
      </x:c>
      <x:c r="F205" s="20" t="str">
        <x:v>该搜索词为 ASIN 形式，需补充商品元数据后再判断用户意图。</x:v>
      </x:c>
      <x:c r="G205" s="20" t="str">
        <x:v>unknown</x:v>
      </x:c>
      <x:c r="H205" s="20" t="str">
        <x:v>low</x:v>
      </x:c>
      <x:c r="I205" s="20" t="str">
        <x:v>asin_target</x:v>
      </x:c>
      <x:c r="J205" s="20" t="str">
        <x:v>asin_metadata_pending</x:v>
      </x:c>
      <x:c r="K205" s="20" t="str">
        <x:v>asin_without_metadata</x:v>
      </x:c>
      <x:c r="L205" s="20" t="str">
        <x:v>not_applicable</x:v>
      </x:c>
      <x:c r="M205" s="20" t="str">
        <x:v>non_model</x:v>
      </x:c>
      <x:c r="N205" s="20" t="str">
        <x:v>1</x:v>
      </x:c>
      <x:c r="O205" s="20" t="str">
        <x:v>1.0.0</x:v>
      </x:c>
      <x:c r="P205" s="20" t="str">
        <x:v>1.1.0</x:v>
      </x:c>
      <x:c r="Q205" s="20" t="str">
        <x:v>deepseek/deepseek-v4-pro</x:v>
      </x:c>
      <x:c r="R205" s="20" t="str">
        <x:v>aj2-y90-20260714T234810-0bea2f52</x:v>
      </x:c>
    </x:row>
    <x:row r="206" ht="28" customHeight="1">
      <x:c r="A206" s="20" t="str">
        <x:v>B086SYFKLP</x:v>
      </x:c>
      <x:c r="B206" s="20" t="str">
        <x:v>b086syfklp</x:v>
      </x:c>
      <x:c r="C206" s="20" t="str">
        <x:v>491ffef91ce6b33a</x:v>
      </x:c>
      <x:c r="D206" s="20" t="str">
        <x:v>asin_target</x:v>
      </x:c>
      <x:c r="E206" s="20" t="str">
        <x:v>en</x:v>
      </x:c>
      <x:c r="F206" s="20" t="str">
        <x:v>该搜索词为 ASIN 形式，需补充商品元数据后再判断用户意图。</x:v>
      </x:c>
      <x:c r="G206" s="20" t="str">
        <x:v>unknown</x:v>
      </x:c>
      <x:c r="H206" s="20" t="str">
        <x:v>low</x:v>
      </x:c>
      <x:c r="I206" s="20" t="str">
        <x:v>asin_target</x:v>
      </x:c>
      <x:c r="J206" s="20" t="str">
        <x:v>asin_metadata_pending</x:v>
      </x:c>
      <x:c r="K206" s="20" t="str">
        <x:v>asin_without_metadata</x:v>
      </x:c>
      <x:c r="L206" s="20" t="str">
        <x:v>not_applicable</x:v>
      </x:c>
      <x:c r="M206" s="20" t="str">
        <x:v>non_model</x:v>
      </x:c>
      <x:c r="N206" s="20" t="str">
        <x:v>3</x:v>
      </x:c>
      <x:c r="O206" s="20" t="str">
        <x:v>1.0.0</x:v>
      </x:c>
      <x:c r="P206" s="20" t="str">
        <x:v>1.1.0</x:v>
      </x:c>
      <x:c r="Q206" s="20" t="str">
        <x:v>deepseek/deepseek-v4-pro</x:v>
      </x:c>
      <x:c r="R206" s="20" t="str">
        <x:v>aj2-y90-20260714T234810-0bea2f52</x:v>
      </x:c>
    </x:row>
    <x:row r="207" ht="28" customHeight="1">
      <x:c r="A207" s="20" t="str">
        <x:v>B08QCT8ZWY</x:v>
      </x:c>
      <x:c r="B207" s="20" t="str">
        <x:v>b08qct8zwy</x:v>
      </x:c>
      <x:c r="C207" s="20" t="str">
        <x:v>4a1336b8559fa20e</x:v>
      </x:c>
      <x:c r="D207" s="20" t="str">
        <x:v>asin_target</x:v>
      </x:c>
      <x:c r="E207" s="20" t="str">
        <x:v>en</x:v>
      </x:c>
      <x:c r="F207" s="20" t="str">
        <x:v>该搜索词为 ASIN 形式，需补充商品元数据后再判断用户意图。</x:v>
      </x:c>
      <x:c r="G207" s="20" t="str">
        <x:v>unknown</x:v>
      </x:c>
      <x:c r="H207" s="20" t="str">
        <x:v>low</x:v>
      </x:c>
      <x:c r="I207" s="20" t="str">
        <x:v>asin_target</x:v>
      </x:c>
      <x:c r="J207" s="20" t="str">
        <x:v>asin_metadata_pending</x:v>
      </x:c>
      <x:c r="K207" s="20" t="str">
        <x:v>asin_without_metadata</x:v>
      </x:c>
      <x:c r="L207" s="20" t="str">
        <x:v>not_applicable</x:v>
      </x:c>
      <x:c r="M207" s="20" t="str">
        <x:v>non_model</x:v>
      </x:c>
      <x:c r="N207" s="20" t="str">
        <x:v>1</x:v>
      </x:c>
      <x:c r="O207" s="20" t="str">
        <x:v>1.0.0</x:v>
      </x:c>
      <x:c r="P207" s="20" t="str">
        <x:v>1.1.0</x:v>
      </x:c>
      <x:c r="Q207" s="20" t="str">
        <x:v>deepseek/deepseek-v4-pro</x:v>
      </x:c>
      <x:c r="R207" s="20" t="str">
        <x:v>aj2-y90-20260714T234810-0bea2f52</x:v>
      </x:c>
    </x:row>
    <x:row r="208" ht="28" customHeight="1">
      <x:c r="A208" s="20" t="str">
        <x:v>B0GVKD948J</x:v>
      </x:c>
      <x:c r="B208" s="20" t="str">
        <x:v>b0gvkd948j</x:v>
      </x:c>
      <x:c r="C208" s="20" t="str">
        <x:v>4a23e3bb67c86e51</x:v>
      </x:c>
      <x:c r="D208" s="20" t="str">
        <x:v>asin_target</x:v>
      </x:c>
      <x:c r="E208" s="20" t="str">
        <x:v>en</x:v>
      </x:c>
      <x:c r="F208" s="20" t="str">
        <x:v>该搜索词为 ASIN 形式，需补充商品元数据后再判断用户意图。</x:v>
      </x:c>
      <x:c r="G208" s="20" t="str">
        <x:v>unknown</x:v>
      </x:c>
      <x:c r="H208" s="20" t="str">
        <x:v>low</x:v>
      </x:c>
      <x:c r="I208" s="20" t="str">
        <x:v>asin_target</x:v>
      </x:c>
      <x:c r="J208" s="20" t="str">
        <x:v>asin_metadata_pending</x:v>
      </x:c>
      <x:c r="K208" s="20" t="str">
        <x:v>asin_without_metadata</x:v>
      </x:c>
      <x:c r="L208" s="20" t="str">
        <x:v>not_applicable</x:v>
      </x:c>
      <x:c r="M208" s="20" t="str">
        <x:v>non_model</x:v>
      </x:c>
      <x:c r="N208" s="20" t="str">
        <x:v>1</x:v>
      </x:c>
      <x:c r="O208" s="20" t="str">
        <x:v>1.0.0</x:v>
      </x:c>
      <x:c r="P208" s="20" t="str">
        <x:v>1.1.0</x:v>
      </x:c>
      <x:c r="Q208" s="20" t="str">
        <x:v>deepseek/deepseek-v4-pro</x:v>
      </x:c>
      <x:c r="R208" s="20" t="str">
        <x:v>aj2-y90-20260714T234810-0bea2f52</x:v>
      </x:c>
    </x:row>
    <x:row r="209" ht="28" customHeight="1">
      <x:c r="A209" s="20" t="str">
        <x:v>B0BRX58B8J</x:v>
      </x:c>
      <x:c r="B209" s="20" t="str">
        <x:v>b0brx58b8j</x:v>
      </x:c>
      <x:c r="C209" s="20" t="str">
        <x:v>4a33dc6657dad46f</x:v>
      </x:c>
      <x:c r="D209" s="20" t="str">
        <x:v>asin_target</x:v>
      </x:c>
      <x:c r="E209" s="20" t="str">
        <x:v>en</x:v>
      </x:c>
      <x:c r="F209" s="20" t="str">
        <x:v>该搜索词为 ASIN 形式，需补充商品元数据后再判断用户意图。</x:v>
      </x:c>
      <x:c r="G209" s="20" t="str">
        <x:v>unknown</x:v>
      </x:c>
      <x:c r="H209" s="20" t="str">
        <x:v>low</x:v>
      </x:c>
      <x:c r="I209" s="20" t="str">
        <x:v>asin_target</x:v>
      </x:c>
      <x:c r="J209" s="20" t="str">
        <x:v>asin_metadata_pending</x:v>
      </x:c>
      <x:c r="K209" s="20" t="str">
        <x:v>asin_without_metadata</x:v>
      </x:c>
      <x:c r="L209" s="20" t="str">
        <x:v>not_applicable</x:v>
      </x:c>
      <x:c r="M209" s="20" t="str">
        <x:v>non_model</x:v>
      </x:c>
      <x:c r="N209" s="20" t="str">
        <x:v>1</x:v>
      </x:c>
      <x:c r="O209" s="20" t="str">
        <x:v>1.0.0</x:v>
      </x:c>
      <x:c r="P209" s="20" t="str">
        <x:v>1.1.0</x:v>
      </x:c>
      <x:c r="Q209" s="20" t="str">
        <x:v>deepseek/deepseek-v4-pro</x:v>
      </x:c>
      <x:c r="R209" s="20" t="str">
        <x:v>aj2-y90-20260714T234810-0bea2f52</x:v>
      </x:c>
    </x:row>
    <x:row r="210" ht="28" customHeight="1">
      <x:c r="A210" s="20" t="str">
        <x:v>B0FBFFFP24</x:v>
      </x:c>
      <x:c r="B210" s="20" t="str">
        <x:v>b0fbfffp24</x:v>
      </x:c>
      <x:c r="C210" s="20" t="str">
        <x:v>4a9fb16e1d6b898f</x:v>
      </x:c>
      <x:c r="D210" s="20" t="str">
        <x:v>asin_target</x:v>
      </x:c>
      <x:c r="E210" s="20" t="str">
        <x:v>en</x:v>
      </x:c>
      <x:c r="F210" s="20" t="str">
        <x:v>该搜索词为 ASIN 形式，需补充商品元数据后再判断用户意图。</x:v>
      </x:c>
      <x:c r="G210" s="20" t="str">
        <x:v>unknown</x:v>
      </x:c>
      <x:c r="H210" s="20" t="str">
        <x:v>low</x:v>
      </x:c>
      <x:c r="I210" s="20" t="str">
        <x:v>asin_target</x:v>
      </x:c>
      <x:c r="J210" s="20" t="str">
        <x:v>asin_metadata_pending</x:v>
      </x:c>
      <x:c r="K210" s="20" t="str">
        <x:v>asin_without_metadata</x:v>
      </x:c>
      <x:c r="L210" s="20" t="str">
        <x:v>not_applicable</x:v>
      </x:c>
      <x:c r="M210" s="20" t="str">
        <x:v>non_model</x:v>
      </x:c>
      <x:c r="N210" s="20" t="str">
        <x:v>2</x:v>
      </x:c>
      <x:c r="O210" s="20" t="str">
        <x:v>1.0.0</x:v>
      </x:c>
      <x:c r="P210" s="20" t="str">
        <x:v>1.1.0</x:v>
      </x:c>
      <x:c r="Q210" s="20" t="str">
        <x:v>deepseek/deepseek-v4-pro</x:v>
      </x:c>
      <x:c r="R210" s="20" t="str">
        <x:v>aj2-y90-20260714T234810-0bea2f52</x:v>
      </x:c>
    </x:row>
    <x:row r="211" ht="28" customHeight="1">
      <x:c r="A211" s="20" t="str">
        <x:v>B09M81HFNS</x:v>
      </x:c>
      <x:c r="B211" s="20" t="str">
        <x:v>b09m81hfns</x:v>
      </x:c>
      <x:c r="C211" s="20" t="str">
        <x:v>4ab6c900f47c1180</x:v>
      </x:c>
      <x:c r="D211" s="20" t="str">
        <x:v>asin_target</x:v>
      </x:c>
      <x:c r="E211" s="20" t="str">
        <x:v>en</x:v>
      </x:c>
      <x:c r="F211" s="20" t="str">
        <x:v>该搜索词为 ASIN 形式，需补充商品元数据后再判断用户意图。</x:v>
      </x:c>
      <x:c r="G211" s="20" t="str">
        <x:v>unknown</x:v>
      </x:c>
      <x:c r="H211" s="20" t="str">
        <x:v>low</x:v>
      </x:c>
      <x:c r="I211" s="20" t="str">
        <x:v>asin_target</x:v>
      </x:c>
      <x:c r="J211" s="20" t="str">
        <x:v>asin_metadata_pending</x:v>
      </x:c>
      <x:c r="K211" s="20" t="str">
        <x:v>asin_without_metadata</x:v>
      </x:c>
      <x:c r="L211" s="20" t="str">
        <x:v>not_applicable</x:v>
      </x:c>
      <x:c r="M211" s="20" t="str">
        <x:v>non_model</x:v>
      </x:c>
      <x:c r="N211" s="20" t="str">
        <x:v>1</x:v>
      </x:c>
      <x:c r="O211" s="20" t="str">
        <x:v>1.0.0</x:v>
      </x:c>
      <x:c r="P211" s="20" t="str">
        <x:v>1.1.0</x:v>
      </x:c>
      <x:c r="Q211" s="20" t="str">
        <x:v>deepseek/deepseek-v4-pro</x:v>
      </x:c>
      <x:c r="R211" s="20" t="str">
        <x:v>aj2-y90-20260714T234810-0bea2f52</x:v>
      </x:c>
    </x:row>
    <x:row r="212" ht="28" customHeight="1">
      <x:c r="A212" s="20" t="str">
        <x:v>B073XS7BW7</x:v>
      </x:c>
      <x:c r="B212" s="20" t="str">
        <x:v>b073xs7bw7</x:v>
      </x:c>
      <x:c r="C212" s="20" t="str">
        <x:v>4ab965aa4221d412</x:v>
      </x:c>
      <x:c r="D212" s="20" t="str">
        <x:v>asin_target</x:v>
      </x:c>
      <x:c r="E212" s="20" t="str">
        <x:v>en</x:v>
      </x:c>
      <x:c r="F212" s="20" t="str">
        <x:v>该搜索词为 ASIN 形式，需补充商品元数据后再判断用户意图。</x:v>
      </x:c>
      <x:c r="G212" s="20" t="str">
        <x:v>unknown</x:v>
      </x:c>
      <x:c r="H212" s="20" t="str">
        <x:v>low</x:v>
      </x:c>
      <x:c r="I212" s="20" t="str">
        <x:v>asin_target</x:v>
      </x:c>
      <x:c r="J212" s="20" t="str">
        <x:v>asin_metadata_pending</x:v>
      </x:c>
      <x:c r="K212" s="20" t="str">
        <x:v>asin_without_metadata</x:v>
      </x:c>
      <x:c r="L212" s="20" t="str">
        <x:v>not_applicable</x:v>
      </x:c>
      <x:c r="M212" s="20" t="str">
        <x:v>non_model</x:v>
      </x:c>
      <x:c r="N212" s="20" t="str">
        <x:v>1</x:v>
      </x:c>
      <x:c r="O212" s="20" t="str">
        <x:v>1.0.0</x:v>
      </x:c>
      <x:c r="P212" s="20" t="str">
        <x:v>1.1.0</x:v>
      </x:c>
      <x:c r="Q212" s="20" t="str">
        <x:v>deepseek/deepseek-v4-pro</x:v>
      </x:c>
      <x:c r="R212" s="20" t="str">
        <x:v>aj2-y90-20260714T234810-0bea2f52</x:v>
      </x:c>
    </x:row>
    <x:row r="213" ht="28" customHeight="1">
      <x:c r="A213" s="20" t="str">
        <x:v>B0CZTFV1Q7</x:v>
      </x:c>
      <x:c r="B213" s="20" t="str">
        <x:v>b0cztfv1q7</x:v>
      </x:c>
      <x:c r="C213" s="20" t="str">
        <x:v>4ad3ac315eff4119</x:v>
      </x:c>
      <x:c r="D213" s="20" t="str">
        <x:v>asin_target</x:v>
      </x:c>
      <x:c r="E213" s="20" t="str">
        <x:v>en</x:v>
      </x:c>
      <x:c r="F213" s="20" t="str">
        <x:v>该搜索词为 ASIN 形式，需补充商品元数据后再判断用户意图。</x:v>
      </x:c>
      <x:c r="G213" s="20" t="str">
        <x:v>unknown</x:v>
      </x:c>
      <x:c r="H213" s="20" t="str">
        <x:v>low</x:v>
      </x:c>
      <x:c r="I213" s="20" t="str">
        <x:v>asin_target</x:v>
      </x:c>
      <x:c r="J213" s="20" t="str">
        <x:v>asin_metadata_pending</x:v>
      </x:c>
      <x:c r="K213" s="20" t="str">
        <x:v>asin_without_metadata</x:v>
      </x:c>
      <x:c r="L213" s="20" t="str">
        <x:v>not_applicable</x:v>
      </x:c>
      <x:c r="M213" s="20" t="str">
        <x:v>non_model</x:v>
      </x:c>
      <x:c r="N213" s="20" t="str">
        <x:v>1</x:v>
      </x:c>
      <x:c r="O213" s="20" t="str">
        <x:v>1.0.0</x:v>
      </x:c>
      <x:c r="P213" s="20" t="str">
        <x:v>1.1.0</x:v>
      </x:c>
      <x:c r="Q213" s="20" t="str">
        <x:v>deepseek/deepseek-v4-pro</x:v>
      </x:c>
      <x:c r="R213" s="20" t="str">
        <x:v>aj2-y90-20260714T234810-0bea2f52</x:v>
      </x:c>
    </x:row>
    <x:row r="214" ht="28" customHeight="1">
      <x:c r="A214" s="20" t="str">
        <x:v>B0DSP5W52M</x:v>
      </x:c>
      <x:c r="B214" s="20" t="str">
        <x:v>b0dsp5w52m</x:v>
      </x:c>
      <x:c r="C214" s="20" t="str">
        <x:v>4b7c892871bc1cfb</x:v>
      </x:c>
      <x:c r="D214" s="20" t="str">
        <x:v>asin_target</x:v>
      </x:c>
      <x:c r="E214" s="20" t="str">
        <x:v>en</x:v>
      </x:c>
      <x:c r="F214" s="20" t="str">
        <x:v>该搜索词为 ASIN 形式，需补充商品元数据后再判断用户意图。</x:v>
      </x:c>
      <x:c r="G214" s="20" t="str">
        <x:v>unknown</x:v>
      </x:c>
      <x:c r="H214" s="20" t="str">
        <x:v>low</x:v>
      </x:c>
      <x:c r="I214" s="20" t="str">
        <x:v>asin_target</x:v>
      </x:c>
      <x:c r="J214" s="20" t="str">
        <x:v>asin_metadata_pending</x:v>
      </x:c>
      <x:c r="K214" s="20" t="str">
        <x:v>asin_without_metadata</x:v>
      </x:c>
      <x:c r="L214" s="20" t="str">
        <x:v>not_applicable</x:v>
      </x:c>
      <x:c r="M214" s="20" t="str">
        <x:v>non_model</x:v>
      </x:c>
      <x:c r="N214" s="20" t="str">
        <x:v>1</x:v>
      </x:c>
      <x:c r="O214" s="20" t="str">
        <x:v>1.0.0</x:v>
      </x:c>
      <x:c r="P214" s="20" t="str">
        <x:v>1.1.0</x:v>
      </x:c>
      <x:c r="Q214" s="20" t="str">
        <x:v>deepseek/deepseek-v4-pro</x:v>
      </x:c>
      <x:c r="R214" s="20" t="str">
        <x:v>aj2-y90-20260714T234810-0bea2f52</x:v>
      </x:c>
    </x:row>
    <x:row r="215" ht="28" customHeight="1">
      <x:c r="A215" s="20" t="str">
        <x:v>B0G47LSMW2</x:v>
      </x:c>
      <x:c r="B215" s="20" t="str">
        <x:v>b0g47lsmw2</x:v>
      </x:c>
      <x:c r="C215" s="20" t="str">
        <x:v>4d9fb8192cd5932c</x:v>
      </x:c>
      <x:c r="D215" s="20" t="str">
        <x:v>asin_target</x:v>
      </x:c>
      <x:c r="E215" s="20" t="str">
        <x:v>en</x:v>
      </x:c>
      <x:c r="F215" s="20" t="str">
        <x:v>该搜索词为 ASIN 形式，需补充商品元数据后再判断用户意图。</x:v>
      </x:c>
      <x:c r="G215" s="20" t="str">
        <x:v>unknown</x:v>
      </x:c>
      <x:c r="H215" s="20" t="str">
        <x:v>low</x:v>
      </x:c>
      <x:c r="I215" s="20" t="str">
        <x:v>asin_target</x:v>
      </x:c>
      <x:c r="J215" s="20" t="str">
        <x:v>asin_metadata_pending</x:v>
      </x:c>
      <x:c r="K215" s="20" t="str">
        <x:v>asin_without_metadata</x:v>
      </x:c>
      <x:c r="L215" s="20" t="str">
        <x:v>not_applicable</x:v>
      </x:c>
      <x:c r="M215" s="20" t="str">
        <x:v>non_model</x:v>
      </x:c>
      <x:c r="N215" s="20" t="str">
        <x:v>2</x:v>
      </x:c>
      <x:c r="O215" s="20" t="str">
        <x:v>1.0.0</x:v>
      </x:c>
      <x:c r="P215" s="20" t="str">
        <x:v>1.1.0</x:v>
      </x:c>
      <x:c r="Q215" s="20" t="str">
        <x:v>deepseek/deepseek-v4-pro</x:v>
      </x:c>
      <x:c r="R215" s="20" t="str">
        <x:v>aj2-y90-20260714T234810-0bea2f52</x:v>
      </x:c>
    </x:row>
    <x:row r="216" ht="28" customHeight="1">
      <x:c r="A216" s="20" t="str">
        <x:v>B0GT89G9PS</x:v>
      </x:c>
      <x:c r="B216" s="20" t="str">
        <x:v>b0gt89g9ps</x:v>
      </x:c>
      <x:c r="C216" s="20" t="str">
        <x:v>4da66ce459509910</x:v>
      </x:c>
      <x:c r="D216" s="20" t="str">
        <x:v>asin_target</x:v>
      </x:c>
      <x:c r="E216" s="20" t="str">
        <x:v>en</x:v>
      </x:c>
      <x:c r="F216" s="20" t="str">
        <x:v>该搜索词为 ASIN 形式，需补充商品元数据后再判断用户意图。</x:v>
      </x:c>
      <x:c r="G216" s="20" t="str">
        <x:v>unknown</x:v>
      </x:c>
      <x:c r="H216" s="20" t="str">
        <x:v>low</x:v>
      </x:c>
      <x:c r="I216" s="20" t="str">
        <x:v>asin_target</x:v>
      </x:c>
      <x:c r="J216" s="20" t="str">
        <x:v>asin_metadata_pending</x:v>
      </x:c>
      <x:c r="K216" s="20" t="str">
        <x:v>asin_without_metadata</x:v>
      </x:c>
      <x:c r="L216" s="20" t="str">
        <x:v>not_applicable</x:v>
      </x:c>
      <x:c r="M216" s="20" t="str">
        <x:v>non_model</x:v>
      </x:c>
      <x:c r="N216" s="20" t="str">
        <x:v>1</x:v>
      </x:c>
      <x:c r="O216" s="20" t="str">
        <x:v>1.0.0</x:v>
      </x:c>
      <x:c r="P216" s="20" t="str">
        <x:v>1.1.0</x:v>
      </x:c>
      <x:c r="Q216" s="20" t="str">
        <x:v>deepseek/deepseek-v4-pro</x:v>
      </x:c>
      <x:c r="R216" s="20" t="str">
        <x:v>aj2-y90-20260714T234810-0bea2f52</x:v>
      </x:c>
    </x:row>
    <x:row r="217" ht="28" customHeight="1">
      <x:c r="A217" s="20" t="str">
        <x:v>B0GKP2XKBB</x:v>
      </x:c>
      <x:c r="B217" s="20" t="str">
        <x:v>b0gkp2xkbb</x:v>
      </x:c>
      <x:c r="C217" s="20" t="str">
        <x:v>4df2e25dcba08b0a</x:v>
      </x:c>
      <x:c r="D217" s="20" t="str">
        <x:v>asin_target</x:v>
      </x:c>
      <x:c r="E217" s="20" t="str">
        <x:v>en</x:v>
      </x:c>
      <x:c r="F217" s="20" t="str">
        <x:v>该搜索词为 ASIN 形式，需补充商品元数据后再判断用户意图。</x:v>
      </x:c>
      <x:c r="G217" s="20" t="str">
        <x:v>unknown</x:v>
      </x:c>
      <x:c r="H217" s="20" t="str">
        <x:v>low</x:v>
      </x:c>
      <x:c r="I217" s="20" t="str">
        <x:v>asin_target</x:v>
      </x:c>
      <x:c r="J217" s="20" t="str">
        <x:v>asin_metadata_pending</x:v>
      </x:c>
      <x:c r="K217" s="20" t="str">
        <x:v>asin_without_metadata</x:v>
      </x:c>
      <x:c r="L217" s="20" t="str">
        <x:v>not_applicable</x:v>
      </x:c>
      <x:c r="M217" s="20" t="str">
        <x:v>non_model</x:v>
      </x:c>
      <x:c r="N217" s="20" t="str">
        <x:v>1</x:v>
      </x:c>
      <x:c r="O217" s="20" t="str">
        <x:v>1.0.0</x:v>
      </x:c>
      <x:c r="P217" s="20" t="str">
        <x:v>1.1.0</x:v>
      </x:c>
      <x:c r="Q217" s="20" t="str">
        <x:v>deepseek/deepseek-v4-pro</x:v>
      </x:c>
      <x:c r="R217" s="20" t="str">
        <x:v>aj2-y90-20260714T234810-0bea2f52</x:v>
      </x:c>
    </x:row>
    <x:row r="218" ht="28" customHeight="1">
      <x:c r="A218" s="20" t="str">
        <x:v>B0G47NQKL8</x:v>
      </x:c>
      <x:c r="B218" s="20" t="str">
        <x:v>b0g47nqkl8</x:v>
      </x:c>
      <x:c r="C218" s="20" t="str">
        <x:v>4e498722d4a8354d</x:v>
      </x:c>
      <x:c r="D218" s="20" t="str">
        <x:v>asin_target</x:v>
      </x:c>
      <x:c r="E218" s="20" t="str">
        <x:v>en</x:v>
      </x:c>
      <x:c r="F218" s="20" t="str">
        <x:v>该搜索词为 ASIN 形式，需补充商品元数据后再判断用户意图。</x:v>
      </x:c>
      <x:c r="G218" s="20" t="str">
        <x:v>unknown</x:v>
      </x:c>
      <x:c r="H218" s="20" t="str">
        <x:v>low</x:v>
      </x:c>
      <x:c r="I218" s="20" t="str">
        <x:v>asin_target</x:v>
      </x:c>
      <x:c r="J218" s="20" t="str">
        <x:v>asin_metadata_pending</x:v>
      </x:c>
      <x:c r="K218" s="20" t="str">
        <x:v>asin_without_metadata</x:v>
      </x:c>
      <x:c r="L218" s="20" t="str">
        <x:v>not_applicable</x:v>
      </x:c>
      <x:c r="M218" s="20" t="str">
        <x:v>non_model</x:v>
      </x:c>
      <x:c r="N218" s="20" t="str">
        <x:v>1</x:v>
      </x:c>
      <x:c r="O218" s="20" t="str">
        <x:v>1.0.0</x:v>
      </x:c>
      <x:c r="P218" s="20" t="str">
        <x:v>1.1.0</x:v>
      </x:c>
      <x:c r="Q218" s="20" t="str">
        <x:v>deepseek/deepseek-v4-pro</x:v>
      </x:c>
      <x:c r="R218" s="20" t="str">
        <x:v>aj2-y90-20260714T234810-0bea2f52</x:v>
      </x:c>
    </x:row>
    <x:row r="219" ht="28" customHeight="1">
      <x:c r="A219" s="20" t="str">
        <x:v>B0FGKSPJ4B</x:v>
      </x:c>
      <x:c r="B219" s="20" t="str">
        <x:v>b0fgkspj4b</x:v>
      </x:c>
      <x:c r="C219" s="20" t="str">
        <x:v>4e54b33803632ea3</x:v>
      </x:c>
      <x:c r="D219" s="20" t="str">
        <x:v>asin_target</x:v>
      </x:c>
      <x:c r="E219" s="20" t="str">
        <x:v>en</x:v>
      </x:c>
      <x:c r="F219" s="20" t="str">
        <x:v>该搜索词为 ASIN 形式，需补充商品元数据后再判断用户意图。</x:v>
      </x:c>
      <x:c r="G219" s="20" t="str">
        <x:v>unknown</x:v>
      </x:c>
      <x:c r="H219" s="20" t="str">
        <x:v>low</x:v>
      </x:c>
      <x:c r="I219" s="20" t="str">
        <x:v>asin_target</x:v>
      </x:c>
      <x:c r="J219" s="20" t="str">
        <x:v>asin_metadata_pending</x:v>
      </x:c>
      <x:c r="K219" s="20" t="str">
        <x:v>asin_without_metadata</x:v>
      </x:c>
      <x:c r="L219" s="20" t="str">
        <x:v>not_applicable</x:v>
      </x:c>
      <x:c r="M219" s="20" t="str">
        <x:v>non_model</x:v>
      </x:c>
      <x:c r="N219" s="20" t="str">
        <x:v>1</x:v>
      </x:c>
      <x:c r="O219" s="20" t="str">
        <x:v>1.0.0</x:v>
      </x:c>
      <x:c r="P219" s="20" t="str">
        <x:v>1.1.0</x:v>
      </x:c>
      <x:c r="Q219" s="20" t="str">
        <x:v>deepseek/deepseek-v4-pro</x:v>
      </x:c>
      <x:c r="R219" s="20" t="str">
        <x:v>aj2-y90-20260714T234810-0bea2f52</x:v>
      </x:c>
    </x:row>
    <x:row r="220" ht="28" customHeight="1">
      <x:c r="A220" s="20" t="str">
        <x:v>B0CF58563N</x:v>
      </x:c>
      <x:c r="B220" s="20" t="str">
        <x:v>b0cf58563n</x:v>
      </x:c>
      <x:c r="C220" s="20" t="str">
        <x:v>4f0136c8dda6786c</x:v>
      </x:c>
      <x:c r="D220" s="20" t="str">
        <x:v>asin_target</x:v>
      </x:c>
      <x:c r="E220" s="20" t="str">
        <x:v>en</x:v>
      </x:c>
      <x:c r="F220" s="20" t="str">
        <x:v>该搜索词为 ASIN 形式，需补充商品元数据后再判断用户意图。</x:v>
      </x:c>
      <x:c r="G220" s="20" t="str">
        <x:v>unknown</x:v>
      </x:c>
      <x:c r="H220" s="20" t="str">
        <x:v>low</x:v>
      </x:c>
      <x:c r="I220" s="20" t="str">
        <x:v>asin_target</x:v>
      </x:c>
      <x:c r="J220" s="20" t="str">
        <x:v>asin_metadata_pending</x:v>
      </x:c>
      <x:c r="K220" s="20" t="str">
        <x:v>asin_without_metadata</x:v>
      </x:c>
      <x:c r="L220" s="20" t="str">
        <x:v>not_applicable</x:v>
      </x:c>
      <x:c r="M220" s="20" t="str">
        <x:v>non_model</x:v>
      </x:c>
      <x:c r="N220" s="20" t="str">
        <x:v>1</x:v>
      </x:c>
      <x:c r="O220" s="20" t="str">
        <x:v>1.0.0</x:v>
      </x:c>
      <x:c r="P220" s="20" t="str">
        <x:v>1.1.0</x:v>
      </x:c>
      <x:c r="Q220" s="20" t="str">
        <x:v>deepseek/deepseek-v4-pro</x:v>
      </x:c>
      <x:c r="R220" s="20" t="str">
        <x:v>aj2-y90-20260714T234810-0bea2f52</x:v>
      </x:c>
    </x:row>
    <x:row r="221" ht="28" customHeight="1">
      <x:c r="A221" s="20" t="str">
        <x:v>B0DMF3GLDL</x:v>
      </x:c>
      <x:c r="B221" s="20" t="str">
        <x:v>b0dmf3gldl</x:v>
      </x:c>
      <x:c r="C221" s="20" t="str">
        <x:v>4f30a42cb3954602</x:v>
      </x:c>
      <x:c r="D221" s="20" t="str">
        <x:v>asin_target</x:v>
      </x:c>
      <x:c r="E221" s="20" t="str">
        <x:v>en</x:v>
      </x:c>
      <x:c r="F221" s="20" t="str">
        <x:v>该搜索词为 ASIN 形式，需补充商品元数据后再判断用户意图。</x:v>
      </x:c>
      <x:c r="G221" s="20" t="str">
        <x:v>unknown</x:v>
      </x:c>
      <x:c r="H221" s="20" t="str">
        <x:v>low</x:v>
      </x:c>
      <x:c r="I221" s="20" t="str">
        <x:v>asin_target</x:v>
      </x:c>
      <x:c r="J221" s="20" t="str">
        <x:v>asin_metadata_pending</x:v>
      </x:c>
      <x:c r="K221" s="20" t="str">
        <x:v>asin_without_metadata</x:v>
      </x:c>
      <x:c r="L221" s="20" t="str">
        <x:v>not_applicable</x:v>
      </x:c>
      <x:c r="M221" s="20" t="str">
        <x:v>non_model</x:v>
      </x:c>
      <x:c r="N221" s="20" t="str">
        <x:v>1</x:v>
      </x:c>
      <x:c r="O221" s="20" t="str">
        <x:v>1.0.0</x:v>
      </x:c>
      <x:c r="P221" s="20" t="str">
        <x:v>1.1.0</x:v>
      </x:c>
      <x:c r="Q221" s="20" t="str">
        <x:v>deepseek/deepseek-v4-pro</x:v>
      </x:c>
      <x:c r="R221" s="20" t="str">
        <x:v>aj2-y90-20260714T234810-0bea2f52</x:v>
      </x:c>
    </x:row>
    <x:row r="222" ht="28" customHeight="1">
      <x:c r="A222" s="20" t="str">
        <x:v>B09NB97SZH</x:v>
      </x:c>
      <x:c r="B222" s="20" t="str">
        <x:v>b09nb97szh</x:v>
      </x:c>
      <x:c r="C222" s="20" t="str">
        <x:v>4f62aace49802695</x:v>
      </x:c>
      <x:c r="D222" s="20" t="str">
        <x:v>asin_target</x:v>
      </x:c>
      <x:c r="E222" s="20" t="str">
        <x:v>en</x:v>
      </x:c>
      <x:c r="F222" s="20" t="str">
        <x:v>该搜索词为 ASIN 形式，需补充商品元数据后再判断用户意图。</x:v>
      </x:c>
      <x:c r="G222" s="20" t="str">
        <x:v>unknown</x:v>
      </x:c>
      <x:c r="H222" s="20" t="str">
        <x:v>low</x:v>
      </x:c>
      <x:c r="I222" s="20" t="str">
        <x:v>asin_target</x:v>
      </x:c>
      <x:c r="J222" s="20" t="str">
        <x:v>asin_metadata_pending</x:v>
      </x:c>
      <x:c r="K222" s="20" t="str">
        <x:v>asin_without_metadata</x:v>
      </x:c>
      <x:c r="L222" s="20" t="str">
        <x:v>not_applicable</x:v>
      </x:c>
      <x:c r="M222" s="20" t="str">
        <x:v>non_model</x:v>
      </x:c>
      <x:c r="N222" s="20" t="str">
        <x:v>1</x:v>
      </x:c>
      <x:c r="O222" s="20" t="str">
        <x:v>1.0.0</x:v>
      </x:c>
      <x:c r="P222" s="20" t="str">
        <x:v>1.1.0</x:v>
      </x:c>
      <x:c r="Q222" s="20" t="str">
        <x:v>deepseek/deepseek-v4-pro</x:v>
      </x:c>
      <x:c r="R222" s="20" t="str">
        <x:v>aj2-y90-20260714T234810-0bea2f52</x:v>
      </x:c>
    </x:row>
    <x:row r="223" ht="28" customHeight="1">
      <x:c r="A223" s="20" t="str">
        <x:v>B08883K86Y</x:v>
      </x:c>
      <x:c r="B223" s="20" t="str">
        <x:v>b08883k86y</x:v>
      </x:c>
      <x:c r="C223" s="20" t="str">
        <x:v>4f9c043935c3b665</x:v>
      </x:c>
      <x:c r="D223" s="20" t="str">
        <x:v>asin_target</x:v>
      </x:c>
      <x:c r="E223" s="20" t="str">
        <x:v>en</x:v>
      </x:c>
      <x:c r="F223" s="20" t="str">
        <x:v>该搜索词为 ASIN 形式，需补充商品元数据后再判断用户意图。</x:v>
      </x:c>
      <x:c r="G223" s="20" t="str">
        <x:v>unknown</x:v>
      </x:c>
      <x:c r="H223" s="20" t="str">
        <x:v>low</x:v>
      </x:c>
      <x:c r="I223" s="20" t="str">
        <x:v>asin_target</x:v>
      </x:c>
      <x:c r="J223" s="20" t="str">
        <x:v>asin_metadata_pending</x:v>
      </x:c>
      <x:c r="K223" s="20" t="str">
        <x:v>asin_without_metadata</x:v>
      </x:c>
      <x:c r="L223" s="20" t="str">
        <x:v>not_applicable</x:v>
      </x:c>
      <x:c r="M223" s="20" t="str">
        <x:v>non_model</x:v>
      </x:c>
      <x:c r="N223" s="20" t="str">
        <x:v>1</x:v>
      </x:c>
      <x:c r="O223" s="20" t="str">
        <x:v>1.0.0</x:v>
      </x:c>
      <x:c r="P223" s="20" t="str">
        <x:v>1.1.0</x:v>
      </x:c>
      <x:c r="Q223" s="20" t="str">
        <x:v>deepseek/deepseek-v4-pro</x:v>
      </x:c>
      <x:c r="R223" s="20" t="str">
        <x:v>aj2-y90-20260714T234810-0bea2f52</x:v>
      </x:c>
    </x:row>
    <x:row r="224" ht="28" customHeight="1">
      <x:c r="A224" s="20" t="str">
        <x:v>B088B8FSSQ</x:v>
      </x:c>
      <x:c r="B224" s="20" t="str">
        <x:v>b088b8fssq</x:v>
      </x:c>
      <x:c r="C224" s="20" t="str">
        <x:v>4fc2f4f1696afbd3</x:v>
      </x:c>
      <x:c r="D224" s="20" t="str">
        <x:v>asin_target</x:v>
      </x:c>
      <x:c r="E224" s="20" t="str">
        <x:v>en</x:v>
      </x:c>
      <x:c r="F224" s="20" t="str">
        <x:v>该搜索词为 ASIN 形式，需补充商品元数据后再判断用户意图。</x:v>
      </x:c>
      <x:c r="G224" s="20" t="str">
        <x:v>unknown</x:v>
      </x:c>
      <x:c r="H224" s="20" t="str">
        <x:v>low</x:v>
      </x:c>
      <x:c r="I224" s="20" t="str">
        <x:v>asin_target</x:v>
      </x:c>
      <x:c r="J224" s="20" t="str">
        <x:v>asin_metadata_pending</x:v>
      </x:c>
      <x:c r="K224" s="20" t="str">
        <x:v>asin_without_metadata</x:v>
      </x:c>
      <x:c r="L224" s="20" t="str">
        <x:v>not_applicable</x:v>
      </x:c>
      <x:c r="M224" s="20" t="str">
        <x:v>non_model</x:v>
      </x:c>
      <x:c r="N224" s="20" t="str">
        <x:v>1</x:v>
      </x:c>
      <x:c r="O224" s="20" t="str">
        <x:v>1.0.0</x:v>
      </x:c>
      <x:c r="P224" s="20" t="str">
        <x:v>1.1.0</x:v>
      </x:c>
      <x:c r="Q224" s="20" t="str">
        <x:v>deepseek/deepseek-v4-pro</x:v>
      </x:c>
      <x:c r="R224" s="20" t="str">
        <x:v>aj2-y90-20260714T234810-0bea2f52</x:v>
      </x:c>
    </x:row>
    <x:row r="225" ht="28" customHeight="1">
      <x:c r="A225" s="20" t="str">
        <x:v>B0FXX4QF1Q</x:v>
      </x:c>
      <x:c r="B225" s="20" t="str">
        <x:v>b0fxx4qf1q</x:v>
      </x:c>
      <x:c r="C225" s="20" t="str">
        <x:v>5029e1f05fea137a</x:v>
      </x:c>
      <x:c r="D225" s="20" t="str">
        <x:v>asin_target</x:v>
      </x:c>
      <x:c r="E225" s="20" t="str">
        <x:v>en</x:v>
      </x:c>
      <x:c r="F225" s="20" t="str">
        <x:v>该搜索词为 ASIN 形式，需补充商品元数据后再判断用户意图。</x:v>
      </x:c>
      <x:c r="G225" s="20" t="str">
        <x:v>unknown</x:v>
      </x:c>
      <x:c r="H225" s="20" t="str">
        <x:v>low</x:v>
      </x:c>
      <x:c r="I225" s="20" t="str">
        <x:v>asin_target</x:v>
      </x:c>
      <x:c r="J225" s="20" t="str">
        <x:v>asin_metadata_pending</x:v>
      </x:c>
      <x:c r="K225" s="20" t="str">
        <x:v>asin_without_metadata</x:v>
      </x:c>
      <x:c r="L225" s="20" t="str">
        <x:v>not_applicable</x:v>
      </x:c>
      <x:c r="M225" s="20" t="str">
        <x:v>non_model</x:v>
      </x:c>
      <x:c r="N225" s="20" t="str">
        <x:v>1</x:v>
      </x:c>
      <x:c r="O225" s="20" t="str">
        <x:v>1.0.0</x:v>
      </x:c>
      <x:c r="P225" s="20" t="str">
        <x:v>1.1.0</x:v>
      </x:c>
      <x:c r="Q225" s="20" t="str">
        <x:v>deepseek/deepseek-v4-pro</x:v>
      </x:c>
      <x:c r="R225" s="20" t="str">
        <x:v>aj2-y90-20260714T234810-0bea2f52</x:v>
      </x:c>
    </x:row>
    <x:row r="226" ht="28" customHeight="1">
      <x:c r="A226" s="20" t="str">
        <x:v>B0G47QCN1R</x:v>
      </x:c>
      <x:c r="B226" s="20" t="str">
        <x:v>b0g47qcn1r</x:v>
      </x:c>
      <x:c r="C226" s="20" t="str">
        <x:v>5070a25e2513d473</x:v>
      </x:c>
      <x:c r="D226" s="20" t="str">
        <x:v>asin_target</x:v>
      </x:c>
      <x:c r="E226" s="20" t="str">
        <x:v>en</x:v>
      </x:c>
      <x:c r="F226" s="20" t="str">
        <x:v>该搜索词为 ASIN 形式，需补充商品元数据后再判断用户意图。</x:v>
      </x:c>
      <x:c r="G226" s="20" t="str">
        <x:v>unknown</x:v>
      </x:c>
      <x:c r="H226" s="20" t="str">
        <x:v>low</x:v>
      </x:c>
      <x:c r="I226" s="20" t="str">
        <x:v>asin_target</x:v>
      </x:c>
      <x:c r="J226" s="20" t="str">
        <x:v>asin_metadata_pending</x:v>
      </x:c>
      <x:c r="K226" s="20" t="str">
        <x:v>asin_without_metadata</x:v>
      </x:c>
      <x:c r="L226" s="20" t="str">
        <x:v>not_applicable</x:v>
      </x:c>
      <x:c r="M226" s="20" t="str">
        <x:v>non_model</x:v>
      </x:c>
      <x:c r="N226" s="20" t="str">
        <x:v>1</x:v>
      </x:c>
      <x:c r="O226" s="20" t="str">
        <x:v>1.0.0</x:v>
      </x:c>
      <x:c r="P226" s="20" t="str">
        <x:v>1.1.0</x:v>
      </x:c>
      <x:c r="Q226" s="20" t="str">
        <x:v>deepseek/deepseek-v4-pro</x:v>
      </x:c>
      <x:c r="R226" s="20" t="str">
        <x:v>aj2-y90-20260714T234810-0bea2f52</x:v>
      </x:c>
    </x:row>
    <x:row r="227" ht="28" customHeight="1">
      <x:c r="A227" s="20" t="str">
        <x:v>B0GLD9RZ7J</x:v>
      </x:c>
      <x:c r="B227" s="20" t="str">
        <x:v>b0gld9rz7j</x:v>
      </x:c>
      <x:c r="C227" s="20" t="str">
        <x:v>50a88a50c4d51bda</x:v>
      </x:c>
      <x:c r="D227" s="20" t="str">
        <x:v>asin_target</x:v>
      </x:c>
      <x:c r="E227" s="20" t="str">
        <x:v>en</x:v>
      </x:c>
      <x:c r="F227" s="20" t="str">
        <x:v>该搜索词为 ASIN 形式，需补充商品元数据后再判断用户意图。</x:v>
      </x:c>
      <x:c r="G227" s="20" t="str">
        <x:v>unknown</x:v>
      </x:c>
      <x:c r="H227" s="20" t="str">
        <x:v>low</x:v>
      </x:c>
      <x:c r="I227" s="20" t="str">
        <x:v>asin_target</x:v>
      </x:c>
      <x:c r="J227" s="20" t="str">
        <x:v>asin_metadata_pending</x:v>
      </x:c>
      <x:c r="K227" s="20" t="str">
        <x:v>asin_without_metadata</x:v>
      </x:c>
      <x:c r="L227" s="20" t="str">
        <x:v>not_applicable</x:v>
      </x:c>
      <x:c r="M227" s="20" t="str">
        <x:v>non_model</x:v>
      </x:c>
      <x:c r="N227" s="20" t="str">
        <x:v>1</x:v>
      </x:c>
      <x:c r="O227" s="20" t="str">
        <x:v>1.0.0</x:v>
      </x:c>
      <x:c r="P227" s="20" t="str">
        <x:v>1.1.0</x:v>
      </x:c>
      <x:c r="Q227" s="20" t="str">
        <x:v>deepseek/deepseek-v4-pro</x:v>
      </x:c>
      <x:c r="R227" s="20" t="str">
        <x:v>aj2-y90-20260714T234810-0bea2f52</x:v>
      </x:c>
    </x:row>
    <x:row r="228" ht="28" customHeight="1">
      <x:c r="A228" s="20" t="str">
        <x:v>B09SWXHVBR</x:v>
      </x:c>
      <x:c r="B228" s="20" t="str">
        <x:v>b09swxhvbr</x:v>
      </x:c>
      <x:c r="C228" s="20" t="str">
        <x:v>512b782a6f0bcbcf</x:v>
      </x:c>
      <x:c r="D228" s="20" t="str">
        <x:v>asin_target</x:v>
      </x:c>
      <x:c r="E228" s="20" t="str">
        <x:v>en</x:v>
      </x:c>
      <x:c r="F228" s="20" t="str">
        <x:v>该搜索词为 ASIN 形式，需补充商品元数据后再判断用户意图。</x:v>
      </x:c>
      <x:c r="G228" s="20" t="str">
        <x:v>unknown</x:v>
      </x:c>
      <x:c r="H228" s="20" t="str">
        <x:v>low</x:v>
      </x:c>
      <x:c r="I228" s="20" t="str">
        <x:v>asin_target</x:v>
      </x:c>
      <x:c r="J228" s="20" t="str">
        <x:v>asin_metadata_pending</x:v>
      </x:c>
      <x:c r="K228" s="20" t="str">
        <x:v>asin_without_metadata</x:v>
      </x:c>
      <x:c r="L228" s="20" t="str">
        <x:v>not_applicable</x:v>
      </x:c>
      <x:c r="M228" s="20" t="str">
        <x:v>non_model</x:v>
      </x:c>
      <x:c r="N228" s="20" t="str">
        <x:v>2</x:v>
      </x:c>
      <x:c r="O228" s="20" t="str">
        <x:v>1.0.0</x:v>
      </x:c>
      <x:c r="P228" s="20" t="str">
        <x:v>1.1.0</x:v>
      </x:c>
      <x:c r="Q228" s="20" t="str">
        <x:v>deepseek/deepseek-v4-pro</x:v>
      </x:c>
      <x:c r="R228" s="20" t="str">
        <x:v>aj2-y90-20260714T234810-0bea2f52</x:v>
      </x:c>
    </x:row>
    <x:row r="229" ht="28" customHeight="1">
      <x:c r="A229" s="20" t="str">
        <x:v>B0G48KHQXQ</x:v>
      </x:c>
      <x:c r="B229" s="20" t="str">
        <x:v>b0g48khqxq</x:v>
      </x:c>
      <x:c r="C229" s="20" t="str">
        <x:v>515267b8df7a684c</x:v>
      </x:c>
      <x:c r="D229" s="20" t="str">
        <x:v>asin_target</x:v>
      </x:c>
      <x:c r="E229" s="20" t="str">
        <x:v>en</x:v>
      </x:c>
      <x:c r="F229" s="20" t="str">
        <x:v>该搜索词为 ASIN 形式，需补充商品元数据后再判断用户意图。</x:v>
      </x:c>
      <x:c r="G229" s="20" t="str">
        <x:v>unknown</x:v>
      </x:c>
      <x:c r="H229" s="20" t="str">
        <x:v>low</x:v>
      </x:c>
      <x:c r="I229" s="20" t="str">
        <x:v>asin_target</x:v>
      </x:c>
      <x:c r="J229" s="20" t="str">
        <x:v>asin_metadata_pending</x:v>
      </x:c>
      <x:c r="K229" s="20" t="str">
        <x:v>asin_without_metadata</x:v>
      </x:c>
      <x:c r="L229" s="20" t="str">
        <x:v>not_applicable</x:v>
      </x:c>
      <x:c r="M229" s="20" t="str">
        <x:v>non_model</x:v>
      </x:c>
      <x:c r="N229" s="20" t="str">
        <x:v>1</x:v>
      </x:c>
      <x:c r="O229" s="20" t="str">
        <x:v>1.0.0</x:v>
      </x:c>
      <x:c r="P229" s="20" t="str">
        <x:v>1.1.0</x:v>
      </x:c>
      <x:c r="Q229" s="20" t="str">
        <x:v>deepseek/deepseek-v4-pro</x:v>
      </x:c>
      <x:c r="R229" s="20" t="str">
        <x:v>aj2-y90-20260714T234810-0bea2f52</x:v>
      </x:c>
    </x:row>
    <x:row r="230" ht="28" customHeight="1">
      <x:c r="A230" s="20" t="str">
        <x:v>B0FR42YM65</x:v>
      </x:c>
      <x:c r="B230" s="20" t="str">
        <x:v>b0fr42ym65</x:v>
      </x:c>
      <x:c r="C230" s="20" t="str">
        <x:v>516ef2974d0c25bd</x:v>
      </x:c>
      <x:c r="D230" s="20" t="str">
        <x:v>asin_target</x:v>
      </x:c>
      <x:c r="E230" s="20" t="str">
        <x:v>en</x:v>
      </x:c>
      <x:c r="F230" s="20" t="str">
        <x:v>该搜索词为 ASIN 形式，需补充商品元数据后再判断用户意图。</x:v>
      </x:c>
      <x:c r="G230" s="20" t="str">
        <x:v>unknown</x:v>
      </x:c>
      <x:c r="H230" s="20" t="str">
        <x:v>low</x:v>
      </x:c>
      <x:c r="I230" s="20" t="str">
        <x:v>asin_target</x:v>
      </x:c>
      <x:c r="J230" s="20" t="str">
        <x:v>asin_metadata_pending</x:v>
      </x:c>
      <x:c r="K230" s="20" t="str">
        <x:v>asin_without_metadata</x:v>
      </x:c>
      <x:c r="L230" s="20" t="str">
        <x:v>not_applicable</x:v>
      </x:c>
      <x:c r="M230" s="20" t="str">
        <x:v>non_model</x:v>
      </x:c>
      <x:c r="N230" s="20" t="str">
        <x:v>1</x:v>
      </x:c>
      <x:c r="O230" s="20" t="str">
        <x:v>1.0.0</x:v>
      </x:c>
      <x:c r="P230" s="20" t="str">
        <x:v>1.1.0</x:v>
      </x:c>
      <x:c r="Q230" s="20" t="str">
        <x:v>deepseek/deepseek-v4-pro</x:v>
      </x:c>
      <x:c r="R230" s="20" t="str">
        <x:v>aj2-y90-20260714T234810-0bea2f52</x:v>
      </x:c>
    </x:row>
    <x:row r="231" ht="28" customHeight="1">
      <x:c r="A231" s="20" t="str">
        <x:v>B0GJRSBZW9</x:v>
      </x:c>
      <x:c r="B231" s="20" t="str">
        <x:v>b0gjrsbzw9</x:v>
      </x:c>
      <x:c r="C231" s="20" t="str">
        <x:v>51995bfd0ac08e43</x:v>
      </x:c>
      <x:c r="D231" s="20" t="str">
        <x:v>asin_target</x:v>
      </x:c>
      <x:c r="E231" s="20" t="str">
        <x:v>en</x:v>
      </x:c>
      <x:c r="F231" s="20" t="str">
        <x:v>该搜索词为 ASIN 形式，需补充商品元数据后再判断用户意图。</x:v>
      </x:c>
      <x:c r="G231" s="20" t="str">
        <x:v>unknown</x:v>
      </x:c>
      <x:c r="H231" s="20" t="str">
        <x:v>low</x:v>
      </x:c>
      <x:c r="I231" s="20" t="str">
        <x:v>asin_target</x:v>
      </x:c>
      <x:c r="J231" s="20" t="str">
        <x:v>asin_metadata_pending</x:v>
      </x:c>
      <x:c r="K231" s="20" t="str">
        <x:v>asin_without_metadata</x:v>
      </x:c>
      <x:c r="L231" s="20" t="str">
        <x:v>not_applicable</x:v>
      </x:c>
      <x:c r="M231" s="20" t="str">
        <x:v>non_model</x:v>
      </x:c>
      <x:c r="N231" s="20" t="str">
        <x:v>2</x:v>
      </x:c>
      <x:c r="O231" s="20" t="str">
        <x:v>1.0.0</x:v>
      </x:c>
      <x:c r="P231" s="20" t="str">
        <x:v>1.1.0</x:v>
      </x:c>
      <x:c r="Q231" s="20" t="str">
        <x:v>deepseek/deepseek-v4-pro</x:v>
      </x:c>
      <x:c r="R231" s="20" t="str">
        <x:v>aj2-y90-20260714T234810-0bea2f52</x:v>
      </x:c>
    </x:row>
    <x:row r="232" ht="28" customHeight="1">
      <x:c r="A232" s="20" t="str">
        <x:v>B0GGR4JYLX</x:v>
      </x:c>
      <x:c r="B232" s="20" t="str">
        <x:v>b0ggr4jylx</x:v>
      </x:c>
      <x:c r="C232" s="20" t="str">
        <x:v>51bb258c6fff3bd4</x:v>
      </x:c>
      <x:c r="D232" s="20" t="str">
        <x:v>asin_target</x:v>
      </x:c>
      <x:c r="E232" s="20" t="str">
        <x:v>en</x:v>
      </x:c>
      <x:c r="F232" s="20" t="str">
        <x:v>该搜索词为 ASIN 形式，需补充商品元数据后再判断用户意图。</x:v>
      </x:c>
      <x:c r="G232" s="20" t="str">
        <x:v>unknown</x:v>
      </x:c>
      <x:c r="H232" s="20" t="str">
        <x:v>low</x:v>
      </x:c>
      <x:c r="I232" s="20" t="str">
        <x:v>asin_target</x:v>
      </x:c>
      <x:c r="J232" s="20" t="str">
        <x:v>asin_metadata_pending</x:v>
      </x:c>
      <x:c r="K232" s="20" t="str">
        <x:v>asin_without_metadata</x:v>
      </x:c>
      <x:c r="L232" s="20" t="str">
        <x:v>not_applicable</x:v>
      </x:c>
      <x:c r="M232" s="20" t="str">
        <x:v>non_model</x:v>
      </x:c>
      <x:c r="N232" s="20" t="str">
        <x:v>3</x:v>
      </x:c>
      <x:c r="O232" s="20" t="str">
        <x:v>1.0.0</x:v>
      </x:c>
      <x:c r="P232" s="20" t="str">
        <x:v>1.1.0</x:v>
      </x:c>
      <x:c r="Q232" s="20" t="str">
        <x:v>deepseek/deepseek-v4-pro</x:v>
      </x:c>
      <x:c r="R232" s="20" t="str">
        <x:v>aj2-y90-20260714T234810-0bea2f52</x:v>
      </x:c>
    </x:row>
    <x:row r="233" ht="28" customHeight="1">
      <x:c r="A233" s="20" t="str">
        <x:v>B09MVWJQNZ</x:v>
      </x:c>
      <x:c r="B233" s="20" t="str">
        <x:v>b09mvwjqnz</x:v>
      </x:c>
      <x:c r="C233" s="20" t="str">
        <x:v>5232d3def17bb2b2</x:v>
      </x:c>
      <x:c r="D233" s="20" t="str">
        <x:v>asin_target</x:v>
      </x:c>
      <x:c r="E233" s="20" t="str">
        <x:v>en</x:v>
      </x:c>
      <x:c r="F233" s="20" t="str">
        <x:v>该搜索词为 ASIN 形式，需补充商品元数据后再判断用户意图。</x:v>
      </x:c>
      <x:c r="G233" s="20" t="str">
        <x:v>unknown</x:v>
      </x:c>
      <x:c r="H233" s="20" t="str">
        <x:v>low</x:v>
      </x:c>
      <x:c r="I233" s="20" t="str">
        <x:v>asin_target</x:v>
      </x:c>
      <x:c r="J233" s="20" t="str">
        <x:v>asin_metadata_pending</x:v>
      </x:c>
      <x:c r="K233" s="20" t="str">
        <x:v>asin_without_metadata</x:v>
      </x:c>
      <x:c r="L233" s="20" t="str">
        <x:v>not_applicable</x:v>
      </x:c>
      <x:c r="M233" s="20" t="str">
        <x:v>non_model</x:v>
      </x:c>
      <x:c r="N233" s="20" t="str">
        <x:v>1</x:v>
      </x:c>
      <x:c r="O233" s="20" t="str">
        <x:v>1.0.0</x:v>
      </x:c>
      <x:c r="P233" s="20" t="str">
        <x:v>1.1.0</x:v>
      </x:c>
      <x:c r="Q233" s="20" t="str">
        <x:v>deepseek/deepseek-v4-pro</x:v>
      </x:c>
      <x:c r="R233" s="20" t="str">
        <x:v>aj2-y90-20260714T234810-0bea2f52</x:v>
      </x:c>
    </x:row>
    <x:row r="234" ht="28" customHeight="1">
      <x:c r="A234" s="20" t="str">
        <x:v>B0GGQYY71Z</x:v>
      </x:c>
      <x:c r="B234" s="20" t="str">
        <x:v>b0ggqyy71z</x:v>
      </x:c>
      <x:c r="C234" s="20" t="str">
        <x:v>529bd9406fd59fce</x:v>
      </x:c>
      <x:c r="D234" s="20" t="str">
        <x:v>asin_target</x:v>
      </x:c>
      <x:c r="E234" s="20" t="str">
        <x:v>en</x:v>
      </x:c>
      <x:c r="F234" s="20" t="str">
        <x:v>该搜索词为 ASIN 形式，需补充商品元数据后再判断用户意图。</x:v>
      </x:c>
      <x:c r="G234" s="20" t="str">
        <x:v>unknown</x:v>
      </x:c>
      <x:c r="H234" s="20" t="str">
        <x:v>low</x:v>
      </x:c>
      <x:c r="I234" s="20" t="str">
        <x:v>asin_target</x:v>
      </x:c>
      <x:c r="J234" s="20" t="str">
        <x:v>asin_metadata_pending</x:v>
      </x:c>
      <x:c r="K234" s="20" t="str">
        <x:v>asin_without_metadata</x:v>
      </x:c>
      <x:c r="L234" s="20" t="str">
        <x:v>not_applicable</x:v>
      </x:c>
      <x:c r="M234" s="20" t="str">
        <x:v>non_model</x:v>
      </x:c>
      <x:c r="N234" s="20" t="str">
        <x:v>1</x:v>
      </x:c>
      <x:c r="O234" s="20" t="str">
        <x:v>1.0.0</x:v>
      </x:c>
      <x:c r="P234" s="20" t="str">
        <x:v>1.1.0</x:v>
      </x:c>
      <x:c r="Q234" s="20" t="str">
        <x:v>deepseek/deepseek-v4-pro</x:v>
      </x:c>
      <x:c r="R234" s="20" t="str">
        <x:v>aj2-y90-20260714T234810-0bea2f52</x:v>
      </x:c>
    </x:row>
    <x:row r="235" ht="28" customHeight="1">
      <x:c r="A235" s="20" t="str">
        <x:v>B0GLFFG417</x:v>
      </x:c>
      <x:c r="B235" s="20" t="str">
        <x:v>b0glffg417</x:v>
      </x:c>
      <x:c r="C235" s="20" t="str">
        <x:v>52bb369cfc56440e</x:v>
      </x:c>
      <x:c r="D235" s="20" t="str">
        <x:v>asin_target</x:v>
      </x:c>
      <x:c r="E235" s="20" t="str">
        <x:v>en</x:v>
      </x:c>
      <x:c r="F235" s="20" t="str">
        <x:v>该搜索词为 ASIN 形式，需补充商品元数据后再判断用户意图。</x:v>
      </x:c>
      <x:c r="G235" s="20" t="str">
        <x:v>unknown</x:v>
      </x:c>
      <x:c r="H235" s="20" t="str">
        <x:v>low</x:v>
      </x:c>
      <x:c r="I235" s="20" t="str">
        <x:v>asin_target</x:v>
      </x:c>
      <x:c r="J235" s="20" t="str">
        <x:v>asin_metadata_pending</x:v>
      </x:c>
      <x:c r="K235" s="20" t="str">
        <x:v>asin_without_metadata</x:v>
      </x:c>
      <x:c r="L235" s="20" t="str">
        <x:v>not_applicable</x:v>
      </x:c>
      <x:c r="M235" s="20" t="str">
        <x:v>non_model</x:v>
      </x:c>
      <x:c r="N235" s="20" t="str">
        <x:v>1</x:v>
      </x:c>
      <x:c r="O235" s="20" t="str">
        <x:v>1.0.0</x:v>
      </x:c>
      <x:c r="P235" s="20" t="str">
        <x:v>1.1.0</x:v>
      </x:c>
      <x:c r="Q235" s="20" t="str">
        <x:v>deepseek/deepseek-v4-pro</x:v>
      </x:c>
      <x:c r="R235" s="20" t="str">
        <x:v>aj2-y90-20260714T234810-0bea2f52</x:v>
      </x:c>
    </x:row>
    <x:row r="236" ht="28" customHeight="1">
      <x:c r="A236" s="20" t="str">
        <x:v>B0BKBS2Q32</x:v>
      </x:c>
      <x:c r="B236" s="20" t="str">
        <x:v>b0bkbs2q32</x:v>
      </x:c>
      <x:c r="C236" s="20" t="str">
        <x:v>52db339b0f72a40b</x:v>
      </x:c>
      <x:c r="D236" s="20" t="str">
        <x:v>asin_target</x:v>
      </x:c>
      <x:c r="E236" s="20" t="str">
        <x:v>en</x:v>
      </x:c>
      <x:c r="F236" s="20" t="str">
        <x:v>该搜索词为 ASIN 形式，需补充商品元数据后再判断用户意图。</x:v>
      </x:c>
      <x:c r="G236" s="20" t="str">
        <x:v>unknown</x:v>
      </x:c>
      <x:c r="H236" s="20" t="str">
        <x:v>low</x:v>
      </x:c>
      <x:c r="I236" s="20" t="str">
        <x:v>asin_target</x:v>
      </x:c>
      <x:c r="J236" s="20" t="str">
        <x:v>asin_metadata_pending</x:v>
      </x:c>
      <x:c r="K236" s="20" t="str">
        <x:v>asin_without_metadata</x:v>
      </x:c>
      <x:c r="L236" s="20" t="str">
        <x:v>not_applicable</x:v>
      </x:c>
      <x:c r="M236" s="20" t="str">
        <x:v>non_model</x:v>
      </x:c>
      <x:c r="N236" s="20" t="str">
        <x:v>1</x:v>
      </x:c>
      <x:c r="O236" s="20" t="str">
        <x:v>1.0.0</x:v>
      </x:c>
      <x:c r="P236" s="20" t="str">
        <x:v>1.1.0</x:v>
      </x:c>
      <x:c r="Q236" s="20" t="str">
        <x:v>deepseek/deepseek-v4-pro</x:v>
      </x:c>
      <x:c r="R236" s="20" t="str">
        <x:v>aj2-y90-20260714T234810-0bea2f52</x:v>
      </x:c>
    </x:row>
    <x:row r="237" ht="28" customHeight="1">
      <x:c r="A237" s="20" t="str">
        <x:v>B0GJRBMZ4N</x:v>
      </x:c>
      <x:c r="B237" s="20" t="str">
        <x:v>b0gjrbmz4n</x:v>
      </x:c>
      <x:c r="C237" s="20" t="str">
        <x:v>5338a54fbfde56a6</x:v>
      </x:c>
      <x:c r="D237" s="20" t="str">
        <x:v>asin_target</x:v>
      </x:c>
      <x:c r="E237" s="20" t="str">
        <x:v>en</x:v>
      </x:c>
      <x:c r="F237" s="20" t="str">
        <x:v>该搜索词为 ASIN 形式，需补充商品元数据后再判断用户意图。</x:v>
      </x:c>
      <x:c r="G237" s="20" t="str">
        <x:v>unknown</x:v>
      </x:c>
      <x:c r="H237" s="20" t="str">
        <x:v>low</x:v>
      </x:c>
      <x:c r="I237" s="20" t="str">
        <x:v>asin_target</x:v>
      </x:c>
      <x:c r="J237" s="20" t="str">
        <x:v>asin_metadata_pending</x:v>
      </x:c>
      <x:c r="K237" s="20" t="str">
        <x:v>asin_without_metadata</x:v>
      </x:c>
      <x:c r="L237" s="20" t="str">
        <x:v>not_applicable</x:v>
      </x:c>
      <x:c r="M237" s="20" t="str">
        <x:v>non_model</x:v>
      </x:c>
      <x:c r="N237" s="20" t="str">
        <x:v>1</x:v>
      </x:c>
      <x:c r="O237" s="20" t="str">
        <x:v>1.0.0</x:v>
      </x:c>
      <x:c r="P237" s="20" t="str">
        <x:v>1.1.0</x:v>
      </x:c>
      <x:c r="Q237" s="20" t="str">
        <x:v>deepseek/deepseek-v4-pro</x:v>
      </x:c>
      <x:c r="R237" s="20" t="str">
        <x:v>aj2-y90-20260714T234810-0bea2f52</x:v>
      </x:c>
    </x:row>
    <x:row r="238" ht="28" customHeight="1">
      <x:c r="A238" s="20" t="str">
        <x:v>B0872BH13Z</x:v>
      </x:c>
      <x:c r="B238" s="20" t="str">
        <x:v>b0872bh13z</x:v>
      </x:c>
      <x:c r="C238" s="20" t="str">
        <x:v>534d788fac0c3021</x:v>
      </x:c>
      <x:c r="D238" s="20" t="str">
        <x:v>asin_target</x:v>
      </x:c>
      <x:c r="E238" s="20" t="str">
        <x:v>en</x:v>
      </x:c>
      <x:c r="F238" s="20" t="str">
        <x:v>该搜索词为 ASIN 形式，需补充商品元数据后再判断用户意图。</x:v>
      </x:c>
      <x:c r="G238" s="20" t="str">
        <x:v>unknown</x:v>
      </x:c>
      <x:c r="H238" s="20" t="str">
        <x:v>low</x:v>
      </x:c>
      <x:c r="I238" s="20" t="str">
        <x:v>asin_target</x:v>
      </x:c>
      <x:c r="J238" s="20" t="str">
        <x:v>asin_metadata_pending</x:v>
      </x:c>
      <x:c r="K238" s="20" t="str">
        <x:v>asin_without_metadata</x:v>
      </x:c>
      <x:c r="L238" s="20" t="str">
        <x:v>not_applicable</x:v>
      </x:c>
      <x:c r="M238" s="20" t="str">
        <x:v>non_model</x:v>
      </x:c>
      <x:c r="N238" s="20" t="str">
        <x:v>1</x:v>
      </x:c>
      <x:c r="O238" s="20" t="str">
        <x:v>1.0.0</x:v>
      </x:c>
      <x:c r="P238" s="20" t="str">
        <x:v>1.1.0</x:v>
      </x:c>
      <x:c r="Q238" s="20" t="str">
        <x:v>deepseek/deepseek-v4-pro</x:v>
      </x:c>
      <x:c r="R238" s="20" t="str">
        <x:v>aj2-y90-20260714T234810-0bea2f52</x:v>
      </x:c>
    </x:row>
    <x:row r="239" ht="28" customHeight="1">
      <x:c r="A239" s="20" t="str">
        <x:v>B092YZFH8Q</x:v>
      </x:c>
      <x:c r="B239" s="20" t="str">
        <x:v>b092yzfh8q</x:v>
      </x:c>
      <x:c r="C239" s="20" t="str">
        <x:v>53bee8786d3c5b19</x:v>
      </x:c>
      <x:c r="D239" s="20" t="str">
        <x:v>asin_target</x:v>
      </x:c>
      <x:c r="E239" s="20" t="str">
        <x:v>en</x:v>
      </x:c>
      <x:c r="F239" s="20" t="str">
        <x:v>该搜索词为 ASIN 形式，需补充商品元数据后再判断用户意图。</x:v>
      </x:c>
      <x:c r="G239" s="20" t="str">
        <x:v>unknown</x:v>
      </x:c>
      <x:c r="H239" s="20" t="str">
        <x:v>low</x:v>
      </x:c>
      <x:c r="I239" s="20" t="str">
        <x:v>asin_target</x:v>
      </x:c>
      <x:c r="J239" s="20" t="str">
        <x:v>asin_metadata_pending</x:v>
      </x:c>
      <x:c r="K239" s="20" t="str">
        <x:v>asin_without_metadata</x:v>
      </x:c>
      <x:c r="L239" s="20" t="str">
        <x:v>not_applicable</x:v>
      </x:c>
      <x:c r="M239" s="20" t="str">
        <x:v>non_model</x:v>
      </x:c>
      <x:c r="N239" s="20" t="str">
        <x:v>1</x:v>
      </x:c>
      <x:c r="O239" s="20" t="str">
        <x:v>1.0.0</x:v>
      </x:c>
      <x:c r="P239" s="20" t="str">
        <x:v>1.1.0</x:v>
      </x:c>
      <x:c r="Q239" s="20" t="str">
        <x:v>deepseek/deepseek-v4-pro</x:v>
      </x:c>
      <x:c r="R239" s="20" t="str">
        <x:v>aj2-y90-20260714T234810-0bea2f52</x:v>
      </x:c>
    </x:row>
    <x:row r="240" ht="28" customHeight="1">
      <x:c r="A240" s="20" t="str">
        <x:v>B0GGR18QWY</x:v>
      </x:c>
      <x:c r="B240" s="20" t="str">
        <x:v>b0ggr18qwy</x:v>
      </x:c>
      <x:c r="C240" s="20" t="str">
        <x:v>53e25e20a91f26e8</x:v>
      </x:c>
      <x:c r="D240" s="20" t="str">
        <x:v>asin_target</x:v>
      </x:c>
      <x:c r="E240" s="20" t="str">
        <x:v>en</x:v>
      </x:c>
      <x:c r="F240" s="20" t="str">
        <x:v>该搜索词为 ASIN 形式，需补充商品元数据后再判断用户意图。</x:v>
      </x:c>
      <x:c r="G240" s="20" t="str">
        <x:v>unknown</x:v>
      </x:c>
      <x:c r="H240" s="20" t="str">
        <x:v>low</x:v>
      </x:c>
      <x:c r="I240" s="20" t="str">
        <x:v>asin_target</x:v>
      </x:c>
      <x:c r="J240" s="20" t="str">
        <x:v>asin_metadata_pending</x:v>
      </x:c>
      <x:c r="K240" s="20" t="str">
        <x:v>asin_without_metadata</x:v>
      </x:c>
      <x:c r="L240" s="20" t="str">
        <x:v>not_applicable</x:v>
      </x:c>
      <x:c r="M240" s="20" t="str">
        <x:v>non_model</x:v>
      </x:c>
      <x:c r="N240" s="20" t="str">
        <x:v>2</x:v>
      </x:c>
      <x:c r="O240" s="20" t="str">
        <x:v>1.0.0</x:v>
      </x:c>
      <x:c r="P240" s="20" t="str">
        <x:v>1.1.0</x:v>
      </x:c>
      <x:c r="Q240" s="20" t="str">
        <x:v>deepseek/deepseek-v4-pro</x:v>
      </x:c>
      <x:c r="R240" s="20" t="str">
        <x:v>aj2-y90-20260714T234810-0bea2f52</x:v>
      </x:c>
    </x:row>
    <x:row r="241" ht="28" customHeight="1">
      <x:c r="A241" s="20" t="str">
        <x:v>B0G48M77GN</x:v>
      </x:c>
      <x:c r="B241" s="20" t="str">
        <x:v>b0g48m77gn</x:v>
      </x:c>
      <x:c r="C241" s="20" t="str">
        <x:v>5436b6bc3a36068e</x:v>
      </x:c>
      <x:c r="D241" s="20" t="str">
        <x:v>asin_target</x:v>
      </x:c>
      <x:c r="E241" s="20" t="str">
        <x:v>en</x:v>
      </x:c>
      <x:c r="F241" s="20" t="str">
        <x:v>该搜索词为 ASIN 形式，需补充商品元数据后再判断用户意图。</x:v>
      </x:c>
      <x:c r="G241" s="20" t="str">
        <x:v>unknown</x:v>
      </x:c>
      <x:c r="H241" s="20" t="str">
        <x:v>low</x:v>
      </x:c>
      <x:c r="I241" s="20" t="str">
        <x:v>asin_target</x:v>
      </x:c>
      <x:c r="J241" s="20" t="str">
        <x:v>asin_metadata_pending</x:v>
      </x:c>
      <x:c r="K241" s="20" t="str">
        <x:v>asin_without_metadata</x:v>
      </x:c>
      <x:c r="L241" s="20" t="str">
        <x:v>not_applicable</x:v>
      </x:c>
      <x:c r="M241" s="20" t="str">
        <x:v>non_model</x:v>
      </x:c>
      <x:c r="N241" s="20" t="str">
        <x:v>2</x:v>
      </x:c>
      <x:c r="O241" s="20" t="str">
        <x:v>1.0.0</x:v>
      </x:c>
      <x:c r="P241" s="20" t="str">
        <x:v>1.1.0</x:v>
      </x:c>
      <x:c r="Q241" s="20" t="str">
        <x:v>deepseek/deepseek-v4-pro</x:v>
      </x:c>
      <x:c r="R241" s="20" t="str">
        <x:v>aj2-y90-20260714T234810-0bea2f52</x:v>
      </x:c>
    </x:row>
    <x:row r="242" ht="28" customHeight="1">
      <x:c r="A242" s="20" t="str">
        <x:v>B0DND7JL7W</x:v>
      </x:c>
      <x:c r="B242" s="20" t="str">
        <x:v>b0dnd7jl7w</x:v>
      </x:c>
      <x:c r="C242" s="20" t="str">
        <x:v>5499ecc8b102caa0</x:v>
      </x:c>
      <x:c r="D242" s="20" t="str">
        <x:v>asin_target</x:v>
      </x:c>
      <x:c r="E242" s="20" t="str">
        <x:v>en</x:v>
      </x:c>
      <x:c r="F242" s="20" t="str">
        <x:v>该搜索词为 ASIN 形式，需补充商品元数据后再判断用户意图。</x:v>
      </x:c>
      <x:c r="G242" s="20" t="str">
        <x:v>unknown</x:v>
      </x:c>
      <x:c r="H242" s="20" t="str">
        <x:v>low</x:v>
      </x:c>
      <x:c r="I242" s="20" t="str">
        <x:v>asin_target</x:v>
      </x:c>
      <x:c r="J242" s="20" t="str">
        <x:v>asin_metadata_pending</x:v>
      </x:c>
      <x:c r="K242" s="20" t="str">
        <x:v>asin_without_metadata</x:v>
      </x:c>
      <x:c r="L242" s="20" t="str">
        <x:v>not_applicable</x:v>
      </x:c>
      <x:c r="M242" s="20" t="str">
        <x:v>non_model</x:v>
      </x:c>
      <x:c r="N242" s="20" t="str">
        <x:v>1</x:v>
      </x:c>
      <x:c r="O242" s="20" t="str">
        <x:v>1.0.0</x:v>
      </x:c>
      <x:c r="P242" s="20" t="str">
        <x:v>1.1.0</x:v>
      </x:c>
      <x:c r="Q242" s="20" t="str">
        <x:v>deepseek/deepseek-v4-pro</x:v>
      </x:c>
      <x:c r="R242" s="20" t="str">
        <x:v>aj2-y90-20260714T234810-0bea2f52</x:v>
      </x:c>
    </x:row>
    <x:row r="243" ht="28" customHeight="1">
      <x:c r="A243" s="20" t="str">
        <x:v>B0GW228H5Z</x:v>
      </x:c>
      <x:c r="B243" s="20" t="str">
        <x:v>b0gw228h5z</x:v>
      </x:c>
      <x:c r="C243" s="20" t="str">
        <x:v>54ad364f872c98c3</x:v>
      </x:c>
      <x:c r="D243" s="20" t="str">
        <x:v>asin_target</x:v>
      </x:c>
      <x:c r="E243" s="20" t="str">
        <x:v>en</x:v>
      </x:c>
      <x:c r="F243" s="20" t="str">
        <x:v>该搜索词为 ASIN 形式，需补充商品元数据后再判断用户意图。</x:v>
      </x:c>
      <x:c r="G243" s="20" t="str">
        <x:v>unknown</x:v>
      </x:c>
      <x:c r="H243" s="20" t="str">
        <x:v>low</x:v>
      </x:c>
      <x:c r="I243" s="20" t="str">
        <x:v>asin_target</x:v>
      </x:c>
      <x:c r="J243" s="20" t="str">
        <x:v>asin_metadata_pending</x:v>
      </x:c>
      <x:c r="K243" s="20" t="str">
        <x:v>asin_without_metadata</x:v>
      </x:c>
      <x:c r="L243" s="20" t="str">
        <x:v>not_applicable</x:v>
      </x:c>
      <x:c r="M243" s="20" t="str">
        <x:v>non_model</x:v>
      </x:c>
      <x:c r="N243" s="20" t="str">
        <x:v>1</x:v>
      </x:c>
      <x:c r="O243" s="20" t="str">
        <x:v>1.0.0</x:v>
      </x:c>
      <x:c r="P243" s="20" t="str">
        <x:v>1.1.0</x:v>
      </x:c>
      <x:c r="Q243" s="20" t="str">
        <x:v>deepseek/deepseek-v4-pro</x:v>
      </x:c>
      <x:c r="R243" s="20" t="str">
        <x:v>aj2-y90-20260714T234810-0bea2f52</x:v>
      </x:c>
    </x:row>
    <x:row r="244" ht="28" customHeight="1">
      <x:c r="A244" s="20" t="str">
        <x:v>B0GGQR7W4T</x:v>
      </x:c>
      <x:c r="B244" s="20" t="str">
        <x:v>b0ggqr7w4t</x:v>
      </x:c>
      <x:c r="C244" s="20" t="str">
        <x:v>54c89c7c04ec20a4</x:v>
      </x:c>
      <x:c r="D244" s="20" t="str">
        <x:v>asin_target</x:v>
      </x:c>
      <x:c r="E244" s="20" t="str">
        <x:v>en</x:v>
      </x:c>
      <x:c r="F244" s="20" t="str">
        <x:v>该搜索词为 ASIN 形式，需补充商品元数据后再判断用户意图。</x:v>
      </x:c>
      <x:c r="G244" s="20" t="str">
        <x:v>unknown</x:v>
      </x:c>
      <x:c r="H244" s="20" t="str">
        <x:v>low</x:v>
      </x:c>
      <x:c r="I244" s="20" t="str">
        <x:v>asin_target</x:v>
      </x:c>
      <x:c r="J244" s="20" t="str">
        <x:v>asin_metadata_pending</x:v>
      </x:c>
      <x:c r="K244" s="20" t="str">
        <x:v>asin_without_metadata</x:v>
      </x:c>
      <x:c r="L244" s="20" t="str">
        <x:v>not_applicable</x:v>
      </x:c>
      <x:c r="M244" s="20" t="str">
        <x:v>non_model</x:v>
      </x:c>
      <x:c r="N244" s="20" t="str">
        <x:v>1</x:v>
      </x:c>
      <x:c r="O244" s="20" t="str">
        <x:v>1.0.0</x:v>
      </x:c>
      <x:c r="P244" s="20" t="str">
        <x:v>1.1.0</x:v>
      </x:c>
      <x:c r="Q244" s="20" t="str">
        <x:v>deepseek/deepseek-v4-pro</x:v>
      </x:c>
      <x:c r="R244" s="20" t="str">
        <x:v>aj2-y90-20260714T234810-0bea2f52</x:v>
      </x:c>
    </x:row>
    <x:row r="245" ht="28" customHeight="1">
      <x:c r="A245" s="20" t="str">
        <x:v>B0DSMXFHZN</x:v>
      </x:c>
      <x:c r="B245" s="20" t="str">
        <x:v>b0dsmxfhzn</x:v>
      </x:c>
      <x:c r="C245" s="20" t="str">
        <x:v>551b72db8a04676f</x:v>
      </x:c>
      <x:c r="D245" s="20" t="str">
        <x:v>asin_target</x:v>
      </x:c>
      <x:c r="E245" s="20" t="str">
        <x:v>en</x:v>
      </x:c>
      <x:c r="F245" s="20" t="str">
        <x:v>该搜索词为 ASIN 形式，需补充商品元数据后再判断用户意图。</x:v>
      </x:c>
      <x:c r="G245" s="20" t="str">
        <x:v>unknown</x:v>
      </x:c>
      <x:c r="H245" s="20" t="str">
        <x:v>low</x:v>
      </x:c>
      <x:c r="I245" s="20" t="str">
        <x:v>asin_target</x:v>
      </x:c>
      <x:c r="J245" s="20" t="str">
        <x:v>asin_metadata_pending</x:v>
      </x:c>
      <x:c r="K245" s="20" t="str">
        <x:v>asin_without_metadata</x:v>
      </x:c>
      <x:c r="L245" s="20" t="str">
        <x:v>not_applicable</x:v>
      </x:c>
      <x:c r="M245" s="20" t="str">
        <x:v>non_model</x:v>
      </x:c>
      <x:c r="N245" s="20" t="str">
        <x:v>1</x:v>
      </x:c>
      <x:c r="O245" s="20" t="str">
        <x:v>1.0.0</x:v>
      </x:c>
      <x:c r="P245" s="20" t="str">
        <x:v>1.1.0</x:v>
      </x:c>
      <x:c r="Q245" s="20" t="str">
        <x:v>deepseek/deepseek-v4-pro</x:v>
      </x:c>
      <x:c r="R245" s="20" t="str">
        <x:v>aj2-y90-20260714T234810-0bea2f52</x:v>
      </x:c>
    </x:row>
    <x:row r="246" ht="28" customHeight="1">
      <x:c r="A246" s="20" t="str">
        <x:v>B0GZNPP1JH</x:v>
      </x:c>
      <x:c r="B246" s="20" t="str">
        <x:v>b0gznpp1jh</x:v>
      </x:c>
      <x:c r="C246" s="20" t="str">
        <x:v>555396ef7df89889</x:v>
      </x:c>
      <x:c r="D246" s="20" t="str">
        <x:v>asin_target</x:v>
      </x:c>
      <x:c r="E246" s="20" t="str">
        <x:v>en</x:v>
      </x:c>
      <x:c r="F246" s="20" t="str">
        <x:v>该搜索词为 ASIN 形式，需补充商品元数据后再判断用户意图。</x:v>
      </x:c>
      <x:c r="G246" s="20" t="str">
        <x:v>unknown</x:v>
      </x:c>
      <x:c r="H246" s="20" t="str">
        <x:v>low</x:v>
      </x:c>
      <x:c r="I246" s="20" t="str">
        <x:v>asin_target</x:v>
      </x:c>
      <x:c r="J246" s="20" t="str">
        <x:v>asin_metadata_pending</x:v>
      </x:c>
      <x:c r="K246" s="20" t="str">
        <x:v>asin_without_metadata</x:v>
      </x:c>
      <x:c r="L246" s="20" t="str">
        <x:v>not_applicable</x:v>
      </x:c>
      <x:c r="M246" s="20" t="str">
        <x:v>non_model</x:v>
      </x:c>
      <x:c r="N246" s="20" t="str">
        <x:v>1</x:v>
      </x:c>
      <x:c r="O246" s="20" t="str">
        <x:v>1.0.0</x:v>
      </x:c>
      <x:c r="P246" s="20" t="str">
        <x:v>1.1.0</x:v>
      </x:c>
      <x:c r="Q246" s="20" t="str">
        <x:v>deepseek/deepseek-v4-pro</x:v>
      </x:c>
      <x:c r="R246" s="20" t="str">
        <x:v>aj2-y90-20260714T234810-0bea2f52</x:v>
      </x:c>
    </x:row>
    <x:row r="247" ht="28" customHeight="1">
      <x:c r="A247" s="20" t="str">
        <x:v>B0GGQWWF27</x:v>
      </x:c>
      <x:c r="B247" s="20" t="str">
        <x:v>b0ggqwwf27</x:v>
      </x:c>
      <x:c r="C247" s="20" t="str">
        <x:v>5593be02eab8fb24</x:v>
      </x:c>
      <x:c r="D247" s="20" t="str">
        <x:v>asin_target</x:v>
      </x:c>
      <x:c r="E247" s="20" t="str">
        <x:v>en</x:v>
      </x:c>
      <x:c r="F247" s="20" t="str">
        <x:v>该搜索词为 ASIN 形式，需补充商品元数据后再判断用户意图。</x:v>
      </x:c>
      <x:c r="G247" s="20" t="str">
        <x:v>unknown</x:v>
      </x:c>
      <x:c r="H247" s="20" t="str">
        <x:v>low</x:v>
      </x:c>
      <x:c r="I247" s="20" t="str">
        <x:v>asin_target</x:v>
      </x:c>
      <x:c r="J247" s="20" t="str">
        <x:v>asin_metadata_pending</x:v>
      </x:c>
      <x:c r="K247" s="20" t="str">
        <x:v>asin_without_metadata</x:v>
      </x:c>
      <x:c r="L247" s="20" t="str">
        <x:v>not_applicable</x:v>
      </x:c>
      <x:c r="M247" s="20" t="str">
        <x:v>non_model</x:v>
      </x:c>
      <x:c r="N247" s="20" t="str">
        <x:v>1</x:v>
      </x:c>
      <x:c r="O247" s="20" t="str">
        <x:v>1.0.0</x:v>
      </x:c>
      <x:c r="P247" s="20" t="str">
        <x:v>1.1.0</x:v>
      </x:c>
      <x:c r="Q247" s="20" t="str">
        <x:v>deepseek/deepseek-v4-pro</x:v>
      </x:c>
      <x:c r="R247" s="20" t="str">
        <x:v>aj2-y90-20260714T234810-0bea2f52</x:v>
      </x:c>
    </x:row>
    <x:row r="248" ht="28" customHeight="1">
      <x:c r="A248" s="20" t="str">
        <x:v>B0GS9B9KT5</x:v>
      </x:c>
      <x:c r="B248" s="20" t="str">
        <x:v>b0gs9b9kt5</x:v>
      </x:c>
      <x:c r="C248" s="20" t="str">
        <x:v>55aa65c26d819cf8</x:v>
      </x:c>
      <x:c r="D248" s="20" t="str">
        <x:v>asin_target</x:v>
      </x:c>
      <x:c r="E248" s="20" t="str">
        <x:v>en</x:v>
      </x:c>
      <x:c r="F248" s="20" t="str">
        <x:v>该搜索词为 ASIN 形式，需补充商品元数据后再判断用户意图。</x:v>
      </x:c>
      <x:c r="G248" s="20" t="str">
        <x:v>unknown</x:v>
      </x:c>
      <x:c r="H248" s="20" t="str">
        <x:v>low</x:v>
      </x:c>
      <x:c r="I248" s="20" t="str">
        <x:v>asin_target</x:v>
      </x:c>
      <x:c r="J248" s="20" t="str">
        <x:v>asin_metadata_pending</x:v>
      </x:c>
      <x:c r="K248" s="20" t="str">
        <x:v>asin_without_metadata</x:v>
      </x:c>
      <x:c r="L248" s="20" t="str">
        <x:v>not_applicable</x:v>
      </x:c>
      <x:c r="M248" s="20" t="str">
        <x:v>non_model</x:v>
      </x:c>
      <x:c r="N248" s="20" t="str">
        <x:v>1</x:v>
      </x:c>
      <x:c r="O248" s="20" t="str">
        <x:v>1.0.0</x:v>
      </x:c>
      <x:c r="P248" s="20" t="str">
        <x:v>1.1.0</x:v>
      </x:c>
      <x:c r="Q248" s="20" t="str">
        <x:v>deepseek/deepseek-v4-pro</x:v>
      </x:c>
      <x:c r="R248" s="20" t="str">
        <x:v>aj2-y90-20260714T234810-0bea2f52</x:v>
      </x:c>
    </x:row>
    <x:row r="249" ht="28" customHeight="1">
      <x:c r="A249" s="20" t="str">
        <x:v>B0FXX55VTB</x:v>
      </x:c>
      <x:c r="B249" s="20" t="str">
        <x:v>b0fxx55vtb</x:v>
      </x:c>
      <x:c r="C249" s="20" t="str">
        <x:v>55b9cdd55b8af870</x:v>
      </x:c>
      <x:c r="D249" s="20" t="str">
        <x:v>asin_target</x:v>
      </x:c>
      <x:c r="E249" s="20" t="str">
        <x:v>en</x:v>
      </x:c>
      <x:c r="F249" s="20" t="str">
        <x:v>该搜索词为 ASIN 形式，需补充商品元数据后再判断用户意图。</x:v>
      </x:c>
      <x:c r="G249" s="20" t="str">
        <x:v>unknown</x:v>
      </x:c>
      <x:c r="H249" s="20" t="str">
        <x:v>low</x:v>
      </x:c>
      <x:c r="I249" s="20" t="str">
        <x:v>asin_target</x:v>
      </x:c>
      <x:c r="J249" s="20" t="str">
        <x:v>asin_metadata_pending</x:v>
      </x:c>
      <x:c r="K249" s="20" t="str">
        <x:v>asin_without_metadata</x:v>
      </x:c>
      <x:c r="L249" s="20" t="str">
        <x:v>not_applicable</x:v>
      </x:c>
      <x:c r="M249" s="20" t="str">
        <x:v>non_model</x:v>
      </x:c>
      <x:c r="N249" s="20" t="str">
        <x:v>1</x:v>
      </x:c>
      <x:c r="O249" s="20" t="str">
        <x:v>1.0.0</x:v>
      </x:c>
      <x:c r="P249" s="20" t="str">
        <x:v>1.1.0</x:v>
      </x:c>
      <x:c r="Q249" s="20" t="str">
        <x:v>deepseek/deepseek-v4-pro</x:v>
      </x:c>
      <x:c r="R249" s="20" t="str">
        <x:v>aj2-y90-20260714T234810-0bea2f52</x:v>
      </x:c>
    </x:row>
    <x:row r="250" ht="28" customHeight="1">
      <x:c r="A250" s="20" t="str">
        <x:v>B0G13B21V1</x:v>
      </x:c>
      <x:c r="B250" s="20" t="str">
        <x:v>b0g13b21v1</x:v>
      </x:c>
      <x:c r="C250" s="20" t="str">
        <x:v>55d0f9b5466765fd</x:v>
      </x:c>
      <x:c r="D250" s="20" t="str">
        <x:v>asin_target</x:v>
      </x:c>
      <x:c r="E250" s="20" t="str">
        <x:v>en</x:v>
      </x:c>
      <x:c r="F250" s="20" t="str">
        <x:v>该搜索词为 ASIN 形式，需补充商品元数据后再判断用户意图。</x:v>
      </x:c>
      <x:c r="G250" s="20" t="str">
        <x:v>unknown</x:v>
      </x:c>
      <x:c r="H250" s="20" t="str">
        <x:v>low</x:v>
      </x:c>
      <x:c r="I250" s="20" t="str">
        <x:v>asin_target</x:v>
      </x:c>
      <x:c r="J250" s="20" t="str">
        <x:v>asin_metadata_pending</x:v>
      </x:c>
      <x:c r="K250" s="20" t="str">
        <x:v>asin_without_metadata</x:v>
      </x:c>
      <x:c r="L250" s="20" t="str">
        <x:v>not_applicable</x:v>
      </x:c>
      <x:c r="M250" s="20" t="str">
        <x:v>non_model</x:v>
      </x:c>
      <x:c r="N250" s="20" t="str">
        <x:v>2</x:v>
      </x:c>
      <x:c r="O250" s="20" t="str">
        <x:v>1.0.0</x:v>
      </x:c>
      <x:c r="P250" s="20" t="str">
        <x:v>1.1.0</x:v>
      </x:c>
      <x:c r="Q250" s="20" t="str">
        <x:v>deepseek/deepseek-v4-pro</x:v>
      </x:c>
      <x:c r="R250" s="20" t="str">
        <x:v>aj2-y90-20260714T234810-0bea2f52</x:v>
      </x:c>
    </x:row>
    <x:row r="251" ht="28" customHeight="1">
      <x:c r="A251" s="20" t="str">
        <x:v>B0D2NS4MYP</x:v>
      </x:c>
      <x:c r="B251" s="20" t="str">
        <x:v>b0d2ns4myp</x:v>
      </x:c>
      <x:c r="C251" s="20" t="str">
        <x:v>56558b1ffb6ac6cc</x:v>
      </x:c>
      <x:c r="D251" s="20" t="str">
        <x:v>asin_target</x:v>
      </x:c>
      <x:c r="E251" s="20" t="str">
        <x:v>en</x:v>
      </x:c>
      <x:c r="F251" s="20" t="str">
        <x:v>该搜索词为 ASIN 形式，需补充商品元数据后再判断用户意图。</x:v>
      </x:c>
      <x:c r="G251" s="20" t="str">
        <x:v>unknown</x:v>
      </x:c>
      <x:c r="H251" s="20" t="str">
        <x:v>low</x:v>
      </x:c>
      <x:c r="I251" s="20" t="str">
        <x:v>asin_target</x:v>
      </x:c>
      <x:c r="J251" s="20" t="str">
        <x:v>asin_metadata_pending</x:v>
      </x:c>
      <x:c r="K251" s="20" t="str">
        <x:v>asin_without_metadata</x:v>
      </x:c>
      <x:c r="L251" s="20" t="str">
        <x:v>not_applicable</x:v>
      </x:c>
      <x:c r="M251" s="20" t="str">
        <x:v>non_model</x:v>
      </x:c>
      <x:c r="N251" s="20" t="str">
        <x:v>1</x:v>
      </x:c>
      <x:c r="O251" s="20" t="str">
        <x:v>1.0.0</x:v>
      </x:c>
      <x:c r="P251" s="20" t="str">
        <x:v>1.1.0</x:v>
      </x:c>
      <x:c r="Q251" s="20" t="str">
        <x:v>deepseek/deepseek-v4-pro</x:v>
      </x:c>
      <x:c r="R251" s="20" t="str">
        <x:v>aj2-y90-20260714T234810-0bea2f52</x:v>
      </x:c>
    </x:row>
    <x:row r="252" ht="28" customHeight="1">
      <x:c r="A252" s="20" t="str">
        <x:v>B0BKBKSWP8</x:v>
      </x:c>
      <x:c r="B252" s="20" t="str">
        <x:v>b0bkbkswp8</x:v>
      </x:c>
      <x:c r="C252" s="20" t="str">
        <x:v>566152d9e6a3aa34</x:v>
      </x:c>
      <x:c r="D252" s="20" t="str">
        <x:v>asin_target</x:v>
      </x:c>
      <x:c r="E252" s="20" t="str">
        <x:v>en</x:v>
      </x:c>
      <x:c r="F252" s="20" t="str">
        <x:v>该搜索词为 ASIN 形式，需补充商品元数据后再判断用户意图。</x:v>
      </x:c>
      <x:c r="G252" s="20" t="str">
        <x:v>unknown</x:v>
      </x:c>
      <x:c r="H252" s="20" t="str">
        <x:v>low</x:v>
      </x:c>
      <x:c r="I252" s="20" t="str">
        <x:v>asin_target</x:v>
      </x:c>
      <x:c r="J252" s="20" t="str">
        <x:v>asin_metadata_pending</x:v>
      </x:c>
      <x:c r="K252" s="20" t="str">
        <x:v>asin_without_metadata</x:v>
      </x:c>
      <x:c r="L252" s="20" t="str">
        <x:v>not_applicable</x:v>
      </x:c>
      <x:c r="M252" s="20" t="str">
        <x:v>non_model</x:v>
      </x:c>
      <x:c r="N252" s="20" t="str">
        <x:v>1</x:v>
      </x:c>
      <x:c r="O252" s="20" t="str">
        <x:v>1.0.0</x:v>
      </x:c>
      <x:c r="P252" s="20" t="str">
        <x:v>1.1.0</x:v>
      </x:c>
      <x:c r="Q252" s="20" t="str">
        <x:v>deepseek/deepseek-v4-pro</x:v>
      </x:c>
      <x:c r="R252" s="20" t="str">
        <x:v>aj2-y90-20260714T234810-0bea2f52</x:v>
      </x:c>
    </x:row>
    <x:row r="253" ht="28" customHeight="1">
      <x:c r="A253" s="20" t="str">
        <x:v>B0D9GCTXWV</x:v>
      </x:c>
      <x:c r="B253" s="20" t="str">
        <x:v>b0d9gctxwv</x:v>
      </x:c>
      <x:c r="C253" s="20" t="str">
        <x:v>5773888d563e19c1</x:v>
      </x:c>
      <x:c r="D253" s="20" t="str">
        <x:v>asin_target</x:v>
      </x:c>
      <x:c r="E253" s="20" t="str">
        <x:v>en</x:v>
      </x:c>
      <x:c r="F253" s="20" t="str">
        <x:v>该搜索词为 ASIN 形式，需补充商品元数据后再判断用户意图。</x:v>
      </x:c>
      <x:c r="G253" s="20" t="str">
        <x:v>unknown</x:v>
      </x:c>
      <x:c r="H253" s="20" t="str">
        <x:v>low</x:v>
      </x:c>
      <x:c r="I253" s="20" t="str">
        <x:v>asin_target</x:v>
      </x:c>
      <x:c r="J253" s="20" t="str">
        <x:v>asin_metadata_pending</x:v>
      </x:c>
      <x:c r="K253" s="20" t="str">
        <x:v>asin_without_metadata</x:v>
      </x:c>
      <x:c r="L253" s="20" t="str">
        <x:v>not_applicable</x:v>
      </x:c>
      <x:c r="M253" s="20" t="str">
        <x:v>non_model</x:v>
      </x:c>
      <x:c r="N253" s="20" t="str">
        <x:v>2</x:v>
      </x:c>
      <x:c r="O253" s="20" t="str">
        <x:v>1.0.0</x:v>
      </x:c>
      <x:c r="P253" s="20" t="str">
        <x:v>1.1.0</x:v>
      </x:c>
      <x:c r="Q253" s="20" t="str">
        <x:v>deepseek/deepseek-v4-pro</x:v>
      </x:c>
      <x:c r="R253" s="20" t="str">
        <x:v>aj2-y90-20260714T234810-0bea2f52</x:v>
      </x:c>
    </x:row>
    <x:row r="254" ht="28" customHeight="1">
      <x:c r="A254" s="20" t="str">
        <x:v>B0FSCRXBD8</x:v>
      </x:c>
      <x:c r="B254" s="20" t="str">
        <x:v>b0fscrxbd8</x:v>
      </x:c>
      <x:c r="C254" s="20" t="str">
        <x:v>580dec105d0e9580</x:v>
      </x:c>
      <x:c r="D254" s="20" t="str">
        <x:v>asin_target</x:v>
      </x:c>
      <x:c r="E254" s="20" t="str">
        <x:v>en</x:v>
      </x:c>
      <x:c r="F254" s="20" t="str">
        <x:v>该搜索词为 ASIN 形式，需补充商品元数据后再判断用户意图。</x:v>
      </x:c>
      <x:c r="G254" s="20" t="str">
        <x:v>unknown</x:v>
      </x:c>
      <x:c r="H254" s="20" t="str">
        <x:v>low</x:v>
      </x:c>
      <x:c r="I254" s="20" t="str">
        <x:v>asin_target</x:v>
      </x:c>
      <x:c r="J254" s="20" t="str">
        <x:v>asin_metadata_pending</x:v>
      </x:c>
      <x:c r="K254" s="20" t="str">
        <x:v>asin_without_metadata</x:v>
      </x:c>
      <x:c r="L254" s="20" t="str">
        <x:v>not_applicable</x:v>
      </x:c>
      <x:c r="M254" s="20" t="str">
        <x:v>non_model</x:v>
      </x:c>
      <x:c r="N254" s="20" t="str">
        <x:v>1</x:v>
      </x:c>
      <x:c r="O254" s="20" t="str">
        <x:v>1.0.0</x:v>
      </x:c>
      <x:c r="P254" s="20" t="str">
        <x:v>1.1.0</x:v>
      </x:c>
      <x:c r="Q254" s="20" t="str">
        <x:v>deepseek/deepseek-v4-pro</x:v>
      </x:c>
      <x:c r="R254" s="20" t="str">
        <x:v>aj2-y90-20260714T234810-0bea2f52</x:v>
      </x:c>
    </x:row>
    <x:row r="255" ht="28" customHeight="1">
      <x:c r="A255" s="20" t="str">
        <x:v>B0G47TNYHV</x:v>
      </x:c>
      <x:c r="B255" s="20" t="str">
        <x:v>b0g47tnyhv</x:v>
      </x:c>
      <x:c r="C255" s="20" t="str">
        <x:v>598259a79982628d</x:v>
      </x:c>
      <x:c r="D255" s="20" t="str">
        <x:v>asin_target</x:v>
      </x:c>
      <x:c r="E255" s="20" t="str">
        <x:v>en</x:v>
      </x:c>
      <x:c r="F255" s="20" t="str">
        <x:v>该搜索词为 ASIN 形式，需补充商品元数据后再判断用户意图。</x:v>
      </x:c>
      <x:c r="G255" s="20" t="str">
        <x:v>unknown</x:v>
      </x:c>
      <x:c r="H255" s="20" t="str">
        <x:v>low</x:v>
      </x:c>
      <x:c r="I255" s="20" t="str">
        <x:v>asin_target</x:v>
      </x:c>
      <x:c r="J255" s="20" t="str">
        <x:v>asin_metadata_pending</x:v>
      </x:c>
      <x:c r="K255" s="20" t="str">
        <x:v>asin_without_metadata</x:v>
      </x:c>
      <x:c r="L255" s="20" t="str">
        <x:v>not_applicable</x:v>
      </x:c>
      <x:c r="M255" s="20" t="str">
        <x:v>non_model</x:v>
      </x:c>
      <x:c r="N255" s="20" t="str">
        <x:v>1</x:v>
      </x:c>
      <x:c r="O255" s="20" t="str">
        <x:v>1.0.0</x:v>
      </x:c>
      <x:c r="P255" s="20" t="str">
        <x:v>1.1.0</x:v>
      </x:c>
      <x:c r="Q255" s="20" t="str">
        <x:v>deepseek/deepseek-v4-pro</x:v>
      </x:c>
      <x:c r="R255" s="20" t="str">
        <x:v>aj2-y90-20260714T234810-0bea2f52</x:v>
      </x:c>
    </x:row>
    <x:row r="256" ht="28" customHeight="1">
      <x:c r="A256" s="20" t="str">
        <x:v>B0FXX6FKWZ</x:v>
      </x:c>
      <x:c r="B256" s="20" t="str">
        <x:v>b0fxx6fkwz</x:v>
      </x:c>
      <x:c r="C256" s="20" t="str">
        <x:v>599ab3cb7101afb8</x:v>
      </x:c>
      <x:c r="D256" s="20" t="str">
        <x:v>asin_target</x:v>
      </x:c>
      <x:c r="E256" s="20" t="str">
        <x:v>en</x:v>
      </x:c>
      <x:c r="F256" s="20" t="str">
        <x:v>该搜索词为 ASIN 形式，需补充商品元数据后再判断用户意图。</x:v>
      </x:c>
      <x:c r="G256" s="20" t="str">
        <x:v>unknown</x:v>
      </x:c>
      <x:c r="H256" s="20" t="str">
        <x:v>low</x:v>
      </x:c>
      <x:c r="I256" s="20" t="str">
        <x:v>asin_target</x:v>
      </x:c>
      <x:c r="J256" s="20" t="str">
        <x:v>asin_metadata_pending</x:v>
      </x:c>
      <x:c r="K256" s="20" t="str">
        <x:v>asin_without_metadata</x:v>
      </x:c>
      <x:c r="L256" s="20" t="str">
        <x:v>not_applicable</x:v>
      </x:c>
      <x:c r="M256" s="20" t="str">
        <x:v>non_model</x:v>
      </x:c>
      <x:c r="N256" s="20" t="str">
        <x:v>1</x:v>
      </x:c>
      <x:c r="O256" s="20" t="str">
        <x:v>1.0.0</x:v>
      </x:c>
      <x:c r="P256" s="20" t="str">
        <x:v>1.1.0</x:v>
      </x:c>
      <x:c r="Q256" s="20" t="str">
        <x:v>deepseek/deepseek-v4-pro</x:v>
      </x:c>
      <x:c r="R256" s="20" t="str">
        <x:v>aj2-y90-20260714T234810-0bea2f52</x:v>
      </x:c>
    </x:row>
    <x:row r="257" ht="28" customHeight="1">
      <x:c r="A257" s="20" t="str">
        <x:v>B0GDQLYDD8</x:v>
      </x:c>
      <x:c r="B257" s="20" t="str">
        <x:v>b0gdqlydd8</x:v>
      </x:c>
      <x:c r="C257" s="20" t="str">
        <x:v>59e862850570abcc</x:v>
      </x:c>
      <x:c r="D257" s="20" t="str">
        <x:v>asin_target</x:v>
      </x:c>
      <x:c r="E257" s="20" t="str">
        <x:v>en</x:v>
      </x:c>
      <x:c r="F257" s="20" t="str">
        <x:v>该搜索词为 ASIN 形式，需补充商品元数据后再判断用户意图。</x:v>
      </x:c>
      <x:c r="G257" s="20" t="str">
        <x:v>unknown</x:v>
      </x:c>
      <x:c r="H257" s="20" t="str">
        <x:v>low</x:v>
      </x:c>
      <x:c r="I257" s="20" t="str">
        <x:v>asin_target</x:v>
      </x:c>
      <x:c r="J257" s="20" t="str">
        <x:v>asin_metadata_pending</x:v>
      </x:c>
      <x:c r="K257" s="20" t="str">
        <x:v>asin_without_metadata</x:v>
      </x:c>
      <x:c r="L257" s="20" t="str">
        <x:v>not_applicable</x:v>
      </x:c>
      <x:c r="M257" s="20" t="str">
        <x:v>non_model</x:v>
      </x:c>
      <x:c r="N257" s="20" t="str">
        <x:v>1</x:v>
      </x:c>
      <x:c r="O257" s="20" t="str">
        <x:v>1.0.0</x:v>
      </x:c>
      <x:c r="P257" s="20" t="str">
        <x:v>1.1.0</x:v>
      </x:c>
      <x:c r="Q257" s="20" t="str">
        <x:v>deepseek/deepseek-v4-pro</x:v>
      </x:c>
      <x:c r="R257" s="20" t="str">
        <x:v>aj2-y90-20260714T234810-0bea2f52</x:v>
      </x:c>
    </x:row>
    <x:row r="258" ht="28" customHeight="1">
      <x:c r="A258" s="20" t="str">
        <x:v>B0GZNKH5FG</x:v>
      </x:c>
      <x:c r="B258" s="20" t="str">
        <x:v>b0gznkh5fg</x:v>
      </x:c>
      <x:c r="C258" s="20" t="str">
        <x:v>5a05c36f074e4a4f</x:v>
      </x:c>
      <x:c r="D258" s="20" t="str">
        <x:v>asin_target</x:v>
      </x:c>
      <x:c r="E258" s="20" t="str">
        <x:v>en</x:v>
      </x:c>
      <x:c r="F258" s="20" t="str">
        <x:v>该搜索词为 ASIN 形式，需补充商品元数据后再判断用户意图。</x:v>
      </x:c>
      <x:c r="G258" s="20" t="str">
        <x:v>unknown</x:v>
      </x:c>
      <x:c r="H258" s="20" t="str">
        <x:v>low</x:v>
      </x:c>
      <x:c r="I258" s="20" t="str">
        <x:v>asin_target</x:v>
      </x:c>
      <x:c r="J258" s="20" t="str">
        <x:v>asin_metadata_pending</x:v>
      </x:c>
      <x:c r="K258" s="20" t="str">
        <x:v>asin_without_metadata</x:v>
      </x:c>
      <x:c r="L258" s="20" t="str">
        <x:v>not_applicable</x:v>
      </x:c>
      <x:c r="M258" s="20" t="str">
        <x:v>non_model</x:v>
      </x:c>
      <x:c r="N258" s="20" t="str">
        <x:v>2</x:v>
      </x:c>
      <x:c r="O258" s="20" t="str">
        <x:v>1.0.0</x:v>
      </x:c>
      <x:c r="P258" s="20" t="str">
        <x:v>1.1.0</x:v>
      </x:c>
      <x:c r="Q258" s="20" t="str">
        <x:v>deepseek/deepseek-v4-pro</x:v>
      </x:c>
      <x:c r="R258" s="20" t="str">
        <x:v>aj2-y90-20260714T234810-0bea2f52</x:v>
      </x:c>
    </x:row>
    <x:row r="259" ht="28" customHeight="1">
      <x:c r="A259" s="20" t="str">
        <x:v>B0G6ZMJLZC</x:v>
      </x:c>
      <x:c r="B259" s="20" t="str">
        <x:v>b0g6zmjlzc</x:v>
      </x:c>
      <x:c r="C259" s="20" t="str">
        <x:v>5b3404e5cc15ffcc</x:v>
      </x:c>
      <x:c r="D259" s="20" t="str">
        <x:v>asin_target</x:v>
      </x:c>
      <x:c r="E259" s="20" t="str">
        <x:v>en</x:v>
      </x:c>
      <x:c r="F259" s="20" t="str">
        <x:v>该搜索词为 ASIN 形式，需补充商品元数据后再判断用户意图。</x:v>
      </x:c>
      <x:c r="G259" s="20" t="str">
        <x:v>unknown</x:v>
      </x:c>
      <x:c r="H259" s="20" t="str">
        <x:v>low</x:v>
      </x:c>
      <x:c r="I259" s="20" t="str">
        <x:v>asin_target</x:v>
      </x:c>
      <x:c r="J259" s="20" t="str">
        <x:v>asin_metadata_pending</x:v>
      </x:c>
      <x:c r="K259" s="20" t="str">
        <x:v>asin_without_metadata</x:v>
      </x:c>
      <x:c r="L259" s="20" t="str">
        <x:v>not_applicable</x:v>
      </x:c>
      <x:c r="M259" s="20" t="str">
        <x:v>non_model</x:v>
      </x:c>
      <x:c r="N259" s="20" t="str">
        <x:v>1</x:v>
      </x:c>
      <x:c r="O259" s="20" t="str">
        <x:v>1.0.0</x:v>
      </x:c>
      <x:c r="P259" s="20" t="str">
        <x:v>1.1.0</x:v>
      </x:c>
      <x:c r="Q259" s="20" t="str">
        <x:v>deepseek/deepseek-v4-pro</x:v>
      </x:c>
      <x:c r="R259" s="20" t="str">
        <x:v>aj2-y90-20260714T234810-0bea2f52</x:v>
      </x:c>
    </x:row>
    <x:row r="260" ht="28" customHeight="1">
      <x:c r="A260" s="20" t="str">
        <x:v>B0GD5BGM31</x:v>
      </x:c>
      <x:c r="B260" s="20" t="str">
        <x:v>b0gd5bgm31</x:v>
      </x:c>
      <x:c r="C260" s="20" t="str">
        <x:v>5b568d768a9e2244</x:v>
      </x:c>
      <x:c r="D260" s="20" t="str">
        <x:v>asin_target</x:v>
      </x:c>
      <x:c r="E260" s="20" t="str">
        <x:v>en</x:v>
      </x:c>
      <x:c r="F260" s="20" t="str">
        <x:v>该搜索词为 ASIN 形式，需补充商品元数据后再判断用户意图。</x:v>
      </x:c>
      <x:c r="G260" s="20" t="str">
        <x:v>unknown</x:v>
      </x:c>
      <x:c r="H260" s="20" t="str">
        <x:v>low</x:v>
      </x:c>
      <x:c r="I260" s="20" t="str">
        <x:v>asin_target</x:v>
      </x:c>
      <x:c r="J260" s="20" t="str">
        <x:v>asin_metadata_pending</x:v>
      </x:c>
      <x:c r="K260" s="20" t="str">
        <x:v>asin_without_metadata</x:v>
      </x:c>
      <x:c r="L260" s="20" t="str">
        <x:v>not_applicable</x:v>
      </x:c>
      <x:c r="M260" s="20" t="str">
        <x:v>non_model</x:v>
      </x:c>
      <x:c r="N260" s="20" t="str">
        <x:v>1</x:v>
      </x:c>
      <x:c r="O260" s="20" t="str">
        <x:v>1.0.0</x:v>
      </x:c>
      <x:c r="P260" s="20" t="str">
        <x:v>1.1.0</x:v>
      </x:c>
      <x:c r="Q260" s="20" t="str">
        <x:v>deepseek/deepseek-v4-pro</x:v>
      </x:c>
      <x:c r="R260" s="20" t="str">
        <x:v>aj2-y90-20260714T234810-0bea2f52</x:v>
      </x:c>
    </x:row>
    <x:row r="261" ht="28" customHeight="1">
      <x:c r="A261" s="20" t="str">
        <x:v>B0GJFCYH4H</x:v>
      </x:c>
      <x:c r="B261" s="20" t="str">
        <x:v>b0gjfcyh4h</x:v>
      </x:c>
      <x:c r="C261" s="20" t="str">
        <x:v>5b667aac202d9100</x:v>
      </x:c>
      <x:c r="D261" s="20" t="str">
        <x:v>asin_target</x:v>
      </x:c>
      <x:c r="E261" s="20" t="str">
        <x:v>en</x:v>
      </x:c>
      <x:c r="F261" s="20" t="str">
        <x:v>该搜索词为 ASIN 形式，需补充商品元数据后再判断用户意图。</x:v>
      </x:c>
      <x:c r="G261" s="20" t="str">
        <x:v>unknown</x:v>
      </x:c>
      <x:c r="H261" s="20" t="str">
        <x:v>low</x:v>
      </x:c>
      <x:c r="I261" s="20" t="str">
        <x:v>asin_target</x:v>
      </x:c>
      <x:c r="J261" s="20" t="str">
        <x:v>asin_metadata_pending</x:v>
      </x:c>
      <x:c r="K261" s="20" t="str">
        <x:v>asin_without_metadata</x:v>
      </x:c>
      <x:c r="L261" s="20" t="str">
        <x:v>not_applicable</x:v>
      </x:c>
      <x:c r="M261" s="20" t="str">
        <x:v>non_model</x:v>
      </x:c>
      <x:c r="N261" s="20" t="str">
        <x:v>1</x:v>
      </x:c>
      <x:c r="O261" s="20" t="str">
        <x:v>1.0.0</x:v>
      </x:c>
      <x:c r="P261" s="20" t="str">
        <x:v>1.1.0</x:v>
      </x:c>
      <x:c r="Q261" s="20" t="str">
        <x:v>deepseek/deepseek-v4-pro</x:v>
      </x:c>
      <x:c r="R261" s="20" t="str">
        <x:v>aj2-y90-20260714T234810-0bea2f52</x:v>
      </x:c>
    </x:row>
    <x:row r="262" ht="28" customHeight="1">
      <x:c r="A262" s="20" t="str">
        <x:v>B08372C7FL</x:v>
      </x:c>
      <x:c r="B262" s="20" t="str">
        <x:v>b08372c7fl</x:v>
      </x:c>
      <x:c r="C262" s="20" t="str">
        <x:v>5b70051915cefc18</x:v>
      </x:c>
      <x:c r="D262" s="20" t="str">
        <x:v>asin_target</x:v>
      </x:c>
      <x:c r="E262" s="20" t="str">
        <x:v>en</x:v>
      </x:c>
      <x:c r="F262" s="20" t="str">
        <x:v>该搜索词为 ASIN 形式，需补充商品元数据后再判断用户意图。</x:v>
      </x:c>
      <x:c r="G262" s="20" t="str">
        <x:v>unknown</x:v>
      </x:c>
      <x:c r="H262" s="20" t="str">
        <x:v>low</x:v>
      </x:c>
      <x:c r="I262" s="20" t="str">
        <x:v>asin_target</x:v>
      </x:c>
      <x:c r="J262" s="20" t="str">
        <x:v>asin_metadata_pending</x:v>
      </x:c>
      <x:c r="K262" s="20" t="str">
        <x:v>asin_without_metadata</x:v>
      </x:c>
      <x:c r="L262" s="20" t="str">
        <x:v>not_applicable</x:v>
      </x:c>
      <x:c r="M262" s="20" t="str">
        <x:v>non_model</x:v>
      </x:c>
      <x:c r="N262" s="20" t="str">
        <x:v>1</x:v>
      </x:c>
      <x:c r="O262" s="20" t="str">
        <x:v>1.0.0</x:v>
      </x:c>
      <x:c r="P262" s="20" t="str">
        <x:v>1.1.0</x:v>
      </x:c>
      <x:c r="Q262" s="20" t="str">
        <x:v>deepseek/deepseek-v4-pro</x:v>
      </x:c>
      <x:c r="R262" s="20" t="str">
        <x:v>aj2-y90-20260714T234810-0bea2f52</x:v>
      </x:c>
    </x:row>
    <x:row r="263" ht="28" customHeight="1">
      <x:c r="A263" s="20" t="str">
        <x:v>B0G48MKS5D</x:v>
      </x:c>
      <x:c r="B263" s="20" t="str">
        <x:v>b0g48mks5d</x:v>
      </x:c>
      <x:c r="C263" s="20" t="str">
        <x:v>5cdc310936d1fac2</x:v>
      </x:c>
      <x:c r="D263" s="20" t="str">
        <x:v>asin_target</x:v>
      </x:c>
      <x:c r="E263" s="20" t="str">
        <x:v>en</x:v>
      </x:c>
      <x:c r="F263" s="20" t="str">
        <x:v>该搜索词为 ASIN 形式，需补充商品元数据后再判断用户意图。</x:v>
      </x:c>
      <x:c r="G263" s="20" t="str">
        <x:v>unknown</x:v>
      </x:c>
      <x:c r="H263" s="20" t="str">
        <x:v>low</x:v>
      </x:c>
      <x:c r="I263" s="20" t="str">
        <x:v>asin_target</x:v>
      </x:c>
      <x:c r="J263" s="20" t="str">
        <x:v>asin_metadata_pending</x:v>
      </x:c>
      <x:c r="K263" s="20" t="str">
        <x:v>asin_without_metadata</x:v>
      </x:c>
      <x:c r="L263" s="20" t="str">
        <x:v>not_applicable</x:v>
      </x:c>
      <x:c r="M263" s="20" t="str">
        <x:v>non_model</x:v>
      </x:c>
      <x:c r="N263" s="20" t="str">
        <x:v>1</x:v>
      </x:c>
      <x:c r="O263" s="20" t="str">
        <x:v>1.0.0</x:v>
      </x:c>
      <x:c r="P263" s="20" t="str">
        <x:v>1.1.0</x:v>
      </x:c>
      <x:c r="Q263" s="20" t="str">
        <x:v>deepseek/deepseek-v4-pro</x:v>
      </x:c>
      <x:c r="R263" s="20" t="str">
        <x:v>aj2-y90-20260714T234810-0bea2f52</x:v>
      </x:c>
    </x:row>
    <x:row r="264" ht="28" customHeight="1">
      <x:c r="A264" s="20" t="str">
        <x:v>B0D225Q8K4</x:v>
      </x:c>
      <x:c r="B264" s="20" t="str">
        <x:v>b0d225q8k4</x:v>
      </x:c>
      <x:c r="C264" s="20" t="str">
        <x:v>5d5957ce249fde0c</x:v>
      </x:c>
      <x:c r="D264" s="20" t="str">
        <x:v>asin_target</x:v>
      </x:c>
      <x:c r="E264" s="20" t="str">
        <x:v>en</x:v>
      </x:c>
      <x:c r="F264" s="20" t="str">
        <x:v>该搜索词为 ASIN 形式，需补充商品元数据后再判断用户意图。</x:v>
      </x:c>
      <x:c r="G264" s="20" t="str">
        <x:v>unknown</x:v>
      </x:c>
      <x:c r="H264" s="20" t="str">
        <x:v>low</x:v>
      </x:c>
      <x:c r="I264" s="20" t="str">
        <x:v>asin_target</x:v>
      </x:c>
      <x:c r="J264" s="20" t="str">
        <x:v>asin_metadata_pending</x:v>
      </x:c>
      <x:c r="K264" s="20" t="str">
        <x:v>asin_without_metadata</x:v>
      </x:c>
      <x:c r="L264" s="20" t="str">
        <x:v>not_applicable</x:v>
      </x:c>
      <x:c r="M264" s="20" t="str">
        <x:v>non_model</x:v>
      </x:c>
      <x:c r="N264" s="20" t="str">
        <x:v>1</x:v>
      </x:c>
      <x:c r="O264" s="20" t="str">
        <x:v>1.0.0</x:v>
      </x:c>
      <x:c r="P264" s="20" t="str">
        <x:v>1.1.0</x:v>
      </x:c>
      <x:c r="Q264" s="20" t="str">
        <x:v>deepseek/deepseek-v4-pro</x:v>
      </x:c>
      <x:c r="R264" s="20" t="str">
        <x:v>aj2-y90-20260714T234810-0bea2f52</x:v>
      </x:c>
    </x:row>
    <x:row r="265" ht="28" customHeight="1">
      <x:c r="A265" s="20" t="str">
        <x:v>B0GLFCS93T</x:v>
      </x:c>
      <x:c r="B265" s="20" t="str">
        <x:v>b0glfcs93t</x:v>
      </x:c>
      <x:c r="C265" s="20" t="str">
        <x:v>5d5be0a5aceb7ae7</x:v>
      </x:c>
      <x:c r="D265" s="20" t="str">
        <x:v>asin_target</x:v>
      </x:c>
      <x:c r="E265" s="20" t="str">
        <x:v>en</x:v>
      </x:c>
      <x:c r="F265" s="20" t="str">
        <x:v>该搜索词为 ASIN 形式，需补充商品元数据后再判断用户意图。</x:v>
      </x:c>
      <x:c r="G265" s="20" t="str">
        <x:v>unknown</x:v>
      </x:c>
      <x:c r="H265" s="20" t="str">
        <x:v>low</x:v>
      </x:c>
      <x:c r="I265" s="20" t="str">
        <x:v>asin_target</x:v>
      </x:c>
      <x:c r="J265" s="20" t="str">
        <x:v>asin_metadata_pending</x:v>
      </x:c>
      <x:c r="K265" s="20" t="str">
        <x:v>asin_without_metadata</x:v>
      </x:c>
      <x:c r="L265" s="20" t="str">
        <x:v>not_applicable</x:v>
      </x:c>
      <x:c r="M265" s="20" t="str">
        <x:v>non_model</x:v>
      </x:c>
      <x:c r="N265" s="20" t="str">
        <x:v>1</x:v>
      </x:c>
      <x:c r="O265" s="20" t="str">
        <x:v>1.0.0</x:v>
      </x:c>
      <x:c r="P265" s="20" t="str">
        <x:v>1.1.0</x:v>
      </x:c>
      <x:c r="Q265" s="20" t="str">
        <x:v>deepseek/deepseek-v4-pro</x:v>
      </x:c>
      <x:c r="R265" s="20" t="str">
        <x:v>aj2-y90-20260714T234810-0bea2f52</x:v>
      </x:c>
    </x:row>
    <x:row r="266" ht="28" customHeight="1">
      <x:c r="A266" s="20" t="str">
        <x:v>B0BKC279VC</x:v>
      </x:c>
      <x:c r="B266" s="20" t="str">
        <x:v>b0bkc279vc</x:v>
      </x:c>
      <x:c r="C266" s="20" t="str">
        <x:v>5d8377fc5d849c28</x:v>
      </x:c>
      <x:c r="D266" s="20" t="str">
        <x:v>asin_target</x:v>
      </x:c>
      <x:c r="E266" s="20" t="str">
        <x:v>en</x:v>
      </x:c>
      <x:c r="F266" s="20" t="str">
        <x:v>该搜索词为 ASIN 形式，需补充商品元数据后再判断用户意图。</x:v>
      </x:c>
      <x:c r="G266" s="20" t="str">
        <x:v>unknown</x:v>
      </x:c>
      <x:c r="H266" s="20" t="str">
        <x:v>low</x:v>
      </x:c>
      <x:c r="I266" s="20" t="str">
        <x:v>asin_target</x:v>
      </x:c>
      <x:c r="J266" s="20" t="str">
        <x:v>asin_metadata_pending</x:v>
      </x:c>
      <x:c r="K266" s="20" t="str">
        <x:v>asin_without_metadata</x:v>
      </x:c>
      <x:c r="L266" s="20" t="str">
        <x:v>not_applicable</x:v>
      </x:c>
      <x:c r="M266" s="20" t="str">
        <x:v>non_model</x:v>
      </x:c>
      <x:c r="N266" s="20" t="str">
        <x:v>1</x:v>
      </x:c>
      <x:c r="O266" s="20" t="str">
        <x:v>1.0.0</x:v>
      </x:c>
      <x:c r="P266" s="20" t="str">
        <x:v>1.1.0</x:v>
      </x:c>
      <x:c r="Q266" s="20" t="str">
        <x:v>deepseek/deepseek-v4-pro</x:v>
      </x:c>
      <x:c r="R266" s="20" t="str">
        <x:v>aj2-y90-20260714T234810-0bea2f52</x:v>
      </x:c>
    </x:row>
    <x:row r="267" ht="28" customHeight="1">
      <x:c r="A267" s="20" t="str">
        <x:v>B0C5ZZKD2Y</x:v>
      </x:c>
      <x:c r="B267" s="20" t="str">
        <x:v>b0c5zzkd2y</x:v>
      </x:c>
      <x:c r="C267" s="20" t="str">
        <x:v>5d952f8402ea5e27</x:v>
      </x:c>
      <x:c r="D267" s="20" t="str">
        <x:v>asin_target</x:v>
      </x:c>
      <x:c r="E267" s="20" t="str">
        <x:v>en</x:v>
      </x:c>
      <x:c r="F267" s="20" t="str">
        <x:v>该搜索词为 ASIN 形式，需补充商品元数据后再判断用户意图。</x:v>
      </x:c>
      <x:c r="G267" s="20" t="str">
        <x:v>unknown</x:v>
      </x:c>
      <x:c r="H267" s="20" t="str">
        <x:v>low</x:v>
      </x:c>
      <x:c r="I267" s="20" t="str">
        <x:v>asin_target</x:v>
      </x:c>
      <x:c r="J267" s="20" t="str">
        <x:v>asin_metadata_pending</x:v>
      </x:c>
      <x:c r="K267" s="20" t="str">
        <x:v>asin_without_metadata</x:v>
      </x:c>
      <x:c r="L267" s="20" t="str">
        <x:v>not_applicable</x:v>
      </x:c>
      <x:c r="M267" s="20" t="str">
        <x:v>non_model</x:v>
      </x:c>
      <x:c r="N267" s="20" t="str">
        <x:v>1</x:v>
      </x:c>
      <x:c r="O267" s="20" t="str">
        <x:v>1.0.0</x:v>
      </x:c>
      <x:c r="P267" s="20" t="str">
        <x:v>1.1.0</x:v>
      </x:c>
      <x:c r="Q267" s="20" t="str">
        <x:v>deepseek/deepseek-v4-pro</x:v>
      </x:c>
      <x:c r="R267" s="20" t="str">
        <x:v>aj2-y90-20260714T234810-0bea2f52</x:v>
      </x:c>
    </x:row>
    <x:row r="268" ht="28" customHeight="1">
      <x:c r="A268" s="20" t="str">
        <x:v>B0FGKNSX9J</x:v>
      </x:c>
      <x:c r="B268" s="20" t="str">
        <x:v>b0fgknsx9j</x:v>
      </x:c>
      <x:c r="C268" s="20" t="str">
        <x:v>5dad9a80d0b27a38</x:v>
      </x:c>
      <x:c r="D268" s="20" t="str">
        <x:v>asin_target</x:v>
      </x:c>
      <x:c r="E268" s="20" t="str">
        <x:v>en</x:v>
      </x:c>
      <x:c r="F268" s="20" t="str">
        <x:v>该搜索词为 ASIN 形式，需补充商品元数据后再判断用户意图。</x:v>
      </x:c>
      <x:c r="G268" s="20" t="str">
        <x:v>unknown</x:v>
      </x:c>
      <x:c r="H268" s="20" t="str">
        <x:v>low</x:v>
      </x:c>
      <x:c r="I268" s="20" t="str">
        <x:v>asin_target</x:v>
      </x:c>
      <x:c r="J268" s="20" t="str">
        <x:v>asin_metadata_pending</x:v>
      </x:c>
      <x:c r="K268" s="20" t="str">
        <x:v>asin_without_metadata</x:v>
      </x:c>
      <x:c r="L268" s="20" t="str">
        <x:v>not_applicable</x:v>
      </x:c>
      <x:c r="M268" s="20" t="str">
        <x:v>non_model</x:v>
      </x:c>
      <x:c r="N268" s="20" t="str">
        <x:v>1</x:v>
      </x:c>
      <x:c r="O268" s="20" t="str">
        <x:v>1.0.0</x:v>
      </x:c>
      <x:c r="P268" s="20" t="str">
        <x:v>1.1.0</x:v>
      </x:c>
      <x:c r="Q268" s="20" t="str">
        <x:v>deepseek/deepseek-v4-pro</x:v>
      </x:c>
      <x:c r="R268" s="20" t="str">
        <x:v>aj2-y90-20260714T234810-0bea2f52</x:v>
      </x:c>
    </x:row>
    <x:row r="269" ht="28" customHeight="1">
      <x:c r="A269" s="20" t="str">
        <x:v>B0G47MVXGS</x:v>
      </x:c>
      <x:c r="B269" s="20" t="str">
        <x:v>b0g47mvxgs</x:v>
      </x:c>
      <x:c r="C269" s="20" t="str">
        <x:v>5de2e78c4b558b6a</x:v>
      </x:c>
      <x:c r="D269" s="20" t="str">
        <x:v>asin_target</x:v>
      </x:c>
      <x:c r="E269" s="20" t="str">
        <x:v>en</x:v>
      </x:c>
      <x:c r="F269" s="20" t="str">
        <x:v>该搜索词为 ASIN 形式，需补充商品元数据后再判断用户意图。</x:v>
      </x:c>
      <x:c r="G269" s="20" t="str">
        <x:v>unknown</x:v>
      </x:c>
      <x:c r="H269" s="20" t="str">
        <x:v>low</x:v>
      </x:c>
      <x:c r="I269" s="20" t="str">
        <x:v>asin_target</x:v>
      </x:c>
      <x:c r="J269" s="20" t="str">
        <x:v>asin_metadata_pending</x:v>
      </x:c>
      <x:c r="K269" s="20" t="str">
        <x:v>asin_without_metadata</x:v>
      </x:c>
      <x:c r="L269" s="20" t="str">
        <x:v>not_applicable</x:v>
      </x:c>
      <x:c r="M269" s="20" t="str">
        <x:v>non_model</x:v>
      </x:c>
      <x:c r="N269" s="20" t="str">
        <x:v>1</x:v>
      </x:c>
      <x:c r="O269" s="20" t="str">
        <x:v>1.0.0</x:v>
      </x:c>
      <x:c r="P269" s="20" t="str">
        <x:v>1.1.0</x:v>
      </x:c>
      <x:c r="Q269" s="20" t="str">
        <x:v>deepseek/deepseek-v4-pro</x:v>
      </x:c>
      <x:c r="R269" s="20" t="str">
        <x:v>aj2-y90-20260714T234810-0bea2f52</x:v>
      </x:c>
    </x:row>
    <x:row r="270" ht="28" customHeight="1">
      <x:c r="A270" s="20" t="str">
        <x:v>B0C5ZRQS2X</x:v>
      </x:c>
      <x:c r="B270" s="20" t="str">
        <x:v>b0c5zrqs2x</x:v>
      </x:c>
      <x:c r="C270" s="20" t="str">
        <x:v>5e4e4837ccabad50</x:v>
      </x:c>
      <x:c r="D270" s="20" t="str">
        <x:v>asin_target</x:v>
      </x:c>
      <x:c r="E270" s="20" t="str">
        <x:v>en</x:v>
      </x:c>
      <x:c r="F270" s="20" t="str">
        <x:v>该搜索词为 ASIN 形式，需补充商品元数据后再判断用户意图。</x:v>
      </x:c>
      <x:c r="G270" s="20" t="str">
        <x:v>unknown</x:v>
      </x:c>
      <x:c r="H270" s="20" t="str">
        <x:v>low</x:v>
      </x:c>
      <x:c r="I270" s="20" t="str">
        <x:v>asin_target</x:v>
      </x:c>
      <x:c r="J270" s="20" t="str">
        <x:v>asin_metadata_pending</x:v>
      </x:c>
      <x:c r="K270" s="20" t="str">
        <x:v>asin_without_metadata</x:v>
      </x:c>
      <x:c r="L270" s="20" t="str">
        <x:v>not_applicable</x:v>
      </x:c>
      <x:c r="M270" s="20" t="str">
        <x:v>non_model</x:v>
      </x:c>
      <x:c r="N270" s="20" t="str">
        <x:v>1</x:v>
      </x:c>
      <x:c r="O270" s="20" t="str">
        <x:v>1.0.0</x:v>
      </x:c>
      <x:c r="P270" s="20" t="str">
        <x:v>1.1.0</x:v>
      </x:c>
      <x:c r="Q270" s="20" t="str">
        <x:v>deepseek/deepseek-v4-pro</x:v>
      </x:c>
      <x:c r="R270" s="20" t="str">
        <x:v>aj2-y90-20260714T234810-0bea2f52</x:v>
      </x:c>
    </x:row>
    <x:row r="271" ht="28" customHeight="1">
      <x:c r="A271" s="20" t="str">
        <x:v>B0DSMYVMK5</x:v>
      </x:c>
      <x:c r="B271" s="20" t="str">
        <x:v>b0dsmyvmk5</x:v>
      </x:c>
      <x:c r="C271" s="20" t="str">
        <x:v>5f12b478aa645f18</x:v>
      </x:c>
      <x:c r="D271" s="20" t="str">
        <x:v>asin_target</x:v>
      </x:c>
      <x:c r="E271" s="20" t="str">
        <x:v>en</x:v>
      </x:c>
      <x:c r="F271" s="20" t="str">
        <x:v>该搜索词为 ASIN 形式，需补充商品元数据后再判断用户意图。</x:v>
      </x:c>
      <x:c r="G271" s="20" t="str">
        <x:v>unknown</x:v>
      </x:c>
      <x:c r="H271" s="20" t="str">
        <x:v>low</x:v>
      </x:c>
      <x:c r="I271" s="20" t="str">
        <x:v>asin_target</x:v>
      </x:c>
      <x:c r="J271" s="20" t="str">
        <x:v>asin_metadata_pending</x:v>
      </x:c>
      <x:c r="K271" s="20" t="str">
        <x:v>asin_without_metadata</x:v>
      </x:c>
      <x:c r="L271" s="20" t="str">
        <x:v>not_applicable</x:v>
      </x:c>
      <x:c r="M271" s="20" t="str">
        <x:v>non_model</x:v>
      </x:c>
      <x:c r="N271" s="20" t="str">
        <x:v>2</x:v>
      </x:c>
      <x:c r="O271" s="20" t="str">
        <x:v>1.0.0</x:v>
      </x:c>
      <x:c r="P271" s="20" t="str">
        <x:v>1.1.0</x:v>
      </x:c>
      <x:c r="Q271" s="20" t="str">
        <x:v>deepseek/deepseek-v4-pro</x:v>
      </x:c>
      <x:c r="R271" s="20" t="str">
        <x:v>aj2-y90-20260714T234810-0bea2f52</x:v>
      </x:c>
    </x:row>
    <x:row r="272" ht="28" customHeight="1">
      <x:c r="A272" s="20" t="str">
        <x:v>B0FXX6R5BF</x:v>
      </x:c>
      <x:c r="B272" s="20" t="str">
        <x:v>b0fxx6r5bf</x:v>
      </x:c>
      <x:c r="C272" s="20" t="str">
        <x:v>5f50ac6047a75784</x:v>
      </x:c>
      <x:c r="D272" s="20" t="str">
        <x:v>asin_target</x:v>
      </x:c>
      <x:c r="E272" s="20" t="str">
        <x:v>en</x:v>
      </x:c>
      <x:c r="F272" s="20" t="str">
        <x:v>该搜索词为 ASIN 形式，需补充商品元数据后再判断用户意图。</x:v>
      </x:c>
      <x:c r="G272" s="20" t="str">
        <x:v>unknown</x:v>
      </x:c>
      <x:c r="H272" s="20" t="str">
        <x:v>low</x:v>
      </x:c>
      <x:c r="I272" s="20" t="str">
        <x:v>asin_target</x:v>
      </x:c>
      <x:c r="J272" s="20" t="str">
        <x:v>asin_metadata_pending</x:v>
      </x:c>
      <x:c r="K272" s="20" t="str">
        <x:v>asin_without_metadata</x:v>
      </x:c>
      <x:c r="L272" s="20" t="str">
        <x:v>not_applicable</x:v>
      </x:c>
      <x:c r="M272" s="20" t="str">
        <x:v>non_model</x:v>
      </x:c>
      <x:c r="N272" s="20" t="str">
        <x:v>1</x:v>
      </x:c>
      <x:c r="O272" s="20" t="str">
        <x:v>1.0.0</x:v>
      </x:c>
      <x:c r="P272" s="20" t="str">
        <x:v>1.1.0</x:v>
      </x:c>
      <x:c r="Q272" s="20" t="str">
        <x:v>deepseek/deepseek-v4-pro</x:v>
      </x:c>
      <x:c r="R272" s="20" t="str">
        <x:v>aj2-y90-20260714T234810-0bea2f52</x:v>
      </x:c>
    </x:row>
    <x:row r="273" ht="28" customHeight="1">
      <x:c r="A273" s="20" t="str">
        <x:v>B0DNGJJ1XF</x:v>
      </x:c>
      <x:c r="B273" s="20" t="str">
        <x:v>b0dngjj1xf</x:v>
      </x:c>
      <x:c r="C273" s="20" t="str">
        <x:v>5f56958bedac27a7</x:v>
      </x:c>
      <x:c r="D273" s="20" t="str">
        <x:v>asin_target</x:v>
      </x:c>
      <x:c r="E273" s="20" t="str">
        <x:v>en</x:v>
      </x:c>
      <x:c r="F273" s="20" t="str">
        <x:v>该搜索词为 ASIN 形式，需补充商品元数据后再判断用户意图。</x:v>
      </x:c>
      <x:c r="G273" s="20" t="str">
        <x:v>unknown</x:v>
      </x:c>
      <x:c r="H273" s="20" t="str">
        <x:v>low</x:v>
      </x:c>
      <x:c r="I273" s="20" t="str">
        <x:v>asin_target</x:v>
      </x:c>
      <x:c r="J273" s="20" t="str">
        <x:v>asin_metadata_pending</x:v>
      </x:c>
      <x:c r="K273" s="20" t="str">
        <x:v>asin_without_metadata</x:v>
      </x:c>
      <x:c r="L273" s="20" t="str">
        <x:v>not_applicable</x:v>
      </x:c>
      <x:c r="M273" s="20" t="str">
        <x:v>non_model</x:v>
      </x:c>
      <x:c r="N273" s="20" t="str">
        <x:v>1</x:v>
      </x:c>
      <x:c r="O273" s="20" t="str">
        <x:v>1.0.0</x:v>
      </x:c>
      <x:c r="P273" s="20" t="str">
        <x:v>1.1.0</x:v>
      </x:c>
      <x:c r="Q273" s="20" t="str">
        <x:v>deepseek/deepseek-v4-pro</x:v>
      </x:c>
      <x:c r="R273" s="20" t="str">
        <x:v>aj2-y90-20260714T234810-0bea2f52</x:v>
      </x:c>
    </x:row>
    <x:row r="274" ht="28" customHeight="1">
      <x:c r="A274" s="20" t="str">
        <x:v>B0G48KVFR3</x:v>
      </x:c>
      <x:c r="B274" s="20" t="str">
        <x:v>b0g48kvfr3</x:v>
      </x:c>
      <x:c r="C274" s="20" t="str">
        <x:v>5fb939615aeaf239</x:v>
      </x:c>
      <x:c r="D274" s="20" t="str">
        <x:v>asin_target</x:v>
      </x:c>
      <x:c r="E274" s="20" t="str">
        <x:v>en</x:v>
      </x:c>
      <x:c r="F274" s="20" t="str">
        <x:v>该搜索词为 ASIN 形式，需补充商品元数据后再判断用户意图。</x:v>
      </x:c>
      <x:c r="G274" s="20" t="str">
        <x:v>unknown</x:v>
      </x:c>
      <x:c r="H274" s="20" t="str">
        <x:v>low</x:v>
      </x:c>
      <x:c r="I274" s="20" t="str">
        <x:v>asin_target</x:v>
      </x:c>
      <x:c r="J274" s="20" t="str">
        <x:v>asin_metadata_pending</x:v>
      </x:c>
      <x:c r="K274" s="20" t="str">
        <x:v>asin_without_metadata</x:v>
      </x:c>
      <x:c r="L274" s="20" t="str">
        <x:v>not_applicable</x:v>
      </x:c>
      <x:c r="M274" s="20" t="str">
        <x:v>non_model</x:v>
      </x:c>
      <x:c r="N274" s="20" t="str">
        <x:v>1</x:v>
      </x:c>
      <x:c r="O274" s="20" t="str">
        <x:v>1.0.0</x:v>
      </x:c>
      <x:c r="P274" s="20" t="str">
        <x:v>1.1.0</x:v>
      </x:c>
      <x:c r="Q274" s="20" t="str">
        <x:v>deepseek/deepseek-v4-pro</x:v>
      </x:c>
      <x:c r="R274" s="20" t="str">
        <x:v>aj2-y90-20260714T234810-0bea2f52</x:v>
      </x:c>
    </x:row>
    <x:row r="275" ht="28" customHeight="1">
      <x:c r="A275" s="20" t="str">
        <x:v>B0FXX8881F</x:v>
      </x:c>
      <x:c r="B275" s="20" t="str">
        <x:v>b0fxx8881f</x:v>
      </x:c>
      <x:c r="C275" s="20" t="str">
        <x:v>5fcf7aa51552be81</x:v>
      </x:c>
      <x:c r="D275" s="20" t="str">
        <x:v>asin_target</x:v>
      </x:c>
      <x:c r="E275" s="20" t="str">
        <x:v>en</x:v>
      </x:c>
      <x:c r="F275" s="20" t="str">
        <x:v>该搜索词为 ASIN 形式，需补充商品元数据后再判断用户意图。</x:v>
      </x:c>
      <x:c r="G275" s="20" t="str">
        <x:v>unknown</x:v>
      </x:c>
      <x:c r="H275" s="20" t="str">
        <x:v>low</x:v>
      </x:c>
      <x:c r="I275" s="20" t="str">
        <x:v>asin_target</x:v>
      </x:c>
      <x:c r="J275" s="20" t="str">
        <x:v>asin_metadata_pending</x:v>
      </x:c>
      <x:c r="K275" s="20" t="str">
        <x:v>asin_without_metadata</x:v>
      </x:c>
      <x:c r="L275" s="20" t="str">
        <x:v>not_applicable</x:v>
      </x:c>
      <x:c r="M275" s="20" t="str">
        <x:v>non_model</x:v>
      </x:c>
      <x:c r="N275" s="20" t="str">
        <x:v>1</x:v>
      </x:c>
      <x:c r="O275" s="20" t="str">
        <x:v>1.0.0</x:v>
      </x:c>
      <x:c r="P275" s="20" t="str">
        <x:v>1.1.0</x:v>
      </x:c>
      <x:c r="Q275" s="20" t="str">
        <x:v>deepseek/deepseek-v4-pro</x:v>
      </x:c>
      <x:c r="R275" s="20" t="str">
        <x:v>aj2-y90-20260714T234810-0bea2f52</x:v>
      </x:c>
    </x:row>
    <x:row r="276" ht="28" customHeight="1">
      <x:c r="A276" s="20" t="str">
        <x:v>B0D7V88NLG</x:v>
      </x:c>
      <x:c r="B276" s="20" t="str">
        <x:v>b0d7v88nlg</x:v>
      </x:c>
      <x:c r="C276" s="20" t="str">
        <x:v>5fd90d8aee4607f4</x:v>
      </x:c>
      <x:c r="D276" s="20" t="str">
        <x:v>asin_target</x:v>
      </x:c>
      <x:c r="E276" s="20" t="str">
        <x:v>en</x:v>
      </x:c>
      <x:c r="F276" s="20" t="str">
        <x:v>该搜索词为 ASIN 形式，需补充商品元数据后再判断用户意图。</x:v>
      </x:c>
      <x:c r="G276" s="20" t="str">
        <x:v>unknown</x:v>
      </x:c>
      <x:c r="H276" s="20" t="str">
        <x:v>low</x:v>
      </x:c>
      <x:c r="I276" s="20" t="str">
        <x:v>asin_target</x:v>
      </x:c>
      <x:c r="J276" s="20" t="str">
        <x:v>asin_metadata_pending</x:v>
      </x:c>
      <x:c r="K276" s="20" t="str">
        <x:v>asin_without_metadata</x:v>
      </x:c>
      <x:c r="L276" s="20" t="str">
        <x:v>not_applicable</x:v>
      </x:c>
      <x:c r="M276" s="20" t="str">
        <x:v>non_model</x:v>
      </x:c>
      <x:c r="N276" s="20" t="str">
        <x:v>1</x:v>
      </x:c>
      <x:c r="O276" s="20" t="str">
        <x:v>1.0.0</x:v>
      </x:c>
      <x:c r="P276" s="20" t="str">
        <x:v>1.1.0</x:v>
      </x:c>
      <x:c r="Q276" s="20" t="str">
        <x:v>deepseek/deepseek-v4-pro</x:v>
      </x:c>
      <x:c r="R276" s="20" t="str">
        <x:v>aj2-y90-20260714T234810-0bea2f52</x:v>
      </x:c>
    </x:row>
    <x:row r="277" ht="28" customHeight="1">
      <x:c r="A277" s="20" t="str">
        <x:v>B0BKCBLFHN</x:v>
      </x:c>
      <x:c r="B277" s="20" t="str">
        <x:v>b0bkcblfhn</x:v>
      </x:c>
      <x:c r="C277" s="20" t="str">
        <x:v>5fe712b057e8452b</x:v>
      </x:c>
      <x:c r="D277" s="20" t="str">
        <x:v>asin_target</x:v>
      </x:c>
      <x:c r="E277" s="20" t="str">
        <x:v>en</x:v>
      </x:c>
      <x:c r="F277" s="20" t="str">
        <x:v>该搜索词为 ASIN 形式，需补充商品元数据后再判断用户意图。</x:v>
      </x:c>
      <x:c r="G277" s="20" t="str">
        <x:v>unknown</x:v>
      </x:c>
      <x:c r="H277" s="20" t="str">
        <x:v>low</x:v>
      </x:c>
      <x:c r="I277" s="20" t="str">
        <x:v>asin_target</x:v>
      </x:c>
      <x:c r="J277" s="20" t="str">
        <x:v>asin_metadata_pending</x:v>
      </x:c>
      <x:c r="K277" s="20" t="str">
        <x:v>asin_without_metadata</x:v>
      </x:c>
      <x:c r="L277" s="20" t="str">
        <x:v>not_applicable</x:v>
      </x:c>
      <x:c r="M277" s="20" t="str">
        <x:v>non_model</x:v>
      </x:c>
      <x:c r="N277" s="20" t="str">
        <x:v>3</x:v>
      </x:c>
      <x:c r="O277" s="20" t="str">
        <x:v>1.0.0</x:v>
      </x:c>
      <x:c r="P277" s="20" t="str">
        <x:v>1.1.0</x:v>
      </x:c>
      <x:c r="Q277" s="20" t="str">
        <x:v>deepseek/deepseek-v4-pro</x:v>
      </x:c>
      <x:c r="R277" s="20" t="str">
        <x:v>aj2-y90-20260714T234810-0bea2f52</x:v>
      </x:c>
    </x:row>
    <x:row r="278" ht="28" customHeight="1">
      <x:c r="A278" s="20" t="str">
        <x:v>B0G48J1PYP</x:v>
      </x:c>
      <x:c r="B278" s="20" t="str">
        <x:v>b0g48j1pyp</x:v>
      </x:c>
      <x:c r="C278" s="20" t="str">
        <x:v>6027c8e6a62dfa07</x:v>
      </x:c>
      <x:c r="D278" s="20" t="str">
        <x:v>asin_target</x:v>
      </x:c>
      <x:c r="E278" s="20" t="str">
        <x:v>en</x:v>
      </x:c>
      <x:c r="F278" s="20" t="str">
        <x:v>该搜索词为 ASIN 形式，需补充商品元数据后再判断用户意图。</x:v>
      </x:c>
      <x:c r="G278" s="20" t="str">
        <x:v>unknown</x:v>
      </x:c>
      <x:c r="H278" s="20" t="str">
        <x:v>low</x:v>
      </x:c>
      <x:c r="I278" s="20" t="str">
        <x:v>asin_target</x:v>
      </x:c>
      <x:c r="J278" s="20" t="str">
        <x:v>asin_metadata_pending</x:v>
      </x:c>
      <x:c r="K278" s="20" t="str">
        <x:v>asin_without_metadata</x:v>
      </x:c>
      <x:c r="L278" s="20" t="str">
        <x:v>not_applicable</x:v>
      </x:c>
      <x:c r="M278" s="20" t="str">
        <x:v>non_model</x:v>
      </x:c>
      <x:c r="N278" s="20" t="str">
        <x:v>2</x:v>
      </x:c>
      <x:c r="O278" s="20" t="str">
        <x:v>1.0.0</x:v>
      </x:c>
      <x:c r="P278" s="20" t="str">
        <x:v>1.1.0</x:v>
      </x:c>
      <x:c r="Q278" s="20" t="str">
        <x:v>deepseek/deepseek-v4-pro</x:v>
      </x:c>
      <x:c r="R278" s="20" t="str">
        <x:v>aj2-y90-20260714T234810-0bea2f52</x:v>
      </x:c>
    </x:row>
    <x:row r="279" ht="28" customHeight="1">
      <x:c r="A279" s="20" t="str">
        <x:v>B0DRJFXRTY</x:v>
      </x:c>
      <x:c r="B279" s="20" t="str">
        <x:v>b0drjfxrty</x:v>
      </x:c>
      <x:c r="C279" s="20" t="str">
        <x:v>606d9328136b089b</x:v>
      </x:c>
      <x:c r="D279" s="20" t="str">
        <x:v>asin_target</x:v>
      </x:c>
      <x:c r="E279" s="20" t="str">
        <x:v>en</x:v>
      </x:c>
      <x:c r="F279" s="20" t="str">
        <x:v>该搜索词为 ASIN 形式，需补充商品元数据后再判断用户意图。</x:v>
      </x:c>
      <x:c r="G279" s="20" t="str">
        <x:v>unknown</x:v>
      </x:c>
      <x:c r="H279" s="20" t="str">
        <x:v>low</x:v>
      </x:c>
      <x:c r="I279" s="20" t="str">
        <x:v>asin_target</x:v>
      </x:c>
      <x:c r="J279" s="20" t="str">
        <x:v>asin_metadata_pending</x:v>
      </x:c>
      <x:c r="K279" s="20" t="str">
        <x:v>asin_without_metadata</x:v>
      </x:c>
      <x:c r="L279" s="20" t="str">
        <x:v>not_applicable</x:v>
      </x:c>
      <x:c r="M279" s="20" t="str">
        <x:v>non_model</x:v>
      </x:c>
      <x:c r="N279" s="20" t="str">
        <x:v>1</x:v>
      </x:c>
      <x:c r="O279" s="20" t="str">
        <x:v>1.0.0</x:v>
      </x:c>
      <x:c r="P279" s="20" t="str">
        <x:v>1.1.0</x:v>
      </x:c>
      <x:c r="Q279" s="20" t="str">
        <x:v>deepseek/deepseek-v4-pro</x:v>
      </x:c>
      <x:c r="R279" s="20" t="str">
        <x:v>aj2-y90-20260714T234810-0bea2f52</x:v>
      </x:c>
    </x:row>
    <x:row r="280" ht="28" customHeight="1">
      <x:c r="A280" s="20" t="str">
        <x:v>B0GG217CXP</x:v>
      </x:c>
      <x:c r="B280" s="20" t="str">
        <x:v>b0gg217cxp</x:v>
      </x:c>
      <x:c r="C280" s="20" t="str">
        <x:v>60bb6916263e6a96</x:v>
      </x:c>
      <x:c r="D280" s="20" t="str">
        <x:v>asin_target</x:v>
      </x:c>
      <x:c r="E280" s="20" t="str">
        <x:v>en</x:v>
      </x:c>
      <x:c r="F280" s="20" t="str">
        <x:v>该搜索词为 ASIN 形式，需补充商品元数据后再判断用户意图。</x:v>
      </x:c>
      <x:c r="G280" s="20" t="str">
        <x:v>unknown</x:v>
      </x:c>
      <x:c r="H280" s="20" t="str">
        <x:v>low</x:v>
      </x:c>
      <x:c r="I280" s="20" t="str">
        <x:v>asin_target</x:v>
      </x:c>
      <x:c r="J280" s="20" t="str">
        <x:v>asin_metadata_pending</x:v>
      </x:c>
      <x:c r="K280" s="20" t="str">
        <x:v>asin_without_metadata</x:v>
      </x:c>
      <x:c r="L280" s="20" t="str">
        <x:v>not_applicable</x:v>
      </x:c>
      <x:c r="M280" s="20" t="str">
        <x:v>non_model</x:v>
      </x:c>
      <x:c r="N280" s="20" t="str">
        <x:v>1</x:v>
      </x:c>
      <x:c r="O280" s="20" t="str">
        <x:v>1.0.0</x:v>
      </x:c>
      <x:c r="P280" s="20" t="str">
        <x:v>1.1.0</x:v>
      </x:c>
      <x:c r="Q280" s="20" t="str">
        <x:v>deepseek/deepseek-v4-pro</x:v>
      </x:c>
      <x:c r="R280" s="20" t="str">
        <x:v>aj2-y90-20260714T234810-0bea2f52</x:v>
      </x:c>
    </x:row>
    <x:row r="281" ht="28" customHeight="1">
      <x:c r="A281" s="20" t="str">
        <x:v>B0DR3PS5G4</x:v>
      </x:c>
      <x:c r="B281" s="20" t="str">
        <x:v>b0dr3ps5g4</x:v>
      </x:c>
      <x:c r="C281" s="20" t="str">
        <x:v>610987f052be273a</x:v>
      </x:c>
      <x:c r="D281" s="20" t="str">
        <x:v>asin_target</x:v>
      </x:c>
      <x:c r="E281" s="20" t="str">
        <x:v>en</x:v>
      </x:c>
      <x:c r="F281" s="20" t="str">
        <x:v>该搜索词为 ASIN 形式，需补充商品元数据后再判断用户意图。</x:v>
      </x:c>
      <x:c r="G281" s="20" t="str">
        <x:v>unknown</x:v>
      </x:c>
      <x:c r="H281" s="20" t="str">
        <x:v>low</x:v>
      </x:c>
      <x:c r="I281" s="20" t="str">
        <x:v>asin_target</x:v>
      </x:c>
      <x:c r="J281" s="20" t="str">
        <x:v>asin_metadata_pending</x:v>
      </x:c>
      <x:c r="K281" s="20" t="str">
        <x:v>asin_without_metadata</x:v>
      </x:c>
      <x:c r="L281" s="20" t="str">
        <x:v>not_applicable</x:v>
      </x:c>
      <x:c r="M281" s="20" t="str">
        <x:v>non_model</x:v>
      </x:c>
      <x:c r="N281" s="20" t="str">
        <x:v>1</x:v>
      </x:c>
      <x:c r="O281" s="20" t="str">
        <x:v>1.0.0</x:v>
      </x:c>
      <x:c r="P281" s="20" t="str">
        <x:v>1.1.0</x:v>
      </x:c>
      <x:c r="Q281" s="20" t="str">
        <x:v>deepseek/deepseek-v4-pro</x:v>
      </x:c>
      <x:c r="R281" s="20" t="str">
        <x:v>aj2-y90-20260714T234810-0bea2f52</x:v>
      </x:c>
    </x:row>
    <x:row r="282" ht="28" customHeight="1">
      <x:c r="A282" s="20" t="str">
        <x:v>B0GGQN3K9R</x:v>
      </x:c>
      <x:c r="B282" s="20" t="str">
        <x:v>b0ggqn3k9r</x:v>
      </x:c>
      <x:c r="C282" s="20" t="str">
        <x:v>61401585993e59f0</x:v>
      </x:c>
      <x:c r="D282" s="20" t="str">
        <x:v>asin_target</x:v>
      </x:c>
      <x:c r="E282" s="20" t="str">
        <x:v>en</x:v>
      </x:c>
      <x:c r="F282" s="20" t="str">
        <x:v>该搜索词为 ASIN 形式，需补充商品元数据后再判断用户意图。</x:v>
      </x:c>
      <x:c r="G282" s="20" t="str">
        <x:v>unknown</x:v>
      </x:c>
      <x:c r="H282" s="20" t="str">
        <x:v>low</x:v>
      </x:c>
      <x:c r="I282" s="20" t="str">
        <x:v>asin_target</x:v>
      </x:c>
      <x:c r="J282" s="20" t="str">
        <x:v>asin_metadata_pending</x:v>
      </x:c>
      <x:c r="K282" s="20" t="str">
        <x:v>asin_without_metadata</x:v>
      </x:c>
      <x:c r="L282" s="20" t="str">
        <x:v>not_applicable</x:v>
      </x:c>
      <x:c r="M282" s="20" t="str">
        <x:v>non_model</x:v>
      </x:c>
      <x:c r="N282" s="20" t="str">
        <x:v>1</x:v>
      </x:c>
      <x:c r="O282" s="20" t="str">
        <x:v>1.0.0</x:v>
      </x:c>
      <x:c r="P282" s="20" t="str">
        <x:v>1.1.0</x:v>
      </x:c>
      <x:c r="Q282" s="20" t="str">
        <x:v>deepseek/deepseek-v4-pro</x:v>
      </x:c>
      <x:c r="R282" s="20" t="str">
        <x:v>aj2-y90-20260714T234810-0bea2f52</x:v>
      </x:c>
    </x:row>
    <x:row r="283" ht="28" customHeight="1">
      <x:c r="A283" s="20" t="str">
        <x:v>B0GLFP3MNF</x:v>
      </x:c>
      <x:c r="B283" s="20" t="str">
        <x:v>b0glfp3mnf</x:v>
      </x:c>
      <x:c r="C283" s="20" t="str">
        <x:v>6197671891cace9a</x:v>
      </x:c>
      <x:c r="D283" s="20" t="str">
        <x:v>asin_target</x:v>
      </x:c>
      <x:c r="E283" s="20" t="str">
        <x:v>en</x:v>
      </x:c>
      <x:c r="F283" s="20" t="str">
        <x:v>该搜索词为 ASIN 形式，需补充商品元数据后再判断用户意图。</x:v>
      </x:c>
      <x:c r="G283" s="20" t="str">
        <x:v>unknown</x:v>
      </x:c>
      <x:c r="H283" s="20" t="str">
        <x:v>low</x:v>
      </x:c>
      <x:c r="I283" s="20" t="str">
        <x:v>asin_target</x:v>
      </x:c>
      <x:c r="J283" s="20" t="str">
        <x:v>asin_metadata_pending</x:v>
      </x:c>
      <x:c r="K283" s="20" t="str">
        <x:v>asin_without_metadata</x:v>
      </x:c>
      <x:c r="L283" s="20" t="str">
        <x:v>not_applicable</x:v>
      </x:c>
      <x:c r="M283" s="20" t="str">
        <x:v>non_model</x:v>
      </x:c>
      <x:c r="N283" s="20" t="str">
        <x:v>1</x:v>
      </x:c>
      <x:c r="O283" s="20" t="str">
        <x:v>1.0.0</x:v>
      </x:c>
      <x:c r="P283" s="20" t="str">
        <x:v>1.1.0</x:v>
      </x:c>
      <x:c r="Q283" s="20" t="str">
        <x:v>deepseek/deepseek-v4-pro</x:v>
      </x:c>
      <x:c r="R283" s="20" t="str">
        <x:v>aj2-y90-20260714T234810-0bea2f52</x:v>
      </x:c>
    </x:row>
    <x:row r="284" ht="28" customHeight="1">
      <x:c r="A284" s="20" t="str">
        <x:v>B0FQQJZ4NB</x:v>
      </x:c>
      <x:c r="B284" s="20" t="str">
        <x:v>b0fqqjz4nb</x:v>
      </x:c>
      <x:c r="C284" s="20" t="str">
        <x:v>6244370b042eed0c</x:v>
      </x:c>
      <x:c r="D284" s="20" t="str">
        <x:v>asin_target</x:v>
      </x:c>
      <x:c r="E284" s="20" t="str">
        <x:v>en</x:v>
      </x:c>
      <x:c r="F284" s="20" t="str">
        <x:v>该搜索词为 ASIN 形式，需补充商品元数据后再判断用户意图。</x:v>
      </x:c>
      <x:c r="G284" s="20" t="str">
        <x:v>unknown</x:v>
      </x:c>
      <x:c r="H284" s="20" t="str">
        <x:v>low</x:v>
      </x:c>
      <x:c r="I284" s="20" t="str">
        <x:v>asin_target</x:v>
      </x:c>
      <x:c r="J284" s="20" t="str">
        <x:v>asin_metadata_pending</x:v>
      </x:c>
      <x:c r="K284" s="20" t="str">
        <x:v>asin_without_metadata</x:v>
      </x:c>
      <x:c r="L284" s="20" t="str">
        <x:v>not_applicable</x:v>
      </x:c>
      <x:c r="M284" s="20" t="str">
        <x:v>non_model</x:v>
      </x:c>
      <x:c r="N284" s="20" t="str">
        <x:v>1</x:v>
      </x:c>
      <x:c r="O284" s="20" t="str">
        <x:v>1.0.0</x:v>
      </x:c>
      <x:c r="P284" s="20" t="str">
        <x:v>1.1.0</x:v>
      </x:c>
      <x:c r="Q284" s="20" t="str">
        <x:v>deepseek/deepseek-v4-pro</x:v>
      </x:c>
      <x:c r="R284" s="20" t="str">
        <x:v>aj2-y90-20260714T234810-0bea2f52</x:v>
      </x:c>
    </x:row>
    <x:row r="285" ht="28" customHeight="1">
      <x:c r="A285" s="20" t="str">
        <x:v>B0D9LC2LM8</x:v>
      </x:c>
      <x:c r="B285" s="20" t="str">
        <x:v>b0d9lc2lm8</x:v>
      </x:c>
      <x:c r="C285" s="20" t="str">
        <x:v>624df38ae8641173</x:v>
      </x:c>
      <x:c r="D285" s="20" t="str">
        <x:v>asin_target</x:v>
      </x:c>
      <x:c r="E285" s="20" t="str">
        <x:v>en</x:v>
      </x:c>
      <x:c r="F285" s="20" t="str">
        <x:v>该搜索词为 ASIN 形式，需补充商品元数据后再判断用户意图。</x:v>
      </x:c>
      <x:c r="G285" s="20" t="str">
        <x:v>unknown</x:v>
      </x:c>
      <x:c r="H285" s="20" t="str">
        <x:v>low</x:v>
      </x:c>
      <x:c r="I285" s="20" t="str">
        <x:v>asin_target</x:v>
      </x:c>
      <x:c r="J285" s="20" t="str">
        <x:v>asin_metadata_pending</x:v>
      </x:c>
      <x:c r="K285" s="20" t="str">
        <x:v>asin_without_metadata</x:v>
      </x:c>
      <x:c r="L285" s="20" t="str">
        <x:v>not_applicable</x:v>
      </x:c>
      <x:c r="M285" s="20" t="str">
        <x:v>non_model</x:v>
      </x:c>
      <x:c r="N285" s="20" t="str">
        <x:v>1</x:v>
      </x:c>
      <x:c r="O285" s="20" t="str">
        <x:v>1.0.0</x:v>
      </x:c>
      <x:c r="P285" s="20" t="str">
        <x:v>1.1.0</x:v>
      </x:c>
      <x:c r="Q285" s="20" t="str">
        <x:v>deepseek/deepseek-v4-pro</x:v>
      </x:c>
      <x:c r="R285" s="20" t="str">
        <x:v>aj2-y90-20260714T234810-0bea2f52</x:v>
      </x:c>
    </x:row>
    <x:row r="286" ht="28" customHeight="1">
      <x:c r="A286" s="20" t="str">
        <x:v>B086SZ52TT</x:v>
      </x:c>
      <x:c r="B286" s="20" t="str">
        <x:v>b086sz52tt</x:v>
      </x:c>
      <x:c r="C286" s="20" t="str">
        <x:v>62ccd4b13a8b5bfa</x:v>
      </x:c>
      <x:c r="D286" s="20" t="str">
        <x:v>asin_target</x:v>
      </x:c>
      <x:c r="E286" s="20" t="str">
        <x:v>en</x:v>
      </x:c>
      <x:c r="F286" s="20" t="str">
        <x:v>该搜索词为 ASIN 形式，需补充商品元数据后再判断用户意图。</x:v>
      </x:c>
      <x:c r="G286" s="20" t="str">
        <x:v>unknown</x:v>
      </x:c>
      <x:c r="H286" s="20" t="str">
        <x:v>low</x:v>
      </x:c>
      <x:c r="I286" s="20" t="str">
        <x:v>asin_target</x:v>
      </x:c>
      <x:c r="J286" s="20" t="str">
        <x:v>asin_metadata_pending</x:v>
      </x:c>
      <x:c r="K286" s="20" t="str">
        <x:v>asin_without_metadata</x:v>
      </x:c>
      <x:c r="L286" s="20" t="str">
        <x:v>not_applicable</x:v>
      </x:c>
      <x:c r="M286" s="20" t="str">
        <x:v>non_model</x:v>
      </x:c>
      <x:c r="N286" s="20" t="str">
        <x:v>2</x:v>
      </x:c>
      <x:c r="O286" s="20" t="str">
        <x:v>1.0.0</x:v>
      </x:c>
      <x:c r="P286" s="20" t="str">
        <x:v>1.1.0</x:v>
      </x:c>
      <x:c r="Q286" s="20" t="str">
        <x:v>deepseek/deepseek-v4-pro</x:v>
      </x:c>
      <x:c r="R286" s="20" t="str">
        <x:v>aj2-y90-20260714T234810-0bea2f52</x:v>
      </x:c>
    </x:row>
    <x:row r="287" ht="28" customHeight="1">
      <x:c r="A287" s="20" t="str">
        <x:v>B0G47M13ZY</x:v>
      </x:c>
      <x:c r="B287" s="20" t="str">
        <x:v>b0g47m13zy</x:v>
      </x:c>
      <x:c r="C287" s="20" t="str">
        <x:v>62e586aa3bdd8b3c</x:v>
      </x:c>
      <x:c r="D287" s="20" t="str">
        <x:v>asin_target</x:v>
      </x:c>
      <x:c r="E287" s="20" t="str">
        <x:v>en</x:v>
      </x:c>
      <x:c r="F287" s="20" t="str">
        <x:v>该搜索词为 ASIN 形式，需补充商品元数据后再判断用户意图。</x:v>
      </x:c>
      <x:c r="G287" s="20" t="str">
        <x:v>unknown</x:v>
      </x:c>
      <x:c r="H287" s="20" t="str">
        <x:v>low</x:v>
      </x:c>
      <x:c r="I287" s="20" t="str">
        <x:v>asin_target</x:v>
      </x:c>
      <x:c r="J287" s="20" t="str">
        <x:v>asin_metadata_pending</x:v>
      </x:c>
      <x:c r="K287" s="20" t="str">
        <x:v>asin_without_metadata</x:v>
      </x:c>
      <x:c r="L287" s="20" t="str">
        <x:v>not_applicable</x:v>
      </x:c>
      <x:c r="M287" s="20" t="str">
        <x:v>non_model</x:v>
      </x:c>
      <x:c r="N287" s="20" t="str">
        <x:v>1</x:v>
      </x:c>
      <x:c r="O287" s="20" t="str">
        <x:v>1.0.0</x:v>
      </x:c>
      <x:c r="P287" s="20" t="str">
        <x:v>1.1.0</x:v>
      </x:c>
      <x:c r="Q287" s="20" t="str">
        <x:v>deepseek/deepseek-v4-pro</x:v>
      </x:c>
      <x:c r="R287" s="20" t="str">
        <x:v>aj2-y90-20260714T234810-0bea2f52</x:v>
      </x:c>
    </x:row>
    <x:row r="288" ht="28" customHeight="1">
      <x:c r="A288" s="20" t="str">
        <x:v>B0H157H66W</x:v>
      </x:c>
      <x:c r="B288" s="20" t="str">
        <x:v>b0h157h66w</x:v>
      </x:c>
      <x:c r="C288" s="20" t="str">
        <x:v>63374ffd54ff307e</x:v>
      </x:c>
      <x:c r="D288" s="20" t="str">
        <x:v>asin_target</x:v>
      </x:c>
      <x:c r="E288" s="20" t="str">
        <x:v>en</x:v>
      </x:c>
      <x:c r="F288" s="20" t="str">
        <x:v>该搜索词为 ASIN 形式，需补充商品元数据后再判断用户意图。</x:v>
      </x:c>
      <x:c r="G288" s="20" t="str">
        <x:v>unknown</x:v>
      </x:c>
      <x:c r="H288" s="20" t="str">
        <x:v>low</x:v>
      </x:c>
      <x:c r="I288" s="20" t="str">
        <x:v>asin_target</x:v>
      </x:c>
      <x:c r="J288" s="20" t="str">
        <x:v>asin_metadata_pending</x:v>
      </x:c>
      <x:c r="K288" s="20" t="str">
        <x:v>asin_without_metadata</x:v>
      </x:c>
      <x:c r="L288" s="20" t="str">
        <x:v>not_applicable</x:v>
      </x:c>
      <x:c r="M288" s="20" t="str">
        <x:v>non_model</x:v>
      </x:c>
      <x:c r="N288" s="20" t="str">
        <x:v>1</x:v>
      </x:c>
      <x:c r="O288" s="20" t="str">
        <x:v>1.0.0</x:v>
      </x:c>
      <x:c r="P288" s="20" t="str">
        <x:v>1.1.0</x:v>
      </x:c>
      <x:c r="Q288" s="20" t="str">
        <x:v>deepseek/deepseek-v4-pro</x:v>
      </x:c>
      <x:c r="R288" s="20" t="str">
        <x:v>aj2-y90-20260714T234810-0bea2f52</x:v>
      </x:c>
    </x:row>
    <x:row r="289" ht="28" customHeight="1">
      <x:c r="A289" s="20" t="str">
        <x:v>B0G48NYHKN</x:v>
      </x:c>
      <x:c r="B289" s="20" t="str">
        <x:v>b0g48nyhkn</x:v>
      </x:c>
      <x:c r="C289" s="20" t="str">
        <x:v>6367da3160c26c8c</x:v>
      </x:c>
      <x:c r="D289" s="20" t="str">
        <x:v>asin_target</x:v>
      </x:c>
      <x:c r="E289" s="20" t="str">
        <x:v>en</x:v>
      </x:c>
      <x:c r="F289" s="20" t="str">
        <x:v>该搜索词为 ASIN 形式，需补充商品元数据后再判断用户意图。</x:v>
      </x:c>
      <x:c r="G289" s="20" t="str">
        <x:v>unknown</x:v>
      </x:c>
      <x:c r="H289" s="20" t="str">
        <x:v>low</x:v>
      </x:c>
      <x:c r="I289" s="20" t="str">
        <x:v>asin_target</x:v>
      </x:c>
      <x:c r="J289" s="20" t="str">
        <x:v>asin_metadata_pending</x:v>
      </x:c>
      <x:c r="K289" s="20" t="str">
        <x:v>asin_without_metadata</x:v>
      </x:c>
      <x:c r="L289" s="20" t="str">
        <x:v>not_applicable</x:v>
      </x:c>
      <x:c r="M289" s="20" t="str">
        <x:v>non_model</x:v>
      </x:c>
      <x:c r="N289" s="20" t="str">
        <x:v>1</x:v>
      </x:c>
      <x:c r="O289" s="20" t="str">
        <x:v>1.0.0</x:v>
      </x:c>
      <x:c r="P289" s="20" t="str">
        <x:v>1.1.0</x:v>
      </x:c>
      <x:c r="Q289" s="20" t="str">
        <x:v>deepseek/deepseek-v4-pro</x:v>
      </x:c>
      <x:c r="R289" s="20" t="str">
        <x:v>aj2-y90-20260714T234810-0bea2f52</x:v>
      </x:c>
    </x:row>
    <x:row r="290" ht="28" customHeight="1">
      <x:c r="A290" s="20" t="str">
        <x:v>B0D2NVH45M</x:v>
      </x:c>
      <x:c r="B290" s="20" t="str">
        <x:v>b0d2nvh45m</x:v>
      </x:c>
      <x:c r="C290" s="20" t="str">
        <x:v>637a19fa9770a374</x:v>
      </x:c>
      <x:c r="D290" s="20" t="str">
        <x:v>asin_target</x:v>
      </x:c>
      <x:c r="E290" s="20" t="str">
        <x:v>en</x:v>
      </x:c>
      <x:c r="F290" s="20" t="str">
        <x:v>该搜索词为 ASIN 形式，需补充商品元数据后再判断用户意图。</x:v>
      </x:c>
      <x:c r="G290" s="20" t="str">
        <x:v>unknown</x:v>
      </x:c>
      <x:c r="H290" s="20" t="str">
        <x:v>low</x:v>
      </x:c>
      <x:c r="I290" s="20" t="str">
        <x:v>asin_target</x:v>
      </x:c>
      <x:c r="J290" s="20" t="str">
        <x:v>asin_metadata_pending</x:v>
      </x:c>
      <x:c r="K290" s="20" t="str">
        <x:v>asin_without_metadata</x:v>
      </x:c>
      <x:c r="L290" s="20" t="str">
        <x:v>not_applicable</x:v>
      </x:c>
      <x:c r="M290" s="20" t="str">
        <x:v>non_model</x:v>
      </x:c>
      <x:c r="N290" s="20" t="str">
        <x:v>1</x:v>
      </x:c>
      <x:c r="O290" s="20" t="str">
        <x:v>1.0.0</x:v>
      </x:c>
      <x:c r="P290" s="20" t="str">
        <x:v>1.1.0</x:v>
      </x:c>
      <x:c r="Q290" s="20" t="str">
        <x:v>deepseek/deepseek-v4-pro</x:v>
      </x:c>
      <x:c r="R290" s="20" t="str">
        <x:v>aj2-y90-20260714T234810-0bea2f52</x:v>
      </x:c>
    </x:row>
    <x:row r="291" ht="28" customHeight="1">
      <x:c r="A291" s="20" t="str">
        <x:v>B0GLFKG77Z</x:v>
      </x:c>
      <x:c r="B291" s="20" t="str">
        <x:v>b0glfkg77z</x:v>
      </x:c>
      <x:c r="C291" s="20" t="str">
        <x:v>638aceaf14b3311d</x:v>
      </x:c>
      <x:c r="D291" s="20" t="str">
        <x:v>asin_target</x:v>
      </x:c>
      <x:c r="E291" s="20" t="str">
        <x:v>en</x:v>
      </x:c>
      <x:c r="F291" s="20" t="str">
        <x:v>该搜索词为 ASIN 形式，需补充商品元数据后再判断用户意图。</x:v>
      </x:c>
      <x:c r="G291" s="20" t="str">
        <x:v>unknown</x:v>
      </x:c>
      <x:c r="H291" s="20" t="str">
        <x:v>low</x:v>
      </x:c>
      <x:c r="I291" s="20" t="str">
        <x:v>asin_target</x:v>
      </x:c>
      <x:c r="J291" s="20" t="str">
        <x:v>asin_metadata_pending</x:v>
      </x:c>
      <x:c r="K291" s="20" t="str">
        <x:v>asin_without_metadata</x:v>
      </x:c>
      <x:c r="L291" s="20" t="str">
        <x:v>not_applicable</x:v>
      </x:c>
      <x:c r="M291" s="20" t="str">
        <x:v>non_model</x:v>
      </x:c>
      <x:c r="N291" s="20" t="str">
        <x:v>1</x:v>
      </x:c>
      <x:c r="O291" s="20" t="str">
        <x:v>1.0.0</x:v>
      </x:c>
      <x:c r="P291" s="20" t="str">
        <x:v>1.1.0</x:v>
      </x:c>
      <x:c r="Q291" s="20" t="str">
        <x:v>deepseek/deepseek-v4-pro</x:v>
      </x:c>
      <x:c r="R291" s="20" t="str">
        <x:v>aj2-y90-20260714T234810-0bea2f52</x:v>
      </x:c>
    </x:row>
    <x:row r="292" ht="28" customHeight="1">
      <x:c r="A292" s="20" t="str">
        <x:v>B0D225YM69</x:v>
      </x:c>
      <x:c r="B292" s="20" t="str">
        <x:v>b0d225ym69</x:v>
      </x:c>
      <x:c r="C292" s="20" t="str">
        <x:v>63e98a892c0b5108</x:v>
      </x:c>
      <x:c r="D292" s="20" t="str">
        <x:v>asin_target</x:v>
      </x:c>
      <x:c r="E292" s="20" t="str">
        <x:v>en</x:v>
      </x:c>
      <x:c r="F292" s="20" t="str">
        <x:v>该搜索词为 ASIN 形式，需补充商品元数据后再判断用户意图。</x:v>
      </x:c>
      <x:c r="G292" s="20" t="str">
        <x:v>unknown</x:v>
      </x:c>
      <x:c r="H292" s="20" t="str">
        <x:v>low</x:v>
      </x:c>
      <x:c r="I292" s="20" t="str">
        <x:v>asin_target</x:v>
      </x:c>
      <x:c r="J292" s="20" t="str">
        <x:v>asin_metadata_pending</x:v>
      </x:c>
      <x:c r="K292" s="20" t="str">
        <x:v>asin_without_metadata</x:v>
      </x:c>
      <x:c r="L292" s="20" t="str">
        <x:v>not_applicable</x:v>
      </x:c>
      <x:c r="M292" s="20" t="str">
        <x:v>non_model</x:v>
      </x:c>
      <x:c r="N292" s="20" t="str">
        <x:v>1</x:v>
      </x:c>
      <x:c r="O292" s="20" t="str">
        <x:v>1.0.0</x:v>
      </x:c>
      <x:c r="P292" s="20" t="str">
        <x:v>1.1.0</x:v>
      </x:c>
      <x:c r="Q292" s="20" t="str">
        <x:v>deepseek/deepseek-v4-pro</x:v>
      </x:c>
      <x:c r="R292" s="20" t="str">
        <x:v>aj2-y90-20260714T234810-0bea2f52</x:v>
      </x:c>
    </x:row>
    <x:row r="293" ht="28" customHeight="1">
      <x:c r="A293" s="20" t="str">
        <x:v>B0CX62597L</x:v>
      </x:c>
      <x:c r="B293" s="20" t="str">
        <x:v>b0cx62597l</x:v>
      </x:c>
      <x:c r="C293" s="20" t="str">
        <x:v>63fa6fdccb95d966</x:v>
      </x:c>
      <x:c r="D293" s="20" t="str">
        <x:v>asin_target</x:v>
      </x:c>
      <x:c r="E293" s="20" t="str">
        <x:v>en</x:v>
      </x:c>
      <x:c r="F293" s="20" t="str">
        <x:v>该搜索词为 ASIN 形式，需补充商品元数据后再判断用户意图。</x:v>
      </x:c>
      <x:c r="G293" s="20" t="str">
        <x:v>unknown</x:v>
      </x:c>
      <x:c r="H293" s="20" t="str">
        <x:v>low</x:v>
      </x:c>
      <x:c r="I293" s="20" t="str">
        <x:v>asin_target</x:v>
      </x:c>
      <x:c r="J293" s="20" t="str">
        <x:v>asin_metadata_pending</x:v>
      </x:c>
      <x:c r="K293" s="20" t="str">
        <x:v>asin_without_metadata</x:v>
      </x:c>
      <x:c r="L293" s="20" t="str">
        <x:v>not_applicable</x:v>
      </x:c>
      <x:c r="M293" s="20" t="str">
        <x:v>non_model</x:v>
      </x:c>
      <x:c r="N293" s="20" t="str">
        <x:v>1</x:v>
      </x:c>
      <x:c r="O293" s="20" t="str">
        <x:v>1.0.0</x:v>
      </x:c>
      <x:c r="P293" s="20" t="str">
        <x:v>1.1.0</x:v>
      </x:c>
      <x:c r="Q293" s="20" t="str">
        <x:v>deepseek/deepseek-v4-pro</x:v>
      </x:c>
      <x:c r="R293" s="20" t="str">
        <x:v>aj2-y90-20260714T234810-0bea2f52</x:v>
      </x:c>
    </x:row>
    <x:row r="294" ht="28" customHeight="1">
      <x:c r="A294" s="20" t="str">
        <x:v>B0GTZFM4BC</x:v>
      </x:c>
      <x:c r="B294" s="20" t="str">
        <x:v>b0gtzfm4bc</x:v>
      </x:c>
      <x:c r="C294" s="20" t="str">
        <x:v>640ed4fea73e68a1</x:v>
      </x:c>
      <x:c r="D294" s="20" t="str">
        <x:v>asin_target</x:v>
      </x:c>
      <x:c r="E294" s="20" t="str">
        <x:v>en</x:v>
      </x:c>
      <x:c r="F294" s="20" t="str">
        <x:v>该搜索词为 ASIN 形式，需补充商品元数据后再判断用户意图。</x:v>
      </x:c>
      <x:c r="G294" s="20" t="str">
        <x:v>unknown</x:v>
      </x:c>
      <x:c r="H294" s="20" t="str">
        <x:v>low</x:v>
      </x:c>
      <x:c r="I294" s="20" t="str">
        <x:v>asin_target</x:v>
      </x:c>
      <x:c r="J294" s="20" t="str">
        <x:v>asin_metadata_pending</x:v>
      </x:c>
      <x:c r="K294" s="20" t="str">
        <x:v>asin_without_metadata</x:v>
      </x:c>
      <x:c r="L294" s="20" t="str">
        <x:v>not_applicable</x:v>
      </x:c>
      <x:c r="M294" s="20" t="str">
        <x:v>non_model</x:v>
      </x:c>
      <x:c r="N294" s="20" t="str">
        <x:v>1</x:v>
      </x:c>
      <x:c r="O294" s="20" t="str">
        <x:v>1.0.0</x:v>
      </x:c>
      <x:c r="P294" s="20" t="str">
        <x:v>1.1.0</x:v>
      </x:c>
      <x:c r="Q294" s="20" t="str">
        <x:v>deepseek/deepseek-v4-pro</x:v>
      </x:c>
      <x:c r="R294" s="20" t="str">
        <x:v>aj2-y90-20260714T234810-0bea2f52</x:v>
      </x:c>
    </x:row>
    <x:row r="295" ht="28" customHeight="1">
      <x:c r="A295" s="20" t="str">
        <x:v>B0FGKJDWWP</x:v>
      </x:c>
      <x:c r="B295" s="20" t="str">
        <x:v>b0fgkjdwwp</x:v>
      </x:c>
      <x:c r="C295" s="20" t="str">
        <x:v>64bab65ea528de40</x:v>
      </x:c>
      <x:c r="D295" s="20" t="str">
        <x:v>asin_target</x:v>
      </x:c>
      <x:c r="E295" s="20" t="str">
        <x:v>en</x:v>
      </x:c>
      <x:c r="F295" s="20" t="str">
        <x:v>该搜索词为 ASIN 形式，需补充商品元数据后再判断用户意图。</x:v>
      </x:c>
      <x:c r="G295" s="20" t="str">
        <x:v>unknown</x:v>
      </x:c>
      <x:c r="H295" s="20" t="str">
        <x:v>low</x:v>
      </x:c>
      <x:c r="I295" s="20" t="str">
        <x:v>asin_target</x:v>
      </x:c>
      <x:c r="J295" s="20" t="str">
        <x:v>asin_metadata_pending</x:v>
      </x:c>
      <x:c r="K295" s="20" t="str">
        <x:v>asin_without_metadata</x:v>
      </x:c>
      <x:c r="L295" s="20" t="str">
        <x:v>not_applicable</x:v>
      </x:c>
      <x:c r="M295" s="20" t="str">
        <x:v>non_model</x:v>
      </x:c>
      <x:c r="N295" s="20" t="str">
        <x:v>1</x:v>
      </x:c>
      <x:c r="O295" s="20" t="str">
        <x:v>1.0.0</x:v>
      </x:c>
      <x:c r="P295" s="20" t="str">
        <x:v>1.1.0</x:v>
      </x:c>
      <x:c r="Q295" s="20" t="str">
        <x:v>deepseek/deepseek-v4-pro</x:v>
      </x:c>
      <x:c r="R295" s="20" t="str">
        <x:v>aj2-y90-20260714T234810-0bea2f52</x:v>
      </x:c>
    </x:row>
    <x:row r="296" ht="28" customHeight="1">
      <x:c r="A296" s="20" t="str">
        <x:v>B0C6P22MVK</x:v>
      </x:c>
      <x:c r="B296" s="20" t="str">
        <x:v>b0c6p22mvk</x:v>
      </x:c>
      <x:c r="C296" s="20" t="str">
        <x:v>65067591a8c467c2</x:v>
      </x:c>
      <x:c r="D296" s="20" t="str">
        <x:v>asin_target</x:v>
      </x:c>
      <x:c r="E296" s="20" t="str">
        <x:v>en</x:v>
      </x:c>
      <x:c r="F296" s="20" t="str">
        <x:v>该搜索词为 ASIN 形式，需补充商品元数据后再判断用户意图。</x:v>
      </x:c>
      <x:c r="G296" s="20" t="str">
        <x:v>unknown</x:v>
      </x:c>
      <x:c r="H296" s="20" t="str">
        <x:v>low</x:v>
      </x:c>
      <x:c r="I296" s="20" t="str">
        <x:v>asin_target</x:v>
      </x:c>
      <x:c r="J296" s="20" t="str">
        <x:v>asin_metadata_pending</x:v>
      </x:c>
      <x:c r="K296" s="20" t="str">
        <x:v>asin_without_metadata</x:v>
      </x:c>
      <x:c r="L296" s="20" t="str">
        <x:v>not_applicable</x:v>
      </x:c>
      <x:c r="M296" s="20" t="str">
        <x:v>non_model</x:v>
      </x:c>
      <x:c r="N296" s="20" t="str">
        <x:v>1</x:v>
      </x:c>
      <x:c r="O296" s="20" t="str">
        <x:v>1.0.0</x:v>
      </x:c>
      <x:c r="P296" s="20" t="str">
        <x:v>1.1.0</x:v>
      </x:c>
      <x:c r="Q296" s="20" t="str">
        <x:v>deepseek/deepseek-v4-pro</x:v>
      </x:c>
      <x:c r="R296" s="20" t="str">
        <x:v>aj2-y90-20260714T234810-0bea2f52</x:v>
      </x:c>
    </x:row>
    <x:row r="297" ht="28" customHeight="1">
      <x:c r="A297" s="20" t="str">
        <x:v>B0D2NSDS5X</x:v>
      </x:c>
      <x:c r="B297" s="20" t="str">
        <x:v>b0d2nsds5x</x:v>
      </x:c>
      <x:c r="C297" s="20" t="str">
        <x:v>65151c141bd00201</x:v>
      </x:c>
      <x:c r="D297" s="20" t="str">
        <x:v>asin_target</x:v>
      </x:c>
      <x:c r="E297" s="20" t="str">
        <x:v>en</x:v>
      </x:c>
      <x:c r="F297" s="20" t="str">
        <x:v>该搜索词为 ASIN 形式，需补充商品元数据后再判断用户意图。</x:v>
      </x:c>
      <x:c r="G297" s="20" t="str">
        <x:v>unknown</x:v>
      </x:c>
      <x:c r="H297" s="20" t="str">
        <x:v>low</x:v>
      </x:c>
      <x:c r="I297" s="20" t="str">
        <x:v>asin_target</x:v>
      </x:c>
      <x:c r="J297" s="20" t="str">
        <x:v>asin_metadata_pending</x:v>
      </x:c>
      <x:c r="K297" s="20" t="str">
        <x:v>asin_without_metadata</x:v>
      </x:c>
      <x:c r="L297" s="20" t="str">
        <x:v>not_applicable</x:v>
      </x:c>
      <x:c r="M297" s="20" t="str">
        <x:v>non_model</x:v>
      </x:c>
      <x:c r="N297" s="20" t="str">
        <x:v>1</x:v>
      </x:c>
      <x:c r="O297" s="20" t="str">
        <x:v>1.0.0</x:v>
      </x:c>
      <x:c r="P297" s="20" t="str">
        <x:v>1.1.0</x:v>
      </x:c>
      <x:c r="Q297" s="20" t="str">
        <x:v>deepseek/deepseek-v4-pro</x:v>
      </x:c>
      <x:c r="R297" s="20" t="str">
        <x:v>aj2-y90-20260714T234810-0bea2f52</x:v>
      </x:c>
    </x:row>
    <x:row r="298" ht="28" customHeight="1">
      <x:c r="A298" s="20" t="str">
        <x:v>B0F8MJ63JK</x:v>
      </x:c>
      <x:c r="B298" s="20" t="str">
        <x:v>b0f8mj63jk</x:v>
      </x:c>
      <x:c r="C298" s="20" t="str">
        <x:v>6521fbcc47ba7bbe</x:v>
      </x:c>
      <x:c r="D298" s="20" t="str">
        <x:v>asin_target</x:v>
      </x:c>
      <x:c r="E298" s="20" t="str">
        <x:v>en</x:v>
      </x:c>
      <x:c r="F298" s="20" t="str">
        <x:v>该搜索词为 ASIN 形式，需补充商品元数据后再判断用户意图。</x:v>
      </x:c>
      <x:c r="G298" s="20" t="str">
        <x:v>unknown</x:v>
      </x:c>
      <x:c r="H298" s="20" t="str">
        <x:v>low</x:v>
      </x:c>
      <x:c r="I298" s="20" t="str">
        <x:v>asin_target</x:v>
      </x:c>
      <x:c r="J298" s="20" t="str">
        <x:v>asin_metadata_pending</x:v>
      </x:c>
      <x:c r="K298" s="20" t="str">
        <x:v>asin_without_metadata</x:v>
      </x:c>
      <x:c r="L298" s="20" t="str">
        <x:v>not_applicable</x:v>
      </x:c>
      <x:c r="M298" s="20" t="str">
        <x:v>non_model</x:v>
      </x:c>
      <x:c r="N298" s="20" t="str">
        <x:v>1</x:v>
      </x:c>
      <x:c r="O298" s="20" t="str">
        <x:v>1.0.0</x:v>
      </x:c>
      <x:c r="P298" s="20" t="str">
        <x:v>1.1.0</x:v>
      </x:c>
      <x:c r="Q298" s="20" t="str">
        <x:v>deepseek/deepseek-v4-pro</x:v>
      </x:c>
      <x:c r="R298" s="20" t="str">
        <x:v>aj2-y90-20260714T234810-0bea2f52</x:v>
      </x:c>
    </x:row>
    <x:row r="299" ht="28" customHeight="1">
      <x:c r="A299" s="20" t="str">
        <x:v>B0GGR2JLC6</x:v>
      </x:c>
      <x:c r="B299" s="20" t="str">
        <x:v>b0ggr2jlc6</x:v>
      </x:c>
      <x:c r="C299" s="20" t="str">
        <x:v>653f92c98904725f</x:v>
      </x:c>
      <x:c r="D299" s="20" t="str">
        <x:v>asin_target</x:v>
      </x:c>
      <x:c r="E299" s="20" t="str">
        <x:v>en</x:v>
      </x:c>
      <x:c r="F299" s="20" t="str">
        <x:v>该搜索词为 ASIN 形式，需补充商品元数据后再判断用户意图。</x:v>
      </x:c>
      <x:c r="G299" s="20" t="str">
        <x:v>unknown</x:v>
      </x:c>
      <x:c r="H299" s="20" t="str">
        <x:v>low</x:v>
      </x:c>
      <x:c r="I299" s="20" t="str">
        <x:v>asin_target</x:v>
      </x:c>
      <x:c r="J299" s="20" t="str">
        <x:v>asin_metadata_pending</x:v>
      </x:c>
      <x:c r="K299" s="20" t="str">
        <x:v>asin_without_metadata</x:v>
      </x:c>
      <x:c r="L299" s="20" t="str">
        <x:v>not_applicable</x:v>
      </x:c>
      <x:c r="M299" s="20" t="str">
        <x:v>non_model</x:v>
      </x:c>
      <x:c r="N299" s="20" t="str">
        <x:v>1</x:v>
      </x:c>
      <x:c r="O299" s="20" t="str">
        <x:v>1.0.0</x:v>
      </x:c>
      <x:c r="P299" s="20" t="str">
        <x:v>1.1.0</x:v>
      </x:c>
      <x:c r="Q299" s="20" t="str">
        <x:v>deepseek/deepseek-v4-pro</x:v>
      </x:c>
      <x:c r="R299" s="20" t="str">
        <x:v>aj2-y90-20260714T234810-0bea2f52</x:v>
      </x:c>
    </x:row>
    <x:row r="300" ht="28" customHeight="1">
      <x:c r="A300" s="20" t="str">
        <x:v>B0CJXRMXWL</x:v>
      </x:c>
      <x:c r="B300" s="20" t="str">
        <x:v>b0cjxrmxwl</x:v>
      </x:c>
      <x:c r="C300" s="20" t="str">
        <x:v>655d004ff34ab549</x:v>
      </x:c>
      <x:c r="D300" s="20" t="str">
        <x:v>asin_target</x:v>
      </x:c>
      <x:c r="E300" s="20" t="str">
        <x:v>en</x:v>
      </x:c>
      <x:c r="F300" s="20" t="str">
        <x:v>该搜索词为 ASIN 形式，需补充商品元数据后再判断用户意图。</x:v>
      </x:c>
      <x:c r="G300" s="20" t="str">
        <x:v>unknown</x:v>
      </x:c>
      <x:c r="H300" s="20" t="str">
        <x:v>low</x:v>
      </x:c>
      <x:c r="I300" s="20" t="str">
        <x:v>asin_target</x:v>
      </x:c>
      <x:c r="J300" s="20" t="str">
        <x:v>asin_metadata_pending</x:v>
      </x:c>
      <x:c r="K300" s="20" t="str">
        <x:v>asin_without_metadata</x:v>
      </x:c>
      <x:c r="L300" s="20" t="str">
        <x:v>not_applicable</x:v>
      </x:c>
      <x:c r="M300" s="20" t="str">
        <x:v>non_model</x:v>
      </x:c>
      <x:c r="N300" s="20" t="str">
        <x:v>1</x:v>
      </x:c>
      <x:c r="O300" s="20" t="str">
        <x:v>1.0.0</x:v>
      </x:c>
      <x:c r="P300" s="20" t="str">
        <x:v>1.1.0</x:v>
      </x:c>
      <x:c r="Q300" s="20" t="str">
        <x:v>deepseek/deepseek-v4-pro</x:v>
      </x:c>
      <x:c r="R300" s="20" t="str">
        <x:v>aj2-y90-20260714T234810-0bea2f52</x:v>
      </x:c>
    </x:row>
    <x:row r="301" ht="28" customHeight="1">
      <x:c r="A301" s="20" t="str">
        <x:v>B0G64FHJF6</x:v>
      </x:c>
      <x:c r="B301" s="20" t="str">
        <x:v>b0g64fhjf6</x:v>
      </x:c>
      <x:c r="C301" s="20" t="str">
        <x:v>65a6b7461f8fd818</x:v>
      </x:c>
      <x:c r="D301" s="20" t="str">
        <x:v>asin_target</x:v>
      </x:c>
      <x:c r="E301" s="20" t="str">
        <x:v>en</x:v>
      </x:c>
      <x:c r="F301" s="20" t="str">
        <x:v>该搜索词为 ASIN 形式，需补充商品元数据后再判断用户意图。</x:v>
      </x:c>
      <x:c r="G301" s="20" t="str">
        <x:v>unknown</x:v>
      </x:c>
      <x:c r="H301" s="20" t="str">
        <x:v>low</x:v>
      </x:c>
      <x:c r="I301" s="20" t="str">
        <x:v>asin_target</x:v>
      </x:c>
      <x:c r="J301" s="20" t="str">
        <x:v>asin_metadata_pending</x:v>
      </x:c>
      <x:c r="K301" s="20" t="str">
        <x:v>asin_without_metadata</x:v>
      </x:c>
      <x:c r="L301" s="20" t="str">
        <x:v>not_applicable</x:v>
      </x:c>
      <x:c r="M301" s="20" t="str">
        <x:v>non_model</x:v>
      </x:c>
      <x:c r="N301" s="20" t="str">
        <x:v>1</x:v>
      </x:c>
      <x:c r="O301" s="20" t="str">
        <x:v>1.0.0</x:v>
      </x:c>
      <x:c r="P301" s="20" t="str">
        <x:v>1.1.0</x:v>
      </x:c>
      <x:c r="Q301" s="20" t="str">
        <x:v>deepseek/deepseek-v4-pro</x:v>
      </x:c>
      <x:c r="R301" s="20" t="str">
        <x:v>aj2-y90-20260714T234810-0bea2f52</x:v>
      </x:c>
    </x:row>
    <x:row r="302" ht="28" customHeight="1">
      <x:c r="A302" s="20" t="str">
        <x:v>B0G2L5CGJK</x:v>
      </x:c>
      <x:c r="B302" s="20" t="str">
        <x:v>b0g2l5cgjk</x:v>
      </x:c>
      <x:c r="C302" s="20" t="str">
        <x:v>6604f6805458d9ca</x:v>
      </x:c>
      <x:c r="D302" s="20" t="str">
        <x:v>asin_target</x:v>
      </x:c>
      <x:c r="E302" s="20" t="str">
        <x:v>en</x:v>
      </x:c>
      <x:c r="F302" s="20" t="str">
        <x:v>该搜索词为 ASIN 形式，需补充商品元数据后再判断用户意图。</x:v>
      </x:c>
      <x:c r="G302" s="20" t="str">
        <x:v>unknown</x:v>
      </x:c>
      <x:c r="H302" s="20" t="str">
        <x:v>low</x:v>
      </x:c>
      <x:c r="I302" s="20" t="str">
        <x:v>asin_target</x:v>
      </x:c>
      <x:c r="J302" s="20" t="str">
        <x:v>asin_metadata_pending</x:v>
      </x:c>
      <x:c r="K302" s="20" t="str">
        <x:v>asin_without_metadata</x:v>
      </x:c>
      <x:c r="L302" s="20" t="str">
        <x:v>not_applicable</x:v>
      </x:c>
      <x:c r="M302" s="20" t="str">
        <x:v>non_model</x:v>
      </x:c>
      <x:c r="N302" s="20" t="str">
        <x:v>1</x:v>
      </x:c>
      <x:c r="O302" s="20" t="str">
        <x:v>1.0.0</x:v>
      </x:c>
      <x:c r="P302" s="20" t="str">
        <x:v>1.1.0</x:v>
      </x:c>
      <x:c r="Q302" s="20" t="str">
        <x:v>deepseek/deepseek-v4-pro</x:v>
      </x:c>
      <x:c r="R302" s="20" t="str">
        <x:v>aj2-y90-20260714T234810-0bea2f52</x:v>
      </x:c>
    </x:row>
    <x:row r="303" ht="28" customHeight="1">
      <x:c r="A303" s="20" t="str">
        <x:v>B0GGQJHT22</x:v>
      </x:c>
      <x:c r="B303" s="20" t="str">
        <x:v>b0ggqjht22</x:v>
      </x:c>
      <x:c r="C303" s="20" t="str">
        <x:v>66498100a22103fc</x:v>
      </x:c>
      <x:c r="D303" s="20" t="str">
        <x:v>asin_target</x:v>
      </x:c>
      <x:c r="E303" s="20" t="str">
        <x:v>en</x:v>
      </x:c>
      <x:c r="F303" s="20" t="str">
        <x:v>该搜索词为 ASIN 形式，需补充商品元数据后再判断用户意图。</x:v>
      </x:c>
      <x:c r="G303" s="20" t="str">
        <x:v>unknown</x:v>
      </x:c>
      <x:c r="H303" s="20" t="str">
        <x:v>low</x:v>
      </x:c>
      <x:c r="I303" s="20" t="str">
        <x:v>asin_target</x:v>
      </x:c>
      <x:c r="J303" s="20" t="str">
        <x:v>asin_metadata_pending</x:v>
      </x:c>
      <x:c r="K303" s="20" t="str">
        <x:v>asin_without_metadata</x:v>
      </x:c>
      <x:c r="L303" s="20" t="str">
        <x:v>not_applicable</x:v>
      </x:c>
      <x:c r="M303" s="20" t="str">
        <x:v>non_model</x:v>
      </x:c>
      <x:c r="N303" s="20" t="str">
        <x:v>1</x:v>
      </x:c>
      <x:c r="O303" s="20" t="str">
        <x:v>1.0.0</x:v>
      </x:c>
      <x:c r="P303" s="20" t="str">
        <x:v>1.1.0</x:v>
      </x:c>
      <x:c r="Q303" s="20" t="str">
        <x:v>deepseek/deepseek-v4-pro</x:v>
      </x:c>
      <x:c r="R303" s="20" t="str">
        <x:v>aj2-y90-20260714T234810-0bea2f52</x:v>
      </x:c>
    </x:row>
    <x:row r="304" ht="28" customHeight="1">
      <x:c r="A304" s="20" t="str">
        <x:v>B0GBYW11BT</x:v>
      </x:c>
      <x:c r="B304" s="20" t="str">
        <x:v>b0gbyw11bt</x:v>
      </x:c>
      <x:c r="C304" s="20" t="str">
        <x:v>6706e86f7aa874a2</x:v>
      </x:c>
      <x:c r="D304" s="20" t="str">
        <x:v>asin_target</x:v>
      </x:c>
      <x:c r="E304" s="20" t="str">
        <x:v>en</x:v>
      </x:c>
      <x:c r="F304" s="20" t="str">
        <x:v>该搜索词为 ASIN 形式，需补充商品元数据后再判断用户意图。</x:v>
      </x:c>
      <x:c r="G304" s="20" t="str">
        <x:v>unknown</x:v>
      </x:c>
      <x:c r="H304" s="20" t="str">
        <x:v>low</x:v>
      </x:c>
      <x:c r="I304" s="20" t="str">
        <x:v>asin_target</x:v>
      </x:c>
      <x:c r="J304" s="20" t="str">
        <x:v>asin_metadata_pending</x:v>
      </x:c>
      <x:c r="K304" s="20" t="str">
        <x:v>asin_without_metadata</x:v>
      </x:c>
      <x:c r="L304" s="20" t="str">
        <x:v>not_applicable</x:v>
      </x:c>
      <x:c r="M304" s="20" t="str">
        <x:v>non_model</x:v>
      </x:c>
      <x:c r="N304" s="20" t="str">
        <x:v>1</x:v>
      </x:c>
      <x:c r="O304" s="20" t="str">
        <x:v>1.0.0</x:v>
      </x:c>
      <x:c r="P304" s="20" t="str">
        <x:v>1.1.0</x:v>
      </x:c>
      <x:c r="Q304" s="20" t="str">
        <x:v>deepseek/deepseek-v4-pro</x:v>
      </x:c>
      <x:c r="R304" s="20" t="str">
        <x:v>aj2-y90-20260714T234810-0bea2f52</x:v>
      </x:c>
    </x:row>
    <x:row r="305" ht="28" customHeight="1">
      <x:c r="A305" s="20" t="str">
        <x:v>B0FH7BYFM6</x:v>
      </x:c>
      <x:c r="B305" s="20" t="str">
        <x:v>b0fh7byfm6</x:v>
      </x:c>
      <x:c r="C305" s="20" t="str">
        <x:v>67604ed650f98393</x:v>
      </x:c>
      <x:c r="D305" s="20" t="str">
        <x:v>asin_target</x:v>
      </x:c>
      <x:c r="E305" s="20" t="str">
        <x:v>en</x:v>
      </x:c>
      <x:c r="F305" s="20" t="str">
        <x:v>该搜索词为 ASIN 形式，需补充商品元数据后再判断用户意图。</x:v>
      </x:c>
      <x:c r="G305" s="20" t="str">
        <x:v>unknown</x:v>
      </x:c>
      <x:c r="H305" s="20" t="str">
        <x:v>low</x:v>
      </x:c>
      <x:c r="I305" s="20" t="str">
        <x:v>asin_target</x:v>
      </x:c>
      <x:c r="J305" s="20" t="str">
        <x:v>asin_metadata_pending</x:v>
      </x:c>
      <x:c r="K305" s="20" t="str">
        <x:v>asin_without_metadata</x:v>
      </x:c>
      <x:c r="L305" s="20" t="str">
        <x:v>not_applicable</x:v>
      </x:c>
      <x:c r="M305" s="20" t="str">
        <x:v>non_model</x:v>
      </x:c>
      <x:c r="N305" s="20" t="str">
        <x:v>1</x:v>
      </x:c>
      <x:c r="O305" s="20" t="str">
        <x:v>1.0.0</x:v>
      </x:c>
      <x:c r="P305" s="20" t="str">
        <x:v>1.1.0</x:v>
      </x:c>
      <x:c r="Q305" s="20" t="str">
        <x:v>deepseek/deepseek-v4-pro</x:v>
      </x:c>
      <x:c r="R305" s="20" t="str">
        <x:v>aj2-y90-20260714T234810-0bea2f52</x:v>
      </x:c>
    </x:row>
    <x:row r="306" ht="28" customHeight="1">
      <x:c r="A306" s="20" t="str">
        <x:v>B0B3T8LQ47</x:v>
      </x:c>
      <x:c r="B306" s="20" t="str">
        <x:v>b0b3t8lq47</x:v>
      </x:c>
      <x:c r="C306" s="20" t="str">
        <x:v>68306c7d435529d9</x:v>
      </x:c>
      <x:c r="D306" s="20" t="str">
        <x:v>asin_target</x:v>
      </x:c>
      <x:c r="E306" s="20" t="str">
        <x:v>en</x:v>
      </x:c>
      <x:c r="F306" s="20" t="str">
        <x:v>该搜索词为 ASIN 形式，需补充商品元数据后再判断用户意图。</x:v>
      </x:c>
      <x:c r="G306" s="20" t="str">
        <x:v>unknown</x:v>
      </x:c>
      <x:c r="H306" s="20" t="str">
        <x:v>low</x:v>
      </x:c>
      <x:c r="I306" s="20" t="str">
        <x:v>asin_target</x:v>
      </x:c>
      <x:c r="J306" s="20" t="str">
        <x:v>asin_metadata_pending</x:v>
      </x:c>
      <x:c r="K306" s="20" t="str">
        <x:v>asin_without_metadata</x:v>
      </x:c>
      <x:c r="L306" s="20" t="str">
        <x:v>not_applicable</x:v>
      </x:c>
      <x:c r="M306" s="20" t="str">
        <x:v>non_model</x:v>
      </x:c>
      <x:c r="N306" s="20" t="str">
        <x:v>1</x:v>
      </x:c>
      <x:c r="O306" s="20" t="str">
        <x:v>1.0.0</x:v>
      </x:c>
      <x:c r="P306" s="20" t="str">
        <x:v>1.1.0</x:v>
      </x:c>
      <x:c r="Q306" s="20" t="str">
        <x:v>deepseek/deepseek-v4-pro</x:v>
      </x:c>
      <x:c r="R306" s="20" t="str">
        <x:v>aj2-y90-20260714T234810-0bea2f52</x:v>
      </x:c>
    </x:row>
    <x:row r="307" ht="28" customHeight="1">
      <x:c r="A307" s="20" t="str">
        <x:v>B0GGR57XYL</x:v>
      </x:c>
      <x:c r="B307" s="20" t="str">
        <x:v>b0ggr57xyl</x:v>
      </x:c>
      <x:c r="C307" s="20" t="str">
        <x:v>68ab20addd1211c2</x:v>
      </x:c>
      <x:c r="D307" s="20" t="str">
        <x:v>asin_target</x:v>
      </x:c>
      <x:c r="E307" s="20" t="str">
        <x:v>en</x:v>
      </x:c>
      <x:c r="F307" s="20" t="str">
        <x:v>该搜索词为 ASIN 形式，需补充商品元数据后再判断用户意图。</x:v>
      </x:c>
      <x:c r="G307" s="20" t="str">
        <x:v>unknown</x:v>
      </x:c>
      <x:c r="H307" s="20" t="str">
        <x:v>low</x:v>
      </x:c>
      <x:c r="I307" s="20" t="str">
        <x:v>asin_target</x:v>
      </x:c>
      <x:c r="J307" s="20" t="str">
        <x:v>asin_metadata_pending</x:v>
      </x:c>
      <x:c r="K307" s="20" t="str">
        <x:v>asin_without_metadata</x:v>
      </x:c>
      <x:c r="L307" s="20" t="str">
        <x:v>not_applicable</x:v>
      </x:c>
      <x:c r="M307" s="20" t="str">
        <x:v>non_model</x:v>
      </x:c>
      <x:c r="N307" s="20" t="str">
        <x:v>1</x:v>
      </x:c>
      <x:c r="O307" s="20" t="str">
        <x:v>1.0.0</x:v>
      </x:c>
      <x:c r="P307" s="20" t="str">
        <x:v>1.1.0</x:v>
      </x:c>
      <x:c r="Q307" s="20" t="str">
        <x:v>deepseek/deepseek-v4-pro</x:v>
      </x:c>
      <x:c r="R307" s="20" t="str">
        <x:v>aj2-y90-20260714T234810-0bea2f52</x:v>
      </x:c>
    </x:row>
    <x:row r="308" ht="28" customHeight="1">
      <x:c r="A308" s="20" t="str">
        <x:v>B0FX9HXWWS</x:v>
      </x:c>
      <x:c r="B308" s="20" t="str">
        <x:v>b0fx9hxwws</x:v>
      </x:c>
      <x:c r="C308" s="20" t="str">
        <x:v>69240e65bfd2d120</x:v>
      </x:c>
      <x:c r="D308" s="20" t="str">
        <x:v>asin_target</x:v>
      </x:c>
      <x:c r="E308" s="20" t="str">
        <x:v>en</x:v>
      </x:c>
      <x:c r="F308" s="20" t="str">
        <x:v>该搜索词为 ASIN 形式，需补充商品元数据后再判断用户意图。</x:v>
      </x:c>
      <x:c r="G308" s="20" t="str">
        <x:v>unknown</x:v>
      </x:c>
      <x:c r="H308" s="20" t="str">
        <x:v>low</x:v>
      </x:c>
      <x:c r="I308" s="20" t="str">
        <x:v>asin_target</x:v>
      </x:c>
      <x:c r="J308" s="20" t="str">
        <x:v>asin_metadata_pending</x:v>
      </x:c>
      <x:c r="K308" s="20" t="str">
        <x:v>asin_without_metadata</x:v>
      </x:c>
      <x:c r="L308" s="20" t="str">
        <x:v>not_applicable</x:v>
      </x:c>
      <x:c r="M308" s="20" t="str">
        <x:v>non_model</x:v>
      </x:c>
      <x:c r="N308" s="20" t="str">
        <x:v>1</x:v>
      </x:c>
      <x:c r="O308" s="20" t="str">
        <x:v>1.0.0</x:v>
      </x:c>
      <x:c r="P308" s="20" t="str">
        <x:v>1.1.0</x:v>
      </x:c>
      <x:c r="Q308" s="20" t="str">
        <x:v>deepseek/deepseek-v4-pro</x:v>
      </x:c>
      <x:c r="R308" s="20" t="str">
        <x:v>aj2-y90-20260714T234810-0bea2f52</x:v>
      </x:c>
    </x:row>
    <x:row r="309" ht="28" customHeight="1">
      <x:c r="A309" s="20" t="str">
        <x:v>B0GGR25ZC6</x:v>
      </x:c>
      <x:c r="B309" s="20" t="str">
        <x:v>b0ggr25zc6</x:v>
      </x:c>
      <x:c r="C309" s="20" t="str">
        <x:v>69988d8a06f1fb5c</x:v>
      </x:c>
      <x:c r="D309" s="20" t="str">
        <x:v>asin_target</x:v>
      </x:c>
      <x:c r="E309" s="20" t="str">
        <x:v>en</x:v>
      </x:c>
      <x:c r="F309" s="20" t="str">
        <x:v>该搜索词为 ASIN 形式，需补充商品元数据后再判断用户意图。</x:v>
      </x:c>
      <x:c r="G309" s="20" t="str">
        <x:v>unknown</x:v>
      </x:c>
      <x:c r="H309" s="20" t="str">
        <x:v>low</x:v>
      </x:c>
      <x:c r="I309" s="20" t="str">
        <x:v>asin_target</x:v>
      </x:c>
      <x:c r="J309" s="20" t="str">
        <x:v>asin_metadata_pending</x:v>
      </x:c>
      <x:c r="K309" s="20" t="str">
        <x:v>asin_without_metadata</x:v>
      </x:c>
      <x:c r="L309" s="20" t="str">
        <x:v>not_applicable</x:v>
      </x:c>
      <x:c r="M309" s="20" t="str">
        <x:v>non_model</x:v>
      </x:c>
      <x:c r="N309" s="20" t="str">
        <x:v>1</x:v>
      </x:c>
      <x:c r="O309" s="20" t="str">
        <x:v>1.0.0</x:v>
      </x:c>
      <x:c r="P309" s="20" t="str">
        <x:v>1.1.0</x:v>
      </x:c>
      <x:c r="Q309" s="20" t="str">
        <x:v>deepseek/deepseek-v4-pro</x:v>
      </x:c>
      <x:c r="R309" s="20" t="str">
        <x:v>aj2-y90-20260714T234810-0bea2f52</x:v>
      </x:c>
    </x:row>
    <x:row r="310" ht="28" customHeight="1">
      <x:c r="A310" s="20" t="str">
        <x:v>B0GGQRWR2Q</x:v>
      </x:c>
      <x:c r="B310" s="20" t="str">
        <x:v>b0ggqrwr2q</x:v>
      </x:c>
      <x:c r="C310" s="20" t="str">
        <x:v>69e46c8458e04895</x:v>
      </x:c>
      <x:c r="D310" s="20" t="str">
        <x:v>asin_target</x:v>
      </x:c>
      <x:c r="E310" s="20" t="str">
        <x:v>en</x:v>
      </x:c>
      <x:c r="F310" s="20" t="str">
        <x:v>该搜索词为 ASIN 形式，需补充商品元数据后再判断用户意图。</x:v>
      </x:c>
      <x:c r="G310" s="20" t="str">
        <x:v>unknown</x:v>
      </x:c>
      <x:c r="H310" s="20" t="str">
        <x:v>low</x:v>
      </x:c>
      <x:c r="I310" s="20" t="str">
        <x:v>asin_target</x:v>
      </x:c>
      <x:c r="J310" s="20" t="str">
        <x:v>asin_metadata_pending</x:v>
      </x:c>
      <x:c r="K310" s="20" t="str">
        <x:v>asin_without_metadata</x:v>
      </x:c>
      <x:c r="L310" s="20" t="str">
        <x:v>not_applicable</x:v>
      </x:c>
      <x:c r="M310" s="20" t="str">
        <x:v>non_model</x:v>
      </x:c>
      <x:c r="N310" s="20" t="str">
        <x:v>1</x:v>
      </x:c>
      <x:c r="O310" s="20" t="str">
        <x:v>1.0.0</x:v>
      </x:c>
      <x:c r="P310" s="20" t="str">
        <x:v>1.1.0</x:v>
      </x:c>
      <x:c r="Q310" s="20" t="str">
        <x:v>deepseek/deepseek-v4-pro</x:v>
      </x:c>
      <x:c r="R310" s="20" t="str">
        <x:v>aj2-y90-20260714T234810-0bea2f52</x:v>
      </x:c>
    </x:row>
    <x:row r="311" ht="28" customHeight="1">
      <x:c r="A311" s="20" t="str">
        <x:v>B0F8LBVGGK</x:v>
      </x:c>
      <x:c r="B311" s="20" t="str">
        <x:v>b0f8lbvggk</x:v>
      </x:c>
      <x:c r="C311" s="20" t="str">
        <x:v>6a0d6f02140d5c49</x:v>
      </x:c>
      <x:c r="D311" s="20" t="str">
        <x:v>asin_target</x:v>
      </x:c>
      <x:c r="E311" s="20" t="str">
        <x:v>en</x:v>
      </x:c>
      <x:c r="F311" s="20" t="str">
        <x:v>该搜索词为 ASIN 形式，需补充商品元数据后再判断用户意图。</x:v>
      </x:c>
      <x:c r="G311" s="20" t="str">
        <x:v>unknown</x:v>
      </x:c>
      <x:c r="H311" s="20" t="str">
        <x:v>low</x:v>
      </x:c>
      <x:c r="I311" s="20" t="str">
        <x:v>asin_target</x:v>
      </x:c>
      <x:c r="J311" s="20" t="str">
        <x:v>asin_metadata_pending</x:v>
      </x:c>
      <x:c r="K311" s="20" t="str">
        <x:v>asin_without_metadata</x:v>
      </x:c>
      <x:c r="L311" s="20" t="str">
        <x:v>not_applicable</x:v>
      </x:c>
      <x:c r="M311" s="20" t="str">
        <x:v>non_model</x:v>
      </x:c>
      <x:c r="N311" s="20" t="str">
        <x:v>1</x:v>
      </x:c>
      <x:c r="O311" s="20" t="str">
        <x:v>1.0.0</x:v>
      </x:c>
      <x:c r="P311" s="20" t="str">
        <x:v>1.1.0</x:v>
      </x:c>
      <x:c r="Q311" s="20" t="str">
        <x:v>deepseek/deepseek-v4-pro</x:v>
      </x:c>
      <x:c r="R311" s="20" t="str">
        <x:v>aj2-y90-20260714T234810-0bea2f52</x:v>
      </x:c>
    </x:row>
    <x:row r="312" ht="28" customHeight="1">
      <x:c r="A312" s="20" t="str">
        <x:v>B08GKRGFKY</x:v>
      </x:c>
      <x:c r="B312" s="20" t="str">
        <x:v>b08gkrgfky</x:v>
      </x:c>
      <x:c r="C312" s="20" t="str">
        <x:v>6a8eb7b40a3f99dd</x:v>
      </x:c>
      <x:c r="D312" s="20" t="str">
        <x:v>asin_target</x:v>
      </x:c>
      <x:c r="E312" s="20" t="str">
        <x:v>en</x:v>
      </x:c>
      <x:c r="F312" s="20" t="str">
        <x:v>该搜索词为 ASIN 形式，需补充商品元数据后再判断用户意图。</x:v>
      </x:c>
      <x:c r="G312" s="20" t="str">
        <x:v>unknown</x:v>
      </x:c>
      <x:c r="H312" s="20" t="str">
        <x:v>low</x:v>
      </x:c>
      <x:c r="I312" s="20" t="str">
        <x:v>asin_target</x:v>
      </x:c>
      <x:c r="J312" s="20" t="str">
        <x:v>asin_metadata_pending</x:v>
      </x:c>
      <x:c r="K312" s="20" t="str">
        <x:v>asin_without_metadata</x:v>
      </x:c>
      <x:c r="L312" s="20" t="str">
        <x:v>not_applicable</x:v>
      </x:c>
      <x:c r="M312" s="20" t="str">
        <x:v>non_model</x:v>
      </x:c>
      <x:c r="N312" s="20" t="str">
        <x:v>1</x:v>
      </x:c>
      <x:c r="O312" s="20" t="str">
        <x:v>1.0.0</x:v>
      </x:c>
      <x:c r="P312" s="20" t="str">
        <x:v>1.1.0</x:v>
      </x:c>
      <x:c r="Q312" s="20" t="str">
        <x:v>deepseek/deepseek-v4-pro</x:v>
      </x:c>
      <x:c r="R312" s="20" t="str">
        <x:v>aj2-y90-20260714T234810-0bea2f52</x:v>
      </x:c>
    </x:row>
    <x:row r="313" ht="28" customHeight="1">
      <x:c r="A313" s="20" t="str">
        <x:v>B0FXX8L4KG</x:v>
      </x:c>
      <x:c r="B313" s="20" t="str">
        <x:v>b0fxx8l4kg</x:v>
      </x:c>
      <x:c r="C313" s="20" t="str">
        <x:v>6ac7d67d7c75c351</x:v>
      </x:c>
      <x:c r="D313" s="20" t="str">
        <x:v>asin_target</x:v>
      </x:c>
      <x:c r="E313" s="20" t="str">
        <x:v>en</x:v>
      </x:c>
      <x:c r="F313" s="20" t="str">
        <x:v>该搜索词为 ASIN 形式，需补充商品元数据后再判断用户意图。</x:v>
      </x:c>
      <x:c r="G313" s="20" t="str">
        <x:v>unknown</x:v>
      </x:c>
      <x:c r="H313" s="20" t="str">
        <x:v>low</x:v>
      </x:c>
      <x:c r="I313" s="20" t="str">
        <x:v>asin_target</x:v>
      </x:c>
      <x:c r="J313" s="20" t="str">
        <x:v>asin_metadata_pending</x:v>
      </x:c>
      <x:c r="K313" s="20" t="str">
        <x:v>asin_without_metadata</x:v>
      </x:c>
      <x:c r="L313" s="20" t="str">
        <x:v>not_applicable</x:v>
      </x:c>
      <x:c r="M313" s="20" t="str">
        <x:v>non_model</x:v>
      </x:c>
      <x:c r="N313" s="20" t="str">
        <x:v>1</x:v>
      </x:c>
      <x:c r="O313" s="20" t="str">
        <x:v>1.0.0</x:v>
      </x:c>
      <x:c r="P313" s="20" t="str">
        <x:v>1.1.0</x:v>
      </x:c>
      <x:c r="Q313" s="20" t="str">
        <x:v>deepseek/deepseek-v4-pro</x:v>
      </x:c>
      <x:c r="R313" s="20" t="str">
        <x:v>aj2-y90-20260714T234810-0bea2f52</x:v>
      </x:c>
    </x:row>
    <x:row r="314" ht="28" customHeight="1">
      <x:c r="A314" s="20" t="str">
        <x:v>B0D2NT1QQ8</x:v>
      </x:c>
      <x:c r="B314" s="20" t="str">
        <x:v>b0d2nt1qq8</x:v>
      </x:c>
      <x:c r="C314" s="20" t="str">
        <x:v>6ad2692252837990</x:v>
      </x:c>
      <x:c r="D314" s="20" t="str">
        <x:v>asin_target</x:v>
      </x:c>
      <x:c r="E314" s="20" t="str">
        <x:v>en</x:v>
      </x:c>
      <x:c r="F314" s="20" t="str">
        <x:v>该搜索词为 ASIN 形式，需补充商品元数据后再判断用户意图。</x:v>
      </x:c>
      <x:c r="G314" s="20" t="str">
        <x:v>unknown</x:v>
      </x:c>
      <x:c r="H314" s="20" t="str">
        <x:v>low</x:v>
      </x:c>
      <x:c r="I314" s="20" t="str">
        <x:v>asin_target</x:v>
      </x:c>
      <x:c r="J314" s="20" t="str">
        <x:v>asin_metadata_pending</x:v>
      </x:c>
      <x:c r="K314" s="20" t="str">
        <x:v>asin_without_metadata</x:v>
      </x:c>
      <x:c r="L314" s="20" t="str">
        <x:v>not_applicable</x:v>
      </x:c>
      <x:c r="M314" s="20" t="str">
        <x:v>non_model</x:v>
      </x:c>
      <x:c r="N314" s="20" t="str">
        <x:v>1</x:v>
      </x:c>
      <x:c r="O314" s="20" t="str">
        <x:v>1.0.0</x:v>
      </x:c>
      <x:c r="P314" s="20" t="str">
        <x:v>1.1.0</x:v>
      </x:c>
      <x:c r="Q314" s="20" t="str">
        <x:v>deepseek/deepseek-v4-pro</x:v>
      </x:c>
      <x:c r="R314" s="20" t="str">
        <x:v>aj2-y90-20260714T234810-0bea2f52</x:v>
      </x:c>
    </x:row>
    <x:row r="315" ht="28" customHeight="1">
      <x:c r="A315" s="20" t="str">
        <x:v>B08Z8CMMQ1</x:v>
      </x:c>
      <x:c r="B315" s="20" t="str">
        <x:v>b08z8cmmq1</x:v>
      </x:c>
      <x:c r="C315" s="20" t="str">
        <x:v>6b98e39da367264f</x:v>
      </x:c>
      <x:c r="D315" s="20" t="str">
        <x:v>asin_target</x:v>
      </x:c>
      <x:c r="E315" s="20" t="str">
        <x:v>en</x:v>
      </x:c>
      <x:c r="F315" s="20" t="str">
        <x:v>该搜索词为 ASIN 形式，需补充商品元数据后再判断用户意图。</x:v>
      </x:c>
      <x:c r="G315" s="20" t="str">
        <x:v>unknown</x:v>
      </x:c>
      <x:c r="H315" s="20" t="str">
        <x:v>low</x:v>
      </x:c>
      <x:c r="I315" s="20" t="str">
        <x:v>asin_target</x:v>
      </x:c>
      <x:c r="J315" s="20" t="str">
        <x:v>asin_metadata_pending</x:v>
      </x:c>
      <x:c r="K315" s="20" t="str">
        <x:v>asin_without_metadata</x:v>
      </x:c>
      <x:c r="L315" s="20" t="str">
        <x:v>not_applicable</x:v>
      </x:c>
      <x:c r="M315" s="20" t="str">
        <x:v>non_model</x:v>
      </x:c>
      <x:c r="N315" s="20" t="str">
        <x:v>1</x:v>
      </x:c>
      <x:c r="O315" s="20" t="str">
        <x:v>1.0.0</x:v>
      </x:c>
      <x:c r="P315" s="20" t="str">
        <x:v>1.1.0</x:v>
      </x:c>
      <x:c r="Q315" s="20" t="str">
        <x:v>deepseek/deepseek-v4-pro</x:v>
      </x:c>
      <x:c r="R315" s="20" t="str">
        <x:v>aj2-y90-20260714T234810-0bea2f52</x:v>
      </x:c>
    </x:row>
    <x:row r="316" ht="28" customHeight="1">
      <x:c r="A316" s="20" t="str">
        <x:v>B0DRJHWWB8</x:v>
      </x:c>
      <x:c r="B316" s="20" t="str">
        <x:v>b0drjhwwb8</x:v>
      </x:c>
      <x:c r="C316" s="20" t="str">
        <x:v>6bde305fe694717d</x:v>
      </x:c>
      <x:c r="D316" s="20" t="str">
        <x:v>asin_target</x:v>
      </x:c>
      <x:c r="E316" s="20" t="str">
        <x:v>en</x:v>
      </x:c>
      <x:c r="F316" s="20" t="str">
        <x:v>该搜索词为 ASIN 形式，需补充商品元数据后再判断用户意图。</x:v>
      </x:c>
      <x:c r="G316" s="20" t="str">
        <x:v>unknown</x:v>
      </x:c>
      <x:c r="H316" s="20" t="str">
        <x:v>low</x:v>
      </x:c>
      <x:c r="I316" s="20" t="str">
        <x:v>asin_target</x:v>
      </x:c>
      <x:c r="J316" s="20" t="str">
        <x:v>asin_metadata_pending</x:v>
      </x:c>
      <x:c r="K316" s="20" t="str">
        <x:v>asin_without_metadata</x:v>
      </x:c>
      <x:c r="L316" s="20" t="str">
        <x:v>not_applicable</x:v>
      </x:c>
      <x:c r="M316" s="20" t="str">
        <x:v>non_model</x:v>
      </x:c>
      <x:c r="N316" s="20" t="str">
        <x:v>1</x:v>
      </x:c>
      <x:c r="O316" s="20" t="str">
        <x:v>1.0.0</x:v>
      </x:c>
      <x:c r="P316" s="20" t="str">
        <x:v>1.1.0</x:v>
      </x:c>
      <x:c r="Q316" s="20" t="str">
        <x:v>deepseek/deepseek-v4-pro</x:v>
      </x:c>
      <x:c r="R316" s="20" t="str">
        <x:v>aj2-y90-20260714T234810-0bea2f52</x:v>
      </x:c>
    </x:row>
    <x:row r="317" ht="28" customHeight="1">
      <x:c r="A317" s="20" t="str">
        <x:v>B0G25J9FPQ</x:v>
      </x:c>
      <x:c r="B317" s="20" t="str">
        <x:v>b0g25j9fpq</x:v>
      </x:c>
      <x:c r="C317" s="20" t="str">
        <x:v>6becff42657940f4</x:v>
      </x:c>
      <x:c r="D317" s="20" t="str">
        <x:v>asin_target</x:v>
      </x:c>
      <x:c r="E317" s="20" t="str">
        <x:v>en</x:v>
      </x:c>
      <x:c r="F317" s="20" t="str">
        <x:v>该搜索词为 ASIN 形式，需补充商品元数据后再判断用户意图。</x:v>
      </x:c>
      <x:c r="G317" s="20" t="str">
        <x:v>unknown</x:v>
      </x:c>
      <x:c r="H317" s="20" t="str">
        <x:v>low</x:v>
      </x:c>
      <x:c r="I317" s="20" t="str">
        <x:v>asin_target</x:v>
      </x:c>
      <x:c r="J317" s="20" t="str">
        <x:v>asin_metadata_pending</x:v>
      </x:c>
      <x:c r="K317" s="20" t="str">
        <x:v>asin_without_metadata</x:v>
      </x:c>
      <x:c r="L317" s="20" t="str">
        <x:v>not_applicable</x:v>
      </x:c>
      <x:c r="M317" s="20" t="str">
        <x:v>non_model</x:v>
      </x:c>
      <x:c r="N317" s="20" t="str">
        <x:v>1</x:v>
      </x:c>
      <x:c r="O317" s="20" t="str">
        <x:v>1.0.0</x:v>
      </x:c>
      <x:c r="P317" s="20" t="str">
        <x:v>1.1.0</x:v>
      </x:c>
      <x:c r="Q317" s="20" t="str">
        <x:v>deepseek/deepseek-v4-pro</x:v>
      </x:c>
      <x:c r="R317" s="20" t="str">
        <x:v>aj2-y90-20260714T234810-0bea2f52</x:v>
      </x:c>
    </x:row>
    <x:row r="318" ht="28" customHeight="1">
      <x:c r="A318" s="20" t="str">
        <x:v>B0F8MKSBDJ</x:v>
      </x:c>
      <x:c r="B318" s="20" t="str">
        <x:v>b0f8mksbdj</x:v>
      </x:c>
      <x:c r="C318" s="20" t="str">
        <x:v>6bf6b1a38ea42b46</x:v>
      </x:c>
      <x:c r="D318" s="20" t="str">
        <x:v>asin_target</x:v>
      </x:c>
      <x:c r="E318" s="20" t="str">
        <x:v>en</x:v>
      </x:c>
      <x:c r="F318" s="20" t="str">
        <x:v>该搜索词为 ASIN 形式，需补充商品元数据后再判断用户意图。</x:v>
      </x:c>
      <x:c r="G318" s="20" t="str">
        <x:v>unknown</x:v>
      </x:c>
      <x:c r="H318" s="20" t="str">
        <x:v>low</x:v>
      </x:c>
      <x:c r="I318" s="20" t="str">
        <x:v>asin_target</x:v>
      </x:c>
      <x:c r="J318" s="20" t="str">
        <x:v>asin_metadata_pending</x:v>
      </x:c>
      <x:c r="K318" s="20" t="str">
        <x:v>asin_without_metadata</x:v>
      </x:c>
      <x:c r="L318" s="20" t="str">
        <x:v>not_applicable</x:v>
      </x:c>
      <x:c r="M318" s="20" t="str">
        <x:v>non_model</x:v>
      </x:c>
      <x:c r="N318" s="20" t="str">
        <x:v>1</x:v>
      </x:c>
      <x:c r="O318" s="20" t="str">
        <x:v>1.0.0</x:v>
      </x:c>
      <x:c r="P318" s="20" t="str">
        <x:v>1.1.0</x:v>
      </x:c>
      <x:c r="Q318" s="20" t="str">
        <x:v>deepseek/deepseek-v4-pro</x:v>
      </x:c>
      <x:c r="R318" s="20" t="str">
        <x:v>aj2-y90-20260714T234810-0bea2f52</x:v>
      </x:c>
    </x:row>
    <x:row r="319" ht="28" customHeight="1">
      <x:c r="A319" s="20" t="str">
        <x:v>B09ZHLBHR3</x:v>
      </x:c>
      <x:c r="B319" s="20" t="str">
        <x:v>b09zhlbhr3</x:v>
      </x:c>
      <x:c r="C319" s="20" t="str">
        <x:v>6c241415d71da29f</x:v>
      </x:c>
      <x:c r="D319" s="20" t="str">
        <x:v>asin_target</x:v>
      </x:c>
      <x:c r="E319" s="20" t="str">
        <x:v>en</x:v>
      </x:c>
      <x:c r="F319" s="20" t="str">
        <x:v>该搜索词为 ASIN 形式，需补充商品元数据后再判断用户意图。</x:v>
      </x:c>
      <x:c r="G319" s="20" t="str">
        <x:v>unknown</x:v>
      </x:c>
      <x:c r="H319" s="20" t="str">
        <x:v>low</x:v>
      </x:c>
      <x:c r="I319" s="20" t="str">
        <x:v>asin_target</x:v>
      </x:c>
      <x:c r="J319" s="20" t="str">
        <x:v>asin_metadata_pending</x:v>
      </x:c>
      <x:c r="K319" s="20" t="str">
        <x:v>asin_without_metadata</x:v>
      </x:c>
      <x:c r="L319" s="20" t="str">
        <x:v>not_applicable</x:v>
      </x:c>
      <x:c r="M319" s="20" t="str">
        <x:v>non_model</x:v>
      </x:c>
      <x:c r="N319" s="20" t="str">
        <x:v>1</x:v>
      </x:c>
      <x:c r="O319" s="20" t="str">
        <x:v>1.0.0</x:v>
      </x:c>
      <x:c r="P319" s="20" t="str">
        <x:v>1.1.0</x:v>
      </x:c>
      <x:c r="Q319" s="20" t="str">
        <x:v>deepseek/deepseek-v4-pro</x:v>
      </x:c>
      <x:c r="R319" s="20" t="str">
        <x:v>aj2-y90-20260714T234810-0bea2f52</x:v>
      </x:c>
    </x:row>
    <x:row r="320" ht="28" customHeight="1">
      <x:c r="A320" s="20" t="str">
        <x:v>B0D2F94XKW</x:v>
      </x:c>
      <x:c r="B320" s="20" t="str">
        <x:v>b0d2f94xkw</x:v>
      </x:c>
      <x:c r="C320" s="20" t="str">
        <x:v>6dca52df6f5ac595</x:v>
      </x:c>
      <x:c r="D320" s="20" t="str">
        <x:v>asin_target</x:v>
      </x:c>
      <x:c r="E320" s="20" t="str">
        <x:v>en</x:v>
      </x:c>
      <x:c r="F320" s="20" t="str">
        <x:v>该搜索词为 ASIN 形式，需补充商品元数据后再判断用户意图。</x:v>
      </x:c>
      <x:c r="G320" s="20" t="str">
        <x:v>unknown</x:v>
      </x:c>
      <x:c r="H320" s="20" t="str">
        <x:v>low</x:v>
      </x:c>
      <x:c r="I320" s="20" t="str">
        <x:v>asin_target</x:v>
      </x:c>
      <x:c r="J320" s="20" t="str">
        <x:v>asin_metadata_pending</x:v>
      </x:c>
      <x:c r="K320" s="20" t="str">
        <x:v>asin_without_metadata</x:v>
      </x:c>
      <x:c r="L320" s="20" t="str">
        <x:v>not_applicable</x:v>
      </x:c>
      <x:c r="M320" s="20" t="str">
        <x:v>non_model</x:v>
      </x:c>
      <x:c r="N320" s="20" t="str">
        <x:v>1</x:v>
      </x:c>
      <x:c r="O320" s="20" t="str">
        <x:v>1.0.0</x:v>
      </x:c>
      <x:c r="P320" s="20" t="str">
        <x:v>1.1.0</x:v>
      </x:c>
      <x:c r="Q320" s="20" t="str">
        <x:v>deepseek/deepseek-v4-pro</x:v>
      </x:c>
      <x:c r="R320" s="20" t="str">
        <x:v>aj2-y90-20260714T234810-0bea2f52</x:v>
      </x:c>
    </x:row>
    <x:row r="321" ht="28" customHeight="1">
      <x:c r="A321" s="20" t="str">
        <x:v>B0F8LS83VM</x:v>
      </x:c>
      <x:c r="B321" s="20" t="str">
        <x:v>b0f8ls83vm</x:v>
      </x:c>
      <x:c r="C321" s="20" t="str">
        <x:v>6e75e1a2f3564ca5</x:v>
      </x:c>
      <x:c r="D321" s="20" t="str">
        <x:v>asin_target</x:v>
      </x:c>
      <x:c r="E321" s="20" t="str">
        <x:v>en</x:v>
      </x:c>
      <x:c r="F321" s="20" t="str">
        <x:v>该搜索词为 ASIN 形式，需补充商品元数据后再判断用户意图。</x:v>
      </x:c>
      <x:c r="G321" s="20" t="str">
        <x:v>unknown</x:v>
      </x:c>
      <x:c r="H321" s="20" t="str">
        <x:v>low</x:v>
      </x:c>
      <x:c r="I321" s="20" t="str">
        <x:v>asin_target</x:v>
      </x:c>
      <x:c r="J321" s="20" t="str">
        <x:v>asin_metadata_pending</x:v>
      </x:c>
      <x:c r="K321" s="20" t="str">
        <x:v>asin_without_metadata</x:v>
      </x:c>
      <x:c r="L321" s="20" t="str">
        <x:v>not_applicable</x:v>
      </x:c>
      <x:c r="M321" s="20" t="str">
        <x:v>non_model</x:v>
      </x:c>
      <x:c r="N321" s="20" t="str">
        <x:v>1</x:v>
      </x:c>
      <x:c r="O321" s="20" t="str">
        <x:v>1.0.0</x:v>
      </x:c>
      <x:c r="P321" s="20" t="str">
        <x:v>1.1.0</x:v>
      </x:c>
      <x:c r="Q321" s="20" t="str">
        <x:v>deepseek/deepseek-v4-pro</x:v>
      </x:c>
      <x:c r="R321" s="20" t="str">
        <x:v>aj2-y90-20260714T234810-0bea2f52</x:v>
      </x:c>
    </x:row>
    <x:row r="322" ht="28" customHeight="1">
      <x:c r="A322" s="20" t="str">
        <x:v>B0G4264D16</x:v>
      </x:c>
      <x:c r="B322" s="20" t="str">
        <x:v>b0g4264d16</x:v>
      </x:c>
      <x:c r="C322" s="20" t="str">
        <x:v>6f76ff96bd7a5cde</x:v>
      </x:c>
      <x:c r="D322" s="20" t="str">
        <x:v>asin_target</x:v>
      </x:c>
      <x:c r="E322" s="20" t="str">
        <x:v>en</x:v>
      </x:c>
      <x:c r="F322" s="20" t="str">
        <x:v>该搜索词为 ASIN 形式，需补充商品元数据后再判断用户意图。</x:v>
      </x:c>
      <x:c r="G322" s="20" t="str">
        <x:v>unknown</x:v>
      </x:c>
      <x:c r="H322" s="20" t="str">
        <x:v>low</x:v>
      </x:c>
      <x:c r="I322" s="20" t="str">
        <x:v>asin_target</x:v>
      </x:c>
      <x:c r="J322" s="20" t="str">
        <x:v>asin_metadata_pending</x:v>
      </x:c>
      <x:c r="K322" s="20" t="str">
        <x:v>asin_without_metadata</x:v>
      </x:c>
      <x:c r="L322" s="20" t="str">
        <x:v>not_applicable</x:v>
      </x:c>
      <x:c r="M322" s="20" t="str">
        <x:v>non_model</x:v>
      </x:c>
      <x:c r="N322" s="20" t="str">
        <x:v>3</x:v>
      </x:c>
      <x:c r="O322" s="20" t="str">
        <x:v>1.0.0</x:v>
      </x:c>
      <x:c r="P322" s="20" t="str">
        <x:v>1.1.0</x:v>
      </x:c>
      <x:c r="Q322" s="20" t="str">
        <x:v>deepseek/deepseek-v4-pro</x:v>
      </x:c>
      <x:c r="R322" s="20" t="str">
        <x:v>aj2-y90-20260714T234810-0bea2f52</x:v>
      </x:c>
    </x:row>
    <x:row r="323" ht="28" customHeight="1">
      <x:c r="A323" s="20" t="str">
        <x:v>B0C9KDR2ST</x:v>
      </x:c>
      <x:c r="B323" s="20" t="str">
        <x:v>b0c9kdr2st</x:v>
      </x:c>
      <x:c r="C323" s="20" t="str">
        <x:v>6fa008a716e2a4cb</x:v>
      </x:c>
      <x:c r="D323" s="20" t="str">
        <x:v>asin_target</x:v>
      </x:c>
      <x:c r="E323" s="20" t="str">
        <x:v>en</x:v>
      </x:c>
      <x:c r="F323" s="20" t="str">
        <x:v>该搜索词为 ASIN 形式，需补充商品元数据后再判断用户意图。</x:v>
      </x:c>
      <x:c r="G323" s="20" t="str">
        <x:v>unknown</x:v>
      </x:c>
      <x:c r="H323" s="20" t="str">
        <x:v>low</x:v>
      </x:c>
      <x:c r="I323" s="20" t="str">
        <x:v>asin_target</x:v>
      </x:c>
      <x:c r="J323" s="20" t="str">
        <x:v>asin_metadata_pending</x:v>
      </x:c>
      <x:c r="K323" s="20" t="str">
        <x:v>asin_without_metadata</x:v>
      </x:c>
      <x:c r="L323" s="20" t="str">
        <x:v>not_applicable</x:v>
      </x:c>
      <x:c r="M323" s="20" t="str">
        <x:v>non_model</x:v>
      </x:c>
      <x:c r="N323" s="20" t="str">
        <x:v>1</x:v>
      </x:c>
      <x:c r="O323" s="20" t="str">
        <x:v>1.0.0</x:v>
      </x:c>
      <x:c r="P323" s="20" t="str">
        <x:v>1.1.0</x:v>
      </x:c>
      <x:c r="Q323" s="20" t="str">
        <x:v>deepseek/deepseek-v4-pro</x:v>
      </x:c>
      <x:c r="R323" s="20" t="str">
        <x:v>aj2-y90-20260714T234810-0bea2f52</x:v>
      </x:c>
    </x:row>
    <x:row r="324" ht="28" customHeight="1">
      <x:c r="A324" s="20" t="str">
        <x:v>B0BVDQ27ZM</x:v>
      </x:c>
      <x:c r="B324" s="20" t="str">
        <x:v>b0bvdq27zm</x:v>
      </x:c>
      <x:c r="C324" s="20" t="str">
        <x:v>7012b278614678c8</x:v>
      </x:c>
      <x:c r="D324" s="20" t="str">
        <x:v>asin_target</x:v>
      </x:c>
      <x:c r="E324" s="20" t="str">
        <x:v>en</x:v>
      </x:c>
      <x:c r="F324" s="20" t="str">
        <x:v>该搜索词为 ASIN 形式，需补充商品元数据后再判断用户意图。</x:v>
      </x:c>
      <x:c r="G324" s="20" t="str">
        <x:v>unknown</x:v>
      </x:c>
      <x:c r="H324" s="20" t="str">
        <x:v>low</x:v>
      </x:c>
      <x:c r="I324" s="20" t="str">
        <x:v>asin_target</x:v>
      </x:c>
      <x:c r="J324" s="20" t="str">
        <x:v>asin_metadata_pending</x:v>
      </x:c>
      <x:c r="K324" s="20" t="str">
        <x:v>asin_without_metadata</x:v>
      </x:c>
      <x:c r="L324" s="20" t="str">
        <x:v>not_applicable</x:v>
      </x:c>
      <x:c r="M324" s="20" t="str">
        <x:v>non_model</x:v>
      </x:c>
      <x:c r="N324" s="20" t="str">
        <x:v>1</x:v>
      </x:c>
      <x:c r="O324" s="20" t="str">
        <x:v>1.0.0</x:v>
      </x:c>
      <x:c r="P324" s="20" t="str">
        <x:v>1.1.0</x:v>
      </x:c>
      <x:c r="Q324" s="20" t="str">
        <x:v>deepseek/deepseek-v4-pro</x:v>
      </x:c>
      <x:c r="R324" s="20" t="str">
        <x:v>aj2-y90-20260714T234810-0bea2f52</x:v>
      </x:c>
    </x:row>
    <x:row r="325" ht="28" customHeight="1">
      <x:c r="A325" s="20" t="str">
        <x:v>B0FWQLXY26</x:v>
      </x:c>
      <x:c r="B325" s="20" t="str">
        <x:v>b0fwqlxy26</x:v>
      </x:c>
      <x:c r="C325" s="20" t="str">
        <x:v>7042dfef45778b06</x:v>
      </x:c>
      <x:c r="D325" s="20" t="str">
        <x:v>asin_target</x:v>
      </x:c>
      <x:c r="E325" s="20" t="str">
        <x:v>en</x:v>
      </x:c>
      <x:c r="F325" s="20" t="str">
        <x:v>该搜索词为 ASIN 形式，需补充商品元数据后再判断用户意图。</x:v>
      </x:c>
      <x:c r="G325" s="20" t="str">
        <x:v>unknown</x:v>
      </x:c>
      <x:c r="H325" s="20" t="str">
        <x:v>low</x:v>
      </x:c>
      <x:c r="I325" s="20" t="str">
        <x:v>asin_target</x:v>
      </x:c>
      <x:c r="J325" s="20" t="str">
        <x:v>asin_metadata_pending</x:v>
      </x:c>
      <x:c r="K325" s="20" t="str">
        <x:v>asin_without_metadata</x:v>
      </x:c>
      <x:c r="L325" s="20" t="str">
        <x:v>not_applicable</x:v>
      </x:c>
      <x:c r="M325" s="20" t="str">
        <x:v>non_model</x:v>
      </x:c>
      <x:c r="N325" s="20" t="str">
        <x:v>1</x:v>
      </x:c>
      <x:c r="O325" s="20" t="str">
        <x:v>1.0.0</x:v>
      </x:c>
      <x:c r="P325" s="20" t="str">
        <x:v>1.1.0</x:v>
      </x:c>
      <x:c r="Q325" s="20" t="str">
        <x:v>deepseek/deepseek-v4-pro</x:v>
      </x:c>
      <x:c r="R325" s="20" t="str">
        <x:v>aj2-y90-20260714T234810-0bea2f52</x:v>
      </x:c>
    </x:row>
    <x:row r="326" ht="28" customHeight="1">
      <x:c r="A326" s="20" t="str">
        <x:v>B07JXYZ18N</x:v>
      </x:c>
      <x:c r="B326" s="20" t="str">
        <x:v>b07jxyz18n</x:v>
      </x:c>
      <x:c r="C326" s="20" t="str">
        <x:v>7059a92170142c32</x:v>
      </x:c>
      <x:c r="D326" s="20" t="str">
        <x:v>asin_target</x:v>
      </x:c>
      <x:c r="E326" s="20" t="str">
        <x:v>en</x:v>
      </x:c>
      <x:c r="F326" s="20" t="str">
        <x:v>该搜索词为 ASIN 形式，需补充商品元数据后再判断用户意图。</x:v>
      </x:c>
      <x:c r="G326" s="20" t="str">
        <x:v>unknown</x:v>
      </x:c>
      <x:c r="H326" s="20" t="str">
        <x:v>low</x:v>
      </x:c>
      <x:c r="I326" s="20" t="str">
        <x:v>asin_target</x:v>
      </x:c>
      <x:c r="J326" s="20" t="str">
        <x:v>asin_metadata_pending</x:v>
      </x:c>
      <x:c r="K326" s="20" t="str">
        <x:v>asin_without_metadata</x:v>
      </x:c>
      <x:c r="L326" s="20" t="str">
        <x:v>not_applicable</x:v>
      </x:c>
      <x:c r="M326" s="20" t="str">
        <x:v>non_model</x:v>
      </x:c>
      <x:c r="N326" s="20" t="str">
        <x:v>1</x:v>
      </x:c>
      <x:c r="O326" s="20" t="str">
        <x:v>1.0.0</x:v>
      </x:c>
      <x:c r="P326" s="20" t="str">
        <x:v>1.1.0</x:v>
      </x:c>
      <x:c r="Q326" s="20" t="str">
        <x:v>deepseek/deepseek-v4-pro</x:v>
      </x:c>
      <x:c r="R326" s="20" t="str">
        <x:v>aj2-y90-20260714T234810-0bea2f52</x:v>
      </x:c>
    </x:row>
    <x:row r="327" ht="28" customHeight="1">
      <x:c r="A327" s="20" t="str">
        <x:v>B0B7RGZ5J3</x:v>
      </x:c>
      <x:c r="B327" s="20" t="str">
        <x:v>b0b7rgz5j3</x:v>
      </x:c>
      <x:c r="C327" s="20" t="str">
        <x:v>709a926b48bc4af8</x:v>
      </x:c>
      <x:c r="D327" s="20" t="str">
        <x:v>asin_target</x:v>
      </x:c>
      <x:c r="E327" s="20" t="str">
        <x:v>en</x:v>
      </x:c>
      <x:c r="F327" s="20" t="str">
        <x:v>该搜索词为 ASIN 形式，需补充商品元数据后再判断用户意图。</x:v>
      </x:c>
      <x:c r="G327" s="20" t="str">
        <x:v>unknown</x:v>
      </x:c>
      <x:c r="H327" s="20" t="str">
        <x:v>low</x:v>
      </x:c>
      <x:c r="I327" s="20" t="str">
        <x:v>asin_target</x:v>
      </x:c>
      <x:c r="J327" s="20" t="str">
        <x:v>asin_metadata_pending</x:v>
      </x:c>
      <x:c r="K327" s="20" t="str">
        <x:v>asin_without_metadata</x:v>
      </x:c>
      <x:c r="L327" s="20" t="str">
        <x:v>not_applicable</x:v>
      </x:c>
      <x:c r="M327" s="20" t="str">
        <x:v>non_model</x:v>
      </x:c>
      <x:c r="N327" s="20" t="str">
        <x:v>1</x:v>
      </x:c>
      <x:c r="O327" s="20" t="str">
        <x:v>1.0.0</x:v>
      </x:c>
      <x:c r="P327" s="20" t="str">
        <x:v>1.1.0</x:v>
      </x:c>
      <x:c r="Q327" s="20" t="str">
        <x:v>deepseek/deepseek-v4-pro</x:v>
      </x:c>
      <x:c r="R327" s="20" t="str">
        <x:v>aj2-y90-20260714T234810-0bea2f52</x:v>
      </x:c>
    </x:row>
    <x:row r="328" ht="28" customHeight="1">
      <x:c r="A328" s="20" t="str">
        <x:v>B08Z2S9RTZ</x:v>
      </x:c>
      <x:c r="B328" s="20" t="str">
        <x:v>b08z2s9rtz</x:v>
      </x:c>
      <x:c r="C328" s="20" t="str">
        <x:v>70cdcf6031e8b72b</x:v>
      </x:c>
      <x:c r="D328" s="20" t="str">
        <x:v>asin_target</x:v>
      </x:c>
      <x:c r="E328" s="20" t="str">
        <x:v>en</x:v>
      </x:c>
      <x:c r="F328" s="20" t="str">
        <x:v>该搜索词为 ASIN 形式，需补充商品元数据后再判断用户意图。</x:v>
      </x:c>
      <x:c r="G328" s="20" t="str">
        <x:v>unknown</x:v>
      </x:c>
      <x:c r="H328" s="20" t="str">
        <x:v>low</x:v>
      </x:c>
      <x:c r="I328" s="20" t="str">
        <x:v>asin_target</x:v>
      </x:c>
      <x:c r="J328" s="20" t="str">
        <x:v>asin_metadata_pending</x:v>
      </x:c>
      <x:c r="K328" s="20" t="str">
        <x:v>asin_without_metadata</x:v>
      </x:c>
      <x:c r="L328" s="20" t="str">
        <x:v>not_applicable</x:v>
      </x:c>
      <x:c r="M328" s="20" t="str">
        <x:v>non_model</x:v>
      </x:c>
      <x:c r="N328" s="20" t="str">
        <x:v>1</x:v>
      </x:c>
      <x:c r="O328" s="20" t="str">
        <x:v>1.0.0</x:v>
      </x:c>
      <x:c r="P328" s="20" t="str">
        <x:v>1.1.0</x:v>
      </x:c>
      <x:c r="Q328" s="20" t="str">
        <x:v>deepseek/deepseek-v4-pro</x:v>
      </x:c>
      <x:c r="R328" s="20" t="str">
        <x:v>aj2-y90-20260714T234810-0bea2f52</x:v>
      </x:c>
    </x:row>
    <x:row r="329" ht="28" customHeight="1">
      <x:c r="A329" s="20" t="str">
        <x:v>B0GGR2ML2Y</x:v>
      </x:c>
      <x:c r="B329" s="20" t="str">
        <x:v>b0ggr2ml2y</x:v>
      </x:c>
      <x:c r="C329" s="20" t="str">
        <x:v>70e5914202e284a6</x:v>
      </x:c>
      <x:c r="D329" s="20" t="str">
        <x:v>asin_target</x:v>
      </x:c>
      <x:c r="E329" s="20" t="str">
        <x:v>en</x:v>
      </x:c>
      <x:c r="F329" s="20" t="str">
        <x:v>该搜索词为 ASIN 形式，需补充商品元数据后再判断用户意图。</x:v>
      </x:c>
      <x:c r="G329" s="20" t="str">
        <x:v>unknown</x:v>
      </x:c>
      <x:c r="H329" s="20" t="str">
        <x:v>low</x:v>
      </x:c>
      <x:c r="I329" s="20" t="str">
        <x:v>asin_target</x:v>
      </x:c>
      <x:c r="J329" s="20" t="str">
        <x:v>asin_metadata_pending</x:v>
      </x:c>
      <x:c r="K329" s="20" t="str">
        <x:v>asin_without_metadata</x:v>
      </x:c>
      <x:c r="L329" s="20" t="str">
        <x:v>not_applicable</x:v>
      </x:c>
      <x:c r="M329" s="20" t="str">
        <x:v>non_model</x:v>
      </x:c>
      <x:c r="N329" s="20" t="str">
        <x:v>1</x:v>
      </x:c>
      <x:c r="O329" s="20" t="str">
        <x:v>1.0.0</x:v>
      </x:c>
      <x:c r="P329" s="20" t="str">
        <x:v>1.1.0</x:v>
      </x:c>
      <x:c r="Q329" s="20" t="str">
        <x:v>deepseek/deepseek-v4-pro</x:v>
      </x:c>
      <x:c r="R329" s="20" t="str">
        <x:v>aj2-y90-20260714T234810-0bea2f52</x:v>
      </x:c>
    </x:row>
    <x:row r="330" ht="28" customHeight="1">
      <x:c r="A330" s="20" t="str">
        <x:v>B09L8C47VV</x:v>
      </x:c>
      <x:c r="B330" s="20" t="str">
        <x:v>b09l8c47vv</x:v>
      </x:c>
      <x:c r="C330" s="20" t="str">
        <x:v>71006ebdf8f803dd</x:v>
      </x:c>
      <x:c r="D330" s="20" t="str">
        <x:v>asin_target</x:v>
      </x:c>
      <x:c r="E330" s="20" t="str">
        <x:v>en</x:v>
      </x:c>
      <x:c r="F330" s="20" t="str">
        <x:v>该搜索词为 ASIN 形式，需补充商品元数据后再判断用户意图。</x:v>
      </x:c>
      <x:c r="G330" s="20" t="str">
        <x:v>unknown</x:v>
      </x:c>
      <x:c r="H330" s="20" t="str">
        <x:v>low</x:v>
      </x:c>
      <x:c r="I330" s="20" t="str">
        <x:v>asin_target</x:v>
      </x:c>
      <x:c r="J330" s="20" t="str">
        <x:v>asin_metadata_pending</x:v>
      </x:c>
      <x:c r="K330" s="20" t="str">
        <x:v>asin_without_metadata</x:v>
      </x:c>
      <x:c r="L330" s="20" t="str">
        <x:v>not_applicable</x:v>
      </x:c>
      <x:c r="M330" s="20" t="str">
        <x:v>non_model</x:v>
      </x:c>
      <x:c r="N330" s="20" t="str">
        <x:v>1</x:v>
      </x:c>
      <x:c r="O330" s="20" t="str">
        <x:v>1.0.0</x:v>
      </x:c>
      <x:c r="P330" s="20" t="str">
        <x:v>1.1.0</x:v>
      </x:c>
      <x:c r="Q330" s="20" t="str">
        <x:v>deepseek/deepseek-v4-pro</x:v>
      </x:c>
      <x:c r="R330" s="20" t="str">
        <x:v>aj2-y90-20260714T234810-0bea2f52</x:v>
      </x:c>
    </x:row>
    <x:row r="331" ht="28" customHeight="1">
      <x:c r="A331" s="20" t="str">
        <x:v>B0FRRL333N</x:v>
      </x:c>
      <x:c r="B331" s="20" t="str">
        <x:v>b0frrl333n</x:v>
      </x:c>
      <x:c r="C331" s="20" t="str">
        <x:v>71345a3c52268db3</x:v>
      </x:c>
      <x:c r="D331" s="20" t="str">
        <x:v>asin_target</x:v>
      </x:c>
      <x:c r="E331" s="20" t="str">
        <x:v>en</x:v>
      </x:c>
      <x:c r="F331" s="20" t="str">
        <x:v>该搜索词为 ASIN 形式，需补充商品元数据后再判断用户意图。</x:v>
      </x:c>
      <x:c r="G331" s="20" t="str">
        <x:v>unknown</x:v>
      </x:c>
      <x:c r="H331" s="20" t="str">
        <x:v>low</x:v>
      </x:c>
      <x:c r="I331" s="20" t="str">
        <x:v>asin_target</x:v>
      </x:c>
      <x:c r="J331" s="20" t="str">
        <x:v>asin_metadata_pending</x:v>
      </x:c>
      <x:c r="K331" s="20" t="str">
        <x:v>asin_without_metadata</x:v>
      </x:c>
      <x:c r="L331" s="20" t="str">
        <x:v>not_applicable</x:v>
      </x:c>
      <x:c r="M331" s="20" t="str">
        <x:v>non_model</x:v>
      </x:c>
      <x:c r="N331" s="20" t="str">
        <x:v>1</x:v>
      </x:c>
      <x:c r="O331" s="20" t="str">
        <x:v>1.0.0</x:v>
      </x:c>
      <x:c r="P331" s="20" t="str">
        <x:v>1.1.0</x:v>
      </x:c>
      <x:c r="Q331" s="20" t="str">
        <x:v>deepseek/deepseek-v4-pro</x:v>
      </x:c>
      <x:c r="R331" s="20" t="str">
        <x:v>aj2-y90-20260714T234810-0bea2f52</x:v>
      </x:c>
    </x:row>
    <x:row r="332" ht="28" customHeight="1">
      <x:c r="A332" s="20" t="str">
        <x:v>B09TPBB2PC</x:v>
      </x:c>
      <x:c r="B332" s="20" t="str">
        <x:v>b09tpbb2pc</x:v>
      </x:c>
      <x:c r="C332" s="20" t="str">
        <x:v>7152eb753bbf0a26</x:v>
      </x:c>
      <x:c r="D332" s="20" t="str">
        <x:v>asin_target</x:v>
      </x:c>
      <x:c r="E332" s="20" t="str">
        <x:v>en</x:v>
      </x:c>
      <x:c r="F332" s="20" t="str">
        <x:v>该搜索词为 ASIN 形式，需补充商品元数据后再判断用户意图。</x:v>
      </x:c>
      <x:c r="G332" s="20" t="str">
        <x:v>unknown</x:v>
      </x:c>
      <x:c r="H332" s="20" t="str">
        <x:v>low</x:v>
      </x:c>
      <x:c r="I332" s="20" t="str">
        <x:v>asin_target</x:v>
      </x:c>
      <x:c r="J332" s="20" t="str">
        <x:v>asin_metadata_pending</x:v>
      </x:c>
      <x:c r="K332" s="20" t="str">
        <x:v>asin_without_metadata</x:v>
      </x:c>
      <x:c r="L332" s="20" t="str">
        <x:v>not_applicable</x:v>
      </x:c>
      <x:c r="M332" s="20" t="str">
        <x:v>non_model</x:v>
      </x:c>
      <x:c r="N332" s="20" t="str">
        <x:v>1</x:v>
      </x:c>
      <x:c r="O332" s="20" t="str">
        <x:v>1.0.0</x:v>
      </x:c>
      <x:c r="P332" s="20" t="str">
        <x:v>1.1.0</x:v>
      </x:c>
      <x:c r="Q332" s="20" t="str">
        <x:v>deepseek/deepseek-v4-pro</x:v>
      </x:c>
      <x:c r="R332" s="20" t="str">
        <x:v>aj2-y90-20260714T234810-0bea2f52</x:v>
      </x:c>
    </x:row>
    <x:row r="333" ht="28" customHeight="1">
      <x:c r="A333" s="20" t="str">
        <x:v>B0FJ2H9RMS</x:v>
      </x:c>
      <x:c r="B333" s="20" t="str">
        <x:v>b0fj2h9rms</x:v>
      </x:c>
      <x:c r="C333" s="20" t="str">
        <x:v>71c2f670f9a710b9</x:v>
      </x:c>
      <x:c r="D333" s="20" t="str">
        <x:v>asin_target</x:v>
      </x:c>
      <x:c r="E333" s="20" t="str">
        <x:v>en</x:v>
      </x:c>
      <x:c r="F333" s="20" t="str">
        <x:v>该搜索词为 ASIN 形式，需补充商品元数据后再判断用户意图。</x:v>
      </x:c>
      <x:c r="G333" s="20" t="str">
        <x:v>unknown</x:v>
      </x:c>
      <x:c r="H333" s="20" t="str">
        <x:v>low</x:v>
      </x:c>
      <x:c r="I333" s="20" t="str">
        <x:v>asin_target</x:v>
      </x:c>
      <x:c r="J333" s="20" t="str">
        <x:v>asin_metadata_pending</x:v>
      </x:c>
      <x:c r="K333" s="20" t="str">
        <x:v>asin_without_metadata</x:v>
      </x:c>
      <x:c r="L333" s="20" t="str">
        <x:v>not_applicable</x:v>
      </x:c>
      <x:c r="M333" s="20" t="str">
        <x:v>non_model</x:v>
      </x:c>
      <x:c r="N333" s="20" t="str">
        <x:v>1</x:v>
      </x:c>
      <x:c r="O333" s="20" t="str">
        <x:v>1.0.0</x:v>
      </x:c>
      <x:c r="P333" s="20" t="str">
        <x:v>1.1.0</x:v>
      </x:c>
      <x:c r="Q333" s="20" t="str">
        <x:v>deepseek/deepseek-v4-pro</x:v>
      </x:c>
      <x:c r="R333" s="20" t="str">
        <x:v>aj2-y90-20260714T234810-0bea2f52</x:v>
      </x:c>
    </x:row>
    <x:row r="334" ht="28" customHeight="1">
      <x:c r="A334" s="20" t="str">
        <x:v>B0888MG65T</x:v>
      </x:c>
      <x:c r="B334" s="20" t="str">
        <x:v>b0888mg65t</x:v>
      </x:c>
      <x:c r="C334" s="20" t="str">
        <x:v>720ca028d5dd7f1d</x:v>
      </x:c>
      <x:c r="D334" s="20" t="str">
        <x:v>asin_target</x:v>
      </x:c>
      <x:c r="E334" s="20" t="str">
        <x:v>en</x:v>
      </x:c>
      <x:c r="F334" s="20" t="str">
        <x:v>该搜索词为 ASIN 形式，需补充商品元数据后再判断用户意图。</x:v>
      </x:c>
      <x:c r="G334" s="20" t="str">
        <x:v>unknown</x:v>
      </x:c>
      <x:c r="H334" s="20" t="str">
        <x:v>low</x:v>
      </x:c>
      <x:c r="I334" s="20" t="str">
        <x:v>asin_target</x:v>
      </x:c>
      <x:c r="J334" s="20" t="str">
        <x:v>asin_metadata_pending</x:v>
      </x:c>
      <x:c r="K334" s="20" t="str">
        <x:v>asin_without_metadata</x:v>
      </x:c>
      <x:c r="L334" s="20" t="str">
        <x:v>not_applicable</x:v>
      </x:c>
      <x:c r="M334" s="20" t="str">
        <x:v>non_model</x:v>
      </x:c>
      <x:c r="N334" s="20" t="str">
        <x:v>1</x:v>
      </x:c>
      <x:c r="O334" s="20" t="str">
        <x:v>1.0.0</x:v>
      </x:c>
      <x:c r="P334" s="20" t="str">
        <x:v>1.1.0</x:v>
      </x:c>
      <x:c r="Q334" s="20" t="str">
        <x:v>deepseek/deepseek-v4-pro</x:v>
      </x:c>
      <x:c r="R334" s="20" t="str">
        <x:v>aj2-y90-20260714T234810-0bea2f52</x:v>
      </x:c>
    </x:row>
    <x:row r="335" ht="28" customHeight="1">
      <x:c r="A335" s="20" t="str">
        <x:v>B0F8MPXPGM</x:v>
      </x:c>
      <x:c r="B335" s="20" t="str">
        <x:v>b0f8mpxpgm</x:v>
      </x:c>
      <x:c r="C335" s="20" t="str">
        <x:v>72451474cdf1618b</x:v>
      </x:c>
      <x:c r="D335" s="20" t="str">
        <x:v>asin_target</x:v>
      </x:c>
      <x:c r="E335" s="20" t="str">
        <x:v>en</x:v>
      </x:c>
      <x:c r="F335" s="20" t="str">
        <x:v>该搜索词为 ASIN 形式，需补充商品元数据后再判断用户意图。</x:v>
      </x:c>
      <x:c r="G335" s="20" t="str">
        <x:v>unknown</x:v>
      </x:c>
      <x:c r="H335" s="20" t="str">
        <x:v>low</x:v>
      </x:c>
      <x:c r="I335" s="20" t="str">
        <x:v>asin_target</x:v>
      </x:c>
      <x:c r="J335" s="20" t="str">
        <x:v>asin_metadata_pending</x:v>
      </x:c>
      <x:c r="K335" s="20" t="str">
        <x:v>asin_without_metadata</x:v>
      </x:c>
      <x:c r="L335" s="20" t="str">
        <x:v>not_applicable</x:v>
      </x:c>
      <x:c r="M335" s="20" t="str">
        <x:v>non_model</x:v>
      </x:c>
      <x:c r="N335" s="20" t="str">
        <x:v>1</x:v>
      </x:c>
      <x:c r="O335" s="20" t="str">
        <x:v>1.0.0</x:v>
      </x:c>
      <x:c r="P335" s="20" t="str">
        <x:v>1.1.0</x:v>
      </x:c>
      <x:c r="Q335" s="20" t="str">
        <x:v>deepseek/deepseek-v4-pro</x:v>
      </x:c>
      <x:c r="R335" s="20" t="str">
        <x:v>aj2-y90-20260714T234810-0bea2f52</x:v>
      </x:c>
    </x:row>
    <x:row r="336" ht="28" customHeight="1">
      <x:c r="A336" s="20" t="str">
        <x:v>B0FL26JNLJ</x:v>
      </x:c>
      <x:c r="B336" s="20" t="str">
        <x:v>b0fl26jnlj</x:v>
      </x:c>
      <x:c r="C336" s="20" t="str">
        <x:v>7251a45903b335a7</x:v>
      </x:c>
      <x:c r="D336" s="20" t="str">
        <x:v>asin_target</x:v>
      </x:c>
      <x:c r="E336" s="20" t="str">
        <x:v>en</x:v>
      </x:c>
      <x:c r="F336" s="20" t="str">
        <x:v>该搜索词为 ASIN 形式，需补充商品元数据后再判断用户意图。</x:v>
      </x:c>
      <x:c r="G336" s="20" t="str">
        <x:v>unknown</x:v>
      </x:c>
      <x:c r="H336" s="20" t="str">
        <x:v>low</x:v>
      </x:c>
      <x:c r="I336" s="20" t="str">
        <x:v>asin_target</x:v>
      </x:c>
      <x:c r="J336" s="20" t="str">
        <x:v>asin_metadata_pending</x:v>
      </x:c>
      <x:c r="K336" s="20" t="str">
        <x:v>asin_without_metadata</x:v>
      </x:c>
      <x:c r="L336" s="20" t="str">
        <x:v>not_applicable</x:v>
      </x:c>
      <x:c r="M336" s="20" t="str">
        <x:v>non_model</x:v>
      </x:c>
      <x:c r="N336" s="20" t="str">
        <x:v>1</x:v>
      </x:c>
      <x:c r="O336" s="20" t="str">
        <x:v>1.0.0</x:v>
      </x:c>
      <x:c r="P336" s="20" t="str">
        <x:v>1.1.0</x:v>
      </x:c>
      <x:c r="Q336" s="20" t="str">
        <x:v>deepseek/deepseek-v4-pro</x:v>
      </x:c>
      <x:c r="R336" s="20" t="str">
        <x:v>aj2-y90-20260714T234810-0bea2f52</x:v>
      </x:c>
    </x:row>
    <x:row r="337" ht="28" customHeight="1">
      <x:c r="A337" s="20" t="str">
        <x:v>B0FXCVPRC4</x:v>
      </x:c>
      <x:c r="B337" s="20" t="str">
        <x:v>b0fxcvprc4</x:v>
      </x:c>
      <x:c r="C337" s="20" t="str">
        <x:v>72542602759d1336</x:v>
      </x:c>
      <x:c r="D337" s="20" t="str">
        <x:v>asin_target</x:v>
      </x:c>
      <x:c r="E337" s="20" t="str">
        <x:v>en</x:v>
      </x:c>
      <x:c r="F337" s="20" t="str">
        <x:v>该搜索词为 ASIN 形式，需补充商品元数据后再判断用户意图。</x:v>
      </x:c>
      <x:c r="G337" s="20" t="str">
        <x:v>unknown</x:v>
      </x:c>
      <x:c r="H337" s="20" t="str">
        <x:v>low</x:v>
      </x:c>
      <x:c r="I337" s="20" t="str">
        <x:v>asin_target</x:v>
      </x:c>
      <x:c r="J337" s="20" t="str">
        <x:v>asin_metadata_pending</x:v>
      </x:c>
      <x:c r="K337" s="20" t="str">
        <x:v>asin_without_metadata</x:v>
      </x:c>
      <x:c r="L337" s="20" t="str">
        <x:v>not_applicable</x:v>
      </x:c>
      <x:c r="M337" s="20" t="str">
        <x:v>non_model</x:v>
      </x:c>
      <x:c r="N337" s="20" t="str">
        <x:v>1</x:v>
      </x:c>
      <x:c r="O337" s="20" t="str">
        <x:v>1.0.0</x:v>
      </x:c>
      <x:c r="P337" s="20" t="str">
        <x:v>1.1.0</x:v>
      </x:c>
      <x:c r="Q337" s="20" t="str">
        <x:v>deepseek/deepseek-v4-pro</x:v>
      </x:c>
      <x:c r="R337" s="20" t="str">
        <x:v>aj2-y90-20260714T234810-0bea2f52</x:v>
      </x:c>
    </x:row>
    <x:row r="338" ht="28" customHeight="1">
      <x:c r="A338" s="20" t="str">
        <x:v>B0GMQFHR6C</x:v>
      </x:c>
      <x:c r="B338" s="20" t="str">
        <x:v>b0gmqfhr6c</x:v>
      </x:c>
      <x:c r="C338" s="20" t="str">
        <x:v>7354697d8bc22fae</x:v>
      </x:c>
      <x:c r="D338" s="20" t="str">
        <x:v>asin_target</x:v>
      </x:c>
      <x:c r="E338" s="20" t="str">
        <x:v>en</x:v>
      </x:c>
      <x:c r="F338" s="20" t="str">
        <x:v>该搜索词为 ASIN 形式，需补充商品元数据后再判断用户意图。</x:v>
      </x:c>
      <x:c r="G338" s="20" t="str">
        <x:v>unknown</x:v>
      </x:c>
      <x:c r="H338" s="20" t="str">
        <x:v>low</x:v>
      </x:c>
      <x:c r="I338" s="20" t="str">
        <x:v>asin_target</x:v>
      </x:c>
      <x:c r="J338" s="20" t="str">
        <x:v>asin_metadata_pending</x:v>
      </x:c>
      <x:c r="K338" s="20" t="str">
        <x:v>asin_without_metadata</x:v>
      </x:c>
      <x:c r="L338" s="20" t="str">
        <x:v>not_applicable</x:v>
      </x:c>
      <x:c r="M338" s="20" t="str">
        <x:v>non_model</x:v>
      </x:c>
      <x:c r="N338" s="20" t="str">
        <x:v>1</x:v>
      </x:c>
      <x:c r="O338" s="20" t="str">
        <x:v>1.0.0</x:v>
      </x:c>
      <x:c r="P338" s="20" t="str">
        <x:v>1.1.0</x:v>
      </x:c>
      <x:c r="Q338" s="20" t="str">
        <x:v>deepseek/deepseek-v4-pro</x:v>
      </x:c>
      <x:c r="R338" s="20" t="str">
        <x:v>aj2-y90-20260714T234810-0bea2f52</x:v>
      </x:c>
    </x:row>
    <x:row r="339" ht="28" customHeight="1">
      <x:c r="A339" s="20" t="str">
        <x:v>B0BV69Q3KS</x:v>
      </x:c>
      <x:c r="B339" s="20" t="str">
        <x:v>b0bv69q3ks</x:v>
      </x:c>
      <x:c r="C339" s="20" t="str">
        <x:v>744e153ed19fa162</x:v>
      </x:c>
      <x:c r="D339" s="20" t="str">
        <x:v>asin_target</x:v>
      </x:c>
      <x:c r="E339" s="20" t="str">
        <x:v>en</x:v>
      </x:c>
      <x:c r="F339" s="20" t="str">
        <x:v>该搜索词为 ASIN 形式，需补充商品元数据后再判断用户意图。</x:v>
      </x:c>
      <x:c r="G339" s="20" t="str">
        <x:v>unknown</x:v>
      </x:c>
      <x:c r="H339" s="20" t="str">
        <x:v>low</x:v>
      </x:c>
      <x:c r="I339" s="20" t="str">
        <x:v>asin_target</x:v>
      </x:c>
      <x:c r="J339" s="20" t="str">
        <x:v>asin_metadata_pending</x:v>
      </x:c>
      <x:c r="K339" s="20" t="str">
        <x:v>asin_without_metadata</x:v>
      </x:c>
      <x:c r="L339" s="20" t="str">
        <x:v>not_applicable</x:v>
      </x:c>
      <x:c r="M339" s="20" t="str">
        <x:v>non_model</x:v>
      </x:c>
      <x:c r="N339" s="20" t="str">
        <x:v>1</x:v>
      </x:c>
      <x:c r="O339" s="20" t="str">
        <x:v>1.0.0</x:v>
      </x:c>
      <x:c r="P339" s="20" t="str">
        <x:v>1.1.0</x:v>
      </x:c>
      <x:c r="Q339" s="20" t="str">
        <x:v>deepseek/deepseek-v4-pro</x:v>
      </x:c>
      <x:c r="R339" s="20" t="str">
        <x:v>aj2-y90-20260714T234810-0bea2f52</x:v>
      </x:c>
    </x:row>
    <x:row r="340" ht="28" customHeight="1">
      <x:c r="A340" s="20" t="str">
        <x:v>B092QMVZWC</x:v>
      </x:c>
      <x:c r="B340" s="20" t="str">
        <x:v>b092qmvzwc</x:v>
      </x:c>
      <x:c r="C340" s="20" t="str">
        <x:v>74e54957e251509d</x:v>
      </x:c>
      <x:c r="D340" s="20" t="str">
        <x:v>asin_target</x:v>
      </x:c>
      <x:c r="E340" s="20" t="str">
        <x:v>en</x:v>
      </x:c>
      <x:c r="F340" s="20" t="str">
        <x:v>该搜索词为 ASIN 形式，需补充商品元数据后再判断用户意图。</x:v>
      </x:c>
      <x:c r="G340" s="20" t="str">
        <x:v>unknown</x:v>
      </x:c>
      <x:c r="H340" s="20" t="str">
        <x:v>low</x:v>
      </x:c>
      <x:c r="I340" s="20" t="str">
        <x:v>asin_target</x:v>
      </x:c>
      <x:c r="J340" s="20" t="str">
        <x:v>asin_metadata_pending</x:v>
      </x:c>
      <x:c r="K340" s="20" t="str">
        <x:v>asin_without_metadata</x:v>
      </x:c>
      <x:c r="L340" s="20" t="str">
        <x:v>not_applicable</x:v>
      </x:c>
      <x:c r="M340" s="20" t="str">
        <x:v>non_model</x:v>
      </x:c>
      <x:c r="N340" s="20" t="str">
        <x:v>1</x:v>
      </x:c>
      <x:c r="O340" s="20" t="str">
        <x:v>1.0.0</x:v>
      </x:c>
      <x:c r="P340" s="20" t="str">
        <x:v>1.1.0</x:v>
      </x:c>
      <x:c r="Q340" s="20" t="str">
        <x:v>deepseek/deepseek-v4-pro</x:v>
      </x:c>
      <x:c r="R340" s="20" t="str">
        <x:v>aj2-y90-20260714T234810-0bea2f52</x:v>
      </x:c>
    </x:row>
    <x:row r="341" ht="28" customHeight="1">
      <x:c r="A341" s="20" t="str">
        <x:v>B0DT49WW5T</x:v>
      </x:c>
      <x:c r="B341" s="20" t="str">
        <x:v>b0dt49ww5t</x:v>
      </x:c>
      <x:c r="C341" s="20" t="str">
        <x:v>759b0b6e457b79ea</x:v>
      </x:c>
      <x:c r="D341" s="20" t="str">
        <x:v>asin_target</x:v>
      </x:c>
      <x:c r="E341" s="20" t="str">
        <x:v>en</x:v>
      </x:c>
      <x:c r="F341" s="20" t="str">
        <x:v>该搜索词为 ASIN 形式，需补充商品元数据后再判断用户意图。</x:v>
      </x:c>
      <x:c r="G341" s="20" t="str">
        <x:v>unknown</x:v>
      </x:c>
      <x:c r="H341" s="20" t="str">
        <x:v>low</x:v>
      </x:c>
      <x:c r="I341" s="20" t="str">
        <x:v>asin_target</x:v>
      </x:c>
      <x:c r="J341" s="20" t="str">
        <x:v>asin_metadata_pending</x:v>
      </x:c>
      <x:c r="K341" s="20" t="str">
        <x:v>asin_without_metadata</x:v>
      </x:c>
      <x:c r="L341" s="20" t="str">
        <x:v>not_applicable</x:v>
      </x:c>
      <x:c r="M341" s="20" t="str">
        <x:v>non_model</x:v>
      </x:c>
      <x:c r="N341" s="20" t="str">
        <x:v>1</x:v>
      </x:c>
      <x:c r="O341" s="20" t="str">
        <x:v>1.0.0</x:v>
      </x:c>
      <x:c r="P341" s="20" t="str">
        <x:v>1.1.0</x:v>
      </x:c>
      <x:c r="Q341" s="20" t="str">
        <x:v>deepseek/deepseek-v4-pro</x:v>
      </x:c>
      <x:c r="R341" s="20" t="str">
        <x:v>aj2-y90-20260714T234810-0bea2f52</x:v>
      </x:c>
    </x:row>
    <x:row r="342" ht="28" customHeight="1">
      <x:c r="A342" s="20" t="str">
        <x:v>B0G644V3LH</x:v>
      </x:c>
      <x:c r="B342" s="20" t="str">
        <x:v>b0g644v3lh</x:v>
      </x:c>
      <x:c r="C342" s="20" t="str">
        <x:v>75e2db379910fb69</x:v>
      </x:c>
      <x:c r="D342" s="20" t="str">
        <x:v>asin_target</x:v>
      </x:c>
      <x:c r="E342" s="20" t="str">
        <x:v>en</x:v>
      </x:c>
      <x:c r="F342" s="20" t="str">
        <x:v>该搜索词为 ASIN 形式，需补充商品元数据后再判断用户意图。</x:v>
      </x:c>
      <x:c r="G342" s="20" t="str">
        <x:v>unknown</x:v>
      </x:c>
      <x:c r="H342" s="20" t="str">
        <x:v>low</x:v>
      </x:c>
      <x:c r="I342" s="20" t="str">
        <x:v>asin_target</x:v>
      </x:c>
      <x:c r="J342" s="20" t="str">
        <x:v>asin_metadata_pending</x:v>
      </x:c>
      <x:c r="K342" s="20" t="str">
        <x:v>asin_without_metadata</x:v>
      </x:c>
      <x:c r="L342" s="20" t="str">
        <x:v>not_applicable</x:v>
      </x:c>
      <x:c r="M342" s="20" t="str">
        <x:v>non_model</x:v>
      </x:c>
      <x:c r="N342" s="20" t="str">
        <x:v>1</x:v>
      </x:c>
      <x:c r="O342" s="20" t="str">
        <x:v>1.0.0</x:v>
      </x:c>
      <x:c r="P342" s="20" t="str">
        <x:v>1.1.0</x:v>
      </x:c>
      <x:c r="Q342" s="20" t="str">
        <x:v>deepseek/deepseek-v4-pro</x:v>
      </x:c>
      <x:c r="R342" s="20" t="str">
        <x:v>aj2-y90-20260714T234810-0bea2f52</x:v>
      </x:c>
    </x:row>
    <x:row r="343" ht="28" customHeight="1">
      <x:c r="A343" s="20" t="str">
        <x:v>B0G47LKMN6</x:v>
      </x:c>
      <x:c r="B343" s="20" t="str">
        <x:v>b0g47lkmn6</x:v>
      </x:c>
      <x:c r="C343" s="20" t="str">
        <x:v>75eddfb17485960e</x:v>
      </x:c>
      <x:c r="D343" s="20" t="str">
        <x:v>asin_target</x:v>
      </x:c>
      <x:c r="E343" s="20" t="str">
        <x:v>en</x:v>
      </x:c>
      <x:c r="F343" s="20" t="str">
        <x:v>该搜索词为 ASIN 形式，需补充商品元数据后再判断用户意图。</x:v>
      </x:c>
      <x:c r="G343" s="20" t="str">
        <x:v>unknown</x:v>
      </x:c>
      <x:c r="H343" s="20" t="str">
        <x:v>low</x:v>
      </x:c>
      <x:c r="I343" s="20" t="str">
        <x:v>asin_target</x:v>
      </x:c>
      <x:c r="J343" s="20" t="str">
        <x:v>asin_metadata_pending</x:v>
      </x:c>
      <x:c r="K343" s="20" t="str">
        <x:v>asin_without_metadata</x:v>
      </x:c>
      <x:c r="L343" s="20" t="str">
        <x:v>not_applicable</x:v>
      </x:c>
      <x:c r="M343" s="20" t="str">
        <x:v>non_model</x:v>
      </x:c>
      <x:c r="N343" s="20" t="str">
        <x:v>3</x:v>
      </x:c>
      <x:c r="O343" s="20" t="str">
        <x:v>1.0.0</x:v>
      </x:c>
      <x:c r="P343" s="20" t="str">
        <x:v>1.1.0</x:v>
      </x:c>
      <x:c r="Q343" s="20" t="str">
        <x:v>deepseek/deepseek-v4-pro</x:v>
      </x:c>
      <x:c r="R343" s="20" t="str">
        <x:v>aj2-y90-20260714T234810-0bea2f52</x:v>
      </x:c>
    </x:row>
    <x:row r="344" ht="28" customHeight="1">
      <x:c r="A344" s="20" t="str">
        <x:v>B0F8MKSGTB</x:v>
      </x:c>
      <x:c r="B344" s="20" t="str">
        <x:v>b0f8mksgtb</x:v>
      </x:c>
      <x:c r="C344" s="20" t="str">
        <x:v>760cc495d65f0df8</x:v>
      </x:c>
      <x:c r="D344" s="20" t="str">
        <x:v>asin_target</x:v>
      </x:c>
      <x:c r="E344" s="20" t="str">
        <x:v>en</x:v>
      </x:c>
      <x:c r="F344" s="20" t="str">
        <x:v>该搜索词为 ASIN 形式，需补充商品元数据后再判断用户意图。</x:v>
      </x:c>
      <x:c r="G344" s="20" t="str">
        <x:v>unknown</x:v>
      </x:c>
      <x:c r="H344" s="20" t="str">
        <x:v>low</x:v>
      </x:c>
      <x:c r="I344" s="20" t="str">
        <x:v>asin_target</x:v>
      </x:c>
      <x:c r="J344" s="20" t="str">
        <x:v>asin_metadata_pending</x:v>
      </x:c>
      <x:c r="K344" s="20" t="str">
        <x:v>asin_without_metadata</x:v>
      </x:c>
      <x:c r="L344" s="20" t="str">
        <x:v>not_applicable</x:v>
      </x:c>
      <x:c r="M344" s="20" t="str">
        <x:v>non_model</x:v>
      </x:c>
      <x:c r="N344" s="20" t="str">
        <x:v>1</x:v>
      </x:c>
      <x:c r="O344" s="20" t="str">
        <x:v>1.0.0</x:v>
      </x:c>
      <x:c r="P344" s="20" t="str">
        <x:v>1.1.0</x:v>
      </x:c>
      <x:c r="Q344" s="20" t="str">
        <x:v>deepseek/deepseek-v4-pro</x:v>
      </x:c>
      <x:c r="R344" s="20" t="str">
        <x:v>aj2-y90-20260714T234810-0bea2f52</x:v>
      </x:c>
    </x:row>
    <x:row r="345" ht="28" customHeight="1">
      <x:c r="A345" s="20" t="str">
        <x:v>B0DG17MLZZ</x:v>
      </x:c>
      <x:c r="B345" s="20" t="str">
        <x:v>b0dg17mlzz</x:v>
      </x:c>
      <x:c r="C345" s="20" t="str">
        <x:v>768641ef1fcd1c07</x:v>
      </x:c>
      <x:c r="D345" s="20" t="str">
        <x:v>asin_target</x:v>
      </x:c>
      <x:c r="E345" s="20" t="str">
        <x:v>en</x:v>
      </x:c>
      <x:c r="F345" s="20" t="str">
        <x:v>该搜索词为 ASIN 形式，需补充商品元数据后再判断用户意图。</x:v>
      </x:c>
      <x:c r="G345" s="20" t="str">
        <x:v>unknown</x:v>
      </x:c>
      <x:c r="H345" s="20" t="str">
        <x:v>low</x:v>
      </x:c>
      <x:c r="I345" s="20" t="str">
        <x:v>asin_target</x:v>
      </x:c>
      <x:c r="J345" s="20" t="str">
        <x:v>asin_metadata_pending</x:v>
      </x:c>
      <x:c r="K345" s="20" t="str">
        <x:v>asin_without_metadata</x:v>
      </x:c>
      <x:c r="L345" s="20" t="str">
        <x:v>not_applicable</x:v>
      </x:c>
      <x:c r="M345" s="20" t="str">
        <x:v>non_model</x:v>
      </x:c>
      <x:c r="N345" s="20" t="str">
        <x:v>2</x:v>
      </x:c>
      <x:c r="O345" s="20" t="str">
        <x:v>1.0.0</x:v>
      </x:c>
      <x:c r="P345" s="20" t="str">
        <x:v>1.1.0</x:v>
      </x:c>
      <x:c r="Q345" s="20" t="str">
        <x:v>deepseek/deepseek-v4-pro</x:v>
      </x:c>
      <x:c r="R345" s="20" t="str">
        <x:v>aj2-y90-20260714T234810-0bea2f52</x:v>
      </x:c>
    </x:row>
    <x:row r="346" ht="28" customHeight="1">
      <x:c r="A346" s="20" t="str">
        <x:v>B088BFTDTK</x:v>
      </x:c>
      <x:c r="B346" s="20" t="str">
        <x:v>b088bftdtk</x:v>
      </x:c>
      <x:c r="C346" s="20" t="str">
        <x:v>76887bee52983c93</x:v>
      </x:c>
      <x:c r="D346" s="20" t="str">
        <x:v>asin_target</x:v>
      </x:c>
      <x:c r="E346" s="20" t="str">
        <x:v>en</x:v>
      </x:c>
      <x:c r="F346" s="20" t="str">
        <x:v>该搜索词为 ASIN 形式，需补充商品元数据后再判断用户意图。</x:v>
      </x:c>
      <x:c r="G346" s="20" t="str">
        <x:v>unknown</x:v>
      </x:c>
      <x:c r="H346" s="20" t="str">
        <x:v>low</x:v>
      </x:c>
      <x:c r="I346" s="20" t="str">
        <x:v>asin_target</x:v>
      </x:c>
      <x:c r="J346" s="20" t="str">
        <x:v>asin_metadata_pending</x:v>
      </x:c>
      <x:c r="K346" s="20" t="str">
        <x:v>asin_without_metadata</x:v>
      </x:c>
      <x:c r="L346" s="20" t="str">
        <x:v>not_applicable</x:v>
      </x:c>
      <x:c r="M346" s="20" t="str">
        <x:v>non_model</x:v>
      </x:c>
      <x:c r="N346" s="20" t="str">
        <x:v>1</x:v>
      </x:c>
      <x:c r="O346" s="20" t="str">
        <x:v>1.0.0</x:v>
      </x:c>
      <x:c r="P346" s="20" t="str">
        <x:v>1.1.0</x:v>
      </x:c>
      <x:c r="Q346" s="20" t="str">
        <x:v>deepseek/deepseek-v4-pro</x:v>
      </x:c>
      <x:c r="R346" s="20" t="str">
        <x:v>aj2-y90-20260714T234810-0bea2f52</x:v>
      </x:c>
    </x:row>
    <x:row r="347" ht="28" customHeight="1">
      <x:c r="A347" s="20" t="str">
        <x:v>B0DZ27KBV9</x:v>
      </x:c>
      <x:c r="B347" s="20" t="str">
        <x:v>b0dz27kbv9</x:v>
      </x:c>
      <x:c r="C347" s="20" t="str">
        <x:v>768ce8e6587552a8</x:v>
      </x:c>
      <x:c r="D347" s="20" t="str">
        <x:v>asin_target</x:v>
      </x:c>
      <x:c r="E347" s="20" t="str">
        <x:v>en</x:v>
      </x:c>
      <x:c r="F347" s="20" t="str">
        <x:v>该搜索词为 ASIN 形式，需补充商品元数据后再判断用户意图。</x:v>
      </x:c>
      <x:c r="G347" s="20" t="str">
        <x:v>unknown</x:v>
      </x:c>
      <x:c r="H347" s="20" t="str">
        <x:v>low</x:v>
      </x:c>
      <x:c r="I347" s="20" t="str">
        <x:v>asin_target</x:v>
      </x:c>
      <x:c r="J347" s="20" t="str">
        <x:v>asin_metadata_pending</x:v>
      </x:c>
      <x:c r="K347" s="20" t="str">
        <x:v>asin_without_metadata</x:v>
      </x:c>
      <x:c r="L347" s="20" t="str">
        <x:v>not_applicable</x:v>
      </x:c>
      <x:c r="M347" s="20" t="str">
        <x:v>non_model</x:v>
      </x:c>
      <x:c r="N347" s="20" t="str">
        <x:v>1</x:v>
      </x:c>
      <x:c r="O347" s="20" t="str">
        <x:v>1.0.0</x:v>
      </x:c>
      <x:c r="P347" s="20" t="str">
        <x:v>1.1.0</x:v>
      </x:c>
      <x:c r="Q347" s="20" t="str">
        <x:v>deepseek/deepseek-v4-pro</x:v>
      </x:c>
      <x:c r="R347" s="20" t="str">
        <x:v>aj2-y90-20260714T234810-0bea2f52</x:v>
      </x:c>
    </x:row>
    <x:row r="348" ht="28" customHeight="1">
      <x:c r="A348" s="20" t="str">
        <x:v>B08V1BX1K1</x:v>
      </x:c>
      <x:c r="B348" s="20" t="str">
        <x:v>b08v1bx1k1</x:v>
      </x:c>
      <x:c r="C348" s="20" t="str">
        <x:v>7699ea5fdaafab66</x:v>
      </x:c>
      <x:c r="D348" s="20" t="str">
        <x:v>asin_target</x:v>
      </x:c>
      <x:c r="E348" s="20" t="str">
        <x:v>en</x:v>
      </x:c>
      <x:c r="F348" s="20" t="str">
        <x:v>该搜索词为 ASIN 形式，需补充商品元数据后再判断用户意图。</x:v>
      </x:c>
      <x:c r="G348" s="20" t="str">
        <x:v>unknown</x:v>
      </x:c>
      <x:c r="H348" s="20" t="str">
        <x:v>low</x:v>
      </x:c>
      <x:c r="I348" s="20" t="str">
        <x:v>asin_target</x:v>
      </x:c>
      <x:c r="J348" s="20" t="str">
        <x:v>asin_metadata_pending</x:v>
      </x:c>
      <x:c r="K348" s="20" t="str">
        <x:v>asin_without_metadata</x:v>
      </x:c>
      <x:c r="L348" s="20" t="str">
        <x:v>not_applicable</x:v>
      </x:c>
      <x:c r="M348" s="20" t="str">
        <x:v>non_model</x:v>
      </x:c>
      <x:c r="N348" s="20" t="str">
        <x:v>1</x:v>
      </x:c>
      <x:c r="O348" s="20" t="str">
        <x:v>1.0.0</x:v>
      </x:c>
      <x:c r="P348" s="20" t="str">
        <x:v>1.1.0</x:v>
      </x:c>
      <x:c r="Q348" s="20" t="str">
        <x:v>deepseek/deepseek-v4-pro</x:v>
      </x:c>
      <x:c r="R348" s="20" t="str">
        <x:v>aj2-y90-20260714T234810-0bea2f52</x:v>
      </x:c>
    </x:row>
    <x:row r="349" ht="28" customHeight="1">
      <x:c r="A349" s="20" t="str">
        <x:v>B0GGR4LPQ7</x:v>
      </x:c>
      <x:c r="B349" s="20" t="str">
        <x:v>b0ggr4lpq7</x:v>
      </x:c>
      <x:c r="C349" s="20" t="str">
        <x:v>76a73f98b92c1188</x:v>
      </x:c>
      <x:c r="D349" s="20" t="str">
        <x:v>asin_target</x:v>
      </x:c>
      <x:c r="E349" s="20" t="str">
        <x:v>en</x:v>
      </x:c>
      <x:c r="F349" s="20" t="str">
        <x:v>该搜索词为 ASIN 形式，需补充商品元数据后再判断用户意图。</x:v>
      </x:c>
      <x:c r="G349" s="20" t="str">
        <x:v>unknown</x:v>
      </x:c>
      <x:c r="H349" s="20" t="str">
        <x:v>low</x:v>
      </x:c>
      <x:c r="I349" s="20" t="str">
        <x:v>asin_target</x:v>
      </x:c>
      <x:c r="J349" s="20" t="str">
        <x:v>asin_metadata_pending</x:v>
      </x:c>
      <x:c r="K349" s="20" t="str">
        <x:v>asin_without_metadata</x:v>
      </x:c>
      <x:c r="L349" s="20" t="str">
        <x:v>not_applicable</x:v>
      </x:c>
      <x:c r="M349" s="20" t="str">
        <x:v>non_model</x:v>
      </x:c>
      <x:c r="N349" s="20" t="str">
        <x:v>1</x:v>
      </x:c>
      <x:c r="O349" s="20" t="str">
        <x:v>1.0.0</x:v>
      </x:c>
      <x:c r="P349" s="20" t="str">
        <x:v>1.1.0</x:v>
      </x:c>
      <x:c r="Q349" s="20" t="str">
        <x:v>deepseek/deepseek-v4-pro</x:v>
      </x:c>
      <x:c r="R349" s="20" t="str">
        <x:v>aj2-y90-20260714T234810-0bea2f52</x:v>
      </x:c>
    </x:row>
    <x:row r="350" ht="28" customHeight="1">
      <x:c r="A350" s="20" t="str">
        <x:v>B092ZF7MKR</x:v>
      </x:c>
      <x:c r="B350" s="20" t="str">
        <x:v>b092zf7mkr</x:v>
      </x:c>
      <x:c r="C350" s="20" t="str">
        <x:v>773387392972e68e</x:v>
      </x:c>
      <x:c r="D350" s="20" t="str">
        <x:v>asin_target</x:v>
      </x:c>
      <x:c r="E350" s="20" t="str">
        <x:v>en</x:v>
      </x:c>
      <x:c r="F350" s="20" t="str">
        <x:v>该搜索词为 ASIN 形式，需补充商品元数据后再判断用户意图。</x:v>
      </x:c>
      <x:c r="G350" s="20" t="str">
        <x:v>unknown</x:v>
      </x:c>
      <x:c r="H350" s="20" t="str">
        <x:v>low</x:v>
      </x:c>
      <x:c r="I350" s="20" t="str">
        <x:v>asin_target</x:v>
      </x:c>
      <x:c r="J350" s="20" t="str">
        <x:v>asin_metadata_pending</x:v>
      </x:c>
      <x:c r="K350" s="20" t="str">
        <x:v>asin_without_metadata</x:v>
      </x:c>
      <x:c r="L350" s="20" t="str">
        <x:v>not_applicable</x:v>
      </x:c>
      <x:c r="M350" s="20" t="str">
        <x:v>non_model</x:v>
      </x:c>
      <x:c r="N350" s="20" t="str">
        <x:v>1</x:v>
      </x:c>
      <x:c r="O350" s="20" t="str">
        <x:v>1.0.0</x:v>
      </x:c>
      <x:c r="P350" s="20" t="str">
        <x:v>1.1.0</x:v>
      </x:c>
      <x:c r="Q350" s="20" t="str">
        <x:v>deepseek/deepseek-v4-pro</x:v>
      </x:c>
      <x:c r="R350" s="20" t="str">
        <x:v>aj2-y90-20260714T234810-0bea2f52</x:v>
      </x:c>
    </x:row>
    <x:row r="351" ht="28" customHeight="1">
      <x:c r="A351" s="20" t="str">
        <x:v>B0BKB75YFK</x:v>
      </x:c>
      <x:c r="B351" s="20" t="str">
        <x:v>b0bkb75yfk</x:v>
      </x:c>
      <x:c r="C351" s="20" t="str">
        <x:v>782d2e158cfe3de5</x:v>
      </x:c>
      <x:c r="D351" s="20" t="str">
        <x:v>asin_target</x:v>
      </x:c>
      <x:c r="E351" s="20" t="str">
        <x:v>en</x:v>
      </x:c>
      <x:c r="F351" s="20" t="str">
        <x:v>该搜索词为 ASIN 形式，需补充商品元数据后再判断用户意图。</x:v>
      </x:c>
      <x:c r="G351" s="20" t="str">
        <x:v>unknown</x:v>
      </x:c>
      <x:c r="H351" s="20" t="str">
        <x:v>low</x:v>
      </x:c>
      <x:c r="I351" s="20" t="str">
        <x:v>asin_target</x:v>
      </x:c>
      <x:c r="J351" s="20" t="str">
        <x:v>asin_metadata_pending</x:v>
      </x:c>
      <x:c r="K351" s="20" t="str">
        <x:v>asin_without_metadata</x:v>
      </x:c>
      <x:c r="L351" s="20" t="str">
        <x:v>not_applicable</x:v>
      </x:c>
      <x:c r="M351" s="20" t="str">
        <x:v>non_model</x:v>
      </x:c>
      <x:c r="N351" s="20" t="str">
        <x:v>1</x:v>
      </x:c>
      <x:c r="O351" s="20" t="str">
        <x:v>1.0.0</x:v>
      </x:c>
      <x:c r="P351" s="20" t="str">
        <x:v>1.1.0</x:v>
      </x:c>
      <x:c r="Q351" s="20" t="str">
        <x:v>deepseek/deepseek-v4-pro</x:v>
      </x:c>
      <x:c r="R351" s="20" t="str">
        <x:v>aj2-y90-20260714T234810-0bea2f52</x:v>
      </x:c>
    </x:row>
    <x:row r="352" ht="28" customHeight="1">
      <x:c r="A352" s="20" t="str">
        <x:v>B0H6FD865J</x:v>
      </x:c>
      <x:c r="B352" s="20" t="str">
        <x:v>b0h6fd865j</x:v>
      </x:c>
      <x:c r="C352" s="20" t="str">
        <x:v>7842eeac301af038</x:v>
      </x:c>
      <x:c r="D352" s="20" t="str">
        <x:v>asin_target</x:v>
      </x:c>
      <x:c r="E352" s="20" t="str">
        <x:v>en</x:v>
      </x:c>
      <x:c r="F352" s="20" t="str">
        <x:v>该搜索词为 ASIN 形式，需补充商品元数据后再判断用户意图。</x:v>
      </x:c>
      <x:c r="G352" s="20" t="str">
        <x:v>unknown</x:v>
      </x:c>
      <x:c r="H352" s="20" t="str">
        <x:v>low</x:v>
      </x:c>
      <x:c r="I352" s="20" t="str">
        <x:v>asin_target</x:v>
      </x:c>
      <x:c r="J352" s="20" t="str">
        <x:v>asin_metadata_pending</x:v>
      </x:c>
      <x:c r="K352" s="20" t="str">
        <x:v>asin_without_metadata</x:v>
      </x:c>
      <x:c r="L352" s="20" t="str">
        <x:v>not_applicable</x:v>
      </x:c>
      <x:c r="M352" s="20" t="str">
        <x:v>non_model</x:v>
      </x:c>
      <x:c r="N352" s="20" t="str">
        <x:v>1</x:v>
      </x:c>
      <x:c r="O352" s="20" t="str">
        <x:v>1.0.0</x:v>
      </x:c>
      <x:c r="P352" s="20" t="str">
        <x:v>1.1.0</x:v>
      </x:c>
      <x:c r="Q352" s="20" t="str">
        <x:v>deepseek/deepseek-v4-pro</x:v>
      </x:c>
      <x:c r="R352" s="20" t="str">
        <x:v>aj2-y90-20260714T234810-0bea2f52</x:v>
      </x:c>
    </x:row>
    <x:row r="353" ht="28" customHeight="1">
      <x:c r="A353" s="20" t="str">
        <x:v>B088BGW448</x:v>
      </x:c>
      <x:c r="B353" s="20" t="str">
        <x:v>b088bgw448</x:v>
      </x:c>
      <x:c r="C353" s="20" t="str">
        <x:v>78954b8de85f2a98</x:v>
      </x:c>
      <x:c r="D353" s="20" t="str">
        <x:v>asin_target</x:v>
      </x:c>
      <x:c r="E353" s="20" t="str">
        <x:v>en</x:v>
      </x:c>
      <x:c r="F353" s="20" t="str">
        <x:v>该搜索词为 ASIN 形式，需补充商品元数据后再判断用户意图。</x:v>
      </x:c>
      <x:c r="G353" s="20" t="str">
        <x:v>unknown</x:v>
      </x:c>
      <x:c r="H353" s="20" t="str">
        <x:v>low</x:v>
      </x:c>
      <x:c r="I353" s="20" t="str">
        <x:v>asin_target</x:v>
      </x:c>
      <x:c r="J353" s="20" t="str">
        <x:v>asin_metadata_pending</x:v>
      </x:c>
      <x:c r="K353" s="20" t="str">
        <x:v>asin_without_metadata</x:v>
      </x:c>
      <x:c r="L353" s="20" t="str">
        <x:v>not_applicable</x:v>
      </x:c>
      <x:c r="M353" s="20" t="str">
        <x:v>non_model</x:v>
      </x:c>
      <x:c r="N353" s="20" t="str">
        <x:v>1</x:v>
      </x:c>
      <x:c r="O353" s="20" t="str">
        <x:v>1.0.0</x:v>
      </x:c>
      <x:c r="P353" s="20" t="str">
        <x:v>1.1.0</x:v>
      </x:c>
      <x:c r="Q353" s="20" t="str">
        <x:v>deepseek/deepseek-v4-pro</x:v>
      </x:c>
      <x:c r="R353" s="20" t="str">
        <x:v>aj2-y90-20260714T234810-0bea2f52</x:v>
      </x:c>
    </x:row>
    <x:row r="354" ht="28" customHeight="1">
      <x:c r="A354" s="20" t="str">
        <x:v>B0DZCNNZY1</x:v>
      </x:c>
      <x:c r="B354" s="20" t="str">
        <x:v>b0dzcnnzy1</x:v>
      </x:c>
      <x:c r="C354" s="20" t="str">
        <x:v>78a4dbef98e876e2</x:v>
      </x:c>
      <x:c r="D354" s="20" t="str">
        <x:v>asin_target</x:v>
      </x:c>
      <x:c r="E354" s="20" t="str">
        <x:v>en</x:v>
      </x:c>
      <x:c r="F354" s="20" t="str">
        <x:v>该搜索词为 ASIN 形式，需补充商品元数据后再判断用户意图。</x:v>
      </x:c>
      <x:c r="G354" s="20" t="str">
        <x:v>unknown</x:v>
      </x:c>
      <x:c r="H354" s="20" t="str">
        <x:v>low</x:v>
      </x:c>
      <x:c r="I354" s="20" t="str">
        <x:v>asin_target</x:v>
      </x:c>
      <x:c r="J354" s="20" t="str">
        <x:v>asin_metadata_pending</x:v>
      </x:c>
      <x:c r="K354" s="20" t="str">
        <x:v>asin_without_metadata</x:v>
      </x:c>
      <x:c r="L354" s="20" t="str">
        <x:v>not_applicable</x:v>
      </x:c>
      <x:c r="M354" s="20" t="str">
        <x:v>non_model</x:v>
      </x:c>
      <x:c r="N354" s="20" t="str">
        <x:v>1</x:v>
      </x:c>
      <x:c r="O354" s="20" t="str">
        <x:v>1.0.0</x:v>
      </x:c>
      <x:c r="P354" s="20" t="str">
        <x:v>1.1.0</x:v>
      </x:c>
      <x:c r="Q354" s="20" t="str">
        <x:v>deepseek/deepseek-v4-pro</x:v>
      </x:c>
      <x:c r="R354" s="20" t="str">
        <x:v>aj2-y90-20260714T234810-0bea2f52</x:v>
      </x:c>
    </x:row>
    <x:row r="355" ht="28" customHeight="1">
      <x:c r="A355" s="20" t="str">
        <x:v>B0B3T7L8KL</x:v>
      </x:c>
      <x:c r="B355" s="20" t="str">
        <x:v>b0b3t7l8kl</x:v>
      </x:c>
      <x:c r="C355" s="20" t="str">
        <x:v>78e4bd44a18c3bc7</x:v>
      </x:c>
      <x:c r="D355" s="20" t="str">
        <x:v>asin_target</x:v>
      </x:c>
      <x:c r="E355" s="20" t="str">
        <x:v>en</x:v>
      </x:c>
      <x:c r="F355" s="20" t="str">
        <x:v>该搜索词为 ASIN 形式，需补充商品元数据后再判断用户意图。</x:v>
      </x:c>
      <x:c r="G355" s="20" t="str">
        <x:v>unknown</x:v>
      </x:c>
      <x:c r="H355" s="20" t="str">
        <x:v>low</x:v>
      </x:c>
      <x:c r="I355" s="20" t="str">
        <x:v>asin_target</x:v>
      </x:c>
      <x:c r="J355" s="20" t="str">
        <x:v>asin_metadata_pending</x:v>
      </x:c>
      <x:c r="K355" s="20" t="str">
        <x:v>asin_without_metadata</x:v>
      </x:c>
      <x:c r="L355" s="20" t="str">
        <x:v>not_applicable</x:v>
      </x:c>
      <x:c r="M355" s="20" t="str">
        <x:v>non_model</x:v>
      </x:c>
      <x:c r="N355" s="20" t="str">
        <x:v>1</x:v>
      </x:c>
      <x:c r="O355" s="20" t="str">
        <x:v>1.0.0</x:v>
      </x:c>
      <x:c r="P355" s="20" t="str">
        <x:v>1.1.0</x:v>
      </x:c>
      <x:c r="Q355" s="20" t="str">
        <x:v>deepseek/deepseek-v4-pro</x:v>
      </x:c>
      <x:c r="R355" s="20" t="str">
        <x:v>aj2-y90-20260714T234810-0bea2f52</x:v>
      </x:c>
    </x:row>
    <x:row r="356" ht="28" customHeight="1">
      <x:c r="A356" s="20" t="str">
        <x:v>B0GTZ9JKCM</x:v>
      </x:c>
      <x:c r="B356" s="20" t="str">
        <x:v>b0gtz9jkcm</x:v>
      </x:c>
      <x:c r="C356" s="20" t="str">
        <x:v>78f61e236c5d2851</x:v>
      </x:c>
      <x:c r="D356" s="20" t="str">
        <x:v>asin_target</x:v>
      </x:c>
      <x:c r="E356" s="20" t="str">
        <x:v>en</x:v>
      </x:c>
      <x:c r="F356" s="20" t="str">
        <x:v>该搜索词为 ASIN 形式，需补充商品元数据后再判断用户意图。</x:v>
      </x:c>
      <x:c r="G356" s="20" t="str">
        <x:v>unknown</x:v>
      </x:c>
      <x:c r="H356" s="20" t="str">
        <x:v>low</x:v>
      </x:c>
      <x:c r="I356" s="20" t="str">
        <x:v>asin_target</x:v>
      </x:c>
      <x:c r="J356" s="20" t="str">
        <x:v>asin_metadata_pending</x:v>
      </x:c>
      <x:c r="K356" s="20" t="str">
        <x:v>asin_without_metadata</x:v>
      </x:c>
      <x:c r="L356" s="20" t="str">
        <x:v>not_applicable</x:v>
      </x:c>
      <x:c r="M356" s="20" t="str">
        <x:v>non_model</x:v>
      </x:c>
      <x:c r="N356" s="20" t="str">
        <x:v>1</x:v>
      </x:c>
      <x:c r="O356" s="20" t="str">
        <x:v>1.0.0</x:v>
      </x:c>
      <x:c r="P356" s="20" t="str">
        <x:v>1.1.0</x:v>
      </x:c>
      <x:c r="Q356" s="20" t="str">
        <x:v>deepseek/deepseek-v4-pro</x:v>
      </x:c>
      <x:c r="R356" s="20" t="str">
        <x:v>aj2-y90-20260714T234810-0bea2f52</x:v>
      </x:c>
    </x:row>
    <x:row r="357" ht="28" customHeight="1">
      <x:c r="A357" s="20" t="str">
        <x:v>B097HS6R87</x:v>
      </x:c>
      <x:c r="B357" s="20" t="str">
        <x:v>b097hs6r87</x:v>
      </x:c>
      <x:c r="C357" s="20" t="str">
        <x:v>78fb3b4fe689e356</x:v>
      </x:c>
      <x:c r="D357" s="20" t="str">
        <x:v>asin_target</x:v>
      </x:c>
      <x:c r="E357" s="20" t="str">
        <x:v>en</x:v>
      </x:c>
      <x:c r="F357" s="20" t="str">
        <x:v>该搜索词为 ASIN 形式，需补充商品元数据后再判断用户意图。</x:v>
      </x:c>
      <x:c r="G357" s="20" t="str">
        <x:v>unknown</x:v>
      </x:c>
      <x:c r="H357" s="20" t="str">
        <x:v>low</x:v>
      </x:c>
      <x:c r="I357" s="20" t="str">
        <x:v>asin_target</x:v>
      </x:c>
      <x:c r="J357" s="20" t="str">
        <x:v>asin_metadata_pending</x:v>
      </x:c>
      <x:c r="K357" s="20" t="str">
        <x:v>asin_without_metadata</x:v>
      </x:c>
      <x:c r="L357" s="20" t="str">
        <x:v>not_applicable</x:v>
      </x:c>
      <x:c r="M357" s="20" t="str">
        <x:v>non_model</x:v>
      </x:c>
      <x:c r="N357" s="20" t="str">
        <x:v>1</x:v>
      </x:c>
      <x:c r="O357" s="20" t="str">
        <x:v>1.0.0</x:v>
      </x:c>
      <x:c r="P357" s="20" t="str">
        <x:v>1.1.0</x:v>
      </x:c>
      <x:c r="Q357" s="20" t="str">
        <x:v>deepseek/deepseek-v4-pro</x:v>
      </x:c>
      <x:c r="R357" s="20" t="str">
        <x:v>aj2-y90-20260714T234810-0bea2f52</x:v>
      </x:c>
    </x:row>
    <x:row r="358" ht="28" customHeight="1">
      <x:c r="A358" s="20" t="str">
        <x:v>B0GKCXZ16T</x:v>
      </x:c>
      <x:c r="B358" s="20" t="str">
        <x:v>b0gkcxz16t</x:v>
      </x:c>
      <x:c r="C358" s="20" t="str">
        <x:v>795653e6fe761057</x:v>
      </x:c>
      <x:c r="D358" s="20" t="str">
        <x:v>asin_target</x:v>
      </x:c>
      <x:c r="E358" s="20" t="str">
        <x:v>en</x:v>
      </x:c>
      <x:c r="F358" s="20" t="str">
        <x:v>该搜索词为 ASIN 形式，需补充商品元数据后再判断用户意图。</x:v>
      </x:c>
      <x:c r="G358" s="20" t="str">
        <x:v>unknown</x:v>
      </x:c>
      <x:c r="H358" s="20" t="str">
        <x:v>low</x:v>
      </x:c>
      <x:c r="I358" s="20" t="str">
        <x:v>asin_target</x:v>
      </x:c>
      <x:c r="J358" s="20" t="str">
        <x:v>asin_metadata_pending</x:v>
      </x:c>
      <x:c r="K358" s="20" t="str">
        <x:v>asin_without_metadata</x:v>
      </x:c>
      <x:c r="L358" s="20" t="str">
        <x:v>not_applicable</x:v>
      </x:c>
      <x:c r="M358" s="20" t="str">
        <x:v>non_model</x:v>
      </x:c>
      <x:c r="N358" s="20" t="str">
        <x:v>1</x:v>
      </x:c>
      <x:c r="O358" s="20" t="str">
        <x:v>1.0.0</x:v>
      </x:c>
      <x:c r="P358" s="20" t="str">
        <x:v>1.1.0</x:v>
      </x:c>
      <x:c r="Q358" s="20" t="str">
        <x:v>deepseek/deepseek-v4-pro</x:v>
      </x:c>
      <x:c r="R358" s="20" t="str">
        <x:v>aj2-y90-20260714T234810-0bea2f52</x:v>
      </x:c>
    </x:row>
    <x:row r="359" ht="28" customHeight="1">
      <x:c r="A359" s="20" t="str">
        <x:v>B0B4G1T162</x:v>
      </x:c>
      <x:c r="B359" s="20" t="str">
        <x:v>b0b4g1t162</x:v>
      </x:c>
      <x:c r="C359" s="20" t="str">
        <x:v>795b7e50b262251e</x:v>
      </x:c>
      <x:c r="D359" s="20" t="str">
        <x:v>asin_target</x:v>
      </x:c>
      <x:c r="E359" s="20" t="str">
        <x:v>en</x:v>
      </x:c>
      <x:c r="F359" s="20" t="str">
        <x:v>该搜索词为 ASIN 形式，需补充商品元数据后再判断用户意图。</x:v>
      </x:c>
      <x:c r="G359" s="20" t="str">
        <x:v>unknown</x:v>
      </x:c>
      <x:c r="H359" s="20" t="str">
        <x:v>low</x:v>
      </x:c>
      <x:c r="I359" s="20" t="str">
        <x:v>asin_target</x:v>
      </x:c>
      <x:c r="J359" s="20" t="str">
        <x:v>asin_metadata_pending</x:v>
      </x:c>
      <x:c r="K359" s="20" t="str">
        <x:v>asin_without_metadata</x:v>
      </x:c>
      <x:c r="L359" s="20" t="str">
        <x:v>not_applicable</x:v>
      </x:c>
      <x:c r="M359" s="20" t="str">
        <x:v>non_model</x:v>
      </x:c>
      <x:c r="N359" s="20" t="str">
        <x:v>1</x:v>
      </x:c>
      <x:c r="O359" s="20" t="str">
        <x:v>1.0.0</x:v>
      </x:c>
      <x:c r="P359" s="20" t="str">
        <x:v>1.1.0</x:v>
      </x:c>
      <x:c r="Q359" s="20" t="str">
        <x:v>deepseek/deepseek-v4-pro</x:v>
      </x:c>
      <x:c r="R359" s="20" t="str">
        <x:v>aj2-y90-20260714T234810-0bea2f52</x:v>
      </x:c>
    </x:row>
    <x:row r="360" ht="28" customHeight="1">
      <x:c r="A360" s="20" t="str">
        <x:v>B0F85TX734</x:v>
      </x:c>
      <x:c r="B360" s="20" t="str">
        <x:v>b0f85tx734</x:v>
      </x:c>
      <x:c r="C360" s="20" t="str">
        <x:v>7bd9bfaa05ae4303</x:v>
      </x:c>
      <x:c r="D360" s="20" t="str">
        <x:v>asin_target</x:v>
      </x:c>
      <x:c r="E360" s="20" t="str">
        <x:v>en</x:v>
      </x:c>
      <x:c r="F360" s="20" t="str">
        <x:v>该搜索词为 ASIN 形式，需补充商品元数据后再判断用户意图。</x:v>
      </x:c>
      <x:c r="G360" s="20" t="str">
        <x:v>unknown</x:v>
      </x:c>
      <x:c r="H360" s="20" t="str">
        <x:v>low</x:v>
      </x:c>
      <x:c r="I360" s="20" t="str">
        <x:v>asin_target</x:v>
      </x:c>
      <x:c r="J360" s="20" t="str">
        <x:v>asin_metadata_pending</x:v>
      </x:c>
      <x:c r="K360" s="20" t="str">
        <x:v>asin_without_metadata</x:v>
      </x:c>
      <x:c r="L360" s="20" t="str">
        <x:v>not_applicable</x:v>
      </x:c>
      <x:c r="M360" s="20" t="str">
        <x:v>non_model</x:v>
      </x:c>
      <x:c r="N360" s="20" t="str">
        <x:v>1</x:v>
      </x:c>
      <x:c r="O360" s="20" t="str">
        <x:v>1.0.0</x:v>
      </x:c>
      <x:c r="P360" s="20" t="str">
        <x:v>1.1.0</x:v>
      </x:c>
      <x:c r="Q360" s="20" t="str">
        <x:v>deepseek/deepseek-v4-pro</x:v>
      </x:c>
      <x:c r="R360" s="20" t="str">
        <x:v>aj2-y90-20260714T234810-0bea2f52</x:v>
      </x:c>
    </x:row>
    <x:row r="361" ht="28" customHeight="1">
      <x:c r="A361" s="20" t="str">
        <x:v>B0BKBXVDLC</x:v>
      </x:c>
      <x:c r="B361" s="20" t="str">
        <x:v>b0bkbxvdlc</x:v>
      </x:c>
      <x:c r="C361" s="20" t="str">
        <x:v>7bf9abbac87c2e0f</x:v>
      </x:c>
      <x:c r="D361" s="20" t="str">
        <x:v>asin_target</x:v>
      </x:c>
      <x:c r="E361" s="20" t="str">
        <x:v>en</x:v>
      </x:c>
      <x:c r="F361" s="20" t="str">
        <x:v>该搜索词为 ASIN 形式，需补充商品元数据后再判断用户意图。</x:v>
      </x:c>
      <x:c r="G361" s="20" t="str">
        <x:v>unknown</x:v>
      </x:c>
      <x:c r="H361" s="20" t="str">
        <x:v>low</x:v>
      </x:c>
      <x:c r="I361" s="20" t="str">
        <x:v>asin_target</x:v>
      </x:c>
      <x:c r="J361" s="20" t="str">
        <x:v>asin_metadata_pending</x:v>
      </x:c>
      <x:c r="K361" s="20" t="str">
        <x:v>asin_without_metadata</x:v>
      </x:c>
      <x:c r="L361" s="20" t="str">
        <x:v>not_applicable</x:v>
      </x:c>
      <x:c r="M361" s="20" t="str">
        <x:v>non_model</x:v>
      </x:c>
      <x:c r="N361" s="20" t="str">
        <x:v>1</x:v>
      </x:c>
      <x:c r="O361" s="20" t="str">
        <x:v>1.0.0</x:v>
      </x:c>
      <x:c r="P361" s="20" t="str">
        <x:v>1.1.0</x:v>
      </x:c>
      <x:c r="Q361" s="20" t="str">
        <x:v>deepseek/deepseek-v4-pro</x:v>
      </x:c>
      <x:c r="R361" s="20" t="str">
        <x:v>aj2-y90-20260714T234810-0bea2f52</x:v>
      </x:c>
    </x:row>
    <x:row r="362" ht="28" customHeight="1">
      <x:c r="A362" s="20" t="str">
        <x:v>B0GMQJV95K</x:v>
      </x:c>
      <x:c r="B362" s="20" t="str">
        <x:v>b0gmqjv95k</x:v>
      </x:c>
      <x:c r="C362" s="20" t="str">
        <x:v>7c06c9f1fadc8070</x:v>
      </x:c>
      <x:c r="D362" s="20" t="str">
        <x:v>asin_target</x:v>
      </x:c>
      <x:c r="E362" s="20" t="str">
        <x:v>en</x:v>
      </x:c>
      <x:c r="F362" s="20" t="str">
        <x:v>该搜索词为 ASIN 形式，需补充商品元数据后再判断用户意图。</x:v>
      </x:c>
      <x:c r="G362" s="20" t="str">
        <x:v>unknown</x:v>
      </x:c>
      <x:c r="H362" s="20" t="str">
        <x:v>low</x:v>
      </x:c>
      <x:c r="I362" s="20" t="str">
        <x:v>asin_target</x:v>
      </x:c>
      <x:c r="J362" s="20" t="str">
        <x:v>asin_metadata_pending</x:v>
      </x:c>
      <x:c r="K362" s="20" t="str">
        <x:v>asin_without_metadata</x:v>
      </x:c>
      <x:c r="L362" s="20" t="str">
        <x:v>not_applicable</x:v>
      </x:c>
      <x:c r="M362" s="20" t="str">
        <x:v>non_model</x:v>
      </x:c>
      <x:c r="N362" s="20" t="str">
        <x:v>1</x:v>
      </x:c>
      <x:c r="O362" s="20" t="str">
        <x:v>1.0.0</x:v>
      </x:c>
      <x:c r="P362" s="20" t="str">
        <x:v>1.1.0</x:v>
      </x:c>
      <x:c r="Q362" s="20" t="str">
        <x:v>deepseek/deepseek-v4-pro</x:v>
      </x:c>
      <x:c r="R362" s="20" t="str">
        <x:v>aj2-y90-20260714T234810-0bea2f52</x:v>
      </x:c>
    </x:row>
    <x:row r="363" ht="28" customHeight="1">
      <x:c r="A363" s="20" t="str">
        <x:v>B0F4Q68Q7N</x:v>
      </x:c>
      <x:c r="B363" s="20" t="str">
        <x:v>b0f4q68q7n</x:v>
      </x:c>
      <x:c r="C363" s="20" t="str">
        <x:v>7c308f0f2fc92fbd</x:v>
      </x:c>
      <x:c r="D363" s="20" t="str">
        <x:v>asin_target</x:v>
      </x:c>
      <x:c r="E363" s="20" t="str">
        <x:v>en</x:v>
      </x:c>
      <x:c r="F363" s="20" t="str">
        <x:v>该搜索词为 ASIN 形式，需补充商品元数据后再判断用户意图。</x:v>
      </x:c>
      <x:c r="G363" s="20" t="str">
        <x:v>unknown</x:v>
      </x:c>
      <x:c r="H363" s="20" t="str">
        <x:v>low</x:v>
      </x:c>
      <x:c r="I363" s="20" t="str">
        <x:v>asin_target</x:v>
      </x:c>
      <x:c r="J363" s="20" t="str">
        <x:v>asin_metadata_pending</x:v>
      </x:c>
      <x:c r="K363" s="20" t="str">
        <x:v>asin_without_metadata</x:v>
      </x:c>
      <x:c r="L363" s="20" t="str">
        <x:v>not_applicable</x:v>
      </x:c>
      <x:c r="M363" s="20" t="str">
        <x:v>non_model</x:v>
      </x:c>
      <x:c r="N363" s="20" t="str">
        <x:v>1</x:v>
      </x:c>
      <x:c r="O363" s="20" t="str">
        <x:v>1.0.0</x:v>
      </x:c>
      <x:c r="P363" s="20" t="str">
        <x:v>1.1.0</x:v>
      </x:c>
      <x:c r="Q363" s="20" t="str">
        <x:v>deepseek/deepseek-v4-pro</x:v>
      </x:c>
      <x:c r="R363" s="20" t="str">
        <x:v>aj2-y90-20260714T234810-0bea2f52</x:v>
      </x:c>
    </x:row>
    <x:row r="364" ht="28" customHeight="1">
      <x:c r="A364" s="20" t="str">
        <x:v>B09NB9C43N</x:v>
      </x:c>
      <x:c r="B364" s="20" t="str">
        <x:v>b09nb9c43n</x:v>
      </x:c>
      <x:c r="C364" s="20" t="str">
        <x:v>7c4090cbcfff23f9</x:v>
      </x:c>
      <x:c r="D364" s="20" t="str">
        <x:v>asin_target</x:v>
      </x:c>
      <x:c r="E364" s="20" t="str">
        <x:v>en</x:v>
      </x:c>
      <x:c r="F364" s="20" t="str">
        <x:v>该搜索词为 ASIN 形式，需补充商品元数据后再判断用户意图。</x:v>
      </x:c>
      <x:c r="G364" s="20" t="str">
        <x:v>unknown</x:v>
      </x:c>
      <x:c r="H364" s="20" t="str">
        <x:v>low</x:v>
      </x:c>
      <x:c r="I364" s="20" t="str">
        <x:v>asin_target</x:v>
      </x:c>
      <x:c r="J364" s="20" t="str">
        <x:v>asin_metadata_pending</x:v>
      </x:c>
      <x:c r="K364" s="20" t="str">
        <x:v>asin_without_metadata</x:v>
      </x:c>
      <x:c r="L364" s="20" t="str">
        <x:v>not_applicable</x:v>
      </x:c>
      <x:c r="M364" s="20" t="str">
        <x:v>non_model</x:v>
      </x:c>
      <x:c r="N364" s="20" t="str">
        <x:v>1</x:v>
      </x:c>
      <x:c r="O364" s="20" t="str">
        <x:v>1.0.0</x:v>
      </x:c>
      <x:c r="P364" s="20" t="str">
        <x:v>1.1.0</x:v>
      </x:c>
      <x:c r="Q364" s="20" t="str">
        <x:v>deepseek/deepseek-v4-pro</x:v>
      </x:c>
      <x:c r="R364" s="20" t="str">
        <x:v>aj2-y90-20260714T234810-0bea2f52</x:v>
      </x:c>
    </x:row>
    <x:row r="365" ht="28" customHeight="1">
      <x:c r="A365" s="20" t="str">
        <x:v>B0GGR2C5W2</x:v>
      </x:c>
      <x:c r="B365" s="20" t="str">
        <x:v>b0ggr2c5w2</x:v>
      </x:c>
      <x:c r="C365" s="20" t="str">
        <x:v>7c882c97d06ea759</x:v>
      </x:c>
      <x:c r="D365" s="20" t="str">
        <x:v>asin_target</x:v>
      </x:c>
      <x:c r="E365" s="20" t="str">
        <x:v>en</x:v>
      </x:c>
      <x:c r="F365" s="20" t="str">
        <x:v>该搜索词为 ASIN 形式，需补充商品元数据后再判断用户意图。</x:v>
      </x:c>
      <x:c r="G365" s="20" t="str">
        <x:v>unknown</x:v>
      </x:c>
      <x:c r="H365" s="20" t="str">
        <x:v>low</x:v>
      </x:c>
      <x:c r="I365" s="20" t="str">
        <x:v>asin_target</x:v>
      </x:c>
      <x:c r="J365" s="20" t="str">
        <x:v>asin_metadata_pending</x:v>
      </x:c>
      <x:c r="K365" s="20" t="str">
        <x:v>asin_without_metadata</x:v>
      </x:c>
      <x:c r="L365" s="20" t="str">
        <x:v>not_applicable</x:v>
      </x:c>
      <x:c r="M365" s="20" t="str">
        <x:v>non_model</x:v>
      </x:c>
      <x:c r="N365" s="20" t="str">
        <x:v>1</x:v>
      </x:c>
      <x:c r="O365" s="20" t="str">
        <x:v>1.0.0</x:v>
      </x:c>
      <x:c r="P365" s="20" t="str">
        <x:v>1.1.0</x:v>
      </x:c>
      <x:c r="Q365" s="20" t="str">
        <x:v>deepseek/deepseek-v4-pro</x:v>
      </x:c>
      <x:c r="R365" s="20" t="str">
        <x:v>aj2-y90-20260714T234810-0bea2f52</x:v>
      </x:c>
    </x:row>
    <x:row r="366" ht="28" customHeight="1">
      <x:c r="A366" s="20" t="str">
        <x:v>B0D8L3MCHC</x:v>
      </x:c>
      <x:c r="B366" s="20" t="str">
        <x:v>b0d8l3mchc</x:v>
      </x:c>
      <x:c r="C366" s="20" t="str">
        <x:v>7d21676284f8cb23</x:v>
      </x:c>
      <x:c r="D366" s="20" t="str">
        <x:v>asin_target</x:v>
      </x:c>
      <x:c r="E366" s="20" t="str">
        <x:v>en</x:v>
      </x:c>
      <x:c r="F366" s="20" t="str">
        <x:v>该搜索词为 ASIN 形式，需补充商品元数据后再判断用户意图。</x:v>
      </x:c>
      <x:c r="G366" s="20" t="str">
        <x:v>unknown</x:v>
      </x:c>
      <x:c r="H366" s="20" t="str">
        <x:v>low</x:v>
      </x:c>
      <x:c r="I366" s="20" t="str">
        <x:v>asin_target</x:v>
      </x:c>
      <x:c r="J366" s="20" t="str">
        <x:v>asin_metadata_pending</x:v>
      </x:c>
      <x:c r="K366" s="20" t="str">
        <x:v>asin_without_metadata</x:v>
      </x:c>
      <x:c r="L366" s="20" t="str">
        <x:v>not_applicable</x:v>
      </x:c>
      <x:c r="M366" s="20" t="str">
        <x:v>non_model</x:v>
      </x:c>
      <x:c r="N366" s="20" t="str">
        <x:v>1</x:v>
      </x:c>
      <x:c r="O366" s="20" t="str">
        <x:v>1.0.0</x:v>
      </x:c>
      <x:c r="P366" s="20" t="str">
        <x:v>1.1.0</x:v>
      </x:c>
      <x:c r="Q366" s="20" t="str">
        <x:v>deepseek/deepseek-v4-pro</x:v>
      </x:c>
      <x:c r="R366" s="20" t="str">
        <x:v>aj2-y90-20260714T234810-0bea2f52</x:v>
      </x:c>
    </x:row>
    <x:row r="367" ht="28" customHeight="1">
      <x:c r="A367" s="20" t="str">
        <x:v>B0FKTRNCNH</x:v>
      </x:c>
      <x:c r="B367" s="20" t="str">
        <x:v>b0fktrncnh</x:v>
      </x:c>
      <x:c r="C367" s="20" t="str">
        <x:v>7d7f675f677a25b5</x:v>
      </x:c>
      <x:c r="D367" s="20" t="str">
        <x:v>asin_target</x:v>
      </x:c>
      <x:c r="E367" s="20" t="str">
        <x:v>en</x:v>
      </x:c>
      <x:c r="F367" s="20" t="str">
        <x:v>该搜索词为 ASIN 形式，需补充商品元数据后再判断用户意图。</x:v>
      </x:c>
      <x:c r="G367" s="20" t="str">
        <x:v>unknown</x:v>
      </x:c>
      <x:c r="H367" s="20" t="str">
        <x:v>low</x:v>
      </x:c>
      <x:c r="I367" s="20" t="str">
        <x:v>asin_target</x:v>
      </x:c>
      <x:c r="J367" s="20" t="str">
        <x:v>asin_metadata_pending</x:v>
      </x:c>
      <x:c r="K367" s="20" t="str">
        <x:v>asin_without_metadata</x:v>
      </x:c>
      <x:c r="L367" s="20" t="str">
        <x:v>not_applicable</x:v>
      </x:c>
      <x:c r="M367" s="20" t="str">
        <x:v>non_model</x:v>
      </x:c>
      <x:c r="N367" s="20" t="str">
        <x:v>1</x:v>
      </x:c>
      <x:c r="O367" s="20" t="str">
        <x:v>1.0.0</x:v>
      </x:c>
      <x:c r="P367" s="20" t="str">
        <x:v>1.1.0</x:v>
      </x:c>
      <x:c r="Q367" s="20" t="str">
        <x:v>deepseek/deepseek-v4-pro</x:v>
      </x:c>
      <x:c r="R367" s="20" t="str">
        <x:v>aj2-y90-20260714T234810-0bea2f52</x:v>
      </x:c>
    </x:row>
    <x:row r="368" ht="28" customHeight="1">
      <x:c r="A368" s="20" t="str">
        <x:v>B010123AFI</x:v>
      </x:c>
      <x:c r="B368" s="20" t="str">
        <x:v>b010123afi</x:v>
      </x:c>
      <x:c r="C368" s="20" t="str">
        <x:v>7def7083eb18ccbd</x:v>
      </x:c>
      <x:c r="D368" s="20" t="str">
        <x:v>asin_target</x:v>
      </x:c>
      <x:c r="E368" s="20" t="str">
        <x:v>en</x:v>
      </x:c>
      <x:c r="F368" s="20" t="str">
        <x:v>该搜索词为 ASIN 形式，需补充商品元数据后再判断用户意图。</x:v>
      </x:c>
      <x:c r="G368" s="20" t="str">
        <x:v>unknown</x:v>
      </x:c>
      <x:c r="H368" s="20" t="str">
        <x:v>low</x:v>
      </x:c>
      <x:c r="I368" s="20" t="str">
        <x:v>asin_target</x:v>
      </x:c>
      <x:c r="J368" s="20" t="str">
        <x:v>asin_metadata_pending</x:v>
      </x:c>
      <x:c r="K368" s="20" t="str">
        <x:v>asin_without_metadata</x:v>
      </x:c>
      <x:c r="L368" s="20" t="str">
        <x:v>not_applicable</x:v>
      </x:c>
      <x:c r="M368" s="20" t="str">
        <x:v>non_model</x:v>
      </x:c>
      <x:c r="N368" s="20" t="str">
        <x:v>1</x:v>
      </x:c>
      <x:c r="O368" s="20" t="str">
        <x:v>1.0.0</x:v>
      </x:c>
      <x:c r="P368" s="20" t="str">
        <x:v>1.1.0</x:v>
      </x:c>
      <x:c r="Q368" s="20" t="str">
        <x:v>deepseek/deepseek-v4-pro</x:v>
      </x:c>
      <x:c r="R368" s="20" t="str">
        <x:v>aj2-y90-20260714T234810-0bea2f52</x:v>
      </x:c>
    </x:row>
    <x:row r="369" ht="28" customHeight="1">
      <x:c r="A369" s="20" t="str">
        <x:v>B0FC28GT31</x:v>
      </x:c>
      <x:c r="B369" s="20" t="str">
        <x:v>b0fc28gt31</x:v>
      </x:c>
      <x:c r="C369" s="20" t="str">
        <x:v>7e6494512e8c98f7</x:v>
      </x:c>
      <x:c r="D369" s="20" t="str">
        <x:v>asin_target</x:v>
      </x:c>
      <x:c r="E369" s="20" t="str">
        <x:v>en</x:v>
      </x:c>
      <x:c r="F369" s="20" t="str">
        <x:v>该搜索词为 ASIN 形式，需补充商品元数据后再判断用户意图。</x:v>
      </x:c>
      <x:c r="G369" s="20" t="str">
        <x:v>unknown</x:v>
      </x:c>
      <x:c r="H369" s="20" t="str">
        <x:v>low</x:v>
      </x:c>
      <x:c r="I369" s="20" t="str">
        <x:v>asin_target</x:v>
      </x:c>
      <x:c r="J369" s="20" t="str">
        <x:v>asin_metadata_pending</x:v>
      </x:c>
      <x:c r="K369" s="20" t="str">
        <x:v>asin_without_metadata</x:v>
      </x:c>
      <x:c r="L369" s="20" t="str">
        <x:v>not_applicable</x:v>
      </x:c>
      <x:c r="M369" s="20" t="str">
        <x:v>non_model</x:v>
      </x:c>
      <x:c r="N369" s="20" t="str">
        <x:v>2</x:v>
      </x:c>
      <x:c r="O369" s="20" t="str">
        <x:v>1.0.0</x:v>
      </x:c>
      <x:c r="P369" s="20" t="str">
        <x:v>1.1.0</x:v>
      </x:c>
      <x:c r="Q369" s="20" t="str">
        <x:v>deepseek/deepseek-v4-pro</x:v>
      </x:c>
      <x:c r="R369" s="20" t="str">
        <x:v>aj2-y90-20260714T234810-0bea2f52</x:v>
      </x:c>
    </x:row>
    <x:row r="370" ht="28" customHeight="1">
      <x:c r="A370" s="20" t="str">
        <x:v>B0GGR16D3G</x:v>
      </x:c>
      <x:c r="B370" s="20" t="str">
        <x:v>b0ggr16d3g</x:v>
      </x:c>
      <x:c r="C370" s="20" t="str">
        <x:v>7e991f2d4b01e277</x:v>
      </x:c>
      <x:c r="D370" s="20" t="str">
        <x:v>asin_target</x:v>
      </x:c>
      <x:c r="E370" s="20" t="str">
        <x:v>en</x:v>
      </x:c>
      <x:c r="F370" s="20" t="str">
        <x:v>该搜索词为 ASIN 形式，需补充商品元数据后再判断用户意图。</x:v>
      </x:c>
      <x:c r="G370" s="20" t="str">
        <x:v>unknown</x:v>
      </x:c>
      <x:c r="H370" s="20" t="str">
        <x:v>low</x:v>
      </x:c>
      <x:c r="I370" s="20" t="str">
        <x:v>asin_target</x:v>
      </x:c>
      <x:c r="J370" s="20" t="str">
        <x:v>asin_metadata_pending</x:v>
      </x:c>
      <x:c r="K370" s="20" t="str">
        <x:v>asin_without_metadata</x:v>
      </x:c>
      <x:c r="L370" s="20" t="str">
        <x:v>not_applicable</x:v>
      </x:c>
      <x:c r="M370" s="20" t="str">
        <x:v>non_model</x:v>
      </x:c>
      <x:c r="N370" s="20" t="str">
        <x:v>1</x:v>
      </x:c>
      <x:c r="O370" s="20" t="str">
        <x:v>1.0.0</x:v>
      </x:c>
      <x:c r="P370" s="20" t="str">
        <x:v>1.1.0</x:v>
      </x:c>
      <x:c r="Q370" s="20" t="str">
        <x:v>deepseek/deepseek-v4-pro</x:v>
      </x:c>
      <x:c r="R370" s="20" t="str">
        <x:v>aj2-y90-20260714T234810-0bea2f52</x:v>
      </x:c>
    </x:row>
    <x:row r="371" ht="28" customHeight="1">
      <x:c r="A371" s="20" t="str">
        <x:v>B0G64H4GZ2</x:v>
      </x:c>
      <x:c r="B371" s="20" t="str">
        <x:v>b0g64h4gz2</x:v>
      </x:c>
      <x:c r="C371" s="20" t="str">
        <x:v>7eb7fb7162402928</x:v>
      </x:c>
      <x:c r="D371" s="20" t="str">
        <x:v>asin_target</x:v>
      </x:c>
      <x:c r="E371" s="20" t="str">
        <x:v>en</x:v>
      </x:c>
      <x:c r="F371" s="20" t="str">
        <x:v>该搜索词为 ASIN 形式，需补充商品元数据后再判断用户意图。</x:v>
      </x:c>
      <x:c r="G371" s="20" t="str">
        <x:v>unknown</x:v>
      </x:c>
      <x:c r="H371" s="20" t="str">
        <x:v>low</x:v>
      </x:c>
      <x:c r="I371" s="20" t="str">
        <x:v>asin_target</x:v>
      </x:c>
      <x:c r="J371" s="20" t="str">
        <x:v>asin_metadata_pending</x:v>
      </x:c>
      <x:c r="K371" s="20" t="str">
        <x:v>asin_without_metadata</x:v>
      </x:c>
      <x:c r="L371" s="20" t="str">
        <x:v>not_applicable</x:v>
      </x:c>
      <x:c r="M371" s="20" t="str">
        <x:v>non_model</x:v>
      </x:c>
      <x:c r="N371" s="20" t="str">
        <x:v>1</x:v>
      </x:c>
      <x:c r="O371" s="20" t="str">
        <x:v>1.0.0</x:v>
      </x:c>
      <x:c r="P371" s="20" t="str">
        <x:v>1.1.0</x:v>
      </x:c>
      <x:c r="Q371" s="20" t="str">
        <x:v>deepseek/deepseek-v4-pro</x:v>
      </x:c>
      <x:c r="R371" s="20" t="str">
        <x:v>aj2-y90-20260714T234810-0bea2f52</x:v>
      </x:c>
    </x:row>
    <x:row r="372" ht="28" customHeight="1">
      <x:c r="A372" s="20" t="str">
        <x:v>B0D1JSLQKW</x:v>
      </x:c>
      <x:c r="B372" s="20" t="str">
        <x:v>b0d1jslqkw</x:v>
      </x:c>
      <x:c r="C372" s="20" t="str">
        <x:v>7ecc1038c3132a1c</x:v>
      </x:c>
      <x:c r="D372" s="20" t="str">
        <x:v>asin_target</x:v>
      </x:c>
      <x:c r="E372" s="20" t="str">
        <x:v>en</x:v>
      </x:c>
      <x:c r="F372" s="20" t="str">
        <x:v>该搜索词为 ASIN 形式，需补充商品元数据后再判断用户意图。</x:v>
      </x:c>
      <x:c r="G372" s="20" t="str">
        <x:v>unknown</x:v>
      </x:c>
      <x:c r="H372" s="20" t="str">
        <x:v>low</x:v>
      </x:c>
      <x:c r="I372" s="20" t="str">
        <x:v>asin_target</x:v>
      </x:c>
      <x:c r="J372" s="20" t="str">
        <x:v>asin_metadata_pending</x:v>
      </x:c>
      <x:c r="K372" s="20" t="str">
        <x:v>asin_without_metadata</x:v>
      </x:c>
      <x:c r="L372" s="20" t="str">
        <x:v>not_applicable</x:v>
      </x:c>
      <x:c r="M372" s="20" t="str">
        <x:v>non_model</x:v>
      </x:c>
      <x:c r="N372" s="20" t="str">
        <x:v>1</x:v>
      </x:c>
      <x:c r="O372" s="20" t="str">
        <x:v>1.0.0</x:v>
      </x:c>
      <x:c r="P372" s="20" t="str">
        <x:v>1.1.0</x:v>
      </x:c>
      <x:c r="Q372" s="20" t="str">
        <x:v>deepseek/deepseek-v4-pro</x:v>
      </x:c>
      <x:c r="R372" s="20" t="str">
        <x:v>aj2-y90-20260714T234810-0bea2f52</x:v>
      </x:c>
    </x:row>
    <x:row r="373" ht="28" customHeight="1">
      <x:c r="A373" s="20" t="str">
        <x:v>B0G47QFL2X</x:v>
      </x:c>
      <x:c r="B373" s="20" t="str">
        <x:v>b0g47qfl2x</x:v>
      </x:c>
      <x:c r="C373" s="20" t="str">
        <x:v>809aed51bab26d04</x:v>
      </x:c>
      <x:c r="D373" s="20" t="str">
        <x:v>asin_target</x:v>
      </x:c>
      <x:c r="E373" s="20" t="str">
        <x:v>en</x:v>
      </x:c>
      <x:c r="F373" s="20" t="str">
        <x:v>该搜索词为 ASIN 形式，需补充商品元数据后再判断用户意图。</x:v>
      </x:c>
      <x:c r="G373" s="20" t="str">
        <x:v>unknown</x:v>
      </x:c>
      <x:c r="H373" s="20" t="str">
        <x:v>low</x:v>
      </x:c>
      <x:c r="I373" s="20" t="str">
        <x:v>asin_target</x:v>
      </x:c>
      <x:c r="J373" s="20" t="str">
        <x:v>asin_metadata_pending</x:v>
      </x:c>
      <x:c r="K373" s="20" t="str">
        <x:v>asin_without_metadata</x:v>
      </x:c>
      <x:c r="L373" s="20" t="str">
        <x:v>not_applicable</x:v>
      </x:c>
      <x:c r="M373" s="20" t="str">
        <x:v>non_model</x:v>
      </x:c>
      <x:c r="N373" s="20" t="str">
        <x:v>2</x:v>
      </x:c>
      <x:c r="O373" s="20" t="str">
        <x:v>1.0.0</x:v>
      </x:c>
      <x:c r="P373" s="20" t="str">
        <x:v>1.1.0</x:v>
      </x:c>
      <x:c r="Q373" s="20" t="str">
        <x:v>deepseek/deepseek-v4-pro</x:v>
      </x:c>
      <x:c r="R373" s="20" t="str">
        <x:v>aj2-y90-20260714T234810-0bea2f52</x:v>
      </x:c>
    </x:row>
    <x:row r="374" ht="28" customHeight="1">
      <x:c r="A374" s="20" t="str">
        <x:v>B0F62Q17BR</x:v>
      </x:c>
      <x:c r="B374" s="20" t="str">
        <x:v>b0f62q17br</x:v>
      </x:c>
      <x:c r="C374" s="20" t="str">
        <x:v>80a390a2687d9ec9</x:v>
      </x:c>
      <x:c r="D374" s="20" t="str">
        <x:v>asin_target</x:v>
      </x:c>
      <x:c r="E374" s="20" t="str">
        <x:v>en</x:v>
      </x:c>
      <x:c r="F374" s="20" t="str">
        <x:v>该搜索词为 ASIN 形式，需补充商品元数据后再判断用户意图。</x:v>
      </x:c>
      <x:c r="G374" s="20" t="str">
        <x:v>unknown</x:v>
      </x:c>
      <x:c r="H374" s="20" t="str">
        <x:v>low</x:v>
      </x:c>
      <x:c r="I374" s="20" t="str">
        <x:v>asin_target</x:v>
      </x:c>
      <x:c r="J374" s="20" t="str">
        <x:v>asin_metadata_pending</x:v>
      </x:c>
      <x:c r="K374" s="20" t="str">
        <x:v>asin_without_metadata</x:v>
      </x:c>
      <x:c r="L374" s="20" t="str">
        <x:v>not_applicable</x:v>
      </x:c>
      <x:c r="M374" s="20" t="str">
        <x:v>non_model</x:v>
      </x:c>
      <x:c r="N374" s="20" t="str">
        <x:v>1</x:v>
      </x:c>
      <x:c r="O374" s="20" t="str">
        <x:v>1.0.0</x:v>
      </x:c>
      <x:c r="P374" s="20" t="str">
        <x:v>1.1.0</x:v>
      </x:c>
      <x:c r="Q374" s="20" t="str">
        <x:v>deepseek/deepseek-v4-pro</x:v>
      </x:c>
      <x:c r="R374" s="20" t="str">
        <x:v>aj2-y90-20260714T234810-0bea2f52</x:v>
      </x:c>
    </x:row>
    <x:row r="375" ht="28" customHeight="1">
      <x:c r="A375" s="20" t="str">
        <x:v>B0GWZX6MHG</x:v>
      </x:c>
      <x:c r="B375" s="20" t="str">
        <x:v>b0gwzx6mhg</x:v>
      </x:c>
      <x:c r="C375" s="20" t="str">
        <x:v>813eb20e0b83793c</x:v>
      </x:c>
      <x:c r="D375" s="20" t="str">
        <x:v>asin_target</x:v>
      </x:c>
      <x:c r="E375" s="20" t="str">
        <x:v>en</x:v>
      </x:c>
      <x:c r="F375" s="20" t="str">
        <x:v>该搜索词为 ASIN 形式，需补充商品元数据后再判断用户意图。</x:v>
      </x:c>
      <x:c r="G375" s="20" t="str">
        <x:v>unknown</x:v>
      </x:c>
      <x:c r="H375" s="20" t="str">
        <x:v>low</x:v>
      </x:c>
      <x:c r="I375" s="20" t="str">
        <x:v>asin_target</x:v>
      </x:c>
      <x:c r="J375" s="20" t="str">
        <x:v>asin_metadata_pending</x:v>
      </x:c>
      <x:c r="K375" s="20" t="str">
        <x:v>asin_without_metadata</x:v>
      </x:c>
      <x:c r="L375" s="20" t="str">
        <x:v>not_applicable</x:v>
      </x:c>
      <x:c r="M375" s="20" t="str">
        <x:v>non_model</x:v>
      </x:c>
      <x:c r="N375" s="20" t="str">
        <x:v>1</x:v>
      </x:c>
      <x:c r="O375" s="20" t="str">
        <x:v>1.0.0</x:v>
      </x:c>
      <x:c r="P375" s="20" t="str">
        <x:v>1.1.0</x:v>
      </x:c>
      <x:c r="Q375" s="20" t="str">
        <x:v>deepseek/deepseek-v4-pro</x:v>
      </x:c>
      <x:c r="R375" s="20" t="str">
        <x:v>aj2-y90-20260714T234810-0bea2f52</x:v>
      </x:c>
    </x:row>
    <x:row r="376" ht="28" customHeight="1">
      <x:c r="A376" s="20" t="str">
        <x:v>B088BKFC5Q</x:v>
      </x:c>
      <x:c r="B376" s="20" t="str">
        <x:v>b088bkfc5q</x:v>
      </x:c>
      <x:c r="C376" s="20" t="str">
        <x:v>81c936af1723bae6</x:v>
      </x:c>
      <x:c r="D376" s="20" t="str">
        <x:v>asin_target</x:v>
      </x:c>
      <x:c r="E376" s="20" t="str">
        <x:v>en</x:v>
      </x:c>
      <x:c r="F376" s="20" t="str">
        <x:v>该搜索词为 ASIN 形式，需补充商品元数据后再判断用户意图。</x:v>
      </x:c>
      <x:c r="G376" s="20" t="str">
        <x:v>unknown</x:v>
      </x:c>
      <x:c r="H376" s="20" t="str">
        <x:v>low</x:v>
      </x:c>
      <x:c r="I376" s="20" t="str">
        <x:v>asin_target</x:v>
      </x:c>
      <x:c r="J376" s="20" t="str">
        <x:v>asin_metadata_pending</x:v>
      </x:c>
      <x:c r="K376" s="20" t="str">
        <x:v>asin_without_metadata</x:v>
      </x:c>
      <x:c r="L376" s="20" t="str">
        <x:v>not_applicable</x:v>
      </x:c>
      <x:c r="M376" s="20" t="str">
        <x:v>non_model</x:v>
      </x:c>
      <x:c r="N376" s="20" t="str">
        <x:v>3</x:v>
      </x:c>
      <x:c r="O376" s="20" t="str">
        <x:v>1.0.0</x:v>
      </x:c>
      <x:c r="P376" s="20" t="str">
        <x:v>1.1.0</x:v>
      </x:c>
      <x:c r="Q376" s="20" t="str">
        <x:v>deepseek/deepseek-v4-pro</x:v>
      </x:c>
      <x:c r="R376" s="20" t="str">
        <x:v>aj2-y90-20260714T234810-0bea2f52</x:v>
      </x:c>
    </x:row>
    <x:row r="377" ht="28" customHeight="1">
      <x:c r="A377" s="20" t="str">
        <x:v>B0CTMB6JKT</x:v>
      </x:c>
      <x:c r="B377" s="20" t="str">
        <x:v>b0ctmb6jkt</x:v>
      </x:c>
      <x:c r="C377" s="20" t="str">
        <x:v>825e2bc8ac7d4635</x:v>
      </x:c>
      <x:c r="D377" s="20" t="str">
        <x:v>asin_target</x:v>
      </x:c>
      <x:c r="E377" s="20" t="str">
        <x:v>en</x:v>
      </x:c>
      <x:c r="F377" s="20" t="str">
        <x:v>该搜索词为 ASIN 形式，需补充商品元数据后再判断用户意图。</x:v>
      </x:c>
      <x:c r="G377" s="20" t="str">
        <x:v>unknown</x:v>
      </x:c>
      <x:c r="H377" s="20" t="str">
        <x:v>low</x:v>
      </x:c>
      <x:c r="I377" s="20" t="str">
        <x:v>asin_target</x:v>
      </x:c>
      <x:c r="J377" s="20" t="str">
        <x:v>asin_metadata_pending</x:v>
      </x:c>
      <x:c r="K377" s="20" t="str">
        <x:v>asin_without_metadata</x:v>
      </x:c>
      <x:c r="L377" s="20" t="str">
        <x:v>not_applicable</x:v>
      </x:c>
      <x:c r="M377" s="20" t="str">
        <x:v>non_model</x:v>
      </x:c>
      <x:c r="N377" s="20" t="str">
        <x:v>1</x:v>
      </x:c>
      <x:c r="O377" s="20" t="str">
        <x:v>1.0.0</x:v>
      </x:c>
      <x:c r="P377" s="20" t="str">
        <x:v>1.1.0</x:v>
      </x:c>
      <x:c r="Q377" s="20" t="str">
        <x:v>deepseek/deepseek-v4-pro</x:v>
      </x:c>
      <x:c r="R377" s="20" t="str">
        <x:v>aj2-y90-20260714T234810-0bea2f52</x:v>
      </x:c>
    </x:row>
    <x:row r="378" ht="28" customHeight="1">
      <x:c r="A378" s="20" t="str">
        <x:v>B0GGR43Q73</x:v>
      </x:c>
      <x:c r="B378" s="20" t="str">
        <x:v>b0ggr43q73</x:v>
      </x:c>
      <x:c r="C378" s="20" t="str">
        <x:v>831c62c77a976c05</x:v>
      </x:c>
      <x:c r="D378" s="20" t="str">
        <x:v>asin_target</x:v>
      </x:c>
      <x:c r="E378" s="20" t="str">
        <x:v>en</x:v>
      </x:c>
      <x:c r="F378" s="20" t="str">
        <x:v>该搜索词为 ASIN 形式，需补充商品元数据后再判断用户意图。</x:v>
      </x:c>
      <x:c r="G378" s="20" t="str">
        <x:v>unknown</x:v>
      </x:c>
      <x:c r="H378" s="20" t="str">
        <x:v>low</x:v>
      </x:c>
      <x:c r="I378" s="20" t="str">
        <x:v>asin_target</x:v>
      </x:c>
      <x:c r="J378" s="20" t="str">
        <x:v>asin_metadata_pending</x:v>
      </x:c>
      <x:c r="K378" s="20" t="str">
        <x:v>asin_without_metadata</x:v>
      </x:c>
      <x:c r="L378" s="20" t="str">
        <x:v>not_applicable</x:v>
      </x:c>
      <x:c r="M378" s="20" t="str">
        <x:v>non_model</x:v>
      </x:c>
      <x:c r="N378" s="20" t="str">
        <x:v>1</x:v>
      </x:c>
      <x:c r="O378" s="20" t="str">
        <x:v>1.0.0</x:v>
      </x:c>
      <x:c r="P378" s="20" t="str">
        <x:v>1.1.0</x:v>
      </x:c>
      <x:c r="Q378" s="20" t="str">
        <x:v>deepseek/deepseek-v4-pro</x:v>
      </x:c>
      <x:c r="R378" s="20" t="str">
        <x:v>aj2-y90-20260714T234810-0bea2f52</x:v>
      </x:c>
    </x:row>
    <x:row r="379" ht="28" customHeight="1">
      <x:c r="A379" s="20" t="str">
        <x:v>B0C8CQWHLY</x:v>
      </x:c>
      <x:c r="B379" s="20" t="str">
        <x:v>b0c8cqwhly</x:v>
      </x:c>
      <x:c r="C379" s="20" t="str">
        <x:v>83257fc0a8b3e7f5</x:v>
      </x:c>
      <x:c r="D379" s="20" t="str">
        <x:v>asin_target</x:v>
      </x:c>
      <x:c r="E379" s="20" t="str">
        <x:v>en</x:v>
      </x:c>
      <x:c r="F379" s="20" t="str">
        <x:v>该搜索词为 ASIN 形式，需补充商品元数据后再判断用户意图。</x:v>
      </x:c>
      <x:c r="G379" s="20" t="str">
        <x:v>unknown</x:v>
      </x:c>
      <x:c r="H379" s="20" t="str">
        <x:v>low</x:v>
      </x:c>
      <x:c r="I379" s="20" t="str">
        <x:v>asin_target</x:v>
      </x:c>
      <x:c r="J379" s="20" t="str">
        <x:v>asin_metadata_pending</x:v>
      </x:c>
      <x:c r="K379" s="20" t="str">
        <x:v>asin_without_metadata</x:v>
      </x:c>
      <x:c r="L379" s="20" t="str">
        <x:v>not_applicable</x:v>
      </x:c>
      <x:c r="M379" s="20" t="str">
        <x:v>non_model</x:v>
      </x:c>
      <x:c r="N379" s="20" t="str">
        <x:v>1</x:v>
      </x:c>
      <x:c r="O379" s="20" t="str">
        <x:v>1.0.0</x:v>
      </x:c>
      <x:c r="P379" s="20" t="str">
        <x:v>1.1.0</x:v>
      </x:c>
      <x:c r="Q379" s="20" t="str">
        <x:v>deepseek/deepseek-v4-pro</x:v>
      </x:c>
      <x:c r="R379" s="20" t="str">
        <x:v>aj2-y90-20260714T234810-0bea2f52</x:v>
      </x:c>
    </x:row>
    <x:row r="380" ht="28" customHeight="1">
      <x:c r="A380" s="20" t="str">
        <x:v>B0CX8MTJM1</x:v>
      </x:c>
      <x:c r="B380" s="20" t="str">
        <x:v>b0cx8mtjm1</x:v>
      </x:c>
      <x:c r="C380" s="20" t="str">
        <x:v>83917a5583441b93</x:v>
      </x:c>
      <x:c r="D380" s="20" t="str">
        <x:v>asin_target</x:v>
      </x:c>
      <x:c r="E380" s="20" t="str">
        <x:v>en</x:v>
      </x:c>
      <x:c r="F380" s="20" t="str">
        <x:v>该搜索词为 ASIN 形式，需补充商品元数据后再判断用户意图。</x:v>
      </x:c>
      <x:c r="G380" s="20" t="str">
        <x:v>unknown</x:v>
      </x:c>
      <x:c r="H380" s="20" t="str">
        <x:v>low</x:v>
      </x:c>
      <x:c r="I380" s="20" t="str">
        <x:v>asin_target</x:v>
      </x:c>
      <x:c r="J380" s="20" t="str">
        <x:v>asin_metadata_pending</x:v>
      </x:c>
      <x:c r="K380" s="20" t="str">
        <x:v>asin_without_metadata</x:v>
      </x:c>
      <x:c r="L380" s="20" t="str">
        <x:v>not_applicable</x:v>
      </x:c>
      <x:c r="M380" s="20" t="str">
        <x:v>non_model</x:v>
      </x:c>
      <x:c r="N380" s="20" t="str">
        <x:v>1</x:v>
      </x:c>
      <x:c r="O380" s="20" t="str">
        <x:v>1.0.0</x:v>
      </x:c>
      <x:c r="P380" s="20" t="str">
        <x:v>1.1.0</x:v>
      </x:c>
      <x:c r="Q380" s="20" t="str">
        <x:v>deepseek/deepseek-v4-pro</x:v>
      </x:c>
      <x:c r="R380" s="20" t="str">
        <x:v>aj2-y90-20260714T234810-0bea2f52</x:v>
      </x:c>
    </x:row>
    <x:row r="381" ht="28" customHeight="1">
      <x:c r="A381" s="20" t="str">
        <x:v>B0G47N7Z3V</x:v>
      </x:c>
      <x:c r="B381" s="20" t="str">
        <x:v>b0g47n7z3v</x:v>
      </x:c>
      <x:c r="C381" s="20" t="str">
        <x:v>83b7bd9a887c875e</x:v>
      </x:c>
      <x:c r="D381" s="20" t="str">
        <x:v>asin_target</x:v>
      </x:c>
      <x:c r="E381" s="20" t="str">
        <x:v>en</x:v>
      </x:c>
      <x:c r="F381" s="20" t="str">
        <x:v>该搜索词为 ASIN 形式，需补充商品元数据后再判断用户意图。</x:v>
      </x:c>
      <x:c r="G381" s="20" t="str">
        <x:v>unknown</x:v>
      </x:c>
      <x:c r="H381" s="20" t="str">
        <x:v>low</x:v>
      </x:c>
      <x:c r="I381" s="20" t="str">
        <x:v>asin_target</x:v>
      </x:c>
      <x:c r="J381" s="20" t="str">
        <x:v>asin_metadata_pending</x:v>
      </x:c>
      <x:c r="K381" s="20" t="str">
        <x:v>asin_without_metadata</x:v>
      </x:c>
      <x:c r="L381" s="20" t="str">
        <x:v>not_applicable</x:v>
      </x:c>
      <x:c r="M381" s="20" t="str">
        <x:v>non_model</x:v>
      </x:c>
      <x:c r="N381" s="20" t="str">
        <x:v>1</x:v>
      </x:c>
      <x:c r="O381" s="20" t="str">
        <x:v>1.0.0</x:v>
      </x:c>
      <x:c r="P381" s="20" t="str">
        <x:v>1.1.0</x:v>
      </x:c>
      <x:c r="Q381" s="20" t="str">
        <x:v>deepseek/deepseek-v4-pro</x:v>
      </x:c>
      <x:c r="R381" s="20" t="str">
        <x:v>aj2-y90-20260714T234810-0bea2f52</x:v>
      </x:c>
    </x:row>
    <x:row r="382" ht="28" customHeight="1">
      <x:c r="A382" s="20" t="str">
        <x:v>B0DG11BXDX</x:v>
      </x:c>
      <x:c r="B382" s="20" t="str">
        <x:v>b0dg11bxdx</x:v>
      </x:c>
      <x:c r="C382" s="20" t="str">
        <x:v>83db594c007c37c1</x:v>
      </x:c>
      <x:c r="D382" s="20" t="str">
        <x:v>asin_target</x:v>
      </x:c>
      <x:c r="E382" s="20" t="str">
        <x:v>en</x:v>
      </x:c>
      <x:c r="F382" s="20" t="str">
        <x:v>该搜索词为 ASIN 形式，需补充商品元数据后再判断用户意图。</x:v>
      </x:c>
      <x:c r="G382" s="20" t="str">
        <x:v>unknown</x:v>
      </x:c>
      <x:c r="H382" s="20" t="str">
        <x:v>low</x:v>
      </x:c>
      <x:c r="I382" s="20" t="str">
        <x:v>asin_target</x:v>
      </x:c>
      <x:c r="J382" s="20" t="str">
        <x:v>asin_metadata_pending</x:v>
      </x:c>
      <x:c r="K382" s="20" t="str">
        <x:v>asin_without_metadata</x:v>
      </x:c>
      <x:c r="L382" s="20" t="str">
        <x:v>not_applicable</x:v>
      </x:c>
      <x:c r="M382" s="20" t="str">
        <x:v>non_model</x:v>
      </x:c>
      <x:c r="N382" s="20" t="str">
        <x:v>1</x:v>
      </x:c>
      <x:c r="O382" s="20" t="str">
        <x:v>1.0.0</x:v>
      </x:c>
      <x:c r="P382" s="20" t="str">
        <x:v>1.1.0</x:v>
      </x:c>
      <x:c r="Q382" s="20" t="str">
        <x:v>deepseek/deepseek-v4-pro</x:v>
      </x:c>
      <x:c r="R382" s="20" t="str">
        <x:v>aj2-y90-20260714T234810-0bea2f52</x:v>
      </x:c>
    </x:row>
    <x:row r="383" ht="28" customHeight="1">
      <x:c r="A383" s="20" t="str">
        <x:v>B0D9GCVFCV</x:v>
      </x:c>
      <x:c r="B383" s="20" t="str">
        <x:v>b0d9gcvfcv</x:v>
      </x:c>
      <x:c r="C383" s="20" t="str">
        <x:v>8409998d0db2b607</x:v>
      </x:c>
      <x:c r="D383" s="20" t="str">
        <x:v>asin_target</x:v>
      </x:c>
      <x:c r="E383" s="20" t="str">
        <x:v>en</x:v>
      </x:c>
      <x:c r="F383" s="20" t="str">
        <x:v>该搜索词为 ASIN 形式，需补充商品元数据后再判断用户意图。</x:v>
      </x:c>
      <x:c r="G383" s="20" t="str">
        <x:v>unknown</x:v>
      </x:c>
      <x:c r="H383" s="20" t="str">
        <x:v>low</x:v>
      </x:c>
      <x:c r="I383" s="20" t="str">
        <x:v>asin_target</x:v>
      </x:c>
      <x:c r="J383" s="20" t="str">
        <x:v>asin_metadata_pending</x:v>
      </x:c>
      <x:c r="K383" s="20" t="str">
        <x:v>asin_without_metadata</x:v>
      </x:c>
      <x:c r="L383" s="20" t="str">
        <x:v>not_applicable</x:v>
      </x:c>
      <x:c r="M383" s="20" t="str">
        <x:v>non_model</x:v>
      </x:c>
      <x:c r="N383" s="20" t="str">
        <x:v>1</x:v>
      </x:c>
      <x:c r="O383" s="20" t="str">
        <x:v>1.0.0</x:v>
      </x:c>
      <x:c r="P383" s="20" t="str">
        <x:v>1.1.0</x:v>
      </x:c>
      <x:c r="Q383" s="20" t="str">
        <x:v>deepseek/deepseek-v4-pro</x:v>
      </x:c>
      <x:c r="R383" s="20" t="str">
        <x:v>aj2-y90-20260714T234810-0bea2f52</x:v>
      </x:c>
    </x:row>
    <x:row r="384" ht="28" customHeight="1">
      <x:c r="A384" s="20" t="str">
        <x:v>B0CJ5XY52F</x:v>
      </x:c>
      <x:c r="B384" s="20" t="str">
        <x:v>b0cj5xy52f</x:v>
      </x:c>
      <x:c r="C384" s="20" t="str">
        <x:v>84bf594944328fd3</x:v>
      </x:c>
      <x:c r="D384" s="20" t="str">
        <x:v>asin_target</x:v>
      </x:c>
      <x:c r="E384" s="20" t="str">
        <x:v>en</x:v>
      </x:c>
      <x:c r="F384" s="20" t="str">
        <x:v>该搜索词为 ASIN 形式，需补充商品元数据后再判断用户意图。</x:v>
      </x:c>
      <x:c r="G384" s="20" t="str">
        <x:v>unknown</x:v>
      </x:c>
      <x:c r="H384" s="20" t="str">
        <x:v>low</x:v>
      </x:c>
      <x:c r="I384" s="20" t="str">
        <x:v>asin_target</x:v>
      </x:c>
      <x:c r="J384" s="20" t="str">
        <x:v>asin_metadata_pending</x:v>
      </x:c>
      <x:c r="K384" s="20" t="str">
        <x:v>asin_without_metadata</x:v>
      </x:c>
      <x:c r="L384" s="20" t="str">
        <x:v>not_applicable</x:v>
      </x:c>
      <x:c r="M384" s="20" t="str">
        <x:v>non_model</x:v>
      </x:c>
      <x:c r="N384" s="20" t="str">
        <x:v>1</x:v>
      </x:c>
      <x:c r="O384" s="20" t="str">
        <x:v>1.0.0</x:v>
      </x:c>
      <x:c r="P384" s="20" t="str">
        <x:v>1.1.0</x:v>
      </x:c>
      <x:c r="Q384" s="20" t="str">
        <x:v>deepseek/deepseek-v4-pro</x:v>
      </x:c>
      <x:c r="R384" s="20" t="str">
        <x:v>aj2-y90-20260714T234810-0bea2f52</x:v>
      </x:c>
    </x:row>
    <x:row r="385" ht="28" customHeight="1">
      <x:c r="A385" s="20" t="str">
        <x:v>B0FXX72VMH</x:v>
      </x:c>
      <x:c r="B385" s="20" t="str">
        <x:v>b0fxx72vmh</x:v>
      </x:c>
      <x:c r="C385" s="20" t="str">
        <x:v>851183490fc4c3e9</x:v>
      </x:c>
      <x:c r="D385" s="20" t="str">
        <x:v>asin_target</x:v>
      </x:c>
      <x:c r="E385" s="20" t="str">
        <x:v>en</x:v>
      </x:c>
      <x:c r="F385" s="20" t="str">
        <x:v>该搜索词为 ASIN 形式，需补充商品元数据后再判断用户意图。</x:v>
      </x:c>
      <x:c r="G385" s="20" t="str">
        <x:v>unknown</x:v>
      </x:c>
      <x:c r="H385" s="20" t="str">
        <x:v>low</x:v>
      </x:c>
      <x:c r="I385" s="20" t="str">
        <x:v>asin_target</x:v>
      </x:c>
      <x:c r="J385" s="20" t="str">
        <x:v>asin_metadata_pending</x:v>
      </x:c>
      <x:c r="K385" s="20" t="str">
        <x:v>asin_without_metadata</x:v>
      </x:c>
      <x:c r="L385" s="20" t="str">
        <x:v>not_applicable</x:v>
      </x:c>
      <x:c r="M385" s="20" t="str">
        <x:v>non_model</x:v>
      </x:c>
      <x:c r="N385" s="20" t="str">
        <x:v>1</x:v>
      </x:c>
      <x:c r="O385" s="20" t="str">
        <x:v>1.0.0</x:v>
      </x:c>
      <x:c r="P385" s="20" t="str">
        <x:v>1.1.0</x:v>
      </x:c>
      <x:c r="Q385" s="20" t="str">
        <x:v>deepseek/deepseek-v4-pro</x:v>
      </x:c>
      <x:c r="R385" s="20" t="str">
        <x:v>aj2-y90-20260714T234810-0bea2f52</x:v>
      </x:c>
    </x:row>
    <x:row r="386" ht="28" customHeight="1">
      <x:c r="A386" s="20" t="str">
        <x:v>B0GHP2V5LP</x:v>
      </x:c>
      <x:c r="B386" s="20" t="str">
        <x:v>b0ghp2v5lp</x:v>
      </x:c>
      <x:c r="C386" s="20" t="str">
        <x:v>853e7d75430b3036</x:v>
      </x:c>
      <x:c r="D386" s="20" t="str">
        <x:v>asin_target</x:v>
      </x:c>
      <x:c r="E386" s="20" t="str">
        <x:v>en</x:v>
      </x:c>
      <x:c r="F386" s="20" t="str">
        <x:v>该搜索词为 ASIN 形式，需补充商品元数据后再判断用户意图。</x:v>
      </x:c>
      <x:c r="G386" s="20" t="str">
        <x:v>unknown</x:v>
      </x:c>
      <x:c r="H386" s="20" t="str">
        <x:v>low</x:v>
      </x:c>
      <x:c r="I386" s="20" t="str">
        <x:v>asin_target</x:v>
      </x:c>
      <x:c r="J386" s="20" t="str">
        <x:v>asin_metadata_pending</x:v>
      </x:c>
      <x:c r="K386" s="20" t="str">
        <x:v>asin_without_metadata</x:v>
      </x:c>
      <x:c r="L386" s="20" t="str">
        <x:v>not_applicable</x:v>
      </x:c>
      <x:c r="M386" s="20" t="str">
        <x:v>non_model</x:v>
      </x:c>
      <x:c r="N386" s="20" t="str">
        <x:v>1</x:v>
      </x:c>
      <x:c r="O386" s="20" t="str">
        <x:v>1.0.0</x:v>
      </x:c>
      <x:c r="P386" s="20" t="str">
        <x:v>1.1.0</x:v>
      </x:c>
      <x:c r="Q386" s="20" t="str">
        <x:v>deepseek/deepseek-v4-pro</x:v>
      </x:c>
      <x:c r="R386" s="20" t="str">
        <x:v>aj2-y90-20260714T234810-0bea2f52</x:v>
      </x:c>
    </x:row>
    <x:row r="387" ht="28" customHeight="1">
      <x:c r="A387" s="20" t="str">
        <x:v>B0FXX55HM9</x:v>
      </x:c>
      <x:c r="B387" s="20" t="str">
        <x:v>b0fxx55hm9</x:v>
      </x:c>
      <x:c r="C387" s="20" t="str">
        <x:v>854185cc40b7cb89</x:v>
      </x:c>
      <x:c r="D387" s="20" t="str">
        <x:v>asin_target</x:v>
      </x:c>
      <x:c r="E387" s="20" t="str">
        <x:v>en</x:v>
      </x:c>
      <x:c r="F387" s="20" t="str">
        <x:v>该搜索词为 ASIN 形式，需补充商品元数据后再判断用户意图。</x:v>
      </x:c>
      <x:c r="G387" s="20" t="str">
        <x:v>unknown</x:v>
      </x:c>
      <x:c r="H387" s="20" t="str">
        <x:v>low</x:v>
      </x:c>
      <x:c r="I387" s="20" t="str">
        <x:v>asin_target</x:v>
      </x:c>
      <x:c r="J387" s="20" t="str">
        <x:v>asin_metadata_pending</x:v>
      </x:c>
      <x:c r="K387" s="20" t="str">
        <x:v>asin_without_metadata</x:v>
      </x:c>
      <x:c r="L387" s="20" t="str">
        <x:v>not_applicable</x:v>
      </x:c>
      <x:c r="M387" s="20" t="str">
        <x:v>non_model</x:v>
      </x:c>
      <x:c r="N387" s="20" t="str">
        <x:v>1</x:v>
      </x:c>
      <x:c r="O387" s="20" t="str">
        <x:v>1.0.0</x:v>
      </x:c>
      <x:c r="P387" s="20" t="str">
        <x:v>1.1.0</x:v>
      </x:c>
      <x:c r="Q387" s="20" t="str">
        <x:v>deepseek/deepseek-v4-pro</x:v>
      </x:c>
      <x:c r="R387" s="20" t="str">
        <x:v>aj2-y90-20260714T234810-0bea2f52</x:v>
      </x:c>
    </x:row>
    <x:row r="388" ht="28" customHeight="1">
      <x:c r="A388" s="20" t="str">
        <x:v>B0GMQ921TG</x:v>
      </x:c>
      <x:c r="B388" s="20" t="str">
        <x:v>b0gmq921tg</x:v>
      </x:c>
      <x:c r="C388" s="20" t="str">
        <x:v>8562b774bf867a4c</x:v>
      </x:c>
      <x:c r="D388" s="20" t="str">
        <x:v>asin_target</x:v>
      </x:c>
      <x:c r="E388" s="20" t="str">
        <x:v>en</x:v>
      </x:c>
      <x:c r="F388" s="20" t="str">
        <x:v>该搜索词为 ASIN 形式，需补充商品元数据后再判断用户意图。</x:v>
      </x:c>
      <x:c r="G388" s="20" t="str">
        <x:v>unknown</x:v>
      </x:c>
      <x:c r="H388" s="20" t="str">
        <x:v>low</x:v>
      </x:c>
      <x:c r="I388" s="20" t="str">
        <x:v>asin_target</x:v>
      </x:c>
      <x:c r="J388" s="20" t="str">
        <x:v>asin_metadata_pending</x:v>
      </x:c>
      <x:c r="K388" s="20" t="str">
        <x:v>asin_without_metadata</x:v>
      </x:c>
      <x:c r="L388" s="20" t="str">
        <x:v>not_applicable</x:v>
      </x:c>
      <x:c r="M388" s="20" t="str">
        <x:v>non_model</x:v>
      </x:c>
      <x:c r="N388" s="20" t="str">
        <x:v>1</x:v>
      </x:c>
      <x:c r="O388" s="20" t="str">
        <x:v>1.0.0</x:v>
      </x:c>
      <x:c r="P388" s="20" t="str">
        <x:v>1.1.0</x:v>
      </x:c>
      <x:c r="Q388" s="20" t="str">
        <x:v>deepseek/deepseek-v4-pro</x:v>
      </x:c>
      <x:c r="R388" s="20" t="str">
        <x:v>aj2-y90-20260714T234810-0bea2f52</x:v>
      </x:c>
    </x:row>
    <x:row r="389" ht="28" customHeight="1">
      <x:c r="A389" s="20" t="str">
        <x:v>B0GG2PW2TZ</x:v>
      </x:c>
      <x:c r="B389" s="20" t="str">
        <x:v>b0gg2pw2tz</x:v>
      </x:c>
      <x:c r="C389" s="20" t="str">
        <x:v>85d0968bf3ac6b86</x:v>
      </x:c>
      <x:c r="D389" s="20" t="str">
        <x:v>asin_target</x:v>
      </x:c>
      <x:c r="E389" s="20" t="str">
        <x:v>en</x:v>
      </x:c>
      <x:c r="F389" s="20" t="str">
        <x:v>该搜索词为 ASIN 形式，需补充商品元数据后再判断用户意图。</x:v>
      </x:c>
      <x:c r="G389" s="20" t="str">
        <x:v>unknown</x:v>
      </x:c>
      <x:c r="H389" s="20" t="str">
        <x:v>low</x:v>
      </x:c>
      <x:c r="I389" s="20" t="str">
        <x:v>asin_target</x:v>
      </x:c>
      <x:c r="J389" s="20" t="str">
        <x:v>asin_metadata_pending</x:v>
      </x:c>
      <x:c r="K389" s="20" t="str">
        <x:v>asin_without_metadata</x:v>
      </x:c>
      <x:c r="L389" s="20" t="str">
        <x:v>not_applicable</x:v>
      </x:c>
      <x:c r="M389" s="20" t="str">
        <x:v>non_model</x:v>
      </x:c>
      <x:c r="N389" s="20" t="str">
        <x:v>1</x:v>
      </x:c>
      <x:c r="O389" s="20" t="str">
        <x:v>1.0.0</x:v>
      </x:c>
      <x:c r="P389" s="20" t="str">
        <x:v>1.1.0</x:v>
      </x:c>
      <x:c r="Q389" s="20" t="str">
        <x:v>deepseek/deepseek-v4-pro</x:v>
      </x:c>
      <x:c r="R389" s="20" t="str">
        <x:v>aj2-y90-20260714T234810-0bea2f52</x:v>
      </x:c>
    </x:row>
    <x:row r="390" ht="28" customHeight="1">
      <x:c r="A390" s="20" t="str">
        <x:v>B0D81K6TBK</x:v>
      </x:c>
      <x:c r="B390" s="20" t="str">
        <x:v>b0d81k6tbk</x:v>
      </x:c>
      <x:c r="C390" s="20" t="str">
        <x:v>85f8575abc9effe6</x:v>
      </x:c>
      <x:c r="D390" s="20" t="str">
        <x:v>asin_target</x:v>
      </x:c>
      <x:c r="E390" s="20" t="str">
        <x:v>en</x:v>
      </x:c>
      <x:c r="F390" s="20" t="str">
        <x:v>该搜索词为 ASIN 形式，需补充商品元数据后再判断用户意图。</x:v>
      </x:c>
      <x:c r="G390" s="20" t="str">
        <x:v>unknown</x:v>
      </x:c>
      <x:c r="H390" s="20" t="str">
        <x:v>low</x:v>
      </x:c>
      <x:c r="I390" s="20" t="str">
        <x:v>asin_target</x:v>
      </x:c>
      <x:c r="J390" s="20" t="str">
        <x:v>asin_metadata_pending</x:v>
      </x:c>
      <x:c r="K390" s="20" t="str">
        <x:v>asin_without_metadata</x:v>
      </x:c>
      <x:c r="L390" s="20" t="str">
        <x:v>not_applicable</x:v>
      </x:c>
      <x:c r="M390" s="20" t="str">
        <x:v>non_model</x:v>
      </x:c>
      <x:c r="N390" s="20" t="str">
        <x:v>1</x:v>
      </x:c>
      <x:c r="O390" s="20" t="str">
        <x:v>1.0.0</x:v>
      </x:c>
      <x:c r="P390" s="20" t="str">
        <x:v>1.1.0</x:v>
      </x:c>
      <x:c r="Q390" s="20" t="str">
        <x:v>deepseek/deepseek-v4-pro</x:v>
      </x:c>
      <x:c r="R390" s="20" t="str">
        <x:v>aj2-y90-20260714T234810-0bea2f52</x:v>
      </x:c>
    </x:row>
    <x:row r="391" ht="28" customHeight="1">
      <x:c r="A391" s="20" t="str">
        <x:v>B0BKBS3RP2</x:v>
      </x:c>
      <x:c r="B391" s="20" t="str">
        <x:v>b0bkbs3rp2</x:v>
      </x:c>
      <x:c r="C391" s="20" t="str">
        <x:v>862358e69b50eab1</x:v>
      </x:c>
      <x:c r="D391" s="20" t="str">
        <x:v>asin_target</x:v>
      </x:c>
      <x:c r="E391" s="20" t="str">
        <x:v>en</x:v>
      </x:c>
      <x:c r="F391" s="20" t="str">
        <x:v>该搜索词为 ASIN 形式，需补充商品元数据后再判断用户意图。</x:v>
      </x:c>
      <x:c r="G391" s="20" t="str">
        <x:v>unknown</x:v>
      </x:c>
      <x:c r="H391" s="20" t="str">
        <x:v>low</x:v>
      </x:c>
      <x:c r="I391" s="20" t="str">
        <x:v>asin_target</x:v>
      </x:c>
      <x:c r="J391" s="20" t="str">
        <x:v>asin_metadata_pending</x:v>
      </x:c>
      <x:c r="K391" s="20" t="str">
        <x:v>asin_without_metadata</x:v>
      </x:c>
      <x:c r="L391" s="20" t="str">
        <x:v>not_applicable</x:v>
      </x:c>
      <x:c r="M391" s="20" t="str">
        <x:v>non_model</x:v>
      </x:c>
      <x:c r="N391" s="20" t="str">
        <x:v>2</x:v>
      </x:c>
      <x:c r="O391" s="20" t="str">
        <x:v>1.0.0</x:v>
      </x:c>
      <x:c r="P391" s="20" t="str">
        <x:v>1.1.0</x:v>
      </x:c>
      <x:c r="Q391" s="20" t="str">
        <x:v>deepseek/deepseek-v4-pro</x:v>
      </x:c>
      <x:c r="R391" s="20" t="str">
        <x:v>aj2-y90-20260714T234810-0bea2f52</x:v>
      </x:c>
    </x:row>
    <x:row r="392" ht="28" customHeight="1">
      <x:c r="A392" s="20" t="str">
        <x:v>B0G64HZWRV</x:v>
      </x:c>
      <x:c r="B392" s="20" t="str">
        <x:v>b0g64hzwrv</x:v>
      </x:c>
      <x:c r="C392" s="20" t="str">
        <x:v>863b02ff1919bebe</x:v>
      </x:c>
      <x:c r="D392" s="20" t="str">
        <x:v>asin_target</x:v>
      </x:c>
      <x:c r="E392" s="20" t="str">
        <x:v>en</x:v>
      </x:c>
      <x:c r="F392" s="20" t="str">
        <x:v>该搜索词为 ASIN 形式，需补充商品元数据后再判断用户意图。</x:v>
      </x:c>
      <x:c r="G392" s="20" t="str">
        <x:v>unknown</x:v>
      </x:c>
      <x:c r="H392" s="20" t="str">
        <x:v>low</x:v>
      </x:c>
      <x:c r="I392" s="20" t="str">
        <x:v>asin_target</x:v>
      </x:c>
      <x:c r="J392" s="20" t="str">
        <x:v>asin_metadata_pending</x:v>
      </x:c>
      <x:c r="K392" s="20" t="str">
        <x:v>asin_without_metadata</x:v>
      </x:c>
      <x:c r="L392" s="20" t="str">
        <x:v>not_applicable</x:v>
      </x:c>
      <x:c r="M392" s="20" t="str">
        <x:v>non_model</x:v>
      </x:c>
      <x:c r="N392" s="20" t="str">
        <x:v>1</x:v>
      </x:c>
      <x:c r="O392" s="20" t="str">
        <x:v>1.0.0</x:v>
      </x:c>
      <x:c r="P392" s="20" t="str">
        <x:v>1.1.0</x:v>
      </x:c>
      <x:c r="Q392" s="20" t="str">
        <x:v>deepseek/deepseek-v4-pro</x:v>
      </x:c>
      <x:c r="R392" s="20" t="str">
        <x:v>aj2-y90-20260714T234810-0bea2f52</x:v>
      </x:c>
    </x:row>
    <x:row r="393" ht="28" customHeight="1">
      <x:c r="A393" s="20" t="str">
        <x:v>B0GJSNXV4H</x:v>
      </x:c>
      <x:c r="B393" s="20" t="str">
        <x:v>b0gjsnxv4h</x:v>
      </x:c>
      <x:c r="C393" s="20" t="str">
        <x:v>867f48caeaf17d6e</x:v>
      </x:c>
      <x:c r="D393" s="20" t="str">
        <x:v>asin_target</x:v>
      </x:c>
      <x:c r="E393" s="20" t="str">
        <x:v>en</x:v>
      </x:c>
      <x:c r="F393" s="20" t="str">
        <x:v>该搜索词为 ASIN 形式，需补充商品元数据后再判断用户意图。</x:v>
      </x:c>
      <x:c r="G393" s="20" t="str">
        <x:v>unknown</x:v>
      </x:c>
      <x:c r="H393" s="20" t="str">
        <x:v>low</x:v>
      </x:c>
      <x:c r="I393" s="20" t="str">
        <x:v>asin_target</x:v>
      </x:c>
      <x:c r="J393" s="20" t="str">
        <x:v>asin_metadata_pending</x:v>
      </x:c>
      <x:c r="K393" s="20" t="str">
        <x:v>asin_without_metadata</x:v>
      </x:c>
      <x:c r="L393" s="20" t="str">
        <x:v>not_applicable</x:v>
      </x:c>
      <x:c r="M393" s="20" t="str">
        <x:v>non_model</x:v>
      </x:c>
      <x:c r="N393" s="20" t="str">
        <x:v>1</x:v>
      </x:c>
      <x:c r="O393" s="20" t="str">
        <x:v>1.0.0</x:v>
      </x:c>
      <x:c r="P393" s="20" t="str">
        <x:v>1.1.0</x:v>
      </x:c>
      <x:c r="Q393" s="20" t="str">
        <x:v>deepseek/deepseek-v4-pro</x:v>
      </x:c>
      <x:c r="R393" s="20" t="str">
        <x:v>aj2-y90-20260714T234810-0bea2f52</x:v>
      </x:c>
    </x:row>
    <x:row r="394" ht="28" customHeight="1">
      <x:c r="A394" s="20" t="str">
        <x:v>B0FH7DXJJ6</x:v>
      </x:c>
      <x:c r="B394" s="20" t="str">
        <x:v>b0fh7dxjj6</x:v>
      </x:c>
      <x:c r="C394" s="20" t="str">
        <x:v>88b36bbbcd0d7aca</x:v>
      </x:c>
      <x:c r="D394" s="20" t="str">
        <x:v>asin_target</x:v>
      </x:c>
      <x:c r="E394" s="20" t="str">
        <x:v>en</x:v>
      </x:c>
      <x:c r="F394" s="20" t="str">
        <x:v>该搜索词为 ASIN 形式，需补充商品元数据后再判断用户意图。</x:v>
      </x:c>
      <x:c r="G394" s="20" t="str">
        <x:v>unknown</x:v>
      </x:c>
      <x:c r="H394" s="20" t="str">
        <x:v>low</x:v>
      </x:c>
      <x:c r="I394" s="20" t="str">
        <x:v>asin_target</x:v>
      </x:c>
      <x:c r="J394" s="20" t="str">
        <x:v>asin_metadata_pending</x:v>
      </x:c>
      <x:c r="K394" s="20" t="str">
        <x:v>asin_without_metadata</x:v>
      </x:c>
      <x:c r="L394" s="20" t="str">
        <x:v>not_applicable</x:v>
      </x:c>
      <x:c r="M394" s="20" t="str">
        <x:v>non_model</x:v>
      </x:c>
      <x:c r="N394" s="20" t="str">
        <x:v>1</x:v>
      </x:c>
      <x:c r="O394" s="20" t="str">
        <x:v>1.0.0</x:v>
      </x:c>
      <x:c r="P394" s="20" t="str">
        <x:v>1.1.0</x:v>
      </x:c>
      <x:c r="Q394" s="20" t="str">
        <x:v>deepseek/deepseek-v4-pro</x:v>
      </x:c>
      <x:c r="R394" s="20" t="str">
        <x:v>aj2-y90-20260714T234810-0bea2f52</x:v>
      </x:c>
    </x:row>
    <x:row r="395" ht="28" customHeight="1">
      <x:c r="A395" s="20" t="str">
        <x:v>B0F8MQCGB1</x:v>
      </x:c>
      <x:c r="B395" s="20" t="str">
        <x:v>b0f8mqcgb1</x:v>
      </x:c>
      <x:c r="C395" s="20" t="str">
        <x:v>88bd02b95a6eec66</x:v>
      </x:c>
      <x:c r="D395" s="20" t="str">
        <x:v>asin_target</x:v>
      </x:c>
      <x:c r="E395" s="20" t="str">
        <x:v>en</x:v>
      </x:c>
      <x:c r="F395" s="20" t="str">
        <x:v>该搜索词为 ASIN 形式，需补充商品元数据后再判断用户意图。</x:v>
      </x:c>
      <x:c r="G395" s="20" t="str">
        <x:v>unknown</x:v>
      </x:c>
      <x:c r="H395" s="20" t="str">
        <x:v>low</x:v>
      </x:c>
      <x:c r="I395" s="20" t="str">
        <x:v>asin_target</x:v>
      </x:c>
      <x:c r="J395" s="20" t="str">
        <x:v>asin_metadata_pending</x:v>
      </x:c>
      <x:c r="K395" s="20" t="str">
        <x:v>asin_without_metadata</x:v>
      </x:c>
      <x:c r="L395" s="20" t="str">
        <x:v>not_applicable</x:v>
      </x:c>
      <x:c r="M395" s="20" t="str">
        <x:v>non_model</x:v>
      </x:c>
      <x:c r="N395" s="20" t="str">
        <x:v>1</x:v>
      </x:c>
      <x:c r="O395" s="20" t="str">
        <x:v>1.0.0</x:v>
      </x:c>
      <x:c r="P395" s="20" t="str">
        <x:v>1.1.0</x:v>
      </x:c>
      <x:c r="Q395" s="20" t="str">
        <x:v>deepseek/deepseek-v4-pro</x:v>
      </x:c>
      <x:c r="R395" s="20" t="str">
        <x:v>aj2-y90-20260714T234810-0bea2f52</x:v>
      </x:c>
    </x:row>
    <x:row r="396" ht="28" customHeight="1">
      <x:c r="A396" s="20" t="str">
        <x:v>B01I5P6XXY</x:v>
      </x:c>
      <x:c r="B396" s="20" t="str">
        <x:v>b01i5p6xxy</x:v>
      </x:c>
      <x:c r="C396" s="20" t="str">
        <x:v>8940774af6b73612</x:v>
      </x:c>
      <x:c r="D396" s="20" t="str">
        <x:v>asin_target</x:v>
      </x:c>
      <x:c r="E396" s="20" t="str">
        <x:v>en</x:v>
      </x:c>
      <x:c r="F396" s="20" t="str">
        <x:v>该搜索词为 ASIN 形式，需补充商品元数据后再判断用户意图。</x:v>
      </x:c>
      <x:c r="G396" s="20" t="str">
        <x:v>unknown</x:v>
      </x:c>
      <x:c r="H396" s="20" t="str">
        <x:v>low</x:v>
      </x:c>
      <x:c r="I396" s="20" t="str">
        <x:v>asin_target</x:v>
      </x:c>
      <x:c r="J396" s="20" t="str">
        <x:v>asin_metadata_pending</x:v>
      </x:c>
      <x:c r="K396" s="20" t="str">
        <x:v>asin_without_metadata</x:v>
      </x:c>
      <x:c r="L396" s="20" t="str">
        <x:v>not_applicable</x:v>
      </x:c>
      <x:c r="M396" s="20" t="str">
        <x:v>non_model</x:v>
      </x:c>
      <x:c r="N396" s="20" t="str">
        <x:v>1</x:v>
      </x:c>
      <x:c r="O396" s="20" t="str">
        <x:v>1.0.0</x:v>
      </x:c>
      <x:c r="P396" s="20" t="str">
        <x:v>1.1.0</x:v>
      </x:c>
      <x:c r="Q396" s="20" t="str">
        <x:v>deepseek/deepseek-v4-pro</x:v>
      </x:c>
      <x:c r="R396" s="20" t="str">
        <x:v>aj2-y90-20260714T234810-0bea2f52</x:v>
      </x:c>
    </x:row>
    <x:row r="397" ht="28" customHeight="1">
      <x:c r="A397" s="20" t="str">
        <x:v>B0GGRG56WD</x:v>
      </x:c>
      <x:c r="B397" s="20" t="str">
        <x:v>b0ggrg56wd</x:v>
      </x:c>
      <x:c r="C397" s="20" t="str">
        <x:v>8953d192b040eeee</x:v>
      </x:c>
      <x:c r="D397" s="20" t="str">
        <x:v>asin_target</x:v>
      </x:c>
      <x:c r="E397" s="20" t="str">
        <x:v>en</x:v>
      </x:c>
      <x:c r="F397" s="20" t="str">
        <x:v>该搜索词为 ASIN 形式，需补充商品元数据后再判断用户意图。</x:v>
      </x:c>
      <x:c r="G397" s="20" t="str">
        <x:v>unknown</x:v>
      </x:c>
      <x:c r="H397" s="20" t="str">
        <x:v>low</x:v>
      </x:c>
      <x:c r="I397" s="20" t="str">
        <x:v>asin_target</x:v>
      </x:c>
      <x:c r="J397" s="20" t="str">
        <x:v>asin_metadata_pending</x:v>
      </x:c>
      <x:c r="K397" s="20" t="str">
        <x:v>asin_without_metadata</x:v>
      </x:c>
      <x:c r="L397" s="20" t="str">
        <x:v>not_applicable</x:v>
      </x:c>
      <x:c r="M397" s="20" t="str">
        <x:v>non_model</x:v>
      </x:c>
      <x:c r="N397" s="20" t="str">
        <x:v>1</x:v>
      </x:c>
      <x:c r="O397" s="20" t="str">
        <x:v>1.0.0</x:v>
      </x:c>
      <x:c r="P397" s="20" t="str">
        <x:v>1.1.0</x:v>
      </x:c>
      <x:c r="Q397" s="20" t="str">
        <x:v>deepseek/deepseek-v4-pro</x:v>
      </x:c>
      <x:c r="R397" s="20" t="str">
        <x:v>aj2-y90-20260714T234810-0bea2f52</x:v>
      </x:c>
    </x:row>
    <x:row r="398" ht="28" customHeight="1">
      <x:c r="A398" s="20" t="str">
        <x:v>B0GGR85J6K</x:v>
      </x:c>
      <x:c r="B398" s="20" t="str">
        <x:v>b0ggr85j6k</x:v>
      </x:c>
      <x:c r="C398" s="20" t="str">
        <x:v>89b5dbda460fd3ad</x:v>
      </x:c>
      <x:c r="D398" s="20" t="str">
        <x:v>asin_target</x:v>
      </x:c>
      <x:c r="E398" s="20" t="str">
        <x:v>en</x:v>
      </x:c>
      <x:c r="F398" s="20" t="str">
        <x:v>该搜索词为 ASIN 形式，需补充商品元数据后再判断用户意图。</x:v>
      </x:c>
      <x:c r="G398" s="20" t="str">
        <x:v>unknown</x:v>
      </x:c>
      <x:c r="H398" s="20" t="str">
        <x:v>low</x:v>
      </x:c>
      <x:c r="I398" s="20" t="str">
        <x:v>asin_target</x:v>
      </x:c>
      <x:c r="J398" s="20" t="str">
        <x:v>asin_metadata_pending</x:v>
      </x:c>
      <x:c r="K398" s="20" t="str">
        <x:v>asin_without_metadata</x:v>
      </x:c>
      <x:c r="L398" s="20" t="str">
        <x:v>not_applicable</x:v>
      </x:c>
      <x:c r="M398" s="20" t="str">
        <x:v>non_model</x:v>
      </x:c>
      <x:c r="N398" s="20" t="str">
        <x:v>1</x:v>
      </x:c>
      <x:c r="O398" s="20" t="str">
        <x:v>1.0.0</x:v>
      </x:c>
      <x:c r="P398" s="20" t="str">
        <x:v>1.1.0</x:v>
      </x:c>
      <x:c r="Q398" s="20" t="str">
        <x:v>deepseek/deepseek-v4-pro</x:v>
      </x:c>
      <x:c r="R398" s="20" t="str">
        <x:v>aj2-y90-20260714T234810-0bea2f52</x:v>
      </x:c>
    </x:row>
    <x:row r="399" ht="28" customHeight="1">
      <x:c r="A399" s="20" t="str">
        <x:v>B098L1D785</x:v>
      </x:c>
      <x:c r="B399" s="20" t="str">
        <x:v>b098l1d785</x:v>
      </x:c>
      <x:c r="C399" s="20" t="str">
        <x:v>8a63064b023296d1</x:v>
      </x:c>
      <x:c r="D399" s="20" t="str">
        <x:v>asin_target</x:v>
      </x:c>
      <x:c r="E399" s="20" t="str">
        <x:v>en</x:v>
      </x:c>
      <x:c r="F399" s="20" t="str">
        <x:v>该搜索词为 ASIN 形式，需补充商品元数据后再判断用户意图。</x:v>
      </x:c>
      <x:c r="G399" s="20" t="str">
        <x:v>unknown</x:v>
      </x:c>
      <x:c r="H399" s="20" t="str">
        <x:v>low</x:v>
      </x:c>
      <x:c r="I399" s="20" t="str">
        <x:v>asin_target</x:v>
      </x:c>
      <x:c r="J399" s="20" t="str">
        <x:v>asin_metadata_pending</x:v>
      </x:c>
      <x:c r="K399" s="20" t="str">
        <x:v>asin_without_metadata</x:v>
      </x:c>
      <x:c r="L399" s="20" t="str">
        <x:v>not_applicable</x:v>
      </x:c>
      <x:c r="M399" s="20" t="str">
        <x:v>non_model</x:v>
      </x:c>
      <x:c r="N399" s="20" t="str">
        <x:v>1</x:v>
      </x:c>
      <x:c r="O399" s="20" t="str">
        <x:v>1.0.0</x:v>
      </x:c>
      <x:c r="P399" s="20" t="str">
        <x:v>1.1.0</x:v>
      </x:c>
      <x:c r="Q399" s="20" t="str">
        <x:v>deepseek/deepseek-v4-pro</x:v>
      </x:c>
      <x:c r="R399" s="20" t="str">
        <x:v>aj2-y90-20260714T234810-0bea2f52</x:v>
      </x:c>
    </x:row>
    <x:row r="400" ht="28" customHeight="1">
      <x:c r="A400" s="20" t="str">
        <x:v>B0GHR9Z52G</x:v>
      </x:c>
      <x:c r="B400" s="20" t="str">
        <x:v>b0ghr9z52g</x:v>
      </x:c>
      <x:c r="C400" s="20" t="str">
        <x:v>8a80c5d415b666da</x:v>
      </x:c>
      <x:c r="D400" s="20" t="str">
        <x:v>asin_target</x:v>
      </x:c>
      <x:c r="E400" s="20" t="str">
        <x:v>en</x:v>
      </x:c>
      <x:c r="F400" s="20" t="str">
        <x:v>该搜索词为 ASIN 形式，需补充商品元数据后再判断用户意图。</x:v>
      </x:c>
      <x:c r="G400" s="20" t="str">
        <x:v>unknown</x:v>
      </x:c>
      <x:c r="H400" s="20" t="str">
        <x:v>low</x:v>
      </x:c>
      <x:c r="I400" s="20" t="str">
        <x:v>asin_target</x:v>
      </x:c>
      <x:c r="J400" s="20" t="str">
        <x:v>asin_metadata_pending</x:v>
      </x:c>
      <x:c r="K400" s="20" t="str">
        <x:v>asin_without_metadata</x:v>
      </x:c>
      <x:c r="L400" s="20" t="str">
        <x:v>not_applicable</x:v>
      </x:c>
      <x:c r="M400" s="20" t="str">
        <x:v>non_model</x:v>
      </x:c>
      <x:c r="N400" s="20" t="str">
        <x:v>1</x:v>
      </x:c>
      <x:c r="O400" s="20" t="str">
        <x:v>1.0.0</x:v>
      </x:c>
      <x:c r="P400" s="20" t="str">
        <x:v>1.1.0</x:v>
      </x:c>
      <x:c r="Q400" s="20" t="str">
        <x:v>deepseek/deepseek-v4-pro</x:v>
      </x:c>
      <x:c r="R400" s="20" t="str">
        <x:v>aj2-y90-20260714T234810-0bea2f52</x:v>
      </x:c>
    </x:row>
    <x:row r="401" ht="28" customHeight="1">
      <x:c r="A401" s="20" t="str">
        <x:v>B0DG16NDZ6</x:v>
      </x:c>
      <x:c r="B401" s="20" t="str">
        <x:v>b0dg16ndz6</x:v>
      </x:c>
      <x:c r="C401" s="20" t="str">
        <x:v>8a95e5692e464dc1</x:v>
      </x:c>
      <x:c r="D401" s="20" t="str">
        <x:v>asin_target</x:v>
      </x:c>
      <x:c r="E401" s="20" t="str">
        <x:v>en</x:v>
      </x:c>
      <x:c r="F401" s="20" t="str">
        <x:v>该搜索词为 ASIN 形式，需补充商品元数据后再判断用户意图。</x:v>
      </x:c>
      <x:c r="G401" s="20" t="str">
        <x:v>unknown</x:v>
      </x:c>
      <x:c r="H401" s="20" t="str">
        <x:v>low</x:v>
      </x:c>
      <x:c r="I401" s="20" t="str">
        <x:v>asin_target</x:v>
      </x:c>
      <x:c r="J401" s="20" t="str">
        <x:v>asin_metadata_pending</x:v>
      </x:c>
      <x:c r="K401" s="20" t="str">
        <x:v>asin_without_metadata</x:v>
      </x:c>
      <x:c r="L401" s="20" t="str">
        <x:v>not_applicable</x:v>
      </x:c>
      <x:c r="M401" s="20" t="str">
        <x:v>non_model</x:v>
      </x:c>
      <x:c r="N401" s="20" t="str">
        <x:v>2</x:v>
      </x:c>
      <x:c r="O401" s="20" t="str">
        <x:v>1.0.0</x:v>
      </x:c>
      <x:c r="P401" s="20" t="str">
        <x:v>1.1.0</x:v>
      </x:c>
      <x:c r="Q401" s="20" t="str">
        <x:v>deepseek/deepseek-v4-pro</x:v>
      </x:c>
      <x:c r="R401" s="20" t="str">
        <x:v>aj2-y90-20260714T234810-0bea2f52</x:v>
      </x:c>
    </x:row>
    <x:row r="402" ht="28" customHeight="1">
      <x:c r="A402" s="20" t="str">
        <x:v>B0G47SXHBK</x:v>
      </x:c>
      <x:c r="B402" s="20" t="str">
        <x:v>b0g47sxhbk</x:v>
      </x:c>
      <x:c r="C402" s="20" t="str">
        <x:v>8adc3c0ab45dd966</x:v>
      </x:c>
      <x:c r="D402" s="20" t="str">
        <x:v>asin_target</x:v>
      </x:c>
      <x:c r="E402" s="20" t="str">
        <x:v>en</x:v>
      </x:c>
      <x:c r="F402" s="20" t="str">
        <x:v>该搜索词为 ASIN 形式，需补充商品元数据后再判断用户意图。</x:v>
      </x:c>
      <x:c r="G402" s="20" t="str">
        <x:v>unknown</x:v>
      </x:c>
      <x:c r="H402" s="20" t="str">
        <x:v>low</x:v>
      </x:c>
      <x:c r="I402" s="20" t="str">
        <x:v>asin_target</x:v>
      </x:c>
      <x:c r="J402" s="20" t="str">
        <x:v>asin_metadata_pending</x:v>
      </x:c>
      <x:c r="K402" s="20" t="str">
        <x:v>asin_without_metadata</x:v>
      </x:c>
      <x:c r="L402" s="20" t="str">
        <x:v>not_applicable</x:v>
      </x:c>
      <x:c r="M402" s="20" t="str">
        <x:v>non_model</x:v>
      </x:c>
      <x:c r="N402" s="20" t="str">
        <x:v>1</x:v>
      </x:c>
      <x:c r="O402" s="20" t="str">
        <x:v>1.0.0</x:v>
      </x:c>
      <x:c r="P402" s="20" t="str">
        <x:v>1.1.0</x:v>
      </x:c>
      <x:c r="Q402" s="20" t="str">
        <x:v>deepseek/deepseek-v4-pro</x:v>
      </x:c>
      <x:c r="R402" s="20" t="str">
        <x:v>aj2-y90-20260714T234810-0bea2f52</x:v>
      </x:c>
    </x:row>
    <x:row r="403" ht="28" customHeight="1">
      <x:c r="A403" s="20" t="str">
        <x:v>B0DYJH1YJH</x:v>
      </x:c>
      <x:c r="B403" s="20" t="str">
        <x:v>b0dyjh1yjh</x:v>
      </x:c>
      <x:c r="C403" s="20" t="str">
        <x:v>8b39d4461dfb8477</x:v>
      </x:c>
      <x:c r="D403" s="20" t="str">
        <x:v>asin_target</x:v>
      </x:c>
      <x:c r="E403" s="20" t="str">
        <x:v>en</x:v>
      </x:c>
      <x:c r="F403" s="20" t="str">
        <x:v>该搜索词为 ASIN 形式，需补充商品元数据后再判断用户意图。</x:v>
      </x:c>
      <x:c r="G403" s="20" t="str">
        <x:v>unknown</x:v>
      </x:c>
      <x:c r="H403" s="20" t="str">
        <x:v>low</x:v>
      </x:c>
      <x:c r="I403" s="20" t="str">
        <x:v>asin_target</x:v>
      </x:c>
      <x:c r="J403" s="20" t="str">
        <x:v>asin_metadata_pending</x:v>
      </x:c>
      <x:c r="K403" s="20" t="str">
        <x:v>asin_without_metadata</x:v>
      </x:c>
      <x:c r="L403" s="20" t="str">
        <x:v>not_applicable</x:v>
      </x:c>
      <x:c r="M403" s="20" t="str">
        <x:v>non_model</x:v>
      </x:c>
      <x:c r="N403" s="20" t="str">
        <x:v>1</x:v>
      </x:c>
      <x:c r="O403" s="20" t="str">
        <x:v>1.0.0</x:v>
      </x:c>
      <x:c r="P403" s="20" t="str">
        <x:v>1.1.0</x:v>
      </x:c>
      <x:c r="Q403" s="20" t="str">
        <x:v>deepseek/deepseek-v4-pro</x:v>
      </x:c>
      <x:c r="R403" s="20" t="str">
        <x:v>aj2-y90-20260714T234810-0bea2f52</x:v>
      </x:c>
    </x:row>
    <x:row r="404" ht="28" customHeight="1">
      <x:c r="A404" s="20" t="str">
        <x:v>B0BKB1L2RX</x:v>
      </x:c>
      <x:c r="B404" s="20" t="str">
        <x:v>b0bkb1l2rx</x:v>
      </x:c>
      <x:c r="C404" s="20" t="str">
        <x:v>8b52384faecf4b31</x:v>
      </x:c>
      <x:c r="D404" s="20" t="str">
        <x:v>asin_target</x:v>
      </x:c>
      <x:c r="E404" s="20" t="str">
        <x:v>en</x:v>
      </x:c>
      <x:c r="F404" s="20" t="str">
        <x:v>该搜索词为 ASIN 形式，需补充商品元数据后再判断用户意图。</x:v>
      </x:c>
      <x:c r="G404" s="20" t="str">
        <x:v>unknown</x:v>
      </x:c>
      <x:c r="H404" s="20" t="str">
        <x:v>low</x:v>
      </x:c>
      <x:c r="I404" s="20" t="str">
        <x:v>asin_target</x:v>
      </x:c>
      <x:c r="J404" s="20" t="str">
        <x:v>asin_metadata_pending</x:v>
      </x:c>
      <x:c r="K404" s="20" t="str">
        <x:v>asin_without_metadata</x:v>
      </x:c>
      <x:c r="L404" s="20" t="str">
        <x:v>not_applicable</x:v>
      </x:c>
      <x:c r="M404" s="20" t="str">
        <x:v>non_model</x:v>
      </x:c>
      <x:c r="N404" s="20" t="str">
        <x:v>3</x:v>
      </x:c>
      <x:c r="O404" s="20" t="str">
        <x:v>1.0.0</x:v>
      </x:c>
      <x:c r="P404" s="20" t="str">
        <x:v>1.1.0</x:v>
      </x:c>
      <x:c r="Q404" s="20" t="str">
        <x:v>deepseek/deepseek-v4-pro</x:v>
      </x:c>
      <x:c r="R404" s="20" t="str">
        <x:v>aj2-y90-20260714T234810-0bea2f52</x:v>
      </x:c>
    </x:row>
    <x:row r="405" ht="28" customHeight="1">
      <x:c r="A405" s="20" t="str">
        <x:v>B0FXX8NCH7</x:v>
      </x:c>
      <x:c r="B405" s="20" t="str">
        <x:v>b0fxx8nch7</x:v>
      </x:c>
      <x:c r="C405" s="20" t="str">
        <x:v>8bb0615a71521c48</x:v>
      </x:c>
      <x:c r="D405" s="20" t="str">
        <x:v>asin_target</x:v>
      </x:c>
      <x:c r="E405" s="20" t="str">
        <x:v>en</x:v>
      </x:c>
      <x:c r="F405" s="20" t="str">
        <x:v>该搜索词为 ASIN 形式，需补充商品元数据后再判断用户意图。</x:v>
      </x:c>
      <x:c r="G405" s="20" t="str">
        <x:v>unknown</x:v>
      </x:c>
      <x:c r="H405" s="20" t="str">
        <x:v>low</x:v>
      </x:c>
      <x:c r="I405" s="20" t="str">
        <x:v>asin_target</x:v>
      </x:c>
      <x:c r="J405" s="20" t="str">
        <x:v>asin_metadata_pending</x:v>
      </x:c>
      <x:c r="K405" s="20" t="str">
        <x:v>asin_without_metadata</x:v>
      </x:c>
      <x:c r="L405" s="20" t="str">
        <x:v>not_applicable</x:v>
      </x:c>
      <x:c r="M405" s="20" t="str">
        <x:v>non_model</x:v>
      </x:c>
      <x:c r="N405" s="20" t="str">
        <x:v>1</x:v>
      </x:c>
      <x:c r="O405" s="20" t="str">
        <x:v>1.0.0</x:v>
      </x:c>
      <x:c r="P405" s="20" t="str">
        <x:v>1.1.0</x:v>
      </x:c>
      <x:c r="Q405" s="20" t="str">
        <x:v>deepseek/deepseek-v4-pro</x:v>
      </x:c>
      <x:c r="R405" s="20" t="str">
        <x:v>aj2-y90-20260714T234810-0bea2f52</x:v>
      </x:c>
    </x:row>
    <x:row r="406" ht="28" customHeight="1">
      <x:c r="A406" s="20" t="str">
        <x:v>B0FH7FWTQG</x:v>
      </x:c>
      <x:c r="B406" s="20" t="str">
        <x:v>b0fh7fwtqg</x:v>
      </x:c>
      <x:c r="C406" s="20" t="str">
        <x:v>8cfcd6b6b491505e</x:v>
      </x:c>
      <x:c r="D406" s="20" t="str">
        <x:v>asin_target</x:v>
      </x:c>
      <x:c r="E406" s="20" t="str">
        <x:v>en</x:v>
      </x:c>
      <x:c r="F406" s="20" t="str">
        <x:v>该搜索词为 ASIN 形式，需补充商品元数据后再判断用户意图。</x:v>
      </x:c>
      <x:c r="G406" s="20" t="str">
        <x:v>unknown</x:v>
      </x:c>
      <x:c r="H406" s="20" t="str">
        <x:v>low</x:v>
      </x:c>
      <x:c r="I406" s="20" t="str">
        <x:v>asin_target</x:v>
      </x:c>
      <x:c r="J406" s="20" t="str">
        <x:v>asin_metadata_pending</x:v>
      </x:c>
      <x:c r="K406" s="20" t="str">
        <x:v>asin_without_metadata</x:v>
      </x:c>
      <x:c r="L406" s="20" t="str">
        <x:v>not_applicable</x:v>
      </x:c>
      <x:c r="M406" s="20" t="str">
        <x:v>non_model</x:v>
      </x:c>
      <x:c r="N406" s="20" t="str">
        <x:v>1</x:v>
      </x:c>
      <x:c r="O406" s="20" t="str">
        <x:v>1.0.0</x:v>
      </x:c>
      <x:c r="P406" s="20" t="str">
        <x:v>1.1.0</x:v>
      </x:c>
      <x:c r="Q406" s="20" t="str">
        <x:v>deepseek/deepseek-v4-pro</x:v>
      </x:c>
      <x:c r="R406" s="20" t="str">
        <x:v>aj2-y90-20260714T234810-0bea2f52</x:v>
      </x:c>
    </x:row>
    <x:row r="407" ht="28" customHeight="1">
      <x:c r="A407" s="20" t="str">
        <x:v>B08GKSV942</x:v>
      </x:c>
      <x:c r="B407" s="20" t="str">
        <x:v>b08gksv942</x:v>
      </x:c>
      <x:c r="C407" s="20" t="str">
        <x:v>8d84a311cc6d689d</x:v>
      </x:c>
      <x:c r="D407" s="20" t="str">
        <x:v>asin_target</x:v>
      </x:c>
      <x:c r="E407" s="20" t="str">
        <x:v>en</x:v>
      </x:c>
      <x:c r="F407" s="20" t="str">
        <x:v>该搜索词为 ASIN 形式，需补充商品元数据后再判断用户意图。</x:v>
      </x:c>
      <x:c r="G407" s="20" t="str">
        <x:v>unknown</x:v>
      </x:c>
      <x:c r="H407" s="20" t="str">
        <x:v>low</x:v>
      </x:c>
      <x:c r="I407" s="20" t="str">
        <x:v>asin_target</x:v>
      </x:c>
      <x:c r="J407" s="20" t="str">
        <x:v>asin_metadata_pending</x:v>
      </x:c>
      <x:c r="K407" s="20" t="str">
        <x:v>asin_without_metadata</x:v>
      </x:c>
      <x:c r="L407" s="20" t="str">
        <x:v>not_applicable</x:v>
      </x:c>
      <x:c r="M407" s="20" t="str">
        <x:v>non_model</x:v>
      </x:c>
      <x:c r="N407" s="20" t="str">
        <x:v>1</x:v>
      </x:c>
      <x:c r="O407" s="20" t="str">
        <x:v>1.0.0</x:v>
      </x:c>
      <x:c r="P407" s="20" t="str">
        <x:v>1.1.0</x:v>
      </x:c>
      <x:c r="Q407" s="20" t="str">
        <x:v>deepseek/deepseek-v4-pro</x:v>
      </x:c>
      <x:c r="R407" s="20" t="str">
        <x:v>aj2-y90-20260714T234810-0bea2f52</x:v>
      </x:c>
    </x:row>
    <x:row r="408" ht="28" customHeight="1">
      <x:c r="A408" s="20" t="str">
        <x:v>B0F7H1SXF1</x:v>
      </x:c>
      <x:c r="B408" s="20" t="str">
        <x:v>b0f7h1sxf1</x:v>
      </x:c>
      <x:c r="C408" s="20" t="str">
        <x:v>8dc4f5b10dac0aaa</x:v>
      </x:c>
      <x:c r="D408" s="20" t="str">
        <x:v>asin_target</x:v>
      </x:c>
      <x:c r="E408" s="20" t="str">
        <x:v>en</x:v>
      </x:c>
      <x:c r="F408" s="20" t="str">
        <x:v>该搜索词为 ASIN 形式，需补充商品元数据后再判断用户意图。</x:v>
      </x:c>
      <x:c r="G408" s="20" t="str">
        <x:v>unknown</x:v>
      </x:c>
      <x:c r="H408" s="20" t="str">
        <x:v>low</x:v>
      </x:c>
      <x:c r="I408" s="20" t="str">
        <x:v>asin_target</x:v>
      </x:c>
      <x:c r="J408" s="20" t="str">
        <x:v>asin_metadata_pending</x:v>
      </x:c>
      <x:c r="K408" s="20" t="str">
        <x:v>asin_without_metadata</x:v>
      </x:c>
      <x:c r="L408" s="20" t="str">
        <x:v>not_applicable</x:v>
      </x:c>
      <x:c r="M408" s="20" t="str">
        <x:v>non_model</x:v>
      </x:c>
      <x:c r="N408" s="20" t="str">
        <x:v>1</x:v>
      </x:c>
      <x:c r="O408" s="20" t="str">
        <x:v>1.0.0</x:v>
      </x:c>
      <x:c r="P408" s="20" t="str">
        <x:v>1.1.0</x:v>
      </x:c>
      <x:c r="Q408" s="20" t="str">
        <x:v>deepseek/deepseek-v4-pro</x:v>
      </x:c>
      <x:c r="R408" s="20" t="str">
        <x:v>aj2-y90-20260714T234810-0bea2f52</x:v>
      </x:c>
    </x:row>
    <x:row r="409" ht="28" customHeight="1">
      <x:c r="A409" s="20" t="str">
        <x:v>B07CZ8PXT3</x:v>
      </x:c>
      <x:c r="B409" s="20" t="str">
        <x:v>b07cz8pxt3</x:v>
      </x:c>
      <x:c r="C409" s="20" t="str">
        <x:v>8e12a548fa2d8cae</x:v>
      </x:c>
      <x:c r="D409" s="20" t="str">
        <x:v>asin_target</x:v>
      </x:c>
      <x:c r="E409" s="20" t="str">
        <x:v>en</x:v>
      </x:c>
      <x:c r="F409" s="20" t="str">
        <x:v>该搜索词为 ASIN 形式，需补充商品元数据后再判断用户意图。</x:v>
      </x:c>
      <x:c r="G409" s="20" t="str">
        <x:v>unknown</x:v>
      </x:c>
      <x:c r="H409" s="20" t="str">
        <x:v>low</x:v>
      </x:c>
      <x:c r="I409" s="20" t="str">
        <x:v>asin_target</x:v>
      </x:c>
      <x:c r="J409" s="20" t="str">
        <x:v>asin_metadata_pending</x:v>
      </x:c>
      <x:c r="K409" s="20" t="str">
        <x:v>asin_without_metadata</x:v>
      </x:c>
      <x:c r="L409" s="20" t="str">
        <x:v>not_applicable</x:v>
      </x:c>
      <x:c r="M409" s="20" t="str">
        <x:v>non_model</x:v>
      </x:c>
      <x:c r="N409" s="20" t="str">
        <x:v>1</x:v>
      </x:c>
      <x:c r="O409" s="20" t="str">
        <x:v>1.0.0</x:v>
      </x:c>
      <x:c r="P409" s="20" t="str">
        <x:v>1.1.0</x:v>
      </x:c>
      <x:c r="Q409" s="20" t="str">
        <x:v>deepseek/deepseek-v4-pro</x:v>
      </x:c>
      <x:c r="R409" s="20" t="str">
        <x:v>aj2-y90-20260714T234810-0bea2f52</x:v>
      </x:c>
    </x:row>
    <x:row r="410" ht="28" customHeight="1">
      <x:c r="A410" s="20" t="str">
        <x:v>B0F8MHPN6D</x:v>
      </x:c>
      <x:c r="B410" s="20" t="str">
        <x:v>b0f8mhpn6d</x:v>
      </x:c>
      <x:c r="C410" s="20" t="str">
        <x:v>8e19cb3b897d7d7d</x:v>
      </x:c>
      <x:c r="D410" s="20" t="str">
        <x:v>asin_target</x:v>
      </x:c>
      <x:c r="E410" s="20" t="str">
        <x:v>en</x:v>
      </x:c>
      <x:c r="F410" s="20" t="str">
        <x:v>该搜索词为 ASIN 形式，需补充商品元数据后再判断用户意图。</x:v>
      </x:c>
      <x:c r="G410" s="20" t="str">
        <x:v>unknown</x:v>
      </x:c>
      <x:c r="H410" s="20" t="str">
        <x:v>low</x:v>
      </x:c>
      <x:c r="I410" s="20" t="str">
        <x:v>asin_target</x:v>
      </x:c>
      <x:c r="J410" s="20" t="str">
        <x:v>asin_metadata_pending</x:v>
      </x:c>
      <x:c r="K410" s="20" t="str">
        <x:v>asin_without_metadata</x:v>
      </x:c>
      <x:c r="L410" s="20" t="str">
        <x:v>not_applicable</x:v>
      </x:c>
      <x:c r="M410" s="20" t="str">
        <x:v>non_model</x:v>
      </x:c>
      <x:c r="N410" s="20" t="str">
        <x:v>1</x:v>
      </x:c>
      <x:c r="O410" s="20" t="str">
        <x:v>1.0.0</x:v>
      </x:c>
      <x:c r="P410" s="20" t="str">
        <x:v>1.1.0</x:v>
      </x:c>
      <x:c r="Q410" s="20" t="str">
        <x:v>deepseek/deepseek-v4-pro</x:v>
      </x:c>
      <x:c r="R410" s="20" t="str">
        <x:v>aj2-y90-20260714T234810-0bea2f52</x:v>
      </x:c>
    </x:row>
    <x:row r="411" ht="28" customHeight="1">
      <x:c r="A411" s="20" t="str">
        <x:v>B010123E40</x:v>
      </x:c>
      <x:c r="B411" s="20" t="str">
        <x:v>b010123e40</x:v>
      </x:c>
      <x:c r="C411" s="20" t="str">
        <x:v>8e26958800e9ba22</x:v>
      </x:c>
      <x:c r="D411" s="20" t="str">
        <x:v>asin_target</x:v>
      </x:c>
      <x:c r="E411" s="20" t="str">
        <x:v>en</x:v>
      </x:c>
      <x:c r="F411" s="20" t="str">
        <x:v>该搜索词为 ASIN 形式，需补充商品元数据后再判断用户意图。</x:v>
      </x:c>
      <x:c r="G411" s="20" t="str">
        <x:v>unknown</x:v>
      </x:c>
      <x:c r="H411" s="20" t="str">
        <x:v>low</x:v>
      </x:c>
      <x:c r="I411" s="20" t="str">
        <x:v>asin_target</x:v>
      </x:c>
      <x:c r="J411" s="20" t="str">
        <x:v>asin_metadata_pending</x:v>
      </x:c>
      <x:c r="K411" s="20" t="str">
        <x:v>asin_without_metadata</x:v>
      </x:c>
      <x:c r="L411" s="20" t="str">
        <x:v>not_applicable</x:v>
      </x:c>
      <x:c r="M411" s="20" t="str">
        <x:v>non_model</x:v>
      </x:c>
      <x:c r="N411" s="20" t="str">
        <x:v>1</x:v>
      </x:c>
      <x:c r="O411" s="20" t="str">
        <x:v>1.0.0</x:v>
      </x:c>
      <x:c r="P411" s="20" t="str">
        <x:v>1.1.0</x:v>
      </x:c>
      <x:c r="Q411" s="20" t="str">
        <x:v>deepseek/deepseek-v4-pro</x:v>
      </x:c>
      <x:c r="R411" s="20" t="str">
        <x:v>aj2-y90-20260714T234810-0bea2f52</x:v>
      </x:c>
    </x:row>
    <x:row r="412" ht="28" customHeight="1">
      <x:c r="A412" s="20" t="str">
        <x:v>B0FT6QQTZJ</x:v>
      </x:c>
      <x:c r="B412" s="20" t="str">
        <x:v>b0ft6qqtzj</x:v>
      </x:c>
      <x:c r="C412" s="20" t="str">
        <x:v>8e4b0921a013c6da</x:v>
      </x:c>
      <x:c r="D412" s="20" t="str">
        <x:v>asin_target</x:v>
      </x:c>
      <x:c r="E412" s="20" t="str">
        <x:v>en</x:v>
      </x:c>
      <x:c r="F412" s="20" t="str">
        <x:v>该搜索词为 ASIN 形式，需补充商品元数据后再判断用户意图。</x:v>
      </x:c>
      <x:c r="G412" s="20" t="str">
        <x:v>unknown</x:v>
      </x:c>
      <x:c r="H412" s="20" t="str">
        <x:v>low</x:v>
      </x:c>
      <x:c r="I412" s="20" t="str">
        <x:v>asin_target</x:v>
      </x:c>
      <x:c r="J412" s="20" t="str">
        <x:v>asin_metadata_pending</x:v>
      </x:c>
      <x:c r="K412" s="20" t="str">
        <x:v>asin_without_metadata</x:v>
      </x:c>
      <x:c r="L412" s="20" t="str">
        <x:v>not_applicable</x:v>
      </x:c>
      <x:c r="M412" s="20" t="str">
        <x:v>non_model</x:v>
      </x:c>
      <x:c r="N412" s="20" t="str">
        <x:v>1</x:v>
      </x:c>
      <x:c r="O412" s="20" t="str">
        <x:v>1.0.0</x:v>
      </x:c>
      <x:c r="P412" s="20" t="str">
        <x:v>1.1.0</x:v>
      </x:c>
      <x:c r="Q412" s="20" t="str">
        <x:v>deepseek/deepseek-v4-pro</x:v>
      </x:c>
      <x:c r="R412" s="20" t="str">
        <x:v>aj2-y90-20260714T234810-0bea2f52</x:v>
      </x:c>
    </x:row>
    <x:row r="413" ht="28" customHeight="1">
      <x:c r="A413" s="20" t="str">
        <x:v>B0G7TJF1L3</x:v>
      </x:c>
      <x:c r="B413" s="20" t="str">
        <x:v>b0g7tjf1l3</x:v>
      </x:c>
      <x:c r="C413" s="20" t="str">
        <x:v>8ecc9e2dc92c59bd</x:v>
      </x:c>
      <x:c r="D413" s="20" t="str">
        <x:v>asin_target</x:v>
      </x:c>
      <x:c r="E413" s="20" t="str">
        <x:v>en</x:v>
      </x:c>
      <x:c r="F413" s="20" t="str">
        <x:v>该搜索词为 ASIN 形式，需补充商品元数据后再判断用户意图。</x:v>
      </x:c>
      <x:c r="G413" s="20" t="str">
        <x:v>unknown</x:v>
      </x:c>
      <x:c r="H413" s="20" t="str">
        <x:v>low</x:v>
      </x:c>
      <x:c r="I413" s="20" t="str">
        <x:v>asin_target</x:v>
      </x:c>
      <x:c r="J413" s="20" t="str">
        <x:v>asin_metadata_pending</x:v>
      </x:c>
      <x:c r="K413" s="20" t="str">
        <x:v>asin_without_metadata</x:v>
      </x:c>
      <x:c r="L413" s="20" t="str">
        <x:v>not_applicable</x:v>
      </x:c>
      <x:c r="M413" s="20" t="str">
        <x:v>non_model</x:v>
      </x:c>
      <x:c r="N413" s="20" t="str">
        <x:v>1</x:v>
      </x:c>
      <x:c r="O413" s="20" t="str">
        <x:v>1.0.0</x:v>
      </x:c>
      <x:c r="P413" s="20" t="str">
        <x:v>1.1.0</x:v>
      </x:c>
      <x:c r="Q413" s="20" t="str">
        <x:v>deepseek/deepseek-v4-pro</x:v>
      </x:c>
      <x:c r="R413" s="20" t="str">
        <x:v>aj2-y90-20260714T234810-0bea2f52</x:v>
      </x:c>
    </x:row>
    <x:row r="414" ht="28" customHeight="1">
      <x:c r="A414" s="20" t="str">
        <x:v>B00BRC4ZBA</x:v>
      </x:c>
      <x:c r="B414" s="20" t="str">
        <x:v>b00brc4zba</x:v>
      </x:c>
      <x:c r="C414" s="20" t="str">
        <x:v>8f77cf6377b9a9f6</x:v>
      </x:c>
      <x:c r="D414" s="20" t="str">
        <x:v>asin_target</x:v>
      </x:c>
      <x:c r="E414" s="20" t="str">
        <x:v>en</x:v>
      </x:c>
      <x:c r="F414" s="20" t="str">
        <x:v>该搜索词为 ASIN 形式，需补充商品元数据后再判断用户意图。</x:v>
      </x:c>
      <x:c r="G414" s="20" t="str">
        <x:v>unknown</x:v>
      </x:c>
      <x:c r="H414" s="20" t="str">
        <x:v>low</x:v>
      </x:c>
      <x:c r="I414" s="20" t="str">
        <x:v>asin_target</x:v>
      </x:c>
      <x:c r="J414" s="20" t="str">
        <x:v>asin_metadata_pending</x:v>
      </x:c>
      <x:c r="K414" s="20" t="str">
        <x:v>asin_without_metadata</x:v>
      </x:c>
      <x:c r="L414" s="20" t="str">
        <x:v>not_applicable</x:v>
      </x:c>
      <x:c r="M414" s="20" t="str">
        <x:v>non_model</x:v>
      </x:c>
      <x:c r="N414" s="20" t="str">
        <x:v>1</x:v>
      </x:c>
      <x:c r="O414" s="20" t="str">
        <x:v>1.0.0</x:v>
      </x:c>
      <x:c r="P414" s="20" t="str">
        <x:v>1.1.0</x:v>
      </x:c>
      <x:c r="Q414" s="20" t="str">
        <x:v>deepseek/deepseek-v4-pro</x:v>
      </x:c>
      <x:c r="R414" s="20" t="str">
        <x:v>aj2-y90-20260714T234810-0bea2f52</x:v>
      </x:c>
    </x:row>
    <x:row r="415" ht="28" customHeight="1">
      <x:c r="A415" s="20" t="str">
        <x:v>B0GR9B57WF</x:v>
      </x:c>
      <x:c r="B415" s="20" t="str">
        <x:v>b0gr9b57wf</x:v>
      </x:c>
      <x:c r="C415" s="20" t="str">
        <x:v>8f84426205e5b95a</x:v>
      </x:c>
      <x:c r="D415" s="20" t="str">
        <x:v>asin_target</x:v>
      </x:c>
      <x:c r="E415" s="20" t="str">
        <x:v>en</x:v>
      </x:c>
      <x:c r="F415" s="20" t="str">
        <x:v>该搜索词为 ASIN 形式，需补充商品元数据后再判断用户意图。</x:v>
      </x:c>
      <x:c r="G415" s="20" t="str">
        <x:v>unknown</x:v>
      </x:c>
      <x:c r="H415" s="20" t="str">
        <x:v>low</x:v>
      </x:c>
      <x:c r="I415" s="20" t="str">
        <x:v>asin_target</x:v>
      </x:c>
      <x:c r="J415" s="20" t="str">
        <x:v>asin_metadata_pending</x:v>
      </x:c>
      <x:c r="K415" s="20" t="str">
        <x:v>asin_without_metadata</x:v>
      </x:c>
      <x:c r="L415" s="20" t="str">
        <x:v>not_applicable</x:v>
      </x:c>
      <x:c r="M415" s="20" t="str">
        <x:v>non_model</x:v>
      </x:c>
      <x:c r="N415" s="20" t="str">
        <x:v>1</x:v>
      </x:c>
      <x:c r="O415" s="20" t="str">
        <x:v>1.0.0</x:v>
      </x:c>
      <x:c r="P415" s="20" t="str">
        <x:v>1.1.0</x:v>
      </x:c>
      <x:c r="Q415" s="20" t="str">
        <x:v>deepseek/deepseek-v4-pro</x:v>
      </x:c>
      <x:c r="R415" s="20" t="str">
        <x:v>aj2-y90-20260714T234810-0bea2f52</x:v>
      </x:c>
    </x:row>
    <x:row r="416" ht="28" customHeight="1">
      <x:c r="A416" s="20" t="str">
        <x:v>B0GLF8YQ7S</x:v>
      </x:c>
      <x:c r="B416" s="20" t="str">
        <x:v>b0glf8yq7s</x:v>
      </x:c>
      <x:c r="C416" s="20" t="str">
        <x:v>8fb791a12f853d5b</x:v>
      </x:c>
      <x:c r="D416" s="20" t="str">
        <x:v>asin_target</x:v>
      </x:c>
      <x:c r="E416" s="20" t="str">
        <x:v>en</x:v>
      </x:c>
      <x:c r="F416" s="20" t="str">
        <x:v>该搜索词为 ASIN 形式，需补充商品元数据后再判断用户意图。</x:v>
      </x:c>
      <x:c r="G416" s="20" t="str">
        <x:v>unknown</x:v>
      </x:c>
      <x:c r="H416" s="20" t="str">
        <x:v>low</x:v>
      </x:c>
      <x:c r="I416" s="20" t="str">
        <x:v>asin_target</x:v>
      </x:c>
      <x:c r="J416" s="20" t="str">
        <x:v>asin_metadata_pending</x:v>
      </x:c>
      <x:c r="K416" s="20" t="str">
        <x:v>asin_without_metadata</x:v>
      </x:c>
      <x:c r="L416" s="20" t="str">
        <x:v>not_applicable</x:v>
      </x:c>
      <x:c r="M416" s="20" t="str">
        <x:v>non_model</x:v>
      </x:c>
      <x:c r="N416" s="20" t="str">
        <x:v>2</x:v>
      </x:c>
      <x:c r="O416" s="20" t="str">
        <x:v>1.0.0</x:v>
      </x:c>
      <x:c r="P416" s="20" t="str">
        <x:v>1.1.0</x:v>
      </x:c>
      <x:c r="Q416" s="20" t="str">
        <x:v>deepseek/deepseek-v4-pro</x:v>
      </x:c>
      <x:c r="R416" s="20" t="str">
        <x:v>aj2-y90-20260714T234810-0bea2f52</x:v>
      </x:c>
    </x:row>
    <x:row r="417" ht="28" customHeight="1">
      <x:c r="A417" s="20" t="str">
        <x:v>B0GVK1JDK2</x:v>
      </x:c>
      <x:c r="B417" s="20" t="str">
        <x:v>b0gvk1jdk2</x:v>
      </x:c>
      <x:c r="C417" s="20" t="str">
        <x:v>9017e969453d73af</x:v>
      </x:c>
      <x:c r="D417" s="20" t="str">
        <x:v>asin_target</x:v>
      </x:c>
      <x:c r="E417" s="20" t="str">
        <x:v>en</x:v>
      </x:c>
      <x:c r="F417" s="20" t="str">
        <x:v>该搜索词为 ASIN 形式，需补充商品元数据后再判断用户意图。</x:v>
      </x:c>
      <x:c r="G417" s="20" t="str">
        <x:v>unknown</x:v>
      </x:c>
      <x:c r="H417" s="20" t="str">
        <x:v>low</x:v>
      </x:c>
      <x:c r="I417" s="20" t="str">
        <x:v>asin_target</x:v>
      </x:c>
      <x:c r="J417" s="20" t="str">
        <x:v>asin_metadata_pending</x:v>
      </x:c>
      <x:c r="K417" s="20" t="str">
        <x:v>asin_without_metadata</x:v>
      </x:c>
      <x:c r="L417" s="20" t="str">
        <x:v>not_applicable</x:v>
      </x:c>
      <x:c r="M417" s="20" t="str">
        <x:v>non_model</x:v>
      </x:c>
      <x:c r="N417" s="20" t="str">
        <x:v>2</x:v>
      </x:c>
      <x:c r="O417" s="20" t="str">
        <x:v>1.0.0</x:v>
      </x:c>
      <x:c r="P417" s="20" t="str">
        <x:v>1.1.0</x:v>
      </x:c>
      <x:c r="Q417" s="20" t="str">
        <x:v>deepseek/deepseek-v4-pro</x:v>
      </x:c>
      <x:c r="R417" s="20" t="str">
        <x:v>aj2-y90-20260714T234810-0bea2f52</x:v>
      </x:c>
    </x:row>
    <x:row r="418" ht="28" customHeight="1">
      <x:c r="A418" s="20" t="str">
        <x:v>B08371SKB4</x:v>
      </x:c>
      <x:c r="B418" s="20" t="str">
        <x:v>b08371skb4</x:v>
      </x:c>
      <x:c r="C418" s="20" t="str">
        <x:v>9066c8ba66c0bb43</x:v>
      </x:c>
      <x:c r="D418" s="20" t="str">
        <x:v>asin_target</x:v>
      </x:c>
      <x:c r="E418" s="20" t="str">
        <x:v>en</x:v>
      </x:c>
      <x:c r="F418" s="20" t="str">
        <x:v>该搜索词为 ASIN 形式，需补充商品元数据后再判断用户意图。</x:v>
      </x:c>
      <x:c r="G418" s="20" t="str">
        <x:v>unknown</x:v>
      </x:c>
      <x:c r="H418" s="20" t="str">
        <x:v>low</x:v>
      </x:c>
      <x:c r="I418" s="20" t="str">
        <x:v>asin_target</x:v>
      </x:c>
      <x:c r="J418" s="20" t="str">
        <x:v>asin_metadata_pending</x:v>
      </x:c>
      <x:c r="K418" s="20" t="str">
        <x:v>asin_without_metadata</x:v>
      </x:c>
      <x:c r="L418" s="20" t="str">
        <x:v>not_applicable</x:v>
      </x:c>
      <x:c r="M418" s="20" t="str">
        <x:v>non_model</x:v>
      </x:c>
      <x:c r="N418" s="20" t="str">
        <x:v>1</x:v>
      </x:c>
      <x:c r="O418" s="20" t="str">
        <x:v>1.0.0</x:v>
      </x:c>
      <x:c r="P418" s="20" t="str">
        <x:v>1.1.0</x:v>
      </x:c>
      <x:c r="Q418" s="20" t="str">
        <x:v>deepseek/deepseek-v4-pro</x:v>
      </x:c>
      <x:c r="R418" s="20" t="str">
        <x:v>aj2-y90-20260714T234810-0bea2f52</x:v>
      </x:c>
    </x:row>
    <x:row r="419" ht="28" customHeight="1">
      <x:c r="A419" s="20" t="str">
        <x:v>B0D2297LBG</x:v>
      </x:c>
      <x:c r="B419" s="20" t="str">
        <x:v>b0d2297lbg</x:v>
      </x:c>
      <x:c r="C419" s="20" t="str">
        <x:v>907e778d41520997</x:v>
      </x:c>
      <x:c r="D419" s="20" t="str">
        <x:v>asin_target</x:v>
      </x:c>
      <x:c r="E419" s="20" t="str">
        <x:v>en</x:v>
      </x:c>
      <x:c r="F419" s="20" t="str">
        <x:v>该搜索词为 ASIN 形式，需补充商品元数据后再判断用户意图。</x:v>
      </x:c>
      <x:c r="G419" s="20" t="str">
        <x:v>unknown</x:v>
      </x:c>
      <x:c r="H419" s="20" t="str">
        <x:v>low</x:v>
      </x:c>
      <x:c r="I419" s="20" t="str">
        <x:v>asin_target</x:v>
      </x:c>
      <x:c r="J419" s="20" t="str">
        <x:v>asin_metadata_pending</x:v>
      </x:c>
      <x:c r="K419" s="20" t="str">
        <x:v>asin_without_metadata</x:v>
      </x:c>
      <x:c r="L419" s="20" t="str">
        <x:v>not_applicable</x:v>
      </x:c>
      <x:c r="M419" s="20" t="str">
        <x:v>non_model</x:v>
      </x:c>
      <x:c r="N419" s="20" t="str">
        <x:v>1</x:v>
      </x:c>
      <x:c r="O419" s="20" t="str">
        <x:v>1.0.0</x:v>
      </x:c>
      <x:c r="P419" s="20" t="str">
        <x:v>1.1.0</x:v>
      </x:c>
      <x:c r="Q419" s="20" t="str">
        <x:v>deepseek/deepseek-v4-pro</x:v>
      </x:c>
      <x:c r="R419" s="20" t="str">
        <x:v>aj2-y90-20260714T234810-0bea2f52</x:v>
      </x:c>
    </x:row>
    <x:row r="420" ht="28" customHeight="1">
      <x:c r="A420" s="20" t="str">
        <x:v>B0FH7BJT47</x:v>
      </x:c>
      <x:c r="B420" s="20" t="str">
        <x:v>b0fh7bjt47</x:v>
      </x:c>
      <x:c r="C420" s="20" t="str">
        <x:v>916ef2f5808aa920</x:v>
      </x:c>
      <x:c r="D420" s="20" t="str">
        <x:v>asin_target</x:v>
      </x:c>
      <x:c r="E420" s="20" t="str">
        <x:v>en</x:v>
      </x:c>
      <x:c r="F420" s="20" t="str">
        <x:v>该搜索词为 ASIN 形式，需补充商品元数据后再判断用户意图。</x:v>
      </x:c>
      <x:c r="G420" s="20" t="str">
        <x:v>unknown</x:v>
      </x:c>
      <x:c r="H420" s="20" t="str">
        <x:v>low</x:v>
      </x:c>
      <x:c r="I420" s="20" t="str">
        <x:v>asin_target</x:v>
      </x:c>
      <x:c r="J420" s="20" t="str">
        <x:v>asin_metadata_pending</x:v>
      </x:c>
      <x:c r="K420" s="20" t="str">
        <x:v>asin_without_metadata</x:v>
      </x:c>
      <x:c r="L420" s="20" t="str">
        <x:v>not_applicable</x:v>
      </x:c>
      <x:c r="M420" s="20" t="str">
        <x:v>non_model</x:v>
      </x:c>
      <x:c r="N420" s="20" t="str">
        <x:v>2</x:v>
      </x:c>
      <x:c r="O420" s="20" t="str">
        <x:v>1.0.0</x:v>
      </x:c>
      <x:c r="P420" s="20" t="str">
        <x:v>1.1.0</x:v>
      </x:c>
      <x:c r="Q420" s="20" t="str">
        <x:v>deepseek/deepseek-v4-pro</x:v>
      </x:c>
      <x:c r="R420" s="20" t="str">
        <x:v>aj2-y90-20260714T234810-0bea2f52</x:v>
      </x:c>
    </x:row>
    <x:row r="421" ht="28" customHeight="1">
      <x:c r="A421" s="20" t="str">
        <x:v>B0G47KFR4G</x:v>
      </x:c>
      <x:c r="B421" s="20" t="str">
        <x:v>b0g47kfr4g</x:v>
      </x:c>
      <x:c r="C421" s="20" t="str">
        <x:v>92763fb3729d7c9e</x:v>
      </x:c>
      <x:c r="D421" s="20" t="str">
        <x:v>asin_target</x:v>
      </x:c>
      <x:c r="E421" s="20" t="str">
        <x:v>en</x:v>
      </x:c>
      <x:c r="F421" s="20" t="str">
        <x:v>该搜索词为 ASIN 形式，需补充商品元数据后再判断用户意图。</x:v>
      </x:c>
      <x:c r="G421" s="20" t="str">
        <x:v>unknown</x:v>
      </x:c>
      <x:c r="H421" s="20" t="str">
        <x:v>low</x:v>
      </x:c>
      <x:c r="I421" s="20" t="str">
        <x:v>asin_target</x:v>
      </x:c>
      <x:c r="J421" s="20" t="str">
        <x:v>asin_metadata_pending</x:v>
      </x:c>
      <x:c r="K421" s="20" t="str">
        <x:v>asin_without_metadata</x:v>
      </x:c>
      <x:c r="L421" s="20" t="str">
        <x:v>not_applicable</x:v>
      </x:c>
      <x:c r="M421" s="20" t="str">
        <x:v>non_model</x:v>
      </x:c>
      <x:c r="N421" s="20" t="str">
        <x:v>1</x:v>
      </x:c>
      <x:c r="O421" s="20" t="str">
        <x:v>1.0.0</x:v>
      </x:c>
      <x:c r="P421" s="20" t="str">
        <x:v>1.1.0</x:v>
      </x:c>
      <x:c r="Q421" s="20" t="str">
        <x:v>deepseek/deepseek-v4-pro</x:v>
      </x:c>
      <x:c r="R421" s="20" t="str">
        <x:v>aj2-y90-20260714T234810-0bea2f52</x:v>
      </x:c>
    </x:row>
    <x:row r="422" ht="28" customHeight="1">
      <x:c r="A422" s="20" t="str">
        <x:v>B0GLF9424X</x:v>
      </x:c>
      <x:c r="B422" s="20" t="str">
        <x:v>b0glf9424x</x:v>
      </x:c>
      <x:c r="C422" s="20" t="str">
        <x:v>92b68c726f9084bd</x:v>
      </x:c>
      <x:c r="D422" s="20" t="str">
        <x:v>asin_target</x:v>
      </x:c>
      <x:c r="E422" s="20" t="str">
        <x:v>en</x:v>
      </x:c>
      <x:c r="F422" s="20" t="str">
        <x:v>该搜索词为 ASIN 形式，需补充商品元数据后再判断用户意图。</x:v>
      </x:c>
      <x:c r="G422" s="20" t="str">
        <x:v>unknown</x:v>
      </x:c>
      <x:c r="H422" s="20" t="str">
        <x:v>low</x:v>
      </x:c>
      <x:c r="I422" s="20" t="str">
        <x:v>asin_target</x:v>
      </x:c>
      <x:c r="J422" s="20" t="str">
        <x:v>asin_metadata_pending</x:v>
      </x:c>
      <x:c r="K422" s="20" t="str">
        <x:v>asin_without_metadata</x:v>
      </x:c>
      <x:c r="L422" s="20" t="str">
        <x:v>not_applicable</x:v>
      </x:c>
      <x:c r="M422" s="20" t="str">
        <x:v>non_model</x:v>
      </x:c>
      <x:c r="N422" s="20" t="str">
        <x:v>1</x:v>
      </x:c>
      <x:c r="O422" s="20" t="str">
        <x:v>1.0.0</x:v>
      </x:c>
      <x:c r="P422" s="20" t="str">
        <x:v>1.1.0</x:v>
      </x:c>
      <x:c r="Q422" s="20" t="str">
        <x:v>deepseek/deepseek-v4-pro</x:v>
      </x:c>
      <x:c r="R422" s="20" t="str">
        <x:v>aj2-y90-20260714T234810-0bea2f52</x:v>
      </x:c>
    </x:row>
    <x:row r="423" ht="28" customHeight="1">
      <x:c r="A423" s="20" t="str">
        <x:v>B0D4665QDX</x:v>
      </x:c>
      <x:c r="B423" s="20" t="str">
        <x:v>b0d4665qdx</x:v>
      </x:c>
      <x:c r="C423" s="20" t="str">
        <x:v>92b9606a548e4d9a</x:v>
      </x:c>
      <x:c r="D423" s="20" t="str">
        <x:v>asin_target</x:v>
      </x:c>
      <x:c r="E423" s="20" t="str">
        <x:v>en</x:v>
      </x:c>
      <x:c r="F423" s="20" t="str">
        <x:v>该搜索词为 ASIN 形式，需补充商品元数据后再判断用户意图。</x:v>
      </x:c>
      <x:c r="G423" s="20" t="str">
        <x:v>unknown</x:v>
      </x:c>
      <x:c r="H423" s="20" t="str">
        <x:v>low</x:v>
      </x:c>
      <x:c r="I423" s="20" t="str">
        <x:v>asin_target</x:v>
      </x:c>
      <x:c r="J423" s="20" t="str">
        <x:v>asin_metadata_pending</x:v>
      </x:c>
      <x:c r="K423" s="20" t="str">
        <x:v>asin_without_metadata</x:v>
      </x:c>
      <x:c r="L423" s="20" t="str">
        <x:v>not_applicable</x:v>
      </x:c>
      <x:c r="M423" s="20" t="str">
        <x:v>non_model</x:v>
      </x:c>
      <x:c r="N423" s="20" t="str">
        <x:v>1</x:v>
      </x:c>
      <x:c r="O423" s="20" t="str">
        <x:v>1.0.0</x:v>
      </x:c>
      <x:c r="P423" s="20" t="str">
        <x:v>1.1.0</x:v>
      </x:c>
      <x:c r="Q423" s="20" t="str">
        <x:v>deepseek/deepseek-v4-pro</x:v>
      </x:c>
      <x:c r="R423" s="20" t="str">
        <x:v>aj2-y90-20260714T234810-0bea2f52</x:v>
      </x:c>
    </x:row>
    <x:row r="424" ht="28" customHeight="1">
      <x:c r="A424" s="20" t="str">
        <x:v>B0GLFKHPRZ</x:v>
      </x:c>
      <x:c r="B424" s="20" t="str">
        <x:v>b0glfkhprz</x:v>
      </x:c>
      <x:c r="C424" s="20" t="str">
        <x:v>92c076e72791bf4d</x:v>
      </x:c>
      <x:c r="D424" s="20" t="str">
        <x:v>asin_target</x:v>
      </x:c>
      <x:c r="E424" s="20" t="str">
        <x:v>en</x:v>
      </x:c>
      <x:c r="F424" s="20" t="str">
        <x:v>该搜索词为 ASIN 形式，需补充商品元数据后再判断用户意图。</x:v>
      </x:c>
      <x:c r="G424" s="20" t="str">
        <x:v>unknown</x:v>
      </x:c>
      <x:c r="H424" s="20" t="str">
        <x:v>low</x:v>
      </x:c>
      <x:c r="I424" s="20" t="str">
        <x:v>asin_target</x:v>
      </x:c>
      <x:c r="J424" s="20" t="str">
        <x:v>asin_metadata_pending</x:v>
      </x:c>
      <x:c r="K424" s="20" t="str">
        <x:v>asin_without_metadata</x:v>
      </x:c>
      <x:c r="L424" s="20" t="str">
        <x:v>not_applicable</x:v>
      </x:c>
      <x:c r="M424" s="20" t="str">
        <x:v>non_model</x:v>
      </x:c>
      <x:c r="N424" s="20" t="str">
        <x:v>1</x:v>
      </x:c>
      <x:c r="O424" s="20" t="str">
        <x:v>1.0.0</x:v>
      </x:c>
      <x:c r="P424" s="20" t="str">
        <x:v>1.1.0</x:v>
      </x:c>
      <x:c r="Q424" s="20" t="str">
        <x:v>deepseek/deepseek-v4-pro</x:v>
      </x:c>
      <x:c r="R424" s="20" t="str">
        <x:v>aj2-y90-20260714T234810-0bea2f52</x:v>
      </x:c>
    </x:row>
    <x:row r="425" ht="28" customHeight="1">
      <x:c r="A425" s="20" t="str">
        <x:v>B0D225TBRC</x:v>
      </x:c>
      <x:c r="B425" s="20" t="str">
        <x:v>b0d225tbrc</x:v>
      </x:c>
      <x:c r="C425" s="20" t="str">
        <x:v>93480b0dff38edfa</x:v>
      </x:c>
      <x:c r="D425" s="20" t="str">
        <x:v>asin_target</x:v>
      </x:c>
      <x:c r="E425" s="20" t="str">
        <x:v>en</x:v>
      </x:c>
      <x:c r="F425" s="20" t="str">
        <x:v>该搜索词为 ASIN 形式，需补充商品元数据后再判断用户意图。</x:v>
      </x:c>
      <x:c r="G425" s="20" t="str">
        <x:v>unknown</x:v>
      </x:c>
      <x:c r="H425" s="20" t="str">
        <x:v>low</x:v>
      </x:c>
      <x:c r="I425" s="20" t="str">
        <x:v>asin_target</x:v>
      </x:c>
      <x:c r="J425" s="20" t="str">
        <x:v>asin_metadata_pending</x:v>
      </x:c>
      <x:c r="K425" s="20" t="str">
        <x:v>asin_without_metadata</x:v>
      </x:c>
      <x:c r="L425" s="20" t="str">
        <x:v>not_applicable</x:v>
      </x:c>
      <x:c r="M425" s="20" t="str">
        <x:v>non_model</x:v>
      </x:c>
      <x:c r="N425" s="20" t="str">
        <x:v>1</x:v>
      </x:c>
      <x:c r="O425" s="20" t="str">
        <x:v>1.0.0</x:v>
      </x:c>
      <x:c r="P425" s="20" t="str">
        <x:v>1.1.0</x:v>
      </x:c>
      <x:c r="Q425" s="20" t="str">
        <x:v>deepseek/deepseek-v4-pro</x:v>
      </x:c>
      <x:c r="R425" s="20" t="str">
        <x:v>aj2-y90-20260714T234810-0bea2f52</x:v>
      </x:c>
    </x:row>
    <x:row r="426" ht="28" customHeight="1">
      <x:c r="A426" s="20" t="str">
        <x:v>B0FDK8QKH7</x:v>
      </x:c>
      <x:c r="B426" s="20" t="str">
        <x:v>b0fdk8qkh7</x:v>
      </x:c>
      <x:c r="C426" s="20" t="str">
        <x:v>937afe99d6fb274d</x:v>
      </x:c>
      <x:c r="D426" s="20" t="str">
        <x:v>asin_target</x:v>
      </x:c>
      <x:c r="E426" s="20" t="str">
        <x:v>en</x:v>
      </x:c>
      <x:c r="F426" s="20" t="str">
        <x:v>该搜索词为 ASIN 形式，需补充商品元数据后再判断用户意图。</x:v>
      </x:c>
      <x:c r="G426" s="20" t="str">
        <x:v>unknown</x:v>
      </x:c>
      <x:c r="H426" s="20" t="str">
        <x:v>low</x:v>
      </x:c>
      <x:c r="I426" s="20" t="str">
        <x:v>asin_target</x:v>
      </x:c>
      <x:c r="J426" s="20" t="str">
        <x:v>asin_metadata_pending</x:v>
      </x:c>
      <x:c r="K426" s="20" t="str">
        <x:v>asin_without_metadata</x:v>
      </x:c>
      <x:c r="L426" s="20" t="str">
        <x:v>not_applicable</x:v>
      </x:c>
      <x:c r="M426" s="20" t="str">
        <x:v>non_model</x:v>
      </x:c>
      <x:c r="N426" s="20" t="str">
        <x:v>1</x:v>
      </x:c>
      <x:c r="O426" s="20" t="str">
        <x:v>1.0.0</x:v>
      </x:c>
      <x:c r="P426" s="20" t="str">
        <x:v>1.1.0</x:v>
      </x:c>
      <x:c r="Q426" s="20" t="str">
        <x:v>deepseek/deepseek-v4-pro</x:v>
      </x:c>
      <x:c r="R426" s="20" t="str">
        <x:v>aj2-y90-20260714T234810-0bea2f52</x:v>
      </x:c>
    </x:row>
    <x:row r="427" ht="28" customHeight="1">
      <x:c r="A427" s="20" t="str">
        <x:v>B0C5ZZ51RT</x:v>
      </x:c>
      <x:c r="B427" s="20" t="str">
        <x:v>b0c5zz51rt</x:v>
      </x:c>
      <x:c r="C427" s="20" t="str">
        <x:v>9397ae7c3fb48b06</x:v>
      </x:c>
      <x:c r="D427" s="20" t="str">
        <x:v>asin_target</x:v>
      </x:c>
      <x:c r="E427" s="20" t="str">
        <x:v>en</x:v>
      </x:c>
      <x:c r="F427" s="20" t="str">
        <x:v>该搜索词为 ASIN 形式，需补充商品元数据后再判断用户意图。</x:v>
      </x:c>
      <x:c r="G427" s="20" t="str">
        <x:v>unknown</x:v>
      </x:c>
      <x:c r="H427" s="20" t="str">
        <x:v>low</x:v>
      </x:c>
      <x:c r="I427" s="20" t="str">
        <x:v>asin_target</x:v>
      </x:c>
      <x:c r="J427" s="20" t="str">
        <x:v>asin_metadata_pending</x:v>
      </x:c>
      <x:c r="K427" s="20" t="str">
        <x:v>asin_without_metadata</x:v>
      </x:c>
      <x:c r="L427" s="20" t="str">
        <x:v>not_applicable</x:v>
      </x:c>
      <x:c r="M427" s="20" t="str">
        <x:v>non_model</x:v>
      </x:c>
      <x:c r="N427" s="20" t="str">
        <x:v>1</x:v>
      </x:c>
      <x:c r="O427" s="20" t="str">
        <x:v>1.0.0</x:v>
      </x:c>
      <x:c r="P427" s="20" t="str">
        <x:v>1.1.0</x:v>
      </x:c>
      <x:c r="Q427" s="20" t="str">
        <x:v>deepseek/deepseek-v4-pro</x:v>
      </x:c>
      <x:c r="R427" s="20" t="str">
        <x:v>aj2-y90-20260714T234810-0bea2f52</x:v>
      </x:c>
    </x:row>
    <x:row r="428" ht="28" customHeight="1">
      <x:c r="A428" s="20" t="str">
        <x:v>B0F8MDXD5F</x:v>
      </x:c>
      <x:c r="B428" s="20" t="str">
        <x:v>b0f8mdxd5f</x:v>
      </x:c>
      <x:c r="C428" s="20" t="str">
        <x:v>94abeefb8112e34d</x:v>
      </x:c>
      <x:c r="D428" s="20" t="str">
        <x:v>asin_target</x:v>
      </x:c>
      <x:c r="E428" s="20" t="str">
        <x:v>en</x:v>
      </x:c>
      <x:c r="F428" s="20" t="str">
        <x:v>该搜索词为 ASIN 形式，需补充商品元数据后再判断用户意图。</x:v>
      </x:c>
      <x:c r="G428" s="20" t="str">
        <x:v>unknown</x:v>
      </x:c>
      <x:c r="H428" s="20" t="str">
        <x:v>low</x:v>
      </x:c>
      <x:c r="I428" s="20" t="str">
        <x:v>asin_target</x:v>
      </x:c>
      <x:c r="J428" s="20" t="str">
        <x:v>asin_metadata_pending</x:v>
      </x:c>
      <x:c r="K428" s="20" t="str">
        <x:v>asin_without_metadata</x:v>
      </x:c>
      <x:c r="L428" s="20" t="str">
        <x:v>not_applicable</x:v>
      </x:c>
      <x:c r="M428" s="20" t="str">
        <x:v>non_model</x:v>
      </x:c>
      <x:c r="N428" s="20" t="str">
        <x:v>1</x:v>
      </x:c>
      <x:c r="O428" s="20" t="str">
        <x:v>1.0.0</x:v>
      </x:c>
      <x:c r="P428" s="20" t="str">
        <x:v>1.1.0</x:v>
      </x:c>
      <x:c r="Q428" s="20" t="str">
        <x:v>deepseek/deepseek-v4-pro</x:v>
      </x:c>
      <x:c r="R428" s="20" t="str">
        <x:v>aj2-y90-20260714T234810-0bea2f52</x:v>
      </x:c>
    </x:row>
    <x:row r="429" ht="28" customHeight="1">
      <x:c r="A429" s="20" t="str">
        <x:v>B0GLFF7WRC</x:v>
      </x:c>
      <x:c r="B429" s="20" t="str">
        <x:v>b0glff7wrc</x:v>
      </x:c>
      <x:c r="C429" s="20" t="str">
        <x:v>953b2ef8052d1284</x:v>
      </x:c>
      <x:c r="D429" s="20" t="str">
        <x:v>asin_target</x:v>
      </x:c>
      <x:c r="E429" s="20" t="str">
        <x:v>en</x:v>
      </x:c>
      <x:c r="F429" s="20" t="str">
        <x:v>该搜索词为 ASIN 形式，需补充商品元数据后再判断用户意图。</x:v>
      </x:c>
      <x:c r="G429" s="20" t="str">
        <x:v>unknown</x:v>
      </x:c>
      <x:c r="H429" s="20" t="str">
        <x:v>low</x:v>
      </x:c>
      <x:c r="I429" s="20" t="str">
        <x:v>asin_target</x:v>
      </x:c>
      <x:c r="J429" s="20" t="str">
        <x:v>asin_metadata_pending</x:v>
      </x:c>
      <x:c r="K429" s="20" t="str">
        <x:v>asin_without_metadata</x:v>
      </x:c>
      <x:c r="L429" s="20" t="str">
        <x:v>not_applicable</x:v>
      </x:c>
      <x:c r="M429" s="20" t="str">
        <x:v>non_model</x:v>
      </x:c>
      <x:c r="N429" s="20" t="str">
        <x:v>2</x:v>
      </x:c>
      <x:c r="O429" s="20" t="str">
        <x:v>1.0.0</x:v>
      </x:c>
      <x:c r="P429" s="20" t="str">
        <x:v>1.1.0</x:v>
      </x:c>
      <x:c r="Q429" s="20" t="str">
        <x:v>deepseek/deepseek-v4-pro</x:v>
      </x:c>
      <x:c r="R429" s="20" t="str">
        <x:v>aj2-y90-20260714T234810-0bea2f52</x:v>
      </x:c>
    </x:row>
    <x:row r="430" ht="28" customHeight="1">
      <x:c r="A430" s="20" t="str">
        <x:v>B0DPW8VD7S</x:v>
      </x:c>
      <x:c r="B430" s="20" t="str">
        <x:v>b0dpw8vd7s</x:v>
      </x:c>
      <x:c r="C430" s="20" t="str">
        <x:v>95a478ce4898c325</x:v>
      </x:c>
      <x:c r="D430" s="20" t="str">
        <x:v>asin_target</x:v>
      </x:c>
      <x:c r="E430" s="20" t="str">
        <x:v>en</x:v>
      </x:c>
      <x:c r="F430" s="20" t="str">
        <x:v>该搜索词为 ASIN 形式，需补充商品元数据后再判断用户意图。</x:v>
      </x:c>
      <x:c r="G430" s="20" t="str">
        <x:v>unknown</x:v>
      </x:c>
      <x:c r="H430" s="20" t="str">
        <x:v>low</x:v>
      </x:c>
      <x:c r="I430" s="20" t="str">
        <x:v>asin_target</x:v>
      </x:c>
      <x:c r="J430" s="20" t="str">
        <x:v>asin_metadata_pending</x:v>
      </x:c>
      <x:c r="K430" s="20" t="str">
        <x:v>asin_without_metadata</x:v>
      </x:c>
      <x:c r="L430" s="20" t="str">
        <x:v>not_applicable</x:v>
      </x:c>
      <x:c r="M430" s="20" t="str">
        <x:v>non_model</x:v>
      </x:c>
      <x:c r="N430" s="20" t="str">
        <x:v>1</x:v>
      </x:c>
      <x:c r="O430" s="20" t="str">
        <x:v>1.0.0</x:v>
      </x:c>
      <x:c r="P430" s="20" t="str">
        <x:v>1.1.0</x:v>
      </x:c>
      <x:c r="Q430" s="20" t="str">
        <x:v>deepseek/deepseek-v4-pro</x:v>
      </x:c>
      <x:c r="R430" s="20" t="str">
        <x:v>aj2-y90-20260714T234810-0bea2f52</x:v>
      </x:c>
    </x:row>
    <x:row r="431" ht="28" customHeight="1">
      <x:c r="A431" s="20" t="str">
        <x:v>B0GD588VPJ</x:v>
      </x:c>
      <x:c r="B431" s="20" t="str">
        <x:v>b0gd588vpj</x:v>
      </x:c>
      <x:c r="C431" s="20" t="str">
        <x:v>95c21e1c60c7fbd3</x:v>
      </x:c>
      <x:c r="D431" s="20" t="str">
        <x:v>asin_target</x:v>
      </x:c>
      <x:c r="E431" s="20" t="str">
        <x:v>en</x:v>
      </x:c>
      <x:c r="F431" s="20" t="str">
        <x:v>该搜索词为 ASIN 形式，需补充商品元数据后再判断用户意图。</x:v>
      </x:c>
      <x:c r="G431" s="20" t="str">
        <x:v>unknown</x:v>
      </x:c>
      <x:c r="H431" s="20" t="str">
        <x:v>low</x:v>
      </x:c>
      <x:c r="I431" s="20" t="str">
        <x:v>asin_target</x:v>
      </x:c>
      <x:c r="J431" s="20" t="str">
        <x:v>asin_metadata_pending</x:v>
      </x:c>
      <x:c r="K431" s="20" t="str">
        <x:v>asin_without_metadata</x:v>
      </x:c>
      <x:c r="L431" s="20" t="str">
        <x:v>not_applicable</x:v>
      </x:c>
      <x:c r="M431" s="20" t="str">
        <x:v>non_model</x:v>
      </x:c>
      <x:c r="N431" s="20" t="str">
        <x:v>1</x:v>
      </x:c>
      <x:c r="O431" s="20" t="str">
        <x:v>1.0.0</x:v>
      </x:c>
      <x:c r="P431" s="20" t="str">
        <x:v>1.1.0</x:v>
      </x:c>
      <x:c r="Q431" s="20" t="str">
        <x:v>deepseek/deepseek-v4-pro</x:v>
      </x:c>
      <x:c r="R431" s="20" t="str">
        <x:v>aj2-y90-20260714T234810-0bea2f52</x:v>
      </x:c>
    </x:row>
    <x:row r="432" ht="28" customHeight="1">
      <x:c r="A432" s="20" t="str">
        <x:v>B0GGQY6YPB</x:v>
      </x:c>
      <x:c r="B432" s="20" t="str">
        <x:v>b0ggqy6ypb</x:v>
      </x:c>
      <x:c r="C432" s="20" t="str">
        <x:v>96144a30a98ecde2</x:v>
      </x:c>
      <x:c r="D432" s="20" t="str">
        <x:v>asin_target</x:v>
      </x:c>
      <x:c r="E432" s="20" t="str">
        <x:v>en</x:v>
      </x:c>
      <x:c r="F432" s="20" t="str">
        <x:v>该搜索词为 ASIN 形式，需补充商品元数据后再判断用户意图。</x:v>
      </x:c>
      <x:c r="G432" s="20" t="str">
        <x:v>unknown</x:v>
      </x:c>
      <x:c r="H432" s="20" t="str">
        <x:v>low</x:v>
      </x:c>
      <x:c r="I432" s="20" t="str">
        <x:v>asin_target</x:v>
      </x:c>
      <x:c r="J432" s="20" t="str">
        <x:v>asin_metadata_pending</x:v>
      </x:c>
      <x:c r="K432" s="20" t="str">
        <x:v>asin_without_metadata</x:v>
      </x:c>
      <x:c r="L432" s="20" t="str">
        <x:v>not_applicable</x:v>
      </x:c>
      <x:c r="M432" s="20" t="str">
        <x:v>non_model</x:v>
      </x:c>
      <x:c r="N432" s="20" t="str">
        <x:v>1</x:v>
      </x:c>
      <x:c r="O432" s="20" t="str">
        <x:v>1.0.0</x:v>
      </x:c>
      <x:c r="P432" s="20" t="str">
        <x:v>1.1.0</x:v>
      </x:c>
      <x:c r="Q432" s="20" t="str">
        <x:v>deepseek/deepseek-v4-pro</x:v>
      </x:c>
      <x:c r="R432" s="20" t="str">
        <x:v>aj2-y90-20260714T234810-0bea2f52</x:v>
      </x:c>
    </x:row>
    <x:row r="433" ht="28" customHeight="1">
      <x:c r="A433" s="20" t="str">
        <x:v>B0DSMWVDD7</x:v>
      </x:c>
      <x:c r="B433" s="20" t="str">
        <x:v>b0dsmwvdd7</x:v>
      </x:c>
      <x:c r="C433" s="20" t="str">
        <x:v>967d4c2d521d7853</x:v>
      </x:c>
      <x:c r="D433" s="20" t="str">
        <x:v>asin_target</x:v>
      </x:c>
      <x:c r="E433" s="20" t="str">
        <x:v>en</x:v>
      </x:c>
      <x:c r="F433" s="20" t="str">
        <x:v>该搜索词为 ASIN 形式，需补充商品元数据后再判断用户意图。</x:v>
      </x:c>
      <x:c r="G433" s="20" t="str">
        <x:v>unknown</x:v>
      </x:c>
      <x:c r="H433" s="20" t="str">
        <x:v>low</x:v>
      </x:c>
      <x:c r="I433" s="20" t="str">
        <x:v>asin_target</x:v>
      </x:c>
      <x:c r="J433" s="20" t="str">
        <x:v>asin_metadata_pending</x:v>
      </x:c>
      <x:c r="K433" s="20" t="str">
        <x:v>asin_without_metadata</x:v>
      </x:c>
      <x:c r="L433" s="20" t="str">
        <x:v>not_applicable</x:v>
      </x:c>
      <x:c r="M433" s="20" t="str">
        <x:v>non_model</x:v>
      </x:c>
      <x:c r="N433" s="20" t="str">
        <x:v>1</x:v>
      </x:c>
      <x:c r="O433" s="20" t="str">
        <x:v>1.0.0</x:v>
      </x:c>
      <x:c r="P433" s="20" t="str">
        <x:v>1.1.0</x:v>
      </x:c>
      <x:c r="Q433" s="20" t="str">
        <x:v>deepseek/deepseek-v4-pro</x:v>
      </x:c>
      <x:c r="R433" s="20" t="str">
        <x:v>aj2-y90-20260714T234810-0bea2f52</x:v>
      </x:c>
    </x:row>
    <x:row r="434" ht="28" customHeight="1">
      <x:c r="A434" s="20" t="str">
        <x:v>B0G47XSTYX</x:v>
      </x:c>
      <x:c r="B434" s="20" t="str">
        <x:v>b0g47xstyx</x:v>
      </x:c>
      <x:c r="C434" s="20" t="str">
        <x:v>96940b017d68845b</x:v>
      </x:c>
      <x:c r="D434" s="20" t="str">
        <x:v>asin_target</x:v>
      </x:c>
      <x:c r="E434" s="20" t="str">
        <x:v>en</x:v>
      </x:c>
      <x:c r="F434" s="20" t="str">
        <x:v>该搜索词为 ASIN 形式，需补充商品元数据后再判断用户意图。</x:v>
      </x:c>
      <x:c r="G434" s="20" t="str">
        <x:v>unknown</x:v>
      </x:c>
      <x:c r="H434" s="20" t="str">
        <x:v>low</x:v>
      </x:c>
      <x:c r="I434" s="20" t="str">
        <x:v>asin_target</x:v>
      </x:c>
      <x:c r="J434" s="20" t="str">
        <x:v>asin_metadata_pending</x:v>
      </x:c>
      <x:c r="K434" s="20" t="str">
        <x:v>asin_without_metadata</x:v>
      </x:c>
      <x:c r="L434" s="20" t="str">
        <x:v>not_applicable</x:v>
      </x:c>
      <x:c r="M434" s="20" t="str">
        <x:v>non_model</x:v>
      </x:c>
      <x:c r="N434" s="20" t="str">
        <x:v>1</x:v>
      </x:c>
      <x:c r="O434" s="20" t="str">
        <x:v>1.0.0</x:v>
      </x:c>
      <x:c r="P434" s="20" t="str">
        <x:v>1.1.0</x:v>
      </x:c>
      <x:c r="Q434" s="20" t="str">
        <x:v>deepseek/deepseek-v4-pro</x:v>
      </x:c>
      <x:c r="R434" s="20" t="str">
        <x:v>aj2-y90-20260714T234810-0bea2f52</x:v>
      </x:c>
    </x:row>
    <x:row r="435" ht="28" customHeight="1">
      <x:c r="A435" s="20" t="str">
        <x:v>B0DTN814H8</x:v>
      </x:c>
      <x:c r="B435" s="20" t="str">
        <x:v>b0dtn814h8</x:v>
      </x:c>
      <x:c r="C435" s="20" t="str">
        <x:v>96b51d2dcf7457e5</x:v>
      </x:c>
      <x:c r="D435" s="20" t="str">
        <x:v>asin_target</x:v>
      </x:c>
      <x:c r="E435" s="20" t="str">
        <x:v>en</x:v>
      </x:c>
      <x:c r="F435" s="20" t="str">
        <x:v>该搜索词为 ASIN 形式，需补充商品元数据后再判断用户意图。</x:v>
      </x:c>
      <x:c r="G435" s="20" t="str">
        <x:v>unknown</x:v>
      </x:c>
      <x:c r="H435" s="20" t="str">
        <x:v>low</x:v>
      </x:c>
      <x:c r="I435" s="20" t="str">
        <x:v>asin_target</x:v>
      </x:c>
      <x:c r="J435" s="20" t="str">
        <x:v>asin_metadata_pending</x:v>
      </x:c>
      <x:c r="K435" s="20" t="str">
        <x:v>asin_without_metadata</x:v>
      </x:c>
      <x:c r="L435" s="20" t="str">
        <x:v>not_applicable</x:v>
      </x:c>
      <x:c r="M435" s="20" t="str">
        <x:v>non_model</x:v>
      </x:c>
      <x:c r="N435" s="20" t="str">
        <x:v>1</x:v>
      </x:c>
      <x:c r="O435" s="20" t="str">
        <x:v>1.0.0</x:v>
      </x:c>
      <x:c r="P435" s="20" t="str">
        <x:v>1.1.0</x:v>
      </x:c>
      <x:c r="Q435" s="20" t="str">
        <x:v>deepseek/deepseek-v4-pro</x:v>
      </x:c>
      <x:c r="R435" s="20" t="str">
        <x:v>aj2-y90-20260714T234810-0bea2f52</x:v>
      </x:c>
    </x:row>
    <x:row r="436" ht="28" customHeight="1">
      <x:c r="A436" s="20" t="str">
        <x:v>B0GLFKWYHS</x:v>
      </x:c>
      <x:c r="B436" s="20" t="str">
        <x:v>b0glfkwyhs</x:v>
      </x:c>
      <x:c r="C436" s="20" t="str">
        <x:v>96c7ad8910b5b38b</x:v>
      </x:c>
      <x:c r="D436" s="20" t="str">
        <x:v>asin_target</x:v>
      </x:c>
      <x:c r="E436" s="20" t="str">
        <x:v>en</x:v>
      </x:c>
      <x:c r="F436" s="20" t="str">
        <x:v>该搜索词为 ASIN 形式，需补充商品元数据后再判断用户意图。</x:v>
      </x:c>
      <x:c r="G436" s="20" t="str">
        <x:v>unknown</x:v>
      </x:c>
      <x:c r="H436" s="20" t="str">
        <x:v>low</x:v>
      </x:c>
      <x:c r="I436" s="20" t="str">
        <x:v>asin_target</x:v>
      </x:c>
      <x:c r="J436" s="20" t="str">
        <x:v>asin_metadata_pending</x:v>
      </x:c>
      <x:c r="K436" s="20" t="str">
        <x:v>asin_without_metadata</x:v>
      </x:c>
      <x:c r="L436" s="20" t="str">
        <x:v>not_applicable</x:v>
      </x:c>
      <x:c r="M436" s="20" t="str">
        <x:v>non_model</x:v>
      </x:c>
      <x:c r="N436" s="20" t="str">
        <x:v>1</x:v>
      </x:c>
      <x:c r="O436" s="20" t="str">
        <x:v>1.0.0</x:v>
      </x:c>
      <x:c r="P436" s="20" t="str">
        <x:v>1.1.0</x:v>
      </x:c>
      <x:c r="Q436" s="20" t="str">
        <x:v>deepseek/deepseek-v4-pro</x:v>
      </x:c>
      <x:c r="R436" s="20" t="str">
        <x:v>aj2-y90-20260714T234810-0bea2f52</x:v>
      </x:c>
    </x:row>
    <x:row r="437" ht="28" customHeight="1">
      <x:c r="A437" s="20" t="str">
        <x:v>B0GKD9K6WL</x:v>
      </x:c>
      <x:c r="B437" s="20" t="str">
        <x:v>b0gkd9k6wl</x:v>
      </x:c>
      <x:c r="C437" s="20" t="str">
        <x:v>96c964534857539c</x:v>
      </x:c>
      <x:c r="D437" s="20" t="str">
        <x:v>asin_target</x:v>
      </x:c>
      <x:c r="E437" s="20" t="str">
        <x:v>en</x:v>
      </x:c>
      <x:c r="F437" s="20" t="str">
        <x:v>该搜索词为 ASIN 形式，需补充商品元数据后再判断用户意图。</x:v>
      </x:c>
      <x:c r="G437" s="20" t="str">
        <x:v>unknown</x:v>
      </x:c>
      <x:c r="H437" s="20" t="str">
        <x:v>low</x:v>
      </x:c>
      <x:c r="I437" s="20" t="str">
        <x:v>asin_target</x:v>
      </x:c>
      <x:c r="J437" s="20" t="str">
        <x:v>asin_metadata_pending</x:v>
      </x:c>
      <x:c r="K437" s="20" t="str">
        <x:v>asin_without_metadata</x:v>
      </x:c>
      <x:c r="L437" s="20" t="str">
        <x:v>not_applicable</x:v>
      </x:c>
      <x:c r="M437" s="20" t="str">
        <x:v>non_model</x:v>
      </x:c>
      <x:c r="N437" s="20" t="str">
        <x:v>1</x:v>
      </x:c>
      <x:c r="O437" s="20" t="str">
        <x:v>1.0.0</x:v>
      </x:c>
      <x:c r="P437" s="20" t="str">
        <x:v>1.1.0</x:v>
      </x:c>
      <x:c r="Q437" s="20" t="str">
        <x:v>deepseek/deepseek-v4-pro</x:v>
      </x:c>
      <x:c r="R437" s="20" t="str">
        <x:v>aj2-y90-20260714T234810-0bea2f52</x:v>
      </x:c>
    </x:row>
    <x:row r="438" ht="28" customHeight="1">
      <x:c r="A438" s="20" t="str">
        <x:v>B0D224JG95</x:v>
      </x:c>
      <x:c r="B438" s="20" t="str">
        <x:v>b0d224jg95</x:v>
      </x:c>
      <x:c r="C438" s="20" t="str">
        <x:v>971e80d2c5264f79</x:v>
      </x:c>
      <x:c r="D438" s="20" t="str">
        <x:v>asin_target</x:v>
      </x:c>
      <x:c r="E438" s="20" t="str">
        <x:v>en</x:v>
      </x:c>
      <x:c r="F438" s="20" t="str">
        <x:v>该搜索词为 ASIN 形式，需补充商品元数据后再判断用户意图。</x:v>
      </x:c>
      <x:c r="G438" s="20" t="str">
        <x:v>unknown</x:v>
      </x:c>
      <x:c r="H438" s="20" t="str">
        <x:v>low</x:v>
      </x:c>
      <x:c r="I438" s="20" t="str">
        <x:v>asin_target</x:v>
      </x:c>
      <x:c r="J438" s="20" t="str">
        <x:v>asin_metadata_pending</x:v>
      </x:c>
      <x:c r="K438" s="20" t="str">
        <x:v>asin_without_metadata</x:v>
      </x:c>
      <x:c r="L438" s="20" t="str">
        <x:v>not_applicable</x:v>
      </x:c>
      <x:c r="M438" s="20" t="str">
        <x:v>non_model</x:v>
      </x:c>
      <x:c r="N438" s="20" t="str">
        <x:v>1</x:v>
      </x:c>
      <x:c r="O438" s="20" t="str">
        <x:v>1.0.0</x:v>
      </x:c>
      <x:c r="P438" s="20" t="str">
        <x:v>1.1.0</x:v>
      </x:c>
      <x:c r="Q438" s="20" t="str">
        <x:v>deepseek/deepseek-v4-pro</x:v>
      </x:c>
      <x:c r="R438" s="20" t="str">
        <x:v>aj2-y90-20260714T234810-0bea2f52</x:v>
      </x:c>
    </x:row>
    <x:row r="439" ht="28" customHeight="1">
      <x:c r="A439" s="20" t="str">
        <x:v>B0FDJWWT38</x:v>
      </x:c>
      <x:c r="B439" s="20" t="str">
        <x:v>b0fdjwwt38</x:v>
      </x:c>
      <x:c r="C439" s="20" t="str">
        <x:v>9800084f8cd8d187</x:v>
      </x:c>
      <x:c r="D439" s="20" t="str">
        <x:v>asin_target</x:v>
      </x:c>
      <x:c r="E439" s="20" t="str">
        <x:v>en</x:v>
      </x:c>
      <x:c r="F439" s="20" t="str">
        <x:v>该搜索词为 ASIN 形式，需补充商品元数据后再判断用户意图。</x:v>
      </x:c>
      <x:c r="G439" s="20" t="str">
        <x:v>unknown</x:v>
      </x:c>
      <x:c r="H439" s="20" t="str">
        <x:v>low</x:v>
      </x:c>
      <x:c r="I439" s="20" t="str">
        <x:v>asin_target</x:v>
      </x:c>
      <x:c r="J439" s="20" t="str">
        <x:v>asin_metadata_pending</x:v>
      </x:c>
      <x:c r="K439" s="20" t="str">
        <x:v>asin_without_metadata</x:v>
      </x:c>
      <x:c r="L439" s="20" t="str">
        <x:v>not_applicable</x:v>
      </x:c>
      <x:c r="M439" s="20" t="str">
        <x:v>non_model</x:v>
      </x:c>
      <x:c r="N439" s="20" t="str">
        <x:v>1</x:v>
      </x:c>
      <x:c r="O439" s="20" t="str">
        <x:v>1.0.0</x:v>
      </x:c>
      <x:c r="P439" s="20" t="str">
        <x:v>1.1.0</x:v>
      </x:c>
      <x:c r="Q439" s="20" t="str">
        <x:v>deepseek/deepseek-v4-pro</x:v>
      </x:c>
      <x:c r="R439" s="20" t="str">
        <x:v>aj2-y90-20260714T234810-0bea2f52</x:v>
      </x:c>
    </x:row>
    <x:row r="440" ht="28" customHeight="1">
      <x:c r="A440" s="20" t="str">
        <x:v>B08YNMZFZ6</x:v>
      </x:c>
      <x:c r="B440" s="20" t="str">
        <x:v>b08ynmzfz6</x:v>
      </x:c>
      <x:c r="C440" s="20" t="str">
        <x:v>98aab427c705b368</x:v>
      </x:c>
      <x:c r="D440" s="20" t="str">
        <x:v>asin_target</x:v>
      </x:c>
      <x:c r="E440" s="20" t="str">
        <x:v>en</x:v>
      </x:c>
      <x:c r="F440" s="20" t="str">
        <x:v>该搜索词为 ASIN 形式，需补充商品元数据后再判断用户意图。</x:v>
      </x:c>
      <x:c r="G440" s="20" t="str">
        <x:v>unknown</x:v>
      </x:c>
      <x:c r="H440" s="20" t="str">
        <x:v>low</x:v>
      </x:c>
      <x:c r="I440" s="20" t="str">
        <x:v>asin_target</x:v>
      </x:c>
      <x:c r="J440" s="20" t="str">
        <x:v>asin_metadata_pending</x:v>
      </x:c>
      <x:c r="K440" s="20" t="str">
        <x:v>asin_without_metadata</x:v>
      </x:c>
      <x:c r="L440" s="20" t="str">
        <x:v>not_applicable</x:v>
      </x:c>
      <x:c r="M440" s="20" t="str">
        <x:v>non_model</x:v>
      </x:c>
      <x:c r="N440" s="20" t="str">
        <x:v>1</x:v>
      </x:c>
      <x:c r="O440" s="20" t="str">
        <x:v>1.0.0</x:v>
      </x:c>
      <x:c r="P440" s="20" t="str">
        <x:v>1.1.0</x:v>
      </x:c>
      <x:c r="Q440" s="20" t="str">
        <x:v>deepseek/deepseek-v4-pro</x:v>
      </x:c>
      <x:c r="R440" s="20" t="str">
        <x:v>aj2-y90-20260714T234810-0bea2f52</x:v>
      </x:c>
    </x:row>
    <x:row r="441" ht="28" customHeight="1">
      <x:c r="A441" s="20" t="str">
        <x:v>B0BNTSSM5G</x:v>
      </x:c>
      <x:c r="B441" s="20" t="str">
        <x:v>b0bntssm5g</x:v>
      </x:c>
      <x:c r="C441" s="20" t="str">
        <x:v>98e993e1d3958c7d</x:v>
      </x:c>
      <x:c r="D441" s="20" t="str">
        <x:v>asin_target</x:v>
      </x:c>
      <x:c r="E441" s="20" t="str">
        <x:v>en</x:v>
      </x:c>
      <x:c r="F441" s="20" t="str">
        <x:v>该搜索词为 ASIN 形式，需补充商品元数据后再判断用户意图。</x:v>
      </x:c>
      <x:c r="G441" s="20" t="str">
        <x:v>unknown</x:v>
      </x:c>
      <x:c r="H441" s="20" t="str">
        <x:v>low</x:v>
      </x:c>
      <x:c r="I441" s="20" t="str">
        <x:v>asin_target</x:v>
      </x:c>
      <x:c r="J441" s="20" t="str">
        <x:v>asin_metadata_pending</x:v>
      </x:c>
      <x:c r="K441" s="20" t="str">
        <x:v>asin_without_metadata</x:v>
      </x:c>
      <x:c r="L441" s="20" t="str">
        <x:v>not_applicable</x:v>
      </x:c>
      <x:c r="M441" s="20" t="str">
        <x:v>non_model</x:v>
      </x:c>
      <x:c r="N441" s="20" t="str">
        <x:v>1</x:v>
      </x:c>
      <x:c r="O441" s="20" t="str">
        <x:v>1.0.0</x:v>
      </x:c>
      <x:c r="P441" s="20" t="str">
        <x:v>1.1.0</x:v>
      </x:c>
      <x:c r="Q441" s="20" t="str">
        <x:v>deepseek/deepseek-v4-pro</x:v>
      </x:c>
      <x:c r="R441" s="20" t="str">
        <x:v>aj2-y90-20260714T234810-0bea2f52</x:v>
      </x:c>
    </x:row>
    <x:row r="442" ht="28" customHeight="1">
      <x:c r="A442" s="20" t="str">
        <x:v>B0DS9HGZJX</x:v>
      </x:c>
      <x:c r="B442" s="20" t="str">
        <x:v>b0ds9hgzjx</x:v>
      </x:c>
      <x:c r="C442" s="20" t="str">
        <x:v>990d6dc51cf3343f</x:v>
      </x:c>
      <x:c r="D442" s="20" t="str">
        <x:v>asin_target</x:v>
      </x:c>
      <x:c r="E442" s="20" t="str">
        <x:v>en</x:v>
      </x:c>
      <x:c r="F442" s="20" t="str">
        <x:v>该搜索词为 ASIN 形式，需补充商品元数据后再判断用户意图。</x:v>
      </x:c>
      <x:c r="G442" s="20" t="str">
        <x:v>unknown</x:v>
      </x:c>
      <x:c r="H442" s="20" t="str">
        <x:v>low</x:v>
      </x:c>
      <x:c r="I442" s="20" t="str">
        <x:v>asin_target</x:v>
      </x:c>
      <x:c r="J442" s="20" t="str">
        <x:v>asin_metadata_pending</x:v>
      </x:c>
      <x:c r="K442" s="20" t="str">
        <x:v>asin_without_metadata</x:v>
      </x:c>
      <x:c r="L442" s="20" t="str">
        <x:v>not_applicable</x:v>
      </x:c>
      <x:c r="M442" s="20" t="str">
        <x:v>non_model</x:v>
      </x:c>
      <x:c r="N442" s="20" t="str">
        <x:v>1</x:v>
      </x:c>
      <x:c r="O442" s="20" t="str">
        <x:v>1.0.0</x:v>
      </x:c>
      <x:c r="P442" s="20" t="str">
        <x:v>1.1.0</x:v>
      </x:c>
      <x:c r="Q442" s="20" t="str">
        <x:v>deepseek/deepseek-v4-pro</x:v>
      </x:c>
      <x:c r="R442" s="20" t="str">
        <x:v>aj2-y90-20260714T234810-0bea2f52</x:v>
      </x:c>
    </x:row>
    <x:row r="443" ht="28" customHeight="1">
      <x:c r="A443" s="20" t="str">
        <x:v>B07VC5G2DG</x:v>
      </x:c>
      <x:c r="B443" s="20" t="str">
        <x:v>b07vc5g2dg</x:v>
      </x:c>
      <x:c r="C443" s="20" t="str">
        <x:v>99b041450ca9da9a</x:v>
      </x:c>
      <x:c r="D443" s="20" t="str">
        <x:v>asin_target</x:v>
      </x:c>
      <x:c r="E443" s="20" t="str">
        <x:v>en</x:v>
      </x:c>
      <x:c r="F443" s="20" t="str">
        <x:v>该搜索词为 ASIN 形式，需补充商品元数据后再判断用户意图。</x:v>
      </x:c>
      <x:c r="G443" s="20" t="str">
        <x:v>unknown</x:v>
      </x:c>
      <x:c r="H443" s="20" t="str">
        <x:v>low</x:v>
      </x:c>
      <x:c r="I443" s="20" t="str">
        <x:v>asin_target</x:v>
      </x:c>
      <x:c r="J443" s="20" t="str">
        <x:v>asin_metadata_pending</x:v>
      </x:c>
      <x:c r="K443" s="20" t="str">
        <x:v>asin_without_metadata</x:v>
      </x:c>
      <x:c r="L443" s="20" t="str">
        <x:v>not_applicable</x:v>
      </x:c>
      <x:c r="M443" s="20" t="str">
        <x:v>non_model</x:v>
      </x:c>
      <x:c r="N443" s="20" t="str">
        <x:v>1</x:v>
      </x:c>
      <x:c r="O443" s="20" t="str">
        <x:v>1.0.0</x:v>
      </x:c>
      <x:c r="P443" s="20" t="str">
        <x:v>1.1.0</x:v>
      </x:c>
      <x:c r="Q443" s="20" t="str">
        <x:v>deepseek/deepseek-v4-pro</x:v>
      </x:c>
      <x:c r="R443" s="20" t="str">
        <x:v>aj2-y90-20260714T234810-0bea2f52</x:v>
      </x:c>
    </x:row>
    <x:row r="444" ht="28" customHeight="1">
      <x:c r="A444" s="20" t="str">
        <x:v>B0BJ38L3BH</x:v>
      </x:c>
      <x:c r="B444" s="20" t="str">
        <x:v>b0bj38l3bh</x:v>
      </x:c>
      <x:c r="C444" s="20" t="str">
        <x:v>9a89c975dea80be1</x:v>
      </x:c>
      <x:c r="D444" s="20" t="str">
        <x:v>asin_target</x:v>
      </x:c>
      <x:c r="E444" s="20" t="str">
        <x:v>en</x:v>
      </x:c>
      <x:c r="F444" s="20" t="str">
        <x:v>该搜索词为 ASIN 形式，需补充商品元数据后再判断用户意图。</x:v>
      </x:c>
      <x:c r="G444" s="20" t="str">
        <x:v>unknown</x:v>
      </x:c>
      <x:c r="H444" s="20" t="str">
        <x:v>low</x:v>
      </x:c>
      <x:c r="I444" s="20" t="str">
        <x:v>asin_target</x:v>
      </x:c>
      <x:c r="J444" s="20" t="str">
        <x:v>asin_metadata_pending</x:v>
      </x:c>
      <x:c r="K444" s="20" t="str">
        <x:v>asin_without_metadata</x:v>
      </x:c>
      <x:c r="L444" s="20" t="str">
        <x:v>not_applicable</x:v>
      </x:c>
      <x:c r="M444" s="20" t="str">
        <x:v>non_model</x:v>
      </x:c>
      <x:c r="N444" s="20" t="str">
        <x:v>1</x:v>
      </x:c>
      <x:c r="O444" s="20" t="str">
        <x:v>1.0.0</x:v>
      </x:c>
      <x:c r="P444" s="20" t="str">
        <x:v>1.1.0</x:v>
      </x:c>
      <x:c r="Q444" s="20" t="str">
        <x:v>deepseek/deepseek-v4-pro</x:v>
      </x:c>
      <x:c r="R444" s="20" t="str">
        <x:v>aj2-y90-20260714T234810-0bea2f52</x:v>
      </x:c>
    </x:row>
    <x:row r="445" ht="28" customHeight="1">
      <x:c r="A445" s="20" t="str">
        <x:v>B0GWC6XZ4R</x:v>
      </x:c>
      <x:c r="B445" s="20" t="str">
        <x:v>b0gwc6xz4r</x:v>
      </x:c>
      <x:c r="C445" s="20" t="str">
        <x:v>9ac62794f0f7f29b</x:v>
      </x:c>
      <x:c r="D445" s="20" t="str">
        <x:v>asin_target</x:v>
      </x:c>
      <x:c r="E445" s="20" t="str">
        <x:v>en</x:v>
      </x:c>
      <x:c r="F445" s="20" t="str">
        <x:v>该搜索词为 ASIN 形式，需补充商品元数据后再判断用户意图。</x:v>
      </x:c>
      <x:c r="G445" s="20" t="str">
        <x:v>unknown</x:v>
      </x:c>
      <x:c r="H445" s="20" t="str">
        <x:v>low</x:v>
      </x:c>
      <x:c r="I445" s="20" t="str">
        <x:v>asin_target</x:v>
      </x:c>
      <x:c r="J445" s="20" t="str">
        <x:v>asin_metadata_pending</x:v>
      </x:c>
      <x:c r="K445" s="20" t="str">
        <x:v>asin_without_metadata</x:v>
      </x:c>
      <x:c r="L445" s="20" t="str">
        <x:v>not_applicable</x:v>
      </x:c>
      <x:c r="M445" s="20" t="str">
        <x:v>non_model</x:v>
      </x:c>
      <x:c r="N445" s="20" t="str">
        <x:v>1</x:v>
      </x:c>
      <x:c r="O445" s="20" t="str">
        <x:v>1.0.0</x:v>
      </x:c>
      <x:c r="P445" s="20" t="str">
        <x:v>1.1.0</x:v>
      </x:c>
      <x:c r="Q445" s="20" t="str">
        <x:v>deepseek/deepseek-v4-pro</x:v>
      </x:c>
      <x:c r="R445" s="20" t="str">
        <x:v>aj2-y90-20260714T234810-0bea2f52</x:v>
      </x:c>
    </x:row>
    <x:row r="446" ht="28" customHeight="1">
      <x:c r="A446" s="20" t="str">
        <x:v>B0777R3SZB</x:v>
      </x:c>
      <x:c r="B446" s="20" t="str">
        <x:v>b0777r3szb</x:v>
      </x:c>
      <x:c r="C446" s="20" t="str">
        <x:v>9adda6ec2bd8d6fd</x:v>
      </x:c>
      <x:c r="D446" s="20" t="str">
        <x:v>asin_target</x:v>
      </x:c>
      <x:c r="E446" s="20" t="str">
        <x:v>en</x:v>
      </x:c>
      <x:c r="F446" s="20" t="str">
        <x:v>该搜索词为 ASIN 形式，需补充商品元数据后再判断用户意图。</x:v>
      </x:c>
      <x:c r="G446" s="20" t="str">
        <x:v>unknown</x:v>
      </x:c>
      <x:c r="H446" s="20" t="str">
        <x:v>low</x:v>
      </x:c>
      <x:c r="I446" s="20" t="str">
        <x:v>asin_target</x:v>
      </x:c>
      <x:c r="J446" s="20" t="str">
        <x:v>asin_metadata_pending</x:v>
      </x:c>
      <x:c r="K446" s="20" t="str">
        <x:v>asin_without_metadata</x:v>
      </x:c>
      <x:c r="L446" s="20" t="str">
        <x:v>not_applicable</x:v>
      </x:c>
      <x:c r="M446" s="20" t="str">
        <x:v>non_model</x:v>
      </x:c>
      <x:c r="N446" s="20" t="str">
        <x:v>1</x:v>
      </x:c>
      <x:c r="O446" s="20" t="str">
        <x:v>1.0.0</x:v>
      </x:c>
      <x:c r="P446" s="20" t="str">
        <x:v>1.1.0</x:v>
      </x:c>
      <x:c r="Q446" s="20" t="str">
        <x:v>deepseek/deepseek-v4-pro</x:v>
      </x:c>
      <x:c r="R446" s="20" t="str">
        <x:v>aj2-y90-20260714T234810-0bea2f52</x:v>
      </x:c>
    </x:row>
    <x:row r="447" ht="28" customHeight="1">
      <x:c r="A447" s="20" t="str">
        <x:v>B0FZQTT55Y</x:v>
      </x:c>
      <x:c r="B447" s="20" t="str">
        <x:v>b0fzqtt55y</x:v>
      </x:c>
      <x:c r="C447" s="20" t="str">
        <x:v>9b09f38bf1a7be5f</x:v>
      </x:c>
      <x:c r="D447" s="20" t="str">
        <x:v>asin_target</x:v>
      </x:c>
      <x:c r="E447" s="20" t="str">
        <x:v>en</x:v>
      </x:c>
      <x:c r="F447" s="20" t="str">
        <x:v>该搜索词为 ASIN 形式，需补充商品元数据后再判断用户意图。</x:v>
      </x:c>
      <x:c r="G447" s="20" t="str">
        <x:v>unknown</x:v>
      </x:c>
      <x:c r="H447" s="20" t="str">
        <x:v>low</x:v>
      </x:c>
      <x:c r="I447" s="20" t="str">
        <x:v>asin_target</x:v>
      </x:c>
      <x:c r="J447" s="20" t="str">
        <x:v>asin_metadata_pending</x:v>
      </x:c>
      <x:c r="K447" s="20" t="str">
        <x:v>asin_without_metadata</x:v>
      </x:c>
      <x:c r="L447" s="20" t="str">
        <x:v>not_applicable</x:v>
      </x:c>
      <x:c r="M447" s="20" t="str">
        <x:v>non_model</x:v>
      </x:c>
      <x:c r="N447" s="20" t="str">
        <x:v>1</x:v>
      </x:c>
      <x:c r="O447" s="20" t="str">
        <x:v>1.0.0</x:v>
      </x:c>
      <x:c r="P447" s="20" t="str">
        <x:v>1.1.0</x:v>
      </x:c>
      <x:c r="Q447" s="20" t="str">
        <x:v>deepseek/deepseek-v4-pro</x:v>
      </x:c>
      <x:c r="R447" s="20" t="str">
        <x:v>aj2-y90-20260714T234810-0bea2f52</x:v>
      </x:c>
    </x:row>
    <x:row r="448" ht="28" customHeight="1">
      <x:c r="A448" s="20" t="str">
        <x:v>B0G64DTLDF</x:v>
      </x:c>
      <x:c r="B448" s="20" t="str">
        <x:v>b0g64dtldf</x:v>
      </x:c>
      <x:c r="C448" s="20" t="str">
        <x:v>9ba63a25475d86c5</x:v>
      </x:c>
      <x:c r="D448" s="20" t="str">
        <x:v>asin_target</x:v>
      </x:c>
      <x:c r="E448" s="20" t="str">
        <x:v>en</x:v>
      </x:c>
      <x:c r="F448" s="20" t="str">
        <x:v>该搜索词为 ASIN 形式，需补充商品元数据后再判断用户意图。</x:v>
      </x:c>
      <x:c r="G448" s="20" t="str">
        <x:v>unknown</x:v>
      </x:c>
      <x:c r="H448" s="20" t="str">
        <x:v>low</x:v>
      </x:c>
      <x:c r="I448" s="20" t="str">
        <x:v>asin_target</x:v>
      </x:c>
      <x:c r="J448" s="20" t="str">
        <x:v>asin_metadata_pending</x:v>
      </x:c>
      <x:c r="K448" s="20" t="str">
        <x:v>asin_without_metadata</x:v>
      </x:c>
      <x:c r="L448" s="20" t="str">
        <x:v>not_applicable</x:v>
      </x:c>
      <x:c r="M448" s="20" t="str">
        <x:v>non_model</x:v>
      </x:c>
      <x:c r="N448" s="20" t="str">
        <x:v>1</x:v>
      </x:c>
      <x:c r="O448" s="20" t="str">
        <x:v>1.0.0</x:v>
      </x:c>
      <x:c r="P448" s="20" t="str">
        <x:v>1.1.0</x:v>
      </x:c>
      <x:c r="Q448" s="20" t="str">
        <x:v>deepseek/deepseek-v4-pro</x:v>
      </x:c>
      <x:c r="R448" s="20" t="str">
        <x:v>aj2-y90-20260714T234810-0bea2f52</x:v>
      </x:c>
    </x:row>
    <x:row r="449" ht="28" customHeight="1">
      <x:c r="A449" s="20" t="str">
        <x:v>B0FXX8J4G4</x:v>
      </x:c>
      <x:c r="B449" s="20" t="str">
        <x:v>b0fxx8j4g4</x:v>
      </x:c>
      <x:c r="C449" s="20" t="str">
        <x:v>9c0207ef12469d32</x:v>
      </x:c>
      <x:c r="D449" s="20" t="str">
        <x:v>asin_target</x:v>
      </x:c>
      <x:c r="E449" s="20" t="str">
        <x:v>en</x:v>
      </x:c>
      <x:c r="F449" s="20" t="str">
        <x:v>该搜索词为 ASIN 形式，需补充商品元数据后再判断用户意图。</x:v>
      </x:c>
      <x:c r="G449" s="20" t="str">
        <x:v>unknown</x:v>
      </x:c>
      <x:c r="H449" s="20" t="str">
        <x:v>low</x:v>
      </x:c>
      <x:c r="I449" s="20" t="str">
        <x:v>asin_target</x:v>
      </x:c>
      <x:c r="J449" s="20" t="str">
        <x:v>asin_metadata_pending</x:v>
      </x:c>
      <x:c r="K449" s="20" t="str">
        <x:v>asin_without_metadata</x:v>
      </x:c>
      <x:c r="L449" s="20" t="str">
        <x:v>not_applicable</x:v>
      </x:c>
      <x:c r="M449" s="20" t="str">
        <x:v>non_model</x:v>
      </x:c>
      <x:c r="N449" s="20" t="str">
        <x:v>1</x:v>
      </x:c>
      <x:c r="O449" s="20" t="str">
        <x:v>1.0.0</x:v>
      </x:c>
      <x:c r="P449" s="20" t="str">
        <x:v>1.1.0</x:v>
      </x:c>
      <x:c r="Q449" s="20" t="str">
        <x:v>deepseek/deepseek-v4-pro</x:v>
      </x:c>
      <x:c r="R449" s="20" t="str">
        <x:v>aj2-y90-20260714T234810-0bea2f52</x:v>
      </x:c>
    </x:row>
    <x:row r="450" ht="28" customHeight="1">
      <x:c r="A450" s="20" t="str">
        <x:v>B09N3R844Y</x:v>
      </x:c>
      <x:c r="B450" s="20" t="str">
        <x:v>b09n3r844y</x:v>
      </x:c>
      <x:c r="C450" s="20" t="str">
        <x:v>9c2786be401682a3</x:v>
      </x:c>
      <x:c r="D450" s="20" t="str">
        <x:v>asin_target</x:v>
      </x:c>
      <x:c r="E450" s="20" t="str">
        <x:v>en</x:v>
      </x:c>
      <x:c r="F450" s="20" t="str">
        <x:v>该搜索词为 ASIN 形式，需补充商品元数据后再判断用户意图。</x:v>
      </x:c>
      <x:c r="G450" s="20" t="str">
        <x:v>unknown</x:v>
      </x:c>
      <x:c r="H450" s="20" t="str">
        <x:v>low</x:v>
      </x:c>
      <x:c r="I450" s="20" t="str">
        <x:v>asin_target</x:v>
      </x:c>
      <x:c r="J450" s="20" t="str">
        <x:v>asin_metadata_pending</x:v>
      </x:c>
      <x:c r="K450" s="20" t="str">
        <x:v>asin_without_metadata</x:v>
      </x:c>
      <x:c r="L450" s="20" t="str">
        <x:v>not_applicable</x:v>
      </x:c>
      <x:c r="M450" s="20" t="str">
        <x:v>non_model</x:v>
      </x:c>
      <x:c r="N450" s="20" t="str">
        <x:v>1</x:v>
      </x:c>
      <x:c r="O450" s="20" t="str">
        <x:v>1.0.0</x:v>
      </x:c>
      <x:c r="P450" s="20" t="str">
        <x:v>1.1.0</x:v>
      </x:c>
      <x:c r="Q450" s="20" t="str">
        <x:v>deepseek/deepseek-v4-pro</x:v>
      </x:c>
      <x:c r="R450" s="20" t="str">
        <x:v>aj2-y90-20260714T234810-0bea2f52</x:v>
      </x:c>
    </x:row>
    <x:row r="451" ht="28" customHeight="1">
      <x:c r="A451" s="20" t="str">
        <x:v>B0DHS32MCC</x:v>
      </x:c>
      <x:c r="B451" s="20" t="str">
        <x:v>b0dhs32mcc</x:v>
      </x:c>
      <x:c r="C451" s="20" t="str">
        <x:v>9d9ddb3ca1631df0</x:v>
      </x:c>
      <x:c r="D451" s="20" t="str">
        <x:v>asin_target</x:v>
      </x:c>
      <x:c r="E451" s="20" t="str">
        <x:v>en</x:v>
      </x:c>
      <x:c r="F451" s="20" t="str">
        <x:v>该搜索词为 ASIN 形式，需补充商品元数据后再判断用户意图。</x:v>
      </x:c>
      <x:c r="G451" s="20" t="str">
        <x:v>unknown</x:v>
      </x:c>
      <x:c r="H451" s="20" t="str">
        <x:v>low</x:v>
      </x:c>
      <x:c r="I451" s="20" t="str">
        <x:v>asin_target</x:v>
      </x:c>
      <x:c r="J451" s="20" t="str">
        <x:v>asin_metadata_pending</x:v>
      </x:c>
      <x:c r="K451" s="20" t="str">
        <x:v>asin_without_metadata</x:v>
      </x:c>
      <x:c r="L451" s="20" t="str">
        <x:v>not_applicable</x:v>
      </x:c>
      <x:c r="M451" s="20" t="str">
        <x:v>non_model</x:v>
      </x:c>
      <x:c r="N451" s="20" t="str">
        <x:v>1</x:v>
      </x:c>
      <x:c r="O451" s="20" t="str">
        <x:v>1.0.0</x:v>
      </x:c>
      <x:c r="P451" s="20" t="str">
        <x:v>1.1.0</x:v>
      </x:c>
      <x:c r="Q451" s="20" t="str">
        <x:v>deepseek/deepseek-v4-pro</x:v>
      </x:c>
      <x:c r="R451" s="20" t="str">
        <x:v>aj2-y90-20260714T234810-0bea2f52</x:v>
      </x:c>
    </x:row>
    <x:row r="452" ht="28" customHeight="1">
      <x:c r="A452" s="20" t="str">
        <x:v>B0G47XD7ZF</x:v>
      </x:c>
      <x:c r="B452" s="20" t="str">
        <x:v>b0g47xd7zf</x:v>
      </x:c>
      <x:c r="C452" s="20" t="str">
        <x:v>9db6cdca2b5b13fb</x:v>
      </x:c>
      <x:c r="D452" s="20" t="str">
        <x:v>asin_target</x:v>
      </x:c>
      <x:c r="E452" s="20" t="str">
        <x:v>en</x:v>
      </x:c>
      <x:c r="F452" s="20" t="str">
        <x:v>该搜索词为 ASIN 形式，需补充商品元数据后再判断用户意图。</x:v>
      </x:c>
      <x:c r="G452" s="20" t="str">
        <x:v>unknown</x:v>
      </x:c>
      <x:c r="H452" s="20" t="str">
        <x:v>low</x:v>
      </x:c>
      <x:c r="I452" s="20" t="str">
        <x:v>asin_target</x:v>
      </x:c>
      <x:c r="J452" s="20" t="str">
        <x:v>asin_metadata_pending</x:v>
      </x:c>
      <x:c r="K452" s="20" t="str">
        <x:v>asin_without_metadata</x:v>
      </x:c>
      <x:c r="L452" s="20" t="str">
        <x:v>not_applicable</x:v>
      </x:c>
      <x:c r="M452" s="20" t="str">
        <x:v>non_model</x:v>
      </x:c>
      <x:c r="N452" s="20" t="str">
        <x:v>2</x:v>
      </x:c>
      <x:c r="O452" s="20" t="str">
        <x:v>1.0.0</x:v>
      </x:c>
      <x:c r="P452" s="20" t="str">
        <x:v>1.1.0</x:v>
      </x:c>
      <x:c r="Q452" s="20" t="str">
        <x:v>deepseek/deepseek-v4-pro</x:v>
      </x:c>
      <x:c r="R452" s="20" t="str">
        <x:v>aj2-y90-20260714T234810-0bea2f52</x:v>
      </x:c>
    </x:row>
    <x:row r="453" ht="28" customHeight="1">
      <x:c r="A453" s="20" t="str">
        <x:v>B0FCF3212J</x:v>
      </x:c>
      <x:c r="B453" s="20" t="str">
        <x:v>b0fcf3212j</x:v>
      </x:c>
      <x:c r="C453" s="20" t="str">
        <x:v>9e22538d9b0eb0cd</x:v>
      </x:c>
      <x:c r="D453" s="20" t="str">
        <x:v>asin_target</x:v>
      </x:c>
      <x:c r="E453" s="20" t="str">
        <x:v>en</x:v>
      </x:c>
      <x:c r="F453" s="20" t="str">
        <x:v>该搜索词为 ASIN 形式，需补充商品元数据后再判断用户意图。</x:v>
      </x:c>
      <x:c r="G453" s="20" t="str">
        <x:v>unknown</x:v>
      </x:c>
      <x:c r="H453" s="20" t="str">
        <x:v>low</x:v>
      </x:c>
      <x:c r="I453" s="20" t="str">
        <x:v>asin_target</x:v>
      </x:c>
      <x:c r="J453" s="20" t="str">
        <x:v>asin_metadata_pending</x:v>
      </x:c>
      <x:c r="K453" s="20" t="str">
        <x:v>asin_without_metadata</x:v>
      </x:c>
      <x:c r="L453" s="20" t="str">
        <x:v>not_applicable</x:v>
      </x:c>
      <x:c r="M453" s="20" t="str">
        <x:v>non_model</x:v>
      </x:c>
      <x:c r="N453" s="20" t="str">
        <x:v>1</x:v>
      </x:c>
      <x:c r="O453" s="20" t="str">
        <x:v>1.0.0</x:v>
      </x:c>
      <x:c r="P453" s="20" t="str">
        <x:v>1.1.0</x:v>
      </x:c>
      <x:c r="Q453" s="20" t="str">
        <x:v>deepseek/deepseek-v4-pro</x:v>
      </x:c>
      <x:c r="R453" s="20" t="str">
        <x:v>aj2-y90-20260714T234810-0bea2f52</x:v>
      </x:c>
    </x:row>
    <x:row r="454" ht="28" customHeight="1">
      <x:c r="A454" s="20" t="str">
        <x:v>B0GD55HYLT</x:v>
      </x:c>
      <x:c r="B454" s="20" t="str">
        <x:v>b0gd55hylt</x:v>
      </x:c>
      <x:c r="C454" s="20" t="str">
        <x:v>9effeee8fdfa4b58</x:v>
      </x:c>
      <x:c r="D454" s="20" t="str">
        <x:v>asin_target</x:v>
      </x:c>
      <x:c r="E454" s="20" t="str">
        <x:v>en</x:v>
      </x:c>
      <x:c r="F454" s="20" t="str">
        <x:v>该搜索词为 ASIN 形式，需补充商品元数据后再判断用户意图。</x:v>
      </x:c>
      <x:c r="G454" s="20" t="str">
        <x:v>unknown</x:v>
      </x:c>
      <x:c r="H454" s="20" t="str">
        <x:v>low</x:v>
      </x:c>
      <x:c r="I454" s="20" t="str">
        <x:v>asin_target</x:v>
      </x:c>
      <x:c r="J454" s="20" t="str">
        <x:v>asin_metadata_pending</x:v>
      </x:c>
      <x:c r="K454" s="20" t="str">
        <x:v>asin_without_metadata</x:v>
      </x:c>
      <x:c r="L454" s="20" t="str">
        <x:v>not_applicable</x:v>
      </x:c>
      <x:c r="M454" s="20" t="str">
        <x:v>non_model</x:v>
      </x:c>
      <x:c r="N454" s="20" t="str">
        <x:v>1</x:v>
      </x:c>
      <x:c r="O454" s="20" t="str">
        <x:v>1.0.0</x:v>
      </x:c>
      <x:c r="P454" s="20" t="str">
        <x:v>1.1.0</x:v>
      </x:c>
      <x:c r="Q454" s="20" t="str">
        <x:v>deepseek/deepseek-v4-pro</x:v>
      </x:c>
      <x:c r="R454" s="20" t="str">
        <x:v>aj2-y90-20260714T234810-0bea2f52</x:v>
      </x:c>
    </x:row>
    <x:row r="455" ht="28" customHeight="1">
      <x:c r="A455" s="20" t="str">
        <x:v>B0DMNLJHPC</x:v>
      </x:c>
      <x:c r="B455" s="20" t="str">
        <x:v>b0dmnljhpc</x:v>
      </x:c>
      <x:c r="C455" s="20" t="str">
        <x:v>9f61483beb2699c5</x:v>
      </x:c>
      <x:c r="D455" s="20" t="str">
        <x:v>asin_target</x:v>
      </x:c>
      <x:c r="E455" s="20" t="str">
        <x:v>en</x:v>
      </x:c>
      <x:c r="F455" s="20" t="str">
        <x:v>该搜索词为 ASIN 形式，需补充商品元数据后再判断用户意图。</x:v>
      </x:c>
      <x:c r="G455" s="20" t="str">
        <x:v>unknown</x:v>
      </x:c>
      <x:c r="H455" s="20" t="str">
        <x:v>low</x:v>
      </x:c>
      <x:c r="I455" s="20" t="str">
        <x:v>asin_target</x:v>
      </x:c>
      <x:c r="J455" s="20" t="str">
        <x:v>asin_metadata_pending</x:v>
      </x:c>
      <x:c r="K455" s="20" t="str">
        <x:v>asin_without_metadata</x:v>
      </x:c>
      <x:c r="L455" s="20" t="str">
        <x:v>not_applicable</x:v>
      </x:c>
      <x:c r="M455" s="20" t="str">
        <x:v>non_model</x:v>
      </x:c>
      <x:c r="N455" s="20" t="str">
        <x:v>1</x:v>
      </x:c>
      <x:c r="O455" s="20" t="str">
        <x:v>1.0.0</x:v>
      </x:c>
      <x:c r="P455" s="20" t="str">
        <x:v>1.1.0</x:v>
      </x:c>
      <x:c r="Q455" s="20" t="str">
        <x:v>deepseek/deepseek-v4-pro</x:v>
      </x:c>
      <x:c r="R455" s="20" t="str">
        <x:v>aj2-y90-20260714T234810-0bea2f52</x:v>
      </x:c>
    </x:row>
    <x:row r="456" ht="28" customHeight="1">
      <x:c r="A456" s="20" t="str">
        <x:v>B0G1N8PYVN</x:v>
      </x:c>
      <x:c r="B456" s="20" t="str">
        <x:v>b0g1n8pyvn</x:v>
      </x:c>
      <x:c r="C456" s="20" t="str">
        <x:v>9f74241992541f91</x:v>
      </x:c>
      <x:c r="D456" s="20" t="str">
        <x:v>asin_target</x:v>
      </x:c>
      <x:c r="E456" s="20" t="str">
        <x:v>en</x:v>
      </x:c>
      <x:c r="F456" s="20" t="str">
        <x:v>该搜索词为 ASIN 形式，需补充商品元数据后再判断用户意图。</x:v>
      </x:c>
      <x:c r="G456" s="20" t="str">
        <x:v>unknown</x:v>
      </x:c>
      <x:c r="H456" s="20" t="str">
        <x:v>low</x:v>
      </x:c>
      <x:c r="I456" s="20" t="str">
        <x:v>asin_target</x:v>
      </x:c>
      <x:c r="J456" s="20" t="str">
        <x:v>asin_metadata_pending</x:v>
      </x:c>
      <x:c r="K456" s="20" t="str">
        <x:v>asin_without_metadata</x:v>
      </x:c>
      <x:c r="L456" s="20" t="str">
        <x:v>not_applicable</x:v>
      </x:c>
      <x:c r="M456" s="20" t="str">
        <x:v>non_model</x:v>
      </x:c>
      <x:c r="N456" s="20" t="str">
        <x:v>1</x:v>
      </x:c>
      <x:c r="O456" s="20" t="str">
        <x:v>1.0.0</x:v>
      </x:c>
      <x:c r="P456" s="20" t="str">
        <x:v>1.1.0</x:v>
      </x:c>
      <x:c r="Q456" s="20" t="str">
        <x:v>deepseek/deepseek-v4-pro</x:v>
      </x:c>
      <x:c r="R456" s="20" t="str">
        <x:v>aj2-y90-20260714T234810-0bea2f52</x:v>
      </x:c>
    </x:row>
    <x:row r="457" ht="28" customHeight="1">
      <x:c r="A457" s="20" t="str">
        <x:v>B0FXX5ZR91</x:v>
      </x:c>
      <x:c r="B457" s="20" t="str">
        <x:v>b0fxx5zr91</x:v>
      </x:c>
      <x:c r="C457" s="20" t="str">
        <x:v>9fb98371651bcaba</x:v>
      </x:c>
      <x:c r="D457" s="20" t="str">
        <x:v>asin_target</x:v>
      </x:c>
      <x:c r="E457" s="20" t="str">
        <x:v>en</x:v>
      </x:c>
      <x:c r="F457" s="20" t="str">
        <x:v>该搜索词为 ASIN 形式，需补充商品元数据后再判断用户意图。</x:v>
      </x:c>
      <x:c r="G457" s="20" t="str">
        <x:v>unknown</x:v>
      </x:c>
      <x:c r="H457" s="20" t="str">
        <x:v>low</x:v>
      </x:c>
      <x:c r="I457" s="20" t="str">
        <x:v>asin_target</x:v>
      </x:c>
      <x:c r="J457" s="20" t="str">
        <x:v>asin_metadata_pending</x:v>
      </x:c>
      <x:c r="K457" s="20" t="str">
        <x:v>asin_without_metadata</x:v>
      </x:c>
      <x:c r="L457" s="20" t="str">
        <x:v>not_applicable</x:v>
      </x:c>
      <x:c r="M457" s="20" t="str">
        <x:v>non_model</x:v>
      </x:c>
      <x:c r="N457" s="20" t="str">
        <x:v>1</x:v>
      </x:c>
      <x:c r="O457" s="20" t="str">
        <x:v>1.0.0</x:v>
      </x:c>
      <x:c r="P457" s="20" t="str">
        <x:v>1.1.0</x:v>
      </x:c>
      <x:c r="Q457" s="20" t="str">
        <x:v>deepseek/deepseek-v4-pro</x:v>
      </x:c>
      <x:c r="R457" s="20" t="str">
        <x:v>aj2-y90-20260714T234810-0bea2f52</x:v>
      </x:c>
    </x:row>
    <x:row r="458" ht="28" customHeight="1">
      <x:c r="A458" s="20" t="str">
        <x:v>B0D9NFZCZL</x:v>
      </x:c>
      <x:c r="B458" s="20" t="str">
        <x:v>b0d9nfzczl</x:v>
      </x:c>
      <x:c r="C458" s="20" t="str">
        <x:v>a008cb0fe03afa15</x:v>
      </x:c>
      <x:c r="D458" s="20" t="str">
        <x:v>asin_target</x:v>
      </x:c>
      <x:c r="E458" s="20" t="str">
        <x:v>en</x:v>
      </x:c>
      <x:c r="F458" s="20" t="str">
        <x:v>该搜索词为 ASIN 形式，需补充商品元数据后再判断用户意图。</x:v>
      </x:c>
      <x:c r="G458" s="20" t="str">
        <x:v>unknown</x:v>
      </x:c>
      <x:c r="H458" s="20" t="str">
        <x:v>low</x:v>
      </x:c>
      <x:c r="I458" s="20" t="str">
        <x:v>asin_target</x:v>
      </x:c>
      <x:c r="J458" s="20" t="str">
        <x:v>asin_metadata_pending</x:v>
      </x:c>
      <x:c r="K458" s="20" t="str">
        <x:v>asin_without_metadata</x:v>
      </x:c>
      <x:c r="L458" s="20" t="str">
        <x:v>not_applicable</x:v>
      </x:c>
      <x:c r="M458" s="20" t="str">
        <x:v>non_model</x:v>
      </x:c>
      <x:c r="N458" s="20" t="str">
        <x:v>1</x:v>
      </x:c>
      <x:c r="O458" s="20" t="str">
        <x:v>1.0.0</x:v>
      </x:c>
      <x:c r="P458" s="20" t="str">
        <x:v>1.1.0</x:v>
      </x:c>
      <x:c r="Q458" s="20" t="str">
        <x:v>deepseek/deepseek-v4-pro</x:v>
      </x:c>
      <x:c r="R458" s="20" t="str">
        <x:v>aj2-y90-20260714T234810-0bea2f52</x:v>
      </x:c>
    </x:row>
    <x:row r="459" ht="28" customHeight="1">
      <x:c r="A459" s="20" t="str">
        <x:v>B0FH7GMQKX</x:v>
      </x:c>
      <x:c r="B459" s="20" t="str">
        <x:v>b0fh7gmqkx</x:v>
      </x:c>
      <x:c r="C459" s="20" t="str">
        <x:v>a02186c84c3835fe</x:v>
      </x:c>
      <x:c r="D459" s="20" t="str">
        <x:v>asin_target</x:v>
      </x:c>
      <x:c r="E459" s="20" t="str">
        <x:v>en</x:v>
      </x:c>
      <x:c r="F459" s="20" t="str">
        <x:v>该搜索词为 ASIN 形式，需补充商品元数据后再判断用户意图。</x:v>
      </x:c>
      <x:c r="G459" s="20" t="str">
        <x:v>unknown</x:v>
      </x:c>
      <x:c r="H459" s="20" t="str">
        <x:v>low</x:v>
      </x:c>
      <x:c r="I459" s="20" t="str">
        <x:v>asin_target</x:v>
      </x:c>
      <x:c r="J459" s="20" t="str">
        <x:v>asin_metadata_pending</x:v>
      </x:c>
      <x:c r="K459" s="20" t="str">
        <x:v>asin_without_metadata</x:v>
      </x:c>
      <x:c r="L459" s="20" t="str">
        <x:v>not_applicable</x:v>
      </x:c>
      <x:c r="M459" s="20" t="str">
        <x:v>non_model</x:v>
      </x:c>
      <x:c r="N459" s="20" t="str">
        <x:v>1</x:v>
      </x:c>
      <x:c r="O459" s="20" t="str">
        <x:v>1.0.0</x:v>
      </x:c>
      <x:c r="P459" s="20" t="str">
        <x:v>1.1.0</x:v>
      </x:c>
      <x:c r="Q459" s="20" t="str">
        <x:v>deepseek/deepseek-v4-pro</x:v>
      </x:c>
      <x:c r="R459" s="20" t="str">
        <x:v>aj2-y90-20260714T234810-0bea2f52</x:v>
      </x:c>
    </x:row>
    <x:row r="460" ht="28" customHeight="1">
      <x:c r="A460" s="20" t="str">
        <x:v>B0CP4DMTF9</x:v>
      </x:c>
      <x:c r="B460" s="20" t="str">
        <x:v>b0cp4dmtf9</x:v>
      </x:c>
      <x:c r="C460" s="20" t="str">
        <x:v>a047447165fedc54</x:v>
      </x:c>
      <x:c r="D460" s="20" t="str">
        <x:v>asin_target</x:v>
      </x:c>
      <x:c r="E460" s="20" t="str">
        <x:v>en</x:v>
      </x:c>
      <x:c r="F460" s="20" t="str">
        <x:v>该搜索词为 ASIN 形式，需补充商品元数据后再判断用户意图。</x:v>
      </x:c>
      <x:c r="G460" s="20" t="str">
        <x:v>unknown</x:v>
      </x:c>
      <x:c r="H460" s="20" t="str">
        <x:v>low</x:v>
      </x:c>
      <x:c r="I460" s="20" t="str">
        <x:v>asin_target</x:v>
      </x:c>
      <x:c r="J460" s="20" t="str">
        <x:v>asin_metadata_pending</x:v>
      </x:c>
      <x:c r="K460" s="20" t="str">
        <x:v>asin_without_metadata</x:v>
      </x:c>
      <x:c r="L460" s="20" t="str">
        <x:v>not_applicable</x:v>
      </x:c>
      <x:c r="M460" s="20" t="str">
        <x:v>non_model</x:v>
      </x:c>
      <x:c r="N460" s="20" t="str">
        <x:v>1</x:v>
      </x:c>
      <x:c r="O460" s="20" t="str">
        <x:v>1.0.0</x:v>
      </x:c>
      <x:c r="P460" s="20" t="str">
        <x:v>1.1.0</x:v>
      </x:c>
      <x:c r="Q460" s="20" t="str">
        <x:v>deepseek/deepseek-v4-pro</x:v>
      </x:c>
      <x:c r="R460" s="20" t="str">
        <x:v>aj2-y90-20260714T234810-0bea2f52</x:v>
      </x:c>
    </x:row>
    <x:row r="461" ht="28" customHeight="1">
      <x:c r="A461" s="20" t="str">
        <x:v>B0DTHWVY34</x:v>
      </x:c>
      <x:c r="B461" s="20" t="str">
        <x:v>b0dthwvy34</x:v>
      </x:c>
      <x:c r="C461" s="20" t="str">
        <x:v>a05012be0b8adfaa</x:v>
      </x:c>
      <x:c r="D461" s="20" t="str">
        <x:v>asin_target</x:v>
      </x:c>
      <x:c r="E461" s="20" t="str">
        <x:v>en</x:v>
      </x:c>
      <x:c r="F461" s="20" t="str">
        <x:v>该搜索词为 ASIN 形式，需补充商品元数据后再判断用户意图。</x:v>
      </x:c>
      <x:c r="G461" s="20" t="str">
        <x:v>unknown</x:v>
      </x:c>
      <x:c r="H461" s="20" t="str">
        <x:v>low</x:v>
      </x:c>
      <x:c r="I461" s="20" t="str">
        <x:v>asin_target</x:v>
      </x:c>
      <x:c r="J461" s="20" t="str">
        <x:v>asin_metadata_pending</x:v>
      </x:c>
      <x:c r="K461" s="20" t="str">
        <x:v>asin_without_metadata</x:v>
      </x:c>
      <x:c r="L461" s="20" t="str">
        <x:v>not_applicable</x:v>
      </x:c>
      <x:c r="M461" s="20" t="str">
        <x:v>non_model</x:v>
      </x:c>
      <x:c r="N461" s="20" t="str">
        <x:v>1</x:v>
      </x:c>
      <x:c r="O461" s="20" t="str">
        <x:v>1.0.0</x:v>
      </x:c>
      <x:c r="P461" s="20" t="str">
        <x:v>1.1.0</x:v>
      </x:c>
      <x:c r="Q461" s="20" t="str">
        <x:v>deepseek/deepseek-v4-pro</x:v>
      </x:c>
      <x:c r="R461" s="20" t="str">
        <x:v>aj2-y90-20260714T234810-0bea2f52</x:v>
      </x:c>
    </x:row>
    <x:row r="462" ht="28" customHeight="1">
      <x:c r="A462" s="20" t="str">
        <x:v>B0G1398LS2</x:v>
      </x:c>
      <x:c r="B462" s="20" t="str">
        <x:v>b0g1398ls2</x:v>
      </x:c>
      <x:c r="C462" s="20" t="str">
        <x:v>a0528e869b19a31c</x:v>
      </x:c>
      <x:c r="D462" s="20" t="str">
        <x:v>asin_target</x:v>
      </x:c>
      <x:c r="E462" s="20" t="str">
        <x:v>en</x:v>
      </x:c>
      <x:c r="F462" s="20" t="str">
        <x:v>该搜索词为 ASIN 形式，需补充商品元数据后再判断用户意图。</x:v>
      </x:c>
      <x:c r="G462" s="20" t="str">
        <x:v>unknown</x:v>
      </x:c>
      <x:c r="H462" s="20" t="str">
        <x:v>low</x:v>
      </x:c>
      <x:c r="I462" s="20" t="str">
        <x:v>asin_target</x:v>
      </x:c>
      <x:c r="J462" s="20" t="str">
        <x:v>asin_metadata_pending</x:v>
      </x:c>
      <x:c r="K462" s="20" t="str">
        <x:v>asin_without_metadata</x:v>
      </x:c>
      <x:c r="L462" s="20" t="str">
        <x:v>not_applicable</x:v>
      </x:c>
      <x:c r="M462" s="20" t="str">
        <x:v>non_model</x:v>
      </x:c>
      <x:c r="N462" s="20" t="str">
        <x:v>3</x:v>
      </x:c>
      <x:c r="O462" s="20" t="str">
        <x:v>1.0.0</x:v>
      </x:c>
      <x:c r="P462" s="20" t="str">
        <x:v>1.1.0</x:v>
      </x:c>
      <x:c r="Q462" s="20" t="str">
        <x:v>deepseek/deepseek-v4-pro</x:v>
      </x:c>
      <x:c r="R462" s="20" t="str">
        <x:v>aj2-y90-20260714T234810-0bea2f52</x:v>
      </x:c>
    </x:row>
    <x:row r="463" ht="28" customHeight="1">
      <x:c r="A463" s="20" t="str">
        <x:v>B0FXX6VMM7</x:v>
      </x:c>
      <x:c r="B463" s="20" t="str">
        <x:v>b0fxx6vmm7</x:v>
      </x:c>
      <x:c r="C463" s="20" t="str">
        <x:v>a0e2dc90f98dd76b</x:v>
      </x:c>
      <x:c r="D463" s="20" t="str">
        <x:v>asin_target</x:v>
      </x:c>
      <x:c r="E463" s="20" t="str">
        <x:v>en</x:v>
      </x:c>
      <x:c r="F463" s="20" t="str">
        <x:v>该搜索词为 ASIN 形式，需补充商品元数据后再判断用户意图。</x:v>
      </x:c>
      <x:c r="G463" s="20" t="str">
        <x:v>unknown</x:v>
      </x:c>
      <x:c r="H463" s="20" t="str">
        <x:v>low</x:v>
      </x:c>
      <x:c r="I463" s="20" t="str">
        <x:v>asin_target</x:v>
      </x:c>
      <x:c r="J463" s="20" t="str">
        <x:v>asin_metadata_pending</x:v>
      </x:c>
      <x:c r="K463" s="20" t="str">
        <x:v>asin_without_metadata</x:v>
      </x:c>
      <x:c r="L463" s="20" t="str">
        <x:v>not_applicable</x:v>
      </x:c>
      <x:c r="M463" s="20" t="str">
        <x:v>non_model</x:v>
      </x:c>
      <x:c r="N463" s="20" t="str">
        <x:v>1</x:v>
      </x:c>
      <x:c r="O463" s="20" t="str">
        <x:v>1.0.0</x:v>
      </x:c>
      <x:c r="P463" s="20" t="str">
        <x:v>1.1.0</x:v>
      </x:c>
      <x:c r="Q463" s="20" t="str">
        <x:v>deepseek/deepseek-v4-pro</x:v>
      </x:c>
      <x:c r="R463" s="20" t="str">
        <x:v>aj2-y90-20260714T234810-0bea2f52</x:v>
      </x:c>
    </x:row>
    <x:row r="464" ht="28" customHeight="1">
      <x:c r="A464" s="20" t="str">
        <x:v>B08QCY3P6B</x:v>
      </x:c>
      <x:c r="B464" s="20" t="str">
        <x:v>b08qcy3p6b</x:v>
      </x:c>
      <x:c r="C464" s="20" t="str">
        <x:v>a0f3929aa4f17b80</x:v>
      </x:c>
      <x:c r="D464" s="20" t="str">
        <x:v>asin_target</x:v>
      </x:c>
      <x:c r="E464" s="20" t="str">
        <x:v>en</x:v>
      </x:c>
      <x:c r="F464" s="20" t="str">
        <x:v>该搜索词为 ASIN 形式，需补充商品元数据后再判断用户意图。</x:v>
      </x:c>
      <x:c r="G464" s="20" t="str">
        <x:v>unknown</x:v>
      </x:c>
      <x:c r="H464" s="20" t="str">
        <x:v>low</x:v>
      </x:c>
      <x:c r="I464" s="20" t="str">
        <x:v>asin_target</x:v>
      </x:c>
      <x:c r="J464" s="20" t="str">
        <x:v>asin_metadata_pending</x:v>
      </x:c>
      <x:c r="K464" s="20" t="str">
        <x:v>asin_without_metadata</x:v>
      </x:c>
      <x:c r="L464" s="20" t="str">
        <x:v>not_applicable</x:v>
      </x:c>
      <x:c r="M464" s="20" t="str">
        <x:v>non_model</x:v>
      </x:c>
      <x:c r="N464" s="20" t="str">
        <x:v>1</x:v>
      </x:c>
      <x:c r="O464" s="20" t="str">
        <x:v>1.0.0</x:v>
      </x:c>
      <x:c r="P464" s="20" t="str">
        <x:v>1.1.0</x:v>
      </x:c>
      <x:c r="Q464" s="20" t="str">
        <x:v>deepseek/deepseek-v4-pro</x:v>
      </x:c>
      <x:c r="R464" s="20" t="str">
        <x:v>aj2-y90-20260714T234810-0bea2f52</x:v>
      </x:c>
    </x:row>
    <x:row r="465" ht="28" customHeight="1">
      <x:c r="A465" s="20" t="str">
        <x:v>B0GFT3CYN6</x:v>
      </x:c>
      <x:c r="B465" s="20" t="str">
        <x:v>b0gft3cyn6</x:v>
      </x:c>
      <x:c r="C465" s="20" t="str">
        <x:v>a1088dae7be947cc</x:v>
      </x:c>
      <x:c r="D465" s="20" t="str">
        <x:v>asin_target</x:v>
      </x:c>
      <x:c r="E465" s="20" t="str">
        <x:v>en</x:v>
      </x:c>
      <x:c r="F465" s="20" t="str">
        <x:v>该搜索词为 ASIN 形式，需补充商品元数据后再判断用户意图。</x:v>
      </x:c>
      <x:c r="G465" s="20" t="str">
        <x:v>unknown</x:v>
      </x:c>
      <x:c r="H465" s="20" t="str">
        <x:v>low</x:v>
      </x:c>
      <x:c r="I465" s="20" t="str">
        <x:v>asin_target</x:v>
      </x:c>
      <x:c r="J465" s="20" t="str">
        <x:v>asin_metadata_pending</x:v>
      </x:c>
      <x:c r="K465" s="20" t="str">
        <x:v>asin_without_metadata</x:v>
      </x:c>
      <x:c r="L465" s="20" t="str">
        <x:v>not_applicable</x:v>
      </x:c>
      <x:c r="M465" s="20" t="str">
        <x:v>non_model</x:v>
      </x:c>
      <x:c r="N465" s="20" t="str">
        <x:v>2</x:v>
      </x:c>
      <x:c r="O465" s="20" t="str">
        <x:v>1.0.0</x:v>
      </x:c>
      <x:c r="P465" s="20" t="str">
        <x:v>1.1.0</x:v>
      </x:c>
      <x:c r="Q465" s="20" t="str">
        <x:v>deepseek/deepseek-v4-pro</x:v>
      </x:c>
      <x:c r="R465" s="20" t="str">
        <x:v>aj2-y90-20260714T234810-0bea2f52</x:v>
      </x:c>
    </x:row>
    <x:row r="466" ht="28" customHeight="1">
      <x:c r="A466" s="20" t="str">
        <x:v>B0G47SPS4S</x:v>
      </x:c>
      <x:c r="B466" s="20" t="str">
        <x:v>b0g47sps4s</x:v>
      </x:c>
      <x:c r="C466" s="20" t="str">
        <x:v>a1162536437dd23a</x:v>
      </x:c>
      <x:c r="D466" s="20" t="str">
        <x:v>asin_target</x:v>
      </x:c>
      <x:c r="E466" s="20" t="str">
        <x:v>en</x:v>
      </x:c>
      <x:c r="F466" s="20" t="str">
        <x:v>该搜索词为 ASIN 形式，需补充商品元数据后再判断用户意图。</x:v>
      </x:c>
      <x:c r="G466" s="20" t="str">
        <x:v>unknown</x:v>
      </x:c>
      <x:c r="H466" s="20" t="str">
        <x:v>low</x:v>
      </x:c>
      <x:c r="I466" s="20" t="str">
        <x:v>asin_target</x:v>
      </x:c>
      <x:c r="J466" s="20" t="str">
        <x:v>asin_metadata_pending</x:v>
      </x:c>
      <x:c r="K466" s="20" t="str">
        <x:v>asin_without_metadata</x:v>
      </x:c>
      <x:c r="L466" s="20" t="str">
        <x:v>not_applicable</x:v>
      </x:c>
      <x:c r="M466" s="20" t="str">
        <x:v>non_model</x:v>
      </x:c>
      <x:c r="N466" s="20" t="str">
        <x:v>1</x:v>
      </x:c>
      <x:c r="O466" s="20" t="str">
        <x:v>1.0.0</x:v>
      </x:c>
      <x:c r="P466" s="20" t="str">
        <x:v>1.1.0</x:v>
      </x:c>
      <x:c r="Q466" s="20" t="str">
        <x:v>deepseek/deepseek-v4-pro</x:v>
      </x:c>
      <x:c r="R466" s="20" t="str">
        <x:v>aj2-y90-20260714T234810-0bea2f52</x:v>
      </x:c>
    </x:row>
    <x:row r="467" ht="28" customHeight="1">
      <x:c r="A467" s="20" t="str">
        <x:v>B07FQP8YQ4</x:v>
      </x:c>
      <x:c r="B467" s="20" t="str">
        <x:v>b07fqp8yq4</x:v>
      </x:c>
      <x:c r="C467" s="20" t="str">
        <x:v>a134f4bd8a6041f7</x:v>
      </x:c>
      <x:c r="D467" s="20" t="str">
        <x:v>asin_target</x:v>
      </x:c>
      <x:c r="E467" s="20" t="str">
        <x:v>en</x:v>
      </x:c>
      <x:c r="F467" s="20" t="str">
        <x:v>该搜索词为 ASIN 形式，需补充商品元数据后再判断用户意图。</x:v>
      </x:c>
      <x:c r="G467" s="20" t="str">
        <x:v>unknown</x:v>
      </x:c>
      <x:c r="H467" s="20" t="str">
        <x:v>low</x:v>
      </x:c>
      <x:c r="I467" s="20" t="str">
        <x:v>asin_target</x:v>
      </x:c>
      <x:c r="J467" s="20" t="str">
        <x:v>asin_metadata_pending</x:v>
      </x:c>
      <x:c r="K467" s="20" t="str">
        <x:v>asin_without_metadata</x:v>
      </x:c>
      <x:c r="L467" s="20" t="str">
        <x:v>not_applicable</x:v>
      </x:c>
      <x:c r="M467" s="20" t="str">
        <x:v>non_model</x:v>
      </x:c>
      <x:c r="N467" s="20" t="str">
        <x:v>1</x:v>
      </x:c>
      <x:c r="O467" s="20" t="str">
        <x:v>1.0.0</x:v>
      </x:c>
      <x:c r="P467" s="20" t="str">
        <x:v>1.1.0</x:v>
      </x:c>
      <x:c r="Q467" s="20" t="str">
        <x:v>deepseek/deepseek-v4-pro</x:v>
      </x:c>
      <x:c r="R467" s="20" t="str">
        <x:v>aj2-y90-20260714T234810-0bea2f52</x:v>
      </x:c>
    </x:row>
    <x:row r="468" ht="28" customHeight="1">
      <x:c r="A468" s="20" t="str">
        <x:v>B0BNTRG4V5</x:v>
      </x:c>
      <x:c r="B468" s="20" t="str">
        <x:v>b0bntrg4v5</x:v>
      </x:c>
      <x:c r="C468" s="20" t="str">
        <x:v>a1562ad929180771</x:v>
      </x:c>
      <x:c r="D468" s="20" t="str">
        <x:v>asin_target</x:v>
      </x:c>
      <x:c r="E468" s="20" t="str">
        <x:v>en</x:v>
      </x:c>
      <x:c r="F468" s="20" t="str">
        <x:v>该搜索词为 ASIN 形式，需补充商品元数据后再判断用户意图。</x:v>
      </x:c>
      <x:c r="G468" s="20" t="str">
        <x:v>unknown</x:v>
      </x:c>
      <x:c r="H468" s="20" t="str">
        <x:v>low</x:v>
      </x:c>
      <x:c r="I468" s="20" t="str">
        <x:v>asin_target</x:v>
      </x:c>
      <x:c r="J468" s="20" t="str">
        <x:v>asin_metadata_pending</x:v>
      </x:c>
      <x:c r="K468" s="20" t="str">
        <x:v>asin_without_metadata</x:v>
      </x:c>
      <x:c r="L468" s="20" t="str">
        <x:v>not_applicable</x:v>
      </x:c>
      <x:c r="M468" s="20" t="str">
        <x:v>non_model</x:v>
      </x:c>
      <x:c r="N468" s="20" t="str">
        <x:v>1</x:v>
      </x:c>
      <x:c r="O468" s="20" t="str">
        <x:v>1.0.0</x:v>
      </x:c>
      <x:c r="P468" s="20" t="str">
        <x:v>1.1.0</x:v>
      </x:c>
      <x:c r="Q468" s="20" t="str">
        <x:v>deepseek/deepseek-v4-pro</x:v>
      </x:c>
      <x:c r="R468" s="20" t="str">
        <x:v>aj2-y90-20260714T234810-0bea2f52</x:v>
      </x:c>
    </x:row>
    <x:row r="469" ht="28" customHeight="1">
      <x:c r="A469" s="20" t="str">
        <x:v>B0FL29868B</x:v>
      </x:c>
      <x:c r="B469" s="20" t="str">
        <x:v>b0fl29868b</x:v>
      </x:c>
      <x:c r="C469" s="20" t="str">
        <x:v>a183e1c6ea6c28ce</x:v>
      </x:c>
      <x:c r="D469" s="20" t="str">
        <x:v>asin_target</x:v>
      </x:c>
      <x:c r="E469" s="20" t="str">
        <x:v>en</x:v>
      </x:c>
      <x:c r="F469" s="20" t="str">
        <x:v>该搜索词为 ASIN 形式，需补充商品元数据后再判断用户意图。</x:v>
      </x:c>
      <x:c r="G469" s="20" t="str">
        <x:v>unknown</x:v>
      </x:c>
      <x:c r="H469" s="20" t="str">
        <x:v>low</x:v>
      </x:c>
      <x:c r="I469" s="20" t="str">
        <x:v>asin_target</x:v>
      </x:c>
      <x:c r="J469" s="20" t="str">
        <x:v>asin_metadata_pending</x:v>
      </x:c>
      <x:c r="K469" s="20" t="str">
        <x:v>asin_without_metadata</x:v>
      </x:c>
      <x:c r="L469" s="20" t="str">
        <x:v>not_applicable</x:v>
      </x:c>
      <x:c r="M469" s="20" t="str">
        <x:v>non_model</x:v>
      </x:c>
      <x:c r="N469" s="20" t="str">
        <x:v>1</x:v>
      </x:c>
      <x:c r="O469" s="20" t="str">
        <x:v>1.0.0</x:v>
      </x:c>
      <x:c r="P469" s="20" t="str">
        <x:v>1.1.0</x:v>
      </x:c>
      <x:c r="Q469" s="20" t="str">
        <x:v>deepseek/deepseek-v4-pro</x:v>
      </x:c>
      <x:c r="R469" s="20" t="str">
        <x:v>aj2-y90-20260714T234810-0bea2f52</x:v>
      </x:c>
    </x:row>
    <x:row r="470" ht="28" customHeight="1">
      <x:c r="A470" s="20" t="str">
        <x:v>B08GKQ8QPG</x:v>
      </x:c>
      <x:c r="B470" s="20" t="str">
        <x:v>b08gkq8qpg</x:v>
      </x:c>
      <x:c r="C470" s="20" t="str">
        <x:v>a1c7bcaffda6360c</x:v>
      </x:c>
      <x:c r="D470" s="20" t="str">
        <x:v>asin_target</x:v>
      </x:c>
      <x:c r="E470" s="20" t="str">
        <x:v>en</x:v>
      </x:c>
      <x:c r="F470" s="20" t="str">
        <x:v>该搜索词为 ASIN 形式，需补充商品元数据后再判断用户意图。</x:v>
      </x:c>
      <x:c r="G470" s="20" t="str">
        <x:v>unknown</x:v>
      </x:c>
      <x:c r="H470" s="20" t="str">
        <x:v>low</x:v>
      </x:c>
      <x:c r="I470" s="20" t="str">
        <x:v>asin_target</x:v>
      </x:c>
      <x:c r="J470" s="20" t="str">
        <x:v>asin_metadata_pending</x:v>
      </x:c>
      <x:c r="K470" s="20" t="str">
        <x:v>asin_without_metadata</x:v>
      </x:c>
      <x:c r="L470" s="20" t="str">
        <x:v>not_applicable</x:v>
      </x:c>
      <x:c r="M470" s="20" t="str">
        <x:v>non_model</x:v>
      </x:c>
      <x:c r="N470" s="20" t="str">
        <x:v>2</x:v>
      </x:c>
      <x:c r="O470" s="20" t="str">
        <x:v>1.0.0</x:v>
      </x:c>
      <x:c r="P470" s="20" t="str">
        <x:v>1.1.0</x:v>
      </x:c>
      <x:c r="Q470" s="20" t="str">
        <x:v>deepseek/deepseek-v4-pro</x:v>
      </x:c>
      <x:c r="R470" s="20" t="str">
        <x:v>aj2-y90-20260714T234810-0bea2f52</x:v>
      </x:c>
    </x:row>
    <x:row r="471" ht="28" customHeight="1">
      <x:c r="A471" s="20" t="str">
        <x:v>B0FXX3RW47</x:v>
      </x:c>
      <x:c r="B471" s="20" t="str">
        <x:v>b0fxx3rw47</x:v>
      </x:c>
      <x:c r="C471" s="20" t="str">
        <x:v>a298ca01382254df</x:v>
      </x:c>
      <x:c r="D471" s="20" t="str">
        <x:v>asin_target</x:v>
      </x:c>
      <x:c r="E471" s="20" t="str">
        <x:v>en</x:v>
      </x:c>
      <x:c r="F471" s="20" t="str">
        <x:v>该搜索词为 ASIN 形式，需补充商品元数据后再判断用户意图。</x:v>
      </x:c>
      <x:c r="G471" s="20" t="str">
        <x:v>unknown</x:v>
      </x:c>
      <x:c r="H471" s="20" t="str">
        <x:v>low</x:v>
      </x:c>
      <x:c r="I471" s="20" t="str">
        <x:v>asin_target</x:v>
      </x:c>
      <x:c r="J471" s="20" t="str">
        <x:v>asin_metadata_pending</x:v>
      </x:c>
      <x:c r="K471" s="20" t="str">
        <x:v>asin_without_metadata</x:v>
      </x:c>
      <x:c r="L471" s="20" t="str">
        <x:v>not_applicable</x:v>
      </x:c>
      <x:c r="M471" s="20" t="str">
        <x:v>non_model</x:v>
      </x:c>
      <x:c r="N471" s="20" t="str">
        <x:v>2</x:v>
      </x:c>
      <x:c r="O471" s="20" t="str">
        <x:v>1.0.0</x:v>
      </x:c>
      <x:c r="P471" s="20" t="str">
        <x:v>1.1.0</x:v>
      </x:c>
      <x:c r="Q471" s="20" t="str">
        <x:v>deepseek/deepseek-v4-pro</x:v>
      </x:c>
      <x:c r="R471" s="20" t="str">
        <x:v>aj2-y90-20260714T234810-0bea2f52</x:v>
      </x:c>
    </x:row>
    <x:row r="472" ht="28" customHeight="1">
      <x:c r="A472" s="20" t="str">
        <x:v>B0DSMX5RJP</x:v>
      </x:c>
      <x:c r="B472" s="20" t="str">
        <x:v>b0dsmx5rjp</x:v>
      </x:c>
      <x:c r="C472" s="20" t="str">
        <x:v>a2d0c3c005b81f49</x:v>
      </x:c>
      <x:c r="D472" s="20" t="str">
        <x:v>asin_target</x:v>
      </x:c>
      <x:c r="E472" s="20" t="str">
        <x:v>en</x:v>
      </x:c>
      <x:c r="F472" s="20" t="str">
        <x:v>该搜索词为 ASIN 形式，需补充商品元数据后再判断用户意图。</x:v>
      </x:c>
      <x:c r="G472" s="20" t="str">
        <x:v>unknown</x:v>
      </x:c>
      <x:c r="H472" s="20" t="str">
        <x:v>low</x:v>
      </x:c>
      <x:c r="I472" s="20" t="str">
        <x:v>asin_target</x:v>
      </x:c>
      <x:c r="J472" s="20" t="str">
        <x:v>asin_metadata_pending</x:v>
      </x:c>
      <x:c r="K472" s="20" t="str">
        <x:v>asin_without_metadata</x:v>
      </x:c>
      <x:c r="L472" s="20" t="str">
        <x:v>not_applicable</x:v>
      </x:c>
      <x:c r="M472" s="20" t="str">
        <x:v>non_model</x:v>
      </x:c>
      <x:c r="N472" s="20" t="str">
        <x:v>1</x:v>
      </x:c>
      <x:c r="O472" s="20" t="str">
        <x:v>1.0.0</x:v>
      </x:c>
      <x:c r="P472" s="20" t="str">
        <x:v>1.1.0</x:v>
      </x:c>
      <x:c r="Q472" s="20" t="str">
        <x:v>deepseek/deepseek-v4-pro</x:v>
      </x:c>
      <x:c r="R472" s="20" t="str">
        <x:v>aj2-y90-20260714T234810-0bea2f52</x:v>
      </x:c>
    </x:row>
    <x:row r="473" ht="28" customHeight="1">
      <x:c r="A473" s="20" t="str">
        <x:v>B0BKBNKQHN</x:v>
      </x:c>
      <x:c r="B473" s="20" t="str">
        <x:v>b0bkbnkqhn</x:v>
      </x:c>
      <x:c r="C473" s="20" t="str">
        <x:v>a4955c50d847e77f</x:v>
      </x:c>
      <x:c r="D473" s="20" t="str">
        <x:v>asin_target</x:v>
      </x:c>
      <x:c r="E473" s="20" t="str">
        <x:v>en</x:v>
      </x:c>
      <x:c r="F473" s="20" t="str">
        <x:v>该搜索词为 ASIN 形式，需补充商品元数据后再判断用户意图。</x:v>
      </x:c>
      <x:c r="G473" s="20" t="str">
        <x:v>unknown</x:v>
      </x:c>
      <x:c r="H473" s="20" t="str">
        <x:v>low</x:v>
      </x:c>
      <x:c r="I473" s="20" t="str">
        <x:v>asin_target</x:v>
      </x:c>
      <x:c r="J473" s="20" t="str">
        <x:v>asin_metadata_pending</x:v>
      </x:c>
      <x:c r="K473" s="20" t="str">
        <x:v>asin_without_metadata</x:v>
      </x:c>
      <x:c r="L473" s="20" t="str">
        <x:v>not_applicable</x:v>
      </x:c>
      <x:c r="M473" s="20" t="str">
        <x:v>non_model</x:v>
      </x:c>
      <x:c r="N473" s="20" t="str">
        <x:v>1</x:v>
      </x:c>
      <x:c r="O473" s="20" t="str">
        <x:v>1.0.0</x:v>
      </x:c>
      <x:c r="P473" s="20" t="str">
        <x:v>1.1.0</x:v>
      </x:c>
      <x:c r="Q473" s="20" t="str">
        <x:v>deepseek/deepseek-v4-pro</x:v>
      </x:c>
      <x:c r="R473" s="20" t="str">
        <x:v>aj2-y90-20260714T234810-0bea2f52</x:v>
      </x:c>
    </x:row>
    <x:row r="474" ht="28" customHeight="1">
      <x:c r="A474" s="20" t="str">
        <x:v>B0FL2C6N4R</x:v>
      </x:c>
      <x:c r="B474" s="20" t="str">
        <x:v>b0fl2c6n4r</x:v>
      </x:c>
      <x:c r="C474" s="20" t="str">
        <x:v>a50b01a720ffdf05</x:v>
      </x:c>
      <x:c r="D474" s="20" t="str">
        <x:v>asin_target</x:v>
      </x:c>
      <x:c r="E474" s="20" t="str">
        <x:v>en</x:v>
      </x:c>
      <x:c r="F474" s="20" t="str">
        <x:v>该搜索词为 ASIN 形式，需补充商品元数据后再判断用户意图。</x:v>
      </x:c>
      <x:c r="G474" s="20" t="str">
        <x:v>unknown</x:v>
      </x:c>
      <x:c r="H474" s="20" t="str">
        <x:v>low</x:v>
      </x:c>
      <x:c r="I474" s="20" t="str">
        <x:v>asin_target</x:v>
      </x:c>
      <x:c r="J474" s="20" t="str">
        <x:v>asin_metadata_pending</x:v>
      </x:c>
      <x:c r="K474" s="20" t="str">
        <x:v>asin_without_metadata</x:v>
      </x:c>
      <x:c r="L474" s="20" t="str">
        <x:v>not_applicable</x:v>
      </x:c>
      <x:c r="M474" s="20" t="str">
        <x:v>non_model</x:v>
      </x:c>
      <x:c r="N474" s="20" t="str">
        <x:v>1</x:v>
      </x:c>
      <x:c r="O474" s="20" t="str">
        <x:v>1.0.0</x:v>
      </x:c>
      <x:c r="P474" s="20" t="str">
        <x:v>1.1.0</x:v>
      </x:c>
      <x:c r="Q474" s="20" t="str">
        <x:v>deepseek/deepseek-v4-pro</x:v>
      </x:c>
      <x:c r="R474" s="20" t="str">
        <x:v>aj2-y90-20260714T234810-0bea2f52</x:v>
      </x:c>
    </x:row>
    <x:row r="475" ht="28" customHeight="1">
      <x:c r="A475" s="20" t="str">
        <x:v>B0GLDXGMHG</x:v>
      </x:c>
      <x:c r="B475" s="20" t="str">
        <x:v>b0gldxgmhg</x:v>
      </x:c>
      <x:c r="C475" s="20" t="str">
        <x:v>a510daeea906ae4c</x:v>
      </x:c>
      <x:c r="D475" s="20" t="str">
        <x:v>asin_target</x:v>
      </x:c>
      <x:c r="E475" s="20" t="str">
        <x:v>en</x:v>
      </x:c>
      <x:c r="F475" s="20" t="str">
        <x:v>该搜索词为 ASIN 形式，需补充商品元数据后再判断用户意图。</x:v>
      </x:c>
      <x:c r="G475" s="20" t="str">
        <x:v>unknown</x:v>
      </x:c>
      <x:c r="H475" s="20" t="str">
        <x:v>low</x:v>
      </x:c>
      <x:c r="I475" s="20" t="str">
        <x:v>asin_target</x:v>
      </x:c>
      <x:c r="J475" s="20" t="str">
        <x:v>asin_metadata_pending</x:v>
      </x:c>
      <x:c r="K475" s="20" t="str">
        <x:v>asin_without_metadata</x:v>
      </x:c>
      <x:c r="L475" s="20" t="str">
        <x:v>not_applicable</x:v>
      </x:c>
      <x:c r="M475" s="20" t="str">
        <x:v>non_model</x:v>
      </x:c>
      <x:c r="N475" s="20" t="str">
        <x:v>1</x:v>
      </x:c>
      <x:c r="O475" s="20" t="str">
        <x:v>1.0.0</x:v>
      </x:c>
      <x:c r="P475" s="20" t="str">
        <x:v>1.1.0</x:v>
      </x:c>
      <x:c r="Q475" s="20" t="str">
        <x:v>deepseek/deepseek-v4-pro</x:v>
      </x:c>
      <x:c r="R475" s="20" t="str">
        <x:v>aj2-y90-20260714T234810-0bea2f52</x:v>
      </x:c>
    </x:row>
    <x:row r="476" ht="28" customHeight="1">
      <x:c r="A476" s="20" t="str">
        <x:v>B0G47RSC3W</x:v>
      </x:c>
      <x:c r="B476" s="20" t="str">
        <x:v>b0g47rsc3w</x:v>
      </x:c>
      <x:c r="C476" s="20" t="str">
        <x:v>a5484a18582be283</x:v>
      </x:c>
      <x:c r="D476" s="20" t="str">
        <x:v>asin_target</x:v>
      </x:c>
      <x:c r="E476" s="20" t="str">
        <x:v>en</x:v>
      </x:c>
      <x:c r="F476" s="20" t="str">
        <x:v>该搜索词为 ASIN 形式，需补充商品元数据后再判断用户意图。</x:v>
      </x:c>
      <x:c r="G476" s="20" t="str">
        <x:v>unknown</x:v>
      </x:c>
      <x:c r="H476" s="20" t="str">
        <x:v>low</x:v>
      </x:c>
      <x:c r="I476" s="20" t="str">
        <x:v>asin_target</x:v>
      </x:c>
      <x:c r="J476" s="20" t="str">
        <x:v>asin_metadata_pending</x:v>
      </x:c>
      <x:c r="K476" s="20" t="str">
        <x:v>asin_without_metadata</x:v>
      </x:c>
      <x:c r="L476" s="20" t="str">
        <x:v>not_applicable</x:v>
      </x:c>
      <x:c r="M476" s="20" t="str">
        <x:v>non_model</x:v>
      </x:c>
      <x:c r="N476" s="20" t="str">
        <x:v>2</x:v>
      </x:c>
      <x:c r="O476" s="20" t="str">
        <x:v>1.0.0</x:v>
      </x:c>
      <x:c r="P476" s="20" t="str">
        <x:v>1.1.0</x:v>
      </x:c>
      <x:c r="Q476" s="20" t="str">
        <x:v>deepseek/deepseek-v4-pro</x:v>
      </x:c>
      <x:c r="R476" s="20" t="str">
        <x:v>aj2-y90-20260714T234810-0bea2f52</x:v>
      </x:c>
    </x:row>
    <x:row r="477" ht="28" customHeight="1">
      <x:c r="A477" s="20" t="str">
        <x:v>B0GGRKNLWJ</x:v>
      </x:c>
      <x:c r="B477" s="20" t="str">
        <x:v>b0ggrknlwj</x:v>
      </x:c>
      <x:c r="C477" s="20" t="str">
        <x:v>a58675e5bd053263</x:v>
      </x:c>
      <x:c r="D477" s="20" t="str">
        <x:v>asin_target</x:v>
      </x:c>
      <x:c r="E477" s="20" t="str">
        <x:v>en</x:v>
      </x:c>
      <x:c r="F477" s="20" t="str">
        <x:v>该搜索词为 ASIN 形式，需补充商品元数据后再判断用户意图。</x:v>
      </x:c>
      <x:c r="G477" s="20" t="str">
        <x:v>unknown</x:v>
      </x:c>
      <x:c r="H477" s="20" t="str">
        <x:v>low</x:v>
      </x:c>
      <x:c r="I477" s="20" t="str">
        <x:v>asin_target</x:v>
      </x:c>
      <x:c r="J477" s="20" t="str">
        <x:v>asin_metadata_pending</x:v>
      </x:c>
      <x:c r="K477" s="20" t="str">
        <x:v>asin_without_metadata</x:v>
      </x:c>
      <x:c r="L477" s="20" t="str">
        <x:v>not_applicable</x:v>
      </x:c>
      <x:c r="M477" s="20" t="str">
        <x:v>non_model</x:v>
      </x:c>
      <x:c r="N477" s="20" t="str">
        <x:v>1</x:v>
      </x:c>
      <x:c r="O477" s="20" t="str">
        <x:v>1.0.0</x:v>
      </x:c>
      <x:c r="P477" s="20" t="str">
        <x:v>1.1.0</x:v>
      </x:c>
      <x:c r="Q477" s="20" t="str">
        <x:v>deepseek/deepseek-v4-pro</x:v>
      </x:c>
      <x:c r="R477" s="20" t="str">
        <x:v>aj2-y90-20260714T234810-0bea2f52</x:v>
      </x:c>
    </x:row>
    <x:row r="478" ht="28" customHeight="1">
      <x:c r="A478" s="20" t="str">
        <x:v>B08V1HD4DS</x:v>
      </x:c>
      <x:c r="B478" s="20" t="str">
        <x:v>b08v1hd4ds</x:v>
      </x:c>
      <x:c r="C478" s="20" t="str">
        <x:v>a5c0cf953d9b6d54</x:v>
      </x:c>
      <x:c r="D478" s="20" t="str">
        <x:v>asin_target</x:v>
      </x:c>
      <x:c r="E478" s="20" t="str">
        <x:v>en</x:v>
      </x:c>
      <x:c r="F478" s="20" t="str">
        <x:v>该搜索词为 ASIN 形式，需补充商品元数据后再判断用户意图。</x:v>
      </x:c>
      <x:c r="G478" s="20" t="str">
        <x:v>unknown</x:v>
      </x:c>
      <x:c r="H478" s="20" t="str">
        <x:v>low</x:v>
      </x:c>
      <x:c r="I478" s="20" t="str">
        <x:v>asin_target</x:v>
      </x:c>
      <x:c r="J478" s="20" t="str">
        <x:v>asin_metadata_pending</x:v>
      </x:c>
      <x:c r="K478" s="20" t="str">
        <x:v>asin_without_metadata</x:v>
      </x:c>
      <x:c r="L478" s="20" t="str">
        <x:v>not_applicable</x:v>
      </x:c>
      <x:c r="M478" s="20" t="str">
        <x:v>non_model</x:v>
      </x:c>
      <x:c r="N478" s="20" t="str">
        <x:v>1</x:v>
      </x:c>
      <x:c r="O478" s="20" t="str">
        <x:v>1.0.0</x:v>
      </x:c>
      <x:c r="P478" s="20" t="str">
        <x:v>1.1.0</x:v>
      </x:c>
      <x:c r="Q478" s="20" t="str">
        <x:v>deepseek/deepseek-v4-pro</x:v>
      </x:c>
      <x:c r="R478" s="20" t="str">
        <x:v>aj2-y90-20260714T234810-0bea2f52</x:v>
      </x:c>
    </x:row>
    <x:row r="479" ht="28" customHeight="1">
      <x:c r="A479" s="20" t="str">
        <x:v>B0GLGJR3GW</x:v>
      </x:c>
      <x:c r="B479" s="20" t="str">
        <x:v>b0glgjr3gw</x:v>
      </x:c>
      <x:c r="C479" s="20" t="str">
        <x:v>a62bf978b9fc7ebe</x:v>
      </x:c>
      <x:c r="D479" s="20" t="str">
        <x:v>asin_target</x:v>
      </x:c>
      <x:c r="E479" s="20" t="str">
        <x:v>en</x:v>
      </x:c>
      <x:c r="F479" s="20" t="str">
        <x:v>该搜索词为 ASIN 形式，需补充商品元数据后再判断用户意图。</x:v>
      </x:c>
      <x:c r="G479" s="20" t="str">
        <x:v>unknown</x:v>
      </x:c>
      <x:c r="H479" s="20" t="str">
        <x:v>low</x:v>
      </x:c>
      <x:c r="I479" s="20" t="str">
        <x:v>asin_target</x:v>
      </x:c>
      <x:c r="J479" s="20" t="str">
        <x:v>asin_metadata_pending</x:v>
      </x:c>
      <x:c r="K479" s="20" t="str">
        <x:v>asin_without_metadata</x:v>
      </x:c>
      <x:c r="L479" s="20" t="str">
        <x:v>not_applicable</x:v>
      </x:c>
      <x:c r="M479" s="20" t="str">
        <x:v>non_model</x:v>
      </x:c>
      <x:c r="N479" s="20" t="str">
        <x:v>1</x:v>
      </x:c>
      <x:c r="O479" s="20" t="str">
        <x:v>1.0.0</x:v>
      </x:c>
      <x:c r="P479" s="20" t="str">
        <x:v>1.1.0</x:v>
      </x:c>
      <x:c r="Q479" s="20" t="str">
        <x:v>deepseek/deepseek-v4-pro</x:v>
      </x:c>
      <x:c r="R479" s="20" t="str">
        <x:v>aj2-y90-20260714T234810-0bea2f52</x:v>
      </x:c>
    </x:row>
    <x:row r="480" ht="28" customHeight="1">
      <x:c r="A480" s="20" t="str">
        <x:v>B0DYJH7KPP</x:v>
      </x:c>
      <x:c r="B480" s="20" t="str">
        <x:v>b0dyjh7kpp</x:v>
      </x:c>
      <x:c r="C480" s="20" t="str">
        <x:v>a6f288366d27407d</x:v>
      </x:c>
      <x:c r="D480" s="20" t="str">
        <x:v>asin_target</x:v>
      </x:c>
      <x:c r="E480" s="20" t="str">
        <x:v>en</x:v>
      </x:c>
      <x:c r="F480" s="20" t="str">
        <x:v>该搜索词为 ASIN 形式，需补充商品元数据后再判断用户意图。</x:v>
      </x:c>
      <x:c r="G480" s="20" t="str">
        <x:v>unknown</x:v>
      </x:c>
      <x:c r="H480" s="20" t="str">
        <x:v>low</x:v>
      </x:c>
      <x:c r="I480" s="20" t="str">
        <x:v>asin_target</x:v>
      </x:c>
      <x:c r="J480" s="20" t="str">
        <x:v>asin_metadata_pending</x:v>
      </x:c>
      <x:c r="K480" s="20" t="str">
        <x:v>asin_without_metadata</x:v>
      </x:c>
      <x:c r="L480" s="20" t="str">
        <x:v>not_applicable</x:v>
      </x:c>
      <x:c r="M480" s="20" t="str">
        <x:v>non_model</x:v>
      </x:c>
      <x:c r="N480" s="20" t="str">
        <x:v>2</x:v>
      </x:c>
      <x:c r="O480" s="20" t="str">
        <x:v>1.0.0</x:v>
      </x:c>
      <x:c r="P480" s="20" t="str">
        <x:v>1.1.0</x:v>
      </x:c>
      <x:c r="Q480" s="20" t="str">
        <x:v>deepseek/deepseek-v4-pro</x:v>
      </x:c>
      <x:c r="R480" s="20" t="str">
        <x:v>aj2-y90-20260714T234810-0bea2f52</x:v>
      </x:c>
    </x:row>
    <x:row r="481" ht="28" customHeight="1">
      <x:c r="A481" s="20" t="str">
        <x:v>B0D9L9G35D</x:v>
      </x:c>
      <x:c r="B481" s="20" t="str">
        <x:v>b0d9l9g35d</x:v>
      </x:c>
      <x:c r="C481" s="20" t="str">
        <x:v>a73cfa27731ca504</x:v>
      </x:c>
      <x:c r="D481" s="20" t="str">
        <x:v>asin_target</x:v>
      </x:c>
      <x:c r="E481" s="20" t="str">
        <x:v>en</x:v>
      </x:c>
      <x:c r="F481" s="20" t="str">
        <x:v>该搜索词为 ASIN 形式，需补充商品元数据后再判断用户意图。</x:v>
      </x:c>
      <x:c r="G481" s="20" t="str">
        <x:v>unknown</x:v>
      </x:c>
      <x:c r="H481" s="20" t="str">
        <x:v>low</x:v>
      </x:c>
      <x:c r="I481" s="20" t="str">
        <x:v>asin_target</x:v>
      </x:c>
      <x:c r="J481" s="20" t="str">
        <x:v>asin_metadata_pending</x:v>
      </x:c>
      <x:c r="K481" s="20" t="str">
        <x:v>asin_without_metadata</x:v>
      </x:c>
      <x:c r="L481" s="20" t="str">
        <x:v>not_applicable</x:v>
      </x:c>
      <x:c r="M481" s="20" t="str">
        <x:v>non_model</x:v>
      </x:c>
      <x:c r="N481" s="20" t="str">
        <x:v>1</x:v>
      </x:c>
      <x:c r="O481" s="20" t="str">
        <x:v>1.0.0</x:v>
      </x:c>
      <x:c r="P481" s="20" t="str">
        <x:v>1.1.0</x:v>
      </x:c>
      <x:c r="Q481" s="20" t="str">
        <x:v>deepseek/deepseek-v4-pro</x:v>
      </x:c>
      <x:c r="R481" s="20" t="str">
        <x:v>aj2-y90-20260714T234810-0bea2f52</x:v>
      </x:c>
    </x:row>
    <x:row r="482" ht="28" customHeight="1">
      <x:c r="A482" s="20" t="str">
        <x:v>B0G48J5WL7</x:v>
      </x:c>
      <x:c r="B482" s="20" t="str">
        <x:v>b0g48j5wl7</x:v>
      </x:c>
      <x:c r="C482" s="20" t="str">
        <x:v>a7655cc1f14f80d0</x:v>
      </x:c>
      <x:c r="D482" s="20" t="str">
        <x:v>asin_target</x:v>
      </x:c>
      <x:c r="E482" s="20" t="str">
        <x:v>en</x:v>
      </x:c>
      <x:c r="F482" s="20" t="str">
        <x:v>该搜索词为 ASIN 形式，需补充商品元数据后再判断用户意图。</x:v>
      </x:c>
      <x:c r="G482" s="20" t="str">
        <x:v>unknown</x:v>
      </x:c>
      <x:c r="H482" s="20" t="str">
        <x:v>low</x:v>
      </x:c>
      <x:c r="I482" s="20" t="str">
        <x:v>asin_target</x:v>
      </x:c>
      <x:c r="J482" s="20" t="str">
        <x:v>asin_metadata_pending</x:v>
      </x:c>
      <x:c r="K482" s="20" t="str">
        <x:v>asin_without_metadata</x:v>
      </x:c>
      <x:c r="L482" s="20" t="str">
        <x:v>not_applicable</x:v>
      </x:c>
      <x:c r="M482" s="20" t="str">
        <x:v>non_model</x:v>
      </x:c>
      <x:c r="N482" s="20" t="str">
        <x:v>1</x:v>
      </x:c>
      <x:c r="O482" s="20" t="str">
        <x:v>1.0.0</x:v>
      </x:c>
      <x:c r="P482" s="20" t="str">
        <x:v>1.1.0</x:v>
      </x:c>
      <x:c r="Q482" s="20" t="str">
        <x:v>deepseek/deepseek-v4-pro</x:v>
      </x:c>
      <x:c r="R482" s="20" t="str">
        <x:v>aj2-y90-20260714T234810-0bea2f52</x:v>
      </x:c>
    </x:row>
    <x:row r="483" ht="28" customHeight="1">
      <x:c r="A483" s="20" t="str">
        <x:v>B0D1JWGFMP</x:v>
      </x:c>
      <x:c r="B483" s="20" t="str">
        <x:v>b0d1jwgfmp</x:v>
      </x:c>
      <x:c r="C483" s="20" t="str">
        <x:v>a76822b8e1c5ee62</x:v>
      </x:c>
      <x:c r="D483" s="20" t="str">
        <x:v>asin_target</x:v>
      </x:c>
      <x:c r="E483" s="20" t="str">
        <x:v>en</x:v>
      </x:c>
      <x:c r="F483" s="20" t="str">
        <x:v>该搜索词为 ASIN 形式，需补充商品元数据后再判断用户意图。</x:v>
      </x:c>
      <x:c r="G483" s="20" t="str">
        <x:v>unknown</x:v>
      </x:c>
      <x:c r="H483" s="20" t="str">
        <x:v>low</x:v>
      </x:c>
      <x:c r="I483" s="20" t="str">
        <x:v>asin_target</x:v>
      </x:c>
      <x:c r="J483" s="20" t="str">
        <x:v>asin_metadata_pending</x:v>
      </x:c>
      <x:c r="K483" s="20" t="str">
        <x:v>asin_without_metadata</x:v>
      </x:c>
      <x:c r="L483" s="20" t="str">
        <x:v>not_applicable</x:v>
      </x:c>
      <x:c r="M483" s="20" t="str">
        <x:v>non_model</x:v>
      </x:c>
      <x:c r="N483" s="20" t="str">
        <x:v>1</x:v>
      </x:c>
      <x:c r="O483" s="20" t="str">
        <x:v>1.0.0</x:v>
      </x:c>
      <x:c r="P483" s="20" t="str">
        <x:v>1.1.0</x:v>
      </x:c>
      <x:c r="Q483" s="20" t="str">
        <x:v>deepseek/deepseek-v4-pro</x:v>
      </x:c>
      <x:c r="R483" s="20" t="str">
        <x:v>aj2-y90-20260714T234810-0bea2f52</x:v>
      </x:c>
    </x:row>
    <x:row r="484" ht="28" customHeight="1">
      <x:c r="A484" s="20" t="str">
        <x:v>B0F8ML3M7D</x:v>
      </x:c>
      <x:c r="B484" s="20" t="str">
        <x:v>b0f8ml3m7d</x:v>
      </x:c>
      <x:c r="C484" s="20" t="str">
        <x:v>a780877456528d0b</x:v>
      </x:c>
      <x:c r="D484" s="20" t="str">
        <x:v>asin_target</x:v>
      </x:c>
      <x:c r="E484" s="20" t="str">
        <x:v>en</x:v>
      </x:c>
      <x:c r="F484" s="20" t="str">
        <x:v>该搜索词为 ASIN 形式，需补充商品元数据后再判断用户意图。</x:v>
      </x:c>
      <x:c r="G484" s="20" t="str">
        <x:v>unknown</x:v>
      </x:c>
      <x:c r="H484" s="20" t="str">
        <x:v>low</x:v>
      </x:c>
      <x:c r="I484" s="20" t="str">
        <x:v>asin_target</x:v>
      </x:c>
      <x:c r="J484" s="20" t="str">
        <x:v>asin_metadata_pending</x:v>
      </x:c>
      <x:c r="K484" s="20" t="str">
        <x:v>asin_without_metadata</x:v>
      </x:c>
      <x:c r="L484" s="20" t="str">
        <x:v>not_applicable</x:v>
      </x:c>
      <x:c r="M484" s="20" t="str">
        <x:v>non_model</x:v>
      </x:c>
      <x:c r="N484" s="20" t="str">
        <x:v>1</x:v>
      </x:c>
      <x:c r="O484" s="20" t="str">
        <x:v>1.0.0</x:v>
      </x:c>
      <x:c r="P484" s="20" t="str">
        <x:v>1.1.0</x:v>
      </x:c>
      <x:c r="Q484" s="20" t="str">
        <x:v>deepseek/deepseek-v4-pro</x:v>
      </x:c>
      <x:c r="R484" s="20" t="str">
        <x:v>aj2-y90-20260714T234810-0bea2f52</x:v>
      </x:c>
    </x:row>
    <x:row r="485" ht="28" customHeight="1">
      <x:c r="A485" s="20" t="str">
        <x:v>B0GFTJQJN3</x:v>
      </x:c>
      <x:c r="B485" s="20" t="str">
        <x:v>b0gftjqjn3</x:v>
      </x:c>
      <x:c r="C485" s="20" t="str">
        <x:v>a78b541f33e5f958</x:v>
      </x:c>
      <x:c r="D485" s="20" t="str">
        <x:v>asin_target</x:v>
      </x:c>
      <x:c r="E485" s="20" t="str">
        <x:v>en</x:v>
      </x:c>
      <x:c r="F485" s="20" t="str">
        <x:v>该搜索词为 ASIN 形式，需补充商品元数据后再判断用户意图。</x:v>
      </x:c>
      <x:c r="G485" s="20" t="str">
        <x:v>unknown</x:v>
      </x:c>
      <x:c r="H485" s="20" t="str">
        <x:v>low</x:v>
      </x:c>
      <x:c r="I485" s="20" t="str">
        <x:v>asin_target</x:v>
      </x:c>
      <x:c r="J485" s="20" t="str">
        <x:v>asin_metadata_pending</x:v>
      </x:c>
      <x:c r="K485" s="20" t="str">
        <x:v>asin_without_metadata</x:v>
      </x:c>
      <x:c r="L485" s="20" t="str">
        <x:v>not_applicable</x:v>
      </x:c>
      <x:c r="M485" s="20" t="str">
        <x:v>non_model</x:v>
      </x:c>
      <x:c r="N485" s="20" t="str">
        <x:v>1</x:v>
      </x:c>
      <x:c r="O485" s="20" t="str">
        <x:v>1.0.0</x:v>
      </x:c>
      <x:c r="P485" s="20" t="str">
        <x:v>1.1.0</x:v>
      </x:c>
      <x:c r="Q485" s="20" t="str">
        <x:v>deepseek/deepseek-v4-pro</x:v>
      </x:c>
      <x:c r="R485" s="20" t="str">
        <x:v>aj2-y90-20260714T234810-0bea2f52</x:v>
      </x:c>
    </x:row>
    <x:row r="486" ht="28" customHeight="1">
      <x:c r="A486" s="20" t="str">
        <x:v>B0FCZBBW67</x:v>
      </x:c>
      <x:c r="B486" s="20" t="str">
        <x:v>b0fczbbw67</x:v>
      </x:c>
      <x:c r="C486" s="20" t="str">
        <x:v>a8175728cd4e6c7e</x:v>
      </x:c>
      <x:c r="D486" s="20" t="str">
        <x:v>asin_target</x:v>
      </x:c>
      <x:c r="E486" s="20" t="str">
        <x:v>en</x:v>
      </x:c>
      <x:c r="F486" s="20" t="str">
        <x:v>该搜索词为 ASIN 形式，需补充商品元数据后再判断用户意图。</x:v>
      </x:c>
      <x:c r="G486" s="20" t="str">
        <x:v>unknown</x:v>
      </x:c>
      <x:c r="H486" s="20" t="str">
        <x:v>low</x:v>
      </x:c>
      <x:c r="I486" s="20" t="str">
        <x:v>asin_target</x:v>
      </x:c>
      <x:c r="J486" s="20" t="str">
        <x:v>asin_metadata_pending</x:v>
      </x:c>
      <x:c r="K486" s="20" t="str">
        <x:v>asin_without_metadata</x:v>
      </x:c>
      <x:c r="L486" s="20" t="str">
        <x:v>not_applicable</x:v>
      </x:c>
      <x:c r="M486" s="20" t="str">
        <x:v>non_model</x:v>
      </x:c>
      <x:c r="N486" s="20" t="str">
        <x:v>1</x:v>
      </x:c>
      <x:c r="O486" s="20" t="str">
        <x:v>1.0.0</x:v>
      </x:c>
      <x:c r="P486" s="20" t="str">
        <x:v>1.1.0</x:v>
      </x:c>
      <x:c r="Q486" s="20" t="str">
        <x:v>deepseek/deepseek-v4-pro</x:v>
      </x:c>
      <x:c r="R486" s="20" t="str">
        <x:v>aj2-y90-20260714T234810-0bea2f52</x:v>
      </x:c>
    </x:row>
    <x:row r="487" ht="28" customHeight="1">
      <x:c r="A487" s="20" t="str">
        <x:v>B09NB94CBK</x:v>
      </x:c>
      <x:c r="B487" s="20" t="str">
        <x:v>b09nb94cbk</x:v>
      </x:c>
      <x:c r="C487" s="20" t="str">
        <x:v>a8473d16e5492927</x:v>
      </x:c>
      <x:c r="D487" s="20" t="str">
        <x:v>asin_target</x:v>
      </x:c>
      <x:c r="E487" s="20" t="str">
        <x:v>en</x:v>
      </x:c>
      <x:c r="F487" s="20" t="str">
        <x:v>该搜索词为 ASIN 形式，需补充商品元数据后再判断用户意图。</x:v>
      </x:c>
      <x:c r="G487" s="20" t="str">
        <x:v>unknown</x:v>
      </x:c>
      <x:c r="H487" s="20" t="str">
        <x:v>low</x:v>
      </x:c>
      <x:c r="I487" s="20" t="str">
        <x:v>asin_target</x:v>
      </x:c>
      <x:c r="J487" s="20" t="str">
        <x:v>asin_metadata_pending</x:v>
      </x:c>
      <x:c r="K487" s="20" t="str">
        <x:v>asin_without_metadata</x:v>
      </x:c>
      <x:c r="L487" s="20" t="str">
        <x:v>not_applicable</x:v>
      </x:c>
      <x:c r="M487" s="20" t="str">
        <x:v>non_model</x:v>
      </x:c>
      <x:c r="N487" s="20" t="str">
        <x:v>1</x:v>
      </x:c>
      <x:c r="O487" s="20" t="str">
        <x:v>1.0.0</x:v>
      </x:c>
      <x:c r="P487" s="20" t="str">
        <x:v>1.1.0</x:v>
      </x:c>
      <x:c r="Q487" s="20" t="str">
        <x:v>deepseek/deepseek-v4-pro</x:v>
      </x:c>
      <x:c r="R487" s="20" t="str">
        <x:v>aj2-y90-20260714T234810-0bea2f52</x:v>
      </x:c>
    </x:row>
    <x:row r="488" ht="28" customHeight="1">
      <x:c r="A488" s="20" t="str">
        <x:v>B0897B7RV5</x:v>
      </x:c>
      <x:c r="B488" s="20" t="str">
        <x:v>b0897b7rv5</x:v>
      </x:c>
      <x:c r="C488" s="20" t="str">
        <x:v>a8975cf3573f479d</x:v>
      </x:c>
      <x:c r="D488" s="20" t="str">
        <x:v>asin_target</x:v>
      </x:c>
      <x:c r="E488" s="20" t="str">
        <x:v>en</x:v>
      </x:c>
      <x:c r="F488" s="20" t="str">
        <x:v>该搜索词为 ASIN 形式，需补充商品元数据后再判断用户意图。</x:v>
      </x:c>
      <x:c r="G488" s="20" t="str">
        <x:v>unknown</x:v>
      </x:c>
      <x:c r="H488" s="20" t="str">
        <x:v>low</x:v>
      </x:c>
      <x:c r="I488" s="20" t="str">
        <x:v>asin_target</x:v>
      </x:c>
      <x:c r="J488" s="20" t="str">
        <x:v>asin_metadata_pending</x:v>
      </x:c>
      <x:c r="K488" s="20" t="str">
        <x:v>asin_without_metadata</x:v>
      </x:c>
      <x:c r="L488" s="20" t="str">
        <x:v>not_applicable</x:v>
      </x:c>
      <x:c r="M488" s="20" t="str">
        <x:v>non_model</x:v>
      </x:c>
      <x:c r="N488" s="20" t="str">
        <x:v>1</x:v>
      </x:c>
      <x:c r="O488" s="20" t="str">
        <x:v>1.0.0</x:v>
      </x:c>
      <x:c r="P488" s="20" t="str">
        <x:v>1.1.0</x:v>
      </x:c>
      <x:c r="Q488" s="20" t="str">
        <x:v>deepseek/deepseek-v4-pro</x:v>
      </x:c>
      <x:c r="R488" s="20" t="str">
        <x:v>aj2-y90-20260714T234810-0bea2f52</x:v>
      </x:c>
    </x:row>
    <x:row r="489" ht="28" customHeight="1">
      <x:c r="A489" s="20" t="str">
        <x:v>B0GGR22572</x:v>
      </x:c>
      <x:c r="B489" s="20" t="str">
        <x:v>b0ggr22572</x:v>
      </x:c>
      <x:c r="C489" s="20" t="str">
        <x:v>a8f4490bd7917caa</x:v>
      </x:c>
      <x:c r="D489" s="20" t="str">
        <x:v>asin_target</x:v>
      </x:c>
      <x:c r="E489" s="20" t="str">
        <x:v>en</x:v>
      </x:c>
      <x:c r="F489" s="20" t="str">
        <x:v>该搜索词为 ASIN 形式，需补充商品元数据后再判断用户意图。</x:v>
      </x:c>
      <x:c r="G489" s="20" t="str">
        <x:v>unknown</x:v>
      </x:c>
      <x:c r="H489" s="20" t="str">
        <x:v>low</x:v>
      </x:c>
      <x:c r="I489" s="20" t="str">
        <x:v>asin_target</x:v>
      </x:c>
      <x:c r="J489" s="20" t="str">
        <x:v>asin_metadata_pending</x:v>
      </x:c>
      <x:c r="K489" s="20" t="str">
        <x:v>asin_without_metadata</x:v>
      </x:c>
      <x:c r="L489" s="20" t="str">
        <x:v>not_applicable</x:v>
      </x:c>
      <x:c r="M489" s="20" t="str">
        <x:v>non_model</x:v>
      </x:c>
      <x:c r="N489" s="20" t="str">
        <x:v>1</x:v>
      </x:c>
      <x:c r="O489" s="20" t="str">
        <x:v>1.0.0</x:v>
      </x:c>
      <x:c r="P489" s="20" t="str">
        <x:v>1.1.0</x:v>
      </x:c>
      <x:c r="Q489" s="20" t="str">
        <x:v>deepseek/deepseek-v4-pro</x:v>
      </x:c>
      <x:c r="R489" s="20" t="str">
        <x:v>aj2-y90-20260714T234810-0bea2f52</x:v>
      </x:c>
    </x:row>
    <x:row r="490" ht="28" customHeight="1">
      <x:c r="A490" s="20" t="str">
        <x:v>B0F8M6XL3D</x:v>
      </x:c>
      <x:c r="B490" s="20" t="str">
        <x:v>b0f8m6xl3d</x:v>
      </x:c>
      <x:c r="C490" s="20" t="str">
        <x:v>a94d8039696a4959</x:v>
      </x:c>
      <x:c r="D490" s="20" t="str">
        <x:v>asin_target</x:v>
      </x:c>
      <x:c r="E490" s="20" t="str">
        <x:v>en</x:v>
      </x:c>
      <x:c r="F490" s="20" t="str">
        <x:v>该搜索词为 ASIN 形式，需补充商品元数据后再判断用户意图。</x:v>
      </x:c>
      <x:c r="G490" s="20" t="str">
        <x:v>unknown</x:v>
      </x:c>
      <x:c r="H490" s="20" t="str">
        <x:v>low</x:v>
      </x:c>
      <x:c r="I490" s="20" t="str">
        <x:v>asin_target</x:v>
      </x:c>
      <x:c r="J490" s="20" t="str">
        <x:v>asin_metadata_pending</x:v>
      </x:c>
      <x:c r="K490" s="20" t="str">
        <x:v>asin_without_metadata</x:v>
      </x:c>
      <x:c r="L490" s="20" t="str">
        <x:v>not_applicable</x:v>
      </x:c>
      <x:c r="M490" s="20" t="str">
        <x:v>non_model</x:v>
      </x:c>
      <x:c r="N490" s="20" t="str">
        <x:v>1</x:v>
      </x:c>
      <x:c r="O490" s="20" t="str">
        <x:v>1.0.0</x:v>
      </x:c>
      <x:c r="P490" s="20" t="str">
        <x:v>1.1.0</x:v>
      </x:c>
      <x:c r="Q490" s="20" t="str">
        <x:v>deepseek/deepseek-v4-pro</x:v>
      </x:c>
      <x:c r="R490" s="20" t="str">
        <x:v>aj2-y90-20260714T234810-0bea2f52</x:v>
      </x:c>
    </x:row>
    <x:row r="491" ht="28" customHeight="1">
      <x:c r="A491" s="20" t="str">
        <x:v>B0FH7F9CYN</x:v>
      </x:c>
      <x:c r="B491" s="20" t="str">
        <x:v>b0fh7f9cyn</x:v>
      </x:c>
      <x:c r="C491" s="20" t="str">
        <x:v>a9b3cc89e8474654</x:v>
      </x:c>
      <x:c r="D491" s="20" t="str">
        <x:v>asin_target</x:v>
      </x:c>
      <x:c r="E491" s="20" t="str">
        <x:v>en</x:v>
      </x:c>
      <x:c r="F491" s="20" t="str">
        <x:v>该搜索词为 ASIN 形式，需补充商品元数据后再判断用户意图。</x:v>
      </x:c>
      <x:c r="G491" s="20" t="str">
        <x:v>unknown</x:v>
      </x:c>
      <x:c r="H491" s="20" t="str">
        <x:v>low</x:v>
      </x:c>
      <x:c r="I491" s="20" t="str">
        <x:v>asin_target</x:v>
      </x:c>
      <x:c r="J491" s="20" t="str">
        <x:v>asin_metadata_pending</x:v>
      </x:c>
      <x:c r="K491" s="20" t="str">
        <x:v>asin_without_metadata</x:v>
      </x:c>
      <x:c r="L491" s="20" t="str">
        <x:v>not_applicable</x:v>
      </x:c>
      <x:c r="M491" s="20" t="str">
        <x:v>non_model</x:v>
      </x:c>
      <x:c r="N491" s="20" t="str">
        <x:v>1</x:v>
      </x:c>
      <x:c r="O491" s="20" t="str">
        <x:v>1.0.0</x:v>
      </x:c>
      <x:c r="P491" s="20" t="str">
        <x:v>1.1.0</x:v>
      </x:c>
      <x:c r="Q491" s="20" t="str">
        <x:v>deepseek/deepseek-v4-pro</x:v>
      </x:c>
      <x:c r="R491" s="20" t="str">
        <x:v>aj2-y90-20260714T234810-0bea2f52</x:v>
      </x:c>
    </x:row>
    <x:row r="492" ht="28" customHeight="1">
      <x:c r="A492" s="20" t="str">
        <x:v>B0BKC7521Y</x:v>
      </x:c>
      <x:c r="B492" s="20" t="str">
        <x:v>b0bkc7521y</x:v>
      </x:c>
      <x:c r="C492" s="20" t="str">
        <x:v>a9dfec4370ea2557</x:v>
      </x:c>
      <x:c r="D492" s="20" t="str">
        <x:v>asin_target</x:v>
      </x:c>
      <x:c r="E492" s="20" t="str">
        <x:v>en</x:v>
      </x:c>
      <x:c r="F492" s="20" t="str">
        <x:v>该搜索词为 ASIN 形式，需补充商品元数据后再判断用户意图。</x:v>
      </x:c>
      <x:c r="G492" s="20" t="str">
        <x:v>unknown</x:v>
      </x:c>
      <x:c r="H492" s="20" t="str">
        <x:v>low</x:v>
      </x:c>
      <x:c r="I492" s="20" t="str">
        <x:v>asin_target</x:v>
      </x:c>
      <x:c r="J492" s="20" t="str">
        <x:v>asin_metadata_pending</x:v>
      </x:c>
      <x:c r="K492" s="20" t="str">
        <x:v>asin_without_metadata</x:v>
      </x:c>
      <x:c r="L492" s="20" t="str">
        <x:v>not_applicable</x:v>
      </x:c>
      <x:c r="M492" s="20" t="str">
        <x:v>non_model</x:v>
      </x:c>
      <x:c r="N492" s="20" t="str">
        <x:v>1</x:v>
      </x:c>
      <x:c r="O492" s="20" t="str">
        <x:v>1.0.0</x:v>
      </x:c>
      <x:c r="P492" s="20" t="str">
        <x:v>1.1.0</x:v>
      </x:c>
      <x:c r="Q492" s="20" t="str">
        <x:v>deepseek/deepseek-v4-pro</x:v>
      </x:c>
      <x:c r="R492" s="20" t="str">
        <x:v>aj2-y90-20260714T234810-0bea2f52</x:v>
      </x:c>
    </x:row>
    <x:row r="493" ht="28" customHeight="1">
      <x:c r="A493" s="20" t="str">
        <x:v>B0C9KVSCQ3</x:v>
      </x:c>
      <x:c r="B493" s="20" t="str">
        <x:v>b0c9kvscq3</x:v>
      </x:c>
      <x:c r="C493" s="20" t="str">
        <x:v>aa03c5423e3a3271</x:v>
      </x:c>
      <x:c r="D493" s="20" t="str">
        <x:v>asin_target</x:v>
      </x:c>
      <x:c r="E493" s="20" t="str">
        <x:v>en</x:v>
      </x:c>
      <x:c r="F493" s="20" t="str">
        <x:v>该搜索词为 ASIN 形式，需补充商品元数据后再判断用户意图。</x:v>
      </x:c>
      <x:c r="G493" s="20" t="str">
        <x:v>unknown</x:v>
      </x:c>
      <x:c r="H493" s="20" t="str">
        <x:v>low</x:v>
      </x:c>
      <x:c r="I493" s="20" t="str">
        <x:v>asin_target</x:v>
      </x:c>
      <x:c r="J493" s="20" t="str">
        <x:v>asin_metadata_pending</x:v>
      </x:c>
      <x:c r="K493" s="20" t="str">
        <x:v>asin_without_metadata</x:v>
      </x:c>
      <x:c r="L493" s="20" t="str">
        <x:v>not_applicable</x:v>
      </x:c>
      <x:c r="M493" s="20" t="str">
        <x:v>non_model</x:v>
      </x:c>
      <x:c r="N493" s="20" t="str">
        <x:v>2</x:v>
      </x:c>
      <x:c r="O493" s="20" t="str">
        <x:v>1.0.0</x:v>
      </x:c>
      <x:c r="P493" s="20" t="str">
        <x:v>1.1.0</x:v>
      </x:c>
      <x:c r="Q493" s="20" t="str">
        <x:v>deepseek/deepseek-v4-pro</x:v>
      </x:c>
      <x:c r="R493" s="20" t="str">
        <x:v>aj2-y90-20260714T234810-0bea2f52</x:v>
      </x:c>
    </x:row>
    <x:row r="494" ht="28" customHeight="1">
      <x:c r="A494" s="20" t="str">
        <x:v>B0GV96MSPJ</x:v>
      </x:c>
      <x:c r="B494" s="20" t="str">
        <x:v>b0gv96mspj</x:v>
      </x:c>
      <x:c r="C494" s="20" t="str">
        <x:v>aa346b5cf045f703</x:v>
      </x:c>
      <x:c r="D494" s="20" t="str">
        <x:v>asin_target</x:v>
      </x:c>
      <x:c r="E494" s="20" t="str">
        <x:v>en</x:v>
      </x:c>
      <x:c r="F494" s="20" t="str">
        <x:v>该搜索词为 ASIN 形式，需补充商品元数据后再判断用户意图。</x:v>
      </x:c>
      <x:c r="G494" s="20" t="str">
        <x:v>unknown</x:v>
      </x:c>
      <x:c r="H494" s="20" t="str">
        <x:v>low</x:v>
      </x:c>
      <x:c r="I494" s="20" t="str">
        <x:v>asin_target</x:v>
      </x:c>
      <x:c r="J494" s="20" t="str">
        <x:v>asin_metadata_pending</x:v>
      </x:c>
      <x:c r="K494" s="20" t="str">
        <x:v>asin_without_metadata</x:v>
      </x:c>
      <x:c r="L494" s="20" t="str">
        <x:v>not_applicable</x:v>
      </x:c>
      <x:c r="M494" s="20" t="str">
        <x:v>non_model</x:v>
      </x:c>
      <x:c r="N494" s="20" t="str">
        <x:v>1</x:v>
      </x:c>
      <x:c r="O494" s="20" t="str">
        <x:v>1.0.0</x:v>
      </x:c>
      <x:c r="P494" s="20" t="str">
        <x:v>1.1.0</x:v>
      </x:c>
      <x:c r="Q494" s="20" t="str">
        <x:v>deepseek/deepseek-v4-pro</x:v>
      </x:c>
      <x:c r="R494" s="20" t="str">
        <x:v>aj2-y90-20260714T234810-0bea2f52</x:v>
      </x:c>
    </x:row>
    <x:row r="495" ht="28" customHeight="1">
      <x:c r="A495" s="20" t="str">
        <x:v>B0DK3S753R</x:v>
      </x:c>
      <x:c r="B495" s="20" t="str">
        <x:v>b0dk3s753r</x:v>
      </x:c>
      <x:c r="C495" s="20" t="str">
        <x:v>aad636f8dd890aab</x:v>
      </x:c>
      <x:c r="D495" s="20" t="str">
        <x:v>asin_target</x:v>
      </x:c>
      <x:c r="E495" s="20" t="str">
        <x:v>en</x:v>
      </x:c>
      <x:c r="F495" s="20" t="str">
        <x:v>该搜索词为 ASIN 形式，需补充商品元数据后再判断用户意图。</x:v>
      </x:c>
      <x:c r="G495" s="20" t="str">
        <x:v>unknown</x:v>
      </x:c>
      <x:c r="H495" s="20" t="str">
        <x:v>low</x:v>
      </x:c>
      <x:c r="I495" s="20" t="str">
        <x:v>asin_target</x:v>
      </x:c>
      <x:c r="J495" s="20" t="str">
        <x:v>asin_metadata_pending</x:v>
      </x:c>
      <x:c r="K495" s="20" t="str">
        <x:v>asin_without_metadata</x:v>
      </x:c>
      <x:c r="L495" s="20" t="str">
        <x:v>not_applicable</x:v>
      </x:c>
      <x:c r="M495" s="20" t="str">
        <x:v>non_model</x:v>
      </x:c>
      <x:c r="N495" s="20" t="str">
        <x:v>1</x:v>
      </x:c>
      <x:c r="O495" s="20" t="str">
        <x:v>1.0.0</x:v>
      </x:c>
      <x:c r="P495" s="20" t="str">
        <x:v>1.1.0</x:v>
      </x:c>
      <x:c r="Q495" s="20" t="str">
        <x:v>deepseek/deepseek-v4-pro</x:v>
      </x:c>
      <x:c r="R495" s="20" t="str">
        <x:v>aj2-y90-20260714T234810-0bea2f52</x:v>
      </x:c>
    </x:row>
    <x:row r="496" ht="28" customHeight="1">
      <x:c r="A496" s="20" t="str">
        <x:v>B0G48L4VSZ</x:v>
      </x:c>
      <x:c r="B496" s="20" t="str">
        <x:v>b0g48l4vsz</x:v>
      </x:c>
      <x:c r="C496" s="20" t="str">
        <x:v>ab1204105ea251b5</x:v>
      </x:c>
      <x:c r="D496" s="20" t="str">
        <x:v>asin_target</x:v>
      </x:c>
      <x:c r="E496" s="20" t="str">
        <x:v>en</x:v>
      </x:c>
      <x:c r="F496" s="20" t="str">
        <x:v>该搜索词为 ASIN 形式，需补充商品元数据后再判断用户意图。</x:v>
      </x:c>
      <x:c r="G496" s="20" t="str">
        <x:v>unknown</x:v>
      </x:c>
      <x:c r="H496" s="20" t="str">
        <x:v>low</x:v>
      </x:c>
      <x:c r="I496" s="20" t="str">
        <x:v>asin_target</x:v>
      </x:c>
      <x:c r="J496" s="20" t="str">
        <x:v>asin_metadata_pending</x:v>
      </x:c>
      <x:c r="K496" s="20" t="str">
        <x:v>asin_without_metadata</x:v>
      </x:c>
      <x:c r="L496" s="20" t="str">
        <x:v>not_applicable</x:v>
      </x:c>
      <x:c r="M496" s="20" t="str">
        <x:v>non_model</x:v>
      </x:c>
      <x:c r="N496" s="20" t="str">
        <x:v>1</x:v>
      </x:c>
      <x:c r="O496" s="20" t="str">
        <x:v>1.0.0</x:v>
      </x:c>
      <x:c r="P496" s="20" t="str">
        <x:v>1.1.0</x:v>
      </x:c>
      <x:c r="Q496" s="20" t="str">
        <x:v>deepseek/deepseek-v4-pro</x:v>
      </x:c>
      <x:c r="R496" s="20" t="str">
        <x:v>aj2-y90-20260714T234810-0bea2f52</x:v>
      </x:c>
    </x:row>
    <x:row r="497" ht="28" customHeight="1">
      <x:c r="A497" s="20" t="str">
        <x:v>B0GGRC2FR2</x:v>
      </x:c>
      <x:c r="B497" s="20" t="str">
        <x:v>b0ggrc2fr2</x:v>
      </x:c>
      <x:c r="C497" s="20" t="str">
        <x:v>ab649893ce378e09</x:v>
      </x:c>
      <x:c r="D497" s="20" t="str">
        <x:v>asin_target</x:v>
      </x:c>
      <x:c r="E497" s="20" t="str">
        <x:v>en</x:v>
      </x:c>
      <x:c r="F497" s="20" t="str">
        <x:v>该搜索词为 ASIN 形式，需补充商品元数据后再判断用户意图。</x:v>
      </x:c>
      <x:c r="G497" s="20" t="str">
        <x:v>unknown</x:v>
      </x:c>
      <x:c r="H497" s="20" t="str">
        <x:v>low</x:v>
      </x:c>
      <x:c r="I497" s="20" t="str">
        <x:v>asin_target</x:v>
      </x:c>
      <x:c r="J497" s="20" t="str">
        <x:v>asin_metadata_pending</x:v>
      </x:c>
      <x:c r="K497" s="20" t="str">
        <x:v>asin_without_metadata</x:v>
      </x:c>
      <x:c r="L497" s="20" t="str">
        <x:v>not_applicable</x:v>
      </x:c>
      <x:c r="M497" s="20" t="str">
        <x:v>non_model</x:v>
      </x:c>
      <x:c r="N497" s="20" t="str">
        <x:v>1</x:v>
      </x:c>
      <x:c r="O497" s="20" t="str">
        <x:v>1.0.0</x:v>
      </x:c>
      <x:c r="P497" s="20" t="str">
        <x:v>1.1.0</x:v>
      </x:c>
      <x:c r="Q497" s="20" t="str">
        <x:v>deepseek/deepseek-v4-pro</x:v>
      </x:c>
      <x:c r="R497" s="20" t="str">
        <x:v>aj2-y90-20260714T234810-0bea2f52</x:v>
      </x:c>
    </x:row>
    <x:row r="498" ht="28" customHeight="1">
      <x:c r="A498" s="20" t="str">
        <x:v>B0F8MKSVVL</x:v>
      </x:c>
      <x:c r="B498" s="20" t="str">
        <x:v>b0f8mksvvl</x:v>
      </x:c>
      <x:c r="C498" s="20" t="str">
        <x:v>ab70811e674803db</x:v>
      </x:c>
      <x:c r="D498" s="20" t="str">
        <x:v>asin_target</x:v>
      </x:c>
      <x:c r="E498" s="20" t="str">
        <x:v>en</x:v>
      </x:c>
      <x:c r="F498" s="20" t="str">
        <x:v>该搜索词为 ASIN 形式，需补充商品元数据后再判断用户意图。</x:v>
      </x:c>
      <x:c r="G498" s="20" t="str">
        <x:v>unknown</x:v>
      </x:c>
      <x:c r="H498" s="20" t="str">
        <x:v>low</x:v>
      </x:c>
      <x:c r="I498" s="20" t="str">
        <x:v>asin_target</x:v>
      </x:c>
      <x:c r="J498" s="20" t="str">
        <x:v>asin_metadata_pending</x:v>
      </x:c>
      <x:c r="K498" s="20" t="str">
        <x:v>asin_without_metadata</x:v>
      </x:c>
      <x:c r="L498" s="20" t="str">
        <x:v>not_applicable</x:v>
      </x:c>
      <x:c r="M498" s="20" t="str">
        <x:v>non_model</x:v>
      </x:c>
      <x:c r="N498" s="20" t="str">
        <x:v>2</x:v>
      </x:c>
      <x:c r="O498" s="20" t="str">
        <x:v>1.0.0</x:v>
      </x:c>
      <x:c r="P498" s="20" t="str">
        <x:v>1.1.0</x:v>
      </x:c>
      <x:c r="Q498" s="20" t="str">
        <x:v>deepseek/deepseek-v4-pro</x:v>
      </x:c>
      <x:c r="R498" s="20" t="str">
        <x:v>aj2-y90-20260714T234810-0bea2f52</x:v>
      </x:c>
    </x:row>
    <x:row r="499" ht="28" customHeight="1">
      <x:c r="A499" s="20" t="str">
        <x:v>B0FGL1Q9YS</x:v>
      </x:c>
      <x:c r="B499" s="20" t="str">
        <x:v>b0fgl1q9ys</x:v>
      </x:c>
      <x:c r="C499" s="20" t="str">
        <x:v>ac18cece033cf985</x:v>
      </x:c>
      <x:c r="D499" s="20" t="str">
        <x:v>asin_target</x:v>
      </x:c>
      <x:c r="E499" s="20" t="str">
        <x:v>en</x:v>
      </x:c>
      <x:c r="F499" s="20" t="str">
        <x:v>该搜索词为 ASIN 形式，需补充商品元数据后再判断用户意图。</x:v>
      </x:c>
      <x:c r="G499" s="20" t="str">
        <x:v>unknown</x:v>
      </x:c>
      <x:c r="H499" s="20" t="str">
        <x:v>low</x:v>
      </x:c>
      <x:c r="I499" s="20" t="str">
        <x:v>asin_target</x:v>
      </x:c>
      <x:c r="J499" s="20" t="str">
        <x:v>asin_metadata_pending</x:v>
      </x:c>
      <x:c r="K499" s="20" t="str">
        <x:v>asin_without_metadata</x:v>
      </x:c>
      <x:c r="L499" s="20" t="str">
        <x:v>not_applicable</x:v>
      </x:c>
      <x:c r="M499" s="20" t="str">
        <x:v>non_model</x:v>
      </x:c>
      <x:c r="N499" s="20" t="str">
        <x:v>1</x:v>
      </x:c>
      <x:c r="O499" s="20" t="str">
        <x:v>1.0.0</x:v>
      </x:c>
      <x:c r="P499" s="20" t="str">
        <x:v>1.1.0</x:v>
      </x:c>
      <x:c r="Q499" s="20" t="str">
        <x:v>deepseek/deepseek-v4-pro</x:v>
      </x:c>
      <x:c r="R499" s="20" t="str">
        <x:v>aj2-y90-20260714T234810-0bea2f52</x:v>
      </x:c>
    </x:row>
    <x:row r="500" ht="28" customHeight="1">
      <x:c r="A500" s="20" t="str">
        <x:v>B0G6451JSC</x:v>
      </x:c>
      <x:c r="B500" s="20" t="str">
        <x:v>b0g6451jsc</x:v>
      </x:c>
      <x:c r="C500" s="20" t="str">
        <x:v>ac335645ce80c238</x:v>
      </x:c>
      <x:c r="D500" s="20" t="str">
        <x:v>asin_target</x:v>
      </x:c>
      <x:c r="E500" s="20" t="str">
        <x:v>en</x:v>
      </x:c>
      <x:c r="F500" s="20" t="str">
        <x:v>该搜索词为 ASIN 形式，需补充商品元数据后再判断用户意图。</x:v>
      </x:c>
      <x:c r="G500" s="20" t="str">
        <x:v>unknown</x:v>
      </x:c>
      <x:c r="H500" s="20" t="str">
        <x:v>low</x:v>
      </x:c>
      <x:c r="I500" s="20" t="str">
        <x:v>asin_target</x:v>
      </x:c>
      <x:c r="J500" s="20" t="str">
        <x:v>asin_metadata_pending</x:v>
      </x:c>
      <x:c r="K500" s="20" t="str">
        <x:v>asin_without_metadata</x:v>
      </x:c>
      <x:c r="L500" s="20" t="str">
        <x:v>not_applicable</x:v>
      </x:c>
      <x:c r="M500" s="20" t="str">
        <x:v>non_model</x:v>
      </x:c>
      <x:c r="N500" s="20" t="str">
        <x:v>1</x:v>
      </x:c>
      <x:c r="O500" s="20" t="str">
        <x:v>1.0.0</x:v>
      </x:c>
      <x:c r="P500" s="20" t="str">
        <x:v>1.1.0</x:v>
      </x:c>
      <x:c r="Q500" s="20" t="str">
        <x:v>deepseek/deepseek-v4-pro</x:v>
      </x:c>
      <x:c r="R500" s="20" t="str">
        <x:v>aj2-y90-20260714T234810-0bea2f52</x:v>
      </x:c>
    </x:row>
    <x:row r="501" ht="28" customHeight="1">
      <x:c r="A501" s="20" t="str">
        <x:v>B09NB97YP6</x:v>
      </x:c>
      <x:c r="B501" s="20" t="str">
        <x:v>b09nb97yp6</x:v>
      </x:c>
      <x:c r="C501" s="20" t="str">
        <x:v>ac355732137345e3</x:v>
      </x:c>
      <x:c r="D501" s="20" t="str">
        <x:v>asin_target</x:v>
      </x:c>
      <x:c r="E501" s="20" t="str">
        <x:v>en</x:v>
      </x:c>
      <x:c r="F501" s="20" t="str">
        <x:v>该搜索词为 ASIN 形式，需补充商品元数据后再判断用户意图。</x:v>
      </x:c>
      <x:c r="G501" s="20" t="str">
        <x:v>unknown</x:v>
      </x:c>
      <x:c r="H501" s="20" t="str">
        <x:v>low</x:v>
      </x:c>
      <x:c r="I501" s="20" t="str">
        <x:v>asin_target</x:v>
      </x:c>
      <x:c r="J501" s="20" t="str">
        <x:v>asin_metadata_pending</x:v>
      </x:c>
      <x:c r="K501" s="20" t="str">
        <x:v>asin_without_metadata</x:v>
      </x:c>
      <x:c r="L501" s="20" t="str">
        <x:v>not_applicable</x:v>
      </x:c>
      <x:c r="M501" s="20" t="str">
        <x:v>non_model</x:v>
      </x:c>
      <x:c r="N501" s="20" t="str">
        <x:v>1</x:v>
      </x:c>
      <x:c r="O501" s="20" t="str">
        <x:v>1.0.0</x:v>
      </x:c>
      <x:c r="P501" s="20" t="str">
        <x:v>1.1.0</x:v>
      </x:c>
      <x:c r="Q501" s="20" t="str">
        <x:v>deepseek/deepseek-v4-pro</x:v>
      </x:c>
      <x:c r="R501" s="20" t="str">
        <x:v>aj2-y90-20260714T234810-0bea2f52</x:v>
      </x:c>
    </x:row>
    <x:row r="502" ht="28" customHeight="1">
      <x:c r="A502" s="20" t="str">
        <x:v>B0GD5XF6M8</x:v>
      </x:c>
      <x:c r="B502" s="20" t="str">
        <x:v>b0gd5xf6m8</x:v>
      </x:c>
      <x:c r="C502" s="20" t="str">
        <x:v>ad8a7343232a091f</x:v>
      </x:c>
      <x:c r="D502" s="20" t="str">
        <x:v>asin_target</x:v>
      </x:c>
      <x:c r="E502" s="20" t="str">
        <x:v>en</x:v>
      </x:c>
      <x:c r="F502" s="20" t="str">
        <x:v>该搜索词为 ASIN 形式，需补充商品元数据后再判断用户意图。</x:v>
      </x:c>
      <x:c r="G502" s="20" t="str">
        <x:v>unknown</x:v>
      </x:c>
      <x:c r="H502" s="20" t="str">
        <x:v>low</x:v>
      </x:c>
      <x:c r="I502" s="20" t="str">
        <x:v>asin_target</x:v>
      </x:c>
      <x:c r="J502" s="20" t="str">
        <x:v>asin_metadata_pending</x:v>
      </x:c>
      <x:c r="K502" s="20" t="str">
        <x:v>asin_without_metadata</x:v>
      </x:c>
      <x:c r="L502" s="20" t="str">
        <x:v>not_applicable</x:v>
      </x:c>
      <x:c r="M502" s="20" t="str">
        <x:v>non_model</x:v>
      </x:c>
      <x:c r="N502" s="20" t="str">
        <x:v>1</x:v>
      </x:c>
      <x:c r="O502" s="20" t="str">
        <x:v>1.0.0</x:v>
      </x:c>
      <x:c r="P502" s="20" t="str">
        <x:v>1.1.0</x:v>
      </x:c>
      <x:c r="Q502" s="20" t="str">
        <x:v>deepseek/deepseek-v4-pro</x:v>
      </x:c>
      <x:c r="R502" s="20" t="str">
        <x:v>aj2-y90-20260714T234810-0bea2f52</x:v>
      </x:c>
    </x:row>
    <x:row r="503" ht="28" customHeight="1">
      <x:c r="A503" s="20" t="str">
        <x:v>B0CK2QQJYV</x:v>
      </x:c>
      <x:c r="B503" s="20" t="str">
        <x:v>b0ck2qqjyv</x:v>
      </x:c>
      <x:c r="C503" s="20" t="str">
        <x:v>ad941c85ee042cf9</x:v>
      </x:c>
      <x:c r="D503" s="20" t="str">
        <x:v>asin_target</x:v>
      </x:c>
      <x:c r="E503" s="20" t="str">
        <x:v>en</x:v>
      </x:c>
      <x:c r="F503" s="20" t="str">
        <x:v>该搜索词为 ASIN 形式，需补充商品元数据后再判断用户意图。</x:v>
      </x:c>
      <x:c r="G503" s="20" t="str">
        <x:v>unknown</x:v>
      </x:c>
      <x:c r="H503" s="20" t="str">
        <x:v>low</x:v>
      </x:c>
      <x:c r="I503" s="20" t="str">
        <x:v>asin_target</x:v>
      </x:c>
      <x:c r="J503" s="20" t="str">
        <x:v>asin_metadata_pending</x:v>
      </x:c>
      <x:c r="K503" s="20" t="str">
        <x:v>asin_without_metadata</x:v>
      </x:c>
      <x:c r="L503" s="20" t="str">
        <x:v>not_applicable</x:v>
      </x:c>
      <x:c r="M503" s="20" t="str">
        <x:v>non_model</x:v>
      </x:c>
      <x:c r="N503" s="20" t="str">
        <x:v>1</x:v>
      </x:c>
      <x:c r="O503" s="20" t="str">
        <x:v>1.0.0</x:v>
      </x:c>
      <x:c r="P503" s="20" t="str">
        <x:v>1.1.0</x:v>
      </x:c>
      <x:c r="Q503" s="20" t="str">
        <x:v>deepseek/deepseek-v4-pro</x:v>
      </x:c>
      <x:c r="R503" s="20" t="str">
        <x:v>aj2-y90-20260714T234810-0bea2f52</x:v>
      </x:c>
    </x:row>
    <x:row r="504" ht="28" customHeight="1">
      <x:c r="A504" s="20" t="str">
        <x:v>B0C5ZXGF6Q</x:v>
      </x:c>
      <x:c r="B504" s="20" t="str">
        <x:v>b0c5zxgf6q</x:v>
      </x:c>
      <x:c r="C504" s="20" t="str">
        <x:v>ae62c4cb6470b5da</x:v>
      </x:c>
      <x:c r="D504" s="20" t="str">
        <x:v>asin_target</x:v>
      </x:c>
      <x:c r="E504" s="20" t="str">
        <x:v>en</x:v>
      </x:c>
      <x:c r="F504" s="20" t="str">
        <x:v>该搜索词为 ASIN 形式，需补充商品元数据后再判断用户意图。</x:v>
      </x:c>
      <x:c r="G504" s="20" t="str">
        <x:v>unknown</x:v>
      </x:c>
      <x:c r="H504" s="20" t="str">
        <x:v>low</x:v>
      </x:c>
      <x:c r="I504" s="20" t="str">
        <x:v>asin_target</x:v>
      </x:c>
      <x:c r="J504" s="20" t="str">
        <x:v>asin_metadata_pending</x:v>
      </x:c>
      <x:c r="K504" s="20" t="str">
        <x:v>asin_without_metadata</x:v>
      </x:c>
      <x:c r="L504" s="20" t="str">
        <x:v>not_applicable</x:v>
      </x:c>
      <x:c r="M504" s="20" t="str">
        <x:v>non_model</x:v>
      </x:c>
      <x:c r="N504" s="20" t="str">
        <x:v>1</x:v>
      </x:c>
      <x:c r="O504" s="20" t="str">
        <x:v>1.0.0</x:v>
      </x:c>
      <x:c r="P504" s="20" t="str">
        <x:v>1.1.0</x:v>
      </x:c>
      <x:c r="Q504" s="20" t="str">
        <x:v>deepseek/deepseek-v4-pro</x:v>
      </x:c>
      <x:c r="R504" s="20" t="str">
        <x:v>aj2-y90-20260714T234810-0bea2f52</x:v>
      </x:c>
    </x:row>
    <x:row r="505" ht="28" customHeight="1">
      <x:c r="A505" s="20" t="str">
        <x:v>B08729CMF3</x:v>
      </x:c>
      <x:c r="B505" s="20" t="str">
        <x:v>b08729cmf3</x:v>
      </x:c>
      <x:c r="C505" s="20" t="str">
        <x:v>aedc866a053d13f6</x:v>
      </x:c>
      <x:c r="D505" s="20" t="str">
        <x:v>asin_target</x:v>
      </x:c>
      <x:c r="E505" s="20" t="str">
        <x:v>en</x:v>
      </x:c>
      <x:c r="F505" s="20" t="str">
        <x:v>该搜索词为 ASIN 形式，需补充商品元数据后再判断用户意图。</x:v>
      </x:c>
      <x:c r="G505" s="20" t="str">
        <x:v>unknown</x:v>
      </x:c>
      <x:c r="H505" s="20" t="str">
        <x:v>low</x:v>
      </x:c>
      <x:c r="I505" s="20" t="str">
        <x:v>asin_target</x:v>
      </x:c>
      <x:c r="J505" s="20" t="str">
        <x:v>asin_metadata_pending</x:v>
      </x:c>
      <x:c r="K505" s="20" t="str">
        <x:v>asin_without_metadata</x:v>
      </x:c>
      <x:c r="L505" s="20" t="str">
        <x:v>not_applicable</x:v>
      </x:c>
      <x:c r="M505" s="20" t="str">
        <x:v>non_model</x:v>
      </x:c>
      <x:c r="N505" s="20" t="str">
        <x:v>1</x:v>
      </x:c>
      <x:c r="O505" s="20" t="str">
        <x:v>1.0.0</x:v>
      </x:c>
      <x:c r="P505" s="20" t="str">
        <x:v>1.1.0</x:v>
      </x:c>
      <x:c r="Q505" s="20" t="str">
        <x:v>deepseek/deepseek-v4-pro</x:v>
      </x:c>
      <x:c r="R505" s="20" t="str">
        <x:v>aj2-y90-20260714T234810-0bea2f52</x:v>
      </x:c>
    </x:row>
    <x:row r="506" ht="28" customHeight="1">
      <x:c r="A506" s="20" t="str">
        <x:v>B08GKR4X5Y</x:v>
      </x:c>
      <x:c r="B506" s="20" t="str">
        <x:v>b08gkr4x5y</x:v>
      </x:c>
      <x:c r="C506" s="20" t="str">
        <x:v>af29c8277fde63dc</x:v>
      </x:c>
      <x:c r="D506" s="20" t="str">
        <x:v>asin_target</x:v>
      </x:c>
      <x:c r="E506" s="20" t="str">
        <x:v>en</x:v>
      </x:c>
      <x:c r="F506" s="20" t="str">
        <x:v>该搜索词为 ASIN 形式，需补充商品元数据后再判断用户意图。</x:v>
      </x:c>
      <x:c r="G506" s="20" t="str">
        <x:v>unknown</x:v>
      </x:c>
      <x:c r="H506" s="20" t="str">
        <x:v>low</x:v>
      </x:c>
      <x:c r="I506" s="20" t="str">
        <x:v>asin_target</x:v>
      </x:c>
      <x:c r="J506" s="20" t="str">
        <x:v>asin_metadata_pending</x:v>
      </x:c>
      <x:c r="K506" s="20" t="str">
        <x:v>asin_without_metadata</x:v>
      </x:c>
      <x:c r="L506" s="20" t="str">
        <x:v>not_applicable</x:v>
      </x:c>
      <x:c r="M506" s="20" t="str">
        <x:v>non_model</x:v>
      </x:c>
      <x:c r="N506" s="20" t="str">
        <x:v>1</x:v>
      </x:c>
      <x:c r="O506" s="20" t="str">
        <x:v>1.0.0</x:v>
      </x:c>
      <x:c r="P506" s="20" t="str">
        <x:v>1.1.0</x:v>
      </x:c>
      <x:c r="Q506" s="20" t="str">
        <x:v>deepseek/deepseek-v4-pro</x:v>
      </x:c>
      <x:c r="R506" s="20" t="str">
        <x:v>aj2-y90-20260714T234810-0bea2f52</x:v>
      </x:c>
    </x:row>
    <x:row r="507" ht="28" customHeight="1">
      <x:c r="A507" s="20" t="str">
        <x:v>B0F8MDXQPD</x:v>
      </x:c>
      <x:c r="B507" s="20" t="str">
        <x:v>b0f8mdxqpd</x:v>
      </x:c>
      <x:c r="C507" s="20" t="str">
        <x:v>aff63fa44351c501</x:v>
      </x:c>
      <x:c r="D507" s="20" t="str">
        <x:v>asin_target</x:v>
      </x:c>
      <x:c r="E507" s="20" t="str">
        <x:v>en</x:v>
      </x:c>
      <x:c r="F507" s="20" t="str">
        <x:v>该搜索词为 ASIN 形式，需补充商品元数据后再判断用户意图。</x:v>
      </x:c>
      <x:c r="G507" s="20" t="str">
        <x:v>unknown</x:v>
      </x:c>
      <x:c r="H507" s="20" t="str">
        <x:v>low</x:v>
      </x:c>
      <x:c r="I507" s="20" t="str">
        <x:v>asin_target</x:v>
      </x:c>
      <x:c r="J507" s="20" t="str">
        <x:v>asin_metadata_pending</x:v>
      </x:c>
      <x:c r="K507" s="20" t="str">
        <x:v>asin_without_metadata</x:v>
      </x:c>
      <x:c r="L507" s="20" t="str">
        <x:v>not_applicable</x:v>
      </x:c>
      <x:c r="M507" s="20" t="str">
        <x:v>non_model</x:v>
      </x:c>
      <x:c r="N507" s="20" t="str">
        <x:v>1</x:v>
      </x:c>
      <x:c r="O507" s="20" t="str">
        <x:v>1.0.0</x:v>
      </x:c>
      <x:c r="P507" s="20" t="str">
        <x:v>1.1.0</x:v>
      </x:c>
      <x:c r="Q507" s="20" t="str">
        <x:v>deepseek/deepseek-v4-pro</x:v>
      </x:c>
      <x:c r="R507" s="20" t="str">
        <x:v>aj2-y90-20260714T234810-0bea2f52</x:v>
      </x:c>
    </x:row>
    <x:row r="508" ht="28" customHeight="1">
      <x:c r="A508" s="20" t="str">
        <x:v>B0GLFVXGWB</x:v>
      </x:c>
      <x:c r="B508" s="20" t="str">
        <x:v>b0glfvxgwb</x:v>
      </x:c>
      <x:c r="C508" s="20" t="str">
        <x:v>b090df086e10085b</x:v>
      </x:c>
      <x:c r="D508" s="20" t="str">
        <x:v>asin_target</x:v>
      </x:c>
      <x:c r="E508" s="20" t="str">
        <x:v>en</x:v>
      </x:c>
      <x:c r="F508" s="20" t="str">
        <x:v>该搜索词为 ASIN 形式，需补充商品元数据后再判断用户意图。</x:v>
      </x:c>
      <x:c r="G508" s="20" t="str">
        <x:v>unknown</x:v>
      </x:c>
      <x:c r="H508" s="20" t="str">
        <x:v>low</x:v>
      </x:c>
      <x:c r="I508" s="20" t="str">
        <x:v>asin_target</x:v>
      </x:c>
      <x:c r="J508" s="20" t="str">
        <x:v>asin_metadata_pending</x:v>
      </x:c>
      <x:c r="K508" s="20" t="str">
        <x:v>asin_without_metadata</x:v>
      </x:c>
      <x:c r="L508" s="20" t="str">
        <x:v>not_applicable</x:v>
      </x:c>
      <x:c r="M508" s="20" t="str">
        <x:v>non_model</x:v>
      </x:c>
      <x:c r="N508" s="20" t="str">
        <x:v>1</x:v>
      </x:c>
      <x:c r="O508" s="20" t="str">
        <x:v>1.0.0</x:v>
      </x:c>
      <x:c r="P508" s="20" t="str">
        <x:v>1.1.0</x:v>
      </x:c>
      <x:c r="Q508" s="20" t="str">
        <x:v>deepseek/deepseek-v4-pro</x:v>
      </x:c>
      <x:c r="R508" s="20" t="str">
        <x:v>aj2-y90-20260714T234810-0bea2f52</x:v>
      </x:c>
    </x:row>
    <x:row r="509" ht="28" customHeight="1">
      <x:c r="A509" s="20" t="str">
        <x:v>B0DK57VMHN</x:v>
      </x:c>
      <x:c r="B509" s="20" t="str">
        <x:v>b0dk57vmhn</x:v>
      </x:c>
      <x:c r="C509" s="20" t="str">
        <x:v>b0c4e17c8cf66649</x:v>
      </x:c>
      <x:c r="D509" s="20" t="str">
        <x:v>asin_target</x:v>
      </x:c>
      <x:c r="E509" s="20" t="str">
        <x:v>en</x:v>
      </x:c>
      <x:c r="F509" s="20" t="str">
        <x:v>该搜索词为 ASIN 形式，需补充商品元数据后再判断用户意图。</x:v>
      </x:c>
      <x:c r="G509" s="20" t="str">
        <x:v>unknown</x:v>
      </x:c>
      <x:c r="H509" s="20" t="str">
        <x:v>low</x:v>
      </x:c>
      <x:c r="I509" s="20" t="str">
        <x:v>asin_target</x:v>
      </x:c>
      <x:c r="J509" s="20" t="str">
        <x:v>asin_metadata_pending</x:v>
      </x:c>
      <x:c r="K509" s="20" t="str">
        <x:v>asin_without_metadata</x:v>
      </x:c>
      <x:c r="L509" s="20" t="str">
        <x:v>not_applicable</x:v>
      </x:c>
      <x:c r="M509" s="20" t="str">
        <x:v>non_model</x:v>
      </x:c>
      <x:c r="N509" s="20" t="str">
        <x:v>1</x:v>
      </x:c>
      <x:c r="O509" s="20" t="str">
        <x:v>1.0.0</x:v>
      </x:c>
      <x:c r="P509" s="20" t="str">
        <x:v>1.1.0</x:v>
      </x:c>
      <x:c r="Q509" s="20" t="str">
        <x:v>deepseek/deepseek-v4-pro</x:v>
      </x:c>
      <x:c r="R509" s="20" t="str">
        <x:v>aj2-y90-20260714T234810-0bea2f52</x:v>
      </x:c>
    </x:row>
    <x:row r="510" ht="28" customHeight="1">
      <x:c r="A510" s="20" t="str">
        <x:v>B0F66ZJ3VT</x:v>
      </x:c>
      <x:c r="B510" s="20" t="str">
        <x:v>b0f66zj3vt</x:v>
      </x:c>
      <x:c r="C510" s="20" t="str">
        <x:v>b0cdd10434fa2ecf</x:v>
      </x:c>
      <x:c r="D510" s="20" t="str">
        <x:v>asin_target</x:v>
      </x:c>
      <x:c r="E510" s="20" t="str">
        <x:v>en</x:v>
      </x:c>
      <x:c r="F510" s="20" t="str">
        <x:v>该搜索词为 ASIN 形式，需补充商品元数据后再判断用户意图。</x:v>
      </x:c>
      <x:c r="G510" s="20" t="str">
        <x:v>unknown</x:v>
      </x:c>
      <x:c r="H510" s="20" t="str">
        <x:v>low</x:v>
      </x:c>
      <x:c r="I510" s="20" t="str">
        <x:v>asin_target</x:v>
      </x:c>
      <x:c r="J510" s="20" t="str">
        <x:v>asin_metadata_pending</x:v>
      </x:c>
      <x:c r="K510" s="20" t="str">
        <x:v>asin_without_metadata</x:v>
      </x:c>
      <x:c r="L510" s="20" t="str">
        <x:v>not_applicable</x:v>
      </x:c>
      <x:c r="M510" s="20" t="str">
        <x:v>non_model</x:v>
      </x:c>
      <x:c r="N510" s="20" t="str">
        <x:v>1</x:v>
      </x:c>
      <x:c r="O510" s="20" t="str">
        <x:v>1.0.0</x:v>
      </x:c>
      <x:c r="P510" s="20" t="str">
        <x:v>1.1.0</x:v>
      </x:c>
      <x:c r="Q510" s="20" t="str">
        <x:v>deepseek/deepseek-v4-pro</x:v>
      </x:c>
      <x:c r="R510" s="20" t="str">
        <x:v>aj2-y90-20260714T234810-0bea2f52</x:v>
      </x:c>
    </x:row>
    <x:row r="511" ht="28" customHeight="1">
      <x:c r="A511" s="20" t="str">
        <x:v>B0FXX6HBV7</x:v>
      </x:c>
      <x:c r="B511" s="20" t="str">
        <x:v>b0fxx6hbv7</x:v>
      </x:c>
      <x:c r="C511" s="20" t="str">
        <x:v>b0de3b2951a156f4</x:v>
      </x:c>
      <x:c r="D511" s="20" t="str">
        <x:v>asin_target</x:v>
      </x:c>
      <x:c r="E511" s="20" t="str">
        <x:v>en</x:v>
      </x:c>
      <x:c r="F511" s="20" t="str">
        <x:v>该搜索词为 ASIN 形式，需补充商品元数据后再判断用户意图。</x:v>
      </x:c>
      <x:c r="G511" s="20" t="str">
        <x:v>unknown</x:v>
      </x:c>
      <x:c r="H511" s="20" t="str">
        <x:v>low</x:v>
      </x:c>
      <x:c r="I511" s="20" t="str">
        <x:v>asin_target</x:v>
      </x:c>
      <x:c r="J511" s="20" t="str">
        <x:v>asin_metadata_pending</x:v>
      </x:c>
      <x:c r="K511" s="20" t="str">
        <x:v>asin_without_metadata</x:v>
      </x:c>
      <x:c r="L511" s="20" t="str">
        <x:v>not_applicable</x:v>
      </x:c>
      <x:c r="M511" s="20" t="str">
        <x:v>non_model</x:v>
      </x:c>
      <x:c r="N511" s="20" t="str">
        <x:v>3</x:v>
      </x:c>
      <x:c r="O511" s="20" t="str">
        <x:v>1.0.0</x:v>
      </x:c>
      <x:c r="P511" s="20" t="str">
        <x:v>1.1.0</x:v>
      </x:c>
      <x:c r="Q511" s="20" t="str">
        <x:v>deepseek/deepseek-v4-pro</x:v>
      </x:c>
      <x:c r="R511" s="20" t="str">
        <x:v>aj2-y90-20260714T234810-0bea2f52</x:v>
      </x:c>
    </x:row>
    <x:row r="512" ht="28" customHeight="1">
      <x:c r="A512" s="20" t="str">
        <x:v>B0GJR946HM</x:v>
      </x:c>
      <x:c r="B512" s="20" t="str">
        <x:v>b0gjr946hm</x:v>
      </x:c>
      <x:c r="C512" s="20" t="str">
        <x:v>b0eac24363a95156</x:v>
      </x:c>
      <x:c r="D512" s="20" t="str">
        <x:v>asin_target</x:v>
      </x:c>
      <x:c r="E512" s="20" t="str">
        <x:v>en</x:v>
      </x:c>
      <x:c r="F512" s="20" t="str">
        <x:v>该搜索词为 ASIN 形式，需补充商品元数据后再判断用户意图。</x:v>
      </x:c>
      <x:c r="G512" s="20" t="str">
        <x:v>unknown</x:v>
      </x:c>
      <x:c r="H512" s="20" t="str">
        <x:v>low</x:v>
      </x:c>
      <x:c r="I512" s="20" t="str">
        <x:v>asin_target</x:v>
      </x:c>
      <x:c r="J512" s="20" t="str">
        <x:v>asin_metadata_pending</x:v>
      </x:c>
      <x:c r="K512" s="20" t="str">
        <x:v>asin_without_metadata</x:v>
      </x:c>
      <x:c r="L512" s="20" t="str">
        <x:v>not_applicable</x:v>
      </x:c>
      <x:c r="M512" s="20" t="str">
        <x:v>non_model</x:v>
      </x:c>
      <x:c r="N512" s="20" t="str">
        <x:v>2</x:v>
      </x:c>
      <x:c r="O512" s="20" t="str">
        <x:v>1.0.0</x:v>
      </x:c>
      <x:c r="P512" s="20" t="str">
        <x:v>1.1.0</x:v>
      </x:c>
      <x:c r="Q512" s="20" t="str">
        <x:v>deepseek/deepseek-v4-pro</x:v>
      </x:c>
      <x:c r="R512" s="20" t="str">
        <x:v>aj2-y90-20260714T234810-0bea2f52</x:v>
      </x:c>
    </x:row>
    <x:row r="513" ht="28" customHeight="1">
      <x:c r="A513" s="20" t="str">
        <x:v>B0G48K89KB</x:v>
      </x:c>
      <x:c r="B513" s="20" t="str">
        <x:v>b0g48k89kb</x:v>
      </x:c>
      <x:c r="C513" s="20" t="str">
        <x:v>b0fa188f5177b97d</x:v>
      </x:c>
      <x:c r="D513" s="20" t="str">
        <x:v>asin_target</x:v>
      </x:c>
      <x:c r="E513" s="20" t="str">
        <x:v>en</x:v>
      </x:c>
      <x:c r="F513" s="20" t="str">
        <x:v>该搜索词为 ASIN 形式，需补充商品元数据后再判断用户意图。</x:v>
      </x:c>
      <x:c r="G513" s="20" t="str">
        <x:v>unknown</x:v>
      </x:c>
      <x:c r="H513" s="20" t="str">
        <x:v>low</x:v>
      </x:c>
      <x:c r="I513" s="20" t="str">
        <x:v>asin_target</x:v>
      </x:c>
      <x:c r="J513" s="20" t="str">
        <x:v>asin_metadata_pending</x:v>
      </x:c>
      <x:c r="K513" s="20" t="str">
        <x:v>asin_without_metadata</x:v>
      </x:c>
      <x:c r="L513" s="20" t="str">
        <x:v>not_applicable</x:v>
      </x:c>
      <x:c r="M513" s="20" t="str">
        <x:v>non_model</x:v>
      </x:c>
      <x:c r="N513" s="20" t="str">
        <x:v>1</x:v>
      </x:c>
      <x:c r="O513" s="20" t="str">
        <x:v>1.0.0</x:v>
      </x:c>
      <x:c r="P513" s="20" t="str">
        <x:v>1.1.0</x:v>
      </x:c>
      <x:c r="Q513" s="20" t="str">
        <x:v>deepseek/deepseek-v4-pro</x:v>
      </x:c>
      <x:c r="R513" s="20" t="str">
        <x:v>aj2-y90-20260714T234810-0bea2f52</x:v>
      </x:c>
    </x:row>
    <x:row r="514" ht="28" customHeight="1">
      <x:c r="A514" s="20" t="str">
        <x:v>B0D7V744PP</x:v>
      </x:c>
      <x:c r="B514" s="20" t="str">
        <x:v>b0d7v744pp</x:v>
      </x:c>
      <x:c r="C514" s="20" t="str">
        <x:v>b0feb1387578f17f</x:v>
      </x:c>
      <x:c r="D514" s="20" t="str">
        <x:v>asin_target</x:v>
      </x:c>
      <x:c r="E514" s="20" t="str">
        <x:v>en</x:v>
      </x:c>
      <x:c r="F514" s="20" t="str">
        <x:v>该搜索词为 ASIN 形式，需补充商品元数据后再判断用户意图。</x:v>
      </x:c>
      <x:c r="G514" s="20" t="str">
        <x:v>unknown</x:v>
      </x:c>
      <x:c r="H514" s="20" t="str">
        <x:v>low</x:v>
      </x:c>
      <x:c r="I514" s="20" t="str">
        <x:v>asin_target</x:v>
      </x:c>
      <x:c r="J514" s="20" t="str">
        <x:v>asin_metadata_pending</x:v>
      </x:c>
      <x:c r="K514" s="20" t="str">
        <x:v>asin_without_metadata</x:v>
      </x:c>
      <x:c r="L514" s="20" t="str">
        <x:v>not_applicable</x:v>
      </x:c>
      <x:c r="M514" s="20" t="str">
        <x:v>non_model</x:v>
      </x:c>
      <x:c r="N514" s="20" t="str">
        <x:v>1</x:v>
      </x:c>
      <x:c r="O514" s="20" t="str">
        <x:v>1.0.0</x:v>
      </x:c>
      <x:c r="P514" s="20" t="str">
        <x:v>1.1.0</x:v>
      </x:c>
      <x:c r="Q514" s="20" t="str">
        <x:v>deepseek/deepseek-v4-pro</x:v>
      </x:c>
      <x:c r="R514" s="20" t="str">
        <x:v>aj2-y90-20260714T234810-0bea2f52</x:v>
      </x:c>
    </x:row>
    <x:row r="515" ht="28" customHeight="1">
      <x:c r="A515" s="20" t="str">
        <x:v>B0GFSPQGB7</x:v>
      </x:c>
      <x:c r="B515" s="20" t="str">
        <x:v>b0gfspqgb7</x:v>
      </x:c>
      <x:c r="C515" s="20" t="str">
        <x:v>b14948446b642cf5</x:v>
      </x:c>
      <x:c r="D515" s="20" t="str">
        <x:v>asin_target</x:v>
      </x:c>
      <x:c r="E515" s="20" t="str">
        <x:v>en</x:v>
      </x:c>
      <x:c r="F515" s="20" t="str">
        <x:v>该搜索词为 ASIN 形式，需补充商品元数据后再判断用户意图。</x:v>
      </x:c>
      <x:c r="G515" s="20" t="str">
        <x:v>unknown</x:v>
      </x:c>
      <x:c r="H515" s="20" t="str">
        <x:v>low</x:v>
      </x:c>
      <x:c r="I515" s="20" t="str">
        <x:v>asin_target</x:v>
      </x:c>
      <x:c r="J515" s="20" t="str">
        <x:v>asin_metadata_pending</x:v>
      </x:c>
      <x:c r="K515" s="20" t="str">
        <x:v>asin_without_metadata</x:v>
      </x:c>
      <x:c r="L515" s="20" t="str">
        <x:v>not_applicable</x:v>
      </x:c>
      <x:c r="M515" s="20" t="str">
        <x:v>non_model</x:v>
      </x:c>
      <x:c r="N515" s="20" t="str">
        <x:v>1</x:v>
      </x:c>
      <x:c r="O515" s="20" t="str">
        <x:v>1.0.0</x:v>
      </x:c>
      <x:c r="P515" s="20" t="str">
        <x:v>1.1.0</x:v>
      </x:c>
      <x:c r="Q515" s="20" t="str">
        <x:v>deepseek/deepseek-v4-pro</x:v>
      </x:c>
      <x:c r="R515" s="20" t="str">
        <x:v>aj2-y90-20260714T234810-0bea2f52</x:v>
      </x:c>
    </x:row>
    <x:row r="516" ht="28" customHeight="1">
      <x:c r="A516" s="20" t="str">
        <x:v>B0GLFP4M7Z</x:v>
      </x:c>
      <x:c r="B516" s="20" t="str">
        <x:v>b0glfp4m7z</x:v>
      </x:c>
      <x:c r="C516" s="20" t="str">
        <x:v>b1866af175c19cb5</x:v>
      </x:c>
      <x:c r="D516" s="20" t="str">
        <x:v>asin_target</x:v>
      </x:c>
      <x:c r="E516" s="20" t="str">
        <x:v>en</x:v>
      </x:c>
      <x:c r="F516" s="20" t="str">
        <x:v>该搜索词为 ASIN 形式，需补充商品元数据后再判断用户意图。</x:v>
      </x:c>
      <x:c r="G516" s="20" t="str">
        <x:v>unknown</x:v>
      </x:c>
      <x:c r="H516" s="20" t="str">
        <x:v>low</x:v>
      </x:c>
      <x:c r="I516" s="20" t="str">
        <x:v>asin_target</x:v>
      </x:c>
      <x:c r="J516" s="20" t="str">
        <x:v>asin_metadata_pending</x:v>
      </x:c>
      <x:c r="K516" s="20" t="str">
        <x:v>asin_without_metadata</x:v>
      </x:c>
      <x:c r="L516" s="20" t="str">
        <x:v>not_applicable</x:v>
      </x:c>
      <x:c r="M516" s="20" t="str">
        <x:v>non_model</x:v>
      </x:c>
      <x:c r="N516" s="20" t="str">
        <x:v>1</x:v>
      </x:c>
      <x:c r="O516" s="20" t="str">
        <x:v>1.0.0</x:v>
      </x:c>
      <x:c r="P516" s="20" t="str">
        <x:v>1.1.0</x:v>
      </x:c>
      <x:c r="Q516" s="20" t="str">
        <x:v>deepseek/deepseek-v4-pro</x:v>
      </x:c>
      <x:c r="R516" s="20" t="str">
        <x:v>aj2-y90-20260714T234810-0bea2f52</x:v>
      </x:c>
    </x:row>
    <x:row r="517" ht="28" customHeight="1">
      <x:c r="A517" s="20" t="str">
        <x:v>B0GGQX93QH</x:v>
      </x:c>
      <x:c r="B517" s="20" t="str">
        <x:v>b0ggqx93qh</x:v>
      </x:c>
      <x:c r="C517" s="20" t="str">
        <x:v>b23abac8504aa8b4</x:v>
      </x:c>
      <x:c r="D517" s="20" t="str">
        <x:v>asin_target</x:v>
      </x:c>
      <x:c r="E517" s="20" t="str">
        <x:v>en</x:v>
      </x:c>
      <x:c r="F517" s="20" t="str">
        <x:v>该搜索词为 ASIN 形式，需补充商品元数据后再判断用户意图。</x:v>
      </x:c>
      <x:c r="G517" s="20" t="str">
        <x:v>unknown</x:v>
      </x:c>
      <x:c r="H517" s="20" t="str">
        <x:v>low</x:v>
      </x:c>
      <x:c r="I517" s="20" t="str">
        <x:v>asin_target</x:v>
      </x:c>
      <x:c r="J517" s="20" t="str">
        <x:v>asin_metadata_pending</x:v>
      </x:c>
      <x:c r="K517" s="20" t="str">
        <x:v>asin_without_metadata</x:v>
      </x:c>
      <x:c r="L517" s="20" t="str">
        <x:v>not_applicable</x:v>
      </x:c>
      <x:c r="M517" s="20" t="str">
        <x:v>non_model</x:v>
      </x:c>
      <x:c r="N517" s="20" t="str">
        <x:v>2</x:v>
      </x:c>
      <x:c r="O517" s="20" t="str">
        <x:v>1.0.0</x:v>
      </x:c>
      <x:c r="P517" s="20" t="str">
        <x:v>1.1.0</x:v>
      </x:c>
      <x:c r="Q517" s="20" t="str">
        <x:v>deepseek/deepseek-v4-pro</x:v>
      </x:c>
      <x:c r="R517" s="20" t="str">
        <x:v>aj2-y90-20260714T234810-0bea2f52</x:v>
      </x:c>
    </x:row>
    <x:row r="518" ht="28" customHeight="1">
      <x:c r="A518" s="20" t="str">
        <x:v>B0GGR3NKKD</x:v>
      </x:c>
      <x:c r="B518" s="20" t="str">
        <x:v>b0ggr3nkkd</x:v>
      </x:c>
      <x:c r="C518" s="20" t="str">
        <x:v>b23c8dd0699cc7e3</x:v>
      </x:c>
      <x:c r="D518" s="20" t="str">
        <x:v>asin_target</x:v>
      </x:c>
      <x:c r="E518" s="20" t="str">
        <x:v>en</x:v>
      </x:c>
      <x:c r="F518" s="20" t="str">
        <x:v>该搜索词为 ASIN 形式，需补充商品元数据后再判断用户意图。</x:v>
      </x:c>
      <x:c r="G518" s="20" t="str">
        <x:v>unknown</x:v>
      </x:c>
      <x:c r="H518" s="20" t="str">
        <x:v>low</x:v>
      </x:c>
      <x:c r="I518" s="20" t="str">
        <x:v>asin_target</x:v>
      </x:c>
      <x:c r="J518" s="20" t="str">
        <x:v>asin_metadata_pending</x:v>
      </x:c>
      <x:c r="K518" s="20" t="str">
        <x:v>asin_without_metadata</x:v>
      </x:c>
      <x:c r="L518" s="20" t="str">
        <x:v>not_applicable</x:v>
      </x:c>
      <x:c r="M518" s="20" t="str">
        <x:v>non_model</x:v>
      </x:c>
      <x:c r="N518" s="20" t="str">
        <x:v>1</x:v>
      </x:c>
      <x:c r="O518" s="20" t="str">
        <x:v>1.0.0</x:v>
      </x:c>
      <x:c r="P518" s="20" t="str">
        <x:v>1.1.0</x:v>
      </x:c>
      <x:c r="Q518" s="20" t="str">
        <x:v>deepseek/deepseek-v4-pro</x:v>
      </x:c>
      <x:c r="R518" s="20" t="str">
        <x:v>aj2-y90-20260714T234810-0bea2f52</x:v>
      </x:c>
    </x:row>
    <x:row r="519" ht="28" customHeight="1">
      <x:c r="A519" s="20" t="str">
        <x:v>B0G48MCGHG</x:v>
      </x:c>
      <x:c r="B519" s="20" t="str">
        <x:v>b0g48mcghg</x:v>
      </x:c>
      <x:c r="C519" s="20" t="str">
        <x:v>b25ba6774378878e</x:v>
      </x:c>
      <x:c r="D519" s="20" t="str">
        <x:v>asin_target</x:v>
      </x:c>
      <x:c r="E519" s="20" t="str">
        <x:v>en</x:v>
      </x:c>
      <x:c r="F519" s="20" t="str">
        <x:v>该搜索词为 ASIN 形式，需补充商品元数据后再判断用户意图。</x:v>
      </x:c>
      <x:c r="G519" s="20" t="str">
        <x:v>unknown</x:v>
      </x:c>
      <x:c r="H519" s="20" t="str">
        <x:v>low</x:v>
      </x:c>
      <x:c r="I519" s="20" t="str">
        <x:v>asin_target</x:v>
      </x:c>
      <x:c r="J519" s="20" t="str">
        <x:v>asin_metadata_pending</x:v>
      </x:c>
      <x:c r="K519" s="20" t="str">
        <x:v>asin_without_metadata</x:v>
      </x:c>
      <x:c r="L519" s="20" t="str">
        <x:v>not_applicable</x:v>
      </x:c>
      <x:c r="M519" s="20" t="str">
        <x:v>non_model</x:v>
      </x:c>
      <x:c r="N519" s="20" t="str">
        <x:v>2</x:v>
      </x:c>
      <x:c r="O519" s="20" t="str">
        <x:v>1.0.0</x:v>
      </x:c>
      <x:c r="P519" s="20" t="str">
        <x:v>1.1.0</x:v>
      </x:c>
      <x:c r="Q519" s="20" t="str">
        <x:v>deepseek/deepseek-v4-pro</x:v>
      </x:c>
      <x:c r="R519" s="20" t="str">
        <x:v>aj2-y90-20260714T234810-0bea2f52</x:v>
      </x:c>
    </x:row>
    <x:row r="520" ht="28" customHeight="1">
      <x:c r="A520" s="20" t="str">
        <x:v>B0GLF5CZ3X</x:v>
      </x:c>
      <x:c r="B520" s="20" t="str">
        <x:v>b0glf5cz3x</x:v>
      </x:c>
      <x:c r="C520" s="20" t="str">
        <x:v>b2637cc23b18f377</x:v>
      </x:c>
      <x:c r="D520" s="20" t="str">
        <x:v>asin_target</x:v>
      </x:c>
      <x:c r="E520" s="20" t="str">
        <x:v>en</x:v>
      </x:c>
      <x:c r="F520" s="20" t="str">
        <x:v>该搜索词为 ASIN 形式，需补充商品元数据后再判断用户意图。</x:v>
      </x:c>
      <x:c r="G520" s="20" t="str">
        <x:v>unknown</x:v>
      </x:c>
      <x:c r="H520" s="20" t="str">
        <x:v>low</x:v>
      </x:c>
      <x:c r="I520" s="20" t="str">
        <x:v>asin_target</x:v>
      </x:c>
      <x:c r="J520" s="20" t="str">
        <x:v>asin_metadata_pending</x:v>
      </x:c>
      <x:c r="K520" s="20" t="str">
        <x:v>asin_without_metadata</x:v>
      </x:c>
      <x:c r="L520" s="20" t="str">
        <x:v>not_applicable</x:v>
      </x:c>
      <x:c r="M520" s="20" t="str">
        <x:v>non_model</x:v>
      </x:c>
      <x:c r="N520" s="20" t="str">
        <x:v>1</x:v>
      </x:c>
      <x:c r="O520" s="20" t="str">
        <x:v>1.0.0</x:v>
      </x:c>
      <x:c r="P520" s="20" t="str">
        <x:v>1.1.0</x:v>
      </x:c>
      <x:c r="Q520" s="20" t="str">
        <x:v>deepseek/deepseek-v4-pro</x:v>
      </x:c>
      <x:c r="R520" s="20" t="str">
        <x:v>aj2-y90-20260714T234810-0bea2f52</x:v>
      </x:c>
    </x:row>
    <x:row r="521" ht="28" customHeight="1">
      <x:c r="A521" s="20" t="str">
        <x:v>B088BQB7T6</x:v>
      </x:c>
      <x:c r="B521" s="20" t="str">
        <x:v>b088bqb7t6</x:v>
      </x:c>
      <x:c r="C521" s="20" t="str">
        <x:v>b27f3f1564e620af</x:v>
      </x:c>
      <x:c r="D521" s="20" t="str">
        <x:v>asin_target</x:v>
      </x:c>
      <x:c r="E521" s="20" t="str">
        <x:v>en</x:v>
      </x:c>
      <x:c r="F521" s="20" t="str">
        <x:v>该搜索词为 ASIN 形式，需补充商品元数据后再判断用户意图。</x:v>
      </x:c>
      <x:c r="G521" s="20" t="str">
        <x:v>unknown</x:v>
      </x:c>
      <x:c r="H521" s="20" t="str">
        <x:v>low</x:v>
      </x:c>
      <x:c r="I521" s="20" t="str">
        <x:v>asin_target</x:v>
      </x:c>
      <x:c r="J521" s="20" t="str">
        <x:v>asin_metadata_pending</x:v>
      </x:c>
      <x:c r="K521" s="20" t="str">
        <x:v>asin_without_metadata</x:v>
      </x:c>
      <x:c r="L521" s="20" t="str">
        <x:v>not_applicable</x:v>
      </x:c>
      <x:c r="M521" s="20" t="str">
        <x:v>non_model</x:v>
      </x:c>
      <x:c r="N521" s="20" t="str">
        <x:v>1</x:v>
      </x:c>
      <x:c r="O521" s="20" t="str">
        <x:v>1.0.0</x:v>
      </x:c>
      <x:c r="P521" s="20" t="str">
        <x:v>1.1.0</x:v>
      </x:c>
      <x:c r="Q521" s="20" t="str">
        <x:v>deepseek/deepseek-v4-pro</x:v>
      </x:c>
      <x:c r="R521" s="20" t="str">
        <x:v>aj2-y90-20260714T234810-0bea2f52</x:v>
      </x:c>
    </x:row>
    <x:row r="522" ht="28" customHeight="1">
      <x:c r="A522" s="20" t="str">
        <x:v>B0FDJQ7Z8H</x:v>
      </x:c>
      <x:c r="B522" s="20" t="str">
        <x:v>b0fdjq7z8h</x:v>
      </x:c>
      <x:c r="C522" s="20" t="str">
        <x:v>b2897b4628df322d</x:v>
      </x:c>
      <x:c r="D522" s="20" t="str">
        <x:v>asin_target</x:v>
      </x:c>
      <x:c r="E522" s="20" t="str">
        <x:v>en</x:v>
      </x:c>
      <x:c r="F522" s="20" t="str">
        <x:v>该搜索词为 ASIN 形式，需补充商品元数据后再判断用户意图。</x:v>
      </x:c>
      <x:c r="G522" s="20" t="str">
        <x:v>unknown</x:v>
      </x:c>
      <x:c r="H522" s="20" t="str">
        <x:v>low</x:v>
      </x:c>
      <x:c r="I522" s="20" t="str">
        <x:v>asin_target</x:v>
      </x:c>
      <x:c r="J522" s="20" t="str">
        <x:v>asin_metadata_pending</x:v>
      </x:c>
      <x:c r="K522" s="20" t="str">
        <x:v>asin_without_metadata</x:v>
      </x:c>
      <x:c r="L522" s="20" t="str">
        <x:v>not_applicable</x:v>
      </x:c>
      <x:c r="M522" s="20" t="str">
        <x:v>non_model</x:v>
      </x:c>
      <x:c r="N522" s="20" t="str">
        <x:v>1</x:v>
      </x:c>
      <x:c r="O522" s="20" t="str">
        <x:v>1.0.0</x:v>
      </x:c>
      <x:c r="P522" s="20" t="str">
        <x:v>1.1.0</x:v>
      </x:c>
      <x:c r="Q522" s="20" t="str">
        <x:v>deepseek/deepseek-v4-pro</x:v>
      </x:c>
      <x:c r="R522" s="20" t="str">
        <x:v>aj2-y90-20260714T234810-0bea2f52</x:v>
      </x:c>
    </x:row>
    <x:row r="523" ht="28" customHeight="1">
      <x:c r="A523" s="20" t="str">
        <x:v>B08BJ8XC1V</x:v>
      </x:c>
      <x:c r="B523" s="20" t="str">
        <x:v>b08bj8xc1v</x:v>
      </x:c>
      <x:c r="C523" s="20" t="str">
        <x:v>b3b7a638901a109f</x:v>
      </x:c>
      <x:c r="D523" s="20" t="str">
        <x:v>asin_target</x:v>
      </x:c>
      <x:c r="E523" s="20" t="str">
        <x:v>en</x:v>
      </x:c>
      <x:c r="F523" s="20" t="str">
        <x:v>该搜索词为 ASIN 形式，需补充商品元数据后再判断用户意图。</x:v>
      </x:c>
      <x:c r="G523" s="20" t="str">
        <x:v>unknown</x:v>
      </x:c>
      <x:c r="H523" s="20" t="str">
        <x:v>low</x:v>
      </x:c>
      <x:c r="I523" s="20" t="str">
        <x:v>asin_target</x:v>
      </x:c>
      <x:c r="J523" s="20" t="str">
        <x:v>asin_metadata_pending</x:v>
      </x:c>
      <x:c r="K523" s="20" t="str">
        <x:v>asin_without_metadata</x:v>
      </x:c>
      <x:c r="L523" s="20" t="str">
        <x:v>not_applicable</x:v>
      </x:c>
      <x:c r="M523" s="20" t="str">
        <x:v>non_model</x:v>
      </x:c>
      <x:c r="N523" s="20" t="str">
        <x:v>1</x:v>
      </x:c>
      <x:c r="O523" s="20" t="str">
        <x:v>1.0.0</x:v>
      </x:c>
      <x:c r="P523" s="20" t="str">
        <x:v>1.1.0</x:v>
      </x:c>
      <x:c r="Q523" s="20" t="str">
        <x:v>deepseek/deepseek-v4-pro</x:v>
      </x:c>
      <x:c r="R523" s="20" t="str">
        <x:v>aj2-y90-20260714T234810-0bea2f52</x:v>
      </x:c>
    </x:row>
    <x:row r="524" ht="28" customHeight="1">
      <x:c r="A524" s="20" t="str">
        <x:v>B0FXXBV21H</x:v>
      </x:c>
      <x:c r="B524" s="20" t="str">
        <x:v>b0fxxbv21h</x:v>
      </x:c>
      <x:c r="C524" s="20" t="str">
        <x:v>b3b9d7dc5fa829b1</x:v>
      </x:c>
      <x:c r="D524" s="20" t="str">
        <x:v>asin_target</x:v>
      </x:c>
      <x:c r="E524" s="20" t="str">
        <x:v>en</x:v>
      </x:c>
      <x:c r="F524" s="20" t="str">
        <x:v>该搜索词为 ASIN 形式，需补充商品元数据后再判断用户意图。</x:v>
      </x:c>
      <x:c r="G524" s="20" t="str">
        <x:v>unknown</x:v>
      </x:c>
      <x:c r="H524" s="20" t="str">
        <x:v>low</x:v>
      </x:c>
      <x:c r="I524" s="20" t="str">
        <x:v>asin_target</x:v>
      </x:c>
      <x:c r="J524" s="20" t="str">
        <x:v>asin_metadata_pending</x:v>
      </x:c>
      <x:c r="K524" s="20" t="str">
        <x:v>asin_without_metadata</x:v>
      </x:c>
      <x:c r="L524" s="20" t="str">
        <x:v>not_applicable</x:v>
      </x:c>
      <x:c r="M524" s="20" t="str">
        <x:v>non_model</x:v>
      </x:c>
      <x:c r="N524" s="20" t="str">
        <x:v>2</x:v>
      </x:c>
      <x:c r="O524" s="20" t="str">
        <x:v>1.0.0</x:v>
      </x:c>
      <x:c r="P524" s="20" t="str">
        <x:v>1.1.0</x:v>
      </x:c>
      <x:c r="Q524" s="20" t="str">
        <x:v>deepseek/deepseek-v4-pro</x:v>
      </x:c>
      <x:c r="R524" s="20" t="str">
        <x:v>aj2-y90-20260714T234810-0bea2f52</x:v>
      </x:c>
    </x:row>
    <x:row r="525" ht="28" customHeight="1">
      <x:c r="A525" s="20" t="str">
        <x:v>B0GLDVKG3Z</x:v>
      </x:c>
      <x:c r="B525" s="20" t="str">
        <x:v>b0gldvkg3z</x:v>
      </x:c>
      <x:c r="C525" s="20" t="str">
        <x:v>b50265cacb556899</x:v>
      </x:c>
      <x:c r="D525" s="20" t="str">
        <x:v>asin_target</x:v>
      </x:c>
      <x:c r="E525" s="20" t="str">
        <x:v>en</x:v>
      </x:c>
      <x:c r="F525" s="20" t="str">
        <x:v>该搜索词为 ASIN 形式，需补充商品元数据后再判断用户意图。</x:v>
      </x:c>
      <x:c r="G525" s="20" t="str">
        <x:v>unknown</x:v>
      </x:c>
      <x:c r="H525" s="20" t="str">
        <x:v>low</x:v>
      </x:c>
      <x:c r="I525" s="20" t="str">
        <x:v>asin_target</x:v>
      </x:c>
      <x:c r="J525" s="20" t="str">
        <x:v>asin_metadata_pending</x:v>
      </x:c>
      <x:c r="K525" s="20" t="str">
        <x:v>asin_without_metadata</x:v>
      </x:c>
      <x:c r="L525" s="20" t="str">
        <x:v>not_applicable</x:v>
      </x:c>
      <x:c r="M525" s="20" t="str">
        <x:v>non_model</x:v>
      </x:c>
      <x:c r="N525" s="20" t="str">
        <x:v>1</x:v>
      </x:c>
      <x:c r="O525" s="20" t="str">
        <x:v>1.0.0</x:v>
      </x:c>
      <x:c r="P525" s="20" t="str">
        <x:v>1.1.0</x:v>
      </x:c>
      <x:c r="Q525" s="20" t="str">
        <x:v>deepseek/deepseek-v4-pro</x:v>
      </x:c>
      <x:c r="R525" s="20" t="str">
        <x:v>aj2-y90-20260714T234810-0bea2f52</x:v>
      </x:c>
    </x:row>
    <x:row r="526" ht="28" customHeight="1">
      <x:c r="A526" s="20" t="str">
        <x:v>B0DP8BXMQB</x:v>
      </x:c>
      <x:c r="B526" s="20" t="str">
        <x:v>b0dp8bxmqb</x:v>
      </x:c>
      <x:c r="C526" s="20" t="str">
        <x:v>b528cde27040101d</x:v>
      </x:c>
      <x:c r="D526" s="20" t="str">
        <x:v>asin_target</x:v>
      </x:c>
      <x:c r="E526" s="20" t="str">
        <x:v>en</x:v>
      </x:c>
      <x:c r="F526" s="20" t="str">
        <x:v>该搜索词为 ASIN 形式，需补充商品元数据后再判断用户意图。</x:v>
      </x:c>
      <x:c r="G526" s="20" t="str">
        <x:v>unknown</x:v>
      </x:c>
      <x:c r="H526" s="20" t="str">
        <x:v>low</x:v>
      </x:c>
      <x:c r="I526" s="20" t="str">
        <x:v>asin_target</x:v>
      </x:c>
      <x:c r="J526" s="20" t="str">
        <x:v>asin_metadata_pending</x:v>
      </x:c>
      <x:c r="K526" s="20" t="str">
        <x:v>asin_without_metadata</x:v>
      </x:c>
      <x:c r="L526" s="20" t="str">
        <x:v>not_applicable</x:v>
      </x:c>
      <x:c r="M526" s="20" t="str">
        <x:v>non_model</x:v>
      </x:c>
      <x:c r="N526" s="20" t="str">
        <x:v>1</x:v>
      </x:c>
      <x:c r="O526" s="20" t="str">
        <x:v>1.0.0</x:v>
      </x:c>
      <x:c r="P526" s="20" t="str">
        <x:v>1.1.0</x:v>
      </x:c>
      <x:c r="Q526" s="20" t="str">
        <x:v>deepseek/deepseek-v4-pro</x:v>
      </x:c>
      <x:c r="R526" s="20" t="str">
        <x:v>aj2-y90-20260714T234810-0bea2f52</x:v>
      </x:c>
    </x:row>
    <x:row r="527" ht="28" customHeight="1">
      <x:c r="A527" s="20" t="str">
        <x:v>B0777QV1QD</x:v>
      </x:c>
      <x:c r="B527" s="20" t="str">
        <x:v>b0777qv1qd</x:v>
      </x:c>
      <x:c r="C527" s="20" t="str">
        <x:v>b5634b7a64333611</x:v>
      </x:c>
      <x:c r="D527" s="20" t="str">
        <x:v>asin_target</x:v>
      </x:c>
      <x:c r="E527" s="20" t="str">
        <x:v>en</x:v>
      </x:c>
      <x:c r="F527" s="20" t="str">
        <x:v>该搜索词为 ASIN 形式，需补充商品元数据后再判断用户意图。</x:v>
      </x:c>
      <x:c r="G527" s="20" t="str">
        <x:v>unknown</x:v>
      </x:c>
      <x:c r="H527" s="20" t="str">
        <x:v>low</x:v>
      </x:c>
      <x:c r="I527" s="20" t="str">
        <x:v>asin_target</x:v>
      </x:c>
      <x:c r="J527" s="20" t="str">
        <x:v>asin_metadata_pending</x:v>
      </x:c>
      <x:c r="K527" s="20" t="str">
        <x:v>asin_without_metadata</x:v>
      </x:c>
      <x:c r="L527" s="20" t="str">
        <x:v>not_applicable</x:v>
      </x:c>
      <x:c r="M527" s="20" t="str">
        <x:v>non_model</x:v>
      </x:c>
      <x:c r="N527" s="20" t="str">
        <x:v>1</x:v>
      </x:c>
      <x:c r="O527" s="20" t="str">
        <x:v>1.0.0</x:v>
      </x:c>
      <x:c r="P527" s="20" t="str">
        <x:v>1.1.0</x:v>
      </x:c>
      <x:c r="Q527" s="20" t="str">
        <x:v>deepseek/deepseek-v4-pro</x:v>
      </x:c>
      <x:c r="R527" s="20" t="str">
        <x:v>aj2-y90-20260714T234810-0bea2f52</x:v>
      </x:c>
    </x:row>
    <x:row r="528" ht="28" customHeight="1">
      <x:c r="A528" s="20" t="str">
        <x:v>B0FX9LWJ81</x:v>
      </x:c>
      <x:c r="B528" s="20" t="str">
        <x:v>b0fx9lwj81</x:v>
      </x:c>
      <x:c r="C528" s="20" t="str">
        <x:v>b599c92efb83f2a9</x:v>
      </x:c>
      <x:c r="D528" s="20" t="str">
        <x:v>asin_target</x:v>
      </x:c>
      <x:c r="E528" s="20" t="str">
        <x:v>en</x:v>
      </x:c>
      <x:c r="F528" s="20" t="str">
        <x:v>该搜索词为 ASIN 形式，需补充商品元数据后再判断用户意图。</x:v>
      </x:c>
      <x:c r="G528" s="20" t="str">
        <x:v>unknown</x:v>
      </x:c>
      <x:c r="H528" s="20" t="str">
        <x:v>low</x:v>
      </x:c>
      <x:c r="I528" s="20" t="str">
        <x:v>asin_target</x:v>
      </x:c>
      <x:c r="J528" s="20" t="str">
        <x:v>asin_metadata_pending</x:v>
      </x:c>
      <x:c r="K528" s="20" t="str">
        <x:v>asin_without_metadata</x:v>
      </x:c>
      <x:c r="L528" s="20" t="str">
        <x:v>not_applicable</x:v>
      </x:c>
      <x:c r="M528" s="20" t="str">
        <x:v>non_model</x:v>
      </x:c>
      <x:c r="N528" s="20" t="str">
        <x:v>1</x:v>
      </x:c>
      <x:c r="O528" s="20" t="str">
        <x:v>1.0.0</x:v>
      </x:c>
      <x:c r="P528" s="20" t="str">
        <x:v>1.1.0</x:v>
      </x:c>
      <x:c r="Q528" s="20" t="str">
        <x:v>deepseek/deepseek-v4-pro</x:v>
      </x:c>
      <x:c r="R528" s="20" t="str">
        <x:v>aj2-y90-20260714T234810-0bea2f52</x:v>
      </x:c>
    </x:row>
    <x:row r="529" ht="28" customHeight="1">
      <x:c r="A529" s="20" t="str">
        <x:v>B01LX1CPVY</x:v>
      </x:c>
      <x:c r="B529" s="20" t="str">
        <x:v>b01lx1cpvy</x:v>
      </x:c>
      <x:c r="C529" s="20" t="str">
        <x:v>b5a96dab4daf25b7</x:v>
      </x:c>
      <x:c r="D529" s="20" t="str">
        <x:v>asin_target</x:v>
      </x:c>
      <x:c r="E529" s="20" t="str">
        <x:v>en</x:v>
      </x:c>
      <x:c r="F529" s="20" t="str">
        <x:v>该搜索词为 ASIN 形式，需补充商品元数据后再判断用户意图。</x:v>
      </x:c>
      <x:c r="G529" s="20" t="str">
        <x:v>unknown</x:v>
      </x:c>
      <x:c r="H529" s="20" t="str">
        <x:v>low</x:v>
      </x:c>
      <x:c r="I529" s="20" t="str">
        <x:v>asin_target</x:v>
      </x:c>
      <x:c r="J529" s="20" t="str">
        <x:v>asin_metadata_pending</x:v>
      </x:c>
      <x:c r="K529" s="20" t="str">
        <x:v>asin_without_metadata</x:v>
      </x:c>
      <x:c r="L529" s="20" t="str">
        <x:v>not_applicable</x:v>
      </x:c>
      <x:c r="M529" s="20" t="str">
        <x:v>non_model</x:v>
      </x:c>
      <x:c r="N529" s="20" t="str">
        <x:v>1</x:v>
      </x:c>
      <x:c r="O529" s="20" t="str">
        <x:v>1.0.0</x:v>
      </x:c>
      <x:c r="P529" s="20" t="str">
        <x:v>1.1.0</x:v>
      </x:c>
      <x:c r="Q529" s="20" t="str">
        <x:v>deepseek/deepseek-v4-pro</x:v>
      </x:c>
      <x:c r="R529" s="20" t="str">
        <x:v>aj2-y90-20260714T234810-0bea2f52</x:v>
      </x:c>
    </x:row>
    <x:row r="530" ht="28" customHeight="1">
      <x:c r="A530" s="20" t="str">
        <x:v>B0BKBTWPMS</x:v>
      </x:c>
      <x:c r="B530" s="20" t="str">
        <x:v>b0bkbtwpms</x:v>
      </x:c>
      <x:c r="C530" s="20" t="str">
        <x:v>b6292978147fa175</x:v>
      </x:c>
      <x:c r="D530" s="20" t="str">
        <x:v>asin_target</x:v>
      </x:c>
      <x:c r="E530" s="20" t="str">
        <x:v>en</x:v>
      </x:c>
      <x:c r="F530" s="20" t="str">
        <x:v>该搜索词为 ASIN 形式，需补充商品元数据后再判断用户意图。</x:v>
      </x:c>
      <x:c r="G530" s="20" t="str">
        <x:v>unknown</x:v>
      </x:c>
      <x:c r="H530" s="20" t="str">
        <x:v>low</x:v>
      </x:c>
      <x:c r="I530" s="20" t="str">
        <x:v>asin_target</x:v>
      </x:c>
      <x:c r="J530" s="20" t="str">
        <x:v>asin_metadata_pending</x:v>
      </x:c>
      <x:c r="K530" s="20" t="str">
        <x:v>asin_without_metadata</x:v>
      </x:c>
      <x:c r="L530" s="20" t="str">
        <x:v>not_applicable</x:v>
      </x:c>
      <x:c r="M530" s="20" t="str">
        <x:v>non_model</x:v>
      </x:c>
      <x:c r="N530" s="20" t="str">
        <x:v>1</x:v>
      </x:c>
      <x:c r="O530" s="20" t="str">
        <x:v>1.0.0</x:v>
      </x:c>
      <x:c r="P530" s="20" t="str">
        <x:v>1.1.0</x:v>
      </x:c>
      <x:c r="Q530" s="20" t="str">
        <x:v>deepseek/deepseek-v4-pro</x:v>
      </x:c>
      <x:c r="R530" s="20" t="str">
        <x:v>aj2-y90-20260714T234810-0bea2f52</x:v>
      </x:c>
    </x:row>
    <x:row r="531" ht="28" customHeight="1">
      <x:c r="A531" s="20" t="str">
        <x:v>B0FXWN5PPC</x:v>
      </x:c>
      <x:c r="B531" s="20" t="str">
        <x:v>b0fxwn5ppc</x:v>
      </x:c>
      <x:c r="C531" s="20" t="str">
        <x:v>b68cc09ce3bdbbcd</x:v>
      </x:c>
      <x:c r="D531" s="20" t="str">
        <x:v>asin_target</x:v>
      </x:c>
      <x:c r="E531" s="20" t="str">
        <x:v>en</x:v>
      </x:c>
      <x:c r="F531" s="20" t="str">
        <x:v>该搜索词为 ASIN 形式，需补充商品元数据后再判断用户意图。</x:v>
      </x:c>
      <x:c r="G531" s="20" t="str">
        <x:v>unknown</x:v>
      </x:c>
      <x:c r="H531" s="20" t="str">
        <x:v>low</x:v>
      </x:c>
      <x:c r="I531" s="20" t="str">
        <x:v>asin_target</x:v>
      </x:c>
      <x:c r="J531" s="20" t="str">
        <x:v>asin_metadata_pending</x:v>
      </x:c>
      <x:c r="K531" s="20" t="str">
        <x:v>asin_without_metadata</x:v>
      </x:c>
      <x:c r="L531" s="20" t="str">
        <x:v>not_applicable</x:v>
      </x:c>
      <x:c r="M531" s="20" t="str">
        <x:v>non_model</x:v>
      </x:c>
      <x:c r="N531" s="20" t="str">
        <x:v>1</x:v>
      </x:c>
      <x:c r="O531" s="20" t="str">
        <x:v>1.0.0</x:v>
      </x:c>
      <x:c r="P531" s="20" t="str">
        <x:v>1.1.0</x:v>
      </x:c>
      <x:c r="Q531" s="20" t="str">
        <x:v>deepseek/deepseek-v4-pro</x:v>
      </x:c>
      <x:c r="R531" s="20" t="str">
        <x:v>aj2-y90-20260714T234810-0bea2f52</x:v>
      </x:c>
    </x:row>
    <x:row r="532" ht="28" customHeight="1">
      <x:c r="A532" s="20" t="str">
        <x:v>B0D22965QK</x:v>
      </x:c>
      <x:c r="B532" s="20" t="str">
        <x:v>b0d22965qk</x:v>
      </x:c>
      <x:c r="C532" s="20" t="str">
        <x:v>b691bbcd2f0a3c0e</x:v>
      </x:c>
      <x:c r="D532" s="20" t="str">
        <x:v>asin_target</x:v>
      </x:c>
      <x:c r="E532" s="20" t="str">
        <x:v>en</x:v>
      </x:c>
      <x:c r="F532" s="20" t="str">
        <x:v>该搜索词为 ASIN 形式，需补充商品元数据后再判断用户意图。</x:v>
      </x:c>
      <x:c r="G532" s="20" t="str">
        <x:v>unknown</x:v>
      </x:c>
      <x:c r="H532" s="20" t="str">
        <x:v>low</x:v>
      </x:c>
      <x:c r="I532" s="20" t="str">
        <x:v>asin_target</x:v>
      </x:c>
      <x:c r="J532" s="20" t="str">
        <x:v>asin_metadata_pending</x:v>
      </x:c>
      <x:c r="K532" s="20" t="str">
        <x:v>asin_without_metadata</x:v>
      </x:c>
      <x:c r="L532" s="20" t="str">
        <x:v>not_applicable</x:v>
      </x:c>
      <x:c r="M532" s="20" t="str">
        <x:v>non_model</x:v>
      </x:c>
      <x:c r="N532" s="20" t="str">
        <x:v>1</x:v>
      </x:c>
      <x:c r="O532" s="20" t="str">
        <x:v>1.0.0</x:v>
      </x:c>
      <x:c r="P532" s="20" t="str">
        <x:v>1.1.0</x:v>
      </x:c>
      <x:c r="Q532" s="20" t="str">
        <x:v>deepseek/deepseek-v4-pro</x:v>
      </x:c>
      <x:c r="R532" s="20" t="str">
        <x:v>aj2-y90-20260714T234810-0bea2f52</x:v>
      </x:c>
    </x:row>
    <x:row r="533" ht="28" customHeight="1">
      <x:c r="A533" s="20" t="str">
        <x:v>B0D5HF424M</x:v>
      </x:c>
      <x:c r="B533" s="20" t="str">
        <x:v>b0d5hf424m</x:v>
      </x:c>
      <x:c r="C533" s="20" t="str">
        <x:v>b6bea2dfe3caa876</x:v>
      </x:c>
      <x:c r="D533" s="20" t="str">
        <x:v>asin_target</x:v>
      </x:c>
      <x:c r="E533" s="20" t="str">
        <x:v>en</x:v>
      </x:c>
      <x:c r="F533" s="20" t="str">
        <x:v>该搜索词为 ASIN 形式，需补充商品元数据后再判断用户意图。</x:v>
      </x:c>
      <x:c r="G533" s="20" t="str">
        <x:v>unknown</x:v>
      </x:c>
      <x:c r="H533" s="20" t="str">
        <x:v>low</x:v>
      </x:c>
      <x:c r="I533" s="20" t="str">
        <x:v>asin_target</x:v>
      </x:c>
      <x:c r="J533" s="20" t="str">
        <x:v>asin_metadata_pending</x:v>
      </x:c>
      <x:c r="K533" s="20" t="str">
        <x:v>asin_without_metadata</x:v>
      </x:c>
      <x:c r="L533" s="20" t="str">
        <x:v>not_applicable</x:v>
      </x:c>
      <x:c r="M533" s="20" t="str">
        <x:v>non_model</x:v>
      </x:c>
      <x:c r="N533" s="20" t="str">
        <x:v>1</x:v>
      </x:c>
      <x:c r="O533" s="20" t="str">
        <x:v>1.0.0</x:v>
      </x:c>
      <x:c r="P533" s="20" t="str">
        <x:v>1.1.0</x:v>
      </x:c>
      <x:c r="Q533" s="20" t="str">
        <x:v>deepseek/deepseek-v4-pro</x:v>
      </x:c>
      <x:c r="R533" s="20" t="str">
        <x:v>aj2-y90-20260714T234810-0bea2f52</x:v>
      </x:c>
    </x:row>
    <x:row r="534" ht="28" customHeight="1">
      <x:c r="A534" s="20" t="str">
        <x:v>B0D81H84L1</x:v>
      </x:c>
      <x:c r="B534" s="20" t="str">
        <x:v>b0d81h84l1</x:v>
      </x:c>
      <x:c r="C534" s="20" t="str">
        <x:v>b75abc645637d6d1</x:v>
      </x:c>
      <x:c r="D534" s="20" t="str">
        <x:v>asin_target</x:v>
      </x:c>
      <x:c r="E534" s="20" t="str">
        <x:v>en</x:v>
      </x:c>
      <x:c r="F534" s="20" t="str">
        <x:v>该搜索词为 ASIN 形式，需补充商品元数据后再判断用户意图。</x:v>
      </x:c>
      <x:c r="G534" s="20" t="str">
        <x:v>unknown</x:v>
      </x:c>
      <x:c r="H534" s="20" t="str">
        <x:v>low</x:v>
      </x:c>
      <x:c r="I534" s="20" t="str">
        <x:v>asin_target</x:v>
      </x:c>
      <x:c r="J534" s="20" t="str">
        <x:v>asin_metadata_pending</x:v>
      </x:c>
      <x:c r="K534" s="20" t="str">
        <x:v>asin_without_metadata</x:v>
      </x:c>
      <x:c r="L534" s="20" t="str">
        <x:v>not_applicable</x:v>
      </x:c>
      <x:c r="M534" s="20" t="str">
        <x:v>non_model</x:v>
      </x:c>
      <x:c r="N534" s="20" t="str">
        <x:v>1</x:v>
      </x:c>
      <x:c r="O534" s="20" t="str">
        <x:v>1.0.0</x:v>
      </x:c>
      <x:c r="P534" s="20" t="str">
        <x:v>1.1.0</x:v>
      </x:c>
      <x:c r="Q534" s="20" t="str">
        <x:v>deepseek/deepseek-v4-pro</x:v>
      </x:c>
      <x:c r="R534" s="20" t="str">
        <x:v>aj2-y90-20260714T234810-0bea2f52</x:v>
      </x:c>
    </x:row>
    <x:row r="535" ht="28" customHeight="1">
      <x:c r="A535" s="20" t="str">
        <x:v>B08373JPZN</x:v>
      </x:c>
      <x:c r="B535" s="20" t="str">
        <x:v>b08373jpzn</x:v>
      </x:c>
      <x:c r="C535" s="20" t="str">
        <x:v>b88801ae2c0991fd</x:v>
      </x:c>
      <x:c r="D535" s="20" t="str">
        <x:v>asin_target</x:v>
      </x:c>
      <x:c r="E535" s="20" t="str">
        <x:v>en</x:v>
      </x:c>
      <x:c r="F535" s="20" t="str">
        <x:v>该搜索词为 ASIN 形式，需补充商品元数据后再判断用户意图。</x:v>
      </x:c>
      <x:c r="G535" s="20" t="str">
        <x:v>unknown</x:v>
      </x:c>
      <x:c r="H535" s="20" t="str">
        <x:v>low</x:v>
      </x:c>
      <x:c r="I535" s="20" t="str">
        <x:v>asin_target</x:v>
      </x:c>
      <x:c r="J535" s="20" t="str">
        <x:v>asin_metadata_pending</x:v>
      </x:c>
      <x:c r="K535" s="20" t="str">
        <x:v>asin_without_metadata</x:v>
      </x:c>
      <x:c r="L535" s="20" t="str">
        <x:v>not_applicable</x:v>
      </x:c>
      <x:c r="M535" s="20" t="str">
        <x:v>non_model</x:v>
      </x:c>
      <x:c r="N535" s="20" t="str">
        <x:v>1</x:v>
      </x:c>
      <x:c r="O535" s="20" t="str">
        <x:v>1.0.0</x:v>
      </x:c>
      <x:c r="P535" s="20" t="str">
        <x:v>1.1.0</x:v>
      </x:c>
      <x:c r="Q535" s="20" t="str">
        <x:v>deepseek/deepseek-v4-pro</x:v>
      </x:c>
      <x:c r="R535" s="20" t="str">
        <x:v>aj2-y90-20260714T234810-0bea2f52</x:v>
      </x:c>
    </x:row>
    <x:row r="536" ht="28" customHeight="1">
      <x:c r="A536" s="20" t="str">
        <x:v>B0GGRC9L2Z</x:v>
      </x:c>
      <x:c r="B536" s="20" t="str">
        <x:v>b0ggrc9l2z</x:v>
      </x:c>
      <x:c r="C536" s="20" t="str">
        <x:v>b8904057811b86b0</x:v>
      </x:c>
      <x:c r="D536" s="20" t="str">
        <x:v>asin_target</x:v>
      </x:c>
      <x:c r="E536" s="20" t="str">
        <x:v>en</x:v>
      </x:c>
      <x:c r="F536" s="20" t="str">
        <x:v>该搜索词为 ASIN 形式，需补充商品元数据后再判断用户意图。</x:v>
      </x:c>
      <x:c r="G536" s="20" t="str">
        <x:v>unknown</x:v>
      </x:c>
      <x:c r="H536" s="20" t="str">
        <x:v>low</x:v>
      </x:c>
      <x:c r="I536" s="20" t="str">
        <x:v>asin_target</x:v>
      </x:c>
      <x:c r="J536" s="20" t="str">
        <x:v>asin_metadata_pending</x:v>
      </x:c>
      <x:c r="K536" s="20" t="str">
        <x:v>asin_without_metadata</x:v>
      </x:c>
      <x:c r="L536" s="20" t="str">
        <x:v>not_applicable</x:v>
      </x:c>
      <x:c r="M536" s="20" t="str">
        <x:v>non_model</x:v>
      </x:c>
      <x:c r="N536" s="20" t="str">
        <x:v>3</x:v>
      </x:c>
      <x:c r="O536" s="20" t="str">
        <x:v>1.0.0</x:v>
      </x:c>
      <x:c r="P536" s="20" t="str">
        <x:v>1.1.0</x:v>
      </x:c>
      <x:c r="Q536" s="20" t="str">
        <x:v>deepseek/deepseek-v4-pro</x:v>
      </x:c>
      <x:c r="R536" s="20" t="str">
        <x:v>aj2-y90-20260714T234810-0bea2f52</x:v>
      </x:c>
    </x:row>
    <x:row r="537" ht="28" customHeight="1">
      <x:c r="A537" s="20" t="str">
        <x:v>B09HS8T3ZW</x:v>
      </x:c>
      <x:c r="B537" s="20" t="str">
        <x:v>b09hs8t3zw</x:v>
      </x:c>
      <x:c r="C537" s="20" t="str">
        <x:v>b8d731cfbdf9639b</x:v>
      </x:c>
      <x:c r="D537" s="20" t="str">
        <x:v>asin_target</x:v>
      </x:c>
      <x:c r="E537" s="20" t="str">
        <x:v>en</x:v>
      </x:c>
      <x:c r="F537" s="20" t="str">
        <x:v>该搜索词为 ASIN 形式，需补充商品元数据后再判断用户意图。</x:v>
      </x:c>
      <x:c r="G537" s="20" t="str">
        <x:v>unknown</x:v>
      </x:c>
      <x:c r="H537" s="20" t="str">
        <x:v>low</x:v>
      </x:c>
      <x:c r="I537" s="20" t="str">
        <x:v>asin_target</x:v>
      </x:c>
      <x:c r="J537" s="20" t="str">
        <x:v>asin_metadata_pending</x:v>
      </x:c>
      <x:c r="K537" s="20" t="str">
        <x:v>asin_without_metadata</x:v>
      </x:c>
      <x:c r="L537" s="20" t="str">
        <x:v>not_applicable</x:v>
      </x:c>
      <x:c r="M537" s="20" t="str">
        <x:v>non_model</x:v>
      </x:c>
      <x:c r="N537" s="20" t="str">
        <x:v>1</x:v>
      </x:c>
      <x:c r="O537" s="20" t="str">
        <x:v>1.0.0</x:v>
      </x:c>
      <x:c r="P537" s="20" t="str">
        <x:v>1.1.0</x:v>
      </x:c>
      <x:c r="Q537" s="20" t="str">
        <x:v>deepseek/deepseek-v4-pro</x:v>
      </x:c>
      <x:c r="R537" s="20" t="str">
        <x:v>aj2-y90-20260714T234810-0bea2f52</x:v>
      </x:c>
    </x:row>
    <x:row r="538" ht="28" customHeight="1">
      <x:c r="A538" s="20" t="str">
        <x:v>B0G648VJ44</x:v>
      </x:c>
      <x:c r="B538" s="20" t="str">
        <x:v>b0g648vj44</x:v>
      </x:c>
      <x:c r="C538" s="20" t="str">
        <x:v>b8f55f317374aa30</x:v>
      </x:c>
      <x:c r="D538" s="20" t="str">
        <x:v>asin_target</x:v>
      </x:c>
      <x:c r="E538" s="20" t="str">
        <x:v>en</x:v>
      </x:c>
      <x:c r="F538" s="20" t="str">
        <x:v>该搜索词为 ASIN 形式，需补充商品元数据后再判断用户意图。</x:v>
      </x:c>
      <x:c r="G538" s="20" t="str">
        <x:v>unknown</x:v>
      </x:c>
      <x:c r="H538" s="20" t="str">
        <x:v>low</x:v>
      </x:c>
      <x:c r="I538" s="20" t="str">
        <x:v>asin_target</x:v>
      </x:c>
      <x:c r="J538" s="20" t="str">
        <x:v>asin_metadata_pending</x:v>
      </x:c>
      <x:c r="K538" s="20" t="str">
        <x:v>asin_without_metadata</x:v>
      </x:c>
      <x:c r="L538" s="20" t="str">
        <x:v>not_applicable</x:v>
      </x:c>
      <x:c r="M538" s="20" t="str">
        <x:v>non_model</x:v>
      </x:c>
      <x:c r="N538" s="20" t="str">
        <x:v>1</x:v>
      </x:c>
      <x:c r="O538" s="20" t="str">
        <x:v>1.0.0</x:v>
      </x:c>
      <x:c r="P538" s="20" t="str">
        <x:v>1.1.0</x:v>
      </x:c>
      <x:c r="Q538" s="20" t="str">
        <x:v>deepseek/deepseek-v4-pro</x:v>
      </x:c>
      <x:c r="R538" s="20" t="str">
        <x:v>aj2-y90-20260714T234810-0bea2f52</x:v>
      </x:c>
    </x:row>
    <x:row r="539" ht="28" customHeight="1">
      <x:c r="A539" s="20" t="str">
        <x:v>B0GTYCL9CP</x:v>
      </x:c>
      <x:c r="B539" s="20" t="str">
        <x:v>b0gtycl9cp</x:v>
      </x:c>
      <x:c r="C539" s="20" t="str">
        <x:v>b94b4c4d7b00e70f</x:v>
      </x:c>
      <x:c r="D539" s="20" t="str">
        <x:v>asin_target</x:v>
      </x:c>
      <x:c r="E539" s="20" t="str">
        <x:v>en</x:v>
      </x:c>
      <x:c r="F539" s="20" t="str">
        <x:v>该搜索词为 ASIN 形式，需补充商品元数据后再判断用户意图。</x:v>
      </x:c>
      <x:c r="G539" s="20" t="str">
        <x:v>unknown</x:v>
      </x:c>
      <x:c r="H539" s="20" t="str">
        <x:v>low</x:v>
      </x:c>
      <x:c r="I539" s="20" t="str">
        <x:v>asin_target</x:v>
      </x:c>
      <x:c r="J539" s="20" t="str">
        <x:v>asin_metadata_pending</x:v>
      </x:c>
      <x:c r="K539" s="20" t="str">
        <x:v>asin_without_metadata</x:v>
      </x:c>
      <x:c r="L539" s="20" t="str">
        <x:v>not_applicable</x:v>
      </x:c>
      <x:c r="M539" s="20" t="str">
        <x:v>non_model</x:v>
      </x:c>
      <x:c r="N539" s="20" t="str">
        <x:v>1</x:v>
      </x:c>
      <x:c r="O539" s="20" t="str">
        <x:v>1.0.0</x:v>
      </x:c>
      <x:c r="P539" s="20" t="str">
        <x:v>1.1.0</x:v>
      </x:c>
      <x:c r="Q539" s="20" t="str">
        <x:v>deepseek/deepseek-v4-pro</x:v>
      </x:c>
      <x:c r="R539" s="20" t="str">
        <x:v>aj2-y90-20260714T234810-0bea2f52</x:v>
      </x:c>
    </x:row>
    <x:row r="540" ht="28" customHeight="1">
      <x:c r="A540" s="20" t="str">
        <x:v>B0DYJMCQJ9</x:v>
      </x:c>
      <x:c r="B540" s="20" t="str">
        <x:v>b0dyjmcqj9</x:v>
      </x:c>
      <x:c r="C540" s="20" t="str">
        <x:v>b9dddb86f7b19b30</x:v>
      </x:c>
      <x:c r="D540" s="20" t="str">
        <x:v>asin_target</x:v>
      </x:c>
      <x:c r="E540" s="20" t="str">
        <x:v>en</x:v>
      </x:c>
      <x:c r="F540" s="20" t="str">
        <x:v>该搜索词为 ASIN 形式，需补充商品元数据后再判断用户意图。</x:v>
      </x:c>
      <x:c r="G540" s="20" t="str">
        <x:v>unknown</x:v>
      </x:c>
      <x:c r="H540" s="20" t="str">
        <x:v>low</x:v>
      </x:c>
      <x:c r="I540" s="20" t="str">
        <x:v>asin_target</x:v>
      </x:c>
      <x:c r="J540" s="20" t="str">
        <x:v>asin_metadata_pending</x:v>
      </x:c>
      <x:c r="K540" s="20" t="str">
        <x:v>asin_without_metadata</x:v>
      </x:c>
      <x:c r="L540" s="20" t="str">
        <x:v>not_applicable</x:v>
      </x:c>
      <x:c r="M540" s="20" t="str">
        <x:v>non_model</x:v>
      </x:c>
      <x:c r="N540" s="20" t="str">
        <x:v>1</x:v>
      </x:c>
      <x:c r="O540" s="20" t="str">
        <x:v>1.0.0</x:v>
      </x:c>
      <x:c r="P540" s="20" t="str">
        <x:v>1.1.0</x:v>
      </x:c>
      <x:c r="Q540" s="20" t="str">
        <x:v>deepseek/deepseek-v4-pro</x:v>
      </x:c>
      <x:c r="R540" s="20" t="str">
        <x:v>aj2-y90-20260714T234810-0bea2f52</x:v>
      </x:c>
    </x:row>
    <x:row r="541" ht="28" customHeight="1">
      <x:c r="A541" s="20" t="str">
        <x:v>B0G13C1WFY</x:v>
      </x:c>
      <x:c r="B541" s="20" t="str">
        <x:v>b0g13c1wfy</x:v>
      </x:c>
      <x:c r="C541" s="20" t="str">
        <x:v>ba0ed3471fc24897</x:v>
      </x:c>
      <x:c r="D541" s="20" t="str">
        <x:v>asin_target</x:v>
      </x:c>
      <x:c r="E541" s="20" t="str">
        <x:v>en</x:v>
      </x:c>
      <x:c r="F541" s="20" t="str">
        <x:v>该搜索词为 ASIN 形式，需补充商品元数据后再判断用户意图。</x:v>
      </x:c>
      <x:c r="G541" s="20" t="str">
        <x:v>unknown</x:v>
      </x:c>
      <x:c r="H541" s="20" t="str">
        <x:v>low</x:v>
      </x:c>
      <x:c r="I541" s="20" t="str">
        <x:v>asin_target</x:v>
      </x:c>
      <x:c r="J541" s="20" t="str">
        <x:v>asin_metadata_pending</x:v>
      </x:c>
      <x:c r="K541" s="20" t="str">
        <x:v>asin_without_metadata</x:v>
      </x:c>
      <x:c r="L541" s="20" t="str">
        <x:v>not_applicable</x:v>
      </x:c>
      <x:c r="M541" s="20" t="str">
        <x:v>non_model</x:v>
      </x:c>
      <x:c r="N541" s="20" t="str">
        <x:v>2</x:v>
      </x:c>
      <x:c r="O541" s="20" t="str">
        <x:v>1.0.0</x:v>
      </x:c>
      <x:c r="P541" s="20" t="str">
        <x:v>1.1.0</x:v>
      </x:c>
      <x:c r="Q541" s="20" t="str">
        <x:v>deepseek/deepseek-v4-pro</x:v>
      </x:c>
      <x:c r="R541" s="20" t="str">
        <x:v>aj2-y90-20260714T234810-0bea2f52</x:v>
      </x:c>
    </x:row>
    <x:row r="542" ht="28" customHeight="1">
      <x:c r="A542" s="20" t="str">
        <x:v>B06ZY9V1BJ</x:v>
      </x:c>
      <x:c r="B542" s="20" t="str">
        <x:v>b06zy9v1bj</x:v>
      </x:c>
      <x:c r="C542" s="20" t="str">
        <x:v>ba5c959a4722ee09</x:v>
      </x:c>
      <x:c r="D542" s="20" t="str">
        <x:v>asin_target</x:v>
      </x:c>
      <x:c r="E542" s="20" t="str">
        <x:v>en</x:v>
      </x:c>
      <x:c r="F542" s="20" t="str">
        <x:v>该搜索词为 ASIN 形式，需补充商品元数据后再判断用户意图。</x:v>
      </x:c>
      <x:c r="G542" s="20" t="str">
        <x:v>unknown</x:v>
      </x:c>
      <x:c r="H542" s="20" t="str">
        <x:v>low</x:v>
      </x:c>
      <x:c r="I542" s="20" t="str">
        <x:v>asin_target</x:v>
      </x:c>
      <x:c r="J542" s="20" t="str">
        <x:v>asin_metadata_pending</x:v>
      </x:c>
      <x:c r="K542" s="20" t="str">
        <x:v>asin_without_metadata</x:v>
      </x:c>
      <x:c r="L542" s="20" t="str">
        <x:v>not_applicable</x:v>
      </x:c>
      <x:c r="M542" s="20" t="str">
        <x:v>non_model</x:v>
      </x:c>
      <x:c r="N542" s="20" t="str">
        <x:v>1</x:v>
      </x:c>
      <x:c r="O542" s="20" t="str">
        <x:v>1.0.0</x:v>
      </x:c>
      <x:c r="P542" s="20" t="str">
        <x:v>1.1.0</x:v>
      </x:c>
      <x:c r="Q542" s="20" t="str">
        <x:v>deepseek/deepseek-v4-pro</x:v>
      </x:c>
      <x:c r="R542" s="20" t="str">
        <x:v>aj2-y90-20260714T234810-0bea2f52</x:v>
      </x:c>
    </x:row>
    <x:row r="543" ht="28" customHeight="1">
      <x:c r="A543" s="20" t="str">
        <x:v>B0G47M23CS</x:v>
      </x:c>
      <x:c r="B543" s="20" t="str">
        <x:v>b0g47m23cs</x:v>
      </x:c>
      <x:c r="C543" s="20" t="str">
        <x:v>ba5cde9da12ae7bd</x:v>
      </x:c>
      <x:c r="D543" s="20" t="str">
        <x:v>asin_target</x:v>
      </x:c>
      <x:c r="E543" s="20" t="str">
        <x:v>en</x:v>
      </x:c>
      <x:c r="F543" s="20" t="str">
        <x:v>该搜索词为 ASIN 形式，需补充商品元数据后再判断用户意图。</x:v>
      </x:c>
      <x:c r="G543" s="20" t="str">
        <x:v>unknown</x:v>
      </x:c>
      <x:c r="H543" s="20" t="str">
        <x:v>low</x:v>
      </x:c>
      <x:c r="I543" s="20" t="str">
        <x:v>asin_target</x:v>
      </x:c>
      <x:c r="J543" s="20" t="str">
        <x:v>asin_metadata_pending</x:v>
      </x:c>
      <x:c r="K543" s="20" t="str">
        <x:v>asin_without_metadata</x:v>
      </x:c>
      <x:c r="L543" s="20" t="str">
        <x:v>not_applicable</x:v>
      </x:c>
      <x:c r="M543" s="20" t="str">
        <x:v>non_model</x:v>
      </x:c>
      <x:c r="N543" s="20" t="str">
        <x:v>1</x:v>
      </x:c>
      <x:c r="O543" s="20" t="str">
        <x:v>1.0.0</x:v>
      </x:c>
      <x:c r="P543" s="20" t="str">
        <x:v>1.1.0</x:v>
      </x:c>
      <x:c r="Q543" s="20" t="str">
        <x:v>deepseek/deepseek-v4-pro</x:v>
      </x:c>
      <x:c r="R543" s="20" t="str">
        <x:v>aj2-y90-20260714T234810-0bea2f52</x:v>
      </x:c>
    </x:row>
    <x:row r="544" ht="28" customHeight="1">
      <x:c r="A544" s="20" t="str">
        <x:v>B0GWCFXWCV</x:v>
      </x:c>
      <x:c r="B544" s="20" t="str">
        <x:v>b0gwcfxwcv</x:v>
      </x:c>
      <x:c r="C544" s="20" t="str">
        <x:v>ba7600ff2c7727a2</x:v>
      </x:c>
      <x:c r="D544" s="20" t="str">
        <x:v>asin_target</x:v>
      </x:c>
      <x:c r="E544" s="20" t="str">
        <x:v>en</x:v>
      </x:c>
      <x:c r="F544" s="20" t="str">
        <x:v>该搜索词为 ASIN 形式，需补充商品元数据后再判断用户意图。</x:v>
      </x:c>
      <x:c r="G544" s="20" t="str">
        <x:v>unknown</x:v>
      </x:c>
      <x:c r="H544" s="20" t="str">
        <x:v>low</x:v>
      </x:c>
      <x:c r="I544" s="20" t="str">
        <x:v>asin_target</x:v>
      </x:c>
      <x:c r="J544" s="20" t="str">
        <x:v>asin_metadata_pending</x:v>
      </x:c>
      <x:c r="K544" s="20" t="str">
        <x:v>asin_without_metadata</x:v>
      </x:c>
      <x:c r="L544" s="20" t="str">
        <x:v>not_applicable</x:v>
      </x:c>
      <x:c r="M544" s="20" t="str">
        <x:v>non_model</x:v>
      </x:c>
      <x:c r="N544" s="20" t="str">
        <x:v>1</x:v>
      </x:c>
      <x:c r="O544" s="20" t="str">
        <x:v>1.0.0</x:v>
      </x:c>
      <x:c r="P544" s="20" t="str">
        <x:v>1.1.0</x:v>
      </x:c>
      <x:c r="Q544" s="20" t="str">
        <x:v>deepseek/deepseek-v4-pro</x:v>
      </x:c>
      <x:c r="R544" s="20" t="str">
        <x:v>aj2-y90-20260714T234810-0bea2f52</x:v>
      </x:c>
    </x:row>
    <x:row r="545" ht="28" customHeight="1">
      <x:c r="A545" s="20" t="str">
        <x:v>B0G48MBDDH</x:v>
      </x:c>
      <x:c r="B545" s="20" t="str">
        <x:v>b0g48mbddh</x:v>
      </x:c>
      <x:c r="C545" s="20" t="str">
        <x:v>badba0fedbad44c7</x:v>
      </x:c>
      <x:c r="D545" s="20" t="str">
        <x:v>asin_target</x:v>
      </x:c>
      <x:c r="E545" s="20" t="str">
        <x:v>en</x:v>
      </x:c>
      <x:c r="F545" s="20" t="str">
        <x:v>该搜索词为 ASIN 形式，需补充商品元数据后再判断用户意图。</x:v>
      </x:c>
      <x:c r="G545" s="20" t="str">
        <x:v>unknown</x:v>
      </x:c>
      <x:c r="H545" s="20" t="str">
        <x:v>low</x:v>
      </x:c>
      <x:c r="I545" s="20" t="str">
        <x:v>asin_target</x:v>
      </x:c>
      <x:c r="J545" s="20" t="str">
        <x:v>asin_metadata_pending</x:v>
      </x:c>
      <x:c r="K545" s="20" t="str">
        <x:v>asin_without_metadata</x:v>
      </x:c>
      <x:c r="L545" s="20" t="str">
        <x:v>not_applicable</x:v>
      </x:c>
      <x:c r="M545" s="20" t="str">
        <x:v>non_model</x:v>
      </x:c>
      <x:c r="N545" s="20" t="str">
        <x:v>1</x:v>
      </x:c>
      <x:c r="O545" s="20" t="str">
        <x:v>1.0.0</x:v>
      </x:c>
      <x:c r="P545" s="20" t="str">
        <x:v>1.1.0</x:v>
      </x:c>
      <x:c r="Q545" s="20" t="str">
        <x:v>deepseek/deepseek-v4-pro</x:v>
      </x:c>
      <x:c r="R545" s="20" t="str">
        <x:v>aj2-y90-20260714T234810-0bea2f52</x:v>
      </x:c>
    </x:row>
    <x:row r="546" ht="28" customHeight="1">
      <x:c r="A546" s="20" t="str">
        <x:v>B0DB6MQ86S</x:v>
      </x:c>
      <x:c r="B546" s="20" t="str">
        <x:v>b0db6mq86s</x:v>
      </x:c>
      <x:c r="C546" s="20" t="str">
        <x:v>baf29ccc671d5f67</x:v>
      </x:c>
      <x:c r="D546" s="20" t="str">
        <x:v>asin_target</x:v>
      </x:c>
      <x:c r="E546" s="20" t="str">
        <x:v>en</x:v>
      </x:c>
      <x:c r="F546" s="20" t="str">
        <x:v>该搜索词为 ASIN 形式，需补充商品元数据后再判断用户意图。</x:v>
      </x:c>
      <x:c r="G546" s="20" t="str">
        <x:v>unknown</x:v>
      </x:c>
      <x:c r="H546" s="20" t="str">
        <x:v>low</x:v>
      </x:c>
      <x:c r="I546" s="20" t="str">
        <x:v>asin_target</x:v>
      </x:c>
      <x:c r="J546" s="20" t="str">
        <x:v>asin_metadata_pending</x:v>
      </x:c>
      <x:c r="K546" s="20" t="str">
        <x:v>asin_without_metadata</x:v>
      </x:c>
      <x:c r="L546" s="20" t="str">
        <x:v>not_applicable</x:v>
      </x:c>
      <x:c r="M546" s="20" t="str">
        <x:v>non_model</x:v>
      </x:c>
      <x:c r="N546" s="20" t="str">
        <x:v>1</x:v>
      </x:c>
      <x:c r="O546" s="20" t="str">
        <x:v>1.0.0</x:v>
      </x:c>
      <x:c r="P546" s="20" t="str">
        <x:v>1.1.0</x:v>
      </x:c>
      <x:c r="Q546" s="20" t="str">
        <x:v>deepseek/deepseek-v4-pro</x:v>
      </x:c>
      <x:c r="R546" s="20" t="str">
        <x:v>aj2-y90-20260714T234810-0bea2f52</x:v>
      </x:c>
    </x:row>
    <x:row r="547" ht="28" customHeight="1">
      <x:c r="A547" s="20" t="str">
        <x:v>B0DG199JHZ</x:v>
      </x:c>
      <x:c r="B547" s="20" t="str">
        <x:v>b0dg199jhz</x:v>
      </x:c>
      <x:c r="C547" s="20" t="str">
        <x:v>bb100bd873b2d897</x:v>
      </x:c>
      <x:c r="D547" s="20" t="str">
        <x:v>asin_target</x:v>
      </x:c>
      <x:c r="E547" s="20" t="str">
        <x:v>en</x:v>
      </x:c>
      <x:c r="F547" s="20" t="str">
        <x:v>该搜索词为 ASIN 形式，需补充商品元数据后再判断用户意图。</x:v>
      </x:c>
      <x:c r="G547" s="20" t="str">
        <x:v>unknown</x:v>
      </x:c>
      <x:c r="H547" s="20" t="str">
        <x:v>low</x:v>
      </x:c>
      <x:c r="I547" s="20" t="str">
        <x:v>asin_target</x:v>
      </x:c>
      <x:c r="J547" s="20" t="str">
        <x:v>asin_metadata_pending</x:v>
      </x:c>
      <x:c r="K547" s="20" t="str">
        <x:v>asin_without_metadata</x:v>
      </x:c>
      <x:c r="L547" s="20" t="str">
        <x:v>not_applicable</x:v>
      </x:c>
      <x:c r="M547" s="20" t="str">
        <x:v>non_model</x:v>
      </x:c>
      <x:c r="N547" s="20" t="str">
        <x:v>1</x:v>
      </x:c>
      <x:c r="O547" s="20" t="str">
        <x:v>1.0.0</x:v>
      </x:c>
      <x:c r="P547" s="20" t="str">
        <x:v>1.1.0</x:v>
      </x:c>
      <x:c r="Q547" s="20" t="str">
        <x:v>deepseek/deepseek-v4-pro</x:v>
      </x:c>
      <x:c r="R547" s="20" t="str">
        <x:v>aj2-y90-20260714T234810-0bea2f52</x:v>
      </x:c>
    </x:row>
    <x:row r="548" ht="28" customHeight="1">
      <x:c r="A548" s="20" t="str">
        <x:v>B0BKBP78PW</x:v>
      </x:c>
      <x:c r="B548" s="20" t="str">
        <x:v>b0bkbp78pw</x:v>
      </x:c>
      <x:c r="C548" s="20" t="str">
        <x:v>bcc60197945f642b</x:v>
      </x:c>
      <x:c r="D548" s="20" t="str">
        <x:v>asin_target</x:v>
      </x:c>
      <x:c r="E548" s="20" t="str">
        <x:v>en</x:v>
      </x:c>
      <x:c r="F548" s="20" t="str">
        <x:v>该搜索词为 ASIN 形式，需补充商品元数据后再判断用户意图。</x:v>
      </x:c>
      <x:c r="G548" s="20" t="str">
        <x:v>unknown</x:v>
      </x:c>
      <x:c r="H548" s="20" t="str">
        <x:v>low</x:v>
      </x:c>
      <x:c r="I548" s="20" t="str">
        <x:v>asin_target</x:v>
      </x:c>
      <x:c r="J548" s="20" t="str">
        <x:v>asin_metadata_pending</x:v>
      </x:c>
      <x:c r="K548" s="20" t="str">
        <x:v>asin_without_metadata</x:v>
      </x:c>
      <x:c r="L548" s="20" t="str">
        <x:v>not_applicable</x:v>
      </x:c>
      <x:c r="M548" s="20" t="str">
        <x:v>non_model</x:v>
      </x:c>
      <x:c r="N548" s="20" t="str">
        <x:v>1</x:v>
      </x:c>
      <x:c r="O548" s="20" t="str">
        <x:v>1.0.0</x:v>
      </x:c>
      <x:c r="P548" s="20" t="str">
        <x:v>1.1.0</x:v>
      </x:c>
      <x:c r="Q548" s="20" t="str">
        <x:v>deepseek/deepseek-v4-pro</x:v>
      </x:c>
      <x:c r="R548" s="20" t="str">
        <x:v>aj2-y90-20260714T234810-0bea2f52</x:v>
      </x:c>
    </x:row>
    <x:row r="549" ht="28" customHeight="1">
      <x:c r="A549" s="20" t="str">
        <x:v>B0D81JR4WX</x:v>
      </x:c>
      <x:c r="B549" s="20" t="str">
        <x:v>b0d81jr4wx</x:v>
      </x:c>
      <x:c r="C549" s="20" t="str">
        <x:v>bcfd54bd98e0ef55</x:v>
      </x:c>
      <x:c r="D549" s="20" t="str">
        <x:v>asin_target</x:v>
      </x:c>
      <x:c r="E549" s="20" t="str">
        <x:v>en</x:v>
      </x:c>
      <x:c r="F549" s="20" t="str">
        <x:v>该搜索词为 ASIN 形式，需补充商品元数据后再判断用户意图。</x:v>
      </x:c>
      <x:c r="G549" s="20" t="str">
        <x:v>unknown</x:v>
      </x:c>
      <x:c r="H549" s="20" t="str">
        <x:v>low</x:v>
      </x:c>
      <x:c r="I549" s="20" t="str">
        <x:v>asin_target</x:v>
      </x:c>
      <x:c r="J549" s="20" t="str">
        <x:v>asin_metadata_pending</x:v>
      </x:c>
      <x:c r="K549" s="20" t="str">
        <x:v>asin_without_metadata</x:v>
      </x:c>
      <x:c r="L549" s="20" t="str">
        <x:v>not_applicable</x:v>
      </x:c>
      <x:c r="M549" s="20" t="str">
        <x:v>non_model</x:v>
      </x:c>
      <x:c r="N549" s="20" t="str">
        <x:v>1</x:v>
      </x:c>
      <x:c r="O549" s="20" t="str">
        <x:v>1.0.0</x:v>
      </x:c>
      <x:c r="P549" s="20" t="str">
        <x:v>1.1.0</x:v>
      </x:c>
      <x:c r="Q549" s="20" t="str">
        <x:v>deepseek/deepseek-v4-pro</x:v>
      </x:c>
      <x:c r="R549" s="20" t="str">
        <x:v>aj2-y90-20260714T234810-0bea2f52</x:v>
      </x:c>
    </x:row>
    <x:row r="550" ht="28" customHeight="1">
      <x:c r="A550" s="20" t="str">
        <x:v>B0F8MFD73W</x:v>
      </x:c>
      <x:c r="B550" s="20" t="str">
        <x:v>b0f8mfd73w</x:v>
      </x:c>
      <x:c r="C550" s="20" t="str">
        <x:v>bd1c7ea1f2e8dbf4</x:v>
      </x:c>
      <x:c r="D550" s="20" t="str">
        <x:v>asin_target</x:v>
      </x:c>
      <x:c r="E550" s="20" t="str">
        <x:v>en</x:v>
      </x:c>
      <x:c r="F550" s="20" t="str">
        <x:v>该搜索词为 ASIN 形式，需补充商品元数据后再判断用户意图。</x:v>
      </x:c>
      <x:c r="G550" s="20" t="str">
        <x:v>unknown</x:v>
      </x:c>
      <x:c r="H550" s="20" t="str">
        <x:v>low</x:v>
      </x:c>
      <x:c r="I550" s="20" t="str">
        <x:v>asin_target</x:v>
      </x:c>
      <x:c r="J550" s="20" t="str">
        <x:v>asin_metadata_pending</x:v>
      </x:c>
      <x:c r="K550" s="20" t="str">
        <x:v>asin_without_metadata</x:v>
      </x:c>
      <x:c r="L550" s="20" t="str">
        <x:v>not_applicable</x:v>
      </x:c>
      <x:c r="M550" s="20" t="str">
        <x:v>non_model</x:v>
      </x:c>
      <x:c r="N550" s="20" t="str">
        <x:v>1</x:v>
      </x:c>
      <x:c r="O550" s="20" t="str">
        <x:v>1.0.0</x:v>
      </x:c>
      <x:c r="P550" s="20" t="str">
        <x:v>1.1.0</x:v>
      </x:c>
      <x:c r="Q550" s="20" t="str">
        <x:v>deepseek/deepseek-v4-pro</x:v>
      </x:c>
      <x:c r="R550" s="20" t="str">
        <x:v>aj2-y90-20260714T234810-0bea2f52</x:v>
      </x:c>
    </x:row>
    <x:row r="551" ht="28" customHeight="1">
      <x:c r="A551" s="20" t="str">
        <x:v>B0FX3D8Z6V</x:v>
      </x:c>
      <x:c r="B551" s="20" t="str">
        <x:v>b0fx3d8z6v</x:v>
      </x:c>
      <x:c r="C551" s="20" t="str">
        <x:v>bd9d33a3fdb7cc2a</x:v>
      </x:c>
      <x:c r="D551" s="20" t="str">
        <x:v>asin_target</x:v>
      </x:c>
      <x:c r="E551" s="20" t="str">
        <x:v>en</x:v>
      </x:c>
      <x:c r="F551" s="20" t="str">
        <x:v>该搜索词为 ASIN 形式，需补充商品元数据后再判断用户意图。</x:v>
      </x:c>
      <x:c r="G551" s="20" t="str">
        <x:v>unknown</x:v>
      </x:c>
      <x:c r="H551" s="20" t="str">
        <x:v>low</x:v>
      </x:c>
      <x:c r="I551" s="20" t="str">
        <x:v>asin_target</x:v>
      </x:c>
      <x:c r="J551" s="20" t="str">
        <x:v>asin_metadata_pending</x:v>
      </x:c>
      <x:c r="K551" s="20" t="str">
        <x:v>asin_without_metadata</x:v>
      </x:c>
      <x:c r="L551" s="20" t="str">
        <x:v>not_applicable</x:v>
      </x:c>
      <x:c r="M551" s="20" t="str">
        <x:v>non_model</x:v>
      </x:c>
      <x:c r="N551" s="20" t="str">
        <x:v>1</x:v>
      </x:c>
      <x:c r="O551" s="20" t="str">
        <x:v>1.0.0</x:v>
      </x:c>
      <x:c r="P551" s="20" t="str">
        <x:v>1.1.0</x:v>
      </x:c>
      <x:c r="Q551" s="20" t="str">
        <x:v>deepseek/deepseek-v4-pro</x:v>
      </x:c>
      <x:c r="R551" s="20" t="str">
        <x:v>aj2-y90-20260714T234810-0bea2f52</x:v>
      </x:c>
    </x:row>
    <x:row r="552" ht="28" customHeight="1">
      <x:c r="A552" s="20" t="str">
        <x:v>B0G48HDC6B</x:v>
      </x:c>
      <x:c r="B552" s="20" t="str">
        <x:v>b0g48hdc6b</x:v>
      </x:c>
      <x:c r="C552" s="20" t="str">
        <x:v>be1f8a5e8edff8bd</x:v>
      </x:c>
      <x:c r="D552" s="20" t="str">
        <x:v>asin_target</x:v>
      </x:c>
      <x:c r="E552" s="20" t="str">
        <x:v>en</x:v>
      </x:c>
      <x:c r="F552" s="20" t="str">
        <x:v>该搜索词为 ASIN 形式，需补充商品元数据后再判断用户意图。</x:v>
      </x:c>
      <x:c r="G552" s="20" t="str">
        <x:v>unknown</x:v>
      </x:c>
      <x:c r="H552" s="20" t="str">
        <x:v>low</x:v>
      </x:c>
      <x:c r="I552" s="20" t="str">
        <x:v>asin_target</x:v>
      </x:c>
      <x:c r="J552" s="20" t="str">
        <x:v>asin_metadata_pending</x:v>
      </x:c>
      <x:c r="K552" s="20" t="str">
        <x:v>asin_without_metadata</x:v>
      </x:c>
      <x:c r="L552" s="20" t="str">
        <x:v>not_applicable</x:v>
      </x:c>
      <x:c r="M552" s="20" t="str">
        <x:v>non_model</x:v>
      </x:c>
      <x:c r="N552" s="20" t="str">
        <x:v>1</x:v>
      </x:c>
      <x:c r="O552" s="20" t="str">
        <x:v>1.0.0</x:v>
      </x:c>
      <x:c r="P552" s="20" t="str">
        <x:v>1.1.0</x:v>
      </x:c>
      <x:c r="Q552" s="20" t="str">
        <x:v>deepseek/deepseek-v4-pro</x:v>
      </x:c>
      <x:c r="R552" s="20" t="str">
        <x:v>aj2-y90-20260714T234810-0bea2f52</x:v>
      </x:c>
    </x:row>
    <x:row r="553" ht="28" customHeight="1">
      <x:c r="A553" s="20" t="str">
        <x:v>B09M88MRKR</x:v>
      </x:c>
      <x:c r="B553" s="20" t="str">
        <x:v>b09m88mrkr</x:v>
      </x:c>
      <x:c r="C553" s="20" t="str">
        <x:v>be2299395944cec7</x:v>
      </x:c>
      <x:c r="D553" s="20" t="str">
        <x:v>asin_target</x:v>
      </x:c>
      <x:c r="E553" s="20" t="str">
        <x:v>en</x:v>
      </x:c>
      <x:c r="F553" s="20" t="str">
        <x:v>该搜索词为 ASIN 形式，需补充商品元数据后再判断用户意图。</x:v>
      </x:c>
      <x:c r="G553" s="20" t="str">
        <x:v>unknown</x:v>
      </x:c>
      <x:c r="H553" s="20" t="str">
        <x:v>low</x:v>
      </x:c>
      <x:c r="I553" s="20" t="str">
        <x:v>asin_target</x:v>
      </x:c>
      <x:c r="J553" s="20" t="str">
        <x:v>asin_metadata_pending</x:v>
      </x:c>
      <x:c r="K553" s="20" t="str">
        <x:v>asin_without_metadata</x:v>
      </x:c>
      <x:c r="L553" s="20" t="str">
        <x:v>not_applicable</x:v>
      </x:c>
      <x:c r="M553" s="20" t="str">
        <x:v>non_model</x:v>
      </x:c>
      <x:c r="N553" s="20" t="str">
        <x:v>1</x:v>
      </x:c>
      <x:c r="O553" s="20" t="str">
        <x:v>1.0.0</x:v>
      </x:c>
      <x:c r="P553" s="20" t="str">
        <x:v>1.1.0</x:v>
      </x:c>
      <x:c r="Q553" s="20" t="str">
        <x:v>deepseek/deepseek-v4-pro</x:v>
      </x:c>
      <x:c r="R553" s="20" t="str">
        <x:v>aj2-y90-20260714T234810-0bea2f52</x:v>
      </x:c>
    </x:row>
    <x:row r="554" ht="28" customHeight="1">
      <x:c r="A554" s="20" t="str">
        <x:v>B0FCD1CSDN</x:v>
      </x:c>
      <x:c r="B554" s="20" t="str">
        <x:v>b0fcd1csdn</x:v>
      </x:c>
      <x:c r="C554" s="20" t="str">
        <x:v>be586e446eedc97b</x:v>
      </x:c>
      <x:c r="D554" s="20" t="str">
        <x:v>asin_target</x:v>
      </x:c>
      <x:c r="E554" s="20" t="str">
        <x:v>en</x:v>
      </x:c>
      <x:c r="F554" s="20" t="str">
        <x:v>该搜索词为 ASIN 形式，需补充商品元数据后再判断用户意图。</x:v>
      </x:c>
      <x:c r="G554" s="20" t="str">
        <x:v>unknown</x:v>
      </x:c>
      <x:c r="H554" s="20" t="str">
        <x:v>low</x:v>
      </x:c>
      <x:c r="I554" s="20" t="str">
        <x:v>asin_target</x:v>
      </x:c>
      <x:c r="J554" s="20" t="str">
        <x:v>asin_metadata_pending</x:v>
      </x:c>
      <x:c r="K554" s="20" t="str">
        <x:v>asin_without_metadata</x:v>
      </x:c>
      <x:c r="L554" s="20" t="str">
        <x:v>not_applicable</x:v>
      </x:c>
      <x:c r="M554" s="20" t="str">
        <x:v>non_model</x:v>
      </x:c>
      <x:c r="N554" s="20" t="str">
        <x:v>1</x:v>
      </x:c>
      <x:c r="O554" s="20" t="str">
        <x:v>1.0.0</x:v>
      </x:c>
      <x:c r="P554" s="20" t="str">
        <x:v>1.1.0</x:v>
      </x:c>
      <x:c r="Q554" s="20" t="str">
        <x:v>deepseek/deepseek-v4-pro</x:v>
      </x:c>
      <x:c r="R554" s="20" t="str">
        <x:v>aj2-y90-20260714T234810-0bea2f52</x:v>
      </x:c>
    </x:row>
    <x:row r="555" ht="28" customHeight="1">
      <x:c r="A555" s="20" t="str">
        <x:v>B0GT22X87H</x:v>
      </x:c>
      <x:c r="B555" s="20" t="str">
        <x:v>b0gt22x87h</x:v>
      </x:c>
      <x:c r="C555" s="20" t="str">
        <x:v>be6211d3f05f37c4</x:v>
      </x:c>
      <x:c r="D555" s="20" t="str">
        <x:v>asin_target</x:v>
      </x:c>
      <x:c r="E555" s="20" t="str">
        <x:v>en</x:v>
      </x:c>
      <x:c r="F555" s="20" t="str">
        <x:v>该搜索词为 ASIN 形式，需补充商品元数据后再判断用户意图。</x:v>
      </x:c>
      <x:c r="G555" s="20" t="str">
        <x:v>unknown</x:v>
      </x:c>
      <x:c r="H555" s="20" t="str">
        <x:v>low</x:v>
      </x:c>
      <x:c r="I555" s="20" t="str">
        <x:v>asin_target</x:v>
      </x:c>
      <x:c r="J555" s="20" t="str">
        <x:v>asin_metadata_pending</x:v>
      </x:c>
      <x:c r="K555" s="20" t="str">
        <x:v>asin_without_metadata</x:v>
      </x:c>
      <x:c r="L555" s="20" t="str">
        <x:v>not_applicable</x:v>
      </x:c>
      <x:c r="M555" s="20" t="str">
        <x:v>non_model</x:v>
      </x:c>
      <x:c r="N555" s="20" t="str">
        <x:v>1</x:v>
      </x:c>
      <x:c r="O555" s="20" t="str">
        <x:v>1.0.0</x:v>
      </x:c>
      <x:c r="P555" s="20" t="str">
        <x:v>1.1.0</x:v>
      </x:c>
      <x:c r="Q555" s="20" t="str">
        <x:v>deepseek/deepseek-v4-pro</x:v>
      </x:c>
      <x:c r="R555" s="20" t="str">
        <x:v>aj2-y90-20260714T234810-0bea2f52</x:v>
      </x:c>
    </x:row>
    <x:row r="556" ht="28" customHeight="1">
      <x:c r="A556" s="20" t="str">
        <x:v>B0F8M4CJ3N</x:v>
      </x:c>
      <x:c r="B556" s="20" t="str">
        <x:v>b0f8m4cj3n</x:v>
      </x:c>
      <x:c r="C556" s="20" t="str">
        <x:v>bfe20f9ae72bcdd3</x:v>
      </x:c>
      <x:c r="D556" s="20" t="str">
        <x:v>asin_target</x:v>
      </x:c>
      <x:c r="E556" s="20" t="str">
        <x:v>en</x:v>
      </x:c>
      <x:c r="F556" s="20" t="str">
        <x:v>该搜索词为 ASIN 形式，需补充商品元数据后再判断用户意图。</x:v>
      </x:c>
      <x:c r="G556" s="20" t="str">
        <x:v>unknown</x:v>
      </x:c>
      <x:c r="H556" s="20" t="str">
        <x:v>low</x:v>
      </x:c>
      <x:c r="I556" s="20" t="str">
        <x:v>asin_target</x:v>
      </x:c>
      <x:c r="J556" s="20" t="str">
        <x:v>asin_metadata_pending</x:v>
      </x:c>
      <x:c r="K556" s="20" t="str">
        <x:v>asin_without_metadata</x:v>
      </x:c>
      <x:c r="L556" s="20" t="str">
        <x:v>not_applicable</x:v>
      </x:c>
      <x:c r="M556" s="20" t="str">
        <x:v>non_model</x:v>
      </x:c>
      <x:c r="N556" s="20" t="str">
        <x:v>1</x:v>
      </x:c>
      <x:c r="O556" s="20" t="str">
        <x:v>1.0.0</x:v>
      </x:c>
      <x:c r="P556" s="20" t="str">
        <x:v>1.1.0</x:v>
      </x:c>
      <x:c r="Q556" s="20" t="str">
        <x:v>deepseek/deepseek-v4-pro</x:v>
      </x:c>
      <x:c r="R556" s="20" t="str">
        <x:v>aj2-y90-20260714T234810-0bea2f52</x:v>
      </x:c>
    </x:row>
    <x:row r="557" ht="28" customHeight="1">
      <x:c r="A557" s="20" t="str">
        <x:v>B01LZN47V0</x:v>
      </x:c>
      <x:c r="B557" s="20" t="str">
        <x:v>b01lzn47v0</x:v>
      </x:c>
      <x:c r="C557" s="20" t="str">
        <x:v>bff557697a1eead0</x:v>
      </x:c>
      <x:c r="D557" s="20" t="str">
        <x:v>asin_target</x:v>
      </x:c>
      <x:c r="E557" s="20" t="str">
        <x:v>en</x:v>
      </x:c>
      <x:c r="F557" s="20" t="str">
        <x:v>该搜索词为 ASIN 形式，需补充商品元数据后再判断用户意图。</x:v>
      </x:c>
      <x:c r="G557" s="20" t="str">
        <x:v>unknown</x:v>
      </x:c>
      <x:c r="H557" s="20" t="str">
        <x:v>low</x:v>
      </x:c>
      <x:c r="I557" s="20" t="str">
        <x:v>asin_target</x:v>
      </x:c>
      <x:c r="J557" s="20" t="str">
        <x:v>asin_metadata_pending</x:v>
      </x:c>
      <x:c r="K557" s="20" t="str">
        <x:v>asin_without_metadata</x:v>
      </x:c>
      <x:c r="L557" s="20" t="str">
        <x:v>not_applicable</x:v>
      </x:c>
      <x:c r="M557" s="20" t="str">
        <x:v>non_model</x:v>
      </x:c>
      <x:c r="N557" s="20" t="str">
        <x:v>1</x:v>
      </x:c>
      <x:c r="O557" s="20" t="str">
        <x:v>1.0.0</x:v>
      </x:c>
      <x:c r="P557" s="20" t="str">
        <x:v>1.1.0</x:v>
      </x:c>
      <x:c r="Q557" s="20" t="str">
        <x:v>deepseek/deepseek-v4-pro</x:v>
      </x:c>
      <x:c r="R557" s="20" t="str">
        <x:v>aj2-y90-20260714T234810-0bea2f52</x:v>
      </x:c>
    </x:row>
    <x:row r="558" ht="28" customHeight="1">
      <x:c r="A558" s="20" t="str">
        <x:v>B0GKD3239V</x:v>
      </x:c>
      <x:c r="B558" s="20" t="str">
        <x:v>b0gkd3239v</x:v>
      </x:c>
      <x:c r="C558" s="20" t="str">
        <x:v>c0553b3be9c55a8a</x:v>
      </x:c>
      <x:c r="D558" s="20" t="str">
        <x:v>asin_target</x:v>
      </x:c>
      <x:c r="E558" s="20" t="str">
        <x:v>en</x:v>
      </x:c>
      <x:c r="F558" s="20" t="str">
        <x:v>该搜索词为 ASIN 形式，需补充商品元数据后再判断用户意图。</x:v>
      </x:c>
      <x:c r="G558" s="20" t="str">
        <x:v>unknown</x:v>
      </x:c>
      <x:c r="H558" s="20" t="str">
        <x:v>low</x:v>
      </x:c>
      <x:c r="I558" s="20" t="str">
        <x:v>asin_target</x:v>
      </x:c>
      <x:c r="J558" s="20" t="str">
        <x:v>asin_metadata_pending</x:v>
      </x:c>
      <x:c r="K558" s="20" t="str">
        <x:v>asin_without_metadata</x:v>
      </x:c>
      <x:c r="L558" s="20" t="str">
        <x:v>not_applicable</x:v>
      </x:c>
      <x:c r="M558" s="20" t="str">
        <x:v>non_model</x:v>
      </x:c>
      <x:c r="N558" s="20" t="str">
        <x:v>2</x:v>
      </x:c>
      <x:c r="O558" s="20" t="str">
        <x:v>1.0.0</x:v>
      </x:c>
      <x:c r="P558" s="20" t="str">
        <x:v>1.1.0</x:v>
      </x:c>
      <x:c r="Q558" s="20" t="str">
        <x:v>deepseek/deepseek-v4-pro</x:v>
      </x:c>
      <x:c r="R558" s="20" t="str">
        <x:v>aj2-y90-20260714T234810-0bea2f52</x:v>
      </x:c>
    </x:row>
    <x:row r="559" ht="28" customHeight="1">
      <x:c r="A559" s="20" t="str">
        <x:v>B0GLFKS8LZ</x:v>
      </x:c>
      <x:c r="B559" s="20" t="str">
        <x:v>b0glfks8lz</x:v>
      </x:c>
      <x:c r="C559" s="20" t="str">
        <x:v>c14093269d7bf926</x:v>
      </x:c>
      <x:c r="D559" s="20" t="str">
        <x:v>asin_target</x:v>
      </x:c>
      <x:c r="E559" s="20" t="str">
        <x:v>en</x:v>
      </x:c>
      <x:c r="F559" s="20" t="str">
        <x:v>该搜索词为 ASIN 形式，需补充商品元数据后再判断用户意图。</x:v>
      </x:c>
      <x:c r="G559" s="20" t="str">
        <x:v>unknown</x:v>
      </x:c>
      <x:c r="H559" s="20" t="str">
        <x:v>low</x:v>
      </x:c>
      <x:c r="I559" s="20" t="str">
        <x:v>asin_target</x:v>
      </x:c>
      <x:c r="J559" s="20" t="str">
        <x:v>asin_metadata_pending</x:v>
      </x:c>
      <x:c r="K559" s="20" t="str">
        <x:v>asin_without_metadata</x:v>
      </x:c>
      <x:c r="L559" s="20" t="str">
        <x:v>not_applicable</x:v>
      </x:c>
      <x:c r="M559" s="20" t="str">
        <x:v>non_model</x:v>
      </x:c>
      <x:c r="N559" s="20" t="str">
        <x:v>1</x:v>
      </x:c>
      <x:c r="O559" s="20" t="str">
        <x:v>1.0.0</x:v>
      </x:c>
      <x:c r="P559" s="20" t="str">
        <x:v>1.1.0</x:v>
      </x:c>
      <x:c r="Q559" s="20" t="str">
        <x:v>deepseek/deepseek-v4-pro</x:v>
      </x:c>
      <x:c r="R559" s="20" t="str">
        <x:v>aj2-y90-20260714T234810-0bea2f52</x:v>
      </x:c>
    </x:row>
    <x:row r="560" ht="28" customHeight="1">
      <x:c r="A560" s="20" t="str">
        <x:v>B0D545MC1B</x:v>
      </x:c>
      <x:c r="B560" s="20" t="str">
        <x:v>b0d545mc1b</x:v>
      </x:c>
      <x:c r="C560" s="20" t="str">
        <x:v>c175024d886f707b</x:v>
      </x:c>
      <x:c r="D560" s="20" t="str">
        <x:v>asin_target</x:v>
      </x:c>
      <x:c r="E560" s="20" t="str">
        <x:v>en</x:v>
      </x:c>
      <x:c r="F560" s="20" t="str">
        <x:v>该搜索词为 ASIN 形式，需补充商品元数据后再判断用户意图。</x:v>
      </x:c>
      <x:c r="G560" s="20" t="str">
        <x:v>unknown</x:v>
      </x:c>
      <x:c r="H560" s="20" t="str">
        <x:v>low</x:v>
      </x:c>
      <x:c r="I560" s="20" t="str">
        <x:v>asin_target</x:v>
      </x:c>
      <x:c r="J560" s="20" t="str">
        <x:v>asin_metadata_pending</x:v>
      </x:c>
      <x:c r="K560" s="20" t="str">
        <x:v>asin_without_metadata</x:v>
      </x:c>
      <x:c r="L560" s="20" t="str">
        <x:v>not_applicable</x:v>
      </x:c>
      <x:c r="M560" s="20" t="str">
        <x:v>non_model</x:v>
      </x:c>
      <x:c r="N560" s="20" t="str">
        <x:v>1</x:v>
      </x:c>
      <x:c r="O560" s="20" t="str">
        <x:v>1.0.0</x:v>
      </x:c>
      <x:c r="P560" s="20" t="str">
        <x:v>1.1.0</x:v>
      </x:c>
      <x:c r="Q560" s="20" t="str">
        <x:v>deepseek/deepseek-v4-pro</x:v>
      </x:c>
      <x:c r="R560" s="20" t="str">
        <x:v>aj2-y90-20260714T234810-0bea2f52</x:v>
      </x:c>
    </x:row>
    <x:row r="561" ht="28" customHeight="1">
      <x:c r="A561" s="20" t="str">
        <x:v>B0D9GDXSNS</x:v>
      </x:c>
      <x:c r="B561" s="20" t="str">
        <x:v>b0d9gdxsns</x:v>
      </x:c>
      <x:c r="C561" s="20" t="str">
        <x:v>c1809f4187f21929</x:v>
      </x:c>
      <x:c r="D561" s="20" t="str">
        <x:v>asin_target</x:v>
      </x:c>
      <x:c r="E561" s="20" t="str">
        <x:v>en</x:v>
      </x:c>
      <x:c r="F561" s="20" t="str">
        <x:v>该搜索词为 ASIN 形式，需补充商品元数据后再判断用户意图。</x:v>
      </x:c>
      <x:c r="G561" s="20" t="str">
        <x:v>unknown</x:v>
      </x:c>
      <x:c r="H561" s="20" t="str">
        <x:v>low</x:v>
      </x:c>
      <x:c r="I561" s="20" t="str">
        <x:v>asin_target</x:v>
      </x:c>
      <x:c r="J561" s="20" t="str">
        <x:v>asin_metadata_pending</x:v>
      </x:c>
      <x:c r="K561" s="20" t="str">
        <x:v>asin_without_metadata</x:v>
      </x:c>
      <x:c r="L561" s="20" t="str">
        <x:v>not_applicable</x:v>
      </x:c>
      <x:c r="M561" s="20" t="str">
        <x:v>non_model</x:v>
      </x:c>
      <x:c r="N561" s="20" t="str">
        <x:v>1</x:v>
      </x:c>
      <x:c r="O561" s="20" t="str">
        <x:v>1.0.0</x:v>
      </x:c>
      <x:c r="P561" s="20" t="str">
        <x:v>1.1.0</x:v>
      </x:c>
      <x:c r="Q561" s="20" t="str">
        <x:v>deepseek/deepseek-v4-pro</x:v>
      </x:c>
      <x:c r="R561" s="20" t="str">
        <x:v>aj2-y90-20260714T234810-0bea2f52</x:v>
      </x:c>
    </x:row>
    <x:row r="562" ht="28" customHeight="1">
      <x:c r="A562" s="20" t="str">
        <x:v>B0BKBVFMX3</x:v>
      </x:c>
      <x:c r="B562" s="20" t="str">
        <x:v>b0bkbvfmx3</x:v>
      </x:c>
      <x:c r="C562" s="20" t="str">
        <x:v>c1bf06f6cefcc023</x:v>
      </x:c>
      <x:c r="D562" s="20" t="str">
        <x:v>asin_target</x:v>
      </x:c>
      <x:c r="E562" s="20" t="str">
        <x:v>en</x:v>
      </x:c>
      <x:c r="F562" s="20" t="str">
        <x:v>该搜索词为 ASIN 形式，需补充商品元数据后再判断用户意图。</x:v>
      </x:c>
      <x:c r="G562" s="20" t="str">
        <x:v>unknown</x:v>
      </x:c>
      <x:c r="H562" s="20" t="str">
        <x:v>low</x:v>
      </x:c>
      <x:c r="I562" s="20" t="str">
        <x:v>asin_target</x:v>
      </x:c>
      <x:c r="J562" s="20" t="str">
        <x:v>asin_metadata_pending</x:v>
      </x:c>
      <x:c r="K562" s="20" t="str">
        <x:v>asin_without_metadata</x:v>
      </x:c>
      <x:c r="L562" s="20" t="str">
        <x:v>not_applicable</x:v>
      </x:c>
      <x:c r="M562" s="20" t="str">
        <x:v>non_model</x:v>
      </x:c>
      <x:c r="N562" s="20" t="str">
        <x:v>1</x:v>
      </x:c>
      <x:c r="O562" s="20" t="str">
        <x:v>1.0.0</x:v>
      </x:c>
      <x:c r="P562" s="20" t="str">
        <x:v>1.1.0</x:v>
      </x:c>
      <x:c r="Q562" s="20" t="str">
        <x:v>deepseek/deepseek-v4-pro</x:v>
      </x:c>
      <x:c r="R562" s="20" t="str">
        <x:v>aj2-y90-20260714T234810-0bea2f52</x:v>
      </x:c>
    </x:row>
    <x:row r="563" ht="28" customHeight="1">
      <x:c r="A563" s="20" t="str">
        <x:v>B0G47LTC94</x:v>
      </x:c>
      <x:c r="B563" s="20" t="str">
        <x:v>b0g47ltc94</x:v>
      </x:c>
      <x:c r="C563" s="20" t="str">
        <x:v>c1f52df2c42a899e</x:v>
      </x:c>
      <x:c r="D563" s="20" t="str">
        <x:v>asin_target</x:v>
      </x:c>
      <x:c r="E563" s="20" t="str">
        <x:v>en</x:v>
      </x:c>
      <x:c r="F563" s="20" t="str">
        <x:v>该搜索词为 ASIN 形式，需补充商品元数据后再判断用户意图。</x:v>
      </x:c>
      <x:c r="G563" s="20" t="str">
        <x:v>unknown</x:v>
      </x:c>
      <x:c r="H563" s="20" t="str">
        <x:v>low</x:v>
      </x:c>
      <x:c r="I563" s="20" t="str">
        <x:v>asin_target</x:v>
      </x:c>
      <x:c r="J563" s="20" t="str">
        <x:v>asin_metadata_pending</x:v>
      </x:c>
      <x:c r="K563" s="20" t="str">
        <x:v>asin_without_metadata</x:v>
      </x:c>
      <x:c r="L563" s="20" t="str">
        <x:v>not_applicable</x:v>
      </x:c>
      <x:c r="M563" s="20" t="str">
        <x:v>non_model</x:v>
      </x:c>
      <x:c r="N563" s="20" t="str">
        <x:v>1</x:v>
      </x:c>
      <x:c r="O563" s="20" t="str">
        <x:v>1.0.0</x:v>
      </x:c>
      <x:c r="P563" s="20" t="str">
        <x:v>1.1.0</x:v>
      </x:c>
      <x:c r="Q563" s="20" t="str">
        <x:v>deepseek/deepseek-v4-pro</x:v>
      </x:c>
      <x:c r="R563" s="20" t="str">
        <x:v>aj2-y90-20260714T234810-0bea2f52</x:v>
      </x:c>
    </x:row>
    <x:row r="564" ht="28" customHeight="1">
      <x:c r="A564" s="20" t="str">
        <x:v>B0FXX5RC3W</x:v>
      </x:c>
      <x:c r="B564" s="20" t="str">
        <x:v>b0fxx5rc3w</x:v>
      </x:c>
      <x:c r="C564" s="20" t="str">
        <x:v>c1f5c842e41cf65e</x:v>
      </x:c>
      <x:c r="D564" s="20" t="str">
        <x:v>asin_target</x:v>
      </x:c>
      <x:c r="E564" s="20" t="str">
        <x:v>en</x:v>
      </x:c>
      <x:c r="F564" s="20" t="str">
        <x:v>该搜索词为 ASIN 形式，需补充商品元数据后再判断用户意图。</x:v>
      </x:c>
      <x:c r="G564" s="20" t="str">
        <x:v>unknown</x:v>
      </x:c>
      <x:c r="H564" s="20" t="str">
        <x:v>low</x:v>
      </x:c>
      <x:c r="I564" s="20" t="str">
        <x:v>asin_target</x:v>
      </x:c>
      <x:c r="J564" s="20" t="str">
        <x:v>asin_metadata_pending</x:v>
      </x:c>
      <x:c r="K564" s="20" t="str">
        <x:v>asin_without_metadata</x:v>
      </x:c>
      <x:c r="L564" s="20" t="str">
        <x:v>not_applicable</x:v>
      </x:c>
      <x:c r="M564" s="20" t="str">
        <x:v>non_model</x:v>
      </x:c>
      <x:c r="N564" s="20" t="str">
        <x:v>1</x:v>
      </x:c>
      <x:c r="O564" s="20" t="str">
        <x:v>1.0.0</x:v>
      </x:c>
      <x:c r="P564" s="20" t="str">
        <x:v>1.1.0</x:v>
      </x:c>
      <x:c r="Q564" s="20" t="str">
        <x:v>deepseek/deepseek-v4-pro</x:v>
      </x:c>
      <x:c r="R564" s="20" t="str">
        <x:v>aj2-y90-20260714T234810-0bea2f52</x:v>
      </x:c>
    </x:row>
    <x:row r="565" ht="28" customHeight="1">
      <x:c r="A565" s="20" t="str">
        <x:v>B0GKD627B9</x:v>
      </x:c>
      <x:c r="B565" s="20" t="str">
        <x:v>b0gkd627b9</x:v>
      </x:c>
      <x:c r="C565" s="20" t="str">
        <x:v>c21b35ad15ff7281</x:v>
      </x:c>
      <x:c r="D565" s="20" t="str">
        <x:v>asin_target</x:v>
      </x:c>
      <x:c r="E565" s="20" t="str">
        <x:v>en</x:v>
      </x:c>
      <x:c r="F565" s="20" t="str">
        <x:v>该搜索词为 ASIN 形式，需补充商品元数据后再判断用户意图。</x:v>
      </x:c>
      <x:c r="G565" s="20" t="str">
        <x:v>unknown</x:v>
      </x:c>
      <x:c r="H565" s="20" t="str">
        <x:v>low</x:v>
      </x:c>
      <x:c r="I565" s="20" t="str">
        <x:v>asin_target</x:v>
      </x:c>
      <x:c r="J565" s="20" t="str">
        <x:v>asin_metadata_pending</x:v>
      </x:c>
      <x:c r="K565" s="20" t="str">
        <x:v>asin_without_metadata</x:v>
      </x:c>
      <x:c r="L565" s="20" t="str">
        <x:v>not_applicable</x:v>
      </x:c>
      <x:c r="M565" s="20" t="str">
        <x:v>non_model</x:v>
      </x:c>
      <x:c r="N565" s="20" t="str">
        <x:v>2</x:v>
      </x:c>
      <x:c r="O565" s="20" t="str">
        <x:v>1.0.0</x:v>
      </x:c>
      <x:c r="P565" s="20" t="str">
        <x:v>1.1.0</x:v>
      </x:c>
      <x:c r="Q565" s="20" t="str">
        <x:v>deepseek/deepseek-v4-pro</x:v>
      </x:c>
      <x:c r="R565" s="20" t="str">
        <x:v>aj2-y90-20260714T234810-0bea2f52</x:v>
      </x:c>
    </x:row>
    <x:row r="566" ht="28" customHeight="1">
      <x:c r="A566" s="20" t="str">
        <x:v>B0G48Q6X43</x:v>
      </x:c>
      <x:c r="B566" s="20" t="str">
        <x:v>b0g48q6x43</x:v>
      </x:c>
      <x:c r="C566" s="20" t="str">
        <x:v>c24b804c118ae994</x:v>
      </x:c>
      <x:c r="D566" s="20" t="str">
        <x:v>asin_target</x:v>
      </x:c>
      <x:c r="E566" s="20" t="str">
        <x:v>en</x:v>
      </x:c>
      <x:c r="F566" s="20" t="str">
        <x:v>该搜索词为 ASIN 形式，需补充商品元数据后再判断用户意图。</x:v>
      </x:c>
      <x:c r="G566" s="20" t="str">
        <x:v>unknown</x:v>
      </x:c>
      <x:c r="H566" s="20" t="str">
        <x:v>low</x:v>
      </x:c>
      <x:c r="I566" s="20" t="str">
        <x:v>asin_target</x:v>
      </x:c>
      <x:c r="J566" s="20" t="str">
        <x:v>asin_metadata_pending</x:v>
      </x:c>
      <x:c r="K566" s="20" t="str">
        <x:v>asin_without_metadata</x:v>
      </x:c>
      <x:c r="L566" s="20" t="str">
        <x:v>not_applicable</x:v>
      </x:c>
      <x:c r="M566" s="20" t="str">
        <x:v>non_model</x:v>
      </x:c>
      <x:c r="N566" s="20" t="str">
        <x:v>2</x:v>
      </x:c>
      <x:c r="O566" s="20" t="str">
        <x:v>1.0.0</x:v>
      </x:c>
      <x:c r="P566" s="20" t="str">
        <x:v>1.1.0</x:v>
      </x:c>
      <x:c r="Q566" s="20" t="str">
        <x:v>deepseek/deepseek-v4-pro</x:v>
      </x:c>
      <x:c r="R566" s="20" t="str">
        <x:v>aj2-y90-20260714T234810-0bea2f52</x:v>
      </x:c>
    </x:row>
    <x:row r="567" ht="28" customHeight="1">
      <x:c r="A567" s="20" t="str">
        <x:v>B0C9KVZGGC</x:v>
      </x:c>
      <x:c r="B567" s="20" t="str">
        <x:v>b0c9kvzggc</x:v>
      </x:c>
      <x:c r="C567" s="20" t="str">
        <x:v>c274db965e548f01</x:v>
      </x:c>
      <x:c r="D567" s="20" t="str">
        <x:v>asin_target</x:v>
      </x:c>
      <x:c r="E567" s="20" t="str">
        <x:v>en</x:v>
      </x:c>
      <x:c r="F567" s="20" t="str">
        <x:v>该搜索词为 ASIN 形式，需补充商品元数据后再判断用户意图。</x:v>
      </x:c>
      <x:c r="G567" s="20" t="str">
        <x:v>unknown</x:v>
      </x:c>
      <x:c r="H567" s="20" t="str">
        <x:v>low</x:v>
      </x:c>
      <x:c r="I567" s="20" t="str">
        <x:v>asin_target</x:v>
      </x:c>
      <x:c r="J567" s="20" t="str">
        <x:v>asin_metadata_pending</x:v>
      </x:c>
      <x:c r="K567" s="20" t="str">
        <x:v>asin_without_metadata</x:v>
      </x:c>
      <x:c r="L567" s="20" t="str">
        <x:v>not_applicable</x:v>
      </x:c>
      <x:c r="M567" s="20" t="str">
        <x:v>non_model</x:v>
      </x:c>
      <x:c r="N567" s="20" t="str">
        <x:v>1</x:v>
      </x:c>
      <x:c r="O567" s="20" t="str">
        <x:v>1.0.0</x:v>
      </x:c>
      <x:c r="P567" s="20" t="str">
        <x:v>1.1.0</x:v>
      </x:c>
      <x:c r="Q567" s="20" t="str">
        <x:v>deepseek/deepseek-v4-pro</x:v>
      </x:c>
      <x:c r="R567" s="20" t="str">
        <x:v>aj2-y90-20260714T234810-0bea2f52</x:v>
      </x:c>
    </x:row>
    <x:row r="568" ht="28" customHeight="1">
      <x:c r="A568" s="20" t="str">
        <x:v>B0B42K3X7M</x:v>
      </x:c>
      <x:c r="B568" s="20" t="str">
        <x:v>b0b42k3x7m</x:v>
      </x:c>
      <x:c r="C568" s="20" t="str">
        <x:v>c2b8b64b95f70c49</x:v>
      </x:c>
      <x:c r="D568" s="20" t="str">
        <x:v>asin_target</x:v>
      </x:c>
      <x:c r="E568" s="20" t="str">
        <x:v>en</x:v>
      </x:c>
      <x:c r="F568" s="20" t="str">
        <x:v>该搜索词为 ASIN 形式，需补充商品元数据后再判断用户意图。</x:v>
      </x:c>
      <x:c r="G568" s="20" t="str">
        <x:v>unknown</x:v>
      </x:c>
      <x:c r="H568" s="20" t="str">
        <x:v>low</x:v>
      </x:c>
      <x:c r="I568" s="20" t="str">
        <x:v>asin_target</x:v>
      </x:c>
      <x:c r="J568" s="20" t="str">
        <x:v>asin_metadata_pending</x:v>
      </x:c>
      <x:c r="K568" s="20" t="str">
        <x:v>asin_without_metadata</x:v>
      </x:c>
      <x:c r="L568" s="20" t="str">
        <x:v>not_applicable</x:v>
      </x:c>
      <x:c r="M568" s="20" t="str">
        <x:v>non_model</x:v>
      </x:c>
      <x:c r="N568" s="20" t="str">
        <x:v>1</x:v>
      </x:c>
      <x:c r="O568" s="20" t="str">
        <x:v>1.0.0</x:v>
      </x:c>
      <x:c r="P568" s="20" t="str">
        <x:v>1.1.0</x:v>
      </x:c>
      <x:c r="Q568" s="20" t="str">
        <x:v>deepseek/deepseek-v4-pro</x:v>
      </x:c>
      <x:c r="R568" s="20" t="str">
        <x:v>aj2-y90-20260714T234810-0bea2f52</x:v>
      </x:c>
    </x:row>
    <x:row r="569" ht="28" customHeight="1">
      <x:c r="A569" s="20" t="str">
        <x:v>B0GKCW2X5G</x:v>
      </x:c>
      <x:c r="B569" s="20" t="str">
        <x:v>b0gkcw2x5g</x:v>
      </x:c>
      <x:c r="C569" s="20" t="str">
        <x:v>c2dc4e704e9ac4a7</x:v>
      </x:c>
      <x:c r="D569" s="20" t="str">
        <x:v>asin_target</x:v>
      </x:c>
      <x:c r="E569" s="20" t="str">
        <x:v>en</x:v>
      </x:c>
      <x:c r="F569" s="20" t="str">
        <x:v>该搜索词为 ASIN 形式，需补充商品元数据后再判断用户意图。</x:v>
      </x:c>
      <x:c r="G569" s="20" t="str">
        <x:v>unknown</x:v>
      </x:c>
      <x:c r="H569" s="20" t="str">
        <x:v>low</x:v>
      </x:c>
      <x:c r="I569" s="20" t="str">
        <x:v>asin_target</x:v>
      </x:c>
      <x:c r="J569" s="20" t="str">
        <x:v>asin_metadata_pending</x:v>
      </x:c>
      <x:c r="K569" s="20" t="str">
        <x:v>asin_without_metadata</x:v>
      </x:c>
      <x:c r="L569" s="20" t="str">
        <x:v>not_applicable</x:v>
      </x:c>
      <x:c r="M569" s="20" t="str">
        <x:v>non_model</x:v>
      </x:c>
      <x:c r="N569" s="20" t="str">
        <x:v>1</x:v>
      </x:c>
      <x:c r="O569" s="20" t="str">
        <x:v>1.0.0</x:v>
      </x:c>
      <x:c r="P569" s="20" t="str">
        <x:v>1.1.0</x:v>
      </x:c>
      <x:c r="Q569" s="20" t="str">
        <x:v>deepseek/deepseek-v4-pro</x:v>
      </x:c>
      <x:c r="R569" s="20" t="str">
        <x:v>aj2-y90-20260714T234810-0bea2f52</x:v>
      </x:c>
    </x:row>
    <x:row r="570" ht="28" customHeight="1">
      <x:c r="A570" s="20" t="str">
        <x:v>B094T7X4TF</x:v>
      </x:c>
      <x:c r="B570" s="20" t="str">
        <x:v>b094t7x4tf</x:v>
      </x:c>
      <x:c r="C570" s="20" t="str">
        <x:v>c349aa2c38beb83c</x:v>
      </x:c>
      <x:c r="D570" s="20" t="str">
        <x:v>asin_target</x:v>
      </x:c>
      <x:c r="E570" s="20" t="str">
        <x:v>en</x:v>
      </x:c>
      <x:c r="F570" s="20" t="str">
        <x:v>该搜索词为 ASIN 形式，需补充商品元数据后再判断用户意图。</x:v>
      </x:c>
      <x:c r="G570" s="20" t="str">
        <x:v>unknown</x:v>
      </x:c>
      <x:c r="H570" s="20" t="str">
        <x:v>low</x:v>
      </x:c>
      <x:c r="I570" s="20" t="str">
        <x:v>asin_target</x:v>
      </x:c>
      <x:c r="J570" s="20" t="str">
        <x:v>asin_metadata_pending</x:v>
      </x:c>
      <x:c r="K570" s="20" t="str">
        <x:v>asin_without_metadata</x:v>
      </x:c>
      <x:c r="L570" s="20" t="str">
        <x:v>not_applicable</x:v>
      </x:c>
      <x:c r="M570" s="20" t="str">
        <x:v>non_model</x:v>
      </x:c>
      <x:c r="N570" s="20" t="str">
        <x:v>1</x:v>
      </x:c>
      <x:c r="O570" s="20" t="str">
        <x:v>1.0.0</x:v>
      </x:c>
      <x:c r="P570" s="20" t="str">
        <x:v>1.1.0</x:v>
      </x:c>
      <x:c r="Q570" s="20" t="str">
        <x:v>deepseek/deepseek-v4-pro</x:v>
      </x:c>
      <x:c r="R570" s="20" t="str">
        <x:v>aj2-y90-20260714T234810-0bea2f52</x:v>
      </x:c>
    </x:row>
    <x:row r="571" ht="28" customHeight="1">
      <x:c r="A571" s="20" t="str">
        <x:v>B0GLF5427D</x:v>
      </x:c>
      <x:c r="B571" s="20" t="str">
        <x:v>b0glf5427d</x:v>
      </x:c>
      <x:c r="C571" s="20" t="str">
        <x:v>c39ae572e29e271f</x:v>
      </x:c>
      <x:c r="D571" s="20" t="str">
        <x:v>asin_target</x:v>
      </x:c>
      <x:c r="E571" s="20" t="str">
        <x:v>en</x:v>
      </x:c>
      <x:c r="F571" s="20" t="str">
        <x:v>该搜索词为 ASIN 形式，需补充商品元数据后再判断用户意图。</x:v>
      </x:c>
      <x:c r="G571" s="20" t="str">
        <x:v>unknown</x:v>
      </x:c>
      <x:c r="H571" s="20" t="str">
        <x:v>low</x:v>
      </x:c>
      <x:c r="I571" s="20" t="str">
        <x:v>asin_target</x:v>
      </x:c>
      <x:c r="J571" s="20" t="str">
        <x:v>asin_metadata_pending</x:v>
      </x:c>
      <x:c r="K571" s="20" t="str">
        <x:v>asin_without_metadata</x:v>
      </x:c>
      <x:c r="L571" s="20" t="str">
        <x:v>not_applicable</x:v>
      </x:c>
      <x:c r="M571" s="20" t="str">
        <x:v>non_model</x:v>
      </x:c>
      <x:c r="N571" s="20" t="str">
        <x:v>1</x:v>
      </x:c>
      <x:c r="O571" s="20" t="str">
        <x:v>1.0.0</x:v>
      </x:c>
      <x:c r="P571" s="20" t="str">
        <x:v>1.1.0</x:v>
      </x:c>
      <x:c r="Q571" s="20" t="str">
        <x:v>deepseek/deepseek-v4-pro</x:v>
      </x:c>
      <x:c r="R571" s="20" t="str">
        <x:v>aj2-y90-20260714T234810-0bea2f52</x:v>
      </x:c>
    </x:row>
    <x:row r="572" ht="28" customHeight="1">
      <x:c r="A572" s="20" t="str">
        <x:v>B0GGQZ2JFP</x:v>
      </x:c>
      <x:c r="B572" s="20" t="str">
        <x:v>b0ggqz2jfp</x:v>
      </x:c>
      <x:c r="C572" s="20" t="str">
        <x:v>c48449133bdff2ad</x:v>
      </x:c>
      <x:c r="D572" s="20" t="str">
        <x:v>asin_target</x:v>
      </x:c>
      <x:c r="E572" s="20" t="str">
        <x:v>en</x:v>
      </x:c>
      <x:c r="F572" s="20" t="str">
        <x:v>该搜索词为 ASIN 形式，需补充商品元数据后再判断用户意图。</x:v>
      </x:c>
      <x:c r="G572" s="20" t="str">
        <x:v>unknown</x:v>
      </x:c>
      <x:c r="H572" s="20" t="str">
        <x:v>low</x:v>
      </x:c>
      <x:c r="I572" s="20" t="str">
        <x:v>asin_target</x:v>
      </x:c>
      <x:c r="J572" s="20" t="str">
        <x:v>asin_metadata_pending</x:v>
      </x:c>
      <x:c r="K572" s="20" t="str">
        <x:v>asin_without_metadata</x:v>
      </x:c>
      <x:c r="L572" s="20" t="str">
        <x:v>not_applicable</x:v>
      </x:c>
      <x:c r="M572" s="20" t="str">
        <x:v>non_model</x:v>
      </x:c>
      <x:c r="N572" s="20" t="str">
        <x:v>1</x:v>
      </x:c>
      <x:c r="O572" s="20" t="str">
        <x:v>1.0.0</x:v>
      </x:c>
      <x:c r="P572" s="20" t="str">
        <x:v>1.1.0</x:v>
      </x:c>
      <x:c r="Q572" s="20" t="str">
        <x:v>deepseek/deepseek-v4-pro</x:v>
      </x:c>
      <x:c r="R572" s="20" t="str">
        <x:v>aj2-y90-20260714T234810-0bea2f52</x:v>
      </x:c>
    </x:row>
    <x:row r="573" ht="28" customHeight="1">
      <x:c r="A573" s="20" t="str">
        <x:v>B0GGR44XDC</x:v>
      </x:c>
      <x:c r="B573" s="20" t="str">
        <x:v>b0ggr44xdc</x:v>
      </x:c>
      <x:c r="C573" s="20" t="str">
        <x:v>c4e090e5ac1d6886</x:v>
      </x:c>
      <x:c r="D573" s="20" t="str">
        <x:v>asin_target</x:v>
      </x:c>
      <x:c r="E573" s="20" t="str">
        <x:v>en</x:v>
      </x:c>
      <x:c r="F573" s="20" t="str">
        <x:v>该搜索词为 ASIN 形式，需补充商品元数据后再判断用户意图。</x:v>
      </x:c>
      <x:c r="G573" s="20" t="str">
        <x:v>unknown</x:v>
      </x:c>
      <x:c r="H573" s="20" t="str">
        <x:v>low</x:v>
      </x:c>
      <x:c r="I573" s="20" t="str">
        <x:v>asin_target</x:v>
      </x:c>
      <x:c r="J573" s="20" t="str">
        <x:v>asin_metadata_pending</x:v>
      </x:c>
      <x:c r="K573" s="20" t="str">
        <x:v>asin_without_metadata</x:v>
      </x:c>
      <x:c r="L573" s="20" t="str">
        <x:v>not_applicable</x:v>
      </x:c>
      <x:c r="M573" s="20" t="str">
        <x:v>non_model</x:v>
      </x:c>
      <x:c r="N573" s="20" t="str">
        <x:v>1</x:v>
      </x:c>
      <x:c r="O573" s="20" t="str">
        <x:v>1.0.0</x:v>
      </x:c>
      <x:c r="P573" s="20" t="str">
        <x:v>1.1.0</x:v>
      </x:c>
      <x:c r="Q573" s="20" t="str">
        <x:v>deepseek/deepseek-v4-pro</x:v>
      </x:c>
      <x:c r="R573" s="20" t="str">
        <x:v>aj2-y90-20260714T234810-0bea2f52</x:v>
      </x:c>
    </x:row>
    <x:row r="574" ht="28" customHeight="1">
      <x:c r="A574" s="20" t="str">
        <x:v>B0C5ZY6WCD</x:v>
      </x:c>
      <x:c r="B574" s="20" t="str">
        <x:v>b0c5zy6wcd</x:v>
      </x:c>
      <x:c r="C574" s="20" t="str">
        <x:v>c4fab799b1dc936e</x:v>
      </x:c>
      <x:c r="D574" s="20" t="str">
        <x:v>asin_target</x:v>
      </x:c>
      <x:c r="E574" s="20" t="str">
        <x:v>en</x:v>
      </x:c>
      <x:c r="F574" s="20" t="str">
        <x:v>该搜索词为 ASIN 形式，需补充商品元数据后再判断用户意图。</x:v>
      </x:c>
      <x:c r="G574" s="20" t="str">
        <x:v>unknown</x:v>
      </x:c>
      <x:c r="H574" s="20" t="str">
        <x:v>low</x:v>
      </x:c>
      <x:c r="I574" s="20" t="str">
        <x:v>asin_target</x:v>
      </x:c>
      <x:c r="J574" s="20" t="str">
        <x:v>asin_metadata_pending</x:v>
      </x:c>
      <x:c r="K574" s="20" t="str">
        <x:v>asin_without_metadata</x:v>
      </x:c>
      <x:c r="L574" s="20" t="str">
        <x:v>not_applicable</x:v>
      </x:c>
      <x:c r="M574" s="20" t="str">
        <x:v>non_model</x:v>
      </x:c>
      <x:c r="N574" s="20" t="str">
        <x:v>1</x:v>
      </x:c>
      <x:c r="O574" s="20" t="str">
        <x:v>1.0.0</x:v>
      </x:c>
      <x:c r="P574" s="20" t="str">
        <x:v>1.1.0</x:v>
      </x:c>
      <x:c r="Q574" s="20" t="str">
        <x:v>deepseek/deepseek-v4-pro</x:v>
      </x:c>
      <x:c r="R574" s="20" t="str">
        <x:v>aj2-y90-20260714T234810-0bea2f52</x:v>
      </x:c>
    </x:row>
    <x:row r="575" ht="28" customHeight="1">
      <x:c r="A575" s="20" t="str">
        <x:v>B09MYN6Z5J</x:v>
      </x:c>
      <x:c r="B575" s="20" t="str">
        <x:v>b09myn6z5j</x:v>
      </x:c>
      <x:c r="C575" s="20" t="str">
        <x:v>c59e591de73dfaff</x:v>
      </x:c>
      <x:c r="D575" s="20" t="str">
        <x:v>asin_target</x:v>
      </x:c>
      <x:c r="E575" s="20" t="str">
        <x:v>en</x:v>
      </x:c>
      <x:c r="F575" s="20" t="str">
        <x:v>该搜索词为 ASIN 形式，需补充商品元数据后再判断用户意图。</x:v>
      </x:c>
      <x:c r="G575" s="20" t="str">
        <x:v>unknown</x:v>
      </x:c>
      <x:c r="H575" s="20" t="str">
        <x:v>low</x:v>
      </x:c>
      <x:c r="I575" s="20" t="str">
        <x:v>asin_target</x:v>
      </x:c>
      <x:c r="J575" s="20" t="str">
        <x:v>asin_metadata_pending</x:v>
      </x:c>
      <x:c r="K575" s="20" t="str">
        <x:v>asin_without_metadata</x:v>
      </x:c>
      <x:c r="L575" s="20" t="str">
        <x:v>not_applicable</x:v>
      </x:c>
      <x:c r="M575" s="20" t="str">
        <x:v>non_model</x:v>
      </x:c>
      <x:c r="N575" s="20" t="str">
        <x:v>1</x:v>
      </x:c>
      <x:c r="O575" s="20" t="str">
        <x:v>1.0.0</x:v>
      </x:c>
      <x:c r="P575" s="20" t="str">
        <x:v>1.1.0</x:v>
      </x:c>
      <x:c r="Q575" s="20" t="str">
        <x:v>deepseek/deepseek-v4-pro</x:v>
      </x:c>
      <x:c r="R575" s="20" t="str">
        <x:v>aj2-y90-20260714T234810-0bea2f52</x:v>
      </x:c>
    </x:row>
    <x:row r="576" ht="28" customHeight="1">
      <x:c r="A576" s="20" t="str">
        <x:v>B0GKCQ3XPG</x:v>
      </x:c>
      <x:c r="B576" s="20" t="str">
        <x:v>b0gkcq3xpg</x:v>
      </x:c>
      <x:c r="C576" s="20" t="str">
        <x:v>c6c841a8e23969b3</x:v>
      </x:c>
      <x:c r="D576" s="20" t="str">
        <x:v>asin_target</x:v>
      </x:c>
      <x:c r="E576" s="20" t="str">
        <x:v>en</x:v>
      </x:c>
      <x:c r="F576" s="20" t="str">
        <x:v>该搜索词为 ASIN 形式，需补充商品元数据后再判断用户意图。</x:v>
      </x:c>
      <x:c r="G576" s="20" t="str">
        <x:v>unknown</x:v>
      </x:c>
      <x:c r="H576" s="20" t="str">
        <x:v>low</x:v>
      </x:c>
      <x:c r="I576" s="20" t="str">
        <x:v>asin_target</x:v>
      </x:c>
      <x:c r="J576" s="20" t="str">
        <x:v>asin_metadata_pending</x:v>
      </x:c>
      <x:c r="K576" s="20" t="str">
        <x:v>asin_without_metadata</x:v>
      </x:c>
      <x:c r="L576" s="20" t="str">
        <x:v>not_applicable</x:v>
      </x:c>
      <x:c r="M576" s="20" t="str">
        <x:v>non_model</x:v>
      </x:c>
      <x:c r="N576" s="20" t="str">
        <x:v>2</x:v>
      </x:c>
      <x:c r="O576" s="20" t="str">
        <x:v>1.0.0</x:v>
      </x:c>
      <x:c r="P576" s="20" t="str">
        <x:v>1.1.0</x:v>
      </x:c>
      <x:c r="Q576" s="20" t="str">
        <x:v>deepseek/deepseek-v4-pro</x:v>
      </x:c>
      <x:c r="R576" s="20" t="str">
        <x:v>aj2-y90-20260714T234810-0bea2f52</x:v>
      </x:c>
    </x:row>
    <x:row r="577" ht="28" customHeight="1">
      <x:c r="A577" s="20" t="str">
        <x:v>B0G48KTWJ4</x:v>
      </x:c>
      <x:c r="B577" s="20" t="str">
        <x:v>b0g48ktwj4</x:v>
      </x:c>
      <x:c r="C577" s="20" t="str">
        <x:v>c7011f3bf584f9ed</x:v>
      </x:c>
      <x:c r="D577" s="20" t="str">
        <x:v>asin_target</x:v>
      </x:c>
      <x:c r="E577" s="20" t="str">
        <x:v>en</x:v>
      </x:c>
      <x:c r="F577" s="20" t="str">
        <x:v>该搜索词为 ASIN 形式，需补充商品元数据后再判断用户意图。</x:v>
      </x:c>
      <x:c r="G577" s="20" t="str">
        <x:v>unknown</x:v>
      </x:c>
      <x:c r="H577" s="20" t="str">
        <x:v>low</x:v>
      </x:c>
      <x:c r="I577" s="20" t="str">
        <x:v>asin_target</x:v>
      </x:c>
      <x:c r="J577" s="20" t="str">
        <x:v>asin_metadata_pending</x:v>
      </x:c>
      <x:c r="K577" s="20" t="str">
        <x:v>asin_without_metadata</x:v>
      </x:c>
      <x:c r="L577" s="20" t="str">
        <x:v>not_applicable</x:v>
      </x:c>
      <x:c r="M577" s="20" t="str">
        <x:v>non_model</x:v>
      </x:c>
      <x:c r="N577" s="20" t="str">
        <x:v>1</x:v>
      </x:c>
      <x:c r="O577" s="20" t="str">
        <x:v>1.0.0</x:v>
      </x:c>
      <x:c r="P577" s="20" t="str">
        <x:v>1.1.0</x:v>
      </x:c>
      <x:c r="Q577" s="20" t="str">
        <x:v>deepseek/deepseek-v4-pro</x:v>
      </x:c>
      <x:c r="R577" s="20" t="str">
        <x:v>aj2-y90-20260714T234810-0bea2f52</x:v>
      </x:c>
    </x:row>
    <x:row r="578" ht="28" customHeight="1">
      <x:c r="A578" s="20" t="str">
        <x:v>B0G48N3KYH</x:v>
      </x:c>
      <x:c r="B578" s="20" t="str">
        <x:v>b0g48n3kyh</x:v>
      </x:c>
      <x:c r="C578" s="20" t="str">
        <x:v>c704031a3d12de21</x:v>
      </x:c>
      <x:c r="D578" s="20" t="str">
        <x:v>asin_target</x:v>
      </x:c>
      <x:c r="E578" s="20" t="str">
        <x:v>en</x:v>
      </x:c>
      <x:c r="F578" s="20" t="str">
        <x:v>该搜索词为 ASIN 形式，需补充商品元数据后再判断用户意图。</x:v>
      </x:c>
      <x:c r="G578" s="20" t="str">
        <x:v>unknown</x:v>
      </x:c>
      <x:c r="H578" s="20" t="str">
        <x:v>low</x:v>
      </x:c>
      <x:c r="I578" s="20" t="str">
        <x:v>asin_target</x:v>
      </x:c>
      <x:c r="J578" s="20" t="str">
        <x:v>asin_metadata_pending</x:v>
      </x:c>
      <x:c r="K578" s="20" t="str">
        <x:v>asin_without_metadata</x:v>
      </x:c>
      <x:c r="L578" s="20" t="str">
        <x:v>not_applicable</x:v>
      </x:c>
      <x:c r="M578" s="20" t="str">
        <x:v>non_model</x:v>
      </x:c>
      <x:c r="N578" s="20" t="str">
        <x:v>2</x:v>
      </x:c>
      <x:c r="O578" s="20" t="str">
        <x:v>1.0.0</x:v>
      </x:c>
      <x:c r="P578" s="20" t="str">
        <x:v>1.1.0</x:v>
      </x:c>
      <x:c r="Q578" s="20" t="str">
        <x:v>deepseek/deepseek-v4-pro</x:v>
      </x:c>
      <x:c r="R578" s="20" t="str">
        <x:v>aj2-y90-20260714T234810-0bea2f52</x:v>
      </x:c>
    </x:row>
    <x:row r="579" ht="28" customHeight="1">
      <x:c r="A579" s="20" t="str">
        <x:v>B0G25HMDRJ</x:v>
      </x:c>
      <x:c r="B579" s="20" t="str">
        <x:v>b0g25hmdrj</x:v>
      </x:c>
      <x:c r="C579" s="20" t="str">
        <x:v>c7208f47cb93151a</x:v>
      </x:c>
      <x:c r="D579" s="20" t="str">
        <x:v>asin_target</x:v>
      </x:c>
      <x:c r="E579" s="20" t="str">
        <x:v>en</x:v>
      </x:c>
      <x:c r="F579" s="20" t="str">
        <x:v>该搜索词为 ASIN 形式，需补充商品元数据后再判断用户意图。</x:v>
      </x:c>
      <x:c r="G579" s="20" t="str">
        <x:v>unknown</x:v>
      </x:c>
      <x:c r="H579" s="20" t="str">
        <x:v>low</x:v>
      </x:c>
      <x:c r="I579" s="20" t="str">
        <x:v>asin_target</x:v>
      </x:c>
      <x:c r="J579" s="20" t="str">
        <x:v>asin_metadata_pending</x:v>
      </x:c>
      <x:c r="K579" s="20" t="str">
        <x:v>asin_without_metadata</x:v>
      </x:c>
      <x:c r="L579" s="20" t="str">
        <x:v>not_applicable</x:v>
      </x:c>
      <x:c r="M579" s="20" t="str">
        <x:v>non_model</x:v>
      </x:c>
      <x:c r="N579" s="20" t="str">
        <x:v>1</x:v>
      </x:c>
      <x:c r="O579" s="20" t="str">
        <x:v>1.0.0</x:v>
      </x:c>
      <x:c r="P579" s="20" t="str">
        <x:v>1.1.0</x:v>
      </x:c>
      <x:c r="Q579" s="20" t="str">
        <x:v>deepseek/deepseek-v4-pro</x:v>
      </x:c>
      <x:c r="R579" s="20" t="str">
        <x:v>aj2-y90-20260714T234810-0bea2f52</x:v>
      </x:c>
    </x:row>
    <x:row r="580" ht="28" customHeight="1">
      <x:c r="A580" s="20" t="str">
        <x:v>B0DND6877C</x:v>
      </x:c>
      <x:c r="B580" s="20" t="str">
        <x:v>b0dnd6877c</x:v>
      </x:c>
      <x:c r="C580" s="20" t="str">
        <x:v>c74c45054f28e7d3</x:v>
      </x:c>
      <x:c r="D580" s="20" t="str">
        <x:v>asin_target</x:v>
      </x:c>
      <x:c r="E580" s="20" t="str">
        <x:v>en</x:v>
      </x:c>
      <x:c r="F580" s="20" t="str">
        <x:v>该搜索词为 ASIN 形式，需补充商品元数据后再判断用户意图。</x:v>
      </x:c>
      <x:c r="G580" s="20" t="str">
        <x:v>unknown</x:v>
      </x:c>
      <x:c r="H580" s="20" t="str">
        <x:v>low</x:v>
      </x:c>
      <x:c r="I580" s="20" t="str">
        <x:v>asin_target</x:v>
      </x:c>
      <x:c r="J580" s="20" t="str">
        <x:v>asin_metadata_pending</x:v>
      </x:c>
      <x:c r="K580" s="20" t="str">
        <x:v>asin_without_metadata</x:v>
      </x:c>
      <x:c r="L580" s="20" t="str">
        <x:v>not_applicable</x:v>
      </x:c>
      <x:c r="M580" s="20" t="str">
        <x:v>non_model</x:v>
      </x:c>
      <x:c r="N580" s="20" t="str">
        <x:v>1</x:v>
      </x:c>
      <x:c r="O580" s="20" t="str">
        <x:v>1.0.0</x:v>
      </x:c>
      <x:c r="P580" s="20" t="str">
        <x:v>1.1.0</x:v>
      </x:c>
      <x:c r="Q580" s="20" t="str">
        <x:v>deepseek/deepseek-v4-pro</x:v>
      </x:c>
      <x:c r="R580" s="20" t="str">
        <x:v>aj2-y90-20260714T234810-0bea2f52</x:v>
      </x:c>
    </x:row>
    <x:row r="581" ht="28" customHeight="1">
      <x:c r="A581" s="20" t="str">
        <x:v>B0F1XTPHY8</x:v>
      </x:c>
      <x:c r="B581" s="20" t="str">
        <x:v>b0f1xtphy8</x:v>
      </x:c>
      <x:c r="C581" s="20" t="str">
        <x:v>c80016eb442897ce</x:v>
      </x:c>
      <x:c r="D581" s="20" t="str">
        <x:v>asin_target</x:v>
      </x:c>
      <x:c r="E581" s="20" t="str">
        <x:v>en</x:v>
      </x:c>
      <x:c r="F581" s="20" t="str">
        <x:v>该搜索词为 ASIN 形式，需补充商品元数据后再判断用户意图。</x:v>
      </x:c>
      <x:c r="G581" s="20" t="str">
        <x:v>unknown</x:v>
      </x:c>
      <x:c r="H581" s="20" t="str">
        <x:v>low</x:v>
      </x:c>
      <x:c r="I581" s="20" t="str">
        <x:v>asin_target</x:v>
      </x:c>
      <x:c r="J581" s="20" t="str">
        <x:v>asin_metadata_pending</x:v>
      </x:c>
      <x:c r="K581" s="20" t="str">
        <x:v>asin_without_metadata</x:v>
      </x:c>
      <x:c r="L581" s="20" t="str">
        <x:v>not_applicable</x:v>
      </x:c>
      <x:c r="M581" s="20" t="str">
        <x:v>non_model</x:v>
      </x:c>
      <x:c r="N581" s="20" t="str">
        <x:v>1</x:v>
      </x:c>
      <x:c r="O581" s="20" t="str">
        <x:v>1.0.0</x:v>
      </x:c>
      <x:c r="P581" s="20" t="str">
        <x:v>1.1.0</x:v>
      </x:c>
      <x:c r="Q581" s="20" t="str">
        <x:v>deepseek/deepseek-v4-pro</x:v>
      </x:c>
      <x:c r="R581" s="20" t="str">
        <x:v>aj2-y90-20260714T234810-0bea2f52</x:v>
      </x:c>
    </x:row>
    <x:row r="582" ht="28" customHeight="1">
      <x:c r="A582" s="20" t="str">
        <x:v>B0CGJ2QMJ2</x:v>
      </x:c>
      <x:c r="B582" s="20" t="str">
        <x:v>b0cgj2qmj2</x:v>
      </x:c>
      <x:c r="C582" s="20" t="str">
        <x:v>c893b089880a32e0</x:v>
      </x:c>
      <x:c r="D582" s="20" t="str">
        <x:v>asin_target</x:v>
      </x:c>
      <x:c r="E582" s="20" t="str">
        <x:v>en</x:v>
      </x:c>
      <x:c r="F582" s="20" t="str">
        <x:v>该搜索词为 ASIN 形式，需补充商品元数据后再判断用户意图。</x:v>
      </x:c>
      <x:c r="G582" s="20" t="str">
        <x:v>unknown</x:v>
      </x:c>
      <x:c r="H582" s="20" t="str">
        <x:v>low</x:v>
      </x:c>
      <x:c r="I582" s="20" t="str">
        <x:v>asin_target</x:v>
      </x:c>
      <x:c r="J582" s="20" t="str">
        <x:v>asin_metadata_pending</x:v>
      </x:c>
      <x:c r="K582" s="20" t="str">
        <x:v>asin_without_metadata</x:v>
      </x:c>
      <x:c r="L582" s="20" t="str">
        <x:v>not_applicable</x:v>
      </x:c>
      <x:c r="M582" s="20" t="str">
        <x:v>non_model</x:v>
      </x:c>
      <x:c r="N582" s="20" t="str">
        <x:v>1</x:v>
      </x:c>
      <x:c r="O582" s="20" t="str">
        <x:v>1.0.0</x:v>
      </x:c>
      <x:c r="P582" s="20" t="str">
        <x:v>1.1.0</x:v>
      </x:c>
      <x:c r="Q582" s="20" t="str">
        <x:v>deepseek/deepseek-v4-pro</x:v>
      </x:c>
      <x:c r="R582" s="20" t="str">
        <x:v>aj2-y90-20260714T234810-0bea2f52</x:v>
      </x:c>
    </x:row>
    <x:row r="583" ht="28" customHeight="1">
      <x:c r="A583" s="20" t="str">
        <x:v>B0GKDX5WRM</x:v>
      </x:c>
      <x:c r="B583" s="20" t="str">
        <x:v>b0gkdx5wrm</x:v>
      </x:c>
      <x:c r="C583" s="20" t="str">
        <x:v>c8e775da9fc97a42</x:v>
      </x:c>
      <x:c r="D583" s="20" t="str">
        <x:v>asin_target</x:v>
      </x:c>
      <x:c r="E583" s="20" t="str">
        <x:v>en</x:v>
      </x:c>
      <x:c r="F583" s="20" t="str">
        <x:v>该搜索词为 ASIN 形式，需补充商品元数据后再判断用户意图。</x:v>
      </x:c>
      <x:c r="G583" s="20" t="str">
        <x:v>unknown</x:v>
      </x:c>
      <x:c r="H583" s="20" t="str">
        <x:v>low</x:v>
      </x:c>
      <x:c r="I583" s="20" t="str">
        <x:v>asin_target</x:v>
      </x:c>
      <x:c r="J583" s="20" t="str">
        <x:v>asin_metadata_pending</x:v>
      </x:c>
      <x:c r="K583" s="20" t="str">
        <x:v>asin_without_metadata</x:v>
      </x:c>
      <x:c r="L583" s="20" t="str">
        <x:v>not_applicable</x:v>
      </x:c>
      <x:c r="M583" s="20" t="str">
        <x:v>non_model</x:v>
      </x:c>
      <x:c r="N583" s="20" t="str">
        <x:v>2</x:v>
      </x:c>
      <x:c r="O583" s="20" t="str">
        <x:v>1.0.0</x:v>
      </x:c>
      <x:c r="P583" s="20" t="str">
        <x:v>1.1.0</x:v>
      </x:c>
      <x:c r="Q583" s="20" t="str">
        <x:v>deepseek/deepseek-v4-pro</x:v>
      </x:c>
      <x:c r="R583" s="20" t="str">
        <x:v>aj2-y90-20260714T234810-0bea2f52</x:v>
      </x:c>
    </x:row>
    <x:row r="584" ht="28" customHeight="1">
      <x:c r="A584" s="20" t="str">
        <x:v>B0FJZD5CG2</x:v>
      </x:c>
      <x:c r="B584" s="20" t="str">
        <x:v>b0fjzd5cg2</x:v>
      </x:c>
      <x:c r="C584" s="20" t="str">
        <x:v>c90055bdeb7f2609</x:v>
      </x:c>
      <x:c r="D584" s="20" t="str">
        <x:v>asin_target</x:v>
      </x:c>
      <x:c r="E584" s="20" t="str">
        <x:v>en</x:v>
      </x:c>
      <x:c r="F584" s="20" t="str">
        <x:v>该搜索词为 ASIN 形式，需补充商品元数据后再判断用户意图。</x:v>
      </x:c>
      <x:c r="G584" s="20" t="str">
        <x:v>unknown</x:v>
      </x:c>
      <x:c r="H584" s="20" t="str">
        <x:v>low</x:v>
      </x:c>
      <x:c r="I584" s="20" t="str">
        <x:v>asin_target</x:v>
      </x:c>
      <x:c r="J584" s="20" t="str">
        <x:v>asin_metadata_pending</x:v>
      </x:c>
      <x:c r="K584" s="20" t="str">
        <x:v>asin_without_metadata</x:v>
      </x:c>
      <x:c r="L584" s="20" t="str">
        <x:v>not_applicable</x:v>
      </x:c>
      <x:c r="M584" s="20" t="str">
        <x:v>non_model</x:v>
      </x:c>
      <x:c r="N584" s="20" t="str">
        <x:v>1</x:v>
      </x:c>
      <x:c r="O584" s="20" t="str">
        <x:v>1.0.0</x:v>
      </x:c>
      <x:c r="P584" s="20" t="str">
        <x:v>1.1.0</x:v>
      </x:c>
      <x:c r="Q584" s="20" t="str">
        <x:v>deepseek/deepseek-v4-pro</x:v>
      </x:c>
      <x:c r="R584" s="20" t="str">
        <x:v>aj2-y90-20260714T234810-0bea2f52</x:v>
      </x:c>
    </x:row>
    <x:row r="585" ht="28" customHeight="1">
      <x:c r="A585" s="20" t="str">
        <x:v>B0F66WQ8L3</x:v>
      </x:c>
      <x:c r="B585" s="20" t="str">
        <x:v>b0f66wq8l3</x:v>
      </x:c>
      <x:c r="C585" s="20" t="str">
        <x:v>c9b6b0c425bc94df</x:v>
      </x:c>
      <x:c r="D585" s="20" t="str">
        <x:v>asin_target</x:v>
      </x:c>
      <x:c r="E585" s="20" t="str">
        <x:v>en</x:v>
      </x:c>
      <x:c r="F585" s="20" t="str">
        <x:v>该搜索词为 ASIN 形式，需补充商品元数据后再判断用户意图。</x:v>
      </x:c>
      <x:c r="G585" s="20" t="str">
        <x:v>unknown</x:v>
      </x:c>
      <x:c r="H585" s="20" t="str">
        <x:v>low</x:v>
      </x:c>
      <x:c r="I585" s="20" t="str">
        <x:v>asin_target</x:v>
      </x:c>
      <x:c r="J585" s="20" t="str">
        <x:v>asin_metadata_pending</x:v>
      </x:c>
      <x:c r="K585" s="20" t="str">
        <x:v>asin_without_metadata</x:v>
      </x:c>
      <x:c r="L585" s="20" t="str">
        <x:v>not_applicable</x:v>
      </x:c>
      <x:c r="M585" s="20" t="str">
        <x:v>non_model</x:v>
      </x:c>
      <x:c r="N585" s="20" t="str">
        <x:v>1</x:v>
      </x:c>
      <x:c r="O585" s="20" t="str">
        <x:v>1.0.0</x:v>
      </x:c>
      <x:c r="P585" s="20" t="str">
        <x:v>1.1.0</x:v>
      </x:c>
      <x:c r="Q585" s="20" t="str">
        <x:v>deepseek/deepseek-v4-pro</x:v>
      </x:c>
      <x:c r="R585" s="20" t="str">
        <x:v>aj2-y90-20260714T234810-0bea2f52</x:v>
      </x:c>
    </x:row>
    <x:row r="586" ht="28" customHeight="1">
      <x:c r="A586" s="20" t="str">
        <x:v>B0GPWLTSWJ</x:v>
      </x:c>
      <x:c r="B586" s="20" t="str">
        <x:v>b0gpwltswj</x:v>
      </x:c>
      <x:c r="C586" s="20" t="str">
        <x:v>ca19dc26880fe24e</x:v>
      </x:c>
      <x:c r="D586" s="20" t="str">
        <x:v>asin_target</x:v>
      </x:c>
      <x:c r="E586" s="20" t="str">
        <x:v>en</x:v>
      </x:c>
      <x:c r="F586" s="20" t="str">
        <x:v>该搜索词为 ASIN 形式，需补充商品元数据后再判断用户意图。</x:v>
      </x:c>
      <x:c r="G586" s="20" t="str">
        <x:v>unknown</x:v>
      </x:c>
      <x:c r="H586" s="20" t="str">
        <x:v>low</x:v>
      </x:c>
      <x:c r="I586" s="20" t="str">
        <x:v>asin_target</x:v>
      </x:c>
      <x:c r="J586" s="20" t="str">
        <x:v>asin_metadata_pending</x:v>
      </x:c>
      <x:c r="K586" s="20" t="str">
        <x:v>asin_without_metadata</x:v>
      </x:c>
      <x:c r="L586" s="20" t="str">
        <x:v>not_applicable</x:v>
      </x:c>
      <x:c r="M586" s="20" t="str">
        <x:v>non_model</x:v>
      </x:c>
      <x:c r="N586" s="20" t="str">
        <x:v>1</x:v>
      </x:c>
      <x:c r="O586" s="20" t="str">
        <x:v>1.0.0</x:v>
      </x:c>
      <x:c r="P586" s="20" t="str">
        <x:v>1.1.0</x:v>
      </x:c>
      <x:c r="Q586" s="20" t="str">
        <x:v>deepseek/deepseek-v4-pro</x:v>
      </x:c>
      <x:c r="R586" s="20" t="str">
        <x:v>aj2-y90-20260714T234810-0bea2f52</x:v>
      </x:c>
    </x:row>
    <x:row r="587" ht="28" customHeight="1">
      <x:c r="A587" s="20" t="str">
        <x:v>B0G48Q45MT</x:v>
      </x:c>
      <x:c r="B587" s="20" t="str">
        <x:v>b0g48q45mt</x:v>
      </x:c>
      <x:c r="C587" s="20" t="str">
        <x:v>cab0bebefb889bb4</x:v>
      </x:c>
      <x:c r="D587" s="20" t="str">
        <x:v>asin_target</x:v>
      </x:c>
      <x:c r="E587" s="20" t="str">
        <x:v>en</x:v>
      </x:c>
      <x:c r="F587" s="20" t="str">
        <x:v>该搜索词为 ASIN 形式，需补充商品元数据后再判断用户意图。</x:v>
      </x:c>
      <x:c r="G587" s="20" t="str">
        <x:v>unknown</x:v>
      </x:c>
      <x:c r="H587" s="20" t="str">
        <x:v>low</x:v>
      </x:c>
      <x:c r="I587" s="20" t="str">
        <x:v>asin_target</x:v>
      </x:c>
      <x:c r="J587" s="20" t="str">
        <x:v>asin_metadata_pending</x:v>
      </x:c>
      <x:c r="K587" s="20" t="str">
        <x:v>asin_without_metadata</x:v>
      </x:c>
      <x:c r="L587" s="20" t="str">
        <x:v>not_applicable</x:v>
      </x:c>
      <x:c r="M587" s="20" t="str">
        <x:v>non_model</x:v>
      </x:c>
      <x:c r="N587" s="20" t="str">
        <x:v>1</x:v>
      </x:c>
      <x:c r="O587" s="20" t="str">
        <x:v>1.0.0</x:v>
      </x:c>
      <x:c r="P587" s="20" t="str">
        <x:v>1.1.0</x:v>
      </x:c>
      <x:c r="Q587" s="20" t="str">
        <x:v>deepseek/deepseek-v4-pro</x:v>
      </x:c>
      <x:c r="R587" s="20" t="str">
        <x:v>aj2-y90-20260714T234810-0bea2f52</x:v>
      </x:c>
    </x:row>
    <x:row r="588" ht="28" customHeight="1">
      <x:c r="A588" s="20" t="str">
        <x:v>B09TP2TC7G</x:v>
      </x:c>
      <x:c r="B588" s="20" t="str">
        <x:v>b09tp2tc7g</x:v>
      </x:c>
      <x:c r="C588" s="20" t="str">
        <x:v>cacfd3cb6cb10828</x:v>
      </x:c>
      <x:c r="D588" s="20" t="str">
        <x:v>asin_target</x:v>
      </x:c>
      <x:c r="E588" s="20" t="str">
        <x:v>en</x:v>
      </x:c>
      <x:c r="F588" s="20" t="str">
        <x:v>该搜索词为 ASIN 形式，需补充商品元数据后再判断用户意图。</x:v>
      </x:c>
      <x:c r="G588" s="20" t="str">
        <x:v>unknown</x:v>
      </x:c>
      <x:c r="H588" s="20" t="str">
        <x:v>low</x:v>
      </x:c>
      <x:c r="I588" s="20" t="str">
        <x:v>asin_target</x:v>
      </x:c>
      <x:c r="J588" s="20" t="str">
        <x:v>asin_metadata_pending</x:v>
      </x:c>
      <x:c r="K588" s="20" t="str">
        <x:v>asin_without_metadata</x:v>
      </x:c>
      <x:c r="L588" s="20" t="str">
        <x:v>not_applicable</x:v>
      </x:c>
      <x:c r="M588" s="20" t="str">
        <x:v>non_model</x:v>
      </x:c>
      <x:c r="N588" s="20" t="str">
        <x:v>1</x:v>
      </x:c>
      <x:c r="O588" s="20" t="str">
        <x:v>1.0.0</x:v>
      </x:c>
      <x:c r="P588" s="20" t="str">
        <x:v>1.1.0</x:v>
      </x:c>
      <x:c r="Q588" s="20" t="str">
        <x:v>deepseek/deepseek-v4-pro</x:v>
      </x:c>
      <x:c r="R588" s="20" t="str">
        <x:v>aj2-y90-20260714T234810-0bea2f52</x:v>
      </x:c>
    </x:row>
    <x:row r="589" ht="28" customHeight="1">
      <x:c r="A589" s="20" t="str">
        <x:v>B08GKQ9ZQ6</x:v>
      </x:c>
      <x:c r="B589" s="20" t="str">
        <x:v>b08gkq9zq6</x:v>
      </x:c>
      <x:c r="C589" s="20" t="str">
        <x:v>cae233e16f97d25a</x:v>
      </x:c>
      <x:c r="D589" s="20" t="str">
        <x:v>asin_target</x:v>
      </x:c>
      <x:c r="E589" s="20" t="str">
        <x:v>en</x:v>
      </x:c>
      <x:c r="F589" s="20" t="str">
        <x:v>该搜索词为 ASIN 形式，需补充商品元数据后再判断用户意图。</x:v>
      </x:c>
      <x:c r="G589" s="20" t="str">
        <x:v>unknown</x:v>
      </x:c>
      <x:c r="H589" s="20" t="str">
        <x:v>low</x:v>
      </x:c>
      <x:c r="I589" s="20" t="str">
        <x:v>asin_target</x:v>
      </x:c>
      <x:c r="J589" s="20" t="str">
        <x:v>asin_metadata_pending</x:v>
      </x:c>
      <x:c r="K589" s="20" t="str">
        <x:v>asin_without_metadata</x:v>
      </x:c>
      <x:c r="L589" s="20" t="str">
        <x:v>not_applicable</x:v>
      </x:c>
      <x:c r="M589" s="20" t="str">
        <x:v>non_model</x:v>
      </x:c>
      <x:c r="N589" s="20" t="str">
        <x:v>1</x:v>
      </x:c>
      <x:c r="O589" s="20" t="str">
        <x:v>1.0.0</x:v>
      </x:c>
      <x:c r="P589" s="20" t="str">
        <x:v>1.1.0</x:v>
      </x:c>
      <x:c r="Q589" s="20" t="str">
        <x:v>deepseek/deepseek-v4-pro</x:v>
      </x:c>
      <x:c r="R589" s="20" t="str">
        <x:v>aj2-y90-20260714T234810-0bea2f52</x:v>
      </x:c>
    </x:row>
    <x:row r="590" ht="28" customHeight="1">
      <x:c r="A590" s="20" t="str">
        <x:v>B09N3QX6WX</x:v>
      </x:c>
      <x:c r="B590" s="20" t="str">
        <x:v>b09n3qx6wx</x:v>
      </x:c>
      <x:c r="C590" s="20" t="str">
        <x:v>cb3068fc681e4b36</x:v>
      </x:c>
      <x:c r="D590" s="20" t="str">
        <x:v>asin_target</x:v>
      </x:c>
      <x:c r="E590" s="20" t="str">
        <x:v>en</x:v>
      </x:c>
      <x:c r="F590" s="20" t="str">
        <x:v>该搜索词为 ASIN 形式，需补充商品元数据后再判断用户意图。</x:v>
      </x:c>
      <x:c r="G590" s="20" t="str">
        <x:v>unknown</x:v>
      </x:c>
      <x:c r="H590" s="20" t="str">
        <x:v>low</x:v>
      </x:c>
      <x:c r="I590" s="20" t="str">
        <x:v>asin_target</x:v>
      </x:c>
      <x:c r="J590" s="20" t="str">
        <x:v>asin_metadata_pending</x:v>
      </x:c>
      <x:c r="K590" s="20" t="str">
        <x:v>asin_without_metadata</x:v>
      </x:c>
      <x:c r="L590" s="20" t="str">
        <x:v>not_applicable</x:v>
      </x:c>
      <x:c r="M590" s="20" t="str">
        <x:v>non_model</x:v>
      </x:c>
      <x:c r="N590" s="20" t="str">
        <x:v>1</x:v>
      </x:c>
      <x:c r="O590" s="20" t="str">
        <x:v>1.0.0</x:v>
      </x:c>
      <x:c r="P590" s="20" t="str">
        <x:v>1.1.0</x:v>
      </x:c>
      <x:c r="Q590" s="20" t="str">
        <x:v>deepseek/deepseek-v4-pro</x:v>
      </x:c>
      <x:c r="R590" s="20" t="str">
        <x:v>aj2-y90-20260714T234810-0bea2f52</x:v>
      </x:c>
    </x:row>
    <x:row r="591" ht="28" customHeight="1">
      <x:c r="A591" s="20" t="str">
        <x:v>B0F32KMZ18</x:v>
      </x:c>
      <x:c r="B591" s="20" t="str">
        <x:v>b0f32kmz18</x:v>
      </x:c>
      <x:c r="C591" s="20" t="str">
        <x:v>cb3c8e1b9dc785cc</x:v>
      </x:c>
      <x:c r="D591" s="20" t="str">
        <x:v>asin_target</x:v>
      </x:c>
      <x:c r="E591" s="20" t="str">
        <x:v>en</x:v>
      </x:c>
      <x:c r="F591" s="20" t="str">
        <x:v>该搜索词为 ASIN 形式，需补充商品元数据后再判断用户意图。</x:v>
      </x:c>
      <x:c r="G591" s="20" t="str">
        <x:v>unknown</x:v>
      </x:c>
      <x:c r="H591" s="20" t="str">
        <x:v>low</x:v>
      </x:c>
      <x:c r="I591" s="20" t="str">
        <x:v>asin_target</x:v>
      </x:c>
      <x:c r="J591" s="20" t="str">
        <x:v>asin_metadata_pending</x:v>
      </x:c>
      <x:c r="K591" s="20" t="str">
        <x:v>asin_without_metadata</x:v>
      </x:c>
      <x:c r="L591" s="20" t="str">
        <x:v>not_applicable</x:v>
      </x:c>
      <x:c r="M591" s="20" t="str">
        <x:v>non_model</x:v>
      </x:c>
      <x:c r="N591" s="20" t="str">
        <x:v>1</x:v>
      </x:c>
      <x:c r="O591" s="20" t="str">
        <x:v>1.0.0</x:v>
      </x:c>
      <x:c r="P591" s="20" t="str">
        <x:v>1.1.0</x:v>
      </x:c>
      <x:c r="Q591" s="20" t="str">
        <x:v>deepseek/deepseek-v4-pro</x:v>
      </x:c>
      <x:c r="R591" s="20" t="str">
        <x:v>aj2-y90-20260714T234810-0bea2f52</x:v>
      </x:c>
    </x:row>
    <x:row r="592" ht="28" customHeight="1">
      <x:c r="A592" s="20" t="str">
        <x:v>B0DG1HL8J3</x:v>
      </x:c>
      <x:c r="B592" s="20" t="str">
        <x:v>b0dg1hl8j3</x:v>
      </x:c>
      <x:c r="C592" s="20" t="str">
        <x:v>cb7f45612ca49f69</x:v>
      </x:c>
      <x:c r="D592" s="20" t="str">
        <x:v>asin_target</x:v>
      </x:c>
      <x:c r="E592" s="20" t="str">
        <x:v>en</x:v>
      </x:c>
      <x:c r="F592" s="20" t="str">
        <x:v>该搜索词为 ASIN 形式，需补充商品元数据后再判断用户意图。</x:v>
      </x:c>
      <x:c r="G592" s="20" t="str">
        <x:v>unknown</x:v>
      </x:c>
      <x:c r="H592" s="20" t="str">
        <x:v>low</x:v>
      </x:c>
      <x:c r="I592" s="20" t="str">
        <x:v>asin_target</x:v>
      </x:c>
      <x:c r="J592" s="20" t="str">
        <x:v>asin_metadata_pending</x:v>
      </x:c>
      <x:c r="K592" s="20" t="str">
        <x:v>asin_without_metadata</x:v>
      </x:c>
      <x:c r="L592" s="20" t="str">
        <x:v>not_applicable</x:v>
      </x:c>
      <x:c r="M592" s="20" t="str">
        <x:v>non_model</x:v>
      </x:c>
      <x:c r="N592" s="20" t="str">
        <x:v>1</x:v>
      </x:c>
      <x:c r="O592" s="20" t="str">
        <x:v>1.0.0</x:v>
      </x:c>
      <x:c r="P592" s="20" t="str">
        <x:v>1.1.0</x:v>
      </x:c>
      <x:c r="Q592" s="20" t="str">
        <x:v>deepseek/deepseek-v4-pro</x:v>
      </x:c>
      <x:c r="R592" s="20" t="str">
        <x:v>aj2-y90-20260714T234810-0bea2f52</x:v>
      </x:c>
    </x:row>
    <x:row r="593" ht="28" customHeight="1">
      <x:c r="A593" s="20" t="str">
        <x:v>B0DSMWVDD8</x:v>
      </x:c>
      <x:c r="B593" s="20" t="str">
        <x:v>b0dsmwvdd8</x:v>
      </x:c>
      <x:c r="C593" s="20" t="str">
        <x:v>cc02ad2a13c036e5</x:v>
      </x:c>
      <x:c r="D593" s="20" t="str">
        <x:v>asin_target</x:v>
      </x:c>
      <x:c r="E593" s="20" t="str">
        <x:v>en</x:v>
      </x:c>
      <x:c r="F593" s="20" t="str">
        <x:v>该搜索词为 ASIN 形式，需补充商品元数据后再判断用户意图。</x:v>
      </x:c>
      <x:c r="G593" s="20" t="str">
        <x:v>unknown</x:v>
      </x:c>
      <x:c r="H593" s="20" t="str">
        <x:v>low</x:v>
      </x:c>
      <x:c r="I593" s="20" t="str">
        <x:v>asin_target</x:v>
      </x:c>
      <x:c r="J593" s="20" t="str">
        <x:v>asin_metadata_pending</x:v>
      </x:c>
      <x:c r="K593" s="20" t="str">
        <x:v>asin_without_metadata</x:v>
      </x:c>
      <x:c r="L593" s="20" t="str">
        <x:v>not_applicable</x:v>
      </x:c>
      <x:c r="M593" s="20" t="str">
        <x:v>non_model</x:v>
      </x:c>
      <x:c r="N593" s="20" t="str">
        <x:v>1</x:v>
      </x:c>
      <x:c r="O593" s="20" t="str">
        <x:v>1.0.0</x:v>
      </x:c>
      <x:c r="P593" s="20" t="str">
        <x:v>1.1.0</x:v>
      </x:c>
      <x:c r="Q593" s="20" t="str">
        <x:v>deepseek/deepseek-v4-pro</x:v>
      </x:c>
      <x:c r="R593" s="20" t="str">
        <x:v>aj2-y90-20260714T234810-0bea2f52</x:v>
      </x:c>
    </x:row>
    <x:row r="594" ht="28" customHeight="1">
      <x:c r="A594" s="20" t="str">
        <x:v>B0G3DM26X5</x:v>
      </x:c>
      <x:c r="B594" s="20" t="str">
        <x:v>b0g3dm26x5</x:v>
      </x:c>
      <x:c r="C594" s="20" t="str">
        <x:v>cc71a6bfb04ef09b</x:v>
      </x:c>
      <x:c r="D594" s="20" t="str">
        <x:v>asin_target</x:v>
      </x:c>
      <x:c r="E594" s="20" t="str">
        <x:v>en</x:v>
      </x:c>
      <x:c r="F594" s="20" t="str">
        <x:v>该搜索词为 ASIN 形式，需补充商品元数据后再判断用户意图。</x:v>
      </x:c>
      <x:c r="G594" s="20" t="str">
        <x:v>unknown</x:v>
      </x:c>
      <x:c r="H594" s="20" t="str">
        <x:v>low</x:v>
      </x:c>
      <x:c r="I594" s="20" t="str">
        <x:v>asin_target</x:v>
      </x:c>
      <x:c r="J594" s="20" t="str">
        <x:v>asin_metadata_pending</x:v>
      </x:c>
      <x:c r="K594" s="20" t="str">
        <x:v>asin_without_metadata</x:v>
      </x:c>
      <x:c r="L594" s="20" t="str">
        <x:v>not_applicable</x:v>
      </x:c>
      <x:c r="M594" s="20" t="str">
        <x:v>non_model</x:v>
      </x:c>
      <x:c r="N594" s="20" t="str">
        <x:v>1</x:v>
      </x:c>
      <x:c r="O594" s="20" t="str">
        <x:v>1.0.0</x:v>
      </x:c>
      <x:c r="P594" s="20" t="str">
        <x:v>1.1.0</x:v>
      </x:c>
      <x:c r="Q594" s="20" t="str">
        <x:v>deepseek/deepseek-v4-pro</x:v>
      </x:c>
      <x:c r="R594" s="20" t="str">
        <x:v>aj2-y90-20260714T234810-0bea2f52</x:v>
      </x:c>
    </x:row>
    <x:row r="595" ht="28" customHeight="1">
      <x:c r="A595" s="20" t="str">
        <x:v>B0F8MHQYP4</x:v>
      </x:c>
      <x:c r="B595" s="20" t="str">
        <x:v>b0f8mhqyp4</x:v>
      </x:c>
      <x:c r="C595" s="20" t="str">
        <x:v>ccc3be8e093d0624</x:v>
      </x:c>
      <x:c r="D595" s="20" t="str">
        <x:v>asin_target</x:v>
      </x:c>
      <x:c r="E595" s="20" t="str">
        <x:v>en</x:v>
      </x:c>
      <x:c r="F595" s="20" t="str">
        <x:v>该搜索词为 ASIN 形式，需补充商品元数据后再判断用户意图。</x:v>
      </x:c>
      <x:c r="G595" s="20" t="str">
        <x:v>unknown</x:v>
      </x:c>
      <x:c r="H595" s="20" t="str">
        <x:v>low</x:v>
      </x:c>
      <x:c r="I595" s="20" t="str">
        <x:v>asin_target</x:v>
      </x:c>
      <x:c r="J595" s="20" t="str">
        <x:v>asin_metadata_pending</x:v>
      </x:c>
      <x:c r="K595" s="20" t="str">
        <x:v>asin_without_metadata</x:v>
      </x:c>
      <x:c r="L595" s="20" t="str">
        <x:v>not_applicable</x:v>
      </x:c>
      <x:c r="M595" s="20" t="str">
        <x:v>non_model</x:v>
      </x:c>
      <x:c r="N595" s="20" t="str">
        <x:v>1</x:v>
      </x:c>
      <x:c r="O595" s="20" t="str">
        <x:v>1.0.0</x:v>
      </x:c>
      <x:c r="P595" s="20" t="str">
        <x:v>1.1.0</x:v>
      </x:c>
      <x:c r="Q595" s="20" t="str">
        <x:v>deepseek/deepseek-v4-pro</x:v>
      </x:c>
      <x:c r="R595" s="20" t="str">
        <x:v>aj2-y90-20260714T234810-0bea2f52</x:v>
      </x:c>
    </x:row>
    <x:row r="596" ht="28" customHeight="1">
      <x:c r="A596" s="20" t="str">
        <x:v>B0GGRKKBQ6</x:v>
      </x:c>
      <x:c r="B596" s="20" t="str">
        <x:v>b0ggrkkbq6</x:v>
      </x:c>
      <x:c r="C596" s="20" t="str">
        <x:v>ccd6b8225a5186f8</x:v>
      </x:c>
      <x:c r="D596" s="20" t="str">
        <x:v>asin_target</x:v>
      </x:c>
      <x:c r="E596" s="20" t="str">
        <x:v>en</x:v>
      </x:c>
      <x:c r="F596" s="20" t="str">
        <x:v>该搜索词为 ASIN 形式，需补充商品元数据后再判断用户意图。</x:v>
      </x:c>
      <x:c r="G596" s="20" t="str">
        <x:v>unknown</x:v>
      </x:c>
      <x:c r="H596" s="20" t="str">
        <x:v>low</x:v>
      </x:c>
      <x:c r="I596" s="20" t="str">
        <x:v>asin_target</x:v>
      </x:c>
      <x:c r="J596" s="20" t="str">
        <x:v>asin_metadata_pending</x:v>
      </x:c>
      <x:c r="K596" s="20" t="str">
        <x:v>asin_without_metadata</x:v>
      </x:c>
      <x:c r="L596" s="20" t="str">
        <x:v>not_applicable</x:v>
      </x:c>
      <x:c r="M596" s="20" t="str">
        <x:v>non_model</x:v>
      </x:c>
      <x:c r="N596" s="20" t="str">
        <x:v>2</x:v>
      </x:c>
      <x:c r="O596" s="20" t="str">
        <x:v>1.0.0</x:v>
      </x:c>
      <x:c r="P596" s="20" t="str">
        <x:v>1.1.0</x:v>
      </x:c>
      <x:c r="Q596" s="20" t="str">
        <x:v>deepseek/deepseek-v4-pro</x:v>
      </x:c>
      <x:c r="R596" s="20" t="str">
        <x:v>aj2-y90-20260714T234810-0bea2f52</x:v>
      </x:c>
    </x:row>
    <x:row r="597" ht="28" customHeight="1">
      <x:c r="A597" s="20" t="str">
        <x:v>B0G257JJDG</x:v>
      </x:c>
      <x:c r="B597" s="20" t="str">
        <x:v>b0g257jjdg</x:v>
      </x:c>
      <x:c r="C597" s="20" t="str">
        <x:v>cd052472c1186c77</x:v>
      </x:c>
      <x:c r="D597" s="20" t="str">
        <x:v>asin_target</x:v>
      </x:c>
      <x:c r="E597" s="20" t="str">
        <x:v>en</x:v>
      </x:c>
      <x:c r="F597" s="20" t="str">
        <x:v>该搜索词为 ASIN 形式，需补充商品元数据后再判断用户意图。</x:v>
      </x:c>
      <x:c r="G597" s="20" t="str">
        <x:v>unknown</x:v>
      </x:c>
      <x:c r="H597" s="20" t="str">
        <x:v>low</x:v>
      </x:c>
      <x:c r="I597" s="20" t="str">
        <x:v>asin_target</x:v>
      </x:c>
      <x:c r="J597" s="20" t="str">
        <x:v>asin_metadata_pending</x:v>
      </x:c>
      <x:c r="K597" s="20" t="str">
        <x:v>asin_without_metadata</x:v>
      </x:c>
      <x:c r="L597" s="20" t="str">
        <x:v>not_applicable</x:v>
      </x:c>
      <x:c r="M597" s="20" t="str">
        <x:v>non_model</x:v>
      </x:c>
      <x:c r="N597" s="20" t="str">
        <x:v>1</x:v>
      </x:c>
      <x:c r="O597" s="20" t="str">
        <x:v>1.0.0</x:v>
      </x:c>
      <x:c r="P597" s="20" t="str">
        <x:v>1.1.0</x:v>
      </x:c>
      <x:c r="Q597" s="20" t="str">
        <x:v>deepseek/deepseek-v4-pro</x:v>
      </x:c>
      <x:c r="R597" s="20" t="str">
        <x:v>aj2-y90-20260714T234810-0bea2f52</x:v>
      </x:c>
    </x:row>
    <x:row r="598" ht="28" customHeight="1">
      <x:c r="A598" s="20" t="str">
        <x:v>B0DYJCKFLR</x:v>
      </x:c>
      <x:c r="B598" s="20" t="str">
        <x:v>b0dyjckflr</x:v>
      </x:c>
      <x:c r="C598" s="20" t="str">
        <x:v>cd3633c18538fdac</x:v>
      </x:c>
      <x:c r="D598" s="20" t="str">
        <x:v>asin_target</x:v>
      </x:c>
      <x:c r="E598" s="20" t="str">
        <x:v>en</x:v>
      </x:c>
      <x:c r="F598" s="20" t="str">
        <x:v>该搜索词为 ASIN 形式，需补充商品元数据后再判断用户意图。</x:v>
      </x:c>
      <x:c r="G598" s="20" t="str">
        <x:v>unknown</x:v>
      </x:c>
      <x:c r="H598" s="20" t="str">
        <x:v>low</x:v>
      </x:c>
      <x:c r="I598" s="20" t="str">
        <x:v>asin_target</x:v>
      </x:c>
      <x:c r="J598" s="20" t="str">
        <x:v>asin_metadata_pending</x:v>
      </x:c>
      <x:c r="K598" s="20" t="str">
        <x:v>asin_without_metadata</x:v>
      </x:c>
      <x:c r="L598" s="20" t="str">
        <x:v>not_applicable</x:v>
      </x:c>
      <x:c r="M598" s="20" t="str">
        <x:v>non_model</x:v>
      </x:c>
      <x:c r="N598" s="20" t="str">
        <x:v>1</x:v>
      </x:c>
      <x:c r="O598" s="20" t="str">
        <x:v>1.0.0</x:v>
      </x:c>
      <x:c r="P598" s="20" t="str">
        <x:v>1.1.0</x:v>
      </x:c>
      <x:c r="Q598" s="20" t="str">
        <x:v>deepseek/deepseek-v4-pro</x:v>
      </x:c>
      <x:c r="R598" s="20" t="str">
        <x:v>aj2-y90-20260714T234810-0bea2f52</x:v>
      </x:c>
    </x:row>
    <x:row r="599" ht="28" customHeight="1">
      <x:c r="A599" s="20" t="str">
        <x:v>B09CK8R425</x:v>
      </x:c>
      <x:c r="B599" s="20" t="str">
        <x:v>b09ck8r425</x:v>
      </x:c>
      <x:c r="C599" s="20" t="str">
        <x:v>cd4760b86438d078</x:v>
      </x:c>
      <x:c r="D599" s="20" t="str">
        <x:v>asin_target</x:v>
      </x:c>
      <x:c r="E599" s="20" t="str">
        <x:v>en</x:v>
      </x:c>
      <x:c r="F599" s="20" t="str">
        <x:v>该搜索词为 ASIN 形式，需补充商品元数据后再判断用户意图。</x:v>
      </x:c>
      <x:c r="G599" s="20" t="str">
        <x:v>unknown</x:v>
      </x:c>
      <x:c r="H599" s="20" t="str">
        <x:v>low</x:v>
      </x:c>
      <x:c r="I599" s="20" t="str">
        <x:v>asin_target</x:v>
      </x:c>
      <x:c r="J599" s="20" t="str">
        <x:v>asin_metadata_pending</x:v>
      </x:c>
      <x:c r="K599" s="20" t="str">
        <x:v>asin_without_metadata</x:v>
      </x:c>
      <x:c r="L599" s="20" t="str">
        <x:v>not_applicable</x:v>
      </x:c>
      <x:c r="M599" s="20" t="str">
        <x:v>non_model</x:v>
      </x:c>
      <x:c r="N599" s="20" t="str">
        <x:v>1</x:v>
      </x:c>
      <x:c r="O599" s="20" t="str">
        <x:v>1.0.0</x:v>
      </x:c>
      <x:c r="P599" s="20" t="str">
        <x:v>1.1.0</x:v>
      </x:c>
      <x:c r="Q599" s="20" t="str">
        <x:v>deepseek/deepseek-v4-pro</x:v>
      </x:c>
      <x:c r="R599" s="20" t="str">
        <x:v>aj2-y90-20260714T234810-0bea2f52</x:v>
      </x:c>
    </x:row>
    <x:row r="600" ht="28" customHeight="1">
      <x:c r="A600" s="20" t="str">
        <x:v>B0DB9LLG9J</x:v>
      </x:c>
      <x:c r="B600" s="20" t="str">
        <x:v>b0db9llg9j</x:v>
      </x:c>
      <x:c r="C600" s="20" t="str">
        <x:v>cdf6ebec1f2a6771</x:v>
      </x:c>
      <x:c r="D600" s="20" t="str">
        <x:v>asin_target</x:v>
      </x:c>
      <x:c r="E600" s="20" t="str">
        <x:v>en</x:v>
      </x:c>
      <x:c r="F600" s="20" t="str">
        <x:v>该搜索词为 ASIN 形式，需补充商品元数据后再判断用户意图。</x:v>
      </x:c>
      <x:c r="G600" s="20" t="str">
        <x:v>unknown</x:v>
      </x:c>
      <x:c r="H600" s="20" t="str">
        <x:v>low</x:v>
      </x:c>
      <x:c r="I600" s="20" t="str">
        <x:v>asin_target</x:v>
      </x:c>
      <x:c r="J600" s="20" t="str">
        <x:v>asin_metadata_pending</x:v>
      </x:c>
      <x:c r="K600" s="20" t="str">
        <x:v>asin_without_metadata</x:v>
      </x:c>
      <x:c r="L600" s="20" t="str">
        <x:v>not_applicable</x:v>
      </x:c>
      <x:c r="M600" s="20" t="str">
        <x:v>non_model</x:v>
      </x:c>
      <x:c r="N600" s="20" t="str">
        <x:v>1</x:v>
      </x:c>
      <x:c r="O600" s="20" t="str">
        <x:v>1.0.0</x:v>
      </x:c>
      <x:c r="P600" s="20" t="str">
        <x:v>1.1.0</x:v>
      </x:c>
      <x:c r="Q600" s="20" t="str">
        <x:v>deepseek/deepseek-v4-pro</x:v>
      </x:c>
      <x:c r="R600" s="20" t="str">
        <x:v>aj2-y90-20260714T234810-0bea2f52</x:v>
      </x:c>
    </x:row>
    <x:row r="601" ht="28" customHeight="1">
      <x:c r="A601" s="20" t="str">
        <x:v>B0GGR16D4W</x:v>
      </x:c>
      <x:c r="B601" s="20" t="str">
        <x:v>b0ggr16d4w</x:v>
      </x:c>
      <x:c r="C601" s="20" t="str">
        <x:v>cdf93a3cabb9791b</x:v>
      </x:c>
      <x:c r="D601" s="20" t="str">
        <x:v>asin_target</x:v>
      </x:c>
      <x:c r="E601" s="20" t="str">
        <x:v>en</x:v>
      </x:c>
      <x:c r="F601" s="20" t="str">
        <x:v>该搜索词为 ASIN 形式，需补充商品元数据后再判断用户意图。</x:v>
      </x:c>
      <x:c r="G601" s="20" t="str">
        <x:v>unknown</x:v>
      </x:c>
      <x:c r="H601" s="20" t="str">
        <x:v>low</x:v>
      </x:c>
      <x:c r="I601" s="20" t="str">
        <x:v>asin_target</x:v>
      </x:c>
      <x:c r="J601" s="20" t="str">
        <x:v>asin_metadata_pending</x:v>
      </x:c>
      <x:c r="K601" s="20" t="str">
        <x:v>asin_without_metadata</x:v>
      </x:c>
      <x:c r="L601" s="20" t="str">
        <x:v>not_applicable</x:v>
      </x:c>
      <x:c r="M601" s="20" t="str">
        <x:v>non_model</x:v>
      </x:c>
      <x:c r="N601" s="20" t="str">
        <x:v>1</x:v>
      </x:c>
      <x:c r="O601" s="20" t="str">
        <x:v>1.0.0</x:v>
      </x:c>
      <x:c r="P601" s="20" t="str">
        <x:v>1.1.0</x:v>
      </x:c>
      <x:c r="Q601" s="20" t="str">
        <x:v>deepseek/deepseek-v4-pro</x:v>
      </x:c>
      <x:c r="R601" s="20" t="str">
        <x:v>aj2-y90-20260714T234810-0bea2f52</x:v>
      </x:c>
    </x:row>
    <x:row r="602" ht="28" customHeight="1">
      <x:c r="A602" s="20" t="str">
        <x:v>B0GWFGR4K8</x:v>
      </x:c>
      <x:c r="B602" s="20" t="str">
        <x:v>b0gwfgr4k8</x:v>
      </x:c>
      <x:c r="C602" s="20" t="str">
        <x:v>ce20a5ea85bf21d3</x:v>
      </x:c>
      <x:c r="D602" s="20" t="str">
        <x:v>asin_target</x:v>
      </x:c>
      <x:c r="E602" s="20" t="str">
        <x:v>en</x:v>
      </x:c>
      <x:c r="F602" s="20" t="str">
        <x:v>该搜索词为 ASIN 形式，需补充商品元数据后再判断用户意图。</x:v>
      </x:c>
      <x:c r="G602" s="20" t="str">
        <x:v>unknown</x:v>
      </x:c>
      <x:c r="H602" s="20" t="str">
        <x:v>low</x:v>
      </x:c>
      <x:c r="I602" s="20" t="str">
        <x:v>asin_target</x:v>
      </x:c>
      <x:c r="J602" s="20" t="str">
        <x:v>asin_metadata_pending</x:v>
      </x:c>
      <x:c r="K602" s="20" t="str">
        <x:v>asin_without_metadata</x:v>
      </x:c>
      <x:c r="L602" s="20" t="str">
        <x:v>not_applicable</x:v>
      </x:c>
      <x:c r="M602" s="20" t="str">
        <x:v>non_model</x:v>
      </x:c>
      <x:c r="N602" s="20" t="str">
        <x:v>1</x:v>
      </x:c>
      <x:c r="O602" s="20" t="str">
        <x:v>1.0.0</x:v>
      </x:c>
      <x:c r="P602" s="20" t="str">
        <x:v>1.1.0</x:v>
      </x:c>
      <x:c r="Q602" s="20" t="str">
        <x:v>deepseek/deepseek-v4-pro</x:v>
      </x:c>
      <x:c r="R602" s="20" t="str">
        <x:v>aj2-y90-20260714T234810-0bea2f52</x:v>
      </x:c>
    </x:row>
    <x:row r="603" ht="28" customHeight="1">
      <x:c r="A603" s="20" t="str">
        <x:v>B0FXX74G1G</x:v>
      </x:c>
      <x:c r="B603" s="20" t="str">
        <x:v>b0fxx74g1g</x:v>
      </x:c>
      <x:c r="C603" s="20" t="str">
        <x:v>cef4584bd36d8992</x:v>
      </x:c>
      <x:c r="D603" s="20" t="str">
        <x:v>asin_target</x:v>
      </x:c>
      <x:c r="E603" s="20" t="str">
        <x:v>en</x:v>
      </x:c>
      <x:c r="F603" s="20" t="str">
        <x:v>该搜索词为 ASIN 形式，需补充商品元数据后再判断用户意图。</x:v>
      </x:c>
      <x:c r="G603" s="20" t="str">
        <x:v>unknown</x:v>
      </x:c>
      <x:c r="H603" s="20" t="str">
        <x:v>low</x:v>
      </x:c>
      <x:c r="I603" s="20" t="str">
        <x:v>asin_target</x:v>
      </x:c>
      <x:c r="J603" s="20" t="str">
        <x:v>asin_metadata_pending</x:v>
      </x:c>
      <x:c r="K603" s="20" t="str">
        <x:v>asin_without_metadata</x:v>
      </x:c>
      <x:c r="L603" s="20" t="str">
        <x:v>not_applicable</x:v>
      </x:c>
      <x:c r="M603" s="20" t="str">
        <x:v>non_model</x:v>
      </x:c>
      <x:c r="N603" s="20" t="str">
        <x:v>1</x:v>
      </x:c>
      <x:c r="O603" s="20" t="str">
        <x:v>1.0.0</x:v>
      </x:c>
      <x:c r="P603" s="20" t="str">
        <x:v>1.1.0</x:v>
      </x:c>
      <x:c r="Q603" s="20" t="str">
        <x:v>deepseek/deepseek-v4-pro</x:v>
      </x:c>
      <x:c r="R603" s="20" t="str">
        <x:v>aj2-y90-20260714T234810-0bea2f52</x:v>
      </x:c>
    </x:row>
    <x:row r="604" ht="28" customHeight="1">
      <x:c r="A604" s="20" t="str">
        <x:v>B0DSMZ7HT8</x:v>
      </x:c>
      <x:c r="B604" s="20" t="str">
        <x:v>b0dsmz7ht8</x:v>
      </x:c>
      <x:c r="C604" s="20" t="str">
        <x:v>d032984eeecebb2f</x:v>
      </x:c>
      <x:c r="D604" s="20" t="str">
        <x:v>asin_target</x:v>
      </x:c>
      <x:c r="E604" s="20" t="str">
        <x:v>en</x:v>
      </x:c>
      <x:c r="F604" s="20" t="str">
        <x:v>该搜索词为 ASIN 形式，需补充商品元数据后再判断用户意图。</x:v>
      </x:c>
      <x:c r="G604" s="20" t="str">
        <x:v>unknown</x:v>
      </x:c>
      <x:c r="H604" s="20" t="str">
        <x:v>low</x:v>
      </x:c>
      <x:c r="I604" s="20" t="str">
        <x:v>asin_target</x:v>
      </x:c>
      <x:c r="J604" s="20" t="str">
        <x:v>asin_metadata_pending</x:v>
      </x:c>
      <x:c r="K604" s="20" t="str">
        <x:v>asin_without_metadata</x:v>
      </x:c>
      <x:c r="L604" s="20" t="str">
        <x:v>not_applicable</x:v>
      </x:c>
      <x:c r="M604" s="20" t="str">
        <x:v>non_model</x:v>
      </x:c>
      <x:c r="N604" s="20" t="str">
        <x:v>1</x:v>
      </x:c>
      <x:c r="O604" s="20" t="str">
        <x:v>1.0.0</x:v>
      </x:c>
      <x:c r="P604" s="20" t="str">
        <x:v>1.1.0</x:v>
      </x:c>
      <x:c r="Q604" s="20" t="str">
        <x:v>deepseek/deepseek-v4-pro</x:v>
      </x:c>
      <x:c r="R604" s="20" t="str">
        <x:v>aj2-y90-20260714T234810-0bea2f52</x:v>
      </x:c>
    </x:row>
    <x:row r="605" ht="28" customHeight="1">
      <x:c r="A605" s="20" t="str">
        <x:v>B0G48RHJ28</x:v>
      </x:c>
      <x:c r="B605" s="20" t="str">
        <x:v>b0g48rhj28</x:v>
      </x:c>
      <x:c r="C605" s="20" t="str">
        <x:v>d0ea955d6af38cd0</x:v>
      </x:c>
      <x:c r="D605" s="20" t="str">
        <x:v>asin_target</x:v>
      </x:c>
      <x:c r="E605" s="20" t="str">
        <x:v>en</x:v>
      </x:c>
      <x:c r="F605" s="20" t="str">
        <x:v>该搜索词为 ASIN 形式，需补充商品元数据后再判断用户意图。</x:v>
      </x:c>
      <x:c r="G605" s="20" t="str">
        <x:v>unknown</x:v>
      </x:c>
      <x:c r="H605" s="20" t="str">
        <x:v>low</x:v>
      </x:c>
      <x:c r="I605" s="20" t="str">
        <x:v>asin_target</x:v>
      </x:c>
      <x:c r="J605" s="20" t="str">
        <x:v>asin_metadata_pending</x:v>
      </x:c>
      <x:c r="K605" s="20" t="str">
        <x:v>asin_without_metadata</x:v>
      </x:c>
      <x:c r="L605" s="20" t="str">
        <x:v>not_applicable</x:v>
      </x:c>
      <x:c r="M605" s="20" t="str">
        <x:v>non_model</x:v>
      </x:c>
      <x:c r="N605" s="20" t="str">
        <x:v>1</x:v>
      </x:c>
      <x:c r="O605" s="20" t="str">
        <x:v>1.0.0</x:v>
      </x:c>
      <x:c r="P605" s="20" t="str">
        <x:v>1.1.0</x:v>
      </x:c>
      <x:c r="Q605" s="20" t="str">
        <x:v>deepseek/deepseek-v4-pro</x:v>
      </x:c>
      <x:c r="R605" s="20" t="str">
        <x:v>aj2-y90-20260714T234810-0bea2f52</x:v>
      </x:c>
    </x:row>
    <x:row r="606" ht="28" customHeight="1">
      <x:c r="A606" s="20" t="str">
        <x:v>B0GFT7SVS4</x:v>
      </x:c>
      <x:c r="B606" s="20" t="str">
        <x:v>b0gft7svs4</x:v>
      </x:c>
      <x:c r="C606" s="20" t="str">
        <x:v>d0f2d716fa57cd02</x:v>
      </x:c>
      <x:c r="D606" s="20" t="str">
        <x:v>asin_target</x:v>
      </x:c>
      <x:c r="E606" s="20" t="str">
        <x:v>en</x:v>
      </x:c>
      <x:c r="F606" s="20" t="str">
        <x:v>该搜索词为 ASIN 形式，需补充商品元数据后再判断用户意图。</x:v>
      </x:c>
      <x:c r="G606" s="20" t="str">
        <x:v>unknown</x:v>
      </x:c>
      <x:c r="H606" s="20" t="str">
        <x:v>low</x:v>
      </x:c>
      <x:c r="I606" s="20" t="str">
        <x:v>asin_target</x:v>
      </x:c>
      <x:c r="J606" s="20" t="str">
        <x:v>asin_metadata_pending</x:v>
      </x:c>
      <x:c r="K606" s="20" t="str">
        <x:v>asin_without_metadata</x:v>
      </x:c>
      <x:c r="L606" s="20" t="str">
        <x:v>not_applicable</x:v>
      </x:c>
      <x:c r="M606" s="20" t="str">
        <x:v>non_model</x:v>
      </x:c>
      <x:c r="N606" s="20" t="str">
        <x:v>1</x:v>
      </x:c>
      <x:c r="O606" s="20" t="str">
        <x:v>1.0.0</x:v>
      </x:c>
      <x:c r="P606" s="20" t="str">
        <x:v>1.1.0</x:v>
      </x:c>
      <x:c r="Q606" s="20" t="str">
        <x:v>deepseek/deepseek-v4-pro</x:v>
      </x:c>
      <x:c r="R606" s="20" t="str">
        <x:v>aj2-y90-20260714T234810-0bea2f52</x:v>
      </x:c>
    </x:row>
    <x:row r="607" ht="28" customHeight="1">
      <x:c r="A607" s="20" t="str">
        <x:v>B0GFW4X94J</x:v>
      </x:c>
      <x:c r="B607" s="20" t="str">
        <x:v>b0gfw4x94j</x:v>
      </x:c>
      <x:c r="C607" s="20" t="str">
        <x:v>d1121af3e6e9fcc6</x:v>
      </x:c>
      <x:c r="D607" s="20" t="str">
        <x:v>asin_target</x:v>
      </x:c>
      <x:c r="E607" s="20" t="str">
        <x:v>en</x:v>
      </x:c>
      <x:c r="F607" s="20" t="str">
        <x:v>该搜索词为 ASIN 形式，需补充商品元数据后再判断用户意图。</x:v>
      </x:c>
      <x:c r="G607" s="20" t="str">
        <x:v>unknown</x:v>
      </x:c>
      <x:c r="H607" s="20" t="str">
        <x:v>low</x:v>
      </x:c>
      <x:c r="I607" s="20" t="str">
        <x:v>asin_target</x:v>
      </x:c>
      <x:c r="J607" s="20" t="str">
        <x:v>asin_metadata_pending</x:v>
      </x:c>
      <x:c r="K607" s="20" t="str">
        <x:v>asin_without_metadata</x:v>
      </x:c>
      <x:c r="L607" s="20" t="str">
        <x:v>not_applicable</x:v>
      </x:c>
      <x:c r="M607" s="20" t="str">
        <x:v>non_model</x:v>
      </x:c>
      <x:c r="N607" s="20" t="str">
        <x:v>1</x:v>
      </x:c>
      <x:c r="O607" s="20" t="str">
        <x:v>1.0.0</x:v>
      </x:c>
      <x:c r="P607" s="20" t="str">
        <x:v>1.1.0</x:v>
      </x:c>
      <x:c r="Q607" s="20" t="str">
        <x:v>deepseek/deepseek-v4-pro</x:v>
      </x:c>
      <x:c r="R607" s="20" t="str">
        <x:v>aj2-y90-20260714T234810-0bea2f52</x:v>
      </x:c>
    </x:row>
    <x:row r="608" ht="28" customHeight="1">
      <x:c r="A608" s="20" t="str">
        <x:v>B0GLFFLHCG</x:v>
      </x:c>
      <x:c r="B608" s="20" t="str">
        <x:v>b0glfflhcg</x:v>
      </x:c>
      <x:c r="C608" s="20" t="str">
        <x:v>d17a8a1549aa5964</x:v>
      </x:c>
      <x:c r="D608" s="20" t="str">
        <x:v>asin_target</x:v>
      </x:c>
      <x:c r="E608" s="20" t="str">
        <x:v>en</x:v>
      </x:c>
      <x:c r="F608" s="20" t="str">
        <x:v>该搜索词为 ASIN 形式，需补充商品元数据后再判断用户意图。</x:v>
      </x:c>
      <x:c r="G608" s="20" t="str">
        <x:v>unknown</x:v>
      </x:c>
      <x:c r="H608" s="20" t="str">
        <x:v>low</x:v>
      </x:c>
      <x:c r="I608" s="20" t="str">
        <x:v>asin_target</x:v>
      </x:c>
      <x:c r="J608" s="20" t="str">
        <x:v>asin_metadata_pending</x:v>
      </x:c>
      <x:c r="K608" s="20" t="str">
        <x:v>asin_without_metadata</x:v>
      </x:c>
      <x:c r="L608" s="20" t="str">
        <x:v>not_applicable</x:v>
      </x:c>
      <x:c r="M608" s="20" t="str">
        <x:v>non_model</x:v>
      </x:c>
      <x:c r="N608" s="20" t="str">
        <x:v>2</x:v>
      </x:c>
      <x:c r="O608" s="20" t="str">
        <x:v>1.0.0</x:v>
      </x:c>
      <x:c r="P608" s="20" t="str">
        <x:v>1.1.0</x:v>
      </x:c>
      <x:c r="Q608" s="20" t="str">
        <x:v>deepseek/deepseek-v4-pro</x:v>
      </x:c>
      <x:c r="R608" s="20" t="str">
        <x:v>aj2-y90-20260714T234810-0bea2f52</x:v>
      </x:c>
    </x:row>
    <x:row r="609" ht="28" customHeight="1">
      <x:c r="A609" s="20" t="str">
        <x:v>B07SH7NQLG</x:v>
      </x:c>
      <x:c r="B609" s="20" t="str">
        <x:v>b07sh7nqlg</x:v>
      </x:c>
      <x:c r="C609" s="20" t="str">
        <x:v>d219e4e055c7364f</x:v>
      </x:c>
      <x:c r="D609" s="20" t="str">
        <x:v>asin_target</x:v>
      </x:c>
      <x:c r="E609" s="20" t="str">
        <x:v>en</x:v>
      </x:c>
      <x:c r="F609" s="20" t="str">
        <x:v>该搜索词为 ASIN 形式，需补充商品元数据后再判断用户意图。</x:v>
      </x:c>
      <x:c r="G609" s="20" t="str">
        <x:v>unknown</x:v>
      </x:c>
      <x:c r="H609" s="20" t="str">
        <x:v>low</x:v>
      </x:c>
      <x:c r="I609" s="20" t="str">
        <x:v>asin_target</x:v>
      </x:c>
      <x:c r="J609" s="20" t="str">
        <x:v>asin_metadata_pending</x:v>
      </x:c>
      <x:c r="K609" s="20" t="str">
        <x:v>asin_without_metadata</x:v>
      </x:c>
      <x:c r="L609" s="20" t="str">
        <x:v>not_applicable</x:v>
      </x:c>
      <x:c r="M609" s="20" t="str">
        <x:v>non_model</x:v>
      </x:c>
      <x:c r="N609" s="20" t="str">
        <x:v>1</x:v>
      </x:c>
      <x:c r="O609" s="20" t="str">
        <x:v>1.0.0</x:v>
      </x:c>
      <x:c r="P609" s="20" t="str">
        <x:v>1.1.0</x:v>
      </x:c>
      <x:c r="Q609" s="20" t="str">
        <x:v>deepseek/deepseek-v4-pro</x:v>
      </x:c>
      <x:c r="R609" s="20" t="str">
        <x:v>aj2-y90-20260714T234810-0bea2f52</x:v>
      </x:c>
    </x:row>
    <x:row r="610" ht="28" customHeight="1">
      <x:c r="A610" s="20" t="str">
        <x:v>B0GGQRK79J</x:v>
      </x:c>
      <x:c r="B610" s="20" t="str">
        <x:v>b0ggqrk79j</x:v>
      </x:c>
      <x:c r="C610" s="20" t="str">
        <x:v>d249ea055de9b7bf</x:v>
      </x:c>
      <x:c r="D610" s="20" t="str">
        <x:v>asin_target</x:v>
      </x:c>
      <x:c r="E610" s="20" t="str">
        <x:v>en</x:v>
      </x:c>
      <x:c r="F610" s="20" t="str">
        <x:v>该搜索词为 ASIN 形式，需补充商品元数据后再判断用户意图。</x:v>
      </x:c>
      <x:c r="G610" s="20" t="str">
        <x:v>unknown</x:v>
      </x:c>
      <x:c r="H610" s="20" t="str">
        <x:v>low</x:v>
      </x:c>
      <x:c r="I610" s="20" t="str">
        <x:v>asin_target</x:v>
      </x:c>
      <x:c r="J610" s="20" t="str">
        <x:v>asin_metadata_pending</x:v>
      </x:c>
      <x:c r="K610" s="20" t="str">
        <x:v>asin_without_metadata</x:v>
      </x:c>
      <x:c r="L610" s="20" t="str">
        <x:v>not_applicable</x:v>
      </x:c>
      <x:c r="M610" s="20" t="str">
        <x:v>non_model</x:v>
      </x:c>
      <x:c r="N610" s="20" t="str">
        <x:v>1</x:v>
      </x:c>
      <x:c r="O610" s="20" t="str">
        <x:v>1.0.0</x:v>
      </x:c>
      <x:c r="P610" s="20" t="str">
        <x:v>1.1.0</x:v>
      </x:c>
      <x:c r="Q610" s="20" t="str">
        <x:v>deepseek/deepseek-v4-pro</x:v>
      </x:c>
      <x:c r="R610" s="20" t="str">
        <x:v>aj2-y90-20260714T234810-0bea2f52</x:v>
      </x:c>
    </x:row>
    <x:row r="611" ht="28" customHeight="1">
      <x:c r="A611" s="20" t="str">
        <x:v>B0GLFGDTS5</x:v>
      </x:c>
      <x:c r="B611" s="20" t="str">
        <x:v>b0glfgdts5</x:v>
      </x:c>
      <x:c r="C611" s="20" t="str">
        <x:v>d2bb5646983910b2</x:v>
      </x:c>
      <x:c r="D611" s="20" t="str">
        <x:v>asin_target</x:v>
      </x:c>
      <x:c r="E611" s="20" t="str">
        <x:v>en</x:v>
      </x:c>
      <x:c r="F611" s="20" t="str">
        <x:v>该搜索词为 ASIN 形式，需补充商品元数据后再判断用户意图。</x:v>
      </x:c>
      <x:c r="G611" s="20" t="str">
        <x:v>unknown</x:v>
      </x:c>
      <x:c r="H611" s="20" t="str">
        <x:v>low</x:v>
      </x:c>
      <x:c r="I611" s="20" t="str">
        <x:v>asin_target</x:v>
      </x:c>
      <x:c r="J611" s="20" t="str">
        <x:v>asin_metadata_pending</x:v>
      </x:c>
      <x:c r="K611" s="20" t="str">
        <x:v>asin_without_metadata</x:v>
      </x:c>
      <x:c r="L611" s="20" t="str">
        <x:v>not_applicable</x:v>
      </x:c>
      <x:c r="M611" s="20" t="str">
        <x:v>non_model</x:v>
      </x:c>
      <x:c r="N611" s="20" t="str">
        <x:v>3</x:v>
      </x:c>
      <x:c r="O611" s="20" t="str">
        <x:v>1.0.0</x:v>
      </x:c>
      <x:c r="P611" s="20" t="str">
        <x:v>1.1.0</x:v>
      </x:c>
      <x:c r="Q611" s="20" t="str">
        <x:v>deepseek/deepseek-v4-pro</x:v>
      </x:c>
      <x:c r="R611" s="20" t="str">
        <x:v>aj2-y90-20260714T234810-0bea2f52</x:v>
      </x:c>
    </x:row>
    <x:row r="612" ht="28" customHeight="1">
      <x:c r="A612" s="20" t="str">
        <x:v>B0G64FLK67</x:v>
      </x:c>
      <x:c r="B612" s="20" t="str">
        <x:v>b0g64flk67</x:v>
      </x:c>
      <x:c r="C612" s="20" t="str">
        <x:v>d2c2007926594c94</x:v>
      </x:c>
      <x:c r="D612" s="20" t="str">
        <x:v>asin_target</x:v>
      </x:c>
      <x:c r="E612" s="20" t="str">
        <x:v>en</x:v>
      </x:c>
      <x:c r="F612" s="20" t="str">
        <x:v>该搜索词为 ASIN 形式，需补充商品元数据后再判断用户意图。</x:v>
      </x:c>
      <x:c r="G612" s="20" t="str">
        <x:v>unknown</x:v>
      </x:c>
      <x:c r="H612" s="20" t="str">
        <x:v>low</x:v>
      </x:c>
      <x:c r="I612" s="20" t="str">
        <x:v>asin_target</x:v>
      </x:c>
      <x:c r="J612" s="20" t="str">
        <x:v>asin_metadata_pending</x:v>
      </x:c>
      <x:c r="K612" s="20" t="str">
        <x:v>asin_without_metadata</x:v>
      </x:c>
      <x:c r="L612" s="20" t="str">
        <x:v>not_applicable</x:v>
      </x:c>
      <x:c r="M612" s="20" t="str">
        <x:v>non_model</x:v>
      </x:c>
      <x:c r="N612" s="20" t="str">
        <x:v>1</x:v>
      </x:c>
      <x:c r="O612" s="20" t="str">
        <x:v>1.0.0</x:v>
      </x:c>
      <x:c r="P612" s="20" t="str">
        <x:v>1.1.0</x:v>
      </x:c>
      <x:c r="Q612" s="20" t="str">
        <x:v>deepseek/deepseek-v4-pro</x:v>
      </x:c>
      <x:c r="R612" s="20" t="str">
        <x:v>aj2-y90-20260714T234810-0bea2f52</x:v>
      </x:c>
    </x:row>
    <x:row r="613" ht="28" customHeight="1">
      <x:c r="A613" s="20" t="str">
        <x:v>B0GGR3MZ33</x:v>
      </x:c>
      <x:c r="B613" s="20" t="str">
        <x:v>b0ggr3mz33</x:v>
      </x:c>
      <x:c r="C613" s="20" t="str">
        <x:v>d2e4794f4180eb52</x:v>
      </x:c>
      <x:c r="D613" s="20" t="str">
        <x:v>asin_target</x:v>
      </x:c>
      <x:c r="E613" s="20" t="str">
        <x:v>en</x:v>
      </x:c>
      <x:c r="F613" s="20" t="str">
        <x:v>该搜索词为 ASIN 形式，需补充商品元数据后再判断用户意图。</x:v>
      </x:c>
      <x:c r="G613" s="20" t="str">
        <x:v>unknown</x:v>
      </x:c>
      <x:c r="H613" s="20" t="str">
        <x:v>low</x:v>
      </x:c>
      <x:c r="I613" s="20" t="str">
        <x:v>asin_target</x:v>
      </x:c>
      <x:c r="J613" s="20" t="str">
        <x:v>asin_metadata_pending</x:v>
      </x:c>
      <x:c r="K613" s="20" t="str">
        <x:v>asin_without_metadata</x:v>
      </x:c>
      <x:c r="L613" s="20" t="str">
        <x:v>not_applicable</x:v>
      </x:c>
      <x:c r="M613" s="20" t="str">
        <x:v>non_model</x:v>
      </x:c>
      <x:c r="N613" s="20" t="str">
        <x:v>2</x:v>
      </x:c>
      <x:c r="O613" s="20" t="str">
        <x:v>1.0.0</x:v>
      </x:c>
      <x:c r="P613" s="20" t="str">
        <x:v>1.1.0</x:v>
      </x:c>
      <x:c r="Q613" s="20" t="str">
        <x:v>deepseek/deepseek-v4-pro</x:v>
      </x:c>
      <x:c r="R613" s="20" t="str">
        <x:v>aj2-y90-20260714T234810-0bea2f52</x:v>
      </x:c>
    </x:row>
    <x:row r="614" ht="28" customHeight="1">
      <x:c r="A614" s="20" t="str">
        <x:v>B0GWFQ6SBB</x:v>
      </x:c>
      <x:c r="B614" s="20" t="str">
        <x:v>b0gwfq6sbb</x:v>
      </x:c>
      <x:c r="C614" s="20" t="str">
        <x:v>d30794b3f72be922</x:v>
      </x:c>
      <x:c r="D614" s="20" t="str">
        <x:v>asin_target</x:v>
      </x:c>
      <x:c r="E614" s="20" t="str">
        <x:v>en</x:v>
      </x:c>
      <x:c r="F614" s="20" t="str">
        <x:v>该搜索词为 ASIN 形式，需补充商品元数据后再判断用户意图。</x:v>
      </x:c>
      <x:c r="G614" s="20" t="str">
        <x:v>unknown</x:v>
      </x:c>
      <x:c r="H614" s="20" t="str">
        <x:v>low</x:v>
      </x:c>
      <x:c r="I614" s="20" t="str">
        <x:v>asin_target</x:v>
      </x:c>
      <x:c r="J614" s="20" t="str">
        <x:v>asin_metadata_pending</x:v>
      </x:c>
      <x:c r="K614" s="20" t="str">
        <x:v>asin_without_metadata</x:v>
      </x:c>
      <x:c r="L614" s="20" t="str">
        <x:v>not_applicable</x:v>
      </x:c>
      <x:c r="M614" s="20" t="str">
        <x:v>non_model</x:v>
      </x:c>
      <x:c r="N614" s="20" t="str">
        <x:v>1</x:v>
      </x:c>
      <x:c r="O614" s="20" t="str">
        <x:v>1.0.0</x:v>
      </x:c>
      <x:c r="P614" s="20" t="str">
        <x:v>1.1.0</x:v>
      </x:c>
      <x:c r="Q614" s="20" t="str">
        <x:v>deepseek/deepseek-v4-pro</x:v>
      </x:c>
      <x:c r="R614" s="20" t="str">
        <x:v>aj2-y90-20260714T234810-0bea2f52</x:v>
      </x:c>
    </x:row>
    <x:row r="615" ht="28" customHeight="1">
      <x:c r="A615" s="20" t="str">
        <x:v>B07FQTV723</x:v>
      </x:c>
      <x:c r="B615" s="20" t="str">
        <x:v>b07fqtv723</x:v>
      </x:c>
      <x:c r="C615" s="20" t="str">
        <x:v>d3b1b1e974bd3923</x:v>
      </x:c>
      <x:c r="D615" s="20" t="str">
        <x:v>asin_target</x:v>
      </x:c>
      <x:c r="E615" s="20" t="str">
        <x:v>en</x:v>
      </x:c>
      <x:c r="F615" s="20" t="str">
        <x:v>该搜索词为 ASIN 形式，需补充商品元数据后再判断用户意图。</x:v>
      </x:c>
      <x:c r="G615" s="20" t="str">
        <x:v>unknown</x:v>
      </x:c>
      <x:c r="H615" s="20" t="str">
        <x:v>low</x:v>
      </x:c>
      <x:c r="I615" s="20" t="str">
        <x:v>asin_target</x:v>
      </x:c>
      <x:c r="J615" s="20" t="str">
        <x:v>asin_metadata_pending</x:v>
      </x:c>
      <x:c r="K615" s="20" t="str">
        <x:v>asin_without_metadata</x:v>
      </x:c>
      <x:c r="L615" s="20" t="str">
        <x:v>not_applicable</x:v>
      </x:c>
      <x:c r="M615" s="20" t="str">
        <x:v>non_model</x:v>
      </x:c>
      <x:c r="N615" s="20" t="str">
        <x:v>1</x:v>
      </x:c>
      <x:c r="O615" s="20" t="str">
        <x:v>1.0.0</x:v>
      </x:c>
      <x:c r="P615" s="20" t="str">
        <x:v>1.1.0</x:v>
      </x:c>
      <x:c r="Q615" s="20" t="str">
        <x:v>deepseek/deepseek-v4-pro</x:v>
      </x:c>
      <x:c r="R615" s="20" t="str">
        <x:v>aj2-y90-20260714T234810-0bea2f52</x:v>
      </x:c>
    </x:row>
    <x:row r="616" ht="28" customHeight="1">
      <x:c r="A616" s="20" t="str">
        <x:v>B0CCG5GF3T</x:v>
      </x:c>
      <x:c r="B616" s="20" t="str">
        <x:v>b0ccg5gf3t</x:v>
      </x:c>
      <x:c r="C616" s="20" t="str">
        <x:v>d42be4521da54a08</x:v>
      </x:c>
      <x:c r="D616" s="20" t="str">
        <x:v>asin_target</x:v>
      </x:c>
      <x:c r="E616" s="20" t="str">
        <x:v>en</x:v>
      </x:c>
      <x:c r="F616" s="20" t="str">
        <x:v>该搜索词为 ASIN 形式，需补充商品元数据后再判断用户意图。</x:v>
      </x:c>
      <x:c r="G616" s="20" t="str">
        <x:v>unknown</x:v>
      </x:c>
      <x:c r="H616" s="20" t="str">
        <x:v>low</x:v>
      </x:c>
      <x:c r="I616" s="20" t="str">
        <x:v>asin_target</x:v>
      </x:c>
      <x:c r="J616" s="20" t="str">
        <x:v>asin_metadata_pending</x:v>
      </x:c>
      <x:c r="K616" s="20" t="str">
        <x:v>asin_without_metadata</x:v>
      </x:c>
      <x:c r="L616" s="20" t="str">
        <x:v>not_applicable</x:v>
      </x:c>
      <x:c r="M616" s="20" t="str">
        <x:v>non_model</x:v>
      </x:c>
      <x:c r="N616" s="20" t="str">
        <x:v>1</x:v>
      </x:c>
      <x:c r="O616" s="20" t="str">
        <x:v>1.0.0</x:v>
      </x:c>
      <x:c r="P616" s="20" t="str">
        <x:v>1.1.0</x:v>
      </x:c>
      <x:c r="Q616" s="20" t="str">
        <x:v>deepseek/deepseek-v4-pro</x:v>
      </x:c>
      <x:c r="R616" s="20" t="str">
        <x:v>aj2-y90-20260714T234810-0bea2f52</x:v>
      </x:c>
    </x:row>
    <x:row r="617" ht="28" customHeight="1">
      <x:c r="A617" s="20" t="str">
        <x:v>B0G47QRZ8H</x:v>
      </x:c>
      <x:c r="B617" s="20" t="str">
        <x:v>b0g47qrz8h</x:v>
      </x:c>
      <x:c r="C617" s="20" t="str">
        <x:v>d4afb718cd0ab629</x:v>
      </x:c>
      <x:c r="D617" s="20" t="str">
        <x:v>asin_target</x:v>
      </x:c>
      <x:c r="E617" s="20" t="str">
        <x:v>en</x:v>
      </x:c>
      <x:c r="F617" s="20" t="str">
        <x:v>该搜索词为 ASIN 形式，需补充商品元数据后再判断用户意图。</x:v>
      </x:c>
      <x:c r="G617" s="20" t="str">
        <x:v>unknown</x:v>
      </x:c>
      <x:c r="H617" s="20" t="str">
        <x:v>low</x:v>
      </x:c>
      <x:c r="I617" s="20" t="str">
        <x:v>asin_target</x:v>
      </x:c>
      <x:c r="J617" s="20" t="str">
        <x:v>asin_metadata_pending</x:v>
      </x:c>
      <x:c r="K617" s="20" t="str">
        <x:v>asin_without_metadata</x:v>
      </x:c>
      <x:c r="L617" s="20" t="str">
        <x:v>not_applicable</x:v>
      </x:c>
      <x:c r="M617" s="20" t="str">
        <x:v>non_model</x:v>
      </x:c>
      <x:c r="N617" s="20" t="str">
        <x:v>1</x:v>
      </x:c>
      <x:c r="O617" s="20" t="str">
        <x:v>1.0.0</x:v>
      </x:c>
      <x:c r="P617" s="20" t="str">
        <x:v>1.1.0</x:v>
      </x:c>
      <x:c r="Q617" s="20" t="str">
        <x:v>deepseek/deepseek-v4-pro</x:v>
      </x:c>
      <x:c r="R617" s="20" t="str">
        <x:v>aj2-y90-20260714T234810-0bea2f52</x:v>
      </x:c>
    </x:row>
    <x:row r="618" ht="28" customHeight="1">
      <x:c r="A618" s="20" t="str">
        <x:v>B086SY3VP6</x:v>
      </x:c>
      <x:c r="B618" s="20" t="str">
        <x:v>b086sy3vp6</x:v>
      </x:c>
      <x:c r="C618" s="20" t="str">
        <x:v>d59b13a6dd2eafbc</x:v>
      </x:c>
      <x:c r="D618" s="20" t="str">
        <x:v>asin_target</x:v>
      </x:c>
      <x:c r="E618" s="20" t="str">
        <x:v>en</x:v>
      </x:c>
      <x:c r="F618" s="20" t="str">
        <x:v>该搜索词为 ASIN 形式，需补充商品元数据后再判断用户意图。</x:v>
      </x:c>
      <x:c r="G618" s="20" t="str">
        <x:v>unknown</x:v>
      </x:c>
      <x:c r="H618" s="20" t="str">
        <x:v>low</x:v>
      </x:c>
      <x:c r="I618" s="20" t="str">
        <x:v>asin_target</x:v>
      </x:c>
      <x:c r="J618" s="20" t="str">
        <x:v>asin_metadata_pending</x:v>
      </x:c>
      <x:c r="K618" s="20" t="str">
        <x:v>asin_without_metadata</x:v>
      </x:c>
      <x:c r="L618" s="20" t="str">
        <x:v>not_applicable</x:v>
      </x:c>
      <x:c r="M618" s="20" t="str">
        <x:v>non_model</x:v>
      </x:c>
      <x:c r="N618" s="20" t="str">
        <x:v>3</x:v>
      </x:c>
      <x:c r="O618" s="20" t="str">
        <x:v>1.0.0</x:v>
      </x:c>
      <x:c r="P618" s="20" t="str">
        <x:v>1.1.0</x:v>
      </x:c>
      <x:c r="Q618" s="20" t="str">
        <x:v>deepseek/deepseek-v4-pro</x:v>
      </x:c>
      <x:c r="R618" s="20" t="str">
        <x:v>aj2-y90-20260714T234810-0bea2f52</x:v>
      </x:c>
    </x:row>
    <x:row r="619" ht="28" customHeight="1">
      <x:c r="A619" s="20" t="str">
        <x:v>B09PL6MHY6</x:v>
      </x:c>
      <x:c r="B619" s="20" t="str">
        <x:v>b09pl6mhy6</x:v>
      </x:c>
      <x:c r="C619" s="20" t="str">
        <x:v>d5f7b36de4f07e88</x:v>
      </x:c>
      <x:c r="D619" s="20" t="str">
        <x:v>asin_target</x:v>
      </x:c>
      <x:c r="E619" s="20" t="str">
        <x:v>en</x:v>
      </x:c>
      <x:c r="F619" s="20" t="str">
        <x:v>该搜索词为 ASIN 形式，需补充商品元数据后再判断用户意图。</x:v>
      </x:c>
      <x:c r="G619" s="20" t="str">
        <x:v>unknown</x:v>
      </x:c>
      <x:c r="H619" s="20" t="str">
        <x:v>low</x:v>
      </x:c>
      <x:c r="I619" s="20" t="str">
        <x:v>asin_target</x:v>
      </x:c>
      <x:c r="J619" s="20" t="str">
        <x:v>asin_metadata_pending</x:v>
      </x:c>
      <x:c r="K619" s="20" t="str">
        <x:v>asin_without_metadata</x:v>
      </x:c>
      <x:c r="L619" s="20" t="str">
        <x:v>not_applicable</x:v>
      </x:c>
      <x:c r="M619" s="20" t="str">
        <x:v>non_model</x:v>
      </x:c>
      <x:c r="N619" s="20" t="str">
        <x:v>1</x:v>
      </x:c>
      <x:c r="O619" s="20" t="str">
        <x:v>1.0.0</x:v>
      </x:c>
      <x:c r="P619" s="20" t="str">
        <x:v>1.1.0</x:v>
      </x:c>
      <x:c r="Q619" s="20" t="str">
        <x:v>deepseek/deepseek-v4-pro</x:v>
      </x:c>
      <x:c r="R619" s="20" t="str">
        <x:v>aj2-y90-20260714T234810-0bea2f52</x:v>
      </x:c>
    </x:row>
    <x:row r="620" ht="28" customHeight="1">
      <x:c r="A620" s="20" t="str">
        <x:v>B0872B3PNL</x:v>
      </x:c>
      <x:c r="B620" s="20" t="str">
        <x:v>b0872b3pnl</x:v>
      </x:c>
      <x:c r="C620" s="20" t="str">
        <x:v>d739e156011e0ce5</x:v>
      </x:c>
      <x:c r="D620" s="20" t="str">
        <x:v>asin_target</x:v>
      </x:c>
      <x:c r="E620" s="20" t="str">
        <x:v>en</x:v>
      </x:c>
      <x:c r="F620" s="20" t="str">
        <x:v>该搜索词为 ASIN 形式，需补充商品元数据后再判断用户意图。</x:v>
      </x:c>
      <x:c r="G620" s="20" t="str">
        <x:v>unknown</x:v>
      </x:c>
      <x:c r="H620" s="20" t="str">
        <x:v>low</x:v>
      </x:c>
      <x:c r="I620" s="20" t="str">
        <x:v>asin_target</x:v>
      </x:c>
      <x:c r="J620" s="20" t="str">
        <x:v>asin_metadata_pending</x:v>
      </x:c>
      <x:c r="K620" s="20" t="str">
        <x:v>asin_without_metadata</x:v>
      </x:c>
      <x:c r="L620" s="20" t="str">
        <x:v>not_applicable</x:v>
      </x:c>
      <x:c r="M620" s="20" t="str">
        <x:v>non_model</x:v>
      </x:c>
      <x:c r="N620" s="20" t="str">
        <x:v>1</x:v>
      </x:c>
      <x:c r="O620" s="20" t="str">
        <x:v>1.0.0</x:v>
      </x:c>
      <x:c r="P620" s="20" t="str">
        <x:v>1.1.0</x:v>
      </x:c>
      <x:c r="Q620" s="20" t="str">
        <x:v>deepseek/deepseek-v4-pro</x:v>
      </x:c>
      <x:c r="R620" s="20" t="str">
        <x:v>aj2-y90-20260714T234810-0bea2f52</x:v>
      </x:c>
    </x:row>
    <x:row r="621" ht="28" customHeight="1">
      <x:c r="A621" s="20" t="str">
        <x:v>B0FXX6X74Q</x:v>
      </x:c>
      <x:c r="B621" s="20" t="str">
        <x:v>b0fxx6x74q</x:v>
      </x:c>
      <x:c r="C621" s="20" t="str">
        <x:v>d7c15ca1495b4b43</x:v>
      </x:c>
      <x:c r="D621" s="20" t="str">
        <x:v>asin_target</x:v>
      </x:c>
      <x:c r="E621" s="20" t="str">
        <x:v>en</x:v>
      </x:c>
      <x:c r="F621" s="20" t="str">
        <x:v>该搜索词为 ASIN 形式，需补充商品元数据后再判断用户意图。</x:v>
      </x:c>
      <x:c r="G621" s="20" t="str">
        <x:v>unknown</x:v>
      </x:c>
      <x:c r="H621" s="20" t="str">
        <x:v>low</x:v>
      </x:c>
      <x:c r="I621" s="20" t="str">
        <x:v>asin_target</x:v>
      </x:c>
      <x:c r="J621" s="20" t="str">
        <x:v>asin_metadata_pending</x:v>
      </x:c>
      <x:c r="K621" s="20" t="str">
        <x:v>asin_without_metadata</x:v>
      </x:c>
      <x:c r="L621" s="20" t="str">
        <x:v>not_applicable</x:v>
      </x:c>
      <x:c r="M621" s="20" t="str">
        <x:v>non_model</x:v>
      </x:c>
      <x:c r="N621" s="20" t="str">
        <x:v>1</x:v>
      </x:c>
      <x:c r="O621" s="20" t="str">
        <x:v>1.0.0</x:v>
      </x:c>
      <x:c r="P621" s="20" t="str">
        <x:v>1.1.0</x:v>
      </x:c>
      <x:c r="Q621" s="20" t="str">
        <x:v>deepseek/deepseek-v4-pro</x:v>
      </x:c>
      <x:c r="R621" s="20" t="str">
        <x:v>aj2-y90-20260714T234810-0bea2f52</x:v>
      </x:c>
    </x:row>
    <x:row r="622" ht="28" customHeight="1">
      <x:c r="A622" s="20" t="str">
        <x:v>B0G47L4BLH</x:v>
      </x:c>
      <x:c r="B622" s="20" t="str">
        <x:v>b0g47l4blh</x:v>
      </x:c>
      <x:c r="C622" s="20" t="str">
        <x:v>d8a603782086ab91</x:v>
      </x:c>
      <x:c r="D622" s="20" t="str">
        <x:v>asin_target</x:v>
      </x:c>
      <x:c r="E622" s="20" t="str">
        <x:v>en</x:v>
      </x:c>
      <x:c r="F622" s="20" t="str">
        <x:v>该搜索词为 ASIN 形式，需补充商品元数据后再判断用户意图。</x:v>
      </x:c>
      <x:c r="G622" s="20" t="str">
        <x:v>unknown</x:v>
      </x:c>
      <x:c r="H622" s="20" t="str">
        <x:v>low</x:v>
      </x:c>
      <x:c r="I622" s="20" t="str">
        <x:v>asin_target</x:v>
      </x:c>
      <x:c r="J622" s="20" t="str">
        <x:v>asin_metadata_pending</x:v>
      </x:c>
      <x:c r="K622" s="20" t="str">
        <x:v>asin_without_metadata</x:v>
      </x:c>
      <x:c r="L622" s="20" t="str">
        <x:v>not_applicable</x:v>
      </x:c>
      <x:c r="M622" s="20" t="str">
        <x:v>non_model</x:v>
      </x:c>
      <x:c r="N622" s="20" t="str">
        <x:v>1</x:v>
      </x:c>
      <x:c r="O622" s="20" t="str">
        <x:v>1.0.0</x:v>
      </x:c>
      <x:c r="P622" s="20" t="str">
        <x:v>1.1.0</x:v>
      </x:c>
      <x:c r="Q622" s="20" t="str">
        <x:v>deepseek/deepseek-v4-pro</x:v>
      </x:c>
      <x:c r="R622" s="20" t="str">
        <x:v>aj2-y90-20260714T234810-0bea2f52</x:v>
      </x:c>
    </x:row>
    <x:row r="623" ht="28" customHeight="1">
      <x:c r="A623" s="20" t="str">
        <x:v>B0DXJZ5YJY</x:v>
      </x:c>
      <x:c r="B623" s="20" t="str">
        <x:v>b0dxjz5yjy</x:v>
      </x:c>
      <x:c r="C623" s="20" t="str">
        <x:v>d8d6958f3e59ef1f</x:v>
      </x:c>
      <x:c r="D623" s="20" t="str">
        <x:v>asin_target</x:v>
      </x:c>
      <x:c r="E623" s="20" t="str">
        <x:v>en</x:v>
      </x:c>
      <x:c r="F623" s="20" t="str">
        <x:v>该搜索词为 ASIN 形式，需补充商品元数据后再判断用户意图。</x:v>
      </x:c>
      <x:c r="G623" s="20" t="str">
        <x:v>unknown</x:v>
      </x:c>
      <x:c r="H623" s="20" t="str">
        <x:v>low</x:v>
      </x:c>
      <x:c r="I623" s="20" t="str">
        <x:v>asin_target</x:v>
      </x:c>
      <x:c r="J623" s="20" t="str">
        <x:v>asin_metadata_pending</x:v>
      </x:c>
      <x:c r="K623" s="20" t="str">
        <x:v>asin_without_metadata</x:v>
      </x:c>
      <x:c r="L623" s="20" t="str">
        <x:v>not_applicable</x:v>
      </x:c>
      <x:c r="M623" s="20" t="str">
        <x:v>non_model</x:v>
      </x:c>
      <x:c r="N623" s="20" t="str">
        <x:v>1</x:v>
      </x:c>
      <x:c r="O623" s="20" t="str">
        <x:v>1.0.0</x:v>
      </x:c>
      <x:c r="P623" s="20" t="str">
        <x:v>1.1.0</x:v>
      </x:c>
      <x:c r="Q623" s="20" t="str">
        <x:v>deepseek/deepseek-v4-pro</x:v>
      </x:c>
      <x:c r="R623" s="20" t="str">
        <x:v>aj2-y90-20260714T234810-0bea2f52</x:v>
      </x:c>
    </x:row>
    <x:row r="624" ht="28" customHeight="1">
      <x:c r="A624" s="20" t="str">
        <x:v>B0F4Q4L15X</x:v>
      </x:c>
      <x:c r="B624" s="20" t="str">
        <x:v>b0f4q4l15x</x:v>
      </x:c>
      <x:c r="C624" s="20" t="str">
        <x:v>d8da8d4d1d706bbf</x:v>
      </x:c>
      <x:c r="D624" s="20" t="str">
        <x:v>asin_target</x:v>
      </x:c>
      <x:c r="E624" s="20" t="str">
        <x:v>en</x:v>
      </x:c>
      <x:c r="F624" s="20" t="str">
        <x:v>该搜索词为 ASIN 形式，需补充商品元数据后再判断用户意图。</x:v>
      </x:c>
      <x:c r="G624" s="20" t="str">
        <x:v>unknown</x:v>
      </x:c>
      <x:c r="H624" s="20" t="str">
        <x:v>low</x:v>
      </x:c>
      <x:c r="I624" s="20" t="str">
        <x:v>asin_target</x:v>
      </x:c>
      <x:c r="J624" s="20" t="str">
        <x:v>asin_metadata_pending</x:v>
      </x:c>
      <x:c r="K624" s="20" t="str">
        <x:v>asin_without_metadata</x:v>
      </x:c>
      <x:c r="L624" s="20" t="str">
        <x:v>not_applicable</x:v>
      </x:c>
      <x:c r="M624" s="20" t="str">
        <x:v>non_model</x:v>
      </x:c>
      <x:c r="N624" s="20" t="str">
        <x:v>1</x:v>
      </x:c>
      <x:c r="O624" s="20" t="str">
        <x:v>1.0.0</x:v>
      </x:c>
      <x:c r="P624" s="20" t="str">
        <x:v>1.1.0</x:v>
      </x:c>
      <x:c r="Q624" s="20" t="str">
        <x:v>deepseek/deepseek-v4-pro</x:v>
      </x:c>
      <x:c r="R624" s="20" t="str">
        <x:v>aj2-y90-20260714T234810-0bea2f52</x:v>
      </x:c>
    </x:row>
    <x:row r="625" ht="28" customHeight="1">
      <x:c r="A625" s="20" t="str">
        <x:v>B010123E6S</x:v>
      </x:c>
      <x:c r="B625" s="20" t="str">
        <x:v>b010123e6s</x:v>
      </x:c>
      <x:c r="C625" s="20" t="str">
        <x:v>da18ba65fa261489</x:v>
      </x:c>
      <x:c r="D625" s="20" t="str">
        <x:v>asin_target</x:v>
      </x:c>
      <x:c r="E625" s="20" t="str">
        <x:v>en</x:v>
      </x:c>
      <x:c r="F625" s="20" t="str">
        <x:v>该搜索词为 ASIN 形式，需补充商品元数据后再判断用户意图。</x:v>
      </x:c>
      <x:c r="G625" s="20" t="str">
        <x:v>unknown</x:v>
      </x:c>
      <x:c r="H625" s="20" t="str">
        <x:v>low</x:v>
      </x:c>
      <x:c r="I625" s="20" t="str">
        <x:v>asin_target</x:v>
      </x:c>
      <x:c r="J625" s="20" t="str">
        <x:v>asin_metadata_pending</x:v>
      </x:c>
      <x:c r="K625" s="20" t="str">
        <x:v>asin_without_metadata</x:v>
      </x:c>
      <x:c r="L625" s="20" t="str">
        <x:v>not_applicable</x:v>
      </x:c>
      <x:c r="M625" s="20" t="str">
        <x:v>non_model</x:v>
      </x:c>
      <x:c r="N625" s="20" t="str">
        <x:v>2</x:v>
      </x:c>
      <x:c r="O625" s="20" t="str">
        <x:v>1.0.0</x:v>
      </x:c>
      <x:c r="P625" s="20" t="str">
        <x:v>1.1.0</x:v>
      </x:c>
      <x:c r="Q625" s="20" t="str">
        <x:v>deepseek/deepseek-v4-pro</x:v>
      </x:c>
      <x:c r="R625" s="20" t="str">
        <x:v>aj2-y90-20260714T234810-0bea2f52</x:v>
      </x:c>
    </x:row>
    <x:row r="626" ht="28" customHeight="1">
      <x:c r="A626" s="20" t="str">
        <x:v>B08GKGCH2R</x:v>
      </x:c>
      <x:c r="B626" s="20" t="str">
        <x:v>b08gkgch2r</x:v>
      </x:c>
      <x:c r="C626" s="20" t="str">
        <x:v>db4df8554af58545</x:v>
      </x:c>
      <x:c r="D626" s="20" t="str">
        <x:v>asin_target</x:v>
      </x:c>
      <x:c r="E626" s="20" t="str">
        <x:v>en</x:v>
      </x:c>
      <x:c r="F626" s="20" t="str">
        <x:v>该搜索词为 ASIN 形式，需补充商品元数据后再判断用户意图。</x:v>
      </x:c>
      <x:c r="G626" s="20" t="str">
        <x:v>unknown</x:v>
      </x:c>
      <x:c r="H626" s="20" t="str">
        <x:v>low</x:v>
      </x:c>
      <x:c r="I626" s="20" t="str">
        <x:v>asin_target</x:v>
      </x:c>
      <x:c r="J626" s="20" t="str">
        <x:v>asin_metadata_pending</x:v>
      </x:c>
      <x:c r="K626" s="20" t="str">
        <x:v>asin_without_metadata</x:v>
      </x:c>
      <x:c r="L626" s="20" t="str">
        <x:v>not_applicable</x:v>
      </x:c>
      <x:c r="M626" s="20" t="str">
        <x:v>non_model</x:v>
      </x:c>
      <x:c r="N626" s="20" t="str">
        <x:v>1</x:v>
      </x:c>
      <x:c r="O626" s="20" t="str">
        <x:v>1.0.0</x:v>
      </x:c>
      <x:c r="P626" s="20" t="str">
        <x:v>1.1.0</x:v>
      </x:c>
      <x:c r="Q626" s="20" t="str">
        <x:v>deepseek/deepseek-v4-pro</x:v>
      </x:c>
      <x:c r="R626" s="20" t="str">
        <x:v>aj2-y90-20260714T234810-0bea2f52</x:v>
      </x:c>
    </x:row>
    <x:row r="627" ht="28" customHeight="1">
      <x:c r="A627" s="20" t="str">
        <x:v>B0FK9DB525</x:v>
      </x:c>
      <x:c r="B627" s="20" t="str">
        <x:v>b0fk9db525</x:v>
      </x:c>
      <x:c r="C627" s="20" t="str">
        <x:v>db4f6cbe1624b4bf</x:v>
      </x:c>
      <x:c r="D627" s="20" t="str">
        <x:v>asin_target</x:v>
      </x:c>
      <x:c r="E627" s="20" t="str">
        <x:v>en</x:v>
      </x:c>
      <x:c r="F627" s="20" t="str">
        <x:v>该搜索词为 ASIN 形式，需补充商品元数据后再判断用户意图。</x:v>
      </x:c>
      <x:c r="G627" s="20" t="str">
        <x:v>unknown</x:v>
      </x:c>
      <x:c r="H627" s="20" t="str">
        <x:v>low</x:v>
      </x:c>
      <x:c r="I627" s="20" t="str">
        <x:v>asin_target</x:v>
      </x:c>
      <x:c r="J627" s="20" t="str">
        <x:v>asin_metadata_pending</x:v>
      </x:c>
      <x:c r="K627" s="20" t="str">
        <x:v>asin_without_metadata</x:v>
      </x:c>
      <x:c r="L627" s="20" t="str">
        <x:v>not_applicable</x:v>
      </x:c>
      <x:c r="M627" s="20" t="str">
        <x:v>non_model</x:v>
      </x:c>
      <x:c r="N627" s="20" t="str">
        <x:v>2</x:v>
      </x:c>
      <x:c r="O627" s="20" t="str">
        <x:v>1.0.0</x:v>
      </x:c>
      <x:c r="P627" s="20" t="str">
        <x:v>1.1.0</x:v>
      </x:c>
      <x:c r="Q627" s="20" t="str">
        <x:v>deepseek/deepseek-v4-pro</x:v>
      </x:c>
      <x:c r="R627" s="20" t="str">
        <x:v>aj2-y90-20260714T234810-0bea2f52</x:v>
      </x:c>
    </x:row>
    <x:row r="628" ht="28" customHeight="1">
      <x:c r="A628" s="20" t="str">
        <x:v>B0GWDBXNDR</x:v>
      </x:c>
      <x:c r="B628" s="20" t="str">
        <x:v>b0gwdbxndr</x:v>
      </x:c>
      <x:c r="C628" s="20" t="str">
        <x:v>dc139bd123a395a9</x:v>
      </x:c>
      <x:c r="D628" s="20" t="str">
        <x:v>asin_target</x:v>
      </x:c>
      <x:c r="E628" s="20" t="str">
        <x:v>en</x:v>
      </x:c>
      <x:c r="F628" s="20" t="str">
        <x:v>该搜索词为 ASIN 形式，需补充商品元数据后再判断用户意图。</x:v>
      </x:c>
      <x:c r="G628" s="20" t="str">
        <x:v>unknown</x:v>
      </x:c>
      <x:c r="H628" s="20" t="str">
        <x:v>low</x:v>
      </x:c>
      <x:c r="I628" s="20" t="str">
        <x:v>asin_target</x:v>
      </x:c>
      <x:c r="J628" s="20" t="str">
        <x:v>asin_metadata_pending</x:v>
      </x:c>
      <x:c r="K628" s="20" t="str">
        <x:v>asin_without_metadata</x:v>
      </x:c>
      <x:c r="L628" s="20" t="str">
        <x:v>not_applicable</x:v>
      </x:c>
      <x:c r="M628" s="20" t="str">
        <x:v>non_model</x:v>
      </x:c>
      <x:c r="N628" s="20" t="str">
        <x:v>1</x:v>
      </x:c>
      <x:c r="O628" s="20" t="str">
        <x:v>1.0.0</x:v>
      </x:c>
      <x:c r="P628" s="20" t="str">
        <x:v>1.1.0</x:v>
      </x:c>
      <x:c r="Q628" s="20" t="str">
        <x:v>deepseek/deepseek-v4-pro</x:v>
      </x:c>
      <x:c r="R628" s="20" t="str">
        <x:v>aj2-y90-20260714T234810-0bea2f52</x:v>
      </x:c>
    </x:row>
    <x:row r="629" ht="28" customHeight="1">
      <x:c r="A629" s="20" t="str">
        <x:v>B0D2DV8PTH</x:v>
      </x:c>
      <x:c r="B629" s="20" t="str">
        <x:v>b0d2dv8pth</x:v>
      </x:c>
      <x:c r="C629" s="20" t="str">
        <x:v>dc174ff2892421cf</x:v>
      </x:c>
      <x:c r="D629" s="20" t="str">
        <x:v>asin_target</x:v>
      </x:c>
      <x:c r="E629" s="20" t="str">
        <x:v>en</x:v>
      </x:c>
      <x:c r="F629" s="20" t="str">
        <x:v>该搜索词为 ASIN 形式，需补充商品元数据后再判断用户意图。</x:v>
      </x:c>
      <x:c r="G629" s="20" t="str">
        <x:v>unknown</x:v>
      </x:c>
      <x:c r="H629" s="20" t="str">
        <x:v>low</x:v>
      </x:c>
      <x:c r="I629" s="20" t="str">
        <x:v>asin_target</x:v>
      </x:c>
      <x:c r="J629" s="20" t="str">
        <x:v>asin_metadata_pending</x:v>
      </x:c>
      <x:c r="K629" s="20" t="str">
        <x:v>asin_without_metadata</x:v>
      </x:c>
      <x:c r="L629" s="20" t="str">
        <x:v>not_applicable</x:v>
      </x:c>
      <x:c r="M629" s="20" t="str">
        <x:v>non_model</x:v>
      </x:c>
      <x:c r="N629" s="20" t="str">
        <x:v>1</x:v>
      </x:c>
      <x:c r="O629" s="20" t="str">
        <x:v>1.0.0</x:v>
      </x:c>
      <x:c r="P629" s="20" t="str">
        <x:v>1.1.0</x:v>
      </x:c>
      <x:c r="Q629" s="20" t="str">
        <x:v>deepseek/deepseek-v4-pro</x:v>
      </x:c>
      <x:c r="R629" s="20" t="str">
        <x:v>aj2-y90-20260714T234810-0bea2f52</x:v>
      </x:c>
    </x:row>
    <x:row r="630" ht="28" customHeight="1">
      <x:c r="A630" s="20" t="str">
        <x:v>B0FF2QC8NV</x:v>
      </x:c>
      <x:c r="B630" s="20" t="str">
        <x:v>b0ff2qc8nv</x:v>
      </x:c>
      <x:c r="C630" s="20" t="str">
        <x:v>dd361c16936e70b3</x:v>
      </x:c>
      <x:c r="D630" s="20" t="str">
        <x:v>asin_target</x:v>
      </x:c>
      <x:c r="E630" s="20" t="str">
        <x:v>en</x:v>
      </x:c>
      <x:c r="F630" s="20" t="str">
        <x:v>该搜索词为 ASIN 形式，需补充商品元数据后再判断用户意图。</x:v>
      </x:c>
      <x:c r="G630" s="20" t="str">
        <x:v>unknown</x:v>
      </x:c>
      <x:c r="H630" s="20" t="str">
        <x:v>low</x:v>
      </x:c>
      <x:c r="I630" s="20" t="str">
        <x:v>asin_target</x:v>
      </x:c>
      <x:c r="J630" s="20" t="str">
        <x:v>asin_metadata_pending</x:v>
      </x:c>
      <x:c r="K630" s="20" t="str">
        <x:v>asin_without_metadata</x:v>
      </x:c>
      <x:c r="L630" s="20" t="str">
        <x:v>not_applicable</x:v>
      </x:c>
      <x:c r="M630" s="20" t="str">
        <x:v>non_model</x:v>
      </x:c>
      <x:c r="N630" s="20" t="str">
        <x:v>1</x:v>
      </x:c>
      <x:c r="O630" s="20" t="str">
        <x:v>1.0.0</x:v>
      </x:c>
      <x:c r="P630" s="20" t="str">
        <x:v>1.1.0</x:v>
      </x:c>
      <x:c r="Q630" s="20" t="str">
        <x:v>deepseek/deepseek-v4-pro</x:v>
      </x:c>
      <x:c r="R630" s="20" t="str">
        <x:v>aj2-y90-20260714T234810-0bea2f52</x:v>
      </x:c>
    </x:row>
    <x:row r="631" ht="28" customHeight="1">
      <x:c r="A631" s="20" t="str">
        <x:v>B0C9KB6QPH</x:v>
      </x:c>
      <x:c r="B631" s="20" t="str">
        <x:v>b0c9kb6qph</x:v>
      </x:c>
      <x:c r="C631" s="20" t="str">
        <x:v>dd45b790d4ee33ce</x:v>
      </x:c>
      <x:c r="D631" s="20" t="str">
        <x:v>asin_target</x:v>
      </x:c>
      <x:c r="E631" s="20" t="str">
        <x:v>en</x:v>
      </x:c>
      <x:c r="F631" s="20" t="str">
        <x:v>该搜索词为 ASIN 形式，需补充商品元数据后再判断用户意图。</x:v>
      </x:c>
      <x:c r="G631" s="20" t="str">
        <x:v>unknown</x:v>
      </x:c>
      <x:c r="H631" s="20" t="str">
        <x:v>low</x:v>
      </x:c>
      <x:c r="I631" s="20" t="str">
        <x:v>asin_target</x:v>
      </x:c>
      <x:c r="J631" s="20" t="str">
        <x:v>asin_metadata_pending</x:v>
      </x:c>
      <x:c r="K631" s="20" t="str">
        <x:v>asin_without_metadata</x:v>
      </x:c>
      <x:c r="L631" s="20" t="str">
        <x:v>not_applicable</x:v>
      </x:c>
      <x:c r="M631" s="20" t="str">
        <x:v>non_model</x:v>
      </x:c>
      <x:c r="N631" s="20" t="str">
        <x:v>1</x:v>
      </x:c>
      <x:c r="O631" s="20" t="str">
        <x:v>1.0.0</x:v>
      </x:c>
      <x:c r="P631" s="20" t="str">
        <x:v>1.1.0</x:v>
      </x:c>
      <x:c r="Q631" s="20" t="str">
        <x:v>deepseek/deepseek-v4-pro</x:v>
      </x:c>
      <x:c r="R631" s="20" t="str">
        <x:v>aj2-y90-20260714T234810-0bea2f52</x:v>
      </x:c>
    </x:row>
    <x:row r="632" ht="28" customHeight="1">
      <x:c r="A632" s="20" t="str">
        <x:v>B0GKDM5W42</x:v>
      </x:c>
      <x:c r="B632" s="20" t="str">
        <x:v>b0gkdm5w42</x:v>
      </x:c>
      <x:c r="C632" s="20" t="str">
        <x:v>ddfa96b1307f80dd</x:v>
      </x:c>
      <x:c r="D632" s="20" t="str">
        <x:v>asin_target</x:v>
      </x:c>
      <x:c r="E632" s="20" t="str">
        <x:v>en</x:v>
      </x:c>
      <x:c r="F632" s="20" t="str">
        <x:v>该搜索词为 ASIN 形式，需补充商品元数据后再判断用户意图。</x:v>
      </x:c>
      <x:c r="G632" s="20" t="str">
        <x:v>unknown</x:v>
      </x:c>
      <x:c r="H632" s="20" t="str">
        <x:v>low</x:v>
      </x:c>
      <x:c r="I632" s="20" t="str">
        <x:v>asin_target</x:v>
      </x:c>
      <x:c r="J632" s="20" t="str">
        <x:v>asin_metadata_pending</x:v>
      </x:c>
      <x:c r="K632" s="20" t="str">
        <x:v>asin_without_metadata</x:v>
      </x:c>
      <x:c r="L632" s="20" t="str">
        <x:v>not_applicable</x:v>
      </x:c>
      <x:c r="M632" s="20" t="str">
        <x:v>non_model</x:v>
      </x:c>
      <x:c r="N632" s="20" t="str">
        <x:v>1</x:v>
      </x:c>
      <x:c r="O632" s="20" t="str">
        <x:v>1.0.0</x:v>
      </x:c>
      <x:c r="P632" s="20" t="str">
        <x:v>1.1.0</x:v>
      </x:c>
      <x:c r="Q632" s="20" t="str">
        <x:v>deepseek/deepseek-v4-pro</x:v>
      </x:c>
      <x:c r="R632" s="20" t="str">
        <x:v>aj2-y90-20260714T234810-0bea2f52</x:v>
      </x:c>
    </x:row>
    <x:row r="633" ht="28" customHeight="1">
      <x:c r="A633" s="20" t="str">
        <x:v>B0G48KSCN6</x:v>
      </x:c>
      <x:c r="B633" s="20" t="str">
        <x:v>b0g48kscn6</x:v>
      </x:c>
      <x:c r="C633" s="20" t="str">
        <x:v>de366c703c75e5d0</x:v>
      </x:c>
      <x:c r="D633" s="20" t="str">
        <x:v>asin_target</x:v>
      </x:c>
      <x:c r="E633" s="20" t="str">
        <x:v>en</x:v>
      </x:c>
      <x:c r="F633" s="20" t="str">
        <x:v>该搜索词为 ASIN 形式，需补充商品元数据后再判断用户意图。</x:v>
      </x:c>
      <x:c r="G633" s="20" t="str">
        <x:v>unknown</x:v>
      </x:c>
      <x:c r="H633" s="20" t="str">
        <x:v>low</x:v>
      </x:c>
      <x:c r="I633" s="20" t="str">
        <x:v>asin_target</x:v>
      </x:c>
      <x:c r="J633" s="20" t="str">
        <x:v>asin_metadata_pending</x:v>
      </x:c>
      <x:c r="K633" s="20" t="str">
        <x:v>asin_without_metadata</x:v>
      </x:c>
      <x:c r="L633" s="20" t="str">
        <x:v>not_applicable</x:v>
      </x:c>
      <x:c r="M633" s="20" t="str">
        <x:v>non_model</x:v>
      </x:c>
      <x:c r="N633" s="20" t="str">
        <x:v>1</x:v>
      </x:c>
      <x:c r="O633" s="20" t="str">
        <x:v>1.0.0</x:v>
      </x:c>
      <x:c r="P633" s="20" t="str">
        <x:v>1.1.0</x:v>
      </x:c>
      <x:c r="Q633" s="20" t="str">
        <x:v>deepseek/deepseek-v4-pro</x:v>
      </x:c>
      <x:c r="R633" s="20" t="str">
        <x:v>aj2-y90-20260714T234810-0bea2f52</x:v>
      </x:c>
    </x:row>
    <x:row r="634" ht="28" customHeight="1">
      <x:c r="A634" s="20" t="str">
        <x:v>B0C8K23QJB</x:v>
      </x:c>
      <x:c r="B634" s="20" t="str">
        <x:v>b0c8k23qjb</x:v>
      </x:c>
      <x:c r="C634" s="20" t="str">
        <x:v>de38fcf8a0affecf</x:v>
      </x:c>
      <x:c r="D634" s="20" t="str">
        <x:v>asin_target</x:v>
      </x:c>
      <x:c r="E634" s="20" t="str">
        <x:v>en</x:v>
      </x:c>
      <x:c r="F634" s="20" t="str">
        <x:v>该搜索词为 ASIN 形式，需补充商品元数据后再判断用户意图。</x:v>
      </x:c>
      <x:c r="G634" s="20" t="str">
        <x:v>unknown</x:v>
      </x:c>
      <x:c r="H634" s="20" t="str">
        <x:v>low</x:v>
      </x:c>
      <x:c r="I634" s="20" t="str">
        <x:v>asin_target</x:v>
      </x:c>
      <x:c r="J634" s="20" t="str">
        <x:v>asin_metadata_pending</x:v>
      </x:c>
      <x:c r="K634" s="20" t="str">
        <x:v>asin_without_metadata</x:v>
      </x:c>
      <x:c r="L634" s="20" t="str">
        <x:v>not_applicable</x:v>
      </x:c>
      <x:c r="M634" s="20" t="str">
        <x:v>non_model</x:v>
      </x:c>
      <x:c r="N634" s="20" t="str">
        <x:v>1</x:v>
      </x:c>
      <x:c r="O634" s="20" t="str">
        <x:v>1.0.0</x:v>
      </x:c>
      <x:c r="P634" s="20" t="str">
        <x:v>1.1.0</x:v>
      </x:c>
      <x:c r="Q634" s="20" t="str">
        <x:v>deepseek/deepseek-v4-pro</x:v>
      </x:c>
      <x:c r="R634" s="20" t="str">
        <x:v>aj2-y90-20260714T234810-0bea2f52</x:v>
      </x:c>
    </x:row>
    <x:row r="635" ht="28" customHeight="1">
      <x:c r="A635" s="20" t="str">
        <x:v>B0GLDMVP81</x:v>
      </x:c>
      <x:c r="B635" s="20" t="str">
        <x:v>b0gldmvp81</x:v>
      </x:c>
      <x:c r="C635" s="20" t="str">
        <x:v>de8d4dc12113a5fb</x:v>
      </x:c>
      <x:c r="D635" s="20" t="str">
        <x:v>asin_target</x:v>
      </x:c>
      <x:c r="E635" s="20" t="str">
        <x:v>en</x:v>
      </x:c>
      <x:c r="F635" s="20" t="str">
        <x:v>该搜索词为 ASIN 形式，需补充商品元数据后再判断用户意图。</x:v>
      </x:c>
      <x:c r="G635" s="20" t="str">
        <x:v>unknown</x:v>
      </x:c>
      <x:c r="H635" s="20" t="str">
        <x:v>low</x:v>
      </x:c>
      <x:c r="I635" s="20" t="str">
        <x:v>asin_target</x:v>
      </x:c>
      <x:c r="J635" s="20" t="str">
        <x:v>asin_metadata_pending</x:v>
      </x:c>
      <x:c r="K635" s="20" t="str">
        <x:v>asin_without_metadata</x:v>
      </x:c>
      <x:c r="L635" s="20" t="str">
        <x:v>not_applicable</x:v>
      </x:c>
      <x:c r="M635" s="20" t="str">
        <x:v>non_model</x:v>
      </x:c>
      <x:c r="N635" s="20" t="str">
        <x:v>1</x:v>
      </x:c>
      <x:c r="O635" s="20" t="str">
        <x:v>1.0.0</x:v>
      </x:c>
      <x:c r="P635" s="20" t="str">
        <x:v>1.1.0</x:v>
      </x:c>
      <x:c r="Q635" s="20" t="str">
        <x:v>deepseek/deepseek-v4-pro</x:v>
      </x:c>
      <x:c r="R635" s="20" t="str">
        <x:v>aj2-y90-20260714T234810-0bea2f52</x:v>
      </x:c>
    </x:row>
    <x:row r="636" ht="28" customHeight="1">
      <x:c r="A636" s="20" t="str">
        <x:v>B0C9L4669D</x:v>
      </x:c>
      <x:c r="B636" s="20" t="str">
        <x:v>b0c9l4669d</x:v>
      </x:c>
      <x:c r="C636" s="20" t="str">
        <x:v>df635075fcb8b120</x:v>
      </x:c>
      <x:c r="D636" s="20" t="str">
        <x:v>asin_target</x:v>
      </x:c>
      <x:c r="E636" s="20" t="str">
        <x:v>en</x:v>
      </x:c>
      <x:c r="F636" s="20" t="str">
        <x:v>该搜索词为 ASIN 形式，需补充商品元数据后再判断用户意图。</x:v>
      </x:c>
      <x:c r="G636" s="20" t="str">
        <x:v>unknown</x:v>
      </x:c>
      <x:c r="H636" s="20" t="str">
        <x:v>low</x:v>
      </x:c>
      <x:c r="I636" s="20" t="str">
        <x:v>asin_target</x:v>
      </x:c>
      <x:c r="J636" s="20" t="str">
        <x:v>asin_metadata_pending</x:v>
      </x:c>
      <x:c r="K636" s="20" t="str">
        <x:v>asin_without_metadata</x:v>
      </x:c>
      <x:c r="L636" s="20" t="str">
        <x:v>not_applicable</x:v>
      </x:c>
      <x:c r="M636" s="20" t="str">
        <x:v>non_model</x:v>
      </x:c>
      <x:c r="N636" s="20" t="str">
        <x:v>1</x:v>
      </x:c>
      <x:c r="O636" s="20" t="str">
        <x:v>1.0.0</x:v>
      </x:c>
      <x:c r="P636" s="20" t="str">
        <x:v>1.1.0</x:v>
      </x:c>
      <x:c r="Q636" s="20" t="str">
        <x:v>deepseek/deepseek-v4-pro</x:v>
      </x:c>
      <x:c r="R636" s="20" t="str">
        <x:v>aj2-y90-20260714T234810-0bea2f52</x:v>
      </x:c>
    </x:row>
    <x:row r="637" ht="28" customHeight="1">
      <x:c r="A637" s="20" t="str">
        <x:v>B0CJ5VLD6H</x:v>
      </x:c>
      <x:c r="B637" s="20" t="str">
        <x:v>b0cj5vld6h</x:v>
      </x:c>
      <x:c r="C637" s="20" t="str">
        <x:v>e0039df9da5e9c6b</x:v>
      </x:c>
      <x:c r="D637" s="20" t="str">
        <x:v>asin_target</x:v>
      </x:c>
      <x:c r="E637" s="20" t="str">
        <x:v>en</x:v>
      </x:c>
      <x:c r="F637" s="20" t="str">
        <x:v>该搜索词为 ASIN 形式，需补充商品元数据后再判断用户意图。</x:v>
      </x:c>
      <x:c r="G637" s="20" t="str">
        <x:v>unknown</x:v>
      </x:c>
      <x:c r="H637" s="20" t="str">
        <x:v>low</x:v>
      </x:c>
      <x:c r="I637" s="20" t="str">
        <x:v>asin_target</x:v>
      </x:c>
      <x:c r="J637" s="20" t="str">
        <x:v>asin_metadata_pending</x:v>
      </x:c>
      <x:c r="K637" s="20" t="str">
        <x:v>asin_without_metadata</x:v>
      </x:c>
      <x:c r="L637" s="20" t="str">
        <x:v>not_applicable</x:v>
      </x:c>
      <x:c r="M637" s="20" t="str">
        <x:v>non_model</x:v>
      </x:c>
      <x:c r="N637" s="20" t="str">
        <x:v>1</x:v>
      </x:c>
      <x:c r="O637" s="20" t="str">
        <x:v>1.0.0</x:v>
      </x:c>
      <x:c r="P637" s="20" t="str">
        <x:v>1.1.0</x:v>
      </x:c>
      <x:c r="Q637" s="20" t="str">
        <x:v>deepseek/deepseek-v4-pro</x:v>
      </x:c>
      <x:c r="R637" s="20" t="str">
        <x:v>aj2-y90-20260714T234810-0bea2f52</x:v>
      </x:c>
    </x:row>
    <x:row r="638" ht="28" customHeight="1">
      <x:c r="A638" s="20" t="str">
        <x:v>B0GKCNCH7N</x:v>
      </x:c>
      <x:c r="B638" s="20" t="str">
        <x:v>b0gkcnch7n</x:v>
      </x:c>
      <x:c r="C638" s="20" t="str">
        <x:v>e029caed3da1781a</x:v>
      </x:c>
      <x:c r="D638" s="20" t="str">
        <x:v>asin_target</x:v>
      </x:c>
      <x:c r="E638" s="20" t="str">
        <x:v>en</x:v>
      </x:c>
      <x:c r="F638" s="20" t="str">
        <x:v>该搜索词为 ASIN 形式，需补充商品元数据后再判断用户意图。</x:v>
      </x:c>
      <x:c r="G638" s="20" t="str">
        <x:v>unknown</x:v>
      </x:c>
      <x:c r="H638" s="20" t="str">
        <x:v>low</x:v>
      </x:c>
      <x:c r="I638" s="20" t="str">
        <x:v>asin_target</x:v>
      </x:c>
      <x:c r="J638" s="20" t="str">
        <x:v>asin_metadata_pending</x:v>
      </x:c>
      <x:c r="K638" s="20" t="str">
        <x:v>asin_without_metadata</x:v>
      </x:c>
      <x:c r="L638" s="20" t="str">
        <x:v>not_applicable</x:v>
      </x:c>
      <x:c r="M638" s="20" t="str">
        <x:v>non_model</x:v>
      </x:c>
      <x:c r="N638" s="20" t="str">
        <x:v>1</x:v>
      </x:c>
      <x:c r="O638" s="20" t="str">
        <x:v>1.0.0</x:v>
      </x:c>
      <x:c r="P638" s="20" t="str">
        <x:v>1.1.0</x:v>
      </x:c>
      <x:c r="Q638" s="20" t="str">
        <x:v>deepseek/deepseek-v4-pro</x:v>
      </x:c>
      <x:c r="R638" s="20" t="str">
        <x:v>aj2-y90-20260714T234810-0bea2f52</x:v>
      </x:c>
    </x:row>
    <x:row r="639" ht="28" customHeight="1">
      <x:c r="A639" s="20" t="str">
        <x:v>B0GGRCD499</x:v>
      </x:c>
      <x:c r="B639" s="20" t="str">
        <x:v>b0ggrcd499</x:v>
      </x:c>
      <x:c r="C639" s="20" t="str">
        <x:v>e04e6d6a1ee5dd42</x:v>
      </x:c>
      <x:c r="D639" s="20" t="str">
        <x:v>asin_target</x:v>
      </x:c>
      <x:c r="E639" s="20" t="str">
        <x:v>en</x:v>
      </x:c>
      <x:c r="F639" s="20" t="str">
        <x:v>该搜索词为 ASIN 形式，需补充商品元数据后再判断用户意图。</x:v>
      </x:c>
      <x:c r="G639" s="20" t="str">
        <x:v>unknown</x:v>
      </x:c>
      <x:c r="H639" s="20" t="str">
        <x:v>low</x:v>
      </x:c>
      <x:c r="I639" s="20" t="str">
        <x:v>asin_target</x:v>
      </x:c>
      <x:c r="J639" s="20" t="str">
        <x:v>asin_metadata_pending</x:v>
      </x:c>
      <x:c r="K639" s="20" t="str">
        <x:v>asin_without_metadata</x:v>
      </x:c>
      <x:c r="L639" s="20" t="str">
        <x:v>not_applicable</x:v>
      </x:c>
      <x:c r="M639" s="20" t="str">
        <x:v>non_model</x:v>
      </x:c>
      <x:c r="N639" s="20" t="str">
        <x:v>1</x:v>
      </x:c>
      <x:c r="O639" s="20" t="str">
        <x:v>1.0.0</x:v>
      </x:c>
      <x:c r="P639" s="20" t="str">
        <x:v>1.1.0</x:v>
      </x:c>
      <x:c r="Q639" s="20" t="str">
        <x:v>deepseek/deepseek-v4-pro</x:v>
      </x:c>
      <x:c r="R639" s="20" t="str">
        <x:v>aj2-y90-20260714T234810-0bea2f52</x:v>
      </x:c>
    </x:row>
    <x:row r="640" ht="28" customHeight="1">
      <x:c r="A640" s="20" t="str">
        <x:v>B0C7K5CCB5</x:v>
      </x:c>
      <x:c r="B640" s="20" t="str">
        <x:v>b0c7k5ccb5</x:v>
      </x:c>
      <x:c r="C640" s="20" t="str">
        <x:v>e09f8c55cd3fe0fc</x:v>
      </x:c>
      <x:c r="D640" s="20" t="str">
        <x:v>asin_target</x:v>
      </x:c>
      <x:c r="E640" s="20" t="str">
        <x:v>en</x:v>
      </x:c>
      <x:c r="F640" s="20" t="str">
        <x:v>该搜索词为 ASIN 形式，需补充商品元数据后再判断用户意图。</x:v>
      </x:c>
      <x:c r="G640" s="20" t="str">
        <x:v>unknown</x:v>
      </x:c>
      <x:c r="H640" s="20" t="str">
        <x:v>low</x:v>
      </x:c>
      <x:c r="I640" s="20" t="str">
        <x:v>asin_target</x:v>
      </x:c>
      <x:c r="J640" s="20" t="str">
        <x:v>asin_metadata_pending</x:v>
      </x:c>
      <x:c r="K640" s="20" t="str">
        <x:v>asin_without_metadata</x:v>
      </x:c>
      <x:c r="L640" s="20" t="str">
        <x:v>not_applicable</x:v>
      </x:c>
      <x:c r="M640" s="20" t="str">
        <x:v>non_model</x:v>
      </x:c>
      <x:c r="N640" s="20" t="str">
        <x:v>1</x:v>
      </x:c>
      <x:c r="O640" s="20" t="str">
        <x:v>1.0.0</x:v>
      </x:c>
      <x:c r="P640" s="20" t="str">
        <x:v>1.1.0</x:v>
      </x:c>
      <x:c r="Q640" s="20" t="str">
        <x:v>deepseek/deepseek-v4-pro</x:v>
      </x:c>
      <x:c r="R640" s="20" t="str">
        <x:v>aj2-y90-20260714T234810-0bea2f52</x:v>
      </x:c>
    </x:row>
    <x:row r="641" ht="28" customHeight="1">
      <x:c r="A641" s="20" t="str">
        <x:v>B0DWTC379D</x:v>
      </x:c>
      <x:c r="B641" s="20" t="str">
        <x:v>b0dwtc379d</x:v>
      </x:c>
      <x:c r="C641" s="20" t="str">
        <x:v>e15ad37123b8f930</x:v>
      </x:c>
      <x:c r="D641" s="20" t="str">
        <x:v>asin_target</x:v>
      </x:c>
      <x:c r="E641" s="20" t="str">
        <x:v>en</x:v>
      </x:c>
      <x:c r="F641" s="20" t="str">
        <x:v>该搜索词为 ASIN 形式，需补充商品元数据后再判断用户意图。</x:v>
      </x:c>
      <x:c r="G641" s="20" t="str">
        <x:v>unknown</x:v>
      </x:c>
      <x:c r="H641" s="20" t="str">
        <x:v>low</x:v>
      </x:c>
      <x:c r="I641" s="20" t="str">
        <x:v>asin_target</x:v>
      </x:c>
      <x:c r="J641" s="20" t="str">
        <x:v>asin_metadata_pending</x:v>
      </x:c>
      <x:c r="K641" s="20" t="str">
        <x:v>asin_without_metadata</x:v>
      </x:c>
      <x:c r="L641" s="20" t="str">
        <x:v>not_applicable</x:v>
      </x:c>
      <x:c r="M641" s="20" t="str">
        <x:v>non_model</x:v>
      </x:c>
      <x:c r="N641" s="20" t="str">
        <x:v>1</x:v>
      </x:c>
      <x:c r="O641" s="20" t="str">
        <x:v>1.0.0</x:v>
      </x:c>
      <x:c r="P641" s="20" t="str">
        <x:v>1.1.0</x:v>
      </x:c>
      <x:c r="Q641" s="20" t="str">
        <x:v>deepseek/deepseek-v4-pro</x:v>
      </x:c>
      <x:c r="R641" s="20" t="str">
        <x:v>aj2-y90-20260714T234810-0bea2f52</x:v>
      </x:c>
    </x:row>
    <x:row r="642" ht="28" customHeight="1">
      <x:c r="A642" s="20" t="str">
        <x:v>B0DSNZ9KQM</x:v>
      </x:c>
      <x:c r="B642" s="20" t="str">
        <x:v>b0dsnz9kqm</x:v>
      </x:c>
      <x:c r="C642" s="20" t="str">
        <x:v>e1cbd12b7b7938aa</x:v>
      </x:c>
      <x:c r="D642" s="20" t="str">
        <x:v>asin_target</x:v>
      </x:c>
      <x:c r="E642" s="20" t="str">
        <x:v>en</x:v>
      </x:c>
      <x:c r="F642" s="20" t="str">
        <x:v>该搜索词为 ASIN 形式，需补充商品元数据后再判断用户意图。</x:v>
      </x:c>
      <x:c r="G642" s="20" t="str">
        <x:v>unknown</x:v>
      </x:c>
      <x:c r="H642" s="20" t="str">
        <x:v>low</x:v>
      </x:c>
      <x:c r="I642" s="20" t="str">
        <x:v>asin_target</x:v>
      </x:c>
      <x:c r="J642" s="20" t="str">
        <x:v>asin_metadata_pending</x:v>
      </x:c>
      <x:c r="K642" s="20" t="str">
        <x:v>asin_without_metadata</x:v>
      </x:c>
      <x:c r="L642" s="20" t="str">
        <x:v>not_applicable</x:v>
      </x:c>
      <x:c r="M642" s="20" t="str">
        <x:v>non_model</x:v>
      </x:c>
      <x:c r="N642" s="20" t="str">
        <x:v>1</x:v>
      </x:c>
      <x:c r="O642" s="20" t="str">
        <x:v>1.0.0</x:v>
      </x:c>
      <x:c r="P642" s="20" t="str">
        <x:v>1.1.0</x:v>
      </x:c>
      <x:c r="Q642" s="20" t="str">
        <x:v>deepseek/deepseek-v4-pro</x:v>
      </x:c>
      <x:c r="R642" s="20" t="str">
        <x:v>aj2-y90-20260714T234810-0bea2f52</x:v>
      </x:c>
    </x:row>
    <x:row r="643" ht="28" customHeight="1">
      <x:c r="A643" s="20" t="str">
        <x:v>B07CZ57P78</x:v>
      </x:c>
      <x:c r="B643" s="20" t="str">
        <x:v>b07cz57p78</x:v>
      </x:c>
      <x:c r="C643" s="20" t="str">
        <x:v>e26d9b1f4faa44d1</x:v>
      </x:c>
      <x:c r="D643" s="20" t="str">
        <x:v>asin_target</x:v>
      </x:c>
      <x:c r="E643" s="20" t="str">
        <x:v>en</x:v>
      </x:c>
      <x:c r="F643" s="20" t="str">
        <x:v>该搜索词为 ASIN 形式，需补充商品元数据后再判断用户意图。</x:v>
      </x:c>
      <x:c r="G643" s="20" t="str">
        <x:v>unknown</x:v>
      </x:c>
      <x:c r="H643" s="20" t="str">
        <x:v>low</x:v>
      </x:c>
      <x:c r="I643" s="20" t="str">
        <x:v>asin_target</x:v>
      </x:c>
      <x:c r="J643" s="20" t="str">
        <x:v>asin_metadata_pending</x:v>
      </x:c>
      <x:c r="K643" s="20" t="str">
        <x:v>asin_without_metadata</x:v>
      </x:c>
      <x:c r="L643" s="20" t="str">
        <x:v>not_applicable</x:v>
      </x:c>
      <x:c r="M643" s="20" t="str">
        <x:v>non_model</x:v>
      </x:c>
      <x:c r="N643" s="20" t="str">
        <x:v>1</x:v>
      </x:c>
      <x:c r="O643" s="20" t="str">
        <x:v>1.0.0</x:v>
      </x:c>
      <x:c r="P643" s="20" t="str">
        <x:v>1.1.0</x:v>
      </x:c>
      <x:c r="Q643" s="20" t="str">
        <x:v>deepseek/deepseek-v4-pro</x:v>
      </x:c>
      <x:c r="R643" s="20" t="str">
        <x:v>aj2-y90-20260714T234810-0bea2f52</x:v>
      </x:c>
    </x:row>
    <x:row r="644" ht="28" customHeight="1">
      <x:c r="A644" s="20" t="str">
        <x:v>B0GLGCRMZS</x:v>
      </x:c>
      <x:c r="B644" s="20" t="str">
        <x:v>b0glgcrmzs</x:v>
      </x:c>
      <x:c r="C644" s="20" t="str">
        <x:v>e30967354add13a9</x:v>
      </x:c>
      <x:c r="D644" s="20" t="str">
        <x:v>asin_target</x:v>
      </x:c>
      <x:c r="E644" s="20" t="str">
        <x:v>en</x:v>
      </x:c>
      <x:c r="F644" s="20" t="str">
        <x:v>该搜索词为 ASIN 形式，需补充商品元数据后再判断用户意图。</x:v>
      </x:c>
      <x:c r="G644" s="20" t="str">
        <x:v>unknown</x:v>
      </x:c>
      <x:c r="H644" s="20" t="str">
        <x:v>low</x:v>
      </x:c>
      <x:c r="I644" s="20" t="str">
        <x:v>asin_target</x:v>
      </x:c>
      <x:c r="J644" s="20" t="str">
        <x:v>asin_metadata_pending</x:v>
      </x:c>
      <x:c r="K644" s="20" t="str">
        <x:v>asin_without_metadata</x:v>
      </x:c>
      <x:c r="L644" s="20" t="str">
        <x:v>not_applicable</x:v>
      </x:c>
      <x:c r="M644" s="20" t="str">
        <x:v>non_model</x:v>
      </x:c>
      <x:c r="N644" s="20" t="str">
        <x:v>1</x:v>
      </x:c>
      <x:c r="O644" s="20" t="str">
        <x:v>1.0.0</x:v>
      </x:c>
      <x:c r="P644" s="20" t="str">
        <x:v>1.1.0</x:v>
      </x:c>
      <x:c r="Q644" s="20" t="str">
        <x:v>deepseek/deepseek-v4-pro</x:v>
      </x:c>
      <x:c r="R644" s="20" t="str">
        <x:v>aj2-y90-20260714T234810-0bea2f52</x:v>
      </x:c>
    </x:row>
    <x:row r="645" ht="28" customHeight="1">
      <x:c r="A645" s="20" t="str">
        <x:v>B08VGBW1QD</x:v>
      </x:c>
      <x:c r="B645" s="20" t="str">
        <x:v>b08vgbw1qd</x:v>
      </x:c>
      <x:c r="C645" s="20" t="str">
        <x:v>e41bdd0f0c52b20b</x:v>
      </x:c>
      <x:c r="D645" s="20" t="str">
        <x:v>asin_target</x:v>
      </x:c>
      <x:c r="E645" s="20" t="str">
        <x:v>en</x:v>
      </x:c>
      <x:c r="F645" s="20" t="str">
        <x:v>该搜索词为 ASIN 形式，需补充商品元数据后再判断用户意图。</x:v>
      </x:c>
      <x:c r="G645" s="20" t="str">
        <x:v>unknown</x:v>
      </x:c>
      <x:c r="H645" s="20" t="str">
        <x:v>low</x:v>
      </x:c>
      <x:c r="I645" s="20" t="str">
        <x:v>asin_target</x:v>
      </x:c>
      <x:c r="J645" s="20" t="str">
        <x:v>asin_metadata_pending</x:v>
      </x:c>
      <x:c r="K645" s="20" t="str">
        <x:v>asin_without_metadata</x:v>
      </x:c>
      <x:c r="L645" s="20" t="str">
        <x:v>not_applicable</x:v>
      </x:c>
      <x:c r="M645" s="20" t="str">
        <x:v>non_model</x:v>
      </x:c>
      <x:c r="N645" s="20" t="str">
        <x:v>1</x:v>
      </x:c>
      <x:c r="O645" s="20" t="str">
        <x:v>1.0.0</x:v>
      </x:c>
      <x:c r="P645" s="20" t="str">
        <x:v>1.1.0</x:v>
      </x:c>
      <x:c r="Q645" s="20" t="str">
        <x:v>deepseek/deepseek-v4-pro</x:v>
      </x:c>
      <x:c r="R645" s="20" t="str">
        <x:v>aj2-y90-20260714T234810-0bea2f52</x:v>
      </x:c>
    </x:row>
    <x:row r="646" ht="28" customHeight="1">
      <x:c r="A646" s="20" t="str">
        <x:v>B0BKBJYBFG</x:v>
      </x:c>
      <x:c r="B646" s="20" t="str">
        <x:v>b0bkbjybfg</x:v>
      </x:c>
      <x:c r="C646" s="20" t="str">
        <x:v>e48dde0ba72f953e</x:v>
      </x:c>
      <x:c r="D646" s="20" t="str">
        <x:v>asin_target</x:v>
      </x:c>
      <x:c r="E646" s="20" t="str">
        <x:v>en</x:v>
      </x:c>
      <x:c r="F646" s="20" t="str">
        <x:v>该搜索词为 ASIN 形式，需补充商品元数据后再判断用户意图。</x:v>
      </x:c>
      <x:c r="G646" s="20" t="str">
        <x:v>unknown</x:v>
      </x:c>
      <x:c r="H646" s="20" t="str">
        <x:v>low</x:v>
      </x:c>
      <x:c r="I646" s="20" t="str">
        <x:v>asin_target</x:v>
      </x:c>
      <x:c r="J646" s="20" t="str">
        <x:v>asin_metadata_pending</x:v>
      </x:c>
      <x:c r="K646" s="20" t="str">
        <x:v>asin_without_metadata</x:v>
      </x:c>
      <x:c r="L646" s="20" t="str">
        <x:v>not_applicable</x:v>
      </x:c>
      <x:c r="M646" s="20" t="str">
        <x:v>non_model</x:v>
      </x:c>
      <x:c r="N646" s="20" t="str">
        <x:v>1</x:v>
      </x:c>
      <x:c r="O646" s="20" t="str">
        <x:v>1.0.0</x:v>
      </x:c>
      <x:c r="P646" s="20" t="str">
        <x:v>1.1.0</x:v>
      </x:c>
      <x:c r="Q646" s="20" t="str">
        <x:v>deepseek/deepseek-v4-pro</x:v>
      </x:c>
      <x:c r="R646" s="20" t="str">
        <x:v>aj2-y90-20260714T234810-0bea2f52</x:v>
      </x:c>
    </x:row>
    <x:row r="647" ht="28" customHeight="1">
      <x:c r="A647" s="20" t="str">
        <x:v>B07TDT14V6</x:v>
      </x:c>
      <x:c r="B647" s="20" t="str">
        <x:v>b07tdt14v6</x:v>
      </x:c>
      <x:c r="C647" s="20" t="str">
        <x:v>e4d110eac5db1382</x:v>
      </x:c>
      <x:c r="D647" s="20" t="str">
        <x:v>asin_target</x:v>
      </x:c>
      <x:c r="E647" s="20" t="str">
        <x:v>en</x:v>
      </x:c>
      <x:c r="F647" s="20" t="str">
        <x:v>该搜索词为 ASIN 形式，需补充商品元数据后再判断用户意图。</x:v>
      </x:c>
      <x:c r="G647" s="20" t="str">
        <x:v>unknown</x:v>
      </x:c>
      <x:c r="H647" s="20" t="str">
        <x:v>low</x:v>
      </x:c>
      <x:c r="I647" s="20" t="str">
        <x:v>asin_target</x:v>
      </x:c>
      <x:c r="J647" s="20" t="str">
        <x:v>asin_metadata_pending</x:v>
      </x:c>
      <x:c r="K647" s="20" t="str">
        <x:v>asin_without_metadata</x:v>
      </x:c>
      <x:c r="L647" s="20" t="str">
        <x:v>not_applicable</x:v>
      </x:c>
      <x:c r="M647" s="20" t="str">
        <x:v>non_model</x:v>
      </x:c>
      <x:c r="N647" s="20" t="str">
        <x:v>1</x:v>
      </x:c>
      <x:c r="O647" s="20" t="str">
        <x:v>1.0.0</x:v>
      </x:c>
      <x:c r="P647" s="20" t="str">
        <x:v>1.1.0</x:v>
      </x:c>
      <x:c r="Q647" s="20" t="str">
        <x:v>deepseek/deepseek-v4-pro</x:v>
      </x:c>
      <x:c r="R647" s="20" t="str">
        <x:v>aj2-y90-20260714T234810-0bea2f52</x:v>
      </x:c>
    </x:row>
    <x:row r="648" ht="28" customHeight="1">
      <x:c r="A648" s="20" t="str">
        <x:v>B010123QL6</x:v>
      </x:c>
      <x:c r="B648" s="20" t="str">
        <x:v>b010123ql6</x:v>
      </x:c>
      <x:c r="C648" s="20" t="str">
        <x:v>e515c8b1eec959b0</x:v>
      </x:c>
      <x:c r="D648" s="20" t="str">
        <x:v>asin_target</x:v>
      </x:c>
      <x:c r="E648" s="20" t="str">
        <x:v>en</x:v>
      </x:c>
      <x:c r="F648" s="20" t="str">
        <x:v>该搜索词为 ASIN 形式，需补充商品元数据后再判断用户意图。</x:v>
      </x:c>
      <x:c r="G648" s="20" t="str">
        <x:v>unknown</x:v>
      </x:c>
      <x:c r="H648" s="20" t="str">
        <x:v>low</x:v>
      </x:c>
      <x:c r="I648" s="20" t="str">
        <x:v>asin_target</x:v>
      </x:c>
      <x:c r="J648" s="20" t="str">
        <x:v>asin_metadata_pending</x:v>
      </x:c>
      <x:c r="K648" s="20" t="str">
        <x:v>asin_without_metadata</x:v>
      </x:c>
      <x:c r="L648" s="20" t="str">
        <x:v>not_applicable</x:v>
      </x:c>
      <x:c r="M648" s="20" t="str">
        <x:v>non_model</x:v>
      </x:c>
      <x:c r="N648" s="20" t="str">
        <x:v>1</x:v>
      </x:c>
      <x:c r="O648" s="20" t="str">
        <x:v>1.0.0</x:v>
      </x:c>
      <x:c r="P648" s="20" t="str">
        <x:v>1.1.0</x:v>
      </x:c>
      <x:c r="Q648" s="20" t="str">
        <x:v>deepseek/deepseek-v4-pro</x:v>
      </x:c>
      <x:c r="R648" s="20" t="str">
        <x:v>aj2-y90-20260714T234810-0bea2f52</x:v>
      </x:c>
    </x:row>
    <x:row r="649" ht="28" customHeight="1">
      <x:c r="A649" s="20" t="str">
        <x:v>B0BTQTYDKH</x:v>
      </x:c>
      <x:c r="B649" s="20" t="str">
        <x:v>b0btqtydkh</x:v>
      </x:c>
      <x:c r="C649" s="20" t="str">
        <x:v>e565d8eb19a1c3d3</x:v>
      </x:c>
      <x:c r="D649" s="20" t="str">
        <x:v>asin_target</x:v>
      </x:c>
      <x:c r="E649" s="20" t="str">
        <x:v>en</x:v>
      </x:c>
      <x:c r="F649" s="20" t="str">
        <x:v>该搜索词为 ASIN 形式，需补充商品元数据后再判断用户意图。</x:v>
      </x:c>
      <x:c r="G649" s="20" t="str">
        <x:v>unknown</x:v>
      </x:c>
      <x:c r="H649" s="20" t="str">
        <x:v>low</x:v>
      </x:c>
      <x:c r="I649" s="20" t="str">
        <x:v>asin_target</x:v>
      </x:c>
      <x:c r="J649" s="20" t="str">
        <x:v>asin_metadata_pending</x:v>
      </x:c>
      <x:c r="K649" s="20" t="str">
        <x:v>asin_without_metadata</x:v>
      </x:c>
      <x:c r="L649" s="20" t="str">
        <x:v>not_applicable</x:v>
      </x:c>
      <x:c r="M649" s="20" t="str">
        <x:v>non_model</x:v>
      </x:c>
      <x:c r="N649" s="20" t="str">
        <x:v>1</x:v>
      </x:c>
      <x:c r="O649" s="20" t="str">
        <x:v>1.0.0</x:v>
      </x:c>
      <x:c r="P649" s="20" t="str">
        <x:v>1.1.0</x:v>
      </x:c>
      <x:c r="Q649" s="20" t="str">
        <x:v>deepseek/deepseek-v4-pro</x:v>
      </x:c>
      <x:c r="R649" s="20" t="str">
        <x:v>aj2-y90-20260714T234810-0bea2f52</x:v>
      </x:c>
    </x:row>
    <x:row r="650" ht="28" customHeight="1">
      <x:c r="A650" s="20" t="str">
        <x:v>B0FKB8CZR4</x:v>
      </x:c>
      <x:c r="B650" s="20" t="str">
        <x:v>b0fkb8czr4</x:v>
      </x:c>
      <x:c r="C650" s="20" t="str">
        <x:v>e5e69eca9a6a9ce3</x:v>
      </x:c>
      <x:c r="D650" s="20" t="str">
        <x:v>asin_target</x:v>
      </x:c>
      <x:c r="E650" s="20" t="str">
        <x:v>en</x:v>
      </x:c>
      <x:c r="F650" s="20" t="str">
        <x:v>该搜索词为 ASIN 形式，需补充商品元数据后再判断用户意图。</x:v>
      </x:c>
      <x:c r="G650" s="20" t="str">
        <x:v>unknown</x:v>
      </x:c>
      <x:c r="H650" s="20" t="str">
        <x:v>low</x:v>
      </x:c>
      <x:c r="I650" s="20" t="str">
        <x:v>asin_target</x:v>
      </x:c>
      <x:c r="J650" s="20" t="str">
        <x:v>asin_metadata_pending</x:v>
      </x:c>
      <x:c r="K650" s="20" t="str">
        <x:v>asin_without_metadata</x:v>
      </x:c>
      <x:c r="L650" s="20" t="str">
        <x:v>not_applicable</x:v>
      </x:c>
      <x:c r="M650" s="20" t="str">
        <x:v>non_model</x:v>
      </x:c>
      <x:c r="N650" s="20" t="str">
        <x:v>2</x:v>
      </x:c>
      <x:c r="O650" s="20" t="str">
        <x:v>1.0.0</x:v>
      </x:c>
      <x:c r="P650" s="20" t="str">
        <x:v>1.1.0</x:v>
      </x:c>
      <x:c r="Q650" s="20" t="str">
        <x:v>deepseek/deepseek-v4-pro</x:v>
      </x:c>
      <x:c r="R650" s="20" t="str">
        <x:v>aj2-y90-20260714T234810-0bea2f52</x:v>
      </x:c>
    </x:row>
    <x:row r="651" ht="28" customHeight="1">
      <x:c r="A651" s="20" t="str">
        <x:v>B0GG2BMCV6</x:v>
      </x:c>
      <x:c r="B651" s="20" t="str">
        <x:v>b0gg2bmcv6</x:v>
      </x:c>
      <x:c r="C651" s="20" t="str">
        <x:v>e620f5e6b072cc0e</x:v>
      </x:c>
      <x:c r="D651" s="20" t="str">
        <x:v>asin_target</x:v>
      </x:c>
      <x:c r="E651" s="20" t="str">
        <x:v>en</x:v>
      </x:c>
      <x:c r="F651" s="20" t="str">
        <x:v>该搜索词为 ASIN 形式，需补充商品元数据后再判断用户意图。</x:v>
      </x:c>
      <x:c r="G651" s="20" t="str">
        <x:v>unknown</x:v>
      </x:c>
      <x:c r="H651" s="20" t="str">
        <x:v>low</x:v>
      </x:c>
      <x:c r="I651" s="20" t="str">
        <x:v>asin_target</x:v>
      </x:c>
      <x:c r="J651" s="20" t="str">
        <x:v>asin_metadata_pending</x:v>
      </x:c>
      <x:c r="K651" s="20" t="str">
        <x:v>asin_without_metadata</x:v>
      </x:c>
      <x:c r="L651" s="20" t="str">
        <x:v>not_applicable</x:v>
      </x:c>
      <x:c r="M651" s="20" t="str">
        <x:v>non_model</x:v>
      </x:c>
      <x:c r="N651" s="20" t="str">
        <x:v>1</x:v>
      </x:c>
      <x:c r="O651" s="20" t="str">
        <x:v>1.0.0</x:v>
      </x:c>
      <x:c r="P651" s="20" t="str">
        <x:v>1.1.0</x:v>
      </x:c>
      <x:c r="Q651" s="20" t="str">
        <x:v>deepseek/deepseek-v4-pro</x:v>
      </x:c>
      <x:c r="R651" s="20" t="str">
        <x:v>aj2-y90-20260714T234810-0bea2f52</x:v>
      </x:c>
    </x:row>
    <x:row r="652" ht="28" customHeight="1">
      <x:c r="A652" s="20" t="str">
        <x:v>B06XZ27FWD</x:v>
      </x:c>
      <x:c r="B652" s="20" t="str">
        <x:v>b06xz27fwd</x:v>
      </x:c>
      <x:c r="C652" s="20" t="str">
        <x:v>e760758e85f74e5a</x:v>
      </x:c>
      <x:c r="D652" s="20" t="str">
        <x:v>asin_target</x:v>
      </x:c>
      <x:c r="E652" s="20" t="str">
        <x:v>en</x:v>
      </x:c>
      <x:c r="F652" s="20" t="str">
        <x:v>该搜索词为 ASIN 形式，需补充商品元数据后再判断用户意图。</x:v>
      </x:c>
      <x:c r="G652" s="20" t="str">
        <x:v>unknown</x:v>
      </x:c>
      <x:c r="H652" s="20" t="str">
        <x:v>low</x:v>
      </x:c>
      <x:c r="I652" s="20" t="str">
        <x:v>asin_target</x:v>
      </x:c>
      <x:c r="J652" s="20" t="str">
        <x:v>asin_metadata_pending</x:v>
      </x:c>
      <x:c r="K652" s="20" t="str">
        <x:v>asin_without_metadata</x:v>
      </x:c>
      <x:c r="L652" s="20" t="str">
        <x:v>not_applicable</x:v>
      </x:c>
      <x:c r="M652" s="20" t="str">
        <x:v>non_model</x:v>
      </x:c>
      <x:c r="N652" s="20" t="str">
        <x:v>1</x:v>
      </x:c>
      <x:c r="O652" s="20" t="str">
        <x:v>1.0.0</x:v>
      </x:c>
      <x:c r="P652" s="20" t="str">
        <x:v>1.1.0</x:v>
      </x:c>
      <x:c r="Q652" s="20" t="str">
        <x:v>deepseek/deepseek-v4-pro</x:v>
      </x:c>
      <x:c r="R652" s="20" t="str">
        <x:v>aj2-y90-20260714T234810-0bea2f52</x:v>
      </x:c>
    </x:row>
    <x:row r="653" ht="28" customHeight="1">
      <x:c r="A653" s="20" t="str">
        <x:v>B0CN34Z2NJ</x:v>
      </x:c>
      <x:c r="B653" s="20" t="str">
        <x:v>b0cn34z2nj</x:v>
      </x:c>
      <x:c r="C653" s="20" t="str">
        <x:v>e7cd200f6fc43fa5</x:v>
      </x:c>
      <x:c r="D653" s="20" t="str">
        <x:v>asin_target</x:v>
      </x:c>
      <x:c r="E653" s="20" t="str">
        <x:v>en</x:v>
      </x:c>
      <x:c r="F653" s="20" t="str">
        <x:v>该搜索词为 ASIN 形式，需补充商品元数据后再判断用户意图。</x:v>
      </x:c>
      <x:c r="G653" s="20" t="str">
        <x:v>unknown</x:v>
      </x:c>
      <x:c r="H653" s="20" t="str">
        <x:v>low</x:v>
      </x:c>
      <x:c r="I653" s="20" t="str">
        <x:v>asin_target</x:v>
      </x:c>
      <x:c r="J653" s="20" t="str">
        <x:v>asin_metadata_pending</x:v>
      </x:c>
      <x:c r="K653" s="20" t="str">
        <x:v>asin_without_metadata</x:v>
      </x:c>
      <x:c r="L653" s="20" t="str">
        <x:v>not_applicable</x:v>
      </x:c>
      <x:c r="M653" s="20" t="str">
        <x:v>non_model</x:v>
      </x:c>
      <x:c r="N653" s="20" t="str">
        <x:v>1</x:v>
      </x:c>
      <x:c r="O653" s="20" t="str">
        <x:v>1.0.0</x:v>
      </x:c>
      <x:c r="P653" s="20" t="str">
        <x:v>1.1.0</x:v>
      </x:c>
      <x:c r="Q653" s="20" t="str">
        <x:v>deepseek/deepseek-v4-pro</x:v>
      </x:c>
      <x:c r="R653" s="20" t="str">
        <x:v>aj2-y90-20260714T234810-0bea2f52</x:v>
      </x:c>
    </x:row>
    <x:row r="654" ht="28" customHeight="1">
      <x:c r="A654" s="20" t="str">
        <x:v>B08V12FMHY</x:v>
      </x:c>
      <x:c r="B654" s="20" t="str">
        <x:v>b08v12fmhy</x:v>
      </x:c>
      <x:c r="C654" s="20" t="str">
        <x:v>e84a6cfd4220e892</x:v>
      </x:c>
      <x:c r="D654" s="20" t="str">
        <x:v>asin_target</x:v>
      </x:c>
      <x:c r="E654" s="20" t="str">
        <x:v>en</x:v>
      </x:c>
      <x:c r="F654" s="20" t="str">
        <x:v>该搜索词为 ASIN 形式，需补充商品元数据后再判断用户意图。</x:v>
      </x:c>
      <x:c r="G654" s="20" t="str">
        <x:v>unknown</x:v>
      </x:c>
      <x:c r="H654" s="20" t="str">
        <x:v>low</x:v>
      </x:c>
      <x:c r="I654" s="20" t="str">
        <x:v>asin_target</x:v>
      </x:c>
      <x:c r="J654" s="20" t="str">
        <x:v>asin_metadata_pending</x:v>
      </x:c>
      <x:c r="K654" s="20" t="str">
        <x:v>asin_without_metadata</x:v>
      </x:c>
      <x:c r="L654" s="20" t="str">
        <x:v>not_applicable</x:v>
      </x:c>
      <x:c r="M654" s="20" t="str">
        <x:v>non_model</x:v>
      </x:c>
      <x:c r="N654" s="20" t="str">
        <x:v>1</x:v>
      </x:c>
      <x:c r="O654" s="20" t="str">
        <x:v>1.0.0</x:v>
      </x:c>
      <x:c r="P654" s="20" t="str">
        <x:v>1.1.0</x:v>
      </x:c>
      <x:c r="Q654" s="20" t="str">
        <x:v>deepseek/deepseek-v4-pro</x:v>
      </x:c>
      <x:c r="R654" s="20" t="str">
        <x:v>aj2-y90-20260714T234810-0bea2f52</x:v>
      </x:c>
    </x:row>
    <x:row r="655" ht="28" customHeight="1">
      <x:c r="A655" s="20" t="str">
        <x:v>B0F9XGGBRQ</x:v>
      </x:c>
      <x:c r="B655" s="20" t="str">
        <x:v>b0f9xggbrq</x:v>
      </x:c>
      <x:c r="C655" s="20" t="str">
        <x:v>e85e5118b199e249</x:v>
      </x:c>
      <x:c r="D655" s="20" t="str">
        <x:v>asin_target</x:v>
      </x:c>
      <x:c r="E655" s="20" t="str">
        <x:v>en</x:v>
      </x:c>
      <x:c r="F655" s="20" t="str">
        <x:v>该搜索词为 ASIN 形式，需补充商品元数据后再判断用户意图。</x:v>
      </x:c>
      <x:c r="G655" s="20" t="str">
        <x:v>unknown</x:v>
      </x:c>
      <x:c r="H655" s="20" t="str">
        <x:v>low</x:v>
      </x:c>
      <x:c r="I655" s="20" t="str">
        <x:v>asin_target</x:v>
      </x:c>
      <x:c r="J655" s="20" t="str">
        <x:v>asin_metadata_pending</x:v>
      </x:c>
      <x:c r="K655" s="20" t="str">
        <x:v>asin_without_metadata</x:v>
      </x:c>
      <x:c r="L655" s="20" t="str">
        <x:v>not_applicable</x:v>
      </x:c>
      <x:c r="M655" s="20" t="str">
        <x:v>non_model</x:v>
      </x:c>
      <x:c r="N655" s="20" t="str">
        <x:v>1</x:v>
      </x:c>
      <x:c r="O655" s="20" t="str">
        <x:v>1.0.0</x:v>
      </x:c>
      <x:c r="P655" s="20" t="str">
        <x:v>1.1.0</x:v>
      </x:c>
      <x:c r="Q655" s="20" t="str">
        <x:v>deepseek/deepseek-v4-pro</x:v>
      </x:c>
      <x:c r="R655" s="20" t="str">
        <x:v>aj2-y90-20260714T234810-0bea2f52</x:v>
      </x:c>
    </x:row>
    <x:row r="656" ht="28" customHeight="1">
      <x:c r="A656" s="20" t="str">
        <x:v>B0C6NNR9WN</x:v>
      </x:c>
      <x:c r="B656" s="20" t="str">
        <x:v>b0c6nnr9wn</x:v>
      </x:c>
      <x:c r="C656" s="20" t="str">
        <x:v>e873d7c31b887fa2</x:v>
      </x:c>
      <x:c r="D656" s="20" t="str">
        <x:v>asin_target</x:v>
      </x:c>
      <x:c r="E656" s="20" t="str">
        <x:v>en</x:v>
      </x:c>
      <x:c r="F656" s="20" t="str">
        <x:v>该搜索词为 ASIN 形式，需补充商品元数据后再判断用户意图。</x:v>
      </x:c>
      <x:c r="G656" s="20" t="str">
        <x:v>unknown</x:v>
      </x:c>
      <x:c r="H656" s="20" t="str">
        <x:v>low</x:v>
      </x:c>
      <x:c r="I656" s="20" t="str">
        <x:v>asin_target</x:v>
      </x:c>
      <x:c r="J656" s="20" t="str">
        <x:v>asin_metadata_pending</x:v>
      </x:c>
      <x:c r="K656" s="20" t="str">
        <x:v>asin_without_metadata</x:v>
      </x:c>
      <x:c r="L656" s="20" t="str">
        <x:v>not_applicable</x:v>
      </x:c>
      <x:c r="M656" s="20" t="str">
        <x:v>non_model</x:v>
      </x:c>
      <x:c r="N656" s="20" t="str">
        <x:v>1</x:v>
      </x:c>
      <x:c r="O656" s="20" t="str">
        <x:v>1.0.0</x:v>
      </x:c>
      <x:c r="P656" s="20" t="str">
        <x:v>1.1.0</x:v>
      </x:c>
      <x:c r="Q656" s="20" t="str">
        <x:v>deepseek/deepseek-v4-pro</x:v>
      </x:c>
      <x:c r="R656" s="20" t="str">
        <x:v>aj2-y90-20260714T234810-0bea2f52</x:v>
      </x:c>
    </x:row>
    <x:row r="657" ht="28" customHeight="1">
      <x:c r="A657" s="20" t="str">
        <x:v>B0GGQY96PD</x:v>
      </x:c>
      <x:c r="B657" s="20" t="str">
        <x:v>b0ggqy96pd</x:v>
      </x:c>
      <x:c r="C657" s="20" t="str">
        <x:v>e8a80df8b67c72b9</x:v>
      </x:c>
      <x:c r="D657" s="20" t="str">
        <x:v>asin_target</x:v>
      </x:c>
      <x:c r="E657" s="20" t="str">
        <x:v>en</x:v>
      </x:c>
      <x:c r="F657" s="20" t="str">
        <x:v>该搜索词为 ASIN 形式，需补充商品元数据后再判断用户意图。</x:v>
      </x:c>
      <x:c r="G657" s="20" t="str">
        <x:v>unknown</x:v>
      </x:c>
      <x:c r="H657" s="20" t="str">
        <x:v>low</x:v>
      </x:c>
      <x:c r="I657" s="20" t="str">
        <x:v>asin_target</x:v>
      </x:c>
      <x:c r="J657" s="20" t="str">
        <x:v>asin_metadata_pending</x:v>
      </x:c>
      <x:c r="K657" s="20" t="str">
        <x:v>asin_without_metadata</x:v>
      </x:c>
      <x:c r="L657" s="20" t="str">
        <x:v>not_applicable</x:v>
      </x:c>
      <x:c r="M657" s="20" t="str">
        <x:v>non_model</x:v>
      </x:c>
      <x:c r="N657" s="20" t="str">
        <x:v>1</x:v>
      </x:c>
      <x:c r="O657" s="20" t="str">
        <x:v>1.0.0</x:v>
      </x:c>
      <x:c r="P657" s="20" t="str">
        <x:v>1.1.0</x:v>
      </x:c>
      <x:c r="Q657" s="20" t="str">
        <x:v>deepseek/deepseek-v4-pro</x:v>
      </x:c>
      <x:c r="R657" s="20" t="str">
        <x:v>aj2-y90-20260714T234810-0bea2f52</x:v>
      </x:c>
    </x:row>
    <x:row r="658" ht="28" customHeight="1">
      <x:c r="A658" s="20" t="str">
        <x:v>B0F8MNLG9S</x:v>
      </x:c>
      <x:c r="B658" s="20" t="str">
        <x:v>b0f8mnlg9s</x:v>
      </x:c>
      <x:c r="C658" s="20" t="str">
        <x:v>e8b58670613e3f7f</x:v>
      </x:c>
      <x:c r="D658" s="20" t="str">
        <x:v>asin_target</x:v>
      </x:c>
      <x:c r="E658" s="20" t="str">
        <x:v>en</x:v>
      </x:c>
      <x:c r="F658" s="20" t="str">
        <x:v>该搜索词为 ASIN 形式，需补充商品元数据后再判断用户意图。</x:v>
      </x:c>
      <x:c r="G658" s="20" t="str">
        <x:v>unknown</x:v>
      </x:c>
      <x:c r="H658" s="20" t="str">
        <x:v>low</x:v>
      </x:c>
      <x:c r="I658" s="20" t="str">
        <x:v>asin_target</x:v>
      </x:c>
      <x:c r="J658" s="20" t="str">
        <x:v>asin_metadata_pending</x:v>
      </x:c>
      <x:c r="K658" s="20" t="str">
        <x:v>asin_without_metadata</x:v>
      </x:c>
      <x:c r="L658" s="20" t="str">
        <x:v>not_applicable</x:v>
      </x:c>
      <x:c r="M658" s="20" t="str">
        <x:v>non_model</x:v>
      </x:c>
      <x:c r="N658" s="20" t="str">
        <x:v>1</x:v>
      </x:c>
      <x:c r="O658" s="20" t="str">
        <x:v>1.0.0</x:v>
      </x:c>
      <x:c r="P658" s="20" t="str">
        <x:v>1.1.0</x:v>
      </x:c>
      <x:c r="Q658" s="20" t="str">
        <x:v>deepseek/deepseek-v4-pro</x:v>
      </x:c>
      <x:c r="R658" s="20" t="str">
        <x:v>aj2-y90-20260714T234810-0bea2f52</x:v>
      </x:c>
    </x:row>
    <x:row r="659" ht="28" customHeight="1">
      <x:c r="A659" s="20" t="str">
        <x:v>B09TKK8ZJN</x:v>
      </x:c>
      <x:c r="B659" s="20" t="str">
        <x:v>b09tkk8zjn</x:v>
      </x:c>
      <x:c r="C659" s="20" t="str">
        <x:v>e9173a379c1bbcef</x:v>
      </x:c>
      <x:c r="D659" s="20" t="str">
        <x:v>asin_target</x:v>
      </x:c>
      <x:c r="E659" s="20" t="str">
        <x:v>en</x:v>
      </x:c>
      <x:c r="F659" s="20" t="str">
        <x:v>该搜索词为 ASIN 形式，需补充商品元数据后再判断用户意图。</x:v>
      </x:c>
      <x:c r="G659" s="20" t="str">
        <x:v>unknown</x:v>
      </x:c>
      <x:c r="H659" s="20" t="str">
        <x:v>low</x:v>
      </x:c>
      <x:c r="I659" s="20" t="str">
        <x:v>asin_target</x:v>
      </x:c>
      <x:c r="J659" s="20" t="str">
        <x:v>asin_metadata_pending</x:v>
      </x:c>
      <x:c r="K659" s="20" t="str">
        <x:v>asin_without_metadata</x:v>
      </x:c>
      <x:c r="L659" s="20" t="str">
        <x:v>not_applicable</x:v>
      </x:c>
      <x:c r="M659" s="20" t="str">
        <x:v>non_model</x:v>
      </x:c>
      <x:c r="N659" s="20" t="str">
        <x:v>1</x:v>
      </x:c>
      <x:c r="O659" s="20" t="str">
        <x:v>1.0.0</x:v>
      </x:c>
      <x:c r="P659" s="20" t="str">
        <x:v>1.1.0</x:v>
      </x:c>
      <x:c r="Q659" s="20" t="str">
        <x:v>deepseek/deepseek-v4-pro</x:v>
      </x:c>
      <x:c r="R659" s="20" t="str">
        <x:v>aj2-y90-20260714T234810-0bea2f52</x:v>
      </x:c>
    </x:row>
    <x:row r="660" ht="28" customHeight="1">
      <x:c r="A660" s="20" t="str">
        <x:v>B0GD64QPHW</x:v>
      </x:c>
      <x:c r="B660" s="20" t="str">
        <x:v>b0gd64qphw</x:v>
      </x:c>
      <x:c r="C660" s="20" t="str">
        <x:v>e93cbc8c6b8f2c42</x:v>
      </x:c>
      <x:c r="D660" s="20" t="str">
        <x:v>asin_target</x:v>
      </x:c>
      <x:c r="E660" s="20" t="str">
        <x:v>en</x:v>
      </x:c>
      <x:c r="F660" s="20" t="str">
        <x:v>该搜索词为 ASIN 形式，需补充商品元数据后再判断用户意图。</x:v>
      </x:c>
      <x:c r="G660" s="20" t="str">
        <x:v>unknown</x:v>
      </x:c>
      <x:c r="H660" s="20" t="str">
        <x:v>low</x:v>
      </x:c>
      <x:c r="I660" s="20" t="str">
        <x:v>asin_target</x:v>
      </x:c>
      <x:c r="J660" s="20" t="str">
        <x:v>asin_metadata_pending</x:v>
      </x:c>
      <x:c r="K660" s="20" t="str">
        <x:v>asin_without_metadata</x:v>
      </x:c>
      <x:c r="L660" s="20" t="str">
        <x:v>not_applicable</x:v>
      </x:c>
      <x:c r="M660" s="20" t="str">
        <x:v>non_model</x:v>
      </x:c>
      <x:c r="N660" s="20" t="str">
        <x:v>1</x:v>
      </x:c>
      <x:c r="O660" s="20" t="str">
        <x:v>1.0.0</x:v>
      </x:c>
      <x:c r="P660" s="20" t="str">
        <x:v>1.1.0</x:v>
      </x:c>
      <x:c r="Q660" s="20" t="str">
        <x:v>deepseek/deepseek-v4-pro</x:v>
      </x:c>
      <x:c r="R660" s="20" t="str">
        <x:v>aj2-y90-20260714T234810-0bea2f52</x:v>
      </x:c>
    </x:row>
    <x:row r="661" ht="28" customHeight="1">
      <x:c r="A661" s="20" t="str">
        <x:v>B0F4Q673G2</x:v>
      </x:c>
      <x:c r="B661" s="20" t="str">
        <x:v>b0f4q673g2</x:v>
      </x:c>
      <x:c r="C661" s="20" t="str">
        <x:v>e9b2cd1fc53acf4d</x:v>
      </x:c>
      <x:c r="D661" s="20" t="str">
        <x:v>asin_target</x:v>
      </x:c>
      <x:c r="E661" s="20" t="str">
        <x:v>en</x:v>
      </x:c>
      <x:c r="F661" s="20" t="str">
        <x:v>该搜索词为 ASIN 形式，需补充商品元数据后再判断用户意图。</x:v>
      </x:c>
      <x:c r="G661" s="20" t="str">
        <x:v>unknown</x:v>
      </x:c>
      <x:c r="H661" s="20" t="str">
        <x:v>low</x:v>
      </x:c>
      <x:c r="I661" s="20" t="str">
        <x:v>asin_target</x:v>
      </x:c>
      <x:c r="J661" s="20" t="str">
        <x:v>asin_metadata_pending</x:v>
      </x:c>
      <x:c r="K661" s="20" t="str">
        <x:v>asin_without_metadata</x:v>
      </x:c>
      <x:c r="L661" s="20" t="str">
        <x:v>not_applicable</x:v>
      </x:c>
      <x:c r="M661" s="20" t="str">
        <x:v>non_model</x:v>
      </x:c>
      <x:c r="N661" s="20" t="str">
        <x:v>1</x:v>
      </x:c>
      <x:c r="O661" s="20" t="str">
        <x:v>1.0.0</x:v>
      </x:c>
      <x:c r="P661" s="20" t="str">
        <x:v>1.1.0</x:v>
      </x:c>
      <x:c r="Q661" s="20" t="str">
        <x:v>deepseek/deepseek-v4-pro</x:v>
      </x:c>
      <x:c r="R661" s="20" t="str">
        <x:v>aj2-y90-20260714T234810-0bea2f52</x:v>
      </x:c>
    </x:row>
    <x:row r="662" ht="28" customHeight="1">
      <x:c r="A662" s="20" t="str">
        <x:v>B0FXX6PNNB</x:v>
      </x:c>
      <x:c r="B662" s="20" t="str">
        <x:v>b0fxx6pnnb</x:v>
      </x:c>
      <x:c r="C662" s="20" t="str">
        <x:v>e9e2649f6005967f</x:v>
      </x:c>
      <x:c r="D662" s="20" t="str">
        <x:v>asin_target</x:v>
      </x:c>
      <x:c r="E662" s="20" t="str">
        <x:v>en</x:v>
      </x:c>
      <x:c r="F662" s="20" t="str">
        <x:v>该搜索词为 ASIN 形式，需补充商品元数据后再判断用户意图。</x:v>
      </x:c>
      <x:c r="G662" s="20" t="str">
        <x:v>unknown</x:v>
      </x:c>
      <x:c r="H662" s="20" t="str">
        <x:v>low</x:v>
      </x:c>
      <x:c r="I662" s="20" t="str">
        <x:v>asin_target</x:v>
      </x:c>
      <x:c r="J662" s="20" t="str">
        <x:v>asin_metadata_pending</x:v>
      </x:c>
      <x:c r="K662" s="20" t="str">
        <x:v>asin_without_metadata</x:v>
      </x:c>
      <x:c r="L662" s="20" t="str">
        <x:v>not_applicable</x:v>
      </x:c>
      <x:c r="M662" s="20" t="str">
        <x:v>non_model</x:v>
      </x:c>
      <x:c r="N662" s="20" t="str">
        <x:v>2</x:v>
      </x:c>
      <x:c r="O662" s="20" t="str">
        <x:v>1.0.0</x:v>
      </x:c>
      <x:c r="P662" s="20" t="str">
        <x:v>1.1.0</x:v>
      </x:c>
      <x:c r="Q662" s="20" t="str">
        <x:v>deepseek/deepseek-v4-pro</x:v>
      </x:c>
      <x:c r="R662" s="20" t="str">
        <x:v>aj2-y90-20260714T234810-0bea2f52</x:v>
      </x:c>
    </x:row>
    <x:row r="663" ht="28" customHeight="1">
      <x:c r="A663" s="20" t="str">
        <x:v>B0FX34P7N8</x:v>
      </x:c>
      <x:c r="B663" s="20" t="str">
        <x:v>b0fx34p7n8</x:v>
      </x:c>
      <x:c r="C663" s="20" t="str">
        <x:v>ead92b97e5bcd6b1</x:v>
      </x:c>
      <x:c r="D663" s="20" t="str">
        <x:v>asin_target</x:v>
      </x:c>
      <x:c r="E663" s="20" t="str">
        <x:v>en</x:v>
      </x:c>
      <x:c r="F663" s="20" t="str">
        <x:v>该搜索词为 ASIN 形式，需补充商品元数据后再判断用户意图。</x:v>
      </x:c>
      <x:c r="G663" s="20" t="str">
        <x:v>unknown</x:v>
      </x:c>
      <x:c r="H663" s="20" t="str">
        <x:v>low</x:v>
      </x:c>
      <x:c r="I663" s="20" t="str">
        <x:v>asin_target</x:v>
      </x:c>
      <x:c r="J663" s="20" t="str">
        <x:v>asin_metadata_pending</x:v>
      </x:c>
      <x:c r="K663" s="20" t="str">
        <x:v>asin_without_metadata</x:v>
      </x:c>
      <x:c r="L663" s="20" t="str">
        <x:v>not_applicable</x:v>
      </x:c>
      <x:c r="M663" s="20" t="str">
        <x:v>non_model</x:v>
      </x:c>
      <x:c r="N663" s="20" t="str">
        <x:v>1</x:v>
      </x:c>
      <x:c r="O663" s="20" t="str">
        <x:v>1.0.0</x:v>
      </x:c>
      <x:c r="P663" s="20" t="str">
        <x:v>1.1.0</x:v>
      </x:c>
      <x:c r="Q663" s="20" t="str">
        <x:v>deepseek/deepseek-v4-pro</x:v>
      </x:c>
      <x:c r="R663" s="20" t="str">
        <x:v>aj2-y90-20260714T234810-0bea2f52</x:v>
      </x:c>
    </x:row>
    <x:row r="664" ht="28" customHeight="1">
      <x:c r="A664" s="20" t="str">
        <x:v>B0GLF25W95</x:v>
      </x:c>
      <x:c r="B664" s="20" t="str">
        <x:v>b0glf25w95</x:v>
      </x:c>
      <x:c r="C664" s="20" t="str">
        <x:v>eb13c6343d0ddc62</x:v>
      </x:c>
      <x:c r="D664" s="20" t="str">
        <x:v>asin_target</x:v>
      </x:c>
      <x:c r="E664" s="20" t="str">
        <x:v>en</x:v>
      </x:c>
      <x:c r="F664" s="20" t="str">
        <x:v>该搜索词为 ASIN 形式，需补充商品元数据后再判断用户意图。</x:v>
      </x:c>
      <x:c r="G664" s="20" t="str">
        <x:v>unknown</x:v>
      </x:c>
      <x:c r="H664" s="20" t="str">
        <x:v>low</x:v>
      </x:c>
      <x:c r="I664" s="20" t="str">
        <x:v>asin_target</x:v>
      </x:c>
      <x:c r="J664" s="20" t="str">
        <x:v>asin_metadata_pending</x:v>
      </x:c>
      <x:c r="K664" s="20" t="str">
        <x:v>asin_without_metadata</x:v>
      </x:c>
      <x:c r="L664" s="20" t="str">
        <x:v>not_applicable</x:v>
      </x:c>
      <x:c r="M664" s="20" t="str">
        <x:v>non_model</x:v>
      </x:c>
      <x:c r="N664" s="20" t="str">
        <x:v>1</x:v>
      </x:c>
      <x:c r="O664" s="20" t="str">
        <x:v>1.0.0</x:v>
      </x:c>
      <x:c r="P664" s="20" t="str">
        <x:v>1.1.0</x:v>
      </x:c>
      <x:c r="Q664" s="20" t="str">
        <x:v>deepseek/deepseek-v4-pro</x:v>
      </x:c>
      <x:c r="R664" s="20" t="str">
        <x:v>aj2-y90-20260714T234810-0bea2f52</x:v>
      </x:c>
    </x:row>
    <x:row r="665" ht="28" customHeight="1">
      <x:c r="A665" s="20" t="str">
        <x:v>B0C79R2MRM</x:v>
      </x:c>
      <x:c r="B665" s="20" t="str">
        <x:v>b0c79r2mrm</x:v>
      </x:c>
      <x:c r="C665" s="20" t="str">
        <x:v>eb6043713ca244a8</x:v>
      </x:c>
      <x:c r="D665" s="20" t="str">
        <x:v>asin_target</x:v>
      </x:c>
      <x:c r="E665" s="20" t="str">
        <x:v>en</x:v>
      </x:c>
      <x:c r="F665" s="20" t="str">
        <x:v>该搜索词为 ASIN 形式，需补充商品元数据后再判断用户意图。</x:v>
      </x:c>
      <x:c r="G665" s="20" t="str">
        <x:v>unknown</x:v>
      </x:c>
      <x:c r="H665" s="20" t="str">
        <x:v>low</x:v>
      </x:c>
      <x:c r="I665" s="20" t="str">
        <x:v>asin_target</x:v>
      </x:c>
      <x:c r="J665" s="20" t="str">
        <x:v>asin_metadata_pending</x:v>
      </x:c>
      <x:c r="K665" s="20" t="str">
        <x:v>asin_without_metadata</x:v>
      </x:c>
      <x:c r="L665" s="20" t="str">
        <x:v>not_applicable</x:v>
      </x:c>
      <x:c r="M665" s="20" t="str">
        <x:v>non_model</x:v>
      </x:c>
      <x:c r="N665" s="20" t="str">
        <x:v>1</x:v>
      </x:c>
      <x:c r="O665" s="20" t="str">
        <x:v>1.0.0</x:v>
      </x:c>
      <x:c r="P665" s="20" t="str">
        <x:v>1.1.0</x:v>
      </x:c>
      <x:c r="Q665" s="20" t="str">
        <x:v>deepseek/deepseek-v4-pro</x:v>
      </x:c>
      <x:c r="R665" s="20" t="str">
        <x:v>aj2-y90-20260714T234810-0bea2f52</x:v>
      </x:c>
    </x:row>
    <x:row r="666" ht="28" customHeight="1">
      <x:c r="A666" s="20" t="str">
        <x:v>B0GG2WS5SJ</x:v>
      </x:c>
      <x:c r="B666" s="20" t="str">
        <x:v>b0gg2ws5sj</x:v>
      </x:c>
      <x:c r="C666" s="20" t="str">
        <x:v>eb73eff0096d4012</x:v>
      </x:c>
      <x:c r="D666" s="20" t="str">
        <x:v>asin_target</x:v>
      </x:c>
      <x:c r="E666" s="20" t="str">
        <x:v>en</x:v>
      </x:c>
      <x:c r="F666" s="20" t="str">
        <x:v>该搜索词为 ASIN 形式，需补充商品元数据后再判断用户意图。</x:v>
      </x:c>
      <x:c r="G666" s="20" t="str">
        <x:v>unknown</x:v>
      </x:c>
      <x:c r="H666" s="20" t="str">
        <x:v>low</x:v>
      </x:c>
      <x:c r="I666" s="20" t="str">
        <x:v>asin_target</x:v>
      </x:c>
      <x:c r="J666" s="20" t="str">
        <x:v>asin_metadata_pending</x:v>
      </x:c>
      <x:c r="K666" s="20" t="str">
        <x:v>asin_without_metadata</x:v>
      </x:c>
      <x:c r="L666" s="20" t="str">
        <x:v>not_applicable</x:v>
      </x:c>
      <x:c r="M666" s="20" t="str">
        <x:v>non_model</x:v>
      </x:c>
      <x:c r="N666" s="20" t="str">
        <x:v>1</x:v>
      </x:c>
      <x:c r="O666" s="20" t="str">
        <x:v>1.0.0</x:v>
      </x:c>
      <x:c r="P666" s="20" t="str">
        <x:v>1.1.0</x:v>
      </x:c>
      <x:c r="Q666" s="20" t="str">
        <x:v>deepseek/deepseek-v4-pro</x:v>
      </x:c>
      <x:c r="R666" s="20" t="str">
        <x:v>aj2-y90-20260714T234810-0bea2f52</x:v>
      </x:c>
    </x:row>
    <x:row r="667" ht="28" customHeight="1">
      <x:c r="A667" s="20" t="str">
        <x:v>B0GGQZ4VM6</x:v>
      </x:c>
      <x:c r="B667" s="20" t="str">
        <x:v>b0ggqz4vm6</x:v>
      </x:c>
      <x:c r="C667" s="20" t="str">
        <x:v>ebe6d80f2ab86b4a</x:v>
      </x:c>
      <x:c r="D667" s="20" t="str">
        <x:v>asin_target</x:v>
      </x:c>
      <x:c r="E667" s="20" t="str">
        <x:v>en</x:v>
      </x:c>
      <x:c r="F667" s="20" t="str">
        <x:v>该搜索词为 ASIN 形式，需补充商品元数据后再判断用户意图。</x:v>
      </x:c>
      <x:c r="G667" s="20" t="str">
        <x:v>unknown</x:v>
      </x:c>
      <x:c r="H667" s="20" t="str">
        <x:v>low</x:v>
      </x:c>
      <x:c r="I667" s="20" t="str">
        <x:v>asin_target</x:v>
      </x:c>
      <x:c r="J667" s="20" t="str">
        <x:v>asin_metadata_pending</x:v>
      </x:c>
      <x:c r="K667" s="20" t="str">
        <x:v>asin_without_metadata</x:v>
      </x:c>
      <x:c r="L667" s="20" t="str">
        <x:v>not_applicable</x:v>
      </x:c>
      <x:c r="M667" s="20" t="str">
        <x:v>non_model</x:v>
      </x:c>
      <x:c r="N667" s="20" t="str">
        <x:v>1</x:v>
      </x:c>
      <x:c r="O667" s="20" t="str">
        <x:v>1.0.0</x:v>
      </x:c>
      <x:c r="P667" s="20" t="str">
        <x:v>1.1.0</x:v>
      </x:c>
      <x:c r="Q667" s="20" t="str">
        <x:v>deepseek/deepseek-v4-pro</x:v>
      </x:c>
      <x:c r="R667" s="20" t="str">
        <x:v>aj2-y90-20260714T234810-0bea2f52</x:v>
      </x:c>
    </x:row>
    <x:row r="668" ht="28" customHeight="1">
      <x:c r="A668" s="20" t="str">
        <x:v>B0GGQJBTC8</x:v>
      </x:c>
      <x:c r="B668" s="20" t="str">
        <x:v>b0ggqjbtc8</x:v>
      </x:c>
      <x:c r="C668" s="20" t="str">
        <x:v>ebf38b45cb00d0bd</x:v>
      </x:c>
      <x:c r="D668" s="20" t="str">
        <x:v>asin_target</x:v>
      </x:c>
      <x:c r="E668" s="20" t="str">
        <x:v>en</x:v>
      </x:c>
      <x:c r="F668" s="20" t="str">
        <x:v>该搜索词为 ASIN 形式，需补充商品元数据后再判断用户意图。</x:v>
      </x:c>
      <x:c r="G668" s="20" t="str">
        <x:v>unknown</x:v>
      </x:c>
      <x:c r="H668" s="20" t="str">
        <x:v>low</x:v>
      </x:c>
      <x:c r="I668" s="20" t="str">
        <x:v>asin_target</x:v>
      </x:c>
      <x:c r="J668" s="20" t="str">
        <x:v>asin_metadata_pending</x:v>
      </x:c>
      <x:c r="K668" s="20" t="str">
        <x:v>asin_without_metadata</x:v>
      </x:c>
      <x:c r="L668" s="20" t="str">
        <x:v>not_applicable</x:v>
      </x:c>
      <x:c r="M668" s="20" t="str">
        <x:v>non_model</x:v>
      </x:c>
      <x:c r="N668" s="20" t="str">
        <x:v>1</x:v>
      </x:c>
      <x:c r="O668" s="20" t="str">
        <x:v>1.0.0</x:v>
      </x:c>
      <x:c r="P668" s="20" t="str">
        <x:v>1.1.0</x:v>
      </x:c>
      <x:c r="Q668" s="20" t="str">
        <x:v>deepseek/deepseek-v4-pro</x:v>
      </x:c>
      <x:c r="R668" s="20" t="str">
        <x:v>aj2-y90-20260714T234810-0bea2f52</x:v>
      </x:c>
    </x:row>
    <x:row r="669" ht="28" customHeight="1">
      <x:c r="A669" s="20" t="str">
        <x:v>B0GQLS5NR2</x:v>
      </x:c>
      <x:c r="B669" s="20" t="str">
        <x:v>b0gqls5nr2</x:v>
      </x:c>
      <x:c r="C669" s="20" t="str">
        <x:v>ed049fd0bfc70c1d</x:v>
      </x:c>
      <x:c r="D669" s="20" t="str">
        <x:v>asin_target</x:v>
      </x:c>
      <x:c r="E669" s="20" t="str">
        <x:v>en</x:v>
      </x:c>
      <x:c r="F669" s="20" t="str">
        <x:v>该搜索词为 ASIN 形式，需补充商品元数据后再判断用户意图。</x:v>
      </x:c>
      <x:c r="G669" s="20" t="str">
        <x:v>unknown</x:v>
      </x:c>
      <x:c r="H669" s="20" t="str">
        <x:v>low</x:v>
      </x:c>
      <x:c r="I669" s="20" t="str">
        <x:v>asin_target</x:v>
      </x:c>
      <x:c r="J669" s="20" t="str">
        <x:v>asin_metadata_pending</x:v>
      </x:c>
      <x:c r="K669" s="20" t="str">
        <x:v>asin_without_metadata</x:v>
      </x:c>
      <x:c r="L669" s="20" t="str">
        <x:v>not_applicable</x:v>
      </x:c>
      <x:c r="M669" s="20" t="str">
        <x:v>non_model</x:v>
      </x:c>
      <x:c r="N669" s="20" t="str">
        <x:v>1</x:v>
      </x:c>
      <x:c r="O669" s="20" t="str">
        <x:v>1.0.0</x:v>
      </x:c>
      <x:c r="P669" s="20" t="str">
        <x:v>1.1.0</x:v>
      </x:c>
      <x:c r="Q669" s="20" t="str">
        <x:v>deepseek/deepseek-v4-pro</x:v>
      </x:c>
      <x:c r="R669" s="20" t="str">
        <x:v>aj2-y90-20260714T234810-0bea2f52</x:v>
      </x:c>
    </x:row>
    <x:row r="670" ht="28" customHeight="1">
      <x:c r="A670" s="20" t="str">
        <x:v>B0D467CTN6</x:v>
      </x:c>
      <x:c r="B670" s="20" t="str">
        <x:v>b0d467ctn6</x:v>
      </x:c>
      <x:c r="C670" s="20" t="str">
        <x:v>ed4d8554cde6f7d2</x:v>
      </x:c>
      <x:c r="D670" s="20" t="str">
        <x:v>asin_target</x:v>
      </x:c>
      <x:c r="E670" s="20" t="str">
        <x:v>en</x:v>
      </x:c>
      <x:c r="F670" s="20" t="str">
        <x:v>该搜索词为 ASIN 形式，需补充商品元数据后再判断用户意图。</x:v>
      </x:c>
      <x:c r="G670" s="20" t="str">
        <x:v>unknown</x:v>
      </x:c>
      <x:c r="H670" s="20" t="str">
        <x:v>low</x:v>
      </x:c>
      <x:c r="I670" s="20" t="str">
        <x:v>asin_target</x:v>
      </x:c>
      <x:c r="J670" s="20" t="str">
        <x:v>asin_metadata_pending</x:v>
      </x:c>
      <x:c r="K670" s="20" t="str">
        <x:v>asin_without_metadata</x:v>
      </x:c>
      <x:c r="L670" s="20" t="str">
        <x:v>not_applicable</x:v>
      </x:c>
      <x:c r="M670" s="20" t="str">
        <x:v>non_model</x:v>
      </x:c>
      <x:c r="N670" s="20" t="str">
        <x:v>1</x:v>
      </x:c>
      <x:c r="O670" s="20" t="str">
        <x:v>1.0.0</x:v>
      </x:c>
      <x:c r="P670" s="20" t="str">
        <x:v>1.1.0</x:v>
      </x:c>
      <x:c r="Q670" s="20" t="str">
        <x:v>deepseek/deepseek-v4-pro</x:v>
      </x:c>
      <x:c r="R670" s="20" t="str">
        <x:v>aj2-y90-20260714T234810-0bea2f52</x:v>
      </x:c>
    </x:row>
    <x:row r="671" ht="28" customHeight="1">
      <x:c r="A671" s="20" t="str">
        <x:v>B0D81KNWTV</x:v>
      </x:c>
      <x:c r="B671" s="20" t="str">
        <x:v>b0d81knwtv</x:v>
      </x:c>
      <x:c r="C671" s="20" t="str">
        <x:v>ee3196cde4cae5a6</x:v>
      </x:c>
      <x:c r="D671" s="20" t="str">
        <x:v>asin_target</x:v>
      </x:c>
      <x:c r="E671" s="20" t="str">
        <x:v>en</x:v>
      </x:c>
      <x:c r="F671" s="20" t="str">
        <x:v>该搜索词为 ASIN 形式，需补充商品元数据后再判断用户意图。</x:v>
      </x:c>
      <x:c r="G671" s="20" t="str">
        <x:v>unknown</x:v>
      </x:c>
      <x:c r="H671" s="20" t="str">
        <x:v>low</x:v>
      </x:c>
      <x:c r="I671" s="20" t="str">
        <x:v>asin_target</x:v>
      </x:c>
      <x:c r="J671" s="20" t="str">
        <x:v>asin_metadata_pending</x:v>
      </x:c>
      <x:c r="K671" s="20" t="str">
        <x:v>asin_without_metadata</x:v>
      </x:c>
      <x:c r="L671" s="20" t="str">
        <x:v>not_applicable</x:v>
      </x:c>
      <x:c r="M671" s="20" t="str">
        <x:v>non_model</x:v>
      </x:c>
      <x:c r="N671" s="20" t="str">
        <x:v>1</x:v>
      </x:c>
      <x:c r="O671" s="20" t="str">
        <x:v>1.0.0</x:v>
      </x:c>
      <x:c r="P671" s="20" t="str">
        <x:v>1.1.0</x:v>
      </x:c>
      <x:c r="Q671" s="20" t="str">
        <x:v>deepseek/deepseek-v4-pro</x:v>
      </x:c>
      <x:c r="R671" s="20" t="str">
        <x:v>aj2-y90-20260714T234810-0bea2f52</x:v>
      </x:c>
    </x:row>
    <x:row r="672" ht="28" customHeight="1">
      <x:c r="A672" s="20" t="str">
        <x:v>B0C7YVX184</x:v>
      </x:c>
      <x:c r="B672" s="20" t="str">
        <x:v>b0c7yvx184</x:v>
      </x:c>
      <x:c r="C672" s="20" t="str">
        <x:v>eef7fd3f0cdf03f0</x:v>
      </x:c>
      <x:c r="D672" s="20" t="str">
        <x:v>asin_target</x:v>
      </x:c>
      <x:c r="E672" s="20" t="str">
        <x:v>en</x:v>
      </x:c>
      <x:c r="F672" s="20" t="str">
        <x:v>该搜索词为 ASIN 形式，需补充商品元数据后再判断用户意图。</x:v>
      </x:c>
      <x:c r="G672" s="20" t="str">
        <x:v>unknown</x:v>
      </x:c>
      <x:c r="H672" s="20" t="str">
        <x:v>low</x:v>
      </x:c>
      <x:c r="I672" s="20" t="str">
        <x:v>asin_target</x:v>
      </x:c>
      <x:c r="J672" s="20" t="str">
        <x:v>asin_metadata_pending</x:v>
      </x:c>
      <x:c r="K672" s="20" t="str">
        <x:v>asin_without_metadata</x:v>
      </x:c>
      <x:c r="L672" s="20" t="str">
        <x:v>not_applicable</x:v>
      </x:c>
      <x:c r="M672" s="20" t="str">
        <x:v>non_model</x:v>
      </x:c>
      <x:c r="N672" s="20" t="str">
        <x:v>1</x:v>
      </x:c>
      <x:c r="O672" s="20" t="str">
        <x:v>1.0.0</x:v>
      </x:c>
      <x:c r="P672" s="20" t="str">
        <x:v>1.1.0</x:v>
      </x:c>
      <x:c r="Q672" s="20" t="str">
        <x:v>deepseek/deepseek-v4-pro</x:v>
      </x:c>
      <x:c r="R672" s="20" t="str">
        <x:v>aj2-y90-20260714T234810-0bea2f52</x:v>
      </x:c>
    </x:row>
    <x:row r="673" ht="28" customHeight="1">
      <x:c r="A673" s="20" t="str">
        <x:v>B0FF2Q65LQ</x:v>
      </x:c>
      <x:c r="B673" s="20" t="str">
        <x:v>b0ff2q65lq</x:v>
      </x:c>
      <x:c r="C673" s="20" t="str">
        <x:v>ef2d96d2aed079e6</x:v>
      </x:c>
      <x:c r="D673" s="20" t="str">
        <x:v>asin_target</x:v>
      </x:c>
      <x:c r="E673" s="20" t="str">
        <x:v>en</x:v>
      </x:c>
      <x:c r="F673" s="20" t="str">
        <x:v>该搜索词为 ASIN 形式，需补充商品元数据后再判断用户意图。</x:v>
      </x:c>
      <x:c r="G673" s="20" t="str">
        <x:v>unknown</x:v>
      </x:c>
      <x:c r="H673" s="20" t="str">
        <x:v>low</x:v>
      </x:c>
      <x:c r="I673" s="20" t="str">
        <x:v>asin_target</x:v>
      </x:c>
      <x:c r="J673" s="20" t="str">
        <x:v>asin_metadata_pending</x:v>
      </x:c>
      <x:c r="K673" s="20" t="str">
        <x:v>asin_without_metadata</x:v>
      </x:c>
      <x:c r="L673" s="20" t="str">
        <x:v>not_applicable</x:v>
      </x:c>
      <x:c r="M673" s="20" t="str">
        <x:v>non_model</x:v>
      </x:c>
      <x:c r="N673" s="20" t="str">
        <x:v>1</x:v>
      </x:c>
      <x:c r="O673" s="20" t="str">
        <x:v>1.0.0</x:v>
      </x:c>
      <x:c r="P673" s="20" t="str">
        <x:v>1.1.0</x:v>
      </x:c>
      <x:c r="Q673" s="20" t="str">
        <x:v>deepseek/deepseek-v4-pro</x:v>
      </x:c>
      <x:c r="R673" s="20" t="str">
        <x:v>aj2-y90-20260714T234810-0bea2f52</x:v>
      </x:c>
    </x:row>
    <x:row r="674" ht="28" customHeight="1">
      <x:c r="A674" s="20" t="str">
        <x:v>B0FXX5NZPN</x:v>
      </x:c>
      <x:c r="B674" s="20" t="str">
        <x:v>b0fxx5nzpn</x:v>
      </x:c>
      <x:c r="C674" s="20" t="str">
        <x:v>f041a17f493fef0f</x:v>
      </x:c>
      <x:c r="D674" s="20" t="str">
        <x:v>asin_target</x:v>
      </x:c>
      <x:c r="E674" s="20" t="str">
        <x:v>en</x:v>
      </x:c>
      <x:c r="F674" s="20" t="str">
        <x:v>该搜索词为 ASIN 形式，需补充商品元数据后再判断用户意图。</x:v>
      </x:c>
      <x:c r="G674" s="20" t="str">
        <x:v>unknown</x:v>
      </x:c>
      <x:c r="H674" s="20" t="str">
        <x:v>low</x:v>
      </x:c>
      <x:c r="I674" s="20" t="str">
        <x:v>asin_target</x:v>
      </x:c>
      <x:c r="J674" s="20" t="str">
        <x:v>asin_metadata_pending</x:v>
      </x:c>
      <x:c r="K674" s="20" t="str">
        <x:v>asin_without_metadata</x:v>
      </x:c>
      <x:c r="L674" s="20" t="str">
        <x:v>not_applicable</x:v>
      </x:c>
      <x:c r="M674" s="20" t="str">
        <x:v>non_model</x:v>
      </x:c>
      <x:c r="N674" s="20" t="str">
        <x:v>1</x:v>
      </x:c>
      <x:c r="O674" s="20" t="str">
        <x:v>1.0.0</x:v>
      </x:c>
      <x:c r="P674" s="20" t="str">
        <x:v>1.1.0</x:v>
      </x:c>
      <x:c r="Q674" s="20" t="str">
        <x:v>deepseek/deepseek-v4-pro</x:v>
      </x:c>
      <x:c r="R674" s="20" t="str">
        <x:v>aj2-y90-20260714T234810-0bea2f52</x:v>
      </x:c>
    </x:row>
    <x:row r="675" ht="28" customHeight="1">
      <x:c r="A675" s="20" t="str">
        <x:v>B0G47NMQQC</x:v>
      </x:c>
      <x:c r="B675" s="20" t="str">
        <x:v>b0g47nmqqc</x:v>
      </x:c>
      <x:c r="C675" s="20" t="str">
        <x:v>f10bb8b214200711</x:v>
      </x:c>
      <x:c r="D675" s="20" t="str">
        <x:v>asin_target</x:v>
      </x:c>
      <x:c r="E675" s="20" t="str">
        <x:v>en</x:v>
      </x:c>
      <x:c r="F675" s="20" t="str">
        <x:v>该搜索词为 ASIN 形式，需补充商品元数据后再判断用户意图。</x:v>
      </x:c>
      <x:c r="G675" s="20" t="str">
        <x:v>unknown</x:v>
      </x:c>
      <x:c r="H675" s="20" t="str">
        <x:v>low</x:v>
      </x:c>
      <x:c r="I675" s="20" t="str">
        <x:v>asin_target</x:v>
      </x:c>
      <x:c r="J675" s="20" t="str">
        <x:v>asin_metadata_pending</x:v>
      </x:c>
      <x:c r="K675" s="20" t="str">
        <x:v>asin_without_metadata</x:v>
      </x:c>
      <x:c r="L675" s="20" t="str">
        <x:v>not_applicable</x:v>
      </x:c>
      <x:c r="M675" s="20" t="str">
        <x:v>non_model</x:v>
      </x:c>
      <x:c r="N675" s="20" t="str">
        <x:v>1</x:v>
      </x:c>
      <x:c r="O675" s="20" t="str">
        <x:v>1.0.0</x:v>
      </x:c>
      <x:c r="P675" s="20" t="str">
        <x:v>1.1.0</x:v>
      </x:c>
      <x:c r="Q675" s="20" t="str">
        <x:v>deepseek/deepseek-v4-pro</x:v>
      </x:c>
      <x:c r="R675" s="20" t="str">
        <x:v>aj2-y90-20260714T234810-0bea2f52</x:v>
      </x:c>
    </x:row>
    <x:row r="676" ht="28" customHeight="1">
      <x:c r="A676" s="20" t="str">
        <x:v>B0C5DHMJNY</x:v>
      </x:c>
      <x:c r="B676" s="20" t="str">
        <x:v>b0c5dhmjny</x:v>
      </x:c>
      <x:c r="C676" s="20" t="str">
        <x:v>f1186906276241aa</x:v>
      </x:c>
      <x:c r="D676" s="20" t="str">
        <x:v>asin_target</x:v>
      </x:c>
      <x:c r="E676" s="20" t="str">
        <x:v>en</x:v>
      </x:c>
      <x:c r="F676" s="20" t="str">
        <x:v>该搜索词为 ASIN 形式，需补充商品元数据后再判断用户意图。</x:v>
      </x:c>
      <x:c r="G676" s="20" t="str">
        <x:v>unknown</x:v>
      </x:c>
      <x:c r="H676" s="20" t="str">
        <x:v>low</x:v>
      </x:c>
      <x:c r="I676" s="20" t="str">
        <x:v>asin_target</x:v>
      </x:c>
      <x:c r="J676" s="20" t="str">
        <x:v>asin_metadata_pending</x:v>
      </x:c>
      <x:c r="K676" s="20" t="str">
        <x:v>asin_without_metadata</x:v>
      </x:c>
      <x:c r="L676" s="20" t="str">
        <x:v>not_applicable</x:v>
      </x:c>
      <x:c r="M676" s="20" t="str">
        <x:v>non_model</x:v>
      </x:c>
      <x:c r="N676" s="20" t="str">
        <x:v>1</x:v>
      </x:c>
      <x:c r="O676" s="20" t="str">
        <x:v>1.0.0</x:v>
      </x:c>
      <x:c r="P676" s="20" t="str">
        <x:v>1.1.0</x:v>
      </x:c>
      <x:c r="Q676" s="20" t="str">
        <x:v>deepseek/deepseek-v4-pro</x:v>
      </x:c>
      <x:c r="R676" s="20" t="str">
        <x:v>aj2-y90-20260714T234810-0bea2f52</x:v>
      </x:c>
    </x:row>
    <x:row r="677" ht="28" customHeight="1">
      <x:c r="A677" s="20" t="str">
        <x:v>B0GLFDG62K</x:v>
      </x:c>
      <x:c r="B677" s="20" t="str">
        <x:v>b0glfdg62k</x:v>
      </x:c>
      <x:c r="C677" s="20" t="str">
        <x:v>f1e5b5b8553f9346</x:v>
      </x:c>
      <x:c r="D677" s="20" t="str">
        <x:v>asin_target</x:v>
      </x:c>
      <x:c r="E677" s="20" t="str">
        <x:v>en</x:v>
      </x:c>
      <x:c r="F677" s="20" t="str">
        <x:v>该搜索词为 ASIN 形式，需补充商品元数据后再判断用户意图。</x:v>
      </x:c>
      <x:c r="G677" s="20" t="str">
        <x:v>unknown</x:v>
      </x:c>
      <x:c r="H677" s="20" t="str">
        <x:v>low</x:v>
      </x:c>
      <x:c r="I677" s="20" t="str">
        <x:v>asin_target</x:v>
      </x:c>
      <x:c r="J677" s="20" t="str">
        <x:v>asin_metadata_pending</x:v>
      </x:c>
      <x:c r="K677" s="20" t="str">
        <x:v>asin_without_metadata</x:v>
      </x:c>
      <x:c r="L677" s="20" t="str">
        <x:v>not_applicable</x:v>
      </x:c>
      <x:c r="M677" s="20" t="str">
        <x:v>non_model</x:v>
      </x:c>
      <x:c r="N677" s="20" t="str">
        <x:v>1</x:v>
      </x:c>
      <x:c r="O677" s="20" t="str">
        <x:v>1.0.0</x:v>
      </x:c>
      <x:c r="P677" s="20" t="str">
        <x:v>1.1.0</x:v>
      </x:c>
      <x:c r="Q677" s="20" t="str">
        <x:v>deepseek/deepseek-v4-pro</x:v>
      </x:c>
      <x:c r="R677" s="20" t="str">
        <x:v>aj2-y90-20260714T234810-0bea2f52</x:v>
      </x:c>
    </x:row>
    <x:row r="678" ht="28" customHeight="1">
      <x:c r="A678" s="20" t="str">
        <x:v>B0GVJW5V94</x:v>
      </x:c>
      <x:c r="B678" s="20" t="str">
        <x:v>b0gvjw5v94</x:v>
      </x:c>
      <x:c r="C678" s="20" t="str">
        <x:v>f206ed93e07b4091</x:v>
      </x:c>
      <x:c r="D678" s="20" t="str">
        <x:v>asin_target</x:v>
      </x:c>
      <x:c r="E678" s="20" t="str">
        <x:v>en</x:v>
      </x:c>
      <x:c r="F678" s="20" t="str">
        <x:v>该搜索词为 ASIN 形式，需补充商品元数据后再判断用户意图。</x:v>
      </x:c>
      <x:c r="G678" s="20" t="str">
        <x:v>unknown</x:v>
      </x:c>
      <x:c r="H678" s="20" t="str">
        <x:v>low</x:v>
      </x:c>
      <x:c r="I678" s="20" t="str">
        <x:v>asin_target</x:v>
      </x:c>
      <x:c r="J678" s="20" t="str">
        <x:v>asin_metadata_pending</x:v>
      </x:c>
      <x:c r="K678" s="20" t="str">
        <x:v>asin_without_metadata</x:v>
      </x:c>
      <x:c r="L678" s="20" t="str">
        <x:v>not_applicable</x:v>
      </x:c>
      <x:c r="M678" s="20" t="str">
        <x:v>non_model</x:v>
      </x:c>
      <x:c r="N678" s="20" t="str">
        <x:v>1</x:v>
      </x:c>
      <x:c r="O678" s="20" t="str">
        <x:v>1.0.0</x:v>
      </x:c>
      <x:c r="P678" s="20" t="str">
        <x:v>1.1.0</x:v>
      </x:c>
      <x:c r="Q678" s="20" t="str">
        <x:v>deepseek/deepseek-v4-pro</x:v>
      </x:c>
      <x:c r="R678" s="20" t="str">
        <x:v>aj2-y90-20260714T234810-0bea2f52</x:v>
      </x:c>
    </x:row>
    <x:row r="679" ht="28" customHeight="1">
      <x:c r="A679" s="20" t="str">
        <x:v>B0DSMYMGNS</x:v>
      </x:c>
      <x:c r="B679" s="20" t="str">
        <x:v>b0dsmymgns</x:v>
      </x:c>
      <x:c r="C679" s="20" t="str">
        <x:v>f334c2bf2bfcbd41</x:v>
      </x:c>
      <x:c r="D679" s="20" t="str">
        <x:v>asin_target</x:v>
      </x:c>
      <x:c r="E679" s="20" t="str">
        <x:v>en</x:v>
      </x:c>
      <x:c r="F679" s="20" t="str">
        <x:v>该搜索词为 ASIN 形式，需补充商品元数据后再判断用户意图。</x:v>
      </x:c>
      <x:c r="G679" s="20" t="str">
        <x:v>unknown</x:v>
      </x:c>
      <x:c r="H679" s="20" t="str">
        <x:v>low</x:v>
      </x:c>
      <x:c r="I679" s="20" t="str">
        <x:v>asin_target</x:v>
      </x:c>
      <x:c r="J679" s="20" t="str">
        <x:v>asin_metadata_pending</x:v>
      </x:c>
      <x:c r="K679" s="20" t="str">
        <x:v>asin_without_metadata</x:v>
      </x:c>
      <x:c r="L679" s="20" t="str">
        <x:v>not_applicable</x:v>
      </x:c>
      <x:c r="M679" s="20" t="str">
        <x:v>non_model</x:v>
      </x:c>
      <x:c r="N679" s="20" t="str">
        <x:v>1</x:v>
      </x:c>
      <x:c r="O679" s="20" t="str">
        <x:v>1.0.0</x:v>
      </x:c>
      <x:c r="P679" s="20" t="str">
        <x:v>1.1.0</x:v>
      </x:c>
      <x:c r="Q679" s="20" t="str">
        <x:v>deepseek/deepseek-v4-pro</x:v>
      </x:c>
      <x:c r="R679" s="20" t="str">
        <x:v>aj2-y90-20260714T234810-0bea2f52</x:v>
      </x:c>
    </x:row>
    <x:row r="680" ht="28" customHeight="1">
      <x:c r="A680" s="20" t="str">
        <x:v>B0GLDVR585</x:v>
      </x:c>
      <x:c r="B680" s="20" t="str">
        <x:v>b0gldvr585</x:v>
      </x:c>
      <x:c r="C680" s="20" t="str">
        <x:v>f414e3e7c9836109</x:v>
      </x:c>
      <x:c r="D680" s="20" t="str">
        <x:v>asin_target</x:v>
      </x:c>
      <x:c r="E680" s="20" t="str">
        <x:v>en</x:v>
      </x:c>
      <x:c r="F680" s="20" t="str">
        <x:v>该搜索词为 ASIN 形式，需补充商品元数据后再判断用户意图。</x:v>
      </x:c>
      <x:c r="G680" s="20" t="str">
        <x:v>unknown</x:v>
      </x:c>
      <x:c r="H680" s="20" t="str">
        <x:v>low</x:v>
      </x:c>
      <x:c r="I680" s="20" t="str">
        <x:v>asin_target</x:v>
      </x:c>
      <x:c r="J680" s="20" t="str">
        <x:v>asin_metadata_pending</x:v>
      </x:c>
      <x:c r="K680" s="20" t="str">
        <x:v>asin_without_metadata</x:v>
      </x:c>
      <x:c r="L680" s="20" t="str">
        <x:v>not_applicable</x:v>
      </x:c>
      <x:c r="M680" s="20" t="str">
        <x:v>non_model</x:v>
      </x:c>
      <x:c r="N680" s="20" t="str">
        <x:v>1</x:v>
      </x:c>
      <x:c r="O680" s="20" t="str">
        <x:v>1.0.0</x:v>
      </x:c>
      <x:c r="P680" s="20" t="str">
        <x:v>1.1.0</x:v>
      </x:c>
      <x:c r="Q680" s="20" t="str">
        <x:v>deepseek/deepseek-v4-pro</x:v>
      </x:c>
      <x:c r="R680" s="20" t="str">
        <x:v>aj2-y90-20260714T234810-0bea2f52</x:v>
      </x:c>
    </x:row>
    <x:row r="681" ht="28" customHeight="1">
      <x:c r="A681" s="20" t="str">
        <x:v>B09X9Q9XBQ</x:v>
      </x:c>
      <x:c r="B681" s="20" t="str">
        <x:v>b09x9q9xbq</x:v>
      </x:c>
      <x:c r="C681" s="20" t="str">
        <x:v>f48d4696f766fa3d</x:v>
      </x:c>
      <x:c r="D681" s="20" t="str">
        <x:v>asin_target</x:v>
      </x:c>
      <x:c r="E681" s="20" t="str">
        <x:v>en</x:v>
      </x:c>
      <x:c r="F681" s="20" t="str">
        <x:v>该搜索词为 ASIN 形式，需补充商品元数据后再判断用户意图。</x:v>
      </x:c>
      <x:c r="G681" s="20" t="str">
        <x:v>unknown</x:v>
      </x:c>
      <x:c r="H681" s="20" t="str">
        <x:v>low</x:v>
      </x:c>
      <x:c r="I681" s="20" t="str">
        <x:v>asin_target</x:v>
      </x:c>
      <x:c r="J681" s="20" t="str">
        <x:v>asin_metadata_pending</x:v>
      </x:c>
      <x:c r="K681" s="20" t="str">
        <x:v>asin_without_metadata</x:v>
      </x:c>
      <x:c r="L681" s="20" t="str">
        <x:v>not_applicable</x:v>
      </x:c>
      <x:c r="M681" s="20" t="str">
        <x:v>non_model</x:v>
      </x:c>
      <x:c r="N681" s="20" t="str">
        <x:v>1</x:v>
      </x:c>
      <x:c r="O681" s="20" t="str">
        <x:v>1.0.0</x:v>
      </x:c>
      <x:c r="P681" s="20" t="str">
        <x:v>1.1.0</x:v>
      </x:c>
      <x:c r="Q681" s="20" t="str">
        <x:v>deepseek/deepseek-v4-pro</x:v>
      </x:c>
      <x:c r="R681" s="20" t="str">
        <x:v>aj2-y90-20260714T234810-0bea2f52</x:v>
      </x:c>
    </x:row>
    <x:row r="682" ht="28" customHeight="1">
      <x:c r="A682" s="20" t="str">
        <x:v>B0BKBJV6DM</x:v>
      </x:c>
      <x:c r="B682" s="20" t="str">
        <x:v>b0bkbjv6dm</x:v>
      </x:c>
      <x:c r="C682" s="20" t="str">
        <x:v>f4b47a2f8a971051</x:v>
      </x:c>
      <x:c r="D682" s="20" t="str">
        <x:v>asin_target</x:v>
      </x:c>
      <x:c r="E682" s="20" t="str">
        <x:v>en</x:v>
      </x:c>
      <x:c r="F682" s="20" t="str">
        <x:v>该搜索词为 ASIN 形式，需补充商品元数据后再判断用户意图。</x:v>
      </x:c>
      <x:c r="G682" s="20" t="str">
        <x:v>unknown</x:v>
      </x:c>
      <x:c r="H682" s="20" t="str">
        <x:v>low</x:v>
      </x:c>
      <x:c r="I682" s="20" t="str">
        <x:v>asin_target</x:v>
      </x:c>
      <x:c r="J682" s="20" t="str">
        <x:v>asin_metadata_pending</x:v>
      </x:c>
      <x:c r="K682" s="20" t="str">
        <x:v>asin_without_metadata</x:v>
      </x:c>
      <x:c r="L682" s="20" t="str">
        <x:v>not_applicable</x:v>
      </x:c>
      <x:c r="M682" s="20" t="str">
        <x:v>non_model</x:v>
      </x:c>
      <x:c r="N682" s="20" t="str">
        <x:v>1</x:v>
      </x:c>
      <x:c r="O682" s="20" t="str">
        <x:v>1.0.0</x:v>
      </x:c>
      <x:c r="P682" s="20" t="str">
        <x:v>1.1.0</x:v>
      </x:c>
      <x:c r="Q682" s="20" t="str">
        <x:v>deepseek/deepseek-v4-pro</x:v>
      </x:c>
      <x:c r="R682" s="20" t="str">
        <x:v>aj2-y90-20260714T234810-0bea2f52</x:v>
      </x:c>
    </x:row>
    <x:row r="683" ht="28" customHeight="1">
      <x:c r="A683" s="20" t="str">
        <x:v>B0FXX8FYL1</x:v>
      </x:c>
      <x:c r="B683" s="20" t="str">
        <x:v>b0fxx8fyl1</x:v>
      </x:c>
      <x:c r="C683" s="20" t="str">
        <x:v>f573f23fa09aa488</x:v>
      </x:c>
      <x:c r="D683" s="20" t="str">
        <x:v>asin_target</x:v>
      </x:c>
      <x:c r="E683" s="20" t="str">
        <x:v>en</x:v>
      </x:c>
      <x:c r="F683" s="20" t="str">
        <x:v>该搜索词为 ASIN 形式，需补充商品元数据后再判断用户意图。</x:v>
      </x:c>
      <x:c r="G683" s="20" t="str">
        <x:v>unknown</x:v>
      </x:c>
      <x:c r="H683" s="20" t="str">
        <x:v>low</x:v>
      </x:c>
      <x:c r="I683" s="20" t="str">
        <x:v>asin_target</x:v>
      </x:c>
      <x:c r="J683" s="20" t="str">
        <x:v>asin_metadata_pending</x:v>
      </x:c>
      <x:c r="K683" s="20" t="str">
        <x:v>asin_without_metadata</x:v>
      </x:c>
      <x:c r="L683" s="20" t="str">
        <x:v>not_applicable</x:v>
      </x:c>
      <x:c r="M683" s="20" t="str">
        <x:v>non_model</x:v>
      </x:c>
      <x:c r="N683" s="20" t="str">
        <x:v>1</x:v>
      </x:c>
      <x:c r="O683" s="20" t="str">
        <x:v>1.0.0</x:v>
      </x:c>
      <x:c r="P683" s="20" t="str">
        <x:v>1.1.0</x:v>
      </x:c>
      <x:c r="Q683" s="20" t="str">
        <x:v>deepseek/deepseek-v4-pro</x:v>
      </x:c>
      <x:c r="R683" s="20" t="str">
        <x:v>aj2-y90-20260714T234810-0bea2f52</x:v>
      </x:c>
    </x:row>
    <x:row r="684" ht="28" customHeight="1">
      <x:c r="A684" s="20" t="str">
        <x:v>B0G48KS22B</x:v>
      </x:c>
      <x:c r="B684" s="20" t="str">
        <x:v>b0g48ks22b</x:v>
      </x:c>
      <x:c r="C684" s="20" t="str">
        <x:v>f5902703babc99c8</x:v>
      </x:c>
      <x:c r="D684" s="20" t="str">
        <x:v>asin_target</x:v>
      </x:c>
      <x:c r="E684" s="20" t="str">
        <x:v>en</x:v>
      </x:c>
      <x:c r="F684" s="20" t="str">
        <x:v>该搜索词为 ASIN 形式，需补充商品元数据后再判断用户意图。</x:v>
      </x:c>
      <x:c r="G684" s="20" t="str">
        <x:v>unknown</x:v>
      </x:c>
      <x:c r="H684" s="20" t="str">
        <x:v>low</x:v>
      </x:c>
      <x:c r="I684" s="20" t="str">
        <x:v>asin_target</x:v>
      </x:c>
      <x:c r="J684" s="20" t="str">
        <x:v>asin_metadata_pending</x:v>
      </x:c>
      <x:c r="K684" s="20" t="str">
        <x:v>asin_without_metadata</x:v>
      </x:c>
      <x:c r="L684" s="20" t="str">
        <x:v>not_applicable</x:v>
      </x:c>
      <x:c r="M684" s="20" t="str">
        <x:v>non_model</x:v>
      </x:c>
      <x:c r="N684" s="20" t="str">
        <x:v>2</x:v>
      </x:c>
      <x:c r="O684" s="20" t="str">
        <x:v>1.0.0</x:v>
      </x:c>
      <x:c r="P684" s="20" t="str">
        <x:v>1.1.0</x:v>
      </x:c>
      <x:c r="Q684" s="20" t="str">
        <x:v>deepseek/deepseek-v4-pro</x:v>
      </x:c>
      <x:c r="R684" s="20" t="str">
        <x:v>aj2-y90-20260714T234810-0bea2f52</x:v>
      </x:c>
    </x:row>
    <x:row r="685" ht="28" customHeight="1">
      <x:c r="A685" s="20" t="str">
        <x:v>B0DZ6H2X32</x:v>
      </x:c>
      <x:c r="B685" s="20" t="str">
        <x:v>b0dz6h2x32</x:v>
      </x:c>
      <x:c r="C685" s="20" t="str">
        <x:v>f5e64a9ffa69680b</x:v>
      </x:c>
      <x:c r="D685" s="20" t="str">
        <x:v>asin_target</x:v>
      </x:c>
      <x:c r="E685" s="20" t="str">
        <x:v>en</x:v>
      </x:c>
      <x:c r="F685" s="20" t="str">
        <x:v>该搜索词为 ASIN 形式，需补充商品元数据后再判断用户意图。</x:v>
      </x:c>
      <x:c r="G685" s="20" t="str">
        <x:v>unknown</x:v>
      </x:c>
      <x:c r="H685" s="20" t="str">
        <x:v>low</x:v>
      </x:c>
      <x:c r="I685" s="20" t="str">
        <x:v>asin_target</x:v>
      </x:c>
      <x:c r="J685" s="20" t="str">
        <x:v>asin_metadata_pending</x:v>
      </x:c>
      <x:c r="K685" s="20" t="str">
        <x:v>asin_without_metadata</x:v>
      </x:c>
      <x:c r="L685" s="20" t="str">
        <x:v>not_applicable</x:v>
      </x:c>
      <x:c r="M685" s="20" t="str">
        <x:v>non_model</x:v>
      </x:c>
      <x:c r="N685" s="20" t="str">
        <x:v>1</x:v>
      </x:c>
      <x:c r="O685" s="20" t="str">
        <x:v>1.0.0</x:v>
      </x:c>
      <x:c r="P685" s="20" t="str">
        <x:v>1.1.0</x:v>
      </x:c>
      <x:c r="Q685" s="20" t="str">
        <x:v>deepseek/deepseek-v4-pro</x:v>
      </x:c>
      <x:c r="R685" s="20" t="str">
        <x:v>aj2-y90-20260714T234810-0bea2f52</x:v>
      </x:c>
    </x:row>
    <x:row r="686" ht="28" customHeight="1">
      <x:c r="A686" s="20" t="str">
        <x:v>B07SH4KXCM</x:v>
      </x:c>
      <x:c r="B686" s="20" t="str">
        <x:v>b07sh4kxcm</x:v>
      </x:c>
      <x:c r="C686" s="20" t="str">
        <x:v>f68e688dc0e62742</x:v>
      </x:c>
      <x:c r="D686" s="20" t="str">
        <x:v>asin_target</x:v>
      </x:c>
      <x:c r="E686" s="20" t="str">
        <x:v>en</x:v>
      </x:c>
      <x:c r="F686" s="20" t="str">
        <x:v>该搜索词为 ASIN 形式，需补充商品元数据后再判断用户意图。</x:v>
      </x:c>
      <x:c r="G686" s="20" t="str">
        <x:v>unknown</x:v>
      </x:c>
      <x:c r="H686" s="20" t="str">
        <x:v>low</x:v>
      </x:c>
      <x:c r="I686" s="20" t="str">
        <x:v>asin_target</x:v>
      </x:c>
      <x:c r="J686" s="20" t="str">
        <x:v>asin_metadata_pending</x:v>
      </x:c>
      <x:c r="K686" s="20" t="str">
        <x:v>asin_without_metadata</x:v>
      </x:c>
      <x:c r="L686" s="20" t="str">
        <x:v>not_applicable</x:v>
      </x:c>
      <x:c r="M686" s="20" t="str">
        <x:v>non_model</x:v>
      </x:c>
      <x:c r="N686" s="20" t="str">
        <x:v>1</x:v>
      </x:c>
      <x:c r="O686" s="20" t="str">
        <x:v>1.0.0</x:v>
      </x:c>
      <x:c r="P686" s="20" t="str">
        <x:v>1.1.0</x:v>
      </x:c>
      <x:c r="Q686" s="20" t="str">
        <x:v>deepseek/deepseek-v4-pro</x:v>
      </x:c>
      <x:c r="R686" s="20" t="str">
        <x:v>aj2-y90-20260714T234810-0bea2f52</x:v>
      </x:c>
    </x:row>
    <x:row r="687" ht="28" customHeight="1">
      <x:c r="A687" s="20" t="str">
        <x:v>B0GLGZYBT5</x:v>
      </x:c>
      <x:c r="B687" s="20" t="str">
        <x:v>b0glgzybt5</x:v>
      </x:c>
      <x:c r="C687" s="20" t="str">
        <x:v>f6d3dbf34996216c</x:v>
      </x:c>
      <x:c r="D687" s="20" t="str">
        <x:v>asin_target</x:v>
      </x:c>
      <x:c r="E687" s="20" t="str">
        <x:v>en</x:v>
      </x:c>
      <x:c r="F687" s="20" t="str">
        <x:v>该搜索词为 ASIN 形式，需补充商品元数据后再判断用户意图。</x:v>
      </x:c>
      <x:c r="G687" s="20" t="str">
        <x:v>unknown</x:v>
      </x:c>
      <x:c r="H687" s="20" t="str">
        <x:v>low</x:v>
      </x:c>
      <x:c r="I687" s="20" t="str">
        <x:v>asin_target</x:v>
      </x:c>
      <x:c r="J687" s="20" t="str">
        <x:v>asin_metadata_pending</x:v>
      </x:c>
      <x:c r="K687" s="20" t="str">
        <x:v>asin_without_metadata</x:v>
      </x:c>
      <x:c r="L687" s="20" t="str">
        <x:v>not_applicable</x:v>
      </x:c>
      <x:c r="M687" s="20" t="str">
        <x:v>non_model</x:v>
      </x:c>
      <x:c r="N687" s="20" t="str">
        <x:v>1</x:v>
      </x:c>
      <x:c r="O687" s="20" t="str">
        <x:v>1.0.0</x:v>
      </x:c>
      <x:c r="P687" s="20" t="str">
        <x:v>1.1.0</x:v>
      </x:c>
      <x:c r="Q687" s="20" t="str">
        <x:v>deepseek/deepseek-v4-pro</x:v>
      </x:c>
      <x:c r="R687" s="20" t="str">
        <x:v>aj2-y90-20260714T234810-0bea2f52</x:v>
      </x:c>
    </x:row>
    <x:row r="688" ht="28" customHeight="1">
      <x:c r="A688" s="20" t="str">
        <x:v>B0GLDYY998</x:v>
      </x:c>
      <x:c r="B688" s="20" t="str">
        <x:v>b0gldyy998</x:v>
      </x:c>
      <x:c r="C688" s="20" t="str">
        <x:v>f712892c6f8e7eb6</x:v>
      </x:c>
      <x:c r="D688" s="20" t="str">
        <x:v>asin_target</x:v>
      </x:c>
      <x:c r="E688" s="20" t="str">
        <x:v>en</x:v>
      </x:c>
      <x:c r="F688" s="20" t="str">
        <x:v>该搜索词为 ASIN 形式，需补充商品元数据后再判断用户意图。</x:v>
      </x:c>
      <x:c r="G688" s="20" t="str">
        <x:v>unknown</x:v>
      </x:c>
      <x:c r="H688" s="20" t="str">
        <x:v>low</x:v>
      </x:c>
      <x:c r="I688" s="20" t="str">
        <x:v>asin_target</x:v>
      </x:c>
      <x:c r="J688" s="20" t="str">
        <x:v>asin_metadata_pending</x:v>
      </x:c>
      <x:c r="K688" s="20" t="str">
        <x:v>asin_without_metadata</x:v>
      </x:c>
      <x:c r="L688" s="20" t="str">
        <x:v>not_applicable</x:v>
      </x:c>
      <x:c r="M688" s="20" t="str">
        <x:v>non_model</x:v>
      </x:c>
      <x:c r="N688" s="20" t="str">
        <x:v>2</x:v>
      </x:c>
      <x:c r="O688" s="20" t="str">
        <x:v>1.0.0</x:v>
      </x:c>
      <x:c r="P688" s="20" t="str">
        <x:v>1.1.0</x:v>
      </x:c>
      <x:c r="Q688" s="20" t="str">
        <x:v>deepseek/deepseek-v4-pro</x:v>
      </x:c>
      <x:c r="R688" s="20" t="str">
        <x:v>aj2-y90-20260714T234810-0bea2f52</x:v>
      </x:c>
    </x:row>
    <x:row r="689" ht="28" customHeight="1">
      <x:c r="A689" s="20" t="str">
        <x:v>B0DSN1CW48</x:v>
      </x:c>
      <x:c r="B689" s="20" t="str">
        <x:v>b0dsn1cw48</x:v>
      </x:c>
      <x:c r="C689" s="20" t="str">
        <x:v>f71b724b22e08e56</x:v>
      </x:c>
      <x:c r="D689" s="20" t="str">
        <x:v>asin_target</x:v>
      </x:c>
      <x:c r="E689" s="20" t="str">
        <x:v>en</x:v>
      </x:c>
      <x:c r="F689" s="20" t="str">
        <x:v>该搜索词为 ASIN 形式，需补充商品元数据后再判断用户意图。</x:v>
      </x:c>
      <x:c r="G689" s="20" t="str">
        <x:v>unknown</x:v>
      </x:c>
      <x:c r="H689" s="20" t="str">
        <x:v>low</x:v>
      </x:c>
      <x:c r="I689" s="20" t="str">
        <x:v>asin_target</x:v>
      </x:c>
      <x:c r="J689" s="20" t="str">
        <x:v>asin_metadata_pending</x:v>
      </x:c>
      <x:c r="K689" s="20" t="str">
        <x:v>asin_without_metadata</x:v>
      </x:c>
      <x:c r="L689" s="20" t="str">
        <x:v>not_applicable</x:v>
      </x:c>
      <x:c r="M689" s="20" t="str">
        <x:v>non_model</x:v>
      </x:c>
      <x:c r="N689" s="20" t="str">
        <x:v>1</x:v>
      </x:c>
      <x:c r="O689" s="20" t="str">
        <x:v>1.0.0</x:v>
      </x:c>
      <x:c r="P689" s="20" t="str">
        <x:v>1.1.0</x:v>
      </x:c>
      <x:c r="Q689" s="20" t="str">
        <x:v>deepseek/deepseek-v4-pro</x:v>
      </x:c>
      <x:c r="R689" s="20" t="str">
        <x:v>aj2-y90-20260714T234810-0bea2f52</x:v>
      </x:c>
    </x:row>
    <x:row r="690" ht="28" customHeight="1">
      <x:c r="A690" s="20" t="str">
        <x:v>B0D227R4JD</x:v>
      </x:c>
      <x:c r="B690" s="20" t="str">
        <x:v>b0d227r4jd</x:v>
      </x:c>
      <x:c r="C690" s="20" t="str">
        <x:v>f72845d8d240e504</x:v>
      </x:c>
      <x:c r="D690" s="20" t="str">
        <x:v>asin_target</x:v>
      </x:c>
      <x:c r="E690" s="20" t="str">
        <x:v>en</x:v>
      </x:c>
      <x:c r="F690" s="20" t="str">
        <x:v>该搜索词为 ASIN 形式，需补充商品元数据后再判断用户意图。</x:v>
      </x:c>
      <x:c r="G690" s="20" t="str">
        <x:v>unknown</x:v>
      </x:c>
      <x:c r="H690" s="20" t="str">
        <x:v>low</x:v>
      </x:c>
      <x:c r="I690" s="20" t="str">
        <x:v>asin_target</x:v>
      </x:c>
      <x:c r="J690" s="20" t="str">
        <x:v>asin_metadata_pending</x:v>
      </x:c>
      <x:c r="K690" s="20" t="str">
        <x:v>asin_without_metadata</x:v>
      </x:c>
      <x:c r="L690" s="20" t="str">
        <x:v>not_applicable</x:v>
      </x:c>
      <x:c r="M690" s="20" t="str">
        <x:v>non_model</x:v>
      </x:c>
      <x:c r="N690" s="20" t="str">
        <x:v>1</x:v>
      </x:c>
      <x:c r="O690" s="20" t="str">
        <x:v>1.0.0</x:v>
      </x:c>
      <x:c r="P690" s="20" t="str">
        <x:v>1.1.0</x:v>
      </x:c>
      <x:c r="Q690" s="20" t="str">
        <x:v>deepseek/deepseek-v4-pro</x:v>
      </x:c>
      <x:c r="R690" s="20" t="str">
        <x:v>aj2-y90-20260714T234810-0bea2f52</x:v>
      </x:c>
    </x:row>
    <x:row r="691" ht="28" customHeight="1">
      <x:c r="A691" s="20" t="str">
        <x:v>B0BCHMYYTG</x:v>
      </x:c>
      <x:c r="B691" s="20" t="str">
        <x:v>b0bchmyytg</x:v>
      </x:c>
      <x:c r="C691" s="20" t="str">
        <x:v>f738583cc998abb2</x:v>
      </x:c>
      <x:c r="D691" s="20" t="str">
        <x:v>asin_target</x:v>
      </x:c>
      <x:c r="E691" s="20" t="str">
        <x:v>en</x:v>
      </x:c>
      <x:c r="F691" s="20" t="str">
        <x:v>该搜索词为 ASIN 形式，需补充商品元数据后再判断用户意图。</x:v>
      </x:c>
      <x:c r="G691" s="20" t="str">
        <x:v>unknown</x:v>
      </x:c>
      <x:c r="H691" s="20" t="str">
        <x:v>low</x:v>
      </x:c>
      <x:c r="I691" s="20" t="str">
        <x:v>asin_target</x:v>
      </x:c>
      <x:c r="J691" s="20" t="str">
        <x:v>asin_metadata_pending</x:v>
      </x:c>
      <x:c r="K691" s="20" t="str">
        <x:v>asin_without_metadata</x:v>
      </x:c>
      <x:c r="L691" s="20" t="str">
        <x:v>not_applicable</x:v>
      </x:c>
      <x:c r="M691" s="20" t="str">
        <x:v>non_model</x:v>
      </x:c>
      <x:c r="N691" s="20" t="str">
        <x:v>1</x:v>
      </x:c>
      <x:c r="O691" s="20" t="str">
        <x:v>1.0.0</x:v>
      </x:c>
      <x:c r="P691" s="20" t="str">
        <x:v>1.1.0</x:v>
      </x:c>
      <x:c r="Q691" s="20" t="str">
        <x:v>deepseek/deepseek-v4-pro</x:v>
      </x:c>
      <x:c r="R691" s="20" t="str">
        <x:v>aj2-y90-20260714T234810-0bea2f52</x:v>
      </x:c>
    </x:row>
    <x:row r="692" ht="28" customHeight="1">
      <x:c r="A692" s="20" t="str">
        <x:v>B0GLDY356J</x:v>
      </x:c>
      <x:c r="B692" s="20" t="str">
        <x:v>b0gldy356j</x:v>
      </x:c>
      <x:c r="C692" s="20" t="str">
        <x:v>f796faa3e07c0b40</x:v>
      </x:c>
      <x:c r="D692" s="20" t="str">
        <x:v>asin_target</x:v>
      </x:c>
      <x:c r="E692" s="20" t="str">
        <x:v>en</x:v>
      </x:c>
      <x:c r="F692" s="20" t="str">
        <x:v>该搜索词为 ASIN 形式，需补充商品元数据后再判断用户意图。</x:v>
      </x:c>
      <x:c r="G692" s="20" t="str">
        <x:v>unknown</x:v>
      </x:c>
      <x:c r="H692" s="20" t="str">
        <x:v>low</x:v>
      </x:c>
      <x:c r="I692" s="20" t="str">
        <x:v>asin_target</x:v>
      </x:c>
      <x:c r="J692" s="20" t="str">
        <x:v>asin_metadata_pending</x:v>
      </x:c>
      <x:c r="K692" s="20" t="str">
        <x:v>asin_without_metadata</x:v>
      </x:c>
      <x:c r="L692" s="20" t="str">
        <x:v>not_applicable</x:v>
      </x:c>
      <x:c r="M692" s="20" t="str">
        <x:v>non_model</x:v>
      </x:c>
      <x:c r="N692" s="20" t="str">
        <x:v>1</x:v>
      </x:c>
      <x:c r="O692" s="20" t="str">
        <x:v>1.0.0</x:v>
      </x:c>
      <x:c r="P692" s="20" t="str">
        <x:v>1.1.0</x:v>
      </x:c>
      <x:c r="Q692" s="20" t="str">
        <x:v>deepseek/deepseek-v4-pro</x:v>
      </x:c>
      <x:c r="R692" s="20" t="str">
        <x:v>aj2-y90-20260714T234810-0bea2f52</x:v>
      </x:c>
    </x:row>
    <x:row r="693" ht="28" customHeight="1">
      <x:c r="A693" s="20" t="str">
        <x:v>B0DP8BQY9T</x:v>
      </x:c>
      <x:c r="B693" s="20" t="str">
        <x:v>b0dp8bqy9t</x:v>
      </x:c>
      <x:c r="C693" s="20" t="str">
        <x:v>f81417356db4510a</x:v>
      </x:c>
      <x:c r="D693" s="20" t="str">
        <x:v>asin_target</x:v>
      </x:c>
      <x:c r="E693" s="20" t="str">
        <x:v>en</x:v>
      </x:c>
      <x:c r="F693" s="20" t="str">
        <x:v>该搜索词为 ASIN 形式，需补充商品元数据后再判断用户意图。</x:v>
      </x:c>
      <x:c r="G693" s="20" t="str">
        <x:v>unknown</x:v>
      </x:c>
      <x:c r="H693" s="20" t="str">
        <x:v>low</x:v>
      </x:c>
      <x:c r="I693" s="20" t="str">
        <x:v>asin_target</x:v>
      </x:c>
      <x:c r="J693" s="20" t="str">
        <x:v>asin_metadata_pending</x:v>
      </x:c>
      <x:c r="K693" s="20" t="str">
        <x:v>asin_without_metadata</x:v>
      </x:c>
      <x:c r="L693" s="20" t="str">
        <x:v>not_applicable</x:v>
      </x:c>
      <x:c r="M693" s="20" t="str">
        <x:v>non_model</x:v>
      </x:c>
      <x:c r="N693" s="20" t="str">
        <x:v>1</x:v>
      </x:c>
      <x:c r="O693" s="20" t="str">
        <x:v>1.0.0</x:v>
      </x:c>
      <x:c r="P693" s="20" t="str">
        <x:v>1.1.0</x:v>
      </x:c>
      <x:c r="Q693" s="20" t="str">
        <x:v>deepseek/deepseek-v4-pro</x:v>
      </x:c>
      <x:c r="R693" s="20" t="str">
        <x:v>aj2-y90-20260714T234810-0bea2f52</x:v>
      </x:c>
    </x:row>
    <x:row r="694" ht="28" customHeight="1">
      <x:c r="A694" s="20" t="str">
        <x:v>B0G138FMKZ</x:v>
      </x:c>
      <x:c r="B694" s="20" t="str">
        <x:v>b0g138fmkz</x:v>
      </x:c>
      <x:c r="C694" s="20" t="str">
        <x:v>f88298fd653a7ed4</x:v>
      </x:c>
      <x:c r="D694" s="20" t="str">
        <x:v>asin_target</x:v>
      </x:c>
      <x:c r="E694" s="20" t="str">
        <x:v>en</x:v>
      </x:c>
      <x:c r="F694" s="20" t="str">
        <x:v>该搜索词为 ASIN 形式，需补充商品元数据后再判断用户意图。</x:v>
      </x:c>
      <x:c r="G694" s="20" t="str">
        <x:v>unknown</x:v>
      </x:c>
      <x:c r="H694" s="20" t="str">
        <x:v>low</x:v>
      </x:c>
      <x:c r="I694" s="20" t="str">
        <x:v>asin_target</x:v>
      </x:c>
      <x:c r="J694" s="20" t="str">
        <x:v>asin_metadata_pending</x:v>
      </x:c>
      <x:c r="K694" s="20" t="str">
        <x:v>asin_without_metadata</x:v>
      </x:c>
      <x:c r="L694" s="20" t="str">
        <x:v>not_applicable</x:v>
      </x:c>
      <x:c r="M694" s="20" t="str">
        <x:v>non_model</x:v>
      </x:c>
      <x:c r="N694" s="20" t="str">
        <x:v>1</x:v>
      </x:c>
      <x:c r="O694" s="20" t="str">
        <x:v>1.0.0</x:v>
      </x:c>
      <x:c r="P694" s="20" t="str">
        <x:v>1.1.0</x:v>
      </x:c>
      <x:c r="Q694" s="20" t="str">
        <x:v>deepseek/deepseek-v4-pro</x:v>
      </x:c>
      <x:c r="R694" s="20" t="str">
        <x:v>aj2-y90-20260714T234810-0bea2f52</x:v>
      </x:c>
    </x:row>
    <x:row r="695" ht="28" customHeight="1">
      <x:c r="A695" s="20" t="str">
        <x:v>B0G48H97B7</x:v>
      </x:c>
      <x:c r="B695" s="20" t="str">
        <x:v>b0g48h97b7</x:v>
      </x:c>
      <x:c r="C695" s="20" t="str">
        <x:v>f88dfb299ff1f29d</x:v>
      </x:c>
      <x:c r="D695" s="20" t="str">
        <x:v>asin_target</x:v>
      </x:c>
      <x:c r="E695" s="20" t="str">
        <x:v>en</x:v>
      </x:c>
      <x:c r="F695" s="20" t="str">
        <x:v>该搜索词为 ASIN 形式，需补充商品元数据后再判断用户意图。</x:v>
      </x:c>
      <x:c r="G695" s="20" t="str">
        <x:v>unknown</x:v>
      </x:c>
      <x:c r="H695" s="20" t="str">
        <x:v>low</x:v>
      </x:c>
      <x:c r="I695" s="20" t="str">
        <x:v>asin_target</x:v>
      </x:c>
      <x:c r="J695" s="20" t="str">
        <x:v>asin_metadata_pending</x:v>
      </x:c>
      <x:c r="K695" s="20" t="str">
        <x:v>asin_without_metadata</x:v>
      </x:c>
      <x:c r="L695" s="20" t="str">
        <x:v>not_applicable</x:v>
      </x:c>
      <x:c r="M695" s="20" t="str">
        <x:v>non_model</x:v>
      </x:c>
      <x:c r="N695" s="20" t="str">
        <x:v>1</x:v>
      </x:c>
      <x:c r="O695" s="20" t="str">
        <x:v>1.0.0</x:v>
      </x:c>
      <x:c r="P695" s="20" t="str">
        <x:v>1.1.0</x:v>
      </x:c>
      <x:c r="Q695" s="20" t="str">
        <x:v>deepseek/deepseek-v4-pro</x:v>
      </x:c>
      <x:c r="R695" s="20" t="str">
        <x:v>aj2-y90-20260714T234810-0bea2f52</x:v>
      </x:c>
    </x:row>
    <x:row r="696" ht="28" customHeight="1">
      <x:c r="A696" s="20" t="str">
        <x:v>B0F8MQCGB3</x:v>
      </x:c>
      <x:c r="B696" s="20" t="str">
        <x:v>b0f8mqcgb3</x:v>
      </x:c>
      <x:c r="C696" s="20" t="str">
        <x:v>f8ac057ce1d157d5</x:v>
      </x:c>
      <x:c r="D696" s="20" t="str">
        <x:v>asin_target</x:v>
      </x:c>
      <x:c r="E696" s="20" t="str">
        <x:v>en</x:v>
      </x:c>
      <x:c r="F696" s="20" t="str">
        <x:v>该搜索词为 ASIN 形式，需补充商品元数据后再判断用户意图。</x:v>
      </x:c>
      <x:c r="G696" s="20" t="str">
        <x:v>unknown</x:v>
      </x:c>
      <x:c r="H696" s="20" t="str">
        <x:v>low</x:v>
      </x:c>
      <x:c r="I696" s="20" t="str">
        <x:v>asin_target</x:v>
      </x:c>
      <x:c r="J696" s="20" t="str">
        <x:v>asin_metadata_pending</x:v>
      </x:c>
      <x:c r="K696" s="20" t="str">
        <x:v>asin_without_metadata</x:v>
      </x:c>
      <x:c r="L696" s="20" t="str">
        <x:v>not_applicable</x:v>
      </x:c>
      <x:c r="M696" s="20" t="str">
        <x:v>non_model</x:v>
      </x:c>
      <x:c r="N696" s="20" t="str">
        <x:v>1</x:v>
      </x:c>
      <x:c r="O696" s="20" t="str">
        <x:v>1.0.0</x:v>
      </x:c>
      <x:c r="P696" s="20" t="str">
        <x:v>1.1.0</x:v>
      </x:c>
      <x:c r="Q696" s="20" t="str">
        <x:v>deepseek/deepseek-v4-pro</x:v>
      </x:c>
      <x:c r="R696" s="20" t="str">
        <x:v>aj2-y90-20260714T234810-0bea2f52</x:v>
      </x:c>
    </x:row>
    <x:row r="697" ht="28" customHeight="1">
      <x:c r="A697" s="20" t="str">
        <x:v>B09NBCK6BK</x:v>
      </x:c>
      <x:c r="B697" s="20" t="str">
        <x:v>b09nbck6bk</x:v>
      </x:c>
      <x:c r="C697" s="20" t="str">
        <x:v>f9b9eab64012ce35</x:v>
      </x:c>
      <x:c r="D697" s="20" t="str">
        <x:v>asin_target</x:v>
      </x:c>
      <x:c r="E697" s="20" t="str">
        <x:v>en</x:v>
      </x:c>
      <x:c r="F697" s="20" t="str">
        <x:v>该搜索词为 ASIN 形式，需补充商品元数据后再判断用户意图。</x:v>
      </x:c>
      <x:c r="G697" s="20" t="str">
        <x:v>unknown</x:v>
      </x:c>
      <x:c r="H697" s="20" t="str">
        <x:v>low</x:v>
      </x:c>
      <x:c r="I697" s="20" t="str">
        <x:v>asin_target</x:v>
      </x:c>
      <x:c r="J697" s="20" t="str">
        <x:v>asin_metadata_pending</x:v>
      </x:c>
      <x:c r="K697" s="20" t="str">
        <x:v>asin_without_metadata</x:v>
      </x:c>
      <x:c r="L697" s="20" t="str">
        <x:v>not_applicable</x:v>
      </x:c>
      <x:c r="M697" s="20" t="str">
        <x:v>non_model</x:v>
      </x:c>
      <x:c r="N697" s="20" t="str">
        <x:v>1</x:v>
      </x:c>
      <x:c r="O697" s="20" t="str">
        <x:v>1.0.0</x:v>
      </x:c>
      <x:c r="P697" s="20" t="str">
        <x:v>1.1.0</x:v>
      </x:c>
      <x:c r="Q697" s="20" t="str">
        <x:v>deepseek/deepseek-v4-pro</x:v>
      </x:c>
      <x:c r="R697" s="20" t="str">
        <x:v>aj2-y90-20260714T234810-0bea2f52</x:v>
      </x:c>
    </x:row>
    <x:row r="698" ht="28" customHeight="1">
      <x:c r="A698" s="20" t="str">
        <x:v>B0B42VGS2G</x:v>
      </x:c>
      <x:c r="B698" s="20" t="str">
        <x:v>b0b42vgs2g</x:v>
      </x:c>
      <x:c r="C698" s="20" t="str">
        <x:v>f9ef819963372fe4</x:v>
      </x:c>
      <x:c r="D698" s="20" t="str">
        <x:v>asin_target</x:v>
      </x:c>
      <x:c r="E698" s="20" t="str">
        <x:v>en</x:v>
      </x:c>
      <x:c r="F698" s="20" t="str">
        <x:v>该搜索词为 ASIN 形式，需补充商品元数据后再判断用户意图。</x:v>
      </x:c>
      <x:c r="G698" s="20" t="str">
        <x:v>unknown</x:v>
      </x:c>
      <x:c r="H698" s="20" t="str">
        <x:v>low</x:v>
      </x:c>
      <x:c r="I698" s="20" t="str">
        <x:v>asin_target</x:v>
      </x:c>
      <x:c r="J698" s="20" t="str">
        <x:v>asin_metadata_pending</x:v>
      </x:c>
      <x:c r="K698" s="20" t="str">
        <x:v>asin_without_metadata</x:v>
      </x:c>
      <x:c r="L698" s="20" t="str">
        <x:v>not_applicable</x:v>
      </x:c>
      <x:c r="M698" s="20" t="str">
        <x:v>non_model</x:v>
      </x:c>
      <x:c r="N698" s="20" t="str">
        <x:v>1</x:v>
      </x:c>
      <x:c r="O698" s="20" t="str">
        <x:v>1.0.0</x:v>
      </x:c>
      <x:c r="P698" s="20" t="str">
        <x:v>1.1.0</x:v>
      </x:c>
      <x:c r="Q698" s="20" t="str">
        <x:v>deepseek/deepseek-v4-pro</x:v>
      </x:c>
      <x:c r="R698" s="20" t="str">
        <x:v>aj2-y90-20260714T234810-0bea2f52</x:v>
      </x:c>
    </x:row>
    <x:row r="699" ht="28" customHeight="1">
      <x:c r="A699" s="20" t="str">
        <x:v>B0G48J3726</x:v>
      </x:c>
      <x:c r="B699" s="20" t="str">
        <x:v>b0g48j3726</x:v>
      </x:c>
      <x:c r="C699" s="20" t="str">
        <x:v>fa463e4ec84eb33b</x:v>
      </x:c>
      <x:c r="D699" s="20" t="str">
        <x:v>asin_target</x:v>
      </x:c>
      <x:c r="E699" s="20" t="str">
        <x:v>en</x:v>
      </x:c>
      <x:c r="F699" s="20" t="str">
        <x:v>该搜索词为 ASIN 形式，需补充商品元数据后再判断用户意图。</x:v>
      </x:c>
      <x:c r="G699" s="20" t="str">
        <x:v>unknown</x:v>
      </x:c>
      <x:c r="H699" s="20" t="str">
        <x:v>low</x:v>
      </x:c>
      <x:c r="I699" s="20" t="str">
        <x:v>asin_target</x:v>
      </x:c>
      <x:c r="J699" s="20" t="str">
        <x:v>asin_metadata_pending</x:v>
      </x:c>
      <x:c r="K699" s="20" t="str">
        <x:v>asin_without_metadata</x:v>
      </x:c>
      <x:c r="L699" s="20" t="str">
        <x:v>not_applicable</x:v>
      </x:c>
      <x:c r="M699" s="20" t="str">
        <x:v>non_model</x:v>
      </x:c>
      <x:c r="N699" s="20" t="str">
        <x:v>2</x:v>
      </x:c>
      <x:c r="O699" s="20" t="str">
        <x:v>1.0.0</x:v>
      </x:c>
      <x:c r="P699" s="20" t="str">
        <x:v>1.1.0</x:v>
      </x:c>
      <x:c r="Q699" s="20" t="str">
        <x:v>deepseek/deepseek-v4-pro</x:v>
      </x:c>
      <x:c r="R699" s="20" t="str">
        <x:v>aj2-y90-20260714T234810-0bea2f52</x:v>
      </x:c>
    </x:row>
    <x:row r="700" ht="28" customHeight="1">
      <x:c r="A700" s="20" t="str">
        <x:v>B0GGR27CTY</x:v>
      </x:c>
      <x:c r="B700" s="20" t="str">
        <x:v>b0ggr27cty</x:v>
      </x:c>
      <x:c r="C700" s="20" t="str">
        <x:v>fa86299607342bc4</x:v>
      </x:c>
      <x:c r="D700" s="20" t="str">
        <x:v>asin_target</x:v>
      </x:c>
      <x:c r="E700" s="20" t="str">
        <x:v>en</x:v>
      </x:c>
      <x:c r="F700" s="20" t="str">
        <x:v>该搜索词为 ASIN 形式，需补充商品元数据后再判断用户意图。</x:v>
      </x:c>
      <x:c r="G700" s="20" t="str">
        <x:v>unknown</x:v>
      </x:c>
      <x:c r="H700" s="20" t="str">
        <x:v>low</x:v>
      </x:c>
      <x:c r="I700" s="20" t="str">
        <x:v>asin_target</x:v>
      </x:c>
      <x:c r="J700" s="20" t="str">
        <x:v>asin_metadata_pending</x:v>
      </x:c>
      <x:c r="K700" s="20" t="str">
        <x:v>asin_without_metadata</x:v>
      </x:c>
      <x:c r="L700" s="20" t="str">
        <x:v>not_applicable</x:v>
      </x:c>
      <x:c r="M700" s="20" t="str">
        <x:v>non_model</x:v>
      </x:c>
      <x:c r="N700" s="20" t="str">
        <x:v>1</x:v>
      </x:c>
      <x:c r="O700" s="20" t="str">
        <x:v>1.0.0</x:v>
      </x:c>
      <x:c r="P700" s="20" t="str">
        <x:v>1.1.0</x:v>
      </x:c>
      <x:c r="Q700" s="20" t="str">
        <x:v>deepseek/deepseek-v4-pro</x:v>
      </x:c>
      <x:c r="R700" s="20" t="str">
        <x:v>aj2-y90-20260714T234810-0bea2f52</x:v>
      </x:c>
    </x:row>
    <x:row r="701" ht="28" customHeight="1">
      <x:c r="A701" s="20" t="str">
        <x:v>B0BKB1344L</x:v>
      </x:c>
      <x:c r="B701" s="20" t="str">
        <x:v>b0bkb1344l</x:v>
      </x:c>
      <x:c r="C701" s="20" t="str">
        <x:v>faaf5c040f1e9c4b</x:v>
      </x:c>
      <x:c r="D701" s="20" t="str">
        <x:v>asin_target</x:v>
      </x:c>
      <x:c r="E701" s="20" t="str">
        <x:v>en</x:v>
      </x:c>
      <x:c r="F701" s="20" t="str">
        <x:v>该搜索词为 ASIN 形式，需补充商品元数据后再判断用户意图。</x:v>
      </x:c>
      <x:c r="G701" s="20" t="str">
        <x:v>unknown</x:v>
      </x:c>
      <x:c r="H701" s="20" t="str">
        <x:v>low</x:v>
      </x:c>
      <x:c r="I701" s="20" t="str">
        <x:v>asin_target</x:v>
      </x:c>
      <x:c r="J701" s="20" t="str">
        <x:v>asin_metadata_pending</x:v>
      </x:c>
      <x:c r="K701" s="20" t="str">
        <x:v>asin_without_metadata</x:v>
      </x:c>
      <x:c r="L701" s="20" t="str">
        <x:v>not_applicable</x:v>
      </x:c>
      <x:c r="M701" s="20" t="str">
        <x:v>non_model</x:v>
      </x:c>
      <x:c r="N701" s="20" t="str">
        <x:v>1</x:v>
      </x:c>
      <x:c r="O701" s="20" t="str">
        <x:v>1.0.0</x:v>
      </x:c>
      <x:c r="P701" s="20" t="str">
        <x:v>1.1.0</x:v>
      </x:c>
      <x:c r="Q701" s="20" t="str">
        <x:v>deepseek/deepseek-v4-pro</x:v>
      </x:c>
      <x:c r="R701" s="20" t="str">
        <x:v>aj2-y90-20260714T234810-0bea2f52</x:v>
      </x:c>
    </x:row>
    <x:row r="702" ht="28" customHeight="1">
      <x:c r="A702" s="20" t="str">
        <x:v>B0DND8CSRB</x:v>
      </x:c>
      <x:c r="B702" s="20" t="str">
        <x:v>b0dnd8csrb</x:v>
      </x:c>
      <x:c r="C702" s="20" t="str">
        <x:v>fac27cf692da856e</x:v>
      </x:c>
      <x:c r="D702" s="20" t="str">
        <x:v>asin_target</x:v>
      </x:c>
      <x:c r="E702" s="20" t="str">
        <x:v>en</x:v>
      </x:c>
      <x:c r="F702" s="20" t="str">
        <x:v>该搜索词为 ASIN 形式，需补充商品元数据后再判断用户意图。</x:v>
      </x:c>
      <x:c r="G702" s="20" t="str">
        <x:v>unknown</x:v>
      </x:c>
      <x:c r="H702" s="20" t="str">
        <x:v>low</x:v>
      </x:c>
      <x:c r="I702" s="20" t="str">
        <x:v>asin_target</x:v>
      </x:c>
      <x:c r="J702" s="20" t="str">
        <x:v>asin_metadata_pending</x:v>
      </x:c>
      <x:c r="K702" s="20" t="str">
        <x:v>asin_without_metadata</x:v>
      </x:c>
      <x:c r="L702" s="20" t="str">
        <x:v>not_applicable</x:v>
      </x:c>
      <x:c r="M702" s="20" t="str">
        <x:v>non_model</x:v>
      </x:c>
      <x:c r="N702" s="20" t="str">
        <x:v>1</x:v>
      </x:c>
      <x:c r="O702" s="20" t="str">
        <x:v>1.0.0</x:v>
      </x:c>
      <x:c r="P702" s="20" t="str">
        <x:v>1.1.0</x:v>
      </x:c>
      <x:c r="Q702" s="20" t="str">
        <x:v>deepseek/deepseek-v4-pro</x:v>
      </x:c>
      <x:c r="R702" s="20" t="str">
        <x:v>aj2-y90-20260714T234810-0bea2f52</x:v>
      </x:c>
    </x:row>
    <x:row r="703" ht="28" customHeight="1">
      <x:c r="A703" s="20" t="str">
        <x:v>B0FVF8XVR3</x:v>
      </x:c>
      <x:c r="B703" s="20" t="str">
        <x:v>b0fvf8xvr3</x:v>
      </x:c>
      <x:c r="C703" s="20" t="str">
        <x:v>fb8af413a51a88e2</x:v>
      </x:c>
      <x:c r="D703" s="20" t="str">
        <x:v>asin_target</x:v>
      </x:c>
      <x:c r="E703" s="20" t="str">
        <x:v>en</x:v>
      </x:c>
      <x:c r="F703" s="20" t="str">
        <x:v>该搜索词为 ASIN 形式，需补充商品元数据后再判断用户意图。</x:v>
      </x:c>
      <x:c r="G703" s="20" t="str">
        <x:v>unknown</x:v>
      </x:c>
      <x:c r="H703" s="20" t="str">
        <x:v>low</x:v>
      </x:c>
      <x:c r="I703" s="20" t="str">
        <x:v>asin_target</x:v>
      </x:c>
      <x:c r="J703" s="20" t="str">
        <x:v>asin_metadata_pending</x:v>
      </x:c>
      <x:c r="K703" s="20" t="str">
        <x:v>asin_without_metadata</x:v>
      </x:c>
      <x:c r="L703" s="20" t="str">
        <x:v>not_applicable</x:v>
      </x:c>
      <x:c r="M703" s="20" t="str">
        <x:v>non_model</x:v>
      </x:c>
      <x:c r="N703" s="20" t="str">
        <x:v>2</x:v>
      </x:c>
      <x:c r="O703" s="20" t="str">
        <x:v>1.0.0</x:v>
      </x:c>
      <x:c r="P703" s="20" t="str">
        <x:v>1.1.0</x:v>
      </x:c>
      <x:c r="Q703" s="20" t="str">
        <x:v>deepseek/deepseek-v4-pro</x:v>
      </x:c>
      <x:c r="R703" s="20" t="str">
        <x:v>aj2-y90-20260714T234810-0bea2f52</x:v>
      </x:c>
    </x:row>
    <x:row r="704" ht="28" customHeight="1">
      <x:c r="A704" s="20" t="str">
        <x:v>B0GGRBDQHM</x:v>
      </x:c>
      <x:c r="B704" s="20" t="str">
        <x:v>b0ggrbdqhm</x:v>
      </x:c>
      <x:c r="C704" s="20" t="str">
        <x:v>fbf9e753f2c8141b</x:v>
      </x:c>
      <x:c r="D704" s="20" t="str">
        <x:v>asin_target</x:v>
      </x:c>
      <x:c r="E704" s="20" t="str">
        <x:v>en</x:v>
      </x:c>
      <x:c r="F704" s="20" t="str">
        <x:v>该搜索词为 ASIN 形式，需补充商品元数据后再判断用户意图。</x:v>
      </x:c>
      <x:c r="G704" s="20" t="str">
        <x:v>unknown</x:v>
      </x:c>
      <x:c r="H704" s="20" t="str">
        <x:v>low</x:v>
      </x:c>
      <x:c r="I704" s="20" t="str">
        <x:v>asin_target</x:v>
      </x:c>
      <x:c r="J704" s="20" t="str">
        <x:v>asin_metadata_pending</x:v>
      </x:c>
      <x:c r="K704" s="20" t="str">
        <x:v>asin_without_metadata</x:v>
      </x:c>
      <x:c r="L704" s="20" t="str">
        <x:v>not_applicable</x:v>
      </x:c>
      <x:c r="M704" s="20" t="str">
        <x:v>non_model</x:v>
      </x:c>
      <x:c r="N704" s="20" t="str">
        <x:v>2</x:v>
      </x:c>
      <x:c r="O704" s="20" t="str">
        <x:v>1.0.0</x:v>
      </x:c>
      <x:c r="P704" s="20" t="str">
        <x:v>1.1.0</x:v>
      </x:c>
      <x:c r="Q704" s="20" t="str">
        <x:v>deepseek/deepseek-v4-pro</x:v>
      </x:c>
      <x:c r="R704" s="20" t="str">
        <x:v>aj2-y90-20260714T234810-0bea2f52</x:v>
      </x:c>
    </x:row>
    <x:row r="705" ht="28" customHeight="1">
      <x:c r="A705" s="20" t="str">
        <x:v>B0B68G2D52</x:v>
      </x:c>
      <x:c r="B705" s="20" t="str">
        <x:v>b0b68g2d52</x:v>
      </x:c>
      <x:c r="C705" s="20" t="str">
        <x:v>fc3580cc92ae1b68</x:v>
      </x:c>
      <x:c r="D705" s="20" t="str">
        <x:v>asin_target</x:v>
      </x:c>
      <x:c r="E705" s="20" t="str">
        <x:v>en</x:v>
      </x:c>
      <x:c r="F705" s="20" t="str">
        <x:v>该搜索词为 ASIN 形式，需补充商品元数据后再判断用户意图。</x:v>
      </x:c>
      <x:c r="G705" s="20" t="str">
        <x:v>unknown</x:v>
      </x:c>
      <x:c r="H705" s="20" t="str">
        <x:v>low</x:v>
      </x:c>
      <x:c r="I705" s="20" t="str">
        <x:v>asin_target</x:v>
      </x:c>
      <x:c r="J705" s="20" t="str">
        <x:v>asin_metadata_pending</x:v>
      </x:c>
      <x:c r="K705" s="20" t="str">
        <x:v>asin_without_metadata</x:v>
      </x:c>
      <x:c r="L705" s="20" t="str">
        <x:v>not_applicable</x:v>
      </x:c>
      <x:c r="M705" s="20" t="str">
        <x:v>non_model</x:v>
      </x:c>
      <x:c r="N705" s="20" t="str">
        <x:v>2</x:v>
      </x:c>
      <x:c r="O705" s="20" t="str">
        <x:v>1.0.0</x:v>
      </x:c>
      <x:c r="P705" s="20" t="str">
        <x:v>1.1.0</x:v>
      </x:c>
      <x:c r="Q705" s="20" t="str">
        <x:v>deepseek/deepseek-v4-pro</x:v>
      </x:c>
      <x:c r="R705" s="20" t="str">
        <x:v>aj2-y90-20260714T234810-0bea2f52</x:v>
      </x:c>
    </x:row>
    <x:row r="706" ht="28" customHeight="1">
      <x:c r="A706" s="20" t="str">
        <x:v>B0BKB3LW92</x:v>
      </x:c>
      <x:c r="B706" s="20" t="str">
        <x:v>b0bkb3lw92</x:v>
      </x:c>
      <x:c r="C706" s="20" t="str">
        <x:v>fc88cb34aad8bb3f</x:v>
      </x:c>
      <x:c r="D706" s="20" t="str">
        <x:v>asin_target</x:v>
      </x:c>
      <x:c r="E706" s="20" t="str">
        <x:v>en</x:v>
      </x:c>
      <x:c r="F706" s="20" t="str">
        <x:v>该搜索词为 ASIN 形式，需补充商品元数据后再判断用户意图。</x:v>
      </x:c>
      <x:c r="G706" s="20" t="str">
        <x:v>unknown</x:v>
      </x:c>
      <x:c r="H706" s="20" t="str">
        <x:v>low</x:v>
      </x:c>
      <x:c r="I706" s="20" t="str">
        <x:v>asin_target</x:v>
      </x:c>
      <x:c r="J706" s="20" t="str">
        <x:v>asin_metadata_pending</x:v>
      </x:c>
      <x:c r="K706" s="20" t="str">
        <x:v>asin_without_metadata</x:v>
      </x:c>
      <x:c r="L706" s="20" t="str">
        <x:v>not_applicable</x:v>
      </x:c>
      <x:c r="M706" s="20" t="str">
        <x:v>non_model</x:v>
      </x:c>
      <x:c r="N706" s="20" t="str">
        <x:v>1</x:v>
      </x:c>
      <x:c r="O706" s="20" t="str">
        <x:v>1.0.0</x:v>
      </x:c>
      <x:c r="P706" s="20" t="str">
        <x:v>1.1.0</x:v>
      </x:c>
      <x:c r="Q706" s="20" t="str">
        <x:v>deepseek/deepseek-v4-pro</x:v>
      </x:c>
      <x:c r="R706" s="20" t="str">
        <x:v>aj2-y90-20260714T234810-0bea2f52</x:v>
      </x:c>
    </x:row>
    <x:row r="707" ht="28" customHeight="1">
      <x:c r="A707" s="20" t="str">
        <x:v>B0GLF9GX2H</x:v>
      </x:c>
      <x:c r="B707" s="20" t="str">
        <x:v>b0glf9gx2h</x:v>
      </x:c>
      <x:c r="C707" s="20" t="str">
        <x:v>fd2019f18ab73b88</x:v>
      </x:c>
      <x:c r="D707" s="20" t="str">
        <x:v>asin_target</x:v>
      </x:c>
      <x:c r="E707" s="20" t="str">
        <x:v>en</x:v>
      </x:c>
      <x:c r="F707" s="20" t="str">
        <x:v>该搜索词为 ASIN 形式，需补充商品元数据后再判断用户意图。</x:v>
      </x:c>
      <x:c r="G707" s="20" t="str">
        <x:v>unknown</x:v>
      </x:c>
      <x:c r="H707" s="20" t="str">
        <x:v>low</x:v>
      </x:c>
      <x:c r="I707" s="20" t="str">
        <x:v>asin_target</x:v>
      </x:c>
      <x:c r="J707" s="20" t="str">
        <x:v>asin_metadata_pending</x:v>
      </x:c>
      <x:c r="K707" s="20" t="str">
        <x:v>asin_without_metadata</x:v>
      </x:c>
      <x:c r="L707" s="20" t="str">
        <x:v>not_applicable</x:v>
      </x:c>
      <x:c r="M707" s="20" t="str">
        <x:v>non_model</x:v>
      </x:c>
      <x:c r="N707" s="20" t="str">
        <x:v>1</x:v>
      </x:c>
      <x:c r="O707" s="20" t="str">
        <x:v>1.0.0</x:v>
      </x:c>
      <x:c r="P707" s="20" t="str">
        <x:v>1.1.0</x:v>
      </x:c>
      <x:c r="Q707" s="20" t="str">
        <x:v>deepseek/deepseek-v4-pro</x:v>
      </x:c>
      <x:c r="R707" s="20" t="str">
        <x:v>aj2-y90-20260714T234810-0bea2f52</x:v>
      </x:c>
    </x:row>
    <x:row r="708" ht="28" customHeight="1">
      <x:c r="A708" s="20" t="str">
        <x:v>B0BV6B263V</x:v>
      </x:c>
      <x:c r="B708" s="20" t="str">
        <x:v>b0bv6b263v</x:v>
      </x:c>
      <x:c r="C708" s="20" t="str">
        <x:v>fdc003eaa6ce416b</x:v>
      </x:c>
      <x:c r="D708" s="20" t="str">
        <x:v>asin_target</x:v>
      </x:c>
      <x:c r="E708" s="20" t="str">
        <x:v>en</x:v>
      </x:c>
      <x:c r="F708" s="20" t="str">
        <x:v>该搜索词为 ASIN 形式，需补充商品元数据后再判断用户意图。</x:v>
      </x:c>
      <x:c r="G708" s="20" t="str">
        <x:v>unknown</x:v>
      </x:c>
      <x:c r="H708" s="20" t="str">
        <x:v>low</x:v>
      </x:c>
      <x:c r="I708" s="20" t="str">
        <x:v>asin_target</x:v>
      </x:c>
      <x:c r="J708" s="20" t="str">
        <x:v>asin_metadata_pending</x:v>
      </x:c>
      <x:c r="K708" s="20" t="str">
        <x:v>asin_without_metadata</x:v>
      </x:c>
      <x:c r="L708" s="20" t="str">
        <x:v>not_applicable</x:v>
      </x:c>
      <x:c r="M708" s="20" t="str">
        <x:v>non_model</x:v>
      </x:c>
      <x:c r="N708" s="20" t="str">
        <x:v>1</x:v>
      </x:c>
      <x:c r="O708" s="20" t="str">
        <x:v>1.0.0</x:v>
      </x:c>
      <x:c r="P708" s="20" t="str">
        <x:v>1.1.0</x:v>
      </x:c>
      <x:c r="Q708" s="20" t="str">
        <x:v>deepseek/deepseek-v4-pro</x:v>
      </x:c>
      <x:c r="R708" s="20" t="str">
        <x:v>aj2-y90-20260714T234810-0bea2f52</x:v>
      </x:c>
    </x:row>
    <x:row r="709" ht="28" customHeight="1">
      <x:c r="A709" s="20" t="str">
        <x:v>B086SXPWG2</x:v>
      </x:c>
      <x:c r="B709" s="20" t="str">
        <x:v>b086sxpwg2</x:v>
      </x:c>
      <x:c r="C709" s="20" t="str">
        <x:v>fea345908854c8a5</x:v>
      </x:c>
      <x:c r="D709" s="20" t="str">
        <x:v>asin_target</x:v>
      </x:c>
      <x:c r="E709" s="20" t="str">
        <x:v>en</x:v>
      </x:c>
      <x:c r="F709" s="20" t="str">
        <x:v>该搜索词为 ASIN 形式，需补充商品元数据后再判断用户意图。</x:v>
      </x:c>
      <x:c r="G709" s="20" t="str">
        <x:v>unknown</x:v>
      </x:c>
      <x:c r="H709" s="20" t="str">
        <x:v>low</x:v>
      </x:c>
      <x:c r="I709" s="20" t="str">
        <x:v>asin_target</x:v>
      </x:c>
      <x:c r="J709" s="20" t="str">
        <x:v>asin_metadata_pending</x:v>
      </x:c>
      <x:c r="K709" s="20" t="str">
        <x:v>asin_without_metadata</x:v>
      </x:c>
      <x:c r="L709" s="20" t="str">
        <x:v>not_applicable</x:v>
      </x:c>
      <x:c r="M709" s="20" t="str">
        <x:v>non_model</x:v>
      </x:c>
      <x:c r="N709" s="20" t="str">
        <x:v>1</x:v>
      </x:c>
      <x:c r="O709" s="20" t="str">
        <x:v>1.0.0</x:v>
      </x:c>
      <x:c r="P709" s="20" t="str">
        <x:v>1.1.0</x:v>
      </x:c>
      <x:c r="Q709" s="20" t="str">
        <x:v>deepseek/deepseek-v4-pro</x:v>
      </x:c>
      <x:c r="R709" s="20" t="str">
        <x:v>aj2-y90-20260714T234810-0bea2f52</x:v>
      </x:c>
    </x:row>
    <x:row r="710" ht="28" customHeight="1">
      <x:c r="A710" s="20" t="str">
        <x:v>B0DSN15HLC</x:v>
      </x:c>
      <x:c r="B710" s="20" t="str">
        <x:v>b0dsn15hlc</x:v>
      </x:c>
      <x:c r="C710" s="20" t="str">
        <x:v>fea9d50748a25cea</x:v>
      </x:c>
      <x:c r="D710" s="20" t="str">
        <x:v>asin_target</x:v>
      </x:c>
      <x:c r="E710" s="20" t="str">
        <x:v>en</x:v>
      </x:c>
      <x:c r="F710" s="20" t="str">
        <x:v>该搜索词为 ASIN 形式，需补充商品元数据后再判断用户意图。</x:v>
      </x:c>
      <x:c r="G710" s="20" t="str">
        <x:v>unknown</x:v>
      </x:c>
      <x:c r="H710" s="20" t="str">
        <x:v>low</x:v>
      </x:c>
      <x:c r="I710" s="20" t="str">
        <x:v>asin_target</x:v>
      </x:c>
      <x:c r="J710" s="20" t="str">
        <x:v>asin_metadata_pending</x:v>
      </x:c>
      <x:c r="K710" s="20" t="str">
        <x:v>asin_without_metadata</x:v>
      </x:c>
      <x:c r="L710" s="20" t="str">
        <x:v>not_applicable</x:v>
      </x:c>
      <x:c r="M710" s="20" t="str">
        <x:v>non_model</x:v>
      </x:c>
      <x:c r="N710" s="20" t="str">
        <x:v>1</x:v>
      </x:c>
      <x:c r="O710" s="20" t="str">
        <x:v>1.0.0</x:v>
      </x:c>
      <x:c r="P710" s="20" t="str">
        <x:v>1.1.0</x:v>
      </x:c>
      <x:c r="Q710" s="20" t="str">
        <x:v>deepseek/deepseek-v4-pro</x:v>
      </x:c>
      <x:c r="R710" s="20" t="str">
        <x:v>aj2-y90-20260714T234810-0bea2f52</x:v>
      </x:c>
    </x:row>
    <x:row r="711" ht="28" customHeight="1">
      <x:c r="A711" s="20" t="str">
        <x:v>B0GTYHGTP4</x:v>
      </x:c>
      <x:c r="B711" s="20" t="str">
        <x:v>b0gtyhgtp4</x:v>
      </x:c>
      <x:c r="C711" s="20" t="str">
        <x:v>ff625a07d49daf41</x:v>
      </x:c>
      <x:c r="D711" s="20" t="str">
        <x:v>asin_target</x:v>
      </x:c>
      <x:c r="E711" s="20" t="str">
        <x:v>en</x:v>
      </x:c>
      <x:c r="F711" s="20" t="str">
        <x:v>该搜索词为 ASIN 形式，需补充商品元数据后再判断用户意图。</x:v>
      </x:c>
      <x:c r="G711" s="20" t="str">
        <x:v>unknown</x:v>
      </x:c>
      <x:c r="H711" s="20" t="str">
        <x:v>low</x:v>
      </x:c>
      <x:c r="I711" s="20" t="str">
        <x:v>asin_target</x:v>
      </x:c>
      <x:c r="J711" s="20" t="str">
        <x:v>asin_metadata_pending</x:v>
      </x:c>
      <x:c r="K711" s="20" t="str">
        <x:v>asin_without_metadata</x:v>
      </x:c>
      <x:c r="L711" s="20" t="str">
        <x:v>not_applicable</x:v>
      </x:c>
      <x:c r="M711" s="20" t="str">
        <x:v>non_model</x:v>
      </x:c>
      <x:c r="N711" s="20" t="str">
        <x:v>1</x:v>
      </x:c>
      <x:c r="O711" s="20" t="str">
        <x:v>1.0.0</x:v>
      </x:c>
      <x:c r="P711" s="20" t="str">
        <x:v>1.1.0</x:v>
      </x:c>
      <x:c r="Q711" s="20" t="str">
        <x:v>deepseek/deepseek-v4-pro</x:v>
      </x:c>
      <x:c r="R711" s="20" t="str">
        <x:v>aj2-y90-20260714T234810-0bea2f52</x:v>
      </x:c>
    </x:row>
    <x:row r="712" ht="28" customHeight="1">
      <x:c r="A712" s="20" t="str">
        <x:v>B0GLDXFMQH</x:v>
      </x:c>
      <x:c r="B712" s="20" t="str">
        <x:v>b0gldxfmqh</x:v>
      </x:c>
      <x:c r="C712" s="20" t="str">
        <x:v>ffeb4b971530ee3a</x:v>
      </x:c>
      <x:c r="D712" s="20" t="str">
        <x:v>asin_target</x:v>
      </x:c>
      <x:c r="E712" s="20" t="str">
        <x:v>en</x:v>
      </x:c>
      <x:c r="F712" s="20" t="str">
        <x:v>该搜索词为 ASIN 形式，需补充商品元数据后再判断用户意图。</x:v>
      </x:c>
      <x:c r="G712" s="20" t="str">
        <x:v>unknown</x:v>
      </x:c>
      <x:c r="H712" s="20" t="str">
        <x:v>low</x:v>
      </x:c>
      <x:c r="I712" s="20" t="str">
        <x:v>asin_target</x:v>
      </x:c>
      <x:c r="J712" s="20" t="str">
        <x:v>asin_metadata_pending</x:v>
      </x:c>
      <x:c r="K712" s="20" t="str">
        <x:v>asin_without_metadata</x:v>
      </x:c>
      <x:c r="L712" s="20" t="str">
        <x:v>not_applicable</x:v>
      </x:c>
      <x:c r="M712" s="20" t="str">
        <x:v>non_model</x:v>
      </x:c>
      <x:c r="N712" s="20" t="str">
        <x:v>1</x:v>
      </x:c>
      <x:c r="O712" s="20" t="str">
        <x:v>1.0.0</x:v>
      </x:c>
      <x:c r="P712" s="20" t="str">
        <x:v>1.1.0</x:v>
      </x:c>
      <x:c r="Q712" s="20" t="str">
        <x:v>deepseek/deepseek-v4-pro</x:v>
      </x:c>
      <x:c r="R712" s="20" t="str">
        <x:v>aj2-y90-20260714T234810-0bea2f52</x:v>
      </x:c>
    </x:row>
    <x:row r="713" ht="28" customHeight="1">
      <x:c r="A713" s="20" t="str"/>
      <x:c r="B713" s="20" t="str"/>
      <x:c r="C713" s="20" t="str">
        <x:v>blank</x:v>
      </x:c>
      <x:c r="D713" s="20" t="str">
        <x:v>blank</x:v>
      </x:c>
      <x:c r="E713" s="20" t="str">
        <x:v>unknown</x:v>
      </x:c>
      <x:c r="F713" s="20" t="str">
        <x:v>搜索词为空，跳过意图推断。</x:v>
      </x:c>
      <x:c r="G713" s="20" t="str">
        <x:v>unknown</x:v>
      </x:c>
      <x:c r="H713" s="20" t="str">
        <x:v>low</x:v>
      </x:c>
      <x:c r="I713" s="20" t="str">
        <x:v>blank</x:v>
      </x:c>
      <x:c r="J713" s="20" t="str">
        <x:v>blank_skip</x:v>
      </x:c>
      <x:c r="K713" s="20" t="str">
        <x:v>blank_term</x:v>
      </x:c>
      <x:c r="L713" s="20" t="str">
        <x:v>not_applicable</x:v>
      </x:c>
      <x:c r="M713" s="20" t="str">
        <x:v>non_model</x:v>
      </x:c>
      <x:c r="N713" s="20" t="str">
        <x:v>2</x:v>
      </x:c>
      <x:c r="O713" s="20" t="str">
        <x:v>1.0.0</x:v>
      </x:c>
      <x:c r="P713" s="20" t="str">
        <x:v>1.1.0</x:v>
      </x:c>
      <x:c r="Q713" s="20" t="str">
        <x:v>deepseek/deepseek-v4-pro</x:v>
      </x:c>
      <x:c r="R713" s="20" t="str">
        <x:v>aj2-y90-20260714T234810-0bea2f52</x:v>
      </x:c>
    </x:row>
  </x:sheetData>
  <x:pageMargins left="0.7" right="0.7" top="0.75" bottom="0.75" header="0.3" footer="0.3"/>
  <x:tableParts count="1">
    <x:tablePart xmlns:r="http://schemas.openxmlformats.org/officeDocument/2006/relationships" r:id="R88bc108acfce4bd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38" hidden="0" customWidth="1"/>
    <x:col min="2" max="2" width="78" hidden="0" customWidth="1"/>
    <x:col min="3" max="3" width="26" hidden="0" customWidth="1"/>
  </x:cols>
  <x:sheetData>
    <x:row r="1">
      <x:c r="A1" s="58" t="str">
        <x:v>商品基准：B0GKDNPHJM（JOOMRA）</x:v>
      </x:c>
      <x:c r="B1" s="58"/>
      <x:c r="C1" s="58"/>
    </x:row>
    <x:row r="2">
      <x:c r="A2" s="58"/>
      <x:c r="B2" s="58"/>
      <x:c r="C2" s="58"/>
    </x:row>
    <x:row r="4">
      <x:c r="A4" s="68" t="str">
        <x:v>fact_id</x:v>
      </x:c>
      <x:c r="B4" s="68" t="str">
        <x:v>页面明示主张</x:v>
      </x:c>
      <x:c r="C4" s="68" t="str">
        <x:v>允许作为 page_validated 证据</x:v>
      </x:c>
    </x:row>
    <x:row r="5" ht="34" customHeight="1">
      <x:c r="A5" s="69" t="str">
        <x:v>title_womens_flip_flop</x:v>
      </x:c>
      <x:c r="B5" s="69" t="str">
        <x:v>The page title identifies a women's arch-support flip flop / thong sandal.</x:v>
      </x:c>
      <x:c r="C5" s="69" t="str">
        <x:v>是</x:v>
      </x:c>
    </x:row>
    <x:row r="6" ht="34" customHeight="1">
      <x:c r="A6" s="69" t="str">
        <x:v>material_eva</x:v>
      </x:c>
      <x:c r="B6" s="69" t="str">
        <x:v>Outer material is Ethylene Vinyl Acetate (EVA).</x:v>
      </x:c>
      <x:c r="C6" s="69" t="str">
        <x:v>是</x:v>
      </x:c>
    </x:row>
    <x:row r="7" ht="34" customHeight="1">
      <x:c r="A7" s="69" t="str">
        <x:v>closure_slip_on</x:v>
      </x:c>
      <x:c r="B7" s="69" t="str">
        <x:v>Closure type is Slip On.</x:v>
      </x:c>
      <x:c r="C7" s="69" t="str">
        <x:v>是</x:v>
      </x:c>
    </x:row>
    <x:row r="8" ht="34" customHeight="1">
      <x:c r="A8" s="69" t="str">
        <x:v>lightweight_breathable</x:v>
      </x:c>
      <x:c r="B8" s="69" t="str">
        <x:v>The page states super lightweight and breathable.</x:v>
      </x:c>
      <x:c r="C8" s="69" t="str">
        <x:v>是</x:v>
      </x:c>
    </x:row>
    <x:row r="9" ht="34" customHeight="1">
      <x:c r="A9" s="69" t="str">
        <x:v>soft_toe_post</x:v>
      </x:c>
      <x:c r="B9" s="69" t="str">
        <x:v>The page states an upgraded soft toe post.</x:v>
      </x:c>
      <x:c r="C9" s="69" t="str">
        <x:v>是</x:v>
      </x:c>
    </x:row>
    <x:row r="10" ht="34" customHeight="1">
      <x:c r="A10" s="69" t="str">
        <x:v>arch_support</x:v>
      </x:c>
      <x:c r="B10" s="69" t="str">
        <x:v>The page states ergonomic arch support and proper alignment for all-day comfort.</x:v>
      </x:c>
      <x:c r="C10" s="69" t="str">
        <x:v>是</x:v>
      </x:c>
    </x:row>
    <x:row r="11" ht="34" customHeight="1">
      <x:c r="A11" s="69" t="str">
        <x:v>padded_cushioning</x:v>
      </x:c>
      <x:c r="B11" s="69" t="str">
        <x:v>Special features include Padded.</x:v>
      </x:c>
      <x:c r="C11" s="69" t="str">
        <x:v>是</x:v>
      </x:c>
    </x:row>
    <x:row r="12" ht="34" customHeight="1">
      <x:c r="A12" s="69" t="str">
        <x:v>easy_clean</x:v>
      </x:c>
      <x:c r="B12" s="69" t="str">
        <x:v>Seamless EVA construction is stated as easy to clean.</x:v>
      </x:c>
      <x:c r="C12" s="69" t="str">
        <x:v>是</x:v>
      </x:c>
    </x:row>
    <x:row r="13" ht="34" customHeight="1">
      <x:c r="A13" s="69" t="str">
        <x:v>slip_resistant_grip</x:v>
      </x:c>
      <x:c r="B13" s="69" t="str">
        <x:v>A deep textured lattice outsole is stated to provide grip and slip-resistant steps.</x:v>
      </x:c>
      <x:c r="C13" s="69" t="str">
        <x:v>是</x:v>
      </x:c>
    </x:row>
    <x:row r="14" ht="34" customHeight="1">
      <x:c r="A14" s="69" t="str">
        <x:v>style_flip_flop</x:v>
      </x:c>
      <x:c r="B14" s="69" t="str">
        <x:v>Sandal type is Flip Flop.</x:v>
      </x:c>
      <x:c r="C14" s="69" t="str">
        <x:v>是</x:v>
      </x:c>
    </x:row>
    <x:row r="15" ht="34" customHeight="1">
      <x:c r="A15" s="69" t="str">
        <x:v>style_flat</x:v>
      </x:c>
      <x:c r="B15" s="69" t="str">
        <x:v>Heel type is Flat.</x:v>
      </x:c>
      <x:c r="C15" s="69" t="str">
        <x:v>是</x:v>
      </x:c>
    </x:row>
    <x:row r="16" ht="34" customHeight="1">
      <x:c r="A16" s="69" t="str">
        <x:v>style_outdoor</x:v>
      </x:c>
      <x:c r="B16" s="69" t="str">
        <x:v>Lifestyle is outdoor.</x:v>
      </x:c>
      <x:c r="C16" s="69" t="str">
        <x:v>是</x:v>
      </x:c>
    </x:row>
    <x:row r="17" ht="34" customHeight="1">
      <x:c r="A17" s="69" t="str">
        <x:v>style_open_toe</x:v>
      </x:c>
      <x:c r="B17" s="69" t="str">
        <x:v>Toe style is Open Toe.</x:v>
      </x:c>
      <x:c r="C17" s="69" t="str">
        <x:v>是</x:v>
      </x:c>
    </x:row>
    <x:row r="18" ht="34" customHeight="1">
      <x:c r="A18" s="69" t="str">
        <x:v>style_thong</x:v>
      </x:c>
      <x:c r="B18" s="69" t="str">
        <x:v>Strap type is Thong.</x:v>
      </x:c>
      <x:c r="C18" s="69" t="str">
        <x:v>是</x:v>
      </x:c>
    </x:row>
    <x:row r="19" ht="34" customHeight="1">
      <x:c r="A19" s="69" t="str">
        <x:v>sizes_6_11</x:v>
      </x:c>
      <x:c r="B19" s="69" t="str">
        <x:v>The visible size selector includes US sizes 6 through 11.</x:v>
      </x:c>
      <x:c r="C19" s="69" t="str">
        <x:v>是</x:v>
      </x:c>
    </x:row>
    <x:row r="20" ht="34" customHeight="1">
      <x:c r="A20" s="69" t="str">
        <x:v>colors_visible</x:v>
      </x:c>
      <x:c r="B20" s="69" t="str">
        <x:v>The visible color selectors include black, pink/mauve, brown, dark gray, light blue, and white.</x:v>
      </x:c>
      <x:c r="C20" s="69" t="str">
        <x:v>是</x:v>
      </x:c>
    </x:row>
    <x:row r="21" ht="34" customHeight="1">
      <x:c r="A21" s="69"/>
      <x:c r="B21" s="69"/>
      <x:c r="C21" s="69"/>
    </x:row>
    <x:row r="22" ht="34" customHeight="1">
      <x:c r="A22" s="70" t="str">
        <x:v>excluded_claim</x:v>
      </x:c>
      <x:c r="B22" s="70" t="str">
        <x:v>本轮排除的主张</x:v>
      </x:c>
      <x:c r="C22" s="70" t="str">
        <x:v>用于意图匹配</x:v>
      </x:c>
    </x:row>
    <x:row r="23" ht="34" customHeight="1">
      <x:c r="A23" s="69" t="str">
        <x:v>treats_or_cures_plantar_fasciitis</x:v>
      </x:c>
      <x:c r="B23" s="69" t="str">
        <x:v>未列入页面明示商品基准</x:v>
      </x:c>
      <x:c r="C23" s="69" t="str">
        <x:v>否</x:v>
      </x:c>
    </x:row>
    <x:row r="24" ht="34" customHeight="1">
      <x:c r="A24" s="69" t="str">
        <x:v>waterproof_or_quick_dry</x:v>
      </x:c>
      <x:c r="B24" s="69" t="str">
        <x:v>未列入页面明示商品基准</x:v>
      </x:c>
      <x:c r="C24" s="69" t="str">
        <x:v>否</x:v>
      </x:c>
    </x:row>
    <x:row r="25" ht="34" customHeight="1">
      <x:c r="A25" s="69" t="str">
        <x:v>review_sentiment_percentages</x:v>
      </x:c>
      <x:c r="B25" s="69" t="str">
        <x:v>未列入页面明示商品基准</x:v>
      </x:c>
      <x:c r="C25" s="69" t="str">
        <x:v>否</x:v>
      </x:c>
    </x:row>
    <x:row r="26" ht="34" customHeight="1">
      <x:c r="A26" s="69" t="str">
        <x:v>continuous_hours_without_discomfort</x:v>
      </x:c>
      <x:c r="B26" s="69" t="str">
        <x:v>未列入页面明示商品基准</x:v>
      </x:c>
      <x:c r="C26" s="69" t="str">
        <x:v>否</x:v>
      </x:c>
    </x:row>
    <x:row r="27" ht="34" customHeight="1">
      <x:c r="A27" s="69" t="str">
        <x:v>real_time_price</x:v>
      </x:c>
      <x:c r="B27" s="69" t="str">
        <x:v>未列入页面明示商品基准</x:v>
      </x:c>
      <x:c r="C27" s="69" t="str">
        <x:v>否</x:v>
      </x:c>
    </x:row>
    <x:row r="28" ht="34" customHeight="1">
      <x:c r="A28" s="69" t="str">
        <x:v>delivery_speed</x:v>
      </x:c>
      <x:c r="B28" s="69" t="str">
        <x:v>未列入页面明示商品基准</x:v>
      </x:c>
      <x:c r="C28" s="69" t="str">
        <x:v>否</x:v>
      </x:c>
    </x:row>
    <x:row r="29" ht="34" customHeight="1">
      <x:c r="A29" s="69" t="str">
        <x:v>inventory</x:v>
      </x:c>
      <x:c r="B29" s="69" t="str">
        <x:v>未列入页面明示商品基准</x:v>
      </x:c>
      <x:c r="C29" s="69" t="str">
        <x:v>否</x:v>
      </x:c>
    </x:row>
    <x:row r="30" ht="34" customHeight="1">
      <x:c r="A30" s="69" t="str">
        <x:v>frequent_return_notice</x:v>
      </x:c>
      <x:c r="B30" s="69" t="str">
        <x:v>未列入页面明示商品基准</x:v>
      </x:c>
      <x:c r="C30" s="69" t="str">
        <x:v>否</x:v>
      </x:c>
    </x:row>
    <x:row r="32">
      <x:c r="A32" s="50" t="str">
        <x:v>Only the fact IDs below may be cited as page_validated evidence. Alexa summaries, real-time price/delivery/inventory, review percentages, frequent-return notices, and medical-treatment claims are excluded.</x:v>
      </x:c>
      <x:c r="B32" s="50"/>
      <x:c r="C32" s="50"/>
    </x:row>
    <x:row r="33">
      <x:c r="A33" s="50"/>
      <x:c r="B33" s="50"/>
      <x:c r="C33" s="50"/>
    </x:row>
    <x:row r="34">
      <x:c r="A34" s="50"/>
      <x:c r="B34" s="50"/>
      <x:c r="C34" s="50"/>
    </x:row>
  </x:sheetData>
  <x:mergeCells>
    <x:mergeCell ref="A1:C2"/>
    <x:mergeCell ref="A32:C34"/>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30" hidden="0" customWidth="1"/>
    <x:col min="2" max="2" width="72" hidden="0" customWidth="1"/>
    <x:col min="3" max="3" width="70" hidden="0" customWidth="1"/>
  </x:cols>
  <x:sheetData>
    <x:row r="1">
      <x:c r="A1" s="72" t="str">
        <x:v>阶段质量说明与可追溯信息</x:v>
      </x:c>
      <x:c r="B1" s="72"/>
      <x:c r="C1" s="72"/>
    </x:row>
    <x:row r="2">
      <x:c r="A2" s="72"/>
      <x:c r="B2" s="72"/>
      <x:c r="C2" s="72"/>
    </x:row>
    <x:row r="4">
      <x:c r="A4" s="76" t="str">
        <x:v>检查项</x:v>
      </x:c>
      <x:c r="B4" s="76" t="str">
        <x:v>状态</x:v>
      </x:c>
      <x:c r="C4" s="76" t="str">
        <x:v>说明</x:v>
      </x:c>
    </x:row>
    <x:row r="5" ht="44" customHeight="1">
      <x:c r="A5" s="77" t="str">
        <x:v>快照范围</x:v>
      </x:c>
      <x:c r="B5" s="77" t="str">
        <x:v>固定</x:v>
      </x:c>
      <x:c r="C5" s="77" t="str">
        <x:v>1440 个自然语言唯一词；5 个 Pilot + 67 个 Full 批次；每批 20 条。</x:v>
      </x:c>
    </x:row>
    <x:row r="6" ht="44" customHeight="1">
      <x:c r="A6" s="77" t="str">
        <x:v>ASIN 分流</x:v>
      </x:c>
      <x:c r="B6" s="77" t="str">
        <x:v>完整</x:v>
      </x:c>
      <x:c r="C6" s="77" t="str">
        <x:v>711 个 ASIN 唯一目标，仅标记 asin_metadata_pending，不联网抓取。</x:v>
      </x:c>
    </x:row>
    <x:row r="7" ht="44" customHeight="1">
      <x:c r="A7" s="77" t="str">
        <x:v>空值分流</x:v>
      </x:c>
      <x:c r="B7" s="77" t="str">
        <x:v>完整</x:v>
      </x:c>
      <x:c r="C7" s="77" t="str">
        <x:v>1 个空值唯一记录，对应 2 条源记录。</x:v>
      </x:c>
    </x:row>
    <x:row r="8" ht="44" customHeight="1">
      <x:c r="A8" s="77" t="str">
        <x:v>绩效指标隔离</x:v>
      </x:c>
      <x:c r="B8" s="77" t="str">
        <x:v>通过</x:v>
      </x:c>
      <x:c r="C8" s="77" t="str">
        <x:v>DeepSeek 上下文未使用 ACOS、CVR、订单、点击等广告绩效指标。</x:v>
      </x:c>
    </x:row>
    <x:row r="9" ht="44" customHeight="1">
      <x:c r="A9" s="77" t="str">
        <x:v>Schema/Prompt 版本</x:v>
      </x:c>
      <x:c r="B9" s="77" t="str">
        <x:v>待修复</x:v>
      </x:c>
      <x:c r="C9" s="77" t="str">
        <x:v>记录 schema_version=1.0.0、prompt_version=1.1.0；最终版本将统一常量约束。</x:v>
      </x:c>
    </x:row>
    <x:row r="10" ht="44" customHeight="1">
      <x:c r="A10" s="77" t="str">
        <x:v>显式证据来源</x:v>
      </x:c>
      <x:c r="B10" s="77" t="str">
        <x:v>待清理</x:v>
      </x:c>
      <x:c r="C10" s="77" t="str">
        <x:v>部分 explicit 记录可能携带页面 fact_id；最终后处理会清空不应附着的页面证据。</x:v>
      </x:c>
    </x:row>
    <x:row r="11" ht="44" customHeight="1">
      <x:c r="A11" s="77" t="str">
        <x:v>材质证据</x:v>
      </x:c>
      <x:c r="B11" s="77" t="str">
        <x:v>待清理</x:v>
      </x:c>
      <x:c r="C11" s="77" t="str">
        <x:v>EVA 与泛称 plastic 的页面证据映射需要最终确定性校验。</x:v>
      </x:c>
    </x:row>
    <x:row r="12" ht="44" customHeight="1">
      <x:c r="A12" s="77" t="str">
        <x:v>医疗主张保护</x:v>
      </x:c>
      <x:c r="B12" s="77" t="str">
        <x:v>待清理</x:v>
      </x:c>
      <x:c r="C12" s="77" t="str">
        <x:v>治疗足底筋膜炎等词不得由商品页视为已证明；最终可能从 match 调整为 partial_match。</x:v>
      </x:c>
    </x:row>
    <x:row r="13" ht="44" customHeight="1">
      <x:c r="A13" s="77" t="str">
        <x:v>字段归位</x:v>
      </x:c>
      <x:c r="B13" s="77" t="str">
        <x:v>待清理</x:v>
      </x:c>
      <x:c r="C13" s="77" t="str">
        <x:v>all_day_comfort 等能力词若进入 body_need_intent，将在最终后处理归位。</x:v>
      </x:c>
    </x:row>
    <x:row r="14" ht="44" customHeight="1">
      <x:c r="A14" s="77" t="str">
        <x:v>意图簇规范化</x:v>
      </x:c>
      <x:c r="B14" s="77" t="str">
        <x:v>待完成</x:v>
      </x:c>
      <x:c r="C14" s="77" t="str">
        <x:v>当前保留模型原始簇名；词序、别名与过细单例簇尚未合并。</x:v>
      </x:c>
    </x:row>
    <x:row r="15" ht="44" customHeight="1">
      <x:c r="A15" s="77" t="str">
        <x:v>实时字段</x:v>
      </x:c>
      <x:c r="B15" s="77" t="str">
        <x:v>排除</x:v>
      </x:c>
      <x:c r="C15" s="77" t="str">
        <x:v>实时价格、配送、库存与频繁退货提示不参与商品意图匹配。</x:v>
      </x:c>
    </x:row>
    <x:row r="16" ht="44" customHeight="1">
      <x:c r="A16" s="77" t="str">
        <x:v>工作簿定位</x:v>
      </x:c>
      <x:c r="B16" s="77" t="str">
        <x:v>阶段快照</x:v>
      </x:c>
      <x:c r="C16" s="77" t="str">
        <x:v>适合查看当前已产出的标签，不替代全量结束后的正式 JSONL/XLSX。</x:v>
      </x:c>
    </x:row>
    <x:row r="18">
      <x:c r="A18" s="70" t="str">
        <x:v>来源项</x:v>
      </x:c>
      <x:c r="B18" s="70" t="str">
        <x:v>值</x:v>
      </x:c>
      <x:c r="C18" s="70" t="str">
        <x:v>备注</x:v>
      </x:c>
    </x:row>
    <x:row r="19">
      <x:c r="A19" s="69" t="str">
        <x:v>源 CSV</x:v>
      </x:c>
      <x:c r="B19" s="69" t="str">
        <x:v>/Users/panjinlong/Library/Application Support/ziniaobrowserdatas/ziniao browser/洁博利美站/JOOMRA搜索词_-_07_15_2026T10_11_50.csv</x:v>
      </x:c>
      <x:c r="C19" s="69" t="str">
        <x:v>只读</x:v>
      </x:c>
    </x:row>
    <x:row r="20">
      <x:c r="A20" s="69" t="str">
        <x:v>源 SHA256</x:v>
      </x:c>
      <x:c r="B20" s="69" t="str">
        <x:v>51c4c999ad4e37022c98051b075614d243b0bd1a419af2345fa87c6710a87cbd</x:v>
      </x:c>
      <x:c r="C20" s="69" t="str">
        <x:v>快照时已核对</x:v>
      </x:c>
    </x:row>
    <x:row r="21">
      <x:c r="A21" s="69" t="str">
        <x:v>商品 ASIN</x:v>
      </x:c>
      <x:c r="B21" s="69" t="str">
        <x:v>B0GKDNPHJM</x:v>
      </x:c>
      <x:c r="C21" s="69" t="str">
        <x:v>基准清单来自批次 manifest</x:v>
      </x:c>
    </x:row>
    <x:row r="22">
      <x:c r="A22" s="69" t="str">
        <x:v>运行 ID</x:v>
      </x:c>
      <x:c r="B22" s="69" t="str">
        <x:v>aj2-y90-20260714T234810-0bea2f52</x:v>
      </x:c>
      <x:c r="C22" s="69" t="str">
        <x:v>本次 DeepSeek 运行</x:v>
      </x:c>
    </x:row>
    <x:row r="23">
      <x:c r="A23" s="69" t="str">
        <x:v>快照文件范围</x:v>
      </x:c>
      <x:c r="B23" s="69" t="str">
        <x:v>pilot-0001..0005；full-0001..0067</x:v>
      </x:c>
      <x:c r="C23" s="69" t="str">
        <x:v>仅接受每批 20 条的响应文件</x:v>
      </x:c>
    </x:row>
    <x:row r="24">
      <x:c r="A24" s="69" t="str">
        <x:v>源报告命中行</x:v>
      </x:c>
      <x:c r="B24" s="69" t="n">
        <x:v>4037</x:v>
      </x:c>
      <x:c r="C24" s="69" t="str">
        <x:v>最终工作簿将回填全部源记录</x:v>
      </x:c>
    </x:row>
  </x:sheetData>
  <x:mergeCells>
    <x:mergeCell ref="A1:C2"/>
  </x:mergeCells>
  <x:pageMargins left="0.7" right="0.7" top="0.75" bottom="0.75" header="0.3" footer="0.3"/>
</x:worksheet>
</file>