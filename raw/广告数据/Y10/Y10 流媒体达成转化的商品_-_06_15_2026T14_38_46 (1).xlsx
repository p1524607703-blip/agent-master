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达成转化的商品_-_06_15_2026T14_38_46 ("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<sst xmlns="http://schemas.openxmlformats.org/spreadsheetml/2006/main" count="9928" uniqueCount="3806">
  <si>
    <t>预算货币</t>
  </si>
  <si>
    <t>日期范围</t>
  </si>
  <si>
    <t>广告主账户 ID</t>
  </si>
  <si>
    <t>广告主账户名称</t>
  </si>
  <si>
    <t>广告组合编号</t>
  </si>
  <si>
    <t>广告组合名称</t>
  </si>
  <si>
    <t>广告活动编号</t>
  </si>
  <si>
    <t>广告活动名称</t>
  </si>
  <si>
    <t>广告组编号</t>
  </si>
  <si>
    <t>广告组名称</t>
  </si>
  <si>
    <t>达成转化的商品的编号</t>
  </si>
  <si>
    <t>SKU</t>
  </si>
  <si>
    <t>达成转化的商品的名称</t>
  </si>
  <si>
    <t>达成转化的商品的父编号</t>
  </si>
  <si>
    <t>达成转化的商品品牌</t>
  </si>
  <si>
    <t>达成转化的商品品类</t>
  </si>
  <si>
    <t>达成转化的商品子品类</t>
  </si>
  <si>
    <t>达成转化的商品组</t>
  </si>
  <si>
    <t>转化的商品市场</t>
  </si>
  <si>
    <t>推广的商品 SKU-Advertised product SKU</t>
  </si>
  <si>
    <t>推广的商品编号</t>
  </si>
  <si>
    <t>推广的商品名称</t>
  </si>
  <si>
    <t>推广的商品父级编号</t>
  </si>
  <si>
    <t>推广的商品品牌</t>
  </si>
  <si>
    <t>推广的商品品类</t>
  </si>
  <si>
    <t>推广的商品子品类</t>
  </si>
  <si>
    <t>推广的商品组</t>
  </si>
  <si>
    <t>推广的商品站点-Advertised product marketplace</t>
  </si>
  <si>
    <t>购买量</t>
  </si>
  <si>
    <t>销售额</t>
  </si>
  <si>
    <t>已售商品数量</t>
  </si>
  <si>
    <t>购买量（光环）</t>
  </si>
  <si>
    <t>销售额（光环）</t>
  </si>
  <si>
    <t>已售商品数量（光环）</t>
  </si>
  <si>
    <t>购买量（品牌新客）</t>
  </si>
  <si>
    <t>销售额（品牌新客）</t>
  </si>
  <si>
    <t>已售商品数量（品牌新客）</t>
  </si>
  <si>
    <t>USD</t>
  </si>
  <si>
    <t>2026年6月4日 - 2026年6月24日</t>
  </si>
  <si>
    <t>BLOOMNEXT</t>
  </si>
  <si>
    <t>XM1-Y10-视频流媒体电视</t>
  </si>
  <si>
    <t>广告组 - 6/2/2026 17:17:52.510</t>
  </si>
  <si>
    <t>B092QVZGD3</t>
  </si>
  <si>
    <t>BRONAX Pillow Slippers for Women and Men | House Slides Shower Sandals | Cushioned Thick Sole 37-38 Grey</t>
  </si>
  <si>
    <t>B0FX2TG8CW</t>
  </si>
  <si>
    <t>BRONAX</t>
  </si>
  <si>
    <t>6000 Kids' Shoes</t>
  </si>
  <si>
    <t>6015 Dress</t>
  </si>
  <si>
    <t>Shoes</t>
  </si>
  <si>
    <t>AMAZON.COM</t>
  </si>
  <si>
    <t>2026年6月9日 - 2026年6月15日</t>
  </si>
  <si>
    <t>B0FPQYPC74</t>
  </si>
  <si>
    <t>BRONAX Womens Platform Slides Summer Slip On EVA Chunky Heel Thick Sole Open Toe House Sandals for Female Girls Size 5 Washable Quick Dry Beige 35</t>
  </si>
  <si>
    <t>B0FPQT7RBN</t>
  </si>
  <si>
    <t>Unknown</t>
  </si>
  <si>
    <t>2026年6月4日 - 2026年6月23日</t>
  </si>
  <si>
    <t>B09ZH8VGHS</t>
  </si>
  <si>
    <t>BRONAX Shower Slides for Women Men Cushion Bathroom Pillow Slippers Beach Foam Thick Sole Adjustable Double Buckle Pool EVA Sandals Male Size Squishy Grey</t>
  </si>
  <si>
    <t>B09ZHS5Y7D</t>
  </si>
  <si>
    <t>5000 Comfort</t>
  </si>
  <si>
    <t>5075 Men's Slippers</t>
  </si>
  <si>
    <t>2026年6月4日 - 2026年6月22日</t>
  </si>
  <si>
    <t>B0DPKWV55N</t>
  </si>
  <si>
    <t>BRONAX Arch Support Slides for Women and Mens | Cushioned Thick Sole Pain Relief Slippers 7.5-8.5 Women/6-7 Men White</t>
  </si>
  <si>
    <t>B0FX2Q73Q6</t>
  </si>
  <si>
    <t>7000 Athletic</t>
  </si>
  <si>
    <t>7025 Womens Sandals/Slides</t>
  </si>
  <si>
    <t>2026年6月23日 - 2026年6月24日</t>
  </si>
  <si>
    <t>B0GFD2G4WH</t>
  </si>
  <si>
    <t>BRONAX Womens Wide Width Tennis Sneakers Width Walking Shoes Size 6w Zapatos para Mujer Athletic Sport Thick Cushion Sole Dark Blue 36</t>
  </si>
  <si>
    <t>B0H41HL3M6</t>
  </si>
  <si>
    <t>2026年6月18日 - 2026年6月23日</t>
  </si>
  <si>
    <t>B0GKCXZ16T</t>
  </si>
  <si>
    <t>BRONAX Women's Arch Support Orthopedic Flip Flops Thong Sandals Size 7 Shower Summer Plantar Fasciitis Beach Pool Orthotic Flipflops Female Taupe</t>
  </si>
  <si>
    <t>B0GKCKCSMJ</t>
  </si>
  <si>
    <t>5800 Contemporary</t>
  </si>
  <si>
    <t>5840 Women's Non Tech Athletic</t>
  </si>
  <si>
    <t>2026年6月8日 - 2026年6月14日</t>
  </si>
  <si>
    <t>B0FPQWJ73L</t>
  </si>
  <si>
    <t>BRONAX Platform Slides for Women EVA Thick Sole Indoor Home Slip On Wedge Heel Female Sandals Summer Breathable Outdoor Beach Slip On Size 9 Grey 39</t>
  </si>
  <si>
    <t>2026年6月8日 - 2026年6月24日</t>
  </si>
  <si>
    <t>B0B4K3N8VS</t>
  </si>
  <si>
    <t>BRONAX Womens Wide Tennis Shoes Road Running Jogging Fitness Size 8w Athletics Sports Breathable Mesh Gym Sneakers Zapatos Deportivos De Mujer Pregnant Swollen Purple 39</t>
  </si>
  <si>
    <t>B0DK7YD2KT</t>
  </si>
  <si>
    <t>7036 Womens Action Sports</t>
  </si>
  <si>
    <t>2026年6月13日 - 2026年6月24日</t>
  </si>
  <si>
    <t>B09ZH882L7</t>
  </si>
  <si>
    <t>BRONAX Shower Slides for Women Men Cushion Pillow Slippers Bathroom Beach Thick Sole Open Toe Double Buckle Pool EVA Sandals Male Size Cozislides Grey</t>
  </si>
  <si>
    <t>B0DSC276H9</t>
  </si>
  <si>
    <t>BRONAX Slippers for Women Men Unisex Soft Comfy Summer Shower Shoes House Home Open Toe Chanclas para Mujer Slides Size 10 Indoor Bathroom Outdoor Beach Pool EVA Sole Sandals Black</t>
  </si>
  <si>
    <t>B0DSBZM8M6</t>
  </si>
  <si>
    <t>5870 Women's Slippers</t>
  </si>
  <si>
    <t>2026年6月11日 - 2026年6月20日</t>
  </si>
  <si>
    <t>B0DCV88LGF</t>
  </si>
  <si>
    <t>BRONAX Womens Wide Width Tennis Shoes Wide Toe Box Road Running Sneakers Female Size 8w Slip Resistant Fitness Gym Walking Trendy Lightweight Suede Mesh Purple 39</t>
  </si>
  <si>
    <t>B0DCV7KQJM</t>
  </si>
  <si>
    <t>5045 Men's Non Tech Athletic</t>
  </si>
  <si>
    <t>2026年6月13日 - 2026年6月23日</t>
  </si>
  <si>
    <t>B0DCV8VNCS</t>
  </si>
  <si>
    <t>BRONAX Womens Wide Toe Box Road Running Shoes Size 11w Width Sneakers Female Lady Suede Mesh Walking Gym Outdoor Rubber Outsole Stylish Jogging Lace Up Grey 43</t>
  </si>
  <si>
    <t>2026年6月5日 - 2026年6月12日</t>
  </si>
  <si>
    <t>B0CGDD9SZ4</t>
  </si>
  <si>
    <t>BRONAX Womens Wide Road Running Shoes Tennis Walking Lace up Size 5.5w Lightweght Athletics Comfortable Female Cushion Sole Footwear Pregnant Pregnancy All Black 36</t>
  </si>
  <si>
    <t>2026年6月6日 - 2026年6月23日</t>
  </si>
  <si>
    <t>B09ZHCQY1N</t>
  </si>
  <si>
    <t>BRONAX Pillow Slippers Shower Slides for women Mens Bathroom Beach House Cushion Quick Drying Pool EVA Extra Thick Sole Sandals Size Male Cozislides Brown</t>
  </si>
  <si>
    <t>5055 Men's Sandals</t>
  </si>
  <si>
    <t>2026年6月15日 - 2026年6月15日</t>
  </si>
  <si>
    <t>B0BCJZQ385</t>
  </si>
  <si>
    <t>BRONAX Mens Wide Toe Box Running Tennis Shoes Gym Tennis Athletics Size 9.5 Sports Mesh Walking Rubber Outsole Sneakers for Male Black 43</t>
  </si>
  <si>
    <t>B0DGCM33J2</t>
  </si>
  <si>
    <t>7006 Mens Racquet Sports</t>
  </si>
  <si>
    <t>B09X53Z5LL</t>
  </si>
  <si>
    <t>BRONAX Pillow Slippers for Women and Men | House Slides Shower Sandals | Cushioned Thick Sole 42-43 White</t>
  </si>
  <si>
    <t>5070 Women's Slippers</t>
  </si>
  <si>
    <t>2026年6月12日 - 2026年6月14日</t>
  </si>
  <si>
    <t>B09P4278ZP</t>
  </si>
  <si>
    <t>BRONAX Mens Wide Toe Box Running Tennis Shoes Gym Tennis Athletics Size 9.5 Sports Mesh Walking Rubber Outsole Sneakers for Male Blue 43</t>
  </si>
  <si>
    <t>4000 Men's Shoes</t>
  </si>
  <si>
    <t>4040 Non Tech Athletic</t>
  </si>
  <si>
    <t>2026年6月3日 - 2026年6月24日</t>
  </si>
  <si>
    <t>B0CN9B7M4T</t>
  </si>
  <si>
    <t>BRONAX Arch Support Slides for Women and Mens | Cushioned Thick Sole Pain Relief Slippers 9-10 Women/7.5-8.5 Men Black</t>
  </si>
  <si>
    <t>7700 Outdoor</t>
  </si>
  <si>
    <t>7731 Women's Slippers</t>
  </si>
  <si>
    <t>B0DSC1767K</t>
  </si>
  <si>
    <t>BRONAX Slippers for Women Men Soft Comfy Summer Non-slip House Shower Shoes Home Open Toe Recovery Slides Size 12 Quick Dry Indoor Bathroom Outdoor Beach Pool EVA Sole Sandals Black</t>
  </si>
  <si>
    <t>2026年6月6日 - 2026年6月21日</t>
  </si>
  <si>
    <t>B0GKCQ2M8F</t>
  </si>
  <si>
    <t>BRONAX Women's Arch Support Flip Flops Thong Sandals Size 11 Flip-flops Rubber Plantar Fasciitis Cushioned Flat Slides for Ladies Orthotic Female Pink</t>
  </si>
  <si>
    <t>5050 Women's Sandals</t>
  </si>
  <si>
    <t>2026年6月14日 - 2026年6月15日</t>
  </si>
  <si>
    <t>B0FPQT878N</t>
  </si>
  <si>
    <t>BRONAX Womens Platform Slides Summer Fashion Slip On EVA Thick Sole Beach Vacation Chunky Plastic Sandals for Female Girls Size 5 Washable Black 35</t>
  </si>
  <si>
    <t>B0GKCDGHP2</t>
  </si>
  <si>
    <t>BRONAX Women's Arch Support Orthopedic Flip Flops Thong Sandals Size 9 Summer Plantar Fasciitis Beach Pool Flat Slides Orthotic Female Beige</t>
  </si>
  <si>
    <t>2026年6月13日 - 2026年6月13日</t>
  </si>
  <si>
    <t>B092DDNY5G</t>
  </si>
  <si>
    <t>BRONAX Big Boys Tennis Shoes Lightweight Size 4.5 Zapatos para Niños No Tie Slip On Sneakers for Children Running Athletic Sports Fashion Res 38 B Blue</t>
  </si>
  <si>
    <t>B0CL6ZRY16</t>
  </si>
  <si>
    <t>5700 Juniors</t>
  </si>
  <si>
    <t>5775 Men's Slippers</t>
  </si>
  <si>
    <t>B0BPX4T6X7</t>
  </si>
  <si>
    <t>BRONAX Pillow Slippers for Women and Men | House Slides Shower Sandals | Cushioned Thick Sole 37-38 Light Purple</t>
  </si>
  <si>
    <t>2026年6月5日 - 2026年6月15日</t>
  </si>
  <si>
    <t>B09ZHB4XFB</t>
  </si>
  <si>
    <t>BRONAX Slides for Women Men Pillow Shower Slippers Bathroom Adjustable Double Buckle Beach Bath Cushion Foam Extra Thick Sole EVA Pool Sandals Size Cozy Beige</t>
  </si>
  <si>
    <t>2026年6月3日 - 2026年6月23日</t>
  </si>
  <si>
    <t>B0GKDM5444</t>
  </si>
  <si>
    <t>BRONAX Arch Support Flip Flops Thong Orthopedic Sandals for Women Size 10 Summer Plantar Fasciitis Beach Pool Flat Slides Orthotic Female Black</t>
  </si>
  <si>
    <t>2026年6月9日 - 2026年6月23日</t>
  </si>
  <si>
    <t>B0D45GZN55</t>
  </si>
  <si>
    <t>BRONAX Wide Tennis Shoes for Women Lace up Comfortable Stylish Size 7w Female Road Running Sports Athletics Fitness Footwear Pregnancy Fashion Jogging Sneakers Green 38</t>
  </si>
  <si>
    <t>1000 Women's Private Label Shoes</t>
  </si>
  <si>
    <t>1012 Women's Heeled Sandals</t>
  </si>
  <si>
    <t>B09BN5N29J</t>
  </si>
  <si>
    <t>BRONAX Pillow Slippers for Women and Men | House Slides Shower Sandals | Cushioned Thick Sole 39-40 Olive Green</t>
  </si>
  <si>
    <t>6020 Casual</t>
  </si>
  <si>
    <t>B09BN6ZX7M</t>
  </si>
  <si>
    <t>BRONAX Pillow Slippers for Women and Men | House Slides Shower Sandals | Cushioned Thick Sole 39-40 Blue</t>
  </si>
  <si>
    <t>2026年6月5日 - 2026年6月20日</t>
  </si>
  <si>
    <t>B09BN8WRZC</t>
  </si>
  <si>
    <t>BRONAX Pillow Slippers for Women and Men | House Slides Shower Sandals | Cushioned Thick Sole 35-36 Purple</t>
  </si>
  <si>
    <t>5900 Classics</t>
  </si>
  <si>
    <t>5950 Women's Sandals</t>
  </si>
  <si>
    <t>B092QVGGBZ</t>
  </si>
  <si>
    <t>BRONAX Pillow Slippers for Women and Men | House Slides Shower Sandals | Cushioned Thick Sole 39-40 Pink</t>
  </si>
  <si>
    <t>2026年6月7日 - 2026年6月23日</t>
  </si>
  <si>
    <t>B0CW1BC7BJ</t>
  </si>
  <si>
    <t>BRONAX Arch Support Slides for Women and Mens | Cushioned Thick Sole Pain Relief Slippers 10.5-11.5 Women/9-10 Men Chocolate</t>
  </si>
  <si>
    <t>2026年6月8日 - 2026年6月23日</t>
  </si>
  <si>
    <t>B0FPQW2PP7</t>
  </si>
  <si>
    <t>BRONAX Platform Slides for Women EVA Thick Sole Indoor Home Slip On Wedge Heel Female Sandals Summer Breathable Size 9 Outdoor Beach Washable Beige 39</t>
  </si>
  <si>
    <t>5040 Women's Non Tech Athletic</t>
  </si>
  <si>
    <t>2026年6月6日 - 2026年6月13日</t>
  </si>
  <si>
    <t>B08K323M2N</t>
  </si>
  <si>
    <t>BRONAX Little Boys Tenni Shoe Lightweight Size 12 Zapatos para Niños Sneakers for Running Athletic Sports Tennis Gym Little Children Blue 30</t>
  </si>
  <si>
    <t>B0CFF747QG</t>
  </si>
  <si>
    <t>2026年6月3日 - 2026年6月22日</t>
  </si>
  <si>
    <t>B0CN9BGWFS</t>
  </si>
  <si>
    <t>BRONAX Arch Support Slides for Women and Mens | Cushioned Thick Sole Pain Relief Slippers 7.5-8.5 Women/6-7 Men Brown</t>
  </si>
  <si>
    <t>2026年6月3日 - 2026年6月11日</t>
  </si>
  <si>
    <t>BRONAX Pillow Slippers for Women and Men | Adjustable Double Buckle Shower Slides | Cushioned Thick Sole Sandals</t>
  </si>
  <si>
    <t>2026年6月22日 - 2026年6月23日</t>
  </si>
  <si>
    <t>B0B4JXMZV3</t>
  </si>
  <si>
    <t>BRONAX Womens Wide Road Running Shoes Lace up Tennis Walking Gym Size 11w Lightweght Athletics Comfortable Cushion Cross Training Female Pregnancy Rubber Sole Light Blue 43</t>
  </si>
  <si>
    <t>B0DCV8JQHC</t>
  </si>
  <si>
    <t>BRONAX Womens Wide Toe Box Tennis Shoes Wide Width Walking Sneakers Size 5.5w Female Casual Athletics Sport Sneakers Suede Mesh Lace up Outdoor Breathable Black 36</t>
  </si>
  <si>
    <t>2026年6月11日 - 2026年6月23日</t>
  </si>
  <si>
    <t>B0FRD7SGR5</t>
  </si>
  <si>
    <t>BRONAX Womens Wide Walking Shoes Running Athletic Tennis Rubber Outsole Sneakers Jogging Female Footwear Size 6 Dark Blue 36</t>
  </si>
  <si>
    <t>B0FRQZD9PB</t>
  </si>
  <si>
    <t>7021 Womens Running</t>
  </si>
  <si>
    <t>B0CW18S42T</t>
  </si>
  <si>
    <t>BRONAX Arch Support Slides for Women and Mens | Cushioned Thick Sole Pain Relief Slippers 6-7 Women/4.5-5.5 Men Purple</t>
  </si>
  <si>
    <t>B0CRRHFKN7</t>
  </si>
  <si>
    <t>BRONAX Arch Support Slides for Women and Mens | Cushioned Thick Sole Pain Relief Slippers 13.5-14.5 Women/11.5-12.5 Men Black</t>
  </si>
  <si>
    <t>B0CW661951</t>
  </si>
  <si>
    <t>BRONAX Arch Support Slides for Women and Mens | Cushioned Thick Sole Pain Relief Slippers 9-10 Women/7.5-8.5 Men Brown</t>
  </si>
  <si>
    <t>2026年6月18日 - 2026年6月20日</t>
  </si>
  <si>
    <t>B0GFD4NJB1</t>
  </si>
  <si>
    <t>BRONAX Womens Wide Toe Box Walking Shoes Cushion Running Tennis Sneakers Size 7w Comfy Mesh Athletic Rubber Outsole Grey 37.5</t>
  </si>
  <si>
    <t>B0BPX1YSQF</t>
  </si>
  <si>
    <t>BRONAX Pillow Slippers for Women and Men | House Slides Shower Sandals | Cushioned Thick Sole 35-36 Light Purple</t>
  </si>
  <si>
    <t>B0D2MS5MS1</t>
  </si>
  <si>
    <t>BRONAX Mens Wide Toe Box Tennis Shoes Training Road Running Fitness Foot Shape Jogging Walking Size 10w Sports Gym Footwear for Male Breathable Mesh Sneakers Dark Bule 44</t>
  </si>
  <si>
    <t>B0D2NDY5DD</t>
  </si>
  <si>
    <t>7004 Mens Action Sports</t>
  </si>
  <si>
    <t>BRONAX Men's Wide Cushioned Supportive Road Running Shoes | Wide Toe Box | Rubber Outsole</t>
  </si>
  <si>
    <t>2026年6月11日 - 2026年6月21日</t>
  </si>
  <si>
    <t>B0GFD4R3H4</t>
  </si>
  <si>
    <t>BRONAX Womens Wide Toe Box Fashion Shoes Walking Tennis Sneakers Size 8w Calzado de Mujer Footwear Ladies All Black 38.5</t>
  </si>
  <si>
    <t>B0DCV8G9RG</t>
  </si>
  <si>
    <t>BRONAX Wide Toe Box Walking Shoes for Women Size 7w Width Female Tennis Sneakers Cross Training Road Running Workout Slip Resistant Supportive Suede Mesh Ladies Beige 38</t>
  </si>
  <si>
    <t>B0CM95N2J1</t>
  </si>
  <si>
    <t>BRONAX Womens Wide Running Breathable Shoes Stylish Lightweight Mesh Size 7w Athletics Gym Outdoor Training Walking Sports Sneakers Female Fashion Casual Footwear Blue 38</t>
  </si>
  <si>
    <t>1004 Women's Non Tech Athletic</t>
  </si>
  <si>
    <t>2026年6月9日 - 2026年6月21日</t>
  </si>
  <si>
    <t>B0DCMHVDCY</t>
  </si>
  <si>
    <t>BRONAX Boys Wide Width Shoes Size 11w Wide Toe Box Cushioned Rubber Outsole Hook and Loop Comfortable Non Slip Running Tennis Racquet Sneaker for Little Kids Black Red 29</t>
  </si>
  <si>
    <t>B0DCMSZ2YJ</t>
  </si>
  <si>
    <t>B09N143GYY</t>
  </si>
  <si>
    <t>BRONAX Pillow Slippers for Women and Men | House Slides Shower Sandals | Cushioned Thick Sole 42-43 Purple</t>
  </si>
  <si>
    <t>2026年6月9日 - 2026年6月10日</t>
  </si>
  <si>
    <t>B08HSXR4WH</t>
  </si>
  <si>
    <t>BRONAX All Black Big Boys Slip on Shoes Youth Laceless Sneakers Size 4 Comfortable Lightweight School Athletic Running Tennis for Kids</t>
  </si>
  <si>
    <t>5757 Heeled Sandals</t>
  </si>
  <si>
    <t>2026年6月11日 - 2026年6月24日</t>
  </si>
  <si>
    <t>B0FRFCC8DB</t>
  </si>
  <si>
    <t>BRONAX Womens Wide Shoes Lightweight Mesh Ladies Athletic Sports Cushioned Everyday Walking Jogging Tennis Sneakers Size 6.5 Purple 37</t>
  </si>
  <si>
    <t>2026年6月7日 - 2026年6月20日</t>
  </si>
  <si>
    <t>B0B4JWQGFD</t>
  </si>
  <si>
    <t>BRONAX Womens Wide Tennis Shoes with Arch Support Road Running Mesh Size 10w Lightweight Rubber Sole Athletics Sports Walking Outdoor Pregnancy Female Sneakers Black 42</t>
  </si>
  <si>
    <t>B09ZHJ7JK8</t>
  </si>
  <si>
    <t>BRONAX Slides for Women Men Pillow Shower Slippers Bathroom Beach Bath Cushion Foam Thick Sole Adjustable Double Buckle Pool Sandals Male Size Cozislides Beige</t>
  </si>
  <si>
    <t>7015 Mens Sandals/Slides</t>
  </si>
  <si>
    <t>2026年6月11日 - 2026年6月16日</t>
  </si>
  <si>
    <t>B0CM93M1ML</t>
  </si>
  <si>
    <t>BRONAX WideTennis Shoes for Women Outdoor Rubber Sole Lightweight Size 6.5w Comfortable Gym Walking Casual Female Sneakers Breathable Fitness Stylish Footwear Beige 37</t>
  </si>
  <si>
    <t>2026年6月19日 - 2026年6月23日</t>
  </si>
  <si>
    <t>B0DCMHTM3X</t>
  </si>
  <si>
    <t>BRONAX Boys Wide Width Shoes Size 12w Comfortable Cushioned Lightweight No Lace Gym Hook and Loop Running Tennis Racquet Sneaker for Little Kids Footwear Black Red 30</t>
  </si>
  <si>
    <t>2026年6月20日 - 2026年6月24日</t>
  </si>
  <si>
    <t>B0GFCRMFDR</t>
  </si>
  <si>
    <t>BRONAX Womens Wide Toe Box Walking Shoes Cushion Running Tennis Sneakers Size 9.5w Zapatos para Mujer Sports Mesh Training Grey 40.5</t>
  </si>
  <si>
    <t>7739 Women's Action Sports/Water Sports</t>
  </si>
  <si>
    <t>B0BLRXYLLF</t>
  </si>
  <si>
    <t>BRONAX Pillow Slippers for Women and Men | House Slides Shower Sandals | Cushioned Thick Sole 48-49 Red</t>
  </si>
  <si>
    <t>B0GKCKJZNQ</t>
  </si>
  <si>
    <t>BRONAX Arch Support Flip Flops for Women Thong Sandals Size 7 Summer Plantar Fasciitis Relief Beach Slippers Pool Flat Slides Orthotic Female Beige</t>
  </si>
  <si>
    <t>B0GFD58RC5</t>
  </si>
  <si>
    <t>BRONAX Womens Wide Width Tennis Sneakers Width Walking Shoes Size 7w Comfy Ladies Lace up Athletic Sports Jogging Dark Blue 37.5</t>
  </si>
  <si>
    <t>B0GW1GJHJY</t>
  </si>
  <si>
    <t>BRONAX Women's Arch Support Orthopedic Flip Flops Thong Sandals Size 11 Summer Plantar Fasciitis Beach Pool Flat Slides Orthotic Female Purple</t>
  </si>
  <si>
    <t>2026年6月5日 - 2026年6月5日</t>
  </si>
  <si>
    <t>B0DSBZ951N</t>
  </si>
  <si>
    <t>BRONAX Shower Slippers Shoes for Women Soft Comfy Summer Pillow House Home Open Toe Dorm Slides Size 9 Indoor Bathroom Outdoor Beach Pool Spa EVA Sole Sandals for Ladies Female Pink</t>
  </si>
  <si>
    <t>2026年6月8日 - 2026年6月22日</t>
  </si>
  <si>
    <t>B0DCN4B7TJ</t>
  </si>
  <si>
    <t>BRONAX Girls Wide Width Running Shoes Size 5w Wide Toe Box Tennis Sneakers Breathable Non Slip Cushioned Racquet Comfy Lightweight Fashion Little Kids Footwear Mesh Purple 37</t>
  </si>
  <si>
    <t>5770 Women's Slippers</t>
  </si>
  <si>
    <t>2026年6月7日 - 2026年6月19日</t>
  </si>
  <si>
    <t>B0CW19SGKH</t>
  </si>
  <si>
    <t>BRONAX Arch Support Slides for Women and Mens | Cushioned Thick Sole Pain Relief Slippers 10.5-11.5 Women/9-10 Men Grey</t>
  </si>
  <si>
    <t>7732 Women's Lifestyle</t>
  </si>
  <si>
    <t>2026年6月12日 - 2026年6月12日</t>
  </si>
  <si>
    <t>B0D2MRC5QQ</t>
  </si>
  <si>
    <t>BRONAX Wide Toe Box Shoes for Men Lightweight Road Running Training Cushioning Athletics Sneakers Size 10w Lace up Breathable Walking Gym Sports Footwear All Black 44</t>
  </si>
  <si>
    <t>B0BCY3XMNL</t>
  </si>
  <si>
    <t>BRONAX Wide Toe Box Tennis Shoes for Women Lightweight Breathable Size 10w Gym Comfortable Running Walking Female Sneakers Mesh Fitness Pregnant Maternity Swollen Purple 42</t>
  </si>
  <si>
    <t>5500 Fashion</t>
  </si>
  <si>
    <t>5540 Women's Non Tech Athletic</t>
  </si>
  <si>
    <t>2026年6月6日 - 2026年6月17日</t>
  </si>
  <si>
    <t>B0B4JX91WQ</t>
  </si>
  <si>
    <t>BRONAX Womens Wide Toe Tennis Shoes Mesh Lightweight Runny Rubber Outsole Size 9.5w Gym Athletics Sports Jogging Running Sneakers Maternity Pregnant for Female Grey Pink 41</t>
  </si>
  <si>
    <t>B0D2MPXQLS</t>
  </si>
  <si>
    <t>BRONAX Wide Toe Box Running Shoes Breathable Mesh Training Walking Size 12w Athletics Sports Wide Width Male Sneakers Comfy Natural Foot Shape Jogging Zapatos De Hombre Dark Bule 46</t>
  </si>
  <si>
    <t>B0957MKRDN</t>
  </si>
  <si>
    <t>BRONAX Pillow Slippers for Women and Men | House Slides Shower Sandals | Cushioned Thick Sole 40-41 Brown</t>
  </si>
  <si>
    <t>B0BHHNPZB1</t>
  </si>
  <si>
    <t>BRONAX Wide Toe Box Shoes Women Comfortable Stylish Size 8w Athletic Gym Outdoor Sports Sneakers Female Training Walking Lightweight Maternity Pregnancy Casual Dark Blue 39</t>
  </si>
  <si>
    <t>B08K2XV15X</t>
  </si>
  <si>
    <t>BRONAX Blue Boys Slip on Shoes Youth Laceless Sneakers Size 3 Comfortable Lightweight School Shoes Athletic Running Tennis for Big Kids 36</t>
  </si>
  <si>
    <t>B09F38XX69</t>
  </si>
  <si>
    <t>BRONAX Pillow Slippers for Women and Men | House Slides Shower Sandals | Cushioned Thick Sole 46-47 Black</t>
  </si>
  <si>
    <t>5875 Men's Slippers</t>
  </si>
  <si>
    <t>B09ZHJ3PC1</t>
  </si>
  <si>
    <t>BRONAX Slides for Women Men Pillow Shower Slippers Bathroom Beach Bath Cushion Foam Thick Sole Adjustable Double Buckle Pool Sandals Size Cozislides Beige</t>
  </si>
  <si>
    <t>2026年6月6日 - 2026年6月7日</t>
  </si>
  <si>
    <t>B0CGDCFWM9</t>
  </si>
  <si>
    <t>BRONAX Wide Toe Road Running Shoes Womens Outdoor Tennis Gym Lace up Stylish Athletics Sports Size 7w Walking Sneakers Female Zapatos Deportivos para Mujer Hot Pink 38</t>
  </si>
  <si>
    <t>B0GKCMGGTX</t>
  </si>
  <si>
    <t>BRONAX Women's Arch Support Flip Flops Thong Sandals Size 10 Chanclas para Mujer Beach Pool Flat Slides Orthotic Lightweight Female Grey</t>
  </si>
  <si>
    <t>B0DCV7WZDK</t>
  </si>
  <si>
    <t>BRONAX Wide Toe Box Tennis Shoes for Women Size 11w Width Road Running Sneakers Female Lady Suede Mesh Walking Outdoor Rubber Outsole Stylish Jogging Lace Up Dark Blue 43</t>
  </si>
  <si>
    <t>B09ZHQY1GJ</t>
  </si>
  <si>
    <t>BRONAX Slides for Men Women Shower Pillow Slippers Open Toe Foam Cushioned Thick Sole House Pool Beach Sandals Sandalias para Mujer Size Cozi Black</t>
  </si>
  <si>
    <t>B0CW1B52DB</t>
  </si>
  <si>
    <t>BRONAX Arch Support Slides for Women and Mens | Cushioned Thick Sole Pain Relief Slippers 6-7 Women/4.5-5.5 Men Grey</t>
  </si>
  <si>
    <t>B09TPDQ24P</t>
  </si>
  <si>
    <t>BRONAX Pillow Slippers for Women and Men | House Slides Shower Sandals | Cushioned Thick Sole 39-40 Blush</t>
  </si>
  <si>
    <t>B0CGDBXPF6</t>
  </si>
  <si>
    <t>BRONAX Women Wide Tennis Shoes Road Running Sports Training Mesh Size 10w Lightweight Rubber Sole Gym Athletics Walking Stylish Pregnancy Female Sneakers Hot Pink 42</t>
  </si>
  <si>
    <t>2026年6月8日 - 2026年6月11日</t>
  </si>
  <si>
    <t>B0D2MP1NMD</t>
  </si>
  <si>
    <t>BRONAX Wide Width Tennis Shoes for Men Mesh Comfy Training Athletics Rubber Outsole Size 12w Male Running Walking Sneakers Natural Foot Shape Workout Zapatos De Hombre Black White 46</t>
  </si>
  <si>
    <t>B09BN6LQ37</t>
  </si>
  <si>
    <t>BRONAX Pillow Slippers for Women and Men | House Slides Shower Sandals | Cushioned Thick Sole 39-40 White</t>
  </si>
  <si>
    <t>2026年6月8日 - 2026年6月16日</t>
  </si>
  <si>
    <t>B0BHHKV7Q8</t>
  </si>
  <si>
    <t>BRONAX Wide Road Running Shoes for Women Breathable Fitness Cross Training Size 8w Stylish Gym Female Tennis Sneakers Walking Athletics Pregnant Pregnancy Sports Ladies Pink 39</t>
  </si>
  <si>
    <t>B0GKCPT36X</t>
  </si>
  <si>
    <t>BRONAX Women's Arch Support Flip Flops Flip-flops Thong Sandals Size 6 Summer Plantar Fasciitis Beach Pool Orthotic Lightweight Female Taupe</t>
  </si>
  <si>
    <t>B09N13RC8Q</t>
  </si>
  <si>
    <t>BRONAX Pillow Slippers for Women and Men | House Slides Shower Sandals | Cushioned Thick Sole 42-43 Rose Red</t>
  </si>
  <si>
    <t>B0FRD3CVKF</t>
  </si>
  <si>
    <t>BRONAX Wide Toe Box Road Running Shoes for Women Athletic Lace up Tennis Outdoor Workout Training Jogging Female Sneakers Everyday Size 6 Orange 36</t>
  </si>
  <si>
    <t>2026年6月8日 - 2026年6月12日</t>
  </si>
  <si>
    <t>B0GKCKQ172</t>
  </si>
  <si>
    <t>BRONAX Women's Flip Flops with Arch Support Thong Sandals Size 7 Rubber Summer Beach Pool Flat Beach Slides Orthotic Lightweight Female Grey</t>
  </si>
  <si>
    <t>B0BPX5D47J</t>
  </si>
  <si>
    <t>BRONAX Pillow Slippers for Women and Men | House Slides Shower Sandals | Cushioned Thick Sole 40-41 Khaki</t>
  </si>
  <si>
    <t>B0BKKJ1KX5</t>
  </si>
  <si>
    <t>BRONAX Shoes Comfty Slip on Youth No Tie Size 4 Zapatos de Niños Comfortable Lightweight School Shoes Athletic Running Tennis for Children BlackRed 37</t>
  </si>
  <si>
    <t>6035 Team Sports</t>
  </si>
  <si>
    <t>2026年6月10日 - 2026年6月24日</t>
  </si>
  <si>
    <t>B0CGD9ZFNX</t>
  </si>
  <si>
    <t>BRONAX Wide Shoes for Women Tennis Running Lightweight Size 7w Female Training Athletics Comfortable Lace up Pregnant Maternity Wide Toe Box Sneakers for Ladies All Black 38</t>
  </si>
  <si>
    <t>B096M88FMN</t>
  </si>
  <si>
    <t>BRONAX Pillow Slippers for Women and Men | House Slides Shower Sandals | Cushioned Thick Sole 40-41 Black</t>
  </si>
  <si>
    <t>B0957L7QKR</t>
  </si>
  <si>
    <t>BRONAX Pillow Slippers for Women and Men | House Slides Shower Sandals | Cushioned Thick Sole 35-36 Brown</t>
  </si>
  <si>
    <t>B0DSBY2Y81</t>
  </si>
  <si>
    <t>BRONAX Shower Shoes Slippers for Women Men Soft Comfy Pillow Cushion House Home Open Toe Orthopedic Slides Size 11 Indoor Bath Bathroom Outdoor Beach Pool EVA Sole Sandals Black</t>
  </si>
  <si>
    <t>6070 Slippers</t>
  </si>
  <si>
    <t>2026年6月6日 - 2026年6月19日</t>
  </si>
  <si>
    <t>B0DCV8KKWS</t>
  </si>
  <si>
    <t>BRONAX Womens Wide Width Tennis Shoes Wide Toe Box Road Running Sneakers Female Size 9.5w Stylish Suede Mesh Athletics Gym Sports Fashion Ladies Footwear Purple 41</t>
  </si>
  <si>
    <t>B0DPKW63JZ</t>
  </si>
  <si>
    <t>BRONAX Arch Support Slides for Women and Mens | Cushioned Thick Sole Pain Relief Slippers 10.5-11.5 Women/9-10 Men Brown</t>
  </si>
  <si>
    <t>2026年6月10日 - 2026年6月11日</t>
  </si>
  <si>
    <t>B0DSC1W4MR</t>
  </si>
  <si>
    <t>BRONAX Womens Shower Slippers for Men Soft Comfy Cushion Adults House Home Open Toe Slides Size 7 Waterproof Indoor Bath Bathroom Outdoor Beach Pool EVA Sole Sandals Black</t>
  </si>
  <si>
    <t>B09TPK7MPK</t>
  </si>
  <si>
    <t>BRONAX Pillow Slippers for Women and Men | House Slides Shower Sandals | Cushioned Thick Sole 35-36 Red</t>
  </si>
  <si>
    <t>B09TPHKZ3F</t>
  </si>
  <si>
    <t>BRONAX Pillow Slippers for Women and Men | House Slides Shower Sandals | Cushioned Thick Sole 39-40 Chocolate</t>
  </si>
  <si>
    <t>B0CN99GYV4</t>
  </si>
  <si>
    <t>BRONAX Arch Support Slides for Women and Mens | Cushioned Thick Sole Pain Relief Slippers 4-5.5 Women/3-4 Men Blush</t>
  </si>
  <si>
    <t>B0DSBZPF66</t>
  </si>
  <si>
    <t>BRONAX Shower Slippers for Women Men Soft Comfy Pillow Waterproof Breathable Plastic House Home Open Toe Slides Size 10 Tan Indoor Bathroom Outdoor Beach Pool EVA Sole Sandals Brown</t>
  </si>
  <si>
    <t>B0GKCTDWZX</t>
  </si>
  <si>
    <t>BRONAX Arch Support Flip Flops Thong Sandals for Women Size 10 Summer Plantar Fasciitis Beach Pool Flat Slippers Slides Lightweight Navy Blue</t>
  </si>
  <si>
    <t>2026年6月14日 - 2026年6月19日</t>
  </si>
  <si>
    <t>B0DCV98LCN</t>
  </si>
  <si>
    <t>BRONAX Womens Wide Width Tennis Shoes Wide Toe Box Road Running Sneakers Female Size 6.5w Rubber Sole Outdoor Athletics Sports Gym Footwear Casual Jogging Purple 37</t>
  </si>
  <si>
    <t>B0CW1MWKPL</t>
  </si>
  <si>
    <t>BRONAX Arch Support Slides for Women and Mens | Cushioned Thick Sole Pain Relief Slippers 7.5-8.5 Women/6-7 Men Chocolate</t>
  </si>
  <si>
    <t>B0CM965Q6R</t>
  </si>
  <si>
    <t>BRONAX Wide Road Running Shoes for Women Outdoor Size 6.5w Walking Jogging Runny Comfy Fashion Rubber Casual Rubber Sole Female Sneakers Lightweight Ladies Footwear Blue 37</t>
  </si>
  <si>
    <t>B0GKD3PQYR</t>
  </si>
  <si>
    <t>BRONAX Arch Support Flip Flops Thong Sandals for Women Size 6 Orthopedic Summer Plantar Fasciitis Relief Beach Pool Flat Slides Orthotic Female Black</t>
  </si>
  <si>
    <t>B09BN5RX6J</t>
  </si>
  <si>
    <t>BRONAX Pillow Slippers for Women and Men | House Slides Shower Sandals | Cushioned Thick Sole 44-45 Blue</t>
  </si>
  <si>
    <t>B0GVYWC68K</t>
  </si>
  <si>
    <t>BRONAX Women's Arch Support Orthopedic Flip Flops Thong Tan Sandals Size 9 Summer Plantar Fasciitis Cushion Beach Pool Orthotic Flipflops Taupe</t>
  </si>
  <si>
    <t>B092QXDRSP</t>
  </si>
  <si>
    <t>BRONAX Pillow Slippers for Women and Men | House Slides Shower Sandals | Cushioned Thick Sole 35-36 Pink</t>
  </si>
  <si>
    <t>2026年6月5日 - 2026年6月24日</t>
  </si>
  <si>
    <t>B0BCY2VNFX</t>
  </si>
  <si>
    <t>BRONAX Wide Tennis Shoes for Women Lace up Round Toe Comfortable Stylish Size 8w Athletic Gym Outdoor Sports Sneakers Walking Maternity Pregnancy Lightweight Casual Black 39</t>
  </si>
  <si>
    <t>B0GVYSL997</t>
  </si>
  <si>
    <t>BRONAX Women's Arch Support Orthopedic Flip Flops Thong Sandals Size 9 Plantar Fasciitis Summer Relief Beach Pool Flat Slides Blue</t>
  </si>
  <si>
    <t>B0DCV8FRF4</t>
  </si>
  <si>
    <t>BRONAX Womens Wide Toe Box Tennis Shoes Wide Width Walking Sneakers Size 6.5w Rubber Sole Outdoor Athletics Sports Female Footwear Casual Jogging Sneakers Black 37</t>
  </si>
  <si>
    <t>2026年6月7日 - 2026年6月10日</t>
  </si>
  <si>
    <t>B092DF1CWS</t>
  </si>
  <si>
    <t>BRONAX Boys Tennis Shoes Comfortable Size 5 Childrens No Tie Zapatos para Niños Slip On Athetics Sports Sneakers Running Lightweight Black 39</t>
  </si>
  <si>
    <t>B092QTQPBX</t>
  </si>
  <si>
    <t>BRONAX Pillow Slippers for Women and Men | House Slides Shower Sandals | Cushioned Thick Sole 44-45 Grey</t>
  </si>
  <si>
    <t>5565 Men's Boots</t>
  </si>
  <si>
    <t>2026年6月16日 - 2026年6月20日</t>
  </si>
  <si>
    <t>B0D2MRPXLV</t>
  </si>
  <si>
    <t>BRONAX Mens Wide Toe Box Tennis Shoes Lightweight Comfy Walking Road Running Size 9.5w Breathable Mesh Training Workout Athletics Sneakers Rubber Outsole Male Footwear White 43</t>
  </si>
  <si>
    <t>7011 Mens Running</t>
  </si>
  <si>
    <t>B0CM95DXSK</t>
  </si>
  <si>
    <t>BRONAX Wide Tennis Shoes for Women Lace up Lightweight Comfortable Stylish Size 8w Road Tennis Female Sneakers Outdoor Athletics Walking Jogging Comfy Casual Zapatos Deportivos para Mujer Blue 39</t>
  </si>
  <si>
    <t>BRONAX Women's Arch Support Flip Flops, Orthotic Thong Sandals for Plantar Fasciitis Relief</t>
  </si>
  <si>
    <t>B0BPX3RTJ4</t>
  </si>
  <si>
    <t>BRONAX Pillow Slippers for Women and Men | House Slides Shower Sandals | Cushioned Thick Sole 44-45 Khaki</t>
  </si>
  <si>
    <t>B0BHHPT126</t>
  </si>
  <si>
    <t>BRONAX Tennis Shoes for Women Outdoor Rubber Sole with Arch Support Lightweight Size 9.5w Gym Casual Comfortable Sneakers Female Pregnant Pregnancy Swollen Breathable Pink 41</t>
  </si>
  <si>
    <t>5940 Women's Non Tech Athletic</t>
  </si>
  <si>
    <t>B0D2MRGHCP</t>
  </si>
  <si>
    <t>BRONAX Mens Wide Toe Box Running Shoes Breathable Mesh Road Tennis Walking Athletics Sneakers Size 8.5w Workout Comfy Fitness Jogging Zapatos De Hombre White 42</t>
  </si>
  <si>
    <t>2026年6月6日 - 2026年6月12日</t>
  </si>
  <si>
    <t>B09ZGWZHLM</t>
  </si>
  <si>
    <t>BRONAX Slides for Women Men Pillow Shower Slippers Bathroom Adjustable Double Buckle Beach Bath Cushion Foam Thick Sole EVA Pool Sandals Male Size Beige</t>
  </si>
  <si>
    <t>B0B4JVLB4J</t>
  </si>
  <si>
    <t>BRONAX Wide Road Running Shoes for Women Breathable Fitness Cross Training Size 7w Stylish Gym Female Tennis Sneakers Walking Jogging Athletics Sports Fashion Ladies Grey 38</t>
  </si>
  <si>
    <t>2026年6月9日 - 2026年6月18日</t>
  </si>
  <si>
    <t>B0DCV8XDCQ</t>
  </si>
  <si>
    <t>BRONAX Womens Wide Width Tennis Shoes Wide Toe Box Road Running Sneakers Female Size 7w Stylish Athletics Sports Gym Supportive Suede Mesh Non Slip Tranining Purple 38</t>
  </si>
  <si>
    <t>B09BN81Z2Q</t>
  </si>
  <si>
    <t>BRONAX Pillow Slippers for Women and Men | House Slides Shower Sandals | Cushioned Thick Sole 40-41 Blue</t>
  </si>
  <si>
    <t>B0FRD6RQL4</t>
  </si>
  <si>
    <t>BRONAX Womens Wide Walking Shoes Athletic Tennis Rubber Outsole Cushioned Running Jogging Female Sneakers Everyday Size 6 Black 36</t>
  </si>
  <si>
    <t>B0CNRGQ7M7</t>
  </si>
  <si>
    <t>BRONAX Wide Toe Shoes for Women Lace up Comfortable Stylish Size 7w Stylish Gym Female Tennis Sports Sneakers Walking Jogging Zapatos Deportivos para Mujer White 38</t>
  </si>
  <si>
    <t>B09ZH7WJ9Y</t>
  </si>
  <si>
    <t>BRONAX Pillow Slippers Shower Slides for women Mens Bathroom Beach Pool EVA Thick Sole Cushion Foam Sandals Ladies Female Male Open Toe Double Buckle Brown</t>
  </si>
  <si>
    <t>B0B4K2XQ1B</t>
  </si>
  <si>
    <t>BRONAX Wide Road Running Shoes for Women Fitness Mesh Breathable Size 10w Walking Jogging Lightweight Outdoor Female Sneakers Fashion Comfy Casual Rubber Sole Ladies Footwear Light Blue 42</t>
  </si>
  <si>
    <t>2026年6月5日 - 2026年6月11日</t>
  </si>
  <si>
    <t>B0FRD2C44W</t>
  </si>
  <si>
    <t>BRONAX Womens Wide Tennis Shoes Breathable Workout Walking Athletic Sneakers Comfy Cushioned Everyday Female Training Size 7 Khaki 38</t>
  </si>
  <si>
    <t>B0957LTZ6M</t>
  </si>
  <si>
    <t>BRONAX Pillow Slippers for Women and Men | House Slides Shower Sandals | Cushioned Thick Sole 44-45 Brown</t>
  </si>
  <si>
    <t>B0GFD2G898</t>
  </si>
  <si>
    <t>BRONAX Womens Wide Width Tennis Sneakers Width Walking Shoes Size 10w Breathable Mesh Rubber Outsole Jogging Dark Blue 41</t>
  </si>
  <si>
    <t>B09BN6W3XB</t>
  </si>
  <si>
    <t>BRONAX Pillow Slippers for Women and Men | House Slides Shower Sandals | Cushioned Thick Sole 37-38 Rose Red</t>
  </si>
  <si>
    <t>2026年6月16日 - 2026年6月24日</t>
  </si>
  <si>
    <t>B0DCV8H41Q</t>
  </si>
  <si>
    <t>BRONAX Womens Wide Toe Box Tennis Shoes Wide Width Walking Sneakers Size 9.5w Stylish Suede Mesh Breathable Athletics Gym Sports Fashion Female Ladies Footwear Black 41</t>
  </si>
  <si>
    <t>B0BLRF95NB</t>
  </si>
  <si>
    <t>BRONAX Pillow Slippers for Women and Men | House Slides Shower Sandals | Cushioned Thick Sole 48-49 Black</t>
  </si>
  <si>
    <t>B09BN4TJSR</t>
  </si>
  <si>
    <t>BRONAX Pillow Slippers for Women and Men | House Slides Shower Sandals | Cushioned Thick Sole 39-40 Purple</t>
  </si>
  <si>
    <t>B0CRRG7H2Z</t>
  </si>
  <si>
    <t>BRONAX Arch Support Slides for Women and Mens | Cushioned Thick Sole Pain Relief Slippers 12-13 Women/10.5-11 Men Black</t>
  </si>
  <si>
    <t>2026年6月4日 - 2026年6月21日</t>
  </si>
  <si>
    <t>B09BN6RP1T</t>
  </si>
  <si>
    <t>BRONAX Pillow Slippers for Women and Men | House Slides Shower Sandals | Cushioned Thick Sole 37-38 Olive Green</t>
  </si>
  <si>
    <t>2026年6月10日 - 2026年6月14日</t>
  </si>
  <si>
    <t>B0DCV8PRHF</t>
  </si>
  <si>
    <t>BRONAX Wide Toe Box Walking Shoes for Women Size 5.5w Width Fashion Tennis Road Running Sneakers Suede Mesh Fitness Non Slip Lightweight Lace Up Female Lady Beige 36</t>
  </si>
  <si>
    <t>B0BPWVDG84</t>
  </si>
  <si>
    <t>BRONAX Pillow Slippers for Women and Men | House Slides Shower Sandals | Cushioned Thick Sole 42-43 Khaki</t>
  </si>
  <si>
    <t>2026年6月5日 - 2026年6月7日</t>
  </si>
  <si>
    <t>B0B4JW15LL</t>
  </si>
  <si>
    <t>BRONAX Womens Wide Running Shoes Breathable Lace up Size 6.5w with Arch Support Comfortable Outdoor Rubber Outsole Maternity Pregnancy Female Sneakers Athletics Gym Sports Black 37</t>
  </si>
  <si>
    <t>B09ZHCLN7H</t>
  </si>
  <si>
    <t>BRONAX Shower Slides for Women Men Pillow Slippers Cushion Foam Bathroom Extra Beach Bath Thick Sole EVA Pool Open Toe Sandals Male Size Cozislides Grey</t>
  </si>
  <si>
    <t>2026年6月11日 - 2026年6月17日</t>
  </si>
  <si>
    <t>B0FRFB6W2X</t>
  </si>
  <si>
    <t>BRONAX Womens Wide Tennis Shoes Lightweight Running Mesh Ladies Athletic Sports Walking Jogging Sneakers for Ladies Size 6.5 Orange 37</t>
  </si>
  <si>
    <t>2026年6月7日 - 2026年6月22日</t>
  </si>
  <si>
    <t>B0D2W4QH5H</t>
  </si>
  <si>
    <t>BRONAX Arch Support Slides for Women and Mens | Cushioned Thick Sole Pain Relief Slippers 10.5-11.5 Women/9-10 Men White</t>
  </si>
  <si>
    <t>B092DDWSWH</t>
  </si>
  <si>
    <t>BRONAX Big Kids Shoes for Boys Size 4.5 Zapatos para Niños No Tie Slip On Boys Shoes Lightweight Tennis Fashion Althetics Children Casual All Black 38</t>
  </si>
  <si>
    <t>B08K33MQWW</t>
  </si>
  <si>
    <t>BRONAX Red Spider Shoes for Big Boys Size 3 Comfortable Light Running Athletic Sports Sneakers Snickers for Little Kids 36</t>
  </si>
  <si>
    <t>B0F4MV9YFN</t>
  </si>
  <si>
    <t>BRONAX Shower Shoes for Women Men Unisex Lightweight Open Toe House Home Slippers Soft Comfy Size 10 Indoor Bath Bathroom Outdoor Beach Pool Spa EVA Sole Sandals Green</t>
  </si>
  <si>
    <t>B0DSC1YZ2B</t>
  </si>
  <si>
    <t>BRONAX Shower Slides for Women Soft Comfy Summer Lightweight Flip Flops House Home Open Toe Gray Non-slip Slippers Size 6 Indoor Bath Bathroom Outdoor Beach Pool EVA Sole Sandals Grey</t>
  </si>
  <si>
    <t>2026年6月15日 - 2026年6月23日</t>
  </si>
  <si>
    <t>B0D2MQ9XHP</t>
  </si>
  <si>
    <t>BRONAX Wide Toe Box Tennis Shoes for Men Road Running Comfy Size 8.5w Natural Foot Shape Gym Athletics Sports Outdoor Walking Jogging Sneakers Breathable Fitness Male Footwear Black White 42</t>
  </si>
  <si>
    <t>B0GKDX5WRM</t>
  </si>
  <si>
    <t>BRONAX Women's Arch Support Flip Flops Thong Sandals Size 6 Plantar Fasciitis Relief Flip-flops Cushioned Flat Slides Orthotic Lightweight Female Pink</t>
  </si>
  <si>
    <t>B0C1B6XJ76</t>
  </si>
  <si>
    <t>BRONAX Wide Toe Road Running Shoes Womens Tennis Gym Lace up Size 6.5w Stylish Walking Athletics Sneakers Female Zapatos Deportivos para Mujer Pregnant Swollen White 37</t>
  </si>
  <si>
    <t>B0BHHQSDZK</t>
  </si>
  <si>
    <t>BRONAX Womens Wide Running Shoes Breathable Mesh Size 7w Road Tennis Athletics Female Sneakers Zapatos Deportivos para Mujer Pregnant Maternity Swollen Lightweight Pink 38</t>
  </si>
  <si>
    <t>2026年6月14日 - 2026年6月22日</t>
  </si>
  <si>
    <t>B0FRDZQY64</t>
  </si>
  <si>
    <t>BRONAX Womens Running Shoes Comfy Athletic Tennis Rubber Outsole Wide Walking Jogging Sneakers for Female Size 9 Orange 41</t>
  </si>
  <si>
    <t>B09MW1R7GQ</t>
  </si>
  <si>
    <t>BRONAX Pillow Slippers for Women and Men | House Slides Shower Sandals | Cushioned Thick Sole 42-43 Olive Green</t>
  </si>
  <si>
    <t>B0C1B4VZPM</t>
  </si>
  <si>
    <t>BRONAX Womens Wide Toe Tennis Running Shoes Supportive Size 6.5w Lightweight Cross Training Footwear for Female Comfy Lace up Maternity Pregnancy Ladies Sneakers Grey 37</t>
  </si>
  <si>
    <t>B092QT9NRH</t>
  </si>
  <si>
    <t>BRONAX Pillow Slippers for Women and Men | House Slides Shower Sandals | Cushioned Thick Sole 42-43 Grey</t>
  </si>
  <si>
    <t>B0D2MNT7PH</t>
  </si>
  <si>
    <t>BRONAX Mens Wide Toe Box Road Running Shoes Fitness Tennis Walking Training Size 10w Outdoor Workout Athletics Foot Shape Breathable Mesh Male Sneakers Grey 44</t>
  </si>
  <si>
    <t>B0BHHH26S1</t>
  </si>
  <si>
    <t>BRONAX Womens Wide Running Shoes Breathable Lace up Size 6.5w Comfortable Outdoor Rubber Outsole Female Sneakers Gym Athletics Sports Maternity Pregnancy Swollen Dark Blue 37</t>
  </si>
  <si>
    <t>B0BHHRQ43J</t>
  </si>
  <si>
    <t>BRONAX Womens Wide Shoes Road Running Mesh Size 10w Lightweight Rubber Sole Gym Athletics Sports Walking Stylish Outdoor Female Sneakers Maternity Pregnancy Dark Blue 42</t>
  </si>
  <si>
    <t>B0B4JX5F4D</t>
  </si>
  <si>
    <t>BRONAX Womens Wide Running Shoes Breathable Mesh Size 9w Road Tennis Jogging Athletics Comfy Casual Female Sneakers Pregnancy Zapatos Deportivos para Mujer Lightweight Purple 40</t>
  </si>
  <si>
    <t>2026年6月9日 - 2026年6月22日</t>
  </si>
  <si>
    <t>B0F93NSM83</t>
  </si>
  <si>
    <t>BRONAX Mens Wide Toe Box Running Walking Shoes Breathable Mesh Gym Workout Tennis Athletics Size 13 Lace up Sports Rubber Outsole Sneakers for Male Black White 47</t>
  </si>
  <si>
    <t>2026年6月21日 - 2026年6月21日</t>
  </si>
  <si>
    <t>B0B3XBQGDK</t>
  </si>
  <si>
    <t>BRONAX Mens Wide Toe Box Running Tennis Shoes Gym Tennis Athletics Size 9.5 Sports Mesh Walking Rubber Outsole Sneakers for Male Grey 43</t>
  </si>
  <si>
    <t>5545 Men's Non Tech Athletic</t>
  </si>
  <si>
    <t>2026年6月10日 - 2026年6月10日</t>
  </si>
  <si>
    <t>B09C1X9FKM</t>
  </si>
  <si>
    <t>BRONAX Big Kids Athletic Shoe Slip On Boys Size 5 Sapatos Tenis para Niños Comfty Light Fashion No Tie Boys Athletic Casual Walking Running Tennis Sneakers Blue 39</t>
  </si>
  <si>
    <t>B0BLS1V8VS</t>
  </si>
  <si>
    <t>BRONAX Pillow Slippers for Women and Men | House Slides Shower Sandals | Cushioned Thick Sole 48-49 Brown</t>
  </si>
  <si>
    <t>B0GFD44DMF</t>
  </si>
  <si>
    <t>BRONAX Womens Wide Toe Box Tennis Sneakers Width Walking Shoes Size 8.5w Nursing Zapatos para Mujer Non-Slip Lightweight Beige 39</t>
  </si>
  <si>
    <t>2026年6月4日 - 2026年6月11日</t>
  </si>
  <si>
    <t>B0D2MRJNMW</t>
  </si>
  <si>
    <t>BRONAX Wide Toe Box Running Shoes for Men Lace up Tennis Athletics Sports Size 8w Gym Walking Jogging Sneakers Fitness Foot Shape Workout Male Footwear Rubber Outsole Grey 41</t>
  </si>
  <si>
    <t>2026年6月7日 - 2026年6月21日</t>
  </si>
  <si>
    <t>B0DCV98WC2</t>
  </si>
  <si>
    <t>BRONAX Womens Wide Toe Box Road Running Shoes Size 9w Width Walking Sneakers Female Ladies Gym Casual Athletics Suede Mesh Cushioned Rubber Outsole Comfy Grey 40</t>
  </si>
  <si>
    <t>2026年6月15日 - 2026年6月16日</t>
  </si>
  <si>
    <t>B0DSC1XJKK</t>
  </si>
  <si>
    <t>BRONAX Shower Slippers for Women Men Soft Comfy Cushioned House Home Open Toe Garden Slides Size 9 Orthopedic Indoor Bathroom Outdoor Beach Pool EVA Sole Sandals Dark Blue</t>
  </si>
  <si>
    <t>2026年6月8日 - 2026年6月17日</t>
  </si>
  <si>
    <t>B0CW5V865H</t>
  </si>
  <si>
    <t>BRONAX Womens Wide Road Running Shoes Gym Tennis Breathable Sneakers Lace up Size 9.5w Athletics Sport Outdoor Pregnancy Zapatos Deportivos para Mujer Beige 41</t>
  </si>
  <si>
    <t>B09TPHT76V</t>
  </si>
  <si>
    <t>BRONAX Pillow Slippers for Women and Men | House Slides Shower Sandals | Cushioned Thick Sole 42-43 Red</t>
  </si>
  <si>
    <t>B0B4JTWSLX</t>
  </si>
  <si>
    <t>BRONAX Wide Toe Tennis Shoes for Women Supportive Cushioned Rubber Sole Walking Fitness Size 5.5w Footwear Female Stylish Comfy Jogging Outdoor Sport Sneakers for Ladies Purple 36</t>
  </si>
  <si>
    <t>B09P43J5LN</t>
  </si>
  <si>
    <t>BRONAX Mens Wide Toe Box Running Tennis Shoes Gym Tennis Athletics Size 13 Sports Mesh Walking Rubber Outsole Sneakers for Male Grey 47</t>
  </si>
  <si>
    <t>B09BN78S2W</t>
  </si>
  <si>
    <t>BRONAX Pillow Slippers for Women and Men | House Slides Shower Sandals | Cushioned Thick Sole 37-38 Blue</t>
  </si>
  <si>
    <t>2026年6月4日 - 2026年6月12日</t>
  </si>
  <si>
    <t>B09ZH49MPS</t>
  </si>
  <si>
    <t>BRONAX Cushion Slides for Women Pillow Slippers Ladies Bathroom Bath Beach Pool Open Toe Shower Sandals House Female Soft Shoes Cozi Pink</t>
  </si>
  <si>
    <t>B0DCV8ZK8V</t>
  </si>
  <si>
    <t>BRONAX Wide Toe Box Walking Shoes for Women Size 9.5w Lightweight Rubber Sole Suede Athletics Sports Walking Outdoor Female Supportive Width Tennis Sneakers Beige 41</t>
  </si>
  <si>
    <t>2026年6月7日 - 2026年6月8日</t>
  </si>
  <si>
    <t>B08HSWZBTJ</t>
  </si>
  <si>
    <t>BRONAX All Black Boys Slip on Shoes Youth Laceless Sneakers Size 3 Comfortable Lightweight School Shoes Athletic Running Tennis for Big Kids</t>
  </si>
  <si>
    <t>B092QXPDXQ</t>
  </si>
  <si>
    <t>BRONAX Pillow Slippers for Women and Men | House Slides Shower Sandals | Cushioned Thick Sole 37-38 Pink</t>
  </si>
  <si>
    <t>2026年6月6日 - 2026年6月11日</t>
  </si>
  <si>
    <t>B09P42KDPG</t>
  </si>
  <si>
    <t>BRONAX Mens Wide Toe Box Running Tennis Shoes Gym Tennis Athletics Size 8 Sports Mesh Walking Rubber Outsole Sneakers for Male Black 41</t>
  </si>
  <si>
    <t>B0BCJX3VYL</t>
  </si>
  <si>
    <t>BRONAX Mens Wide Toe Box Running Tennis Shoes Gym Tennis Athletics Size 11 Sports Mesh Walking Rubber Outsole Sneakers for Male Grey 45</t>
  </si>
  <si>
    <t>B0957KMD4V</t>
  </si>
  <si>
    <t>BRONAX Pillow Slippers for Women and Men | House Slides Shower Sandals | Cushioned Thick Sole 39-40 Brown</t>
  </si>
  <si>
    <t>B0GKD8W9J1</t>
  </si>
  <si>
    <t>BRONAX Women's Arch Support Flip Flops Thong Sandals Size 10 Flip-flops Sandalias de Mujer Plantar Fasciitis Flip-flops Flat Slides Orthotic Female Pink</t>
  </si>
  <si>
    <t>B0CN9C4PMW</t>
  </si>
  <si>
    <t>BRONAX Arch Support Slides for Women and Mens | Cushioned Thick Sole Pain Relief Slippers 6-7 Women/4.5-5.5 Men Black</t>
  </si>
  <si>
    <t>B0FPQVK6L8</t>
  </si>
  <si>
    <t>BRONAX Womens Platform Wedge Slides Beach EVA Chunky Thick Sole Open Toe House Sandals for Female Girls Size 5 Outdoor Slip On Quick Dry Grey 35</t>
  </si>
  <si>
    <t>5850 Women's Sandals</t>
  </si>
  <si>
    <t>2026年6月11日 - 2026年6月13日</t>
  </si>
  <si>
    <t>B0GFD2QJ57</t>
  </si>
  <si>
    <t>BRONAX Womens Wide Width Tennis Sneakers Width Walking Shoes Size 8.5w Mesh Rubber Outsole Calzado de Mujer Jogging Dark Blue 39</t>
  </si>
  <si>
    <t>B0GKCTDWZD</t>
  </si>
  <si>
    <t>BRONAX Women's Arch Support Flip Flops Thong Sandals Size 9 Summer Beach Pool Cushion Flat Slides Slippers Orthotic Lightweight Female Grey</t>
  </si>
  <si>
    <t>BRONAX Pillow Slippers for Women and Men | House Slides Shower Sandals | Cushioned Thick Sole</t>
  </si>
  <si>
    <t>B0FRDK2QDB</t>
  </si>
  <si>
    <t>BRONAX Womens Wide Tennis Shoes Breathable Mesh Lace up Workout Walking Running Everyday Athletic Sneakers Comfy Female Training Size 7 Dark Blue 38</t>
  </si>
  <si>
    <t>B0BCY1Y74P</t>
  </si>
  <si>
    <t>BRONAX Womens Wide Tennis Shoes Road Running with Arch Support Mesh Size 10w Lightweight Rubber Outsole Gym Athletics Training Sports Maternity Pregnant Walking Female Sneakers Red 42</t>
  </si>
  <si>
    <t>B0DPW8JQ4Z</t>
  </si>
  <si>
    <t>BRONAX Womens Wide Toe Box Walking Shoes Road Running Sneakers Size 11w Casual Athletics Sport Suede Lace up Outdoor Breathable Zapatos Deportivos para Mujer Light Blue 43</t>
  </si>
  <si>
    <t>2026年6月9日 - 2026年6月20日</t>
  </si>
  <si>
    <t>B0DCV8WX5Y</t>
  </si>
  <si>
    <t>BRONAX Womens Wide Toe Box Road Running Shoes Size 7w Width Female Tennis Sneakers Cross Training Gym Outdoor Workout Slip Resistant Suede Mesh Ladies Grey 38</t>
  </si>
  <si>
    <t>2026年6月6日 - 2026年6月24日</t>
  </si>
  <si>
    <t>B0BHHKQ1L1</t>
  </si>
  <si>
    <t>BRONAX Womens Wide Road Running Shoes Lace up Tennis Walking Exercise Gym Size 11w Lightweght Athletics Comfortable Fashion Cushion Cross Training Female Rubber Sole Light White 43</t>
  </si>
  <si>
    <t>2026年6月6日 - 2026年6月22日</t>
  </si>
  <si>
    <t>B09ZGZPCTH</t>
  </si>
  <si>
    <t>BRONAX Cushion Slides for Women Pillow Slippers Ladies Female Shower Bathroom Bath Beach Pool House Cushioned Double Buckle Sandals EVA Thick Sole Pink</t>
  </si>
  <si>
    <t>B0DCV8CWY9</t>
  </si>
  <si>
    <t>BRONAX Wide Toe Box Tennis Shoes for Women Size 7w Walking Gym Sports Road Running Sneakers Suede Mesh Stylish Fitness Cushioned Slip Resistant Workout Dark Blue 38</t>
  </si>
  <si>
    <t>7900 Action Sports</t>
  </si>
  <si>
    <t>7923 Women's Sandals</t>
  </si>
  <si>
    <t>2026年6月9日 - 2026年6月11日</t>
  </si>
  <si>
    <t>B0DCV91TNQ</t>
  </si>
  <si>
    <t>BRONAX Wide Toe Box Tennis Shoes for Women Size 9w Width Walking Sneakers Female Ladies Road Running Athletics Suede Mesh Cushioned Rubber Outsole Comfy Dark Blue 40</t>
  </si>
  <si>
    <t>2026年6月19日 - 2026年6月21日</t>
  </si>
  <si>
    <t>B09P437WR1</t>
  </si>
  <si>
    <t>BRONAX Mens Wide Toe Box Running Tennis Shoes Gym Tennis Athletics Size 12 Sports Mesh Walking Rubber Outsole Sneakers for Male Blue 46</t>
  </si>
  <si>
    <t>B0DCV8MKW9</t>
  </si>
  <si>
    <t>BRONAX Womens Wide Toe Box Road Running Shoes Size 9.5w Female Ladies Width Sneakers Breathable Comfy Walking Supportive Workout Slip Resistant Suede Mesh Grey 41</t>
  </si>
  <si>
    <t>B092QW9Q7K</t>
  </si>
  <si>
    <t>BRONAX Pillow Slippers for Women and Men | House Slides Shower Sandals | Cushioned Thick Sole 40-41 Grey</t>
  </si>
  <si>
    <t>B09ZH86SBG</t>
  </si>
  <si>
    <t>BRONAX Pillow Slippers Shower Slides for women Mens Bathroom Beach House Cushion EVA Thick Sole Pool Sandals Size Open Toe Male Indoor Home Brown</t>
  </si>
  <si>
    <t>5005 Accessories</t>
  </si>
  <si>
    <t>B09F36SS42</t>
  </si>
  <si>
    <t>BRONAX Pillow Slippers for Women and Men | House Slides Shower Sandals | Cushioned Thick Sole 46-47 Brown</t>
  </si>
  <si>
    <t>B0CN9BLVGY</t>
  </si>
  <si>
    <t>BRONAX Arch Support Slides for Women and Mens | Cushioned Thick Sole Pain Relief Slippers 6-7 Women/4.5-5.5 Men Brown</t>
  </si>
  <si>
    <t>B0GFD2QB5B</t>
  </si>
  <si>
    <t>BRONAX Womens Wide Toe Box Tennis Sneakers Width Walking Shoes Size 7w Nurse Road Running Mesh Rubber Outsole Beige 37.5</t>
  </si>
  <si>
    <t>2026年6月8日 - 2026年6月15日</t>
  </si>
  <si>
    <t>B0CM944LJN</t>
  </si>
  <si>
    <t>BRONAX Wide Shoes for Women Tennis Athletics Training Running Lightweight Walking Size 11w with Arch Support Outdoor Comfortable Rubber Outsole Female Sneakers Gym Sports Beige 43</t>
  </si>
  <si>
    <t>5735 Men's Athletic</t>
  </si>
  <si>
    <t>B0CW19Y73K</t>
  </si>
  <si>
    <t>BRONAX Arch Support Slides for Women and Mens | Cushioned Thick Sole Pain Relief Slippers 9-10 Women/7.5-8.5 Men Chocolate</t>
  </si>
  <si>
    <t>2026年6月11日 - 2026年6月11日</t>
  </si>
  <si>
    <t>B0DW3X7PM8</t>
  </si>
  <si>
    <t>BRONAX Womens Wide Toe Box Tennis Shoes Wide Width Road Running Sneakers Size 10w Female Walking Gym Rubber Sole Footwear Suede Mesh Slip Resistant Black 42</t>
  </si>
  <si>
    <t>B09BN7KKTN</t>
  </si>
  <si>
    <t>BRONAX Pillow Slippers for Women and Men | House Slides Shower Sandals | Cushioned Thick Sole 35-36 White</t>
  </si>
  <si>
    <t>B09BN6NDLK</t>
  </si>
  <si>
    <t>BRONAX Pillow Slippers for Women and Men | House Slides Shower Sandals | Cushioned Thick Sole 40-41 Olive Green</t>
  </si>
  <si>
    <t>2026年6月3日 - 2026年6月19日</t>
  </si>
  <si>
    <t>B09ZHL9LV6</t>
  </si>
  <si>
    <t>BRONAX Cushion Slides for Women Pillow Slippers Ladies Female Bathroom Beach Pool Open Toe EVA Thick Sole Shower Sandals Sandalias para Mujer Cozi Pink</t>
  </si>
  <si>
    <t>B09TPH8FQ1</t>
  </si>
  <si>
    <t>BRONAX Pillow Slippers for Women and Men | House Slides Shower Sandals | Cushioned Thick Sole 40-41 Blush</t>
  </si>
  <si>
    <t>2026年6月12日 - 2026年6月24日</t>
  </si>
  <si>
    <t>B0B4JWBCYR</t>
  </si>
  <si>
    <t>BRONAX Wide Tennis Shoes for Women Wide Toe Box Road Running Lightweight Size 11w Casual Walking Athletics Sport Sneakers Lace up Outdoor Breathable Zapatos Deportivos para Mujer Grey 43</t>
  </si>
  <si>
    <t>2026年6月14日 - 2026年6月23日</t>
  </si>
  <si>
    <t>B0D45GHW66</t>
  </si>
  <si>
    <t>BRONAX Wide Toe Box Road Running Shoes Womens Tennis Gym Lace up Size 10w Stylish Walking Athletics Sneakers Female Pregnancy Zapatos Deportivos para Mujer Green 42</t>
  </si>
  <si>
    <t>B0CN9B3SKG</t>
  </si>
  <si>
    <t>BRONAX Arch Support Slides for Women and Mens | Cushioned Thick Sole Pain Relief Slippers 7.5-8.5 Women/6-7 Men Black</t>
  </si>
  <si>
    <t>B0CW1RVNJ6</t>
  </si>
  <si>
    <t>BRONAX Arch Support Slides for Women and Mens | Cushioned Thick Sole Pain Relief Slippers 4-5.5 Women/3-4 Men Chocolate</t>
  </si>
  <si>
    <t>B09BN5NHTK</t>
  </si>
  <si>
    <t>BRONAX Pillow Slippers for Women and Men | House Slides Shower Sandals | Cushioned Thick Sole 37-38 White</t>
  </si>
  <si>
    <t>B09P41LDJP</t>
  </si>
  <si>
    <t>BRONAX Mens Wide Toe Box Running Tennis Shoes Gym Tennis Athletics Size 13 Sports Mesh Walking Rubber Outsole Sneakers for Male Black 47</t>
  </si>
  <si>
    <t>2026年6月5日 - 2026年6月21日</t>
  </si>
  <si>
    <t>B0CGDB8WC5</t>
  </si>
  <si>
    <t>BRONAX Womens Wide Road Running Shoes Lace up Walking Size 8w Tennis Comfy Stylish Lightweight Female Footwear Supportive Sneakers Zapatos Deportivos para Mujer Grey and Purple 39</t>
  </si>
  <si>
    <t>2026年6月10日 - 2026年6月13日</t>
  </si>
  <si>
    <t>B0DSBZZ1C5</t>
  </si>
  <si>
    <t>BRONAX Shower Slippers Shoes for Women Men Soft Comfy Summer House Home Open Toe Comfortable Slides Size 7 Navy Indoor Bathroom Outdoor Beach Pool EVA Sole Sandals Dark Blue</t>
  </si>
  <si>
    <t>2026年6月17日 - 2026年6月23日</t>
  </si>
  <si>
    <t>B0BHHPSRKN</t>
  </si>
  <si>
    <t>BRONAX Wide Road Running Shoes for Women Tennis Runny Size 11w Gym Training Jogging Athletic Sneakers Maternity Swollen Female Maternity Pregnancy Footwear Dark Blue 43</t>
  </si>
  <si>
    <t>BRONAX Women's Wide Toe Box Road Running Shoes | Wide Athletic Tennis Sneakers with Rubber Outsole</t>
  </si>
  <si>
    <t>2026年6月10日 - 2026年6月23日</t>
  </si>
  <si>
    <t>B0BCY42BSJ</t>
  </si>
  <si>
    <t>BRONAX Wide Tennis Shoes for Women Rubber Sole with Arch Support Lightweight Size 9.5w Gym Comfortable Casual Walking Sneakers Female Pregnancy Swollen Fitness Purple 41</t>
  </si>
  <si>
    <t>B0GKCNCH7N</t>
  </si>
  <si>
    <t>BRONAX Women's Arch Support Flip Flops Thong Sandals Size 8 Summer Chanclas para Mujer Rubber Plantar Fasciitis Relief Flat Slides Orthotic Female Pink</t>
  </si>
  <si>
    <t>B0DMNMSYMB</t>
  </si>
  <si>
    <t>BRONAX Wide Toe Box Tennis Shoes for Boys Girls Size 13w Lightweight Running Youth Sneakers Strap Rubber Sole Racquet Mesh Outdoor Casual Little Kids All Black 31</t>
  </si>
  <si>
    <t>B0GFDBL8PS</t>
  </si>
  <si>
    <t>BRONAX Womens Wide Width Walking Sneakers Width Cushion Shoes Size 7w Widetoe Brethable Outdoor Non-Slip Lightweight Red 37.5</t>
  </si>
  <si>
    <t>2026年6月4日 - 2026年6月20日</t>
  </si>
  <si>
    <t>B0DSC35W8H</t>
  </si>
  <si>
    <t>BRONAX Slippers for Women Men Soft Comfy Pillow Cushioned House Breathable Home Open Toe Shower Slides Size 11 Navy Indoor Bathroom Outdoor Beach Pool EVA Sole Sandals Dark Blue</t>
  </si>
  <si>
    <t>2026年6月5日 - 2026年6月23日</t>
  </si>
  <si>
    <t>B0D2W6MM4S</t>
  </si>
  <si>
    <t>BRONAX Arch Support Slides for Women and Mens | Cushioned Thick Sole Pain Relief Slippers 6-7 Women/4.5-5.5 Men White</t>
  </si>
  <si>
    <t>2026年6月7日 - 2026年6月13日</t>
  </si>
  <si>
    <t>B0D2MRL1ZH</t>
  </si>
  <si>
    <t>BRONAX Mens Wide Toe Box Running Shoes Breathable Mesh Size 9.5w Road Walking Wide Width Comfy Training Jogging Cushioned Athletics Rubber Outsole Sneakers Male Black White 43</t>
  </si>
  <si>
    <t>2026年6月5日 - 2026年6月17日</t>
  </si>
  <si>
    <t>B0B4JW7BRG</t>
  </si>
  <si>
    <t>BRONAX Womens Wide Tennis Running Shoes Walking Jogging Workout Outdoor Size 9w Rubber Sole Breathable Gym Cross Training Sneakers Lightweight Female Footwear Light Blue 40</t>
  </si>
  <si>
    <t>B0B4JVMDZQ</t>
  </si>
  <si>
    <t>BRONAX Wide Toe Road Running Shoes Womens Outdoor Tennis Walking Lace up Size 6.5w Stylish Athletics Sports Gym Sneakers Female Tranining Zapatos Deportivos para Mujer Light Blue 37</t>
  </si>
  <si>
    <t>B092QWSFY7</t>
  </si>
  <si>
    <t>BRONAX Pillow Slippers for Women and Men | House Slides Shower Sandals | Cushioned Thick Sole 39-40 Black</t>
  </si>
  <si>
    <t>2026年6月17日 - 2026年6月20日</t>
  </si>
  <si>
    <t>B0B4JYBGZY</t>
  </si>
  <si>
    <t>BRONAX Wide Toe Road Running Shoes for Women Lace up Breathable Mesh Size 7w with Arch Support Swollen Pregnancy Tennis Athletics Cross Training Sports Female Sneakers Purple 38</t>
  </si>
  <si>
    <t>B0B4JVX74X</t>
  </si>
  <si>
    <t>BRONAX Womens Road Running Shoes Lace up Wide Toe Box Fitness Comfortable Mesh Size 6.5w Stylish Athletics Gym Sports Sneakers Walking Fashion Female Tennis Footwear Purple 37</t>
  </si>
  <si>
    <t>2026年6月11日 - 2026年6月14日</t>
  </si>
  <si>
    <t>B0F4MVHB6M</t>
  </si>
  <si>
    <t>BRONAX Shower Slippers Shoes for Women Men Unisex Summer Open Toe Soft Comfy Foam House Home Slides Size 11 Cushioned Indoor Bathroom Outdoor Beach Pool EVA Sole Sandals Green</t>
  </si>
  <si>
    <t>B0DCV864JC</t>
  </si>
  <si>
    <t>BRONAX Womens Wide Width Tennis Shoes Wide Toe Box Road Running Sneakers Female Size 11w Suede Mesh Walking Outdoor Rubber Outsole Stylish Jogging Lace Up Purple 43</t>
  </si>
  <si>
    <t>B0FPQT4D2B</t>
  </si>
  <si>
    <t>BRONAX Womens Platform Slides House Beach Breathable Lightweight Thick Sole Open Toe Sandals Slip On Washable Wedge Heel Size 8 Outdoor Quick Dry Beige 38</t>
  </si>
  <si>
    <t>B0GFD4ST72</t>
  </si>
  <si>
    <t>BRONAX Womens Wide Toe Box Fashion Shoes Walking Tennis Sneakers Size 8.5w Comfy Mesh Athletic Rubber Outsole All Black 39</t>
  </si>
  <si>
    <t>B092DDLKC2</t>
  </si>
  <si>
    <t>BRONAX Big Boys Shoes Comfortable Lightweight Size 4.5 Zapatos para Niños Sports Athletic Footwear Gym Running Tennis Sneaker for Big Kids Red 38</t>
  </si>
  <si>
    <t>2026年6月9日 - 2026年6月16日</t>
  </si>
  <si>
    <t>B0CGDBZ6TY</t>
  </si>
  <si>
    <t>BRONAX Womens Wide Tennis Shoes with Road Running Mesh Size 11w Lightweight Gym Athletics Sports Training Outdoor Pregnant Rubber Sole Female Sneakers All Black 43</t>
  </si>
  <si>
    <t>B092QV9193</t>
  </si>
  <si>
    <t>BRONAX Pillow Slippers for Women and Men | House Slides Shower Sandals | Cushioned Thick Sole 42-43 Pink</t>
  </si>
  <si>
    <t>B0CW16L24W</t>
  </si>
  <si>
    <t>BRONAX Arch Support Slides for Women and Mens | Cushioned Thick Sole Pain Relief Slippers 12-13 Women/10.5-11 Men Grey</t>
  </si>
  <si>
    <t>2026年6月10日 - 2026年6月16日</t>
  </si>
  <si>
    <t>B0CGD9LS63</t>
  </si>
  <si>
    <t>BRONAX Wide Womens Road Running Shoes Lightweight Lace up Size 9.5w Walking Athletic Sports Jogging Gym Sneakers Female Training Pregnant Maternity Tennis for Ladies All Black 41</t>
  </si>
  <si>
    <t>2026年6月12日 - 2026年6月23日</t>
  </si>
  <si>
    <t>B0GFDFXR84</t>
  </si>
  <si>
    <t>BRONAX Womens Extra Wide Width Tennis Sneakers Width Walking Shoes Size 8w Non-Slip Sports Mesh Training Footwear Dark Blue 38.5</t>
  </si>
  <si>
    <t>B0CW62B4ZY</t>
  </si>
  <si>
    <t>BRONAX Womens Wide Width Road Running Shoes Sports Tennis Runny Size 10w Gym Training Athletic Comfortable Sneakers Female Ladies Pregnancy Swollen All Black 42</t>
  </si>
  <si>
    <t>B0CM95PYK9</t>
  </si>
  <si>
    <t>BRONAX Tennis Shoes for Women Fitness Mesh Breathable Size 5.5w Walking Runny Jogging Fashion Comfy Casual Rubber Sole Female Lightweight Sneakers Ladies Outdoor Footwear Blue 36</t>
  </si>
  <si>
    <t>2026年6月16日 - 2026年6月18日</t>
  </si>
  <si>
    <t>B092S25JHW</t>
  </si>
  <si>
    <t>BRONAX Women's Plantar Fasciitis Arch Flip Flops Sandals Thong Size 13 Summer Support Orthopedic Beach Pool Flat Slides Orthotic Brown</t>
  </si>
  <si>
    <t>B0DCV8L4ML</t>
  </si>
  <si>
    <t>BRONAX Wide Toe Box Tennis Shoes for Women Size 8w Width Fashion Walking Road Running Sneakers Suede Mesh Fitness Non Slip Lightweight Lace Up Female Lady Dark Blue 39</t>
  </si>
  <si>
    <t>B0BBQ3NX61</t>
  </si>
  <si>
    <t>BRONAX Mens Wide Toe Box Running Tennis Shoes Gym Tennis Athletics Size 11 Sports Mesh Walking Rubber Outsole Sneakers for Male Black 45</t>
  </si>
  <si>
    <t>2026年6月4日 - 2026年6月5日</t>
  </si>
  <si>
    <t>B0GKCT538P</t>
  </si>
  <si>
    <t>BRONAX Women's Arch Support Flip Flops Thong Sandals Size 7 Plantar Fasciitis Cushioned Flip-flops Cushioned Flat Slides Orthotic Ladies Female Pink</t>
  </si>
  <si>
    <t>B0CM97RT6W</t>
  </si>
  <si>
    <t>BRONAX Womens Wide Road Running Shoes Lightweght Athletics Comfortable Size 11w Walking Sneakers Female Tranining Jogging Pregnancy Zapatos Deportivos para Mujer Blue 43</t>
  </si>
  <si>
    <t>B09P433CRX</t>
  </si>
  <si>
    <t>BRONAX Mens Wide Toe Box Running Tennis Shoes Gym Tennis Athletics Size 11 Sports Mesh Walking Rubber Outsole Sneakers for Male Blue 45</t>
  </si>
  <si>
    <t>B092QWPJ99</t>
  </si>
  <si>
    <t>BRONAX Pillow Slippers for Women and Men | House Slides Shower Sandals | Cushioned Thick Sole 40-41 Pink</t>
  </si>
  <si>
    <t>2026年6月23日 - 2026年6月23日</t>
  </si>
  <si>
    <t>B0B3XBT7R6</t>
  </si>
  <si>
    <t>BRONAX Mens Wide Toe Box Running Tennis Shoes Gym Tennis Athletics Size 8.5 Sports Mesh Walking Rubber Outsole Sneakers for Male Blue 42</t>
  </si>
  <si>
    <t>B09BN7K998</t>
  </si>
  <si>
    <t>BRONAX Pillow Slippers for Women and Men | House Slides Shower Sandals | Cushioned Thick Sole 35-36 Olive green</t>
  </si>
  <si>
    <t>B0D2NB9D98</t>
  </si>
  <si>
    <t>BRONAX Wide Width Tennis Shoes for Men Lace up Road Running Training Breathable Foot Shape Size 11w Male Gym Wide Toe Box Walking Sneakers Black White 45</t>
  </si>
  <si>
    <t>B08K346X5V</t>
  </si>
  <si>
    <t>BRONAX Red Tennis Shoes for Big Boys Size 4 Zapatos de Niños Comfty Light Fashion No Tie Boys Athletic Casual Walking Running Sneakers 37</t>
  </si>
  <si>
    <t>B0DCV97RBK</t>
  </si>
  <si>
    <t>BRONAX Womens Wide Toe Box Road Running Shoes Size 8w Width Fashion Walking Sneakers Suede Mesh Fitness Supportive Non Slip Gym Lightweight Lace Up Female Lady Grey 39</t>
  </si>
  <si>
    <t>B0D2W3Z74M</t>
  </si>
  <si>
    <t>BRONAX Arch Support Slides for Women and Mens | Cushioned Thick Sole Pain Relief Slippers 9-10 Women/7.5-8.5 Men White</t>
  </si>
  <si>
    <t>B0GWCP8N9J</t>
  </si>
  <si>
    <t>BRONAX Women's Arch Support Flip Flops Thong Summer Sandals Size 7 Plantar Fasciitis Pool Beach Flat Slides Slippers Orthotic Female Black</t>
  </si>
  <si>
    <t>B0B4JXMLN8</t>
  </si>
  <si>
    <t>BRONAX Wide Toe Tennis Running Shoes for Women Lace up Breathable Mesh Size 8w Athletic with Arch Support Sports Rubber Pregnant Swollen Sole Female Sneakers Grey 39</t>
  </si>
  <si>
    <t>B0BHHLV3KN</t>
  </si>
  <si>
    <t>BRONAX Womens Wide Toe Tennis Shoes Mesh Lace up Rubber Sole Size 9.5w Running Casual Walking Gym Athletics Ladies Training Sneakers Fitness Female Footwear Zapatos Deportivos De Mujer Light White 41</t>
  </si>
  <si>
    <t>B0D2MR5TQX</t>
  </si>
  <si>
    <t>BRONAX Mens Wide Toe Box Running Shoes Comfy Walking Athletics Jogging Sports Footwear Male Size 13w Training Gym Lace up Male Sneakers Black White 47</t>
  </si>
  <si>
    <t>2026年6月11日 - 2026年6月22日</t>
  </si>
  <si>
    <t>B0CGDC6G59</t>
  </si>
  <si>
    <t>BRONAX Wide Road Running Shoes for Women Breathable Size 5.5w Stylish Gym Female Tennis Walking Jogging Athletics Sneakers Pregnancy Swollen Ladies Grey and Purple 36</t>
  </si>
  <si>
    <t>B0C1B5MQQM</t>
  </si>
  <si>
    <t>BRONAX Womens Wide Tennis Shoes Lace up Mesh Running Breathable Size 7w Rubber Sole Outdoor Athletics Sports Fitness Female Footwear Casual Jogging Walking Sneakers Light White 38</t>
  </si>
  <si>
    <t>2026年6月10日 - 2026年6月19日</t>
  </si>
  <si>
    <t>B0BCY12ZWF</t>
  </si>
  <si>
    <t>BRONAX Wide Womens Road Running Shoes Lightweight Comfortable Lace up Size 10w Wine Red Walking Athletics Sports Jogging Sneakers Female Tennis Pregnant Footwear Red 41</t>
  </si>
  <si>
    <t>2026年6月21日 - 2026年6月23日</t>
  </si>
  <si>
    <t>B0D2MPKWTW</t>
  </si>
  <si>
    <t>BRONAX Mens Wide Toe Box Running Tennis Shoes Gym Cushioned Walking Lightweight Size 8.5w Athletics Sports Training Rubber Outsole Natural Foot Shape Sneakers for Male All Black 42</t>
  </si>
  <si>
    <t>B0F93NQJML</t>
  </si>
  <si>
    <t>BRONAX Wide Toe Box Running Tennis Shoes for Men Mesh Breathable Gym Sports Athletics Size 10 Outdoor Rubber Outsole Walking Sneakers for Male Black White 44</t>
  </si>
  <si>
    <t>2026年6月12日 - 2026年6月13日</t>
  </si>
  <si>
    <t>B0CGDBPHZV</t>
  </si>
  <si>
    <t>BRONAX Wide Road Running Shoes for Women Breathable Fitness Cross Training Size 8w Stylish Gym Female Tennis Sneakers Pregnancy Swollen Jogging Sports Ladies Hot Pink 39</t>
  </si>
  <si>
    <t>B0B6FHRJW4</t>
  </si>
  <si>
    <t>BRONAX Slides for Men Women Shower Pillow Slippers Male Cushion Bathroom Beach House Open Toe Foam Bath Sandals Size Double Buckle Thick Sole Black</t>
  </si>
  <si>
    <t>B0CPPGKD65</t>
  </si>
  <si>
    <t>BRONAX X WHITIN Toddlers Wide Width Slip On Shoes Canvas Casual Barefoot Minimalist Zero Drop Sneakers for Boys Size 10w No Lace Splay Lightweight Blue Black 28</t>
  </si>
  <si>
    <t>B0CPPS6RJ2</t>
  </si>
  <si>
    <t>6095 Light Up</t>
  </si>
  <si>
    <t>B0DCV8JQH3</t>
  </si>
  <si>
    <t>BRONAX Wide Toe Box Tennis Shoes for Women Size 6.5w Outdoor Athletics Sneakers Walking Suede Mesh Gym Sports Female Lady Zapatos Deportivos para Mujer Dark Blue 37</t>
  </si>
  <si>
    <t>B0DPW7QQV2</t>
  </si>
  <si>
    <t>BRONAX Womens Wide Toe Box Walking Shoes Road Running Sneakers Size 9w Lightweight Width Rubber Sole Suede Tennis Athletics Sports Outdoor Female Light Blue 40</t>
  </si>
  <si>
    <t>B0CN99WFYQ</t>
  </si>
  <si>
    <t>BRONAX Arch Support Slides for Women and Mens | Cushioned Thick Sole Pain Relief Slippers 10.5-11.5 Women/9-10 Men Blush</t>
  </si>
  <si>
    <t>B0BLRJPRQ1</t>
  </si>
  <si>
    <t>BRONAX Pillow Slippers for Women and Men | House Slides Shower Sandals | Cushioned Thick Sole 48-49 Grey</t>
  </si>
  <si>
    <t>B0DCN18J6Z</t>
  </si>
  <si>
    <t>BRONAX Wide Toe Box Tennis Shoes for Girls Size 13w Lightweight Breathable Running Youth Sneakers Little Kids Laceless Rubber Sole Racquet Mesh Outdoor Casual Pink 31</t>
  </si>
  <si>
    <t>B0GFD2C6MZ</t>
  </si>
  <si>
    <t>BRONAX Womens Wide Width Walking Sneakers Width Cushion Shoes Size 8.5w Widetoe Brethable Athletic Sport Thick Sole Female Red 39</t>
  </si>
  <si>
    <t>B0GFDFSV9T</t>
  </si>
  <si>
    <t>BRONAX Womens Wide Toe Box Tennis Sneakers Width Walking Shoes Size 7.5w Nursing Zapatos de Enfermera Thick Sole Female Beige 38</t>
  </si>
  <si>
    <t>B0CM94C8BS</t>
  </si>
  <si>
    <t>BRONAX Wide Tennis Lightweight Shoes for Women Wide Toe Box Road Running Size 9w with Arch Support Lightweight Female Walking Ladies Rubber Sole Stylish Beige 40</t>
  </si>
  <si>
    <t>B0FRDQ7GLL</t>
  </si>
  <si>
    <t>BRONAX Womens Wide Tennis Shoes Breathable Workout Walking Athletic Everyday Sneakers Comfy Female Training Size 7 Black 38</t>
  </si>
  <si>
    <t>B0BPX6DPG1</t>
  </si>
  <si>
    <t>BRONAX Pillow Slippers for Women and Men | House Slides Shower Sandals | Cushioned Thick Sole 35-36 Khaki</t>
  </si>
  <si>
    <t>B09F38B7D1</t>
  </si>
  <si>
    <t>BRONAX Pillow Slippers for Women and Men | House Slides Shower Sandals | Cushioned Thick Sole 46-47 Grey</t>
  </si>
  <si>
    <t>B0FRFHFNJD</t>
  </si>
  <si>
    <t>BRONAX Road Running Shoes for Women Athletic Wide Tennis Rubber Outsole Walking Jogging Female Sneakers Size 6 Purple 36</t>
  </si>
  <si>
    <t>B09TPHX151</t>
  </si>
  <si>
    <t>BRONAX Pillow Slippers for Women and Men | House Slides Shower Sandals | Cushioned Thick Sole 35-36 Chocolate</t>
  </si>
  <si>
    <t>B09N142X2N</t>
  </si>
  <si>
    <t>BRONAX Pillow Slippers for Women and Men | House Slides Shower Sandals | Cushioned Thick Sole 46-47 Blue</t>
  </si>
  <si>
    <t>B0CM95WDQM</t>
  </si>
  <si>
    <t>BRONAX Womens Wide Running Shoes Breathable Lightweight Mesh Size 10w Female Gym Comfortable Lace up Pregnancy Swollen Wide Toe Box Sneakers for Ladies Beige 42</t>
  </si>
  <si>
    <t>2026年6月11日 - 2026年6月18日</t>
  </si>
  <si>
    <t>B0DW3L2Y34</t>
  </si>
  <si>
    <t>BRONAX Womens Wide Toe Box Tennis Shoes Wide Width Walking Sneakers Size 8w Comfy Mesh Sneakers Supportive Round Toe Suede Non Slip Female Footwear Black 39</t>
  </si>
  <si>
    <t>B0BPX3SS7L</t>
  </si>
  <si>
    <t>BRONAX Pillow Slippers for Women and Men | House Slides Shower Sandals | Cushioned Thick Sole 39-40 Light Purple</t>
  </si>
  <si>
    <t>B09P426G8Z</t>
  </si>
  <si>
    <t>BRONAX Mens Wide Toe Box Running Tennis Shoes Gym Tennis Athletics Size 8 Sports Mesh Walking Rubber Outsole Sneakers for Male Blue 41</t>
  </si>
  <si>
    <t>B0CPPBTCXJ</t>
  </si>
  <si>
    <t>BRONAX X WHITIN Slip On Wide Toe Box Shoes Canvas Zero Drop Minimalist Barefoot Sneakers Boys Little Kids Size 13w No Lace Splay Walking Low Top Breathable Blue Black 31</t>
  </si>
  <si>
    <t>6050 Fashion Sandals</t>
  </si>
  <si>
    <t>2026年6月10日 - 2026年6月20日</t>
  </si>
  <si>
    <t>B0B4JWDMDW</t>
  </si>
  <si>
    <t>BRONAX Womens Wide Running Shoes Lightweight Comfy Tennis Size 5.5w Outdoor Rubber Sole with Arch Support Walking Female Cross Pregnancy Training Fitness Sneakers Red 36</t>
  </si>
  <si>
    <t>B0B4K4MZMH</t>
  </si>
  <si>
    <t>BRONAX Womens Wide Toe Tennis Shoes Lace up Rubber Sole Size 9.5w Running Athletics Ladies Sneakers Female Zapatos Deportivos De Mujer Pregnant Maternity Swollen Light Blue 41</t>
  </si>
  <si>
    <t>B0D2MNC27Q</t>
  </si>
  <si>
    <t>BRONAX Mens Wide Toe Box Tennis Shoes Training Road Running Fitness Cushion Jogging Walking Size 10w Sports Gym Footwear for Male Outdoor Fitness Mesh Sneakers White 44</t>
  </si>
  <si>
    <t>B09ZHH3CZ7</t>
  </si>
  <si>
    <t>BRONAX Slides for Women Men Bathroom Shower Pillow Pool Adjustable Double Buckle Slippers Beach Bath Cushion Foam Thick Sole EVA Sandals Male Size Cozy Beige</t>
  </si>
  <si>
    <t>B09ZHDV411</t>
  </si>
  <si>
    <t>BRONAX Shower Slides for Women Men Pillow Slippers Pool Adjustable Double Buckle Bathroom Beach Bath Cushion Thick Sole EVA Sandals Male Size Cozy Grey</t>
  </si>
  <si>
    <t>B09BN7T348</t>
  </si>
  <si>
    <t>BRONAX Pillow Slippers for Women and Men | House Slides Shower Sandals | Cushioned Thick Sole 40-41 White</t>
  </si>
  <si>
    <t>2026年6月5日 - 2026年6月10日</t>
  </si>
  <si>
    <t>B0CGDDBNNB</t>
  </si>
  <si>
    <t>BRONAX Womens Wide Toe Tennis Shoes Walking Casual Gym Athletics Size 9.5w Running Mesh Lace up Rubber Sole Ladies Sneakers Female Pregnancy Footwear Grey and Purple 41</t>
  </si>
  <si>
    <t>B0D2MNSYY8</t>
  </si>
  <si>
    <t>BRONAX Mens Wide Toe Box Tennis Shoes Lace up Walking Road Running Rubber Outsole Size 9.5w Breathable Mesh Workout Athletics Sneakers Comfy Male Training Dark Bule 43</t>
  </si>
  <si>
    <t>B08K33W265</t>
  </si>
  <si>
    <t>BRONAX Big Boys Athletic Shoes Slip On Size 3 Tenis para Niños Comfortable Lightweight No Lace Gym Running Tennis Sneaker for Big Kids Black Green 36</t>
  </si>
  <si>
    <t>B0CW1J7KKT</t>
  </si>
  <si>
    <t>BRONAX Arch Support Slides for Women and Mens | Cushioned Thick Sole Pain Relief Slippers 9-10 Women/7.5-8.5 Men Grey</t>
  </si>
  <si>
    <t>B092QWXTW8</t>
  </si>
  <si>
    <t>BRONAX Pillow Slippers for Women and Men | House Slides Shower Sandals | Cushioned Thick Sole 35-36 Black</t>
  </si>
  <si>
    <t>2026年6月13日 - 2026年6月21日</t>
  </si>
  <si>
    <t>B0D2W5626B</t>
  </si>
  <si>
    <t>BRONAX Arch Support Slides for Women and Mens | Cushioned Thick Sole Pain Relief Slippers 4-5.5 Women/3-4 Men White</t>
  </si>
  <si>
    <t>B0DSC1PF89</t>
  </si>
  <si>
    <t>BRONAX Men's Shower Shoes Slippers for Women Soft Comfy Summer Adults House Home Open Toe Quick Dry Slides Size 10 Indoor Bathroom Outdoor Beach Pool EVA Sole Sandals Dark Blue</t>
  </si>
  <si>
    <t>B092QX8341</t>
  </si>
  <si>
    <t>BRONAX Pillow Slippers for Women and Men | House Slides Shower Sandals | Cushioned Thick Sole 44-45 Black</t>
  </si>
  <si>
    <t>B0CM94HT98</t>
  </si>
  <si>
    <t>BRONAX Women Wide Tennis Shoes Road Running Sports Lightweight Mesh Size 9.5w with Cross Training Jogging Athletics Sneakers Female Pregnancy Stability Footwear Blue 41</t>
  </si>
  <si>
    <t>B09TPGKM44</t>
  </si>
  <si>
    <t>BRONAX Pillow Slippers for Women and Men | House Slides Shower Sandals | Cushioned Thick Sole 42-43 Chocolate</t>
  </si>
  <si>
    <t>B09ZTWYXGV</t>
  </si>
  <si>
    <t>BRONAX Mens Wide Toe Box Running Tennis Shoes Gym Tennis Athletics Size 8.5 Sports Mesh Walking Rubber Outsole Sneakers for Male Black Red 42</t>
  </si>
  <si>
    <t>2026年6月19日 - 2026年6月24日</t>
  </si>
  <si>
    <t>B09ZTVVC4B</t>
  </si>
  <si>
    <t>BRONAX Mens Wide Toe Box Running Tennis Shoes Gym Tennis Athletics Size 12 Sports Mesh Walking Rubber Outsole Sneakers for Male Black Red 46</t>
  </si>
  <si>
    <t>B0BPX267SD</t>
  </si>
  <si>
    <t>BRONAX Pillow Slippers for Women and Men | House Slides Shower Sandals | Cushioned Thick Sole 37-38 Khaki</t>
  </si>
  <si>
    <t>B0F93NJJMV</t>
  </si>
  <si>
    <t>BRONAX Mens Wide Toe Box Tennis Shoes Athletics Sports Workout Training Size 11 Comfy Mesh Walking Running Jogging Rubber Outsole Sneakers for Male Black White 45</t>
  </si>
  <si>
    <t>B0BHHM8PCJ</t>
  </si>
  <si>
    <t>BRONAX Womens Wide Road Running Shoes Lace up Walking Size 8w Tennis Fashion Stylish Lightweight Female Footwear Supportive Sneakers Maternity Pregnant Swollen Light White 39</t>
  </si>
  <si>
    <t>B0DCV95KCY</t>
  </si>
  <si>
    <t>BRONAX Wide Toe Box Tennis Shoes for Women Size 10w Athletic Gym Outdoor Sports Width Road Running Sneakers Female Lady Suede Mesh Lightweight Casual Dark Blue 42</t>
  </si>
  <si>
    <t>2026年6月7日 - 2026年6月24日</t>
  </si>
  <si>
    <t>B0BLRX1T7H</t>
  </si>
  <si>
    <t>BRONAX Pillow Slippers for Women and Men | House Slides Shower Sandals | Cushioned Thick Sole 48-49 Chocolate</t>
  </si>
  <si>
    <t>2026年6月3日 - 2026年6月21日</t>
  </si>
  <si>
    <t>B09P43JF51</t>
  </si>
  <si>
    <t>BRONAX Mens Wide Toe Box Running Tennis Shoes Gym Tennis Athletics Size 12 Sports Mesh Walking Rubber Outsole Sneakers for Male Black 46</t>
  </si>
  <si>
    <t>1500 Men's Private Label Shoes</t>
  </si>
  <si>
    <t>1505 Men's Non Tech Athletic</t>
  </si>
  <si>
    <t>B08K347ST5</t>
  </si>
  <si>
    <t>BRONAX Blue Big Boys Shoes Youth Laceless Sneakers Size 4 Comfortable Lightweight Athletic Running Tennis Big Kids 37</t>
  </si>
  <si>
    <t>B0B4JWWJHQ</t>
  </si>
  <si>
    <t>BRONAX Womens Wide Running Shoes Comfy Athletic Lightweight Sports Size 9w Gym Tennis Sneakers Outdoor Zapatos Deportivos para Mujer Pregnant Footwear for Female Grey Pink 40</t>
  </si>
  <si>
    <t>B0GKCQ5114</t>
  </si>
  <si>
    <t>BRONAX Women's Arch Support Orthopedic Flip Flops Thong Sandals Summer Plantar Fasciitis Beach Pool Flat Slides Orthotic Female Black</t>
  </si>
  <si>
    <t>B0DPW8CWGM</t>
  </si>
  <si>
    <t>BRONAX Womens Wide Toe Box Walking Shoes Road Running Sneakers Size 8w Female Gym Suede Non Slip Athletics Cushioned Comfy Outdoor Fitness Light Blue 39</t>
  </si>
  <si>
    <t>B0DPKTZ3WL</t>
  </si>
  <si>
    <t>BRONAX Arch Support Slides for Women and Mens | Cushioned Thick Sole Pain Relief Slippers 13.5-14.5 Women/11.5-12.5 Men Chocolate</t>
  </si>
  <si>
    <t>BRONAX House Slippers for Women and Mens | Quick Drying Shower Shoes | Cushioned Sole</t>
  </si>
  <si>
    <t>B0GKCK5J8M</t>
  </si>
  <si>
    <t>BRONAX Women's Arch Support Flip Flops Thong Orthopedic Sandals Size 7 Summer Plantar Fasciitis Beach Pool Flat Slides Lightweight Navy Blue</t>
  </si>
  <si>
    <t>2026年6月8日 - 2026年6月19日</t>
  </si>
  <si>
    <t>B08K34CVYL</t>
  </si>
  <si>
    <t>BRONAX Little Boys Slip On Sneakers Size 13 School Shoes Athletic No Lace Gym Running Tennis Sneaker for Little Kids Red 32</t>
  </si>
  <si>
    <t>2026年6月6日 - 2026年6月15日</t>
  </si>
  <si>
    <t>B0DCV8Y8KD</t>
  </si>
  <si>
    <t>BRONAX Womens Wide Toe Box Tennis Shoes Wide Width Walking Sneakers Size 7w Stylish Athletics Sports Gym Sneakers Female Tranining Zapatos Deportivos para Mujer Black 38</t>
  </si>
  <si>
    <t>B0BHHWYY7F</t>
  </si>
  <si>
    <t>BRONAX Wide Road Running Shoes for Women Fitness Mesh Breathable Size 10w Walking Runny Jogging Lightweight Outdoor Female Sneakers Fashion Comfy Rubber Sole Footwear Light White 42</t>
  </si>
  <si>
    <t>B0GKCG4MH1</t>
  </si>
  <si>
    <t>BRONAX Women's Arch Support Flip Flops Thong Sandals Size 10 Summer Chanclas para Mujer Plantar Fasciitis Beach Pool Slippers Flat Slides Orthotic Female Beige</t>
  </si>
  <si>
    <t>2026年6月7日 - 2026年6月15日</t>
  </si>
  <si>
    <t>B0FNR9PXPB</t>
  </si>
  <si>
    <t>BRONAX Pillow Slippers+Arch Support Pillow Slippers Grey Size 9-10 Women/7.5-8.5 Men</t>
  </si>
  <si>
    <t>B0D453V4PM</t>
  </si>
  <si>
    <t>BRONAX Womens Wide Road Running Shoes Lace up Tennis Walking Gym Exercise Size 11w Athletics Lightweght Comfortable Cushion Cross Training Female Rubber Sole Green 43</t>
  </si>
  <si>
    <t>B09P43XQBN</t>
  </si>
  <si>
    <t>BRONAX Mens Wide Toe Box Running Tennis Shoes Gym Tennis Athletics Size 8.5 Sports Mesh Walking Rubber Outsole Sneakers for Male Grey 42</t>
  </si>
  <si>
    <t>B0DCV8STGL</t>
  </si>
  <si>
    <t>BRONAX Wide Toe Box Walking Shoes for Women Size 9w Lightweight Cross Training Width Tennis Road Running Sneakers Female Ladies Supportive Suede Mesh Casul Beige 40</t>
  </si>
  <si>
    <t>B0CNRGYC4V</t>
  </si>
  <si>
    <t>BRONAX Womens Wide Running Shoes Lightweight Comfy Tennis Size 10w Walking Athletics Sports Jogging Gym Sneakers Female Pregnancy Pregnancy Tennis Footwear White 42</t>
  </si>
  <si>
    <t>7034 Womens Raquet Sports</t>
  </si>
  <si>
    <t>2026年6月16日 - 2026年6月16日</t>
  </si>
  <si>
    <t>B0CW18PC1V</t>
  </si>
  <si>
    <t>BRONAX Arch Support Slides for Women and Mens | Cushioned Thick Sole Pain Relief Slippers 10.5-11.5 Women/9-10 Men Purple</t>
  </si>
  <si>
    <t>B0D13NF74M</t>
  </si>
  <si>
    <t>BRONAX Pillow Slippers+Arch Support Pillow Slippers Black Size 9-10 Women/ 7.5-8.5 Men</t>
  </si>
  <si>
    <t>B0CN99K1X8</t>
  </si>
  <si>
    <t>BRONAX Arch Support Slides for Women Summer Indoor Home Bathroom Shower Plantar Fasciitis Slippers Soft Spa Recovery Sandals for Female Cushioned Thick Sole 42-43 Black</t>
  </si>
  <si>
    <t>B0B4JWPVSN</t>
  </si>
  <si>
    <t>BRONAX Wide Running Shoes for Women Comfortable Tennis Size 5.5w Outdoor Zapatos Deportivos para Mujer Athletics Rubber Maternity Pregnancy Outsole Gym Sports Female Sneakers Black 36</t>
  </si>
  <si>
    <t>B09BN7F6M6</t>
  </si>
  <si>
    <t>BRONAX Pillow Slippers for Women and Men | House Slides Shower Sandals | Cushioned Thick Sole 42-43 Blue</t>
  </si>
  <si>
    <t>B09TPFC9Q1</t>
  </si>
  <si>
    <t>BRONAX Pillow Slippers for Women and Men | House Slides Shower Sandals | Cushioned Thick Sole 37-38 Chocolate</t>
  </si>
  <si>
    <t>B0CW5SMJQM</t>
  </si>
  <si>
    <t>BRONAX Wide Toe Box Tennis Breathable Shoes for Women Lace up Mesh Athletic Size 9w Comfortable Female Road Running Ladies Sneakers Swollen Pregnant All Black 40</t>
  </si>
  <si>
    <t>B09BN62F7P</t>
  </si>
  <si>
    <t>BRONAX Pillow Slippers for Women and Men | House Slides Shower Sandals | Cushioned Thick Sole 40-41 Rose Red</t>
  </si>
  <si>
    <t>B0B3XGS4QY</t>
  </si>
  <si>
    <t>BRONAX Mens Wide Toe Box Running Tennis Shoes Gym Tennis Athletics Size 8 Sports Mesh Walking Rubber Outsole Sneakers for Male Grey 41</t>
  </si>
  <si>
    <t>B0D1QSR2DP</t>
  </si>
  <si>
    <t>BRONAX X WHITIN Toddler Wide Toe Box Shoes Slip On Minimalist Barefoot Sneakers Boys Size 6w Zero Drop Tennis Comfortable Lightweight Red Black 23</t>
  </si>
  <si>
    <t>6030 Running</t>
  </si>
  <si>
    <t>B09ZHQHYZ2</t>
  </si>
  <si>
    <t>BRONAX Cushion Slides for Women Pillow Slippers Ladies Female Bathroom Beach Pool Foam Soft Cushionable Home Shower Sandals Antislip Thick Sole Cozi Pink</t>
  </si>
  <si>
    <t>B0CGDBBWJ5</t>
  </si>
  <si>
    <t>BRONAX Wide Tennis Shoes for Women Lace up Round Toe Comfortable Stylish Size 8w Athletic Gym Lightweight Sneakers Female Pregnancy Maternity Training All Black 39</t>
  </si>
  <si>
    <t>B08K34H1DZ</t>
  </si>
  <si>
    <t>BRONAX Running Shoes for Big Boys Youth Sneakers Size 4 No Tie Slip Sneakers for Athletic Sports Tennis Gym Children Black 37</t>
  </si>
  <si>
    <t>B09ZTX2DSZ</t>
  </si>
  <si>
    <t>BRONAX Mens Wide Toe Box Running Tennis Shoes Gym Tennis Athletics Size 11 Sports Mesh Walking Rubber Outsole Sneakers for Male Black Red 45</t>
  </si>
  <si>
    <t>B0B3XC5K3M</t>
  </si>
  <si>
    <t>BRONAX Mens Wide Toe Box Running Tennis Shoes Gym Tennis Athletics Size 10 Sports Mesh Walking Rubber Outsole Sneakers for Male Black 44</t>
  </si>
  <si>
    <t>B0DSBYW5SD</t>
  </si>
  <si>
    <t>BRONAX Womens Shower Slippers for Men Soft Cloud Comfy Summer Waterproof House Home Open Toe Slides Size 8 Sandalias de Mujer Indoor Bathroom Outdoor Beach Pool EVA Sole Sandals Grey</t>
  </si>
  <si>
    <t>2026年6月3日 - 2026年6月17日</t>
  </si>
  <si>
    <t>B0CNRGKK75</t>
  </si>
  <si>
    <t>BRONAX Wide Toe Tennis Shoes for Women Comfy Mesh Size 9w Lightweight Rubber Outsole Gym Athletics Sports Training Walking Pregnancy Lightweight Female Sneakers White 40</t>
  </si>
  <si>
    <t>B0F93PWC4P</t>
  </si>
  <si>
    <t>BRONAX Wide Toe Box Tennis Shoes for Men Outdoor Comfy Gym Sports Training Athletics Size 10 Mesh Walking Jogging Sneakers Male Footwear Light Grey 44</t>
  </si>
  <si>
    <t>B0DSC1M32W</t>
  </si>
  <si>
    <t>BRONAX Womens Shower Slides Shoes for Men Soft Comfy Cushioned Lightweight Foam House Home Slippers Quick Dry Size 9 Indoor Bathroom Spa Outdoor Beach Pool EVA Sole Sandals Black</t>
  </si>
  <si>
    <t>B0DPKX82FY</t>
  </si>
  <si>
    <t>BRONAX Arch Support Slides for Women and Mens | Cushioned Thick Sole Pain Relief Slippers 12-13 Women/10.5-11 Men Chocolate</t>
  </si>
  <si>
    <t>B0DCV8WJLD</t>
  </si>
  <si>
    <t>BRONAX Womens Wide Toe Box Tennis Shoes Wide Width Walking Sneakers Size 11w Female Gym Suede Mesh Non Slip Athletics Cushioned Lace Up Comfy Outdoor Fitness Black 43</t>
  </si>
  <si>
    <t>B0B4JXDN3C</t>
  </si>
  <si>
    <t>BRONAX Womens Wide Tennis Shoes Mesh Lace up Running Breathable Size 7w Rubber Sole Outdoor Athletics Sports Female Footwear Casual Jogging Sneakers Pregnant Light Blue 38</t>
  </si>
  <si>
    <t>B0BCY44DT7</t>
  </si>
  <si>
    <t>BRONAX Wide Toe Box Tennis Shoes for Women Lace up Breathable Mesh Size 9w with Arch Support Female Road Running Athletic Sports Fitness Stylish Fashion Ladies Sneakers Black 40</t>
  </si>
  <si>
    <t>B0BLQFTG32</t>
  </si>
  <si>
    <t>BRONAX Pillow Slippers for Women and Men | House Slides Shower Sandals | Cushioned Thick Sole 48-49 Blue</t>
  </si>
  <si>
    <t>B0D44V51PY</t>
  </si>
  <si>
    <t>BRONAX Womens Wide Running Shoes Lightweight Comfy Tennis Size 6.5w Breathable Rubber Sole Casual Walking Outdoor Sports Female Sneakers Gym Athletics Green 37</t>
  </si>
  <si>
    <t>B0GFD2LDSS</t>
  </si>
  <si>
    <t>BRONAX Womens Wide Width Tennis Sneakers Width Walking Shoes Size 9w for Wide Feet Nurse Casual Running Sport Comfy Female Dark Blue 40</t>
  </si>
  <si>
    <t>B09TPGQDX1</t>
  </si>
  <si>
    <t>BRONAX Pillow Slippers for Women and Men | House Slides Shower Sandals | Cushioned Thick Sole 44-45 Red</t>
  </si>
  <si>
    <t>B0957K4TRB</t>
  </si>
  <si>
    <t>BRONAX Pillow Slippers for Women and Men | House Slides Shower Sandals | Cushioned Thick Sole 42-43 Brown</t>
  </si>
  <si>
    <t>7711 Men's Other</t>
  </si>
  <si>
    <t>2026年6月7日 - 2026年6月14日</t>
  </si>
  <si>
    <t>B0DSBXRNY8</t>
  </si>
  <si>
    <t>BRONAX Shower Slippers Shoes for Women Soft Comfy Summer House Home Non-slip Slides Size 10 Comfortable Indoor Bathroom Outdoor Beach Pool EVA Sole Sandals for Ladies Female Pink</t>
  </si>
  <si>
    <t>B0CM948V6N</t>
  </si>
  <si>
    <t>BRONAX Womens Wide Toe Road Running Shoes Mesh Breathable Gym Sports Tennis Runny Size 9w Lightweight Rubber Sole Gym Athletics Walking Stylish Outdoor Female Sneakers Blue 40</t>
  </si>
  <si>
    <t>B0CN99M4FP</t>
  </si>
  <si>
    <t>BRONAX Arch Support Slides for Women and Mens | Cushioned Thick Sole Pain Relief Slippers 6-7 Women/4.5-5.5 Men Blush</t>
  </si>
  <si>
    <t>B0D45C8G6K</t>
  </si>
  <si>
    <t>BRONAX Tennis Shoes for Women Outdoor Rubber Sole with Arch Support Size 9w Lightweight Gym Athletics Sports Training Pregnancy Walking Stylish Sneakers Green 40</t>
  </si>
  <si>
    <t>7922 Women's Boots</t>
  </si>
  <si>
    <t>B0CW18NTBP</t>
  </si>
  <si>
    <t>BRONAX Arch Support Slides for Women and Mens | Cushioned Thick Sole Pain Relief Slippers 9-10 Women/7.5-8.5 Men Purple</t>
  </si>
  <si>
    <t>B092QVRZDX</t>
  </si>
  <si>
    <t>BRONAX Pillow Slippers for Women and Men | House Slides Shower Sandals | Cushioned Thick Sole 37-38 Black</t>
  </si>
  <si>
    <t>B09BN5L6XD</t>
  </si>
  <si>
    <t>BRONAX Pillow Slippers for Women and Men | House Slides Shower Sandals | Cushioned Thick Sole 39-40 Rose Red</t>
  </si>
  <si>
    <t>B092DCFG79</t>
  </si>
  <si>
    <t>BRONAX Kids Tennis Shoes Slides On Laceless Sneakers Size 6 Comfy Fashion No Tie Boys Athletic Fashion Casual Walking Running Gym Blue 40</t>
  </si>
  <si>
    <t>B0DCN2N7CK</t>
  </si>
  <si>
    <t>BRONAX Boys Wide Width Running Shoes Size 1w Wide Toe Box Tennis Sneakers Hook and Loop Little Kids Cushioned Casual Racquet Non Slip Walking Lightweight Dark Blue 32</t>
  </si>
  <si>
    <t>B0D44W263D</t>
  </si>
  <si>
    <t>BRONAX Womens Wide Toe Road Running Shoes Mesh Breathable Gym Sports Tennis Runny Size 9.5w Stylish Female Tennis Sneakers Footwear Zapatos Deportivos para Mujer Green 41</t>
  </si>
  <si>
    <t>B0B4JXNK2F</t>
  </si>
  <si>
    <t>BRONAX Wide Tennis Shoes for Women Lace up Comfortable Stylish Size 8w Athletics Gym Outdoor Sports Sneakers Female Walking Training Lightweight Pregnant Casual Footwear Red 39</t>
  </si>
  <si>
    <t>B0BHHNTNW2</t>
  </si>
  <si>
    <t>BRONAX Womens Wide Tennis Running Shoes Jogging Walking Workout Fitness Outdoor Size 9w Rubber Sole Breathable Gym Cross Training Sneakers Lightweight Comfy Female Footwear Light White 40</t>
  </si>
  <si>
    <t>B0GKCYHDRS</t>
  </si>
  <si>
    <t>BRONAX Women's Arch Support Flip Flops Thong Sandals Size 8 Rubber Chanclas para Mujer Plantar Fasciitis Relief Beach Pool Flat Slides Orthotic Female Black</t>
  </si>
  <si>
    <t>B0D146SZ4F</t>
  </si>
  <si>
    <t>BRONAX Pillow Slippers+Arch Support Pillow Slippers Black Size 7.5-8.5 Women/ 6-7 Men</t>
  </si>
  <si>
    <t>B09P4558SV</t>
  </si>
  <si>
    <t>BRONAX Mens Wide Toe Box Running Tennis Shoes Gym Tennis Athletics Size 13 Sports Mesh Walking Rubber Outsole Sneakers for Male Blue 47</t>
  </si>
  <si>
    <t>2026年6月4日 - 2026年6月15日</t>
  </si>
  <si>
    <t>B0GKCYGJ5Y</t>
  </si>
  <si>
    <t>BRONAX Women's Arch Support Orthopedic Flip Flops Thong Sandals Size 11 Summer Plantar Fasciitis Beach Pool Flat Slides Orthotic Female Beige</t>
  </si>
  <si>
    <t>2026年6月8日 - 2026年6月20日</t>
  </si>
  <si>
    <t>B09ZHG4H1H</t>
  </si>
  <si>
    <t>BRONAX Cushion Slides for Women Pillow Slippers Ladies Female Bathroom Beach Pool Open Toe Quick Drying House Foam Shower Sandals Indoor Cozi Pink</t>
  </si>
  <si>
    <t>B0D2MPKY8H</t>
  </si>
  <si>
    <t>BRONAX Mens Wide Toe Box Road Running Shoes Tennis Sports Foot Shape Gym Fitness Size 11w Comfy Outdoor Walking Training Sneakers Rubber Outsole Male Footwear All Black 45</t>
  </si>
  <si>
    <t>B0GXK1M1GZ</t>
  </si>
  <si>
    <t>BRONAX Women's Arch Support Flip Flops Thong Sandals Size 8 Lightweight Beach Pool Flat Slides Chanclas para Mujer Plantar Fasciitis Blue</t>
  </si>
  <si>
    <t>B0B17KKW67</t>
  </si>
  <si>
    <t>BRONAX Pillow Slippers for Women and Men | House Slides Shower Sandals | Cushioned Thick Sole 44-45 Olive Green</t>
  </si>
  <si>
    <t>B0BPX38YZF</t>
  </si>
  <si>
    <t>BRONAX Pillow Slippers for Women and Men | House Slides Shower Sandals | Cushioned Thick Sole 40-41 Light Purple</t>
  </si>
  <si>
    <t>B0DCNC2S66</t>
  </si>
  <si>
    <t>BRONAX Wide Width Tennis Shoes for Boys Size 5w Wide Toe Box Running Sneakers for Big Kids Cushioned Comfy Racquet Lightweight Hook and Loop Mesh Black Red 37</t>
  </si>
  <si>
    <t>2026年6月6日 - 2026年6月20日</t>
  </si>
  <si>
    <t>B0GKCPYZRC</t>
  </si>
  <si>
    <t>BRONAX Women's Arch Support Flip Flops Thong Orthopedic Sandals Size 11 Summer Plantar Fasciitis Beach Pool Flat Slides Lightweight Navy Blue</t>
  </si>
  <si>
    <t>B0GFD4JJ69</t>
  </si>
  <si>
    <t>BRONAX Womens Wide Width Walking Sneakers Width Cushion Shoes Size 10w Fashion Brethable Comfy Thick Sole Female Red 41</t>
  </si>
  <si>
    <t>B09ZHFZ7T7</t>
  </si>
  <si>
    <t>BRONAX Pillow Slippers Shower Slides for women Men Bathroom Beach House Open Toe Pool Cushioned Sandals Unisex Double Buckle Ladies Sandalias para Mujer Brown</t>
  </si>
  <si>
    <t>2026年6月4日 - 2026年6月8日</t>
  </si>
  <si>
    <t>B0GKCQ5112</t>
  </si>
  <si>
    <t>BRONAX Women's Arch Support Orthopedic Flip Flops Thong Sandals Size 11 Chanclas para Mujer Summer Beach Pool Flat Slides Orthotic Lightweight Female Grey</t>
  </si>
  <si>
    <t>2026年6月10日 - 2026年6月17日</t>
  </si>
  <si>
    <t>B0CNRKPDW5</t>
  </si>
  <si>
    <t>BRONAX Womens Wide Tennis Shoes with Arch Support Mesh Size 9.5w Breathable Rubber Sole Casual Walking Running Outdoor Sports Female Sneakers Gym Athletics White 41</t>
  </si>
  <si>
    <t>B0CN9BX1BS</t>
  </si>
  <si>
    <t>BRONAX Arch Support Slides for Women and Mens | Cushioned Thick Sole Pain Relief Slippers 9-10 Women/7.5-8.5 Men Blush</t>
  </si>
  <si>
    <t>B0GFD73X2K</t>
  </si>
  <si>
    <t>BRONAX Womens Wide Toe Box Walking Shoes Cushion Running Tennis Sneakers Size 8.5w Non-Slip Sports Mesh Training Footwear Grey 39</t>
  </si>
  <si>
    <t>B0DPW96CCM</t>
  </si>
  <si>
    <t>BRONAX Womens Wide Toe Box Walking Shoes Road Running Sneakers Size 7w Width Fashion Suede Fitness Non Slip Gym Lightweight Lace Up Female Lady Light Blue 38</t>
  </si>
  <si>
    <t>B0D452DW4L</t>
  </si>
  <si>
    <t>BRONAX Wide Womens Road Running Shoes Lightweight Comfortable Lace up Size 8w Rubber Outsole Gym Athletics Swollen Training Sports Walking Female Sneakers Green 39</t>
  </si>
  <si>
    <t>B0GKCT6XWK</t>
  </si>
  <si>
    <t>BRONAX Women's Arch Support Flip Flops Thong Sandals Size 11 Chanclas para Mujer Plantar Fasciitis Beach Pool Flat Slides Orthotic Female Black</t>
  </si>
  <si>
    <t>B0DSC2FV4B</t>
  </si>
  <si>
    <t>BRONAX Slides for Women Soft Comfy Cushioned House Home Open Toe Shower Dorm Slippers Size 11 Sandalias de Mujer Indoor Bathroom Outdoor Beach Pool Spa EVA Sole Sandals for Ladies Pink</t>
  </si>
  <si>
    <t>2026年6月6日 - 2026年6月14日</t>
  </si>
  <si>
    <t>B0DSC3PCM4</t>
  </si>
  <si>
    <t>BRONAX Shower Slippers for Men Unisex Soft Comfy Cushion Flip Flops Dorm House Home Slides Size 13 Recovery Indoor Bathroom Outdoor Beach Pool EVA Sole Sandals for Male Black</t>
  </si>
  <si>
    <t>B0B4JWJ864</t>
  </si>
  <si>
    <t>BRONAX Wide Womens Road Running Shoes Lightweight Lace up Size 9.5w Walking Athletic Sports Jogging Sneakers Female Tennis Maternity Pregnancy Footwear for Ladies Black 41</t>
  </si>
  <si>
    <t>B09TPH76Z4</t>
  </si>
  <si>
    <t>BRONAX Pillow Slippers for Women and Men | House Slides Shower Sandals | Cushioned Thick Sole 46-47 Chocolate</t>
  </si>
  <si>
    <t>B0DPW86FBH</t>
  </si>
  <si>
    <t>BRONAX Womens Wide Toe Box Walking Shoes Road Running Sneakers Size 9.5w Athletic Gym Outdoor Sports Width Female Lady Suede Lightweight Casual Light Blue 41</t>
  </si>
  <si>
    <t>4020 Casual</t>
  </si>
  <si>
    <t>B0DCMNJZHL</t>
  </si>
  <si>
    <t>BRONAX Boys Wide Width Running Shoes Size 12w Tennis Comfortable Cushioned Lightweight Walking No Lace Gym Sneakers Racquet Little Kids Footwear Dark Blue 30</t>
  </si>
  <si>
    <t>2026年6月20日 - 2026年6月21日</t>
  </si>
  <si>
    <t>B0CM952K6P</t>
  </si>
  <si>
    <t>BRONAX Womens Wide Tennis Running Shoes Workout Gym Training Size 8w Gym Athletics Sports Running Jogging Stylish Outdoor Sneakers for Female Footwear Pregnancy Beige 39</t>
  </si>
  <si>
    <t>2026年6月11日 - 2026年6月12日</t>
  </si>
  <si>
    <t>B0FCFR89H5</t>
  </si>
  <si>
    <t>BRONAX Big Kids Wide Toe Box Retro Tennis Sneakers Boys Girls Running Shoes Size 3w Rubber Outsole Cushioned Children Lightweight Footwear Mesh Pre School Black 36</t>
  </si>
  <si>
    <t>B0BHHK6ZGS</t>
  </si>
  <si>
    <t>BRONAX Womens Wide Shoes Breathable Mesh Size 9w with Arch Support Female Road Running Athletic Sports Fitness Indoor Stylish Ladies Maternity Pregnancy Swollen Sneakers Dark Blue 40</t>
  </si>
  <si>
    <t>2026年6月19日 - 2026年6月20日</t>
  </si>
  <si>
    <t>B0FRF3T8MM</t>
  </si>
  <si>
    <t>BRONAX Road Running Shoes for Women Outdoor Wide Walking Jogging Athletic Sports Sneakers Mesh Tennis Ladies Size 8.5 Black 40</t>
  </si>
  <si>
    <t>B09TPFTYDD</t>
  </si>
  <si>
    <t>BRONAX Pillow Slippers for Women and Men | House Slides Shower Sandals | Cushioned Thick Sole 40-41 Red</t>
  </si>
  <si>
    <t>B0GWCFXWCV</t>
  </si>
  <si>
    <t>BRONAX Women's Arch Support Orthopedic Flip Flops Thong Sandals Size 9 Plantar Fasciitis Beach Pool Summer Flat Slides Orthotic Female Black</t>
  </si>
  <si>
    <t>B0BCY5S3HR</t>
  </si>
  <si>
    <t>BRONAX Womens Wide Width Running Shoes Comfortable Sports Tennis Runny Size 11w with Arch Support Swollen Pregnancy Gym Jogging Athletic Sneakers Female for Ladies Black 43</t>
  </si>
  <si>
    <t>B0BPWYWZDK</t>
  </si>
  <si>
    <t>BRONAX Pillow Slippers for Women and Men | House Slides Shower Sandals | Cushioned Thick Sole 39-40 Khaki</t>
  </si>
  <si>
    <t>B09ZH4DXG9</t>
  </si>
  <si>
    <t>BRONAX Slides for Men Women Shower Pillow Slippers Male Bathroom Beach Foam Thick Sole Adjustable Double Buckle Pool Cushioned Sandals Size Squishy Black</t>
  </si>
  <si>
    <t>B09ZGZQB8G</t>
  </si>
  <si>
    <t>BRONAX Shower Slides for Women Men Pillow Slippers Bathroom Adjustable Double Buckle Beach Bath Cushion Foam Extra Thick Sole EVA Pool Sandals Size Grey</t>
  </si>
  <si>
    <t>B0CW1B2G4T</t>
  </si>
  <si>
    <t>BRONAX Arch Support Slides for Women and Mens | Cushioned Thick Sole Pain Relief Slippers 4-5.5 Women/3-4 Men Purple</t>
  </si>
  <si>
    <t>B0B67JHCJZ</t>
  </si>
  <si>
    <t>BRONAX Slides Cushion Pillow Slippers for Men Women Shower Male Bathroom Pool Beach Home Foam EVA Thick Sole Open Toe Sandals Male Double Buckle Black</t>
  </si>
  <si>
    <t>B09P461GDM</t>
  </si>
  <si>
    <t>BRONAX Mens Wide Toe Box Running Tennis Shoes Gym Tennis Athletics Size 8.5 Sports Mesh Walking Rubber Outsole Sneakers for Male Black 42</t>
  </si>
  <si>
    <t>B0CM94KGW6</t>
  </si>
  <si>
    <t>BRONAX Wide Toe Road Running Shoes Womens Outdoor Stylish Athletics Sports Size 10w Lace up Tennis Walking Gym Exercise Cushion Cross Training Female Rubber Sole Footwear Grey and Blue 42</t>
  </si>
  <si>
    <t>B09BN7RVBS</t>
  </si>
  <si>
    <t>BRONAX Pillow Slippers for Women and Men | House Slides Shower Sandals | Cushioned Thick Sole 37-38 Purple</t>
  </si>
  <si>
    <t>2026年6月9日 - 2026年6月24日</t>
  </si>
  <si>
    <t>B0BHHN3HLM</t>
  </si>
  <si>
    <t>BRONAX Wide Tennis Shoes for Womens Comfortable Tennis Size 5.5w Outdoor Zapatos Deportivos para Mujer Athletics Maternity Pregnancy Rubber Gym Female Sneakers Dark Blue 36</t>
  </si>
  <si>
    <t>B0BHHKQ1LL</t>
  </si>
  <si>
    <t>BRONAX Wide Shoes for Women Tennis Running Athletics Lightweight Walking Size 7w Female Gym Comfortable Lace up Pregnancy Width Sneakers for Ladies Dark Blue 38</t>
  </si>
  <si>
    <t>B09BN7DG48</t>
  </si>
  <si>
    <t>BRONAX Pillow Slippers for Women and Men | House Slides Shower Sandals | Cushioned Thick Sole 35-36 Blue</t>
  </si>
  <si>
    <t>B0DSC36N54</t>
  </si>
  <si>
    <t>BRONAX Shower Slippers Shoes for Women Unisex Men Soft Comfy Summer House Home Open Toe Comfortable Slides Size 10 Indoor Bathroom Outdoor Beach Pool EVA Sole Sandals Grey</t>
  </si>
  <si>
    <t>B0CGDCB9VP</t>
  </si>
  <si>
    <t>BRONAX Wide Tennis Shoes for Women Lace up Comfortable Lightweight Stylish Size 9w Athletics Gym Outdoor Training Walking Sports Sneakers Female Footwear Hot Pink 40</t>
  </si>
  <si>
    <t>B09TPH74X1</t>
  </si>
  <si>
    <t>BRONAX Pillow Slippers for Women and Men | House Slides Shower Sandals | Cushioned Thick Sole 37-38 Red</t>
  </si>
  <si>
    <t>B0CN99ZPC7</t>
  </si>
  <si>
    <t>BRONAX Arch Support Slides for Women and Mens | Cushioned Thick Sole Pain Relief Slippers 4-5.5 Women/3-4 Men Brown</t>
  </si>
  <si>
    <t>B0D2MPN9F8</t>
  </si>
  <si>
    <t>BRONAX Mens Wide Toe Box Tennis Shoes Lightweight Natural Foot Shape Comfortable Sports Road Running Size 12w Sneakers for Male Outdoor Athletics Walking Training Workout Mesh All Black 46</t>
  </si>
  <si>
    <t>B0CW1BSTT9</t>
  </si>
  <si>
    <t>BRONAX Arch Support Slides for Women and Mens | Cushioned Thick Sole Pain Relief Slippers 6-7 Women/4.5-5.5 Men Chocolate</t>
  </si>
  <si>
    <t>B0CGD87SMR</t>
  </si>
  <si>
    <t>BRONAX Wide Toe Tennis Shoes for Women Lightweight Breathable Size 6.5w Outdoor Gym Comfortable Running Walking Cross Training Female Sneakers Mesh Grey and Purple 37</t>
  </si>
  <si>
    <t>2026年6月8日 - 2026年6月13日</t>
  </si>
  <si>
    <t>B0DCMW8G8J</t>
  </si>
  <si>
    <t>BRONAX Boys Wide Width Tennis Shoes Size 13w Comfortable Light Running Athletic Racquet Sneakers Mesh Little Kids Boys Child Little Kids Zapatos para Niños Black Red 31</t>
  </si>
  <si>
    <t>B08BKTL7WV</t>
  </si>
  <si>
    <t>BRONAX Kids Slip on Shoes Boys Shoes Size 11 Comfty Light Fashion No Tie Boys Athletic Casual Walking Running Tennis Sneakers Red</t>
  </si>
  <si>
    <t>B09TPFBX5P</t>
  </si>
  <si>
    <t>BRONAX Pillow Slippers for Women and Men | House Slides Shower Sandals | Cushioned Thick Sole 39-40 Red</t>
  </si>
  <si>
    <t>B0D2MQ48RZ</t>
  </si>
  <si>
    <t>BRONAX Mens Wide Toe Box Running Shoes Comfy Lace up Athletics Jogging Walking Sports Natural Foot Shape Size 13w Training Gym Sports Male Sneakers Grey 47</t>
  </si>
  <si>
    <t>2026年6月3日 - 2026年6月10日</t>
  </si>
  <si>
    <t>B09ZHLY6S5</t>
  </si>
  <si>
    <t>BRONAX Slides for Women Shower Pillow Slippers Cushion Bathroom Pool Extra Thick Sole Adjustable Double Buckle Foam Beach Sandals Ladies Soft Size Black</t>
  </si>
  <si>
    <t>B0GKCQ3XPG</t>
  </si>
  <si>
    <t>BRONAX Women's Flip Flops with Arch Support Thong Sandals Size 9 Chanclas para Mujer Plantar Fasciitis Flip-flops Flat Slides Orthotic Female Pink</t>
  </si>
  <si>
    <t>B09TPFTLBH</t>
  </si>
  <si>
    <t>BRONAX Pillow Slippers for Women and Men | House Slides Shower Sandals | Cushioned Thick Sole 44-45 Chocolate</t>
  </si>
  <si>
    <t>2026年6月3日 - 2026年6月12日</t>
  </si>
  <si>
    <t>B09ZHLBHR3</t>
  </si>
  <si>
    <t>BRONAX Slides for Women Pillow Shower Slippers Bathroom Beach Bath Cushion Foam Thick Sole Sandals Soft Quick Drying Female Size EVA Home Cozy Sandalias Beige</t>
  </si>
  <si>
    <t>B0CNRGQ4XL</t>
  </si>
  <si>
    <t>BRONAX Womens Wide Road Running Shoes Mesh Comfortable Fitness Size 8w Athletics Gym Outdoor Sports Sneakers Female Training Walking Lightweight Fashion Casual Footwear White 39</t>
  </si>
  <si>
    <t>B0B4JXSYC9</t>
  </si>
  <si>
    <t>BRONAX Wide Shoes for Women Tennis Running Athletics Lightweight Walking Size 7w Female Gym Comfortable Maternity Pregnancy Lace up Width Sneakers for Ladies Black 38</t>
  </si>
  <si>
    <t>BRONAX Women's Wide Walking Shoes | Experience All-Day No-Squeeze Comfort | Low Drop</t>
  </si>
  <si>
    <t>7033 Womens Insoles</t>
  </si>
  <si>
    <t>B0DWMBC27Y</t>
  </si>
  <si>
    <t>BRONAX Wide Toe Box Walking Shoes Women Size 11w Width Tennis Road Running Sneakers Lady Female Suede Mesh Rubber Outsole Outdoor Lace Up Beige 43</t>
  </si>
  <si>
    <t>B0D2MPX2N8</t>
  </si>
  <si>
    <t>BRONAX Mens Wide Toe Box Running Shoes Breathable Mesh Size 9.5w Road Tennis Jogging Walking Wide Width Cushioned Athletics Sports Rubber Outsole Sneakers Grey 43</t>
  </si>
  <si>
    <t>B09TPHJ18M</t>
  </si>
  <si>
    <t>BRONAX Pillow Slippers for Women and Men | House Slides Shower Sandals | Cushioned Thick Sole 40-41 Chocolate</t>
  </si>
  <si>
    <t>B09TPFR22V</t>
  </si>
  <si>
    <t>BRONAX Pillow Slippers for Women and Men | House Slides Shower Sandals | Cushioned Thick Sole 37-38 Blush</t>
  </si>
  <si>
    <t>2026年6月7日 - 2026年6月16日</t>
  </si>
  <si>
    <t>B0D2MQ9758</t>
  </si>
  <si>
    <t>BRONAX Wide Width Shoes for Men Athletics Training Running Mesh Gym Sneakers Size 9.5w Comfortable Tennis Sports Walking Outdoor Rubber Outsole for Male All Black 43</t>
  </si>
  <si>
    <t>B0CN9BPX88</t>
  </si>
  <si>
    <t>BRONAX Arch Support Slides for Women and Mens | Cushioned Thick Sole Pain Relief Slippers 7.5-8.5 Women/6-7 Men Blush</t>
  </si>
  <si>
    <t>2026年6月9日 - 2026年6月9日</t>
  </si>
  <si>
    <t>B0BC1924B8</t>
  </si>
  <si>
    <t>BRONAX Mens Wide Toe Box Running Tennis Shoes Gym Tennis Athletics Size 7 Sports Mesh Walking Rubber Outsole Sneakers for Male Grey 40</t>
  </si>
  <si>
    <t>B0CGDBRZ1L</t>
  </si>
  <si>
    <t>BRONAX Womens Wide Tennis Running Shoes Lightweight Comfy Fitness Outdoor Size 9w Rubber Sole Breathable Gym Cross Training Sneakers Walking Female Footwear Grey and Purple 40</t>
  </si>
  <si>
    <t>B0FRFQ7MSC</t>
  </si>
  <si>
    <t>BRONAX Road Running Shoes for Women Outdoor Wide Walking Jogging Athletic Sports Sneakers Everyday Mesh Female Tennis Size 8.5 Orange 40</t>
  </si>
  <si>
    <t>2026年6月4日 - 2026年6月14日</t>
  </si>
  <si>
    <t>B0BCY4DVQY</t>
  </si>
  <si>
    <t>BRONAX Womens Wide Toe Box Road Running Shoes Mesh Breathable Gym Sports Wine Red Tennis Runny Size 11w with Arch Support Cross Training Athletics Jogging Sneakers Female Footwear Red 43</t>
  </si>
  <si>
    <t>B0FRD7T539</t>
  </si>
  <si>
    <t>BRONAX Womens Wide Toe Box Shoes Lightweight Lace up Cushioned Comfy Ladies Athletic Sports Walking Jogging Tennis Sneakers Size 6.5 Khaki 37</t>
  </si>
  <si>
    <t>B0DSC2NJ9C</t>
  </si>
  <si>
    <t>BRONAX Shower Shoes Slippers for Women Men Soft Comfy Cushioned Plastic House Home Open Toe Slides Size 11 Classic Indoor Bath Bathroom Outdoor Spa Beach Pool EVA Sole Sandals Grey</t>
  </si>
  <si>
    <t>B092QXB31C</t>
  </si>
  <si>
    <t>BRONAX Pillow Slippers for Women and Men | House Slides Shower Sandals | Cushioned Thick Sole 35-36 Grey</t>
  </si>
  <si>
    <t>B0FPQW9JCZ</t>
  </si>
  <si>
    <t>BRONAX Womens Platform Wedge Slides Indoor House Plastic Beach Breathable Chunky Thick Sole Open Toe Sandals Slip On Lightweight Size 8 Grey 38</t>
  </si>
  <si>
    <t>2026年6月4日 - 2026年6月16日</t>
  </si>
  <si>
    <t>B09BN7VQWC</t>
  </si>
  <si>
    <t>BRONAX Pillow Slippers for Women and Men | House Slides Shower Sandals | Cushioned Thick Sole 40-41 Purple</t>
  </si>
  <si>
    <t>B09TPK4FPT</t>
  </si>
  <si>
    <t>BRONAX Pillow Slippers for Women and Men | House Slides Shower Sandals | Cushioned Thick Sole 46-47 Red</t>
  </si>
  <si>
    <t>2026年6月3日 - 2026年6月15日</t>
  </si>
  <si>
    <t>B0GFCZ6DG1</t>
  </si>
  <si>
    <t>BRONAX Womens Wide Width Walking Sneakers Width Cushion Shoes Size 6w Lightweight Thick Sole Lace up Tennis Mesh Brethable Red 36</t>
  </si>
  <si>
    <t>2026年6月18日 - 2026年6月19日</t>
  </si>
  <si>
    <t>B0DK8BX82R</t>
  </si>
  <si>
    <t>BRONAX Wide Toe Box Road Running Shoes for Men Lightweight Athletics Lace up Mesh Walking Training Size 13w Tennis Sneakers Fitness Workout Jogging Male Footwear Dark Bule 47</t>
  </si>
  <si>
    <t>B0GFD8DCKR</t>
  </si>
  <si>
    <t>BRONAX Womens Wide Width Walking Sneakers Width Cushion Shoes Size 8w for Wide Feet Casual Thick Sole Non-Slip Sports Mesh Red 38.5</t>
  </si>
  <si>
    <t>B0CN9C7YNF</t>
  </si>
  <si>
    <t>BRONAX Arch Support Slides for Women and Mens | Cushioned Thick Sole Pain Relief Slippers 4-5.5 Women/3-4 Men Black</t>
  </si>
  <si>
    <t>B0DCN7KTW4</t>
  </si>
  <si>
    <t>BRONAX Boys Wide Width Shoes Size 2w Mesh Cushioned Tennis Running Wide Toe Box Sneakers for Little Kids Racquet Zapatos para Niños Non Slip Black Red 33</t>
  </si>
  <si>
    <t>B0D2MQYZS9</t>
  </si>
  <si>
    <t>BRONAX Wide Toe Box Running Shoes for Men Lightweight Athletics Walking Gym Sports Footwear Size 11w Rubber Outsole Jogging Tennis Male Sneakers Dark Bule 45</t>
  </si>
  <si>
    <t>B0FRF89CJJ</t>
  </si>
  <si>
    <t>BRONAX Womens Wide Toe Box Tennis Shoes Breathable Workout Walking Cushioned Athletic Sneakers Comfy Female Training Size 7 Purple 38</t>
  </si>
  <si>
    <t>B0CW5Y5QM7</t>
  </si>
  <si>
    <t>BRONAX Womens Wide Running Breathable Shoes Size 6.5w with Comfortable Outdoor Gym Rubber Outsole Lace up Female Sneakers Athletics Sports Pregnant Swollen All Black 37</t>
  </si>
  <si>
    <t>B092QW61Y9</t>
  </si>
  <si>
    <t>BRONAX Pillow Slippers for Women and Men | House Slides Shower Sandals | Cushioned Thick Sole 39-40 Grey</t>
  </si>
  <si>
    <t>B09TPGYS2L</t>
  </si>
  <si>
    <t>BRONAX Pillow Slippers for Women and Men | House Slides Shower Sandals | Cushioned Thick Sole 42-43 Blush</t>
  </si>
  <si>
    <t>B0FPQTMVG7</t>
  </si>
  <si>
    <t>BRONAX Platform Slides for Women Summer EVA Thick Sole Indoor Home Slip On Wedge Female Open Toe Sandals Size 9 Beach sandalias de plataforma para mujer Black 39</t>
  </si>
  <si>
    <t>B09TPFC3TS</t>
  </si>
  <si>
    <t>BRONAX Pillow Slippers for Women and Men | House Slides Shower Sandals | Cushioned Thick Sole 35-36 Blush</t>
  </si>
  <si>
    <t>B0DCMPTM2P</t>
  </si>
  <si>
    <t>BRONAX Boys Wide Width Running Shoes Size 5w Wide Toe Box Sneakers Big Kids Rubber Outsole Cushioned Tennis Lightweight Footwear Racquet Mesh Dark Blue 37</t>
  </si>
  <si>
    <t>B0BPX3DH7P</t>
  </si>
  <si>
    <t>BRONAX Pillow Slippers for Women and Men | House Slides Shower Sandals | Cushioned Thick Sole 42-43 Light Purple</t>
  </si>
  <si>
    <t>B0GFDF1Q6C</t>
  </si>
  <si>
    <t>BRONAX Womens Wide Big Toe Box Nurse Tennis Sneakers Width Walking Shoes Size 10w Casual Running Sport Comfy Female Beige 41</t>
  </si>
  <si>
    <t>2026年6月14日 - 2026年6月20日</t>
  </si>
  <si>
    <t>B0GW1JJ944</t>
  </si>
  <si>
    <t>BRONAX Women's Arch Support Orthopedic Flip Flops Thong Sandals Size 9 Summer Plantar Fasciitis Beach Pool Flat Slides Orthotic Female Purple</t>
  </si>
  <si>
    <t>B0CW19S4V6</t>
  </si>
  <si>
    <t>BRONAX Arch Support Slides for Women and Mens | Cushioned Thick Sole Pain Relief Slippers 7.5-8.5 Women/6-7 Men Grey</t>
  </si>
  <si>
    <t>2026年6月10日 - 2026年6月12日</t>
  </si>
  <si>
    <t>BRONAX Arch Support Slides for Women and Mens | Cushioned Thick Sole Pain Relief Slippers</t>
  </si>
  <si>
    <t>2026年6月6日 - 2026年6月8日</t>
  </si>
  <si>
    <t>B0GKDH6W5M</t>
  </si>
  <si>
    <t>BRONAX Women's Arch Support Orthopedic Flip Flops Thong Sandals Size 9 Summer Plantar Fasciitis Relief Beach Pool Flat Slides Ladies Navy Blue</t>
  </si>
  <si>
    <t>2026年6月9日 - 2026年6月17日</t>
  </si>
  <si>
    <t>B0DCV8TZPW</t>
  </si>
  <si>
    <t>BRONAX Womens Wide Toe Box Tennis Shoes Wide Width Walking Sneakers Size 9w Comfy Round Toe Lightweight Road Running Female Footwear Zapatos Deportivos para Mujer Black 40</t>
  </si>
  <si>
    <t>2026年6月5日 - 2026年6月19日</t>
  </si>
  <si>
    <t>B0DW3WQVX2</t>
  </si>
  <si>
    <t>BRONAX Wide Toe Box Walking Shoes for Women Size 8w Female Gym Comfortable Lace up Width Tennis Sneakers Rubber Outsole Ladies Zapatos Deportivos para Mujer Beige 39</t>
  </si>
  <si>
    <t>B0957MZ1KZ</t>
  </si>
  <si>
    <t>BRONAX Pillow Slippers for Women and Men | House Slides Shower Sandals | Cushioned Thick Sole 37-38 Brown</t>
  </si>
  <si>
    <t>B0DMNM41PH</t>
  </si>
  <si>
    <t>BRONAX Wide Toe Box Tennis Shoes for Boys Girls Size 5w Athletic Sports Sneakers Strap Children Fashion Racquet Walking Big Kids Zapatos para Niños All Black 37</t>
  </si>
  <si>
    <t>5750 Women's Sandals</t>
  </si>
  <si>
    <t>B0B3XB64WM</t>
  </si>
  <si>
    <t>BRONAX Mens Wide Toe Box Running Tennis Shoes Gym Tennis Athletics Size 10 Sports Mesh Walking Rubber Outsole Sneakers for Male Grey 44</t>
  </si>
  <si>
    <t>2026年6月8日 - 2026年6月8日</t>
  </si>
  <si>
    <t>B08K2FNC5P</t>
  </si>
  <si>
    <t>BRONAX Red Tennis Shoes for Boys Size 11 Girls Comfty Light Fashion No Tie Boys Tenis para Niñas Athletic Casual Walking Running Sneakers Blue Orange 29</t>
  </si>
  <si>
    <t>B0FRF9G25X</t>
  </si>
  <si>
    <t>BRONAX Road Running Shoes for Women Outdoor Wide Walking Jogging Athletic Sports Sneakers Mesh Tennis Ladies Size 8.5 Purple 40</t>
  </si>
  <si>
    <t>7738 Women's Trail Running</t>
  </si>
  <si>
    <t>B0F93Q1DS3</t>
  </si>
  <si>
    <t>BRONAX Mens Wide Toe Box Running Shoes Lace up Tennis Athletics Walking Footwear Size 11 Gym Sports Rubber Outsole Jogging Male Sneakers Zapatos De Hombre Light Grey 45</t>
  </si>
  <si>
    <t>B0GKCDLHMB</t>
  </si>
  <si>
    <t>BRONAX Women's Arch Support Flip Flops Thong Sandals Size 6 Summer Chanclas para Mujer Plantar Fasciitis Beach Pool Flat Slides Slippers Ladies Navy Blue</t>
  </si>
  <si>
    <t>B0CGDBGZ16</t>
  </si>
  <si>
    <t>BRONAX Wide Road Running Shoes for Women Fitness Mesh Breathable Size 10w Walking Runny Jogging Fashion Comfy Casual Rubber Sole Female Sneakers Lightweight Outdoor Footwear Grey and Purple 42</t>
  </si>
  <si>
    <t>B09P42XQ8V</t>
  </si>
  <si>
    <t>BRONAX Mens Wide Toe Box Running Tennis Shoes Gym Tennis Athletics Size 12 Sports Mesh Walking Rubber Outsole Sneakers for Male Grey 46</t>
  </si>
  <si>
    <t>B0GFD7QK1R</t>
  </si>
  <si>
    <t>BRONAX Womens Wide Toe Box Walking Shoes Cushion Road Running Tennis Sneakers Size 8w Brethable Thick Sole Female Grey 38.5</t>
  </si>
  <si>
    <t>B0CW1MW43D</t>
  </si>
  <si>
    <t>BRONAX Arch Support Slides for Women and Mens | Cushioned Thick Sole Pain Relief Slippers 7.5-8.5 Women/6-7 Men Purple</t>
  </si>
  <si>
    <t>B0B4JWWK4R</t>
  </si>
  <si>
    <t>BRONAX Wide Toe Tennis Shoes for Women Comfy Mesh Size 6.5w with Arch Support Breathable Rubber Sole Casual Walking Running Outdoor Sports Female Sneakers Gym Athletics Red 37</t>
  </si>
  <si>
    <t>B09ZHCLN7G</t>
  </si>
  <si>
    <t>BRONAX Slides for Men Women Shower Pillow Slippers Male Bathroom Adjustable Double Buckle Beach Bath Cushion Thick Sole Pool Sandals Size Squishy Black</t>
  </si>
  <si>
    <t>B0GKCDLPXT</t>
  </si>
  <si>
    <t>BRONAX Women's Arch Support Flip Flops Thong Sandals Size 6 Chanclas para Mujer Summer Beach Pool Flat Slides Orthotic Lightweight Female Grey</t>
  </si>
  <si>
    <t>B0GKCMKZVM</t>
  </si>
  <si>
    <t>BRONAX Women's Arch Support Flip Flops Thong Sandals Summer Plantar Fasciitis Beach Pool Flat Slides Slippers Orthotic Female Black</t>
  </si>
  <si>
    <t>B0B4JW6KV6</t>
  </si>
  <si>
    <t>BRONAX Womens Wide Road Running Shoes Mesh Comfortable Fitness Cross Training Size 11w Stylish Gym Female Tennis Sports Sneakers Walking Zapatos Deportivos para Mujer Purple 43</t>
  </si>
  <si>
    <t>B0F93N1BSR</t>
  </si>
  <si>
    <t>BRONAX Mens Wide Toe Box Tennis Shoes Lace up Road Running Walking Gym Athletics Size 12 Sports Outdoor Workout Rubber Outsole Sneakers for Male Black White 46</t>
  </si>
  <si>
    <t>B0GKD5TH1S</t>
  </si>
  <si>
    <t>BRONAX Women's Flip Flops with Arch Support Thong Sandals Size 8 Summer Chanclas para Mujer Plantar Fasciitis Beach Slippers Pool Flat Slides Orthotic Female Beige</t>
  </si>
  <si>
    <t>B0B4JXRNDP</t>
  </si>
  <si>
    <t>BRONAX Womens Wide Tennis Running Shoes Gym Workout Training Size 10w with Arch Support Athletics Sport Stylish Female Sneakers Rubber Sole Outdoor Sports Footwear Grey Pink 42</t>
  </si>
  <si>
    <t>B0GKCW2X5G</t>
  </si>
  <si>
    <t>BRONAX Women's Arch Support Orthopedic Flip Flops Thong Cushion Brown Sandals Size 8 Summer Plantar Fasciitis Beach Pool Orthotic Lightweight Female Taupe</t>
  </si>
  <si>
    <t>B0CW1BMP1S</t>
  </si>
  <si>
    <t>BRONAX Arch Support Slides for Women and Mens | Cushioned Thick Sole Pain Relief Slippers 13.5-14.5 Women/11.5-12.5 Men Grey</t>
  </si>
  <si>
    <t>B0B4JW1B6T</t>
  </si>
  <si>
    <t>BRONAX Wide Toe Tennis Shoes for Women Lace up Breathable Mesh Size 9w with Arch Support Female Road Running Sports Athletics Fitness Indoor Stylish Fashion Jogging Sneakers Red 40</t>
  </si>
  <si>
    <t>B0DCMK2FRR</t>
  </si>
  <si>
    <t>BRONAX Wide Toe Box Tennis Shoes for Boys Girls Wide Width Running Sneakers Size 12w Mesh Cushioned Laceless Casual Racquet Comfortable Little Kids Children Black 30</t>
  </si>
  <si>
    <t>B0FRFL6RDH</t>
  </si>
  <si>
    <t>BRONAX Womens Wide Toe Box Shoes Breathable Mesh Workout Walking Athletic Sneakers Comfy Female Training Everyday Footwear Size 7 Orange 38</t>
  </si>
  <si>
    <t>B092QWYYQ9</t>
  </si>
  <si>
    <t>BRONAX Pillow Slippers for Women and Men | House Slides Shower Sandals | Cushioned Thick Sole 42-43 Black</t>
  </si>
  <si>
    <t>B0CGD9LY63</t>
  </si>
  <si>
    <t>BRONAX Womens Wide Tennis Shoes Mesh Lace up Running Fitness Size 7w Sports Breathable Female Footwear Walking Rubber Sole Outdoor Athletics Sneakers Grey and Purple 38</t>
  </si>
  <si>
    <t>B0DCVB1772</t>
  </si>
  <si>
    <t>BRONAX Womens Wide Toe Box Road Running Shoes Size 10w Female Ladies Road Walking Width Sneakers Gym Jogging Rubber Sole Supportive Footwear Suede Mesh Non Slip Grey 42</t>
  </si>
  <si>
    <t>ASIN</t>
  </si>
  <si>
    <t>卖家SKU</t>
  </si>
  <si>
    <t>B0H14S4VPX</t>
  </si>
  <si>
    <t>DD1-J101</t>
  </si>
  <si>
    <t>B0H143VHRM</t>
  </si>
  <si>
    <t>DD1-J101-BE-W10</t>
  </si>
  <si>
    <t>B0H148CLLW</t>
  </si>
  <si>
    <t>DD1-J101-BE-W11</t>
  </si>
  <si>
    <t>B0H13SHK9Q</t>
  </si>
  <si>
    <t>DD1-J101-BE-W6</t>
  </si>
  <si>
    <t>B0H13X9SZT</t>
  </si>
  <si>
    <t>DD1-J101-BE-W7</t>
  </si>
  <si>
    <t>B0H13V7N1Z</t>
  </si>
  <si>
    <t>DD1-J101-BE-W8</t>
  </si>
  <si>
    <t>B0H13W63S9</t>
  </si>
  <si>
    <t>DD1-J101-BE-W9</t>
  </si>
  <si>
    <t>B0H13THYFP</t>
  </si>
  <si>
    <t>DD1-J101-BK-W10</t>
  </si>
  <si>
    <t>B0H14418PZ</t>
  </si>
  <si>
    <t>DD1-J101-BK-W11</t>
  </si>
  <si>
    <t>B0H148T4Q8</t>
  </si>
  <si>
    <t>DD1-J101-BK-W6</t>
  </si>
  <si>
    <t>B0H145337Y</t>
  </si>
  <si>
    <t>DD1-J101-BK-W7</t>
  </si>
  <si>
    <t>B0H13ZZN76</t>
  </si>
  <si>
    <t>DD1-J101-BK-W8</t>
  </si>
  <si>
    <t>B0H14C4TS7</t>
  </si>
  <si>
    <t>DD1-J101-BK-W9</t>
  </si>
  <si>
    <t>B0H13ZXNC2</t>
  </si>
  <si>
    <t>DD1-J101-BN-W10</t>
  </si>
  <si>
    <t>B0H13XD617</t>
  </si>
  <si>
    <t>DD1-J101-BN-W11</t>
  </si>
  <si>
    <t>B0H13WR9ZG</t>
  </si>
  <si>
    <t>DD1-J101-BN-W6</t>
  </si>
  <si>
    <t>B0H14BVKYJ</t>
  </si>
  <si>
    <t>DD1-J101-BN-W7</t>
  </si>
  <si>
    <t>B0H149QTMS</t>
  </si>
  <si>
    <t>DD1-J101-BN-W8</t>
  </si>
  <si>
    <t>B0H143KRJZ</t>
  </si>
  <si>
    <t>DD1-J101-BN-W9</t>
  </si>
  <si>
    <t>B0H142S4ZR</t>
  </si>
  <si>
    <t>DD1-J101-CL-W10</t>
  </si>
  <si>
    <t>B0H1425D5B</t>
  </si>
  <si>
    <t>DD1-J101-CL-W11</t>
  </si>
  <si>
    <t>B0H13V48CN</t>
  </si>
  <si>
    <t>DD1-J101-CL-W6</t>
  </si>
  <si>
    <t>B0H144VTCQ</t>
  </si>
  <si>
    <t>DD1-J101-CL-W7</t>
  </si>
  <si>
    <t>B0H13W47PM</t>
  </si>
  <si>
    <t>DD1-J101-CL-W8</t>
  </si>
  <si>
    <t>B0H148P712</t>
  </si>
  <si>
    <t>DD1-J101-CL-W9</t>
  </si>
  <si>
    <t>B0H13V5KF9</t>
  </si>
  <si>
    <t>DD1-J101-RD-W10</t>
  </si>
  <si>
    <t>B0H13SDD8R</t>
  </si>
  <si>
    <t>DD1-J101-RD-W11</t>
  </si>
  <si>
    <t>B0H13SLXB8</t>
  </si>
  <si>
    <t>DD1-J101-RD-W6</t>
  </si>
  <si>
    <t>B0H148LT7T</t>
  </si>
  <si>
    <t>DD1-J101-RD-W7</t>
  </si>
  <si>
    <t>B0H13SY8QZ</t>
  </si>
  <si>
    <t>DD1-J101-RD-W8</t>
  </si>
  <si>
    <t>B0H143Y3JC</t>
  </si>
  <si>
    <t>DD1-J101-RD-W9</t>
  </si>
  <si>
    <t>B0H14KPJDF</t>
  </si>
  <si>
    <t>DD1-J102</t>
  </si>
  <si>
    <t>B0H1461JFK</t>
  </si>
  <si>
    <t>DD1-J102-BK-W10</t>
  </si>
  <si>
    <t>B0H144FW3F</t>
  </si>
  <si>
    <t>DD1-J102-BK-W11</t>
  </si>
  <si>
    <t>B0H13W86WT</t>
  </si>
  <si>
    <t>DD1-J102-BK-W6</t>
  </si>
  <si>
    <t>B0H142T3ML</t>
  </si>
  <si>
    <t>DD1-J102-BK-W7</t>
  </si>
  <si>
    <t>B0H148WGSX</t>
  </si>
  <si>
    <t>DD1-J102-BK-W8</t>
  </si>
  <si>
    <t>B0H142QST5</t>
  </si>
  <si>
    <t>DD1-J102-BK-W9</t>
  </si>
  <si>
    <t>B0H145JFTN</t>
  </si>
  <si>
    <t>DD1-J102-BN-W10</t>
  </si>
  <si>
    <t>B0H14BBFCW</t>
  </si>
  <si>
    <t>DD1-J102-BN-W11</t>
  </si>
  <si>
    <t>B0H13X6QD7</t>
  </si>
  <si>
    <t>DD1-J102-BN-W6</t>
  </si>
  <si>
    <t>B0H146D1SP</t>
  </si>
  <si>
    <t>DD1-J102-BN-W7</t>
  </si>
  <si>
    <t>B0H149XQJB</t>
  </si>
  <si>
    <t>DD1-J102-BN-W8</t>
  </si>
  <si>
    <t>B0H1464RSG</t>
  </si>
  <si>
    <t>DD1-J102-BN-W9</t>
  </si>
  <si>
    <t>B0H143YLB9</t>
  </si>
  <si>
    <t>DD1-J102-CL-W10</t>
  </si>
  <si>
    <t>B0H144VTD4</t>
  </si>
  <si>
    <t>DD1-J102-CL-W11</t>
  </si>
  <si>
    <t>B0H13WPB8D</t>
  </si>
  <si>
    <t>DD1-J102-CL-W6</t>
  </si>
  <si>
    <t>B0H144C18H</t>
  </si>
  <si>
    <t>DD1-J102-CL-W7</t>
  </si>
  <si>
    <t>B0H148XJ7X</t>
  </si>
  <si>
    <t>DD1-J102-CL-W8</t>
  </si>
  <si>
    <t>B0H14FBD45</t>
  </si>
  <si>
    <t>DD1-J102-CL-W9</t>
  </si>
  <si>
    <t>LB1-Y15-BG-36</t>
  </si>
  <si>
    <t>LB1-Y15-BG-38</t>
  </si>
  <si>
    <t>LB1-Y15-BG-40</t>
  </si>
  <si>
    <t>LB1-Y15-BG-41</t>
  </si>
  <si>
    <t>LB1-Y15-BG-43</t>
  </si>
  <si>
    <t>LB1-Y15-BG-45</t>
  </si>
  <si>
    <t>LB1-Y15-BK-36</t>
  </si>
  <si>
    <t>LB1-Y15-BK-38</t>
  </si>
  <si>
    <t>LB1-Y15-BK-40</t>
  </si>
  <si>
    <t>LB1-Y15-BK-41</t>
  </si>
  <si>
    <t>LB1-Y15-BK-43</t>
  </si>
  <si>
    <t>LB1-Y15-BK-45</t>
  </si>
  <si>
    <t>B09ZHDQPRK</t>
  </si>
  <si>
    <t>LB1-Y15-BN-36</t>
  </si>
  <si>
    <t>LB1-Y15-BN-38</t>
  </si>
  <si>
    <t>LB1-Y15-BN-40</t>
  </si>
  <si>
    <t>LB1-Y15-BN-41</t>
  </si>
  <si>
    <t>LB1-Y15-BN-43</t>
  </si>
  <si>
    <t>B09ZHBGRRK</t>
  </si>
  <si>
    <t>LB1-Y15-BN-45</t>
  </si>
  <si>
    <t>B09ZGYPP6M</t>
  </si>
  <si>
    <t>LB1-Y15-GY-36</t>
  </si>
  <si>
    <t>LB1-Y15-GY-38</t>
  </si>
  <si>
    <t>LB1-Y15-GY-40</t>
  </si>
  <si>
    <t>LB1-Y15-GY-41</t>
  </si>
  <si>
    <t>LB1-Y15-GY-43</t>
  </si>
  <si>
    <t>LB1-Y15-GY-45</t>
  </si>
  <si>
    <t>LB1-Y15-PK-36</t>
  </si>
  <si>
    <t>LB1-Y15-PK-38</t>
  </si>
  <si>
    <t>LB1-Y15-PK-40</t>
  </si>
  <si>
    <t>LB1-Y15-PK-41</t>
  </si>
  <si>
    <t>LB1-Y15-PK-43</t>
  </si>
  <si>
    <t>B092S1R8QL</t>
  </si>
  <si>
    <t>SH-BR8806-OG-36</t>
  </si>
  <si>
    <t>B092S134VC</t>
  </si>
  <si>
    <t>SH-BR8806-YL-36</t>
  </si>
  <si>
    <t>SH-BR8806-YL-38</t>
  </si>
  <si>
    <t>B07QHSG9PY</t>
  </si>
  <si>
    <t>SH-BRAGK61-LTGY-36</t>
  </si>
  <si>
    <t>B07QGS97GG</t>
  </si>
  <si>
    <t>SH-BRAGK61-LTGY-40</t>
  </si>
  <si>
    <t>B08V1QYZLF</t>
  </si>
  <si>
    <t>SH-BRAGK61-WT-36N</t>
  </si>
  <si>
    <t>B07QDL66WG</t>
  </si>
  <si>
    <t>SH-BRAGK61-YL-37</t>
  </si>
  <si>
    <t>B07PDRGZL4</t>
  </si>
  <si>
    <t>SH-BRAGS10-BU-38</t>
  </si>
  <si>
    <t>B07PK3VMFY</t>
  </si>
  <si>
    <t>SH-BRAGS10-RD-36</t>
  </si>
  <si>
    <t>B07WNM5WH5</t>
  </si>
  <si>
    <t>SH-BRAGS10-RD-41</t>
  </si>
  <si>
    <t>B08GLXTXD5</t>
  </si>
  <si>
    <t>SH-BRD5-ABK-40</t>
  </si>
  <si>
    <t>B08GLYBYSG</t>
  </si>
  <si>
    <t>SH-BRD5-RD-40</t>
  </si>
  <si>
    <t>B08GLVXXYZ</t>
  </si>
  <si>
    <t>SH-BRD5-WT-43</t>
  </si>
  <si>
    <t>B08GLWQW2L</t>
  </si>
  <si>
    <t>SH-BRD5-WT-46</t>
  </si>
  <si>
    <t>B08HSWPVY4</t>
  </si>
  <si>
    <t>SH-BRKD5-ABK-28</t>
  </si>
  <si>
    <t>B08HSSPS7H</t>
  </si>
  <si>
    <t>SH-BRKD5-ABK-29</t>
  </si>
  <si>
    <t>B08HSWM7TW</t>
  </si>
  <si>
    <t>SH-BRKD5-ABK-30</t>
  </si>
  <si>
    <t>B08HSVK324</t>
  </si>
  <si>
    <t>SH-BRKD5-ABK-31</t>
  </si>
  <si>
    <t>B08HSWS6HR</t>
  </si>
  <si>
    <t>SH-BRKD5-ABK-32</t>
  </si>
  <si>
    <t>B08HSXF322</t>
  </si>
  <si>
    <t>SH-BRKD5-ABK-33</t>
  </si>
  <si>
    <t>B08HSX9TWW</t>
  </si>
  <si>
    <t>SH-BRKD5-ABK-34</t>
  </si>
  <si>
    <t>B08HTSR8VS</t>
  </si>
  <si>
    <t>SH-BRKD5-ABK-35</t>
  </si>
  <si>
    <t>SH-BRKD5-ABK-36</t>
  </si>
  <si>
    <t>SH-BRKD5-ABK-37</t>
  </si>
  <si>
    <t>SH-BRKD5-ABK-38</t>
  </si>
  <si>
    <t>SH-BRKD5-ABK-39</t>
  </si>
  <si>
    <t>B092DGNLXW</t>
  </si>
  <si>
    <t>SH-BRKD5-ABK-40</t>
  </si>
  <si>
    <t>B08BKTPQS1</t>
  </si>
  <si>
    <t>SH-BRKD5-BKBU-28</t>
  </si>
  <si>
    <t>B08BKTXHPY</t>
  </si>
  <si>
    <t>SH-BRKD5-BKBU-29</t>
  </si>
  <si>
    <t>B08BKT3SBB</t>
  </si>
  <si>
    <t>SH-BRKD5-BKBU-30</t>
  </si>
  <si>
    <t>B08BKSDJTW</t>
  </si>
  <si>
    <t>SH-BRKD5-BKBU-31</t>
  </si>
  <si>
    <t>B08BKS69W1</t>
  </si>
  <si>
    <t>SH-BRKD5-BKBU-32</t>
  </si>
  <si>
    <t>B08BKT79TL</t>
  </si>
  <si>
    <t>SH-BRKD5-BKBU-33</t>
  </si>
  <si>
    <t>B08BKSGG4G</t>
  </si>
  <si>
    <t>SH-BRKD5-BKBU-34</t>
  </si>
  <si>
    <t>B08BKSSFHX</t>
  </si>
  <si>
    <t>SH-BRKD5-BKBU-35</t>
  </si>
  <si>
    <t>B08CVSRF4Q</t>
  </si>
  <si>
    <t>SH-BRKD5-BKBU-36</t>
  </si>
  <si>
    <t>B08CVQWPXX</t>
  </si>
  <si>
    <t>SH-BRKD5-BKBU-37</t>
  </si>
  <si>
    <t>SH-BRKD5-BKBU-38</t>
  </si>
  <si>
    <t>B092DGQV17</t>
  </si>
  <si>
    <t>SH-BRKD5-BKBU-39</t>
  </si>
  <si>
    <t>SH-BRKD5-BKBU-40</t>
  </si>
  <si>
    <t>B08CVSCGQ5</t>
  </si>
  <si>
    <t>SH-BRKD5-BKOG-32</t>
  </si>
  <si>
    <t>B08CVR529X</t>
  </si>
  <si>
    <t>SH-BRKD5-BKOG-35</t>
  </si>
  <si>
    <t>B08K8Z4NHN</t>
  </si>
  <si>
    <t>SH-BRKD5-BKPK-32</t>
  </si>
  <si>
    <t>B08K91X8GC</t>
  </si>
  <si>
    <t>SH-BRKD5-BKPL-28</t>
  </si>
  <si>
    <t>B08K8YDHL4</t>
  </si>
  <si>
    <t>SH-BRKD5-BKPL-29</t>
  </si>
  <si>
    <t>B08K8Y78XC</t>
  </si>
  <si>
    <t>SH-BRKD5-BKPL-33</t>
  </si>
  <si>
    <t>B08MT5DV99</t>
  </si>
  <si>
    <t>SH-BRKD5-BKRD-28</t>
  </si>
  <si>
    <t>B08MSYRC9T</t>
  </si>
  <si>
    <t>SH-BRKD5-BKRD-29</t>
  </si>
  <si>
    <t>B08MTXPV58</t>
  </si>
  <si>
    <t>SH-BRKD5-BKRD-30</t>
  </si>
  <si>
    <t>B08MTTZS66</t>
  </si>
  <si>
    <t>SH-BRKD5-BKRD-31</t>
  </si>
  <si>
    <t>B08MT1DXBB</t>
  </si>
  <si>
    <t>SH-BRKD5-BKRD-32</t>
  </si>
  <si>
    <t>B08MTK35ZJ</t>
  </si>
  <si>
    <t>SH-BRKD5-BKRD-33</t>
  </si>
  <si>
    <t>B08MT7JJLB</t>
  </si>
  <si>
    <t>SH-BRKD5-BKRD-34</t>
  </si>
  <si>
    <t>B08MT3B7VL</t>
  </si>
  <si>
    <t>SH-BRKD5-BKRD-35</t>
  </si>
  <si>
    <t>B08MTNBW9Y</t>
  </si>
  <si>
    <t>SH-BRKD5-BKRD-36</t>
  </si>
  <si>
    <t>B08MT89ZM2</t>
  </si>
  <si>
    <t>SH-BRKD5-BKRD-37</t>
  </si>
  <si>
    <t>B08HSW676X</t>
  </si>
  <si>
    <t>SH-BRKD5-BKWT-35</t>
  </si>
  <si>
    <t>B08SK8MF93</t>
  </si>
  <si>
    <t>SH-BRKD5-BUOG-33</t>
  </si>
  <si>
    <t>B08SK8XZK9</t>
  </si>
  <si>
    <t>SH-BRKD5-BUOG-35</t>
  </si>
  <si>
    <t>B08CVSMPKR</t>
  </si>
  <si>
    <t>SH-BRKD5-GN-31</t>
  </si>
  <si>
    <t>B08SK8SKMT</t>
  </si>
  <si>
    <t>SH-BRKD5-GYPK-28</t>
  </si>
  <si>
    <t>B08SK6TZ36</t>
  </si>
  <si>
    <t>SH-BRKD5-GYPK-29</t>
  </si>
  <si>
    <t>B08SK99MWD</t>
  </si>
  <si>
    <t>SH-BRKD5-GYPK-32</t>
  </si>
  <si>
    <t>B08SKBB5ZR</t>
  </si>
  <si>
    <t>SH-BRKD5-GYPK-34</t>
  </si>
  <si>
    <t>B08SK9JKRW</t>
  </si>
  <si>
    <t>SH-BRKD5-GYPK-35</t>
  </si>
  <si>
    <t>B08K8YM1BF</t>
  </si>
  <si>
    <t>SH-BRKD5-PKBU-28</t>
  </si>
  <si>
    <t>B08K8YC5VJ</t>
  </si>
  <si>
    <t>SH-BRKD5-PKBU-30</t>
  </si>
  <si>
    <t>B08K8ZSR8M</t>
  </si>
  <si>
    <t>SH-BRKD5-PKBU-31</t>
  </si>
  <si>
    <t>B08K8ZC365</t>
  </si>
  <si>
    <t>SH-BRKD5-PKBU-32</t>
  </si>
  <si>
    <t>B08BKSWLJR</t>
  </si>
  <si>
    <t>SH-BRKD5-RD-28</t>
  </si>
  <si>
    <t>SH-BRKD5-RD-29</t>
  </si>
  <si>
    <t>B08BKTKWZS</t>
  </si>
  <si>
    <t>SH-BRKD5-RD-30</t>
  </si>
  <si>
    <t>B08BKT1D39</t>
  </si>
  <si>
    <t>SH-BRKD5-RD-31</t>
  </si>
  <si>
    <t>B08BKTSQQ5</t>
  </si>
  <si>
    <t>SH-BRKD5-RD-32</t>
  </si>
  <si>
    <t>B08BKTD51F</t>
  </si>
  <si>
    <t>SH-BRKD5-RD-33</t>
  </si>
  <si>
    <t>B08BKSPRMP</t>
  </si>
  <si>
    <t>SH-BRKD5-RD-34</t>
  </si>
  <si>
    <t>B08BKV2DYC</t>
  </si>
  <si>
    <t>SH-BRKD5-RD-35</t>
  </si>
  <si>
    <t>B08CVTSVPL</t>
  </si>
  <si>
    <t>SH-BRKD5-RD-36</t>
  </si>
  <si>
    <t>B08CVSD15H</t>
  </si>
  <si>
    <t>SH-BRKD5-RD-37</t>
  </si>
  <si>
    <t>SH-BRKD5-RD-38</t>
  </si>
  <si>
    <t>B092DDKL9C</t>
  </si>
  <si>
    <t>SH-BRKD5-RD-39</t>
  </si>
  <si>
    <t>B092DD9HVZ</t>
  </si>
  <si>
    <t>SH-BRKD5-RD-40</t>
  </si>
  <si>
    <t>B08CVRK61R</t>
  </si>
  <si>
    <t>SH-BRKD5-WT-30</t>
  </si>
  <si>
    <t>B08CVRHCFT</t>
  </si>
  <si>
    <t>SH-BRKD5-WT-33</t>
  </si>
  <si>
    <t>SH-BRKD52023</t>
  </si>
  <si>
    <t>B08BKSBXBQ</t>
  </si>
  <si>
    <t>SH-BRKD6--BKBU-35</t>
  </si>
  <si>
    <t>B08BKSGQQQ</t>
  </si>
  <si>
    <t>SH-BRKD6--WTGN-28</t>
  </si>
  <si>
    <t>B08BKSZ7JM</t>
  </si>
  <si>
    <t>SH-BRKD6--WTGN-29</t>
  </si>
  <si>
    <t>B08BKTJM5C</t>
  </si>
  <si>
    <t>SH-BRKD6--WTGN-30</t>
  </si>
  <si>
    <t>B08GFQTZDV</t>
  </si>
  <si>
    <t>SH-BRKD8-BKBU-35</t>
  </si>
  <si>
    <t>B08GF9Q7NT</t>
  </si>
  <si>
    <t>SH-BRKD8-BKRD-29</t>
  </si>
  <si>
    <t>B08LSPCNQS</t>
  </si>
  <si>
    <t>SH-BRKD8-BURD-35</t>
  </si>
  <si>
    <t>B08LSB4FCT</t>
  </si>
  <si>
    <t>SH-BRKD8-GY-28</t>
  </si>
  <si>
    <t>B08LSNTNH9</t>
  </si>
  <si>
    <t>SH-BRKD8-GY-32</t>
  </si>
  <si>
    <t>B08LSCCMND</t>
  </si>
  <si>
    <t>SH-BRKD8-GY-37</t>
  </si>
  <si>
    <t>B08LSX5NRR</t>
  </si>
  <si>
    <t>SH-BRKD8-YL-29</t>
  </si>
  <si>
    <t>B08LS63CXX</t>
  </si>
  <si>
    <t>SH-BRKD8-YL-30</t>
  </si>
  <si>
    <t>B08LSWTCVZ</t>
  </si>
  <si>
    <t>SH-BRKD8-YL-31</t>
  </si>
  <si>
    <t>B08LSY4V5R</t>
  </si>
  <si>
    <t>SH-BRKD8-YL-32</t>
  </si>
  <si>
    <t>B08LSDHPKZ</t>
  </si>
  <si>
    <t>SH-BRKD8-YL-33</t>
  </si>
  <si>
    <t>B08K8YK2J3</t>
  </si>
  <si>
    <t>SH-BRKD9-BKBU-28</t>
  </si>
  <si>
    <t>B08K8YSWXY</t>
  </si>
  <si>
    <t>SH-BRKD9-BKBU-34</t>
  </si>
  <si>
    <t>B08K8ZZMY5</t>
  </si>
  <si>
    <t>SH-BRKD9-BKRD-31</t>
  </si>
  <si>
    <t>B08K91JBDW</t>
  </si>
  <si>
    <t>SH-BRKD9-RD-28</t>
  </si>
  <si>
    <t>B08K9138SX</t>
  </si>
  <si>
    <t>SH-BRKD9-RD-29</t>
  </si>
  <si>
    <t>B098LFWT1P</t>
  </si>
  <si>
    <t>SH-BRMBX50-BN-7</t>
  </si>
  <si>
    <t>B098LF9K5C</t>
  </si>
  <si>
    <t>SH-BRMBX50-GY-10</t>
  </si>
  <si>
    <t>B098LGJ1WR</t>
  </si>
  <si>
    <t>SH-BRMBX50-GY-7</t>
  </si>
  <si>
    <t>B09CMFX7YJ</t>
  </si>
  <si>
    <t>SH-BRMBX50-MCG-11</t>
  </si>
  <si>
    <t>B09CMDPT42</t>
  </si>
  <si>
    <t>SH-BRMBX50-MCG-12</t>
  </si>
  <si>
    <t>B09CMFRTFL</t>
  </si>
  <si>
    <t>SH-BRMBX50-MCG-8</t>
  </si>
  <si>
    <t>B098LGFGKR</t>
  </si>
  <si>
    <t>SH-BRMBX50-WNRD-11</t>
  </si>
  <si>
    <t>B07MQSHZR6</t>
  </si>
  <si>
    <t>SH-BRMD01-BK-41</t>
  </si>
  <si>
    <t>B091SNRXWC</t>
  </si>
  <si>
    <t>SH-BRMD01-BK-47N</t>
  </si>
  <si>
    <t>B07QLKDZZC</t>
  </si>
  <si>
    <t>SH-BRMD15-WT-39</t>
  </si>
  <si>
    <t>B0CC8HGLNK</t>
  </si>
  <si>
    <t>SH-BRMT80-BN-36</t>
  </si>
  <si>
    <t>B0CC8BQ9BM</t>
  </si>
  <si>
    <t>SH-BRMT80-PKGY-36</t>
  </si>
  <si>
    <t>B0CC8JXC6R</t>
  </si>
  <si>
    <t>SH-BRMT80-PLGY-38</t>
  </si>
  <si>
    <t>B0CC84SLWN</t>
  </si>
  <si>
    <t>SH-BRMT80-PLGY-43</t>
  </si>
  <si>
    <t>B0DD6FSZCX</t>
  </si>
  <si>
    <t>SH-BRMT83-GY-38</t>
  </si>
  <si>
    <t>B0DD774YVY</t>
  </si>
  <si>
    <t>SH-BRMT83-PK-38</t>
  </si>
  <si>
    <t>B0DD6L91PP</t>
  </si>
  <si>
    <t>SH-BRMT83-PK-41</t>
  </si>
  <si>
    <t>B0DD6BY44D</t>
  </si>
  <si>
    <t>SH-BRMT83-PK-43</t>
  </si>
  <si>
    <t>SH-BRMT83-RD-47</t>
  </si>
  <si>
    <t>B09STMMGL9</t>
  </si>
  <si>
    <t>SH-BRRY51-BG-41</t>
  </si>
  <si>
    <t>B09STB3VPP</t>
  </si>
  <si>
    <t>SH-BRRY51-BG-43</t>
  </si>
  <si>
    <t>B09ST6X6KC</t>
  </si>
  <si>
    <t>SH-BRRY51-BK-37</t>
  </si>
  <si>
    <t>B09SST9M64</t>
  </si>
  <si>
    <t>SH-BRRY51-BK-43</t>
  </si>
  <si>
    <t>B09ST7L9V8</t>
  </si>
  <si>
    <t>SH-BRRY51-OG-37</t>
  </si>
  <si>
    <t>B09ST442TF</t>
  </si>
  <si>
    <t>SH-BRRY51-OG-41</t>
  </si>
  <si>
    <t>B09STMHRYN</t>
  </si>
  <si>
    <t>SH-BRRY51-OG-43</t>
  </si>
  <si>
    <t>B0CLLT1CK4</t>
  </si>
  <si>
    <t>SH-BRS21-ABK-44</t>
  </si>
  <si>
    <t>B0CLLR8W2W</t>
  </si>
  <si>
    <t>SH-BRS21-DBU-41</t>
  </si>
  <si>
    <t>B0CLLTGBXF</t>
  </si>
  <si>
    <t>SH-BRS21-DBU-42</t>
  </si>
  <si>
    <t>B0CLLRCJSS</t>
  </si>
  <si>
    <t>SH-BRS21-DBU-44</t>
  </si>
  <si>
    <t>B0CLLRS4VQ</t>
  </si>
  <si>
    <t>SH-BRS21-DGY-41</t>
  </si>
  <si>
    <t>B0CLLRXT21</t>
  </si>
  <si>
    <t>SH-BRS21-DGY-42</t>
  </si>
  <si>
    <t>B0CLLVBR2K</t>
  </si>
  <si>
    <t>SH-BRS21-DGY-45</t>
  </si>
  <si>
    <t>B0CLLT3NKN</t>
  </si>
  <si>
    <t>SH-BRS21-DGY-46</t>
  </si>
  <si>
    <t>B0CLLSDCM6</t>
  </si>
  <si>
    <t>SH-BRS21-DGY-47</t>
  </si>
  <si>
    <t>B0CLLT6Z9R</t>
  </si>
  <si>
    <t>SH-BRS21-WT-41</t>
  </si>
  <si>
    <t>B0CLLS1X6X</t>
  </si>
  <si>
    <t>SH-BRS21-WT-42</t>
  </si>
  <si>
    <t>B0CLLR5T5J</t>
  </si>
  <si>
    <t>SH-BRS21-WT-46</t>
  </si>
  <si>
    <t>B0BC15FP8B</t>
  </si>
  <si>
    <t>SH-BRS71-ABK-40</t>
  </si>
  <si>
    <t>SH-BRS71-ABK-41</t>
  </si>
  <si>
    <t>SH-BRS71-ABK-42</t>
  </si>
  <si>
    <t>SH-BRS71-ABK-43N</t>
  </si>
  <si>
    <t>SH-BRS71-ABK-44N</t>
  </si>
  <si>
    <t>SH-BRS71-ABK-45S</t>
  </si>
  <si>
    <t>SH-BRS71-ABK-46</t>
  </si>
  <si>
    <t>SH-BRS71-ABK-47</t>
  </si>
  <si>
    <t>B09ZTWWT1V</t>
  </si>
  <si>
    <t>SH-BRS71-BKRD-41</t>
  </si>
  <si>
    <t>SH-BRS71-BKRD-42</t>
  </si>
  <si>
    <t>B09ZTWPZ5F</t>
  </si>
  <si>
    <t>SH-BRS71-BKRD-43</t>
  </si>
  <si>
    <t>B09ZTVSM8B</t>
  </si>
  <si>
    <t>SH-BRS71-BKRD-44</t>
  </si>
  <si>
    <t>SH-BRS71-BKRD-45</t>
  </si>
  <si>
    <t>SH-BRS71-BKRD-46</t>
  </si>
  <si>
    <t>B09ZTWRQTY</t>
  </si>
  <si>
    <t>SH-BRS71-BKRD-47</t>
  </si>
  <si>
    <t>B0F93P4J93</t>
  </si>
  <si>
    <t>SH-BRS71-BKWT-41</t>
  </si>
  <si>
    <t>B0F93PZ82N</t>
  </si>
  <si>
    <t>SH-BRS71-BKWT-42</t>
  </si>
  <si>
    <t>B0F93S1RBW</t>
  </si>
  <si>
    <t>SH-BRS71-BKWT-43</t>
  </si>
  <si>
    <t>SH-BRS71-BKWT-44</t>
  </si>
  <si>
    <t>SH-BRS71-BKWT-45</t>
  </si>
  <si>
    <t>SH-BRS71-BKWT-46</t>
  </si>
  <si>
    <t>SH-BRS71-BKWT-47</t>
  </si>
  <si>
    <t>SH-BRS71-BU-41</t>
  </si>
  <si>
    <t>SH-BRS71-BU-42N</t>
  </si>
  <si>
    <t>SH-BRS71-BU-43</t>
  </si>
  <si>
    <t>B09P42FFN1</t>
  </si>
  <si>
    <t>SH-BRS71-BU-44</t>
  </si>
  <si>
    <t>SH-BRS71-BU-45</t>
  </si>
  <si>
    <t>SH-BRS71-BU-46</t>
  </si>
  <si>
    <t>SH-BRS71-BU-47</t>
  </si>
  <si>
    <t>SH-BRS71-DGY-40</t>
  </si>
  <si>
    <t>SH-BRS71-DGY-41N</t>
  </si>
  <si>
    <t>SH-BRS71-DGY-42</t>
  </si>
  <si>
    <t>SH-BRS71-DGY-43N</t>
  </si>
  <si>
    <t>SH-BRS71-DGY-44N</t>
  </si>
  <si>
    <t>SH-BRS71-DGY-45N</t>
  </si>
  <si>
    <t>SH-BRS71-DGY-46</t>
  </si>
  <si>
    <t>SH-BRS71-DGY-47</t>
  </si>
  <si>
    <t>B09ZTVNFNS</t>
  </si>
  <si>
    <t>SH-BRS71-DKBU-41</t>
  </si>
  <si>
    <t>B09ZTX9LCJ</t>
  </si>
  <si>
    <t>SH-BRS71-DKBU-44</t>
  </si>
  <si>
    <t>B09ZTVMYYJ</t>
  </si>
  <si>
    <t>SH-BRS71-GN-41</t>
  </si>
  <si>
    <t>B09ZTX9XCT</t>
  </si>
  <si>
    <t>SH-BRS71-GN-42</t>
  </si>
  <si>
    <t>B0C16XQ5LG</t>
  </si>
  <si>
    <t>SH-BRS71-GN-43N</t>
  </si>
  <si>
    <t>B09ZV2VG28</t>
  </si>
  <si>
    <t>SH-BRS71-GN-44</t>
  </si>
  <si>
    <t>B09ZTWTHKD</t>
  </si>
  <si>
    <t>SH-BRS71-GN-45</t>
  </si>
  <si>
    <t>B09ZTXZDSS</t>
  </si>
  <si>
    <t>SH-BRS71-GN-46</t>
  </si>
  <si>
    <t>B0C16XLCYM</t>
  </si>
  <si>
    <t>SH-BRS71-GN-47N</t>
  </si>
  <si>
    <t>B0F93MV4SP</t>
  </si>
  <si>
    <t>SH-BRS71-LTGY-41</t>
  </si>
  <si>
    <t>B0F93N1NZC</t>
  </si>
  <si>
    <t>SH-BRS71-LTGY-42</t>
  </si>
  <si>
    <t>B0F93PLCHP</t>
  </si>
  <si>
    <t>SH-BRS71-LTGY-43</t>
  </si>
  <si>
    <t>SH-BRS71-LTGY-44</t>
  </si>
  <si>
    <t>SH-BRS71-LTGY-45</t>
  </si>
  <si>
    <t>B0F93MS3GM</t>
  </si>
  <si>
    <t>SH-BRS71-LTGY-46</t>
  </si>
  <si>
    <t>B0F93N1NZ9</t>
  </si>
  <si>
    <t>SH-BRS71-LTGY-47</t>
  </si>
  <si>
    <t>B09P433639</t>
  </si>
  <si>
    <t>SH-BRS71-RD-41</t>
  </si>
  <si>
    <t>B09P438H1W</t>
  </si>
  <si>
    <t>SH-BRS71-RD-42</t>
  </si>
  <si>
    <t>B09P44SHLV</t>
  </si>
  <si>
    <t>SH-BRS71-RD-43</t>
  </si>
  <si>
    <t>B09P45XM14</t>
  </si>
  <si>
    <t>SH-BRS71-RD-44</t>
  </si>
  <si>
    <t>B0B3X97N8K</t>
  </si>
  <si>
    <t>SH-BRS71-RD-45N</t>
  </si>
  <si>
    <t>B0B3XCLF9S</t>
  </si>
  <si>
    <t>SH-BRS71-RD-46N</t>
  </si>
  <si>
    <t>B09P4331YF</t>
  </si>
  <si>
    <t>SH-BRS71-RD-47</t>
  </si>
  <si>
    <t>B0CHYPMN3P</t>
  </si>
  <si>
    <t>SH-BRS71-WT-41</t>
  </si>
  <si>
    <t>B0CHYPMNZD</t>
  </si>
  <si>
    <t>SH-BRS71-WT-42</t>
  </si>
  <si>
    <t>B0CHYLJ4TH</t>
  </si>
  <si>
    <t>SH-BRS71-WT-43</t>
  </si>
  <si>
    <t>B0CHYN9P5X</t>
  </si>
  <si>
    <t>SH-BRS71-WT-44</t>
  </si>
  <si>
    <t>B0CHYQBBZJ</t>
  </si>
  <si>
    <t>SH-BRS71-WT-45</t>
  </si>
  <si>
    <t>B0CHYPF1Y7</t>
  </si>
  <si>
    <t>SH-BRS71-WT-46</t>
  </si>
  <si>
    <t>B0CHYNKSFG</t>
  </si>
  <si>
    <t>SH-BRS71-WT-47</t>
  </si>
  <si>
    <t>SH-BRS71New</t>
  </si>
  <si>
    <t>SH-BRS73</t>
  </si>
  <si>
    <t>B0D2MS8XRT</t>
  </si>
  <si>
    <t>SH-BRS73-ABK-41</t>
  </si>
  <si>
    <t>SH-BRS73-ABK-42</t>
  </si>
  <si>
    <t>SH-BRS73-ABK-43</t>
  </si>
  <si>
    <t>SH-BRS73-ABK-44</t>
  </si>
  <si>
    <t>SH-BRS73-ABK-45</t>
  </si>
  <si>
    <t>SH-BRS73-ABK-46</t>
  </si>
  <si>
    <t>B0D2MS524V</t>
  </si>
  <si>
    <t>SH-BRS73-ABK-47</t>
  </si>
  <si>
    <t>B0D2MRPMVB</t>
  </si>
  <si>
    <t>SH-BRS73-BKWT-41</t>
  </si>
  <si>
    <t>SH-BRS73-BKWT-42</t>
  </si>
  <si>
    <t>SH-BRS73-BKWT-43</t>
  </si>
  <si>
    <t>B0D2MR5SJR</t>
  </si>
  <si>
    <t>SH-BRS73-BKWT-44</t>
  </si>
  <si>
    <t>SH-BRS73-BKWT-45</t>
  </si>
  <si>
    <t>SH-BRS73-BKWT-46</t>
  </si>
  <si>
    <t>SH-BRS73-BKWT-47</t>
  </si>
  <si>
    <t>B0D2MNB8CQ</t>
  </si>
  <si>
    <t>SH-BRS73-DKBU-41</t>
  </si>
  <si>
    <t>B0D2MRRNY9</t>
  </si>
  <si>
    <t>SH-BRS73-DKBU-42</t>
  </si>
  <si>
    <t>SH-BRS73-DKBU-43</t>
  </si>
  <si>
    <t>SH-BRS73-DKBU-44</t>
  </si>
  <si>
    <t>SH-BRS73-DKBU-45</t>
  </si>
  <si>
    <t>SH-BRS73-DKBU-46</t>
  </si>
  <si>
    <t>SH-BRS73-DKBU-47N</t>
  </si>
  <si>
    <t>SH-BRS73-GYWT-41</t>
  </si>
  <si>
    <t>B0D2MQK484</t>
  </si>
  <si>
    <t>SH-BRS73-GYWT-42</t>
  </si>
  <si>
    <t>SH-BRS73-GYWT-43</t>
  </si>
  <si>
    <t>SH-BRS73-GYWT-44</t>
  </si>
  <si>
    <t>B0DK8DFY52</t>
  </si>
  <si>
    <t>SH-BRS73-GYWT-45N</t>
  </si>
  <si>
    <t>B0D2MQK2Q8</t>
  </si>
  <si>
    <t>SH-BRS73-GYWT-46</t>
  </si>
  <si>
    <t>SH-BRS73-GYWT-47</t>
  </si>
  <si>
    <t>B0D2MRPGMW</t>
  </si>
  <si>
    <t>SH-BRS73-WT-41</t>
  </si>
  <si>
    <t>SH-BRS73-WT-42</t>
  </si>
  <si>
    <t>SH-BRS73-WT-43</t>
  </si>
  <si>
    <t>SH-BRS73-WT-44</t>
  </si>
  <si>
    <t>B0D2MQ8QT9</t>
  </si>
  <si>
    <t>SH-BRS73-WT-45</t>
  </si>
  <si>
    <t>B0DK8F6KRM</t>
  </si>
  <si>
    <t>SH-BRS73-WT-46N</t>
  </si>
  <si>
    <t>B0D2MT4QP8</t>
  </si>
  <si>
    <t>SH-BRS73-WT-47</t>
  </si>
  <si>
    <t>B0FCFP1DQ8</t>
  </si>
  <si>
    <t>SH-BRS7K05</t>
  </si>
  <si>
    <t>B0FCFP91RJ</t>
  </si>
  <si>
    <t>SH-BRS7K05-BK-28</t>
  </si>
  <si>
    <t>B0FCFSDZ3Q</t>
  </si>
  <si>
    <t>SH-BRS7K05-BK-29</t>
  </si>
  <si>
    <t>B0FCFS42P1</t>
  </si>
  <si>
    <t>SH-BRS7K05-BK-30</t>
  </si>
  <si>
    <t>B0FCFP6WXW</t>
  </si>
  <si>
    <t>SH-BRS7K05-BK-31</t>
  </si>
  <si>
    <t>B0FCFRT5ZX</t>
  </si>
  <si>
    <t>SH-BRS7K05-BK-32</t>
  </si>
  <si>
    <t>B0FCFNRSK8</t>
  </si>
  <si>
    <t>SH-BRS7K05-BK-33</t>
  </si>
  <si>
    <t>B0FCFS6P4R</t>
  </si>
  <si>
    <t>SH-BRS7K05-BK-34</t>
  </si>
  <si>
    <t>B0FCFSB8PT</t>
  </si>
  <si>
    <t>SH-BRS7K05-BK-35</t>
  </si>
  <si>
    <t>SH-BRS7K05-BK-36</t>
  </si>
  <si>
    <t>B0FCFQXSSR</t>
  </si>
  <si>
    <t>SH-BRS7K05-BK-37</t>
  </si>
  <si>
    <t>B0FCFP9GJ2</t>
  </si>
  <si>
    <t>SH-BRS7K05-BN-28</t>
  </si>
  <si>
    <t>B0FCFN6B2J</t>
  </si>
  <si>
    <t>SH-BRS7K05-BN-29</t>
  </si>
  <si>
    <t>B0FCFS89DH</t>
  </si>
  <si>
    <t>SH-BRS7K05-BN-30</t>
  </si>
  <si>
    <t>B0FCFS3CXB</t>
  </si>
  <si>
    <t>SH-BRS7K05-BN-31</t>
  </si>
  <si>
    <t>B0FCFRV63X</t>
  </si>
  <si>
    <t>SH-BRS7K05-BN-32</t>
  </si>
  <si>
    <t>B0FCFTBNNJ</t>
  </si>
  <si>
    <t>SH-BRS7K05-BN-33</t>
  </si>
  <si>
    <t>B0FCFNK7Q6</t>
  </si>
  <si>
    <t>SH-BRS7K05-BN-34</t>
  </si>
  <si>
    <t>B0FCFT3V83</t>
  </si>
  <si>
    <t>SH-BRS7K05-BN-35</t>
  </si>
  <si>
    <t>B0FCFQB891</t>
  </si>
  <si>
    <t>SH-BRS7K05-BN-36</t>
  </si>
  <si>
    <t>B0FCFPC9CR</t>
  </si>
  <si>
    <t>SH-BRS7K05-BN-37</t>
  </si>
  <si>
    <t>B0FCFP6FYX</t>
  </si>
  <si>
    <t>SH-BRS7K05-BU-28</t>
  </si>
  <si>
    <t>B0FCFSPPN9</t>
  </si>
  <si>
    <t>SH-BRS7K05-BU-29</t>
  </si>
  <si>
    <t>B0FCFSZ715</t>
  </si>
  <si>
    <t>SH-BRS7K05-BU-30</t>
  </si>
  <si>
    <t>B0FCFTS46X</t>
  </si>
  <si>
    <t>SH-BRS7K05-BU-31</t>
  </si>
  <si>
    <t>B0FCFPB693</t>
  </si>
  <si>
    <t>SH-BRS7K05-BU-32</t>
  </si>
  <si>
    <t>B0FCFS3VS1</t>
  </si>
  <si>
    <t>SH-BRS7K05-BU-33</t>
  </si>
  <si>
    <t>B0FCFR8C8N</t>
  </si>
  <si>
    <t>SH-BRS7K05-BU-34</t>
  </si>
  <si>
    <t>B0FCFQ25N5</t>
  </si>
  <si>
    <t>SH-BRS7K05-BU-35</t>
  </si>
  <si>
    <t>B0FCFRBXVX</t>
  </si>
  <si>
    <t>SH-BRS7K05-BU-36</t>
  </si>
  <si>
    <t>B0FCFSKBPM</t>
  </si>
  <si>
    <t>SH-BRS7K05-BU-37</t>
  </si>
  <si>
    <t>B0FCFS6LQQ</t>
  </si>
  <si>
    <t>SH-BRS7K05-GY-28</t>
  </si>
  <si>
    <t>B0FCFRP7JX</t>
  </si>
  <si>
    <t>SH-BRS7K05-GY-29</t>
  </si>
  <si>
    <t>B0FCFS1F9K</t>
  </si>
  <si>
    <t>SH-BRS7K05-GY-30</t>
  </si>
  <si>
    <t>B0FCFP6GMG</t>
  </si>
  <si>
    <t>SH-BRS7K05-GY-31</t>
  </si>
  <si>
    <t>B0FCFNWN8X</t>
  </si>
  <si>
    <t>SH-BRS7K05-GY-32</t>
  </si>
  <si>
    <t>B0FCFP8Q62</t>
  </si>
  <si>
    <t>SH-BRS7K05-GY-33</t>
  </si>
  <si>
    <t>B0FCFNK7QC</t>
  </si>
  <si>
    <t>SH-BRS7K05-GY-34</t>
  </si>
  <si>
    <t>B0FCFP9NWW</t>
  </si>
  <si>
    <t>SH-BRS7K05-GY-35</t>
  </si>
  <si>
    <t>B0FCFSHGBS</t>
  </si>
  <si>
    <t>SH-BRS7K05-GY-36</t>
  </si>
  <si>
    <t>B0FCFQF2FW</t>
  </si>
  <si>
    <t>SH-BRS7K05-GY-37</t>
  </si>
  <si>
    <t>B0FCFTGQ34</t>
  </si>
  <si>
    <t>SH-BRS7K05-PL-28</t>
  </si>
  <si>
    <t>B0FCFQH4H1</t>
  </si>
  <si>
    <t>SH-BRS7K05-PL-29</t>
  </si>
  <si>
    <t>B0FCFSQMXN</t>
  </si>
  <si>
    <t>SH-BRS7K05-PL-30</t>
  </si>
  <si>
    <t>B0FCFP8292</t>
  </si>
  <si>
    <t>SH-BRS7K05-PL-31</t>
  </si>
  <si>
    <t>B0FCFPCGSG</t>
  </si>
  <si>
    <t>SH-BRS7K05-PL-32</t>
  </si>
  <si>
    <t>B0FCFQWRN6</t>
  </si>
  <si>
    <t>SH-BRS7K05-PL-33</t>
  </si>
  <si>
    <t>B0FCFR3SG6</t>
  </si>
  <si>
    <t>SH-BRS7K05-PL-34</t>
  </si>
  <si>
    <t>B0FCFSKDCF</t>
  </si>
  <si>
    <t>SH-BRS7K05-PL-35</t>
  </si>
  <si>
    <t>B0FCFNPG2V</t>
  </si>
  <si>
    <t>SH-BRS7K05-PL-36</t>
  </si>
  <si>
    <t>B0FCFSB8PR</t>
  </si>
  <si>
    <t>SH-BRS7K05-PL-37</t>
  </si>
  <si>
    <t>B0DD731SQC</t>
  </si>
  <si>
    <t>SH-BRS7KB-BK-45</t>
  </si>
  <si>
    <t>B0DD72CP32</t>
  </si>
  <si>
    <t>SH-BRS7KB-BK-46</t>
  </si>
  <si>
    <t>B0FND3XCL2</t>
  </si>
  <si>
    <t>SH-BRS7KB-BKWT-42</t>
  </si>
  <si>
    <t>B0FND1S8NN</t>
  </si>
  <si>
    <t>SH-BRS7KB-BKWT-43</t>
  </si>
  <si>
    <t>B0FND2TM77</t>
  </si>
  <si>
    <t>SH-BRS7KB-BKWT-44</t>
  </si>
  <si>
    <t>B0FND15M9W</t>
  </si>
  <si>
    <t>SH-BRS7KB-BKWT-45</t>
  </si>
  <si>
    <t>B0FND441MF</t>
  </si>
  <si>
    <t>SH-BRS7KB-BKWT-46</t>
  </si>
  <si>
    <t>B0FND193CB</t>
  </si>
  <si>
    <t>SH-BRS7KB-BKWT-47</t>
  </si>
  <si>
    <t>B07XDK77CR</t>
  </si>
  <si>
    <t>SH-BRX2</t>
  </si>
  <si>
    <t>B07VNLK487</t>
  </si>
  <si>
    <t>SH-BRX2-BKWT-42</t>
  </si>
  <si>
    <t>B07VRPJHNF</t>
  </si>
  <si>
    <t>SH-BRX2-BKWT-43</t>
  </si>
  <si>
    <t>B07WYKGL6L</t>
  </si>
  <si>
    <t>SH-BRXDMX0321-PK-43</t>
  </si>
  <si>
    <t>SH-BRY10-BK-36</t>
  </si>
  <si>
    <t>SH-BRY10-BK-38</t>
  </si>
  <si>
    <t>SH-BRY10-BK-40</t>
  </si>
  <si>
    <t>SH-BRY10-BK-41N</t>
  </si>
  <si>
    <t>SH-BRY10-BK-43</t>
  </si>
  <si>
    <t>SH-BRY10-BK-45</t>
  </si>
  <si>
    <t>SH-BRY10-BK-47</t>
  </si>
  <si>
    <t>SH-BRY10-BK-49</t>
  </si>
  <si>
    <t>SH-BRY10-BL-36</t>
  </si>
  <si>
    <t>SH-BRY10-BL-38</t>
  </si>
  <si>
    <t>SH-BRY10-BL-40</t>
  </si>
  <si>
    <t>SH-BRY10-BL-41</t>
  </si>
  <si>
    <t>SH-BRY10-BL-43</t>
  </si>
  <si>
    <t>SH-BRY10-BN-36</t>
  </si>
  <si>
    <t>SH-BRY10-BN-38</t>
  </si>
  <si>
    <t>SH-BRY10-BN-40</t>
  </si>
  <si>
    <t>SH-BRY10-BN-41</t>
  </si>
  <si>
    <t>SH-BRY10-BN-43</t>
  </si>
  <si>
    <t>SH-BRY10-BN-45</t>
  </si>
  <si>
    <t>SH-BRY10-BN-47</t>
  </si>
  <si>
    <t>SH-BRY10-BN-49</t>
  </si>
  <si>
    <t>SH-BRY10-BU-36</t>
  </si>
  <si>
    <t>SH-BRY10-BU-38</t>
  </si>
  <si>
    <t>SH-BRY10-BU-40</t>
  </si>
  <si>
    <t>SH-BRY10-BU-41</t>
  </si>
  <si>
    <t>SH-BRY10-BU-43</t>
  </si>
  <si>
    <t>SH-BRY10-BU-45</t>
  </si>
  <si>
    <t>SH-BRY10-BU-47</t>
  </si>
  <si>
    <t>SH-BRY10-BU-49</t>
  </si>
  <si>
    <t>SH-BRY10-CL-36</t>
  </si>
  <si>
    <t>SH-BRY10-CL-38</t>
  </si>
  <si>
    <t>SH-BRY10-CL-40</t>
  </si>
  <si>
    <t>SH-BRY10-CL-41</t>
  </si>
  <si>
    <t>SH-BRY10-CL-43</t>
  </si>
  <si>
    <t>SH-BRY10-CL-45</t>
  </si>
  <si>
    <t>SH-BRY10-CL-47</t>
  </si>
  <si>
    <t>SH-BRY10-CL-49</t>
  </si>
  <si>
    <t>B0BPX1PNWY</t>
  </si>
  <si>
    <t>SH-BRY10-GN-36</t>
  </si>
  <si>
    <t>B0BPX67L2B</t>
  </si>
  <si>
    <t>SH-BRY10-GN-38</t>
  </si>
  <si>
    <t>B0BPX2QM32</t>
  </si>
  <si>
    <t>SH-BRY10-GN-40</t>
  </si>
  <si>
    <t>B0BPXG8FSH</t>
  </si>
  <si>
    <t>SH-BRY10-GN-41</t>
  </si>
  <si>
    <t>B0BPX3GKR9</t>
  </si>
  <si>
    <t>SH-BRY10-GN-43</t>
  </si>
  <si>
    <t>SH-BRY10-GY-36</t>
  </si>
  <si>
    <t>SH-BRY10-GY-38</t>
  </si>
  <si>
    <t>SH-BRY10-GY-40</t>
  </si>
  <si>
    <t>SH-BRY10-GY-41</t>
  </si>
  <si>
    <t>SH-BRY10-GY-43</t>
  </si>
  <si>
    <t>SH-BRY10-GY-45</t>
  </si>
  <si>
    <t>SH-BRY10-GY-47</t>
  </si>
  <si>
    <t>SH-BRY10-GY-49</t>
  </si>
  <si>
    <t>SH-BRY10-KQ-36</t>
  </si>
  <si>
    <t>SH-BRY10-KQ-38</t>
  </si>
  <si>
    <t>SH-BRY10-KQ-40</t>
  </si>
  <si>
    <t>SH-BRY10-KQ-41</t>
  </si>
  <si>
    <t>SH-BRY10-KQ-43</t>
  </si>
  <si>
    <t>SH-BRY10-KQ-45</t>
  </si>
  <si>
    <t>B097SX993D</t>
  </si>
  <si>
    <t>SH-BRY10-LPD-36</t>
  </si>
  <si>
    <t>B097SYT38T</t>
  </si>
  <si>
    <t>SH-BRY10-LPD-38</t>
  </si>
  <si>
    <t>SH-BRY10-OLGN-36</t>
  </si>
  <si>
    <t>SH-BRY10-OLGN-38</t>
  </si>
  <si>
    <t>SH-BRY10-OLGN-40</t>
  </si>
  <si>
    <t>SH-BRY10-OLGN-41</t>
  </si>
  <si>
    <t>SH-BRY10-OLGN-43</t>
  </si>
  <si>
    <t>SH-BRY10-OLGN-45</t>
  </si>
  <si>
    <t>SH-BRY10-PK-36</t>
  </si>
  <si>
    <t>SH-BRY10-PK-38</t>
  </si>
  <si>
    <t>SH-BRY10-PK-40</t>
  </si>
  <si>
    <t>SH-BRY10-PK-41</t>
  </si>
  <si>
    <t>SH-BRY10-PK-43</t>
  </si>
  <si>
    <t>SH-BRY10-PL-36</t>
  </si>
  <si>
    <t>SH-BRY10-PL-38</t>
  </si>
  <si>
    <t>SH-BRY10-PL-40</t>
  </si>
  <si>
    <t>SH-BRY10-PL-41</t>
  </si>
  <si>
    <t>SH-BRY10-PL-43</t>
  </si>
  <si>
    <t>B097SX2GTT</t>
  </si>
  <si>
    <t>SH-BRY10-PTD-36</t>
  </si>
  <si>
    <t>B09BN65ZY7</t>
  </si>
  <si>
    <t>SH-BRY10-RERD-36</t>
  </si>
  <si>
    <t>SH-BRY10-RERD-38</t>
  </si>
  <si>
    <t>SH-BRY10-RERD-40</t>
  </si>
  <si>
    <t>SH-BRY10-RERD-41</t>
  </si>
  <si>
    <t>SH-BRY10-RERD-43</t>
  </si>
  <si>
    <t>SH-BRY10-TPL-36</t>
  </si>
  <si>
    <t>SH-BRY10-TPL-38</t>
  </si>
  <si>
    <t>SH-BRY10-TPL-40</t>
  </si>
  <si>
    <t>SH-BRY10-TPL-41</t>
  </si>
  <si>
    <t>SH-BRY10-TPL-43</t>
  </si>
  <si>
    <t>SH-BRY10-WERD-36</t>
  </si>
  <si>
    <t>SH-BRY10-WERD-38</t>
  </si>
  <si>
    <t>SH-BRY10-WERD-40</t>
  </si>
  <si>
    <t>SH-BRY10-WERD-41</t>
  </si>
  <si>
    <t>SH-BRY10-WERD-43</t>
  </si>
  <si>
    <t>SH-BRY10-WERD-45</t>
  </si>
  <si>
    <t>SH-BRY10-WERD-47</t>
  </si>
  <si>
    <t>SH-BRY10-WERD-49</t>
  </si>
  <si>
    <t>SH-BRY10-WT-36</t>
  </si>
  <si>
    <t>SH-BRY10-WT-38</t>
  </si>
  <si>
    <t>SH-BRY10-WT-40</t>
  </si>
  <si>
    <t>SH-BRY10-WT-41</t>
  </si>
  <si>
    <t>SH-BRY10-WT-43</t>
  </si>
  <si>
    <t>B092QXBJ1J</t>
  </si>
  <si>
    <t>SH-BRY10-YL-38</t>
  </si>
  <si>
    <t>SH-BRY10New</t>
  </si>
  <si>
    <t>SH-BRY180-BK-36</t>
  </si>
  <si>
    <t>SH-BRY180-BK-38</t>
  </si>
  <si>
    <t>SH-BRY180-BK-40N</t>
  </si>
  <si>
    <t>SH-BRY180-BK-41N</t>
  </si>
  <si>
    <t>SH-BRY180-BK-43</t>
  </si>
  <si>
    <t>SH-BRY180-BK-43N</t>
  </si>
  <si>
    <t>SH-BRY180-BK-45</t>
  </si>
  <si>
    <t>SH-BRY180-BK-47</t>
  </si>
  <si>
    <t>SH-BRY180-BL-36</t>
  </si>
  <si>
    <t>SH-BRY180-BL-38</t>
  </si>
  <si>
    <t>SH-BRY180-BL-40</t>
  </si>
  <si>
    <t>SH-BRY180-BL-41</t>
  </si>
  <si>
    <t>SH-BRY180-BL-43</t>
  </si>
  <si>
    <t>SH-BRY180-BN-36</t>
  </si>
  <si>
    <t>SH-BRY180-BN-38</t>
  </si>
  <si>
    <t>SH-BRY180-BN-40</t>
  </si>
  <si>
    <t>SH-BRY180-BN-40N</t>
  </si>
  <si>
    <t>SH-BRY180-BN-41N</t>
  </si>
  <si>
    <t>B0CN997VTX</t>
  </si>
  <si>
    <t>SH-BRY180-BN-43</t>
  </si>
  <si>
    <t>SH-BRY180-BN-43S</t>
  </si>
  <si>
    <t>SH-BRY180-CL-36</t>
  </si>
  <si>
    <t>SH-BRY180-CL-38</t>
  </si>
  <si>
    <t>SH-BRY180-CL-40</t>
  </si>
  <si>
    <t>SH-BRY180-CL-41</t>
  </si>
  <si>
    <t>SH-BRY180-CL-43</t>
  </si>
  <si>
    <t>SH-BRY180-CL-45N</t>
  </si>
  <si>
    <t>SH-BRY180-CL-47N</t>
  </si>
  <si>
    <t>B0CW1N3S5Y</t>
  </si>
  <si>
    <t>SH-BRY180-GY-36</t>
  </si>
  <si>
    <t>SH-BRY180-GY-38</t>
  </si>
  <si>
    <t>SH-BRY180-GY-40</t>
  </si>
  <si>
    <t>SH-BRY180-GY-41</t>
  </si>
  <si>
    <t>SH-BRY180-GY-43</t>
  </si>
  <si>
    <t>SH-BRY180-GY-45</t>
  </si>
  <si>
    <t>SH-BRY180-GY-47</t>
  </si>
  <si>
    <t>SH-BRY180-TPL-36</t>
  </si>
  <si>
    <t>SH-BRY180-TPL-38</t>
  </si>
  <si>
    <t>SH-BRY180-TPL-40</t>
  </si>
  <si>
    <t>SH-BRY180-TPL-41</t>
  </si>
  <si>
    <t>SH-BRY180-TPL-43</t>
  </si>
  <si>
    <t>SH-BRY180-WT-36</t>
  </si>
  <si>
    <t>SH-BRY180-WT-38</t>
  </si>
  <si>
    <t>SH-BRY180-WT-40N</t>
  </si>
  <si>
    <t>SH-BRY180-WT-41</t>
  </si>
  <si>
    <t>SH-BRY180-WT-43</t>
  </si>
  <si>
    <t>SH-BRY180S</t>
  </si>
  <si>
    <t>B09Y8Z37CK</t>
  </si>
  <si>
    <t>SH-BRY51-BG-36</t>
  </si>
  <si>
    <t>B09Y8ZPGTN</t>
  </si>
  <si>
    <t>SH-BRY51-BG-38</t>
  </si>
  <si>
    <t>B09Y8XRWQL</t>
  </si>
  <si>
    <t>SH-BRY51-BG-40</t>
  </si>
  <si>
    <t>B09Y8WW892</t>
  </si>
  <si>
    <t>SH-BRY51-BG-41</t>
  </si>
  <si>
    <t>B09Y8XJ1C2</t>
  </si>
  <si>
    <t>SH-BRY51-BG-43</t>
  </si>
  <si>
    <t>B09Y8Y7QCX</t>
  </si>
  <si>
    <t>SH-BRY51-BG-45</t>
  </si>
  <si>
    <t>B0B5G2R6M2</t>
  </si>
  <si>
    <t>SH-BRY51-BG-49</t>
  </si>
  <si>
    <t>B09Y8XYFXL</t>
  </si>
  <si>
    <t>SH-BRY51-BK-36</t>
  </si>
  <si>
    <t>B09Y8YL8N3</t>
  </si>
  <si>
    <t>SH-BRY51-BK-38</t>
  </si>
  <si>
    <t>B09Y8XY5M8</t>
  </si>
  <si>
    <t>SH-BRY51-BK-40</t>
  </si>
  <si>
    <t>B09Y8XJC4Z</t>
  </si>
  <si>
    <t>SH-BRY51-BK-41</t>
  </si>
  <si>
    <t>B09Y8YFRXT</t>
  </si>
  <si>
    <t>SH-BRY51-BK-43</t>
  </si>
  <si>
    <t>B09Y8XHJMB</t>
  </si>
  <si>
    <t>SH-BRY51-BK-45</t>
  </si>
  <si>
    <t>B0B5G2KT56</t>
  </si>
  <si>
    <t>SH-BRY51-BK-47</t>
  </si>
  <si>
    <t>B09Y8YJKFR</t>
  </si>
  <si>
    <t>SH-BRY51-BN-36</t>
  </si>
  <si>
    <t>B09Y8YY5WP</t>
  </si>
  <si>
    <t>SH-BRY51-BN-38</t>
  </si>
  <si>
    <t>B09Y8Y1KVW</t>
  </si>
  <si>
    <t>SH-BRY51-BN-40</t>
  </si>
  <si>
    <t>B09Y8YJ4DQ</t>
  </si>
  <si>
    <t>SH-BRY51-BN-41</t>
  </si>
  <si>
    <t>B0B5G3NM28</t>
  </si>
  <si>
    <t>SH-BRY51-BN-47</t>
  </si>
  <si>
    <t>B0B5N2WN93</t>
  </si>
  <si>
    <t>SH-BRY51-LPL-38</t>
  </si>
  <si>
    <t>B0B5N2BVBX</t>
  </si>
  <si>
    <t>SH-BRY51-LPL-43</t>
  </si>
  <si>
    <t>B09Y8YV85Z</t>
  </si>
  <si>
    <t>SH-BRY51-PK-38</t>
  </si>
  <si>
    <t>B09Y8YQVF1</t>
  </si>
  <si>
    <t>SH-BRY51-PK-43</t>
  </si>
  <si>
    <t>B09Y8YS86S</t>
  </si>
  <si>
    <t>SH-BRY52-BG-36</t>
  </si>
  <si>
    <t>B09Y8XZVTN</t>
  </si>
  <si>
    <t>SH-BRY52-BG-45</t>
  </si>
  <si>
    <t>B09Y8XT2KW</t>
  </si>
  <si>
    <t>SH-BRY52-BK-45</t>
  </si>
  <si>
    <t>B09Y8XC86N</t>
  </si>
  <si>
    <t>SH-BRY52-PK-36</t>
  </si>
  <si>
    <t>B09Y8YJ2YT</t>
  </si>
  <si>
    <t>SH-BRY52-PK-41</t>
  </si>
  <si>
    <t>B09Y8XMZKT</t>
  </si>
  <si>
    <t>SH-BRY52-PK-43</t>
  </si>
  <si>
    <t>SH-BRY80</t>
  </si>
  <si>
    <t>B0DSBYVZMB</t>
  </si>
  <si>
    <t>SH-BRY80-BG-10</t>
  </si>
  <si>
    <t>B0DSC2GFFC</t>
  </si>
  <si>
    <t>SH-BRY80-BG-11</t>
  </si>
  <si>
    <t>B0DSC37B9Y</t>
  </si>
  <si>
    <t>SH-BRY80-BG-12</t>
  </si>
  <si>
    <t>B0DSC1T8R9</t>
  </si>
  <si>
    <t>SH-BRY80-BG-13</t>
  </si>
  <si>
    <t>B0DSBZZGJW</t>
  </si>
  <si>
    <t>SH-BRY80-BG-6</t>
  </si>
  <si>
    <t>B0DSBYXQTZ</t>
  </si>
  <si>
    <t>SH-BRY80-BG-9</t>
  </si>
  <si>
    <t>SH-BRY80-BK-10</t>
  </si>
  <si>
    <t>SH-BRY80-BK-11</t>
  </si>
  <si>
    <t>SH-BRY80-BK-12</t>
  </si>
  <si>
    <t>SH-BRY80-BK-13</t>
  </si>
  <si>
    <t>B0DSC21V9N</t>
  </si>
  <si>
    <t>SH-BRY80-BK-6</t>
  </si>
  <si>
    <t>SH-BRY80-BK-7</t>
  </si>
  <si>
    <t>B0DSC13ZC4</t>
  </si>
  <si>
    <t>SH-BRY80-BK-8</t>
  </si>
  <si>
    <t>SH-BRY80-BK-9</t>
  </si>
  <si>
    <t>SH-BRY80-BN-10</t>
  </si>
  <si>
    <t>B0DSBWHN5D</t>
  </si>
  <si>
    <t>SH-BRY80-BN-11</t>
  </si>
  <si>
    <t>B0DSC1SK3H</t>
  </si>
  <si>
    <t>SH-BRY80-BN-12</t>
  </si>
  <si>
    <t>B0DSC1TZWY</t>
  </si>
  <si>
    <t>SH-BRY80-BN-6</t>
  </si>
  <si>
    <t>B0DSBZH3QD</t>
  </si>
  <si>
    <t>SH-BRY80-BN-7</t>
  </si>
  <si>
    <t>B0DSC2NJ99</t>
  </si>
  <si>
    <t>SH-BRY80-BN-9</t>
  </si>
  <si>
    <t>SH-BRY80-DKBU-10</t>
  </si>
  <si>
    <t>SH-BRY80-DKBU-11</t>
  </si>
  <si>
    <t>B0DSC1SVNK</t>
  </si>
  <si>
    <t>SH-BRY80-DKBU-12</t>
  </si>
  <si>
    <t>B0FK9ZHDLN</t>
  </si>
  <si>
    <t>SH-BRY80-DKBU-12N</t>
  </si>
  <si>
    <t>B0DSC27LKQ</t>
  </si>
  <si>
    <t>SH-BRY80-DKBU-13</t>
  </si>
  <si>
    <t>B0FKB2F21S</t>
  </si>
  <si>
    <t>SH-BRY80-DKBU-13N</t>
  </si>
  <si>
    <t>B0F4PPMDD3</t>
  </si>
  <si>
    <t>SH-BRY80-DKBU-6</t>
  </si>
  <si>
    <t>SH-BRY80-DKBU-7</t>
  </si>
  <si>
    <t>B0DSC2BLH2</t>
  </si>
  <si>
    <t>SH-BRY80-DKBU-8</t>
  </si>
  <si>
    <t>SH-BRY80-DKBU-9</t>
  </si>
  <si>
    <t>SH-BRY80-GN-10</t>
  </si>
  <si>
    <t>SH-BRY80-GN-11</t>
  </si>
  <si>
    <t>B0F4MWQV41</t>
  </si>
  <si>
    <t>SH-BRY80-GN-12</t>
  </si>
  <si>
    <t>B0F4MXQMP8</t>
  </si>
  <si>
    <t>SH-BRY80-GN-8</t>
  </si>
  <si>
    <t>B0F4MW4B16</t>
  </si>
  <si>
    <t>SH-BRY80-GN-9</t>
  </si>
  <si>
    <t>SH-BRY80-GY-10</t>
  </si>
  <si>
    <t>SH-BRY80-GY-11</t>
  </si>
  <si>
    <t>B0DSBY1CS3</t>
  </si>
  <si>
    <t>SH-BRY80-GY-12</t>
  </si>
  <si>
    <t>B0DSBZFDKZ</t>
  </si>
  <si>
    <t>SH-BRY80-GY-13</t>
  </si>
  <si>
    <t>B0FKB2L4YD</t>
  </si>
  <si>
    <t>SH-BRY80-GY-13N</t>
  </si>
  <si>
    <t>SH-BRY80-GY-6</t>
  </si>
  <si>
    <t>B0DSBZGB62</t>
  </si>
  <si>
    <t>SH-BRY80-GY-7</t>
  </si>
  <si>
    <t>B0FK9TKYGH</t>
  </si>
  <si>
    <t>SH-BRY80-GY-7N</t>
  </si>
  <si>
    <t>SH-BRY80-GY-8</t>
  </si>
  <si>
    <t>B0DSBYWT43</t>
  </si>
  <si>
    <t>SH-BRY80-GY-9</t>
  </si>
  <si>
    <t>SH-BRY80-PK-10</t>
  </si>
  <si>
    <t>SH-BRY80-PK-11</t>
  </si>
  <si>
    <t>B0DSC2VB1J</t>
  </si>
  <si>
    <t>SH-BRY80-PK-6</t>
  </si>
  <si>
    <t>B0FKB6YRJL</t>
  </si>
  <si>
    <t>SH-BRY80-PK-6N</t>
  </si>
  <si>
    <t>B0DSBY2383</t>
  </si>
  <si>
    <t>SH-BRY80-PK-7</t>
  </si>
  <si>
    <t>SH-BRY80-PK-9</t>
  </si>
  <si>
    <t>B088N5RZMP</t>
  </si>
  <si>
    <t>SH-BRYZ52-BKBU-38</t>
  </si>
  <si>
    <t>B088NS2GJV</t>
  </si>
  <si>
    <t>SH-BRYZ52-BKGD-38</t>
  </si>
  <si>
    <t>B088NN4N1N</t>
  </si>
  <si>
    <t>SH-BRYZ52-WTGN-37</t>
  </si>
  <si>
    <t>B088N8CWW9</t>
  </si>
  <si>
    <t>SH-BRYZ52-WTGN-41</t>
  </si>
  <si>
    <t>B08CVTPJBG</t>
  </si>
  <si>
    <t>SH-BRYZ53-BKOG-40</t>
  </si>
  <si>
    <t>B08CVTQ7PZ</t>
  </si>
  <si>
    <t>SH-BRYZ53-DKBU-39</t>
  </si>
  <si>
    <t>B08CVRS6D2</t>
  </si>
  <si>
    <t>SH-BRYZ53-DKBU-41</t>
  </si>
  <si>
    <t>B095K23466</t>
  </si>
  <si>
    <t>SH-KDYG02-HSGN-3</t>
  </si>
  <si>
    <t>B095K2PTVH</t>
  </si>
  <si>
    <t>SH-KDYG02-HSGY-3</t>
  </si>
  <si>
    <t>B095K34TST</t>
  </si>
  <si>
    <t>SH-KDYG02-HSRD-2</t>
  </si>
  <si>
    <t>B095JZ5QBL</t>
  </si>
  <si>
    <t>SH-KDYG02-HSRD-3</t>
  </si>
  <si>
    <t>B095K2D99M</t>
  </si>
  <si>
    <t>SH-KDYG02-PL-2</t>
  </si>
  <si>
    <t>B0921SH725</t>
  </si>
  <si>
    <t>SH-WTC13-BN-40</t>
  </si>
  <si>
    <t>B0921S5516</t>
  </si>
  <si>
    <t>SH-WTC13-BN-42</t>
  </si>
  <si>
    <t>B09222PHWX</t>
  </si>
  <si>
    <t>SH-WTC13-BN-47</t>
  </si>
  <si>
    <t>B0921TJ8CH</t>
  </si>
  <si>
    <t>SH-WTC13-BU-40</t>
  </si>
  <si>
    <t>B09217T57X</t>
  </si>
  <si>
    <t>SH-WTC13-BU-41</t>
  </si>
  <si>
    <t>B0921FMF2L</t>
  </si>
  <si>
    <t>SH-WTC13-BU-42</t>
  </si>
  <si>
    <t>B0CTCGK79F</t>
  </si>
  <si>
    <t>SH-WTF100-ABK-39</t>
  </si>
  <si>
    <t>B0CTCFXBR7</t>
  </si>
  <si>
    <t>SH-WTF100-ABK-40</t>
  </si>
  <si>
    <t>B0CTCH4QWS</t>
  </si>
  <si>
    <t>SH-WTF100-ABK-43</t>
  </si>
  <si>
    <t>B0CTCHTPGY</t>
  </si>
  <si>
    <t>SH-WTF100-BUPK-36</t>
  </si>
  <si>
    <t>B0CTCHNB8M</t>
  </si>
  <si>
    <t>SH-WTF100-BUPK-39</t>
  </si>
  <si>
    <t>B0CTCJLSSX</t>
  </si>
  <si>
    <t>SH-WTF100-BUPK-41</t>
  </si>
  <si>
    <t>B0CTCGHLRW</t>
  </si>
  <si>
    <t>SH-WTF100-BUPK-42</t>
  </si>
  <si>
    <t>B0CTCHXQTL</t>
  </si>
  <si>
    <t>SH-WTF100-BUWT-36</t>
  </si>
  <si>
    <t>B0CTCGP9FL</t>
  </si>
  <si>
    <t>SH-WTF100-BUWT-39</t>
  </si>
  <si>
    <t>B0CTCJ6FDG</t>
  </si>
  <si>
    <t>SH-WTF100-BUWT-43</t>
  </si>
  <si>
    <t>B0CTCGPM6W</t>
  </si>
  <si>
    <t>SH-WTF100-WT-36</t>
  </si>
  <si>
    <t>B0CTCGB8TV</t>
  </si>
  <si>
    <t>SH-WTF100-WT-40</t>
  </si>
  <si>
    <t>B0D7BTNN8Q</t>
  </si>
  <si>
    <t>SH-WTMT66-WT-11</t>
  </si>
  <si>
    <t>B07VQ7Q116</t>
  </si>
  <si>
    <t>SH-WTS25-ABK-37</t>
  </si>
  <si>
    <t>B07VT3WYB1</t>
  </si>
  <si>
    <t>SH-WTS25-ABK-39</t>
  </si>
  <si>
    <t>B07VSZP24N</t>
  </si>
  <si>
    <t>SH-WTS25-AWT-36</t>
  </si>
  <si>
    <t>B07VT53CVX</t>
  </si>
  <si>
    <t>SH-WTS25-AWT-40</t>
  </si>
  <si>
    <t>B07VSG4X8Y</t>
  </si>
  <si>
    <t>SH-WTS25-LTBU-43</t>
  </si>
  <si>
    <t>B07VT4K9NR</t>
  </si>
  <si>
    <t>SH-WTS25-PKPL-37</t>
  </si>
  <si>
    <t>B07VT4ZDS9</t>
  </si>
  <si>
    <t>SH-WTS25-PKPL-38</t>
  </si>
  <si>
    <t>B07VT5X2Y4</t>
  </si>
  <si>
    <t>SH-WTS25-PKPL-42</t>
  </si>
  <si>
    <t>B088FP9LBJ</t>
  </si>
  <si>
    <t>SH-WTS26-ABK-37</t>
  </si>
  <si>
    <t>B088FNTGHN</t>
  </si>
  <si>
    <t>SH-WTS26-ABK-38</t>
  </si>
  <si>
    <t>B088FP9L77</t>
  </si>
  <si>
    <t>SH-WTS26-GY-44</t>
  </si>
  <si>
    <t>B08RDP95DN</t>
  </si>
  <si>
    <t>SH-WTS26-LBU-36</t>
  </si>
  <si>
    <t>B08RDP3TBV</t>
  </si>
  <si>
    <t>SH-WTS26-LBU-37</t>
  </si>
  <si>
    <t>B08RDP5D5M</t>
  </si>
  <si>
    <t>SH-WTS26-LBU-38</t>
  </si>
  <si>
    <t>B08RDNB4X4</t>
  </si>
  <si>
    <t>SH-WTS26-LBU-40</t>
  </si>
  <si>
    <t>B08RDN8MXX</t>
  </si>
  <si>
    <t>SH-WTS26-LBU-41</t>
  </si>
  <si>
    <t>B08RDP52S7</t>
  </si>
  <si>
    <t>SH-WTS26-LBU-42</t>
  </si>
  <si>
    <t>B0829NB6PP</t>
  </si>
  <si>
    <t>SH-WTS26-WT-36</t>
  </si>
  <si>
    <t>B089K5BNPZ</t>
  </si>
  <si>
    <t>SH-WTS7-ABK-36</t>
  </si>
  <si>
    <t>B089JYBBLJ</t>
  </si>
  <si>
    <t>SH-WTS7-ABK-38</t>
  </si>
  <si>
    <t>B089KBYBLL</t>
  </si>
  <si>
    <t>SH-WTS7-ABK-39</t>
  </si>
  <si>
    <t>B089KDN9DB</t>
  </si>
  <si>
    <t>SH-WTS7-ABK-42</t>
  </si>
  <si>
    <t>B089KDZQMG</t>
  </si>
  <si>
    <t>SH-WTS7-GYPK-37</t>
  </si>
  <si>
    <t>B089KBB73L</t>
  </si>
  <si>
    <t>SH-WTS7-GYPK-41</t>
  </si>
  <si>
    <t>B089K58T5B</t>
  </si>
  <si>
    <t>SH-WTS7-PL-37</t>
  </si>
  <si>
    <t>B089K9XRQ2</t>
  </si>
  <si>
    <t>SH-WTS7-PL-38</t>
  </si>
  <si>
    <t>B0DVZR8MJW</t>
  </si>
  <si>
    <t>SH-WTV101</t>
  </si>
  <si>
    <t>B0DVZQ344R</t>
  </si>
  <si>
    <t>SH-WTV101-ABK-42</t>
  </si>
  <si>
    <t>B0DVZRN8GQ</t>
  </si>
  <si>
    <t>SH-WTV101-ABK-43</t>
  </si>
  <si>
    <t>B0DVZRC1SR</t>
  </si>
  <si>
    <t>SH-WTV101-ABK-44</t>
  </si>
  <si>
    <t>B0DVZQFYXB</t>
  </si>
  <si>
    <t>SH-WTV101-ABK-45</t>
  </si>
  <si>
    <t>B0DVZR8FCT</t>
  </si>
  <si>
    <t>SH-WTV101-ABK-46</t>
  </si>
  <si>
    <t>B0DVZSPSR7</t>
  </si>
  <si>
    <t>SH-WTV101-ABK-47</t>
  </si>
  <si>
    <t>B0DVZP62P4</t>
  </si>
  <si>
    <t>SH-WTV101-BKWT-41</t>
  </si>
  <si>
    <t>B0DVZSZ21Z</t>
  </si>
  <si>
    <t>SH-WTV101-BKWT-43</t>
  </si>
  <si>
    <t>B0DVZR2R9F</t>
  </si>
  <si>
    <t>SH-WTV101-BKWT-44</t>
  </si>
  <si>
    <t>B0DVZRC1SN</t>
  </si>
  <si>
    <t>SH-WTV101-BKWT-45</t>
  </si>
  <si>
    <t>B0DVZRBYFS</t>
  </si>
  <si>
    <t>SH-WTV101-BKWT-46</t>
  </si>
  <si>
    <t>B0DVZQR4YR</t>
  </si>
  <si>
    <t>SH-WTV101-BKWT-47</t>
  </si>
  <si>
    <t>B0DVZPW9ML</t>
  </si>
  <si>
    <t>SH-WTV101-DKBU-41</t>
  </si>
  <si>
    <t>B0DVZR8559</t>
  </si>
  <si>
    <t>SH-WTV101-DKBU-42</t>
  </si>
  <si>
    <t>B0DVZQZ8T4</t>
  </si>
  <si>
    <t>SH-WTV101-DKBU-43</t>
  </si>
  <si>
    <t>B0DVZQNXZ6</t>
  </si>
  <si>
    <t>SH-WTV101-DKBU-44</t>
  </si>
  <si>
    <t>B0DVZSFMQY</t>
  </si>
  <si>
    <t>SH-WTV101-DKBU-45</t>
  </si>
  <si>
    <t>B0DVZQLSTD</t>
  </si>
  <si>
    <t>SH-WTV101-DKBU-46</t>
  </si>
  <si>
    <t>B0DVZSFKN4</t>
  </si>
  <si>
    <t>SH-WTV101-DKBU-47</t>
  </si>
  <si>
    <t>B0DVZS57RC</t>
  </si>
  <si>
    <t>SH-WTV101-DKGY-41</t>
  </si>
  <si>
    <t>B0DVZRGMSQ</t>
  </si>
  <si>
    <t>SH-WTV101-DKGY-42</t>
  </si>
  <si>
    <t>B0DVZRFXWR</t>
  </si>
  <si>
    <t>SH-WTV101-DKGY-43</t>
  </si>
  <si>
    <t>B0DVZQSXC4</t>
  </si>
  <si>
    <t>SH-WTV101-DKGY-44</t>
  </si>
  <si>
    <t>B0DVZQWSVK</t>
  </si>
  <si>
    <t>SH-WTV101-DKGY-45</t>
  </si>
  <si>
    <t>B0DVZPYDGZ</t>
  </si>
  <si>
    <t>SH-WTV101-DKGY-46</t>
  </si>
  <si>
    <t>B0DVZRLXL8</t>
  </si>
  <si>
    <t>SH-WTV101-DKGY-47</t>
  </si>
  <si>
    <t>B0F3CMW6JR</t>
  </si>
  <si>
    <t>SH-WTV202</t>
  </si>
  <si>
    <t>B0F3CT71ZV</t>
  </si>
  <si>
    <t>SH-WTV202-ABK-36</t>
  </si>
  <si>
    <t>B0F3CN8CT8</t>
  </si>
  <si>
    <t>SH-WTV202-ABK-37</t>
  </si>
  <si>
    <t>B0F3CN9V6J</t>
  </si>
  <si>
    <t>SH-WTV202-ABK-38</t>
  </si>
  <si>
    <t>B0F3CPF762</t>
  </si>
  <si>
    <t>SH-WTV202-ABK-39</t>
  </si>
  <si>
    <t>B0F3CQRWND</t>
  </si>
  <si>
    <t>SH-WTV202-ABK-40</t>
  </si>
  <si>
    <t>B0F3CND8X1</t>
  </si>
  <si>
    <t>SH-WTV202-ABK-41</t>
  </si>
  <si>
    <t>B0F3CNKBBF</t>
  </si>
  <si>
    <t>SH-WTV202-ABK-42</t>
  </si>
  <si>
    <t>B0F3CM725Y</t>
  </si>
  <si>
    <t>SH-WTV202-ABK-43</t>
  </si>
  <si>
    <t>B0F3CN3TY2</t>
  </si>
  <si>
    <t>SH-WTV202-BG-36</t>
  </si>
  <si>
    <t>B0F3CMZGKS</t>
  </si>
  <si>
    <t>SH-WTV202-BG-37</t>
  </si>
  <si>
    <t>B0F3CQ7HH5</t>
  </si>
  <si>
    <t>SH-WTV202-BG-38</t>
  </si>
  <si>
    <t>B0F3CN9KBM</t>
  </si>
  <si>
    <t>SH-WTV202-BG-39</t>
  </si>
  <si>
    <t>B0F3CQK1M6</t>
  </si>
  <si>
    <t>SH-WTV202-BG-40</t>
  </si>
  <si>
    <t>B0F3CMZCWF</t>
  </si>
  <si>
    <t>SH-WTV202-BG-41</t>
  </si>
  <si>
    <t>B0F3CQC3F2</t>
  </si>
  <si>
    <t>SH-WTV202-BG-42</t>
  </si>
  <si>
    <t>B0F3CMQT3F</t>
  </si>
  <si>
    <t>SH-WTV202-BG-43</t>
  </si>
  <si>
    <t>B0F3CMXB9K</t>
  </si>
  <si>
    <t>SH-WTV202-GN-36</t>
  </si>
  <si>
    <t>B0F3CMPXN8</t>
  </si>
  <si>
    <t>SH-WTV202-GN-37</t>
  </si>
  <si>
    <t>B0F3CPVN9F</t>
  </si>
  <si>
    <t>SH-WTV202-GN-38</t>
  </si>
  <si>
    <t>B0F3CQ6NCC</t>
  </si>
  <si>
    <t>SH-WTV202-GN-39</t>
  </si>
  <si>
    <t>B0F3CPHQJY</t>
  </si>
  <si>
    <t>SH-WTV202-GN-40</t>
  </si>
  <si>
    <t>B0F3CN37FY</t>
  </si>
  <si>
    <t>SH-WTV202-GN-41</t>
  </si>
  <si>
    <t>B0F3CMFPSM</t>
  </si>
  <si>
    <t>SH-WTV202-GN-42</t>
  </si>
  <si>
    <t>B0F3CQHYLH</t>
  </si>
  <si>
    <t>SH-WTV202-GN-43</t>
  </si>
  <si>
    <t>B0F3CP4M94</t>
  </si>
  <si>
    <t>SH-WTV202-GY-36</t>
  </si>
  <si>
    <t>B0F3CMSNQS</t>
  </si>
  <si>
    <t>SH-WTV202-GY-37</t>
  </si>
  <si>
    <t>B0F3CPNHWY</t>
  </si>
  <si>
    <t>SH-WTV202-GY-38</t>
  </si>
  <si>
    <t>B0F3CNB95P</t>
  </si>
  <si>
    <t>SH-WTV202-GY-39</t>
  </si>
  <si>
    <t>B0F3CPPDQ1</t>
  </si>
  <si>
    <t>SH-WTV202-GY-40</t>
  </si>
  <si>
    <t>B0F3CQ76HP</t>
  </si>
  <si>
    <t>SH-WTV202-GY-41</t>
  </si>
  <si>
    <t>B0F3CRKJC4</t>
  </si>
  <si>
    <t>SH-WTV202-GY-42</t>
  </si>
  <si>
    <t>B0F3CQ1HNX</t>
  </si>
  <si>
    <t>SH-WTV202-GY-43</t>
  </si>
  <si>
    <t>B0F3CSQCSN</t>
  </si>
  <si>
    <t>SH-WTV202-PL-36</t>
  </si>
  <si>
    <t>B0F3CMZZ6W</t>
  </si>
  <si>
    <t>SH-WTV202-PL-37</t>
  </si>
  <si>
    <t>B0F3CML777</t>
  </si>
  <si>
    <t>SH-WTV202-PL-38</t>
  </si>
  <si>
    <t>B0F3CPNHSC</t>
  </si>
  <si>
    <t>SH-WTV202-PL-39</t>
  </si>
  <si>
    <t>B0F3CPYG37</t>
  </si>
  <si>
    <t>SH-WTV202-PL-40</t>
  </si>
  <si>
    <t>B0F3CN94QP</t>
  </si>
  <si>
    <t>SH-WTV202-PL-41</t>
  </si>
  <si>
    <t>B0F3CMPYPD</t>
  </si>
  <si>
    <t>SH-WTV202-PL-42</t>
  </si>
  <si>
    <t>B0F3CLMXTW</t>
  </si>
  <si>
    <t>SH-WTV202-PL-43</t>
  </si>
  <si>
    <t>B0DM5SPQPR</t>
  </si>
  <si>
    <t>SH-WTY70</t>
  </si>
  <si>
    <t>B0DM5Q31X9</t>
  </si>
  <si>
    <t>SH-WTY70-BG-37</t>
  </si>
  <si>
    <t>B0DM5VS8TC</t>
  </si>
  <si>
    <t>SH-WTY70-BG-38</t>
  </si>
  <si>
    <t>B0DM5SJYHV</t>
  </si>
  <si>
    <t>SH-WTY70-BG-39</t>
  </si>
  <si>
    <t>B0DM5RTSKB</t>
  </si>
  <si>
    <t>SH-WTY70-BG-40</t>
  </si>
  <si>
    <t>B0DM5RDFJG</t>
  </si>
  <si>
    <t>SH-WTY70-BG-41</t>
  </si>
  <si>
    <t>B0DM5TRK4B</t>
  </si>
  <si>
    <t>SH-WTY70-BG-42</t>
  </si>
  <si>
    <t>B0DM5QPDLX</t>
  </si>
  <si>
    <t>SH-WTY70-BK-37</t>
  </si>
  <si>
    <t>B0DM5VGJJ9</t>
  </si>
  <si>
    <t>SH-WTY70-BK-38</t>
  </si>
  <si>
    <t>B0DM5L8LY2</t>
  </si>
  <si>
    <t>SH-WTY70-BK-39</t>
  </si>
  <si>
    <t>B0DM5SG5FW</t>
  </si>
  <si>
    <t>SH-WTY70-BK-40</t>
  </si>
  <si>
    <t>B0DM5RXR39</t>
  </si>
  <si>
    <t>SH-WTY70-BK-41</t>
  </si>
  <si>
    <t>B0DM5TJ3LR</t>
  </si>
  <si>
    <t>SH-WTY70-BK-42</t>
  </si>
  <si>
    <t>B0DM5SY2T4</t>
  </si>
  <si>
    <t>SH-WTY70-BN-37</t>
  </si>
  <si>
    <t>B0DM5RVLWH</t>
  </si>
  <si>
    <t>SH-WTY70-BN-38</t>
  </si>
  <si>
    <t>B0DM5TDNWK</t>
  </si>
  <si>
    <t>SH-WTY70-BN-39</t>
  </si>
  <si>
    <t>B0DM5SF3P2</t>
  </si>
  <si>
    <t>SH-WTY70-BN-40</t>
  </si>
  <si>
    <t>B0DM5T62M8</t>
  </si>
  <si>
    <t>SH-WTY70-BN-41</t>
  </si>
  <si>
    <t>B0DM5QPZQT</t>
  </si>
  <si>
    <t>SH-WTY70-BN-42</t>
  </si>
  <si>
    <t>B0DM5RQCKT</t>
  </si>
  <si>
    <t>SH-WTY70-PK-37</t>
  </si>
  <si>
    <t>B0DM5W1VWC</t>
  </si>
  <si>
    <t>SH-WTY70-PK-38</t>
  </si>
  <si>
    <t>B0DM5WY62H</t>
  </si>
  <si>
    <t>SH-WTY70-PK-39</t>
  </si>
  <si>
    <t>B0DM5T35LS</t>
  </si>
  <si>
    <t>SH-WTY70-PK-40</t>
  </si>
  <si>
    <t>B0DM5SDVZM</t>
  </si>
  <si>
    <t>SH-WTY70-PK-41</t>
  </si>
  <si>
    <t>B0DM5TYGK3</t>
  </si>
  <si>
    <t>SH-WTY70-PK-42</t>
  </si>
  <si>
    <t>B0DM5VT4WD</t>
  </si>
  <si>
    <t>SH-WTY70-PL-37</t>
  </si>
  <si>
    <t>B0DM5TV5W7</t>
  </si>
  <si>
    <t>SH-WTY70-PL-38</t>
  </si>
  <si>
    <t>B0DM5T9WDC</t>
  </si>
  <si>
    <t>SH-WTY70-PL-39</t>
  </si>
  <si>
    <t>B0DM5T61M8</t>
  </si>
  <si>
    <t>SH-WTY70-PL-40</t>
  </si>
  <si>
    <t>B0F83X2F8P</t>
  </si>
  <si>
    <t>SH-WTY70-PL-41N</t>
  </si>
  <si>
    <t>B0DM5SVJJH</t>
  </si>
  <si>
    <t>SH-WTY70-PL-42</t>
  </si>
  <si>
    <t>B098QDBKWQ</t>
  </si>
  <si>
    <t>SH-WTYG01-BK-42</t>
  </si>
  <si>
    <t>B0CLRS15J4</t>
  </si>
  <si>
    <t>SH-WTYG02</t>
  </si>
  <si>
    <t>B095LTPVHX</t>
  </si>
  <si>
    <t>SH-WTYG02-BK-10</t>
  </si>
  <si>
    <t>B095LW9N8J</t>
  </si>
  <si>
    <t>SH-WTYG02-BK-11</t>
  </si>
  <si>
    <t>B095LW7J5T</t>
  </si>
  <si>
    <t>SH-WTYG02-BK-12</t>
  </si>
  <si>
    <t>B095LW7RLZ</t>
  </si>
  <si>
    <t>SH-WTYG02-BK-13</t>
  </si>
  <si>
    <t>B095JZ596S</t>
  </si>
  <si>
    <t>SH-WTYG02-BK-4</t>
  </si>
  <si>
    <t>B08SH3F9SF</t>
  </si>
  <si>
    <t>SH-WTYG02-BK-5</t>
  </si>
  <si>
    <t>B08SJ7WQ8P</t>
  </si>
  <si>
    <t>SH-WTYG02-BK-6</t>
  </si>
  <si>
    <t>B08SHLMQH3</t>
  </si>
  <si>
    <t>SH-WTYG02-BK-7</t>
  </si>
  <si>
    <t>B08SH3JR18</t>
  </si>
  <si>
    <t>SH-WTYG02-BK-8</t>
  </si>
  <si>
    <t>B08SHWNXF4</t>
  </si>
  <si>
    <t>SH-WTYG02-BK-9</t>
  </si>
  <si>
    <t>B09DGB375H</t>
  </si>
  <si>
    <t>SH-WTYG02-GN-10</t>
  </si>
  <si>
    <t>B09DG7MYT8</t>
  </si>
  <si>
    <t>SH-WTYG02-GN-11</t>
  </si>
  <si>
    <t>B09DG9Q9JD</t>
  </si>
  <si>
    <t>SH-WTYG02-GN-12</t>
  </si>
  <si>
    <t>B09DGB1BZP</t>
  </si>
  <si>
    <t>SH-WTYG02-GN-13</t>
  </si>
  <si>
    <t>B09DG8KSM5</t>
  </si>
  <si>
    <t>SH-WTYG02-GN-7</t>
  </si>
  <si>
    <t>B09DG9D9W4</t>
  </si>
  <si>
    <t>SH-WTYG02-GN-8</t>
  </si>
  <si>
    <t>B09DG9LTZR</t>
  </si>
  <si>
    <t>SH-WTYG02-GN-9</t>
  </si>
  <si>
    <t>B095LQXNLY</t>
  </si>
  <si>
    <t>SH-WTYG02-GNBK-10</t>
  </si>
  <si>
    <t>B095LS5X14</t>
  </si>
  <si>
    <t>SH-WTYG02-GNBK-11</t>
  </si>
  <si>
    <t>B095LSF87M</t>
  </si>
  <si>
    <t>SH-WTYG02-GNBK-12</t>
  </si>
  <si>
    <t>B095LRJSK8</t>
  </si>
  <si>
    <t>SH-WTYG02-GNBK-13</t>
  </si>
  <si>
    <t>B09FXMQYKF</t>
  </si>
  <si>
    <t>SH-WTYG02-GNBK-5</t>
  </si>
  <si>
    <t>B09FXN3VMM</t>
  </si>
  <si>
    <t>SH-WTYG02-GNBK-6</t>
  </si>
  <si>
    <t>B095LRYD3C</t>
  </si>
  <si>
    <t>SH-WTYG02-GNBK-7</t>
  </si>
  <si>
    <t>B095LT8TQ4</t>
  </si>
  <si>
    <t>SH-WTYG02-GNBK-8</t>
  </si>
  <si>
    <t>B095LQG286</t>
  </si>
  <si>
    <t>SH-WTYG02-GNBK-9</t>
  </si>
  <si>
    <t>B08SJ62Z5Q</t>
  </si>
  <si>
    <t>SH-WTYG02-GY-10</t>
  </si>
  <si>
    <t>B095LW1WRJ</t>
  </si>
  <si>
    <t>SH-WTYG02-GY-11</t>
  </si>
  <si>
    <t>B095LWHFZ1</t>
  </si>
  <si>
    <t>SH-WTYG02-GY-12</t>
  </si>
  <si>
    <t>B095LVHX3Q</t>
  </si>
  <si>
    <t>SH-WTYG02-GY-13</t>
  </si>
  <si>
    <t>B08SHVJL2R</t>
  </si>
  <si>
    <t>SH-WTYG02-GY-4</t>
  </si>
  <si>
    <t>B08SJ6DKP3</t>
  </si>
  <si>
    <t>SH-WTYG02-GY-5</t>
  </si>
  <si>
    <t>B08SJ57917</t>
  </si>
  <si>
    <t>SH-WTYG02-GY-6</t>
  </si>
  <si>
    <t>B08SHFZ6ZB</t>
  </si>
  <si>
    <t>SH-WTYG02-GY-7</t>
  </si>
  <si>
    <t>B08SJ2R8V6</t>
  </si>
  <si>
    <t>SH-WTYG02-GY-8</t>
  </si>
  <si>
    <t>B08SJF3LQC</t>
  </si>
  <si>
    <t>SH-WTYG02-GY-9</t>
  </si>
  <si>
    <t>B095LSV8DM</t>
  </si>
  <si>
    <t>SH-WTYG02-GYBK-10</t>
  </si>
  <si>
    <t>B095LRYDKV</t>
  </si>
  <si>
    <t>SH-WTYG02-GYBK-11</t>
  </si>
  <si>
    <t>B095LRRQHX</t>
  </si>
  <si>
    <t>SH-WTYG02-GYBK-12</t>
  </si>
  <si>
    <t>B095LSP3YD</t>
  </si>
  <si>
    <t>SH-WTYG02-GYBK-13</t>
  </si>
  <si>
    <t>B095LT8TQ9</t>
  </si>
  <si>
    <t>SH-WTYG02-GYBK-5</t>
  </si>
  <si>
    <t>B095LQNFDH</t>
  </si>
  <si>
    <t>SH-WTYG02-GYBK-6</t>
  </si>
  <si>
    <t>B095LTJGDH</t>
  </si>
  <si>
    <t>SH-WTYG02-GYBK-7</t>
  </si>
  <si>
    <t>B095LPN2Q1</t>
  </si>
  <si>
    <t>SH-WTYG02-GYBK-8</t>
  </si>
  <si>
    <t>B095LVDKDF</t>
  </si>
  <si>
    <t>SH-WTYG02-GYBK-9</t>
  </si>
  <si>
    <t>B095LWGDRW</t>
  </si>
  <si>
    <t>SH-WTYG02-PL-10</t>
  </si>
  <si>
    <t>B08SJC2JZ1</t>
  </si>
  <si>
    <t>SH-WTYG02-PL-4</t>
  </si>
  <si>
    <t>B08SHKJ93J</t>
  </si>
  <si>
    <t>SH-WTYG02-PL-5</t>
  </si>
  <si>
    <t>B08SJ4VN8V</t>
  </si>
  <si>
    <t>SH-WTYG02-PL-6</t>
  </si>
  <si>
    <t>B08SJM3T2K</t>
  </si>
  <si>
    <t>SH-WTYG02-PL-7</t>
  </si>
  <si>
    <t>B08SJGYQC1</t>
  </si>
  <si>
    <t>SH-WTYG02-PL-8</t>
  </si>
  <si>
    <t>B08SHK8R51</t>
  </si>
  <si>
    <t>SH-WTYG02-PL-9</t>
  </si>
  <si>
    <t>B095LQW9ZW</t>
  </si>
  <si>
    <t>SH-WTYG02-RDBK-10</t>
  </si>
  <si>
    <t>B095LRG6XF</t>
  </si>
  <si>
    <t>SH-WTYG02-RDBK-11</t>
  </si>
  <si>
    <t>B095LS8TG4</t>
  </si>
  <si>
    <t>SH-WTYG02-RDBK-12</t>
  </si>
  <si>
    <t>B095LS19QS</t>
  </si>
  <si>
    <t>SH-WTYG02-RDBK-13</t>
  </si>
  <si>
    <t>B095LRYCFR</t>
  </si>
  <si>
    <t>SH-WTYG02-RDBK-5</t>
  </si>
  <si>
    <t>B095LS7C9V</t>
  </si>
  <si>
    <t>SH-WTYG02-RDBK-6</t>
  </si>
  <si>
    <t>B095LSYQH1</t>
  </si>
  <si>
    <t>SH-WTYG02-RDBK-7</t>
  </si>
  <si>
    <t>B095LRHSY1</t>
  </si>
  <si>
    <t>SH-WTYG02-RDBK-8</t>
  </si>
  <si>
    <t>B095LSVNSY</t>
  </si>
  <si>
    <t>SH-WTYG02-RDBK-9</t>
  </si>
  <si>
    <t>B0CLNWHGYN</t>
  </si>
  <si>
    <t>SH-WTYG02H-BK-10</t>
  </si>
  <si>
    <t>B0CLNXS5KV</t>
  </si>
  <si>
    <t>SH-WTYG02H-BK-11</t>
  </si>
  <si>
    <t>B0CLNW9K8G</t>
  </si>
  <si>
    <t>SH-WTYG02H-BK-12</t>
  </si>
  <si>
    <t>B0CLNXWBWL</t>
  </si>
  <si>
    <t>SH-WTYG02H-BK-13</t>
  </si>
  <si>
    <t>B0CLNYQKWS</t>
  </si>
  <si>
    <t>SH-WTYG02H-BK-5</t>
  </si>
  <si>
    <t>B0CLNY4GX1</t>
  </si>
  <si>
    <t>SH-WTYG02H-BK-6</t>
  </si>
  <si>
    <t>B0CLNX25KC</t>
  </si>
  <si>
    <t>SH-WTYG02H-BK-7</t>
  </si>
  <si>
    <t>B0CLNYSC25</t>
  </si>
  <si>
    <t>SH-WTYG02H-BK-8</t>
  </si>
  <si>
    <t>B0CLNYH1TW</t>
  </si>
  <si>
    <t>SH-WTYG02H-BK-9</t>
  </si>
  <si>
    <t>B0D8T7G8LZ</t>
  </si>
  <si>
    <t>SH-WTYG02L-BK-10</t>
  </si>
  <si>
    <t>B0D8TFGSBL</t>
  </si>
  <si>
    <t>SH-WTYG02L-BK-6</t>
  </si>
  <si>
    <t>B0D8VHGP5D</t>
  </si>
  <si>
    <t>SH-WTYG02L-BK-9</t>
  </si>
  <si>
    <t>B0D8TC1ML6</t>
  </si>
  <si>
    <t>SH-WTYG02L-GYBK-10</t>
  </si>
  <si>
    <t>B0D8VH1XPQ</t>
  </si>
  <si>
    <t>SH-WTYG02L-GYBK-6</t>
  </si>
  <si>
    <t>B0D8T9XJRL</t>
  </si>
  <si>
    <t>SH-WTYG02L-PL-10</t>
  </si>
  <si>
    <t>B0D8TGH9XD</t>
  </si>
  <si>
    <t>SH-WTYG02L-PL-11</t>
  </si>
  <si>
    <t>B0D8T6DG4L</t>
  </si>
  <si>
    <t>SH-WTYG02L-PL-7</t>
  </si>
  <si>
    <t>B0D8VFR23Y</t>
  </si>
  <si>
    <t>SH-WTYG02L-PL-8</t>
  </si>
  <si>
    <t>B0DRX21M4T</t>
  </si>
  <si>
    <t>SH-WTYG10</t>
  </si>
  <si>
    <t>B0DRX31C9P</t>
  </si>
  <si>
    <t>SH-WTYG10-BK-10</t>
  </si>
  <si>
    <t>B0DRX256B7</t>
  </si>
  <si>
    <t>SH-WTYG10-BK-11</t>
  </si>
  <si>
    <t>B0DRX4X439</t>
  </si>
  <si>
    <t>SH-WTYG10-BK-12</t>
  </si>
  <si>
    <t>B0DRX364T1</t>
  </si>
  <si>
    <t>SH-WTYG10-BK-13</t>
  </si>
  <si>
    <t>B0DRX1FYDT</t>
  </si>
  <si>
    <t>SH-WTYG10-BK-5</t>
  </si>
  <si>
    <t>B0DRX17MS3</t>
  </si>
  <si>
    <t>SH-WTYG10-BK-6</t>
  </si>
  <si>
    <t>B0DRX5JCL7</t>
  </si>
  <si>
    <t>SH-WTYG10-BK-7</t>
  </si>
  <si>
    <t>B0DRX12ZXK</t>
  </si>
  <si>
    <t>SH-WTYG10-BK-8</t>
  </si>
  <si>
    <t>B0DRX5JJ6B</t>
  </si>
  <si>
    <t>SH-WTYG10-BK-9</t>
  </si>
  <si>
    <t>B0DRX3MKCP</t>
  </si>
  <si>
    <t>SH-WTYG10-DKBU-10</t>
  </si>
  <si>
    <t>B0DRX2D9QJ</t>
  </si>
  <si>
    <t>SH-WTYG10-DKBU-11</t>
  </si>
  <si>
    <t>B0DRX4Q28F</t>
  </si>
  <si>
    <t>SH-WTYG10-DKBU-12</t>
  </si>
  <si>
    <t>B0DRX25WLD</t>
  </si>
  <si>
    <t>SH-WTYG10-DKBU-13</t>
  </si>
  <si>
    <t>B0DRX5VGWK</t>
  </si>
  <si>
    <t>SH-WTYG10-DKBU-5</t>
  </si>
  <si>
    <t>B0DRX1HNYN</t>
  </si>
  <si>
    <t>SH-WTYG10-DKBU-6</t>
  </si>
  <si>
    <t>B0DRX2CZKG</t>
  </si>
  <si>
    <t>SH-WTYG10-DKBU-7</t>
  </si>
  <si>
    <t>B0DRX52LLC</t>
  </si>
  <si>
    <t>SH-WTYG10-DKBU-8</t>
  </si>
  <si>
    <t>B0DRX3YTR8</t>
  </si>
  <si>
    <t>SH-WTYG10-DKBU-9</t>
  </si>
  <si>
    <t>B0DRX39SHS</t>
  </si>
  <si>
    <t>SH-WTYG10-DKGY-10</t>
  </si>
  <si>
    <t>B0DRX2ZD2D</t>
  </si>
  <si>
    <t>SH-WTYG10-DKGY-11</t>
  </si>
  <si>
    <t>B0DRX15DH2</t>
  </si>
  <si>
    <t>SH-WTYG10-DKGY-12</t>
  </si>
  <si>
    <t>B0DRX328XN</t>
  </si>
  <si>
    <t>SH-WTYG10-DKGY-13</t>
  </si>
  <si>
    <t>B0DRX2B3LS</t>
  </si>
  <si>
    <t>SH-WTYG10-DKGY-5</t>
  </si>
  <si>
    <t>B0DRX3C43M</t>
  </si>
  <si>
    <t>SH-WTYG10-DKGY-6</t>
  </si>
  <si>
    <t>B0DRX629RF</t>
  </si>
  <si>
    <t>SH-WTYG10-DKGY-7</t>
  </si>
  <si>
    <t>B0DRX25WL8</t>
  </si>
  <si>
    <t>SH-WTYG10-DKGY-8</t>
  </si>
  <si>
    <t>B0DRX4NQ14</t>
  </si>
  <si>
    <t>SH-WTYG10-DKGY-9</t>
  </si>
  <si>
    <t>B0DRX625LF</t>
  </si>
  <si>
    <t>SH-WTYG10-LTBU-10</t>
  </si>
  <si>
    <t>B0DRX61KYS</t>
  </si>
  <si>
    <t>SH-WTYG10-LTBU-11</t>
  </si>
  <si>
    <t>B0DRX2QM6R</t>
  </si>
  <si>
    <t>SH-WTYG10-LTBU-5</t>
  </si>
  <si>
    <t>B0DRX5SS69</t>
  </si>
  <si>
    <t>SH-WTYG10-LTBU-6</t>
  </si>
  <si>
    <t>B0DRX3CB6Y</t>
  </si>
  <si>
    <t>SH-WTYG10-LTBU-7</t>
  </si>
  <si>
    <t>B0DRX2Z6ZD</t>
  </si>
  <si>
    <t>SH-WTYG10-LTBU-8</t>
  </si>
  <si>
    <t>B0DRX3H8NV</t>
  </si>
  <si>
    <t>SH-WTYG10-LTBU-9</t>
  </si>
  <si>
    <t>B0DRX25B14</t>
  </si>
  <si>
    <t>SH-WTYG10-PL-10</t>
  </si>
  <si>
    <t>B0DRX39PDK</t>
  </si>
  <si>
    <t>SH-WTYG10-PL-11</t>
  </si>
  <si>
    <t>B0DRX5TCRB</t>
  </si>
  <si>
    <t>SH-WTYG10-PL-5</t>
  </si>
  <si>
    <t>B0DRX1R5BT</t>
  </si>
  <si>
    <t>SH-WTYG10-PL-6</t>
  </si>
  <si>
    <t>B0DRX1R3D5</t>
  </si>
  <si>
    <t>SH-WTYG10-PL-7</t>
  </si>
  <si>
    <t>B0DRX39YSR</t>
  </si>
  <si>
    <t>SH-WTYG10-PL-8</t>
  </si>
  <si>
    <t>B0DRX4SFXS</t>
  </si>
  <si>
    <t>SH-WTYG10-PL-9</t>
  </si>
  <si>
    <t>B07XSDQPVW</t>
  </si>
  <si>
    <t>SH-WTYZ5-BKOG-39</t>
  </si>
  <si>
    <t>B07XLDDJSW</t>
  </si>
  <si>
    <t>SH-WTYZ5-BKOG-45</t>
  </si>
  <si>
    <t>B07XSH9F77</t>
  </si>
  <si>
    <t>SH-WTYZ5-RD-48</t>
  </si>
  <si>
    <t>B07XSLJ4V8</t>
  </si>
  <si>
    <t>SH-WTYZ5-WT-46</t>
  </si>
  <si>
    <t>SP-415JPDX40LYM9GVI</t>
  </si>
  <si>
    <t>SP-8AIVNAEAIJREM7VB</t>
  </si>
  <si>
    <t>SP-DMJIK4O9FQ35OSSV</t>
  </si>
  <si>
    <t>SP-HDLD8R4EDKHLE60C</t>
  </si>
  <si>
    <t>SP-L8DX3YFFJVKV4YFI</t>
  </si>
  <si>
    <t>SP-TT0RUUER6EL8MO34</t>
  </si>
  <si>
    <t>B0H14MSYXF</t>
  </si>
  <si>
    <t>XM1-J100</t>
  </si>
  <si>
    <t>B0H14TTV6D</t>
  </si>
  <si>
    <t>XM1-J100-BK-36</t>
  </si>
  <si>
    <t>B0H14PSJJH</t>
  </si>
  <si>
    <t>XM1-J100-BK-37</t>
  </si>
  <si>
    <t>B0H14V485M</t>
  </si>
  <si>
    <t>XM1-J100-BK-38</t>
  </si>
  <si>
    <t>B0H14X1ZSQ</t>
  </si>
  <si>
    <t>XM1-J100-BK-39</t>
  </si>
  <si>
    <t>B0H14LH4RG</t>
  </si>
  <si>
    <t>XM1-J100-BK-40</t>
  </si>
  <si>
    <t>B0H14VXZGW</t>
  </si>
  <si>
    <t>XM1-J100-BK-41</t>
  </si>
  <si>
    <t>B0H14NLPJK</t>
  </si>
  <si>
    <t>XM1-J100-BN-36</t>
  </si>
  <si>
    <t>B0H14NPPFB</t>
  </si>
  <si>
    <t>XM1-J100-BN-37</t>
  </si>
  <si>
    <t>B0H14NQKY9</t>
  </si>
  <si>
    <t>XM1-J100-BN-38</t>
  </si>
  <si>
    <t>B0H14NBCZ8</t>
  </si>
  <si>
    <t>XM1-J100-BN-39</t>
  </si>
  <si>
    <t>B0H14PXLGL</t>
  </si>
  <si>
    <t>XM1-J100-BN-40</t>
  </si>
  <si>
    <t>B0H14N11YP</t>
  </si>
  <si>
    <t>XM1-J100-BN-41</t>
  </si>
  <si>
    <t>B0H14SCWVG</t>
  </si>
  <si>
    <t>XM1-J100-PK-36</t>
  </si>
  <si>
    <t>B0H14QVHDB</t>
  </si>
  <si>
    <t>XM1-J100-PK-37</t>
  </si>
  <si>
    <t>B0H14RVLJG</t>
  </si>
  <si>
    <t>XM1-J100-PK-38</t>
  </si>
  <si>
    <t>B0H14XJL6X</t>
  </si>
  <si>
    <t>XM1-J100-PK-39</t>
  </si>
  <si>
    <t>B0H14MQS9B</t>
  </si>
  <si>
    <t>XM1-J100-PK-40</t>
  </si>
  <si>
    <t>B0H14QYCTS</t>
  </si>
  <si>
    <t>XM1-J100-PK-41</t>
  </si>
  <si>
    <t>B0H14MZYF1</t>
  </si>
  <si>
    <t>XM1-J100-TS-36</t>
  </si>
  <si>
    <t>B0H14V4VZ5</t>
  </si>
  <si>
    <t>XM1-J100-TS-37</t>
  </si>
  <si>
    <t>B0H14R25KD</t>
  </si>
  <si>
    <t>XM1-J100-TS-38</t>
  </si>
  <si>
    <t>B0H14S28PJ</t>
  </si>
  <si>
    <t>XM1-J100-TS-39</t>
  </si>
  <si>
    <t>B0H14X56CJ</t>
  </si>
  <si>
    <t>XM1-J100-TS-40</t>
  </si>
  <si>
    <t>B0H14VQZLW</t>
  </si>
  <si>
    <t>XM1-J100-TS-41</t>
  </si>
  <si>
    <t>XM1-L200</t>
  </si>
  <si>
    <t>XM1-L200-ABK-36</t>
  </si>
  <si>
    <t>B0FRDNFWHQ</t>
  </si>
  <si>
    <t>XM1-L200-ABK-37</t>
  </si>
  <si>
    <t>XM1-L200-ABK-38</t>
  </si>
  <si>
    <t>B0FRFD2SMK</t>
  </si>
  <si>
    <t>XM1-L200-ABK-39</t>
  </si>
  <si>
    <t>XM1-L200-ABK-40</t>
  </si>
  <si>
    <t>B0FRDLY8JM</t>
  </si>
  <si>
    <t>XM1-L200-ABK-41</t>
  </si>
  <si>
    <t>B0FRD3N3LD</t>
  </si>
  <si>
    <t>XM1-L200-ABK-42</t>
  </si>
  <si>
    <t>XM1-L200-DKBU-36</t>
  </si>
  <si>
    <t>B0FRFF4KNV</t>
  </si>
  <si>
    <t>XM1-L200-DKBU-37</t>
  </si>
  <si>
    <t>XM1-L200-DKBU-38</t>
  </si>
  <si>
    <t>B0FRDZRMX5</t>
  </si>
  <si>
    <t>XM1-L200-DKBU-39</t>
  </si>
  <si>
    <t>B0FRFH34XL</t>
  </si>
  <si>
    <t>XM1-L200-DKBU-40</t>
  </si>
  <si>
    <t>B0FRDL3BGR</t>
  </si>
  <si>
    <t>XM1-L200-DKBU-41</t>
  </si>
  <si>
    <t>B0FRF3SXXG</t>
  </si>
  <si>
    <t>XM1-L200-DKBU-42</t>
  </si>
  <si>
    <t>B0FRFPYDJQ</t>
  </si>
  <si>
    <t>XM1-L200-KQ-36</t>
  </si>
  <si>
    <t>XM1-L200-KQ-37</t>
  </si>
  <si>
    <t>XM1-L200-KQ-38</t>
  </si>
  <si>
    <t>B0FRFGRCZP</t>
  </si>
  <si>
    <t>XM1-L200-KQ-39</t>
  </si>
  <si>
    <t>B0FRFCJ3VP</t>
  </si>
  <si>
    <t>XM1-L200-KQ-40</t>
  </si>
  <si>
    <t>B0FRDRNB9P</t>
  </si>
  <si>
    <t>XM1-L200-KQ-41</t>
  </si>
  <si>
    <t>B0FRF86C64</t>
  </si>
  <si>
    <t>XM1-L200-KQ-42</t>
  </si>
  <si>
    <t>XM1-L200-OG-36</t>
  </si>
  <si>
    <t>XM1-L200-OG-37</t>
  </si>
  <si>
    <t>XM1-L200-OG-38</t>
  </si>
  <si>
    <t>B0FRFH7YVZ</t>
  </si>
  <si>
    <t>XM1-L200-OG-39</t>
  </si>
  <si>
    <t>XM1-L200-OG-40</t>
  </si>
  <si>
    <t>XM1-L200-OG-41</t>
  </si>
  <si>
    <t>B0FRFB3PFD</t>
  </si>
  <si>
    <t>XM1-L200-OG-42</t>
  </si>
  <si>
    <t>XM1-L200-PL-36</t>
  </si>
  <si>
    <t>XM1-L200-PL-37</t>
  </si>
  <si>
    <t>XM1-L200-PL-38</t>
  </si>
  <si>
    <t>B0FRFFRCFW</t>
  </si>
  <si>
    <t>XM1-L200-PL-39</t>
  </si>
  <si>
    <t>XM1-L200-PL-40</t>
  </si>
  <si>
    <t>B0FRFGLKM3</t>
  </si>
  <si>
    <t>XM1-L200-PL-41</t>
  </si>
  <si>
    <t>B0FRF8517F</t>
  </si>
  <si>
    <t>XM1-L200-PL-42</t>
  </si>
  <si>
    <t>XM1-Y22</t>
  </si>
  <si>
    <t>XM1-Y22-BG-35</t>
  </si>
  <si>
    <t>B0FPQS6WTZ</t>
  </si>
  <si>
    <t>XM1-Y22-BG-36</t>
  </si>
  <si>
    <t>B0FPQS6KHF</t>
  </si>
  <si>
    <t>XM1-Y22-BG-37</t>
  </si>
  <si>
    <t>XM1-Y22-BG-38</t>
  </si>
  <si>
    <t>XM1-Y22-BG-39</t>
  </si>
  <si>
    <t>XM1-Y22-BK-35</t>
  </si>
  <si>
    <t>B0FPQXC2DY</t>
  </si>
  <si>
    <t>XM1-Y22-BK-36</t>
  </si>
  <si>
    <t>B0FPQR9HJW</t>
  </si>
  <si>
    <t>XM1-Y22-BK-37</t>
  </si>
  <si>
    <t>B0FPQS6BVV</t>
  </si>
  <si>
    <t>XM1-Y22-BK-38</t>
  </si>
  <si>
    <t>XM1-Y22-BK-39</t>
  </si>
  <si>
    <t>XM1-Y22-GY-35</t>
  </si>
  <si>
    <t>B0FPQRB6KF</t>
  </si>
  <si>
    <t>XM1-Y22-GY-36</t>
  </si>
  <si>
    <t>B0FPQX22TT</t>
  </si>
  <si>
    <t>XM1-Y22-GY-37</t>
  </si>
  <si>
    <t>XM1-Y22-GY-38</t>
  </si>
  <si>
    <t>XM1-Y22-GY-39</t>
  </si>
  <si>
    <t>B08K31B9C1</t>
  </si>
  <si>
    <t>XM2-KD7-BKBU-28</t>
  </si>
  <si>
    <t>B08K33LF96</t>
  </si>
  <si>
    <t>XM2-KD7-BKBU-29</t>
  </si>
  <si>
    <t>XM2-KD7-BKBU-30</t>
  </si>
  <si>
    <t>B08K31H3SK</t>
  </si>
  <si>
    <t>XM2-KD7-BKBU-31</t>
  </si>
  <si>
    <t>B08K3488R7</t>
  </si>
  <si>
    <t>XM2-KD7-BKBU-32</t>
  </si>
  <si>
    <t>B08K35JHT5</t>
  </si>
  <si>
    <t>XM2-KD7-BKBU-33</t>
  </si>
  <si>
    <t>B08K3BN79W</t>
  </si>
  <si>
    <t>XM2-KD7-BKBU-34</t>
  </si>
  <si>
    <t>B08K33LDM3</t>
  </si>
  <si>
    <t>XM2-KD7-BKBU-35</t>
  </si>
  <si>
    <t>XM2-KD7-BKBU-36</t>
  </si>
  <si>
    <t>XM2-KD7-BKBU-37</t>
  </si>
  <si>
    <t>B09C1WXWFZ</t>
  </si>
  <si>
    <t>XM2-KD7-BKBU-38</t>
  </si>
  <si>
    <t>XM2-KD7-BKBU-39</t>
  </si>
  <si>
    <t>B09C1YNW3S</t>
  </si>
  <si>
    <t>XM2-KD7-BKBU-40</t>
  </si>
  <si>
    <t>B08K34QRD5</t>
  </si>
  <si>
    <t>XM2-KD7-BKGN-28</t>
  </si>
  <si>
    <t>B08K34D8MK</t>
  </si>
  <si>
    <t>XM2-KD7-BKGN-29</t>
  </si>
  <si>
    <t>B08K33YVM2</t>
  </si>
  <si>
    <t>XM2-KD7-BKGN-30</t>
  </si>
  <si>
    <t>B08K3116F7</t>
  </si>
  <si>
    <t>XM2-KD7-BKGN-31</t>
  </si>
  <si>
    <t>B08K348CNR</t>
  </si>
  <si>
    <t>XM2-KD7-BKGN-32</t>
  </si>
  <si>
    <t>B08K3B3GD3</t>
  </si>
  <si>
    <t>XM2-KD7-BKGN-33</t>
  </si>
  <si>
    <t>B08K34CV5Y</t>
  </si>
  <si>
    <t>XM2-KD7-BKGN-34</t>
  </si>
  <si>
    <t>B08K3414MZ</t>
  </si>
  <si>
    <t>XM2-KD7-BKGN-35</t>
  </si>
  <si>
    <t>XM2-KD7-BKGN-36</t>
  </si>
  <si>
    <t>B08K342XX7</t>
  </si>
  <si>
    <t>XM2-KD7-BKGN-37</t>
  </si>
  <si>
    <t>B0BKKP7NSL</t>
  </si>
  <si>
    <t>XM2-KD7-BKRD-28</t>
  </si>
  <si>
    <t>B0BKKM2DXM</t>
  </si>
  <si>
    <t>XM2-KD7-BKRD-29</t>
  </si>
  <si>
    <t>B0BKKQYRGZ</t>
  </si>
  <si>
    <t>XM2-KD7-BKRD-30</t>
  </si>
  <si>
    <t>B0BKKLM9LP</t>
  </si>
  <si>
    <t>XM2-KD7-BKRD-31</t>
  </si>
  <si>
    <t>B0BKKSZMVV</t>
  </si>
  <si>
    <t>XM2-KD7-BKRD-32</t>
  </si>
  <si>
    <t>B0BKKL23Q6</t>
  </si>
  <si>
    <t>XM2-KD7-BKRD-33</t>
  </si>
  <si>
    <t>B0BKKSPLQ5</t>
  </si>
  <si>
    <t>XM2-KD7-BKRD-34</t>
  </si>
  <si>
    <t>B0BKKLG859</t>
  </si>
  <si>
    <t>XM2-KD7-BKRD-35</t>
  </si>
  <si>
    <t>B0BKKVNFFN</t>
  </si>
  <si>
    <t>XM2-KD7-BKRD-36</t>
  </si>
  <si>
    <t>XM2-KD7-BKRD-37</t>
  </si>
  <si>
    <t>B08K33FHH8</t>
  </si>
  <si>
    <t>XM2-KD7-BKWT-28</t>
  </si>
  <si>
    <t>B08K3494QS</t>
  </si>
  <si>
    <t>XM2-KD7-BKWT-29</t>
  </si>
  <si>
    <t>B08K34R2P5</t>
  </si>
  <si>
    <t>XM2-KD7-BKWT-30</t>
  </si>
  <si>
    <t>B08K33SH4X</t>
  </si>
  <si>
    <t>XM2-KD7-BKWT-31</t>
  </si>
  <si>
    <t>B08K2ZS4FM</t>
  </si>
  <si>
    <t>XM2-KD7-BKWT-32</t>
  </si>
  <si>
    <t>B08K351RKY</t>
  </si>
  <si>
    <t>XM2-KD7-BKWT-33</t>
  </si>
  <si>
    <t>B08K33SKY4</t>
  </si>
  <si>
    <t>XM2-KD7-BKWT-34</t>
  </si>
  <si>
    <t>B08K33SHF3</t>
  </si>
  <si>
    <t>XM2-KD7-BKWT-35</t>
  </si>
  <si>
    <t>B08K33L7Y4</t>
  </si>
  <si>
    <t>XM2-KD7-BKWT-36</t>
  </si>
  <si>
    <t>XM2-KD7-BKWT-37</t>
  </si>
  <si>
    <t>B09C1Z2G4R</t>
  </si>
  <si>
    <t>XM2-KD7-BKWT-38</t>
  </si>
  <si>
    <t>B09C1Y9ZGM</t>
  </si>
  <si>
    <t>XM2-KD7-BKWT-39</t>
  </si>
  <si>
    <t>B09C1YLBHH</t>
  </si>
  <si>
    <t>XM2-KD7-BKWT-40</t>
  </si>
  <si>
    <t>B08K33RXLG</t>
  </si>
  <si>
    <t>XM2-KD7-BUOG-28</t>
  </si>
  <si>
    <t>XM2-KD7-BUOG-29</t>
  </si>
  <si>
    <t>B08K2ZWN77</t>
  </si>
  <si>
    <t>XM2-KD7-BUOG-30</t>
  </si>
  <si>
    <t>B08K35HPLW</t>
  </si>
  <si>
    <t>XM2-KD7-BUOG-31</t>
  </si>
  <si>
    <t>B08K33LWG3</t>
  </si>
  <si>
    <t>XM2-KD7-BUOG-32</t>
  </si>
  <si>
    <t>B08K35HFSC</t>
  </si>
  <si>
    <t>XM2-KD7-BUOG-33</t>
  </si>
  <si>
    <t>B08K39KSN7</t>
  </si>
  <si>
    <t>XM2-KD7-BUOG-34</t>
  </si>
  <si>
    <t>B08K329ZD8</t>
  </si>
  <si>
    <t>XM2-KD7-BUOG-35</t>
  </si>
  <si>
    <t>B08K36K4Z7</t>
  </si>
  <si>
    <t>XM2-KD7-BUOG-36</t>
  </si>
  <si>
    <t>B08K342M46</t>
  </si>
  <si>
    <t>XM2-KD7-BUOG-37</t>
  </si>
  <si>
    <t>B08K2Z2ZFW</t>
  </si>
  <si>
    <t>XM2-KD7-RD-28</t>
  </si>
  <si>
    <t>B08K34VY3S</t>
  </si>
  <si>
    <t>XM2-KD7-RD-29</t>
  </si>
  <si>
    <t>B08K36SG6J</t>
  </si>
  <si>
    <t>XM2-KD7-RD-30</t>
  </si>
  <si>
    <t>B08K2XZW4G</t>
  </si>
  <si>
    <t>XM2-KD7-RD-31</t>
  </si>
  <si>
    <t>XM2-KD7-RD-32</t>
  </si>
  <si>
    <t>B08K32KRLX</t>
  </si>
  <si>
    <t>XM2-KD7-RD-33</t>
  </si>
  <si>
    <t>B08K33SHF4</t>
  </si>
  <si>
    <t>XM2-KD7-RD-34</t>
  </si>
  <si>
    <t>B08K32N2ZB</t>
  </si>
  <si>
    <t>XM2-KD7-RD-35</t>
  </si>
  <si>
    <t>XM2-KD7-RD-36</t>
  </si>
  <si>
    <t>XM2-KD7-RD-37</t>
  </si>
  <si>
    <t>B09C1XX6LC</t>
  </si>
  <si>
    <t>XM2-KD7-RD-38</t>
  </si>
  <si>
    <t>B09C1XQPR7</t>
  </si>
  <si>
    <t>XM2-KD7-RD-39</t>
  </si>
  <si>
    <t>B09C1XTT8W</t>
  </si>
  <si>
    <t>XM2-KD7-RD-40</t>
  </si>
  <si>
    <t>XM2-S600</t>
  </si>
  <si>
    <t>B0GFD5X6N4</t>
  </si>
  <si>
    <t>XM2-S600-ABK-36</t>
  </si>
  <si>
    <t>B0GFDCHKHP</t>
  </si>
  <si>
    <t>XM2-S600-ABK-37</t>
  </si>
  <si>
    <t>B0GFDBCK2B</t>
  </si>
  <si>
    <t>XM2-S600-ABK-37.5</t>
  </si>
  <si>
    <t>B0H445LK8P</t>
  </si>
  <si>
    <t>XM2-S600-ABK-37N</t>
  </si>
  <si>
    <t>B0GFCX9CMR</t>
  </si>
  <si>
    <t>XM2-S600-ABK-38</t>
  </si>
  <si>
    <t>XM2-S600-ABK-38.5</t>
  </si>
  <si>
    <t>B0H446SZ7X</t>
  </si>
  <si>
    <t>XM2-S600-ABK-38.5N</t>
  </si>
  <si>
    <t>XM2-S600-ABK-39</t>
  </si>
  <si>
    <t>B0GFCYNZM8</t>
  </si>
  <si>
    <t>XM2-S600-ABK-40</t>
  </si>
  <si>
    <t>B0GFD33NRK</t>
  </si>
  <si>
    <t>XM2-S600-ABK-40.5</t>
  </si>
  <si>
    <t>B0GFD2TBMY</t>
  </si>
  <si>
    <t>XM2-S600-ABK-41</t>
  </si>
  <si>
    <t>B0H4475R62</t>
  </si>
  <si>
    <t>XM2-S600-ABK-41N</t>
  </si>
  <si>
    <t>B0GFD5MPTG</t>
  </si>
  <si>
    <t>XM2-S600-BG-36</t>
  </si>
  <si>
    <t>B0GFD7WB5H</t>
  </si>
  <si>
    <t>XM2-S600-BG-37</t>
  </si>
  <si>
    <t>XM2-S600-BG-37.5</t>
  </si>
  <si>
    <t>B0H4457YP6</t>
  </si>
  <si>
    <t>XM2-S600-BG-37N</t>
  </si>
  <si>
    <t>XM2-S600-BG-38</t>
  </si>
  <si>
    <t>B0GFD8549D</t>
  </si>
  <si>
    <t>XM2-S600-BG-38.5</t>
  </si>
  <si>
    <t>XM2-S600-BG-39</t>
  </si>
  <si>
    <t>B0GFDB1BHP</t>
  </si>
  <si>
    <t>XM2-S600-BG-40</t>
  </si>
  <si>
    <t>B0GFCWPN2Y</t>
  </si>
  <si>
    <t>XM2-S600-BG-40.5</t>
  </si>
  <si>
    <t>B0H43ZQSX7</t>
  </si>
  <si>
    <t>XM2-S600-BG-40.5N</t>
  </si>
  <si>
    <t>XM2-S600-BG-41</t>
  </si>
  <si>
    <t>XM2-S600-DKBU-36</t>
  </si>
  <si>
    <t>B0H43XQDGJ</t>
  </si>
  <si>
    <t>XM2-S600-DKBU-36N</t>
  </si>
  <si>
    <t>B0GFCVRGWV</t>
  </si>
  <si>
    <t>XM2-S600-DKBU-37</t>
  </si>
  <si>
    <t>XM2-S600-DKBU-37.5</t>
  </si>
  <si>
    <t>B0GFD2G89J</t>
  </si>
  <si>
    <t>XM2-S600-DKBU-38</t>
  </si>
  <si>
    <t>XM2-S600-DKBU-38.5</t>
  </si>
  <si>
    <t>XM2-S600-DKBU-39</t>
  </si>
  <si>
    <t>XM2-S600-DKBU-40</t>
  </si>
  <si>
    <t>B0GFCXNTWL</t>
  </si>
  <si>
    <t>XM2-S600-DKBU-40.5</t>
  </si>
  <si>
    <t>XM2-S600-DKBU-41</t>
  </si>
  <si>
    <t>B0H3KP5KCY</t>
  </si>
  <si>
    <t>XM2-S600-DKPL-36</t>
  </si>
  <si>
    <t>B0H3KN7TBH</t>
  </si>
  <si>
    <t>XM2-S600-DKPL-37</t>
  </si>
  <si>
    <t>B0H3KCFP4P</t>
  </si>
  <si>
    <t>XM2-S600-DKPL-37.5</t>
  </si>
  <si>
    <t>B0H3KRD3F8</t>
  </si>
  <si>
    <t>XM2-S600-DKPL-38</t>
  </si>
  <si>
    <t>B0H3KKX3SV</t>
  </si>
  <si>
    <t>XM2-S600-DKPL-38.5</t>
  </si>
  <si>
    <t>B0H3KNFYDV</t>
  </si>
  <si>
    <t>XM2-S600-DKPL-39</t>
  </si>
  <si>
    <t>B0H3KPRBC4</t>
  </si>
  <si>
    <t>XM2-S600-DKPL-40</t>
  </si>
  <si>
    <t>B0H3KS3FS3</t>
  </si>
  <si>
    <t>XM2-S600-DKPL-40.5</t>
  </si>
  <si>
    <t>B0H3KQFGDB</t>
  </si>
  <si>
    <t>XM2-S600-DKPL-41</t>
  </si>
  <si>
    <t>B0GFD5MPW6</t>
  </si>
  <si>
    <t>XM2-S600-GY-36</t>
  </si>
  <si>
    <t>B0GFCZ3HJ4</t>
  </si>
  <si>
    <t>XM2-S600-GY-37</t>
  </si>
  <si>
    <t>XM2-S600-GY-37.5</t>
  </si>
  <si>
    <t>B0GFCYRF26</t>
  </si>
  <si>
    <t>XM2-S600-GY-38</t>
  </si>
  <si>
    <t>XM2-S600-GY-38.5</t>
  </si>
  <si>
    <t>XM2-S600-GY-39</t>
  </si>
  <si>
    <t>B0H44762GS</t>
  </si>
  <si>
    <t>XM2-S600-GY-39N</t>
  </si>
  <si>
    <t>B0GFCZLLX5</t>
  </si>
  <si>
    <t>XM2-S600-GY-40</t>
  </si>
  <si>
    <t>XM2-S600-GY-40.5</t>
  </si>
  <si>
    <t>B0GFD7LC94</t>
  </si>
  <si>
    <t>XM2-S600-GY-41</t>
  </si>
  <si>
    <t>XM2-S600-RD-36</t>
  </si>
  <si>
    <t>B0H444M9ZY</t>
  </si>
  <si>
    <t>XM2-S600-RD-36N</t>
  </si>
  <si>
    <t>B0GFCVT48Q</t>
  </si>
  <si>
    <t>XM2-S600-RD-37</t>
  </si>
  <si>
    <t>XM2-S600-RD-37.5</t>
  </si>
  <si>
    <t>B0H44LRMS4</t>
  </si>
  <si>
    <t>XM2-S600-RD-37.5N</t>
  </si>
  <si>
    <t>B0GFD1WLB4</t>
  </si>
  <si>
    <t>XM2-S600-RD-38</t>
  </si>
  <si>
    <t>XM2-S600-RD-38.5</t>
  </si>
  <si>
    <t>B0H44JHHJD</t>
  </si>
  <si>
    <t>XM2-S600-RD-38.5N</t>
  </si>
  <si>
    <t>B0H44113G1</t>
  </si>
  <si>
    <t>XM2-S600-RD-38N</t>
  </si>
  <si>
    <t>XM2-S600-RD-39</t>
  </si>
  <si>
    <t>B0GFDBH6C1</t>
  </si>
  <si>
    <t>XM2-S600-RD-40</t>
  </si>
  <si>
    <t>B0GFD332N9</t>
  </si>
  <si>
    <t>XM2-S600-RD-40.5</t>
  </si>
  <si>
    <t>XM2-S600-RD-41</t>
  </si>
  <si>
    <t>XM2-S71-BKGY-36</t>
  </si>
  <si>
    <t>XM2-S71-BKGY-37</t>
  </si>
  <si>
    <t>XM2-S71-BKGY-38</t>
  </si>
  <si>
    <t>XM2-S71-BKGY-39</t>
  </si>
  <si>
    <t>XM2-S71-BKGY-40</t>
  </si>
  <si>
    <t>XM2-S71-BKGY-41</t>
  </si>
  <si>
    <t>XM2-S71-BKGY-42</t>
  </si>
  <si>
    <t>XM2-S71-BKGY-43</t>
  </si>
  <si>
    <t>XM2-S71-BUPK-36</t>
  </si>
  <si>
    <t>XM2-S71-BUPK-37</t>
  </si>
  <si>
    <t>XM2-S71-BUPK-38</t>
  </si>
  <si>
    <t>XM2-S71-BUPK-39</t>
  </si>
  <si>
    <t>XM2-S71-BUPK-40</t>
  </si>
  <si>
    <t>B0BHHKYD5N</t>
  </si>
  <si>
    <t>XM2-S71-BUPK-41</t>
  </si>
  <si>
    <t>XM2-S71-BUPK-42</t>
  </si>
  <si>
    <t>XM2-S71-BUPK-43</t>
  </si>
  <si>
    <t>B0B4JX7JHS</t>
  </si>
  <si>
    <t>XM2-S71-GYPK-36</t>
  </si>
  <si>
    <t>XM2-S71-GYPK-37</t>
  </si>
  <si>
    <t>XM2-S71-GYPK-38</t>
  </si>
  <si>
    <t>XM2-S71-GYPK-39</t>
  </si>
  <si>
    <t>XM2-S71-GYPK-40</t>
  </si>
  <si>
    <t>XM2-S71-GYPK-41</t>
  </si>
  <si>
    <t>XM2-S71-GYPK-42</t>
  </si>
  <si>
    <t>XM2-S71-GYPK-43</t>
  </si>
  <si>
    <t>B0B4JVXBKJ</t>
  </si>
  <si>
    <t>XM2-S71-LTBU-36</t>
  </si>
  <si>
    <t>XM2-S71-LTBU-37</t>
  </si>
  <si>
    <t>XM2-S71-LTBU-38</t>
  </si>
  <si>
    <t>B0BCY12H9S</t>
  </si>
  <si>
    <t>XM2-S71-LTBU-39</t>
  </si>
  <si>
    <t>XM2-S71-LTBU-40</t>
  </si>
  <si>
    <t>XM2-S71-LTBU-41</t>
  </si>
  <si>
    <t>XM2-S71-LTBU-42</t>
  </si>
  <si>
    <t>XM2-S71-LTBU-43</t>
  </si>
  <si>
    <t>B0BHHPW3H7</t>
  </si>
  <si>
    <t>XM2-S71-PK-36</t>
  </si>
  <si>
    <t>B0BHHL3QMB</t>
  </si>
  <si>
    <t>XM2-S71-PK-37</t>
  </si>
  <si>
    <t>XM2-S71-PK-38</t>
  </si>
  <si>
    <t>XM2-S71-PK-39</t>
  </si>
  <si>
    <t>B0BHHKZ713</t>
  </si>
  <si>
    <t>XM2-S71-PK-40</t>
  </si>
  <si>
    <t>XM2-S71-PK-41</t>
  </si>
  <si>
    <t>B0C1B3TQ9P</t>
  </si>
  <si>
    <t>XM2-S71-PK-42</t>
  </si>
  <si>
    <t>B0BHHL4WTR</t>
  </si>
  <si>
    <t>XM2-S71-PK-43</t>
  </si>
  <si>
    <t>XM2-S71-PL-36</t>
  </si>
  <si>
    <t>XM2-S71-PL-37</t>
  </si>
  <si>
    <t>XM2-S71-PL-38</t>
  </si>
  <si>
    <t>XM2-S71-PL-39</t>
  </si>
  <si>
    <t>XM2-S71-PL-40</t>
  </si>
  <si>
    <t>XM2-S71-PL-41</t>
  </si>
  <si>
    <t>XM2-S71-PL-42</t>
  </si>
  <si>
    <t>XM2-S71-PL-43</t>
  </si>
  <si>
    <t>XM2-S71-WERD-36</t>
  </si>
  <si>
    <t>XM2-S71-WERD-37</t>
  </si>
  <si>
    <t>B0BCY119SD</t>
  </si>
  <si>
    <t>XM2-S71-WERD-38</t>
  </si>
  <si>
    <t>XM2-S71-WERD-39</t>
  </si>
  <si>
    <t>XM2-S71-WERD-40</t>
  </si>
  <si>
    <t>XM2-S71-WERD-41</t>
  </si>
  <si>
    <t>XM2-S71-WERD-42</t>
  </si>
  <si>
    <t>XM2-S71-WERD-43</t>
  </si>
  <si>
    <t>B0BHJMWQB7</t>
  </si>
  <si>
    <t>XM2-S71-WT-36</t>
  </si>
  <si>
    <t>XM2-S71-WT-37</t>
  </si>
  <si>
    <t>XM2-S71-WT-38</t>
  </si>
  <si>
    <t>XM2-S71-WT-39</t>
  </si>
  <si>
    <t>XM2-S71-WT-40</t>
  </si>
  <si>
    <t>XM2-S71-WT-41</t>
  </si>
  <si>
    <t>XM2-S71-WT-42</t>
  </si>
  <si>
    <t>XM2-S71-WT-43</t>
  </si>
  <si>
    <t>XM2-S73-ABK-36</t>
  </si>
  <si>
    <t>XM2-S73-ABK-37</t>
  </si>
  <si>
    <t>XM2-S73-ABK-38</t>
  </si>
  <si>
    <t>XM2-S73-ABK-39</t>
  </si>
  <si>
    <t>XM2-S73-ABK-40</t>
  </si>
  <si>
    <t>XM2-S73-ABK-41</t>
  </si>
  <si>
    <t>XM2-S73-ABK-42</t>
  </si>
  <si>
    <t>XM2-S73-ABK-43</t>
  </si>
  <si>
    <t>B0CM94Z7SJ</t>
  </si>
  <si>
    <t>XM2-S73-BG-36</t>
  </si>
  <si>
    <t>XM2-S73-BG-37</t>
  </si>
  <si>
    <t>B0CM8Z3ZWZ</t>
  </si>
  <si>
    <t>XM2-S73-BG-38</t>
  </si>
  <si>
    <t>XM2-S73-BG-39</t>
  </si>
  <si>
    <t>XM2-S73-BG-40</t>
  </si>
  <si>
    <t>XM2-S73-BG-41</t>
  </si>
  <si>
    <t>XM2-S73-BG-42</t>
  </si>
  <si>
    <t>XM2-S73-BG-43</t>
  </si>
  <si>
    <t>XM2-S73-BU-36</t>
  </si>
  <si>
    <t>XM2-S73-BU-37</t>
  </si>
  <si>
    <t>XM2-S73-BU-38</t>
  </si>
  <si>
    <t>XM2-S73-BU-39</t>
  </si>
  <si>
    <t>XM2-S73-BU-40</t>
  </si>
  <si>
    <t>XM2-S73-BU-41</t>
  </si>
  <si>
    <t>XM2-S73-BU-42</t>
  </si>
  <si>
    <t>XM2-S73-BU-43</t>
  </si>
  <si>
    <t>B0D45BV9KV</t>
  </si>
  <si>
    <t>XM2-S73-GN-36</t>
  </si>
  <si>
    <t>XM2-S73-GN-37</t>
  </si>
  <si>
    <t>XM2-S73-GN-38</t>
  </si>
  <si>
    <t>XM2-S73-GN-39</t>
  </si>
  <si>
    <t>XM2-S73-GN-40</t>
  </si>
  <si>
    <t>XM2-S73-GN-41</t>
  </si>
  <si>
    <t>XM2-S73-GN-42</t>
  </si>
  <si>
    <t>XM2-S73-GN-43</t>
  </si>
  <si>
    <t>XM2-S73-GYPL-36</t>
  </si>
  <si>
    <t>XM2-S73-GYPL-37</t>
  </si>
  <si>
    <t>XM2-S73-GYPL-38</t>
  </si>
  <si>
    <t>XM2-S73-GYPL-39</t>
  </si>
  <si>
    <t>XM2-S73-GYPL-40</t>
  </si>
  <si>
    <t>XM2-S73-GYPL-41</t>
  </si>
  <si>
    <t>XM2-S73-GYPL-42</t>
  </si>
  <si>
    <t>B0CW5SSCRR</t>
  </si>
  <si>
    <t>XM2-S73-GYPL-43</t>
  </si>
  <si>
    <t>B0CGDBZ92Q</t>
  </si>
  <si>
    <t>XM2-S73-RERD-36</t>
  </si>
  <si>
    <t>B0CGD8RSY6</t>
  </si>
  <si>
    <t>XM2-S73-RERD-37</t>
  </si>
  <si>
    <t>XM2-S73-RERD-38</t>
  </si>
  <si>
    <t>XM2-S73-RERD-39</t>
  </si>
  <si>
    <t>XM2-S73-RERD-40</t>
  </si>
  <si>
    <t>B0CW5WQ3T2</t>
  </si>
  <si>
    <t>XM2-S73-RERD-41</t>
  </si>
  <si>
    <t>XM2-S73-RERD-42</t>
  </si>
  <si>
    <t>B0CGDCHL9M</t>
  </si>
  <si>
    <t>XM2-S73-RERD-43</t>
  </si>
  <si>
    <t>B0CNRH7FTX</t>
  </si>
  <si>
    <t>XM2-S73-WT-36</t>
  </si>
  <si>
    <t>B0CNRH7TLK</t>
  </si>
  <si>
    <t>XM2-S73-WT-37</t>
  </si>
  <si>
    <t>XM2-S73-WT-38</t>
  </si>
  <si>
    <t>XM2-S73-WT-39</t>
  </si>
  <si>
    <t>XM2-S73-WT-40</t>
  </si>
  <si>
    <t>XM2-S73-WT-41</t>
  </si>
  <si>
    <t>XM2-S73-WT-42</t>
  </si>
  <si>
    <t>B0CNRJ9H4M</t>
  </si>
  <si>
    <t>XM2-S73-WT-43</t>
  </si>
  <si>
    <t>XM2-S75-BG-36</t>
  </si>
  <si>
    <t>B0DCV8VVMH</t>
  </si>
  <si>
    <t>XM2-S75-BG-37</t>
  </si>
  <si>
    <t>XM2-S75-BG-38</t>
  </si>
  <si>
    <t>XM2-S75-BG-39</t>
  </si>
  <si>
    <t>XM2-S75-BG-40</t>
  </si>
  <si>
    <t>XM2-S75-BG-41</t>
  </si>
  <si>
    <t>B0DW3QS8LB</t>
  </si>
  <si>
    <t>XM2-S75-BG-42</t>
  </si>
  <si>
    <t>XM2-S75-BG-43</t>
  </si>
  <si>
    <t>XM2-S75-BK-36</t>
  </si>
  <si>
    <t>XM2-S75-BK-37</t>
  </si>
  <si>
    <t>XM2-S75-BK-38</t>
  </si>
  <si>
    <t>XM2-S75-BK-39</t>
  </si>
  <si>
    <t>XM2-S75-BK-40</t>
  </si>
  <si>
    <t>XM2-S75-BK-41</t>
  </si>
  <si>
    <t>XM2-S75-BK-42</t>
  </si>
  <si>
    <t>XM2-S75-BK-43</t>
  </si>
  <si>
    <t>B0DCV9CNQW</t>
  </si>
  <si>
    <t>XM2-S75-BU-36</t>
  </si>
  <si>
    <t>XM2-S75-BU-37</t>
  </si>
  <si>
    <t>XM2-S75-BU-38</t>
  </si>
  <si>
    <t>XM2-S75-BU-39</t>
  </si>
  <si>
    <t>XM2-S75-BU-40</t>
  </si>
  <si>
    <t>B0DCV8H1CX</t>
  </si>
  <si>
    <t>XM2-S75-BU-41</t>
  </si>
  <si>
    <t>XM2-S75-BU-42</t>
  </si>
  <si>
    <t>XM2-S75-BU-43</t>
  </si>
  <si>
    <t>B0DCV5Y58B</t>
  </si>
  <si>
    <t>XM2-S75-GY-36</t>
  </si>
  <si>
    <t>B0DCV8XNVZ</t>
  </si>
  <si>
    <t>XM2-S75-GY-37</t>
  </si>
  <si>
    <t>XM2-S75-GY-38</t>
  </si>
  <si>
    <t>XM2-S75-GY-39</t>
  </si>
  <si>
    <t>XM2-S75-GY-40</t>
  </si>
  <si>
    <t>XM2-S75-GY-41</t>
  </si>
  <si>
    <t>XM2-S75-GY-42</t>
  </si>
  <si>
    <t>XM2-S75-GY-43</t>
  </si>
  <si>
    <t>B0DPW8YL2P</t>
  </si>
  <si>
    <t>XM2-S75-LTBU-36</t>
  </si>
  <si>
    <t>B0DPW7ZG89</t>
  </si>
  <si>
    <t>XM2-S75-LTBU-37</t>
  </si>
  <si>
    <t>XM2-S75-LTBU-38</t>
  </si>
  <si>
    <t>XM2-S75-LTBU-39</t>
  </si>
  <si>
    <t>XM2-S75-LTBU-40</t>
  </si>
  <si>
    <t>XM2-S75-LTBU-41</t>
  </si>
  <si>
    <t>B0DPW9GFDF</t>
  </si>
  <si>
    <t>XM2-S75-LTBU-42</t>
  </si>
  <si>
    <t>XM2-S75-LTBU-43</t>
  </si>
  <si>
    <t>B0DCV98HVC</t>
  </si>
  <si>
    <t>XM2-S75-PL-36</t>
  </si>
  <si>
    <t>XM2-S75-PL-37</t>
  </si>
  <si>
    <t>XM2-S75-PL-38</t>
  </si>
  <si>
    <t>XM2-S75-PL-39</t>
  </si>
  <si>
    <t>B0DW3QGD43</t>
  </si>
  <si>
    <t>XM2-S75-PL-40</t>
  </si>
  <si>
    <t>XM2-S75-PL-41</t>
  </si>
  <si>
    <t>B0DCV8QN3L</t>
  </si>
  <si>
    <t>XM2-S75-PL-42</t>
  </si>
  <si>
    <t>XM2-S75-PL-43</t>
  </si>
  <si>
    <t>B0DMNJCRVC</t>
  </si>
  <si>
    <t>XM2-S7K1-ABK-28</t>
  </si>
  <si>
    <t>B0DMNPJBYQ</t>
  </si>
  <si>
    <t>XM2-S7K1-ABK-29</t>
  </si>
  <si>
    <t>B0DMNKM9LQ</t>
  </si>
  <si>
    <t>XM2-S7K1-ABK-30</t>
  </si>
  <si>
    <t>XM2-S7K1-ABK-31</t>
  </si>
  <si>
    <t>B0DMNNPMBP</t>
  </si>
  <si>
    <t>XM2-S7K1-ABK-32</t>
  </si>
  <si>
    <t>B0DMNKCN48</t>
  </si>
  <si>
    <t>XM2-S7K1-ABK-33</t>
  </si>
  <si>
    <t>B0DMNN4CGM</t>
  </si>
  <si>
    <t>XM2-S7K1-ABK-34</t>
  </si>
  <si>
    <t>B0DMNM838Z</t>
  </si>
  <si>
    <t>XM2-S7K1-ABK-35</t>
  </si>
  <si>
    <t>B0DMNNNDZ6</t>
  </si>
  <si>
    <t>XM2-S7K1-ABK-36</t>
  </si>
  <si>
    <t>XM2-S7K1-ABK-37</t>
  </si>
  <si>
    <t>B0DCMQCJPQ</t>
  </si>
  <si>
    <t>XM2-S7K1-BKRD-28</t>
  </si>
  <si>
    <t>XM2-S7K1-BKRD-29</t>
  </si>
  <si>
    <t>XM2-S7K1-BKRD-30</t>
  </si>
  <si>
    <t>XM2-S7K1-BKRD-31</t>
  </si>
  <si>
    <t>B0DCMLJ45W</t>
  </si>
  <si>
    <t>XM2-S7K1-BKRD-32</t>
  </si>
  <si>
    <t>XM2-S7K1-BKRD-33</t>
  </si>
  <si>
    <t>B0DCMNNY3L</t>
  </si>
  <si>
    <t>XM2-S7K1-BKRD-34</t>
  </si>
  <si>
    <t>B0DCMHT6KG</t>
  </si>
  <si>
    <t>XM2-S7K1-BKRD-35</t>
  </si>
  <si>
    <t>B0DCMJ3TFQ</t>
  </si>
  <si>
    <t>XM2-S7K1-BKRD-36</t>
  </si>
  <si>
    <t>XM2-S7K1-BKRD-37</t>
  </si>
  <si>
    <t>B0DCMNT16T</t>
  </si>
  <si>
    <t>XM2-S7K1-BKWT-28</t>
  </si>
  <si>
    <t>B0DCMWTLPY</t>
  </si>
  <si>
    <t>XM2-S7K1-BKWT-29</t>
  </si>
  <si>
    <t>XM2-S7K1-BKWT-30</t>
  </si>
  <si>
    <t>B0DCN9HQYN</t>
  </si>
  <si>
    <t>XM2-S7K1-BKWT-31</t>
  </si>
  <si>
    <t>B0DCMGHYQQ</t>
  </si>
  <si>
    <t>XM2-S7K1-BKWT-32</t>
  </si>
  <si>
    <t>B0DCN76F6F</t>
  </si>
  <si>
    <t>XM2-S7K1-BKWT-33</t>
  </si>
  <si>
    <t>B0DCMTJ5MX</t>
  </si>
  <si>
    <t>XM2-S7K1-BKWT-34</t>
  </si>
  <si>
    <t>B0DCN9HXQQ</t>
  </si>
  <si>
    <t>XM2-S7K1-BKWT-35</t>
  </si>
  <si>
    <t>B0DCMWZHN5</t>
  </si>
  <si>
    <t>XM2-S7K1-BKWT-36</t>
  </si>
  <si>
    <t>B0DCMMY3FS</t>
  </si>
  <si>
    <t>XM2-S7K1-BKWT-37</t>
  </si>
  <si>
    <t>B0DCNF3GB6</t>
  </si>
  <si>
    <t>XM2-S7K1-DKBU-28</t>
  </si>
  <si>
    <t>B0DCNDSSY7</t>
  </si>
  <si>
    <t>XM2-S7K1-DKBU-29</t>
  </si>
  <si>
    <t>XM2-S7K1-DKBU-30</t>
  </si>
  <si>
    <t>B0DCMVQZ31</t>
  </si>
  <si>
    <t>XM2-S7K1-DKBU-31</t>
  </si>
  <si>
    <t>XM2-S7K1-DKBU-32</t>
  </si>
  <si>
    <t>B0DCN7PZHN</t>
  </si>
  <si>
    <t>XM2-S7K1-DKBU-33</t>
  </si>
  <si>
    <t>B0DCN17XNY</t>
  </si>
  <si>
    <t>XM2-S7K1-DKBU-34</t>
  </si>
  <si>
    <t>B0DCMJ2CZN</t>
  </si>
  <si>
    <t>XM2-S7K1-DKBU-35</t>
  </si>
  <si>
    <t>B0DCMVQBPM</t>
  </si>
  <si>
    <t>XM2-S7K1-DKBU-36</t>
  </si>
  <si>
    <t>XM2-S7K1-DKBU-37</t>
  </si>
  <si>
    <t>B0DCMVSVXJ</t>
  </si>
  <si>
    <t>XM2-S7K1-PK-28</t>
  </si>
  <si>
    <t>B0DCMNC2FL</t>
  </si>
  <si>
    <t>XM2-S7K1-PK-29</t>
  </si>
  <si>
    <t>B0DCNF4HK9</t>
  </si>
  <si>
    <t>XM2-S7K1-PK-30</t>
  </si>
  <si>
    <t>XM2-S7K1-PK-31</t>
  </si>
  <si>
    <t>B0DCMWPJWY</t>
  </si>
  <si>
    <t>XM2-S7K1-PK-32</t>
  </si>
  <si>
    <t>B0DCNC1QR3</t>
  </si>
  <si>
    <t>XM2-S7K1-PK-33</t>
  </si>
  <si>
    <t>B0DCMTV6TZ</t>
  </si>
  <si>
    <t>XM2-S7K1-PK-34</t>
  </si>
  <si>
    <t>B0DCMW3M3R</t>
  </si>
  <si>
    <t>XM2-S7K1-PK-35</t>
  </si>
  <si>
    <t>B0DCMVYCXX</t>
  </si>
  <si>
    <t>XM2-S7K1-PK-36</t>
  </si>
  <si>
    <t>B0DCMM62V7</t>
  </si>
  <si>
    <t>XM2-S7K1-PK-37</t>
  </si>
  <si>
    <t>B0DCNF5K23</t>
  </si>
  <si>
    <t>XM2-S7K1-PL-28</t>
  </si>
  <si>
    <t>B0DCN183CZ</t>
  </si>
  <si>
    <t>XM2-S7K1-PL-29</t>
  </si>
  <si>
    <t>B0DCN79HV7</t>
  </si>
  <si>
    <t>XM2-S7K1-PL-30</t>
  </si>
  <si>
    <t>B0DCMTVJVB</t>
  </si>
  <si>
    <t>XM2-S7K1-PL-31</t>
  </si>
  <si>
    <t>B0DCMSQR4D</t>
  </si>
  <si>
    <t>XM2-S7K1-PL-32</t>
  </si>
  <si>
    <t>B0DCMKCQ7F</t>
  </si>
  <si>
    <t>XM2-S7K1-PL-33</t>
  </si>
  <si>
    <t>B0DCN2FQNP</t>
  </si>
  <si>
    <t>XM2-S7K1-PL-34</t>
  </si>
  <si>
    <t>B0DCN7K5HQ</t>
  </si>
  <si>
    <t>XM2-S7K1-PL-35</t>
  </si>
  <si>
    <t>B0DCN17CML</t>
  </si>
  <si>
    <t>XM2-S7K1-PL-36</t>
  </si>
  <si>
    <t>XM2-S7K1-PL-37</t>
  </si>
  <si>
    <t>B0D1QKJF3S</t>
  </si>
  <si>
    <t>XM2-W8K4-ABK-22</t>
  </si>
  <si>
    <t>B0D1PW845M</t>
  </si>
  <si>
    <t>XM2-W8K4-ABK-23</t>
  </si>
  <si>
    <t>B0CPPFYTJC</t>
  </si>
  <si>
    <t>XM2-W8K4-ABK-24</t>
  </si>
  <si>
    <t>B0CPPFD3BZ</t>
  </si>
  <si>
    <t>XM2-W8K4-ABK-25</t>
  </si>
  <si>
    <t>B0CPPGW1R6</t>
  </si>
  <si>
    <t>XM2-W8K4-ABK-26</t>
  </si>
  <si>
    <t>B0CPPGZL6W</t>
  </si>
  <si>
    <t>XM2-W8K4-ABK-27</t>
  </si>
  <si>
    <t>B0CPPDNJGY</t>
  </si>
  <si>
    <t>XM2-W8K4-ABK-28</t>
  </si>
  <si>
    <t>B0CPPGH4HN</t>
  </si>
  <si>
    <t>XM2-W8K4-ABK-29</t>
  </si>
  <si>
    <t>B0CPPD939H</t>
  </si>
  <si>
    <t>XM2-W8K4-ABK-30</t>
  </si>
  <si>
    <t>B0CPPDS63X</t>
  </si>
  <si>
    <t>XM2-W8K4-ABK-31</t>
  </si>
  <si>
    <t>B0DJ74SGD5</t>
  </si>
  <si>
    <t>XM2-W8K4-ABK-32</t>
  </si>
  <si>
    <t>B0DJ73GQ9M</t>
  </si>
  <si>
    <t>XM2-W8K4-ABK-33</t>
  </si>
  <si>
    <t>B0DJ739ZGF</t>
  </si>
  <si>
    <t>XM2-W8K4-ABK-34</t>
  </si>
  <si>
    <t>B0DJ72NHCM</t>
  </si>
  <si>
    <t>XM2-W8K4-ABK-35</t>
  </si>
  <si>
    <t>B0DJ757N2T</t>
  </si>
  <si>
    <t>XM2-W8K4-ABK-36</t>
  </si>
  <si>
    <t>B0DJ73FGLM</t>
  </si>
  <si>
    <t>XM2-W8K4-ABK-37</t>
  </si>
  <si>
    <t>B0D1R1PYGJ</t>
  </si>
  <si>
    <t>XM2-W8K4-BUBK-22</t>
  </si>
  <si>
    <t>B0D1QJ8LDF</t>
  </si>
  <si>
    <t>XM2-W8K4-BUBK-23</t>
  </si>
  <si>
    <t>B0D2KR7YZ5</t>
  </si>
  <si>
    <t>XM2-W8K4-BUBK-24</t>
  </si>
  <si>
    <t>B0CPPF8MPQ</t>
  </si>
  <si>
    <t>XM2-W8K4-BUBK-25</t>
  </si>
  <si>
    <t>B0CPPHSD6M</t>
  </si>
  <si>
    <t>XM2-W8K4-BUBK-26</t>
  </si>
  <si>
    <t>B0CPPH53XN</t>
  </si>
  <si>
    <t>XM2-W8K4-BUBK-27</t>
  </si>
  <si>
    <t>XM2-W8K4-BUBK-28</t>
  </si>
  <si>
    <t>B0CPPFBD46</t>
  </si>
  <si>
    <t>XM2-W8K4-BUBK-29</t>
  </si>
  <si>
    <t>B0CPPDWG7B</t>
  </si>
  <si>
    <t>XM2-W8K4-BUBK-30</t>
  </si>
  <si>
    <t>XM2-W8K4-BUBK-31</t>
  </si>
  <si>
    <t>B0D1Q4NTGB</t>
  </si>
  <si>
    <t>XM2-W8K4-GYPK-22</t>
  </si>
  <si>
    <t>B0D1QMBJ56</t>
  </si>
  <si>
    <t>XM2-W8K4-GYPK-23</t>
  </si>
  <si>
    <t>B0D1QVH7FP</t>
  </si>
  <si>
    <t>XM2-W8K4-GYPK-24</t>
  </si>
  <si>
    <t>B0D1Q6YLTY</t>
  </si>
  <si>
    <t>XM2-W8K4-GYPK-25</t>
  </si>
  <si>
    <t>B0D1QMTKZ9</t>
  </si>
  <si>
    <t>XM2-W8K4-GYPK-26</t>
  </si>
  <si>
    <t>B0D1QPGTTL</t>
  </si>
  <si>
    <t>XM2-W8K4-GYPK-27</t>
  </si>
  <si>
    <t>B0D1QJ3MMX</t>
  </si>
  <si>
    <t>XM2-W8K4-GYPK-28</t>
  </si>
  <si>
    <t>B0D1Q92L67</t>
  </si>
  <si>
    <t>XM2-W8K4-GYPK-29</t>
  </si>
  <si>
    <t>B0D1QFX94Y</t>
  </si>
  <si>
    <t>XM2-W8K4-GYPK-30</t>
  </si>
  <si>
    <t>B0D1QV8FRG</t>
  </si>
  <si>
    <t>XM2-W8K4-GYPK-31</t>
  </si>
  <si>
    <t>B0D1QCC5MY</t>
  </si>
  <si>
    <t>XM2-W8K4-OGBU-22</t>
  </si>
  <si>
    <t>B0D1QJTH8M</t>
  </si>
  <si>
    <t>XM2-W8K4-OGBU-23</t>
  </si>
  <si>
    <t>B0CPPDV9SG</t>
  </si>
  <si>
    <t>XM2-W8K4-OGBU-24</t>
  </si>
  <si>
    <t>B0CPPCR8JT</t>
  </si>
  <si>
    <t>XM2-W8K4-OGBU-25</t>
  </si>
  <si>
    <t>B0CPPBTZMG</t>
  </si>
  <si>
    <t>XM2-W8K4-OGBU-26</t>
  </si>
  <si>
    <t>B0CPP93NZ5</t>
  </si>
  <si>
    <t>XM2-W8K4-OGBU-27</t>
  </si>
  <si>
    <t>B0CPPFH5MJ</t>
  </si>
  <si>
    <t>XM2-W8K4-OGBU-28</t>
  </si>
  <si>
    <t>B0CPPFKT28</t>
  </si>
  <si>
    <t>XM2-W8K4-OGBU-29</t>
  </si>
  <si>
    <t>B0CPPD91Y7</t>
  </si>
  <si>
    <t>XM2-W8K4-OGBU-30</t>
  </si>
  <si>
    <t>B0CPPDWG6G</t>
  </si>
  <si>
    <t>XM2-W8K4-OGBU-31</t>
  </si>
  <si>
    <t>B0D1QYX5LY</t>
  </si>
  <si>
    <t>XM2-W8K4-PKBU-22</t>
  </si>
  <si>
    <t>B0D1Q4749H</t>
  </si>
  <si>
    <t>XM2-W8K4-PKBU-23</t>
  </si>
  <si>
    <t>B0CPPFHP95</t>
  </si>
  <si>
    <t>XM2-W8K4-PKBU-24</t>
  </si>
  <si>
    <t>B0CPPDSPHD</t>
  </si>
  <si>
    <t>XM2-W8K4-PKBU-25</t>
  </si>
  <si>
    <t>B0CPPDNTQT</t>
  </si>
  <si>
    <t>XM2-W8K4-PKBU-26</t>
  </si>
  <si>
    <t>B0CPPDZHTC</t>
  </si>
  <si>
    <t>XM2-W8K4-PKBU-27</t>
  </si>
  <si>
    <t>B0CPPFYTN1</t>
  </si>
  <si>
    <t>XM2-W8K4-PKBU-28</t>
  </si>
  <si>
    <t>B0CPPFJNSG</t>
  </si>
  <si>
    <t>XM2-W8K4-PKBU-29</t>
  </si>
  <si>
    <t>B0CPPD8V27</t>
  </si>
  <si>
    <t>XM2-W8K4-PKBU-30</t>
  </si>
  <si>
    <t>B0CPPGVL2F</t>
  </si>
  <si>
    <t>XM2-W8K4-PKBU-31</t>
  </si>
  <si>
    <t>B0CPPDCX2C</t>
  </si>
  <si>
    <t>XM2-W8K4-RDBK-25</t>
  </si>
  <si>
    <t>B0D1QPKWRD</t>
  </si>
  <si>
    <t>XM2-W8K4-RDBU-22</t>
  </si>
  <si>
    <t>B0D1QC69Z4</t>
  </si>
  <si>
    <t>XM2-W8K4-RDBU-23</t>
  </si>
  <si>
    <t>B0D1QFVN1S</t>
  </si>
  <si>
    <t>XM2-W8K4-RDBU-24</t>
  </si>
  <si>
    <t>B0D1Q6X4Y4</t>
  </si>
  <si>
    <t>XM2-W8K4-RDBU-25</t>
  </si>
  <si>
    <t>B0D1QG59L2</t>
  </si>
  <si>
    <t>XM2-W8K4-RDBU-26</t>
  </si>
  <si>
    <t>B0D1QH3TC4</t>
  </si>
  <si>
    <t>XM2-W8K4-RDBU-27</t>
  </si>
  <si>
    <t>B0D1Q8TG1W</t>
  </si>
  <si>
    <t>XM2-W8K4-RDBU-28</t>
  </si>
  <si>
    <t>B0D1Q9JDVK</t>
  </si>
  <si>
    <t>XM2-W8K4-RDBU-29</t>
  </si>
  <si>
    <t>B0D1Q4N6QT</t>
  </si>
  <si>
    <t>XM2-W8K4-RDBU-30</t>
  </si>
  <si>
    <t>B0D1QX66B2</t>
  </si>
  <si>
    <t>XM2-W8K4-RDBU-31</t>
  </si>
  <si>
    <t>B0H1M9KJLC</t>
  </si>
  <si>
    <t>XM2-Y71B</t>
  </si>
  <si>
    <t>B0H1M8J7QC</t>
  </si>
  <si>
    <t>XM2-Y71B-BG-37.5</t>
  </si>
  <si>
    <t>B0H1MB8S66</t>
  </si>
  <si>
    <t>XM2-Y71B-BG-39</t>
  </si>
  <si>
    <t>B0H1MFZLJQ</t>
  </si>
  <si>
    <t>XM2-Y71B-BG-40</t>
  </si>
  <si>
    <t>B0H1M283Z1</t>
  </si>
  <si>
    <t>XM2-Y71B-BG-41</t>
  </si>
  <si>
    <t>B0H1MF2KM7</t>
  </si>
  <si>
    <t>XM2-Y71B-BG-42.5</t>
  </si>
  <si>
    <t>B0H1M911C4</t>
  </si>
  <si>
    <t>XM2-Y71B-BG-44</t>
  </si>
  <si>
    <t>B0H1MGHVF9</t>
  </si>
  <si>
    <t>XM2-Y71B-BK-36</t>
  </si>
  <si>
    <t>B0H1LXWWTP</t>
  </si>
  <si>
    <t>XM2-Y71B-BK-37.5</t>
  </si>
  <si>
    <t>B0H1MFKWPQ</t>
  </si>
  <si>
    <t>XM2-Y71B-BK-39</t>
  </si>
  <si>
    <t>B0H1MFYRW7</t>
  </si>
  <si>
    <t>XM2-Y71B-BK-40</t>
  </si>
  <si>
    <t>B0H1M7N6FP</t>
  </si>
  <si>
    <t>XM2-Y71B-BK-41</t>
  </si>
  <si>
    <t>B0H1M9T49J</t>
  </si>
  <si>
    <t>XM2-Y71B-BK-42.5</t>
  </si>
  <si>
    <t>B0H1MJKYT6</t>
  </si>
  <si>
    <t>XM2-Y71B-BK-44</t>
  </si>
  <si>
    <t>B0H1MHSTS4</t>
  </si>
  <si>
    <t>XM2-Y71B-BK-45</t>
  </si>
  <si>
    <t>B0H1MHJRNK</t>
  </si>
  <si>
    <t>XM2-Y71B-BK-46</t>
  </si>
  <si>
    <t>B0H1MDJ2XT</t>
  </si>
  <si>
    <t>XM2-Y71B-BK-47</t>
  </si>
  <si>
    <t>B0H1M78TJY</t>
  </si>
  <si>
    <t>XM2-Y71B-BN-37.5</t>
  </si>
  <si>
    <t>B0H1MCGNWN</t>
  </si>
  <si>
    <t>XM2-Y71B-BN-39</t>
  </si>
  <si>
    <t>B0H1MHSBYW</t>
  </si>
  <si>
    <t>XM2-Y71B-BN-40</t>
  </si>
  <si>
    <t>B0H1MFBJ7L</t>
  </si>
  <si>
    <t>XM2-Y71B-BN-41</t>
  </si>
  <si>
    <t>B0H1MBK7G6</t>
  </si>
  <si>
    <t>XM2-Y71B-BN-42.5</t>
  </si>
  <si>
    <t>B0H1MGQGXM</t>
  </si>
  <si>
    <t>XM2-Y71B-BN-44</t>
  </si>
  <si>
    <t>B0H1MDR218</t>
  </si>
  <si>
    <t>XM2-Y71B-BU-40</t>
  </si>
  <si>
    <t>B0H1MGMF8G</t>
  </si>
  <si>
    <t>XM2-Y71B-BU-41</t>
  </si>
  <si>
    <t>B0H1MCQHC8</t>
  </si>
  <si>
    <t>XM2-Y71B-BU-42.5</t>
  </si>
  <si>
    <t>B0H1M7JSX9</t>
  </si>
  <si>
    <t>XM2-Y71B-BU-44</t>
  </si>
  <si>
    <t>B0H1MJC259</t>
  </si>
  <si>
    <t>XM2-Y71B-BU-45</t>
  </si>
  <si>
    <t>B0H1MG7VPT</t>
  </si>
  <si>
    <t>XM2-Y71B-BU-46</t>
  </si>
  <si>
    <t>B0H1MB36MJ</t>
  </si>
  <si>
    <t>XM2-Y71B-BU-47</t>
  </si>
  <si>
    <t>B0H1M73TS6</t>
  </si>
  <si>
    <t>XM2-Y71B-CL-37.5</t>
  </si>
  <si>
    <t>B0H1MC3Y7K</t>
  </si>
  <si>
    <t>XM2-Y71B-CL-39</t>
  </si>
  <si>
    <t>B0H1M2ZLMZ</t>
  </si>
  <si>
    <t>XM2-Y71B-CL-40</t>
  </si>
  <si>
    <t>B0H1M74TW8</t>
  </si>
  <si>
    <t>XM2-Y71B-CL-41</t>
  </si>
  <si>
    <t>B0H1MDZNS9</t>
  </si>
  <si>
    <t>XM2-Y71B-CL-42.5</t>
  </si>
  <si>
    <t>B0H1M726R8</t>
  </si>
  <si>
    <t>XM2-Y71B-CL-44</t>
  </si>
  <si>
    <t>B0H1M8CT3L</t>
  </si>
  <si>
    <t>XM2-Y71B-CL-45</t>
  </si>
  <si>
    <t>B0H1MBNBCG</t>
  </si>
  <si>
    <t>XM2-Y71B-CL-46</t>
  </si>
  <si>
    <t>B0H1MBNJNT</t>
  </si>
  <si>
    <t>XM2-Y71B-CL-47</t>
  </si>
  <si>
    <t>B0H1MGHZ2S</t>
  </si>
  <si>
    <t>XM2-Y71B-PK-37.5</t>
  </si>
  <si>
    <t>B0H1MCP64S</t>
  </si>
  <si>
    <t>XM2-Y71B-PK-39</t>
  </si>
  <si>
    <t>B0H1M248P8</t>
  </si>
  <si>
    <t>XM2-Y71B-PK-40</t>
  </si>
  <si>
    <t>B0H1MJFVVB</t>
  </si>
  <si>
    <t>XM2-Y71B-PK-41</t>
  </si>
  <si>
    <t>B0H1MFQLY2</t>
  </si>
  <si>
    <t>XM2-Y71B-PK-42.5</t>
  </si>
  <si>
    <t>B0H1MHQG3H</t>
  </si>
  <si>
    <t>XM2-Y71B-PK-44</t>
  </si>
  <si>
    <t>XM2-Y90B</t>
  </si>
  <si>
    <t>XM2-Y90B-BG-W10</t>
  </si>
  <si>
    <t>XM2-Y90B-BG-W11</t>
  </si>
  <si>
    <t>B0GKDX6MQB</t>
  </si>
  <si>
    <t>XM2-Y90B-BG-W6</t>
  </si>
  <si>
    <t>XM2-Y90B-BG-W7</t>
  </si>
  <si>
    <t>XM2-Y90B-BG-W8</t>
  </si>
  <si>
    <t>XM2-Y90B-BG-W9</t>
  </si>
  <si>
    <t>XM2-Y90B-BK-W10</t>
  </si>
  <si>
    <t>XM2-Y90B-BK-W11</t>
  </si>
  <si>
    <t>XM2-Y90B-BK-W6</t>
  </si>
  <si>
    <t>XM2-Y90B-BK-W7</t>
  </si>
  <si>
    <t>XM2-Y90B-BK-W7N</t>
  </si>
  <si>
    <t>XM2-Y90B-BK-W8</t>
  </si>
  <si>
    <t>XM2-Y90B-BK-W9</t>
  </si>
  <si>
    <t>XM2-Y90B-BK-W9N</t>
  </si>
  <si>
    <t>XM2-Y90B-DKBU-W10</t>
  </si>
  <si>
    <t>XM2-Y90B-DKBU-W11</t>
  </si>
  <si>
    <t>XM2-Y90B-DKBU-W6</t>
  </si>
  <si>
    <t>XM2-Y90B-DKBU-W7</t>
  </si>
  <si>
    <t>B0GKCDS3ZR</t>
  </si>
  <si>
    <t>XM2-Y90B-DKBU-W8</t>
  </si>
  <si>
    <t>XM2-Y90B-DKBU-W8M</t>
  </si>
  <si>
    <t>B0GWHB3LGY</t>
  </si>
  <si>
    <t>XM2-Y90B-DKBU-W8N</t>
  </si>
  <si>
    <t>XM2-Y90B-DKBU-W9</t>
  </si>
  <si>
    <t>XM2-Y90B-DKBU-W9N</t>
  </si>
  <si>
    <t>B0H153Q8QY</t>
  </si>
  <si>
    <t>XM2-Y90B-GN-W10</t>
  </si>
  <si>
    <t>B0H154G93S</t>
  </si>
  <si>
    <t>XM2-Y90B-GN-W11</t>
  </si>
  <si>
    <t>B0H156V3XG</t>
  </si>
  <si>
    <t>XM2-Y90B-GN-W6</t>
  </si>
  <si>
    <t>B0H157H66W</t>
  </si>
  <si>
    <t>XM2-Y90B-GN-W7</t>
  </si>
  <si>
    <t>B0H14QY9ZS</t>
  </si>
  <si>
    <t>XM2-Y90B-GN-W8</t>
  </si>
  <si>
    <t>B0H14YBR31</t>
  </si>
  <si>
    <t>XM2-Y90B-GN-W9</t>
  </si>
  <si>
    <t>XM2-Y90B-LTGY-W10</t>
  </si>
  <si>
    <t>XM2-Y90B-LTGY-W11</t>
  </si>
  <si>
    <t>XM2-Y90B-LTGY-W6</t>
  </si>
  <si>
    <t>XM2-Y90B-LTGY-W7</t>
  </si>
  <si>
    <t>B0GKCY4TZ6</t>
  </si>
  <si>
    <t>XM2-Y90B-LTGY-W8</t>
  </si>
  <si>
    <t>B0GVYHRC7M</t>
  </si>
  <si>
    <t>XM2-Y90B-LTGY-W8N</t>
  </si>
  <si>
    <t>XM2-Y90B-LTGY-W9</t>
  </si>
  <si>
    <t>XM2-Y90B-LTPK-W10</t>
  </si>
  <si>
    <t>XM2-Y90B-LTPK-W11</t>
  </si>
  <si>
    <t>XM2-Y90B-LTPK-W6</t>
  </si>
  <si>
    <t>XM2-Y90B-LTPK-W7</t>
  </si>
  <si>
    <t>XM2-Y90B-LTPK-W8</t>
  </si>
  <si>
    <t>XM2-Y90B-LTPK-W9</t>
  </si>
  <si>
    <t>B0GW1NSH77</t>
  </si>
  <si>
    <t>XM2-Y90B-PL-W10</t>
  </si>
  <si>
    <t>XM2-Y90B-PL-W11</t>
  </si>
  <si>
    <t>B0GW1MRPBM</t>
  </si>
  <si>
    <t>XM2-Y90B-PL-W6</t>
  </si>
  <si>
    <t>B0GW1JPWYX</t>
  </si>
  <si>
    <t>XM2-Y90B-PL-W7</t>
  </si>
  <si>
    <t>B0GW228H5Z</t>
  </si>
  <si>
    <t>XM2-Y90B-PL-W8</t>
  </si>
  <si>
    <t>XM2-Y90B-PL-W9</t>
  </si>
  <si>
    <t>B0GKD3239V</t>
  </si>
  <si>
    <t>XM2-Y90B-TP-W10</t>
  </si>
  <si>
    <t>B0GKDH7K4M</t>
  </si>
  <si>
    <t>XM2-Y90B-TP-W11</t>
  </si>
  <si>
    <t>B0GVYSNZYY</t>
  </si>
  <si>
    <t>XM2-Y90B-TP-W11N</t>
  </si>
  <si>
    <t>XM2-Y90B-TP-W6</t>
  </si>
  <si>
    <t>XM2-Y90B-TP-W7</t>
  </si>
  <si>
    <t>XM2-Y90B-TP-W8</t>
  </si>
  <si>
    <t>B0GKCYPMLH</t>
  </si>
  <si>
    <t>XM2-Y90B-TP-W9</t>
  </si>
  <si>
    <t>XM2-Y90B-TP-W9N</t>
  </si>
  <si>
    <t>Y10 Y180-BK-40</t>
  </si>
  <si>
    <t>Y10 Y180-BK-41</t>
  </si>
  <si>
    <t>B0FND5Q2VR</t>
  </si>
  <si>
    <t>Y10 Y180-BN-41</t>
  </si>
  <si>
    <t>B0D146YTCQ</t>
  </si>
  <si>
    <t>Y10Y180-BK-43</t>
  </si>
  <si>
    <t>B0D142TTSZ</t>
  </si>
  <si>
    <t>Y10Y180-BL-36</t>
  </si>
  <si>
    <t>B0D13RMZK1</t>
  </si>
  <si>
    <t>Y10Y180-BL-38</t>
  </si>
  <si>
    <t>B0D13N22S7</t>
  </si>
  <si>
    <t>Y10Y180-BL-40</t>
  </si>
  <si>
    <t>B0D144SKVW</t>
  </si>
  <si>
    <t>Y10Y180-BL-41</t>
  </si>
  <si>
    <t>B0D13NDJGH</t>
  </si>
  <si>
    <t>Y10Y180-BN-36</t>
  </si>
  <si>
    <t>B0D14D7KGN</t>
  </si>
  <si>
    <t>Y10Y180-BN-38</t>
  </si>
  <si>
    <t>B0D149JWZN</t>
  </si>
  <si>
    <t>Y10Y180-BN-40</t>
  </si>
  <si>
    <t>B0D13T1R7R</t>
  </si>
  <si>
    <t>Y10Y180-BN-43</t>
  </si>
  <si>
    <t>B0FNR5VNP2</t>
  </si>
  <si>
    <t>Y10Y180-CL-38</t>
  </si>
  <si>
    <t>B0FNR64NTM</t>
  </si>
  <si>
    <t>Y10Y180-CL-40</t>
  </si>
  <si>
    <t>B0FNR5L6M8</t>
  </si>
  <si>
    <t>Y10Y180-GY-36</t>
  </si>
  <si>
    <t>Y10Y180-GY-41</t>
  </si>
  <si>
    <t>B0FNR9CS1D</t>
  </si>
  <si>
    <t>Y10Y180-GY-43</t>
  </si>
  <si>
    <t>B0FNRB2KL3</t>
  </si>
  <si>
    <t>Y10Y180-GY-45</t>
  </si>
  <si>
    <t>B0FNRBZ8JL</t>
  </si>
  <si>
    <t>Y10Y180-GY-47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</si>
</sst>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492"/>
  <sheetViews>
    <sheetView tabSelected="1" zoomScaleSheetLayoutView="60" workbookViewId="0">
      <selection activeCell="L2" sqref="L2:L492"/>
    </sheetView>
  </sheetViews>
  <sheetFormatPr defaultColWidth="10" defaultRowHeight="14.4"/>
  <cols>
    <col min="11" max="11" width="15.3333333333333" customWidth="1"/>
    <col min="12" max="12" width="15.3333333333333" style="1" customWidth="1"/>
    <col min="13" max="13" width="32.3333333333333" customWidth="1"/>
    <col min="14" max="14" width="36.5555555555556" customWidth="1"/>
  </cols>
  <sheetData>
    <row r="1" spans="1:37">
      <c r="A1" t="s">
        <v>0</v>
      </c>
      <c r="B1" t="s">
        <v>1</v>
      </c>
      <c r="C1" t="s">
        <v>2</v>
      </c>
      <c r="D1" t="s">
        <v>3</v>
      </c>
      <c r="E1" t="s">
        <v>4</v>
      </c>
      <c r="F1" t="s">
        <v>5</v>
      </c>
      <c r="G1" t="s">
        <v>6</v>
      </c>
      <c r="H1" t="s">
        <v>7</v>
      </c>
      <c r="I1" t="s">
        <v>8</v>
      </c>
      <c r="J1" t="s">
        <v>9</v>
      </c>
      <c r="K1" t="s">
        <v>10</v>
      </c>
      <c r="L1" s="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c r="A2" t="s">
        <v>37</v>
      </c>
      <c r="B2" t="s">
        <v>38</v>
      </c>
      <c r="C2" t="str">
        <f t="shared" ref="C2:C65" si="0">"amzn1.ads-account.g.dfa7o7cwdl371d634ew58i919"</f>
        <v>amzn1.ads-account.g.dfa7o7cwdl371d634ew58i919</v>
      </c>
      <c r="D2" t="s">
        <v>39</v>
      </c>
      <c r="G2" t="str">
        <f t="shared" ref="G2:G65" si="1">"585687237024345541"</f>
        <v>585687237024345541</v>
      </c>
      <c r="H2" t="s">
        <v>40</v>
      </c>
      <c r="I2" t="str">
        <f t="shared" ref="I2:I65" si="2">"585478290940566279"</f>
        <v>585478290940566279</v>
      </c>
      <c r="J2" t="s">
        <v>41</v>
      </c>
      <c r="K2" t="s">
        <v>42</v>
      </c>
      <c r="L2" s="1" t="str">
        <f>VLOOKUP(K2,Sheet1!A:B,2,FALSE)</f>
        <v>SH-BRY10-GY-38</v>
      </c>
      <c r="M2" t="s">
        <v>43</v>
      </c>
      <c r="N2" t="s">
        <v>44</v>
      </c>
      <c r="O2" t="s">
        <v>45</v>
      </c>
      <c r="P2" t="s">
        <v>46</v>
      </c>
      <c r="Q2" t="s">
        <v>47</v>
      </c>
      <c r="R2" t="s">
        <v>48</v>
      </c>
      <c r="S2" t="s">
        <v>49</v>
      </c>
      <c r="AB2" t="s">
        <v>49</v>
      </c>
      <c r="AC2">
        <v>8</v>
      </c>
      <c r="AD2">
        <v>179.98</v>
      </c>
      <c r="AE2">
        <v>8</v>
      </c>
      <c r="AF2">
        <v>8</v>
      </c>
      <c r="AG2">
        <v>179.98</v>
      </c>
      <c r="AH2">
        <v>8</v>
      </c>
      <c r="AI2">
        <v>4</v>
      </c>
      <c r="AJ2">
        <v>88.68</v>
      </c>
      <c r="AK2">
        <v>4</v>
      </c>
    </row>
    <row r="3" spans="1:37">
      <c r="A3" t="s">
        <v>37</v>
      </c>
      <c r="B3" t="s">
        <v>50</v>
      </c>
      <c r="C3" t="str">
        <f t="shared" si="0"/>
        <v>amzn1.ads-account.g.dfa7o7cwdl371d634ew58i919</v>
      </c>
      <c r="D3" t="s">
        <v>39</v>
      </c>
      <c r="G3" t="str">
        <f t="shared" si="1"/>
        <v>585687237024345541</v>
      </c>
      <c r="H3" t="s">
        <v>40</v>
      </c>
      <c r="I3" t="str">
        <f t="shared" si="2"/>
        <v>585478290940566279</v>
      </c>
      <c r="J3" t="s">
        <v>41</v>
      </c>
      <c r="K3" t="s">
        <v>51</v>
      </c>
      <c r="L3" s="1" t="str">
        <f>VLOOKUP(K3,Sheet1!A:B,2,FALSE)</f>
        <v>XM1-Y22-BG-35</v>
      </c>
      <c r="M3" t="s">
        <v>52</v>
      </c>
      <c r="N3" t="s">
        <v>53</v>
      </c>
      <c r="O3" t="s">
        <v>45</v>
      </c>
      <c r="Q3" t="s">
        <v>54</v>
      </c>
      <c r="R3" t="s">
        <v>48</v>
      </c>
      <c r="S3" t="s">
        <v>49</v>
      </c>
      <c r="AB3" t="s">
        <v>49</v>
      </c>
      <c r="AC3">
        <v>0</v>
      </c>
      <c r="AD3">
        <v>0</v>
      </c>
      <c r="AE3">
        <v>0</v>
      </c>
      <c r="AF3">
        <v>0</v>
      </c>
      <c r="AG3">
        <v>0</v>
      </c>
      <c r="AH3">
        <v>0</v>
      </c>
      <c r="AI3">
        <v>0</v>
      </c>
      <c r="AJ3">
        <v>0</v>
      </c>
      <c r="AK3">
        <v>0</v>
      </c>
    </row>
    <row r="4" spans="1:37">
      <c r="A4" t="s">
        <v>37</v>
      </c>
      <c r="B4" t="s">
        <v>55</v>
      </c>
      <c r="C4" t="str">
        <f t="shared" si="0"/>
        <v>amzn1.ads-account.g.dfa7o7cwdl371d634ew58i919</v>
      </c>
      <c r="D4" t="s">
        <v>39</v>
      </c>
      <c r="G4" t="str">
        <f t="shared" si="1"/>
        <v>585687237024345541</v>
      </c>
      <c r="H4" t="s">
        <v>40</v>
      </c>
      <c r="I4" t="str">
        <f t="shared" si="2"/>
        <v>585478290940566279</v>
      </c>
      <c r="J4" t="s">
        <v>41</v>
      </c>
      <c r="K4" t="s">
        <v>56</v>
      </c>
      <c r="L4" s="1" t="str">
        <f>VLOOKUP(K4,Sheet1!A:B,2,FALSE)</f>
        <v>LB1-Y15-GY-40</v>
      </c>
      <c r="M4" t="s">
        <v>57</v>
      </c>
      <c r="N4" t="s">
        <v>58</v>
      </c>
      <c r="O4" t="s">
        <v>45</v>
      </c>
      <c r="P4" t="s">
        <v>59</v>
      </c>
      <c r="Q4" t="s">
        <v>60</v>
      </c>
      <c r="R4" t="s">
        <v>48</v>
      </c>
      <c r="S4" t="s">
        <v>49</v>
      </c>
      <c r="AB4" t="s">
        <v>49</v>
      </c>
      <c r="AC4">
        <v>0</v>
      </c>
      <c r="AD4">
        <v>0</v>
      </c>
      <c r="AE4">
        <v>0</v>
      </c>
      <c r="AF4">
        <v>0</v>
      </c>
      <c r="AG4">
        <v>0</v>
      </c>
      <c r="AH4">
        <v>0</v>
      </c>
      <c r="AI4">
        <v>0</v>
      </c>
      <c r="AJ4">
        <v>0</v>
      </c>
      <c r="AK4">
        <v>0</v>
      </c>
    </row>
    <row r="5" spans="1:37">
      <c r="A5" t="s">
        <v>37</v>
      </c>
      <c r="B5" t="s">
        <v>61</v>
      </c>
      <c r="C5" t="str">
        <f t="shared" si="0"/>
        <v>amzn1.ads-account.g.dfa7o7cwdl371d634ew58i919</v>
      </c>
      <c r="D5" t="s">
        <v>39</v>
      </c>
      <c r="G5" t="str">
        <f t="shared" si="1"/>
        <v>585687237024345541</v>
      </c>
      <c r="H5" t="s">
        <v>40</v>
      </c>
      <c r="I5" t="str">
        <f t="shared" si="2"/>
        <v>585478290940566279</v>
      </c>
      <c r="J5" t="s">
        <v>41</v>
      </c>
      <c r="K5" t="s">
        <v>62</v>
      </c>
      <c r="L5" s="1" t="str">
        <f>VLOOKUP(K5,Sheet1!A:B,2,FALSE)</f>
        <v>SH-BRY180-WT-40N</v>
      </c>
      <c r="M5" t="s">
        <v>63</v>
      </c>
      <c r="N5" t="s">
        <v>64</v>
      </c>
      <c r="O5" t="s">
        <v>45</v>
      </c>
      <c r="P5" t="s">
        <v>65</v>
      </c>
      <c r="Q5" t="s">
        <v>66</v>
      </c>
      <c r="R5" t="s">
        <v>48</v>
      </c>
      <c r="S5" t="s">
        <v>49</v>
      </c>
      <c r="AB5" t="s">
        <v>49</v>
      </c>
      <c r="AC5">
        <v>2</v>
      </c>
      <c r="AD5">
        <v>47.98</v>
      </c>
      <c r="AE5">
        <v>2</v>
      </c>
      <c r="AF5">
        <v>2</v>
      </c>
      <c r="AG5">
        <v>47.98</v>
      </c>
      <c r="AH5">
        <v>2</v>
      </c>
      <c r="AI5">
        <v>2</v>
      </c>
      <c r="AJ5">
        <v>47.98</v>
      </c>
      <c r="AK5">
        <v>2</v>
      </c>
    </row>
    <row r="6" spans="1:37">
      <c r="A6" t="s">
        <v>37</v>
      </c>
      <c r="B6" t="s">
        <v>67</v>
      </c>
      <c r="C6" t="str">
        <f t="shared" si="0"/>
        <v>amzn1.ads-account.g.dfa7o7cwdl371d634ew58i919</v>
      </c>
      <c r="D6" t="s">
        <v>39</v>
      </c>
      <c r="G6" t="str">
        <f t="shared" si="1"/>
        <v>585687237024345541</v>
      </c>
      <c r="H6" t="s">
        <v>40</v>
      </c>
      <c r="I6" t="str">
        <f t="shared" si="2"/>
        <v>585478290940566279</v>
      </c>
      <c r="J6" t="s">
        <v>41</v>
      </c>
      <c r="K6" t="s">
        <v>68</v>
      </c>
      <c r="L6" s="1" t="str">
        <f>VLOOKUP(K6,Sheet1!A:B,2,FALSE)</f>
        <v>XM2-S600-DKBU-36</v>
      </c>
      <c r="M6" t="s">
        <v>69</v>
      </c>
      <c r="N6" t="s">
        <v>70</v>
      </c>
      <c r="O6" t="s">
        <v>45</v>
      </c>
      <c r="Q6" t="s">
        <v>54</v>
      </c>
      <c r="R6" t="s">
        <v>48</v>
      </c>
      <c r="S6" t="s">
        <v>49</v>
      </c>
      <c r="AB6" t="s">
        <v>49</v>
      </c>
      <c r="AC6">
        <v>0</v>
      </c>
      <c r="AD6">
        <v>0</v>
      </c>
      <c r="AE6">
        <v>0</v>
      </c>
      <c r="AF6">
        <v>0</v>
      </c>
      <c r="AG6">
        <v>0</v>
      </c>
      <c r="AH6">
        <v>0</v>
      </c>
      <c r="AI6">
        <v>0</v>
      </c>
      <c r="AJ6">
        <v>0</v>
      </c>
      <c r="AK6">
        <v>0</v>
      </c>
    </row>
    <row r="7" spans="1:37">
      <c r="A7" t="s">
        <v>37</v>
      </c>
      <c r="B7" t="s">
        <v>71</v>
      </c>
      <c r="C7" t="str">
        <f t="shared" si="0"/>
        <v>amzn1.ads-account.g.dfa7o7cwdl371d634ew58i919</v>
      </c>
      <c r="D7" t="s">
        <v>39</v>
      </c>
      <c r="G7" t="str">
        <f t="shared" si="1"/>
        <v>585687237024345541</v>
      </c>
      <c r="H7" t="s">
        <v>40</v>
      </c>
      <c r="I7" t="str">
        <f t="shared" si="2"/>
        <v>585478290940566279</v>
      </c>
      <c r="J7" t="s">
        <v>41</v>
      </c>
      <c r="K7" t="s">
        <v>72</v>
      </c>
      <c r="L7" s="1" t="str">
        <f>VLOOKUP(K7,Sheet1!A:B,2,FALSE)</f>
        <v>XM2-Y90B-TP-W7</v>
      </c>
      <c r="M7" t="s">
        <v>73</v>
      </c>
      <c r="N7" t="s">
        <v>74</v>
      </c>
      <c r="O7" t="s">
        <v>45</v>
      </c>
      <c r="P7" t="s">
        <v>75</v>
      </c>
      <c r="Q7" t="s">
        <v>76</v>
      </c>
      <c r="R7" t="s">
        <v>48</v>
      </c>
      <c r="S7" t="s">
        <v>49</v>
      </c>
      <c r="AB7" t="s">
        <v>49</v>
      </c>
      <c r="AC7">
        <v>0</v>
      </c>
      <c r="AD7">
        <v>0</v>
      </c>
      <c r="AE7">
        <v>0</v>
      </c>
      <c r="AF7">
        <v>0</v>
      </c>
      <c r="AG7">
        <v>0</v>
      </c>
      <c r="AH7">
        <v>0</v>
      </c>
      <c r="AI7">
        <v>0</v>
      </c>
      <c r="AJ7">
        <v>0</v>
      </c>
      <c r="AK7">
        <v>0</v>
      </c>
    </row>
    <row r="8" spans="1:37">
      <c r="A8" t="s">
        <v>37</v>
      </c>
      <c r="B8" t="s">
        <v>77</v>
      </c>
      <c r="C8" t="str">
        <f t="shared" si="0"/>
        <v>amzn1.ads-account.g.dfa7o7cwdl371d634ew58i919</v>
      </c>
      <c r="D8" t="s">
        <v>39</v>
      </c>
      <c r="G8" t="str">
        <f t="shared" si="1"/>
        <v>585687237024345541</v>
      </c>
      <c r="H8" t="s">
        <v>40</v>
      </c>
      <c r="I8" t="str">
        <f t="shared" si="2"/>
        <v>585478290940566279</v>
      </c>
      <c r="J8" t="s">
        <v>41</v>
      </c>
      <c r="K8" t="s">
        <v>78</v>
      </c>
      <c r="L8" s="1" t="str">
        <f>VLOOKUP(K8,Sheet1!A:B,2,FALSE)</f>
        <v>XM1-Y22-GY-39</v>
      </c>
      <c r="M8" t="s">
        <v>79</v>
      </c>
      <c r="N8" t="s">
        <v>53</v>
      </c>
      <c r="O8" t="s">
        <v>45</v>
      </c>
      <c r="P8" t="s">
        <v>65</v>
      </c>
      <c r="Q8" t="s">
        <v>66</v>
      </c>
      <c r="R8" t="s">
        <v>48</v>
      </c>
      <c r="S8" t="s">
        <v>49</v>
      </c>
      <c r="AB8" t="s">
        <v>49</v>
      </c>
      <c r="AC8">
        <v>0</v>
      </c>
      <c r="AD8">
        <v>0</v>
      </c>
      <c r="AE8">
        <v>0</v>
      </c>
      <c r="AF8">
        <v>0</v>
      </c>
      <c r="AG8">
        <v>0</v>
      </c>
      <c r="AH8">
        <v>0</v>
      </c>
      <c r="AI8">
        <v>0</v>
      </c>
      <c r="AJ8">
        <v>0</v>
      </c>
      <c r="AK8">
        <v>0</v>
      </c>
    </row>
    <row r="9" spans="1:37">
      <c r="A9" t="s">
        <v>37</v>
      </c>
      <c r="B9" t="s">
        <v>80</v>
      </c>
      <c r="C9" t="str">
        <f t="shared" si="0"/>
        <v>amzn1.ads-account.g.dfa7o7cwdl371d634ew58i919</v>
      </c>
      <c r="D9" t="s">
        <v>39</v>
      </c>
      <c r="G9" t="str">
        <f t="shared" si="1"/>
        <v>585687237024345541</v>
      </c>
      <c r="H9" t="s">
        <v>40</v>
      </c>
      <c r="I9" t="str">
        <f t="shared" si="2"/>
        <v>585478290940566279</v>
      </c>
      <c r="J9" t="s">
        <v>41</v>
      </c>
      <c r="K9" t="s">
        <v>81</v>
      </c>
      <c r="L9" s="1" t="str">
        <f>VLOOKUP(K9,Sheet1!A:B,2,FALSE)</f>
        <v>XM2-S71-PL-39</v>
      </c>
      <c r="M9" t="s">
        <v>82</v>
      </c>
      <c r="N9" t="s">
        <v>83</v>
      </c>
      <c r="O9" t="s">
        <v>45</v>
      </c>
      <c r="P9" t="s">
        <v>65</v>
      </c>
      <c r="Q9" t="s">
        <v>84</v>
      </c>
      <c r="R9" t="s">
        <v>48</v>
      </c>
      <c r="S9" t="s">
        <v>49</v>
      </c>
      <c r="AB9" t="s">
        <v>49</v>
      </c>
      <c r="AC9">
        <v>0</v>
      </c>
      <c r="AD9">
        <v>0</v>
      </c>
      <c r="AE9">
        <v>0</v>
      </c>
      <c r="AF9">
        <v>0</v>
      </c>
      <c r="AG9">
        <v>0</v>
      </c>
      <c r="AH9">
        <v>0</v>
      </c>
      <c r="AI9">
        <v>0</v>
      </c>
      <c r="AJ9">
        <v>0</v>
      </c>
      <c r="AK9">
        <v>0</v>
      </c>
    </row>
    <row r="10" spans="1:37">
      <c r="A10" t="s">
        <v>37</v>
      </c>
      <c r="B10" t="s">
        <v>85</v>
      </c>
      <c r="C10" t="str">
        <f t="shared" si="0"/>
        <v>amzn1.ads-account.g.dfa7o7cwdl371d634ew58i919</v>
      </c>
      <c r="D10" t="s">
        <v>39</v>
      </c>
      <c r="G10" t="str">
        <f t="shared" si="1"/>
        <v>585687237024345541</v>
      </c>
      <c r="H10" t="s">
        <v>40</v>
      </c>
      <c r="I10" t="str">
        <f t="shared" si="2"/>
        <v>585478290940566279</v>
      </c>
      <c r="J10" t="s">
        <v>41</v>
      </c>
      <c r="K10" t="s">
        <v>86</v>
      </c>
      <c r="L10" s="1" t="str">
        <f>VLOOKUP(K10,Sheet1!A:B,2,FALSE)</f>
        <v>LB1-Y15-GY-41</v>
      </c>
      <c r="M10" t="s">
        <v>87</v>
      </c>
      <c r="N10" t="s">
        <v>58</v>
      </c>
      <c r="O10" t="s">
        <v>45</v>
      </c>
      <c r="P10" t="s">
        <v>59</v>
      </c>
      <c r="Q10" t="s">
        <v>60</v>
      </c>
      <c r="R10" t="s">
        <v>48</v>
      </c>
      <c r="S10" t="s">
        <v>49</v>
      </c>
      <c r="AB10" t="s">
        <v>49</v>
      </c>
      <c r="AC10">
        <v>0</v>
      </c>
      <c r="AD10">
        <v>0</v>
      </c>
      <c r="AE10">
        <v>0</v>
      </c>
      <c r="AF10">
        <v>0</v>
      </c>
      <c r="AG10">
        <v>0</v>
      </c>
      <c r="AH10">
        <v>0</v>
      </c>
      <c r="AI10">
        <v>0</v>
      </c>
      <c r="AJ10">
        <v>0</v>
      </c>
      <c r="AK10">
        <v>0</v>
      </c>
    </row>
    <row r="11" spans="1:37">
      <c r="A11" t="s">
        <v>37</v>
      </c>
      <c r="B11" t="s">
        <v>55</v>
      </c>
      <c r="C11" t="str">
        <f t="shared" si="0"/>
        <v>amzn1.ads-account.g.dfa7o7cwdl371d634ew58i919</v>
      </c>
      <c r="D11" t="s">
        <v>39</v>
      </c>
      <c r="G11" t="str">
        <f t="shared" si="1"/>
        <v>585687237024345541</v>
      </c>
      <c r="H11" t="s">
        <v>40</v>
      </c>
      <c r="I11" t="str">
        <f t="shared" si="2"/>
        <v>585478290940566279</v>
      </c>
      <c r="J11" t="s">
        <v>41</v>
      </c>
      <c r="K11" t="s">
        <v>88</v>
      </c>
      <c r="L11" s="1" t="str">
        <f>VLOOKUP(K11,Sheet1!A:B,2,FALSE)</f>
        <v>SH-BRY80-BK-10</v>
      </c>
      <c r="M11" t="s">
        <v>89</v>
      </c>
      <c r="N11" t="s">
        <v>90</v>
      </c>
      <c r="O11" t="s">
        <v>45</v>
      </c>
      <c r="P11" t="s">
        <v>75</v>
      </c>
      <c r="Q11" t="s">
        <v>91</v>
      </c>
      <c r="R11" t="s">
        <v>48</v>
      </c>
      <c r="S11" t="s">
        <v>49</v>
      </c>
      <c r="AB11" t="s">
        <v>49</v>
      </c>
      <c r="AC11">
        <v>0</v>
      </c>
      <c r="AD11">
        <v>0</v>
      </c>
      <c r="AE11">
        <v>0</v>
      </c>
      <c r="AF11">
        <v>0</v>
      </c>
      <c r="AG11">
        <v>0</v>
      </c>
      <c r="AH11">
        <v>0</v>
      </c>
      <c r="AI11">
        <v>0</v>
      </c>
      <c r="AJ11">
        <v>0</v>
      </c>
      <c r="AK11">
        <v>0</v>
      </c>
    </row>
    <row r="12" spans="1:37">
      <c r="A12" t="s">
        <v>37</v>
      </c>
      <c r="B12" t="s">
        <v>92</v>
      </c>
      <c r="C12" t="str">
        <f t="shared" si="0"/>
        <v>amzn1.ads-account.g.dfa7o7cwdl371d634ew58i919</v>
      </c>
      <c r="D12" t="s">
        <v>39</v>
      </c>
      <c r="G12" t="str">
        <f t="shared" si="1"/>
        <v>585687237024345541</v>
      </c>
      <c r="H12" t="s">
        <v>40</v>
      </c>
      <c r="I12" t="str">
        <f t="shared" si="2"/>
        <v>585478290940566279</v>
      </c>
      <c r="J12" t="s">
        <v>41</v>
      </c>
      <c r="K12" t="s">
        <v>93</v>
      </c>
      <c r="L12" s="1" t="str">
        <f>VLOOKUP(K12,Sheet1!A:B,2,FALSE)</f>
        <v>XM2-S75-PL-39</v>
      </c>
      <c r="M12" t="s">
        <v>94</v>
      </c>
      <c r="N12" t="s">
        <v>95</v>
      </c>
      <c r="O12" t="s">
        <v>45</v>
      </c>
      <c r="P12" t="s">
        <v>59</v>
      </c>
      <c r="Q12" t="s">
        <v>96</v>
      </c>
      <c r="R12" t="s">
        <v>48</v>
      </c>
      <c r="S12" t="s">
        <v>49</v>
      </c>
      <c r="AB12" t="s">
        <v>49</v>
      </c>
      <c r="AC12">
        <v>0</v>
      </c>
      <c r="AD12">
        <v>0</v>
      </c>
      <c r="AE12">
        <v>0</v>
      </c>
      <c r="AF12">
        <v>0</v>
      </c>
      <c r="AG12">
        <v>0</v>
      </c>
      <c r="AH12">
        <v>0</v>
      </c>
      <c r="AI12">
        <v>0</v>
      </c>
      <c r="AJ12">
        <v>0</v>
      </c>
      <c r="AK12">
        <v>0</v>
      </c>
    </row>
    <row r="13" spans="1:37">
      <c r="A13" t="s">
        <v>37</v>
      </c>
      <c r="B13" t="s">
        <v>97</v>
      </c>
      <c r="C13" t="str">
        <f t="shared" si="0"/>
        <v>amzn1.ads-account.g.dfa7o7cwdl371d634ew58i919</v>
      </c>
      <c r="D13" t="s">
        <v>39</v>
      </c>
      <c r="G13" t="str">
        <f t="shared" si="1"/>
        <v>585687237024345541</v>
      </c>
      <c r="H13" t="s">
        <v>40</v>
      </c>
      <c r="I13" t="str">
        <f t="shared" si="2"/>
        <v>585478290940566279</v>
      </c>
      <c r="J13" t="s">
        <v>41</v>
      </c>
      <c r="K13" t="s">
        <v>98</v>
      </c>
      <c r="L13" s="1" t="str">
        <f>VLOOKUP(K13,Sheet1!A:B,2,FALSE)</f>
        <v>XM2-S75-GY-43</v>
      </c>
      <c r="M13" t="s">
        <v>99</v>
      </c>
      <c r="N13" t="s">
        <v>95</v>
      </c>
      <c r="O13" t="s">
        <v>45</v>
      </c>
      <c r="P13" t="s">
        <v>65</v>
      </c>
      <c r="Q13" t="s">
        <v>84</v>
      </c>
      <c r="R13" t="s">
        <v>48</v>
      </c>
      <c r="S13" t="s">
        <v>49</v>
      </c>
      <c r="AB13" t="s">
        <v>49</v>
      </c>
      <c r="AC13">
        <v>0</v>
      </c>
      <c r="AD13">
        <v>0</v>
      </c>
      <c r="AE13">
        <v>0</v>
      </c>
      <c r="AF13">
        <v>0</v>
      </c>
      <c r="AG13">
        <v>0</v>
      </c>
      <c r="AH13">
        <v>0</v>
      </c>
      <c r="AI13">
        <v>0</v>
      </c>
      <c r="AJ13">
        <v>0</v>
      </c>
      <c r="AK13">
        <v>0</v>
      </c>
    </row>
    <row r="14" spans="1:37">
      <c r="A14" t="s">
        <v>37</v>
      </c>
      <c r="B14" t="s">
        <v>100</v>
      </c>
      <c r="C14" t="str">
        <f t="shared" si="0"/>
        <v>amzn1.ads-account.g.dfa7o7cwdl371d634ew58i919</v>
      </c>
      <c r="D14" t="s">
        <v>39</v>
      </c>
      <c r="G14" t="str">
        <f t="shared" si="1"/>
        <v>585687237024345541</v>
      </c>
      <c r="H14" t="s">
        <v>40</v>
      </c>
      <c r="I14" t="str">
        <f t="shared" si="2"/>
        <v>585478290940566279</v>
      </c>
      <c r="J14" t="s">
        <v>41</v>
      </c>
      <c r="K14" t="s">
        <v>101</v>
      </c>
      <c r="L14" s="1" t="str">
        <f>VLOOKUP(K14,Sheet1!A:B,2,FALSE)</f>
        <v>XM2-S73-ABK-36</v>
      </c>
      <c r="M14" t="s">
        <v>102</v>
      </c>
      <c r="N14" t="s">
        <v>83</v>
      </c>
      <c r="O14" t="s">
        <v>45</v>
      </c>
      <c r="P14" t="s">
        <v>65</v>
      </c>
      <c r="Q14" t="s">
        <v>84</v>
      </c>
      <c r="R14" t="s">
        <v>48</v>
      </c>
      <c r="S14" t="s">
        <v>49</v>
      </c>
      <c r="AB14" t="s">
        <v>49</v>
      </c>
      <c r="AC14">
        <v>0</v>
      </c>
      <c r="AD14">
        <v>0</v>
      </c>
      <c r="AE14">
        <v>0</v>
      </c>
      <c r="AF14">
        <v>0</v>
      </c>
      <c r="AG14">
        <v>0</v>
      </c>
      <c r="AH14">
        <v>0</v>
      </c>
      <c r="AI14">
        <v>0</v>
      </c>
      <c r="AJ14">
        <v>0</v>
      </c>
      <c r="AK14">
        <v>0</v>
      </c>
    </row>
    <row r="15" spans="1:37">
      <c r="A15" t="s">
        <v>37</v>
      </c>
      <c r="B15" t="s">
        <v>103</v>
      </c>
      <c r="C15" t="str">
        <f t="shared" si="0"/>
        <v>amzn1.ads-account.g.dfa7o7cwdl371d634ew58i919</v>
      </c>
      <c r="D15" t="s">
        <v>39</v>
      </c>
      <c r="G15" t="str">
        <f t="shared" si="1"/>
        <v>585687237024345541</v>
      </c>
      <c r="H15" t="s">
        <v>40</v>
      </c>
      <c r="I15" t="str">
        <f t="shared" si="2"/>
        <v>585478290940566279</v>
      </c>
      <c r="J15" t="s">
        <v>41</v>
      </c>
      <c r="K15" t="s">
        <v>104</v>
      </c>
      <c r="L15" s="1" t="str">
        <f>VLOOKUP(K15,Sheet1!A:B,2,FALSE)</f>
        <v>LB1-Y15-BN-43</v>
      </c>
      <c r="M15" t="s">
        <v>105</v>
      </c>
      <c r="N15" t="s">
        <v>58</v>
      </c>
      <c r="O15" t="s">
        <v>45</v>
      </c>
      <c r="P15" t="s">
        <v>59</v>
      </c>
      <c r="Q15" t="s">
        <v>106</v>
      </c>
      <c r="R15" t="s">
        <v>48</v>
      </c>
      <c r="S15" t="s">
        <v>49</v>
      </c>
      <c r="AB15" t="s">
        <v>49</v>
      </c>
      <c r="AC15">
        <v>0</v>
      </c>
      <c r="AD15">
        <v>0</v>
      </c>
      <c r="AE15">
        <v>0</v>
      </c>
      <c r="AF15">
        <v>0</v>
      </c>
      <c r="AG15">
        <v>0</v>
      </c>
      <c r="AH15">
        <v>0</v>
      </c>
      <c r="AI15">
        <v>0</v>
      </c>
      <c r="AJ15">
        <v>0</v>
      </c>
      <c r="AK15">
        <v>0</v>
      </c>
    </row>
    <row r="16" spans="1:37">
      <c r="A16" t="s">
        <v>37</v>
      </c>
      <c r="B16" t="s">
        <v>107</v>
      </c>
      <c r="C16" t="str">
        <f t="shared" si="0"/>
        <v>amzn1.ads-account.g.dfa7o7cwdl371d634ew58i919</v>
      </c>
      <c r="D16" t="s">
        <v>39</v>
      </c>
      <c r="G16" t="str">
        <f t="shared" si="1"/>
        <v>585687237024345541</v>
      </c>
      <c r="H16" t="s">
        <v>40</v>
      </c>
      <c r="I16" t="str">
        <f t="shared" si="2"/>
        <v>585478290940566279</v>
      </c>
      <c r="J16" t="s">
        <v>41</v>
      </c>
      <c r="K16" t="s">
        <v>108</v>
      </c>
      <c r="L16" s="1" t="str">
        <f>VLOOKUP(K16,Sheet1!A:B,2,FALSE)</f>
        <v>SH-BRS71-ABK-43N</v>
      </c>
      <c r="M16" t="s">
        <v>109</v>
      </c>
      <c r="N16" t="s">
        <v>110</v>
      </c>
      <c r="O16" t="s">
        <v>45</v>
      </c>
      <c r="P16" t="s">
        <v>65</v>
      </c>
      <c r="Q16" t="s">
        <v>111</v>
      </c>
      <c r="R16" t="s">
        <v>48</v>
      </c>
      <c r="S16" t="s">
        <v>49</v>
      </c>
      <c r="AB16" t="s">
        <v>49</v>
      </c>
      <c r="AC16">
        <v>0</v>
      </c>
      <c r="AD16">
        <v>0</v>
      </c>
      <c r="AE16">
        <v>0</v>
      </c>
      <c r="AF16">
        <v>0</v>
      </c>
      <c r="AG16">
        <v>0</v>
      </c>
      <c r="AH16">
        <v>0</v>
      </c>
      <c r="AI16">
        <v>0</v>
      </c>
      <c r="AJ16">
        <v>0</v>
      </c>
      <c r="AK16">
        <v>0</v>
      </c>
    </row>
    <row r="17" spans="1:37">
      <c r="A17" t="s">
        <v>37</v>
      </c>
      <c r="B17" t="s">
        <v>38</v>
      </c>
      <c r="C17" t="str">
        <f t="shared" si="0"/>
        <v>amzn1.ads-account.g.dfa7o7cwdl371d634ew58i919</v>
      </c>
      <c r="D17" t="s">
        <v>39</v>
      </c>
      <c r="G17" t="str">
        <f t="shared" si="1"/>
        <v>585687237024345541</v>
      </c>
      <c r="H17" t="s">
        <v>40</v>
      </c>
      <c r="I17" t="str">
        <f t="shared" si="2"/>
        <v>585478290940566279</v>
      </c>
      <c r="J17" t="s">
        <v>41</v>
      </c>
      <c r="K17" t="s">
        <v>112</v>
      </c>
      <c r="L17" s="1" t="str">
        <f>VLOOKUP(K17,Sheet1!A:B,2,FALSE)</f>
        <v>SH-BRY10-WT-43</v>
      </c>
      <c r="M17" t="s">
        <v>113</v>
      </c>
      <c r="N17" t="s">
        <v>44</v>
      </c>
      <c r="O17" t="s">
        <v>45</v>
      </c>
      <c r="P17" t="s">
        <v>59</v>
      </c>
      <c r="Q17" t="s">
        <v>114</v>
      </c>
      <c r="R17" t="s">
        <v>48</v>
      </c>
      <c r="S17" t="s">
        <v>49</v>
      </c>
      <c r="AB17" t="s">
        <v>49</v>
      </c>
      <c r="AC17">
        <v>3</v>
      </c>
      <c r="AD17">
        <v>63.67</v>
      </c>
      <c r="AE17">
        <v>3</v>
      </c>
      <c r="AF17">
        <v>3</v>
      </c>
      <c r="AG17">
        <v>63.67</v>
      </c>
      <c r="AH17">
        <v>3</v>
      </c>
      <c r="AI17">
        <v>2</v>
      </c>
      <c r="AJ17">
        <v>39.68</v>
      </c>
      <c r="AK17">
        <v>2</v>
      </c>
    </row>
    <row r="18" spans="1:37">
      <c r="A18" t="s">
        <v>37</v>
      </c>
      <c r="B18" t="s">
        <v>115</v>
      </c>
      <c r="C18" t="str">
        <f t="shared" si="0"/>
        <v>amzn1.ads-account.g.dfa7o7cwdl371d634ew58i919</v>
      </c>
      <c r="D18" t="s">
        <v>39</v>
      </c>
      <c r="G18" t="str">
        <f t="shared" si="1"/>
        <v>585687237024345541</v>
      </c>
      <c r="H18" t="s">
        <v>40</v>
      </c>
      <c r="I18" t="str">
        <f t="shared" si="2"/>
        <v>585478290940566279</v>
      </c>
      <c r="J18" t="s">
        <v>41</v>
      </c>
      <c r="K18" t="s">
        <v>116</v>
      </c>
      <c r="L18" s="1" t="str">
        <f>VLOOKUP(K18,Sheet1!A:B,2,FALSE)</f>
        <v>SH-BRS71-BU-43</v>
      </c>
      <c r="M18" t="s">
        <v>117</v>
      </c>
      <c r="N18" t="s">
        <v>110</v>
      </c>
      <c r="O18" t="s">
        <v>45</v>
      </c>
      <c r="P18" t="s">
        <v>118</v>
      </c>
      <c r="Q18" t="s">
        <v>119</v>
      </c>
      <c r="R18" t="s">
        <v>48</v>
      </c>
      <c r="S18" t="s">
        <v>49</v>
      </c>
      <c r="AB18" t="s">
        <v>49</v>
      </c>
      <c r="AC18">
        <v>0</v>
      </c>
      <c r="AD18">
        <v>0</v>
      </c>
      <c r="AE18">
        <v>0</v>
      </c>
      <c r="AF18">
        <v>0</v>
      </c>
      <c r="AG18">
        <v>0</v>
      </c>
      <c r="AH18">
        <v>0</v>
      </c>
      <c r="AI18">
        <v>0</v>
      </c>
      <c r="AJ18">
        <v>0</v>
      </c>
      <c r="AK18">
        <v>0</v>
      </c>
    </row>
    <row r="19" spans="1:37">
      <c r="A19" t="s">
        <v>37</v>
      </c>
      <c r="B19" t="s">
        <v>120</v>
      </c>
      <c r="C19" t="str">
        <f t="shared" si="0"/>
        <v>amzn1.ads-account.g.dfa7o7cwdl371d634ew58i919</v>
      </c>
      <c r="D19" t="s">
        <v>39</v>
      </c>
      <c r="G19" t="str">
        <f t="shared" si="1"/>
        <v>585687237024345541</v>
      </c>
      <c r="H19" t="s">
        <v>40</v>
      </c>
      <c r="I19" t="str">
        <f t="shared" si="2"/>
        <v>585478290940566279</v>
      </c>
      <c r="J19" t="s">
        <v>41</v>
      </c>
      <c r="K19" t="s">
        <v>121</v>
      </c>
      <c r="L19" s="1" t="str">
        <f>VLOOKUP(K19,Sheet1!A:B,2,FALSE)</f>
        <v>SH-BRY180-BK-41N</v>
      </c>
      <c r="M19" t="s">
        <v>122</v>
      </c>
      <c r="N19" t="s">
        <v>64</v>
      </c>
      <c r="O19" t="s">
        <v>45</v>
      </c>
      <c r="P19" t="s">
        <v>123</v>
      </c>
      <c r="Q19" t="s">
        <v>124</v>
      </c>
      <c r="R19" t="s">
        <v>48</v>
      </c>
      <c r="S19" t="s">
        <v>49</v>
      </c>
      <c r="AB19" t="s">
        <v>49</v>
      </c>
      <c r="AC19">
        <v>9</v>
      </c>
      <c r="AD19">
        <v>177.95</v>
      </c>
      <c r="AE19">
        <v>9</v>
      </c>
      <c r="AF19">
        <v>9</v>
      </c>
      <c r="AG19">
        <v>177.95</v>
      </c>
      <c r="AH19">
        <v>9</v>
      </c>
      <c r="AI19">
        <v>6</v>
      </c>
      <c r="AJ19">
        <v>117.98</v>
      </c>
      <c r="AK19">
        <v>6</v>
      </c>
    </row>
    <row r="20" spans="1:37">
      <c r="A20" t="s">
        <v>37</v>
      </c>
      <c r="B20" t="s">
        <v>38</v>
      </c>
      <c r="C20" t="str">
        <f t="shared" si="0"/>
        <v>amzn1.ads-account.g.dfa7o7cwdl371d634ew58i919</v>
      </c>
      <c r="D20" t="s">
        <v>39</v>
      </c>
      <c r="G20" t="str">
        <f t="shared" si="1"/>
        <v>585687237024345541</v>
      </c>
      <c r="H20" t="s">
        <v>40</v>
      </c>
      <c r="I20" t="str">
        <f t="shared" si="2"/>
        <v>585478290940566279</v>
      </c>
      <c r="J20" t="s">
        <v>41</v>
      </c>
      <c r="K20" t="s">
        <v>125</v>
      </c>
      <c r="L20" s="1" t="str">
        <f>VLOOKUP(K20,Sheet1!A:B,2,FALSE)</f>
        <v>SH-BRY80-BK-12</v>
      </c>
      <c r="M20" t="s">
        <v>126</v>
      </c>
      <c r="N20" t="s">
        <v>90</v>
      </c>
      <c r="O20" t="s">
        <v>45</v>
      </c>
      <c r="P20" t="s">
        <v>75</v>
      </c>
      <c r="Q20" t="s">
        <v>91</v>
      </c>
      <c r="R20" t="s">
        <v>48</v>
      </c>
      <c r="S20" t="s">
        <v>49</v>
      </c>
      <c r="AB20" t="s">
        <v>49</v>
      </c>
      <c r="AC20">
        <v>4</v>
      </c>
      <c r="AD20">
        <v>69.93</v>
      </c>
      <c r="AE20">
        <v>7</v>
      </c>
      <c r="AF20">
        <v>4</v>
      </c>
      <c r="AG20">
        <v>69.93</v>
      </c>
      <c r="AH20">
        <v>7</v>
      </c>
      <c r="AI20">
        <v>1</v>
      </c>
      <c r="AJ20">
        <v>9.99</v>
      </c>
      <c r="AK20">
        <v>1</v>
      </c>
    </row>
    <row r="21" spans="1:37">
      <c r="A21" t="s">
        <v>37</v>
      </c>
      <c r="B21" t="s">
        <v>127</v>
      </c>
      <c r="C21" t="str">
        <f t="shared" si="0"/>
        <v>amzn1.ads-account.g.dfa7o7cwdl371d634ew58i919</v>
      </c>
      <c r="D21" t="s">
        <v>39</v>
      </c>
      <c r="G21" t="str">
        <f t="shared" si="1"/>
        <v>585687237024345541</v>
      </c>
      <c r="H21" t="s">
        <v>40</v>
      </c>
      <c r="I21" t="str">
        <f t="shared" si="2"/>
        <v>585478290940566279</v>
      </c>
      <c r="J21" t="s">
        <v>41</v>
      </c>
      <c r="K21" t="s">
        <v>128</v>
      </c>
      <c r="L21" s="1" t="str">
        <f>VLOOKUP(K21,Sheet1!A:B,2,FALSE)</f>
        <v>XM2-Y90B-LTPK-W11</v>
      </c>
      <c r="M21" t="s">
        <v>129</v>
      </c>
      <c r="N21" t="s">
        <v>74</v>
      </c>
      <c r="O21" t="s">
        <v>45</v>
      </c>
      <c r="P21" t="s">
        <v>59</v>
      </c>
      <c r="Q21" t="s">
        <v>130</v>
      </c>
      <c r="R21" t="s">
        <v>48</v>
      </c>
      <c r="S21" t="s">
        <v>49</v>
      </c>
      <c r="AB21" t="s">
        <v>49</v>
      </c>
      <c r="AC21">
        <v>0</v>
      </c>
      <c r="AD21">
        <v>0</v>
      </c>
      <c r="AE21">
        <v>0</v>
      </c>
      <c r="AF21">
        <v>0</v>
      </c>
      <c r="AG21">
        <v>0</v>
      </c>
      <c r="AH21">
        <v>0</v>
      </c>
      <c r="AI21">
        <v>0</v>
      </c>
      <c r="AJ21">
        <v>0</v>
      </c>
      <c r="AK21">
        <v>0</v>
      </c>
    </row>
    <row r="22" spans="1:37">
      <c r="A22" t="s">
        <v>37</v>
      </c>
      <c r="B22" t="s">
        <v>131</v>
      </c>
      <c r="C22" t="str">
        <f t="shared" si="0"/>
        <v>amzn1.ads-account.g.dfa7o7cwdl371d634ew58i919</v>
      </c>
      <c r="D22" t="s">
        <v>39</v>
      </c>
      <c r="G22" t="str">
        <f t="shared" si="1"/>
        <v>585687237024345541</v>
      </c>
      <c r="H22" t="s">
        <v>40</v>
      </c>
      <c r="I22" t="str">
        <f t="shared" si="2"/>
        <v>585478290940566279</v>
      </c>
      <c r="J22" t="s">
        <v>41</v>
      </c>
      <c r="K22" t="s">
        <v>132</v>
      </c>
      <c r="L22" s="1" t="str">
        <f>VLOOKUP(K22,Sheet1!A:B,2,FALSE)</f>
        <v>XM1-Y22-BK-35</v>
      </c>
      <c r="M22" t="s">
        <v>133</v>
      </c>
      <c r="N22" t="s">
        <v>53</v>
      </c>
      <c r="O22" t="s">
        <v>45</v>
      </c>
      <c r="P22" t="s">
        <v>75</v>
      </c>
      <c r="Q22" t="s">
        <v>76</v>
      </c>
      <c r="R22" t="s">
        <v>48</v>
      </c>
      <c r="S22" t="s">
        <v>49</v>
      </c>
      <c r="AB22" t="s">
        <v>49</v>
      </c>
      <c r="AC22">
        <v>0</v>
      </c>
      <c r="AD22">
        <v>0</v>
      </c>
      <c r="AE22">
        <v>0</v>
      </c>
      <c r="AF22">
        <v>0</v>
      </c>
      <c r="AG22">
        <v>0</v>
      </c>
      <c r="AH22">
        <v>0</v>
      </c>
      <c r="AI22">
        <v>0</v>
      </c>
      <c r="AJ22">
        <v>0</v>
      </c>
      <c r="AK22">
        <v>0</v>
      </c>
    </row>
    <row r="23" spans="1:37">
      <c r="A23" t="s">
        <v>37</v>
      </c>
      <c r="B23" t="s">
        <v>127</v>
      </c>
      <c r="C23" t="str">
        <f t="shared" si="0"/>
        <v>amzn1.ads-account.g.dfa7o7cwdl371d634ew58i919</v>
      </c>
      <c r="D23" t="s">
        <v>39</v>
      </c>
      <c r="G23" t="str">
        <f t="shared" si="1"/>
        <v>585687237024345541</v>
      </c>
      <c r="H23" t="s">
        <v>40</v>
      </c>
      <c r="I23" t="str">
        <f t="shared" si="2"/>
        <v>585478290940566279</v>
      </c>
      <c r="J23" t="s">
        <v>41</v>
      </c>
      <c r="K23" t="s">
        <v>134</v>
      </c>
      <c r="L23" s="1" t="str">
        <f>VLOOKUP(K23,Sheet1!A:B,2,FALSE)</f>
        <v>XM2-Y90B-BG-W9</v>
      </c>
      <c r="M23" t="s">
        <v>135</v>
      </c>
      <c r="N23" t="s">
        <v>74</v>
      </c>
      <c r="O23" t="s">
        <v>45</v>
      </c>
      <c r="P23" t="s">
        <v>59</v>
      </c>
      <c r="Q23" t="s">
        <v>130</v>
      </c>
      <c r="R23" t="s">
        <v>48</v>
      </c>
      <c r="S23" t="s">
        <v>49</v>
      </c>
      <c r="AB23" t="s">
        <v>49</v>
      </c>
      <c r="AC23">
        <v>1</v>
      </c>
      <c r="AD23">
        <v>9.99</v>
      </c>
      <c r="AE23">
        <v>1</v>
      </c>
      <c r="AF23">
        <v>1</v>
      </c>
      <c r="AG23">
        <v>9.99</v>
      </c>
      <c r="AH23">
        <v>1</v>
      </c>
      <c r="AI23">
        <v>0</v>
      </c>
      <c r="AJ23">
        <v>0</v>
      </c>
      <c r="AK23">
        <v>0</v>
      </c>
    </row>
    <row r="24" spans="1:37">
      <c r="A24" t="s">
        <v>37</v>
      </c>
      <c r="B24" t="s">
        <v>136</v>
      </c>
      <c r="C24" t="str">
        <f t="shared" si="0"/>
        <v>amzn1.ads-account.g.dfa7o7cwdl371d634ew58i919</v>
      </c>
      <c r="D24" t="s">
        <v>39</v>
      </c>
      <c r="G24" t="str">
        <f t="shared" si="1"/>
        <v>585687237024345541</v>
      </c>
      <c r="H24" t="s">
        <v>40</v>
      </c>
      <c r="I24" t="str">
        <f t="shared" si="2"/>
        <v>585478290940566279</v>
      </c>
      <c r="J24" t="s">
        <v>41</v>
      </c>
      <c r="K24" t="s">
        <v>137</v>
      </c>
      <c r="L24" s="1" t="str">
        <f>VLOOKUP(K24,Sheet1!A:B,2,FALSE)</f>
        <v>SH-BRKD5-BKBU-38</v>
      </c>
      <c r="M24" t="s">
        <v>138</v>
      </c>
      <c r="N24" t="s">
        <v>139</v>
      </c>
      <c r="O24" t="s">
        <v>45</v>
      </c>
      <c r="P24" t="s">
        <v>140</v>
      </c>
      <c r="Q24" t="s">
        <v>141</v>
      </c>
      <c r="R24" t="s">
        <v>48</v>
      </c>
      <c r="S24" t="s">
        <v>49</v>
      </c>
      <c r="AB24" t="s">
        <v>49</v>
      </c>
      <c r="AC24">
        <v>0</v>
      </c>
      <c r="AD24">
        <v>0</v>
      </c>
      <c r="AE24">
        <v>0</v>
      </c>
      <c r="AF24">
        <v>0</v>
      </c>
      <c r="AG24">
        <v>0</v>
      </c>
      <c r="AH24">
        <v>0</v>
      </c>
      <c r="AI24">
        <v>0</v>
      </c>
      <c r="AJ24">
        <v>0</v>
      </c>
      <c r="AK24">
        <v>0</v>
      </c>
    </row>
    <row r="25" spans="1:37">
      <c r="A25" t="s">
        <v>37</v>
      </c>
      <c r="B25" t="s">
        <v>120</v>
      </c>
      <c r="C25" t="str">
        <f t="shared" si="0"/>
        <v>amzn1.ads-account.g.dfa7o7cwdl371d634ew58i919</v>
      </c>
      <c r="D25" t="s">
        <v>39</v>
      </c>
      <c r="G25" t="str">
        <f t="shared" si="1"/>
        <v>585687237024345541</v>
      </c>
      <c r="H25" t="s">
        <v>40</v>
      </c>
      <c r="I25" t="str">
        <f t="shared" si="2"/>
        <v>585478290940566279</v>
      </c>
      <c r="J25" t="s">
        <v>41</v>
      </c>
      <c r="K25" t="s">
        <v>142</v>
      </c>
      <c r="L25" s="1" t="str">
        <f>VLOOKUP(K25,Sheet1!A:B,2,FALSE)</f>
        <v>SH-BRY10-TPL-38</v>
      </c>
      <c r="M25" t="s">
        <v>143</v>
      </c>
      <c r="N25" t="s">
        <v>44</v>
      </c>
      <c r="O25" t="s">
        <v>45</v>
      </c>
      <c r="P25" t="s">
        <v>59</v>
      </c>
      <c r="Q25" t="s">
        <v>114</v>
      </c>
      <c r="R25" t="s">
        <v>48</v>
      </c>
      <c r="S25" t="s">
        <v>49</v>
      </c>
      <c r="AB25" t="s">
        <v>49</v>
      </c>
      <c r="AC25">
        <v>2</v>
      </c>
      <c r="AD25">
        <v>47.98</v>
      </c>
      <c r="AE25">
        <v>2</v>
      </c>
      <c r="AF25">
        <v>2</v>
      </c>
      <c r="AG25">
        <v>47.98</v>
      </c>
      <c r="AH25">
        <v>2</v>
      </c>
      <c r="AI25">
        <v>0</v>
      </c>
      <c r="AJ25">
        <v>0</v>
      </c>
      <c r="AK25">
        <v>0</v>
      </c>
    </row>
    <row r="26" spans="1:37">
      <c r="A26" t="s">
        <v>37</v>
      </c>
      <c r="B26" t="s">
        <v>144</v>
      </c>
      <c r="C26" t="str">
        <f t="shared" si="0"/>
        <v>amzn1.ads-account.g.dfa7o7cwdl371d634ew58i919</v>
      </c>
      <c r="D26" t="s">
        <v>39</v>
      </c>
      <c r="G26" t="str">
        <f t="shared" si="1"/>
        <v>585687237024345541</v>
      </c>
      <c r="H26" t="s">
        <v>40</v>
      </c>
      <c r="I26" t="str">
        <f t="shared" si="2"/>
        <v>585478290940566279</v>
      </c>
      <c r="J26" t="s">
        <v>41</v>
      </c>
      <c r="K26" t="s">
        <v>145</v>
      </c>
      <c r="L26" s="1" t="str">
        <f>VLOOKUP(K26,Sheet1!A:B,2,FALSE)</f>
        <v>LB1-Y15-BG-38</v>
      </c>
      <c r="M26" t="s">
        <v>146</v>
      </c>
      <c r="N26" t="s">
        <v>58</v>
      </c>
      <c r="O26" t="s">
        <v>45</v>
      </c>
      <c r="P26" t="s">
        <v>59</v>
      </c>
      <c r="Q26" t="s">
        <v>130</v>
      </c>
      <c r="R26" t="s">
        <v>48</v>
      </c>
      <c r="S26" t="s">
        <v>49</v>
      </c>
      <c r="AB26" t="s">
        <v>49</v>
      </c>
      <c r="AC26">
        <v>1</v>
      </c>
      <c r="AD26">
        <v>13.99</v>
      </c>
      <c r="AE26">
        <v>1</v>
      </c>
      <c r="AF26">
        <v>1</v>
      </c>
      <c r="AG26">
        <v>13.99</v>
      </c>
      <c r="AH26">
        <v>1</v>
      </c>
      <c r="AI26">
        <v>1</v>
      </c>
      <c r="AJ26">
        <v>13.99</v>
      </c>
      <c r="AK26">
        <v>1</v>
      </c>
    </row>
    <row r="27" spans="1:37">
      <c r="A27" t="s">
        <v>37</v>
      </c>
      <c r="B27" t="s">
        <v>147</v>
      </c>
      <c r="C27" t="str">
        <f t="shared" si="0"/>
        <v>amzn1.ads-account.g.dfa7o7cwdl371d634ew58i919</v>
      </c>
      <c r="D27" t="s">
        <v>39</v>
      </c>
      <c r="G27" t="str">
        <f t="shared" si="1"/>
        <v>585687237024345541</v>
      </c>
      <c r="H27" t="s">
        <v>40</v>
      </c>
      <c r="I27" t="str">
        <f t="shared" si="2"/>
        <v>585478290940566279</v>
      </c>
      <c r="J27" t="s">
        <v>41</v>
      </c>
      <c r="K27" t="s">
        <v>148</v>
      </c>
      <c r="L27" s="1" t="str">
        <f>VLOOKUP(K27,Sheet1!A:B,2,FALSE)</f>
        <v>XM2-Y90B-BK-W10</v>
      </c>
      <c r="M27" t="s">
        <v>149</v>
      </c>
      <c r="N27" t="s">
        <v>74</v>
      </c>
      <c r="O27" t="s">
        <v>45</v>
      </c>
      <c r="Q27" t="s">
        <v>54</v>
      </c>
      <c r="R27" t="s">
        <v>48</v>
      </c>
      <c r="S27" t="s">
        <v>49</v>
      </c>
      <c r="AB27" t="s">
        <v>49</v>
      </c>
      <c r="AC27">
        <v>4</v>
      </c>
      <c r="AD27">
        <v>49.95</v>
      </c>
      <c r="AE27">
        <v>5</v>
      </c>
      <c r="AF27">
        <v>4</v>
      </c>
      <c r="AG27">
        <v>49.95</v>
      </c>
      <c r="AH27">
        <v>5</v>
      </c>
      <c r="AI27">
        <v>2</v>
      </c>
      <c r="AJ27">
        <v>19.98</v>
      </c>
      <c r="AK27">
        <v>2</v>
      </c>
    </row>
    <row r="28" spans="1:37">
      <c r="A28" t="s">
        <v>37</v>
      </c>
      <c r="B28" t="s">
        <v>150</v>
      </c>
      <c r="C28" t="str">
        <f t="shared" si="0"/>
        <v>amzn1.ads-account.g.dfa7o7cwdl371d634ew58i919</v>
      </c>
      <c r="D28" t="s">
        <v>39</v>
      </c>
      <c r="G28" t="str">
        <f t="shared" si="1"/>
        <v>585687237024345541</v>
      </c>
      <c r="H28" t="s">
        <v>40</v>
      </c>
      <c r="I28" t="str">
        <f t="shared" si="2"/>
        <v>585478290940566279</v>
      </c>
      <c r="J28" t="s">
        <v>41</v>
      </c>
      <c r="K28" t="s">
        <v>151</v>
      </c>
      <c r="L28" s="1" t="str">
        <f>VLOOKUP(K28,Sheet1!A:B,2,FALSE)</f>
        <v>XM2-S73-GN-38</v>
      </c>
      <c r="M28" t="s">
        <v>152</v>
      </c>
      <c r="N28" t="s">
        <v>83</v>
      </c>
      <c r="O28" t="s">
        <v>45</v>
      </c>
      <c r="P28" t="s">
        <v>153</v>
      </c>
      <c r="Q28" t="s">
        <v>154</v>
      </c>
      <c r="R28" t="s">
        <v>48</v>
      </c>
      <c r="S28" t="s">
        <v>49</v>
      </c>
      <c r="AB28" t="s">
        <v>49</v>
      </c>
      <c r="AC28">
        <v>0</v>
      </c>
      <c r="AD28">
        <v>0</v>
      </c>
      <c r="AE28">
        <v>0</v>
      </c>
      <c r="AF28">
        <v>0</v>
      </c>
      <c r="AG28">
        <v>0</v>
      </c>
      <c r="AH28">
        <v>0</v>
      </c>
      <c r="AI28">
        <v>0</v>
      </c>
      <c r="AJ28">
        <v>0</v>
      </c>
      <c r="AK28">
        <v>0</v>
      </c>
    </row>
    <row r="29" spans="1:37">
      <c r="A29" t="s">
        <v>37</v>
      </c>
      <c r="B29" t="s">
        <v>147</v>
      </c>
      <c r="C29" t="str">
        <f t="shared" si="0"/>
        <v>amzn1.ads-account.g.dfa7o7cwdl371d634ew58i919</v>
      </c>
      <c r="D29" t="s">
        <v>39</v>
      </c>
      <c r="G29" t="str">
        <f t="shared" si="1"/>
        <v>585687237024345541</v>
      </c>
      <c r="H29" t="s">
        <v>40</v>
      </c>
      <c r="I29" t="str">
        <f t="shared" si="2"/>
        <v>585478290940566279</v>
      </c>
      <c r="J29" t="s">
        <v>41</v>
      </c>
      <c r="K29" t="s">
        <v>155</v>
      </c>
      <c r="L29" s="1" t="str">
        <f>VLOOKUP(K29,Sheet1!A:B,2,FALSE)</f>
        <v>SH-BRY10-OLGN-40</v>
      </c>
      <c r="M29" t="s">
        <v>156</v>
      </c>
      <c r="N29" t="s">
        <v>44</v>
      </c>
      <c r="O29" t="s">
        <v>45</v>
      </c>
      <c r="P29" t="s">
        <v>46</v>
      </c>
      <c r="Q29" t="s">
        <v>157</v>
      </c>
      <c r="R29" t="s">
        <v>48</v>
      </c>
      <c r="S29" t="s">
        <v>49</v>
      </c>
      <c r="AB29" t="s">
        <v>49</v>
      </c>
      <c r="AC29">
        <v>0</v>
      </c>
      <c r="AD29">
        <v>0</v>
      </c>
      <c r="AE29">
        <v>0</v>
      </c>
      <c r="AF29">
        <v>0</v>
      </c>
      <c r="AG29">
        <v>0</v>
      </c>
      <c r="AH29">
        <v>0</v>
      </c>
      <c r="AI29">
        <v>0</v>
      </c>
      <c r="AJ29">
        <v>0</v>
      </c>
      <c r="AK29">
        <v>0</v>
      </c>
    </row>
    <row r="30" spans="1:37">
      <c r="A30" t="s">
        <v>37</v>
      </c>
      <c r="B30" t="s">
        <v>120</v>
      </c>
      <c r="C30" t="str">
        <f t="shared" si="0"/>
        <v>amzn1.ads-account.g.dfa7o7cwdl371d634ew58i919</v>
      </c>
      <c r="D30" t="s">
        <v>39</v>
      </c>
      <c r="G30" t="str">
        <f t="shared" si="1"/>
        <v>585687237024345541</v>
      </c>
      <c r="H30" t="s">
        <v>40</v>
      </c>
      <c r="I30" t="str">
        <f t="shared" si="2"/>
        <v>585478290940566279</v>
      </c>
      <c r="J30" t="s">
        <v>41</v>
      </c>
      <c r="K30" t="s">
        <v>158</v>
      </c>
      <c r="L30" s="1" t="str">
        <f>VLOOKUP(K30,Sheet1!A:B,2,FALSE)</f>
        <v>SH-BRY10-BU-40</v>
      </c>
      <c r="M30" t="s">
        <v>159</v>
      </c>
      <c r="N30" t="s">
        <v>44</v>
      </c>
      <c r="O30" t="s">
        <v>45</v>
      </c>
      <c r="P30" t="s">
        <v>75</v>
      </c>
      <c r="Q30" t="s">
        <v>91</v>
      </c>
      <c r="R30" t="s">
        <v>48</v>
      </c>
      <c r="S30" t="s">
        <v>49</v>
      </c>
      <c r="AB30" t="s">
        <v>49</v>
      </c>
      <c r="AC30">
        <v>10</v>
      </c>
      <c r="AD30">
        <v>227.96</v>
      </c>
      <c r="AE30">
        <v>10</v>
      </c>
      <c r="AF30">
        <v>10</v>
      </c>
      <c r="AG30">
        <v>227.96</v>
      </c>
      <c r="AH30">
        <v>10</v>
      </c>
      <c r="AI30">
        <v>6</v>
      </c>
      <c r="AJ30">
        <v>132</v>
      </c>
      <c r="AK30">
        <v>6</v>
      </c>
    </row>
    <row r="31" spans="1:37">
      <c r="A31" t="s">
        <v>37</v>
      </c>
      <c r="B31" t="s">
        <v>160</v>
      </c>
      <c r="C31" t="str">
        <f t="shared" si="0"/>
        <v>amzn1.ads-account.g.dfa7o7cwdl371d634ew58i919</v>
      </c>
      <c r="D31" t="s">
        <v>39</v>
      </c>
      <c r="G31" t="str">
        <f t="shared" si="1"/>
        <v>585687237024345541</v>
      </c>
      <c r="H31" t="s">
        <v>40</v>
      </c>
      <c r="I31" t="str">
        <f t="shared" si="2"/>
        <v>585478290940566279</v>
      </c>
      <c r="J31" t="s">
        <v>41</v>
      </c>
      <c r="K31" t="s">
        <v>161</v>
      </c>
      <c r="L31" s="1" t="str">
        <f>VLOOKUP(K31,Sheet1!A:B,2,FALSE)</f>
        <v>SH-BRY10-PL-36</v>
      </c>
      <c r="M31" t="s">
        <v>162</v>
      </c>
      <c r="N31" t="s">
        <v>44</v>
      </c>
      <c r="O31" t="s">
        <v>45</v>
      </c>
      <c r="P31" t="s">
        <v>163</v>
      </c>
      <c r="Q31" t="s">
        <v>164</v>
      </c>
      <c r="R31" t="s">
        <v>48</v>
      </c>
      <c r="S31" t="s">
        <v>49</v>
      </c>
      <c r="AB31" t="s">
        <v>49</v>
      </c>
      <c r="AC31">
        <v>0</v>
      </c>
      <c r="AD31">
        <v>0</v>
      </c>
      <c r="AE31">
        <v>0</v>
      </c>
      <c r="AF31">
        <v>0</v>
      </c>
      <c r="AG31">
        <v>0</v>
      </c>
      <c r="AH31">
        <v>0</v>
      </c>
      <c r="AI31">
        <v>0</v>
      </c>
      <c r="AJ31">
        <v>0</v>
      </c>
      <c r="AK31">
        <v>0</v>
      </c>
    </row>
    <row r="32" spans="1:37">
      <c r="A32" t="s">
        <v>37</v>
      </c>
      <c r="B32" t="s">
        <v>120</v>
      </c>
      <c r="C32" t="str">
        <f t="shared" si="0"/>
        <v>amzn1.ads-account.g.dfa7o7cwdl371d634ew58i919</v>
      </c>
      <c r="D32" t="s">
        <v>39</v>
      </c>
      <c r="G32" t="str">
        <f t="shared" si="1"/>
        <v>585687237024345541</v>
      </c>
      <c r="H32" t="s">
        <v>40</v>
      </c>
      <c r="I32" t="str">
        <f t="shared" si="2"/>
        <v>585478290940566279</v>
      </c>
      <c r="J32" t="s">
        <v>41</v>
      </c>
      <c r="K32" t="s">
        <v>165</v>
      </c>
      <c r="L32" s="1" t="str">
        <f>VLOOKUP(K32,Sheet1!A:B,2,FALSE)</f>
        <v>SH-BRY10-PK-40</v>
      </c>
      <c r="M32" t="s">
        <v>166</v>
      </c>
      <c r="N32" t="s">
        <v>44</v>
      </c>
      <c r="O32" t="s">
        <v>45</v>
      </c>
      <c r="P32" t="s">
        <v>163</v>
      </c>
      <c r="Q32" t="s">
        <v>164</v>
      </c>
      <c r="R32" t="s">
        <v>48</v>
      </c>
      <c r="S32" t="s">
        <v>49</v>
      </c>
      <c r="AB32" t="s">
        <v>49</v>
      </c>
      <c r="AC32">
        <v>14</v>
      </c>
      <c r="AD32">
        <v>317.22</v>
      </c>
      <c r="AE32">
        <v>14</v>
      </c>
      <c r="AF32">
        <v>14</v>
      </c>
      <c r="AG32">
        <v>317.22</v>
      </c>
      <c r="AH32">
        <v>14</v>
      </c>
      <c r="AI32">
        <v>9</v>
      </c>
      <c r="AJ32">
        <v>201.93</v>
      </c>
      <c r="AK32">
        <v>9</v>
      </c>
    </row>
    <row r="33" spans="1:37">
      <c r="A33" t="s">
        <v>37</v>
      </c>
      <c r="B33" t="s">
        <v>167</v>
      </c>
      <c r="C33" t="str">
        <f t="shared" si="0"/>
        <v>amzn1.ads-account.g.dfa7o7cwdl371d634ew58i919</v>
      </c>
      <c r="D33" t="s">
        <v>39</v>
      </c>
      <c r="G33" t="str">
        <f t="shared" si="1"/>
        <v>585687237024345541</v>
      </c>
      <c r="H33" t="s">
        <v>40</v>
      </c>
      <c r="I33" t="str">
        <f t="shared" si="2"/>
        <v>585478290940566279</v>
      </c>
      <c r="J33" t="s">
        <v>41</v>
      </c>
      <c r="K33" t="s">
        <v>168</v>
      </c>
      <c r="L33" s="1" t="str">
        <f>VLOOKUP(K33,Sheet1!A:B,2,FALSE)</f>
        <v>SH-BRY180-CL-43</v>
      </c>
      <c r="M33" t="s">
        <v>169</v>
      </c>
      <c r="N33" t="s">
        <v>64</v>
      </c>
      <c r="O33" t="s">
        <v>45</v>
      </c>
      <c r="P33" t="s">
        <v>59</v>
      </c>
      <c r="Q33" t="s">
        <v>130</v>
      </c>
      <c r="R33" t="s">
        <v>48</v>
      </c>
      <c r="S33" t="s">
        <v>49</v>
      </c>
      <c r="AB33" t="s">
        <v>49</v>
      </c>
      <c r="AC33">
        <v>1</v>
      </c>
      <c r="AD33">
        <v>21.64</v>
      </c>
      <c r="AE33">
        <v>1</v>
      </c>
      <c r="AF33">
        <v>1</v>
      </c>
      <c r="AG33">
        <v>21.64</v>
      </c>
      <c r="AH33">
        <v>1</v>
      </c>
      <c r="AI33">
        <v>1</v>
      </c>
      <c r="AJ33">
        <v>21.64</v>
      </c>
      <c r="AK33">
        <v>1</v>
      </c>
    </row>
    <row r="34" spans="1:37">
      <c r="A34" t="s">
        <v>37</v>
      </c>
      <c r="B34" t="s">
        <v>170</v>
      </c>
      <c r="C34" t="str">
        <f t="shared" si="0"/>
        <v>amzn1.ads-account.g.dfa7o7cwdl371d634ew58i919</v>
      </c>
      <c r="D34" t="s">
        <v>39</v>
      </c>
      <c r="G34" t="str">
        <f t="shared" si="1"/>
        <v>585687237024345541</v>
      </c>
      <c r="H34" t="s">
        <v>40</v>
      </c>
      <c r="I34" t="str">
        <f t="shared" si="2"/>
        <v>585478290940566279</v>
      </c>
      <c r="J34" t="s">
        <v>41</v>
      </c>
      <c r="K34" t="s">
        <v>171</v>
      </c>
      <c r="L34" s="1" t="str">
        <f>VLOOKUP(K34,Sheet1!A:B,2,FALSE)</f>
        <v>XM1-Y22-BG-39</v>
      </c>
      <c r="M34" t="s">
        <v>172</v>
      </c>
      <c r="N34" t="s">
        <v>53</v>
      </c>
      <c r="O34" t="s">
        <v>45</v>
      </c>
      <c r="P34" t="s">
        <v>59</v>
      </c>
      <c r="Q34" t="s">
        <v>173</v>
      </c>
      <c r="R34" t="s">
        <v>48</v>
      </c>
      <c r="S34" t="s">
        <v>49</v>
      </c>
      <c r="AB34" t="s">
        <v>49</v>
      </c>
      <c r="AC34">
        <v>0</v>
      </c>
      <c r="AD34">
        <v>0</v>
      </c>
      <c r="AE34">
        <v>0</v>
      </c>
      <c r="AF34">
        <v>0</v>
      </c>
      <c r="AG34">
        <v>0</v>
      </c>
      <c r="AH34">
        <v>0</v>
      </c>
      <c r="AI34">
        <v>0</v>
      </c>
      <c r="AJ34">
        <v>0</v>
      </c>
      <c r="AK34">
        <v>0</v>
      </c>
    </row>
    <row r="35" spans="1:37">
      <c r="A35" t="s">
        <v>37</v>
      </c>
      <c r="B35" t="s">
        <v>174</v>
      </c>
      <c r="C35" t="str">
        <f t="shared" si="0"/>
        <v>amzn1.ads-account.g.dfa7o7cwdl371d634ew58i919</v>
      </c>
      <c r="D35" t="s">
        <v>39</v>
      </c>
      <c r="G35" t="str">
        <f t="shared" si="1"/>
        <v>585687237024345541</v>
      </c>
      <c r="H35" t="s">
        <v>40</v>
      </c>
      <c r="I35" t="str">
        <f t="shared" si="2"/>
        <v>585478290940566279</v>
      </c>
      <c r="J35" t="s">
        <v>41</v>
      </c>
      <c r="K35" t="s">
        <v>175</v>
      </c>
      <c r="L35" s="1" t="str">
        <f>VLOOKUP(K35,Sheet1!A:B,2,FALSE)</f>
        <v>XM2-KD7-BKBU-30</v>
      </c>
      <c r="M35" t="s">
        <v>176</v>
      </c>
      <c r="N35" t="s">
        <v>177</v>
      </c>
      <c r="O35" t="s">
        <v>45</v>
      </c>
      <c r="P35" t="s">
        <v>46</v>
      </c>
      <c r="Q35" t="s">
        <v>157</v>
      </c>
      <c r="R35" t="s">
        <v>48</v>
      </c>
      <c r="S35" t="s">
        <v>49</v>
      </c>
      <c r="AB35" t="s">
        <v>49</v>
      </c>
      <c r="AC35">
        <v>0</v>
      </c>
      <c r="AD35">
        <v>0</v>
      </c>
      <c r="AE35">
        <v>0</v>
      </c>
      <c r="AF35">
        <v>0</v>
      </c>
      <c r="AG35">
        <v>0</v>
      </c>
      <c r="AH35">
        <v>0</v>
      </c>
      <c r="AI35">
        <v>0</v>
      </c>
      <c r="AJ35">
        <v>0</v>
      </c>
      <c r="AK35">
        <v>0</v>
      </c>
    </row>
    <row r="36" spans="1:37">
      <c r="A36" t="s">
        <v>37</v>
      </c>
      <c r="B36" t="s">
        <v>178</v>
      </c>
      <c r="C36" t="str">
        <f t="shared" si="0"/>
        <v>amzn1.ads-account.g.dfa7o7cwdl371d634ew58i919</v>
      </c>
      <c r="D36" t="s">
        <v>39</v>
      </c>
      <c r="G36" t="str">
        <f t="shared" si="1"/>
        <v>585687237024345541</v>
      </c>
      <c r="H36" t="s">
        <v>40</v>
      </c>
      <c r="I36" t="str">
        <f t="shared" si="2"/>
        <v>585478290940566279</v>
      </c>
      <c r="J36" t="s">
        <v>41</v>
      </c>
      <c r="K36" t="s">
        <v>179</v>
      </c>
      <c r="L36" s="1" t="str">
        <f>VLOOKUP(K36,Sheet1!A:B,2,FALSE)</f>
        <v>SH-BRY180-BN-40</v>
      </c>
      <c r="M36" t="s">
        <v>180</v>
      </c>
      <c r="N36" t="s">
        <v>64</v>
      </c>
      <c r="O36" t="s">
        <v>45</v>
      </c>
      <c r="P36" t="s">
        <v>59</v>
      </c>
      <c r="Q36" t="s">
        <v>114</v>
      </c>
      <c r="R36" t="s">
        <v>48</v>
      </c>
      <c r="S36" t="s">
        <v>49</v>
      </c>
      <c r="AB36" t="s">
        <v>49</v>
      </c>
      <c r="AC36">
        <v>0</v>
      </c>
      <c r="AD36">
        <v>0</v>
      </c>
      <c r="AE36">
        <v>0</v>
      </c>
      <c r="AF36">
        <v>0</v>
      </c>
      <c r="AG36">
        <v>0</v>
      </c>
      <c r="AH36">
        <v>0</v>
      </c>
      <c r="AI36">
        <v>0</v>
      </c>
      <c r="AJ36">
        <v>0</v>
      </c>
      <c r="AK36">
        <v>0</v>
      </c>
    </row>
    <row r="37" spans="1:37">
      <c r="A37" t="s">
        <v>37</v>
      </c>
      <c r="B37" t="s">
        <v>181</v>
      </c>
      <c r="C37" t="str">
        <f t="shared" si="0"/>
        <v>amzn1.ads-account.g.dfa7o7cwdl371d634ew58i919</v>
      </c>
      <c r="D37" t="s">
        <v>39</v>
      </c>
      <c r="G37" t="str">
        <f t="shared" si="1"/>
        <v>585687237024345541</v>
      </c>
      <c r="H37" t="s">
        <v>40</v>
      </c>
      <c r="I37" t="str">
        <f t="shared" si="2"/>
        <v>585478290940566279</v>
      </c>
      <c r="J37" t="s">
        <v>41</v>
      </c>
      <c r="K37" t="s">
        <v>58</v>
      </c>
      <c r="L37" s="1" t="str">
        <f>VLOOKUP(K37,Sheet1!A:B,2,FALSE)</f>
        <v>SP-DMJIK4O9FQ35OSSV</v>
      </c>
      <c r="M37" t="s">
        <v>182</v>
      </c>
      <c r="N37">
        <v>-1</v>
      </c>
      <c r="O37" t="s">
        <v>45</v>
      </c>
      <c r="Q37" t="s">
        <v>54</v>
      </c>
      <c r="R37" t="s">
        <v>48</v>
      </c>
      <c r="S37" t="s">
        <v>49</v>
      </c>
      <c r="AB37" t="s">
        <v>49</v>
      </c>
      <c r="AC37">
        <v>0</v>
      </c>
      <c r="AD37">
        <v>0</v>
      </c>
      <c r="AE37">
        <v>0</v>
      </c>
      <c r="AF37">
        <v>0</v>
      </c>
      <c r="AG37">
        <v>0</v>
      </c>
      <c r="AH37">
        <v>0</v>
      </c>
      <c r="AI37">
        <v>0</v>
      </c>
      <c r="AJ37">
        <v>0</v>
      </c>
      <c r="AK37">
        <v>0</v>
      </c>
    </row>
    <row r="38" spans="1:37">
      <c r="A38" t="s">
        <v>37</v>
      </c>
      <c r="B38" t="s">
        <v>183</v>
      </c>
      <c r="C38" t="str">
        <f t="shared" si="0"/>
        <v>amzn1.ads-account.g.dfa7o7cwdl371d634ew58i919</v>
      </c>
      <c r="D38" t="s">
        <v>39</v>
      </c>
      <c r="G38" t="str">
        <f t="shared" si="1"/>
        <v>585687237024345541</v>
      </c>
      <c r="H38" t="s">
        <v>40</v>
      </c>
      <c r="I38" t="str">
        <f t="shared" si="2"/>
        <v>585478290940566279</v>
      </c>
      <c r="J38" t="s">
        <v>41</v>
      </c>
      <c r="K38" t="s">
        <v>184</v>
      </c>
      <c r="L38" s="1" t="str">
        <f>VLOOKUP(K38,Sheet1!A:B,2,FALSE)</f>
        <v>XM2-S71-LTBU-43</v>
      </c>
      <c r="M38" t="s">
        <v>185</v>
      </c>
      <c r="N38" t="s">
        <v>83</v>
      </c>
      <c r="O38" t="s">
        <v>45</v>
      </c>
      <c r="P38" t="s">
        <v>65</v>
      </c>
      <c r="Q38" t="s">
        <v>84</v>
      </c>
      <c r="R38" t="s">
        <v>48</v>
      </c>
      <c r="S38" t="s">
        <v>49</v>
      </c>
      <c r="AB38" t="s">
        <v>49</v>
      </c>
      <c r="AC38">
        <v>0</v>
      </c>
      <c r="AD38">
        <v>0</v>
      </c>
      <c r="AE38">
        <v>0</v>
      </c>
      <c r="AF38">
        <v>0</v>
      </c>
      <c r="AG38">
        <v>0</v>
      </c>
      <c r="AH38">
        <v>0</v>
      </c>
      <c r="AI38">
        <v>0</v>
      </c>
      <c r="AJ38">
        <v>0</v>
      </c>
      <c r="AK38">
        <v>0</v>
      </c>
    </row>
    <row r="39" spans="1:37">
      <c r="A39" t="s">
        <v>37</v>
      </c>
      <c r="B39" t="s">
        <v>67</v>
      </c>
      <c r="C39" t="str">
        <f t="shared" si="0"/>
        <v>amzn1.ads-account.g.dfa7o7cwdl371d634ew58i919</v>
      </c>
      <c r="D39" t="s">
        <v>39</v>
      </c>
      <c r="G39" t="str">
        <f t="shared" si="1"/>
        <v>585687237024345541</v>
      </c>
      <c r="H39" t="s">
        <v>40</v>
      </c>
      <c r="I39" t="str">
        <f t="shared" si="2"/>
        <v>585478290940566279</v>
      </c>
      <c r="J39" t="s">
        <v>41</v>
      </c>
      <c r="K39" t="s">
        <v>186</v>
      </c>
      <c r="L39" s="1" t="str">
        <f>VLOOKUP(K39,Sheet1!A:B,2,FALSE)</f>
        <v>XM2-S75-BK-36</v>
      </c>
      <c r="M39" t="s">
        <v>187</v>
      </c>
      <c r="N39" t="s">
        <v>95</v>
      </c>
      <c r="O39" t="s">
        <v>45</v>
      </c>
      <c r="P39" t="s">
        <v>153</v>
      </c>
      <c r="Q39" t="s">
        <v>154</v>
      </c>
      <c r="R39" t="s">
        <v>48</v>
      </c>
      <c r="S39" t="s">
        <v>49</v>
      </c>
      <c r="AB39" t="s">
        <v>49</v>
      </c>
      <c r="AC39">
        <v>1</v>
      </c>
      <c r="AD39">
        <v>37.99</v>
      </c>
      <c r="AE39">
        <v>1</v>
      </c>
      <c r="AF39">
        <v>1</v>
      </c>
      <c r="AG39">
        <v>37.99</v>
      </c>
      <c r="AH39">
        <v>1</v>
      </c>
      <c r="AI39">
        <v>1</v>
      </c>
      <c r="AJ39">
        <v>37.99</v>
      </c>
      <c r="AK39">
        <v>1</v>
      </c>
    </row>
    <row r="40" spans="1:37">
      <c r="A40" t="s">
        <v>37</v>
      </c>
      <c r="B40" t="s">
        <v>188</v>
      </c>
      <c r="C40" t="str">
        <f t="shared" si="0"/>
        <v>amzn1.ads-account.g.dfa7o7cwdl371d634ew58i919</v>
      </c>
      <c r="D40" t="s">
        <v>39</v>
      </c>
      <c r="G40" t="str">
        <f t="shared" si="1"/>
        <v>585687237024345541</v>
      </c>
      <c r="H40" t="s">
        <v>40</v>
      </c>
      <c r="I40" t="str">
        <f t="shared" si="2"/>
        <v>585478290940566279</v>
      </c>
      <c r="J40" t="s">
        <v>41</v>
      </c>
      <c r="K40" t="s">
        <v>189</v>
      </c>
      <c r="L40" s="1" t="str">
        <f>VLOOKUP(K40,Sheet1!A:B,2,FALSE)</f>
        <v>XM1-L200-DKBU-36</v>
      </c>
      <c r="M40" t="s">
        <v>190</v>
      </c>
      <c r="N40" t="s">
        <v>191</v>
      </c>
      <c r="O40" t="s">
        <v>45</v>
      </c>
      <c r="P40" t="s">
        <v>65</v>
      </c>
      <c r="Q40" t="s">
        <v>192</v>
      </c>
      <c r="R40" t="s">
        <v>48</v>
      </c>
      <c r="S40" t="s">
        <v>49</v>
      </c>
      <c r="AB40" t="s">
        <v>49</v>
      </c>
      <c r="AC40">
        <v>0</v>
      </c>
      <c r="AD40">
        <v>0</v>
      </c>
      <c r="AE40">
        <v>0</v>
      </c>
      <c r="AF40">
        <v>0</v>
      </c>
      <c r="AG40">
        <v>0</v>
      </c>
      <c r="AH40">
        <v>0</v>
      </c>
      <c r="AI40">
        <v>0</v>
      </c>
      <c r="AJ40">
        <v>0</v>
      </c>
      <c r="AK40">
        <v>0</v>
      </c>
    </row>
    <row r="41" spans="1:37">
      <c r="A41" t="s">
        <v>37</v>
      </c>
      <c r="B41" t="s">
        <v>147</v>
      </c>
      <c r="C41" t="str">
        <f t="shared" si="0"/>
        <v>amzn1.ads-account.g.dfa7o7cwdl371d634ew58i919</v>
      </c>
      <c r="D41" t="s">
        <v>39</v>
      </c>
      <c r="G41" t="str">
        <f t="shared" si="1"/>
        <v>585687237024345541</v>
      </c>
      <c r="H41" t="s">
        <v>40</v>
      </c>
      <c r="I41" t="str">
        <f t="shared" si="2"/>
        <v>585478290940566279</v>
      </c>
      <c r="J41" t="s">
        <v>41</v>
      </c>
      <c r="K41" t="s">
        <v>193</v>
      </c>
      <c r="L41" s="1" t="str">
        <f>VLOOKUP(K41,Sheet1!A:B,2,FALSE)</f>
        <v>SH-BRY180-TPL-38</v>
      </c>
      <c r="M41" t="s">
        <v>194</v>
      </c>
      <c r="N41" t="s">
        <v>64</v>
      </c>
      <c r="O41" t="s">
        <v>45</v>
      </c>
      <c r="P41" t="s">
        <v>59</v>
      </c>
      <c r="Q41" t="s">
        <v>130</v>
      </c>
      <c r="R41" t="s">
        <v>48</v>
      </c>
      <c r="S41" t="s">
        <v>49</v>
      </c>
      <c r="AB41" t="s">
        <v>49</v>
      </c>
      <c r="AC41">
        <v>1</v>
      </c>
      <c r="AD41">
        <v>23.99</v>
      </c>
      <c r="AE41">
        <v>1</v>
      </c>
      <c r="AF41">
        <v>1</v>
      </c>
      <c r="AG41">
        <v>23.99</v>
      </c>
      <c r="AH41">
        <v>1</v>
      </c>
      <c r="AI41">
        <v>0</v>
      </c>
      <c r="AJ41">
        <v>0</v>
      </c>
      <c r="AK41">
        <v>0</v>
      </c>
    </row>
    <row r="42" spans="1:37">
      <c r="A42" t="s">
        <v>37</v>
      </c>
      <c r="B42" t="s">
        <v>120</v>
      </c>
      <c r="C42" t="str">
        <f t="shared" si="0"/>
        <v>amzn1.ads-account.g.dfa7o7cwdl371d634ew58i919</v>
      </c>
      <c r="D42" t="s">
        <v>39</v>
      </c>
      <c r="G42" t="str">
        <f t="shared" si="1"/>
        <v>585687237024345541</v>
      </c>
      <c r="H42" t="s">
        <v>40</v>
      </c>
      <c r="I42" t="str">
        <f t="shared" si="2"/>
        <v>585478290940566279</v>
      </c>
      <c r="J42" t="s">
        <v>41</v>
      </c>
      <c r="K42" t="s">
        <v>195</v>
      </c>
      <c r="L42" s="1" t="str">
        <f>VLOOKUP(K42,Sheet1!A:B,2,FALSE)</f>
        <v>SH-BRY180-BK-47</v>
      </c>
      <c r="M42" t="s">
        <v>196</v>
      </c>
      <c r="N42" t="s">
        <v>64</v>
      </c>
      <c r="O42" t="s">
        <v>45</v>
      </c>
      <c r="P42" t="s">
        <v>59</v>
      </c>
      <c r="Q42" t="s">
        <v>106</v>
      </c>
      <c r="R42" t="s">
        <v>48</v>
      </c>
      <c r="S42" t="s">
        <v>49</v>
      </c>
      <c r="AB42" t="s">
        <v>49</v>
      </c>
      <c r="AC42">
        <v>7</v>
      </c>
      <c r="AD42">
        <v>139.93</v>
      </c>
      <c r="AE42">
        <v>7</v>
      </c>
      <c r="AF42">
        <v>7</v>
      </c>
      <c r="AG42">
        <v>139.93</v>
      </c>
      <c r="AH42">
        <v>7</v>
      </c>
      <c r="AI42">
        <v>1</v>
      </c>
      <c r="AJ42">
        <v>19.99</v>
      </c>
      <c r="AK42">
        <v>1</v>
      </c>
    </row>
    <row r="43" spans="1:37">
      <c r="A43" t="s">
        <v>37</v>
      </c>
      <c r="B43" t="s">
        <v>120</v>
      </c>
      <c r="C43" t="str">
        <f t="shared" si="0"/>
        <v>amzn1.ads-account.g.dfa7o7cwdl371d634ew58i919</v>
      </c>
      <c r="D43" t="s">
        <v>39</v>
      </c>
      <c r="G43" t="str">
        <f t="shared" si="1"/>
        <v>585687237024345541</v>
      </c>
      <c r="H43" t="s">
        <v>40</v>
      </c>
      <c r="I43" t="str">
        <f t="shared" si="2"/>
        <v>585478290940566279</v>
      </c>
      <c r="J43" t="s">
        <v>41</v>
      </c>
      <c r="K43" t="s">
        <v>197</v>
      </c>
      <c r="L43" s="1" t="str">
        <f>VLOOKUP(K43,Sheet1!A:B,2,FALSE)</f>
        <v>SH-BRY180-BN-41N</v>
      </c>
      <c r="M43" t="s">
        <v>198</v>
      </c>
      <c r="N43" t="s">
        <v>64</v>
      </c>
      <c r="O43" t="s">
        <v>45</v>
      </c>
      <c r="P43" t="s">
        <v>59</v>
      </c>
      <c r="Q43" t="s">
        <v>130</v>
      </c>
      <c r="R43" t="s">
        <v>48</v>
      </c>
      <c r="S43" t="s">
        <v>49</v>
      </c>
      <c r="AB43" t="s">
        <v>49</v>
      </c>
      <c r="AC43">
        <v>1</v>
      </c>
      <c r="AD43">
        <v>23.99</v>
      </c>
      <c r="AE43">
        <v>1</v>
      </c>
      <c r="AF43">
        <v>1</v>
      </c>
      <c r="AG43">
        <v>23.99</v>
      </c>
      <c r="AH43">
        <v>1</v>
      </c>
      <c r="AI43">
        <v>0</v>
      </c>
      <c r="AJ43">
        <v>0</v>
      </c>
      <c r="AK43">
        <v>0</v>
      </c>
    </row>
    <row r="44" spans="1:37">
      <c r="A44" t="s">
        <v>37</v>
      </c>
      <c r="B44" t="s">
        <v>199</v>
      </c>
      <c r="C44" t="str">
        <f t="shared" si="0"/>
        <v>amzn1.ads-account.g.dfa7o7cwdl371d634ew58i919</v>
      </c>
      <c r="D44" t="s">
        <v>39</v>
      </c>
      <c r="G44" t="str">
        <f t="shared" si="1"/>
        <v>585687237024345541</v>
      </c>
      <c r="H44" t="s">
        <v>40</v>
      </c>
      <c r="I44" t="str">
        <f t="shared" si="2"/>
        <v>585478290940566279</v>
      </c>
      <c r="J44" t="s">
        <v>41</v>
      </c>
      <c r="K44" t="s">
        <v>200</v>
      </c>
      <c r="L44" s="1" t="str">
        <f>VLOOKUP(K44,Sheet1!A:B,2,FALSE)</f>
        <v>XM2-S600-GY-37.5</v>
      </c>
      <c r="M44" t="s">
        <v>201</v>
      </c>
      <c r="N44" t="s">
        <v>70</v>
      </c>
      <c r="O44" t="s">
        <v>45</v>
      </c>
      <c r="P44" t="s">
        <v>75</v>
      </c>
      <c r="Q44" t="s">
        <v>76</v>
      </c>
      <c r="R44" t="s">
        <v>48</v>
      </c>
      <c r="S44" t="s">
        <v>49</v>
      </c>
      <c r="AB44" t="s">
        <v>49</v>
      </c>
      <c r="AC44">
        <v>0</v>
      </c>
      <c r="AD44">
        <v>0</v>
      </c>
      <c r="AE44">
        <v>0</v>
      </c>
      <c r="AF44">
        <v>0</v>
      </c>
      <c r="AG44">
        <v>0</v>
      </c>
      <c r="AH44">
        <v>0</v>
      </c>
      <c r="AI44">
        <v>0</v>
      </c>
      <c r="AJ44">
        <v>0</v>
      </c>
      <c r="AK44">
        <v>0</v>
      </c>
    </row>
    <row r="45" spans="1:37">
      <c r="A45" t="s">
        <v>37</v>
      </c>
      <c r="B45" t="s">
        <v>55</v>
      </c>
      <c r="C45" t="str">
        <f t="shared" si="0"/>
        <v>amzn1.ads-account.g.dfa7o7cwdl371d634ew58i919</v>
      </c>
      <c r="D45" t="s">
        <v>39</v>
      </c>
      <c r="G45" t="str">
        <f t="shared" si="1"/>
        <v>585687237024345541</v>
      </c>
      <c r="H45" t="s">
        <v>40</v>
      </c>
      <c r="I45" t="str">
        <f t="shared" si="2"/>
        <v>585478290940566279</v>
      </c>
      <c r="J45" t="s">
        <v>41</v>
      </c>
      <c r="K45" t="s">
        <v>202</v>
      </c>
      <c r="L45" s="1" t="str">
        <f>VLOOKUP(K45,Sheet1!A:B,2,FALSE)</f>
        <v>SH-BRY10-TPL-36</v>
      </c>
      <c r="M45" t="s">
        <v>203</v>
      </c>
      <c r="N45" t="s">
        <v>44</v>
      </c>
      <c r="O45" t="s">
        <v>45</v>
      </c>
      <c r="P45" t="s">
        <v>59</v>
      </c>
      <c r="Q45" t="s">
        <v>114</v>
      </c>
      <c r="R45" t="s">
        <v>48</v>
      </c>
      <c r="S45" t="s">
        <v>49</v>
      </c>
      <c r="AB45" t="s">
        <v>49</v>
      </c>
      <c r="AC45">
        <v>1</v>
      </c>
      <c r="AD45">
        <v>23.99</v>
      </c>
      <c r="AE45">
        <v>1</v>
      </c>
      <c r="AF45">
        <v>1</v>
      </c>
      <c r="AG45">
        <v>23.99</v>
      </c>
      <c r="AH45">
        <v>1</v>
      </c>
      <c r="AI45">
        <v>1</v>
      </c>
      <c r="AJ45">
        <v>23.99</v>
      </c>
      <c r="AK45">
        <v>1</v>
      </c>
    </row>
    <row r="46" spans="1:37">
      <c r="A46" t="s">
        <v>37</v>
      </c>
      <c r="B46" t="s">
        <v>147</v>
      </c>
      <c r="C46" t="str">
        <f t="shared" si="0"/>
        <v>amzn1.ads-account.g.dfa7o7cwdl371d634ew58i919</v>
      </c>
      <c r="D46" t="s">
        <v>39</v>
      </c>
      <c r="G46" t="str">
        <f t="shared" si="1"/>
        <v>585687237024345541</v>
      </c>
      <c r="H46" t="s">
        <v>40</v>
      </c>
      <c r="I46" t="str">
        <f t="shared" si="2"/>
        <v>585478290940566279</v>
      </c>
      <c r="J46" t="s">
        <v>41</v>
      </c>
      <c r="K46" t="s">
        <v>204</v>
      </c>
      <c r="L46" s="1" t="str">
        <f>VLOOKUP(K46,Sheet1!A:B,2,FALSE)</f>
        <v>SH-BRS73-DKBU-44</v>
      </c>
      <c r="M46" t="s">
        <v>205</v>
      </c>
      <c r="N46" t="s">
        <v>206</v>
      </c>
      <c r="O46" t="s">
        <v>45</v>
      </c>
      <c r="P46" t="s">
        <v>65</v>
      </c>
      <c r="Q46" t="s">
        <v>207</v>
      </c>
      <c r="R46" t="s">
        <v>48</v>
      </c>
      <c r="S46" t="s">
        <v>49</v>
      </c>
      <c r="AB46" t="s">
        <v>49</v>
      </c>
      <c r="AC46">
        <v>0</v>
      </c>
      <c r="AD46">
        <v>0</v>
      </c>
      <c r="AE46">
        <v>0</v>
      </c>
      <c r="AF46">
        <v>0</v>
      </c>
      <c r="AG46">
        <v>0</v>
      </c>
      <c r="AH46">
        <v>0</v>
      </c>
      <c r="AI46">
        <v>0</v>
      </c>
      <c r="AJ46">
        <v>0</v>
      </c>
      <c r="AK46">
        <v>0</v>
      </c>
    </row>
    <row r="47" spans="1:37">
      <c r="A47" t="s">
        <v>37</v>
      </c>
      <c r="B47" t="s">
        <v>183</v>
      </c>
      <c r="C47" t="str">
        <f t="shared" si="0"/>
        <v>amzn1.ads-account.g.dfa7o7cwdl371d634ew58i919</v>
      </c>
      <c r="D47" t="s">
        <v>39</v>
      </c>
      <c r="G47" t="str">
        <f t="shared" si="1"/>
        <v>585687237024345541</v>
      </c>
      <c r="H47" t="s">
        <v>40</v>
      </c>
      <c r="I47" t="str">
        <f t="shared" si="2"/>
        <v>585478290940566279</v>
      </c>
      <c r="J47" t="s">
        <v>41</v>
      </c>
      <c r="K47" t="s">
        <v>110</v>
      </c>
      <c r="L47" s="1" t="str">
        <f>VLOOKUP(K47,Sheet1!A:B,2,FALSE)</f>
        <v>SH-BRS71New</v>
      </c>
      <c r="M47" t="s">
        <v>208</v>
      </c>
      <c r="N47">
        <v>-1</v>
      </c>
      <c r="O47" t="s">
        <v>45</v>
      </c>
      <c r="P47" t="s">
        <v>65</v>
      </c>
      <c r="Q47" t="s">
        <v>207</v>
      </c>
      <c r="R47" t="s">
        <v>48</v>
      </c>
      <c r="S47" t="s">
        <v>49</v>
      </c>
      <c r="AB47" t="s">
        <v>49</v>
      </c>
      <c r="AC47">
        <v>0</v>
      </c>
      <c r="AD47">
        <v>0</v>
      </c>
      <c r="AE47">
        <v>0</v>
      </c>
      <c r="AF47">
        <v>0</v>
      </c>
      <c r="AG47">
        <v>0</v>
      </c>
      <c r="AH47">
        <v>0</v>
      </c>
      <c r="AI47">
        <v>0</v>
      </c>
      <c r="AJ47">
        <v>0</v>
      </c>
      <c r="AK47">
        <v>0</v>
      </c>
    </row>
    <row r="48" spans="1:37">
      <c r="A48" t="s">
        <v>37</v>
      </c>
      <c r="B48" t="s">
        <v>209</v>
      </c>
      <c r="C48" t="str">
        <f t="shared" si="0"/>
        <v>amzn1.ads-account.g.dfa7o7cwdl371d634ew58i919</v>
      </c>
      <c r="D48" t="s">
        <v>39</v>
      </c>
      <c r="G48" t="str">
        <f t="shared" si="1"/>
        <v>585687237024345541</v>
      </c>
      <c r="H48" t="s">
        <v>40</v>
      </c>
      <c r="I48" t="str">
        <f t="shared" si="2"/>
        <v>585478290940566279</v>
      </c>
      <c r="J48" t="s">
        <v>41</v>
      </c>
      <c r="K48" t="s">
        <v>210</v>
      </c>
      <c r="L48" s="1" t="str">
        <f>VLOOKUP(K48,Sheet1!A:B,2,FALSE)</f>
        <v>XM2-S600-ABK-38.5</v>
      </c>
      <c r="M48" t="s">
        <v>211</v>
      </c>
      <c r="N48" t="s">
        <v>70</v>
      </c>
      <c r="O48" t="s">
        <v>45</v>
      </c>
      <c r="Q48" t="s">
        <v>54</v>
      </c>
      <c r="R48" t="s">
        <v>48</v>
      </c>
      <c r="S48" t="s">
        <v>49</v>
      </c>
      <c r="AB48" t="s">
        <v>49</v>
      </c>
      <c r="AC48">
        <v>0</v>
      </c>
      <c r="AD48">
        <v>0</v>
      </c>
      <c r="AE48">
        <v>0</v>
      </c>
      <c r="AF48">
        <v>0</v>
      </c>
      <c r="AG48">
        <v>0</v>
      </c>
      <c r="AH48">
        <v>0</v>
      </c>
      <c r="AI48">
        <v>0</v>
      </c>
      <c r="AJ48">
        <v>0</v>
      </c>
      <c r="AK48">
        <v>0</v>
      </c>
    </row>
    <row r="49" spans="1:37">
      <c r="A49" t="s">
        <v>37</v>
      </c>
      <c r="B49" t="s">
        <v>150</v>
      </c>
      <c r="C49" t="str">
        <f t="shared" si="0"/>
        <v>amzn1.ads-account.g.dfa7o7cwdl371d634ew58i919</v>
      </c>
      <c r="D49" t="s">
        <v>39</v>
      </c>
      <c r="G49" t="str">
        <f t="shared" si="1"/>
        <v>585687237024345541</v>
      </c>
      <c r="H49" t="s">
        <v>40</v>
      </c>
      <c r="I49" t="str">
        <f t="shared" si="2"/>
        <v>585478290940566279</v>
      </c>
      <c r="J49" t="s">
        <v>41</v>
      </c>
      <c r="K49" t="s">
        <v>212</v>
      </c>
      <c r="L49" s="1" t="str">
        <f>VLOOKUP(K49,Sheet1!A:B,2,FALSE)</f>
        <v>XM2-S75-BG-38</v>
      </c>
      <c r="M49" t="s">
        <v>213</v>
      </c>
      <c r="N49" t="s">
        <v>95</v>
      </c>
      <c r="O49" t="s">
        <v>45</v>
      </c>
      <c r="P49" t="s">
        <v>65</v>
      </c>
      <c r="Q49" t="s">
        <v>84</v>
      </c>
      <c r="R49" t="s">
        <v>48</v>
      </c>
      <c r="S49" t="s">
        <v>49</v>
      </c>
      <c r="AB49" t="s">
        <v>49</v>
      </c>
      <c r="AC49">
        <v>0</v>
      </c>
      <c r="AD49">
        <v>0</v>
      </c>
      <c r="AE49">
        <v>0</v>
      </c>
      <c r="AF49">
        <v>0</v>
      </c>
      <c r="AG49">
        <v>0</v>
      </c>
      <c r="AH49">
        <v>0</v>
      </c>
      <c r="AI49">
        <v>0</v>
      </c>
      <c r="AJ49">
        <v>0</v>
      </c>
      <c r="AK49">
        <v>0</v>
      </c>
    </row>
    <row r="50" spans="1:37">
      <c r="A50" t="s">
        <v>37</v>
      </c>
      <c r="B50" t="s">
        <v>170</v>
      </c>
      <c r="C50" t="str">
        <f t="shared" si="0"/>
        <v>amzn1.ads-account.g.dfa7o7cwdl371d634ew58i919</v>
      </c>
      <c r="D50" t="s">
        <v>39</v>
      </c>
      <c r="G50" t="str">
        <f t="shared" si="1"/>
        <v>585687237024345541</v>
      </c>
      <c r="H50" t="s">
        <v>40</v>
      </c>
      <c r="I50" t="str">
        <f t="shared" si="2"/>
        <v>585478290940566279</v>
      </c>
      <c r="J50" t="s">
        <v>41</v>
      </c>
      <c r="K50" t="s">
        <v>214</v>
      </c>
      <c r="L50" s="1" t="str">
        <f>VLOOKUP(K50,Sheet1!A:B,2,FALSE)</f>
        <v>XM2-S73-BU-38</v>
      </c>
      <c r="M50" t="s">
        <v>215</v>
      </c>
      <c r="N50" t="s">
        <v>83</v>
      </c>
      <c r="O50" t="s">
        <v>45</v>
      </c>
      <c r="P50" t="s">
        <v>153</v>
      </c>
      <c r="Q50" t="s">
        <v>216</v>
      </c>
      <c r="R50" t="s">
        <v>48</v>
      </c>
      <c r="S50" t="s">
        <v>49</v>
      </c>
      <c r="AB50" t="s">
        <v>49</v>
      </c>
      <c r="AC50">
        <v>0</v>
      </c>
      <c r="AD50">
        <v>0</v>
      </c>
      <c r="AE50">
        <v>0</v>
      </c>
      <c r="AF50">
        <v>0</v>
      </c>
      <c r="AG50">
        <v>0</v>
      </c>
      <c r="AH50">
        <v>0</v>
      </c>
      <c r="AI50">
        <v>0</v>
      </c>
      <c r="AJ50">
        <v>0</v>
      </c>
      <c r="AK50">
        <v>0</v>
      </c>
    </row>
    <row r="51" spans="1:37">
      <c r="A51" t="s">
        <v>37</v>
      </c>
      <c r="B51" t="s">
        <v>217</v>
      </c>
      <c r="C51" t="str">
        <f t="shared" si="0"/>
        <v>amzn1.ads-account.g.dfa7o7cwdl371d634ew58i919</v>
      </c>
      <c r="D51" t="s">
        <v>39</v>
      </c>
      <c r="G51" t="str">
        <f t="shared" si="1"/>
        <v>585687237024345541</v>
      </c>
      <c r="H51" t="s">
        <v>40</v>
      </c>
      <c r="I51" t="str">
        <f t="shared" si="2"/>
        <v>585478290940566279</v>
      </c>
      <c r="J51" t="s">
        <v>41</v>
      </c>
      <c r="K51" t="s">
        <v>218</v>
      </c>
      <c r="L51" s="1" t="str">
        <f>VLOOKUP(K51,Sheet1!A:B,2,FALSE)</f>
        <v>XM2-S7K1-BKRD-29</v>
      </c>
      <c r="M51" t="s">
        <v>219</v>
      </c>
      <c r="N51" t="s">
        <v>220</v>
      </c>
      <c r="O51" t="s">
        <v>45</v>
      </c>
      <c r="P51" t="s">
        <v>46</v>
      </c>
      <c r="Q51" t="s">
        <v>157</v>
      </c>
      <c r="R51" t="s">
        <v>48</v>
      </c>
      <c r="S51" t="s">
        <v>49</v>
      </c>
      <c r="AB51" t="s">
        <v>49</v>
      </c>
      <c r="AC51">
        <v>0</v>
      </c>
      <c r="AD51">
        <v>0</v>
      </c>
      <c r="AE51">
        <v>0</v>
      </c>
      <c r="AF51">
        <v>0</v>
      </c>
      <c r="AG51">
        <v>0</v>
      </c>
      <c r="AH51">
        <v>0</v>
      </c>
      <c r="AI51">
        <v>0</v>
      </c>
      <c r="AJ51">
        <v>0</v>
      </c>
      <c r="AK51">
        <v>0</v>
      </c>
    </row>
    <row r="52" spans="1:37">
      <c r="A52" t="s">
        <v>37</v>
      </c>
      <c r="B52" t="s">
        <v>55</v>
      </c>
      <c r="C52" t="str">
        <f t="shared" si="0"/>
        <v>amzn1.ads-account.g.dfa7o7cwdl371d634ew58i919</v>
      </c>
      <c r="D52" t="s">
        <v>39</v>
      </c>
      <c r="G52" t="str">
        <f t="shared" si="1"/>
        <v>585687237024345541</v>
      </c>
      <c r="H52" t="s">
        <v>40</v>
      </c>
      <c r="I52" t="str">
        <f t="shared" si="2"/>
        <v>585478290940566279</v>
      </c>
      <c r="J52" t="s">
        <v>41</v>
      </c>
      <c r="K52" t="s">
        <v>221</v>
      </c>
      <c r="L52" s="1" t="str">
        <f>VLOOKUP(K52,Sheet1!A:B,2,FALSE)</f>
        <v>SH-BRY10-PL-43</v>
      </c>
      <c r="M52" t="s">
        <v>222</v>
      </c>
      <c r="N52" t="s">
        <v>44</v>
      </c>
      <c r="O52" t="s">
        <v>45</v>
      </c>
      <c r="P52" t="s">
        <v>75</v>
      </c>
      <c r="Q52" t="s">
        <v>91</v>
      </c>
      <c r="R52" t="s">
        <v>48</v>
      </c>
      <c r="S52" t="s">
        <v>49</v>
      </c>
      <c r="AB52" t="s">
        <v>49</v>
      </c>
      <c r="AC52">
        <v>0</v>
      </c>
      <c r="AD52">
        <v>0</v>
      </c>
      <c r="AE52">
        <v>0</v>
      </c>
      <c r="AF52">
        <v>0</v>
      </c>
      <c r="AG52">
        <v>0</v>
      </c>
      <c r="AH52">
        <v>0</v>
      </c>
      <c r="AI52">
        <v>0</v>
      </c>
      <c r="AJ52">
        <v>0</v>
      </c>
      <c r="AK52">
        <v>0</v>
      </c>
    </row>
    <row r="53" spans="1:37">
      <c r="A53" t="s">
        <v>37</v>
      </c>
      <c r="B53" t="s">
        <v>223</v>
      </c>
      <c r="C53" t="str">
        <f t="shared" si="0"/>
        <v>amzn1.ads-account.g.dfa7o7cwdl371d634ew58i919</v>
      </c>
      <c r="D53" t="s">
        <v>39</v>
      </c>
      <c r="G53" t="str">
        <f t="shared" si="1"/>
        <v>585687237024345541</v>
      </c>
      <c r="H53" t="s">
        <v>40</v>
      </c>
      <c r="I53" t="str">
        <f t="shared" si="2"/>
        <v>585478290940566279</v>
      </c>
      <c r="J53" t="s">
        <v>41</v>
      </c>
      <c r="K53" t="s">
        <v>224</v>
      </c>
      <c r="L53" s="1" t="str">
        <f>VLOOKUP(K53,Sheet1!A:B,2,FALSE)</f>
        <v>SH-BRKD5-ABK-37</v>
      </c>
      <c r="M53" t="s">
        <v>225</v>
      </c>
      <c r="N53" t="s">
        <v>139</v>
      </c>
      <c r="O53" t="s">
        <v>45</v>
      </c>
      <c r="P53" t="s">
        <v>140</v>
      </c>
      <c r="Q53" t="s">
        <v>226</v>
      </c>
      <c r="R53" t="s">
        <v>48</v>
      </c>
      <c r="S53" t="s">
        <v>49</v>
      </c>
      <c r="AB53" t="s">
        <v>49</v>
      </c>
      <c r="AC53">
        <v>1</v>
      </c>
      <c r="AD53">
        <v>37.99</v>
      </c>
      <c r="AE53">
        <v>1</v>
      </c>
      <c r="AF53">
        <v>1</v>
      </c>
      <c r="AG53">
        <v>37.99</v>
      </c>
      <c r="AH53">
        <v>1</v>
      </c>
      <c r="AI53">
        <v>0</v>
      </c>
      <c r="AJ53">
        <v>0</v>
      </c>
      <c r="AK53">
        <v>0</v>
      </c>
    </row>
    <row r="54" spans="1:37">
      <c r="A54" t="s">
        <v>37</v>
      </c>
      <c r="B54" t="s">
        <v>227</v>
      </c>
      <c r="C54" t="str">
        <f t="shared" si="0"/>
        <v>amzn1.ads-account.g.dfa7o7cwdl371d634ew58i919</v>
      </c>
      <c r="D54" t="s">
        <v>39</v>
      </c>
      <c r="G54" t="str">
        <f t="shared" si="1"/>
        <v>585687237024345541</v>
      </c>
      <c r="H54" t="s">
        <v>40</v>
      </c>
      <c r="I54" t="str">
        <f t="shared" si="2"/>
        <v>585478290940566279</v>
      </c>
      <c r="J54" t="s">
        <v>41</v>
      </c>
      <c r="K54" t="s">
        <v>228</v>
      </c>
      <c r="L54" s="1" t="str">
        <f>VLOOKUP(K54,Sheet1!A:B,2,FALSE)</f>
        <v>XM1-L200-PL-37</v>
      </c>
      <c r="M54" t="s">
        <v>229</v>
      </c>
      <c r="N54" t="s">
        <v>191</v>
      </c>
      <c r="O54" t="s">
        <v>45</v>
      </c>
      <c r="P54" t="s">
        <v>75</v>
      </c>
      <c r="Q54" t="s">
        <v>76</v>
      </c>
      <c r="R54" t="s">
        <v>48</v>
      </c>
      <c r="S54" t="s">
        <v>49</v>
      </c>
      <c r="AB54" t="s">
        <v>49</v>
      </c>
      <c r="AC54">
        <v>0</v>
      </c>
      <c r="AD54">
        <v>0</v>
      </c>
      <c r="AE54">
        <v>0</v>
      </c>
      <c r="AF54">
        <v>0</v>
      </c>
      <c r="AG54">
        <v>0</v>
      </c>
      <c r="AH54">
        <v>0</v>
      </c>
      <c r="AI54">
        <v>0</v>
      </c>
      <c r="AJ54">
        <v>0</v>
      </c>
      <c r="AK54">
        <v>0</v>
      </c>
    </row>
    <row r="55" spans="1:37">
      <c r="A55" t="s">
        <v>37</v>
      </c>
      <c r="B55" t="s">
        <v>230</v>
      </c>
      <c r="C55" t="str">
        <f t="shared" si="0"/>
        <v>amzn1.ads-account.g.dfa7o7cwdl371d634ew58i919</v>
      </c>
      <c r="D55" t="s">
        <v>39</v>
      </c>
      <c r="G55" t="str">
        <f t="shared" si="1"/>
        <v>585687237024345541</v>
      </c>
      <c r="H55" t="s">
        <v>40</v>
      </c>
      <c r="I55" t="str">
        <f t="shared" si="2"/>
        <v>585478290940566279</v>
      </c>
      <c r="J55" t="s">
        <v>41</v>
      </c>
      <c r="K55" t="s">
        <v>231</v>
      </c>
      <c r="L55" s="1" t="str">
        <f>VLOOKUP(K55,Sheet1!A:B,2,FALSE)</f>
        <v>XM2-S71-BKGY-42</v>
      </c>
      <c r="M55" t="s">
        <v>232</v>
      </c>
      <c r="N55" t="s">
        <v>83</v>
      </c>
      <c r="O55" t="s">
        <v>45</v>
      </c>
      <c r="P55" t="s">
        <v>65</v>
      </c>
      <c r="Q55" t="s">
        <v>84</v>
      </c>
      <c r="R55" t="s">
        <v>48</v>
      </c>
      <c r="S55" t="s">
        <v>49</v>
      </c>
      <c r="AB55" t="s">
        <v>49</v>
      </c>
      <c r="AC55">
        <v>0</v>
      </c>
      <c r="AD55">
        <v>0</v>
      </c>
      <c r="AE55">
        <v>0</v>
      </c>
      <c r="AF55">
        <v>0</v>
      </c>
      <c r="AG55">
        <v>0</v>
      </c>
      <c r="AH55">
        <v>0</v>
      </c>
      <c r="AI55">
        <v>0</v>
      </c>
      <c r="AJ55">
        <v>0</v>
      </c>
      <c r="AK55">
        <v>0</v>
      </c>
    </row>
    <row r="56" spans="1:37">
      <c r="A56" t="s">
        <v>37</v>
      </c>
      <c r="B56" t="s">
        <v>150</v>
      </c>
      <c r="C56" t="str">
        <f t="shared" si="0"/>
        <v>amzn1.ads-account.g.dfa7o7cwdl371d634ew58i919</v>
      </c>
      <c r="D56" t="s">
        <v>39</v>
      </c>
      <c r="G56" t="str">
        <f t="shared" si="1"/>
        <v>585687237024345541</v>
      </c>
      <c r="H56" t="s">
        <v>40</v>
      </c>
      <c r="I56" t="str">
        <f t="shared" si="2"/>
        <v>585478290940566279</v>
      </c>
      <c r="J56" t="s">
        <v>41</v>
      </c>
      <c r="K56" t="s">
        <v>233</v>
      </c>
      <c r="L56" s="1" t="str">
        <f>VLOOKUP(K56,Sheet1!A:B,2,FALSE)</f>
        <v>LB1-Y15-BG-41</v>
      </c>
      <c r="M56" t="s">
        <v>234</v>
      </c>
      <c r="N56" t="s">
        <v>58</v>
      </c>
      <c r="O56" t="s">
        <v>45</v>
      </c>
      <c r="P56" t="s">
        <v>65</v>
      </c>
      <c r="Q56" t="s">
        <v>235</v>
      </c>
      <c r="R56" t="s">
        <v>48</v>
      </c>
      <c r="S56" t="s">
        <v>49</v>
      </c>
      <c r="AB56" t="s">
        <v>49</v>
      </c>
      <c r="AC56">
        <v>0</v>
      </c>
      <c r="AD56">
        <v>0</v>
      </c>
      <c r="AE56">
        <v>0</v>
      </c>
      <c r="AF56">
        <v>0</v>
      </c>
      <c r="AG56">
        <v>0</v>
      </c>
      <c r="AH56">
        <v>0</v>
      </c>
      <c r="AI56">
        <v>0</v>
      </c>
      <c r="AJ56">
        <v>0</v>
      </c>
      <c r="AK56">
        <v>0</v>
      </c>
    </row>
    <row r="57" spans="1:37">
      <c r="A57" t="s">
        <v>37</v>
      </c>
      <c r="B57" t="s">
        <v>236</v>
      </c>
      <c r="C57" t="str">
        <f t="shared" si="0"/>
        <v>amzn1.ads-account.g.dfa7o7cwdl371d634ew58i919</v>
      </c>
      <c r="D57" t="s">
        <v>39</v>
      </c>
      <c r="G57" t="str">
        <f t="shared" si="1"/>
        <v>585687237024345541</v>
      </c>
      <c r="H57" t="s">
        <v>40</v>
      </c>
      <c r="I57" t="str">
        <f t="shared" si="2"/>
        <v>585478290940566279</v>
      </c>
      <c r="J57" t="s">
        <v>41</v>
      </c>
      <c r="K57" t="s">
        <v>237</v>
      </c>
      <c r="L57" s="1" t="str">
        <f>VLOOKUP(K57,Sheet1!A:B,2,FALSE)</f>
        <v>XM2-S73-BG-37</v>
      </c>
      <c r="M57" t="s">
        <v>238</v>
      </c>
      <c r="N57" t="s">
        <v>83</v>
      </c>
      <c r="O57" t="s">
        <v>45</v>
      </c>
      <c r="P57" t="s">
        <v>153</v>
      </c>
      <c r="Q57" t="s">
        <v>154</v>
      </c>
      <c r="R57" t="s">
        <v>48</v>
      </c>
      <c r="S57" t="s">
        <v>49</v>
      </c>
      <c r="AB57" t="s">
        <v>49</v>
      </c>
      <c r="AC57">
        <v>0</v>
      </c>
      <c r="AD57">
        <v>0</v>
      </c>
      <c r="AE57">
        <v>0</v>
      </c>
      <c r="AF57">
        <v>0</v>
      </c>
      <c r="AG57">
        <v>0</v>
      </c>
      <c r="AH57">
        <v>0</v>
      </c>
      <c r="AI57">
        <v>0</v>
      </c>
      <c r="AJ57">
        <v>0</v>
      </c>
      <c r="AK57">
        <v>0</v>
      </c>
    </row>
    <row r="58" spans="1:37">
      <c r="A58" t="s">
        <v>37</v>
      </c>
      <c r="B58" t="s">
        <v>239</v>
      </c>
      <c r="C58" t="str">
        <f t="shared" si="0"/>
        <v>amzn1.ads-account.g.dfa7o7cwdl371d634ew58i919</v>
      </c>
      <c r="D58" t="s">
        <v>39</v>
      </c>
      <c r="G58" t="str">
        <f t="shared" si="1"/>
        <v>585687237024345541</v>
      </c>
      <c r="H58" t="s">
        <v>40</v>
      </c>
      <c r="I58" t="str">
        <f t="shared" si="2"/>
        <v>585478290940566279</v>
      </c>
      <c r="J58" t="s">
        <v>41</v>
      </c>
      <c r="K58" t="s">
        <v>240</v>
      </c>
      <c r="L58" s="1" t="str">
        <f>VLOOKUP(K58,Sheet1!A:B,2,FALSE)</f>
        <v>XM2-S7K1-BKRD-30</v>
      </c>
      <c r="M58" t="s">
        <v>241</v>
      </c>
      <c r="N58" t="s">
        <v>220</v>
      </c>
      <c r="O58" t="s">
        <v>45</v>
      </c>
      <c r="P58" t="s">
        <v>46</v>
      </c>
      <c r="Q58" t="s">
        <v>157</v>
      </c>
      <c r="R58" t="s">
        <v>48</v>
      </c>
      <c r="S58" t="s">
        <v>49</v>
      </c>
      <c r="AB58" t="s">
        <v>49</v>
      </c>
      <c r="AC58">
        <v>1</v>
      </c>
      <c r="AD58">
        <v>39.99</v>
      </c>
      <c r="AE58">
        <v>1</v>
      </c>
      <c r="AF58">
        <v>1</v>
      </c>
      <c r="AG58">
        <v>39.99</v>
      </c>
      <c r="AH58">
        <v>1</v>
      </c>
      <c r="AI58">
        <v>1</v>
      </c>
      <c r="AJ58">
        <v>39.99</v>
      </c>
      <c r="AK58">
        <v>1</v>
      </c>
    </row>
    <row r="59" spans="1:37">
      <c r="A59" t="s">
        <v>37</v>
      </c>
      <c r="B59" t="s">
        <v>242</v>
      </c>
      <c r="C59" t="str">
        <f t="shared" si="0"/>
        <v>amzn1.ads-account.g.dfa7o7cwdl371d634ew58i919</v>
      </c>
      <c r="D59" t="s">
        <v>39</v>
      </c>
      <c r="G59" t="str">
        <f t="shared" si="1"/>
        <v>585687237024345541</v>
      </c>
      <c r="H59" t="s">
        <v>40</v>
      </c>
      <c r="I59" t="str">
        <f t="shared" si="2"/>
        <v>585478290940566279</v>
      </c>
      <c r="J59" t="s">
        <v>41</v>
      </c>
      <c r="K59" t="s">
        <v>243</v>
      </c>
      <c r="L59" s="1" t="str">
        <f>VLOOKUP(K59,Sheet1!A:B,2,FALSE)</f>
        <v>XM2-S600-GY-40.5</v>
      </c>
      <c r="M59" t="s">
        <v>244</v>
      </c>
      <c r="N59" t="s">
        <v>70</v>
      </c>
      <c r="O59" t="s">
        <v>45</v>
      </c>
      <c r="P59" t="s">
        <v>123</v>
      </c>
      <c r="Q59" t="s">
        <v>245</v>
      </c>
      <c r="R59" t="s">
        <v>48</v>
      </c>
      <c r="S59" t="s">
        <v>49</v>
      </c>
      <c r="AB59" t="s">
        <v>49</v>
      </c>
      <c r="AC59">
        <v>0</v>
      </c>
      <c r="AD59">
        <v>0</v>
      </c>
      <c r="AE59">
        <v>0</v>
      </c>
      <c r="AF59">
        <v>0</v>
      </c>
      <c r="AG59">
        <v>0</v>
      </c>
      <c r="AH59">
        <v>0</v>
      </c>
      <c r="AI59">
        <v>0</v>
      </c>
      <c r="AJ59">
        <v>0</v>
      </c>
      <c r="AK59">
        <v>0</v>
      </c>
    </row>
    <row r="60" spans="1:37">
      <c r="A60" t="s">
        <v>37</v>
      </c>
      <c r="B60" t="s">
        <v>38</v>
      </c>
      <c r="C60" t="str">
        <f t="shared" si="0"/>
        <v>amzn1.ads-account.g.dfa7o7cwdl371d634ew58i919</v>
      </c>
      <c r="D60" t="s">
        <v>39</v>
      </c>
      <c r="G60" t="str">
        <f t="shared" si="1"/>
        <v>585687237024345541</v>
      </c>
      <c r="H60" t="s">
        <v>40</v>
      </c>
      <c r="I60" t="str">
        <f t="shared" si="2"/>
        <v>585478290940566279</v>
      </c>
      <c r="J60" t="s">
        <v>41</v>
      </c>
      <c r="K60" t="s">
        <v>246</v>
      </c>
      <c r="L60" s="1" t="str">
        <f>VLOOKUP(K60,Sheet1!A:B,2,FALSE)</f>
        <v>SH-BRY10-WERD-49</v>
      </c>
      <c r="M60" t="s">
        <v>247</v>
      </c>
      <c r="N60" t="s">
        <v>44</v>
      </c>
      <c r="O60" t="s">
        <v>45</v>
      </c>
      <c r="P60" t="s">
        <v>59</v>
      </c>
      <c r="Q60" t="s">
        <v>60</v>
      </c>
      <c r="R60" t="s">
        <v>48</v>
      </c>
      <c r="S60" t="s">
        <v>49</v>
      </c>
      <c r="AB60" t="s">
        <v>49</v>
      </c>
      <c r="AC60">
        <v>2</v>
      </c>
      <c r="AD60">
        <v>44.32</v>
      </c>
      <c r="AE60">
        <v>2</v>
      </c>
      <c r="AF60">
        <v>2</v>
      </c>
      <c r="AG60">
        <v>44.32</v>
      </c>
      <c r="AH60">
        <v>2</v>
      </c>
      <c r="AI60">
        <v>0</v>
      </c>
      <c r="AJ60">
        <v>0</v>
      </c>
      <c r="AK60">
        <v>0</v>
      </c>
    </row>
    <row r="61" spans="1:37">
      <c r="A61" t="s">
        <v>37</v>
      </c>
      <c r="B61" t="s">
        <v>170</v>
      </c>
      <c r="C61" t="str">
        <f t="shared" si="0"/>
        <v>amzn1.ads-account.g.dfa7o7cwdl371d634ew58i919</v>
      </c>
      <c r="D61" t="s">
        <v>39</v>
      </c>
      <c r="G61" t="str">
        <f t="shared" si="1"/>
        <v>585687237024345541</v>
      </c>
      <c r="H61" t="s">
        <v>40</v>
      </c>
      <c r="I61" t="str">
        <f t="shared" si="2"/>
        <v>585478290940566279</v>
      </c>
      <c r="J61" t="s">
        <v>41</v>
      </c>
      <c r="K61" t="s">
        <v>248</v>
      </c>
      <c r="L61" s="1" t="str">
        <f>VLOOKUP(K61,Sheet1!A:B,2,FALSE)</f>
        <v>XM2-Y90B-BG-W7</v>
      </c>
      <c r="M61" t="s">
        <v>249</v>
      </c>
      <c r="N61" t="s">
        <v>74</v>
      </c>
      <c r="O61" t="s">
        <v>45</v>
      </c>
      <c r="P61" t="s">
        <v>59</v>
      </c>
      <c r="Q61" t="s">
        <v>130</v>
      </c>
      <c r="R61" t="s">
        <v>48</v>
      </c>
      <c r="S61" t="s">
        <v>49</v>
      </c>
      <c r="AB61" t="s">
        <v>49</v>
      </c>
      <c r="AC61">
        <v>1</v>
      </c>
      <c r="AD61">
        <v>9.99</v>
      </c>
      <c r="AE61">
        <v>1</v>
      </c>
      <c r="AF61">
        <v>1</v>
      </c>
      <c r="AG61">
        <v>9.99</v>
      </c>
      <c r="AH61">
        <v>1</v>
      </c>
      <c r="AI61">
        <v>1</v>
      </c>
      <c r="AJ61">
        <v>9.99</v>
      </c>
      <c r="AK61">
        <v>1</v>
      </c>
    </row>
    <row r="62" spans="1:37">
      <c r="A62" t="s">
        <v>37</v>
      </c>
      <c r="B62" t="s">
        <v>199</v>
      </c>
      <c r="C62" t="str">
        <f t="shared" si="0"/>
        <v>amzn1.ads-account.g.dfa7o7cwdl371d634ew58i919</v>
      </c>
      <c r="D62" t="s">
        <v>39</v>
      </c>
      <c r="G62" t="str">
        <f t="shared" si="1"/>
        <v>585687237024345541</v>
      </c>
      <c r="H62" t="s">
        <v>40</v>
      </c>
      <c r="I62" t="str">
        <f t="shared" si="2"/>
        <v>585478290940566279</v>
      </c>
      <c r="J62" t="s">
        <v>41</v>
      </c>
      <c r="K62" t="s">
        <v>250</v>
      </c>
      <c r="L62" s="1" t="str">
        <f>VLOOKUP(K62,Sheet1!A:B,2,FALSE)</f>
        <v>XM2-S600-DKBU-37.5</v>
      </c>
      <c r="M62" t="s">
        <v>251</v>
      </c>
      <c r="N62" t="s">
        <v>70</v>
      </c>
      <c r="O62" t="s">
        <v>45</v>
      </c>
      <c r="P62" t="s">
        <v>75</v>
      </c>
      <c r="Q62" t="s">
        <v>76</v>
      </c>
      <c r="R62" t="s">
        <v>48</v>
      </c>
      <c r="S62" t="s">
        <v>49</v>
      </c>
      <c r="AB62" t="s">
        <v>49</v>
      </c>
      <c r="AC62">
        <v>0</v>
      </c>
      <c r="AD62">
        <v>0</v>
      </c>
      <c r="AE62">
        <v>0</v>
      </c>
      <c r="AF62">
        <v>0</v>
      </c>
      <c r="AG62">
        <v>0</v>
      </c>
      <c r="AH62">
        <v>0</v>
      </c>
      <c r="AI62">
        <v>0</v>
      </c>
      <c r="AJ62">
        <v>0</v>
      </c>
      <c r="AK62">
        <v>0</v>
      </c>
    </row>
    <row r="63" spans="1:37">
      <c r="A63" t="s">
        <v>37</v>
      </c>
      <c r="B63" t="s">
        <v>183</v>
      </c>
      <c r="C63" t="str">
        <f t="shared" si="0"/>
        <v>amzn1.ads-account.g.dfa7o7cwdl371d634ew58i919</v>
      </c>
      <c r="D63" t="s">
        <v>39</v>
      </c>
      <c r="G63" t="str">
        <f t="shared" si="1"/>
        <v>585687237024345541</v>
      </c>
      <c r="H63" t="s">
        <v>40</v>
      </c>
      <c r="I63" t="str">
        <f t="shared" si="2"/>
        <v>585478290940566279</v>
      </c>
      <c r="J63" t="s">
        <v>41</v>
      </c>
      <c r="K63" t="s">
        <v>252</v>
      </c>
      <c r="L63" s="1" t="str">
        <f>VLOOKUP(K63,Sheet1!A:B,2,FALSE)</f>
        <v>XM2-Y90B-PL-W11</v>
      </c>
      <c r="M63" t="s">
        <v>253</v>
      </c>
      <c r="N63" t="s">
        <v>74</v>
      </c>
      <c r="O63" t="s">
        <v>45</v>
      </c>
      <c r="P63" t="s">
        <v>59</v>
      </c>
      <c r="Q63" t="s">
        <v>130</v>
      </c>
      <c r="R63" t="s">
        <v>48</v>
      </c>
      <c r="S63" t="s">
        <v>49</v>
      </c>
      <c r="AB63" t="s">
        <v>49</v>
      </c>
      <c r="AC63">
        <v>1</v>
      </c>
      <c r="AD63">
        <v>9.99</v>
      </c>
      <c r="AE63">
        <v>1</v>
      </c>
      <c r="AF63">
        <v>1</v>
      </c>
      <c r="AG63">
        <v>9.99</v>
      </c>
      <c r="AH63">
        <v>1</v>
      </c>
      <c r="AI63">
        <v>1</v>
      </c>
      <c r="AJ63">
        <v>9.99</v>
      </c>
      <c r="AK63">
        <v>1</v>
      </c>
    </row>
    <row r="64" spans="1:37">
      <c r="A64" t="s">
        <v>37</v>
      </c>
      <c r="B64" t="s">
        <v>254</v>
      </c>
      <c r="C64" t="str">
        <f t="shared" si="0"/>
        <v>amzn1.ads-account.g.dfa7o7cwdl371d634ew58i919</v>
      </c>
      <c r="D64" t="s">
        <v>39</v>
      </c>
      <c r="G64" t="str">
        <f t="shared" si="1"/>
        <v>585687237024345541</v>
      </c>
      <c r="H64" t="s">
        <v>40</v>
      </c>
      <c r="I64" t="str">
        <f t="shared" si="2"/>
        <v>585478290940566279</v>
      </c>
      <c r="J64" t="s">
        <v>41</v>
      </c>
      <c r="K64" t="s">
        <v>255</v>
      </c>
      <c r="L64" s="1" t="str">
        <f>VLOOKUP(K64,Sheet1!A:B,2,FALSE)</f>
        <v>SH-BRY80-PK-9</v>
      </c>
      <c r="M64" t="s">
        <v>256</v>
      </c>
      <c r="N64">
        <v>-1</v>
      </c>
      <c r="O64" t="s">
        <v>45</v>
      </c>
      <c r="P64" t="s">
        <v>75</v>
      </c>
      <c r="Q64" t="s">
        <v>91</v>
      </c>
      <c r="R64" t="s">
        <v>48</v>
      </c>
      <c r="S64" t="s">
        <v>49</v>
      </c>
      <c r="AB64" t="s">
        <v>49</v>
      </c>
      <c r="AC64">
        <v>0</v>
      </c>
      <c r="AD64">
        <v>0</v>
      </c>
      <c r="AE64">
        <v>0</v>
      </c>
      <c r="AF64">
        <v>0</v>
      </c>
      <c r="AG64">
        <v>0</v>
      </c>
      <c r="AH64">
        <v>0</v>
      </c>
      <c r="AI64">
        <v>0</v>
      </c>
      <c r="AJ64">
        <v>0</v>
      </c>
      <c r="AK64">
        <v>0</v>
      </c>
    </row>
    <row r="65" spans="1:37">
      <c r="A65" t="s">
        <v>37</v>
      </c>
      <c r="B65" t="s">
        <v>257</v>
      </c>
      <c r="C65" t="str">
        <f t="shared" si="0"/>
        <v>amzn1.ads-account.g.dfa7o7cwdl371d634ew58i919</v>
      </c>
      <c r="D65" t="s">
        <v>39</v>
      </c>
      <c r="G65" t="str">
        <f t="shared" si="1"/>
        <v>585687237024345541</v>
      </c>
      <c r="H65" t="s">
        <v>40</v>
      </c>
      <c r="I65" t="str">
        <f t="shared" si="2"/>
        <v>585478290940566279</v>
      </c>
      <c r="J65" t="s">
        <v>41</v>
      </c>
      <c r="K65" t="s">
        <v>258</v>
      </c>
      <c r="L65" s="1" t="str">
        <f>VLOOKUP(K65,Sheet1!A:B,2,FALSE)</f>
        <v>XM2-S7K1-PL-37</v>
      </c>
      <c r="M65" t="s">
        <v>259</v>
      </c>
      <c r="N65" t="s">
        <v>220</v>
      </c>
      <c r="O65" t="s">
        <v>45</v>
      </c>
      <c r="P65" t="s">
        <v>140</v>
      </c>
      <c r="Q65" t="s">
        <v>260</v>
      </c>
      <c r="R65" t="s">
        <v>48</v>
      </c>
      <c r="S65" t="s">
        <v>49</v>
      </c>
      <c r="AB65" t="s">
        <v>49</v>
      </c>
      <c r="AC65">
        <v>0</v>
      </c>
      <c r="AD65">
        <v>0</v>
      </c>
      <c r="AE65">
        <v>0</v>
      </c>
      <c r="AF65">
        <v>0</v>
      </c>
      <c r="AG65">
        <v>0</v>
      </c>
      <c r="AH65">
        <v>0</v>
      </c>
      <c r="AI65">
        <v>0</v>
      </c>
      <c r="AJ65">
        <v>0</v>
      </c>
      <c r="AK65">
        <v>0</v>
      </c>
    </row>
    <row r="66" spans="1:37">
      <c r="A66" t="s">
        <v>37</v>
      </c>
      <c r="B66" t="s">
        <v>261</v>
      </c>
      <c r="C66" t="str">
        <f t="shared" ref="C66:C129" si="3">"amzn1.ads-account.g.dfa7o7cwdl371d634ew58i919"</f>
        <v>amzn1.ads-account.g.dfa7o7cwdl371d634ew58i919</v>
      </c>
      <c r="D66" t="s">
        <v>39</v>
      </c>
      <c r="G66" t="str">
        <f t="shared" ref="G66:G129" si="4">"585687237024345541"</f>
        <v>585687237024345541</v>
      </c>
      <c r="H66" t="s">
        <v>40</v>
      </c>
      <c r="I66" t="str">
        <f t="shared" ref="I66:I129" si="5">"585478290940566279"</f>
        <v>585478290940566279</v>
      </c>
      <c r="J66" t="s">
        <v>41</v>
      </c>
      <c r="K66" t="s">
        <v>262</v>
      </c>
      <c r="L66" s="1" t="str">
        <f>VLOOKUP(K66,Sheet1!A:B,2,FALSE)</f>
        <v>SH-BRY180-GY-43</v>
      </c>
      <c r="M66" t="s">
        <v>263</v>
      </c>
      <c r="N66" t="s">
        <v>64</v>
      </c>
      <c r="O66" t="s">
        <v>45</v>
      </c>
      <c r="P66" t="s">
        <v>123</v>
      </c>
      <c r="Q66" t="s">
        <v>264</v>
      </c>
      <c r="R66" t="s">
        <v>48</v>
      </c>
      <c r="S66" t="s">
        <v>49</v>
      </c>
      <c r="AB66" t="s">
        <v>49</v>
      </c>
      <c r="AC66">
        <v>0</v>
      </c>
      <c r="AD66">
        <v>0</v>
      </c>
      <c r="AE66">
        <v>0</v>
      </c>
      <c r="AF66">
        <v>0</v>
      </c>
      <c r="AG66">
        <v>0</v>
      </c>
      <c r="AH66">
        <v>0</v>
      </c>
      <c r="AI66">
        <v>0</v>
      </c>
      <c r="AJ66">
        <v>0</v>
      </c>
      <c r="AK66">
        <v>0</v>
      </c>
    </row>
    <row r="67" spans="1:37">
      <c r="A67" t="s">
        <v>37</v>
      </c>
      <c r="B67" t="s">
        <v>265</v>
      </c>
      <c r="C67" t="str">
        <f t="shared" si="3"/>
        <v>amzn1.ads-account.g.dfa7o7cwdl371d634ew58i919</v>
      </c>
      <c r="D67" t="s">
        <v>39</v>
      </c>
      <c r="G67" t="str">
        <f t="shared" si="4"/>
        <v>585687237024345541</v>
      </c>
      <c r="H67" t="s">
        <v>40</v>
      </c>
      <c r="I67" t="str">
        <f t="shared" si="5"/>
        <v>585478290940566279</v>
      </c>
      <c r="J67" t="s">
        <v>41</v>
      </c>
      <c r="K67" t="s">
        <v>266</v>
      </c>
      <c r="L67" s="1" t="str">
        <f>VLOOKUP(K67,Sheet1!A:B,2,FALSE)</f>
        <v>SH-BRS73-ABK-44</v>
      </c>
      <c r="M67" t="s">
        <v>267</v>
      </c>
      <c r="N67" t="s">
        <v>206</v>
      </c>
      <c r="O67" t="s">
        <v>45</v>
      </c>
      <c r="P67" t="s">
        <v>65</v>
      </c>
      <c r="Q67" t="s">
        <v>207</v>
      </c>
      <c r="R67" t="s">
        <v>48</v>
      </c>
      <c r="S67" t="s">
        <v>49</v>
      </c>
      <c r="AB67" t="s">
        <v>49</v>
      </c>
      <c r="AC67">
        <v>0</v>
      </c>
      <c r="AD67">
        <v>0</v>
      </c>
      <c r="AE67">
        <v>0</v>
      </c>
      <c r="AF67">
        <v>0</v>
      </c>
      <c r="AG67">
        <v>0</v>
      </c>
      <c r="AH67">
        <v>0</v>
      </c>
      <c r="AI67">
        <v>0</v>
      </c>
      <c r="AJ67">
        <v>0</v>
      </c>
      <c r="AK67">
        <v>0</v>
      </c>
    </row>
    <row r="68" spans="1:37">
      <c r="A68" t="s">
        <v>37</v>
      </c>
      <c r="B68" t="s">
        <v>188</v>
      </c>
      <c r="C68" t="str">
        <f t="shared" si="3"/>
        <v>amzn1.ads-account.g.dfa7o7cwdl371d634ew58i919</v>
      </c>
      <c r="D68" t="s">
        <v>39</v>
      </c>
      <c r="G68" t="str">
        <f t="shared" si="4"/>
        <v>585687237024345541</v>
      </c>
      <c r="H68" t="s">
        <v>40</v>
      </c>
      <c r="I68" t="str">
        <f t="shared" si="5"/>
        <v>585478290940566279</v>
      </c>
      <c r="J68" t="s">
        <v>41</v>
      </c>
      <c r="K68" t="s">
        <v>268</v>
      </c>
      <c r="L68" s="1" t="str">
        <f>VLOOKUP(K68,Sheet1!A:B,2,FALSE)</f>
        <v>XM2-S71-PL-42</v>
      </c>
      <c r="M68" t="s">
        <v>269</v>
      </c>
      <c r="N68" t="s">
        <v>83</v>
      </c>
      <c r="O68" t="s">
        <v>45</v>
      </c>
      <c r="P68" t="s">
        <v>270</v>
      </c>
      <c r="Q68" t="s">
        <v>271</v>
      </c>
      <c r="R68" t="s">
        <v>48</v>
      </c>
      <c r="S68" t="s">
        <v>49</v>
      </c>
      <c r="AB68" t="s">
        <v>49</v>
      </c>
      <c r="AC68">
        <v>0</v>
      </c>
      <c r="AD68">
        <v>0</v>
      </c>
      <c r="AE68">
        <v>0</v>
      </c>
      <c r="AF68">
        <v>0</v>
      </c>
      <c r="AG68">
        <v>0</v>
      </c>
      <c r="AH68">
        <v>0</v>
      </c>
      <c r="AI68">
        <v>0</v>
      </c>
      <c r="AJ68">
        <v>0</v>
      </c>
      <c r="AK68">
        <v>0</v>
      </c>
    </row>
    <row r="69" spans="1:37">
      <c r="A69" t="s">
        <v>37</v>
      </c>
      <c r="B69" t="s">
        <v>272</v>
      </c>
      <c r="C69" t="str">
        <f t="shared" si="3"/>
        <v>amzn1.ads-account.g.dfa7o7cwdl371d634ew58i919</v>
      </c>
      <c r="D69" t="s">
        <v>39</v>
      </c>
      <c r="G69" t="str">
        <f t="shared" si="4"/>
        <v>585687237024345541</v>
      </c>
      <c r="H69" t="s">
        <v>40</v>
      </c>
      <c r="I69" t="str">
        <f t="shared" si="5"/>
        <v>585478290940566279</v>
      </c>
      <c r="J69" t="s">
        <v>41</v>
      </c>
      <c r="K69" t="s">
        <v>273</v>
      </c>
      <c r="L69" s="1" t="str">
        <f>VLOOKUP(K69,Sheet1!A:B,2,FALSE)</f>
        <v>XM2-S71-GYPK-41</v>
      </c>
      <c r="M69" t="s">
        <v>274</v>
      </c>
      <c r="N69" t="s">
        <v>83</v>
      </c>
      <c r="O69" t="s">
        <v>45</v>
      </c>
      <c r="P69" t="s">
        <v>270</v>
      </c>
      <c r="Q69" t="s">
        <v>271</v>
      </c>
      <c r="R69" t="s">
        <v>48</v>
      </c>
      <c r="S69" t="s">
        <v>49</v>
      </c>
      <c r="AB69" t="s">
        <v>49</v>
      </c>
      <c r="AC69">
        <v>0</v>
      </c>
      <c r="AD69">
        <v>0</v>
      </c>
      <c r="AE69">
        <v>0</v>
      </c>
      <c r="AF69">
        <v>0</v>
      </c>
      <c r="AG69">
        <v>0</v>
      </c>
      <c r="AH69">
        <v>0</v>
      </c>
      <c r="AI69">
        <v>0</v>
      </c>
      <c r="AJ69">
        <v>0</v>
      </c>
      <c r="AK69">
        <v>0</v>
      </c>
    </row>
    <row r="70" spans="1:37">
      <c r="A70" t="s">
        <v>37</v>
      </c>
      <c r="B70" t="s">
        <v>239</v>
      </c>
      <c r="C70" t="str">
        <f t="shared" si="3"/>
        <v>amzn1.ads-account.g.dfa7o7cwdl371d634ew58i919</v>
      </c>
      <c r="D70" t="s">
        <v>39</v>
      </c>
      <c r="G70" t="str">
        <f t="shared" si="4"/>
        <v>585687237024345541</v>
      </c>
      <c r="H70" t="s">
        <v>40</v>
      </c>
      <c r="I70" t="str">
        <f t="shared" si="5"/>
        <v>585478290940566279</v>
      </c>
      <c r="J70" t="s">
        <v>41</v>
      </c>
      <c r="K70" t="s">
        <v>275</v>
      </c>
      <c r="L70" s="1" t="str">
        <f>VLOOKUP(K70,Sheet1!A:B,2,FALSE)</f>
        <v>SH-BRS73-DKBU-46</v>
      </c>
      <c r="M70" t="s">
        <v>276</v>
      </c>
      <c r="N70" t="s">
        <v>206</v>
      </c>
      <c r="O70" t="s">
        <v>45</v>
      </c>
      <c r="P70" t="s">
        <v>65</v>
      </c>
      <c r="Q70" t="s">
        <v>207</v>
      </c>
      <c r="R70" t="s">
        <v>48</v>
      </c>
      <c r="S70" t="s">
        <v>49</v>
      </c>
      <c r="AB70" t="s">
        <v>49</v>
      </c>
      <c r="AC70">
        <v>0</v>
      </c>
      <c r="AD70">
        <v>0</v>
      </c>
      <c r="AE70">
        <v>0</v>
      </c>
      <c r="AF70">
        <v>0</v>
      </c>
      <c r="AG70">
        <v>0</v>
      </c>
      <c r="AH70">
        <v>0</v>
      </c>
      <c r="AI70">
        <v>0</v>
      </c>
      <c r="AJ70">
        <v>0</v>
      </c>
      <c r="AK70">
        <v>0</v>
      </c>
    </row>
    <row r="71" spans="1:37">
      <c r="A71" t="s">
        <v>37</v>
      </c>
      <c r="B71" t="s">
        <v>120</v>
      </c>
      <c r="C71" t="str">
        <f t="shared" si="3"/>
        <v>amzn1.ads-account.g.dfa7o7cwdl371d634ew58i919</v>
      </c>
      <c r="D71" t="s">
        <v>39</v>
      </c>
      <c r="G71" t="str">
        <f t="shared" si="4"/>
        <v>585687237024345541</v>
      </c>
      <c r="H71" t="s">
        <v>40</v>
      </c>
      <c r="I71" t="str">
        <f t="shared" si="5"/>
        <v>585478290940566279</v>
      </c>
      <c r="J71" t="s">
        <v>41</v>
      </c>
      <c r="K71" t="s">
        <v>277</v>
      </c>
      <c r="L71" s="1" t="str">
        <f>VLOOKUP(K71,Sheet1!A:B,2,FALSE)</f>
        <v>SH-BRY10-BN-41</v>
      </c>
      <c r="M71" t="s">
        <v>278</v>
      </c>
      <c r="N71" t="s">
        <v>44</v>
      </c>
      <c r="O71" t="s">
        <v>45</v>
      </c>
      <c r="P71" t="s">
        <v>46</v>
      </c>
      <c r="Q71" t="s">
        <v>157</v>
      </c>
      <c r="R71" t="s">
        <v>48</v>
      </c>
      <c r="S71" t="s">
        <v>49</v>
      </c>
      <c r="AB71" t="s">
        <v>49</v>
      </c>
      <c r="AC71">
        <v>7</v>
      </c>
      <c r="AD71">
        <v>179.98</v>
      </c>
      <c r="AE71">
        <v>8</v>
      </c>
      <c r="AF71">
        <v>7</v>
      </c>
      <c r="AG71">
        <v>179.98</v>
      </c>
      <c r="AH71">
        <v>8</v>
      </c>
      <c r="AI71">
        <v>3</v>
      </c>
      <c r="AJ71">
        <v>71.97</v>
      </c>
      <c r="AK71">
        <v>3</v>
      </c>
    </row>
    <row r="72" spans="1:37">
      <c r="A72" t="s">
        <v>37</v>
      </c>
      <c r="B72" t="s">
        <v>80</v>
      </c>
      <c r="C72" t="str">
        <f t="shared" si="3"/>
        <v>amzn1.ads-account.g.dfa7o7cwdl371d634ew58i919</v>
      </c>
      <c r="D72" t="s">
        <v>39</v>
      </c>
      <c r="G72" t="str">
        <f t="shared" si="4"/>
        <v>585687237024345541</v>
      </c>
      <c r="H72" t="s">
        <v>40</v>
      </c>
      <c r="I72" t="str">
        <f t="shared" si="5"/>
        <v>585478290940566279</v>
      </c>
      <c r="J72" t="s">
        <v>41</v>
      </c>
      <c r="K72" t="s">
        <v>279</v>
      </c>
      <c r="L72" s="1" t="str">
        <f>VLOOKUP(K72,Sheet1!A:B,2,FALSE)</f>
        <v>XM2-S71-BUPK-39</v>
      </c>
      <c r="M72" t="s">
        <v>280</v>
      </c>
      <c r="N72" t="s">
        <v>83</v>
      </c>
      <c r="O72" t="s">
        <v>45</v>
      </c>
      <c r="P72" t="s">
        <v>270</v>
      </c>
      <c r="Q72" t="s">
        <v>271</v>
      </c>
      <c r="R72" t="s">
        <v>48</v>
      </c>
      <c r="S72" t="s">
        <v>49</v>
      </c>
      <c r="AB72" t="s">
        <v>49</v>
      </c>
      <c r="AC72">
        <v>1</v>
      </c>
      <c r="AD72">
        <v>49.99</v>
      </c>
      <c r="AE72">
        <v>1</v>
      </c>
      <c r="AF72">
        <v>1</v>
      </c>
      <c r="AG72">
        <v>49.99</v>
      </c>
      <c r="AH72">
        <v>1</v>
      </c>
      <c r="AI72">
        <v>0</v>
      </c>
      <c r="AJ72">
        <v>0</v>
      </c>
      <c r="AK72">
        <v>0</v>
      </c>
    </row>
    <row r="73" spans="1:37">
      <c r="A73" t="s">
        <v>37</v>
      </c>
      <c r="B73" t="s">
        <v>103</v>
      </c>
      <c r="C73" t="str">
        <f t="shared" si="3"/>
        <v>amzn1.ads-account.g.dfa7o7cwdl371d634ew58i919</v>
      </c>
      <c r="D73" t="s">
        <v>39</v>
      </c>
      <c r="G73" t="str">
        <f t="shared" si="4"/>
        <v>585687237024345541</v>
      </c>
      <c r="H73" t="s">
        <v>40</v>
      </c>
      <c r="I73" t="str">
        <f t="shared" si="5"/>
        <v>585478290940566279</v>
      </c>
      <c r="J73" t="s">
        <v>41</v>
      </c>
      <c r="K73" t="s">
        <v>281</v>
      </c>
      <c r="L73" s="1" t="str">
        <f>VLOOKUP(K73,Sheet1!A:B,2,FALSE)</f>
        <v>XM2-KD7-BKBU-36</v>
      </c>
      <c r="M73" t="s">
        <v>282</v>
      </c>
      <c r="N73" t="s">
        <v>177</v>
      </c>
      <c r="O73" t="s">
        <v>45</v>
      </c>
      <c r="P73" t="s">
        <v>140</v>
      </c>
      <c r="Q73" t="s">
        <v>141</v>
      </c>
      <c r="R73" t="s">
        <v>48</v>
      </c>
      <c r="S73" t="s">
        <v>49</v>
      </c>
      <c r="AB73" t="s">
        <v>49</v>
      </c>
      <c r="AC73">
        <v>0</v>
      </c>
      <c r="AD73">
        <v>0</v>
      </c>
      <c r="AE73">
        <v>0</v>
      </c>
      <c r="AF73">
        <v>0</v>
      </c>
      <c r="AG73">
        <v>0</v>
      </c>
      <c r="AH73">
        <v>0</v>
      </c>
      <c r="AI73">
        <v>0</v>
      </c>
      <c r="AJ73">
        <v>0</v>
      </c>
      <c r="AK73">
        <v>0</v>
      </c>
    </row>
    <row r="74" spans="1:37">
      <c r="A74" t="s">
        <v>37</v>
      </c>
      <c r="B74" t="s">
        <v>120</v>
      </c>
      <c r="C74" t="str">
        <f t="shared" si="3"/>
        <v>amzn1.ads-account.g.dfa7o7cwdl371d634ew58i919</v>
      </c>
      <c r="D74" t="s">
        <v>39</v>
      </c>
      <c r="G74" t="str">
        <f t="shared" si="4"/>
        <v>585687237024345541</v>
      </c>
      <c r="H74" t="s">
        <v>40</v>
      </c>
      <c r="I74" t="str">
        <f t="shared" si="5"/>
        <v>585478290940566279</v>
      </c>
      <c r="J74" t="s">
        <v>41</v>
      </c>
      <c r="K74" t="s">
        <v>283</v>
      </c>
      <c r="L74" s="1" t="str">
        <f>VLOOKUP(K74,Sheet1!A:B,2,FALSE)</f>
        <v>SH-BRY10-BK-47</v>
      </c>
      <c r="M74" t="s">
        <v>284</v>
      </c>
      <c r="N74" t="s">
        <v>44</v>
      </c>
      <c r="O74" t="s">
        <v>45</v>
      </c>
      <c r="P74" t="s">
        <v>75</v>
      </c>
      <c r="Q74" t="s">
        <v>285</v>
      </c>
      <c r="R74" t="s">
        <v>48</v>
      </c>
      <c r="S74" t="s">
        <v>49</v>
      </c>
      <c r="AB74" t="s">
        <v>49</v>
      </c>
      <c r="AC74">
        <v>41</v>
      </c>
      <c r="AD74">
        <v>929.13</v>
      </c>
      <c r="AE74">
        <v>41</v>
      </c>
      <c r="AF74">
        <v>41</v>
      </c>
      <c r="AG74">
        <v>929.13</v>
      </c>
      <c r="AH74">
        <v>41</v>
      </c>
      <c r="AI74">
        <v>25</v>
      </c>
      <c r="AJ74">
        <v>560.87</v>
      </c>
      <c r="AK74">
        <v>25</v>
      </c>
    </row>
    <row r="75" spans="1:37">
      <c r="A75" t="s">
        <v>37</v>
      </c>
      <c r="B75" t="s">
        <v>147</v>
      </c>
      <c r="C75" t="str">
        <f t="shared" si="3"/>
        <v>amzn1.ads-account.g.dfa7o7cwdl371d634ew58i919</v>
      </c>
      <c r="D75" t="s">
        <v>39</v>
      </c>
      <c r="G75" t="str">
        <f t="shared" si="4"/>
        <v>585687237024345541</v>
      </c>
      <c r="H75" t="s">
        <v>40</v>
      </c>
      <c r="I75" t="str">
        <f t="shared" si="5"/>
        <v>585478290940566279</v>
      </c>
      <c r="J75" t="s">
        <v>41</v>
      </c>
      <c r="K75" t="s">
        <v>286</v>
      </c>
      <c r="L75" s="1" t="str">
        <f>VLOOKUP(K75,Sheet1!A:B,2,FALSE)</f>
        <v>LB1-Y15-BG-40</v>
      </c>
      <c r="M75" t="s">
        <v>287</v>
      </c>
      <c r="N75" t="s">
        <v>58</v>
      </c>
      <c r="O75" t="s">
        <v>45</v>
      </c>
      <c r="P75" t="s">
        <v>59</v>
      </c>
      <c r="Q75" t="s">
        <v>130</v>
      </c>
      <c r="R75" t="s">
        <v>48</v>
      </c>
      <c r="S75" t="s">
        <v>49</v>
      </c>
      <c r="AB75" t="s">
        <v>49</v>
      </c>
      <c r="AC75">
        <v>1</v>
      </c>
      <c r="AD75">
        <v>9.99</v>
      </c>
      <c r="AE75">
        <v>1</v>
      </c>
      <c r="AF75">
        <v>1</v>
      </c>
      <c r="AG75">
        <v>9.99</v>
      </c>
      <c r="AH75">
        <v>1</v>
      </c>
      <c r="AI75">
        <v>0</v>
      </c>
      <c r="AJ75">
        <v>0</v>
      </c>
      <c r="AK75">
        <v>0</v>
      </c>
    </row>
    <row r="76" spans="1:37">
      <c r="A76" t="s">
        <v>37</v>
      </c>
      <c r="B76" t="s">
        <v>288</v>
      </c>
      <c r="C76" t="str">
        <f t="shared" si="3"/>
        <v>amzn1.ads-account.g.dfa7o7cwdl371d634ew58i919</v>
      </c>
      <c r="D76" t="s">
        <v>39</v>
      </c>
      <c r="G76" t="str">
        <f t="shared" si="4"/>
        <v>585687237024345541</v>
      </c>
      <c r="H76" t="s">
        <v>40</v>
      </c>
      <c r="I76" t="str">
        <f t="shared" si="5"/>
        <v>585478290940566279</v>
      </c>
      <c r="J76" t="s">
        <v>41</v>
      </c>
      <c r="K76" t="s">
        <v>289</v>
      </c>
      <c r="L76" s="1" t="str">
        <f>VLOOKUP(K76,Sheet1!A:B,2,FALSE)</f>
        <v>XM2-S73-RERD-38</v>
      </c>
      <c r="M76" t="s">
        <v>290</v>
      </c>
      <c r="N76" t="s">
        <v>83</v>
      </c>
      <c r="O76" t="s">
        <v>45</v>
      </c>
      <c r="P76" t="s">
        <v>153</v>
      </c>
      <c r="Q76" t="s">
        <v>216</v>
      </c>
      <c r="R76" t="s">
        <v>48</v>
      </c>
      <c r="S76" t="s">
        <v>49</v>
      </c>
      <c r="AB76" t="s">
        <v>49</v>
      </c>
      <c r="AC76">
        <v>0</v>
      </c>
      <c r="AD76">
        <v>0</v>
      </c>
      <c r="AE76">
        <v>0</v>
      </c>
      <c r="AF76">
        <v>0</v>
      </c>
      <c r="AG76">
        <v>0</v>
      </c>
      <c r="AH76">
        <v>0</v>
      </c>
      <c r="AI76">
        <v>0</v>
      </c>
      <c r="AJ76">
        <v>0</v>
      </c>
      <c r="AK76">
        <v>0</v>
      </c>
    </row>
    <row r="77" spans="1:37">
      <c r="A77" t="s">
        <v>37</v>
      </c>
      <c r="B77" t="s">
        <v>178</v>
      </c>
      <c r="C77" t="str">
        <f t="shared" si="3"/>
        <v>amzn1.ads-account.g.dfa7o7cwdl371d634ew58i919</v>
      </c>
      <c r="D77" t="s">
        <v>39</v>
      </c>
      <c r="G77" t="str">
        <f t="shared" si="4"/>
        <v>585687237024345541</v>
      </c>
      <c r="H77" t="s">
        <v>40</v>
      </c>
      <c r="I77" t="str">
        <f t="shared" si="5"/>
        <v>585478290940566279</v>
      </c>
      <c r="J77" t="s">
        <v>41</v>
      </c>
      <c r="K77" t="s">
        <v>291</v>
      </c>
      <c r="L77" s="1" t="str">
        <f>VLOOKUP(K77,Sheet1!A:B,2,FALSE)</f>
        <v>XM2-Y90B-LTGY-W10</v>
      </c>
      <c r="M77" t="s">
        <v>292</v>
      </c>
      <c r="N77" t="s">
        <v>74</v>
      </c>
      <c r="O77" t="s">
        <v>45</v>
      </c>
      <c r="P77" t="s">
        <v>59</v>
      </c>
      <c r="Q77" t="s">
        <v>130</v>
      </c>
      <c r="R77" t="s">
        <v>48</v>
      </c>
      <c r="S77" t="s">
        <v>49</v>
      </c>
      <c r="AB77" t="s">
        <v>49</v>
      </c>
      <c r="AC77">
        <v>0</v>
      </c>
      <c r="AD77">
        <v>0</v>
      </c>
      <c r="AE77">
        <v>0</v>
      </c>
      <c r="AF77">
        <v>0</v>
      </c>
      <c r="AG77">
        <v>0</v>
      </c>
      <c r="AH77">
        <v>0</v>
      </c>
      <c r="AI77">
        <v>0</v>
      </c>
      <c r="AJ77">
        <v>0</v>
      </c>
      <c r="AK77">
        <v>0</v>
      </c>
    </row>
    <row r="78" spans="1:37">
      <c r="A78" t="s">
        <v>37</v>
      </c>
      <c r="B78" t="s">
        <v>97</v>
      </c>
      <c r="C78" t="str">
        <f t="shared" si="3"/>
        <v>amzn1.ads-account.g.dfa7o7cwdl371d634ew58i919</v>
      </c>
      <c r="D78" t="s">
        <v>39</v>
      </c>
      <c r="G78" t="str">
        <f t="shared" si="4"/>
        <v>585687237024345541</v>
      </c>
      <c r="H78" t="s">
        <v>40</v>
      </c>
      <c r="I78" t="str">
        <f t="shared" si="5"/>
        <v>585478290940566279</v>
      </c>
      <c r="J78" t="s">
        <v>41</v>
      </c>
      <c r="K78" t="s">
        <v>293</v>
      </c>
      <c r="L78" s="1" t="str">
        <f>VLOOKUP(K78,Sheet1!A:B,2,FALSE)</f>
        <v>XM2-S75-BU-43</v>
      </c>
      <c r="M78" t="s">
        <v>294</v>
      </c>
      <c r="N78" t="s">
        <v>95</v>
      </c>
      <c r="O78" t="s">
        <v>45</v>
      </c>
      <c r="P78" t="s">
        <v>153</v>
      </c>
      <c r="Q78" t="s">
        <v>154</v>
      </c>
      <c r="R78" t="s">
        <v>48</v>
      </c>
      <c r="S78" t="s">
        <v>49</v>
      </c>
      <c r="AB78" t="s">
        <v>49</v>
      </c>
      <c r="AC78">
        <v>0</v>
      </c>
      <c r="AD78">
        <v>0</v>
      </c>
      <c r="AE78">
        <v>0</v>
      </c>
      <c r="AF78">
        <v>0</v>
      </c>
      <c r="AG78">
        <v>0</v>
      </c>
      <c r="AH78">
        <v>0</v>
      </c>
      <c r="AI78">
        <v>0</v>
      </c>
      <c r="AJ78">
        <v>0</v>
      </c>
      <c r="AK78">
        <v>0</v>
      </c>
    </row>
    <row r="79" spans="1:37">
      <c r="A79" t="s">
        <v>37</v>
      </c>
      <c r="B79" t="s">
        <v>257</v>
      </c>
      <c r="C79" t="str">
        <f t="shared" si="3"/>
        <v>amzn1.ads-account.g.dfa7o7cwdl371d634ew58i919</v>
      </c>
      <c r="D79" t="s">
        <v>39</v>
      </c>
      <c r="G79" t="str">
        <f t="shared" si="4"/>
        <v>585687237024345541</v>
      </c>
      <c r="H79" t="s">
        <v>40</v>
      </c>
      <c r="I79" t="str">
        <f t="shared" si="5"/>
        <v>585478290940566279</v>
      </c>
      <c r="J79" t="s">
        <v>41</v>
      </c>
      <c r="K79" t="s">
        <v>295</v>
      </c>
      <c r="L79" s="1" t="str">
        <f>VLOOKUP(K79,Sheet1!A:B,2,FALSE)</f>
        <v>LB1-Y15-BK-38</v>
      </c>
      <c r="M79" t="s">
        <v>296</v>
      </c>
      <c r="N79" t="s">
        <v>58</v>
      </c>
      <c r="O79" t="s">
        <v>45</v>
      </c>
      <c r="P79" t="s">
        <v>65</v>
      </c>
      <c r="Q79" t="s">
        <v>66</v>
      </c>
      <c r="R79" t="s">
        <v>48</v>
      </c>
      <c r="S79" t="s">
        <v>49</v>
      </c>
      <c r="AB79" t="s">
        <v>49</v>
      </c>
      <c r="AC79">
        <v>2</v>
      </c>
      <c r="AD79">
        <v>31.98</v>
      </c>
      <c r="AE79">
        <v>2</v>
      </c>
      <c r="AF79">
        <v>2</v>
      </c>
      <c r="AG79">
        <v>31.98</v>
      </c>
      <c r="AH79">
        <v>2</v>
      </c>
      <c r="AI79">
        <v>0</v>
      </c>
      <c r="AJ79">
        <v>0</v>
      </c>
      <c r="AK79">
        <v>0</v>
      </c>
    </row>
    <row r="80" spans="1:37">
      <c r="A80" t="s">
        <v>37</v>
      </c>
      <c r="B80" t="s">
        <v>217</v>
      </c>
      <c r="C80" t="str">
        <f t="shared" si="3"/>
        <v>amzn1.ads-account.g.dfa7o7cwdl371d634ew58i919</v>
      </c>
      <c r="D80" t="s">
        <v>39</v>
      </c>
      <c r="G80" t="str">
        <f t="shared" si="4"/>
        <v>585687237024345541</v>
      </c>
      <c r="H80" t="s">
        <v>40</v>
      </c>
      <c r="I80" t="str">
        <f t="shared" si="5"/>
        <v>585478290940566279</v>
      </c>
      <c r="J80" t="s">
        <v>41</v>
      </c>
      <c r="K80" t="s">
        <v>297</v>
      </c>
      <c r="L80" s="1" t="str">
        <f>VLOOKUP(K80,Sheet1!A:B,2,FALSE)</f>
        <v>SH-BRY180-GY-38</v>
      </c>
      <c r="M80" t="s">
        <v>298</v>
      </c>
      <c r="N80" t="s">
        <v>64</v>
      </c>
      <c r="O80" t="s">
        <v>45</v>
      </c>
      <c r="P80" t="s">
        <v>59</v>
      </c>
      <c r="Q80" t="s">
        <v>130</v>
      </c>
      <c r="R80" t="s">
        <v>48</v>
      </c>
      <c r="S80" t="s">
        <v>49</v>
      </c>
      <c r="AB80" t="s">
        <v>49</v>
      </c>
      <c r="AC80">
        <v>0</v>
      </c>
      <c r="AD80">
        <v>0</v>
      </c>
      <c r="AE80">
        <v>0</v>
      </c>
      <c r="AF80">
        <v>0</v>
      </c>
      <c r="AG80">
        <v>0</v>
      </c>
      <c r="AH80">
        <v>0</v>
      </c>
      <c r="AI80">
        <v>0</v>
      </c>
      <c r="AJ80">
        <v>0</v>
      </c>
      <c r="AK80">
        <v>0</v>
      </c>
    </row>
    <row r="81" spans="1:37">
      <c r="A81" t="s">
        <v>37</v>
      </c>
      <c r="B81" t="s">
        <v>120</v>
      </c>
      <c r="C81" t="str">
        <f t="shared" si="3"/>
        <v>amzn1.ads-account.g.dfa7o7cwdl371d634ew58i919</v>
      </c>
      <c r="D81" t="s">
        <v>39</v>
      </c>
      <c r="G81" t="str">
        <f t="shared" si="4"/>
        <v>585687237024345541</v>
      </c>
      <c r="H81" t="s">
        <v>40</v>
      </c>
      <c r="I81" t="str">
        <f t="shared" si="5"/>
        <v>585478290940566279</v>
      </c>
      <c r="J81" t="s">
        <v>41</v>
      </c>
      <c r="K81" t="s">
        <v>299</v>
      </c>
      <c r="L81" s="1" t="str">
        <f>VLOOKUP(K81,Sheet1!A:B,2,FALSE)</f>
        <v>SH-BRY10-BL-40</v>
      </c>
      <c r="M81" t="s">
        <v>300</v>
      </c>
      <c r="N81" t="s">
        <v>44</v>
      </c>
      <c r="O81" t="s">
        <v>45</v>
      </c>
      <c r="P81" t="s">
        <v>59</v>
      </c>
      <c r="Q81" t="s">
        <v>114</v>
      </c>
      <c r="R81" t="s">
        <v>48</v>
      </c>
      <c r="S81" t="s">
        <v>49</v>
      </c>
      <c r="AB81" t="s">
        <v>49</v>
      </c>
      <c r="AC81">
        <v>16</v>
      </c>
      <c r="AD81">
        <v>355.3</v>
      </c>
      <c r="AE81">
        <v>16</v>
      </c>
      <c r="AF81">
        <v>16</v>
      </c>
      <c r="AG81">
        <v>355.3</v>
      </c>
      <c r="AH81">
        <v>16</v>
      </c>
      <c r="AI81">
        <v>12</v>
      </c>
      <c r="AJ81">
        <v>267.64</v>
      </c>
      <c r="AK81">
        <v>12</v>
      </c>
    </row>
    <row r="82" spans="1:37">
      <c r="A82" t="s">
        <v>37</v>
      </c>
      <c r="B82" t="s">
        <v>103</v>
      </c>
      <c r="C82" t="str">
        <f t="shared" si="3"/>
        <v>amzn1.ads-account.g.dfa7o7cwdl371d634ew58i919</v>
      </c>
      <c r="D82" t="s">
        <v>39</v>
      </c>
      <c r="G82" t="str">
        <f t="shared" si="4"/>
        <v>585687237024345541</v>
      </c>
      <c r="H82" t="s">
        <v>40</v>
      </c>
      <c r="I82" t="str">
        <f t="shared" si="5"/>
        <v>585478290940566279</v>
      </c>
      <c r="J82" t="s">
        <v>41</v>
      </c>
      <c r="K82" t="s">
        <v>301</v>
      </c>
      <c r="L82" s="1" t="str">
        <f>VLOOKUP(K82,Sheet1!A:B,2,FALSE)</f>
        <v>XM2-S73-RERD-42</v>
      </c>
      <c r="M82" t="s">
        <v>302</v>
      </c>
      <c r="N82" t="s">
        <v>83</v>
      </c>
      <c r="O82" t="s">
        <v>45</v>
      </c>
      <c r="P82" t="s">
        <v>153</v>
      </c>
      <c r="Q82" t="s">
        <v>216</v>
      </c>
      <c r="R82" t="s">
        <v>48</v>
      </c>
      <c r="S82" t="s">
        <v>49</v>
      </c>
      <c r="AB82" t="s">
        <v>49</v>
      </c>
      <c r="AC82">
        <v>1</v>
      </c>
      <c r="AD82">
        <v>49.99</v>
      </c>
      <c r="AE82">
        <v>1</v>
      </c>
      <c r="AF82">
        <v>1</v>
      </c>
      <c r="AG82">
        <v>49.99</v>
      </c>
      <c r="AH82">
        <v>1</v>
      </c>
      <c r="AI82">
        <v>0</v>
      </c>
      <c r="AJ82">
        <v>0</v>
      </c>
      <c r="AK82">
        <v>0</v>
      </c>
    </row>
    <row r="83" spans="1:37">
      <c r="A83" t="s">
        <v>37</v>
      </c>
      <c r="B83" t="s">
        <v>303</v>
      </c>
      <c r="C83" t="str">
        <f t="shared" si="3"/>
        <v>amzn1.ads-account.g.dfa7o7cwdl371d634ew58i919</v>
      </c>
      <c r="D83" t="s">
        <v>39</v>
      </c>
      <c r="G83" t="str">
        <f t="shared" si="4"/>
        <v>585687237024345541</v>
      </c>
      <c r="H83" t="s">
        <v>40</v>
      </c>
      <c r="I83" t="str">
        <f t="shared" si="5"/>
        <v>585478290940566279</v>
      </c>
      <c r="J83" t="s">
        <v>41</v>
      </c>
      <c r="K83" t="s">
        <v>304</v>
      </c>
      <c r="L83" s="1" t="str">
        <f>VLOOKUP(K83,Sheet1!A:B,2,FALSE)</f>
        <v>SH-BRS73-BKWT-46</v>
      </c>
      <c r="M83" t="s">
        <v>305</v>
      </c>
      <c r="N83" t="s">
        <v>206</v>
      </c>
      <c r="O83" t="s">
        <v>45</v>
      </c>
      <c r="P83" t="s">
        <v>65</v>
      </c>
      <c r="Q83" t="s">
        <v>111</v>
      </c>
      <c r="R83" t="s">
        <v>48</v>
      </c>
      <c r="S83" t="s">
        <v>49</v>
      </c>
      <c r="AB83" t="s">
        <v>49</v>
      </c>
      <c r="AC83">
        <v>1</v>
      </c>
      <c r="AD83">
        <v>39.99</v>
      </c>
      <c r="AE83">
        <v>1</v>
      </c>
      <c r="AF83">
        <v>1</v>
      </c>
      <c r="AG83">
        <v>39.99</v>
      </c>
      <c r="AH83">
        <v>1</v>
      </c>
      <c r="AI83">
        <v>1</v>
      </c>
      <c r="AJ83">
        <v>39.99</v>
      </c>
      <c r="AK83">
        <v>1</v>
      </c>
    </row>
    <row r="84" spans="1:37">
      <c r="A84" t="s">
        <v>37</v>
      </c>
      <c r="B84" t="s">
        <v>120</v>
      </c>
      <c r="C84" t="str">
        <f t="shared" si="3"/>
        <v>amzn1.ads-account.g.dfa7o7cwdl371d634ew58i919</v>
      </c>
      <c r="D84" t="s">
        <v>39</v>
      </c>
      <c r="G84" t="str">
        <f t="shared" si="4"/>
        <v>585687237024345541</v>
      </c>
      <c r="H84" t="s">
        <v>40</v>
      </c>
      <c r="I84" t="str">
        <f t="shared" si="5"/>
        <v>585478290940566279</v>
      </c>
      <c r="J84" t="s">
        <v>41</v>
      </c>
      <c r="K84" t="s">
        <v>306</v>
      </c>
      <c r="L84" s="1" t="str">
        <f>VLOOKUP(K84,Sheet1!A:B,2,FALSE)</f>
        <v>SH-BRY10-WT-40</v>
      </c>
      <c r="M84" t="s">
        <v>307</v>
      </c>
      <c r="N84" t="s">
        <v>44</v>
      </c>
      <c r="O84" t="s">
        <v>45</v>
      </c>
      <c r="P84" t="s">
        <v>46</v>
      </c>
      <c r="Q84" t="s">
        <v>47</v>
      </c>
      <c r="R84" t="s">
        <v>48</v>
      </c>
      <c r="S84" t="s">
        <v>49</v>
      </c>
      <c r="AB84" t="s">
        <v>49</v>
      </c>
      <c r="AC84">
        <v>5</v>
      </c>
      <c r="AD84">
        <v>126.32</v>
      </c>
      <c r="AE84">
        <v>6</v>
      </c>
      <c r="AF84">
        <v>5</v>
      </c>
      <c r="AG84">
        <v>126.32</v>
      </c>
      <c r="AH84">
        <v>6</v>
      </c>
      <c r="AI84">
        <v>3</v>
      </c>
      <c r="AJ84">
        <v>83</v>
      </c>
      <c r="AK84">
        <v>4</v>
      </c>
    </row>
    <row r="85" spans="1:37">
      <c r="A85" t="s">
        <v>37</v>
      </c>
      <c r="B85" t="s">
        <v>308</v>
      </c>
      <c r="C85" t="str">
        <f t="shared" si="3"/>
        <v>amzn1.ads-account.g.dfa7o7cwdl371d634ew58i919</v>
      </c>
      <c r="D85" t="s">
        <v>39</v>
      </c>
      <c r="G85" t="str">
        <f t="shared" si="4"/>
        <v>585687237024345541</v>
      </c>
      <c r="H85" t="s">
        <v>40</v>
      </c>
      <c r="I85" t="str">
        <f t="shared" si="5"/>
        <v>585478290940566279</v>
      </c>
      <c r="J85" t="s">
        <v>41</v>
      </c>
      <c r="K85" t="s">
        <v>309</v>
      </c>
      <c r="L85" s="1" t="str">
        <f>VLOOKUP(K85,Sheet1!A:B,2,FALSE)</f>
        <v>XM2-S71-PK-39</v>
      </c>
      <c r="M85" t="s">
        <v>310</v>
      </c>
      <c r="N85" t="s">
        <v>83</v>
      </c>
      <c r="O85" t="s">
        <v>45</v>
      </c>
      <c r="P85" t="s">
        <v>65</v>
      </c>
      <c r="Q85" t="s">
        <v>84</v>
      </c>
      <c r="R85" t="s">
        <v>48</v>
      </c>
      <c r="S85" t="s">
        <v>49</v>
      </c>
      <c r="AB85" t="s">
        <v>49</v>
      </c>
      <c r="AC85">
        <v>0</v>
      </c>
      <c r="AD85">
        <v>0</v>
      </c>
      <c r="AE85">
        <v>0</v>
      </c>
      <c r="AF85">
        <v>0</v>
      </c>
      <c r="AG85">
        <v>0</v>
      </c>
      <c r="AH85">
        <v>0</v>
      </c>
      <c r="AI85">
        <v>0</v>
      </c>
      <c r="AJ85">
        <v>0</v>
      </c>
      <c r="AK85">
        <v>0</v>
      </c>
    </row>
    <row r="86" spans="1:37">
      <c r="A86" t="s">
        <v>37</v>
      </c>
      <c r="B86" t="s">
        <v>103</v>
      </c>
      <c r="C86" t="str">
        <f t="shared" si="3"/>
        <v>amzn1.ads-account.g.dfa7o7cwdl371d634ew58i919</v>
      </c>
      <c r="D86" t="s">
        <v>39</v>
      </c>
      <c r="G86" t="str">
        <f t="shared" si="4"/>
        <v>585687237024345541</v>
      </c>
      <c r="H86" t="s">
        <v>40</v>
      </c>
      <c r="I86" t="str">
        <f t="shared" si="5"/>
        <v>585478290940566279</v>
      </c>
      <c r="J86" t="s">
        <v>41</v>
      </c>
      <c r="K86" t="s">
        <v>311</v>
      </c>
      <c r="L86" s="1" t="str">
        <f>VLOOKUP(K86,Sheet1!A:B,2,FALSE)</f>
        <v>XM2-Y90B-TP-W6</v>
      </c>
      <c r="M86" t="s">
        <v>312</v>
      </c>
      <c r="N86" t="s">
        <v>74</v>
      </c>
      <c r="O86" t="s">
        <v>45</v>
      </c>
      <c r="Q86" t="s">
        <v>54</v>
      </c>
      <c r="R86" t="s">
        <v>48</v>
      </c>
      <c r="S86" t="s">
        <v>49</v>
      </c>
      <c r="AB86" t="s">
        <v>49</v>
      </c>
      <c r="AC86">
        <v>0</v>
      </c>
      <c r="AD86">
        <v>0</v>
      </c>
      <c r="AE86">
        <v>0</v>
      </c>
      <c r="AF86">
        <v>0</v>
      </c>
      <c r="AG86">
        <v>0</v>
      </c>
      <c r="AH86">
        <v>0</v>
      </c>
      <c r="AI86">
        <v>0</v>
      </c>
      <c r="AJ86">
        <v>0</v>
      </c>
      <c r="AK86">
        <v>0</v>
      </c>
    </row>
    <row r="87" spans="1:37">
      <c r="A87" t="s">
        <v>37</v>
      </c>
      <c r="B87" t="s">
        <v>147</v>
      </c>
      <c r="C87" t="str">
        <f t="shared" si="3"/>
        <v>amzn1.ads-account.g.dfa7o7cwdl371d634ew58i919</v>
      </c>
      <c r="D87" t="s">
        <v>39</v>
      </c>
      <c r="G87" t="str">
        <f t="shared" si="4"/>
        <v>585687237024345541</v>
      </c>
      <c r="H87" t="s">
        <v>40</v>
      </c>
      <c r="I87" t="str">
        <f t="shared" si="5"/>
        <v>585478290940566279</v>
      </c>
      <c r="J87" t="s">
        <v>41</v>
      </c>
      <c r="K87" t="s">
        <v>313</v>
      </c>
      <c r="L87" s="1" t="str">
        <f>VLOOKUP(K87,Sheet1!A:B,2,FALSE)</f>
        <v>SH-BRY10-RERD-43</v>
      </c>
      <c r="M87" t="s">
        <v>314</v>
      </c>
      <c r="N87" t="s">
        <v>44</v>
      </c>
      <c r="O87" t="s">
        <v>45</v>
      </c>
      <c r="P87" t="s">
        <v>75</v>
      </c>
      <c r="Q87" t="s">
        <v>91</v>
      </c>
      <c r="R87" t="s">
        <v>48</v>
      </c>
      <c r="S87" t="s">
        <v>49</v>
      </c>
      <c r="AB87" t="s">
        <v>49</v>
      </c>
      <c r="AC87">
        <v>0</v>
      </c>
      <c r="AD87">
        <v>0</v>
      </c>
      <c r="AE87">
        <v>0</v>
      </c>
      <c r="AF87">
        <v>0</v>
      </c>
      <c r="AG87">
        <v>0</v>
      </c>
      <c r="AH87">
        <v>0</v>
      </c>
      <c r="AI87">
        <v>0</v>
      </c>
      <c r="AJ87">
        <v>0</v>
      </c>
      <c r="AK87">
        <v>0</v>
      </c>
    </row>
    <row r="88" spans="1:37">
      <c r="A88" t="s">
        <v>37</v>
      </c>
      <c r="B88" t="s">
        <v>92</v>
      </c>
      <c r="C88" t="str">
        <f t="shared" si="3"/>
        <v>amzn1.ads-account.g.dfa7o7cwdl371d634ew58i919</v>
      </c>
      <c r="D88" t="s">
        <v>39</v>
      </c>
      <c r="G88" t="str">
        <f t="shared" si="4"/>
        <v>585687237024345541</v>
      </c>
      <c r="H88" t="s">
        <v>40</v>
      </c>
      <c r="I88" t="str">
        <f t="shared" si="5"/>
        <v>585478290940566279</v>
      </c>
      <c r="J88" t="s">
        <v>41</v>
      </c>
      <c r="K88" t="s">
        <v>315</v>
      </c>
      <c r="L88" s="1" t="str">
        <f>VLOOKUP(K88,Sheet1!A:B,2,FALSE)</f>
        <v>XM1-L200-OG-36</v>
      </c>
      <c r="M88" t="s">
        <v>316</v>
      </c>
      <c r="N88" t="s">
        <v>191</v>
      </c>
      <c r="O88" t="s">
        <v>45</v>
      </c>
      <c r="P88" t="s">
        <v>65</v>
      </c>
      <c r="Q88" t="s">
        <v>192</v>
      </c>
      <c r="R88" t="s">
        <v>48</v>
      </c>
      <c r="S88" t="s">
        <v>49</v>
      </c>
      <c r="AB88" t="s">
        <v>49</v>
      </c>
      <c r="AC88">
        <v>0</v>
      </c>
      <c r="AD88">
        <v>0</v>
      </c>
      <c r="AE88">
        <v>0</v>
      </c>
      <c r="AF88">
        <v>0</v>
      </c>
      <c r="AG88">
        <v>0</v>
      </c>
      <c r="AH88">
        <v>0</v>
      </c>
      <c r="AI88">
        <v>0</v>
      </c>
      <c r="AJ88">
        <v>0</v>
      </c>
      <c r="AK88">
        <v>0</v>
      </c>
    </row>
    <row r="89" spans="1:37">
      <c r="A89" t="s">
        <v>37</v>
      </c>
      <c r="B89" t="s">
        <v>317</v>
      </c>
      <c r="C89" t="str">
        <f t="shared" si="3"/>
        <v>amzn1.ads-account.g.dfa7o7cwdl371d634ew58i919</v>
      </c>
      <c r="D89" t="s">
        <v>39</v>
      </c>
      <c r="G89" t="str">
        <f t="shared" si="4"/>
        <v>585687237024345541</v>
      </c>
      <c r="H89" t="s">
        <v>40</v>
      </c>
      <c r="I89" t="str">
        <f t="shared" si="5"/>
        <v>585478290940566279</v>
      </c>
      <c r="J89" t="s">
        <v>41</v>
      </c>
      <c r="K89" t="s">
        <v>318</v>
      </c>
      <c r="L89" s="1" t="str">
        <f>VLOOKUP(K89,Sheet1!A:B,2,FALSE)</f>
        <v>XM2-Y90B-LTGY-W7</v>
      </c>
      <c r="M89" t="s">
        <v>319</v>
      </c>
      <c r="N89" t="s">
        <v>74</v>
      </c>
      <c r="O89" t="s">
        <v>45</v>
      </c>
      <c r="P89" t="s">
        <v>59</v>
      </c>
      <c r="Q89" t="s">
        <v>130</v>
      </c>
      <c r="R89" t="s">
        <v>48</v>
      </c>
      <c r="S89" t="s">
        <v>49</v>
      </c>
      <c r="AB89" t="s">
        <v>49</v>
      </c>
      <c r="AC89">
        <v>0</v>
      </c>
      <c r="AD89">
        <v>0</v>
      </c>
      <c r="AE89">
        <v>0</v>
      </c>
      <c r="AF89">
        <v>0</v>
      </c>
      <c r="AG89">
        <v>0</v>
      </c>
      <c r="AH89">
        <v>0</v>
      </c>
      <c r="AI89">
        <v>0</v>
      </c>
      <c r="AJ89">
        <v>0</v>
      </c>
      <c r="AK89">
        <v>0</v>
      </c>
    </row>
    <row r="90" spans="1:37">
      <c r="A90" t="s">
        <v>37</v>
      </c>
      <c r="B90" t="s">
        <v>120</v>
      </c>
      <c r="C90" t="str">
        <f t="shared" si="3"/>
        <v>amzn1.ads-account.g.dfa7o7cwdl371d634ew58i919</v>
      </c>
      <c r="D90" t="s">
        <v>39</v>
      </c>
      <c r="G90" t="str">
        <f t="shared" si="4"/>
        <v>585687237024345541</v>
      </c>
      <c r="H90" t="s">
        <v>40</v>
      </c>
      <c r="I90" t="str">
        <f t="shared" si="5"/>
        <v>585478290940566279</v>
      </c>
      <c r="J90" t="s">
        <v>41</v>
      </c>
      <c r="K90" t="s">
        <v>320</v>
      </c>
      <c r="L90" s="1" t="str">
        <f>VLOOKUP(K90,Sheet1!A:B,2,FALSE)</f>
        <v>SH-BRY10-KQ-41</v>
      </c>
      <c r="M90" t="s">
        <v>321</v>
      </c>
      <c r="N90" t="s">
        <v>44</v>
      </c>
      <c r="O90" t="s">
        <v>45</v>
      </c>
      <c r="P90" t="s">
        <v>65</v>
      </c>
      <c r="Q90" t="s">
        <v>66</v>
      </c>
      <c r="R90" t="s">
        <v>48</v>
      </c>
      <c r="S90" t="s">
        <v>49</v>
      </c>
      <c r="AB90" t="s">
        <v>49</v>
      </c>
      <c r="AC90">
        <v>8</v>
      </c>
      <c r="AD90">
        <v>174.3</v>
      </c>
      <c r="AE90">
        <v>8</v>
      </c>
      <c r="AF90">
        <v>8</v>
      </c>
      <c r="AG90">
        <v>174.3</v>
      </c>
      <c r="AH90">
        <v>8</v>
      </c>
      <c r="AI90">
        <v>6</v>
      </c>
      <c r="AJ90">
        <v>126.32</v>
      </c>
      <c r="AK90">
        <v>6</v>
      </c>
    </row>
    <row r="91" spans="1:37">
      <c r="A91" t="s">
        <v>37</v>
      </c>
      <c r="B91" t="s">
        <v>174</v>
      </c>
      <c r="C91" t="str">
        <f t="shared" si="3"/>
        <v>amzn1.ads-account.g.dfa7o7cwdl371d634ew58i919</v>
      </c>
      <c r="D91" t="s">
        <v>39</v>
      </c>
      <c r="G91" t="str">
        <f t="shared" si="4"/>
        <v>585687237024345541</v>
      </c>
      <c r="H91" t="s">
        <v>40</v>
      </c>
      <c r="I91" t="str">
        <f t="shared" si="5"/>
        <v>585478290940566279</v>
      </c>
      <c r="J91" t="s">
        <v>41</v>
      </c>
      <c r="K91" t="s">
        <v>322</v>
      </c>
      <c r="L91" s="1" t="str">
        <f>VLOOKUP(K91,Sheet1!A:B,2,FALSE)</f>
        <v>XM2-KD7-BKRD-37</v>
      </c>
      <c r="M91" t="s">
        <v>323</v>
      </c>
      <c r="N91" t="s">
        <v>177</v>
      </c>
      <c r="O91" t="s">
        <v>45</v>
      </c>
      <c r="P91" t="s">
        <v>46</v>
      </c>
      <c r="Q91" t="s">
        <v>324</v>
      </c>
      <c r="R91" t="s">
        <v>48</v>
      </c>
      <c r="S91" t="s">
        <v>49</v>
      </c>
      <c r="AB91" t="s">
        <v>49</v>
      </c>
      <c r="AC91">
        <v>0</v>
      </c>
      <c r="AD91">
        <v>0</v>
      </c>
      <c r="AE91">
        <v>0</v>
      </c>
      <c r="AF91">
        <v>0</v>
      </c>
      <c r="AG91">
        <v>0</v>
      </c>
      <c r="AH91">
        <v>0</v>
      </c>
      <c r="AI91">
        <v>0</v>
      </c>
      <c r="AJ91">
        <v>0</v>
      </c>
      <c r="AK91">
        <v>0</v>
      </c>
    </row>
    <row r="92" spans="1:37">
      <c r="A92" t="s">
        <v>37</v>
      </c>
      <c r="B92" t="s">
        <v>325</v>
      </c>
      <c r="C92" t="str">
        <f t="shared" si="3"/>
        <v>amzn1.ads-account.g.dfa7o7cwdl371d634ew58i919</v>
      </c>
      <c r="D92" t="s">
        <v>39</v>
      </c>
      <c r="G92" t="str">
        <f t="shared" si="4"/>
        <v>585687237024345541</v>
      </c>
      <c r="H92" t="s">
        <v>40</v>
      </c>
      <c r="I92" t="str">
        <f t="shared" si="5"/>
        <v>585478290940566279</v>
      </c>
      <c r="J92" t="s">
        <v>41</v>
      </c>
      <c r="K92" t="s">
        <v>326</v>
      </c>
      <c r="L92" s="1" t="str">
        <f>VLOOKUP(K92,Sheet1!A:B,2,FALSE)</f>
        <v>XM2-S73-ABK-38</v>
      </c>
      <c r="M92" t="s">
        <v>327</v>
      </c>
      <c r="N92" t="s">
        <v>83</v>
      </c>
      <c r="O92" t="s">
        <v>45</v>
      </c>
      <c r="P92" t="s">
        <v>153</v>
      </c>
      <c r="Q92" t="s">
        <v>216</v>
      </c>
      <c r="R92" t="s">
        <v>48</v>
      </c>
      <c r="S92" t="s">
        <v>49</v>
      </c>
      <c r="AB92" t="s">
        <v>49</v>
      </c>
      <c r="AC92">
        <v>0</v>
      </c>
      <c r="AD92">
        <v>0</v>
      </c>
      <c r="AE92">
        <v>0</v>
      </c>
      <c r="AF92">
        <v>0</v>
      </c>
      <c r="AG92">
        <v>0</v>
      </c>
      <c r="AH92">
        <v>0</v>
      </c>
      <c r="AI92">
        <v>0</v>
      </c>
      <c r="AJ92">
        <v>0</v>
      </c>
      <c r="AK92">
        <v>0</v>
      </c>
    </row>
    <row r="93" spans="1:37">
      <c r="A93" t="s">
        <v>37</v>
      </c>
      <c r="B93" t="s">
        <v>120</v>
      </c>
      <c r="C93" t="str">
        <f t="shared" si="3"/>
        <v>amzn1.ads-account.g.dfa7o7cwdl371d634ew58i919</v>
      </c>
      <c r="D93" t="s">
        <v>39</v>
      </c>
      <c r="G93" t="str">
        <f t="shared" si="4"/>
        <v>585687237024345541</v>
      </c>
      <c r="H93" t="s">
        <v>40</v>
      </c>
      <c r="I93" t="str">
        <f t="shared" si="5"/>
        <v>585478290940566279</v>
      </c>
      <c r="J93" t="s">
        <v>41</v>
      </c>
      <c r="K93" t="s">
        <v>328</v>
      </c>
      <c r="L93" s="1" t="str">
        <f>VLOOKUP(K93,Sheet1!A:B,2,FALSE)</f>
        <v>SH-BRY10-BK-41N</v>
      </c>
      <c r="M93" t="s">
        <v>329</v>
      </c>
      <c r="N93" t="s">
        <v>44</v>
      </c>
      <c r="O93" t="s">
        <v>45</v>
      </c>
      <c r="P93" t="s">
        <v>75</v>
      </c>
      <c r="Q93" t="s">
        <v>91</v>
      </c>
      <c r="R93" t="s">
        <v>48</v>
      </c>
      <c r="S93" t="s">
        <v>49</v>
      </c>
      <c r="AB93" t="s">
        <v>49</v>
      </c>
      <c r="AC93">
        <v>55</v>
      </c>
      <c r="AD93">
        <v>1194.73</v>
      </c>
      <c r="AE93">
        <v>55</v>
      </c>
      <c r="AF93">
        <v>55</v>
      </c>
      <c r="AG93">
        <v>1194.73</v>
      </c>
      <c r="AH93">
        <v>55</v>
      </c>
      <c r="AI93">
        <v>33</v>
      </c>
      <c r="AJ93">
        <v>746.53</v>
      </c>
      <c r="AK93">
        <v>33</v>
      </c>
    </row>
    <row r="94" spans="1:37">
      <c r="A94" t="s">
        <v>37</v>
      </c>
      <c r="B94" t="s">
        <v>120</v>
      </c>
      <c r="C94" t="str">
        <f t="shared" si="3"/>
        <v>amzn1.ads-account.g.dfa7o7cwdl371d634ew58i919</v>
      </c>
      <c r="D94" t="s">
        <v>39</v>
      </c>
      <c r="G94" t="str">
        <f t="shared" si="4"/>
        <v>585687237024345541</v>
      </c>
      <c r="H94" t="s">
        <v>40</v>
      </c>
      <c r="I94" t="str">
        <f t="shared" si="5"/>
        <v>585478290940566279</v>
      </c>
      <c r="J94" t="s">
        <v>41</v>
      </c>
      <c r="K94" t="s">
        <v>330</v>
      </c>
      <c r="L94" s="1" t="str">
        <f>VLOOKUP(K94,Sheet1!A:B,2,FALSE)</f>
        <v>SH-BRY10-BN-36</v>
      </c>
      <c r="M94" t="s">
        <v>331</v>
      </c>
      <c r="N94" t="s">
        <v>44</v>
      </c>
      <c r="O94" t="s">
        <v>45</v>
      </c>
      <c r="P94" t="s">
        <v>46</v>
      </c>
      <c r="Q94" t="s">
        <v>47</v>
      </c>
      <c r="R94" t="s">
        <v>48</v>
      </c>
      <c r="S94" t="s">
        <v>49</v>
      </c>
      <c r="AB94" t="s">
        <v>49</v>
      </c>
      <c r="AC94">
        <v>2</v>
      </c>
      <c r="AD94">
        <v>40.7</v>
      </c>
      <c r="AE94">
        <v>2</v>
      </c>
      <c r="AF94">
        <v>2</v>
      </c>
      <c r="AG94">
        <v>40.7</v>
      </c>
      <c r="AH94">
        <v>2</v>
      </c>
      <c r="AI94">
        <v>2</v>
      </c>
      <c r="AJ94">
        <v>40.7</v>
      </c>
      <c r="AK94">
        <v>2</v>
      </c>
    </row>
    <row r="95" spans="1:37">
      <c r="A95" t="s">
        <v>37</v>
      </c>
      <c r="B95" t="s">
        <v>55</v>
      </c>
      <c r="C95" t="str">
        <f t="shared" si="3"/>
        <v>amzn1.ads-account.g.dfa7o7cwdl371d634ew58i919</v>
      </c>
      <c r="D95" t="s">
        <v>39</v>
      </c>
      <c r="G95" t="str">
        <f t="shared" si="4"/>
        <v>585687237024345541</v>
      </c>
      <c r="H95" t="s">
        <v>40</v>
      </c>
      <c r="I95" t="str">
        <f t="shared" si="5"/>
        <v>585478290940566279</v>
      </c>
      <c r="J95" t="s">
        <v>41</v>
      </c>
      <c r="K95" t="s">
        <v>332</v>
      </c>
      <c r="L95" s="1" t="str">
        <f>VLOOKUP(K95,Sheet1!A:B,2,FALSE)</f>
        <v>SH-BRY80-BK-11</v>
      </c>
      <c r="M95" t="s">
        <v>333</v>
      </c>
      <c r="N95" t="s">
        <v>90</v>
      </c>
      <c r="O95" t="s">
        <v>45</v>
      </c>
      <c r="P95" t="s">
        <v>46</v>
      </c>
      <c r="Q95" t="s">
        <v>334</v>
      </c>
      <c r="R95" t="s">
        <v>48</v>
      </c>
      <c r="S95" t="s">
        <v>49</v>
      </c>
      <c r="AB95" t="s">
        <v>49</v>
      </c>
      <c r="AC95">
        <v>1</v>
      </c>
      <c r="AD95">
        <v>9.99</v>
      </c>
      <c r="AE95">
        <v>1</v>
      </c>
      <c r="AF95">
        <v>1</v>
      </c>
      <c r="AG95">
        <v>9.99</v>
      </c>
      <c r="AH95">
        <v>1</v>
      </c>
      <c r="AI95">
        <v>1</v>
      </c>
      <c r="AJ95">
        <v>9.99</v>
      </c>
      <c r="AK95">
        <v>1</v>
      </c>
    </row>
    <row r="96" spans="1:37">
      <c r="A96" t="s">
        <v>37</v>
      </c>
      <c r="B96" t="s">
        <v>335</v>
      </c>
      <c r="C96" t="str">
        <f t="shared" si="3"/>
        <v>amzn1.ads-account.g.dfa7o7cwdl371d634ew58i919</v>
      </c>
      <c r="D96" t="s">
        <v>39</v>
      </c>
      <c r="G96" t="str">
        <f t="shared" si="4"/>
        <v>585687237024345541</v>
      </c>
      <c r="H96" t="s">
        <v>40</v>
      </c>
      <c r="I96" t="str">
        <f t="shared" si="5"/>
        <v>585478290940566279</v>
      </c>
      <c r="J96" t="s">
        <v>41</v>
      </c>
      <c r="K96" t="s">
        <v>336</v>
      </c>
      <c r="L96" s="1" t="str">
        <f>VLOOKUP(K96,Sheet1!A:B,2,FALSE)</f>
        <v>XM2-S75-PL-41</v>
      </c>
      <c r="M96" t="s">
        <v>337</v>
      </c>
      <c r="N96" t="s">
        <v>95</v>
      </c>
      <c r="O96" t="s">
        <v>45</v>
      </c>
      <c r="P96" t="s">
        <v>153</v>
      </c>
      <c r="Q96" t="s">
        <v>216</v>
      </c>
      <c r="R96" t="s">
        <v>48</v>
      </c>
      <c r="S96" t="s">
        <v>49</v>
      </c>
      <c r="AB96" t="s">
        <v>49</v>
      </c>
      <c r="AC96">
        <v>0</v>
      </c>
      <c r="AD96">
        <v>0</v>
      </c>
      <c r="AE96">
        <v>0</v>
      </c>
      <c r="AF96">
        <v>0</v>
      </c>
      <c r="AG96">
        <v>0</v>
      </c>
      <c r="AH96">
        <v>0</v>
      </c>
      <c r="AI96">
        <v>0</v>
      </c>
      <c r="AJ96">
        <v>0</v>
      </c>
      <c r="AK96">
        <v>0</v>
      </c>
    </row>
    <row r="97" spans="1:37">
      <c r="A97" t="s">
        <v>37</v>
      </c>
      <c r="B97" t="s">
        <v>147</v>
      </c>
      <c r="C97" t="str">
        <f t="shared" si="3"/>
        <v>amzn1.ads-account.g.dfa7o7cwdl371d634ew58i919</v>
      </c>
      <c r="D97" t="s">
        <v>39</v>
      </c>
      <c r="G97" t="str">
        <f t="shared" si="4"/>
        <v>585687237024345541</v>
      </c>
      <c r="H97" t="s">
        <v>40</v>
      </c>
      <c r="I97" t="str">
        <f t="shared" si="5"/>
        <v>585478290940566279</v>
      </c>
      <c r="J97" t="s">
        <v>41</v>
      </c>
      <c r="K97" t="s">
        <v>338</v>
      </c>
      <c r="L97" s="1" t="str">
        <f>VLOOKUP(K97,Sheet1!A:B,2,FALSE)</f>
        <v>SH-BRY180-BN-43S</v>
      </c>
      <c r="M97" t="s">
        <v>339</v>
      </c>
      <c r="N97" t="s">
        <v>64</v>
      </c>
      <c r="O97" t="s">
        <v>45</v>
      </c>
      <c r="Q97" t="s">
        <v>54</v>
      </c>
      <c r="R97" t="s">
        <v>48</v>
      </c>
      <c r="S97" t="s">
        <v>49</v>
      </c>
      <c r="AB97" t="s">
        <v>49</v>
      </c>
      <c r="AC97">
        <v>2</v>
      </c>
      <c r="AD97">
        <v>46.77</v>
      </c>
      <c r="AE97">
        <v>2</v>
      </c>
      <c r="AF97">
        <v>2</v>
      </c>
      <c r="AG97">
        <v>46.77</v>
      </c>
      <c r="AH97">
        <v>2</v>
      </c>
      <c r="AI97">
        <v>1</v>
      </c>
      <c r="AJ97">
        <v>23.99</v>
      </c>
      <c r="AK97">
        <v>1</v>
      </c>
    </row>
    <row r="98" spans="1:37">
      <c r="A98" t="s">
        <v>37</v>
      </c>
      <c r="B98" t="s">
        <v>340</v>
      </c>
      <c r="C98" t="str">
        <f t="shared" si="3"/>
        <v>amzn1.ads-account.g.dfa7o7cwdl371d634ew58i919</v>
      </c>
      <c r="D98" t="s">
        <v>39</v>
      </c>
      <c r="G98" t="str">
        <f t="shared" si="4"/>
        <v>585687237024345541</v>
      </c>
      <c r="H98" t="s">
        <v>40</v>
      </c>
      <c r="I98" t="str">
        <f t="shared" si="5"/>
        <v>585478290940566279</v>
      </c>
      <c r="J98" t="s">
        <v>41</v>
      </c>
      <c r="K98" t="s">
        <v>341</v>
      </c>
      <c r="L98" s="1" t="str">
        <f>VLOOKUP(K98,Sheet1!A:B,2,FALSE)</f>
        <v>SH-BRY80-BK-7</v>
      </c>
      <c r="M98" t="s">
        <v>342</v>
      </c>
      <c r="N98" t="s">
        <v>90</v>
      </c>
      <c r="O98" t="s">
        <v>45</v>
      </c>
      <c r="P98" t="s">
        <v>75</v>
      </c>
      <c r="Q98" t="s">
        <v>91</v>
      </c>
      <c r="R98" t="s">
        <v>48</v>
      </c>
      <c r="S98" t="s">
        <v>49</v>
      </c>
      <c r="AB98" t="s">
        <v>49</v>
      </c>
      <c r="AC98">
        <v>0</v>
      </c>
      <c r="AD98">
        <v>0</v>
      </c>
      <c r="AE98">
        <v>0</v>
      </c>
      <c r="AF98">
        <v>0</v>
      </c>
      <c r="AG98">
        <v>0</v>
      </c>
      <c r="AH98">
        <v>0</v>
      </c>
      <c r="AI98">
        <v>0</v>
      </c>
      <c r="AJ98">
        <v>0</v>
      </c>
      <c r="AK98">
        <v>0</v>
      </c>
    </row>
    <row r="99" spans="1:37">
      <c r="A99" t="s">
        <v>37</v>
      </c>
      <c r="B99" t="s">
        <v>38</v>
      </c>
      <c r="C99" t="str">
        <f t="shared" si="3"/>
        <v>amzn1.ads-account.g.dfa7o7cwdl371d634ew58i919</v>
      </c>
      <c r="D99" t="s">
        <v>39</v>
      </c>
      <c r="G99" t="str">
        <f t="shared" si="4"/>
        <v>585687237024345541</v>
      </c>
      <c r="H99" t="s">
        <v>40</v>
      </c>
      <c r="I99" t="str">
        <f t="shared" si="5"/>
        <v>585478290940566279</v>
      </c>
      <c r="J99" t="s">
        <v>41</v>
      </c>
      <c r="K99" t="s">
        <v>343</v>
      </c>
      <c r="L99" s="1" t="str">
        <f>VLOOKUP(K99,Sheet1!A:B,2,FALSE)</f>
        <v>SH-BRY10-WERD-36</v>
      </c>
      <c r="M99" t="s">
        <v>344</v>
      </c>
      <c r="N99" t="s">
        <v>44</v>
      </c>
      <c r="O99" t="s">
        <v>45</v>
      </c>
      <c r="P99" t="s">
        <v>59</v>
      </c>
      <c r="Q99" t="s">
        <v>130</v>
      </c>
      <c r="R99" t="s">
        <v>48</v>
      </c>
      <c r="S99" t="s">
        <v>49</v>
      </c>
      <c r="AB99" t="s">
        <v>49</v>
      </c>
      <c r="AC99">
        <v>0</v>
      </c>
      <c r="AD99">
        <v>0</v>
      </c>
      <c r="AE99">
        <v>0</v>
      </c>
      <c r="AF99">
        <v>0</v>
      </c>
      <c r="AG99">
        <v>0</v>
      </c>
      <c r="AH99">
        <v>0</v>
      </c>
      <c r="AI99">
        <v>0</v>
      </c>
      <c r="AJ99">
        <v>0</v>
      </c>
      <c r="AK99">
        <v>0</v>
      </c>
    </row>
    <row r="100" spans="1:37">
      <c r="A100" t="s">
        <v>37</v>
      </c>
      <c r="B100" t="s">
        <v>120</v>
      </c>
      <c r="C100" t="str">
        <f t="shared" si="3"/>
        <v>amzn1.ads-account.g.dfa7o7cwdl371d634ew58i919</v>
      </c>
      <c r="D100" t="s">
        <v>39</v>
      </c>
      <c r="G100" t="str">
        <f t="shared" si="4"/>
        <v>585687237024345541</v>
      </c>
      <c r="H100" t="s">
        <v>40</v>
      </c>
      <c r="I100" t="str">
        <f t="shared" si="5"/>
        <v>585478290940566279</v>
      </c>
      <c r="J100" t="s">
        <v>41</v>
      </c>
      <c r="K100" t="s">
        <v>345</v>
      </c>
      <c r="L100" s="1" t="str">
        <f>VLOOKUP(K100,Sheet1!A:B,2,FALSE)</f>
        <v>SH-BRY10-CL-40</v>
      </c>
      <c r="M100" t="s">
        <v>346</v>
      </c>
      <c r="N100" t="s">
        <v>44</v>
      </c>
      <c r="O100" t="s">
        <v>45</v>
      </c>
      <c r="P100" t="s">
        <v>59</v>
      </c>
      <c r="Q100" t="s">
        <v>114</v>
      </c>
      <c r="R100" t="s">
        <v>48</v>
      </c>
      <c r="S100" t="s">
        <v>49</v>
      </c>
      <c r="AB100" t="s">
        <v>49</v>
      </c>
      <c r="AC100">
        <v>6</v>
      </c>
      <c r="AD100">
        <v>134.62</v>
      </c>
      <c r="AE100">
        <v>6</v>
      </c>
      <c r="AF100">
        <v>6</v>
      </c>
      <c r="AG100">
        <v>134.62</v>
      </c>
      <c r="AH100">
        <v>6</v>
      </c>
      <c r="AI100">
        <v>4</v>
      </c>
      <c r="AJ100">
        <v>86.64</v>
      </c>
      <c r="AK100">
        <v>4</v>
      </c>
    </row>
    <row r="101" spans="1:37">
      <c r="A101" t="s">
        <v>37</v>
      </c>
      <c r="B101" t="s">
        <v>38</v>
      </c>
      <c r="C101" t="str">
        <f t="shared" si="3"/>
        <v>amzn1.ads-account.g.dfa7o7cwdl371d634ew58i919</v>
      </c>
      <c r="D101" t="s">
        <v>39</v>
      </c>
      <c r="G101" t="str">
        <f t="shared" si="4"/>
        <v>585687237024345541</v>
      </c>
      <c r="H101" t="s">
        <v>40</v>
      </c>
      <c r="I101" t="str">
        <f t="shared" si="5"/>
        <v>585478290940566279</v>
      </c>
      <c r="J101" t="s">
        <v>41</v>
      </c>
      <c r="K101" t="s">
        <v>347</v>
      </c>
      <c r="L101" s="1" t="str">
        <f>VLOOKUP(K101,Sheet1!A:B,2,FALSE)</f>
        <v>SH-BRY180-BL-36</v>
      </c>
      <c r="M101" t="s">
        <v>348</v>
      </c>
      <c r="N101" t="s">
        <v>64</v>
      </c>
      <c r="O101" t="s">
        <v>45</v>
      </c>
      <c r="P101" t="s">
        <v>59</v>
      </c>
      <c r="Q101" t="s">
        <v>114</v>
      </c>
      <c r="R101" t="s">
        <v>48</v>
      </c>
      <c r="S101" t="s">
        <v>49</v>
      </c>
      <c r="AB101" t="s">
        <v>49</v>
      </c>
      <c r="AC101">
        <v>0</v>
      </c>
      <c r="AD101">
        <v>0</v>
      </c>
      <c r="AE101">
        <v>0</v>
      </c>
      <c r="AF101">
        <v>0</v>
      </c>
      <c r="AG101">
        <v>0</v>
      </c>
      <c r="AH101">
        <v>0</v>
      </c>
      <c r="AI101">
        <v>0</v>
      </c>
      <c r="AJ101">
        <v>0</v>
      </c>
      <c r="AK101">
        <v>0</v>
      </c>
    </row>
    <row r="102" spans="1:37">
      <c r="A102" t="s">
        <v>37</v>
      </c>
      <c r="B102" t="s">
        <v>55</v>
      </c>
      <c r="C102" t="str">
        <f t="shared" si="3"/>
        <v>amzn1.ads-account.g.dfa7o7cwdl371d634ew58i919</v>
      </c>
      <c r="D102" t="s">
        <v>39</v>
      </c>
      <c r="G102" t="str">
        <f t="shared" si="4"/>
        <v>585687237024345541</v>
      </c>
      <c r="H102" t="s">
        <v>40</v>
      </c>
      <c r="I102" t="str">
        <f t="shared" si="5"/>
        <v>585478290940566279</v>
      </c>
      <c r="J102" t="s">
        <v>41</v>
      </c>
      <c r="K102" t="s">
        <v>349</v>
      </c>
      <c r="L102" s="1" t="str">
        <f>VLOOKUP(K102,Sheet1!A:B,2,FALSE)</f>
        <v>SH-BRY80-BN-10</v>
      </c>
      <c r="M102" t="s">
        <v>350</v>
      </c>
      <c r="N102" t="s">
        <v>90</v>
      </c>
      <c r="O102" t="s">
        <v>45</v>
      </c>
      <c r="P102" t="s">
        <v>46</v>
      </c>
      <c r="Q102" t="s">
        <v>334</v>
      </c>
      <c r="R102" t="s">
        <v>48</v>
      </c>
      <c r="S102" t="s">
        <v>49</v>
      </c>
      <c r="AB102" t="s">
        <v>49</v>
      </c>
      <c r="AC102">
        <v>0</v>
      </c>
      <c r="AD102">
        <v>0</v>
      </c>
      <c r="AE102">
        <v>0</v>
      </c>
      <c r="AF102">
        <v>0</v>
      </c>
      <c r="AG102">
        <v>0</v>
      </c>
      <c r="AH102">
        <v>0</v>
      </c>
      <c r="AI102">
        <v>0</v>
      </c>
      <c r="AJ102">
        <v>0</v>
      </c>
      <c r="AK102">
        <v>0</v>
      </c>
    </row>
    <row r="103" spans="1:37">
      <c r="A103" t="s">
        <v>37</v>
      </c>
      <c r="B103" t="s">
        <v>217</v>
      </c>
      <c r="C103" t="str">
        <f t="shared" si="3"/>
        <v>amzn1.ads-account.g.dfa7o7cwdl371d634ew58i919</v>
      </c>
      <c r="D103" t="s">
        <v>39</v>
      </c>
      <c r="G103" t="str">
        <f t="shared" si="4"/>
        <v>585687237024345541</v>
      </c>
      <c r="H103" t="s">
        <v>40</v>
      </c>
      <c r="I103" t="str">
        <f t="shared" si="5"/>
        <v>585478290940566279</v>
      </c>
      <c r="J103" t="s">
        <v>41</v>
      </c>
      <c r="K103" t="s">
        <v>351</v>
      </c>
      <c r="L103" s="1" t="str">
        <f>VLOOKUP(K103,Sheet1!A:B,2,FALSE)</f>
        <v>XM2-Y90B-DKBU-W10</v>
      </c>
      <c r="M103" t="s">
        <v>352</v>
      </c>
      <c r="N103" t="s">
        <v>74</v>
      </c>
      <c r="O103" t="s">
        <v>45</v>
      </c>
      <c r="Q103" t="s">
        <v>54</v>
      </c>
      <c r="R103" t="s">
        <v>48</v>
      </c>
      <c r="S103" t="s">
        <v>49</v>
      </c>
      <c r="AB103" t="s">
        <v>49</v>
      </c>
      <c r="AC103">
        <v>0</v>
      </c>
      <c r="AD103">
        <v>0</v>
      </c>
      <c r="AE103">
        <v>0</v>
      </c>
      <c r="AF103">
        <v>0</v>
      </c>
      <c r="AG103">
        <v>0</v>
      </c>
      <c r="AH103">
        <v>0</v>
      </c>
      <c r="AI103">
        <v>0</v>
      </c>
      <c r="AJ103">
        <v>0</v>
      </c>
      <c r="AK103">
        <v>0</v>
      </c>
    </row>
    <row r="104" spans="1:37">
      <c r="A104" t="s">
        <v>37</v>
      </c>
      <c r="B104" t="s">
        <v>353</v>
      </c>
      <c r="C104" t="str">
        <f t="shared" si="3"/>
        <v>amzn1.ads-account.g.dfa7o7cwdl371d634ew58i919</v>
      </c>
      <c r="D104" t="s">
        <v>39</v>
      </c>
      <c r="G104" t="str">
        <f t="shared" si="4"/>
        <v>585687237024345541</v>
      </c>
      <c r="H104" t="s">
        <v>40</v>
      </c>
      <c r="I104" t="str">
        <f t="shared" si="5"/>
        <v>585478290940566279</v>
      </c>
      <c r="J104" t="s">
        <v>41</v>
      </c>
      <c r="K104" t="s">
        <v>354</v>
      </c>
      <c r="L104" s="1" t="str">
        <f>VLOOKUP(K104,Sheet1!A:B,2,FALSE)</f>
        <v>XM2-S75-PL-37</v>
      </c>
      <c r="M104" t="s">
        <v>355</v>
      </c>
      <c r="N104" t="s">
        <v>95</v>
      </c>
      <c r="O104" t="s">
        <v>45</v>
      </c>
      <c r="P104" t="s">
        <v>65</v>
      </c>
      <c r="Q104" t="s">
        <v>84</v>
      </c>
      <c r="R104" t="s">
        <v>48</v>
      </c>
      <c r="S104" t="s">
        <v>49</v>
      </c>
      <c r="AB104" t="s">
        <v>49</v>
      </c>
      <c r="AC104">
        <v>0</v>
      </c>
      <c r="AD104">
        <v>0</v>
      </c>
      <c r="AE104">
        <v>0</v>
      </c>
      <c r="AF104">
        <v>0</v>
      </c>
      <c r="AG104">
        <v>0</v>
      </c>
      <c r="AH104">
        <v>0</v>
      </c>
      <c r="AI104">
        <v>0</v>
      </c>
      <c r="AJ104">
        <v>0</v>
      </c>
      <c r="AK104">
        <v>0</v>
      </c>
    </row>
    <row r="105" spans="1:37">
      <c r="A105" t="s">
        <v>37</v>
      </c>
      <c r="B105" t="s">
        <v>103</v>
      </c>
      <c r="C105" t="str">
        <f t="shared" si="3"/>
        <v>amzn1.ads-account.g.dfa7o7cwdl371d634ew58i919</v>
      </c>
      <c r="D105" t="s">
        <v>39</v>
      </c>
      <c r="G105" t="str">
        <f t="shared" si="4"/>
        <v>585687237024345541</v>
      </c>
      <c r="H105" t="s">
        <v>40</v>
      </c>
      <c r="I105" t="str">
        <f t="shared" si="5"/>
        <v>585478290940566279</v>
      </c>
      <c r="J105" t="s">
        <v>41</v>
      </c>
      <c r="K105" t="s">
        <v>356</v>
      </c>
      <c r="L105" s="1" t="str">
        <f>VLOOKUP(K105,Sheet1!A:B,2,FALSE)</f>
        <v>SH-BRY180-CL-40</v>
      </c>
      <c r="M105" t="s">
        <v>357</v>
      </c>
      <c r="N105" t="s">
        <v>64</v>
      </c>
      <c r="O105" t="s">
        <v>45</v>
      </c>
      <c r="P105" t="s">
        <v>59</v>
      </c>
      <c r="Q105" t="s">
        <v>130</v>
      </c>
      <c r="R105" t="s">
        <v>48</v>
      </c>
      <c r="S105" t="s">
        <v>49</v>
      </c>
      <c r="AB105" t="s">
        <v>49</v>
      </c>
      <c r="AC105">
        <v>2</v>
      </c>
      <c r="AD105">
        <v>47.98</v>
      </c>
      <c r="AE105">
        <v>2</v>
      </c>
      <c r="AF105">
        <v>2</v>
      </c>
      <c r="AG105">
        <v>47.98</v>
      </c>
      <c r="AH105">
        <v>2</v>
      </c>
      <c r="AI105">
        <v>1</v>
      </c>
      <c r="AJ105">
        <v>23.99</v>
      </c>
      <c r="AK105">
        <v>1</v>
      </c>
    </row>
    <row r="106" spans="1:37">
      <c r="A106" t="s">
        <v>37</v>
      </c>
      <c r="B106" t="s">
        <v>236</v>
      </c>
      <c r="C106" t="str">
        <f t="shared" si="3"/>
        <v>amzn1.ads-account.g.dfa7o7cwdl371d634ew58i919</v>
      </c>
      <c r="D106" t="s">
        <v>39</v>
      </c>
      <c r="G106" t="str">
        <f t="shared" si="4"/>
        <v>585687237024345541</v>
      </c>
      <c r="H106" t="s">
        <v>40</v>
      </c>
      <c r="I106" t="str">
        <f t="shared" si="5"/>
        <v>585478290940566279</v>
      </c>
      <c r="J106" t="s">
        <v>41</v>
      </c>
      <c r="K106" t="s">
        <v>358</v>
      </c>
      <c r="L106" s="1" t="str">
        <f>VLOOKUP(K106,Sheet1!A:B,2,FALSE)</f>
        <v>XM2-S73-BU-37</v>
      </c>
      <c r="M106" t="s">
        <v>359</v>
      </c>
      <c r="N106" t="s">
        <v>83</v>
      </c>
      <c r="O106" t="s">
        <v>45</v>
      </c>
      <c r="P106" t="s">
        <v>65</v>
      </c>
      <c r="Q106" t="s">
        <v>84</v>
      </c>
      <c r="R106" t="s">
        <v>48</v>
      </c>
      <c r="S106" t="s">
        <v>49</v>
      </c>
      <c r="AB106" t="s">
        <v>49</v>
      </c>
      <c r="AC106">
        <v>0</v>
      </c>
      <c r="AD106">
        <v>0</v>
      </c>
      <c r="AE106">
        <v>0</v>
      </c>
      <c r="AF106">
        <v>0</v>
      </c>
      <c r="AG106">
        <v>0</v>
      </c>
      <c r="AH106">
        <v>0</v>
      </c>
      <c r="AI106">
        <v>0</v>
      </c>
      <c r="AJ106">
        <v>0</v>
      </c>
      <c r="AK106">
        <v>0</v>
      </c>
    </row>
    <row r="107" spans="1:37">
      <c r="A107" t="s">
        <v>37</v>
      </c>
      <c r="B107" t="s">
        <v>167</v>
      </c>
      <c r="C107" t="str">
        <f t="shared" si="3"/>
        <v>amzn1.ads-account.g.dfa7o7cwdl371d634ew58i919</v>
      </c>
      <c r="D107" t="s">
        <v>39</v>
      </c>
      <c r="G107" t="str">
        <f t="shared" si="4"/>
        <v>585687237024345541</v>
      </c>
      <c r="H107" t="s">
        <v>40</v>
      </c>
      <c r="I107" t="str">
        <f t="shared" si="5"/>
        <v>585478290940566279</v>
      </c>
      <c r="J107" t="s">
        <v>41</v>
      </c>
      <c r="K107" t="s">
        <v>360</v>
      </c>
      <c r="L107" s="1" t="str">
        <f>VLOOKUP(K107,Sheet1!A:B,2,FALSE)</f>
        <v>XM2-Y90B-BK-W6</v>
      </c>
      <c r="M107" t="s">
        <v>361</v>
      </c>
      <c r="N107" t="s">
        <v>74</v>
      </c>
      <c r="O107" t="s">
        <v>45</v>
      </c>
      <c r="P107" t="s">
        <v>59</v>
      </c>
      <c r="Q107" t="s">
        <v>130</v>
      </c>
      <c r="R107" t="s">
        <v>48</v>
      </c>
      <c r="S107" t="s">
        <v>49</v>
      </c>
      <c r="AB107" t="s">
        <v>49</v>
      </c>
      <c r="AC107">
        <v>0</v>
      </c>
      <c r="AD107">
        <v>0</v>
      </c>
      <c r="AE107">
        <v>0</v>
      </c>
      <c r="AF107">
        <v>0</v>
      </c>
      <c r="AG107">
        <v>0</v>
      </c>
      <c r="AH107">
        <v>0</v>
      </c>
      <c r="AI107">
        <v>0</v>
      </c>
      <c r="AJ107">
        <v>0</v>
      </c>
      <c r="AK107">
        <v>0</v>
      </c>
    </row>
    <row r="108" spans="1:37">
      <c r="A108" t="s">
        <v>37</v>
      </c>
      <c r="B108" t="s">
        <v>120</v>
      </c>
      <c r="C108" t="str">
        <f t="shared" si="3"/>
        <v>amzn1.ads-account.g.dfa7o7cwdl371d634ew58i919</v>
      </c>
      <c r="D108" t="s">
        <v>39</v>
      </c>
      <c r="G108" t="str">
        <f t="shared" si="4"/>
        <v>585687237024345541</v>
      </c>
      <c r="H108" t="s">
        <v>40</v>
      </c>
      <c r="I108" t="str">
        <f t="shared" si="5"/>
        <v>585478290940566279</v>
      </c>
      <c r="J108" t="s">
        <v>41</v>
      </c>
      <c r="K108" t="s">
        <v>362</v>
      </c>
      <c r="L108" s="1" t="str">
        <f>VLOOKUP(K108,Sheet1!A:B,2,FALSE)</f>
        <v>SH-BRY10-BU-45</v>
      </c>
      <c r="M108" t="s">
        <v>363</v>
      </c>
      <c r="N108" t="s">
        <v>44</v>
      </c>
      <c r="O108" t="s">
        <v>45</v>
      </c>
      <c r="P108" t="s">
        <v>59</v>
      </c>
      <c r="Q108" t="s">
        <v>60</v>
      </c>
      <c r="R108" t="s">
        <v>48</v>
      </c>
      <c r="S108" t="s">
        <v>49</v>
      </c>
      <c r="AB108" t="s">
        <v>49</v>
      </c>
      <c r="AC108">
        <v>17</v>
      </c>
      <c r="AD108">
        <v>360.98</v>
      </c>
      <c r="AE108">
        <v>17</v>
      </c>
      <c r="AF108">
        <v>17</v>
      </c>
      <c r="AG108">
        <v>360.98</v>
      </c>
      <c r="AH108">
        <v>17</v>
      </c>
      <c r="AI108">
        <v>10</v>
      </c>
      <c r="AJ108">
        <v>227.96</v>
      </c>
      <c r="AK108">
        <v>10</v>
      </c>
    </row>
    <row r="109" spans="1:37">
      <c r="A109" t="s">
        <v>37</v>
      </c>
      <c r="B109" t="s">
        <v>217</v>
      </c>
      <c r="C109" t="str">
        <f t="shared" si="3"/>
        <v>amzn1.ads-account.g.dfa7o7cwdl371d634ew58i919</v>
      </c>
      <c r="D109" t="s">
        <v>39</v>
      </c>
      <c r="G109" t="str">
        <f t="shared" si="4"/>
        <v>585687237024345541</v>
      </c>
      <c r="H109" t="s">
        <v>40</v>
      </c>
      <c r="I109" t="str">
        <f t="shared" si="5"/>
        <v>585478290940566279</v>
      </c>
      <c r="J109" t="s">
        <v>41</v>
      </c>
      <c r="K109" t="s">
        <v>364</v>
      </c>
      <c r="L109" s="1" t="str">
        <f>VLOOKUP(K109,Sheet1!A:B,2,FALSE)</f>
        <v>XM2-Y90B-TP-W9N</v>
      </c>
      <c r="M109" t="s">
        <v>365</v>
      </c>
      <c r="N109" t="s">
        <v>74</v>
      </c>
      <c r="O109" t="s">
        <v>45</v>
      </c>
      <c r="P109" t="s">
        <v>59</v>
      </c>
      <c r="Q109" t="s">
        <v>130</v>
      </c>
      <c r="R109" t="s">
        <v>48</v>
      </c>
      <c r="S109" t="s">
        <v>49</v>
      </c>
      <c r="AB109" t="s">
        <v>49</v>
      </c>
      <c r="AC109">
        <v>0</v>
      </c>
      <c r="AD109">
        <v>0</v>
      </c>
      <c r="AE109">
        <v>0</v>
      </c>
      <c r="AF109">
        <v>0</v>
      </c>
      <c r="AG109">
        <v>0</v>
      </c>
      <c r="AH109">
        <v>0</v>
      </c>
      <c r="AI109">
        <v>0</v>
      </c>
      <c r="AJ109">
        <v>0</v>
      </c>
      <c r="AK109">
        <v>0</v>
      </c>
    </row>
    <row r="110" spans="1:37">
      <c r="A110" t="s">
        <v>37</v>
      </c>
      <c r="B110" t="s">
        <v>120</v>
      </c>
      <c r="C110" t="str">
        <f t="shared" si="3"/>
        <v>amzn1.ads-account.g.dfa7o7cwdl371d634ew58i919</v>
      </c>
      <c r="D110" t="s">
        <v>39</v>
      </c>
      <c r="G110" t="str">
        <f t="shared" si="4"/>
        <v>585687237024345541</v>
      </c>
      <c r="H110" t="s">
        <v>40</v>
      </c>
      <c r="I110" t="str">
        <f t="shared" si="5"/>
        <v>585478290940566279</v>
      </c>
      <c r="J110" t="s">
        <v>41</v>
      </c>
      <c r="K110" t="s">
        <v>366</v>
      </c>
      <c r="L110" s="1" t="str">
        <f>VLOOKUP(K110,Sheet1!A:B,2,FALSE)</f>
        <v>SH-BRY10-PK-36</v>
      </c>
      <c r="M110" t="s">
        <v>367</v>
      </c>
      <c r="N110" t="s">
        <v>44</v>
      </c>
      <c r="O110" t="s">
        <v>45</v>
      </c>
      <c r="P110" t="s">
        <v>46</v>
      </c>
      <c r="Q110" t="s">
        <v>47</v>
      </c>
      <c r="R110" t="s">
        <v>48</v>
      </c>
      <c r="S110" t="s">
        <v>49</v>
      </c>
      <c r="AB110" t="s">
        <v>49</v>
      </c>
      <c r="AC110">
        <v>3</v>
      </c>
      <c r="AD110">
        <v>67.31</v>
      </c>
      <c r="AE110">
        <v>3</v>
      </c>
      <c r="AF110">
        <v>3</v>
      </c>
      <c r="AG110">
        <v>67.31</v>
      </c>
      <c r="AH110">
        <v>3</v>
      </c>
      <c r="AI110">
        <v>3</v>
      </c>
      <c r="AJ110">
        <v>67.31</v>
      </c>
      <c r="AK110">
        <v>3</v>
      </c>
    </row>
    <row r="111" spans="1:37">
      <c r="A111" t="s">
        <v>37</v>
      </c>
      <c r="B111" t="s">
        <v>368</v>
      </c>
      <c r="C111" t="str">
        <f t="shared" si="3"/>
        <v>amzn1.ads-account.g.dfa7o7cwdl371d634ew58i919</v>
      </c>
      <c r="D111" t="s">
        <v>39</v>
      </c>
      <c r="G111" t="str">
        <f t="shared" si="4"/>
        <v>585687237024345541</v>
      </c>
      <c r="H111" t="s">
        <v>40</v>
      </c>
      <c r="I111" t="str">
        <f t="shared" si="5"/>
        <v>585478290940566279</v>
      </c>
      <c r="J111" t="s">
        <v>41</v>
      </c>
      <c r="K111" t="s">
        <v>369</v>
      </c>
      <c r="L111" s="1" t="str">
        <f>VLOOKUP(K111,Sheet1!A:B,2,FALSE)</f>
        <v>XM2-S71-BKGY-39</v>
      </c>
      <c r="M111" t="s">
        <v>370</v>
      </c>
      <c r="N111" t="s">
        <v>83</v>
      </c>
      <c r="O111" t="s">
        <v>45</v>
      </c>
      <c r="P111" t="s">
        <v>270</v>
      </c>
      <c r="Q111" t="s">
        <v>271</v>
      </c>
      <c r="R111" t="s">
        <v>48</v>
      </c>
      <c r="S111" t="s">
        <v>49</v>
      </c>
      <c r="AB111" t="s">
        <v>49</v>
      </c>
      <c r="AC111">
        <v>2</v>
      </c>
      <c r="AD111">
        <v>93.97</v>
      </c>
      <c r="AE111">
        <v>2</v>
      </c>
      <c r="AF111">
        <v>2</v>
      </c>
      <c r="AG111">
        <v>93.97</v>
      </c>
      <c r="AH111">
        <v>2</v>
      </c>
      <c r="AI111">
        <v>0</v>
      </c>
      <c r="AJ111">
        <v>0</v>
      </c>
      <c r="AK111">
        <v>0</v>
      </c>
    </row>
    <row r="112" spans="1:37">
      <c r="A112" t="s">
        <v>37</v>
      </c>
      <c r="B112" t="s">
        <v>353</v>
      </c>
      <c r="C112" t="str">
        <f t="shared" si="3"/>
        <v>amzn1.ads-account.g.dfa7o7cwdl371d634ew58i919</v>
      </c>
      <c r="D112" t="s">
        <v>39</v>
      </c>
      <c r="G112" t="str">
        <f t="shared" si="4"/>
        <v>585687237024345541</v>
      </c>
      <c r="H112" t="s">
        <v>40</v>
      </c>
      <c r="I112" t="str">
        <f t="shared" si="5"/>
        <v>585478290940566279</v>
      </c>
      <c r="J112" t="s">
        <v>41</v>
      </c>
      <c r="K112" t="s">
        <v>371</v>
      </c>
      <c r="L112" s="1" t="str">
        <f>VLOOKUP(K112,Sheet1!A:B,2,FALSE)</f>
        <v>XM2-Y90B-DKBU-W9N</v>
      </c>
      <c r="M112" t="s">
        <v>372</v>
      </c>
      <c r="N112" t="s">
        <v>74</v>
      </c>
      <c r="O112" t="s">
        <v>45</v>
      </c>
      <c r="Q112" t="s">
        <v>54</v>
      </c>
      <c r="R112" t="s">
        <v>48</v>
      </c>
      <c r="S112" t="s">
        <v>49</v>
      </c>
      <c r="AB112" t="s">
        <v>49</v>
      </c>
      <c r="AC112">
        <v>2</v>
      </c>
      <c r="AD112">
        <v>19.98</v>
      </c>
      <c r="AE112">
        <v>2</v>
      </c>
      <c r="AF112">
        <v>2</v>
      </c>
      <c r="AG112">
        <v>19.98</v>
      </c>
      <c r="AH112">
        <v>2</v>
      </c>
      <c r="AI112">
        <v>1</v>
      </c>
      <c r="AJ112">
        <v>9.99</v>
      </c>
      <c r="AK112">
        <v>1</v>
      </c>
    </row>
    <row r="113" spans="1:37">
      <c r="A113" t="s">
        <v>37</v>
      </c>
      <c r="B113" t="s">
        <v>67</v>
      </c>
      <c r="C113" t="str">
        <f t="shared" si="3"/>
        <v>amzn1.ads-account.g.dfa7o7cwdl371d634ew58i919</v>
      </c>
      <c r="D113" t="s">
        <v>39</v>
      </c>
      <c r="G113" t="str">
        <f t="shared" si="4"/>
        <v>585687237024345541</v>
      </c>
      <c r="H113" t="s">
        <v>40</v>
      </c>
      <c r="I113" t="str">
        <f t="shared" si="5"/>
        <v>585478290940566279</v>
      </c>
      <c r="J113" t="s">
        <v>41</v>
      </c>
      <c r="K113" t="s">
        <v>373</v>
      </c>
      <c r="L113" s="1" t="str">
        <f>VLOOKUP(K113,Sheet1!A:B,2,FALSE)</f>
        <v>XM2-S75-BK-37</v>
      </c>
      <c r="M113" t="s">
        <v>374</v>
      </c>
      <c r="N113" t="s">
        <v>95</v>
      </c>
      <c r="O113" t="s">
        <v>45</v>
      </c>
      <c r="P113" t="s">
        <v>153</v>
      </c>
      <c r="Q113" t="s">
        <v>154</v>
      </c>
      <c r="R113" t="s">
        <v>48</v>
      </c>
      <c r="S113" t="s">
        <v>49</v>
      </c>
      <c r="AB113" t="s">
        <v>49</v>
      </c>
      <c r="AC113">
        <v>0</v>
      </c>
      <c r="AD113">
        <v>0</v>
      </c>
      <c r="AE113">
        <v>0</v>
      </c>
      <c r="AF113">
        <v>0</v>
      </c>
      <c r="AG113">
        <v>0</v>
      </c>
      <c r="AH113">
        <v>0</v>
      </c>
      <c r="AI113">
        <v>0</v>
      </c>
      <c r="AJ113">
        <v>0</v>
      </c>
      <c r="AK113">
        <v>0</v>
      </c>
    </row>
    <row r="114" spans="1:37">
      <c r="A114" t="s">
        <v>37</v>
      </c>
      <c r="B114" t="s">
        <v>375</v>
      </c>
      <c r="C114" t="str">
        <f t="shared" si="3"/>
        <v>amzn1.ads-account.g.dfa7o7cwdl371d634ew58i919</v>
      </c>
      <c r="D114" t="s">
        <v>39</v>
      </c>
      <c r="G114" t="str">
        <f t="shared" si="4"/>
        <v>585687237024345541</v>
      </c>
      <c r="H114" t="s">
        <v>40</v>
      </c>
      <c r="I114" t="str">
        <f t="shared" si="5"/>
        <v>585478290940566279</v>
      </c>
      <c r="J114" t="s">
        <v>41</v>
      </c>
      <c r="K114" t="s">
        <v>376</v>
      </c>
      <c r="L114" s="1" t="str">
        <f>VLOOKUP(K114,Sheet1!A:B,2,FALSE)</f>
        <v>SH-BRKD5-ABK-39</v>
      </c>
      <c r="M114" t="s">
        <v>377</v>
      </c>
      <c r="N114" t="s">
        <v>139</v>
      </c>
      <c r="O114" t="s">
        <v>45</v>
      </c>
      <c r="P114" t="s">
        <v>46</v>
      </c>
      <c r="Q114" t="s">
        <v>157</v>
      </c>
      <c r="R114" t="s">
        <v>48</v>
      </c>
      <c r="S114" t="s">
        <v>49</v>
      </c>
      <c r="AB114" t="s">
        <v>49</v>
      </c>
      <c r="AC114">
        <v>1</v>
      </c>
      <c r="AD114">
        <v>37.99</v>
      </c>
      <c r="AE114">
        <v>1</v>
      </c>
      <c r="AF114">
        <v>1</v>
      </c>
      <c r="AG114">
        <v>37.99</v>
      </c>
      <c r="AH114">
        <v>1</v>
      </c>
      <c r="AI114">
        <v>1</v>
      </c>
      <c r="AJ114">
        <v>37.99</v>
      </c>
      <c r="AK114">
        <v>1</v>
      </c>
    </row>
    <row r="115" spans="1:37">
      <c r="A115" t="s">
        <v>37</v>
      </c>
      <c r="B115" t="s">
        <v>38</v>
      </c>
      <c r="C115" t="str">
        <f t="shared" si="3"/>
        <v>amzn1.ads-account.g.dfa7o7cwdl371d634ew58i919</v>
      </c>
      <c r="D115" t="s">
        <v>39</v>
      </c>
      <c r="G115" t="str">
        <f t="shared" si="4"/>
        <v>585687237024345541</v>
      </c>
      <c r="H115" t="s">
        <v>40</v>
      </c>
      <c r="I115" t="str">
        <f t="shared" si="5"/>
        <v>585478290940566279</v>
      </c>
      <c r="J115" t="s">
        <v>41</v>
      </c>
      <c r="K115" t="s">
        <v>378</v>
      </c>
      <c r="L115" s="1" t="str">
        <f>VLOOKUP(K115,Sheet1!A:B,2,FALSE)</f>
        <v>SH-BRY10-GY-45</v>
      </c>
      <c r="M115" t="s">
        <v>379</v>
      </c>
      <c r="N115" t="s">
        <v>44</v>
      </c>
      <c r="O115" t="s">
        <v>45</v>
      </c>
      <c r="P115" t="s">
        <v>270</v>
      </c>
      <c r="Q115" t="s">
        <v>380</v>
      </c>
      <c r="R115" t="s">
        <v>48</v>
      </c>
      <c r="S115" t="s">
        <v>49</v>
      </c>
      <c r="AB115" t="s">
        <v>49</v>
      </c>
      <c r="AC115">
        <v>10</v>
      </c>
      <c r="AD115">
        <v>219.66</v>
      </c>
      <c r="AE115">
        <v>10</v>
      </c>
      <c r="AF115">
        <v>10</v>
      </c>
      <c r="AG115">
        <v>219.66</v>
      </c>
      <c r="AH115">
        <v>10</v>
      </c>
      <c r="AI115">
        <v>7</v>
      </c>
      <c r="AJ115">
        <v>151.33</v>
      </c>
      <c r="AK115">
        <v>7</v>
      </c>
    </row>
    <row r="116" spans="1:37">
      <c r="A116" t="s">
        <v>37</v>
      </c>
      <c r="B116" t="s">
        <v>381</v>
      </c>
      <c r="C116" t="str">
        <f t="shared" si="3"/>
        <v>amzn1.ads-account.g.dfa7o7cwdl371d634ew58i919</v>
      </c>
      <c r="D116" t="s">
        <v>39</v>
      </c>
      <c r="G116" t="str">
        <f t="shared" si="4"/>
        <v>585687237024345541</v>
      </c>
      <c r="H116" t="s">
        <v>40</v>
      </c>
      <c r="I116" t="str">
        <f t="shared" si="5"/>
        <v>585478290940566279</v>
      </c>
      <c r="J116" t="s">
        <v>41</v>
      </c>
      <c r="K116" t="s">
        <v>382</v>
      </c>
      <c r="L116" s="1" t="str">
        <f>VLOOKUP(K116,Sheet1!A:B,2,FALSE)</f>
        <v>SH-BRS73-WT-43</v>
      </c>
      <c r="M116" t="s">
        <v>383</v>
      </c>
      <c r="N116" t="s">
        <v>206</v>
      </c>
      <c r="O116" t="s">
        <v>45</v>
      </c>
      <c r="P116" t="s">
        <v>65</v>
      </c>
      <c r="Q116" t="s">
        <v>384</v>
      </c>
      <c r="R116" t="s">
        <v>48</v>
      </c>
      <c r="S116" t="s">
        <v>49</v>
      </c>
      <c r="AB116" t="s">
        <v>49</v>
      </c>
      <c r="AC116">
        <v>0</v>
      </c>
      <c r="AD116">
        <v>0</v>
      </c>
      <c r="AE116">
        <v>0</v>
      </c>
      <c r="AF116">
        <v>0</v>
      </c>
      <c r="AG116">
        <v>0</v>
      </c>
      <c r="AH116">
        <v>0</v>
      </c>
      <c r="AI116">
        <v>0</v>
      </c>
      <c r="AJ116">
        <v>0</v>
      </c>
      <c r="AK116">
        <v>0</v>
      </c>
    </row>
    <row r="117" spans="1:37">
      <c r="A117" t="s">
        <v>37</v>
      </c>
      <c r="B117" t="s">
        <v>160</v>
      </c>
      <c r="C117" t="str">
        <f t="shared" si="3"/>
        <v>amzn1.ads-account.g.dfa7o7cwdl371d634ew58i919</v>
      </c>
      <c r="D117" t="s">
        <v>39</v>
      </c>
      <c r="G117" t="str">
        <f t="shared" si="4"/>
        <v>585687237024345541</v>
      </c>
      <c r="H117" t="s">
        <v>40</v>
      </c>
      <c r="I117" t="str">
        <f t="shared" si="5"/>
        <v>585478290940566279</v>
      </c>
      <c r="J117" t="s">
        <v>41</v>
      </c>
      <c r="K117" t="s">
        <v>385</v>
      </c>
      <c r="L117" s="1" t="str">
        <f>VLOOKUP(K117,Sheet1!A:B,2,FALSE)</f>
        <v>XM2-S73-BU-39</v>
      </c>
      <c r="M117" t="s">
        <v>386</v>
      </c>
      <c r="N117" t="s">
        <v>83</v>
      </c>
      <c r="O117" t="s">
        <v>45</v>
      </c>
      <c r="P117" t="s">
        <v>153</v>
      </c>
      <c r="Q117" t="s">
        <v>154</v>
      </c>
      <c r="R117" t="s">
        <v>48</v>
      </c>
      <c r="S117" t="s">
        <v>49</v>
      </c>
      <c r="AB117" t="s">
        <v>49</v>
      </c>
      <c r="AC117">
        <v>0</v>
      </c>
      <c r="AD117">
        <v>0</v>
      </c>
      <c r="AE117">
        <v>0</v>
      </c>
      <c r="AF117">
        <v>0</v>
      </c>
      <c r="AG117">
        <v>0</v>
      </c>
      <c r="AH117">
        <v>0</v>
      </c>
      <c r="AI117">
        <v>0</v>
      </c>
      <c r="AJ117">
        <v>0</v>
      </c>
      <c r="AK117">
        <v>0</v>
      </c>
    </row>
    <row r="118" spans="1:37">
      <c r="A118" t="s">
        <v>37</v>
      </c>
      <c r="B118" t="s">
        <v>127</v>
      </c>
      <c r="C118" t="str">
        <f t="shared" si="3"/>
        <v>amzn1.ads-account.g.dfa7o7cwdl371d634ew58i919</v>
      </c>
      <c r="D118" t="s">
        <v>39</v>
      </c>
      <c r="G118" t="str">
        <f t="shared" si="4"/>
        <v>585687237024345541</v>
      </c>
      <c r="H118" t="s">
        <v>40</v>
      </c>
      <c r="I118" t="str">
        <f t="shared" si="5"/>
        <v>585478290940566279</v>
      </c>
      <c r="J118" t="s">
        <v>41</v>
      </c>
      <c r="K118" t="s">
        <v>74</v>
      </c>
      <c r="L118" s="1" t="str">
        <f>VLOOKUP(K118,Sheet1!A:B,2,FALSE)</f>
        <v>XM2-Y90B</v>
      </c>
      <c r="M118" t="s">
        <v>387</v>
      </c>
      <c r="N118">
        <v>-1</v>
      </c>
      <c r="O118" t="s">
        <v>45</v>
      </c>
      <c r="P118" t="s">
        <v>75</v>
      </c>
      <c r="Q118" t="s">
        <v>76</v>
      </c>
      <c r="R118" t="s">
        <v>48</v>
      </c>
      <c r="S118" t="s">
        <v>49</v>
      </c>
      <c r="AB118" t="s">
        <v>49</v>
      </c>
      <c r="AC118">
        <v>0</v>
      </c>
      <c r="AD118">
        <v>0</v>
      </c>
      <c r="AE118">
        <v>0</v>
      </c>
      <c r="AF118">
        <v>0</v>
      </c>
      <c r="AG118">
        <v>0</v>
      </c>
      <c r="AH118">
        <v>0</v>
      </c>
      <c r="AI118">
        <v>0</v>
      </c>
      <c r="AJ118">
        <v>0</v>
      </c>
      <c r="AK118">
        <v>0</v>
      </c>
    </row>
    <row r="119" spans="1:37">
      <c r="A119" t="s">
        <v>37</v>
      </c>
      <c r="B119" t="s">
        <v>38</v>
      </c>
      <c r="C119" t="str">
        <f t="shared" si="3"/>
        <v>amzn1.ads-account.g.dfa7o7cwdl371d634ew58i919</v>
      </c>
      <c r="D119" t="s">
        <v>39</v>
      </c>
      <c r="G119" t="str">
        <f t="shared" si="4"/>
        <v>585687237024345541</v>
      </c>
      <c r="H119" t="s">
        <v>40</v>
      </c>
      <c r="I119" t="str">
        <f t="shared" si="5"/>
        <v>585478290940566279</v>
      </c>
      <c r="J119" t="s">
        <v>41</v>
      </c>
      <c r="K119" t="s">
        <v>388</v>
      </c>
      <c r="L119" s="1" t="str">
        <f>VLOOKUP(K119,Sheet1!A:B,2,FALSE)</f>
        <v>SH-BRY10-KQ-45</v>
      </c>
      <c r="M119" t="s">
        <v>389</v>
      </c>
      <c r="N119" t="s">
        <v>44</v>
      </c>
      <c r="O119" t="s">
        <v>45</v>
      </c>
      <c r="P119" t="s">
        <v>65</v>
      </c>
      <c r="Q119" t="s">
        <v>235</v>
      </c>
      <c r="R119" t="s">
        <v>48</v>
      </c>
      <c r="S119" t="s">
        <v>49</v>
      </c>
      <c r="AB119" t="s">
        <v>49</v>
      </c>
      <c r="AC119">
        <v>7</v>
      </c>
      <c r="AD119">
        <v>163.27</v>
      </c>
      <c r="AE119">
        <v>7</v>
      </c>
      <c r="AF119">
        <v>7</v>
      </c>
      <c r="AG119">
        <v>163.27</v>
      </c>
      <c r="AH119">
        <v>7</v>
      </c>
      <c r="AI119">
        <v>2</v>
      </c>
      <c r="AJ119">
        <v>43.32</v>
      </c>
      <c r="AK119">
        <v>2</v>
      </c>
    </row>
    <row r="120" spans="1:37">
      <c r="A120" t="s">
        <v>37</v>
      </c>
      <c r="B120" t="s">
        <v>183</v>
      </c>
      <c r="C120" t="str">
        <f t="shared" si="3"/>
        <v>amzn1.ads-account.g.dfa7o7cwdl371d634ew58i919</v>
      </c>
      <c r="D120" t="s">
        <v>39</v>
      </c>
      <c r="G120" t="str">
        <f t="shared" si="4"/>
        <v>585687237024345541</v>
      </c>
      <c r="H120" t="s">
        <v>40</v>
      </c>
      <c r="I120" t="str">
        <f t="shared" si="5"/>
        <v>585478290940566279</v>
      </c>
      <c r="J120" t="s">
        <v>41</v>
      </c>
      <c r="K120" t="s">
        <v>390</v>
      </c>
      <c r="L120" s="1" t="str">
        <f>VLOOKUP(K120,Sheet1!A:B,2,FALSE)</f>
        <v>XM2-S71-PK-41</v>
      </c>
      <c r="M120" t="s">
        <v>391</v>
      </c>
      <c r="N120" t="s">
        <v>83</v>
      </c>
      <c r="O120" t="s">
        <v>45</v>
      </c>
      <c r="P120" t="s">
        <v>163</v>
      </c>
      <c r="Q120" t="s">
        <v>392</v>
      </c>
      <c r="R120" t="s">
        <v>48</v>
      </c>
      <c r="S120" t="s">
        <v>49</v>
      </c>
      <c r="AB120" t="s">
        <v>49</v>
      </c>
      <c r="AC120">
        <v>0</v>
      </c>
      <c r="AD120">
        <v>0</v>
      </c>
      <c r="AE120">
        <v>0</v>
      </c>
      <c r="AF120">
        <v>0</v>
      </c>
      <c r="AG120">
        <v>0</v>
      </c>
      <c r="AH120">
        <v>0</v>
      </c>
      <c r="AI120">
        <v>0</v>
      </c>
      <c r="AJ120">
        <v>0</v>
      </c>
      <c r="AK120">
        <v>0</v>
      </c>
    </row>
    <row r="121" spans="1:37">
      <c r="A121" t="s">
        <v>37</v>
      </c>
      <c r="B121" t="s">
        <v>254</v>
      </c>
      <c r="C121" t="str">
        <f t="shared" si="3"/>
        <v>amzn1.ads-account.g.dfa7o7cwdl371d634ew58i919</v>
      </c>
      <c r="D121" t="s">
        <v>39</v>
      </c>
      <c r="G121" t="str">
        <f t="shared" si="4"/>
        <v>585687237024345541</v>
      </c>
      <c r="H121" t="s">
        <v>40</v>
      </c>
      <c r="I121" t="str">
        <f t="shared" si="5"/>
        <v>585478290940566279</v>
      </c>
      <c r="J121" t="s">
        <v>41</v>
      </c>
      <c r="K121" t="s">
        <v>393</v>
      </c>
      <c r="L121" s="1" t="str">
        <f>VLOOKUP(K121,Sheet1!A:B,2,FALSE)</f>
        <v>SH-BRS73-WT-42</v>
      </c>
      <c r="M121" t="s">
        <v>394</v>
      </c>
      <c r="N121" t="s">
        <v>206</v>
      </c>
      <c r="O121" t="s">
        <v>45</v>
      </c>
      <c r="P121" t="s">
        <v>65</v>
      </c>
      <c r="Q121" t="s">
        <v>207</v>
      </c>
      <c r="R121" t="s">
        <v>48</v>
      </c>
      <c r="S121" t="s">
        <v>49</v>
      </c>
      <c r="AB121" t="s">
        <v>49</v>
      </c>
      <c r="AC121">
        <v>0</v>
      </c>
      <c r="AD121">
        <v>0</v>
      </c>
      <c r="AE121">
        <v>0</v>
      </c>
      <c r="AF121">
        <v>0</v>
      </c>
      <c r="AG121">
        <v>0</v>
      </c>
      <c r="AH121">
        <v>0</v>
      </c>
      <c r="AI121">
        <v>0</v>
      </c>
      <c r="AJ121">
        <v>0</v>
      </c>
      <c r="AK121">
        <v>0</v>
      </c>
    </row>
    <row r="122" spans="1:37">
      <c r="A122" t="s">
        <v>37</v>
      </c>
      <c r="B122" t="s">
        <v>395</v>
      </c>
      <c r="C122" t="str">
        <f t="shared" si="3"/>
        <v>amzn1.ads-account.g.dfa7o7cwdl371d634ew58i919</v>
      </c>
      <c r="D122" t="s">
        <v>39</v>
      </c>
      <c r="G122" t="str">
        <f t="shared" si="4"/>
        <v>585687237024345541</v>
      </c>
      <c r="H122" t="s">
        <v>40</v>
      </c>
      <c r="I122" t="str">
        <f t="shared" si="5"/>
        <v>585478290940566279</v>
      </c>
      <c r="J122" t="s">
        <v>41</v>
      </c>
      <c r="K122" t="s">
        <v>396</v>
      </c>
      <c r="L122" s="1" t="str">
        <f>VLOOKUP(K122,Sheet1!A:B,2,FALSE)</f>
        <v>LB1-Y15-BG-43</v>
      </c>
      <c r="M122" t="s">
        <v>397</v>
      </c>
      <c r="N122" t="s">
        <v>58</v>
      </c>
      <c r="O122" t="s">
        <v>45</v>
      </c>
      <c r="P122" t="s">
        <v>65</v>
      </c>
      <c r="Q122" t="s">
        <v>235</v>
      </c>
      <c r="R122" t="s">
        <v>48</v>
      </c>
      <c r="S122" t="s">
        <v>49</v>
      </c>
      <c r="AB122" t="s">
        <v>49</v>
      </c>
      <c r="AC122">
        <v>0</v>
      </c>
      <c r="AD122">
        <v>0</v>
      </c>
      <c r="AE122">
        <v>0</v>
      </c>
      <c r="AF122">
        <v>0</v>
      </c>
      <c r="AG122">
        <v>0</v>
      </c>
      <c r="AH122">
        <v>0</v>
      </c>
      <c r="AI122">
        <v>0</v>
      </c>
      <c r="AJ122">
        <v>0</v>
      </c>
      <c r="AK122">
        <v>0</v>
      </c>
    </row>
    <row r="123" spans="1:37">
      <c r="A123" t="s">
        <v>37</v>
      </c>
      <c r="B123" t="s">
        <v>147</v>
      </c>
      <c r="C123" t="str">
        <f t="shared" si="3"/>
        <v>amzn1.ads-account.g.dfa7o7cwdl371d634ew58i919</v>
      </c>
      <c r="D123" t="s">
        <v>39</v>
      </c>
      <c r="G123" t="str">
        <f t="shared" si="4"/>
        <v>585687237024345541</v>
      </c>
      <c r="H123" t="s">
        <v>40</v>
      </c>
      <c r="I123" t="str">
        <f t="shared" si="5"/>
        <v>585478290940566279</v>
      </c>
      <c r="J123" t="s">
        <v>41</v>
      </c>
      <c r="K123" t="s">
        <v>398</v>
      </c>
      <c r="L123" s="1" t="str">
        <f>VLOOKUP(K123,Sheet1!A:B,2,FALSE)</f>
        <v>XM2-S71-GYPK-38</v>
      </c>
      <c r="M123" t="s">
        <v>399</v>
      </c>
      <c r="N123" t="s">
        <v>83</v>
      </c>
      <c r="O123" t="s">
        <v>45</v>
      </c>
      <c r="P123" t="s">
        <v>65</v>
      </c>
      <c r="Q123" t="s">
        <v>84</v>
      </c>
      <c r="R123" t="s">
        <v>48</v>
      </c>
      <c r="S123" t="s">
        <v>49</v>
      </c>
      <c r="AB123" t="s">
        <v>49</v>
      </c>
      <c r="AC123">
        <v>0</v>
      </c>
      <c r="AD123">
        <v>0</v>
      </c>
      <c r="AE123">
        <v>0</v>
      </c>
      <c r="AF123">
        <v>0</v>
      </c>
      <c r="AG123">
        <v>0</v>
      </c>
      <c r="AH123">
        <v>0</v>
      </c>
      <c r="AI123">
        <v>0</v>
      </c>
      <c r="AJ123">
        <v>0</v>
      </c>
      <c r="AK123">
        <v>0</v>
      </c>
    </row>
    <row r="124" spans="1:37">
      <c r="A124" t="s">
        <v>37</v>
      </c>
      <c r="B124" t="s">
        <v>400</v>
      </c>
      <c r="C124" t="str">
        <f t="shared" si="3"/>
        <v>amzn1.ads-account.g.dfa7o7cwdl371d634ew58i919</v>
      </c>
      <c r="D124" t="s">
        <v>39</v>
      </c>
      <c r="G124" t="str">
        <f t="shared" si="4"/>
        <v>585687237024345541</v>
      </c>
      <c r="H124" t="s">
        <v>40</v>
      </c>
      <c r="I124" t="str">
        <f t="shared" si="5"/>
        <v>585478290940566279</v>
      </c>
      <c r="J124" t="s">
        <v>41</v>
      </c>
      <c r="K124" t="s">
        <v>401</v>
      </c>
      <c r="L124" s="1" t="str">
        <f>VLOOKUP(K124,Sheet1!A:B,2,FALSE)</f>
        <v>XM2-S75-PL-38</v>
      </c>
      <c r="M124" t="s">
        <v>402</v>
      </c>
      <c r="N124" t="s">
        <v>95</v>
      </c>
      <c r="O124" t="s">
        <v>45</v>
      </c>
      <c r="P124" t="s">
        <v>153</v>
      </c>
      <c r="Q124" t="s">
        <v>154</v>
      </c>
      <c r="R124" t="s">
        <v>48</v>
      </c>
      <c r="S124" t="s">
        <v>49</v>
      </c>
      <c r="AB124" t="s">
        <v>49</v>
      </c>
      <c r="AC124">
        <v>0</v>
      </c>
      <c r="AD124">
        <v>0</v>
      </c>
      <c r="AE124">
        <v>0</v>
      </c>
      <c r="AF124">
        <v>0</v>
      </c>
      <c r="AG124">
        <v>0</v>
      </c>
      <c r="AH124">
        <v>0</v>
      </c>
      <c r="AI124">
        <v>0</v>
      </c>
      <c r="AJ124">
        <v>0</v>
      </c>
      <c r="AK124">
        <v>0</v>
      </c>
    </row>
    <row r="125" spans="1:37">
      <c r="A125" t="s">
        <v>37</v>
      </c>
      <c r="B125" t="s">
        <v>38</v>
      </c>
      <c r="C125" t="str">
        <f t="shared" si="3"/>
        <v>amzn1.ads-account.g.dfa7o7cwdl371d634ew58i919</v>
      </c>
      <c r="D125" t="s">
        <v>39</v>
      </c>
      <c r="G125" t="str">
        <f t="shared" si="4"/>
        <v>585687237024345541</v>
      </c>
      <c r="H125" t="s">
        <v>40</v>
      </c>
      <c r="I125" t="str">
        <f t="shared" si="5"/>
        <v>585478290940566279</v>
      </c>
      <c r="J125" t="s">
        <v>41</v>
      </c>
      <c r="K125" t="s">
        <v>403</v>
      </c>
      <c r="L125" s="1" t="str">
        <f>VLOOKUP(K125,Sheet1!A:B,2,FALSE)</f>
        <v>SH-BRY10-BU-41</v>
      </c>
      <c r="M125" t="s">
        <v>404</v>
      </c>
      <c r="N125" t="s">
        <v>44</v>
      </c>
      <c r="O125" t="s">
        <v>45</v>
      </c>
      <c r="P125" t="s">
        <v>46</v>
      </c>
      <c r="Q125" t="s">
        <v>47</v>
      </c>
      <c r="R125" t="s">
        <v>48</v>
      </c>
      <c r="S125" t="s">
        <v>49</v>
      </c>
      <c r="AB125" t="s">
        <v>49</v>
      </c>
      <c r="AC125">
        <v>15</v>
      </c>
      <c r="AD125">
        <v>340.63</v>
      </c>
      <c r="AE125">
        <v>15</v>
      </c>
      <c r="AF125">
        <v>15</v>
      </c>
      <c r="AG125">
        <v>340.63</v>
      </c>
      <c r="AH125">
        <v>15</v>
      </c>
      <c r="AI125">
        <v>8</v>
      </c>
      <c r="AJ125">
        <v>181</v>
      </c>
      <c r="AK125">
        <v>8</v>
      </c>
    </row>
    <row r="126" spans="1:37">
      <c r="A126" t="s">
        <v>37</v>
      </c>
      <c r="B126" t="s">
        <v>188</v>
      </c>
      <c r="C126" t="str">
        <f t="shared" si="3"/>
        <v>amzn1.ads-account.g.dfa7o7cwdl371d634ew58i919</v>
      </c>
      <c r="D126" t="s">
        <v>39</v>
      </c>
      <c r="G126" t="str">
        <f t="shared" si="4"/>
        <v>585687237024345541</v>
      </c>
      <c r="H126" t="s">
        <v>40</v>
      </c>
      <c r="I126" t="str">
        <f t="shared" si="5"/>
        <v>585478290940566279</v>
      </c>
      <c r="J126" t="s">
        <v>41</v>
      </c>
      <c r="K126" t="s">
        <v>405</v>
      </c>
      <c r="L126" s="1" t="str">
        <f>VLOOKUP(K126,Sheet1!A:B,2,FALSE)</f>
        <v>XM1-L200-ABK-36</v>
      </c>
      <c r="M126" t="s">
        <v>406</v>
      </c>
      <c r="N126" t="s">
        <v>191</v>
      </c>
      <c r="O126" t="s">
        <v>45</v>
      </c>
      <c r="Q126" t="s">
        <v>54</v>
      </c>
      <c r="R126" t="s">
        <v>48</v>
      </c>
      <c r="S126" t="s">
        <v>49</v>
      </c>
      <c r="AB126" t="s">
        <v>49</v>
      </c>
      <c r="AC126">
        <v>0</v>
      </c>
      <c r="AD126">
        <v>0</v>
      </c>
      <c r="AE126">
        <v>0</v>
      </c>
      <c r="AF126">
        <v>0</v>
      </c>
      <c r="AG126">
        <v>0</v>
      </c>
      <c r="AH126">
        <v>0</v>
      </c>
      <c r="AI126">
        <v>0</v>
      </c>
      <c r="AJ126">
        <v>0</v>
      </c>
      <c r="AK126">
        <v>0</v>
      </c>
    </row>
    <row r="127" spans="1:37">
      <c r="A127" t="s">
        <v>37</v>
      </c>
      <c r="B127" t="s">
        <v>170</v>
      </c>
      <c r="C127" t="str">
        <f t="shared" si="3"/>
        <v>amzn1.ads-account.g.dfa7o7cwdl371d634ew58i919</v>
      </c>
      <c r="D127" t="s">
        <v>39</v>
      </c>
      <c r="G127" t="str">
        <f t="shared" si="4"/>
        <v>585687237024345541</v>
      </c>
      <c r="H127" t="s">
        <v>40</v>
      </c>
      <c r="I127" t="str">
        <f t="shared" si="5"/>
        <v>585478290940566279</v>
      </c>
      <c r="J127" t="s">
        <v>41</v>
      </c>
      <c r="K127" t="s">
        <v>407</v>
      </c>
      <c r="L127" s="1" t="str">
        <f>VLOOKUP(K127,Sheet1!A:B,2,FALSE)</f>
        <v>XM2-S73-WT-38</v>
      </c>
      <c r="M127" t="s">
        <v>408</v>
      </c>
      <c r="N127" t="s">
        <v>83</v>
      </c>
      <c r="O127" t="s">
        <v>45</v>
      </c>
      <c r="P127" t="s">
        <v>75</v>
      </c>
      <c r="Q127" t="s">
        <v>76</v>
      </c>
      <c r="R127" t="s">
        <v>48</v>
      </c>
      <c r="S127" t="s">
        <v>49</v>
      </c>
      <c r="AB127" t="s">
        <v>49</v>
      </c>
      <c r="AC127">
        <v>1</v>
      </c>
      <c r="AD127">
        <v>49.99</v>
      </c>
      <c r="AE127">
        <v>1</v>
      </c>
      <c r="AF127">
        <v>1</v>
      </c>
      <c r="AG127">
        <v>49.99</v>
      </c>
      <c r="AH127">
        <v>1</v>
      </c>
      <c r="AI127">
        <v>0</v>
      </c>
      <c r="AJ127">
        <v>0</v>
      </c>
      <c r="AK127">
        <v>0</v>
      </c>
    </row>
    <row r="128" spans="1:37">
      <c r="A128" t="s">
        <v>37</v>
      </c>
      <c r="B128" t="s">
        <v>147</v>
      </c>
      <c r="C128" t="str">
        <f t="shared" si="3"/>
        <v>amzn1.ads-account.g.dfa7o7cwdl371d634ew58i919</v>
      </c>
      <c r="D128" t="s">
        <v>39</v>
      </c>
      <c r="G128" t="str">
        <f t="shared" si="4"/>
        <v>585687237024345541</v>
      </c>
      <c r="H128" t="s">
        <v>40</v>
      </c>
      <c r="I128" t="str">
        <f t="shared" si="5"/>
        <v>585478290940566279</v>
      </c>
      <c r="J128" t="s">
        <v>41</v>
      </c>
      <c r="K128" t="s">
        <v>409</v>
      </c>
      <c r="L128" s="1" t="str">
        <f>VLOOKUP(K128,Sheet1!A:B,2,FALSE)</f>
        <v>LB1-Y15-BN-40</v>
      </c>
      <c r="M128" t="s">
        <v>410</v>
      </c>
      <c r="N128" t="s">
        <v>58</v>
      </c>
      <c r="O128" t="s">
        <v>45</v>
      </c>
      <c r="P128" t="s">
        <v>59</v>
      </c>
      <c r="Q128" t="s">
        <v>130</v>
      </c>
      <c r="R128" t="s">
        <v>48</v>
      </c>
      <c r="S128" t="s">
        <v>49</v>
      </c>
      <c r="AB128" t="s">
        <v>49</v>
      </c>
      <c r="AC128">
        <v>0</v>
      </c>
      <c r="AD128">
        <v>0</v>
      </c>
      <c r="AE128">
        <v>0</v>
      </c>
      <c r="AF128">
        <v>0</v>
      </c>
      <c r="AG128">
        <v>0</v>
      </c>
      <c r="AH128">
        <v>0</v>
      </c>
      <c r="AI128">
        <v>0</v>
      </c>
      <c r="AJ128">
        <v>0</v>
      </c>
      <c r="AK128">
        <v>0</v>
      </c>
    </row>
    <row r="129" spans="1:37">
      <c r="A129" t="s">
        <v>37</v>
      </c>
      <c r="B129" t="s">
        <v>80</v>
      </c>
      <c r="C129" t="str">
        <f t="shared" si="3"/>
        <v>amzn1.ads-account.g.dfa7o7cwdl371d634ew58i919</v>
      </c>
      <c r="D129" t="s">
        <v>39</v>
      </c>
      <c r="G129" t="str">
        <f t="shared" si="4"/>
        <v>585687237024345541</v>
      </c>
      <c r="H129" t="s">
        <v>40</v>
      </c>
      <c r="I129" t="str">
        <f t="shared" si="5"/>
        <v>585478290940566279</v>
      </c>
      <c r="J129" t="s">
        <v>41</v>
      </c>
      <c r="K129" t="s">
        <v>411</v>
      </c>
      <c r="L129" s="1" t="str">
        <f>VLOOKUP(K129,Sheet1!A:B,2,FALSE)</f>
        <v>XM2-S71-LTBU-42</v>
      </c>
      <c r="M129" t="s">
        <v>412</v>
      </c>
      <c r="N129" t="s">
        <v>83</v>
      </c>
      <c r="O129" t="s">
        <v>45</v>
      </c>
      <c r="P129" t="s">
        <v>65</v>
      </c>
      <c r="Q129" t="s">
        <v>84</v>
      </c>
      <c r="R129" t="s">
        <v>48</v>
      </c>
      <c r="S129" t="s">
        <v>49</v>
      </c>
      <c r="AB129" t="s">
        <v>49</v>
      </c>
      <c r="AC129">
        <v>1</v>
      </c>
      <c r="AD129">
        <v>49.99</v>
      </c>
      <c r="AE129">
        <v>1</v>
      </c>
      <c r="AF129">
        <v>1</v>
      </c>
      <c r="AG129">
        <v>49.99</v>
      </c>
      <c r="AH129">
        <v>1</v>
      </c>
      <c r="AI129">
        <v>0</v>
      </c>
      <c r="AJ129">
        <v>0</v>
      </c>
      <c r="AK129">
        <v>0</v>
      </c>
    </row>
    <row r="130" spans="1:37">
      <c r="A130" t="s">
        <v>37</v>
      </c>
      <c r="B130" t="s">
        <v>413</v>
      </c>
      <c r="C130" t="str">
        <f t="shared" ref="C130:C193" si="6">"amzn1.ads-account.g.dfa7o7cwdl371d634ew58i919"</f>
        <v>amzn1.ads-account.g.dfa7o7cwdl371d634ew58i919</v>
      </c>
      <c r="D130" t="s">
        <v>39</v>
      </c>
      <c r="G130" t="str">
        <f t="shared" ref="G130:G193" si="7">"585687237024345541"</f>
        <v>585687237024345541</v>
      </c>
      <c r="H130" t="s">
        <v>40</v>
      </c>
      <c r="I130" t="str">
        <f t="shared" ref="I130:I193" si="8">"585478290940566279"</f>
        <v>585478290940566279</v>
      </c>
      <c r="J130" t="s">
        <v>41</v>
      </c>
      <c r="K130" t="s">
        <v>414</v>
      </c>
      <c r="L130" s="1" t="str">
        <f>VLOOKUP(K130,Sheet1!A:B,2,FALSE)</f>
        <v>XM1-L200-KQ-38</v>
      </c>
      <c r="M130" t="s">
        <v>415</v>
      </c>
      <c r="N130" t="s">
        <v>191</v>
      </c>
      <c r="O130" t="s">
        <v>45</v>
      </c>
      <c r="P130" t="s">
        <v>75</v>
      </c>
      <c r="Q130" t="s">
        <v>76</v>
      </c>
      <c r="R130" t="s">
        <v>48</v>
      </c>
      <c r="S130" t="s">
        <v>49</v>
      </c>
      <c r="AB130" t="s">
        <v>49</v>
      </c>
      <c r="AC130">
        <v>0</v>
      </c>
      <c r="AD130">
        <v>0</v>
      </c>
      <c r="AE130">
        <v>0</v>
      </c>
      <c r="AF130">
        <v>0</v>
      </c>
      <c r="AG130">
        <v>0</v>
      </c>
      <c r="AH130">
        <v>0</v>
      </c>
      <c r="AI130">
        <v>0</v>
      </c>
      <c r="AJ130">
        <v>0</v>
      </c>
      <c r="AK130">
        <v>0</v>
      </c>
    </row>
    <row r="131" spans="1:37">
      <c r="A131" t="s">
        <v>37</v>
      </c>
      <c r="B131" t="s">
        <v>120</v>
      </c>
      <c r="C131" t="str">
        <f t="shared" si="6"/>
        <v>amzn1.ads-account.g.dfa7o7cwdl371d634ew58i919</v>
      </c>
      <c r="D131" t="s">
        <v>39</v>
      </c>
      <c r="G131" t="str">
        <f t="shared" si="7"/>
        <v>585687237024345541</v>
      </c>
      <c r="H131" t="s">
        <v>40</v>
      </c>
      <c r="I131" t="str">
        <f t="shared" si="8"/>
        <v>585478290940566279</v>
      </c>
      <c r="J131" t="s">
        <v>41</v>
      </c>
      <c r="K131" t="s">
        <v>416</v>
      </c>
      <c r="L131" s="1" t="str">
        <f>VLOOKUP(K131,Sheet1!A:B,2,FALSE)</f>
        <v>SH-BRY10-BN-45</v>
      </c>
      <c r="M131" t="s">
        <v>417</v>
      </c>
      <c r="N131" t="s">
        <v>44</v>
      </c>
      <c r="O131" t="s">
        <v>45</v>
      </c>
      <c r="P131" t="s">
        <v>46</v>
      </c>
      <c r="Q131" t="s">
        <v>157</v>
      </c>
      <c r="R131" t="s">
        <v>48</v>
      </c>
      <c r="S131" t="s">
        <v>49</v>
      </c>
      <c r="AB131" t="s">
        <v>49</v>
      </c>
      <c r="AC131">
        <v>1</v>
      </c>
      <c r="AD131">
        <v>19.33</v>
      </c>
      <c r="AE131">
        <v>1</v>
      </c>
      <c r="AF131">
        <v>1</v>
      </c>
      <c r="AG131">
        <v>19.33</v>
      </c>
      <c r="AH131">
        <v>1</v>
      </c>
      <c r="AI131">
        <v>0</v>
      </c>
      <c r="AJ131">
        <v>0</v>
      </c>
      <c r="AK131">
        <v>0</v>
      </c>
    </row>
    <row r="132" spans="1:37">
      <c r="A132" t="s">
        <v>37</v>
      </c>
      <c r="B132" t="s">
        <v>150</v>
      </c>
      <c r="C132" t="str">
        <f t="shared" si="6"/>
        <v>amzn1.ads-account.g.dfa7o7cwdl371d634ew58i919</v>
      </c>
      <c r="D132" t="s">
        <v>39</v>
      </c>
      <c r="G132" t="str">
        <f t="shared" si="7"/>
        <v>585687237024345541</v>
      </c>
      <c r="H132" t="s">
        <v>40</v>
      </c>
      <c r="I132" t="str">
        <f t="shared" si="8"/>
        <v>585478290940566279</v>
      </c>
      <c r="J132" t="s">
        <v>41</v>
      </c>
      <c r="K132" t="s">
        <v>418</v>
      </c>
      <c r="L132" s="1" t="str">
        <f>VLOOKUP(K132,Sheet1!A:B,2,FALSE)</f>
        <v>XM2-S600-DKBU-41</v>
      </c>
      <c r="M132" t="s">
        <v>419</v>
      </c>
      <c r="N132" t="s">
        <v>70</v>
      </c>
      <c r="O132" t="s">
        <v>45</v>
      </c>
      <c r="P132" t="s">
        <v>75</v>
      </c>
      <c r="Q132" t="s">
        <v>76</v>
      </c>
      <c r="R132" t="s">
        <v>48</v>
      </c>
      <c r="S132" t="s">
        <v>49</v>
      </c>
      <c r="AB132" t="s">
        <v>49</v>
      </c>
      <c r="AC132">
        <v>0</v>
      </c>
      <c r="AD132">
        <v>0</v>
      </c>
      <c r="AE132">
        <v>0</v>
      </c>
      <c r="AF132">
        <v>0</v>
      </c>
      <c r="AG132">
        <v>0</v>
      </c>
      <c r="AH132">
        <v>0</v>
      </c>
      <c r="AI132">
        <v>0</v>
      </c>
      <c r="AJ132">
        <v>0</v>
      </c>
      <c r="AK132">
        <v>0</v>
      </c>
    </row>
    <row r="133" spans="1:37">
      <c r="A133" t="s">
        <v>37</v>
      </c>
      <c r="B133" t="s">
        <v>120</v>
      </c>
      <c r="C133" t="str">
        <f t="shared" si="6"/>
        <v>amzn1.ads-account.g.dfa7o7cwdl371d634ew58i919</v>
      </c>
      <c r="D133" t="s">
        <v>39</v>
      </c>
      <c r="G133" t="str">
        <f t="shared" si="7"/>
        <v>585687237024345541</v>
      </c>
      <c r="H133" t="s">
        <v>40</v>
      </c>
      <c r="I133" t="str">
        <f t="shared" si="8"/>
        <v>585478290940566279</v>
      </c>
      <c r="J133" t="s">
        <v>41</v>
      </c>
      <c r="K133" t="s">
        <v>420</v>
      </c>
      <c r="L133" s="1" t="str">
        <f>VLOOKUP(K133,Sheet1!A:B,2,FALSE)</f>
        <v>SH-BRY10-RERD-38</v>
      </c>
      <c r="M133" t="s">
        <v>421</v>
      </c>
      <c r="N133" t="s">
        <v>44</v>
      </c>
      <c r="O133" t="s">
        <v>45</v>
      </c>
      <c r="P133" t="s">
        <v>75</v>
      </c>
      <c r="Q133" t="s">
        <v>91</v>
      </c>
      <c r="R133" t="s">
        <v>48</v>
      </c>
      <c r="S133" t="s">
        <v>49</v>
      </c>
      <c r="AB133" t="s">
        <v>49</v>
      </c>
      <c r="AC133">
        <v>3</v>
      </c>
      <c r="AD133">
        <v>67.31</v>
      </c>
      <c r="AE133">
        <v>3</v>
      </c>
      <c r="AF133">
        <v>3</v>
      </c>
      <c r="AG133">
        <v>67.31</v>
      </c>
      <c r="AH133">
        <v>3</v>
      </c>
      <c r="AI133">
        <v>1</v>
      </c>
      <c r="AJ133">
        <v>19.33</v>
      </c>
      <c r="AK133">
        <v>1</v>
      </c>
    </row>
    <row r="134" spans="1:37">
      <c r="A134" t="s">
        <v>37</v>
      </c>
      <c r="B134" t="s">
        <v>422</v>
      </c>
      <c r="C134" t="str">
        <f t="shared" si="6"/>
        <v>amzn1.ads-account.g.dfa7o7cwdl371d634ew58i919</v>
      </c>
      <c r="D134" t="s">
        <v>39</v>
      </c>
      <c r="G134" t="str">
        <f t="shared" si="7"/>
        <v>585687237024345541</v>
      </c>
      <c r="H134" t="s">
        <v>40</v>
      </c>
      <c r="I134" t="str">
        <f t="shared" si="8"/>
        <v>585478290940566279</v>
      </c>
      <c r="J134" t="s">
        <v>41</v>
      </c>
      <c r="K134" t="s">
        <v>423</v>
      </c>
      <c r="L134" s="1" t="str">
        <f>VLOOKUP(K134,Sheet1!A:B,2,FALSE)</f>
        <v>XM2-S75-BK-41</v>
      </c>
      <c r="M134" t="s">
        <v>424</v>
      </c>
      <c r="N134" t="s">
        <v>95</v>
      </c>
      <c r="O134" t="s">
        <v>45</v>
      </c>
      <c r="P134" t="s">
        <v>153</v>
      </c>
      <c r="Q134" t="s">
        <v>154</v>
      </c>
      <c r="R134" t="s">
        <v>48</v>
      </c>
      <c r="S134" t="s">
        <v>49</v>
      </c>
      <c r="AB134" t="s">
        <v>49</v>
      </c>
      <c r="AC134">
        <v>0</v>
      </c>
      <c r="AD134">
        <v>0</v>
      </c>
      <c r="AE134">
        <v>0</v>
      </c>
      <c r="AF134">
        <v>0</v>
      </c>
      <c r="AG134">
        <v>0</v>
      </c>
      <c r="AH134">
        <v>0</v>
      </c>
      <c r="AI134">
        <v>0</v>
      </c>
      <c r="AJ134">
        <v>0</v>
      </c>
      <c r="AK134">
        <v>0</v>
      </c>
    </row>
    <row r="135" spans="1:37">
      <c r="A135" t="s">
        <v>37</v>
      </c>
      <c r="B135" t="s">
        <v>147</v>
      </c>
      <c r="C135" t="str">
        <f t="shared" si="6"/>
        <v>amzn1.ads-account.g.dfa7o7cwdl371d634ew58i919</v>
      </c>
      <c r="D135" t="s">
        <v>39</v>
      </c>
      <c r="G135" t="str">
        <f t="shared" si="7"/>
        <v>585687237024345541</v>
      </c>
      <c r="H135" t="s">
        <v>40</v>
      </c>
      <c r="I135" t="str">
        <f t="shared" si="8"/>
        <v>585478290940566279</v>
      </c>
      <c r="J135" t="s">
        <v>41</v>
      </c>
      <c r="K135" t="s">
        <v>425</v>
      </c>
      <c r="L135" s="1" t="str">
        <f>VLOOKUP(K135,Sheet1!A:B,2,FALSE)</f>
        <v>SH-BRY10-BK-49</v>
      </c>
      <c r="M135" t="s">
        <v>426</v>
      </c>
      <c r="N135" t="s">
        <v>44</v>
      </c>
      <c r="O135" t="s">
        <v>45</v>
      </c>
      <c r="P135" t="s">
        <v>59</v>
      </c>
      <c r="Q135" t="s">
        <v>106</v>
      </c>
      <c r="R135" t="s">
        <v>48</v>
      </c>
      <c r="S135" t="s">
        <v>49</v>
      </c>
      <c r="AB135" t="s">
        <v>49</v>
      </c>
      <c r="AC135">
        <v>20</v>
      </c>
      <c r="AD135">
        <v>454.8</v>
      </c>
      <c r="AE135">
        <v>20</v>
      </c>
      <c r="AF135">
        <v>20</v>
      </c>
      <c r="AG135">
        <v>454.8</v>
      </c>
      <c r="AH135">
        <v>20</v>
      </c>
      <c r="AI135">
        <v>12</v>
      </c>
      <c r="AJ135">
        <v>287.45</v>
      </c>
      <c r="AK135">
        <v>12</v>
      </c>
    </row>
    <row r="136" spans="1:37">
      <c r="A136" t="s">
        <v>37</v>
      </c>
      <c r="B136" t="s">
        <v>120</v>
      </c>
      <c r="C136" t="str">
        <f t="shared" si="6"/>
        <v>amzn1.ads-account.g.dfa7o7cwdl371d634ew58i919</v>
      </c>
      <c r="D136" t="s">
        <v>39</v>
      </c>
      <c r="G136" t="str">
        <f t="shared" si="7"/>
        <v>585687237024345541</v>
      </c>
      <c r="H136" t="s">
        <v>40</v>
      </c>
      <c r="I136" t="str">
        <f t="shared" si="8"/>
        <v>585478290940566279</v>
      </c>
      <c r="J136" t="s">
        <v>41</v>
      </c>
      <c r="K136" t="s">
        <v>427</v>
      </c>
      <c r="L136" s="1" t="str">
        <f>VLOOKUP(K136,Sheet1!A:B,2,FALSE)</f>
        <v>SH-BRY10-PL-40</v>
      </c>
      <c r="M136" t="s">
        <v>428</v>
      </c>
      <c r="N136" t="s">
        <v>44</v>
      </c>
      <c r="O136" t="s">
        <v>45</v>
      </c>
      <c r="P136" t="s">
        <v>46</v>
      </c>
      <c r="Q136" t="s">
        <v>157</v>
      </c>
      <c r="R136" t="s">
        <v>48</v>
      </c>
      <c r="S136" t="s">
        <v>49</v>
      </c>
      <c r="AB136" t="s">
        <v>49</v>
      </c>
      <c r="AC136">
        <v>2</v>
      </c>
      <c r="AD136">
        <v>47.98</v>
      </c>
      <c r="AE136">
        <v>2</v>
      </c>
      <c r="AF136">
        <v>2</v>
      </c>
      <c r="AG136">
        <v>47.98</v>
      </c>
      <c r="AH136">
        <v>2</v>
      </c>
      <c r="AI136">
        <v>1</v>
      </c>
      <c r="AJ136">
        <v>23.99</v>
      </c>
      <c r="AK136">
        <v>1</v>
      </c>
    </row>
    <row r="137" spans="1:37">
      <c r="A137" t="s">
        <v>37</v>
      </c>
      <c r="B137" t="s">
        <v>120</v>
      </c>
      <c r="C137" t="str">
        <f t="shared" si="6"/>
        <v>amzn1.ads-account.g.dfa7o7cwdl371d634ew58i919</v>
      </c>
      <c r="D137" t="s">
        <v>39</v>
      </c>
      <c r="G137" t="str">
        <f t="shared" si="7"/>
        <v>585687237024345541</v>
      </c>
      <c r="H137" t="s">
        <v>40</v>
      </c>
      <c r="I137" t="str">
        <f t="shared" si="8"/>
        <v>585478290940566279</v>
      </c>
      <c r="J137" t="s">
        <v>41</v>
      </c>
      <c r="K137" t="s">
        <v>429</v>
      </c>
      <c r="L137" s="1" t="str">
        <f>VLOOKUP(K137,Sheet1!A:B,2,FALSE)</f>
        <v>SH-BRY180-BK-45</v>
      </c>
      <c r="M137" t="s">
        <v>430</v>
      </c>
      <c r="N137" t="s">
        <v>64</v>
      </c>
      <c r="O137" t="s">
        <v>45</v>
      </c>
      <c r="P137" t="s">
        <v>59</v>
      </c>
      <c r="Q137" t="s">
        <v>114</v>
      </c>
      <c r="R137" t="s">
        <v>48</v>
      </c>
      <c r="S137" t="s">
        <v>49</v>
      </c>
      <c r="AB137" t="s">
        <v>49</v>
      </c>
      <c r="AC137">
        <v>10</v>
      </c>
      <c r="AD137">
        <v>193.9</v>
      </c>
      <c r="AE137">
        <v>10</v>
      </c>
      <c r="AF137">
        <v>10</v>
      </c>
      <c r="AG137">
        <v>193.9</v>
      </c>
      <c r="AH137">
        <v>10</v>
      </c>
      <c r="AI137">
        <v>7</v>
      </c>
      <c r="AJ137">
        <v>133.93</v>
      </c>
      <c r="AK137">
        <v>7</v>
      </c>
    </row>
    <row r="138" spans="1:37">
      <c r="A138" t="s">
        <v>37</v>
      </c>
      <c r="B138" t="s">
        <v>431</v>
      </c>
      <c r="C138" t="str">
        <f t="shared" si="6"/>
        <v>amzn1.ads-account.g.dfa7o7cwdl371d634ew58i919</v>
      </c>
      <c r="D138" t="s">
        <v>39</v>
      </c>
      <c r="G138" t="str">
        <f t="shared" si="7"/>
        <v>585687237024345541</v>
      </c>
      <c r="H138" t="s">
        <v>40</v>
      </c>
      <c r="I138" t="str">
        <f t="shared" si="8"/>
        <v>585478290940566279</v>
      </c>
      <c r="J138" t="s">
        <v>41</v>
      </c>
      <c r="K138" t="s">
        <v>432</v>
      </c>
      <c r="L138" s="1" t="str">
        <f>VLOOKUP(K138,Sheet1!A:B,2,FALSE)</f>
        <v>SH-BRY10-OLGN-38</v>
      </c>
      <c r="M138" t="s">
        <v>433</v>
      </c>
      <c r="N138" t="s">
        <v>44</v>
      </c>
      <c r="O138" t="s">
        <v>45</v>
      </c>
      <c r="P138" t="s">
        <v>46</v>
      </c>
      <c r="Q138" t="s">
        <v>157</v>
      </c>
      <c r="R138" t="s">
        <v>48</v>
      </c>
      <c r="S138" t="s">
        <v>49</v>
      </c>
      <c r="AB138" t="s">
        <v>49</v>
      </c>
      <c r="AC138">
        <v>0</v>
      </c>
      <c r="AD138">
        <v>0</v>
      </c>
      <c r="AE138">
        <v>0</v>
      </c>
      <c r="AF138">
        <v>0</v>
      </c>
      <c r="AG138">
        <v>0</v>
      </c>
      <c r="AH138">
        <v>0</v>
      </c>
      <c r="AI138">
        <v>0</v>
      </c>
      <c r="AJ138">
        <v>0</v>
      </c>
      <c r="AK138">
        <v>0</v>
      </c>
    </row>
    <row r="139" spans="1:37">
      <c r="A139" t="s">
        <v>37</v>
      </c>
      <c r="B139" t="s">
        <v>434</v>
      </c>
      <c r="C139" t="str">
        <f t="shared" si="6"/>
        <v>amzn1.ads-account.g.dfa7o7cwdl371d634ew58i919</v>
      </c>
      <c r="D139" t="s">
        <v>39</v>
      </c>
      <c r="G139" t="str">
        <f t="shared" si="7"/>
        <v>585687237024345541</v>
      </c>
      <c r="H139" t="s">
        <v>40</v>
      </c>
      <c r="I139" t="str">
        <f t="shared" si="8"/>
        <v>585478290940566279</v>
      </c>
      <c r="J139" t="s">
        <v>41</v>
      </c>
      <c r="K139" t="s">
        <v>435</v>
      </c>
      <c r="L139" s="1" t="str">
        <f>VLOOKUP(K139,Sheet1!A:B,2,FALSE)</f>
        <v>XM2-S75-BG-36</v>
      </c>
      <c r="M139" t="s">
        <v>436</v>
      </c>
      <c r="N139" t="s">
        <v>95</v>
      </c>
      <c r="O139" t="s">
        <v>45</v>
      </c>
      <c r="P139" t="s">
        <v>153</v>
      </c>
      <c r="Q139" t="s">
        <v>154</v>
      </c>
      <c r="R139" t="s">
        <v>48</v>
      </c>
      <c r="S139" t="s">
        <v>49</v>
      </c>
      <c r="AB139" t="s">
        <v>49</v>
      </c>
      <c r="AC139">
        <v>0</v>
      </c>
      <c r="AD139">
        <v>0</v>
      </c>
      <c r="AE139">
        <v>0</v>
      </c>
      <c r="AF139">
        <v>0</v>
      </c>
      <c r="AG139">
        <v>0</v>
      </c>
      <c r="AH139">
        <v>0</v>
      </c>
      <c r="AI139">
        <v>0</v>
      </c>
      <c r="AJ139">
        <v>0</v>
      </c>
      <c r="AK139">
        <v>0</v>
      </c>
    </row>
    <row r="140" spans="1:37">
      <c r="A140" t="s">
        <v>37</v>
      </c>
      <c r="B140" t="s">
        <v>120</v>
      </c>
      <c r="C140" t="str">
        <f t="shared" si="6"/>
        <v>amzn1.ads-account.g.dfa7o7cwdl371d634ew58i919</v>
      </c>
      <c r="D140" t="s">
        <v>39</v>
      </c>
      <c r="G140" t="str">
        <f t="shared" si="7"/>
        <v>585687237024345541</v>
      </c>
      <c r="H140" t="s">
        <v>40</v>
      </c>
      <c r="I140" t="str">
        <f t="shared" si="8"/>
        <v>585478290940566279</v>
      </c>
      <c r="J140" t="s">
        <v>41</v>
      </c>
      <c r="K140" t="s">
        <v>437</v>
      </c>
      <c r="L140" s="1" t="str">
        <f>VLOOKUP(K140,Sheet1!A:B,2,FALSE)</f>
        <v>SH-BRY10-KQ-43</v>
      </c>
      <c r="M140" t="s">
        <v>438</v>
      </c>
      <c r="N140" t="s">
        <v>44</v>
      </c>
      <c r="O140" t="s">
        <v>45</v>
      </c>
      <c r="P140" t="s">
        <v>59</v>
      </c>
      <c r="Q140" t="s">
        <v>173</v>
      </c>
      <c r="R140" t="s">
        <v>48</v>
      </c>
      <c r="S140" t="s">
        <v>49</v>
      </c>
      <c r="AB140" t="s">
        <v>49</v>
      </c>
      <c r="AC140">
        <v>2</v>
      </c>
      <c r="AD140">
        <v>43.32</v>
      </c>
      <c r="AE140">
        <v>2</v>
      </c>
      <c r="AF140">
        <v>2</v>
      </c>
      <c r="AG140">
        <v>43.32</v>
      </c>
      <c r="AH140">
        <v>2</v>
      </c>
      <c r="AI140">
        <v>1</v>
      </c>
      <c r="AJ140">
        <v>19.33</v>
      </c>
      <c r="AK140">
        <v>1</v>
      </c>
    </row>
    <row r="141" spans="1:37">
      <c r="A141" t="s">
        <v>37</v>
      </c>
      <c r="B141" t="s">
        <v>439</v>
      </c>
      <c r="C141" t="str">
        <f t="shared" si="6"/>
        <v>amzn1.ads-account.g.dfa7o7cwdl371d634ew58i919</v>
      </c>
      <c r="D141" t="s">
        <v>39</v>
      </c>
      <c r="G141" t="str">
        <f t="shared" si="7"/>
        <v>585687237024345541</v>
      </c>
      <c r="H141" t="s">
        <v>40</v>
      </c>
      <c r="I141" t="str">
        <f t="shared" si="8"/>
        <v>585478290940566279</v>
      </c>
      <c r="J141" t="s">
        <v>41</v>
      </c>
      <c r="K141" t="s">
        <v>440</v>
      </c>
      <c r="L141" s="1" t="str">
        <f>VLOOKUP(K141,Sheet1!A:B,2,FALSE)</f>
        <v>XM2-S71-BKGY-37</v>
      </c>
      <c r="M141" t="s">
        <v>441</v>
      </c>
      <c r="N141" t="s">
        <v>83</v>
      </c>
      <c r="O141" t="s">
        <v>45</v>
      </c>
      <c r="P141" t="s">
        <v>65</v>
      </c>
      <c r="Q141" t="s">
        <v>84</v>
      </c>
      <c r="R141" t="s">
        <v>48</v>
      </c>
      <c r="S141" t="s">
        <v>49</v>
      </c>
      <c r="AB141" t="s">
        <v>49</v>
      </c>
      <c r="AC141">
        <v>0</v>
      </c>
      <c r="AD141">
        <v>0</v>
      </c>
      <c r="AE141">
        <v>0</v>
      </c>
      <c r="AF141">
        <v>0</v>
      </c>
      <c r="AG141">
        <v>0</v>
      </c>
      <c r="AH141">
        <v>0</v>
      </c>
      <c r="AI141">
        <v>0</v>
      </c>
      <c r="AJ141">
        <v>0</v>
      </c>
      <c r="AK141">
        <v>0</v>
      </c>
    </row>
    <row r="142" spans="1:37">
      <c r="A142" t="s">
        <v>37</v>
      </c>
      <c r="B142" t="s">
        <v>103</v>
      </c>
      <c r="C142" t="str">
        <f t="shared" si="6"/>
        <v>amzn1.ads-account.g.dfa7o7cwdl371d634ew58i919</v>
      </c>
      <c r="D142" t="s">
        <v>39</v>
      </c>
      <c r="G142" t="str">
        <f t="shared" si="7"/>
        <v>585687237024345541</v>
      </c>
      <c r="H142" t="s">
        <v>40</v>
      </c>
      <c r="I142" t="str">
        <f t="shared" si="8"/>
        <v>585478290940566279</v>
      </c>
      <c r="J142" t="s">
        <v>41</v>
      </c>
      <c r="K142" t="s">
        <v>442</v>
      </c>
      <c r="L142" s="1" t="str">
        <f>VLOOKUP(K142,Sheet1!A:B,2,FALSE)</f>
        <v>LB1-Y15-GY-43</v>
      </c>
      <c r="M142" t="s">
        <v>443</v>
      </c>
      <c r="N142" t="s">
        <v>58</v>
      </c>
      <c r="O142" t="s">
        <v>45</v>
      </c>
      <c r="P142" t="s">
        <v>59</v>
      </c>
      <c r="Q142" t="s">
        <v>60</v>
      </c>
      <c r="R142" t="s">
        <v>48</v>
      </c>
      <c r="S142" t="s">
        <v>49</v>
      </c>
      <c r="AB142" t="s">
        <v>49</v>
      </c>
      <c r="AC142">
        <v>1</v>
      </c>
      <c r="AD142">
        <v>15.99</v>
      </c>
      <c r="AE142">
        <v>1</v>
      </c>
      <c r="AF142">
        <v>1</v>
      </c>
      <c r="AG142">
        <v>15.99</v>
      </c>
      <c r="AH142">
        <v>1</v>
      </c>
      <c r="AI142">
        <v>1</v>
      </c>
      <c r="AJ142">
        <v>15.99</v>
      </c>
      <c r="AK142">
        <v>1</v>
      </c>
    </row>
    <row r="143" spans="1:37">
      <c r="A143" t="s">
        <v>37</v>
      </c>
      <c r="B143" t="s">
        <v>444</v>
      </c>
      <c r="C143" t="str">
        <f t="shared" si="6"/>
        <v>amzn1.ads-account.g.dfa7o7cwdl371d634ew58i919</v>
      </c>
      <c r="D143" t="s">
        <v>39</v>
      </c>
      <c r="G143" t="str">
        <f t="shared" si="7"/>
        <v>585687237024345541</v>
      </c>
      <c r="H143" t="s">
        <v>40</v>
      </c>
      <c r="I143" t="str">
        <f t="shared" si="8"/>
        <v>585478290940566279</v>
      </c>
      <c r="J143" t="s">
        <v>41</v>
      </c>
      <c r="K143" t="s">
        <v>445</v>
      </c>
      <c r="L143" s="1" t="str">
        <f>VLOOKUP(K143,Sheet1!A:B,2,FALSE)</f>
        <v>XM1-L200-OG-37</v>
      </c>
      <c r="M143" t="s">
        <v>446</v>
      </c>
      <c r="N143" t="s">
        <v>191</v>
      </c>
      <c r="O143" t="s">
        <v>45</v>
      </c>
      <c r="Q143" t="s">
        <v>54</v>
      </c>
      <c r="R143" t="s">
        <v>48</v>
      </c>
      <c r="S143" t="s">
        <v>49</v>
      </c>
      <c r="AB143" t="s">
        <v>49</v>
      </c>
      <c r="AC143">
        <v>0</v>
      </c>
      <c r="AD143">
        <v>0</v>
      </c>
      <c r="AE143">
        <v>0</v>
      </c>
      <c r="AF143">
        <v>0</v>
      </c>
      <c r="AG143">
        <v>0</v>
      </c>
      <c r="AH143">
        <v>0</v>
      </c>
      <c r="AI143">
        <v>0</v>
      </c>
      <c r="AJ143">
        <v>0</v>
      </c>
      <c r="AK143">
        <v>0</v>
      </c>
    </row>
    <row r="144" spans="1:37">
      <c r="A144" t="s">
        <v>37</v>
      </c>
      <c r="B144" t="s">
        <v>447</v>
      </c>
      <c r="C144" t="str">
        <f t="shared" si="6"/>
        <v>amzn1.ads-account.g.dfa7o7cwdl371d634ew58i919</v>
      </c>
      <c r="D144" t="s">
        <v>39</v>
      </c>
      <c r="G144" t="str">
        <f t="shared" si="7"/>
        <v>585687237024345541</v>
      </c>
      <c r="H144" t="s">
        <v>40</v>
      </c>
      <c r="I144" t="str">
        <f t="shared" si="8"/>
        <v>585478290940566279</v>
      </c>
      <c r="J144" t="s">
        <v>41</v>
      </c>
      <c r="K144" t="s">
        <v>448</v>
      </c>
      <c r="L144" s="1" t="str">
        <f>VLOOKUP(K144,Sheet1!A:B,2,FALSE)</f>
        <v>SH-BRY180-WT-43</v>
      </c>
      <c r="M144" t="s">
        <v>449</v>
      </c>
      <c r="N144" t="s">
        <v>64</v>
      </c>
      <c r="O144" t="s">
        <v>45</v>
      </c>
      <c r="P144" t="s">
        <v>59</v>
      </c>
      <c r="Q144" t="s">
        <v>173</v>
      </c>
      <c r="R144" t="s">
        <v>48</v>
      </c>
      <c r="S144" t="s">
        <v>49</v>
      </c>
      <c r="AB144" t="s">
        <v>49</v>
      </c>
      <c r="AC144">
        <v>1</v>
      </c>
      <c r="AD144">
        <v>23.99</v>
      </c>
      <c r="AE144">
        <v>1</v>
      </c>
      <c r="AF144">
        <v>1</v>
      </c>
      <c r="AG144">
        <v>23.99</v>
      </c>
      <c r="AH144">
        <v>1</v>
      </c>
      <c r="AI144">
        <v>1</v>
      </c>
      <c r="AJ144">
        <v>23.99</v>
      </c>
      <c r="AK144">
        <v>1</v>
      </c>
    </row>
    <row r="145" spans="1:37">
      <c r="A145" t="s">
        <v>37</v>
      </c>
      <c r="B145" t="s">
        <v>188</v>
      </c>
      <c r="C145" t="str">
        <f t="shared" si="6"/>
        <v>amzn1.ads-account.g.dfa7o7cwdl371d634ew58i919</v>
      </c>
      <c r="D145" t="s">
        <v>39</v>
      </c>
      <c r="G145" t="str">
        <f t="shared" si="7"/>
        <v>585687237024345541</v>
      </c>
      <c r="H145" t="s">
        <v>40</v>
      </c>
      <c r="I145" t="str">
        <f t="shared" si="8"/>
        <v>585478290940566279</v>
      </c>
      <c r="J145" t="s">
        <v>41</v>
      </c>
      <c r="K145" t="s">
        <v>450</v>
      </c>
      <c r="L145" s="1" t="str">
        <f>VLOOKUP(K145,Sheet1!A:B,2,FALSE)</f>
        <v>SH-BRKD5-ABK-38</v>
      </c>
      <c r="M145" t="s">
        <v>451</v>
      </c>
      <c r="N145" t="s">
        <v>139</v>
      </c>
      <c r="O145" t="s">
        <v>45</v>
      </c>
      <c r="P145" t="s">
        <v>46</v>
      </c>
      <c r="Q145" t="s">
        <v>157</v>
      </c>
      <c r="R145" t="s">
        <v>48</v>
      </c>
      <c r="S145" t="s">
        <v>49</v>
      </c>
      <c r="AB145" t="s">
        <v>49</v>
      </c>
      <c r="AC145">
        <v>0</v>
      </c>
      <c r="AD145">
        <v>0</v>
      </c>
      <c r="AE145">
        <v>0</v>
      </c>
      <c r="AF145">
        <v>0</v>
      </c>
      <c r="AG145">
        <v>0</v>
      </c>
      <c r="AH145">
        <v>0</v>
      </c>
      <c r="AI145">
        <v>0</v>
      </c>
      <c r="AJ145">
        <v>0</v>
      </c>
      <c r="AK145">
        <v>0</v>
      </c>
    </row>
    <row r="146" spans="1:37">
      <c r="A146" t="s">
        <v>37</v>
      </c>
      <c r="B146" t="s">
        <v>174</v>
      </c>
      <c r="C146" t="str">
        <f t="shared" si="6"/>
        <v>amzn1.ads-account.g.dfa7o7cwdl371d634ew58i919</v>
      </c>
      <c r="D146" t="s">
        <v>39</v>
      </c>
      <c r="G146" t="str">
        <f t="shared" si="7"/>
        <v>585687237024345541</v>
      </c>
      <c r="H146" t="s">
        <v>40</v>
      </c>
      <c r="I146" t="str">
        <f t="shared" si="8"/>
        <v>585478290940566279</v>
      </c>
      <c r="J146" t="s">
        <v>41</v>
      </c>
      <c r="K146" t="s">
        <v>452</v>
      </c>
      <c r="L146" s="1" t="str">
        <f>VLOOKUP(K146,Sheet1!A:B,2,FALSE)</f>
        <v>XM2-KD7-RD-36</v>
      </c>
      <c r="M146" t="s">
        <v>453</v>
      </c>
      <c r="N146" t="s">
        <v>177</v>
      </c>
      <c r="O146" t="s">
        <v>45</v>
      </c>
      <c r="P146" t="s">
        <v>46</v>
      </c>
      <c r="Q146" t="s">
        <v>324</v>
      </c>
      <c r="R146" t="s">
        <v>48</v>
      </c>
      <c r="S146" t="s">
        <v>49</v>
      </c>
      <c r="AB146" t="s">
        <v>49</v>
      </c>
      <c r="AC146">
        <v>0</v>
      </c>
      <c r="AD146">
        <v>0</v>
      </c>
      <c r="AE146">
        <v>0</v>
      </c>
      <c r="AF146">
        <v>0</v>
      </c>
      <c r="AG146">
        <v>0</v>
      </c>
      <c r="AH146">
        <v>0</v>
      </c>
      <c r="AI146">
        <v>0</v>
      </c>
      <c r="AJ146">
        <v>0</v>
      </c>
      <c r="AK146">
        <v>0</v>
      </c>
    </row>
    <row r="147" spans="1:37">
      <c r="A147" t="s">
        <v>37</v>
      </c>
      <c r="B147" t="s">
        <v>167</v>
      </c>
      <c r="C147" t="str">
        <f t="shared" si="6"/>
        <v>amzn1.ads-account.g.dfa7o7cwdl371d634ew58i919</v>
      </c>
      <c r="D147" t="s">
        <v>39</v>
      </c>
      <c r="G147" t="str">
        <f t="shared" si="7"/>
        <v>585687237024345541</v>
      </c>
      <c r="H147" t="s">
        <v>40</v>
      </c>
      <c r="I147" t="str">
        <f t="shared" si="8"/>
        <v>585478290940566279</v>
      </c>
      <c r="J147" t="s">
        <v>41</v>
      </c>
      <c r="K147" t="s">
        <v>454</v>
      </c>
      <c r="L147" s="1" t="str">
        <f>VLOOKUP(K147,Sheet1!A:B,2,FALSE)</f>
        <v>SH-BRY80-GN-10</v>
      </c>
      <c r="M147" t="s">
        <v>455</v>
      </c>
      <c r="N147" t="s">
        <v>90</v>
      </c>
      <c r="O147" t="s">
        <v>45</v>
      </c>
      <c r="P147" t="s">
        <v>163</v>
      </c>
      <c r="Q147" t="s">
        <v>164</v>
      </c>
      <c r="R147" t="s">
        <v>48</v>
      </c>
      <c r="S147" t="s">
        <v>49</v>
      </c>
      <c r="AB147" t="s">
        <v>49</v>
      </c>
      <c r="AC147">
        <v>1</v>
      </c>
      <c r="AD147">
        <v>9.99</v>
      </c>
      <c r="AE147">
        <v>1</v>
      </c>
      <c r="AF147">
        <v>1</v>
      </c>
      <c r="AG147">
        <v>9.99</v>
      </c>
      <c r="AH147">
        <v>1</v>
      </c>
      <c r="AI147">
        <v>1</v>
      </c>
      <c r="AJ147">
        <v>9.99</v>
      </c>
      <c r="AK147">
        <v>1</v>
      </c>
    </row>
    <row r="148" spans="1:37">
      <c r="A148" t="s">
        <v>37</v>
      </c>
      <c r="B148" t="s">
        <v>38</v>
      </c>
      <c r="C148" t="str">
        <f t="shared" si="6"/>
        <v>amzn1.ads-account.g.dfa7o7cwdl371d634ew58i919</v>
      </c>
      <c r="D148" t="s">
        <v>39</v>
      </c>
      <c r="G148" t="str">
        <f t="shared" si="7"/>
        <v>585687237024345541</v>
      </c>
      <c r="H148" t="s">
        <v>40</v>
      </c>
      <c r="I148" t="str">
        <f t="shared" si="8"/>
        <v>585478290940566279</v>
      </c>
      <c r="J148" t="s">
        <v>41</v>
      </c>
      <c r="K148" t="s">
        <v>456</v>
      </c>
      <c r="L148" s="1" t="str">
        <f>VLOOKUP(K148,Sheet1!A:B,2,FALSE)</f>
        <v>SH-BRY80-GY-6</v>
      </c>
      <c r="M148" t="s">
        <v>457</v>
      </c>
      <c r="N148" t="s">
        <v>90</v>
      </c>
      <c r="O148" t="s">
        <v>45</v>
      </c>
      <c r="P148" t="s">
        <v>75</v>
      </c>
      <c r="Q148" t="s">
        <v>91</v>
      </c>
      <c r="R148" t="s">
        <v>48</v>
      </c>
      <c r="S148" t="s">
        <v>49</v>
      </c>
      <c r="AB148" t="s">
        <v>49</v>
      </c>
      <c r="AC148">
        <v>0</v>
      </c>
      <c r="AD148">
        <v>0</v>
      </c>
      <c r="AE148">
        <v>0</v>
      </c>
      <c r="AF148">
        <v>0</v>
      </c>
      <c r="AG148">
        <v>0</v>
      </c>
      <c r="AH148">
        <v>0</v>
      </c>
      <c r="AI148">
        <v>0</v>
      </c>
      <c r="AJ148">
        <v>0</v>
      </c>
      <c r="AK148">
        <v>0</v>
      </c>
    </row>
    <row r="149" spans="1:37">
      <c r="A149" t="s">
        <v>37</v>
      </c>
      <c r="B149" t="s">
        <v>458</v>
      </c>
      <c r="C149" t="str">
        <f t="shared" si="6"/>
        <v>amzn1.ads-account.g.dfa7o7cwdl371d634ew58i919</v>
      </c>
      <c r="D149" t="s">
        <v>39</v>
      </c>
      <c r="G149" t="str">
        <f t="shared" si="7"/>
        <v>585687237024345541</v>
      </c>
      <c r="H149" t="s">
        <v>40</v>
      </c>
      <c r="I149" t="str">
        <f t="shared" si="8"/>
        <v>585478290940566279</v>
      </c>
      <c r="J149" t="s">
        <v>41</v>
      </c>
      <c r="K149" t="s">
        <v>459</v>
      </c>
      <c r="L149" s="1" t="str">
        <f>VLOOKUP(K149,Sheet1!A:B,2,FALSE)</f>
        <v>SH-BRS73-BKWT-42</v>
      </c>
      <c r="M149" t="s">
        <v>460</v>
      </c>
      <c r="N149" t="s">
        <v>206</v>
      </c>
      <c r="O149" t="s">
        <v>45</v>
      </c>
      <c r="P149" t="s">
        <v>65</v>
      </c>
      <c r="Q149" t="s">
        <v>207</v>
      </c>
      <c r="R149" t="s">
        <v>48</v>
      </c>
      <c r="S149" t="s">
        <v>49</v>
      </c>
      <c r="AB149" t="s">
        <v>49</v>
      </c>
      <c r="AC149">
        <v>0</v>
      </c>
      <c r="AD149">
        <v>0</v>
      </c>
      <c r="AE149">
        <v>0</v>
      </c>
      <c r="AF149">
        <v>0</v>
      </c>
      <c r="AG149">
        <v>0</v>
      </c>
      <c r="AH149">
        <v>0</v>
      </c>
      <c r="AI149">
        <v>0</v>
      </c>
      <c r="AJ149">
        <v>0</v>
      </c>
      <c r="AK149">
        <v>0</v>
      </c>
    </row>
    <row r="150" spans="1:37">
      <c r="A150" t="s">
        <v>37</v>
      </c>
      <c r="B150" t="s">
        <v>147</v>
      </c>
      <c r="C150" t="str">
        <f t="shared" si="6"/>
        <v>amzn1.ads-account.g.dfa7o7cwdl371d634ew58i919</v>
      </c>
      <c r="D150" t="s">
        <v>39</v>
      </c>
      <c r="G150" t="str">
        <f t="shared" si="7"/>
        <v>585687237024345541</v>
      </c>
      <c r="H150" t="s">
        <v>40</v>
      </c>
      <c r="I150" t="str">
        <f t="shared" si="8"/>
        <v>585478290940566279</v>
      </c>
      <c r="J150" t="s">
        <v>41</v>
      </c>
      <c r="K150" t="s">
        <v>461</v>
      </c>
      <c r="L150" s="1" t="str">
        <f>VLOOKUP(K150,Sheet1!A:B,2,FALSE)</f>
        <v>XM2-Y90B-LTPK-W6</v>
      </c>
      <c r="M150" t="s">
        <v>462</v>
      </c>
      <c r="N150" t="s">
        <v>74</v>
      </c>
      <c r="O150" t="s">
        <v>45</v>
      </c>
      <c r="P150" t="s">
        <v>59</v>
      </c>
      <c r="Q150" t="s">
        <v>130</v>
      </c>
      <c r="R150" t="s">
        <v>48</v>
      </c>
      <c r="S150" t="s">
        <v>49</v>
      </c>
      <c r="AB150" t="s">
        <v>49</v>
      </c>
      <c r="AC150">
        <v>1</v>
      </c>
      <c r="AD150">
        <v>9.99</v>
      </c>
      <c r="AE150">
        <v>1</v>
      </c>
      <c r="AF150">
        <v>1</v>
      </c>
      <c r="AG150">
        <v>9.99</v>
      </c>
      <c r="AH150">
        <v>1</v>
      </c>
      <c r="AI150">
        <v>1</v>
      </c>
      <c r="AJ150">
        <v>9.99</v>
      </c>
      <c r="AK150">
        <v>1</v>
      </c>
    </row>
    <row r="151" spans="1:37">
      <c r="A151" t="s">
        <v>37</v>
      </c>
      <c r="B151" t="s">
        <v>209</v>
      </c>
      <c r="C151" t="str">
        <f t="shared" si="6"/>
        <v>amzn1.ads-account.g.dfa7o7cwdl371d634ew58i919</v>
      </c>
      <c r="D151" t="s">
        <v>39</v>
      </c>
      <c r="G151" t="str">
        <f t="shared" si="7"/>
        <v>585687237024345541</v>
      </c>
      <c r="H151" t="s">
        <v>40</v>
      </c>
      <c r="I151" t="str">
        <f t="shared" si="8"/>
        <v>585478290940566279</v>
      </c>
      <c r="J151" t="s">
        <v>41</v>
      </c>
      <c r="K151" t="s">
        <v>463</v>
      </c>
      <c r="L151" s="1" t="str">
        <f>VLOOKUP(K151,Sheet1!A:B,2,FALSE)</f>
        <v>XM2-S71-WT-37</v>
      </c>
      <c r="M151" t="s">
        <v>464</v>
      </c>
      <c r="N151" t="s">
        <v>83</v>
      </c>
      <c r="O151" t="s">
        <v>45</v>
      </c>
      <c r="P151" t="s">
        <v>153</v>
      </c>
      <c r="Q151" t="s">
        <v>216</v>
      </c>
      <c r="R151" t="s">
        <v>48</v>
      </c>
      <c r="S151" t="s">
        <v>49</v>
      </c>
      <c r="AB151" t="s">
        <v>49</v>
      </c>
      <c r="AC151">
        <v>0</v>
      </c>
      <c r="AD151">
        <v>0</v>
      </c>
      <c r="AE151">
        <v>0</v>
      </c>
      <c r="AF151">
        <v>0</v>
      </c>
      <c r="AG151">
        <v>0</v>
      </c>
      <c r="AH151">
        <v>0</v>
      </c>
      <c r="AI151">
        <v>0</v>
      </c>
      <c r="AJ151">
        <v>0</v>
      </c>
      <c r="AK151">
        <v>0</v>
      </c>
    </row>
    <row r="152" spans="1:37">
      <c r="A152" t="s">
        <v>37</v>
      </c>
      <c r="B152" t="s">
        <v>80</v>
      </c>
      <c r="C152" t="str">
        <f t="shared" si="6"/>
        <v>amzn1.ads-account.g.dfa7o7cwdl371d634ew58i919</v>
      </c>
      <c r="D152" t="s">
        <v>39</v>
      </c>
      <c r="G152" t="str">
        <f t="shared" si="7"/>
        <v>585687237024345541</v>
      </c>
      <c r="H152" t="s">
        <v>40</v>
      </c>
      <c r="I152" t="str">
        <f t="shared" si="8"/>
        <v>585478290940566279</v>
      </c>
      <c r="J152" t="s">
        <v>41</v>
      </c>
      <c r="K152" t="s">
        <v>465</v>
      </c>
      <c r="L152" s="1" t="str">
        <f>VLOOKUP(K152,Sheet1!A:B,2,FALSE)</f>
        <v>XM2-S71-PK-38</v>
      </c>
      <c r="M152" t="s">
        <v>466</v>
      </c>
      <c r="N152" t="s">
        <v>83</v>
      </c>
      <c r="O152" t="s">
        <v>45</v>
      </c>
      <c r="P152" t="s">
        <v>65</v>
      </c>
      <c r="Q152" t="s">
        <v>84</v>
      </c>
      <c r="R152" t="s">
        <v>48</v>
      </c>
      <c r="S152" t="s">
        <v>49</v>
      </c>
      <c r="AB152" t="s">
        <v>49</v>
      </c>
      <c r="AC152">
        <v>1</v>
      </c>
      <c r="AD152">
        <v>49.99</v>
      </c>
      <c r="AE152">
        <v>1</v>
      </c>
      <c r="AF152">
        <v>1</v>
      </c>
      <c r="AG152">
        <v>49.99</v>
      </c>
      <c r="AH152">
        <v>1</v>
      </c>
      <c r="AI152">
        <v>0</v>
      </c>
      <c r="AJ152">
        <v>0</v>
      </c>
      <c r="AK152">
        <v>0</v>
      </c>
    </row>
    <row r="153" spans="1:37">
      <c r="A153" t="s">
        <v>37</v>
      </c>
      <c r="B153" t="s">
        <v>467</v>
      </c>
      <c r="C153" t="str">
        <f t="shared" si="6"/>
        <v>amzn1.ads-account.g.dfa7o7cwdl371d634ew58i919</v>
      </c>
      <c r="D153" t="s">
        <v>39</v>
      </c>
      <c r="G153" t="str">
        <f t="shared" si="7"/>
        <v>585687237024345541</v>
      </c>
      <c r="H153" t="s">
        <v>40</v>
      </c>
      <c r="I153" t="str">
        <f t="shared" si="8"/>
        <v>585478290940566279</v>
      </c>
      <c r="J153" t="s">
        <v>41</v>
      </c>
      <c r="K153" t="s">
        <v>468</v>
      </c>
      <c r="L153" s="1" t="str">
        <f>VLOOKUP(K153,Sheet1!A:B,2,FALSE)</f>
        <v>XM1-L200-OG-41</v>
      </c>
      <c r="M153" t="s">
        <v>469</v>
      </c>
      <c r="N153" t="s">
        <v>191</v>
      </c>
      <c r="O153" t="s">
        <v>45</v>
      </c>
      <c r="P153" t="s">
        <v>65</v>
      </c>
      <c r="Q153" t="s">
        <v>192</v>
      </c>
      <c r="R153" t="s">
        <v>48</v>
      </c>
      <c r="S153" t="s">
        <v>49</v>
      </c>
      <c r="AB153" t="s">
        <v>49</v>
      </c>
      <c r="AC153">
        <v>0</v>
      </c>
      <c r="AD153">
        <v>0</v>
      </c>
      <c r="AE153">
        <v>0</v>
      </c>
      <c r="AF153">
        <v>0</v>
      </c>
      <c r="AG153">
        <v>0</v>
      </c>
      <c r="AH153">
        <v>0</v>
      </c>
      <c r="AI153">
        <v>0</v>
      </c>
      <c r="AJ153">
        <v>0</v>
      </c>
      <c r="AK153">
        <v>0</v>
      </c>
    </row>
    <row r="154" spans="1:37">
      <c r="A154" t="s">
        <v>37</v>
      </c>
      <c r="B154" t="s">
        <v>147</v>
      </c>
      <c r="C154" t="str">
        <f t="shared" si="6"/>
        <v>amzn1.ads-account.g.dfa7o7cwdl371d634ew58i919</v>
      </c>
      <c r="D154" t="s">
        <v>39</v>
      </c>
      <c r="G154" t="str">
        <f t="shared" si="7"/>
        <v>585687237024345541</v>
      </c>
      <c r="H154" t="s">
        <v>40</v>
      </c>
      <c r="I154" t="str">
        <f t="shared" si="8"/>
        <v>585478290940566279</v>
      </c>
      <c r="J154" t="s">
        <v>41</v>
      </c>
      <c r="K154" t="s">
        <v>470</v>
      </c>
      <c r="L154" s="1" t="str">
        <f>VLOOKUP(K154,Sheet1!A:B,2,FALSE)</f>
        <v>SH-BRY10-OLGN-43</v>
      </c>
      <c r="M154" t="s">
        <v>471</v>
      </c>
      <c r="N154" t="s">
        <v>44</v>
      </c>
      <c r="O154" t="s">
        <v>45</v>
      </c>
      <c r="P154" t="s">
        <v>46</v>
      </c>
      <c r="Q154" t="s">
        <v>157</v>
      </c>
      <c r="R154" t="s">
        <v>48</v>
      </c>
      <c r="S154" t="s">
        <v>49</v>
      </c>
      <c r="AB154" t="s">
        <v>49</v>
      </c>
      <c r="AC154">
        <v>1</v>
      </c>
      <c r="AD154">
        <v>19.33</v>
      </c>
      <c r="AE154">
        <v>1</v>
      </c>
      <c r="AF154">
        <v>1</v>
      </c>
      <c r="AG154">
        <v>19.33</v>
      </c>
      <c r="AH154">
        <v>1</v>
      </c>
      <c r="AI154">
        <v>0</v>
      </c>
      <c r="AJ154">
        <v>0</v>
      </c>
      <c r="AK154">
        <v>0</v>
      </c>
    </row>
    <row r="155" spans="1:37">
      <c r="A155" t="s">
        <v>37</v>
      </c>
      <c r="B155" t="s">
        <v>439</v>
      </c>
      <c r="C155" t="str">
        <f t="shared" si="6"/>
        <v>amzn1.ads-account.g.dfa7o7cwdl371d634ew58i919</v>
      </c>
      <c r="D155" t="s">
        <v>39</v>
      </c>
      <c r="G155" t="str">
        <f t="shared" si="7"/>
        <v>585687237024345541</v>
      </c>
      <c r="H155" t="s">
        <v>40</v>
      </c>
      <c r="I155" t="str">
        <f t="shared" si="8"/>
        <v>585478290940566279</v>
      </c>
      <c r="J155" t="s">
        <v>41</v>
      </c>
      <c r="K155" t="s">
        <v>472</v>
      </c>
      <c r="L155" s="1" t="str">
        <f>VLOOKUP(K155,Sheet1!A:B,2,FALSE)</f>
        <v>XM2-S71-GYPK-37</v>
      </c>
      <c r="M155" t="s">
        <v>473</v>
      </c>
      <c r="N155" t="s">
        <v>83</v>
      </c>
      <c r="O155" t="s">
        <v>45</v>
      </c>
      <c r="P155" t="s">
        <v>65</v>
      </c>
      <c r="Q155" t="s">
        <v>84</v>
      </c>
      <c r="R155" t="s">
        <v>48</v>
      </c>
      <c r="S155" t="s">
        <v>49</v>
      </c>
      <c r="AB155" t="s">
        <v>49</v>
      </c>
      <c r="AC155">
        <v>0</v>
      </c>
      <c r="AD155">
        <v>0</v>
      </c>
      <c r="AE155">
        <v>0</v>
      </c>
      <c r="AF155">
        <v>0</v>
      </c>
      <c r="AG155">
        <v>0</v>
      </c>
      <c r="AH155">
        <v>0</v>
      </c>
      <c r="AI155">
        <v>0</v>
      </c>
      <c r="AJ155">
        <v>0</v>
      </c>
      <c r="AK155">
        <v>0</v>
      </c>
    </row>
    <row r="156" spans="1:37">
      <c r="A156" t="s">
        <v>37</v>
      </c>
      <c r="B156" t="s">
        <v>120</v>
      </c>
      <c r="C156" t="str">
        <f t="shared" si="6"/>
        <v>amzn1.ads-account.g.dfa7o7cwdl371d634ew58i919</v>
      </c>
      <c r="D156" t="s">
        <v>39</v>
      </c>
      <c r="G156" t="str">
        <f t="shared" si="7"/>
        <v>585687237024345541</v>
      </c>
      <c r="H156" t="s">
        <v>40</v>
      </c>
      <c r="I156" t="str">
        <f t="shared" si="8"/>
        <v>585478290940566279</v>
      </c>
      <c r="J156" t="s">
        <v>41</v>
      </c>
      <c r="K156" t="s">
        <v>474</v>
      </c>
      <c r="L156" s="1" t="str">
        <f>VLOOKUP(K156,Sheet1!A:B,2,FALSE)</f>
        <v>SH-BRY10-GY-43</v>
      </c>
      <c r="M156" t="s">
        <v>475</v>
      </c>
      <c r="N156" t="s">
        <v>44</v>
      </c>
      <c r="O156" t="s">
        <v>45</v>
      </c>
      <c r="P156" t="s">
        <v>75</v>
      </c>
      <c r="Q156" t="s">
        <v>91</v>
      </c>
      <c r="R156" t="s">
        <v>48</v>
      </c>
      <c r="S156" t="s">
        <v>49</v>
      </c>
      <c r="AB156" t="s">
        <v>49</v>
      </c>
      <c r="AC156">
        <v>7</v>
      </c>
      <c r="AD156">
        <v>155.99</v>
      </c>
      <c r="AE156">
        <v>7</v>
      </c>
      <c r="AF156">
        <v>7</v>
      </c>
      <c r="AG156">
        <v>155.99</v>
      </c>
      <c r="AH156">
        <v>7</v>
      </c>
      <c r="AI156">
        <v>5</v>
      </c>
      <c r="AJ156">
        <v>111.65</v>
      </c>
      <c r="AK156">
        <v>5</v>
      </c>
    </row>
    <row r="157" spans="1:37">
      <c r="A157" t="s">
        <v>37</v>
      </c>
      <c r="B157" t="s">
        <v>265</v>
      </c>
      <c r="C157" t="str">
        <f t="shared" si="6"/>
        <v>amzn1.ads-account.g.dfa7o7cwdl371d634ew58i919</v>
      </c>
      <c r="D157" t="s">
        <v>39</v>
      </c>
      <c r="G157" t="str">
        <f t="shared" si="7"/>
        <v>585687237024345541</v>
      </c>
      <c r="H157" t="s">
        <v>40</v>
      </c>
      <c r="I157" t="str">
        <f t="shared" si="8"/>
        <v>585478290940566279</v>
      </c>
      <c r="J157" t="s">
        <v>41</v>
      </c>
      <c r="K157" t="s">
        <v>476</v>
      </c>
      <c r="L157" s="1" t="str">
        <f>VLOOKUP(K157,Sheet1!A:B,2,FALSE)</f>
        <v>SH-BRS73-GYWT-44</v>
      </c>
      <c r="M157" t="s">
        <v>477</v>
      </c>
      <c r="N157" t="s">
        <v>206</v>
      </c>
      <c r="O157" t="s">
        <v>45</v>
      </c>
      <c r="P157" t="s">
        <v>65</v>
      </c>
      <c r="Q157" t="s">
        <v>207</v>
      </c>
      <c r="R157" t="s">
        <v>48</v>
      </c>
      <c r="S157" t="s">
        <v>49</v>
      </c>
      <c r="AB157" t="s">
        <v>49</v>
      </c>
      <c r="AC157">
        <v>0</v>
      </c>
      <c r="AD157">
        <v>0</v>
      </c>
      <c r="AE157">
        <v>0</v>
      </c>
      <c r="AF157">
        <v>0</v>
      </c>
      <c r="AG157">
        <v>0</v>
      </c>
      <c r="AH157">
        <v>0</v>
      </c>
      <c r="AI157">
        <v>0</v>
      </c>
      <c r="AJ157">
        <v>0</v>
      </c>
      <c r="AK157">
        <v>0</v>
      </c>
    </row>
    <row r="158" spans="1:37">
      <c r="A158" t="s">
        <v>37</v>
      </c>
      <c r="B158" t="s">
        <v>439</v>
      </c>
      <c r="C158" t="str">
        <f t="shared" si="6"/>
        <v>amzn1.ads-account.g.dfa7o7cwdl371d634ew58i919</v>
      </c>
      <c r="D158" t="s">
        <v>39</v>
      </c>
      <c r="G158" t="str">
        <f t="shared" si="7"/>
        <v>585687237024345541</v>
      </c>
      <c r="H158" t="s">
        <v>40</v>
      </c>
      <c r="I158" t="str">
        <f t="shared" si="8"/>
        <v>585478290940566279</v>
      </c>
      <c r="J158" t="s">
        <v>41</v>
      </c>
      <c r="K158" t="s">
        <v>478</v>
      </c>
      <c r="L158" s="1" t="str">
        <f>VLOOKUP(K158,Sheet1!A:B,2,FALSE)</f>
        <v>XM2-S71-BUPK-37</v>
      </c>
      <c r="M158" t="s">
        <v>479</v>
      </c>
      <c r="N158" t="s">
        <v>83</v>
      </c>
      <c r="O158" t="s">
        <v>45</v>
      </c>
      <c r="P158" t="s">
        <v>65</v>
      </c>
      <c r="Q158" t="s">
        <v>84</v>
      </c>
      <c r="R158" t="s">
        <v>48</v>
      </c>
      <c r="S158" t="s">
        <v>49</v>
      </c>
      <c r="AB158" t="s">
        <v>49</v>
      </c>
      <c r="AC158">
        <v>0</v>
      </c>
      <c r="AD158">
        <v>0</v>
      </c>
      <c r="AE158">
        <v>0</v>
      </c>
      <c r="AF158">
        <v>0</v>
      </c>
      <c r="AG158">
        <v>0</v>
      </c>
      <c r="AH158">
        <v>0</v>
      </c>
      <c r="AI158">
        <v>0</v>
      </c>
      <c r="AJ158">
        <v>0</v>
      </c>
      <c r="AK158">
        <v>0</v>
      </c>
    </row>
    <row r="159" spans="1:37">
      <c r="A159" t="s">
        <v>37</v>
      </c>
      <c r="B159" t="s">
        <v>239</v>
      </c>
      <c r="C159" t="str">
        <f t="shared" si="6"/>
        <v>amzn1.ads-account.g.dfa7o7cwdl371d634ew58i919</v>
      </c>
      <c r="D159" t="s">
        <v>39</v>
      </c>
      <c r="G159" t="str">
        <f t="shared" si="7"/>
        <v>585687237024345541</v>
      </c>
      <c r="H159" t="s">
        <v>40</v>
      </c>
      <c r="I159" t="str">
        <f t="shared" si="8"/>
        <v>585478290940566279</v>
      </c>
      <c r="J159" t="s">
        <v>41</v>
      </c>
      <c r="K159" t="s">
        <v>480</v>
      </c>
      <c r="L159" s="1" t="str">
        <f>VLOOKUP(K159,Sheet1!A:B,2,FALSE)</f>
        <v>XM2-S71-BUPK-42</v>
      </c>
      <c r="M159" t="s">
        <v>481</v>
      </c>
      <c r="N159" t="s">
        <v>83</v>
      </c>
      <c r="O159" t="s">
        <v>45</v>
      </c>
      <c r="P159" t="s">
        <v>270</v>
      </c>
      <c r="Q159" t="s">
        <v>271</v>
      </c>
      <c r="R159" t="s">
        <v>48</v>
      </c>
      <c r="S159" t="s">
        <v>49</v>
      </c>
      <c r="AB159" t="s">
        <v>49</v>
      </c>
      <c r="AC159">
        <v>0</v>
      </c>
      <c r="AD159">
        <v>0</v>
      </c>
      <c r="AE159">
        <v>0</v>
      </c>
      <c r="AF159">
        <v>0</v>
      </c>
      <c r="AG159">
        <v>0</v>
      </c>
      <c r="AH159">
        <v>0</v>
      </c>
      <c r="AI159">
        <v>0</v>
      </c>
      <c r="AJ159">
        <v>0</v>
      </c>
      <c r="AK159">
        <v>0</v>
      </c>
    </row>
    <row r="160" spans="1:37">
      <c r="A160" t="s">
        <v>37</v>
      </c>
      <c r="B160" t="s">
        <v>368</v>
      </c>
      <c r="C160" t="str">
        <f t="shared" si="6"/>
        <v>amzn1.ads-account.g.dfa7o7cwdl371d634ew58i919</v>
      </c>
      <c r="D160" t="s">
        <v>39</v>
      </c>
      <c r="G160" t="str">
        <f t="shared" si="7"/>
        <v>585687237024345541</v>
      </c>
      <c r="H160" t="s">
        <v>40</v>
      </c>
      <c r="I160" t="str">
        <f t="shared" si="8"/>
        <v>585478290940566279</v>
      </c>
      <c r="J160" t="s">
        <v>41</v>
      </c>
      <c r="K160" t="s">
        <v>482</v>
      </c>
      <c r="L160" s="1" t="str">
        <f>VLOOKUP(K160,Sheet1!A:B,2,FALSE)</f>
        <v>XM2-S71-PL-40</v>
      </c>
      <c r="M160" t="s">
        <v>483</v>
      </c>
      <c r="N160" t="s">
        <v>83</v>
      </c>
      <c r="O160" t="s">
        <v>45</v>
      </c>
      <c r="P160" t="s">
        <v>270</v>
      </c>
      <c r="Q160" t="s">
        <v>271</v>
      </c>
      <c r="R160" t="s">
        <v>48</v>
      </c>
      <c r="S160" t="s">
        <v>49</v>
      </c>
      <c r="AB160" t="s">
        <v>49</v>
      </c>
      <c r="AC160">
        <v>0</v>
      </c>
      <c r="AD160">
        <v>0</v>
      </c>
      <c r="AE160">
        <v>0</v>
      </c>
      <c r="AF160">
        <v>0</v>
      </c>
      <c r="AG160">
        <v>0</v>
      </c>
      <c r="AH160">
        <v>0</v>
      </c>
      <c r="AI160">
        <v>0</v>
      </c>
      <c r="AJ160">
        <v>0</v>
      </c>
      <c r="AK160">
        <v>0</v>
      </c>
    </row>
    <row r="161" spans="1:37">
      <c r="A161" t="s">
        <v>37</v>
      </c>
      <c r="B161" t="s">
        <v>484</v>
      </c>
      <c r="C161" t="str">
        <f t="shared" si="6"/>
        <v>amzn1.ads-account.g.dfa7o7cwdl371d634ew58i919</v>
      </c>
      <c r="D161" t="s">
        <v>39</v>
      </c>
      <c r="G161" t="str">
        <f t="shared" si="7"/>
        <v>585687237024345541</v>
      </c>
      <c r="H161" t="s">
        <v>40</v>
      </c>
      <c r="I161" t="str">
        <f t="shared" si="8"/>
        <v>585478290940566279</v>
      </c>
      <c r="J161" t="s">
        <v>41</v>
      </c>
      <c r="K161" t="s">
        <v>485</v>
      </c>
      <c r="L161" s="1" t="str">
        <f>VLOOKUP(K161,Sheet1!A:B,2,FALSE)</f>
        <v>SH-BRS71-BKWT-47</v>
      </c>
      <c r="M161" t="s">
        <v>486</v>
      </c>
      <c r="N161" t="s">
        <v>110</v>
      </c>
      <c r="O161" t="s">
        <v>45</v>
      </c>
      <c r="Q161" t="s">
        <v>54</v>
      </c>
      <c r="R161" t="s">
        <v>48</v>
      </c>
      <c r="S161" t="s">
        <v>49</v>
      </c>
      <c r="AB161" t="s">
        <v>49</v>
      </c>
      <c r="AC161">
        <v>0</v>
      </c>
      <c r="AD161">
        <v>0</v>
      </c>
      <c r="AE161">
        <v>0</v>
      </c>
      <c r="AF161">
        <v>0</v>
      </c>
      <c r="AG161">
        <v>0</v>
      </c>
      <c r="AH161">
        <v>0</v>
      </c>
      <c r="AI161">
        <v>0</v>
      </c>
      <c r="AJ161">
        <v>0</v>
      </c>
      <c r="AK161">
        <v>0</v>
      </c>
    </row>
    <row r="162" spans="1:37">
      <c r="A162" t="s">
        <v>37</v>
      </c>
      <c r="B162" t="s">
        <v>487</v>
      </c>
      <c r="C162" t="str">
        <f t="shared" si="6"/>
        <v>amzn1.ads-account.g.dfa7o7cwdl371d634ew58i919</v>
      </c>
      <c r="D162" t="s">
        <v>39</v>
      </c>
      <c r="G162" t="str">
        <f t="shared" si="7"/>
        <v>585687237024345541</v>
      </c>
      <c r="H162" t="s">
        <v>40</v>
      </c>
      <c r="I162" t="str">
        <f t="shared" si="8"/>
        <v>585478290940566279</v>
      </c>
      <c r="J162" t="s">
        <v>41</v>
      </c>
      <c r="K162" t="s">
        <v>488</v>
      </c>
      <c r="L162" s="1" t="str">
        <f>VLOOKUP(K162,Sheet1!A:B,2,FALSE)</f>
        <v>SH-BRS71-DGY-43N</v>
      </c>
      <c r="M162" t="s">
        <v>489</v>
      </c>
      <c r="N162" t="s">
        <v>110</v>
      </c>
      <c r="O162" t="s">
        <v>45</v>
      </c>
      <c r="P162" t="s">
        <v>270</v>
      </c>
      <c r="Q162" t="s">
        <v>490</v>
      </c>
      <c r="R162" t="s">
        <v>48</v>
      </c>
      <c r="S162" t="s">
        <v>49</v>
      </c>
      <c r="AB162" t="s">
        <v>49</v>
      </c>
      <c r="AC162">
        <v>0</v>
      </c>
      <c r="AD162">
        <v>0</v>
      </c>
      <c r="AE162">
        <v>0</v>
      </c>
      <c r="AF162">
        <v>0</v>
      </c>
      <c r="AG162">
        <v>0</v>
      </c>
      <c r="AH162">
        <v>0</v>
      </c>
      <c r="AI162">
        <v>0</v>
      </c>
      <c r="AJ162">
        <v>0</v>
      </c>
      <c r="AK162">
        <v>0</v>
      </c>
    </row>
    <row r="163" spans="1:37">
      <c r="A163" t="s">
        <v>37</v>
      </c>
      <c r="B163" t="s">
        <v>491</v>
      </c>
      <c r="C163" t="str">
        <f t="shared" si="6"/>
        <v>amzn1.ads-account.g.dfa7o7cwdl371d634ew58i919</v>
      </c>
      <c r="D163" t="s">
        <v>39</v>
      </c>
      <c r="G163" t="str">
        <f t="shared" si="7"/>
        <v>585687237024345541</v>
      </c>
      <c r="H163" t="s">
        <v>40</v>
      </c>
      <c r="I163" t="str">
        <f t="shared" si="8"/>
        <v>585478290940566279</v>
      </c>
      <c r="J163" t="s">
        <v>41</v>
      </c>
      <c r="K163" t="s">
        <v>492</v>
      </c>
      <c r="L163" s="1" t="str">
        <f>VLOOKUP(K163,Sheet1!A:B,2,FALSE)</f>
        <v>XM2-KD7-BKBU-39</v>
      </c>
      <c r="M163" t="s">
        <v>493</v>
      </c>
      <c r="N163" t="s">
        <v>177</v>
      </c>
      <c r="O163" t="s">
        <v>45</v>
      </c>
      <c r="P163" t="s">
        <v>46</v>
      </c>
      <c r="Q163" t="s">
        <v>157</v>
      </c>
      <c r="R163" t="s">
        <v>48</v>
      </c>
      <c r="S163" t="s">
        <v>49</v>
      </c>
      <c r="AB163" t="s">
        <v>49</v>
      </c>
      <c r="AC163">
        <v>0</v>
      </c>
      <c r="AD163">
        <v>0</v>
      </c>
      <c r="AE163">
        <v>0</v>
      </c>
      <c r="AF163">
        <v>0</v>
      </c>
      <c r="AG163">
        <v>0</v>
      </c>
      <c r="AH163">
        <v>0</v>
      </c>
      <c r="AI163">
        <v>0</v>
      </c>
      <c r="AJ163">
        <v>0</v>
      </c>
      <c r="AK163">
        <v>0</v>
      </c>
    </row>
    <row r="164" spans="1:37">
      <c r="A164" t="s">
        <v>37</v>
      </c>
      <c r="B164" t="s">
        <v>257</v>
      </c>
      <c r="C164" t="str">
        <f t="shared" si="6"/>
        <v>amzn1.ads-account.g.dfa7o7cwdl371d634ew58i919</v>
      </c>
      <c r="D164" t="s">
        <v>39</v>
      </c>
      <c r="G164" t="str">
        <f t="shared" si="7"/>
        <v>585687237024345541</v>
      </c>
      <c r="H164" t="s">
        <v>40</v>
      </c>
      <c r="I164" t="str">
        <f t="shared" si="8"/>
        <v>585478290940566279</v>
      </c>
      <c r="J164" t="s">
        <v>41</v>
      </c>
      <c r="K164" t="s">
        <v>494</v>
      </c>
      <c r="L164" s="1" t="str">
        <f>VLOOKUP(K164,Sheet1!A:B,2,FALSE)</f>
        <v>SH-BRY10-BN-49</v>
      </c>
      <c r="M164" t="s">
        <v>495</v>
      </c>
      <c r="N164" t="s">
        <v>44</v>
      </c>
      <c r="O164" t="s">
        <v>45</v>
      </c>
      <c r="P164" t="s">
        <v>59</v>
      </c>
      <c r="Q164" t="s">
        <v>106</v>
      </c>
      <c r="R164" t="s">
        <v>48</v>
      </c>
      <c r="S164" t="s">
        <v>49</v>
      </c>
      <c r="AB164" t="s">
        <v>49</v>
      </c>
      <c r="AC164">
        <v>0</v>
      </c>
      <c r="AD164">
        <v>0</v>
      </c>
      <c r="AE164">
        <v>0</v>
      </c>
      <c r="AF164">
        <v>0</v>
      </c>
      <c r="AG164">
        <v>0</v>
      </c>
      <c r="AH164">
        <v>0</v>
      </c>
      <c r="AI164">
        <v>0</v>
      </c>
      <c r="AJ164">
        <v>0</v>
      </c>
      <c r="AK164">
        <v>0</v>
      </c>
    </row>
    <row r="165" spans="1:37">
      <c r="A165" t="s">
        <v>37</v>
      </c>
      <c r="B165" t="s">
        <v>100</v>
      </c>
      <c r="C165" t="str">
        <f t="shared" si="6"/>
        <v>amzn1.ads-account.g.dfa7o7cwdl371d634ew58i919</v>
      </c>
      <c r="D165" t="s">
        <v>39</v>
      </c>
      <c r="G165" t="str">
        <f t="shared" si="7"/>
        <v>585687237024345541</v>
      </c>
      <c r="H165" t="s">
        <v>40</v>
      </c>
      <c r="I165" t="str">
        <f t="shared" si="8"/>
        <v>585478290940566279</v>
      </c>
      <c r="J165" t="s">
        <v>41</v>
      </c>
      <c r="K165" t="s">
        <v>496</v>
      </c>
      <c r="L165" s="1" t="str">
        <f>VLOOKUP(K165,Sheet1!A:B,2,FALSE)</f>
        <v>XM2-S600-BG-39</v>
      </c>
      <c r="M165" t="s">
        <v>497</v>
      </c>
      <c r="N165" t="s">
        <v>70</v>
      </c>
      <c r="O165" t="s">
        <v>45</v>
      </c>
      <c r="P165" t="s">
        <v>75</v>
      </c>
      <c r="Q165" t="s">
        <v>76</v>
      </c>
      <c r="R165" t="s">
        <v>48</v>
      </c>
      <c r="S165" t="s">
        <v>49</v>
      </c>
      <c r="AB165" t="s">
        <v>49</v>
      </c>
      <c r="AC165">
        <v>0</v>
      </c>
      <c r="AD165">
        <v>0</v>
      </c>
      <c r="AE165">
        <v>0</v>
      </c>
      <c r="AF165">
        <v>0</v>
      </c>
      <c r="AG165">
        <v>0</v>
      </c>
      <c r="AH165">
        <v>0</v>
      </c>
      <c r="AI165">
        <v>0</v>
      </c>
      <c r="AJ165">
        <v>0</v>
      </c>
      <c r="AK165">
        <v>0</v>
      </c>
    </row>
    <row r="166" spans="1:37">
      <c r="A166" t="s">
        <v>37</v>
      </c>
      <c r="B166" t="s">
        <v>498</v>
      </c>
      <c r="C166" t="str">
        <f t="shared" si="6"/>
        <v>amzn1.ads-account.g.dfa7o7cwdl371d634ew58i919</v>
      </c>
      <c r="D166" t="s">
        <v>39</v>
      </c>
      <c r="G166" t="str">
        <f t="shared" si="7"/>
        <v>585687237024345541</v>
      </c>
      <c r="H166" t="s">
        <v>40</v>
      </c>
      <c r="I166" t="str">
        <f t="shared" si="8"/>
        <v>585478290940566279</v>
      </c>
      <c r="J166" t="s">
        <v>41</v>
      </c>
      <c r="K166" t="s">
        <v>499</v>
      </c>
      <c r="L166" s="1" t="str">
        <f>VLOOKUP(K166,Sheet1!A:B,2,FALSE)</f>
        <v>SH-BRS73-GYWT-41</v>
      </c>
      <c r="M166" t="s">
        <v>500</v>
      </c>
      <c r="N166" t="s">
        <v>206</v>
      </c>
      <c r="O166" t="s">
        <v>45</v>
      </c>
      <c r="P166" t="s">
        <v>65</v>
      </c>
      <c r="Q166" t="s">
        <v>207</v>
      </c>
      <c r="R166" t="s">
        <v>48</v>
      </c>
      <c r="S166" t="s">
        <v>49</v>
      </c>
      <c r="AB166" t="s">
        <v>49</v>
      </c>
      <c r="AC166">
        <v>0</v>
      </c>
      <c r="AD166">
        <v>0</v>
      </c>
      <c r="AE166">
        <v>0</v>
      </c>
      <c r="AF166">
        <v>0</v>
      </c>
      <c r="AG166">
        <v>0</v>
      </c>
      <c r="AH166">
        <v>0</v>
      </c>
      <c r="AI166">
        <v>0</v>
      </c>
      <c r="AJ166">
        <v>0</v>
      </c>
      <c r="AK166">
        <v>0</v>
      </c>
    </row>
    <row r="167" spans="1:37">
      <c r="A167" t="s">
        <v>37</v>
      </c>
      <c r="B167" t="s">
        <v>501</v>
      </c>
      <c r="C167" t="str">
        <f t="shared" si="6"/>
        <v>amzn1.ads-account.g.dfa7o7cwdl371d634ew58i919</v>
      </c>
      <c r="D167" t="s">
        <v>39</v>
      </c>
      <c r="G167" t="str">
        <f t="shared" si="7"/>
        <v>585687237024345541</v>
      </c>
      <c r="H167" t="s">
        <v>40</v>
      </c>
      <c r="I167" t="str">
        <f t="shared" si="8"/>
        <v>585478290940566279</v>
      </c>
      <c r="J167" t="s">
        <v>41</v>
      </c>
      <c r="K167" t="s">
        <v>502</v>
      </c>
      <c r="L167" s="1" t="str">
        <f>VLOOKUP(K167,Sheet1!A:B,2,FALSE)</f>
        <v>XM2-S75-GY-40</v>
      </c>
      <c r="M167" t="s">
        <v>503</v>
      </c>
      <c r="N167" t="s">
        <v>95</v>
      </c>
      <c r="O167" t="s">
        <v>45</v>
      </c>
      <c r="P167" t="s">
        <v>65</v>
      </c>
      <c r="Q167" t="s">
        <v>84</v>
      </c>
      <c r="R167" t="s">
        <v>48</v>
      </c>
      <c r="S167" t="s">
        <v>49</v>
      </c>
      <c r="AB167" t="s">
        <v>49</v>
      </c>
      <c r="AC167">
        <v>1</v>
      </c>
      <c r="AD167">
        <v>39.99</v>
      </c>
      <c r="AE167">
        <v>1</v>
      </c>
      <c r="AF167">
        <v>1</v>
      </c>
      <c r="AG167">
        <v>39.99</v>
      </c>
      <c r="AH167">
        <v>1</v>
      </c>
      <c r="AI167">
        <v>0</v>
      </c>
      <c r="AJ167">
        <v>0</v>
      </c>
      <c r="AK167">
        <v>0</v>
      </c>
    </row>
    <row r="168" spans="1:37">
      <c r="A168" t="s">
        <v>37</v>
      </c>
      <c r="B168" t="s">
        <v>504</v>
      </c>
      <c r="C168" t="str">
        <f t="shared" si="6"/>
        <v>amzn1.ads-account.g.dfa7o7cwdl371d634ew58i919</v>
      </c>
      <c r="D168" t="s">
        <v>39</v>
      </c>
      <c r="G168" t="str">
        <f t="shared" si="7"/>
        <v>585687237024345541</v>
      </c>
      <c r="H168" t="s">
        <v>40</v>
      </c>
      <c r="I168" t="str">
        <f t="shared" si="8"/>
        <v>585478290940566279</v>
      </c>
      <c r="J168" t="s">
        <v>41</v>
      </c>
      <c r="K168" t="s">
        <v>505</v>
      </c>
      <c r="L168" s="1" t="str">
        <f>VLOOKUP(K168,Sheet1!A:B,2,FALSE)</f>
        <v>SH-BRY80-DKBU-9</v>
      </c>
      <c r="M168" t="s">
        <v>506</v>
      </c>
      <c r="N168" t="s">
        <v>90</v>
      </c>
      <c r="O168" t="s">
        <v>45</v>
      </c>
      <c r="P168" t="s">
        <v>75</v>
      </c>
      <c r="Q168" t="s">
        <v>91</v>
      </c>
      <c r="R168" t="s">
        <v>48</v>
      </c>
      <c r="S168" t="s">
        <v>49</v>
      </c>
      <c r="AB168" t="s">
        <v>49</v>
      </c>
      <c r="AC168">
        <v>0</v>
      </c>
      <c r="AD168">
        <v>0</v>
      </c>
      <c r="AE168">
        <v>0</v>
      </c>
      <c r="AF168">
        <v>0</v>
      </c>
      <c r="AG168">
        <v>0</v>
      </c>
      <c r="AH168">
        <v>0</v>
      </c>
      <c r="AI168">
        <v>0</v>
      </c>
      <c r="AJ168">
        <v>0</v>
      </c>
      <c r="AK168">
        <v>0</v>
      </c>
    </row>
    <row r="169" spans="1:37">
      <c r="A169" t="s">
        <v>37</v>
      </c>
      <c r="B169" t="s">
        <v>507</v>
      </c>
      <c r="C169" t="str">
        <f t="shared" si="6"/>
        <v>amzn1.ads-account.g.dfa7o7cwdl371d634ew58i919</v>
      </c>
      <c r="D169" t="s">
        <v>39</v>
      </c>
      <c r="G169" t="str">
        <f t="shared" si="7"/>
        <v>585687237024345541</v>
      </c>
      <c r="H169" t="s">
        <v>40</v>
      </c>
      <c r="I169" t="str">
        <f t="shared" si="8"/>
        <v>585478290940566279</v>
      </c>
      <c r="J169" t="s">
        <v>41</v>
      </c>
      <c r="K169" t="s">
        <v>508</v>
      </c>
      <c r="L169" s="1" t="str">
        <f>VLOOKUP(K169,Sheet1!A:B,2,FALSE)</f>
        <v>XM2-S73-BG-41</v>
      </c>
      <c r="M169" t="s">
        <v>509</v>
      </c>
      <c r="N169" t="s">
        <v>83</v>
      </c>
      <c r="O169" t="s">
        <v>45</v>
      </c>
      <c r="P169" t="s">
        <v>65</v>
      </c>
      <c r="Q169" t="s">
        <v>84</v>
      </c>
      <c r="R169" t="s">
        <v>48</v>
      </c>
      <c r="S169" t="s">
        <v>49</v>
      </c>
      <c r="AB169" t="s">
        <v>49</v>
      </c>
      <c r="AC169">
        <v>0</v>
      </c>
      <c r="AD169">
        <v>0</v>
      </c>
      <c r="AE169">
        <v>0</v>
      </c>
      <c r="AF169">
        <v>0</v>
      </c>
      <c r="AG169">
        <v>0</v>
      </c>
      <c r="AH169">
        <v>0</v>
      </c>
      <c r="AI169">
        <v>0</v>
      </c>
      <c r="AJ169">
        <v>0</v>
      </c>
      <c r="AK169">
        <v>0</v>
      </c>
    </row>
    <row r="170" spans="1:37">
      <c r="A170" t="s">
        <v>37</v>
      </c>
      <c r="B170" t="s">
        <v>120</v>
      </c>
      <c r="C170" t="str">
        <f t="shared" si="6"/>
        <v>amzn1.ads-account.g.dfa7o7cwdl371d634ew58i919</v>
      </c>
      <c r="D170" t="s">
        <v>39</v>
      </c>
      <c r="G170" t="str">
        <f t="shared" si="7"/>
        <v>585687237024345541</v>
      </c>
      <c r="H170" t="s">
        <v>40</v>
      </c>
      <c r="I170" t="str">
        <f t="shared" si="8"/>
        <v>585478290940566279</v>
      </c>
      <c r="J170" t="s">
        <v>41</v>
      </c>
      <c r="K170" t="s">
        <v>510</v>
      </c>
      <c r="L170" s="1" t="str">
        <f>VLOOKUP(K170,Sheet1!A:B,2,FALSE)</f>
        <v>SH-BRY10-WERD-43</v>
      </c>
      <c r="M170" t="s">
        <v>511</v>
      </c>
      <c r="N170" t="s">
        <v>44</v>
      </c>
      <c r="O170" t="s">
        <v>45</v>
      </c>
      <c r="P170" t="s">
        <v>59</v>
      </c>
      <c r="Q170" t="s">
        <v>114</v>
      </c>
      <c r="R170" t="s">
        <v>48</v>
      </c>
      <c r="S170" t="s">
        <v>49</v>
      </c>
      <c r="AB170" t="s">
        <v>49</v>
      </c>
      <c r="AC170">
        <v>5</v>
      </c>
      <c r="AD170">
        <v>119.95</v>
      </c>
      <c r="AE170">
        <v>5</v>
      </c>
      <c r="AF170">
        <v>5</v>
      </c>
      <c r="AG170">
        <v>119.95</v>
      </c>
      <c r="AH170">
        <v>5</v>
      </c>
      <c r="AI170">
        <v>3</v>
      </c>
      <c r="AJ170">
        <v>71.97</v>
      </c>
      <c r="AK170">
        <v>3</v>
      </c>
    </row>
    <row r="171" spans="1:37">
      <c r="A171" t="s">
        <v>37</v>
      </c>
      <c r="B171" t="s">
        <v>458</v>
      </c>
      <c r="C171" t="str">
        <f t="shared" si="6"/>
        <v>amzn1.ads-account.g.dfa7o7cwdl371d634ew58i919</v>
      </c>
      <c r="D171" t="s">
        <v>39</v>
      </c>
      <c r="G171" t="str">
        <f t="shared" si="7"/>
        <v>585687237024345541</v>
      </c>
      <c r="H171" t="s">
        <v>40</v>
      </c>
      <c r="I171" t="str">
        <f t="shared" si="8"/>
        <v>585478290940566279</v>
      </c>
      <c r="J171" t="s">
        <v>41</v>
      </c>
      <c r="K171" t="s">
        <v>512</v>
      </c>
      <c r="L171" s="1" t="str">
        <f>VLOOKUP(K171,Sheet1!A:B,2,FALSE)</f>
        <v>XM2-S71-PL-36</v>
      </c>
      <c r="M171" t="s">
        <v>513</v>
      </c>
      <c r="N171" t="s">
        <v>83</v>
      </c>
      <c r="O171" t="s">
        <v>45</v>
      </c>
      <c r="P171" t="s">
        <v>270</v>
      </c>
      <c r="Q171" t="s">
        <v>271</v>
      </c>
      <c r="R171" t="s">
        <v>48</v>
      </c>
      <c r="S171" t="s">
        <v>49</v>
      </c>
      <c r="AB171" t="s">
        <v>49</v>
      </c>
      <c r="AC171">
        <v>0</v>
      </c>
      <c r="AD171">
        <v>0</v>
      </c>
      <c r="AE171">
        <v>0</v>
      </c>
      <c r="AF171">
        <v>0</v>
      </c>
      <c r="AG171">
        <v>0</v>
      </c>
      <c r="AH171">
        <v>0</v>
      </c>
      <c r="AI171">
        <v>0</v>
      </c>
      <c r="AJ171">
        <v>0</v>
      </c>
      <c r="AK171">
        <v>0</v>
      </c>
    </row>
    <row r="172" spans="1:37">
      <c r="A172" t="s">
        <v>37</v>
      </c>
      <c r="B172" t="s">
        <v>167</v>
      </c>
      <c r="C172" t="str">
        <f t="shared" si="6"/>
        <v>amzn1.ads-account.g.dfa7o7cwdl371d634ew58i919</v>
      </c>
      <c r="D172" t="s">
        <v>39</v>
      </c>
      <c r="G172" t="str">
        <f t="shared" si="7"/>
        <v>585687237024345541</v>
      </c>
      <c r="H172" t="s">
        <v>40</v>
      </c>
      <c r="I172" t="str">
        <f t="shared" si="8"/>
        <v>585478290940566279</v>
      </c>
      <c r="J172" t="s">
        <v>41</v>
      </c>
      <c r="K172" t="s">
        <v>514</v>
      </c>
      <c r="L172" s="1" t="str">
        <f>VLOOKUP(K172,Sheet1!A:B,2,FALSE)</f>
        <v>SH-BRS71-DGY-47</v>
      </c>
      <c r="M172" t="s">
        <v>515</v>
      </c>
      <c r="N172" t="s">
        <v>110</v>
      </c>
      <c r="O172" t="s">
        <v>45</v>
      </c>
      <c r="P172" t="s">
        <v>118</v>
      </c>
      <c r="Q172" t="s">
        <v>119</v>
      </c>
      <c r="R172" t="s">
        <v>48</v>
      </c>
      <c r="S172" t="s">
        <v>49</v>
      </c>
      <c r="AB172" t="s">
        <v>49</v>
      </c>
      <c r="AC172">
        <v>1</v>
      </c>
      <c r="AD172">
        <v>45.99</v>
      </c>
      <c r="AE172">
        <v>1</v>
      </c>
      <c r="AF172">
        <v>1</v>
      </c>
      <c r="AG172">
        <v>45.99</v>
      </c>
      <c r="AH172">
        <v>1</v>
      </c>
      <c r="AI172">
        <v>1</v>
      </c>
      <c r="AJ172">
        <v>45.99</v>
      </c>
      <c r="AK172">
        <v>1</v>
      </c>
    </row>
    <row r="173" spans="1:37">
      <c r="A173" t="s">
        <v>37</v>
      </c>
      <c r="B173" t="s">
        <v>120</v>
      </c>
      <c r="C173" t="str">
        <f t="shared" si="6"/>
        <v>amzn1.ads-account.g.dfa7o7cwdl371d634ew58i919</v>
      </c>
      <c r="D173" t="s">
        <v>39</v>
      </c>
      <c r="G173" t="str">
        <f t="shared" si="7"/>
        <v>585687237024345541</v>
      </c>
      <c r="H173" t="s">
        <v>40</v>
      </c>
      <c r="I173" t="str">
        <f t="shared" si="8"/>
        <v>585478290940566279</v>
      </c>
      <c r="J173" t="s">
        <v>41</v>
      </c>
      <c r="K173" t="s">
        <v>516</v>
      </c>
      <c r="L173" s="1" t="str">
        <f>VLOOKUP(K173,Sheet1!A:B,2,FALSE)</f>
        <v>SH-BRY10-BU-38</v>
      </c>
      <c r="M173" t="s">
        <v>517</v>
      </c>
      <c r="N173" t="s">
        <v>44</v>
      </c>
      <c r="O173" t="s">
        <v>45</v>
      </c>
      <c r="P173" t="s">
        <v>75</v>
      </c>
      <c r="Q173" t="s">
        <v>91</v>
      </c>
      <c r="R173" t="s">
        <v>48</v>
      </c>
      <c r="S173" t="s">
        <v>49</v>
      </c>
      <c r="AB173" t="s">
        <v>49</v>
      </c>
      <c r="AC173">
        <v>6</v>
      </c>
      <c r="AD173">
        <v>127.34</v>
      </c>
      <c r="AE173">
        <v>6</v>
      </c>
      <c r="AF173">
        <v>6</v>
      </c>
      <c r="AG173">
        <v>127.34</v>
      </c>
      <c r="AH173">
        <v>6</v>
      </c>
      <c r="AI173">
        <v>5</v>
      </c>
      <c r="AJ173">
        <v>108.01</v>
      </c>
      <c r="AK173">
        <v>5</v>
      </c>
    </row>
    <row r="174" spans="1:37">
      <c r="A174" t="s">
        <v>37</v>
      </c>
      <c r="B174" t="s">
        <v>518</v>
      </c>
      <c r="C174" t="str">
        <f t="shared" si="6"/>
        <v>amzn1.ads-account.g.dfa7o7cwdl371d634ew58i919</v>
      </c>
      <c r="D174" t="s">
        <v>39</v>
      </c>
      <c r="G174" t="str">
        <f t="shared" si="7"/>
        <v>585687237024345541</v>
      </c>
      <c r="H174" t="s">
        <v>40</v>
      </c>
      <c r="I174" t="str">
        <f t="shared" si="8"/>
        <v>585478290940566279</v>
      </c>
      <c r="J174" t="s">
        <v>41</v>
      </c>
      <c r="K174" t="s">
        <v>519</v>
      </c>
      <c r="L174" s="1" t="str">
        <f>VLOOKUP(K174,Sheet1!A:B,2,FALSE)</f>
        <v>LB1-Y15-PK-36</v>
      </c>
      <c r="M174" t="s">
        <v>520</v>
      </c>
      <c r="N174" t="s">
        <v>58</v>
      </c>
      <c r="O174" t="s">
        <v>45</v>
      </c>
      <c r="P174" t="s">
        <v>65</v>
      </c>
      <c r="Q174" t="s">
        <v>66</v>
      </c>
      <c r="R174" t="s">
        <v>48</v>
      </c>
      <c r="S174" t="s">
        <v>49</v>
      </c>
      <c r="AB174" t="s">
        <v>49</v>
      </c>
      <c r="AC174">
        <v>0</v>
      </c>
      <c r="AD174">
        <v>0</v>
      </c>
      <c r="AE174">
        <v>0</v>
      </c>
      <c r="AF174">
        <v>0</v>
      </c>
      <c r="AG174">
        <v>0</v>
      </c>
      <c r="AH174">
        <v>0</v>
      </c>
      <c r="AI174">
        <v>0</v>
      </c>
      <c r="AJ174">
        <v>0</v>
      </c>
      <c r="AK174">
        <v>0</v>
      </c>
    </row>
    <row r="175" spans="1:37">
      <c r="A175" t="s">
        <v>37</v>
      </c>
      <c r="B175" t="s">
        <v>335</v>
      </c>
      <c r="C175" t="str">
        <f t="shared" si="6"/>
        <v>amzn1.ads-account.g.dfa7o7cwdl371d634ew58i919</v>
      </c>
      <c r="D175" t="s">
        <v>39</v>
      </c>
      <c r="G175" t="str">
        <f t="shared" si="7"/>
        <v>585687237024345541</v>
      </c>
      <c r="H175" t="s">
        <v>40</v>
      </c>
      <c r="I175" t="str">
        <f t="shared" si="8"/>
        <v>585478290940566279</v>
      </c>
      <c r="J175" t="s">
        <v>41</v>
      </c>
      <c r="K175" t="s">
        <v>521</v>
      </c>
      <c r="L175" s="1" t="str">
        <f>VLOOKUP(K175,Sheet1!A:B,2,FALSE)</f>
        <v>XM2-S75-BG-41</v>
      </c>
      <c r="M175" t="s">
        <v>522</v>
      </c>
      <c r="N175" t="s">
        <v>95</v>
      </c>
      <c r="O175" t="s">
        <v>45</v>
      </c>
      <c r="P175" t="s">
        <v>163</v>
      </c>
      <c r="Q175" t="s">
        <v>164</v>
      </c>
      <c r="R175" t="s">
        <v>48</v>
      </c>
      <c r="S175" t="s">
        <v>49</v>
      </c>
      <c r="AB175" t="s">
        <v>49</v>
      </c>
      <c r="AC175">
        <v>0</v>
      </c>
      <c r="AD175">
        <v>0</v>
      </c>
      <c r="AE175">
        <v>0</v>
      </c>
      <c r="AF175">
        <v>0</v>
      </c>
      <c r="AG175">
        <v>0</v>
      </c>
      <c r="AH175">
        <v>0</v>
      </c>
      <c r="AI175">
        <v>0</v>
      </c>
      <c r="AJ175">
        <v>0</v>
      </c>
      <c r="AK175">
        <v>0</v>
      </c>
    </row>
    <row r="176" spans="1:37">
      <c r="A176" t="s">
        <v>37</v>
      </c>
      <c r="B176" t="s">
        <v>523</v>
      </c>
      <c r="C176" t="str">
        <f t="shared" si="6"/>
        <v>amzn1.ads-account.g.dfa7o7cwdl371d634ew58i919</v>
      </c>
      <c r="D176" t="s">
        <v>39</v>
      </c>
      <c r="G176" t="str">
        <f t="shared" si="7"/>
        <v>585687237024345541</v>
      </c>
      <c r="H176" t="s">
        <v>40</v>
      </c>
      <c r="I176" t="str">
        <f t="shared" si="8"/>
        <v>585478290940566279</v>
      </c>
      <c r="J176" t="s">
        <v>41</v>
      </c>
      <c r="K176" t="s">
        <v>524</v>
      </c>
      <c r="L176" s="1" t="str">
        <f>VLOOKUP(K176,Sheet1!A:B,2,FALSE)</f>
        <v>SH-BRKD5-ABK-36</v>
      </c>
      <c r="M176" t="s">
        <v>525</v>
      </c>
      <c r="N176" t="s">
        <v>139</v>
      </c>
      <c r="O176" t="s">
        <v>45</v>
      </c>
      <c r="P176" t="s">
        <v>46</v>
      </c>
      <c r="Q176" t="s">
        <v>324</v>
      </c>
      <c r="R176" t="s">
        <v>48</v>
      </c>
      <c r="S176" t="s">
        <v>49</v>
      </c>
      <c r="AB176" t="s">
        <v>49</v>
      </c>
      <c r="AC176">
        <v>0</v>
      </c>
      <c r="AD176">
        <v>0</v>
      </c>
      <c r="AE176">
        <v>0</v>
      </c>
      <c r="AF176">
        <v>0</v>
      </c>
      <c r="AG176">
        <v>0</v>
      </c>
      <c r="AH176">
        <v>0</v>
      </c>
      <c r="AI176">
        <v>0</v>
      </c>
      <c r="AJ176">
        <v>0</v>
      </c>
      <c r="AK176">
        <v>0</v>
      </c>
    </row>
    <row r="177" spans="1:37">
      <c r="A177" t="s">
        <v>37</v>
      </c>
      <c r="B177" t="s">
        <v>120</v>
      </c>
      <c r="C177" t="str">
        <f t="shared" si="6"/>
        <v>amzn1.ads-account.g.dfa7o7cwdl371d634ew58i919</v>
      </c>
      <c r="D177" t="s">
        <v>39</v>
      </c>
      <c r="G177" t="str">
        <f t="shared" si="7"/>
        <v>585687237024345541</v>
      </c>
      <c r="H177" t="s">
        <v>40</v>
      </c>
      <c r="I177" t="str">
        <f t="shared" si="8"/>
        <v>585478290940566279</v>
      </c>
      <c r="J177" t="s">
        <v>41</v>
      </c>
      <c r="K177" t="s">
        <v>526</v>
      </c>
      <c r="L177" s="1" t="str">
        <f>VLOOKUP(K177,Sheet1!A:B,2,FALSE)</f>
        <v>SH-BRY10-PK-38</v>
      </c>
      <c r="M177" t="s">
        <v>527</v>
      </c>
      <c r="N177" t="s">
        <v>44</v>
      </c>
      <c r="O177" t="s">
        <v>45</v>
      </c>
      <c r="P177" t="s">
        <v>46</v>
      </c>
      <c r="Q177" t="s">
        <v>157</v>
      </c>
      <c r="R177" t="s">
        <v>48</v>
      </c>
      <c r="S177" t="s">
        <v>49</v>
      </c>
      <c r="AB177" t="s">
        <v>49</v>
      </c>
      <c r="AC177">
        <v>5</v>
      </c>
      <c r="AD177">
        <v>116.31</v>
      </c>
      <c r="AE177">
        <v>5</v>
      </c>
      <c r="AF177">
        <v>5</v>
      </c>
      <c r="AG177">
        <v>116.31</v>
      </c>
      <c r="AH177">
        <v>5</v>
      </c>
      <c r="AI177">
        <v>4</v>
      </c>
      <c r="AJ177">
        <v>92.32</v>
      </c>
      <c r="AK177">
        <v>4</v>
      </c>
    </row>
    <row r="178" spans="1:37">
      <c r="A178" t="s">
        <v>37</v>
      </c>
      <c r="B178" t="s">
        <v>528</v>
      </c>
      <c r="C178" t="str">
        <f t="shared" si="6"/>
        <v>amzn1.ads-account.g.dfa7o7cwdl371d634ew58i919</v>
      </c>
      <c r="D178" t="s">
        <v>39</v>
      </c>
      <c r="G178" t="str">
        <f t="shared" si="7"/>
        <v>585687237024345541</v>
      </c>
      <c r="H178" t="s">
        <v>40</v>
      </c>
      <c r="I178" t="str">
        <f t="shared" si="8"/>
        <v>585478290940566279</v>
      </c>
      <c r="J178" t="s">
        <v>41</v>
      </c>
      <c r="K178" t="s">
        <v>529</v>
      </c>
      <c r="L178" s="1" t="str">
        <f>VLOOKUP(K178,Sheet1!A:B,2,FALSE)</f>
        <v>SH-BRS71-ABK-41</v>
      </c>
      <c r="M178" t="s">
        <v>530</v>
      </c>
      <c r="N178" t="s">
        <v>110</v>
      </c>
      <c r="O178" t="s">
        <v>45</v>
      </c>
      <c r="P178" t="s">
        <v>118</v>
      </c>
      <c r="Q178" t="s">
        <v>119</v>
      </c>
      <c r="R178" t="s">
        <v>48</v>
      </c>
      <c r="S178" t="s">
        <v>49</v>
      </c>
      <c r="AB178" t="s">
        <v>49</v>
      </c>
      <c r="AC178">
        <v>1</v>
      </c>
      <c r="AD178">
        <v>45.99</v>
      </c>
      <c r="AE178">
        <v>1</v>
      </c>
      <c r="AF178">
        <v>1</v>
      </c>
      <c r="AG178">
        <v>45.99</v>
      </c>
      <c r="AH178">
        <v>1</v>
      </c>
      <c r="AI178">
        <v>1</v>
      </c>
      <c r="AJ178">
        <v>45.99</v>
      </c>
      <c r="AK178">
        <v>1</v>
      </c>
    </row>
    <row r="179" spans="1:37">
      <c r="A179" t="s">
        <v>37</v>
      </c>
      <c r="B179" t="s">
        <v>55</v>
      </c>
      <c r="C179" t="str">
        <f t="shared" si="6"/>
        <v>amzn1.ads-account.g.dfa7o7cwdl371d634ew58i919</v>
      </c>
      <c r="D179" t="s">
        <v>39</v>
      </c>
      <c r="G179" t="str">
        <f t="shared" si="7"/>
        <v>585687237024345541</v>
      </c>
      <c r="H179" t="s">
        <v>40</v>
      </c>
      <c r="I179" t="str">
        <f t="shared" si="8"/>
        <v>585478290940566279</v>
      </c>
      <c r="J179" t="s">
        <v>41</v>
      </c>
      <c r="K179" t="s">
        <v>531</v>
      </c>
      <c r="L179" s="1" t="str">
        <f>VLOOKUP(K179,Sheet1!A:B,2,FALSE)</f>
        <v>SH-BRS71-DGY-45N</v>
      </c>
      <c r="M179" t="s">
        <v>532</v>
      </c>
      <c r="N179" t="s">
        <v>110</v>
      </c>
      <c r="O179" t="s">
        <v>45</v>
      </c>
      <c r="P179" t="s">
        <v>65</v>
      </c>
      <c r="Q179" t="s">
        <v>111</v>
      </c>
      <c r="R179" t="s">
        <v>48</v>
      </c>
      <c r="S179" t="s">
        <v>49</v>
      </c>
      <c r="AB179" t="s">
        <v>49</v>
      </c>
      <c r="AC179">
        <v>0</v>
      </c>
      <c r="AD179">
        <v>0</v>
      </c>
      <c r="AE179">
        <v>0</v>
      </c>
      <c r="AF179">
        <v>0</v>
      </c>
      <c r="AG179">
        <v>0</v>
      </c>
      <c r="AH179">
        <v>0</v>
      </c>
      <c r="AI179">
        <v>0</v>
      </c>
      <c r="AJ179">
        <v>0</v>
      </c>
      <c r="AK179">
        <v>0</v>
      </c>
    </row>
    <row r="180" spans="1:37">
      <c r="A180" t="s">
        <v>37</v>
      </c>
      <c r="B180" t="s">
        <v>120</v>
      </c>
      <c r="C180" t="str">
        <f t="shared" si="6"/>
        <v>amzn1.ads-account.g.dfa7o7cwdl371d634ew58i919</v>
      </c>
      <c r="D180" t="s">
        <v>39</v>
      </c>
      <c r="G180" t="str">
        <f t="shared" si="7"/>
        <v>585687237024345541</v>
      </c>
      <c r="H180" t="s">
        <v>40</v>
      </c>
      <c r="I180" t="str">
        <f t="shared" si="8"/>
        <v>585478290940566279</v>
      </c>
      <c r="J180" t="s">
        <v>41</v>
      </c>
      <c r="K180" t="s">
        <v>533</v>
      </c>
      <c r="L180" s="1" t="str">
        <f>VLOOKUP(K180,Sheet1!A:B,2,FALSE)</f>
        <v>SH-BRY10-BN-40</v>
      </c>
      <c r="M180" t="s">
        <v>534</v>
      </c>
      <c r="N180" t="s">
        <v>44</v>
      </c>
      <c r="O180" t="s">
        <v>45</v>
      </c>
      <c r="P180" t="s">
        <v>46</v>
      </c>
      <c r="Q180" t="s">
        <v>47</v>
      </c>
      <c r="R180" t="s">
        <v>48</v>
      </c>
      <c r="S180" t="s">
        <v>49</v>
      </c>
      <c r="AB180" t="s">
        <v>49</v>
      </c>
      <c r="AC180">
        <v>8</v>
      </c>
      <c r="AD180">
        <v>178.96</v>
      </c>
      <c r="AE180">
        <v>8</v>
      </c>
      <c r="AF180">
        <v>8</v>
      </c>
      <c r="AG180">
        <v>178.96</v>
      </c>
      <c r="AH180">
        <v>8</v>
      </c>
      <c r="AI180">
        <v>5</v>
      </c>
      <c r="AJ180">
        <v>111.65</v>
      </c>
      <c r="AK180">
        <v>5</v>
      </c>
    </row>
    <row r="181" spans="1:37">
      <c r="A181" t="s">
        <v>37</v>
      </c>
      <c r="B181" t="s">
        <v>484</v>
      </c>
      <c r="C181" t="str">
        <f t="shared" si="6"/>
        <v>amzn1.ads-account.g.dfa7o7cwdl371d634ew58i919</v>
      </c>
      <c r="D181" t="s">
        <v>39</v>
      </c>
      <c r="G181" t="str">
        <f t="shared" si="7"/>
        <v>585687237024345541</v>
      </c>
      <c r="H181" t="s">
        <v>40</v>
      </c>
      <c r="I181" t="str">
        <f t="shared" si="8"/>
        <v>585478290940566279</v>
      </c>
      <c r="J181" t="s">
        <v>41</v>
      </c>
      <c r="K181" t="s">
        <v>535</v>
      </c>
      <c r="L181" s="1" t="str">
        <f>VLOOKUP(K181,Sheet1!A:B,2,FALSE)</f>
        <v>XM2-Y90B-LTPK-W10</v>
      </c>
      <c r="M181" t="s">
        <v>536</v>
      </c>
      <c r="N181" t="s">
        <v>74</v>
      </c>
      <c r="O181" t="s">
        <v>45</v>
      </c>
      <c r="P181" t="s">
        <v>59</v>
      </c>
      <c r="Q181" t="s">
        <v>130</v>
      </c>
      <c r="R181" t="s">
        <v>48</v>
      </c>
      <c r="S181" t="s">
        <v>49</v>
      </c>
      <c r="AB181" t="s">
        <v>49</v>
      </c>
      <c r="AC181">
        <v>0</v>
      </c>
      <c r="AD181">
        <v>0</v>
      </c>
      <c r="AE181">
        <v>0</v>
      </c>
      <c r="AF181">
        <v>0</v>
      </c>
      <c r="AG181">
        <v>0</v>
      </c>
      <c r="AH181">
        <v>0</v>
      </c>
      <c r="AI181">
        <v>0</v>
      </c>
      <c r="AJ181">
        <v>0</v>
      </c>
      <c r="AK181">
        <v>0</v>
      </c>
    </row>
    <row r="182" spans="1:37">
      <c r="A182" t="s">
        <v>37</v>
      </c>
      <c r="B182" t="s">
        <v>55</v>
      </c>
      <c r="C182" t="str">
        <f t="shared" si="6"/>
        <v>amzn1.ads-account.g.dfa7o7cwdl371d634ew58i919</v>
      </c>
      <c r="D182" t="s">
        <v>39</v>
      </c>
      <c r="G182" t="str">
        <f t="shared" si="7"/>
        <v>585687237024345541</v>
      </c>
      <c r="H182" t="s">
        <v>40</v>
      </c>
      <c r="I182" t="str">
        <f t="shared" si="8"/>
        <v>585478290940566279</v>
      </c>
      <c r="J182" t="s">
        <v>41</v>
      </c>
      <c r="K182" t="s">
        <v>537</v>
      </c>
      <c r="L182" s="1" t="str">
        <f>VLOOKUP(K182,Sheet1!A:B,2,FALSE)</f>
        <v>SH-BRY180-BK-38</v>
      </c>
      <c r="M182" t="s">
        <v>538</v>
      </c>
      <c r="N182" t="s">
        <v>64</v>
      </c>
      <c r="O182" t="s">
        <v>45</v>
      </c>
      <c r="P182" t="s">
        <v>59</v>
      </c>
      <c r="Q182" t="s">
        <v>114</v>
      </c>
      <c r="R182" t="s">
        <v>48</v>
      </c>
      <c r="S182" t="s">
        <v>49</v>
      </c>
      <c r="AB182" t="s">
        <v>49</v>
      </c>
      <c r="AC182">
        <v>7</v>
      </c>
      <c r="AD182">
        <v>137.97</v>
      </c>
      <c r="AE182">
        <v>7</v>
      </c>
      <c r="AF182">
        <v>7</v>
      </c>
      <c r="AG182">
        <v>137.97</v>
      </c>
      <c r="AH182">
        <v>7</v>
      </c>
      <c r="AI182">
        <v>6</v>
      </c>
      <c r="AJ182">
        <v>117.98</v>
      </c>
      <c r="AK182">
        <v>6</v>
      </c>
    </row>
    <row r="183" spans="1:37">
      <c r="A183" t="s">
        <v>37</v>
      </c>
      <c r="B183" t="s">
        <v>131</v>
      </c>
      <c r="C183" t="str">
        <f t="shared" si="6"/>
        <v>amzn1.ads-account.g.dfa7o7cwdl371d634ew58i919</v>
      </c>
      <c r="D183" t="s">
        <v>39</v>
      </c>
      <c r="G183" t="str">
        <f t="shared" si="7"/>
        <v>585687237024345541</v>
      </c>
      <c r="H183" t="s">
        <v>40</v>
      </c>
      <c r="I183" t="str">
        <f t="shared" si="8"/>
        <v>585478290940566279</v>
      </c>
      <c r="J183" t="s">
        <v>41</v>
      </c>
      <c r="K183" t="s">
        <v>539</v>
      </c>
      <c r="L183" s="1" t="str">
        <f>VLOOKUP(K183,Sheet1!A:B,2,FALSE)</f>
        <v>XM1-Y22-GY-35</v>
      </c>
      <c r="M183" t="s">
        <v>540</v>
      </c>
      <c r="N183" t="s">
        <v>53</v>
      </c>
      <c r="O183" t="s">
        <v>45</v>
      </c>
      <c r="P183" t="s">
        <v>75</v>
      </c>
      <c r="Q183" t="s">
        <v>541</v>
      </c>
      <c r="R183" t="s">
        <v>48</v>
      </c>
      <c r="S183" t="s">
        <v>49</v>
      </c>
      <c r="AB183" t="s">
        <v>49</v>
      </c>
      <c r="AC183">
        <v>0</v>
      </c>
      <c r="AD183">
        <v>0</v>
      </c>
      <c r="AE183">
        <v>0</v>
      </c>
      <c r="AF183">
        <v>0</v>
      </c>
      <c r="AG183">
        <v>0</v>
      </c>
      <c r="AH183">
        <v>0</v>
      </c>
      <c r="AI183">
        <v>0</v>
      </c>
      <c r="AJ183">
        <v>0</v>
      </c>
      <c r="AK183">
        <v>0</v>
      </c>
    </row>
    <row r="184" spans="1:37">
      <c r="A184" t="s">
        <v>37</v>
      </c>
      <c r="B184" t="s">
        <v>542</v>
      </c>
      <c r="C184" t="str">
        <f t="shared" si="6"/>
        <v>amzn1.ads-account.g.dfa7o7cwdl371d634ew58i919</v>
      </c>
      <c r="D184" t="s">
        <v>39</v>
      </c>
      <c r="G184" t="str">
        <f t="shared" si="7"/>
        <v>585687237024345541</v>
      </c>
      <c r="H184" t="s">
        <v>40</v>
      </c>
      <c r="I184" t="str">
        <f t="shared" si="8"/>
        <v>585478290940566279</v>
      </c>
      <c r="J184" t="s">
        <v>41</v>
      </c>
      <c r="K184" t="s">
        <v>543</v>
      </c>
      <c r="L184" s="1" t="str">
        <f>VLOOKUP(K184,Sheet1!A:B,2,FALSE)</f>
        <v>XM2-S600-DKBU-39</v>
      </c>
      <c r="M184" t="s">
        <v>544</v>
      </c>
      <c r="N184" t="s">
        <v>70</v>
      </c>
      <c r="O184" t="s">
        <v>45</v>
      </c>
      <c r="Q184" t="s">
        <v>54</v>
      </c>
      <c r="R184" t="s">
        <v>48</v>
      </c>
      <c r="S184" t="s">
        <v>49</v>
      </c>
      <c r="AB184" t="s">
        <v>49</v>
      </c>
      <c r="AC184">
        <v>0</v>
      </c>
      <c r="AD184">
        <v>0</v>
      </c>
      <c r="AE184">
        <v>0</v>
      </c>
      <c r="AF184">
        <v>0</v>
      </c>
      <c r="AG184">
        <v>0</v>
      </c>
      <c r="AH184">
        <v>0</v>
      </c>
      <c r="AI184">
        <v>0</v>
      </c>
      <c r="AJ184">
        <v>0</v>
      </c>
      <c r="AK184">
        <v>0</v>
      </c>
    </row>
    <row r="185" spans="1:37">
      <c r="A185" t="s">
        <v>37</v>
      </c>
      <c r="B185" t="s">
        <v>38</v>
      </c>
      <c r="C185" t="str">
        <f t="shared" si="6"/>
        <v>amzn1.ads-account.g.dfa7o7cwdl371d634ew58i919</v>
      </c>
      <c r="D185" t="s">
        <v>39</v>
      </c>
      <c r="G185" t="str">
        <f t="shared" si="7"/>
        <v>585687237024345541</v>
      </c>
      <c r="H185" t="s">
        <v>40</v>
      </c>
      <c r="I185" t="str">
        <f t="shared" si="8"/>
        <v>585478290940566279</v>
      </c>
      <c r="J185" t="s">
        <v>41</v>
      </c>
      <c r="K185" t="s">
        <v>545</v>
      </c>
      <c r="L185" s="1" t="str">
        <f>VLOOKUP(K185,Sheet1!A:B,2,FALSE)</f>
        <v>XM2-Y90B-LTGY-W9</v>
      </c>
      <c r="M185" t="s">
        <v>546</v>
      </c>
      <c r="N185" t="s">
        <v>74</v>
      </c>
      <c r="O185" t="s">
        <v>45</v>
      </c>
      <c r="Q185" t="s">
        <v>54</v>
      </c>
      <c r="R185" t="s">
        <v>48</v>
      </c>
      <c r="S185" t="s">
        <v>49</v>
      </c>
      <c r="AB185" t="s">
        <v>49</v>
      </c>
      <c r="AC185">
        <v>1</v>
      </c>
      <c r="AD185">
        <v>9.99</v>
      </c>
      <c r="AE185">
        <v>1</v>
      </c>
      <c r="AF185">
        <v>1</v>
      </c>
      <c r="AG185">
        <v>9.99</v>
      </c>
      <c r="AH185">
        <v>1</v>
      </c>
      <c r="AI185">
        <v>0</v>
      </c>
      <c r="AJ185">
        <v>0</v>
      </c>
      <c r="AK185">
        <v>0</v>
      </c>
    </row>
    <row r="186" spans="1:37">
      <c r="A186" t="s">
        <v>37</v>
      </c>
      <c r="B186" t="s">
        <v>227</v>
      </c>
      <c r="C186" t="str">
        <f t="shared" si="6"/>
        <v>amzn1.ads-account.g.dfa7o7cwdl371d634ew58i919</v>
      </c>
      <c r="D186" t="s">
        <v>39</v>
      </c>
      <c r="G186" t="str">
        <f t="shared" si="7"/>
        <v>585687237024345541</v>
      </c>
      <c r="H186" t="s">
        <v>40</v>
      </c>
      <c r="I186" t="str">
        <f t="shared" si="8"/>
        <v>585478290940566279</v>
      </c>
      <c r="J186" t="s">
        <v>41</v>
      </c>
      <c r="K186" t="s">
        <v>44</v>
      </c>
      <c r="L186" s="1" t="str">
        <f>VLOOKUP(K186,Sheet1!A:B,2,FALSE)</f>
        <v>SH-BRY10New</v>
      </c>
      <c r="M186" t="s">
        <v>547</v>
      </c>
      <c r="N186">
        <v>-1</v>
      </c>
      <c r="O186" t="s">
        <v>45</v>
      </c>
      <c r="P186" t="s">
        <v>59</v>
      </c>
      <c r="Q186" t="s">
        <v>106</v>
      </c>
      <c r="R186" t="s">
        <v>48</v>
      </c>
      <c r="S186" t="s">
        <v>49</v>
      </c>
      <c r="AB186" t="s">
        <v>49</v>
      </c>
      <c r="AC186">
        <v>0</v>
      </c>
      <c r="AD186">
        <v>0</v>
      </c>
      <c r="AE186">
        <v>0</v>
      </c>
      <c r="AF186">
        <v>0</v>
      </c>
      <c r="AG186">
        <v>0</v>
      </c>
      <c r="AH186">
        <v>0</v>
      </c>
      <c r="AI186">
        <v>0</v>
      </c>
      <c r="AJ186">
        <v>0</v>
      </c>
      <c r="AK186">
        <v>0</v>
      </c>
    </row>
    <row r="187" spans="1:37">
      <c r="A187" t="s">
        <v>37</v>
      </c>
      <c r="B187" t="s">
        <v>80</v>
      </c>
      <c r="C187" t="str">
        <f t="shared" si="6"/>
        <v>amzn1.ads-account.g.dfa7o7cwdl371d634ew58i919</v>
      </c>
      <c r="D187" t="s">
        <v>39</v>
      </c>
      <c r="G187" t="str">
        <f t="shared" si="7"/>
        <v>585687237024345541</v>
      </c>
      <c r="H187" t="s">
        <v>40</v>
      </c>
      <c r="I187" t="str">
        <f t="shared" si="8"/>
        <v>585478290940566279</v>
      </c>
      <c r="J187" t="s">
        <v>41</v>
      </c>
      <c r="K187" t="s">
        <v>548</v>
      </c>
      <c r="L187" s="1" t="str">
        <f>VLOOKUP(K187,Sheet1!A:B,2,FALSE)</f>
        <v>XM1-L200-DKBU-38</v>
      </c>
      <c r="M187" t="s">
        <v>549</v>
      </c>
      <c r="N187" t="s">
        <v>191</v>
      </c>
      <c r="O187" t="s">
        <v>45</v>
      </c>
      <c r="Q187" t="s">
        <v>54</v>
      </c>
      <c r="R187" t="s">
        <v>48</v>
      </c>
      <c r="S187" t="s">
        <v>49</v>
      </c>
      <c r="AB187" t="s">
        <v>49</v>
      </c>
      <c r="AC187">
        <v>0</v>
      </c>
      <c r="AD187">
        <v>0</v>
      </c>
      <c r="AE187">
        <v>0</v>
      </c>
      <c r="AF187">
        <v>0</v>
      </c>
      <c r="AG187">
        <v>0</v>
      </c>
      <c r="AH187">
        <v>0</v>
      </c>
      <c r="AI187">
        <v>0</v>
      </c>
      <c r="AJ187">
        <v>0</v>
      </c>
      <c r="AK187">
        <v>0</v>
      </c>
    </row>
    <row r="188" spans="1:37">
      <c r="A188" t="s">
        <v>37</v>
      </c>
      <c r="B188" t="s">
        <v>188</v>
      </c>
      <c r="C188" t="str">
        <f t="shared" si="6"/>
        <v>amzn1.ads-account.g.dfa7o7cwdl371d634ew58i919</v>
      </c>
      <c r="D188" t="s">
        <v>39</v>
      </c>
      <c r="G188" t="str">
        <f t="shared" si="7"/>
        <v>585687237024345541</v>
      </c>
      <c r="H188" t="s">
        <v>40</v>
      </c>
      <c r="I188" t="str">
        <f t="shared" si="8"/>
        <v>585478290940566279</v>
      </c>
      <c r="J188" t="s">
        <v>41</v>
      </c>
      <c r="K188" t="s">
        <v>550</v>
      </c>
      <c r="L188" s="1" t="str">
        <f>VLOOKUP(K188,Sheet1!A:B,2,FALSE)</f>
        <v>XM2-S71-WERD-42</v>
      </c>
      <c r="M188" t="s">
        <v>551</v>
      </c>
      <c r="N188" t="s">
        <v>83</v>
      </c>
      <c r="O188" t="s">
        <v>45</v>
      </c>
      <c r="P188" t="s">
        <v>65</v>
      </c>
      <c r="Q188" t="s">
        <v>84</v>
      </c>
      <c r="R188" t="s">
        <v>48</v>
      </c>
      <c r="S188" t="s">
        <v>49</v>
      </c>
      <c r="AB188" t="s">
        <v>49</v>
      </c>
      <c r="AC188">
        <v>0</v>
      </c>
      <c r="AD188">
        <v>0</v>
      </c>
      <c r="AE188">
        <v>0</v>
      </c>
      <c r="AF188">
        <v>0</v>
      </c>
      <c r="AG188">
        <v>0</v>
      </c>
      <c r="AH188">
        <v>0</v>
      </c>
      <c r="AI188">
        <v>0</v>
      </c>
      <c r="AJ188">
        <v>0</v>
      </c>
      <c r="AK188">
        <v>0</v>
      </c>
    </row>
    <row r="189" spans="1:37">
      <c r="A189" t="s">
        <v>37</v>
      </c>
      <c r="B189" t="s">
        <v>97</v>
      </c>
      <c r="C189" t="str">
        <f t="shared" si="6"/>
        <v>amzn1.ads-account.g.dfa7o7cwdl371d634ew58i919</v>
      </c>
      <c r="D189" t="s">
        <v>39</v>
      </c>
      <c r="G189" t="str">
        <f t="shared" si="7"/>
        <v>585687237024345541</v>
      </c>
      <c r="H189" t="s">
        <v>40</v>
      </c>
      <c r="I189" t="str">
        <f t="shared" si="8"/>
        <v>585478290940566279</v>
      </c>
      <c r="J189" t="s">
        <v>41</v>
      </c>
      <c r="K189" t="s">
        <v>552</v>
      </c>
      <c r="L189" s="1" t="str">
        <f>VLOOKUP(K189,Sheet1!A:B,2,FALSE)</f>
        <v>XM2-S75-LTBU-43</v>
      </c>
      <c r="M189" t="s">
        <v>553</v>
      </c>
      <c r="N189" t="s">
        <v>95</v>
      </c>
      <c r="O189" t="s">
        <v>45</v>
      </c>
      <c r="P189" t="s">
        <v>65</v>
      </c>
      <c r="Q189" t="s">
        <v>84</v>
      </c>
      <c r="R189" t="s">
        <v>48</v>
      </c>
      <c r="S189" t="s">
        <v>49</v>
      </c>
      <c r="AB189" t="s">
        <v>49</v>
      </c>
      <c r="AC189">
        <v>0</v>
      </c>
      <c r="AD189">
        <v>0</v>
      </c>
      <c r="AE189">
        <v>0</v>
      </c>
      <c r="AF189">
        <v>0</v>
      </c>
      <c r="AG189">
        <v>0</v>
      </c>
      <c r="AH189">
        <v>0</v>
      </c>
      <c r="AI189">
        <v>0</v>
      </c>
      <c r="AJ189">
        <v>0</v>
      </c>
      <c r="AK189">
        <v>0</v>
      </c>
    </row>
    <row r="190" spans="1:37">
      <c r="A190" t="s">
        <v>37</v>
      </c>
      <c r="B190" t="s">
        <v>554</v>
      </c>
      <c r="C190" t="str">
        <f t="shared" si="6"/>
        <v>amzn1.ads-account.g.dfa7o7cwdl371d634ew58i919</v>
      </c>
      <c r="D190" t="s">
        <v>39</v>
      </c>
      <c r="G190" t="str">
        <f t="shared" si="7"/>
        <v>585687237024345541</v>
      </c>
      <c r="H190" t="s">
        <v>40</v>
      </c>
      <c r="I190" t="str">
        <f t="shared" si="8"/>
        <v>585478290940566279</v>
      </c>
      <c r="J190" t="s">
        <v>41</v>
      </c>
      <c r="K190" t="s">
        <v>555</v>
      </c>
      <c r="L190" s="1" t="str">
        <f>VLOOKUP(K190,Sheet1!A:B,2,FALSE)</f>
        <v>XM2-S75-GY-38</v>
      </c>
      <c r="M190" t="s">
        <v>556</v>
      </c>
      <c r="N190" t="s">
        <v>95</v>
      </c>
      <c r="O190" t="s">
        <v>45</v>
      </c>
      <c r="P190" t="s">
        <v>65</v>
      </c>
      <c r="Q190" t="s">
        <v>84</v>
      </c>
      <c r="R190" t="s">
        <v>48</v>
      </c>
      <c r="S190" t="s">
        <v>49</v>
      </c>
      <c r="AB190" t="s">
        <v>49</v>
      </c>
      <c r="AC190">
        <v>1</v>
      </c>
      <c r="AD190">
        <v>39.99</v>
      </c>
      <c r="AE190">
        <v>1</v>
      </c>
      <c r="AF190">
        <v>1</v>
      </c>
      <c r="AG190">
        <v>39.99</v>
      </c>
      <c r="AH190">
        <v>1</v>
      </c>
      <c r="AI190">
        <v>1</v>
      </c>
      <c r="AJ190">
        <v>39.99</v>
      </c>
      <c r="AK190">
        <v>1</v>
      </c>
    </row>
    <row r="191" spans="1:37">
      <c r="A191" t="s">
        <v>37</v>
      </c>
      <c r="B191" t="s">
        <v>557</v>
      </c>
      <c r="C191" t="str">
        <f t="shared" si="6"/>
        <v>amzn1.ads-account.g.dfa7o7cwdl371d634ew58i919</v>
      </c>
      <c r="D191" t="s">
        <v>39</v>
      </c>
      <c r="G191" t="str">
        <f t="shared" si="7"/>
        <v>585687237024345541</v>
      </c>
      <c r="H191" t="s">
        <v>40</v>
      </c>
      <c r="I191" t="str">
        <f t="shared" si="8"/>
        <v>585478290940566279</v>
      </c>
      <c r="J191" t="s">
        <v>41</v>
      </c>
      <c r="K191" t="s">
        <v>558</v>
      </c>
      <c r="L191" s="1" t="str">
        <f>VLOOKUP(K191,Sheet1!A:B,2,FALSE)</f>
        <v>XM2-S71-WT-43</v>
      </c>
      <c r="M191" t="s">
        <v>559</v>
      </c>
      <c r="N191" t="s">
        <v>83</v>
      </c>
      <c r="O191" t="s">
        <v>45</v>
      </c>
      <c r="P191" t="s">
        <v>65</v>
      </c>
      <c r="Q191" t="s">
        <v>84</v>
      </c>
      <c r="R191" t="s">
        <v>48</v>
      </c>
      <c r="S191" t="s">
        <v>49</v>
      </c>
      <c r="AB191" t="s">
        <v>49</v>
      </c>
      <c r="AC191">
        <v>1</v>
      </c>
      <c r="AD191">
        <v>49.99</v>
      </c>
      <c r="AE191">
        <v>1</v>
      </c>
      <c r="AF191">
        <v>1</v>
      </c>
      <c r="AG191">
        <v>49.99</v>
      </c>
      <c r="AH191">
        <v>1</v>
      </c>
      <c r="AI191">
        <v>1</v>
      </c>
      <c r="AJ191">
        <v>49.99</v>
      </c>
      <c r="AK191">
        <v>1</v>
      </c>
    </row>
    <row r="192" spans="1:37">
      <c r="A192" t="s">
        <v>37</v>
      </c>
      <c r="B192" t="s">
        <v>560</v>
      </c>
      <c r="C192" t="str">
        <f t="shared" si="6"/>
        <v>amzn1.ads-account.g.dfa7o7cwdl371d634ew58i919</v>
      </c>
      <c r="D192" t="s">
        <v>39</v>
      </c>
      <c r="G192" t="str">
        <f t="shared" si="7"/>
        <v>585687237024345541</v>
      </c>
      <c r="H192" t="s">
        <v>40</v>
      </c>
      <c r="I192" t="str">
        <f t="shared" si="8"/>
        <v>585478290940566279</v>
      </c>
      <c r="J192" t="s">
        <v>41</v>
      </c>
      <c r="K192" t="s">
        <v>561</v>
      </c>
      <c r="L192" s="1" t="str">
        <f>VLOOKUP(K192,Sheet1!A:B,2,FALSE)</f>
        <v>LB1-Y15-PK-43</v>
      </c>
      <c r="M192" t="s">
        <v>562</v>
      </c>
      <c r="N192" t="s">
        <v>58</v>
      </c>
      <c r="O192" t="s">
        <v>45</v>
      </c>
      <c r="P192" t="s">
        <v>59</v>
      </c>
      <c r="Q192" t="s">
        <v>173</v>
      </c>
      <c r="R192" t="s">
        <v>48</v>
      </c>
      <c r="S192" t="s">
        <v>49</v>
      </c>
      <c r="AB192" t="s">
        <v>49</v>
      </c>
      <c r="AC192">
        <v>0</v>
      </c>
      <c r="AD192">
        <v>0</v>
      </c>
      <c r="AE192">
        <v>0</v>
      </c>
      <c r="AF192">
        <v>0</v>
      </c>
      <c r="AG192">
        <v>0</v>
      </c>
      <c r="AH192">
        <v>0</v>
      </c>
      <c r="AI192">
        <v>0</v>
      </c>
      <c r="AJ192">
        <v>0</v>
      </c>
      <c r="AK192">
        <v>0</v>
      </c>
    </row>
    <row r="193" spans="1:37">
      <c r="A193" t="s">
        <v>37</v>
      </c>
      <c r="B193" t="s">
        <v>554</v>
      </c>
      <c r="C193" t="str">
        <f t="shared" si="6"/>
        <v>amzn1.ads-account.g.dfa7o7cwdl371d634ew58i919</v>
      </c>
      <c r="D193" t="s">
        <v>39</v>
      </c>
      <c r="G193" t="str">
        <f t="shared" si="7"/>
        <v>585687237024345541</v>
      </c>
      <c r="H193" t="s">
        <v>40</v>
      </c>
      <c r="I193" t="str">
        <f t="shared" si="8"/>
        <v>585478290940566279</v>
      </c>
      <c r="J193" t="s">
        <v>41</v>
      </c>
      <c r="K193" t="s">
        <v>563</v>
      </c>
      <c r="L193" s="1" t="str">
        <f>VLOOKUP(K193,Sheet1!A:B,2,FALSE)</f>
        <v>XM2-S75-BU-38</v>
      </c>
      <c r="M193" t="s">
        <v>564</v>
      </c>
      <c r="N193" t="s">
        <v>95</v>
      </c>
      <c r="O193" t="s">
        <v>45</v>
      </c>
      <c r="P193" t="s">
        <v>565</v>
      </c>
      <c r="Q193" t="s">
        <v>566</v>
      </c>
      <c r="R193" t="s">
        <v>48</v>
      </c>
      <c r="S193" t="s">
        <v>49</v>
      </c>
      <c r="AB193" t="s">
        <v>49</v>
      </c>
      <c r="AC193">
        <v>0</v>
      </c>
      <c r="AD193">
        <v>0</v>
      </c>
      <c r="AE193">
        <v>0</v>
      </c>
      <c r="AF193">
        <v>0</v>
      </c>
      <c r="AG193">
        <v>0</v>
      </c>
      <c r="AH193">
        <v>0</v>
      </c>
      <c r="AI193">
        <v>0</v>
      </c>
      <c r="AJ193">
        <v>0</v>
      </c>
      <c r="AK193">
        <v>0</v>
      </c>
    </row>
    <row r="194" spans="1:37">
      <c r="A194" t="s">
        <v>37</v>
      </c>
      <c r="B194" t="s">
        <v>567</v>
      </c>
      <c r="C194" t="str">
        <f t="shared" ref="C194:C257" si="9">"amzn1.ads-account.g.dfa7o7cwdl371d634ew58i919"</f>
        <v>amzn1.ads-account.g.dfa7o7cwdl371d634ew58i919</v>
      </c>
      <c r="D194" t="s">
        <v>39</v>
      </c>
      <c r="G194" t="str">
        <f t="shared" ref="G194:G257" si="10">"585687237024345541"</f>
        <v>585687237024345541</v>
      </c>
      <c r="H194" t="s">
        <v>40</v>
      </c>
      <c r="I194" t="str">
        <f t="shared" ref="I194:I257" si="11">"585478290940566279"</f>
        <v>585478290940566279</v>
      </c>
      <c r="J194" t="s">
        <v>41</v>
      </c>
      <c r="K194" t="s">
        <v>568</v>
      </c>
      <c r="L194" s="1" t="str">
        <f>VLOOKUP(K194,Sheet1!A:B,2,FALSE)</f>
        <v>XM2-S75-BU-40</v>
      </c>
      <c r="M194" t="s">
        <v>569</v>
      </c>
      <c r="N194" t="s">
        <v>95</v>
      </c>
      <c r="O194" t="s">
        <v>45</v>
      </c>
      <c r="P194" t="s">
        <v>153</v>
      </c>
      <c r="Q194" t="s">
        <v>154</v>
      </c>
      <c r="R194" t="s">
        <v>48</v>
      </c>
      <c r="S194" t="s">
        <v>49</v>
      </c>
      <c r="AB194" t="s">
        <v>49</v>
      </c>
      <c r="AC194">
        <v>0</v>
      </c>
      <c r="AD194">
        <v>0</v>
      </c>
      <c r="AE194">
        <v>0</v>
      </c>
      <c r="AF194">
        <v>0</v>
      </c>
      <c r="AG194">
        <v>0</v>
      </c>
      <c r="AH194">
        <v>0</v>
      </c>
      <c r="AI194">
        <v>0</v>
      </c>
      <c r="AJ194">
        <v>0</v>
      </c>
      <c r="AK194">
        <v>0</v>
      </c>
    </row>
    <row r="195" spans="1:37">
      <c r="A195" t="s">
        <v>37</v>
      </c>
      <c r="B195" t="s">
        <v>570</v>
      </c>
      <c r="C195" t="str">
        <f t="shared" si="9"/>
        <v>amzn1.ads-account.g.dfa7o7cwdl371d634ew58i919</v>
      </c>
      <c r="D195" t="s">
        <v>39</v>
      </c>
      <c r="G195" t="str">
        <f t="shared" si="10"/>
        <v>585687237024345541</v>
      </c>
      <c r="H195" t="s">
        <v>40</v>
      </c>
      <c r="I195" t="str">
        <f t="shared" si="11"/>
        <v>585478290940566279</v>
      </c>
      <c r="J195" t="s">
        <v>41</v>
      </c>
      <c r="K195" t="s">
        <v>571</v>
      </c>
      <c r="L195" s="1" t="str">
        <f>VLOOKUP(K195,Sheet1!A:B,2,FALSE)</f>
        <v>SH-BRS71-BU-46</v>
      </c>
      <c r="M195" t="s">
        <v>572</v>
      </c>
      <c r="N195" t="s">
        <v>110</v>
      </c>
      <c r="O195" t="s">
        <v>45</v>
      </c>
      <c r="P195" t="s">
        <v>118</v>
      </c>
      <c r="Q195" t="s">
        <v>119</v>
      </c>
      <c r="R195" t="s">
        <v>48</v>
      </c>
      <c r="S195" t="s">
        <v>49</v>
      </c>
      <c r="AB195" t="s">
        <v>49</v>
      </c>
      <c r="AC195">
        <v>0</v>
      </c>
      <c r="AD195">
        <v>0</v>
      </c>
      <c r="AE195">
        <v>0</v>
      </c>
      <c r="AF195">
        <v>0</v>
      </c>
      <c r="AG195">
        <v>0</v>
      </c>
      <c r="AH195">
        <v>0</v>
      </c>
      <c r="AI195">
        <v>0</v>
      </c>
      <c r="AJ195">
        <v>0</v>
      </c>
      <c r="AK195">
        <v>0</v>
      </c>
    </row>
    <row r="196" spans="1:37">
      <c r="A196" t="s">
        <v>37</v>
      </c>
      <c r="B196" t="s">
        <v>335</v>
      </c>
      <c r="C196" t="str">
        <f t="shared" si="9"/>
        <v>amzn1.ads-account.g.dfa7o7cwdl371d634ew58i919</v>
      </c>
      <c r="D196" t="s">
        <v>39</v>
      </c>
      <c r="G196" t="str">
        <f t="shared" si="10"/>
        <v>585687237024345541</v>
      </c>
      <c r="H196" t="s">
        <v>40</v>
      </c>
      <c r="I196" t="str">
        <f t="shared" si="11"/>
        <v>585478290940566279</v>
      </c>
      <c r="J196" t="s">
        <v>41</v>
      </c>
      <c r="K196" t="s">
        <v>573</v>
      </c>
      <c r="L196" s="1" t="str">
        <f>VLOOKUP(K196,Sheet1!A:B,2,FALSE)</f>
        <v>XM2-S75-GY-41</v>
      </c>
      <c r="M196" t="s">
        <v>574</v>
      </c>
      <c r="N196" t="s">
        <v>95</v>
      </c>
      <c r="O196" t="s">
        <v>45</v>
      </c>
      <c r="P196" t="s">
        <v>65</v>
      </c>
      <c r="Q196" t="s">
        <v>84</v>
      </c>
      <c r="R196" t="s">
        <v>48</v>
      </c>
      <c r="S196" t="s">
        <v>49</v>
      </c>
      <c r="AB196" t="s">
        <v>49</v>
      </c>
      <c r="AC196">
        <v>0</v>
      </c>
      <c r="AD196">
        <v>0</v>
      </c>
      <c r="AE196">
        <v>0</v>
      </c>
      <c r="AF196">
        <v>0</v>
      </c>
      <c r="AG196">
        <v>0</v>
      </c>
      <c r="AH196">
        <v>0</v>
      </c>
      <c r="AI196">
        <v>0</v>
      </c>
      <c r="AJ196">
        <v>0</v>
      </c>
      <c r="AK196">
        <v>0</v>
      </c>
    </row>
    <row r="197" spans="1:37">
      <c r="A197" t="s">
        <v>37</v>
      </c>
      <c r="B197" t="s">
        <v>120</v>
      </c>
      <c r="C197" t="str">
        <f t="shared" si="9"/>
        <v>amzn1.ads-account.g.dfa7o7cwdl371d634ew58i919</v>
      </c>
      <c r="D197" t="s">
        <v>39</v>
      </c>
      <c r="G197" t="str">
        <f t="shared" si="10"/>
        <v>585687237024345541</v>
      </c>
      <c r="H197" t="s">
        <v>40</v>
      </c>
      <c r="I197" t="str">
        <f t="shared" si="11"/>
        <v>585478290940566279</v>
      </c>
      <c r="J197" t="s">
        <v>41</v>
      </c>
      <c r="K197" t="s">
        <v>575</v>
      </c>
      <c r="L197" s="1" t="str">
        <f>VLOOKUP(K197,Sheet1!A:B,2,FALSE)</f>
        <v>SH-BRY10-GY-41</v>
      </c>
      <c r="M197" t="s">
        <v>576</v>
      </c>
      <c r="N197" t="s">
        <v>44</v>
      </c>
      <c r="O197" t="s">
        <v>45</v>
      </c>
      <c r="P197" t="s">
        <v>75</v>
      </c>
      <c r="Q197" t="s">
        <v>91</v>
      </c>
      <c r="R197" t="s">
        <v>48</v>
      </c>
      <c r="S197" t="s">
        <v>49</v>
      </c>
      <c r="AB197" t="s">
        <v>49</v>
      </c>
      <c r="AC197">
        <v>12</v>
      </c>
      <c r="AD197">
        <v>297.89</v>
      </c>
      <c r="AE197">
        <v>13</v>
      </c>
      <c r="AF197">
        <v>12</v>
      </c>
      <c r="AG197">
        <v>297.89</v>
      </c>
      <c r="AH197">
        <v>13</v>
      </c>
      <c r="AI197">
        <v>6</v>
      </c>
      <c r="AJ197">
        <v>167.93</v>
      </c>
      <c r="AK197">
        <v>7</v>
      </c>
    </row>
    <row r="198" spans="1:37">
      <c r="A198" t="s">
        <v>37</v>
      </c>
      <c r="B198" t="s">
        <v>38</v>
      </c>
      <c r="C198" t="str">
        <f t="shared" si="9"/>
        <v>amzn1.ads-account.g.dfa7o7cwdl371d634ew58i919</v>
      </c>
      <c r="D198" t="s">
        <v>39</v>
      </c>
      <c r="G198" t="str">
        <f t="shared" si="10"/>
        <v>585687237024345541</v>
      </c>
      <c r="H198" t="s">
        <v>40</v>
      </c>
      <c r="I198" t="str">
        <f t="shared" si="11"/>
        <v>585478290940566279</v>
      </c>
      <c r="J198" t="s">
        <v>41</v>
      </c>
      <c r="K198" t="s">
        <v>577</v>
      </c>
      <c r="L198" s="1" t="str">
        <f>VLOOKUP(K198,Sheet1!A:B,2,FALSE)</f>
        <v>LB1-Y15-BN-41</v>
      </c>
      <c r="M198" t="s">
        <v>578</v>
      </c>
      <c r="N198" t="s">
        <v>58</v>
      </c>
      <c r="O198" t="s">
        <v>45</v>
      </c>
      <c r="P198" t="s">
        <v>59</v>
      </c>
      <c r="Q198" t="s">
        <v>579</v>
      </c>
      <c r="R198" t="s">
        <v>48</v>
      </c>
      <c r="S198" t="s">
        <v>49</v>
      </c>
      <c r="AB198" t="s">
        <v>49</v>
      </c>
      <c r="AC198">
        <v>1</v>
      </c>
      <c r="AD198">
        <v>15.99</v>
      </c>
      <c r="AE198">
        <v>1</v>
      </c>
      <c r="AF198">
        <v>1</v>
      </c>
      <c r="AG198">
        <v>15.99</v>
      </c>
      <c r="AH198">
        <v>1</v>
      </c>
      <c r="AI198">
        <v>0</v>
      </c>
      <c r="AJ198">
        <v>0</v>
      </c>
      <c r="AK198">
        <v>0</v>
      </c>
    </row>
    <row r="199" spans="1:37">
      <c r="A199" t="s">
        <v>37</v>
      </c>
      <c r="B199" t="s">
        <v>147</v>
      </c>
      <c r="C199" t="str">
        <f t="shared" si="9"/>
        <v>amzn1.ads-account.g.dfa7o7cwdl371d634ew58i919</v>
      </c>
      <c r="D199" t="s">
        <v>39</v>
      </c>
      <c r="G199" t="str">
        <f t="shared" si="10"/>
        <v>585687237024345541</v>
      </c>
      <c r="H199" t="s">
        <v>40</v>
      </c>
      <c r="I199" t="str">
        <f t="shared" si="11"/>
        <v>585478290940566279</v>
      </c>
      <c r="J199" t="s">
        <v>41</v>
      </c>
      <c r="K199" t="s">
        <v>580</v>
      </c>
      <c r="L199" s="1" t="str">
        <f>VLOOKUP(K199,Sheet1!A:B,2,FALSE)</f>
        <v>SH-BRY10-BN-47</v>
      </c>
      <c r="M199" t="s">
        <v>581</v>
      </c>
      <c r="N199" t="s">
        <v>44</v>
      </c>
      <c r="O199" t="s">
        <v>45</v>
      </c>
      <c r="P199" t="s">
        <v>46</v>
      </c>
      <c r="Q199" t="s">
        <v>47</v>
      </c>
      <c r="R199" t="s">
        <v>48</v>
      </c>
      <c r="S199" t="s">
        <v>49</v>
      </c>
      <c r="AB199" t="s">
        <v>49</v>
      </c>
      <c r="AC199">
        <v>0</v>
      </c>
      <c r="AD199">
        <v>0</v>
      </c>
      <c r="AE199">
        <v>0</v>
      </c>
      <c r="AF199">
        <v>0</v>
      </c>
      <c r="AG199">
        <v>0</v>
      </c>
      <c r="AH199">
        <v>0</v>
      </c>
      <c r="AI199">
        <v>0</v>
      </c>
      <c r="AJ199">
        <v>0</v>
      </c>
      <c r="AK199">
        <v>0</v>
      </c>
    </row>
    <row r="200" spans="1:37">
      <c r="A200" t="s">
        <v>37</v>
      </c>
      <c r="B200" t="s">
        <v>150</v>
      </c>
      <c r="C200" t="str">
        <f t="shared" si="9"/>
        <v>amzn1.ads-account.g.dfa7o7cwdl371d634ew58i919</v>
      </c>
      <c r="D200" t="s">
        <v>39</v>
      </c>
      <c r="G200" t="str">
        <f t="shared" si="10"/>
        <v>585687237024345541</v>
      </c>
      <c r="H200" t="s">
        <v>40</v>
      </c>
      <c r="I200" t="str">
        <f t="shared" si="11"/>
        <v>585478290940566279</v>
      </c>
      <c r="J200" t="s">
        <v>41</v>
      </c>
      <c r="K200" t="s">
        <v>582</v>
      </c>
      <c r="L200" s="1" t="str">
        <f>VLOOKUP(K200,Sheet1!A:B,2,FALSE)</f>
        <v>SH-BRY180-BN-38</v>
      </c>
      <c r="M200" t="s">
        <v>583</v>
      </c>
      <c r="N200" t="s">
        <v>64</v>
      </c>
      <c r="O200" t="s">
        <v>45</v>
      </c>
      <c r="P200" t="s">
        <v>123</v>
      </c>
      <c r="Q200" t="s">
        <v>124</v>
      </c>
      <c r="R200" t="s">
        <v>48</v>
      </c>
      <c r="S200" t="s">
        <v>49</v>
      </c>
      <c r="AB200" t="s">
        <v>49</v>
      </c>
      <c r="AC200">
        <v>1</v>
      </c>
      <c r="AD200">
        <v>23.99</v>
      </c>
      <c r="AE200">
        <v>1</v>
      </c>
      <c r="AF200">
        <v>1</v>
      </c>
      <c r="AG200">
        <v>23.99</v>
      </c>
      <c r="AH200">
        <v>1</v>
      </c>
      <c r="AI200">
        <v>0</v>
      </c>
      <c r="AJ200">
        <v>0</v>
      </c>
      <c r="AK200">
        <v>0</v>
      </c>
    </row>
    <row r="201" spans="1:37">
      <c r="A201" t="s">
        <v>37</v>
      </c>
      <c r="B201" t="s">
        <v>199</v>
      </c>
      <c r="C201" t="str">
        <f t="shared" si="9"/>
        <v>amzn1.ads-account.g.dfa7o7cwdl371d634ew58i919</v>
      </c>
      <c r="D201" t="s">
        <v>39</v>
      </c>
      <c r="G201" t="str">
        <f t="shared" si="10"/>
        <v>585687237024345541</v>
      </c>
      <c r="H201" t="s">
        <v>40</v>
      </c>
      <c r="I201" t="str">
        <f t="shared" si="11"/>
        <v>585478290940566279</v>
      </c>
      <c r="J201" t="s">
        <v>41</v>
      </c>
      <c r="K201" t="s">
        <v>584</v>
      </c>
      <c r="L201" s="1" t="str">
        <f>VLOOKUP(K201,Sheet1!A:B,2,FALSE)</f>
        <v>XM2-S600-BG-37.5</v>
      </c>
      <c r="M201" t="s">
        <v>585</v>
      </c>
      <c r="N201" t="s">
        <v>70</v>
      </c>
      <c r="O201" t="s">
        <v>45</v>
      </c>
      <c r="Q201" t="s">
        <v>54</v>
      </c>
      <c r="R201" t="s">
        <v>48</v>
      </c>
      <c r="S201" t="s">
        <v>49</v>
      </c>
      <c r="AB201" t="s">
        <v>49</v>
      </c>
      <c r="AC201">
        <v>0</v>
      </c>
      <c r="AD201">
        <v>0</v>
      </c>
      <c r="AE201">
        <v>0</v>
      </c>
      <c r="AF201">
        <v>0</v>
      </c>
      <c r="AG201">
        <v>0</v>
      </c>
      <c r="AH201">
        <v>0</v>
      </c>
      <c r="AI201">
        <v>0</v>
      </c>
      <c r="AJ201">
        <v>0</v>
      </c>
      <c r="AK201">
        <v>0</v>
      </c>
    </row>
    <row r="202" spans="1:37">
      <c r="A202" t="s">
        <v>37</v>
      </c>
      <c r="B202" t="s">
        <v>586</v>
      </c>
      <c r="C202" t="str">
        <f t="shared" si="9"/>
        <v>amzn1.ads-account.g.dfa7o7cwdl371d634ew58i919</v>
      </c>
      <c r="D202" t="s">
        <v>39</v>
      </c>
      <c r="G202" t="str">
        <f t="shared" si="10"/>
        <v>585687237024345541</v>
      </c>
      <c r="H202" t="s">
        <v>40</v>
      </c>
      <c r="I202" t="str">
        <f t="shared" si="11"/>
        <v>585478290940566279</v>
      </c>
      <c r="J202" t="s">
        <v>41</v>
      </c>
      <c r="K202" t="s">
        <v>587</v>
      </c>
      <c r="L202" s="1" t="str">
        <f>VLOOKUP(K202,Sheet1!A:B,2,FALSE)</f>
        <v>XM2-S73-BG-43</v>
      </c>
      <c r="M202" t="s">
        <v>588</v>
      </c>
      <c r="N202" t="s">
        <v>83</v>
      </c>
      <c r="O202" t="s">
        <v>45</v>
      </c>
      <c r="P202" t="s">
        <v>140</v>
      </c>
      <c r="Q202" t="s">
        <v>589</v>
      </c>
      <c r="R202" t="s">
        <v>48</v>
      </c>
      <c r="S202" t="s">
        <v>49</v>
      </c>
      <c r="AB202" t="s">
        <v>49</v>
      </c>
      <c r="AC202">
        <v>0</v>
      </c>
      <c r="AD202">
        <v>0</v>
      </c>
      <c r="AE202">
        <v>0</v>
      </c>
      <c r="AF202">
        <v>0</v>
      </c>
      <c r="AG202">
        <v>0</v>
      </c>
      <c r="AH202">
        <v>0</v>
      </c>
      <c r="AI202">
        <v>0</v>
      </c>
      <c r="AJ202">
        <v>0</v>
      </c>
      <c r="AK202">
        <v>0</v>
      </c>
    </row>
    <row r="203" spans="1:37">
      <c r="A203" t="s">
        <v>37</v>
      </c>
      <c r="B203" t="s">
        <v>368</v>
      </c>
      <c r="C203" t="str">
        <f t="shared" si="9"/>
        <v>amzn1.ads-account.g.dfa7o7cwdl371d634ew58i919</v>
      </c>
      <c r="D203" t="s">
        <v>39</v>
      </c>
      <c r="G203" t="str">
        <f t="shared" si="10"/>
        <v>585687237024345541</v>
      </c>
      <c r="H203" t="s">
        <v>40</v>
      </c>
      <c r="I203" t="str">
        <f t="shared" si="11"/>
        <v>585478290940566279</v>
      </c>
      <c r="J203" t="s">
        <v>41</v>
      </c>
      <c r="K203" t="s">
        <v>590</v>
      </c>
      <c r="L203" s="1" t="str">
        <f>VLOOKUP(K203,Sheet1!A:B,2,FALSE)</f>
        <v>SH-BRY180-CL-41</v>
      </c>
      <c r="M203" t="s">
        <v>591</v>
      </c>
      <c r="N203" t="s">
        <v>64</v>
      </c>
      <c r="O203" t="s">
        <v>45</v>
      </c>
      <c r="P203" t="s">
        <v>65</v>
      </c>
      <c r="Q203" t="s">
        <v>66</v>
      </c>
      <c r="R203" t="s">
        <v>48</v>
      </c>
      <c r="S203" t="s">
        <v>49</v>
      </c>
      <c r="AB203" t="s">
        <v>49</v>
      </c>
      <c r="AC203">
        <v>1</v>
      </c>
      <c r="AD203">
        <v>0</v>
      </c>
      <c r="AE203">
        <v>1</v>
      </c>
      <c r="AF203">
        <v>1</v>
      </c>
      <c r="AG203">
        <v>0</v>
      </c>
      <c r="AH203">
        <v>1</v>
      </c>
      <c r="AI203">
        <v>0</v>
      </c>
      <c r="AJ203">
        <v>0</v>
      </c>
      <c r="AK203">
        <v>0</v>
      </c>
    </row>
    <row r="204" spans="1:37">
      <c r="A204" t="s">
        <v>37</v>
      </c>
      <c r="B204" t="s">
        <v>592</v>
      </c>
      <c r="C204" t="str">
        <f t="shared" si="9"/>
        <v>amzn1.ads-account.g.dfa7o7cwdl371d634ew58i919</v>
      </c>
      <c r="D204" t="s">
        <v>39</v>
      </c>
      <c r="G204" t="str">
        <f t="shared" si="10"/>
        <v>585687237024345541</v>
      </c>
      <c r="H204" t="s">
        <v>40</v>
      </c>
      <c r="I204" t="str">
        <f t="shared" si="11"/>
        <v>585478290940566279</v>
      </c>
      <c r="J204" t="s">
        <v>41</v>
      </c>
      <c r="K204" t="s">
        <v>593</v>
      </c>
      <c r="L204" s="1" t="str">
        <f>VLOOKUP(K204,Sheet1!A:B,2,FALSE)</f>
        <v>XM2-S75-BK-42</v>
      </c>
      <c r="M204" t="s">
        <v>594</v>
      </c>
      <c r="N204" t="s">
        <v>95</v>
      </c>
      <c r="O204" t="s">
        <v>45</v>
      </c>
      <c r="P204" t="s">
        <v>65</v>
      </c>
      <c r="Q204" t="s">
        <v>84</v>
      </c>
      <c r="R204" t="s">
        <v>48</v>
      </c>
      <c r="S204" t="s">
        <v>49</v>
      </c>
      <c r="AB204" t="s">
        <v>49</v>
      </c>
      <c r="AC204">
        <v>0</v>
      </c>
      <c r="AD204">
        <v>0</v>
      </c>
      <c r="AE204">
        <v>0</v>
      </c>
      <c r="AF204">
        <v>0</v>
      </c>
      <c r="AG204">
        <v>0</v>
      </c>
      <c r="AH204">
        <v>0</v>
      </c>
      <c r="AI204">
        <v>0</v>
      </c>
      <c r="AJ204">
        <v>0</v>
      </c>
      <c r="AK204">
        <v>0</v>
      </c>
    </row>
    <row r="205" spans="1:37">
      <c r="A205" t="s">
        <v>37</v>
      </c>
      <c r="B205" t="s">
        <v>325</v>
      </c>
      <c r="C205" t="str">
        <f t="shared" si="9"/>
        <v>amzn1.ads-account.g.dfa7o7cwdl371d634ew58i919</v>
      </c>
      <c r="D205" t="s">
        <v>39</v>
      </c>
      <c r="G205" t="str">
        <f t="shared" si="10"/>
        <v>585687237024345541</v>
      </c>
      <c r="H205" t="s">
        <v>40</v>
      </c>
      <c r="I205" t="str">
        <f t="shared" si="11"/>
        <v>585478290940566279</v>
      </c>
      <c r="J205" t="s">
        <v>41</v>
      </c>
      <c r="K205" t="s">
        <v>595</v>
      </c>
      <c r="L205" s="1" t="str">
        <f>VLOOKUP(K205,Sheet1!A:B,2,FALSE)</f>
        <v>SH-BRY10-WT-36</v>
      </c>
      <c r="M205" t="s">
        <v>596</v>
      </c>
      <c r="N205" t="s">
        <v>44</v>
      </c>
      <c r="O205" t="s">
        <v>45</v>
      </c>
      <c r="P205" t="s">
        <v>75</v>
      </c>
      <c r="Q205" t="s">
        <v>91</v>
      </c>
      <c r="R205" t="s">
        <v>48</v>
      </c>
      <c r="S205" t="s">
        <v>49</v>
      </c>
      <c r="AB205" t="s">
        <v>49</v>
      </c>
      <c r="AC205">
        <v>2</v>
      </c>
      <c r="AD205">
        <v>23.99</v>
      </c>
      <c r="AE205">
        <v>2</v>
      </c>
      <c r="AF205">
        <v>2</v>
      </c>
      <c r="AG205">
        <v>23.99</v>
      </c>
      <c r="AH205">
        <v>2</v>
      </c>
      <c r="AI205">
        <v>0</v>
      </c>
      <c r="AJ205">
        <v>0</v>
      </c>
      <c r="AK205">
        <v>0</v>
      </c>
    </row>
    <row r="206" spans="1:37">
      <c r="A206" t="s">
        <v>37</v>
      </c>
      <c r="B206" t="s">
        <v>557</v>
      </c>
      <c r="C206" t="str">
        <f t="shared" si="9"/>
        <v>amzn1.ads-account.g.dfa7o7cwdl371d634ew58i919</v>
      </c>
      <c r="D206" t="s">
        <v>39</v>
      </c>
      <c r="G206" t="str">
        <f t="shared" si="10"/>
        <v>585687237024345541</v>
      </c>
      <c r="H206" t="s">
        <v>40</v>
      </c>
      <c r="I206" t="str">
        <f t="shared" si="11"/>
        <v>585478290940566279</v>
      </c>
      <c r="J206" t="s">
        <v>41</v>
      </c>
      <c r="K206" t="s">
        <v>597</v>
      </c>
      <c r="L206" s="1" t="str">
        <f>VLOOKUP(K206,Sheet1!A:B,2,FALSE)</f>
        <v>SH-BRY10-OLGN-41</v>
      </c>
      <c r="M206" t="s">
        <v>598</v>
      </c>
      <c r="N206" t="s">
        <v>44</v>
      </c>
      <c r="O206" t="s">
        <v>45</v>
      </c>
      <c r="P206" t="s">
        <v>75</v>
      </c>
      <c r="Q206" t="s">
        <v>91</v>
      </c>
      <c r="R206" t="s">
        <v>48</v>
      </c>
      <c r="S206" t="s">
        <v>49</v>
      </c>
      <c r="AB206" t="s">
        <v>49</v>
      </c>
      <c r="AC206">
        <v>0</v>
      </c>
      <c r="AD206">
        <v>0</v>
      </c>
      <c r="AE206">
        <v>0</v>
      </c>
      <c r="AF206">
        <v>0</v>
      </c>
      <c r="AG206">
        <v>0</v>
      </c>
      <c r="AH206">
        <v>0</v>
      </c>
      <c r="AI206">
        <v>0</v>
      </c>
      <c r="AJ206">
        <v>0</v>
      </c>
      <c r="AK206">
        <v>0</v>
      </c>
    </row>
    <row r="207" spans="1:37">
      <c r="A207" t="s">
        <v>37</v>
      </c>
      <c r="B207" t="s">
        <v>599</v>
      </c>
      <c r="C207" t="str">
        <f t="shared" si="9"/>
        <v>amzn1.ads-account.g.dfa7o7cwdl371d634ew58i919</v>
      </c>
      <c r="D207" t="s">
        <v>39</v>
      </c>
      <c r="G207" t="str">
        <f t="shared" si="10"/>
        <v>585687237024345541</v>
      </c>
      <c r="H207" t="s">
        <v>40</v>
      </c>
      <c r="I207" t="str">
        <f t="shared" si="11"/>
        <v>585478290940566279</v>
      </c>
      <c r="J207" t="s">
        <v>41</v>
      </c>
      <c r="K207" t="s">
        <v>600</v>
      </c>
      <c r="L207" s="1" t="str">
        <f>VLOOKUP(K207,Sheet1!A:B,2,FALSE)</f>
        <v>LB1-Y15-PK-40</v>
      </c>
      <c r="M207" t="s">
        <v>601</v>
      </c>
      <c r="N207" t="s">
        <v>58</v>
      </c>
      <c r="O207" t="s">
        <v>45</v>
      </c>
      <c r="P207" t="s">
        <v>65</v>
      </c>
      <c r="Q207" t="s">
        <v>66</v>
      </c>
      <c r="R207" t="s">
        <v>48</v>
      </c>
      <c r="S207" t="s">
        <v>49</v>
      </c>
      <c r="AB207" t="s">
        <v>49</v>
      </c>
      <c r="AC207">
        <v>0</v>
      </c>
      <c r="AD207">
        <v>0</v>
      </c>
      <c r="AE207">
        <v>0</v>
      </c>
      <c r="AF207">
        <v>0</v>
      </c>
      <c r="AG207">
        <v>0</v>
      </c>
      <c r="AH207">
        <v>0</v>
      </c>
      <c r="AI207">
        <v>0</v>
      </c>
      <c r="AJ207">
        <v>0</v>
      </c>
      <c r="AK207">
        <v>0</v>
      </c>
    </row>
    <row r="208" spans="1:37">
      <c r="A208" t="s">
        <v>37</v>
      </c>
      <c r="B208" t="s">
        <v>147</v>
      </c>
      <c r="C208" t="str">
        <f t="shared" si="9"/>
        <v>amzn1.ads-account.g.dfa7o7cwdl371d634ew58i919</v>
      </c>
      <c r="D208" t="s">
        <v>39</v>
      </c>
      <c r="G208" t="str">
        <f t="shared" si="10"/>
        <v>585687237024345541</v>
      </c>
      <c r="H208" t="s">
        <v>40</v>
      </c>
      <c r="I208" t="str">
        <f t="shared" si="11"/>
        <v>585478290940566279</v>
      </c>
      <c r="J208" t="s">
        <v>41</v>
      </c>
      <c r="K208" t="s">
        <v>602</v>
      </c>
      <c r="L208" s="1" t="str">
        <f>VLOOKUP(K208,Sheet1!A:B,2,FALSE)</f>
        <v>SH-BRY10-BL-41</v>
      </c>
      <c r="M208" t="s">
        <v>603</v>
      </c>
      <c r="N208" t="s">
        <v>44</v>
      </c>
      <c r="O208" t="s">
        <v>45</v>
      </c>
      <c r="P208" t="s">
        <v>65</v>
      </c>
      <c r="Q208" t="s">
        <v>66</v>
      </c>
      <c r="R208" t="s">
        <v>48</v>
      </c>
      <c r="S208" t="s">
        <v>49</v>
      </c>
      <c r="AB208" t="s">
        <v>49</v>
      </c>
      <c r="AC208">
        <v>10</v>
      </c>
      <c r="AD208">
        <v>222.28</v>
      </c>
      <c r="AE208">
        <v>10</v>
      </c>
      <c r="AF208">
        <v>10</v>
      </c>
      <c r="AG208">
        <v>222.28</v>
      </c>
      <c r="AH208">
        <v>10</v>
      </c>
      <c r="AI208">
        <v>6</v>
      </c>
      <c r="AJ208">
        <v>140.3</v>
      </c>
      <c r="AK208">
        <v>6</v>
      </c>
    </row>
    <row r="209" spans="1:37">
      <c r="A209" t="s">
        <v>37</v>
      </c>
      <c r="B209" t="s">
        <v>604</v>
      </c>
      <c r="C209" t="str">
        <f t="shared" si="9"/>
        <v>amzn1.ads-account.g.dfa7o7cwdl371d634ew58i919</v>
      </c>
      <c r="D209" t="s">
        <v>39</v>
      </c>
      <c r="G209" t="str">
        <f t="shared" si="10"/>
        <v>585687237024345541</v>
      </c>
      <c r="H209" t="s">
        <v>40</v>
      </c>
      <c r="I209" t="str">
        <f t="shared" si="11"/>
        <v>585478290940566279</v>
      </c>
      <c r="J209" t="s">
        <v>41</v>
      </c>
      <c r="K209" t="s">
        <v>605</v>
      </c>
      <c r="L209" s="1" t="str">
        <f>VLOOKUP(K209,Sheet1!A:B,2,FALSE)</f>
        <v>XM2-S71-GYPK-43</v>
      </c>
      <c r="M209" t="s">
        <v>606</v>
      </c>
      <c r="N209" t="s">
        <v>83</v>
      </c>
      <c r="O209" t="s">
        <v>45</v>
      </c>
      <c r="P209" t="s">
        <v>270</v>
      </c>
      <c r="Q209" t="s">
        <v>271</v>
      </c>
      <c r="R209" t="s">
        <v>48</v>
      </c>
      <c r="S209" t="s">
        <v>49</v>
      </c>
      <c r="AB209" t="s">
        <v>49</v>
      </c>
      <c r="AC209">
        <v>0</v>
      </c>
      <c r="AD209">
        <v>0</v>
      </c>
      <c r="AE209">
        <v>0</v>
      </c>
      <c r="AF209">
        <v>0</v>
      </c>
      <c r="AG209">
        <v>0</v>
      </c>
      <c r="AH209">
        <v>0</v>
      </c>
      <c r="AI209">
        <v>0</v>
      </c>
      <c r="AJ209">
        <v>0</v>
      </c>
      <c r="AK209">
        <v>0</v>
      </c>
    </row>
    <row r="210" spans="1:37">
      <c r="A210" t="s">
        <v>37</v>
      </c>
      <c r="B210" t="s">
        <v>607</v>
      </c>
      <c r="C210" t="str">
        <f t="shared" si="9"/>
        <v>amzn1.ads-account.g.dfa7o7cwdl371d634ew58i919</v>
      </c>
      <c r="D210" t="s">
        <v>39</v>
      </c>
      <c r="G210" t="str">
        <f t="shared" si="10"/>
        <v>585687237024345541</v>
      </c>
      <c r="H210" t="s">
        <v>40</v>
      </c>
      <c r="I210" t="str">
        <f t="shared" si="11"/>
        <v>585478290940566279</v>
      </c>
      <c r="J210" t="s">
        <v>41</v>
      </c>
      <c r="K210" t="s">
        <v>608</v>
      </c>
      <c r="L210" s="1" t="str">
        <f>VLOOKUP(K210,Sheet1!A:B,2,FALSE)</f>
        <v>XM2-S73-GN-42</v>
      </c>
      <c r="M210" t="s">
        <v>609</v>
      </c>
      <c r="N210" t="s">
        <v>83</v>
      </c>
      <c r="O210" t="s">
        <v>45</v>
      </c>
      <c r="P210" t="s">
        <v>153</v>
      </c>
      <c r="Q210" t="s">
        <v>216</v>
      </c>
      <c r="R210" t="s">
        <v>48</v>
      </c>
      <c r="S210" t="s">
        <v>49</v>
      </c>
      <c r="AB210" t="s">
        <v>49</v>
      </c>
      <c r="AC210">
        <v>0</v>
      </c>
      <c r="AD210">
        <v>0</v>
      </c>
      <c r="AE210">
        <v>0</v>
      </c>
      <c r="AF210">
        <v>0</v>
      </c>
      <c r="AG210">
        <v>0</v>
      </c>
      <c r="AH210">
        <v>0</v>
      </c>
      <c r="AI210">
        <v>0</v>
      </c>
      <c r="AJ210">
        <v>0</v>
      </c>
      <c r="AK210">
        <v>0</v>
      </c>
    </row>
    <row r="211" spans="1:37">
      <c r="A211" t="s">
        <v>37</v>
      </c>
      <c r="B211" t="s">
        <v>147</v>
      </c>
      <c r="C211" t="str">
        <f t="shared" si="9"/>
        <v>amzn1.ads-account.g.dfa7o7cwdl371d634ew58i919</v>
      </c>
      <c r="D211" t="s">
        <v>39</v>
      </c>
      <c r="G211" t="str">
        <f t="shared" si="10"/>
        <v>585687237024345541</v>
      </c>
      <c r="H211" t="s">
        <v>40</v>
      </c>
      <c r="I211" t="str">
        <f t="shared" si="11"/>
        <v>585478290940566279</v>
      </c>
      <c r="J211" t="s">
        <v>41</v>
      </c>
      <c r="K211" t="s">
        <v>610</v>
      </c>
      <c r="L211" s="1" t="str">
        <f>VLOOKUP(K211,Sheet1!A:B,2,FALSE)</f>
        <v>SH-BRY180-BK-40N</v>
      </c>
      <c r="M211" t="s">
        <v>611</v>
      </c>
      <c r="N211" t="s">
        <v>64</v>
      </c>
      <c r="O211" t="s">
        <v>45</v>
      </c>
      <c r="P211" t="s">
        <v>59</v>
      </c>
      <c r="Q211" t="s">
        <v>114</v>
      </c>
      <c r="R211" t="s">
        <v>48</v>
      </c>
      <c r="S211" t="s">
        <v>49</v>
      </c>
      <c r="AB211" t="s">
        <v>49</v>
      </c>
      <c r="AC211">
        <v>11</v>
      </c>
      <c r="AD211">
        <v>197.94</v>
      </c>
      <c r="AE211">
        <v>11</v>
      </c>
      <c r="AF211">
        <v>11</v>
      </c>
      <c r="AG211">
        <v>197.94</v>
      </c>
      <c r="AH211">
        <v>11</v>
      </c>
      <c r="AI211">
        <v>8</v>
      </c>
      <c r="AJ211">
        <v>157.96</v>
      </c>
      <c r="AK211">
        <v>8</v>
      </c>
    </row>
    <row r="212" spans="1:37">
      <c r="A212" t="s">
        <v>37</v>
      </c>
      <c r="B212" t="s">
        <v>55</v>
      </c>
      <c r="C212" t="str">
        <f t="shared" si="9"/>
        <v>amzn1.ads-account.g.dfa7o7cwdl371d634ew58i919</v>
      </c>
      <c r="D212" t="s">
        <v>39</v>
      </c>
      <c r="G212" t="str">
        <f t="shared" si="10"/>
        <v>585687237024345541</v>
      </c>
      <c r="H212" t="s">
        <v>40</v>
      </c>
      <c r="I212" t="str">
        <f t="shared" si="11"/>
        <v>585478290940566279</v>
      </c>
      <c r="J212" t="s">
        <v>41</v>
      </c>
      <c r="K212" t="s">
        <v>612</v>
      </c>
      <c r="L212" s="1" t="str">
        <f>VLOOKUP(K212,Sheet1!A:B,2,FALSE)</f>
        <v>SH-BRY180-CL-36</v>
      </c>
      <c r="M212" t="s">
        <v>613</v>
      </c>
      <c r="N212" t="s">
        <v>64</v>
      </c>
      <c r="O212" t="s">
        <v>45</v>
      </c>
      <c r="P212" t="s">
        <v>59</v>
      </c>
      <c r="Q212" t="s">
        <v>130</v>
      </c>
      <c r="R212" t="s">
        <v>48</v>
      </c>
      <c r="S212" t="s">
        <v>49</v>
      </c>
      <c r="AB212" t="s">
        <v>49</v>
      </c>
      <c r="AC212">
        <v>0</v>
      </c>
      <c r="AD212">
        <v>0</v>
      </c>
      <c r="AE212">
        <v>0</v>
      </c>
      <c r="AF212">
        <v>0</v>
      </c>
      <c r="AG212">
        <v>0</v>
      </c>
      <c r="AH212">
        <v>0</v>
      </c>
      <c r="AI212">
        <v>0</v>
      </c>
      <c r="AJ212">
        <v>0</v>
      </c>
      <c r="AK212">
        <v>0</v>
      </c>
    </row>
    <row r="213" spans="1:37">
      <c r="A213" t="s">
        <v>37</v>
      </c>
      <c r="B213" t="s">
        <v>120</v>
      </c>
      <c r="C213" t="str">
        <f t="shared" si="9"/>
        <v>amzn1.ads-account.g.dfa7o7cwdl371d634ew58i919</v>
      </c>
      <c r="D213" t="s">
        <v>39</v>
      </c>
      <c r="G213" t="str">
        <f t="shared" si="10"/>
        <v>585687237024345541</v>
      </c>
      <c r="H213" t="s">
        <v>40</v>
      </c>
      <c r="I213" t="str">
        <f t="shared" si="11"/>
        <v>585478290940566279</v>
      </c>
      <c r="J213" t="s">
        <v>41</v>
      </c>
      <c r="K213" t="s">
        <v>614</v>
      </c>
      <c r="L213" s="1" t="str">
        <f>VLOOKUP(K213,Sheet1!A:B,2,FALSE)</f>
        <v>SH-BRY10-WT-38</v>
      </c>
      <c r="M213" t="s">
        <v>615</v>
      </c>
      <c r="N213" t="s">
        <v>44</v>
      </c>
      <c r="O213" t="s">
        <v>45</v>
      </c>
      <c r="P213" t="s">
        <v>46</v>
      </c>
      <c r="Q213" t="s">
        <v>157</v>
      </c>
      <c r="R213" t="s">
        <v>48</v>
      </c>
      <c r="S213" t="s">
        <v>49</v>
      </c>
      <c r="AB213" t="s">
        <v>49</v>
      </c>
      <c r="AC213">
        <v>8</v>
      </c>
      <c r="AD213">
        <v>170.66</v>
      </c>
      <c r="AE213">
        <v>8</v>
      </c>
      <c r="AF213">
        <v>8</v>
      </c>
      <c r="AG213">
        <v>170.66</v>
      </c>
      <c r="AH213">
        <v>8</v>
      </c>
      <c r="AI213">
        <v>5</v>
      </c>
      <c r="AJ213">
        <v>106.99</v>
      </c>
      <c r="AK213">
        <v>5</v>
      </c>
    </row>
    <row r="214" spans="1:37">
      <c r="A214" t="s">
        <v>37</v>
      </c>
      <c r="B214" t="s">
        <v>170</v>
      </c>
      <c r="C214" t="str">
        <f t="shared" si="9"/>
        <v>amzn1.ads-account.g.dfa7o7cwdl371d634ew58i919</v>
      </c>
      <c r="D214" t="s">
        <v>39</v>
      </c>
      <c r="G214" t="str">
        <f t="shared" si="10"/>
        <v>585687237024345541</v>
      </c>
      <c r="H214" t="s">
        <v>40</v>
      </c>
      <c r="I214" t="str">
        <f t="shared" si="11"/>
        <v>585478290940566279</v>
      </c>
      <c r="J214" t="s">
        <v>41</v>
      </c>
      <c r="K214" t="s">
        <v>616</v>
      </c>
      <c r="L214" s="1" t="str">
        <f>VLOOKUP(K214,Sheet1!A:B,2,FALSE)</f>
        <v>SH-BRS71-ABK-47</v>
      </c>
      <c r="M214" t="s">
        <v>617</v>
      </c>
      <c r="N214" t="s">
        <v>110</v>
      </c>
      <c r="O214" t="s">
        <v>45</v>
      </c>
      <c r="P214" t="s">
        <v>118</v>
      </c>
      <c r="Q214" t="s">
        <v>119</v>
      </c>
      <c r="R214" t="s">
        <v>48</v>
      </c>
      <c r="S214" t="s">
        <v>49</v>
      </c>
      <c r="AB214" t="s">
        <v>49</v>
      </c>
      <c r="AC214">
        <v>2</v>
      </c>
      <c r="AD214">
        <v>137.97</v>
      </c>
      <c r="AE214">
        <v>3</v>
      </c>
      <c r="AF214">
        <v>2</v>
      </c>
      <c r="AG214">
        <v>137.97</v>
      </c>
      <c r="AH214">
        <v>3</v>
      </c>
      <c r="AI214">
        <v>1</v>
      </c>
      <c r="AJ214">
        <v>45.99</v>
      </c>
      <c r="AK214">
        <v>1</v>
      </c>
    </row>
    <row r="215" spans="1:37">
      <c r="A215" t="s">
        <v>37</v>
      </c>
      <c r="B215" t="s">
        <v>618</v>
      </c>
      <c r="C215" t="str">
        <f t="shared" si="9"/>
        <v>amzn1.ads-account.g.dfa7o7cwdl371d634ew58i919</v>
      </c>
      <c r="D215" t="s">
        <v>39</v>
      </c>
      <c r="G215" t="str">
        <f t="shared" si="10"/>
        <v>585687237024345541</v>
      </c>
      <c r="H215" t="s">
        <v>40</v>
      </c>
      <c r="I215" t="str">
        <f t="shared" si="11"/>
        <v>585478290940566279</v>
      </c>
      <c r="J215" t="s">
        <v>41</v>
      </c>
      <c r="K215" t="s">
        <v>619</v>
      </c>
      <c r="L215" s="1" t="str">
        <f>VLOOKUP(K215,Sheet1!A:B,2,FALSE)</f>
        <v>XM2-S73-GYPL-39</v>
      </c>
      <c r="M215" t="s">
        <v>620</v>
      </c>
      <c r="N215" t="s">
        <v>83</v>
      </c>
      <c r="O215" t="s">
        <v>45</v>
      </c>
      <c r="P215" t="s">
        <v>65</v>
      </c>
      <c r="Q215" t="s">
        <v>207</v>
      </c>
      <c r="R215" t="s">
        <v>48</v>
      </c>
      <c r="S215" t="s">
        <v>49</v>
      </c>
      <c r="AB215" t="s">
        <v>49</v>
      </c>
      <c r="AC215">
        <v>0</v>
      </c>
      <c r="AD215">
        <v>0</v>
      </c>
      <c r="AE215">
        <v>0</v>
      </c>
      <c r="AF215">
        <v>0</v>
      </c>
      <c r="AG215">
        <v>0</v>
      </c>
      <c r="AH215">
        <v>0</v>
      </c>
      <c r="AI215">
        <v>0</v>
      </c>
      <c r="AJ215">
        <v>0</v>
      </c>
      <c r="AK215">
        <v>0</v>
      </c>
    </row>
    <row r="216" spans="1:37">
      <c r="A216" t="s">
        <v>37</v>
      </c>
      <c r="B216" t="s">
        <v>621</v>
      </c>
      <c r="C216" t="str">
        <f t="shared" si="9"/>
        <v>amzn1.ads-account.g.dfa7o7cwdl371d634ew58i919</v>
      </c>
      <c r="D216" t="s">
        <v>39</v>
      </c>
      <c r="G216" t="str">
        <f t="shared" si="10"/>
        <v>585687237024345541</v>
      </c>
      <c r="H216" t="s">
        <v>40</v>
      </c>
      <c r="I216" t="str">
        <f t="shared" si="11"/>
        <v>585478290940566279</v>
      </c>
      <c r="J216" t="s">
        <v>41</v>
      </c>
      <c r="K216" t="s">
        <v>622</v>
      </c>
      <c r="L216" s="1" t="str">
        <f>VLOOKUP(K216,Sheet1!A:B,2,FALSE)</f>
        <v>SH-BRY80-DKBU-7</v>
      </c>
      <c r="M216" t="s">
        <v>623</v>
      </c>
      <c r="N216" t="s">
        <v>90</v>
      </c>
      <c r="O216" t="s">
        <v>45</v>
      </c>
      <c r="P216" t="s">
        <v>75</v>
      </c>
      <c r="Q216" t="s">
        <v>91</v>
      </c>
      <c r="R216" t="s">
        <v>48</v>
      </c>
      <c r="S216" t="s">
        <v>49</v>
      </c>
      <c r="AB216" t="s">
        <v>49</v>
      </c>
      <c r="AC216">
        <v>0</v>
      </c>
      <c r="AD216">
        <v>0</v>
      </c>
      <c r="AE216">
        <v>0</v>
      </c>
      <c r="AF216">
        <v>0</v>
      </c>
      <c r="AG216">
        <v>0</v>
      </c>
      <c r="AH216">
        <v>0</v>
      </c>
      <c r="AI216">
        <v>0</v>
      </c>
      <c r="AJ216">
        <v>0</v>
      </c>
      <c r="AK216">
        <v>0</v>
      </c>
    </row>
    <row r="217" spans="1:37">
      <c r="A217" t="s">
        <v>37</v>
      </c>
      <c r="B217" t="s">
        <v>624</v>
      </c>
      <c r="C217" t="str">
        <f t="shared" si="9"/>
        <v>amzn1.ads-account.g.dfa7o7cwdl371d634ew58i919</v>
      </c>
      <c r="D217" t="s">
        <v>39</v>
      </c>
      <c r="G217" t="str">
        <f t="shared" si="10"/>
        <v>585687237024345541</v>
      </c>
      <c r="H217" t="s">
        <v>40</v>
      </c>
      <c r="I217" t="str">
        <f t="shared" si="11"/>
        <v>585478290940566279</v>
      </c>
      <c r="J217" t="s">
        <v>41</v>
      </c>
      <c r="K217" t="s">
        <v>625</v>
      </c>
      <c r="L217" s="1" t="str">
        <f>VLOOKUP(K217,Sheet1!A:B,2,FALSE)</f>
        <v>XM2-S71-BUPK-43</v>
      </c>
      <c r="M217" t="s">
        <v>626</v>
      </c>
      <c r="N217" t="s">
        <v>83</v>
      </c>
      <c r="O217" t="s">
        <v>45</v>
      </c>
      <c r="P217" t="s">
        <v>65</v>
      </c>
      <c r="Q217" t="s">
        <v>84</v>
      </c>
      <c r="R217" t="s">
        <v>48</v>
      </c>
      <c r="S217" t="s">
        <v>49</v>
      </c>
      <c r="AB217" t="s">
        <v>49</v>
      </c>
      <c r="AC217">
        <v>0</v>
      </c>
      <c r="AD217">
        <v>0</v>
      </c>
      <c r="AE217">
        <v>0</v>
      </c>
      <c r="AF217">
        <v>0</v>
      </c>
      <c r="AG217">
        <v>0</v>
      </c>
      <c r="AH217">
        <v>0</v>
      </c>
      <c r="AI217">
        <v>0</v>
      </c>
      <c r="AJ217">
        <v>0</v>
      </c>
      <c r="AK217">
        <v>0</v>
      </c>
    </row>
    <row r="218" spans="1:37">
      <c r="A218" t="s">
        <v>37</v>
      </c>
      <c r="B218" t="s">
        <v>209</v>
      </c>
      <c r="C218" t="str">
        <f t="shared" si="9"/>
        <v>amzn1.ads-account.g.dfa7o7cwdl371d634ew58i919</v>
      </c>
      <c r="D218" t="s">
        <v>39</v>
      </c>
      <c r="G218" t="str">
        <f t="shared" si="10"/>
        <v>585687237024345541</v>
      </c>
      <c r="H218" t="s">
        <v>40</v>
      </c>
      <c r="I218" t="str">
        <f t="shared" si="11"/>
        <v>585478290940566279</v>
      </c>
      <c r="J218" t="s">
        <v>41</v>
      </c>
      <c r="K218" t="s">
        <v>83</v>
      </c>
      <c r="L218" s="1" t="str">
        <f>VLOOKUP(K218,Sheet1!A:B,2,FALSE)</f>
        <v>SP-8AIVNAEAIJREM7VB</v>
      </c>
      <c r="M218" t="s">
        <v>627</v>
      </c>
      <c r="N218">
        <v>-1</v>
      </c>
      <c r="O218" t="s">
        <v>45</v>
      </c>
      <c r="P218" t="s">
        <v>153</v>
      </c>
      <c r="Q218" t="s">
        <v>216</v>
      </c>
      <c r="R218" t="s">
        <v>48</v>
      </c>
      <c r="S218" t="s">
        <v>49</v>
      </c>
      <c r="AB218" t="s">
        <v>49</v>
      </c>
      <c r="AC218">
        <v>0</v>
      </c>
      <c r="AD218">
        <v>0</v>
      </c>
      <c r="AE218">
        <v>0</v>
      </c>
      <c r="AF218">
        <v>0</v>
      </c>
      <c r="AG218">
        <v>0</v>
      </c>
      <c r="AH218">
        <v>0</v>
      </c>
      <c r="AI218">
        <v>0</v>
      </c>
      <c r="AJ218">
        <v>0</v>
      </c>
      <c r="AK218">
        <v>0</v>
      </c>
    </row>
    <row r="219" spans="1:37">
      <c r="A219" t="s">
        <v>37</v>
      </c>
      <c r="B219" t="s">
        <v>628</v>
      </c>
      <c r="C219" t="str">
        <f t="shared" si="9"/>
        <v>amzn1.ads-account.g.dfa7o7cwdl371d634ew58i919</v>
      </c>
      <c r="D219" t="s">
        <v>39</v>
      </c>
      <c r="G219" t="str">
        <f t="shared" si="10"/>
        <v>585687237024345541</v>
      </c>
      <c r="H219" t="s">
        <v>40</v>
      </c>
      <c r="I219" t="str">
        <f t="shared" si="11"/>
        <v>585478290940566279</v>
      </c>
      <c r="J219" t="s">
        <v>41</v>
      </c>
      <c r="K219" t="s">
        <v>629</v>
      </c>
      <c r="L219" s="1" t="str">
        <f>VLOOKUP(K219,Sheet1!A:B,2,FALSE)</f>
        <v>XM2-S71-PL-41</v>
      </c>
      <c r="M219" t="s">
        <v>630</v>
      </c>
      <c r="N219" t="s">
        <v>83</v>
      </c>
      <c r="O219" t="s">
        <v>45</v>
      </c>
      <c r="P219" t="s">
        <v>270</v>
      </c>
      <c r="Q219" t="s">
        <v>271</v>
      </c>
      <c r="R219" t="s">
        <v>48</v>
      </c>
      <c r="S219" t="s">
        <v>49</v>
      </c>
      <c r="AB219" t="s">
        <v>49</v>
      </c>
      <c r="AC219">
        <v>0</v>
      </c>
      <c r="AD219">
        <v>0</v>
      </c>
      <c r="AE219">
        <v>0</v>
      </c>
      <c r="AF219">
        <v>0</v>
      </c>
      <c r="AG219">
        <v>0</v>
      </c>
      <c r="AH219">
        <v>0</v>
      </c>
      <c r="AI219">
        <v>0</v>
      </c>
      <c r="AJ219">
        <v>0</v>
      </c>
      <c r="AK219">
        <v>0</v>
      </c>
    </row>
    <row r="220" spans="1:37">
      <c r="A220" t="s">
        <v>37</v>
      </c>
      <c r="B220" t="s">
        <v>431</v>
      </c>
      <c r="C220" t="str">
        <f t="shared" si="9"/>
        <v>amzn1.ads-account.g.dfa7o7cwdl371d634ew58i919</v>
      </c>
      <c r="D220" t="s">
        <v>39</v>
      </c>
      <c r="G220" t="str">
        <f t="shared" si="10"/>
        <v>585687237024345541</v>
      </c>
      <c r="H220" t="s">
        <v>40</v>
      </c>
      <c r="I220" t="str">
        <f t="shared" si="11"/>
        <v>585478290940566279</v>
      </c>
      <c r="J220" t="s">
        <v>41</v>
      </c>
      <c r="K220" t="s">
        <v>631</v>
      </c>
      <c r="L220" s="1" t="str">
        <f>VLOOKUP(K220,Sheet1!A:B,2,FALSE)</f>
        <v>XM2-Y90B-LTPK-W8</v>
      </c>
      <c r="M220" t="s">
        <v>632</v>
      </c>
      <c r="N220" t="s">
        <v>74</v>
      </c>
      <c r="O220" t="s">
        <v>45</v>
      </c>
      <c r="P220" t="s">
        <v>59</v>
      </c>
      <c r="Q220" t="s">
        <v>130</v>
      </c>
      <c r="R220" t="s">
        <v>48</v>
      </c>
      <c r="S220" t="s">
        <v>49</v>
      </c>
      <c r="AB220" t="s">
        <v>49</v>
      </c>
      <c r="AC220">
        <v>0</v>
      </c>
      <c r="AD220">
        <v>0</v>
      </c>
      <c r="AE220">
        <v>0</v>
      </c>
      <c r="AF220">
        <v>0</v>
      </c>
      <c r="AG220">
        <v>0</v>
      </c>
      <c r="AH220">
        <v>0</v>
      </c>
      <c r="AI220">
        <v>0</v>
      </c>
      <c r="AJ220">
        <v>0</v>
      </c>
      <c r="AK220">
        <v>0</v>
      </c>
    </row>
    <row r="221" spans="1:37">
      <c r="A221" t="s">
        <v>37</v>
      </c>
      <c r="B221" t="s">
        <v>586</v>
      </c>
      <c r="C221" t="str">
        <f t="shared" si="9"/>
        <v>amzn1.ads-account.g.dfa7o7cwdl371d634ew58i919</v>
      </c>
      <c r="D221" t="s">
        <v>39</v>
      </c>
      <c r="G221" t="str">
        <f t="shared" si="10"/>
        <v>585687237024345541</v>
      </c>
      <c r="H221" t="s">
        <v>40</v>
      </c>
      <c r="I221" t="str">
        <f t="shared" si="11"/>
        <v>585478290940566279</v>
      </c>
      <c r="J221" t="s">
        <v>41</v>
      </c>
      <c r="K221" t="s">
        <v>633</v>
      </c>
      <c r="L221" s="1" t="str">
        <f>VLOOKUP(K221,Sheet1!A:B,2,FALSE)</f>
        <v>XM2-S7K1-ABK-31</v>
      </c>
      <c r="M221" t="s">
        <v>634</v>
      </c>
      <c r="N221" t="s">
        <v>220</v>
      </c>
      <c r="O221" t="s">
        <v>45</v>
      </c>
      <c r="P221" t="s">
        <v>46</v>
      </c>
      <c r="Q221" t="s">
        <v>157</v>
      </c>
      <c r="R221" t="s">
        <v>48</v>
      </c>
      <c r="S221" t="s">
        <v>49</v>
      </c>
      <c r="AB221" t="s">
        <v>49</v>
      </c>
      <c r="AC221">
        <v>0</v>
      </c>
      <c r="AD221">
        <v>0</v>
      </c>
      <c r="AE221">
        <v>0</v>
      </c>
      <c r="AF221">
        <v>0</v>
      </c>
      <c r="AG221">
        <v>0</v>
      </c>
      <c r="AH221">
        <v>0</v>
      </c>
      <c r="AI221">
        <v>0</v>
      </c>
      <c r="AJ221">
        <v>0</v>
      </c>
      <c r="AK221">
        <v>0</v>
      </c>
    </row>
    <row r="222" spans="1:37">
      <c r="A222" t="s">
        <v>37</v>
      </c>
      <c r="B222" t="s">
        <v>199</v>
      </c>
      <c r="C222" t="str">
        <f t="shared" si="9"/>
        <v>amzn1.ads-account.g.dfa7o7cwdl371d634ew58i919</v>
      </c>
      <c r="D222" t="s">
        <v>39</v>
      </c>
      <c r="G222" t="str">
        <f t="shared" si="10"/>
        <v>585687237024345541</v>
      </c>
      <c r="H222" t="s">
        <v>40</v>
      </c>
      <c r="I222" t="str">
        <f t="shared" si="11"/>
        <v>585478290940566279</v>
      </c>
      <c r="J222" t="s">
        <v>41</v>
      </c>
      <c r="K222" t="s">
        <v>635</v>
      </c>
      <c r="L222" s="1" t="str">
        <f>VLOOKUP(K222,Sheet1!A:B,2,FALSE)</f>
        <v>XM2-S600-RD-37.5</v>
      </c>
      <c r="M222" t="s">
        <v>636</v>
      </c>
      <c r="N222" t="s">
        <v>70</v>
      </c>
      <c r="O222" t="s">
        <v>45</v>
      </c>
      <c r="Q222" t="s">
        <v>54</v>
      </c>
      <c r="R222" t="s">
        <v>48</v>
      </c>
      <c r="S222" t="s">
        <v>49</v>
      </c>
      <c r="AB222" t="s">
        <v>49</v>
      </c>
      <c r="AC222">
        <v>0</v>
      </c>
      <c r="AD222">
        <v>0</v>
      </c>
      <c r="AE222">
        <v>0</v>
      </c>
      <c r="AF222">
        <v>0</v>
      </c>
      <c r="AG222">
        <v>0</v>
      </c>
      <c r="AH222">
        <v>0</v>
      </c>
      <c r="AI222">
        <v>0</v>
      </c>
      <c r="AJ222">
        <v>0</v>
      </c>
      <c r="AK222">
        <v>0</v>
      </c>
    </row>
    <row r="223" spans="1:37">
      <c r="A223" t="s">
        <v>37</v>
      </c>
      <c r="B223" t="s">
        <v>637</v>
      </c>
      <c r="C223" t="str">
        <f t="shared" si="9"/>
        <v>amzn1.ads-account.g.dfa7o7cwdl371d634ew58i919</v>
      </c>
      <c r="D223" t="s">
        <v>39</v>
      </c>
      <c r="G223" t="str">
        <f t="shared" si="10"/>
        <v>585687237024345541</v>
      </c>
      <c r="H223" t="s">
        <v>40</v>
      </c>
      <c r="I223" t="str">
        <f t="shared" si="11"/>
        <v>585478290940566279</v>
      </c>
      <c r="J223" t="s">
        <v>41</v>
      </c>
      <c r="K223" t="s">
        <v>638</v>
      </c>
      <c r="L223" s="1" t="str">
        <f>VLOOKUP(K223,Sheet1!A:B,2,FALSE)</f>
        <v>SH-BRY80-DKBU-11</v>
      </c>
      <c r="M223" t="s">
        <v>639</v>
      </c>
      <c r="N223" t="s">
        <v>90</v>
      </c>
      <c r="O223" t="s">
        <v>45</v>
      </c>
      <c r="P223" t="s">
        <v>75</v>
      </c>
      <c r="Q223" t="s">
        <v>91</v>
      </c>
      <c r="R223" t="s">
        <v>48</v>
      </c>
      <c r="S223" t="s">
        <v>49</v>
      </c>
      <c r="AB223" t="s">
        <v>49</v>
      </c>
      <c r="AC223">
        <v>0</v>
      </c>
      <c r="AD223">
        <v>0</v>
      </c>
      <c r="AE223">
        <v>0</v>
      </c>
      <c r="AF223">
        <v>0</v>
      </c>
      <c r="AG223">
        <v>0</v>
      </c>
      <c r="AH223">
        <v>0</v>
      </c>
      <c r="AI223">
        <v>0</v>
      </c>
      <c r="AJ223">
        <v>0</v>
      </c>
      <c r="AK223">
        <v>0</v>
      </c>
    </row>
    <row r="224" spans="1:37">
      <c r="A224" t="s">
        <v>37</v>
      </c>
      <c r="B224" t="s">
        <v>640</v>
      </c>
      <c r="C224" t="str">
        <f t="shared" si="9"/>
        <v>amzn1.ads-account.g.dfa7o7cwdl371d634ew58i919</v>
      </c>
      <c r="D224" t="s">
        <v>39</v>
      </c>
      <c r="G224" t="str">
        <f t="shared" si="10"/>
        <v>585687237024345541</v>
      </c>
      <c r="H224" t="s">
        <v>40</v>
      </c>
      <c r="I224" t="str">
        <f t="shared" si="11"/>
        <v>585478290940566279</v>
      </c>
      <c r="J224" t="s">
        <v>41</v>
      </c>
      <c r="K224" t="s">
        <v>641</v>
      </c>
      <c r="L224" s="1" t="str">
        <f>VLOOKUP(K224,Sheet1!A:B,2,FALSE)</f>
        <v>SH-BRY180-WT-38</v>
      </c>
      <c r="M224" t="s">
        <v>642</v>
      </c>
      <c r="N224" t="s">
        <v>64</v>
      </c>
      <c r="O224" t="s">
        <v>45</v>
      </c>
      <c r="P224" t="s">
        <v>59</v>
      </c>
      <c r="Q224" t="s">
        <v>130</v>
      </c>
      <c r="R224" t="s">
        <v>48</v>
      </c>
      <c r="S224" t="s">
        <v>49</v>
      </c>
      <c r="AB224" t="s">
        <v>49</v>
      </c>
      <c r="AC224">
        <v>0</v>
      </c>
      <c r="AD224">
        <v>0</v>
      </c>
      <c r="AE224">
        <v>0</v>
      </c>
      <c r="AF224">
        <v>0</v>
      </c>
      <c r="AG224">
        <v>0</v>
      </c>
      <c r="AH224">
        <v>0</v>
      </c>
      <c r="AI224">
        <v>0</v>
      </c>
      <c r="AJ224">
        <v>0</v>
      </c>
      <c r="AK224">
        <v>0</v>
      </c>
    </row>
    <row r="225" spans="1:37">
      <c r="A225" t="s">
        <v>37</v>
      </c>
      <c r="B225" t="s">
        <v>643</v>
      </c>
      <c r="C225" t="str">
        <f t="shared" si="9"/>
        <v>amzn1.ads-account.g.dfa7o7cwdl371d634ew58i919</v>
      </c>
      <c r="D225" t="s">
        <v>39</v>
      </c>
      <c r="G225" t="str">
        <f t="shared" si="10"/>
        <v>585687237024345541</v>
      </c>
      <c r="H225" t="s">
        <v>40</v>
      </c>
      <c r="I225" t="str">
        <f t="shared" si="11"/>
        <v>585478290940566279</v>
      </c>
      <c r="J225" t="s">
        <v>41</v>
      </c>
      <c r="K225" t="s">
        <v>644</v>
      </c>
      <c r="L225" s="1" t="str">
        <f>VLOOKUP(K225,Sheet1!A:B,2,FALSE)</f>
        <v>SH-BRS73-BKWT-43</v>
      </c>
      <c r="M225" t="s">
        <v>645</v>
      </c>
      <c r="N225" t="s">
        <v>206</v>
      </c>
      <c r="O225" t="s">
        <v>45</v>
      </c>
      <c r="P225" t="s">
        <v>65</v>
      </c>
      <c r="Q225" t="s">
        <v>207</v>
      </c>
      <c r="R225" t="s">
        <v>48</v>
      </c>
      <c r="S225" t="s">
        <v>49</v>
      </c>
      <c r="AB225" t="s">
        <v>49</v>
      </c>
      <c r="AC225">
        <v>0</v>
      </c>
      <c r="AD225">
        <v>0</v>
      </c>
      <c r="AE225">
        <v>0</v>
      </c>
      <c r="AF225">
        <v>0</v>
      </c>
      <c r="AG225">
        <v>0</v>
      </c>
      <c r="AH225">
        <v>0</v>
      </c>
      <c r="AI225">
        <v>0</v>
      </c>
      <c r="AJ225">
        <v>0</v>
      </c>
      <c r="AK225">
        <v>0</v>
      </c>
    </row>
    <row r="226" spans="1:37">
      <c r="A226" t="s">
        <v>37</v>
      </c>
      <c r="B226" t="s">
        <v>646</v>
      </c>
      <c r="C226" t="str">
        <f t="shared" si="9"/>
        <v>amzn1.ads-account.g.dfa7o7cwdl371d634ew58i919</v>
      </c>
      <c r="D226" t="s">
        <v>39</v>
      </c>
      <c r="G226" t="str">
        <f t="shared" si="10"/>
        <v>585687237024345541</v>
      </c>
      <c r="H226" t="s">
        <v>40</v>
      </c>
      <c r="I226" t="str">
        <f t="shared" si="11"/>
        <v>585478290940566279</v>
      </c>
      <c r="J226" t="s">
        <v>41</v>
      </c>
      <c r="K226" t="s">
        <v>647</v>
      </c>
      <c r="L226" s="1" t="str">
        <f>VLOOKUP(K226,Sheet1!A:B,2,FALSE)</f>
        <v>XM2-S71-LTBU-40</v>
      </c>
      <c r="M226" t="s">
        <v>648</v>
      </c>
      <c r="N226" t="s">
        <v>83</v>
      </c>
      <c r="O226" t="s">
        <v>45</v>
      </c>
      <c r="P226" t="s">
        <v>65</v>
      </c>
      <c r="Q226" t="s">
        <v>84</v>
      </c>
      <c r="R226" t="s">
        <v>48</v>
      </c>
      <c r="S226" t="s">
        <v>49</v>
      </c>
      <c r="AB226" t="s">
        <v>49</v>
      </c>
      <c r="AC226">
        <v>1</v>
      </c>
      <c r="AD226">
        <v>47.48</v>
      </c>
      <c r="AE226">
        <v>1</v>
      </c>
      <c r="AF226">
        <v>1</v>
      </c>
      <c r="AG226">
        <v>47.48</v>
      </c>
      <c r="AH226">
        <v>1</v>
      </c>
      <c r="AI226">
        <v>0</v>
      </c>
      <c r="AJ226">
        <v>0</v>
      </c>
      <c r="AK226">
        <v>0</v>
      </c>
    </row>
    <row r="227" spans="1:37">
      <c r="A227" t="s">
        <v>37</v>
      </c>
      <c r="B227" t="s">
        <v>160</v>
      </c>
      <c r="C227" t="str">
        <f t="shared" si="9"/>
        <v>amzn1.ads-account.g.dfa7o7cwdl371d634ew58i919</v>
      </c>
      <c r="D227" t="s">
        <v>39</v>
      </c>
      <c r="G227" t="str">
        <f t="shared" si="10"/>
        <v>585687237024345541</v>
      </c>
      <c r="H227" t="s">
        <v>40</v>
      </c>
      <c r="I227" t="str">
        <f t="shared" si="11"/>
        <v>585478290940566279</v>
      </c>
      <c r="J227" t="s">
        <v>41</v>
      </c>
      <c r="K227" t="s">
        <v>649</v>
      </c>
      <c r="L227" s="1" t="str">
        <f>VLOOKUP(K227,Sheet1!A:B,2,FALSE)</f>
        <v>XM2-S71-LTBU-37</v>
      </c>
      <c r="M227" t="s">
        <v>650</v>
      </c>
      <c r="N227" t="s">
        <v>83</v>
      </c>
      <c r="O227" t="s">
        <v>45</v>
      </c>
      <c r="P227" t="s">
        <v>270</v>
      </c>
      <c r="Q227" t="s">
        <v>271</v>
      </c>
      <c r="R227" t="s">
        <v>48</v>
      </c>
      <c r="S227" t="s">
        <v>49</v>
      </c>
      <c r="AB227" t="s">
        <v>49</v>
      </c>
      <c r="AC227">
        <v>0</v>
      </c>
      <c r="AD227">
        <v>0</v>
      </c>
      <c r="AE227">
        <v>0</v>
      </c>
      <c r="AF227">
        <v>0</v>
      </c>
      <c r="AG227">
        <v>0</v>
      </c>
      <c r="AH227">
        <v>0</v>
      </c>
      <c r="AI227">
        <v>0</v>
      </c>
      <c r="AJ227">
        <v>0</v>
      </c>
      <c r="AK227">
        <v>0</v>
      </c>
    </row>
    <row r="228" spans="1:37">
      <c r="A228" t="s">
        <v>37</v>
      </c>
      <c r="B228" t="s">
        <v>120</v>
      </c>
      <c r="C228" t="str">
        <f t="shared" si="9"/>
        <v>amzn1.ads-account.g.dfa7o7cwdl371d634ew58i919</v>
      </c>
      <c r="D228" t="s">
        <v>39</v>
      </c>
      <c r="G228" t="str">
        <f t="shared" si="10"/>
        <v>585687237024345541</v>
      </c>
      <c r="H228" t="s">
        <v>40</v>
      </c>
      <c r="I228" t="str">
        <f t="shared" si="11"/>
        <v>585478290940566279</v>
      </c>
      <c r="J228" t="s">
        <v>41</v>
      </c>
      <c r="K228" t="s">
        <v>651</v>
      </c>
      <c r="L228" s="1" t="str">
        <f>VLOOKUP(K228,Sheet1!A:B,2,FALSE)</f>
        <v>SH-BRY10-BK-40</v>
      </c>
      <c r="M228" t="s">
        <v>652</v>
      </c>
      <c r="N228" t="s">
        <v>44</v>
      </c>
      <c r="O228" t="s">
        <v>45</v>
      </c>
      <c r="P228" t="s">
        <v>65</v>
      </c>
      <c r="Q228" t="s">
        <v>66</v>
      </c>
      <c r="R228" t="s">
        <v>48</v>
      </c>
      <c r="S228" t="s">
        <v>49</v>
      </c>
      <c r="AB228" t="s">
        <v>49</v>
      </c>
      <c r="AC228">
        <v>34</v>
      </c>
      <c r="AD228">
        <v>727.31</v>
      </c>
      <c r="AE228">
        <v>34</v>
      </c>
      <c r="AF228">
        <v>34</v>
      </c>
      <c r="AG228">
        <v>727.31</v>
      </c>
      <c r="AH228">
        <v>34</v>
      </c>
      <c r="AI228">
        <v>25</v>
      </c>
      <c r="AJ228">
        <v>551.99</v>
      </c>
      <c r="AK228">
        <v>25</v>
      </c>
    </row>
    <row r="229" spans="1:37">
      <c r="A229" t="s">
        <v>37</v>
      </c>
      <c r="B229" t="s">
        <v>653</v>
      </c>
      <c r="C229" t="str">
        <f t="shared" si="9"/>
        <v>amzn1.ads-account.g.dfa7o7cwdl371d634ew58i919</v>
      </c>
      <c r="D229" t="s">
        <v>39</v>
      </c>
      <c r="G229" t="str">
        <f t="shared" si="10"/>
        <v>585687237024345541</v>
      </c>
      <c r="H229" t="s">
        <v>40</v>
      </c>
      <c r="I229" t="str">
        <f t="shared" si="11"/>
        <v>585478290940566279</v>
      </c>
      <c r="J229" t="s">
        <v>41</v>
      </c>
      <c r="K229" t="s">
        <v>654</v>
      </c>
      <c r="L229" s="1" t="str">
        <f>VLOOKUP(K229,Sheet1!A:B,2,FALSE)</f>
        <v>XM2-S71-PL-38</v>
      </c>
      <c r="M229" t="s">
        <v>655</v>
      </c>
      <c r="N229" t="s">
        <v>83</v>
      </c>
      <c r="O229" t="s">
        <v>45</v>
      </c>
      <c r="P229" t="s">
        <v>65</v>
      </c>
      <c r="Q229" t="s">
        <v>84</v>
      </c>
      <c r="R229" t="s">
        <v>48</v>
      </c>
      <c r="S229" t="s">
        <v>49</v>
      </c>
      <c r="AB229" t="s">
        <v>49</v>
      </c>
      <c r="AC229">
        <v>0</v>
      </c>
      <c r="AD229">
        <v>0</v>
      </c>
      <c r="AE229">
        <v>0</v>
      </c>
      <c r="AF229">
        <v>0</v>
      </c>
      <c r="AG229">
        <v>0</v>
      </c>
      <c r="AH229">
        <v>0</v>
      </c>
      <c r="AI229">
        <v>0</v>
      </c>
      <c r="AJ229">
        <v>0</v>
      </c>
      <c r="AK229">
        <v>0</v>
      </c>
    </row>
    <row r="230" spans="1:37">
      <c r="A230" t="s">
        <v>37</v>
      </c>
      <c r="B230" t="s">
        <v>628</v>
      </c>
      <c r="C230" t="str">
        <f t="shared" si="9"/>
        <v>amzn1.ads-account.g.dfa7o7cwdl371d634ew58i919</v>
      </c>
      <c r="D230" t="s">
        <v>39</v>
      </c>
      <c r="G230" t="str">
        <f t="shared" si="10"/>
        <v>585687237024345541</v>
      </c>
      <c r="H230" t="s">
        <v>40</v>
      </c>
      <c r="I230" t="str">
        <f t="shared" si="11"/>
        <v>585478290940566279</v>
      </c>
      <c r="J230" t="s">
        <v>41</v>
      </c>
      <c r="K230" t="s">
        <v>656</v>
      </c>
      <c r="L230" s="1" t="str">
        <f>VLOOKUP(K230,Sheet1!A:B,2,FALSE)</f>
        <v>XM2-S71-PL-37</v>
      </c>
      <c r="M230" t="s">
        <v>657</v>
      </c>
      <c r="N230" t="s">
        <v>83</v>
      </c>
      <c r="O230" t="s">
        <v>45</v>
      </c>
      <c r="P230" t="s">
        <v>270</v>
      </c>
      <c r="Q230" t="s">
        <v>271</v>
      </c>
      <c r="R230" t="s">
        <v>48</v>
      </c>
      <c r="S230" t="s">
        <v>49</v>
      </c>
      <c r="AB230" t="s">
        <v>49</v>
      </c>
      <c r="AC230">
        <v>0</v>
      </c>
      <c r="AD230">
        <v>0</v>
      </c>
      <c r="AE230">
        <v>0</v>
      </c>
      <c r="AF230">
        <v>0</v>
      </c>
      <c r="AG230">
        <v>0</v>
      </c>
      <c r="AH230">
        <v>0</v>
      </c>
      <c r="AI230">
        <v>0</v>
      </c>
      <c r="AJ230">
        <v>0</v>
      </c>
      <c r="AK230">
        <v>0</v>
      </c>
    </row>
    <row r="231" spans="1:37">
      <c r="A231" t="s">
        <v>37</v>
      </c>
      <c r="B231" t="s">
        <v>658</v>
      </c>
      <c r="C231" t="str">
        <f t="shared" si="9"/>
        <v>amzn1.ads-account.g.dfa7o7cwdl371d634ew58i919</v>
      </c>
      <c r="D231" t="s">
        <v>39</v>
      </c>
      <c r="G231" t="str">
        <f t="shared" si="10"/>
        <v>585687237024345541</v>
      </c>
      <c r="H231" t="s">
        <v>40</v>
      </c>
      <c r="I231" t="str">
        <f t="shared" si="11"/>
        <v>585478290940566279</v>
      </c>
      <c r="J231" t="s">
        <v>41</v>
      </c>
      <c r="K231" t="s">
        <v>659</v>
      </c>
      <c r="L231" s="1" t="str">
        <f>VLOOKUP(K231,Sheet1!A:B,2,FALSE)</f>
        <v>SH-BRY80-GN-11</v>
      </c>
      <c r="M231" t="s">
        <v>660</v>
      </c>
      <c r="N231" t="s">
        <v>90</v>
      </c>
      <c r="O231" t="s">
        <v>45</v>
      </c>
      <c r="P231" t="s">
        <v>59</v>
      </c>
      <c r="Q231" t="s">
        <v>106</v>
      </c>
      <c r="R231" t="s">
        <v>48</v>
      </c>
      <c r="S231" t="s">
        <v>49</v>
      </c>
      <c r="AB231" t="s">
        <v>49</v>
      </c>
      <c r="AC231">
        <v>0</v>
      </c>
      <c r="AD231">
        <v>0</v>
      </c>
      <c r="AE231">
        <v>0</v>
      </c>
      <c r="AF231">
        <v>0</v>
      </c>
      <c r="AG231">
        <v>0</v>
      </c>
      <c r="AH231">
        <v>0</v>
      </c>
      <c r="AI231">
        <v>0</v>
      </c>
      <c r="AJ231">
        <v>0</v>
      </c>
      <c r="AK231">
        <v>0</v>
      </c>
    </row>
    <row r="232" spans="1:37">
      <c r="A232" t="s">
        <v>37</v>
      </c>
      <c r="B232" t="s">
        <v>150</v>
      </c>
      <c r="C232" t="str">
        <f t="shared" si="9"/>
        <v>amzn1.ads-account.g.dfa7o7cwdl371d634ew58i919</v>
      </c>
      <c r="D232" t="s">
        <v>39</v>
      </c>
      <c r="G232" t="str">
        <f t="shared" si="10"/>
        <v>585687237024345541</v>
      </c>
      <c r="H232" t="s">
        <v>40</v>
      </c>
      <c r="I232" t="str">
        <f t="shared" si="11"/>
        <v>585478290940566279</v>
      </c>
      <c r="J232" t="s">
        <v>41</v>
      </c>
      <c r="K232" t="s">
        <v>661</v>
      </c>
      <c r="L232" s="1" t="str">
        <f>VLOOKUP(K232,Sheet1!A:B,2,FALSE)</f>
        <v>XM2-S75-PL-43</v>
      </c>
      <c r="M232" t="s">
        <v>662</v>
      </c>
      <c r="N232" t="s">
        <v>95</v>
      </c>
      <c r="O232" t="s">
        <v>45</v>
      </c>
      <c r="P232" t="s">
        <v>65</v>
      </c>
      <c r="Q232" t="s">
        <v>84</v>
      </c>
      <c r="R232" t="s">
        <v>48</v>
      </c>
      <c r="S232" t="s">
        <v>49</v>
      </c>
      <c r="AB232" t="s">
        <v>49</v>
      </c>
      <c r="AC232">
        <v>0</v>
      </c>
      <c r="AD232">
        <v>0</v>
      </c>
      <c r="AE232">
        <v>0</v>
      </c>
      <c r="AF232">
        <v>0</v>
      </c>
      <c r="AG232">
        <v>0</v>
      </c>
      <c r="AH232">
        <v>0</v>
      </c>
      <c r="AI232">
        <v>0</v>
      </c>
      <c r="AJ232">
        <v>0</v>
      </c>
      <c r="AK232">
        <v>0</v>
      </c>
    </row>
    <row r="233" spans="1:37">
      <c r="A233" t="s">
        <v>37</v>
      </c>
      <c r="B233" t="s">
        <v>567</v>
      </c>
      <c r="C233" t="str">
        <f t="shared" si="9"/>
        <v>amzn1.ads-account.g.dfa7o7cwdl371d634ew58i919</v>
      </c>
      <c r="D233" t="s">
        <v>39</v>
      </c>
      <c r="G233" t="str">
        <f t="shared" si="10"/>
        <v>585687237024345541</v>
      </c>
      <c r="H233" t="s">
        <v>40</v>
      </c>
      <c r="I233" t="str">
        <f t="shared" si="11"/>
        <v>585478290940566279</v>
      </c>
      <c r="J233" t="s">
        <v>41</v>
      </c>
      <c r="K233" t="s">
        <v>663</v>
      </c>
      <c r="L233" s="1" t="str">
        <f>VLOOKUP(K233,Sheet1!A:B,2,FALSE)</f>
        <v>XM1-Y22-BG-38</v>
      </c>
      <c r="M233" t="s">
        <v>664</v>
      </c>
      <c r="N233" t="s">
        <v>53</v>
      </c>
      <c r="O233" t="s">
        <v>45</v>
      </c>
      <c r="P233" t="s">
        <v>75</v>
      </c>
      <c r="Q233" t="s">
        <v>76</v>
      </c>
      <c r="R233" t="s">
        <v>48</v>
      </c>
      <c r="S233" t="s">
        <v>49</v>
      </c>
      <c r="AB233" t="s">
        <v>49</v>
      </c>
      <c r="AC233">
        <v>0</v>
      </c>
      <c r="AD233">
        <v>0</v>
      </c>
      <c r="AE233">
        <v>0</v>
      </c>
      <c r="AF233">
        <v>0</v>
      </c>
      <c r="AG233">
        <v>0</v>
      </c>
      <c r="AH233">
        <v>0</v>
      </c>
      <c r="AI233">
        <v>0</v>
      </c>
      <c r="AJ233">
        <v>0</v>
      </c>
      <c r="AK233">
        <v>0</v>
      </c>
    </row>
    <row r="234" spans="1:37">
      <c r="A234" t="s">
        <v>37</v>
      </c>
      <c r="B234" t="s">
        <v>640</v>
      </c>
      <c r="C234" t="str">
        <f t="shared" si="9"/>
        <v>amzn1.ads-account.g.dfa7o7cwdl371d634ew58i919</v>
      </c>
      <c r="D234" t="s">
        <v>39</v>
      </c>
      <c r="G234" t="str">
        <f t="shared" si="10"/>
        <v>585687237024345541</v>
      </c>
      <c r="H234" t="s">
        <v>40</v>
      </c>
      <c r="I234" t="str">
        <f t="shared" si="11"/>
        <v>585478290940566279</v>
      </c>
      <c r="J234" t="s">
        <v>41</v>
      </c>
      <c r="K234" t="s">
        <v>665</v>
      </c>
      <c r="L234" s="1" t="str">
        <f>VLOOKUP(K234,Sheet1!A:B,2,FALSE)</f>
        <v>XM2-S600-ABK-39</v>
      </c>
      <c r="M234" t="s">
        <v>666</v>
      </c>
      <c r="N234" t="s">
        <v>70</v>
      </c>
      <c r="O234" t="s">
        <v>45</v>
      </c>
      <c r="P234" t="s">
        <v>75</v>
      </c>
      <c r="Q234" t="s">
        <v>76</v>
      </c>
      <c r="R234" t="s">
        <v>48</v>
      </c>
      <c r="S234" t="s">
        <v>49</v>
      </c>
      <c r="AB234" t="s">
        <v>49</v>
      </c>
      <c r="AC234">
        <v>0</v>
      </c>
      <c r="AD234">
        <v>0</v>
      </c>
      <c r="AE234">
        <v>0</v>
      </c>
      <c r="AF234">
        <v>0</v>
      </c>
      <c r="AG234">
        <v>0</v>
      </c>
      <c r="AH234">
        <v>0</v>
      </c>
      <c r="AI234">
        <v>0</v>
      </c>
      <c r="AJ234">
        <v>0</v>
      </c>
      <c r="AK234">
        <v>0</v>
      </c>
    </row>
    <row r="235" spans="1:37">
      <c r="A235" t="s">
        <v>37</v>
      </c>
      <c r="B235" t="s">
        <v>136</v>
      </c>
      <c r="C235" t="str">
        <f t="shared" si="9"/>
        <v>amzn1.ads-account.g.dfa7o7cwdl371d634ew58i919</v>
      </c>
      <c r="D235" t="s">
        <v>39</v>
      </c>
      <c r="G235" t="str">
        <f t="shared" si="10"/>
        <v>585687237024345541</v>
      </c>
      <c r="H235" t="s">
        <v>40</v>
      </c>
      <c r="I235" t="str">
        <f t="shared" si="11"/>
        <v>585478290940566279</v>
      </c>
      <c r="J235" t="s">
        <v>41</v>
      </c>
      <c r="K235" t="s">
        <v>667</v>
      </c>
      <c r="L235" s="1" t="str">
        <f>VLOOKUP(K235,Sheet1!A:B,2,FALSE)</f>
        <v>SH-BRKD5-RD-38</v>
      </c>
      <c r="M235" t="s">
        <v>668</v>
      </c>
      <c r="N235" t="s">
        <v>139</v>
      </c>
      <c r="O235" t="s">
        <v>45</v>
      </c>
      <c r="P235" t="s">
        <v>46</v>
      </c>
      <c r="Q235" t="s">
        <v>324</v>
      </c>
      <c r="R235" t="s">
        <v>48</v>
      </c>
      <c r="S235" t="s">
        <v>49</v>
      </c>
      <c r="AB235" t="s">
        <v>49</v>
      </c>
      <c r="AC235">
        <v>0</v>
      </c>
      <c r="AD235">
        <v>0</v>
      </c>
      <c r="AE235">
        <v>0</v>
      </c>
      <c r="AF235">
        <v>0</v>
      </c>
      <c r="AG235">
        <v>0</v>
      </c>
      <c r="AH235">
        <v>0</v>
      </c>
      <c r="AI235">
        <v>0</v>
      </c>
      <c r="AJ235">
        <v>0</v>
      </c>
      <c r="AK235">
        <v>0</v>
      </c>
    </row>
    <row r="236" spans="1:37">
      <c r="A236" t="s">
        <v>37</v>
      </c>
      <c r="B236" t="s">
        <v>669</v>
      </c>
      <c r="C236" t="str">
        <f t="shared" si="9"/>
        <v>amzn1.ads-account.g.dfa7o7cwdl371d634ew58i919</v>
      </c>
      <c r="D236" t="s">
        <v>39</v>
      </c>
      <c r="G236" t="str">
        <f t="shared" si="10"/>
        <v>585687237024345541</v>
      </c>
      <c r="H236" t="s">
        <v>40</v>
      </c>
      <c r="I236" t="str">
        <f t="shared" si="11"/>
        <v>585478290940566279</v>
      </c>
      <c r="J236" t="s">
        <v>41</v>
      </c>
      <c r="K236" t="s">
        <v>670</v>
      </c>
      <c r="L236" s="1" t="str">
        <f>VLOOKUP(K236,Sheet1!A:B,2,FALSE)</f>
        <v>XM2-S73-ABK-43</v>
      </c>
      <c r="M236" t="s">
        <v>671</v>
      </c>
      <c r="N236" t="s">
        <v>83</v>
      </c>
      <c r="O236" t="s">
        <v>45</v>
      </c>
      <c r="P236" t="s">
        <v>65</v>
      </c>
      <c r="Q236" t="s">
        <v>207</v>
      </c>
      <c r="R236" t="s">
        <v>48</v>
      </c>
      <c r="S236" t="s">
        <v>49</v>
      </c>
      <c r="AB236" t="s">
        <v>49</v>
      </c>
      <c r="AC236">
        <v>1</v>
      </c>
      <c r="AD236">
        <v>49.99</v>
      </c>
      <c r="AE236">
        <v>1</v>
      </c>
      <c r="AF236">
        <v>1</v>
      </c>
      <c r="AG236">
        <v>49.99</v>
      </c>
      <c r="AH236">
        <v>1</v>
      </c>
      <c r="AI236">
        <v>1</v>
      </c>
      <c r="AJ236">
        <v>49.99</v>
      </c>
      <c r="AK236">
        <v>1</v>
      </c>
    </row>
    <row r="237" spans="1:37">
      <c r="A237" t="s">
        <v>37</v>
      </c>
      <c r="B237" t="s">
        <v>147</v>
      </c>
      <c r="C237" t="str">
        <f t="shared" si="9"/>
        <v>amzn1.ads-account.g.dfa7o7cwdl371d634ew58i919</v>
      </c>
      <c r="D237" t="s">
        <v>39</v>
      </c>
      <c r="G237" t="str">
        <f t="shared" si="10"/>
        <v>585687237024345541</v>
      </c>
      <c r="H237" t="s">
        <v>40</v>
      </c>
      <c r="I237" t="str">
        <f t="shared" si="11"/>
        <v>585478290940566279</v>
      </c>
      <c r="J237" t="s">
        <v>41</v>
      </c>
      <c r="K237" t="s">
        <v>672</v>
      </c>
      <c r="L237" s="1" t="str">
        <f>VLOOKUP(K237,Sheet1!A:B,2,FALSE)</f>
        <v>SH-BRY10-PK-43</v>
      </c>
      <c r="M237" t="s">
        <v>673</v>
      </c>
      <c r="N237" t="s">
        <v>44</v>
      </c>
      <c r="O237" t="s">
        <v>45</v>
      </c>
      <c r="P237" t="s">
        <v>75</v>
      </c>
      <c r="Q237" t="s">
        <v>91</v>
      </c>
      <c r="R237" t="s">
        <v>48</v>
      </c>
      <c r="S237" t="s">
        <v>49</v>
      </c>
      <c r="AB237" t="s">
        <v>49</v>
      </c>
      <c r="AC237">
        <v>1</v>
      </c>
      <c r="AD237">
        <v>23.99</v>
      </c>
      <c r="AE237">
        <v>1</v>
      </c>
      <c r="AF237">
        <v>1</v>
      </c>
      <c r="AG237">
        <v>23.99</v>
      </c>
      <c r="AH237">
        <v>1</v>
      </c>
      <c r="AI237">
        <v>1</v>
      </c>
      <c r="AJ237">
        <v>23.99</v>
      </c>
      <c r="AK237">
        <v>1</v>
      </c>
    </row>
    <row r="238" spans="1:37">
      <c r="A238" t="s">
        <v>37</v>
      </c>
      <c r="B238" t="s">
        <v>167</v>
      </c>
      <c r="C238" t="str">
        <f t="shared" si="9"/>
        <v>amzn1.ads-account.g.dfa7o7cwdl371d634ew58i919</v>
      </c>
      <c r="D238" t="s">
        <v>39</v>
      </c>
      <c r="G238" t="str">
        <f t="shared" si="10"/>
        <v>585687237024345541</v>
      </c>
      <c r="H238" t="s">
        <v>40</v>
      </c>
      <c r="I238" t="str">
        <f t="shared" si="11"/>
        <v>585478290940566279</v>
      </c>
      <c r="J238" t="s">
        <v>41</v>
      </c>
      <c r="K238" t="s">
        <v>674</v>
      </c>
      <c r="L238" s="1" t="str">
        <f>VLOOKUP(K238,Sheet1!A:B,2,FALSE)</f>
        <v>SH-BRY180-GY-45</v>
      </c>
      <c r="M238" t="s">
        <v>675</v>
      </c>
      <c r="N238" t="s">
        <v>64</v>
      </c>
      <c r="O238" t="s">
        <v>45</v>
      </c>
      <c r="P238" t="s">
        <v>59</v>
      </c>
      <c r="Q238" t="s">
        <v>114</v>
      </c>
      <c r="R238" t="s">
        <v>48</v>
      </c>
      <c r="S238" t="s">
        <v>49</v>
      </c>
      <c r="AB238" t="s">
        <v>49</v>
      </c>
      <c r="AC238">
        <v>0</v>
      </c>
      <c r="AD238">
        <v>0</v>
      </c>
      <c r="AE238">
        <v>0</v>
      </c>
      <c r="AF238">
        <v>0</v>
      </c>
      <c r="AG238">
        <v>0</v>
      </c>
      <c r="AH238">
        <v>0</v>
      </c>
      <c r="AI238">
        <v>0</v>
      </c>
      <c r="AJ238">
        <v>0</v>
      </c>
      <c r="AK238">
        <v>0</v>
      </c>
    </row>
    <row r="239" spans="1:37">
      <c r="A239" t="s">
        <v>37</v>
      </c>
      <c r="B239" t="s">
        <v>676</v>
      </c>
      <c r="C239" t="str">
        <f t="shared" si="9"/>
        <v>amzn1.ads-account.g.dfa7o7cwdl371d634ew58i919</v>
      </c>
      <c r="D239" t="s">
        <v>39</v>
      </c>
      <c r="G239" t="str">
        <f t="shared" si="10"/>
        <v>585687237024345541</v>
      </c>
      <c r="H239" t="s">
        <v>40</v>
      </c>
      <c r="I239" t="str">
        <f t="shared" si="11"/>
        <v>585478290940566279</v>
      </c>
      <c r="J239" t="s">
        <v>41</v>
      </c>
      <c r="K239" t="s">
        <v>677</v>
      </c>
      <c r="L239" s="1" t="str">
        <f>VLOOKUP(K239,Sheet1!A:B,2,FALSE)</f>
        <v>XM2-S73-ABK-41</v>
      </c>
      <c r="M239" t="s">
        <v>678</v>
      </c>
      <c r="N239" t="s">
        <v>83</v>
      </c>
      <c r="O239" t="s">
        <v>45</v>
      </c>
      <c r="P239" t="s">
        <v>153</v>
      </c>
      <c r="Q239" t="s">
        <v>216</v>
      </c>
      <c r="R239" t="s">
        <v>48</v>
      </c>
      <c r="S239" t="s">
        <v>49</v>
      </c>
      <c r="AB239" t="s">
        <v>49</v>
      </c>
      <c r="AC239">
        <v>0</v>
      </c>
      <c r="AD239">
        <v>0</v>
      </c>
      <c r="AE239">
        <v>0</v>
      </c>
      <c r="AF239">
        <v>0</v>
      </c>
      <c r="AG239">
        <v>0</v>
      </c>
      <c r="AH239">
        <v>0</v>
      </c>
      <c r="AI239">
        <v>0</v>
      </c>
      <c r="AJ239">
        <v>0</v>
      </c>
      <c r="AK239">
        <v>0</v>
      </c>
    </row>
    <row r="240" spans="1:37">
      <c r="A240" t="s">
        <v>37</v>
      </c>
      <c r="B240" t="s">
        <v>679</v>
      </c>
      <c r="C240" t="str">
        <f t="shared" si="9"/>
        <v>amzn1.ads-account.g.dfa7o7cwdl371d634ew58i919</v>
      </c>
      <c r="D240" t="s">
        <v>39</v>
      </c>
      <c r="G240" t="str">
        <f t="shared" si="10"/>
        <v>585687237024345541</v>
      </c>
      <c r="H240" t="s">
        <v>40</v>
      </c>
      <c r="I240" t="str">
        <f t="shared" si="11"/>
        <v>585478290940566279</v>
      </c>
      <c r="J240" t="s">
        <v>41</v>
      </c>
      <c r="K240" t="s">
        <v>680</v>
      </c>
      <c r="L240" s="1" t="str">
        <f>VLOOKUP(K240,Sheet1!A:B,2,FALSE)</f>
        <v>XM2-S600-DKBU-38.5</v>
      </c>
      <c r="M240" t="s">
        <v>681</v>
      </c>
      <c r="N240" t="s">
        <v>70</v>
      </c>
      <c r="O240" t="s">
        <v>45</v>
      </c>
      <c r="P240" t="s">
        <v>75</v>
      </c>
      <c r="Q240" t="s">
        <v>76</v>
      </c>
      <c r="R240" t="s">
        <v>48</v>
      </c>
      <c r="S240" t="s">
        <v>49</v>
      </c>
      <c r="AB240" t="s">
        <v>49</v>
      </c>
      <c r="AC240">
        <v>0</v>
      </c>
      <c r="AD240">
        <v>0</v>
      </c>
      <c r="AE240">
        <v>0</v>
      </c>
      <c r="AF240">
        <v>0</v>
      </c>
      <c r="AG240">
        <v>0</v>
      </c>
      <c r="AH240">
        <v>0</v>
      </c>
      <c r="AI240">
        <v>0</v>
      </c>
      <c r="AJ240">
        <v>0</v>
      </c>
      <c r="AK240">
        <v>0</v>
      </c>
    </row>
    <row r="241" spans="1:37">
      <c r="A241" t="s">
        <v>37</v>
      </c>
      <c r="B241" t="s">
        <v>230</v>
      </c>
      <c r="C241" t="str">
        <f t="shared" si="9"/>
        <v>amzn1.ads-account.g.dfa7o7cwdl371d634ew58i919</v>
      </c>
      <c r="D241" t="s">
        <v>39</v>
      </c>
      <c r="G241" t="str">
        <f t="shared" si="10"/>
        <v>585687237024345541</v>
      </c>
      <c r="H241" t="s">
        <v>40</v>
      </c>
      <c r="I241" t="str">
        <f t="shared" si="11"/>
        <v>585478290940566279</v>
      </c>
      <c r="J241" t="s">
        <v>41</v>
      </c>
      <c r="K241" t="s">
        <v>682</v>
      </c>
      <c r="L241" s="1" t="str">
        <f>VLOOKUP(K241,Sheet1!A:B,2,FALSE)</f>
        <v>XM2-S73-ABK-42</v>
      </c>
      <c r="M241" t="s">
        <v>683</v>
      </c>
      <c r="N241" t="s">
        <v>83</v>
      </c>
      <c r="O241" t="s">
        <v>45</v>
      </c>
      <c r="P241" t="s">
        <v>65</v>
      </c>
      <c r="Q241" t="s">
        <v>84</v>
      </c>
      <c r="R241" t="s">
        <v>48</v>
      </c>
      <c r="S241" t="s">
        <v>49</v>
      </c>
      <c r="AB241" t="s">
        <v>49</v>
      </c>
      <c r="AC241">
        <v>0</v>
      </c>
      <c r="AD241">
        <v>0</v>
      </c>
      <c r="AE241">
        <v>0</v>
      </c>
      <c r="AF241">
        <v>0</v>
      </c>
      <c r="AG241">
        <v>0</v>
      </c>
      <c r="AH241">
        <v>0</v>
      </c>
      <c r="AI241">
        <v>0</v>
      </c>
      <c r="AJ241">
        <v>0</v>
      </c>
      <c r="AK241">
        <v>0</v>
      </c>
    </row>
    <row r="242" spans="1:37">
      <c r="A242" t="s">
        <v>37</v>
      </c>
      <c r="B242" t="s">
        <v>567</v>
      </c>
      <c r="C242" t="str">
        <f t="shared" si="9"/>
        <v>amzn1.ads-account.g.dfa7o7cwdl371d634ew58i919</v>
      </c>
      <c r="D242" t="s">
        <v>39</v>
      </c>
      <c r="G242" t="str">
        <f t="shared" si="10"/>
        <v>585687237024345541</v>
      </c>
      <c r="H242" t="s">
        <v>40</v>
      </c>
      <c r="I242" t="str">
        <f t="shared" si="11"/>
        <v>585478290940566279</v>
      </c>
      <c r="J242" t="s">
        <v>41</v>
      </c>
      <c r="K242" t="s">
        <v>684</v>
      </c>
      <c r="L242" s="1" t="str">
        <f>VLOOKUP(K242,Sheet1!A:B,2,FALSE)</f>
        <v>XM2-S73-BU-36</v>
      </c>
      <c r="M242" t="s">
        <v>685</v>
      </c>
      <c r="N242" t="s">
        <v>83</v>
      </c>
      <c r="O242" t="s">
        <v>45</v>
      </c>
      <c r="P242" t="s">
        <v>153</v>
      </c>
      <c r="Q242" t="s">
        <v>216</v>
      </c>
      <c r="R242" t="s">
        <v>48</v>
      </c>
      <c r="S242" t="s">
        <v>49</v>
      </c>
      <c r="AB242" t="s">
        <v>49</v>
      </c>
      <c r="AC242">
        <v>0</v>
      </c>
      <c r="AD242">
        <v>0</v>
      </c>
      <c r="AE242">
        <v>0</v>
      </c>
      <c r="AF242">
        <v>0</v>
      </c>
      <c r="AG242">
        <v>0</v>
      </c>
      <c r="AH242">
        <v>0</v>
      </c>
      <c r="AI242">
        <v>0</v>
      </c>
      <c r="AJ242">
        <v>0</v>
      </c>
      <c r="AK242">
        <v>0</v>
      </c>
    </row>
    <row r="243" spans="1:37">
      <c r="A243" t="s">
        <v>37</v>
      </c>
      <c r="B243" t="s">
        <v>686</v>
      </c>
      <c r="C243" t="str">
        <f t="shared" si="9"/>
        <v>amzn1.ads-account.g.dfa7o7cwdl371d634ew58i919</v>
      </c>
      <c r="D243" t="s">
        <v>39</v>
      </c>
      <c r="G243" t="str">
        <f t="shared" si="10"/>
        <v>585687237024345541</v>
      </c>
      <c r="H243" t="s">
        <v>40</v>
      </c>
      <c r="I243" t="str">
        <f t="shared" si="11"/>
        <v>585478290940566279</v>
      </c>
      <c r="J243" t="s">
        <v>41</v>
      </c>
      <c r="K243" t="s">
        <v>687</v>
      </c>
      <c r="L243" s="1" t="str">
        <f>VLOOKUP(K243,Sheet1!A:B,2,FALSE)</f>
        <v>SH-BR8806-YL-38</v>
      </c>
      <c r="M243" t="s">
        <v>688</v>
      </c>
      <c r="N243" t="s">
        <v>74</v>
      </c>
      <c r="O243" t="s">
        <v>45</v>
      </c>
      <c r="P243" t="s">
        <v>75</v>
      </c>
      <c r="Q243" t="s">
        <v>91</v>
      </c>
      <c r="R243" t="s">
        <v>48</v>
      </c>
      <c r="S243" t="s">
        <v>49</v>
      </c>
      <c r="AB243" t="s">
        <v>49</v>
      </c>
      <c r="AC243">
        <v>0</v>
      </c>
      <c r="AD243">
        <v>0</v>
      </c>
      <c r="AE243">
        <v>0</v>
      </c>
      <c r="AF243">
        <v>0</v>
      </c>
      <c r="AG243">
        <v>0</v>
      </c>
      <c r="AH243">
        <v>0</v>
      </c>
      <c r="AI243">
        <v>0</v>
      </c>
      <c r="AJ243">
        <v>0</v>
      </c>
      <c r="AK243">
        <v>0</v>
      </c>
    </row>
    <row r="244" spans="1:37">
      <c r="A244" t="s">
        <v>37</v>
      </c>
      <c r="B244" t="s">
        <v>160</v>
      </c>
      <c r="C244" t="str">
        <f t="shared" si="9"/>
        <v>amzn1.ads-account.g.dfa7o7cwdl371d634ew58i919</v>
      </c>
      <c r="D244" t="s">
        <v>39</v>
      </c>
      <c r="G244" t="str">
        <f t="shared" si="10"/>
        <v>585687237024345541</v>
      </c>
      <c r="H244" t="s">
        <v>40</v>
      </c>
      <c r="I244" t="str">
        <f t="shared" si="11"/>
        <v>585478290940566279</v>
      </c>
      <c r="J244" t="s">
        <v>41</v>
      </c>
      <c r="K244" t="s">
        <v>689</v>
      </c>
      <c r="L244" s="1" t="str">
        <f>VLOOKUP(K244,Sheet1!A:B,2,FALSE)</f>
        <v>XM2-S75-BU-39</v>
      </c>
      <c r="M244" t="s">
        <v>690</v>
      </c>
      <c r="N244" t="s">
        <v>95</v>
      </c>
      <c r="O244" t="s">
        <v>45</v>
      </c>
      <c r="P244" t="s">
        <v>153</v>
      </c>
      <c r="Q244" t="s">
        <v>154</v>
      </c>
      <c r="R244" t="s">
        <v>48</v>
      </c>
      <c r="S244" t="s">
        <v>49</v>
      </c>
      <c r="AB244" t="s">
        <v>49</v>
      </c>
      <c r="AC244">
        <v>0</v>
      </c>
      <c r="AD244">
        <v>0</v>
      </c>
      <c r="AE244">
        <v>0</v>
      </c>
      <c r="AF244">
        <v>0</v>
      </c>
      <c r="AG244">
        <v>0</v>
      </c>
      <c r="AH244">
        <v>0</v>
      </c>
      <c r="AI244">
        <v>0</v>
      </c>
      <c r="AJ244">
        <v>0</v>
      </c>
      <c r="AK244">
        <v>0</v>
      </c>
    </row>
    <row r="245" spans="1:37">
      <c r="A245" t="s">
        <v>37</v>
      </c>
      <c r="B245" t="s">
        <v>557</v>
      </c>
      <c r="C245" t="str">
        <f t="shared" si="9"/>
        <v>amzn1.ads-account.g.dfa7o7cwdl371d634ew58i919</v>
      </c>
      <c r="D245" t="s">
        <v>39</v>
      </c>
      <c r="G245" t="str">
        <f t="shared" si="10"/>
        <v>585687237024345541</v>
      </c>
      <c r="H245" t="s">
        <v>40</v>
      </c>
      <c r="I245" t="str">
        <f t="shared" si="11"/>
        <v>585478290940566279</v>
      </c>
      <c r="J245" t="s">
        <v>41</v>
      </c>
      <c r="K245" t="s">
        <v>691</v>
      </c>
      <c r="L245" s="1" t="str">
        <f>VLOOKUP(K245,Sheet1!A:B,2,FALSE)</f>
        <v>SH-BRS71-ABK-45S</v>
      </c>
      <c r="M245" t="s">
        <v>692</v>
      </c>
      <c r="N245" t="s">
        <v>110</v>
      </c>
      <c r="O245" t="s">
        <v>45</v>
      </c>
      <c r="P245" t="s">
        <v>65</v>
      </c>
      <c r="Q245" t="s">
        <v>111</v>
      </c>
      <c r="R245" t="s">
        <v>48</v>
      </c>
      <c r="S245" t="s">
        <v>49</v>
      </c>
      <c r="AB245" t="s">
        <v>49</v>
      </c>
      <c r="AC245">
        <v>0</v>
      </c>
      <c r="AD245">
        <v>0</v>
      </c>
      <c r="AE245">
        <v>0</v>
      </c>
      <c r="AF245">
        <v>0</v>
      </c>
      <c r="AG245">
        <v>0</v>
      </c>
      <c r="AH245">
        <v>0</v>
      </c>
      <c r="AI245">
        <v>0</v>
      </c>
      <c r="AJ245">
        <v>0</v>
      </c>
      <c r="AK245">
        <v>0</v>
      </c>
    </row>
    <row r="246" spans="1:37">
      <c r="A246" t="s">
        <v>37</v>
      </c>
      <c r="B246" t="s">
        <v>693</v>
      </c>
      <c r="C246" t="str">
        <f t="shared" si="9"/>
        <v>amzn1.ads-account.g.dfa7o7cwdl371d634ew58i919</v>
      </c>
      <c r="D246" t="s">
        <v>39</v>
      </c>
      <c r="G246" t="str">
        <f t="shared" si="10"/>
        <v>585687237024345541</v>
      </c>
      <c r="H246" t="s">
        <v>40</v>
      </c>
      <c r="I246" t="str">
        <f t="shared" si="11"/>
        <v>585478290940566279</v>
      </c>
      <c r="J246" t="s">
        <v>41</v>
      </c>
      <c r="K246" t="s">
        <v>694</v>
      </c>
      <c r="L246" s="1" t="str">
        <f>VLOOKUP(K246,Sheet1!A:B,2,FALSE)</f>
        <v>XM2-Y90B-LTPK-W7</v>
      </c>
      <c r="M246" t="s">
        <v>695</v>
      </c>
      <c r="N246" t="s">
        <v>74</v>
      </c>
      <c r="O246" t="s">
        <v>45</v>
      </c>
      <c r="Q246" t="s">
        <v>54</v>
      </c>
      <c r="R246" t="s">
        <v>48</v>
      </c>
      <c r="S246" t="s">
        <v>49</v>
      </c>
      <c r="AB246" t="s">
        <v>49</v>
      </c>
      <c r="AC246">
        <v>0</v>
      </c>
      <c r="AD246">
        <v>0</v>
      </c>
      <c r="AE246">
        <v>0</v>
      </c>
      <c r="AF246">
        <v>0</v>
      </c>
      <c r="AG246">
        <v>0</v>
      </c>
      <c r="AH246">
        <v>0</v>
      </c>
      <c r="AI246">
        <v>0</v>
      </c>
      <c r="AJ246">
        <v>0</v>
      </c>
      <c r="AK246">
        <v>0</v>
      </c>
    </row>
    <row r="247" spans="1:37">
      <c r="A247" t="s">
        <v>37</v>
      </c>
      <c r="B247" t="s">
        <v>567</v>
      </c>
      <c r="C247" t="str">
        <f t="shared" si="9"/>
        <v>amzn1.ads-account.g.dfa7o7cwdl371d634ew58i919</v>
      </c>
      <c r="D247" t="s">
        <v>39</v>
      </c>
      <c r="G247" t="str">
        <f t="shared" si="10"/>
        <v>585687237024345541</v>
      </c>
      <c r="H247" t="s">
        <v>40</v>
      </c>
      <c r="I247" t="str">
        <f t="shared" si="11"/>
        <v>585478290940566279</v>
      </c>
      <c r="J247" t="s">
        <v>41</v>
      </c>
      <c r="K247" t="s">
        <v>696</v>
      </c>
      <c r="L247" s="1" t="str">
        <f>VLOOKUP(K247,Sheet1!A:B,2,FALSE)</f>
        <v>XM2-S73-BU-43</v>
      </c>
      <c r="M247" t="s">
        <v>697</v>
      </c>
      <c r="N247" t="s">
        <v>83</v>
      </c>
      <c r="O247" t="s">
        <v>45</v>
      </c>
      <c r="P247" t="s">
        <v>65</v>
      </c>
      <c r="Q247" t="s">
        <v>84</v>
      </c>
      <c r="R247" t="s">
        <v>48</v>
      </c>
      <c r="S247" t="s">
        <v>49</v>
      </c>
      <c r="AB247" t="s">
        <v>49</v>
      </c>
      <c r="AC247">
        <v>0</v>
      </c>
      <c r="AD247">
        <v>0</v>
      </c>
      <c r="AE247">
        <v>0</v>
      </c>
      <c r="AF247">
        <v>0</v>
      </c>
      <c r="AG247">
        <v>0</v>
      </c>
      <c r="AH247">
        <v>0</v>
      </c>
      <c r="AI247">
        <v>0</v>
      </c>
      <c r="AJ247">
        <v>0</v>
      </c>
      <c r="AK247">
        <v>0</v>
      </c>
    </row>
    <row r="248" spans="1:37">
      <c r="A248" t="s">
        <v>37</v>
      </c>
      <c r="B248" t="s">
        <v>498</v>
      </c>
      <c r="C248" t="str">
        <f t="shared" si="9"/>
        <v>amzn1.ads-account.g.dfa7o7cwdl371d634ew58i919</v>
      </c>
      <c r="D248" t="s">
        <v>39</v>
      </c>
      <c r="G248" t="str">
        <f t="shared" si="10"/>
        <v>585687237024345541</v>
      </c>
      <c r="H248" t="s">
        <v>40</v>
      </c>
      <c r="I248" t="str">
        <f t="shared" si="11"/>
        <v>585478290940566279</v>
      </c>
      <c r="J248" t="s">
        <v>41</v>
      </c>
      <c r="K248" t="s">
        <v>698</v>
      </c>
      <c r="L248" s="1" t="str">
        <f>VLOOKUP(K248,Sheet1!A:B,2,FALSE)</f>
        <v>SH-BRS71-BU-45</v>
      </c>
      <c r="M248" t="s">
        <v>699</v>
      </c>
      <c r="N248" t="s">
        <v>110</v>
      </c>
      <c r="O248" t="s">
        <v>45</v>
      </c>
      <c r="P248" t="s">
        <v>118</v>
      </c>
      <c r="Q248" t="s">
        <v>119</v>
      </c>
      <c r="R248" t="s">
        <v>48</v>
      </c>
      <c r="S248" t="s">
        <v>49</v>
      </c>
      <c r="AB248" t="s">
        <v>49</v>
      </c>
      <c r="AC248">
        <v>0</v>
      </c>
      <c r="AD248">
        <v>0</v>
      </c>
      <c r="AE248">
        <v>0</v>
      </c>
      <c r="AF248">
        <v>0</v>
      </c>
      <c r="AG248">
        <v>0</v>
      </c>
      <c r="AH248">
        <v>0</v>
      </c>
      <c r="AI248">
        <v>0</v>
      </c>
      <c r="AJ248">
        <v>0</v>
      </c>
      <c r="AK248">
        <v>0</v>
      </c>
    </row>
    <row r="249" spans="1:37">
      <c r="A249" t="s">
        <v>37</v>
      </c>
      <c r="B249" t="s">
        <v>38</v>
      </c>
      <c r="C249" t="str">
        <f t="shared" si="9"/>
        <v>amzn1.ads-account.g.dfa7o7cwdl371d634ew58i919</v>
      </c>
      <c r="D249" t="s">
        <v>39</v>
      </c>
      <c r="G249" t="str">
        <f t="shared" si="10"/>
        <v>585687237024345541</v>
      </c>
      <c r="H249" t="s">
        <v>40</v>
      </c>
      <c r="I249" t="str">
        <f t="shared" si="11"/>
        <v>585478290940566279</v>
      </c>
      <c r="J249" t="s">
        <v>41</v>
      </c>
      <c r="K249" t="s">
        <v>700</v>
      </c>
      <c r="L249" s="1" t="str">
        <f>VLOOKUP(K249,Sheet1!A:B,2,FALSE)</f>
        <v>SH-BRY10-PK-41</v>
      </c>
      <c r="M249" t="s">
        <v>701</v>
      </c>
      <c r="N249" t="s">
        <v>44</v>
      </c>
      <c r="O249" t="s">
        <v>45</v>
      </c>
      <c r="P249" t="s">
        <v>163</v>
      </c>
      <c r="Q249" t="s">
        <v>164</v>
      </c>
      <c r="R249" t="s">
        <v>48</v>
      </c>
      <c r="S249" t="s">
        <v>49</v>
      </c>
      <c r="AB249" t="s">
        <v>49</v>
      </c>
      <c r="AC249">
        <v>4</v>
      </c>
      <c r="AD249">
        <v>87.66</v>
      </c>
      <c r="AE249">
        <v>4</v>
      </c>
      <c r="AF249">
        <v>4</v>
      </c>
      <c r="AG249">
        <v>87.66</v>
      </c>
      <c r="AH249">
        <v>4</v>
      </c>
      <c r="AI249">
        <v>2</v>
      </c>
      <c r="AJ249">
        <v>47.98</v>
      </c>
      <c r="AK249">
        <v>2</v>
      </c>
    </row>
    <row r="250" spans="1:37">
      <c r="A250" t="s">
        <v>37</v>
      </c>
      <c r="B250" t="s">
        <v>702</v>
      </c>
      <c r="C250" t="str">
        <f t="shared" si="9"/>
        <v>amzn1.ads-account.g.dfa7o7cwdl371d634ew58i919</v>
      </c>
      <c r="D250" t="s">
        <v>39</v>
      </c>
      <c r="G250" t="str">
        <f t="shared" si="10"/>
        <v>585687237024345541</v>
      </c>
      <c r="H250" t="s">
        <v>40</v>
      </c>
      <c r="I250" t="str">
        <f t="shared" si="11"/>
        <v>585478290940566279</v>
      </c>
      <c r="J250" t="s">
        <v>41</v>
      </c>
      <c r="K250" t="s">
        <v>703</v>
      </c>
      <c r="L250" s="1" t="str">
        <f>VLOOKUP(K250,Sheet1!A:B,2,FALSE)</f>
        <v>SH-BRS71-BU-42N</v>
      </c>
      <c r="M250" t="s">
        <v>704</v>
      </c>
      <c r="N250" t="s">
        <v>110</v>
      </c>
      <c r="O250" t="s">
        <v>45</v>
      </c>
      <c r="P250" t="s">
        <v>65</v>
      </c>
      <c r="Q250" t="s">
        <v>111</v>
      </c>
      <c r="R250" t="s">
        <v>48</v>
      </c>
      <c r="S250" t="s">
        <v>49</v>
      </c>
      <c r="AB250" t="s">
        <v>49</v>
      </c>
      <c r="AC250">
        <v>0</v>
      </c>
      <c r="AD250">
        <v>0</v>
      </c>
      <c r="AE250">
        <v>0</v>
      </c>
      <c r="AF250">
        <v>0</v>
      </c>
      <c r="AG250">
        <v>0</v>
      </c>
      <c r="AH250">
        <v>0</v>
      </c>
      <c r="AI250">
        <v>0</v>
      </c>
      <c r="AJ250">
        <v>0</v>
      </c>
      <c r="AK250">
        <v>0</v>
      </c>
    </row>
    <row r="251" spans="1:37">
      <c r="A251" t="s">
        <v>37</v>
      </c>
      <c r="B251" t="s">
        <v>325</v>
      </c>
      <c r="C251" t="str">
        <f t="shared" si="9"/>
        <v>amzn1.ads-account.g.dfa7o7cwdl371d634ew58i919</v>
      </c>
      <c r="D251" t="s">
        <v>39</v>
      </c>
      <c r="G251" t="str">
        <f t="shared" si="10"/>
        <v>585687237024345541</v>
      </c>
      <c r="H251" t="s">
        <v>40</v>
      </c>
      <c r="I251" t="str">
        <f t="shared" si="11"/>
        <v>585478290940566279</v>
      </c>
      <c r="J251" t="s">
        <v>41</v>
      </c>
      <c r="K251" t="s">
        <v>705</v>
      </c>
      <c r="L251" s="1" t="str">
        <f>VLOOKUP(K251,Sheet1!A:B,2,FALSE)</f>
        <v>SH-BRY10-OLGN-36</v>
      </c>
      <c r="M251" t="s">
        <v>706</v>
      </c>
      <c r="N251" t="s">
        <v>44</v>
      </c>
      <c r="O251" t="s">
        <v>45</v>
      </c>
      <c r="P251" t="s">
        <v>46</v>
      </c>
      <c r="Q251" t="s">
        <v>47</v>
      </c>
      <c r="R251" t="s">
        <v>48</v>
      </c>
      <c r="S251" t="s">
        <v>49</v>
      </c>
      <c r="AB251" t="s">
        <v>49</v>
      </c>
      <c r="AC251">
        <v>1</v>
      </c>
      <c r="AD251">
        <v>19.32</v>
      </c>
      <c r="AE251">
        <v>1</v>
      </c>
      <c r="AF251">
        <v>1</v>
      </c>
      <c r="AG251">
        <v>19.32</v>
      </c>
      <c r="AH251">
        <v>1</v>
      </c>
      <c r="AI251">
        <v>1</v>
      </c>
      <c r="AJ251">
        <v>19.32</v>
      </c>
      <c r="AK251">
        <v>1</v>
      </c>
    </row>
    <row r="252" spans="1:37">
      <c r="A252" t="s">
        <v>37</v>
      </c>
      <c r="B252" t="s">
        <v>487</v>
      </c>
      <c r="C252" t="str">
        <f t="shared" si="9"/>
        <v>amzn1.ads-account.g.dfa7o7cwdl371d634ew58i919</v>
      </c>
      <c r="D252" t="s">
        <v>39</v>
      </c>
      <c r="G252" t="str">
        <f t="shared" si="10"/>
        <v>585687237024345541</v>
      </c>
      <c r="H252" t="s">
        <v>40</v>
      </c>
      <c r="I252" t="str">
        <f t="shared" si="11"/>
        <v>585478290940566279</v>
      </c>
      <c r="J252" t="s">
        <v>41</v>
      </c>
      <c r="K252" t="s">
        <v>707</v>
      </c>
      <c r="L252" s="1" t="str">
        <f>VLOOKUP(K252,Sheet1!A:B,2,FALSE)</f>
        <v>SH-BRS73-BKWT-45</v>
      </c>
      <c r="M252" t="s">
        <v>708</v>
      </c>
      <c r="N252" t="s">
        <v>206</v>
      </c>
      <c r="O252" t="s">
        <v>45</v>
      </c>
      <c r="P252" t="s">
        <v>65</v>
      </c>
      <c r="Q252" t="s">
        <v>207</v>
      </c>
      <c r="R252" t="s">
        <v>48</v>
      </c>
      <c r="S252" t="s">
        <v>49</v>
      </c>
      <c r="AB252" t="s">
        <v>49</v>
      </c>
      <c r="AC252">
        <v>0</v>
      </c>
      <c r="AD252">
        <v>0</v>
      </c>
      <c r="AE252">
        <v>0</v>
      </c>
      <c r="AF252">
        <v>0</v>
      </c>
      <c r="AG252">
        <v>0</v>
      </c>
      <c r="AH252">
        <v>0</v>
      </c>
      <c r="AI252">
        <v>0</v>
      </c>
      <c r="AJ252">
        <v>0</v>
      </c>
      <c r="AK252">
        <v>0</v>
      </c>
    </row>
    <row r="253" spans="1:37">
      <c r="A253" t="s">
        <v>37</v>
      </c>
      <c r="B253" t="s">
        <v>174</v>
      </c>
      <c r="C253" t="str">
        <f t="shared" si="9"/>
        <v>amzn1.ads-account.g.dfa7o7cwdl371d634ew58i919</v>
      </c>
      <c r="D253" t="s">
        <v>39</v>
      </c>
      <c r="G253" t="str">
        <f t="shared" si="10"/>
        <v>585687237024345541</v>
      </c>
      <c r="H253" t="s">
        <v>40</v>
      </c>
      <c r="I253" t="str">
        <f t="shared" si="11"/>
        <v>585478290940566279</v>
      </c>
      <c r="J253" t="s">
        <v>41</v>
      </c>
      <c r="K253" t="s">
        <v>709</v>
      </c>
      <c r="L253" s="1" t="str">
        <f>VLOOKUP(K253,Sheet1!A:B,2,FALSE)</f>
        <v>XM2-KD7-RD-37</v>
      </c>
      <c r="M253" t="s">
        <v>710</v>
      </c>
      <c r="N253" t="s">
        <v>177</v>
      </c>
      <c r="O253" t="s">
        <v>45</v>
      </c>
      <c r="P253" t="s">
        <v>140</v>
      </c>
      <c r="Q253" t="s">
        <v>141</v>
      </c>
      <c r="R253" t="s">
        <v>48</v>
      </c>
      <c r="S253" t="s">
        <v>49</v>
      </c>
      <c r="AB253" t="s">
        <v>49</v>
      </c>
      <c r="AC253">
        <v>0</v>
      </c>
      <c r="AD253">
        <v>0</v>
      </c>
      <c r="AE253">
        <v>0</v>
      </c>
      <c r="AF253">
        <v>0</v>
      </c>
      <c r="AG253">
        <v>0</v>
      </c>
      <c r="AH253">
        <v>0</v>
      </c>
      <c r="AI253">
        <v>0</v>
      </c>
      <c r="AJ253">
        <v>0</v>
      </c>
      <c r="AK253">
        <v>0</v>
      </c>
    </row>
    <row r="254" spans="1:37">
      <c r="A254" t="s">
        <v>37</v>
      </c>
      <c r="B254" t="s">
        <v>167</v>
      </c>
      <c r="C254" t="str">
        <f t="shared" si="9"/>
        <v>amzn1.ads-account.g.dfa7o7cwdl371d634ew58i919</v>
      </c>
      <c r="D254" t="s">
        <v>39</v>
      </c>
      <c r="G254" t="str">
        <f t="shared" si="10"/>
        <v>585687237024345541</v>
      </c>
      <c r="H254" t="s">
        <v>40</v>
      </c>
      <c r="I254" t="str">
        <f t="shared" si="11"/>
        <v>585478290940566279</v>
      </c>
      <c r="J254" t="s">
        <v>41</v>
      </c>
      <c r="K254" t="s">
        <v>711</v>
      </c>
      <c r="L254" s="1" t="str">
        <f>VLOOKUP(K254,Sheet1!A:B,2,FALSE)</f>
        <v>XM2-S75-GY-39</v>
      </c>
      <c r="M254" t="s">
        <v>712</v>
      </c>
      <c r="N254" t="s">
        <v>95</v>
      </c>
      <c r="O254" t="s">
        <v>45</v>
      </c>
      <c r="P254" t="s">
        <v>65</v>
      </c>
      <c r="Q254" t="s">
        <v>84</v>
      </c>
      <c r="R254" t="s">
        <v>48</v>
      </c>
      <c r="S254" t="s">
        <v>49</v>
      </c>
      <c r="AB254" t="s">
        <v>49</v>
      </c>
      <c r="AC254">
        <v>0</v>
      </c>
      <c r="AD254">
        <v>0</v>
      </c>
      <c r="AE254">
        <v>0</v>
      </c>
      <c r="AF254">
        <v>0</v>
      </c>
      <c r="AG254">
        <v>0</v>
      </c>
      <c r="AH254">
        <v>0</v>
      </c>
      <c r="AI254">
        <v>0</v>
      </c>
      <c r="AJ254">
        <v>0</v>
      </c>
      <c r="AK254">
        <v>0</v>
      </c>
    </row>
    <row r="255" spans="1:37">
      <c r="A255" t="s">
        <v>37</v>
      </c>
      <c r="B255" t="s">
        <v>368</v>
      </c>
      <c r="C255" t="str">
        <f t="shared" si="9"/>
        <v>amzn1.ads-account.g.dfa7o7cwdl371d634ew58i919</v>
      </c>
      <c r="D255" t="s">
        <v>39</v>
      </c>
      <c r="G255" t="str">
        <f t="shared" si="10"/>
        <v>585687237024345541</v>
      </c>
      <c r="H255" t="s">
        <v>40</v>
      </c>
      <c r="I255" t="str">
        <f t="shared" si="11"/>
        <v>585478290940566279</v>
      </c>
      <c r="J255" t="s">
        <v>41</v>
      </c>
      <c r="K255" t="s">
        <v>713</v>
      </c>
      <c r="L255" s="1" t="str">
        <f>VLOOKUP(K255,Sheet1!A:B,2,FALSE)</f>
        <v>SH-BRY180-WT-41</v>
      </c>
      <c r="M255" t="s">
        <v>714</v>
      </c>
      <c r="N255" t="s">
        <v>64</v>
      </c>
      <c r="O255" t="s">
        <v>45</v>
      </c>
      <c r="P255" t="s">
        <v>59</v>
      </c>
      <c r="Q255" t="s">
        <v>114</v>
      </c>
      <c r="R255" t="s">
        <v>48</v>
      </c>
      <c r="S255" t="s">
        <v>49</v>
      </c>
      <c r="AB255" t="s">
        <v>49</v>
      </c>
      <c r="AC255">
        <v>0</v>
      </c>
      <c r="AD255">
        <v>0</v>
      </c>
      <c r="AE255">
        <v>0</v>
      </c>
      <c r="AF255">
        <v>0</v>
      </c>
      <c r="AG255">
        <v>0</v>
      </c>
      <c r="AH255">
        <v>0</v>
      </c>
      <c r="AI255">
        <v>0</v>
      </c>
      <c r="AJ255">
        <v>0</v>
      </c>
      <c r="AK255">
        <v>0</v>
      </c>
    </row>
    <row r="256" spans="1:37">
      <c r="A256" t="s">
        <v>37</v>
      </c>
      <c r="B256" t="s">
        <v>55</v>
      </c>
      <c r="C256" t="str">
        <f t="shared" si="9"/>
        <v>amzn1.ads-account.g.dfa7o7cwdl371d634ew58i919</v>
      </c>
      <c r="D256" t="s">
        <v>39</v>
      </c>
      <c r="G256" t="str">
        <f t="shared" si="10"/>
        <v>585687237024345541</v>
      </c>
      <c r="H256" t="s">
        <v>40</v>
      </c>
      <c r="I256" t="str">
        <f t="shared" si="11"/>
        <v>585478290940566279</v>
      </c>
      <c r="J256" t="s">
        <v>41</v>
      </c>
      <c r="K256" t="s">
        <v>715</v>
      </c>
      <c r="L256" s="1" t="str">
        <f>VLOOKUP(K256,Sheet1!A:B,2,FALSE)</f>
        <v>XM2-Y90B-BK-W7N</v>
      </c>
      <c r="M256" t="s">
        <v>716</v>
      </c>
      <c r="N256" t="s">
        <v>74</v>
      </c>
      <c r="O256" t="s">
        <v>45</v>
      </c>
      <c r="P256" t="s">
        <v>59</v>
      </c>
      <c r="Q256" t="s">
        <v>130</v>
      </c>
      <c r="R256" t="s">
        <v>48</v>
      </c>
      <c r="S256" t="s">
        <v>49</v>
      </c>
      <c r="AB256" t="s">
        <v>49</v>
      </c>
      <c r="AC256">
        <v>1</v>
      </c>
      <c r="AD256">
        <v>9.99</v>
      </c>
      <c r="AE256">
        <v>1</v>
      </c>
      <c r="AF256">
        <v>1</v>
      </c>
      <c r="AG256">
        <v>9.99</v>
      </c>
      <c r="AH256">
        <v>1</v>
      </c>
      <c r="AI256">
        <v>1</v>
      </c>
      <c r="AJ256">
        <v>9.99</v>
      </c>
      <c r="AK256">
        <v>1</v>
      </c>
    </row>
    <row r="257" spans="1:37">
      <c r="A257" t="s">
        <v>37</v>
      </c>
      <c r="B257" t="s">
        <v>431</v>
      </c>
      <c r="C257" t="str">
        <f t="shared" si="9"/>
        <v>amzn1.ads-account.g.dfa7o7cwdl371d634ew58i919</v>
      </c>
      <c r="D257" t="s">
        <v>39</v>
      </c>
      <c r="G257" t="str">
        <f t="shared" si="10"/>
        <v>585687237024345541</v>
      </c>
      <c r="H257" t="s">
        <v>40</v>
      </c>
      <c r="I257" t="str">
        <f t="shared" si="11"/>
        <v>585478290940566279</v>
      </c>
      <c r="J257" t="s">
        <v>41</v>
      </c>
      <c r="K257" t="s">
        <v>717</v>
      </c>
      <c r="L257" s="1" t="str">
        <f>VLOOKUP(K257,Sheet1!A:B,2,FALSE)</f>
        <v>XM2-S71-GYPK-39</v>
      </c>
      <c r="M257" t="s">
        <v>718</v>
      </c>
      <c r="N257" t="s">
        <v>83</v>
      </c>
      <c r="O257" t="s">
        <v>45</v>
      </c>
      <c r="P257" t="s">
        <v>65</v>
      </c>
      <c r="Q257" t="s">
        <v>84</v>
      </c>
      <c r="R257" t="s">
        <v>48</v>
      </c>
      <c r="S257" t="s">
        <v>49</v>
      </c>
      <c r="AB257" t="s">
        <v>49</v>
      </c>
      <c r="AC257">
        <v>0</v>
      </c>
      <c r="AD257">
        <v>0</v>
      </c>
      <c r="AE257">
        <v>0</v>
      </c>
      <c r="AF257">
        <v>0</v>
      </c>
      <c r="AG257">
        <v>0</v>
      </c>
      <c r="AH257">
        <v>0</v>
      </c>
      <c r="AI257">
        <v>0</v>
      </c>
      <c r="AJ257">
        <v>0</v>
      </c>
      <c r="AK257">
        <v>0</v>
      </c>
    </row>
    <row r="258" spans="1:37">
      <c r="A258" t="s">
        <v>37</v>
      </c>
      <c r="B258" t="s">
        <v>103</v>
      </c>
      <c r="C258" t="str">
        <f t="shared" ref="C258:C321" si="12">"amzn1.ads-account.g.dfa7o7cwdl371d634ew58i919"</f>
        <v>amzn1.ads-account.g.dfa7o7cwdl371d634ew58i919</v>
      </c>
      <c r="D258" t="s">
        <v>39</v>
      </c>
      <c r="G258" t="str">
        <f t="shared" ref="G258:G321" si="13">"585687237024345541"</f>
        <v>585687237024345541</v>
      </c>
      <c r="H258" t="s">
        <v>40</v>
      </c>
      <c r="I258" t="str">
        <f t="shared" ref="I258:I321" si="14">"585478290940566279"</f>
        <v>585478290940566279</v>
      </c>
      <c r="J258" t="s">
        <v>41</v>
      </c>
      <c r="K258" t="s">
        <v>719</v>
      </c>
      <c r="L258" s="1" t="str">
        <f>VLOOKUP(K258,Sheet1!A:B,2,FALSE)</f>
        <v>XM2-S71-WT-41</v>
      </c>
      <c r="M258" t="s">
        <v>720</v>
      </c>
      <c r="N258" t="s">
        <v>83</v>
      </c>
      <c r="O258" t="s">
        <v>45</v>
      </c>
      <c r="P258" t="s">
        <v>270</v>
      </c>
      <c r="Q258" t="s">
        <v>271</v>
      </c>
      <c r="R258" t="s">
        <v>48</v>
      </c>
      <c r="S258" t="s">
        <v>49</v>
      </c>
      <c r="AB258" t="s">
        <v>49</v>
      </c>
      <c r="AC258">
        <v>0</v>
      </c>
      <c r="AD258">
        <v>0</v>
      </c>
      <c r="AE258">
        <v>0</v>
      </c>
      <c r="AF258">
        <v>0</v>
      </c>
      <c r="AG258">
        <v>0</v>
      </c>
      <c r="AH258">
        <v>0</v>
      </c>
      <c r="AI258">
        <v>0</v>
      </c>
      <c r="AJ258">
        <v>0</v>
      </c>
      <c r="AK258">
        <v>0</v>
      </c>
    </row>
    <row r="259" spans="1:37">
      <c r="A259" t="s">
        <v>37</v>
      </c>
      <c r="B259" t="s">
        <v>174</v>
      </c>
      <c r="C259" t="str">
        <f t="shared" si="12"/>
        <v>amzn1.ads-account.g.dfa7o7cwdl371d634ew58i919</v>
      </c>
      <c r="D259" t="s">
        <v>39</v>
      </c>
      <c r="G259" t="str">
        <f t="shared" si="13"/>
        <v>585687237024345541</v>
      </c>
      <c r="H259" t="s">
        <v>40</v>
      </c>
      <c r="I259" t="str">
        <f t="shared" si="14"/>
        <v>585478290940566279</v>
      </c>
      <c r="J259" t="s">
        <v>41</v>
      </c>
      <c r="K259" t="s">
        <v>721</v>
      </c>
      <c r="L259" s="1" t="str">
        <f>VLOOKUP(K259,Sheet1!A:B,2,FALSE)</f>
        <v>SH-BRS73-BKWT-47</v>
      </c>
      <c r="M259" t="s">
        <v>722</v>
      </c>
      <c r="N259" t="s">
        <v>206</v>
      </c>
      <c r="O259" t="s">
        <v>45</v>
      </c>
      <c r="P259" t="s">
        <v>65</v>
      </c>
      <c r="Q259" t="s">
        <v>207</v>
      </c>
      <c r="R259" t="s">
        <v>48</v>
      </c>
      <c r="S259" t="s">
        <v>49</v>
      </c>
      <c r="AB259" t="s">
        <v>49</v>
      </c>
      <c r="AC259">
        <v>0</v>
      </c>
      <c r="AD259">
        <v>0</v>
      </c>
      <c r="AE259">
        <v>0</v>
      </c>
      <c r="AF259">
        <v>0</v>
      </c>
      <c r="AG259">
        <v>0</v>
      </c>
      <c r="AH259">
        <v>0</v>
      </c>
      <c r="AI259">
        <v>0</v>
      </c>
      <c r="AJ259">
        <v>0</v>
      </c>
      <c r="AK259">
        <v>0</v>
      </c>
    </row>
    <row r="260" spans="1:37">
      <c r="A260" t="s">
        <v>37</v>
      </c>
      <c r="B260" t="s">
        <v>723</v>
      </c>
      <c r="C260" t="str">
        <f t="shared" si="12"/>
        <v>amzn1.ads-account.g.dfa7o7cwdl371d634ew58i919</v>
      </c>
      <c r="D260" t="s">
        <v>39</v>
      </c>
      <c r="G260" t="str">
        <f t="shared" si="13"/>
        <v>585687237024345541</v>
      </c>
      <c r="H260" t="s">
        <v>40</v>
      </c>
      <c r="I260" t="str">
        <f t="shared" si="14"/>
        <v>585478290940566279</v>
      </c>
      <c r="J260" t="s">
        <v>41</v>
      </c>
      <c r="K260" t="s">
        <v>724</v>
      </c>
      <c r="L260" s="1" t="str">
        <f>VLOOKUP(K260,Sheet1!A:B,2,FALSE)</f>
        <v>XM2-S73-GYPL-36</v>
      </c>
      <c r="M260" t="s">
        <v>725</v>
      </c>
      <c r="N260" t="s">
        <v>83</v>
      </c>
      <c r="O260" t="s">
        <v>45</v>
      </c>
      <c r="P260" t="s">
        <v>65</v>
      </c>
      <c r="Q260" t="s">
        <v>84</v>
      </c>
      <c r="R260" t="s">
        <v>48</v>
      </c>
      <c r="S260" t="s">
        <v>49</v>
      </c>
      <c r="AB260" t="s">
        <v>49</v>
      </c>
      <c r="AC260">
        <v>0</v>
      </c>
      <c r="AD260">
        <v>0</v>
      </c>
      <c r="AE260">
        <v>0</v>
      </c>
      <c r="AF260">
        <v>0</v>
      </c>
      <c r="AG260">
        <v>0</v>
      </c>
      <c r="AH260">
        <v>0</v>
      </c>
      <c r="AI260">
        <v>0</v>
      </c>
      <c r="AJ260">
        <v>0</v>
      </c>
      <c r="AK260">
        <v>0</v>
      </c>
    </row>
    <row r="261" spans="1:37">
      <c r="A261" t="s">
        <v>37</v>
      </c>
      <c r="B261" t="s">
        <v>183</v>
      </c>
      <c r="C261" t="str">
        <f t="shared" si="12"/>
        <v>amzn1.ads-account.g.dfa7o7cwdl371d634ew58i919</v>
      </c>
      <c r="D261" t="s">
        <v>39</v>
      </c>
      <c r="G261" t="str">
        <f t="shared" si="13"/>
        <v>585687237024345541</v>
      </c>
      <c r="H261" t="s">
        <v>40</v>
      </c>
      <c r="I261" t="str">
        <f t="shared" si="14"/>
        <v>585478290940566279</v>
      </c>
      <c r="J261" t="s">
        <v>41</v>
      </c>
      <c r="K261" t="s">
        <v>726</v>
      </c>
      <c r="L261" s="1" t="str">
        <f>VLOOKUP(K261,Sheet1!A:B,2,FALSE)</f>
        <v>XM2-S71-WT-38</v>
      </c>
      <c r="M261" t="s">
        <v>727</v>
      </c>
      <c r="N261" t="s">
        <v>83</v>
      </c>
      <c r="O261" t="s">
        <v>45</v>
      </c>
      <c r="P261" t="s">
        <v>65</v>
      </c>
      <c r="Q261" t="s">
        <v>207</v>
      </c>
      <c r="R261" t="s">
        <v>48</v>
      </c>
      <c r="S261" t="s">
        <v>49</v>
      </c>
      <c r="AB261" t="s">
        <v>49</v>
      </c>
      <c r="AC261">
        <v>0</v>
      </c>
      <c r="AD261">
        <v>0</v>
      </c>
      <c r="AE261">
        <v>0</v>
      </c>
      <c r="AF261">
        <v>0</v>
      </c>
      <c r="AG261">
        <v>0</v>
      </c>
      <c r="AH261">
        <v>0</v>
      </c>
      <c r="AI261">
        <v>0</v>
      </c>
      <c r="AJ261">
        <v>0</v>
      </c>
      <c r="AK261">
        <v>0</v>
      </c>
    </row>
    <row r="262" spans="1:37">
      <c r="A262" t="s">
        <v>37</v>
      </c>
      <c r="B262" t="s">
        <v>728</v>
      </c>
      <c r="C262" t="str">
        <f t="shared" si="12"/>
        <v>amzn1.ads-account.g.dfa7o7cwdl371d634ew58i919</v>
      </c>
      <c r="D262" t="s">
        <v>39</v>
      </c>
      <c r="G262" t="str">
        <f t="shared" si="13"/>
        <v>585687237024345541</v>
      </c>
      <c r="H262" t="s">
        <v>40</v>
      </c>
      <c r="I262" t="str">
        <f t="shared" si="14"/>
        <v>585478290940566279</v>
      </c>
      <c r="J262" t="s">
        <v>41</v>
      </c>
      <c r="K262" t="s">
        <v>729</v>
      </c>
      <c r="L262" s="1" t="str">
        <f>VLOOKUP(K262,Sheet1!A:B,2,FALSE)</f>
        <v>XM2-S71-WERD-41</v>
      </c>
      <c r="M262" t="s">
        <v>730</v>
      </c>
      <c r="N262" t="s">
        <v>83</v>
      </c>
      <c r="O262" t="s">
        <v>45</v>
      </c>
      <c r="P262" t="s">
        <v>65</v>
      </c>
      <c r="Q262" t="s">
        <v>84</v>
      </c>
      <c r="R262" t="s">
        <v>48</v>
      </c>
      <c r="S262" t="s">
        <v>49</v>
      </c>
      <c r="AB262" t="s">
        <v>49</v>
      </c>
      <c r="AC262">
        <v>0</v>
      </c>
      <c r="AD262">
        <v>0</v>
      </c>
      <c r="AE262">
        <v>0</v>
      </c>
      <c r="AF262">
        <v>0</v>
      </c>
      <c r="AG262">
        <v>0</v>
      </c>
      <c r="AH262">
        <v>0</v>
      </c>
      <c r="AI262">
        <v>0</v>
      </c>
      <c r="AJ262">
        <v>0</v>
      </c>
      <c r="AK262">
        <v>0</v>
      </c>
    </row>
    <row r="263" spans="1:37">
      <c r="A263" t="s">
        <v>37</v>
      </c>
      <c r="B263" t="s">
        <v>731</v>
      </c>
      <c r="C263" t="str">
        <f t="shared" si="12"/>
        <v>amzn1.ads-account.g.dfa7o7cwdl371d634ew58i919</v>
      </c>
      <c r="D263" t="s">
        <v>39</v>
      </c>
      <c r="G263" t="str">
        <f t="shared" si="13"/>
        <v>585687237024345541</v>
      </c>
      <c r="H263" t="s">
        <v>40</v>
      </c>
      <c r="I263" t="str">
        <f t="shared" si="14"/>
        <v>585478290940566279</v>
      </c>
      <c r="J263" t="s">
        <v>41</v>
      </c>
      <c r="K263" t="s">
        <v>732</v>
      </c>
      <c r="L263" s="1" t="str">
        <f>VLOOKUP(K263,Sheet1!A:B,2,FALSE)</f>
        <v>SH-BRS73-ABK-42</v>
      </c>
      <c r="M263" t="s">
        <v>733</v>
      </c>
      <c r="N263" t="s">
        <v>206</v>
      </c>
      <c r="O263" t="s">
        <v>45</v>
      </c>
      <c r="P263" t="s">
        <v>65</v>
      </c>
      <c r="Q263" t="s">
        <v>207</v>
      </c>
      <c r="R263" t="s">
        <v>48</v>
      </c>
      <c r="S263" t="s">
        <v>49</v>
      </c>
      <c r="AB263" t="s">
        <v>49</v>
      </c>
      <c r="AC263">
        <v>1</v>
      </c>
      <c r="AD263">
        <v>37.98</v>
      </c>
      <c r="AE263">
        <v>1</v>
      </c>
      <c r="AF263">
        <v>1</v>
      </c>
      <c r="AG263">
        <v>37.98</v>
      </c>
      <c r="AH263">
        <v>1</v>
      </c>
      <c r="AI263">
        <v>0</v>
      </c>
      <c r="AJ263">
        <v>0</v>
      </c>
      <c r="AK263">
        <v>0</v>
      </c>
    </row>
    <row r="264" spans="1:37">
      <c r="A264" t="s">
        <v>37</v>
      </c>
      <c r="B264" t="s">
        <v>731</v>
      </c>
      <c r="C264" t="str">
        <f t="shared" si="12"/>
        <v>amzn1.ads-account.g.dfa7o7cwdl371d634ew58i919</v>
      </c>
      <c r="D264" t="s">
        <v>39</v>
      </c>
      <c r="G264" t="str">
        <f t="shared" si="13"/>
        <v>585687237024345541</v>
      </c>
      <c r="H264" t="s">
        <v>40</v>
      </c>
      <c r="I264" t="str">
        <f t="shared" si="14"/>
        <v>585478290940566279</v>
      </c>
      <c r="J264" t="s">
        <v>41</v>
      </c>
      <c r="K264" t="s">
        <v>734</v>
      </c>
      <c r="L264" s="1" t="str">
        <f>VLOOKUP(K264,Sheet1!A:B,2,FALSE)</f>
        <v>SH-BRS71-BKWT-44</v>
      </c>
      <c r="M264" t="s">
        <v>735</v>
      </c>
      <c r="N264" t="s">
        <v>110</v>
      </c>
      <c r="O264" t="s">
        <v>45</v>
      </c>
      <c r="Q264" t="s">
        <v>54</v>
      </c>
      <c r="R264" t="s">
        <v>48</v>
      </c>
      <c r="S264" t="s">
        <v>49</v>
      </c>
      <c r="AB264" t="s">
        <v>49</v>
      </c>
      <c r="AC264">
        <v>0</v>
      </c>
      <c r="AD264">
        <v>0</v>
      </c>
      <c r="AE264">
        <v>0</v>
      </c>
      <c r="AF264">
        <v>0</v>
      </c>
      <c r="AG264">
        <v>0</v>
      </c>
      <c r="AH264">
        <v>0</v>
      </c>
      <c r="AI264">
        <v>0</v>
      </c>
      <c r="AJ264">
        <v>0</v>
      </c>
      <c r="AK264">
        <v>0</v>
      </c>
    </row>
    <row r="265" spans="1:37">
      <c r="A265" t="s">
        <v>37</v>
      </c>
      <c r="B265" t="s">
        <v>736</v>
      </c>
      <c r="C265" t="str">
        <f t="shared" si="12"/>
        <v>amzn1.ads-account.g.dfa7o7cwdl371d634ew58i919</v>
      </c>
      <c r="D265" t="s">
        <v>39</v>
      </c>
      <c r="G265" t="str">
        <f t="shared" si="13"/>
        <v>585687237024345541</v>
      </c>
      <c r="H265" t="s">
        <v>40</v>
      </c>
      <c r="I265" t="str">
        <f t="shared" si="14"/>
        <v>585478290940566279</v>
      </c>
      <c r="J265" t="s">
        <v>41</v>
      </c>
      <c r="K265" t="s">
        <v>737</v>
      </c>
      <c r="L265" s="1" t="str">
        <f>VLOOKUP(K265,Sheet1!A:B,2,FALSE)</f>
        <v>XM2-S73-RERD-39</v>
      </c>
      <c r="M265" t="s">
        <v>738</v>
      </c>
      <c r="N265" t="s">
        <v>83</v>
      </c>
      <c r="O265" t="s">
        <v>45</v>
      </c>
      <c r="P265" t="s">
        <v>65</v>
      </c>
      <c r="Q265" t="s">
        <v>207</v>
      </c>
      <c r="R265" t="s">
        <v>48</v>
      </c>
      <c r="S265" t="s">
        <v>49</v>
      </c>
      <c r="AB265" t="s">
        <v>49</v>
      </c>
      <c r="AC265">
        <v>0</v>
      </c>
      <c r="AD265">
        <v>0</v>
      </c>
      <c r="AE265">
        <v>0</v>
      </c>
      <c r="AF265">
        <v>0</v>
      </c>
      <c r="AG265">
        <v>0</v>
      </c>
      <c r="AH265">
        <v>0</v>
      </c>
      <c r="AI265">
        <v>0</v>
      </c>
      <c r="AJ265">
        <v>0</v>
      </c>
      <c r="AK265">
        <v>0</v>
      </c>
    </row>
    <row r="266" spans="1:37">
      <c r="A266" t="s">
        <v>37</v>
      </c>
      <c r="B266" t="s">
        <v>167</v>
      </c>
      <c r="C266" t="str">
        <f t="shared" si="12"/>
        <v>amzn1.ads-account.g.dfa7o7cwdl371d634ew58i919</v>
      </c>
      <c r="D266" t="s">
        <v>39</v>
      </c>
      <c r="G266" t="str">
        <f t="shared" si="13"/>
        <v>585687237024345541</v>
      </c>
      <c r="H266" t="s">
        <v>40</v>
      </c>
      <c r="I266" t="str">
        <f t="shared" si="14"/>
        <v>585478290940566279</v>
      </c>
      <c r="J266" t="s">
        <v>41</v>
      </c>
      <c r="K266" t="s">
        <v>739</v>
      </c>
      <c r="L266" s="1" t="str">
        <f>VLOOKUP(K266,Sheet1!A:B,2,FALSE)</f>
        <v>LB1-Y15-BK-41</v>
      </c>
      <c r="M266" t="s">
        <v>740</v>
      </c>
      <c r="N266" t="s">
        <v>58</v>
      </c>
      <c r="O266" t="s">
        <v>45</v>
      </c>
      <c r="P266" t="s">
        <v>65</v>
      </c>
      <c r="Q266" t="s">
        <v>235</v>
      </c>
      <c r="R266" t="s">
        <v>48</v>
      </c>
      <c r="S266" t="s">
        <v>49</v>
      </c>
      <c r="AB266" t="s">
        <v>49</v>
      </c>
      <c r="AC266">
        <v>4</v>
      </c>
      <c r="AD266">
        <v>63.96</v>
      </c>
      <c r="AE266">
        <v>4</v>
      </c>
      <c r="AF266">
        <v>4</v>
      </c>
      <c r="AG266">
        <v>63.96</v>
      </c>
      <c r="AH266">
        <v>4</v>
      </c>
      <c r="AI266">
        <v>2</v>
      </c>
      <c r="AJ266">
        <v>31.98</v>
      </c>
      <c r="AK266">
        <v>2</v>
      </c>
    </row>
    <row r="267" spans="1:37">
      <c r="A267" t="s">
        <v>37</v>
      </c>
      <c r="B267" t="s">
        <v>607</v>
      </c>
      <c r="C267" t="str">
        <f t="shared" si="12"/>
        <v>amzn1.ads-account.g.dfa7o7cwdl371d634ew58i919</v>
      </c>
      <c r="D267" t="s">
        <v>39</v>
      </c>
      <c r="G267" t="str">
        <f t="shared" si="13"/>
        <v>585687237024345541</v>
      </c>
      <c r="H267" t="s">
        <v>40</v>
      </c>
      <c r="I267" t="str">
        <f t="shared" si="14"/>
        <v>585478290940566279</v>
      </c>
      <c r="J267" t="s">
        <v>41</v>
      </c>
      <c r="K267" t="s">
        <v>741</v>
      </c>
      <c r="L267" s="1" t="str">
        <f>VLOOKUP(K267,Sheet1!A:B,2,FALSE)</f>
        <v>XM2-W8K4-BUBK-28</v>
      </c>
      <c r="M267" t="s">
        <v>742</v>
      </c>
      <c r="N267" t="s">
        <v>743</v>
      </c>
      <c r="O267" t="s">
        <v>45</v>
      </c>
      <c r="P267" t="s">
        <v>46</v>
      </c>
      <c r="Q267" t="s">
        <v>744</v>
      </c>
      <c r="R267" t="s">
        <v>48</v>
      </c>
      <c r="S267" t="s">
        <v>49</v>
      </c>
      <c r="AB267" t="s">
        <v>49</v>
      </c>
      <c r="AC267">
        <v>0</v>
      </c>
      <c r="AD267">
        <v>0</v>
      </c>
      <c r="AE267">
        <v>0</v>
      </c>
      <c r="AF267">
        <v>0</v>
      </c>
      <c r="AG267">
        <v>0</v>
      </c>
      <c r="AH267">
        <v>0</v>
      </c>
      <c r="AI267">
        <v>0</v>
      </c>
      <c r="AJ267">
        <v>0</v>
      </c>
      <c r="AK267">
        <v>0</v>
      </c>
    </row>
    <row r="268" spans="1:37">
      <c r="A268" t="s">
        <v>37</v>
      </c>
      <c r="B268" t="s">
        <v>439</v>
      </c>
      <c r="C268" t="str">
        <f t="shared" si="12"/>
        <v>amzn1.ads-account.g.dfa7o7cwdl371d634ew58i919</v>
      </c>
      <c r="D268" t="s">
        <v>39</v>
      </c>
      <c r="G268" t="str">
        <f t="shared" si="13"/>
        <v>585687237024345541</v>
      </c>
      <c r="H268" t="s">
        <v>40</v>
      </c>
      <c r="I268" t="str">
        <f t="shared" si="14"/>
        <v>585478290940566279</v>
      </c>
      <c r="J268" t="s">
        <v>41</v>
      </c>
      <c r="K268" t="s">
        <v>745</v>
      </c>
      <c r="L268" s="1" t="str">
        <f>VLOOKUP(K268,Sheet1!A:B,2,FALSE)</f>
        <v>XM2-S75-BU-37</v>
      </c>
      <c r="M268" t="s">
        <v>746</v>
      </c>
      <c r="N268" t="s">
        <v>95</v>
      </c>
      <c r="O268" t="s">
        <v>45</v>
      </c>
      <c r="P268" t="s">
        <v>153</v>
      </c>
      <c r="Q268" t="s">
        <v>154</v>
      </c>
      <c r="R268" t="s">
        <v>48</v>
      </c>
      <c r="S268" t="s">
        <v>49</v>
      </c>
      <c r="AB268" t="s">
        <v>49</v>
      </c>
      <c r="AC268">
        <v>0</v>
      </c>
      <c r="AD268">
        <v>0</v>
      </c>
      <c r="AE268">
        <v>0</v>
      </c>
      <c r="AF268">
        <v>0</v>
      </c>
      <c r="AG268">
        <v>0</v>
      </c>
      <c r="AH268">
        <v>0</v>
      </c>
      <c r="AI268">
        <v>0</v>
      </c>
      <c r="AJ268">
        <v>0</v>
      </c>
      <c r="AK268">
        <v>0</v>
      </c>
    </row>
    <row r="269" spans="1:37">
      <c r="A269" t="s">
        <v>37</v>
      </c>
      <c r="B269" t="s">
        <v>628</v>
      </c>
      <c r="C269" t="str">
        <f t="shared" si="12"/>
        <v>amzn1.ads-account.g.dfa7o7cwdl371d634ew58i919</v>
      </c>
      <c r="D269" t="s">
        <v>39</v>
      </c>
      <c r="G269" t="str">
        <f t="shared" si="13"/>
        <v>585687237024345541</v>
      </c>
      <c r="H269" t="s">
        <v>40</v>
      </c>
      <c r="I269" t="str">
        <f t="shared" si="14"/>
        <v>585478290940566279</v>
      </c>
      <c r="J269" t="s">
        <v>41</v>
      </c>
      <c r="K269" t="s">
        <v>747</v>
      </c>
      <c r="L269" s="1" t="str">
        <f>VLOOKUP(K269,Sheet1!A:B,2,FALSE)</f>
        <v>XM2-S75-LTBU-40</v>
      </c>
      <c r="M269" t="s">
        <v>748</v>
      </c>
      <c r="N269" t="s">
        <v>95</v>
      </c>
      <c r="O269" t="s">
        <v>45</v>
      </c>
      <c r="P269" t="s">
        <v>65</v>
      </c>
      <c r="Q269" t="s">
        <v>84</v>
      </c>
      <c r="R269" t="s">
        <v>48</v>
      </c>
      <c r="S269" t="s">
        <v>49</v>
      </c>
      <c r="AB269" t="s">
        <v>49</v>
      </c>
      <c r="AC269">
        <v>0</v>
      </c>
      <c r="AD269">
        <v>0</v>
      </c>
      <c r="AE269">
        <v>0</v>
      </c>
      <c r="AF269">
        <v>0</v>
      </c>
      <c r="AG269">
        <v>0</v>
      </c>
      <c r="AH269">
        <v>0</v>
      </c>
      <c r="AI269">
        <v>0</v>
      </c>
      <c r="AJ269">
        <v>0</v>
      </c>
      <c r="AK269">
        <v>0</v>
      </c>
    </row>
    <row r="270" spans="1:37">
      <c r="A270" t="s">
        <v>37</v>
      </c>
      <c r="B270" t="s">
        <v>167</v>
      </c>
      <c r="C270" t="str">
        <f t="shared" si="12"/>
        <v>amzn1.ads-account.g.dfa7o7cwdl371d634ew58i919</v>
      </c>
      <c r="D270" t="s">
        <v>39</v>
      </c>
      <c r="G270" t="str">
        <f t="shared" si="13"/>
        <v>585687237024345541</v>
      </c>
      <c r="H270" t="s">
        <v>40</v>
      </c>
      <c r="I270" t="str">
        <f t="shared" si="14"/>
        <v>585478290940566279</v>
      </c>
      <c r="J270" t="s">
        <v>41</v>
      </c>
      <c r="K270" t="s">
        <v>749</v>
      </c>
      <c r="L270" s="1" t="str">
        <f>VLOOKUP(K270,Sheet1!A:B,2,FALSE)</f>
        <v>SH-BRY180-BL-43</v>
      </c>
      <c r="M270" t="s">
        <v>750</v>
      </c>
      <c r="N270" t="s">
        <v>64</v>
      </c>
      <c r="O270" t="s">
        <v>45</v>
      </c>
      <c r="P270" t="s">
        <v>59</v>
      </c>
      <c r="Q270" t="s">
        <v>114</v>
      </c>
      <c r="R270" t="s">
        <v>48</v>
      </c>
      <c r="S270" t="s">
        <v>49</v>
      </c>
      <c r="AB270" t="s">
        <v>49</v>
      </c>
      <c r="AC270">
        <v>0</v>
      </c>
      <c r="AD270">
        <v>0</v>
      </c>
      <c r="AE270">
        <v>0</v>
      </c>
      <c r="AF270">
        <v>0</v>
      </c>
      <c r="AG270">
        <v>0</v>
      </c>
      <c r="AH270">
        <v>0</v>
      </c>
      <c r="AI270">
        <v>0</v>
      </c>
      <c r="AJ270">
        <v>0</v>
      </c>
      <c r="AK270">
        <v>0</v>
      </c>
    </row>
    <row r="271" spans="1:37">
      <c r="A271" t="s">
        <v>37</v>
      </c>
      <c r="B271" t="s">
        <v>147</v>
      </c>
      <c r="C271" t="str">
        <f t="shared" si="12"/>
        <v>amzn1.ads-account.g.dfa7o7cwdl371d634ew58i919</v>
      </c>
      <c r="D271" t="s">
        <v>39</v>
      </c>
      <c r="G271" t="str">
        <f t="shared" si="13"/>
        <v>585687237024345541</v>
      </c>
      <c r="H271" t="s">
        <v>40</v>
      </c>
      <c r="I271" t="str">
        <f t="shared" si="14"/>
        <v>585478290940566279</v>
      </c>
      <c r="J271" t="s">
        <v>41</v>
      </c>
      <c r="K271" t="s">
        <v>751</v>
      </c>
      <c r="L271" s="1" t="str">
        <f>VLOOKUP(K271,Sheet1!A:B,2,FALSE)</f>
        <v>SH-BRY10-GY-49</v>
      </c>
      <c r="M271" t="s">
        <v>752</v>
      </c>
      <c r="N271" t="s">
        <v>44</v>
      </c>
      <c r="O271" t="s">
        <v>45</v>
      </c>
      <c r="P271" t="s">
        <v>59</v>
      </c>
      <c r="Q271" t="s">
        <v>60</v>
      </c>
      <c r="R271" t="s">
        <v>48</v>
      </c>
      <c r="S271" t="s">
        <v>49</v>
      </c>
      <c r="AB271" t="s">
        <v>49</v>
      </c>
      <c r="AC271">
        <v>0</v>
      </c>
      <c r="AD271">
        <v>0</v>
      </c>
      <c r="AE271">
        <v>0</v>
      </c>
      <c r="AF271">
        <v>0</v>
      </c>
      <c r="AG271">
        <v>0</v>
      </c>
      <c r="AH271">
        <v>0</v>
      </c>
      <c r="AI271">
        <v>0</v>
      </c>
      <c r="AJ271">
        <v>0</v>
      </c>
      <c r="AK271">
        <v>0</v>
      </c>
    </row>
    <row r="272" spans="1:37">
      <c r="A272" t="s">
        <v>37</v>
      </c>
      <c r="B272" t="s">
        <v>702</v>
      </c>
      <c r="C272" t="str">
        <f t="shared" si="12"/>
        <v>amzn1.ads-account.g.dfa7o7cwdl371d634ew58i919</v>
      </c>
      <c r="D272" t="s">
        <v>39</v>
      </c>
      <c r="G272" t="str">
        <f t="shared" si="13"/>
        <v>585687237024345541</v>
      </c>
      <c r="H272" t="s">
        <v>40</v>
      </c>
      <c r="I272" t="str">
        <f t="shared" si="14"/>
        <v>585478290940566279</v>
      </c>
      <c r="J272" t="s">
        <v>41</v>
      </c>
      <c r="K272" t="s">
        <v>753</v>
      </c>
      <c r="L272" s="1" t="str">
        <f>VLOOKUP(K272,Sheet1!A:B,2,FALSE)</f>
        <v>XM2-S7K1-PK-31</v>
      </c>
      <c r="M272" t="s">
        <v>754</v>
      </c>
      <c r="N272" t="s">
        <v>220</v>
      </c>
      <c r="O272" t="s">
        <v>45</v>
      </c>
      <c r="P272" t="s">
        <v>46</v>
      </c>
      <c r="Q272" t="s">
        <v>157</v>
      </c>
      <c r="R272" t="s">
        <v>48</v>
      </c>
      <c r="S272" t="s">
        <v>49</v>
      </c>
      <c r="AB272" t="s">
        <v>49</v>
      </c>
      <c r="AC272">
        <v>0</v>
      </c>
      <c r="AD272">
        <v>0</v>
      </c>
      <c r="AE272">
        <v>0</v>
      </c>
      <c r="AF272">
        <v>0</v>
      </c>
      <c r="AG272">
        <v>0</v>
      </c>
      <c r="AH272">
        <v>0</v>
      </c>
      <c r="AI272">
        <v>0</v>
      </c>
      <c r="AJ272">
        <v>0</v>
      </c>
      <c r="AK272">
        <v>0</v>
      </c>
    </row>
    <row r="273" spans="1:37">
      <c r="A273" t="s">
        <v>37</v>
      </c>
      <c r="B273" t="s">
        <v>679</v>
      </c>
      <c r="C273" t="str">
        <f t="shared" si="12"/>
        <v>amzn1.ads-account.g.dfa7o7cwdl371d634ew58i919</v>
      </c>
      <c r="D273" t="s">
        <v>39</v>
      </c>
      <c r="G273" t="str">
        <f t="shared" si="13"/>
        <v>585687237024345541</v>
      </c>
      <c r="H273" t="s">
        <v>40</v>
      </c>
      <c r="I273" t="str">
        <f t="shared" si="14"/>
        <v>585478290940566279</v>
      </c>
      <c r="J273" t="s">
        <v>41</v>
      </c>
      <c r="K273" t="s">
        <v>755</v>
      </c>
      <c r="L273" s="1" t="str">
        <f>VLOOKUP(K273,Sheet1!A:B,2,FALSE)</f>
        <v>XM2-S600-RD-39</v>
      </c>
      <c r="M273" t="s">
        <v>756</v>
      </c>
      <c r="N273" t="s">
        <v>70</v>
      </c>
      <c r="O273" t="s">
        <v>45</v>
      </c>
      <c r="Q273" t="s">
        <v>54</v>
      </c>
      <c r="R273" t="s">
        <v>48</v>
      </c>
      <c r="S273" t="s">
        <v>49</v>
      </c>
      <c r="AB273" t="s">
        <v>49</v>
      </c>
      <c r="AC273">
        <v>0</v>
      </c>
      <c r="AD273">
        <v>0</v>
      </c>
      <c r="AE273">
        <v>0</v>
      </c>
      <c r="AF273">
        <v>0</v>
      </c>
      <c r="AG273">
        <v>0</v>
      </c>
      <c r="AH273">
        <v>0</v>
      </c>
      <c r="AI273">
        <v>0</v>
      </c>
      <c r="AJ273">
        <v>0</v>
      </c>
      <c r="AK273">
        <v>0</v>
      </c>
    </row>
    <row r="274" spans="1:37">
      <c r="A274" t="s">
        <v>37</v>
      </c>
      <c r="B274" t="s">
        <v>567</v>
      </c>
      <c r="C274" t="str">
        <f t="shared" si="12"/>
        <v>amzn1.ads-account.g.dfa7o7cwdl371d634ew58i919</v>
      </c>
      <c r="D274" t="s">
        <v>39</v>
      </c>
      <c r="G274" t="str">
        <f t="shared" si="13"/>
        <v>585687237024345541</v>
      </c>
      <c r="H274" t="s">
        <v>40</v>
      </c>
      <c r="I274" t="str">
        <f t="shared" si="14"/>
        <v>585478290940566279</v>
      </c>
      <c r="J274" t="s">
        <v>41</v>
      </c>
      <c r="K274" t="s">
        <v>757</v>
      </c>
      <c r="L274" s="1" t="str">
        <f>VLOOKUP(K274,Sheet1!A:B,2,FALSE)</f>
        <v>XM2-S600-BG-38</v>
      </c>
      <c r="M274" t="s">
        <v>758</v>
      </c>
      <c r="N274" t="s">
        <v>70</v>
      </c>
      <c r="O274" t="s">
        <v>45</v>
      </c>
      <c r="Q274" t="s">
        <v>54</v>
      </c>
      <c r="R274" t="s">
        <v>48</v>
      </c>
      <c r="S274" t="s">
        <v>49</v>
      </c>
      <c r="AB274" t="s">
        <v>49</v>
      </c>
      <c r="AC274">
        <v>0</v>
      </c>
      <c r="AD274">
        <v>0</v>
      </c>
      <c r="AE274">
        <v>0</v>
      </c>
      <c r="AF274">
        <v>0</v>
      </c>
      <c r="AG274">
        <v>0</v>
      </c>
      <c r="AH274">
        <v>0</v>
      </c>
      <c r="AI274">
        <v>0</v>
      </c>
      <c r="AJ274">
        <v>0</v>
      </c>
      <c r="AK274">
        <v>0</v>
      </c>
    </row>
    <row r="275" spans="1:37">
      <c r="A275" t="s">
        <v>37</v>
      </c>
      <c r="B275" t="s">
        <v>646</v>
      </c>
      <c r="C275" t="str">
        <f t="shared" si="12"/>
        <v>amzn1.ads-account.g.dfa7o7cwdl371d634ew58i919</v>
      </c>
      <c r="D275" t="s">
        <v>39</v>
      </c>
      <c r="G275" t="str">
        <f t="shared" si="13"/>
        <v>585687237024345541</v>
      </c>
      <c r="H275" t="s">
        <v>40</v>
      </c>
      <c r="I275" t="str">
        <f t="shared" si="14"/>
        <v>585478290940566279</v>
      </c>
      <c r="J275" t="s">
        <v>41</v>
      </c>
      <c r="K275" t="s">
        <v>759</v>
      </c>
      <c r="L275" s="1" t="str">
        <f>VLOOKUP(K275,Sheet1!A:B,2,FALSE)</f>
        <v>XM2-S73-BG-40</v>
      </c>
      <c r="M275" t="s">
        <v>760</v>
      </c>
      <c r="N275" t="s">
        <v>83</v>
      </c>
      <c r="O275" t="s">
        <v>45</v>
      </c>
      <c r="P275" t="s">
        <v>65</v>
      </c>
      <c r="Q275" t="s">
        <v>84</v>
      </c>
      <c r="R275" t="s">
        <v>48</v>
      </c>
      <c r="S275" t="s">
        <v>49</v>
      </c>
      <c r="AB275" t="s">
        <v>49</v>
      </c>
      <c r="AC275">
        <v>0</v>
      </c>
      <c r="AD275">
        <v>0</v>
      </c>
      <c r="AE275">
        <v>0</v>
      </c>
      <c r="AF275">
        <v>0</v>
      </c>
      <c r="AG275">
        <v>0</v>
      </c>
      <c r="AH275">
        <v>0</v>
      </c>
      <c r="AI275">
        <v>0</v>
      </c>
      <c r="AJ275">
        <v>0</v>
      </c>
      <c r="AK275">
        <v>0</v>
      </c>
    </row>
    <row r="276" spans="1:37">
      <c r="A276" t="s">
        <v>37</v>
      </c>
      <c r="B276" t="s">
        <v>160</v>
      </c>
      <c r="C276" t="str">
        <f t="shared" si="12"/>
        <v>amzn1.ads-account.g.dfa7o7cwdl371d634ew58i919</v>
      </c>
      <c r="D276" t="s">
        <v>39</v>
      </c>
      <c r="G276" t="str">
        <f t="shared" si="13"/>
        <v>585687237024345541</v>
      </c>
      <c r="H276" t="s">
        <v>40</v>
      </c>
      <c r="I276" t="str">
        <f t="shared" si="14"/>
        <v>585478290940566279</v>
      </c>
      <c r="J276" t="s">
        <v>41</v>
      </c>
      <c r="K276" t="s">
        <v>761</v>
      </c>
      <c r="L276" s="1" t="str">
        <f>VLOOKUP(K276,Sheet1!A:B,2,FALSE)</f>
        <v>XM1-L200-ABK-38</v>
      </c>
      <c r="M276" t="s">
        <v>762</v>
      </c>
      <c r="N276" t="s">
        <v>191</v>
      </c>
      <c r="O276" t="s">
        <v>45</v>
      </c>
      <c r="Q276" t="s">
        <v>54</v>
      </c>
      <c r="R276" t="s">
        <v>48</v>
      </c>
      <c r="S276" t="s">
        <v>49</v>
      </c>
      <c r="AB276" t="s">
        <v>49</v>
      </c>
      <c r="AC276">
        <v>0</v>
      </c>
      <c r="AD276">
        <v>0</v>
      </c>
      <c r="AE276">
        <v>0</v>
      </c>
      <c r="AF276">
        <v>0</v>
      </c>
      <c r="AG276">
        <v>0</v>
      </c>
      <c r="AH276">
        <v>0</v>
      </c>
      <c r="AI276">
        <v>0</v>
      </c>
      <c r="AJ276">
        <v>0</v>
      </c>
      <c r="AK276">
        <v>0</v>
      </c>
    </row>
    <row r="277" spans="1:37">
      <c r="A277" t="s">
        <v>37</v>
      </c>
      <c r="B277" t="s">
        <v>120</v>
      </c>
      <c r="C277" t="str">
        <f t="shared" si="12"/>
        <v>amzn1.ads-account.g.dfa7o7cwdl371d634ew58i919</v>
      </c>
      <c r="D277" t="s">
        <v>39</v>
      </c>
      <c r="G277" t="str">
        <f t="shared" si="13"/>
        <v>585687237024345541</v>
      </c>
      <c r="H277" t="s">
        <v>40</v>
      </c>
      <c r="I277" t="str">
        <f t="shared" si="14"/>
        <v>585478290940566279</v>
      </c>
      <c r="J277" t="s">
        <v>41</v>
      </c>
      <c r="K277" t="s">
        <v>763</v>
      </c>
      <c r="L277" s="1" t="str">
        <f>VLOOKUP(K277,Sheet1!A:B,2,FALSE)</f>
        <v>SH-BRY10-KQ-36</v>
      </c>
      <c r="M277" t="s">
        <v>764</v>
      </c>
      <c r="N277" t="s">
        <v>44</v>
      </c>
      <c r="O277" t="s">
        <v>45</v>
      </c>
      <c r="P277" t="s">
        <v>59</v>
      </c>
      <c r="Q277" t="s">
        <v>130</v>
      </c>
      <c r="R277" t="s">
        <v>48</v>
      </c>
      <c r="S277" t="s">
        <v>49</v>
      </c>
      <c r="AB277" t="s">
        <v>49</v>
      </c>
      <c r="AC277">
        <v>5</v>
      </c>
      <c r="AD277">
        <v>102.33</v>
      </c>
      <c r="AE277">
        <v>5</v>
      </c>
      <c r="AF277">
        <v>5</v>
      </c>
      <c r="AG277">
        <v>102.33</v>
      </c>
      <c r="AH277">
        <v>5</v>
      </c>
      <c r="AI277">
        <v>3</v>
      </c>
      <c r="AJ277">
        <v>59.01</v>
      </c>
      <c r="AK277">
        <v>3</v>
      </c>
    </row>
    <row r="278" spans="1:37">
      <c r="A278" t="s">
        <v>37</v>
      </c>
      <c r="B278" t="s">
        <v>147</v>
      </c>
      <c r="C278" t="str">
        <f t="shared" si="12"/>
        <v>amzn1.ads-account.g.dfa7o7cwdl371d634ew58i919</v>
      </c>
      <c r="D278" t="s">
        <v>39</v>
      </c>
      <c r="G278" t="str">
        <f t="shared" si="13"/>
        <v>585687237024345541</v>
      </c>
      <c r="H278" t="s">
        <v>40</v>
      </c>
      <c r="I278" t="str">
        <f t="shared" si="14"/>
        <v>585478290940566279</v>
      </c>
      <c r="J278" t="s">
        <v>41</v>
      </c>
      <c r="K278" t="s">
        <v>765</v>
      </c>
      <c r="L278" s="1" t="str">
        <f>VLOOKUP(K278,Sheet1!A:B,2,FALSE)</f>
        <v>SH-BRY10-GY-47</v>
      </c>
      <c r="M278" t="s">
        <v>766</v>
      </c>
      <c r="N278" t="s">
        <v>44</v>
      </c>
      <c r="O278" t="s">
        <v>45</v>
      </c>
      <c r="P278" t="s">
        <v>75</v>
      </c>
      <c r="Q278" t="s">
        <v>285</v>
      </c>
      <c r="R278" t="s">
        <v>48</v>
      </c>
      <c r="S278" t="s">
        <v>49</v>
      </c>
      <c r="AB278" t="s">
        <v>49</v>
      </c>
      <c r="AC278">
        <v>2</v>
      </c>
      <c r="AD278">
        <v>47.98</v>
      </c>
      <c r="AE278">
        <v>2</v>
      </c>
      <c r="AF278">
        <v>2</v>
      </c>
      <c r="AG278">
        <v>47.98</v>
      </c>
      <c r="AH278">
        <v>2</v>
      </c>
      <c r="AI278">
        <v>2</v>
      </c>
      <c r="AJ278">
        <v>47.98</v>
      </c>
      <c r="AK278">
        <v>2</v>
      </c>
    </row>
    <row r="279" spans="1:37">
      <c r="A279" t="s">
        <v>37</v>
      </c>
      <c r="B279" t="s">
        <v>92</v>
      </c>
      <c r="C279" t="str">
        <f t="shared" si="12"/>
        <v>amzn1.ads-account.g.dfa7o7cwdl371d634ew58i919</v>
      </c>
      <c r="D279" t="s">
        <v>39</v>
      </c>
      <c r="G279" t="str">
        <f t="shared" si="13"/>
        <v>585687237024345541</v>
      </c>
      <c r="H279" t="s">
        <v>40</v>
      </c>
      <c r="I279" t="str">
        <f t="shared" si="14"/>
        <v>585478290940566279</v>
      </c>
      <c r="J279" t="s">
        <v>41</v>
      </c>
      <c r="K279" t="s">
        <v>767</v>
      </c>
      <c r="L279" s="1" t="str">
        <f>VLOOKUP(K279,Sheet1!A:B,2,FALSE)</f>
        <v>XM1-L200-PL-36</v>
      </c>
      <c r="M279" t="s">
        <v>768</v>
      </c>
      <c r="N279" t="s">
        <v>191</v>
      </c>
      <c r="O279" t="s">
        <v>45</v>
      </c>
      <c r="P279" t="s">
        <v>65</v>
      </c>
      <c r="Q279" t="s">
        <v>192</v>
      </c>
      <c r="R279" t="s">
        <v>48</v>
      </c>
      <c r="S279" t="s">
        <v>49</v>
      </c>
      <c r="AB279" t="s">
        <v>49</v>
      </c>
      <c r="AC279">
        <v>0</v>
      </c>
      <c r="AD279">
        <v>0</v>
      </c>
      <c r="AE279">
        <v>0</v>
      </c>
      <c r="AF279">
        <v>0</v>
      </c>
      <c r="AG279">
        <v>0</v>
      </c>
      <c r="AH279">
        <v>0</v>
      </c>
      <c r="AI279">
        <v>0</v>
      </c>
      <c r="AJ279">
        <v>0</v>
      </c>
      <c r="AK279">
        <v>0</v>
      </c>
    </row>
    <row r="280" spans="1:37">
      <c r="A280" t="s">
        <v>37</v>
      </c>
      <c r="B280" t="s">
        <v>167</v>
      </c>
      <c r="C280" t="str">
        <f t="shared" si="12"/>
        <v>amzn1.ads-account.g.dfa7o7cwdl371d634ew58i919</v>
      </c>
      <c r="D280" t="s">
        <v>39</v>
      </c>
      <c r="G280" t="str">
        <f t="shared" si="13"/>
        <v>585687237024345541</v>
      </c>
      <c r="H280" t="s">
        <v>40</v>
      </c>
      <c r="I280" t="str">
        <f t="shared" si="14"/>
        <v>585478290940566279</v>
      </c>
      <c r="J280" t="s">
        <v>41</v>
      </c>
      <c r="K280" t="s">
        <v>769</v>
      </c>
      <c r="L280" s="1" t="str">
        <f>VLOOKUP(K280,Sheet1!A:B,2,FALSE)</f>
        <v>SH-BRY10-CL-36</v>
      </c>
      <c r="M280" t="s">
        <v>770</v>
      </c>
      <c r="N280" t="s">
        <v>44</v>
      </c>
      <c r="O280" t="s">
        <v>45</v>
      </c>
      <c r="P280" t="s">
        <v>59</v>
      </c>
      <c r="Q280" t="s">
        <v>130</v>
      </c>
      <c r="R280" t="s">
        <v>48</v>
      </c>
      <c r="S280" t="s">
        <v>49</v>
      </c>
      <c r="AB280" t="s">
        <v>49</v>
      </c>
      <c r="AC280">
        <v>0</v>
      </c>
      <c r="AD280">
        <v>0</v>
      </c>
      <c r="AE280">
        <v>0</v>
      </c>
      <c r="AF280">
        <v>0</v>
      </c>
      <c r="AG280">
        <v>0</v>
      </c>
      <c r="AH280">
        <v>0</v>
      </c>
      <c r="AI280">
        <v>0</v>
      </c>
      <c r="AJ280">
        <v>0</v>
      </c>
      <c r="AK280">
        <v>0</v>
      </c>
    </row>
    <row r="281" spans="1:37">
      <c r="A281" t="s">
        <v>37</v>
      </c>
      <c r="B281" t="s">
        <v>38</v>
      </c>
      <c r="C281" t="str">
        <f t="shared" si="12"/>
        <v>amzn1.ads-account.g.dfa7o7cwdl371d634ew58i919</v>
      </c>
      <c r="D281" t="s">
        <v>39</v>
      </c>
      <c r="G281" t="str">
        <f t="shared" si="13"/>
        <v>585687237024345541</v>
      </c>
      <c r="H281" t="s">
        <v>40</v>
      </c>
      <c r="I281" t="str">
        <f t="shared" si="14"/>
        <v>585478290940566279</v>
      </c>
      <c r="J281" t="s">
        <v>41</v>
      </c>
      <c r="K281" t="s">
        <v>771</v>
      </c>
      <c r="L281" s="1" t="str">
        <f>VLOOKUP(K281,Sheet1!A:B,2,FALSE)</f>
        <v>SH-BRY10-BU-47</v>
      </c>
      <c r="M281" t="s">
        <v>772</v>
      </c>
      <c r="N281" t="s">
        <v>44</v>
      </c>
      <c r="O281" t="s">
        <v>45</v>
      </c>
      <c r="P281" t="s">
        <v>75</v>
      </c>
      <c r="Q281" t="s">
        <v>285</v>
      </c>
      <c r="R281" t="s">
        <v>48</v>
      </c>
      <c r="S281" t="s">
        <v>49</v>
      </c>
      <c r="AB281" t="s">
        <v>49</v>
      </c>
      <c r="AC281">
        <v>13</v>
      </c>
      <c r="AD281">
        <v>286.97</v>
      </c>
      <c r="AE281">
        <v>13</v>
      </c>
      <c r="AF281">
        <v>13</v>
      </c>
      <c r="AG281">
        <v>286.97</v>
      </c>
      <c r="AH281">
        <v>13</v>
      </c>
      <c r="AI281">
        <v>7</v>
      </c>
      <c r="AJ281">
        <v>152.35</v>
      </c>
      <c r="AK281">
        <v>7</v>
      </c>
    </row>
    <row r="282" spans="1:37">
      <c r="A282" t="s">
        <v>37</v>
      </c>
      <c r="B282" t="s">
        <v>170</v>
      </c>
      <c r="C282" t="str">
        <f t="shared" si="12"/>
        <v>amzn1.ads-account.g.dfa7o7cwdl371d634ew58i919</v>
      </c>
      <c r="D282" t="s">
        <v>39</v>
      </c>
      <c r="G282" t="str">
        <f t="shared" si="13"/>
        <v>585687237024345541</v>
      </c>
      <c r="H282" t="s">
        <v>40</v>
      </c>
      <c r="I282" t="str">
        <f t="shared" si="14"/>
        <v>585478290940566279</v>
      </c>
      <c r="J282" t="s">
        <v>41</v>
      </c>
      <c r="K282" t="s">
        <v>773</v>
      </c>
      <c r="L282" s="1" t="str">
        <f>VLOOKUP(K282,Sheet1!A:B,2,FALSE)</f>
        <v>XM2-S73-BG-42</v>
      </c>
      <c r="M282" t="s">
        <v>774</v>
      </c>
      <c r="N282" t="s">
        <v>83</v>
      </c>
      <c r="O282" t="s">
        <v>45</v>
      </c>
      <c r="P282" t="s">
        <v>65</v>
      </c>
      <c r="Q282" t="s">
        <v>84</v>
      </c>
      <c r="R282" t="s">
        <v>48</v>
      </c>
      <c r="S282" t="s">
        <v>49</v>
      </c>
      <c r="AB282" t="s">
        <v>49</v>
      </c>
      <c r="AC282">
        <v>0</v>
      </c>
      <c r="AD282">
        <v>0</v>
      </c>
      <c r="AE282">
        <v>0</v>
      </c>
      <c r="AF282">
        <v>0</v>
      </c>
      <c r="AG282">
        <v>0</v>
      </c>
      <c r="AH282">
        <v>0</v>
      </c>
      <c r="AI282">
        <v>0</v>
      </c>
      <c r="AJ282">
        <v>0</v>
      </c>
      <c r="AK282">
        <v>0</v>
      </c>
    </row>
    <row r="283" spans="1:37">
      <c r="A283" t="s">
        <v>37</v>
      </c>
      <c r="B283" t="s">
        <v>775</v>
      </c>
      <c r="C283" t="str">
        <f t="shared" si="12"/>
        <v>amzn1.ads-account.g.dfa7o7cwdl371d634ew58i919</v>
      </c>
      <c r="D283" t="s">
        <v>39</v>
      </c>
      <c r="G283" t="str">
        <f t="shared" si="13"/>
        <v>585687237024345541</v>
      </c>
      <c r="H283" t="s">
        <v>40</v>
      </c>
      <c r="I283" t="str">
        <f t="shared" si="14"/>
        <v>585478290940566279</v>
      </c>
      <c r="J283" t="s">
        <v>41</v>
      </c>
      <c r="K283" t="s">
        <v>776</v>
      </c>
      <c r="L283" s="1" t="str">
        <f>VLOOKUP(K283,Sheet1!A:B,2,FALSE)</f>
        <v>XM2-S75-BK-39</v>
      </c>
      <c r="M283" t="s">
        <v>777</v>
      </c>
      <c r="N283" t="s">
        <v>95</v>
      </c>
      <c r="O283" t="s">
        <v>45</v>
      </c>
      <c r="P283" t="s">
        <v>153</v>
      </c>
      <c r="Q283" t="s">
        <v>154</v>
      </c>
      <c r="R283" t="s">
        <v>48</v>
      </c>
      <c r="S283" t="s">
        <v>49</v>
      </c>
      <c r="AB283" t="s">
        <v>49</v>
      </c>
      <c r="AC283">
        <v>0</v>
      </c>
      <c r="AD283">
        <v>0</v>
      </c>
      <c r="AE283">
        <v>0</v>
      </c>
      <c r="AF283">
        <v>0</v>
      </c>
      <c r="AG283">
        <v>0</v>
      </c>
      <c r="AH283">
        <v>0</v>
      </c>
      <c r="AI283">
        <v>0</v>
      </c>
      <c r="AJ283">
        <v>0</v>
      </c>
      <c r="AK283">
        <v>0</v>
      </c>
    </row>
    <row r="284" spans="1:37">
      <c r="A284" t="s">
        <v>37</v>
      </c>
      <c r="B284" t="s">
        <v>120</v>
      </c>
      <c r="C284" t="str">
        <f t="shared" si="12"/>
        <v>amzn1.ads-account.g.dfa7o7cwdl371d634ew58i919</v>
      </c>
      <c r="D284" t="s">
        <v>39</v>
      </c>
      <c r="G284" t="str">
        <f t="shared" si="13"/>
        <v>585687237024345541</v>
      </c>
      <c r="H284" t="s">
        <v>40</v>
      </c>
      <c r="I284" t="str">
        <f t="shared" si="14"/>
        <v>585478290940566279</v>
      </c>
      <c r="J284" t="s">
        <v>41</v>
      </c>
      <c r="K284" t="s">
        <v>778</v>
      </c>
      <c r="L284" s="1" t="str">
        <f>VLOOKUP(K284,Sheet1!A:B,2,FALSE)</f>
        <v>SH-BRY10-TPL-40</v>
      </c>
      <c r="M284" t="s">
        <v>779</v>
      </c>
      <c r="N284" t="s">
        <v>44</v>
      </c>
      <c r="O284" t="s">
        <v>45</v>
      </c>
      <c r="P284" t="s">
        <v>59</v>
      </c>
      <c r="Q284" t="s">
        <v>114</v>
      </c>
      <c r="R284" t="s">
        <v>48</v>
      </c>
      <c r="S284" t="s">
        <v>49</v>
      </c>
      <c r="AB284" t="s">
        <v>49</v>
      </c>
      <c r="AC284">
        <v>9</v>
      </c>
      <c r="AD284">
        <v>201.93</v>
      </c>
      <c r="AE284">
        <v>9</v>
      </c>
      <c r="AF284">
        <v>9</v>
      </c>
      <c r="AG284">
        <v>201.93</v>
      </c>
      <c r="AH284">
        <v>9</v>
      </c>
      <c r="AI284">
        <v>4</v>
      </c>
      <c r="AJ284">
        <v>86.64</v>
      </c>
      <c r="AK284">
        <v>4</v>
      </c>
    </row>
    <row r="285" spans="1:37">
      <c r="A285" t="s">
        <v>37</v>
      </c>
      <c r="B285" t="s">
        <v>702</v>
      </c>
      <c r="C285" t="str">
        <f t="shared" si="12"/>
        <v>amzn1.ads-account.g.dfa7o7cwdl371d634ew58i919</v>
      </c>
      <c r="D285" t="s">
        <v>39</v>
      </c>
      <c r="G285" t="str">
        <f t="shared" si="13"/>
        <v>585687237024345541</v>
      </c>
      <c r="H285" t="s">
        <v>40</v>
      </c>
      <c r="I285" t="str">
        <f t="shared" si="14"/>
        <v>585478290940566279</v>
      </c>
      <c r="J285" t="s">
        <v>41</v>
      </c>
      <c r="K285" t="s">
        <v>780</v>
      </c>
      <c r="L285" s="1" t="str">
        <f>VLOOKUP(K285,Sheet1!A:B,2,FALSE)</f>
        <v>SH-BRS71-BU-41</v>
      </c>
      <c r="M285" t="s">
        <v>781</v>
      </c>
      <c r="N285" t="s">
        <v>110</v>
      </c>
      <c r="O285" t="s">
        <v>45</v>
      </c>
      <c r="P285" t="s">
        <v>118</v>
      </c>
      <c r="Q285" t="s">
        <v>119</v>
      </c>
      <c r="R285" t="s">
        <v>48</v>
      </c>
      <c r="S285" t="s">
        <v>49</v>
      </c>
      <c r="AB285" t="s">
        <v>49</v>
      </c>
      <c r="AC285">
        <v>0</v>
      </c>
      <c r="AD285">
        <v>0</v>
      </c>
      <c r="AE285">
        <v>0</v>
      </c>
      <c r="AF285">
        <v>0</v>
      </c>
      <c r="AG285">
        <v>0</v>
      </c>
      <c r="AH285">
        <v>0</v>
      </c>
      <c r="AI285">
        <v>0</v>
      </c>
      <c r="AJ285">
        <v>0</v>
      </c>
      <c r="AK285">
        <v>0</v>
      </c>
    </row>
    <row r="286" spans="1:37">
      <c r="A286" t="s">
        <v>37</v>
      </c>
      <c r="B286" t="s">
        <v>288</v>
      </c>
      <c r="C286" t="str">
        <f t="shared" si="12"/>
        <v>amzn1.ads-account.g.dfa7o7cwdl371d634ew58i919</v>
      </c>
      <c r="D286" t="s">
        <v>39</v>
      </c>
      <c r="G286" t="str">
        <f t="shared" si="13"/>
        <v>585687237024345541</v>
      </c>
      <c r="H286" t="s">
        <v>40</v>
      </c>
      <c r="I286" t="str">
        <f t="shared" si="14"/>
        <v>585478290940566279</v>
      </c>
      <c r="J286" t="s">
        <v>41</v>
      </c>
      <c r="K286" t="s">
        <v>782</v>
      </c>
      <c r="L286" s="1" t="str">
        <f>VLOOKUP(K286,Sheet1!A:B,2,FALSE)</f>
        <v>XM2-W8K4-BUBK-31</v>
      </c>
      <c r="M286" t="s">
        <v>783</v>
      </c>
      <c r="N286" t="s">
        <v>743</v>
      </c>
      <c r="O286" t="s">
        <v>45</v>
      </c>
      <c r="P286" t="s">
        <v>46</v>
      </c>
      <c r="Q286" t="s">
        <v>784</v>
      </c>
      <c r="R286" t="s">
        <v>48</v>
      </c>
      <c r="S286" t="s">
        <v>49</v>
      </c>
      <c r="AB286" t="s">
        <v>49</v>
      </c>
      <c r="AC286">
        <v>1</v>
      </c>
      <c r="AD286">
        <v>29.99</v>
      </c>
      <c r="AE286">
        <v>1</v>
      </c>
      <c r="AF286">
        <v>1</v>
      </c>
      <c r="AG286">
        <v>29.99</v>
      </c>
      <c r="AH286">
        <v>1</v>
      </c>
      <c r="AI286">
        <v>1</v>
      </c>
      <c r="AJ286">
        <v>29.99</v>
      </c>
      <c r="AK286">
        <v>1</v>
      </c>
    </row>
    <row r="287" spans="1:37">
      <c r="A287" t="s">
        <v>37</v>
      </c>
      <c r="B287" t="s">
        <v>785</v>
      </c>
      <c r="C287" t="str">
        <f t="shared" si="12"/>
        <v>amzn1.ads-account.g.dfa7o7cwdl371d634ew58i919</v>
      </c>
      <c r="D287" t="s">
        <v>39</v>
      </c>
      <c r="G287" t="str">
        <f t="shared" si="13"/>
        <v>585687237024345541</v>
      </c>
      <c r="H287" t="s">
        <v>40</v>
      </c>
      <c r="I287" t="str">
        <f t="shared" si="14"/>
        <v>585478290940566279</v>
      </c>
      <c r="J287" t="s">
        <v>41</v>
      </c>
      <c r="K287" t="s">
        <v>786</v>
      </c>
      <c r="L287" s="1" t="str">
        <f>VLOOKUP(K287,Sheet1!A:B,2,FALSE)</f>
        <v>XM2-S71-WERD-36</v>
      </c>
      <c r="M287" t="s">
        <v>787</v>
      </c>
      <c r="N287" t="s">
        <v>83</v>
      </c>
      <c r="O287" t="s">
        <v>45</v>
      </c>
      <c r="P287" t="s">
        <v>65</v>
      </c>
      <c r="Q287" t="s">
        <v>84</v>
      </c>
      <c r="R287" t="s">
        <v>48</v>
      </c>
      <c r="S287" t="s">
        <v>49</v>
      </c>
      <c r="AB287" t="s">
        <v>49</v>
      </c>
      <c r="AC287">
        <v>0</v>
      </c>
      <c r="AD287">
        <v>0</v>
      </c>
      <c r="AE287">
        <v>0</v>
      </c>
      <c r="AF287">
        <v>0</v>
      </c>
      <c r="AG287">
        <v>0</v>
      </c>
      <c r="AH287">
        <v>0</v>
      </c>
      <c r="AI287">
        <v>0</v>
      </c>
      <c r="AJ287">
        <v>0</v>
      </c>
      <c r="AK287">
        <v>0</v>
      </c>
    </row>
    <row r="288" spans="1:37">
      <c r="A288" t="s">
        <v>37</v>
      </c>
      <c r="B288" t="s">
        <v>227</v>
      </c>
      <c r="C288" t="str">
        <f t="shared" si="12"/>
        <v>amzn1.ads-account.g.dfa7o7cwdl371d634ew58i919</v>
      </c>
      <c r="D288" t="s">
        <v>39</v>
      </c>
      <c r="G288" t="str">
        <f t="shared" si="13"/>
        <v>585687237024345541</v>
      </c>
      <c r="H288" t="s">
        <v>40</v>
      </c>
      <c r="I288" t="str">
        <f t="shared" si="14"/>
        <v>585478290940566279</v>
      </c>
      <c r="J288" t="s">
        <v>41</v>
      </c>
      <c r="K288" t="s">
        <v>788</v>
      </c>
      <c r="L288" s="1" t="str">
        <f>VLOOKUP(K288,Sheet1!A:B,2,FALSE)</f>
        <v>XM2-S71-LTBU-41</v>
      </c>
      <c r="M288" t="s">
        <v>789</v>
      </c>
      <c r="N288" t="s">
        <v>83</v>
      </c>
      <c r="O288" t="s">
        <v>45</v>
      </c>
      <c r="P288" t="s">
        <v>270</v>
      </c>
      <c r="Q288" t="s">
        <v>271</v>
      </c>
      <c r="R288" t="s">
        <v>48</v>
      </c>
      <c r="S288" t="s">
        <v>49</v>
      </c>
      <c r="AB288" t="s">
        <v>49</v>
      </c>
      <c r="AC288">
        <v>1</v>
      </c>
      <c r="AD288">
        <v>47.48</v>
      </c>
      <c r="AE288">
        <v>1</v>
      </c>
      <c r="AF288">
        <v>1</v>
      </c>
      <c r="AG288">
        <v>47.48</v>
      </c>
      <c r="AH288">
        <v>1</v>
      </c>
      <c r="AI288">
        <v>0</v>
      </c>
      <c r="AJ288">
        <v>0</v>
      </c>
      <c r="AK288">
        <v>0</v>
      </c>
    </row>
    <row r="289" spans="1:37">
      <c r="A289" t="s">
        <v>37</v>
      </c>
      <c r="B289" t="s">
        <v>640</v>
      </c>
      <c r="C289" t="str">
        <f t="shared" si="12"/>
        <v>amzn1.ads-account.g.dfa7o7cwdl371d634ew58i919</v>
      </c>
      <c r="D289" t="s">
        <v>39</v>
      </c>
      <c r="G289" t="str">
        <f t="shared" si="13"/>
        <v>585687237024345541</v>
      </c>
      <c r="H289" t="s">
        <v>40</v>
      </c>
      <c r="I289" t="str">
        <f t="shared" si="14"/>
        <v>585478290940566279</v>
      </c>
      <c r="J289" t="s">
        <v>41</v>
      </c>
      <c r="K289" t="s">
        <v>790</v>
      </c>
      <c r="L289" s="1" t="str">
        <f>VLOOKUP(K289,Sheet1!A:B,2,FALSE)</f>
        <v>SH-BRS73-WT-44</v>
      </c>
      <c r="M289" t="s">
        <v>791</v>
      </c>
      <c r="N289" t="s">
        <v>206</v>
      </c>
      <c r="O289" t="s">
        <v>45</v>
      </c>
      <c r="P289" t="s">
        <v>65</v>
      </c>
      <c r="Q289" t="s">
        <v>207</v>
      </c>
      <c r="R289" t="s">
        <v>48</v>
      </c>
      <c r="S289" t="s">
        <v>49</v>
      </c>
      <c r="AB289" t="s">
        <v>49</v>
      </c>
      <c r="AC289">
        <v>0</v>
      </c>
      <c r="AD289">
        <v>0</v>
      </c>
      <c r="AE289">
        <v>0</v>
      </c>
      <c r="AF289">
        <v>0</v>
      </c>
      <c r="AG289">
        <v>0</v>
      </c>
      <c r="AH289">
        <v>0</v>
      </c>
      <c r="AI289">
        <v>0</v>
      </c>
      <c r="AJ289">
        <v>0</v>
      </c>
      <c r="AK289">
        <v>0</v>
      </c>
    </row>
    <row r="290" spans="1:37">
      <c r="A290" t="s">
        <v>37</v>
      </c>
      <c r="B290" t="s">
        <v>335</v>
      </c>
      <c r="C290" t="str">
        <f t="shared" si="12"/>
        <v>amzn1.ads-account.g.dfa7o7cwdl371d634ew58i919</v>
      </c>
      <c r="D290" t="s">
        <v>39</v>
      </c>
      <c r="G290" t="str">
        <f t="shared" si="13"/>
        <v>585687237024345541</v>
      </c>
      <c r="H290" t="s">
        <v>40</v>
      </c>
      <c r="I290" t="str">
        <f t="shared" si="14"/>
        <v>585478290940566279</v>
      </c>
      <c r="J290" t="s">
        <v>41</v>
      </c>
      <c r="K290" t="s">
        <v>792</v>
      </c>
      <c r="L290" s="1" t="str">
        <f>VLOOKUP(K290,Sheet1!A:B,2,FALSE)</f>
        <v>LB1-Y15-BG-45</v>
      </c>
      <c r="M290" t="s">
        <v>793</v>
      </c>
      <c r="N290" t="s">
        <v>58</v>
      </c>
      <c r="O290" t="s">
        <v>45</v>
      </c>
      <c r="P290" t="s">
        <v>59</v>
      </c>
      <c r="Q290" t="s">
        <v>106</v>
      </c>
      <c r="R290" t="s">
        <v>48</v>
      </c>
      <c r="S290" t="s">
        <v>49</v>
      </c>
      <c r="AB290" t="s">
        <v>49</v>
      </c>
      <c r="AC290">
        <v>0</v>
      </c>
      <c r="AD290">
        <v>0</v>
      </c>
      <c r="AE290">
        <v>0</v>
      </c>
      <c r="AF290">
        <v>0</v>
      </c>
      <c r="AG290">
        <v>0</v>
      </c>
      <c r="AH290">
        <v>0</v>
      </c>
      <c r="AI290">
        <v>0</v>
      </c>
      <c r="AJ290">
        <v>0</v>
      </c>
      <c r="AK290">
        <v>0</v>
      </c>
    </row>
    <row r="291" spans="1:37">
      <c r="A291" t="s">
        <v>37</v>
      </c>
      <c r="B291" t="s">
        <v>560</v>
      </c>
      <c r="C291" t="str">
        <f t="shared" si="12"/>
        <v>amzn1.ads-account.g.dfa7o7cwdl371d634ew58i919</v>
      </c>
      <c r="D291" t="s">
        <v>39</v>
      </c>
      <c r="G291" t="str">
        <f t="shared" si="13"/>
        <v>585687237024345541</v>
      </c>
      <c r="H291" t="s">
        <v>40</v>
      </c>
      <c r="I291" t="str">
        <f t="shared" si="14"/>
        <v>585478290940566279</v>
      </c>
      <c r="J291" t="s">
        <v>41</v>
      </c>
      <c r="K291" t="s">
        <v>794</v>
      </c>
      <c r="L291" s="1" t="str">
        <f>VLOOKUP(K291,Sheet1!A:B,2,FALSE)</f>
        <v>LB1-Y15-GY-45</v>
      </c>
      <c r="M291" t="s">
        <v>795</v>
      </c>
      <c r="N291" t="s">
        <v>58</v>
      </c>
      <c r="O291" t="s">
        <v>45</v>
      </c>
      <c r="P291" t="s">
        <v>59</v>
      </c>
      <c r="Q291" t="s">
        <v>106</v>
      </c>
      <c r="R291" t="s">
        <v>48</v>
      </c>
      <c r="S291" t="s">
        <v>49</v>
      </c>
      <c r="AB291" t="s">
        <v>49</v>
      </c>
      <c r="AC291">
        <v>1</v>
      </c>
      <c r="AD291">
        <v>13.99</v>
      </c>
      <c r="AE291">
        <v>1</v>
      </c>
      <c r="AF291">
        <v>1</v>
      </c>
      <c r="AG291">
        <v>13.99</v>
      </c>
      <c r="AH291">
        <v>1</v>
      </c>
      <c r="AI291">
        <v>1</v>
      </c>
      <c r="AJ291">
        <v>13.99</v>
      </c>
      <c r="AK291">
        <v>1</v>
      </c>
    </row>
    <row r="292" spans="1:37">
      <c r="A292" t="s">
        <v>37</v>
      </c>
      <c r="B292" t="s">
        <v>120</v>
      </c>
      <c r="C292" t="str">
        <f t="shared" si="12"/>
        <v>amzn1.ads-account.g.dfa7o7cwdl371d634ew58i919</v>
      </c>
      <c r="D292" t="s">
        <v>39</v>
      </c>
      <c r="G292" t="str">
        <f t="shared" si="13"/>
        <v>585687237024345541</v>
      </c>
      <c r="H292" t="s">
        <v>40</v>
      </c>
      <c r="I292" t="str">
        <f t="shared" si="14"/>
        <v>585478290940566279</v>
      </c>
      <c r="J292" t="s">
        <v>41</v>
      </c>
      <c r="K292" t="s">
        <v>796</v>
      </c>
      <c r="L292" s="1" t="str">
        <f>VLOOKUP(K292,Sheet1!A:B,2,FALSE)</f>
        <v>SH-BRY10-WT-41</v>
      </c>
      <c r="M292" t="s">
        <v>797</v>
      </c>
      <c r="N292" t="s">
        <v>44</v>
      </c>
      <c r="O292" t="s">
        <v>45</v>
      </c>
      <c r="P292" t="s">
        <v>46</v>
      </c>
      <c r="Q292" t="s">
        <v>47</v>
      </c>
      <c r="R292" t="s">
        <v>48</v>
      </c>
      <c r="S292" t="s">
        <v>49</v>
      </c>
      <c r="AB292" t="s">
        <v>49</v>
      </c>
      <c r="AC292">
        <v>9</v>
      </c>
      <c r="AD292">
        <v>207.61</v>
      </c>
      <c r="AE292">
        <v>9</v>
      </c>
      <c r="AF292">
        <v>9</v>
      </c>
      <c r="AG292">
        <v>207.61</v>
      </c>
      <c r="AH292">
        <v>9</v>
      </c>
      <c r="AI292">
        <v>6</v>
      </c>
      <c r="AJ292">
        <v>135.64</v>
      </c>
      <c r="AK292">
        <v>6</v>
      </c>
    </row>
    <row r="293" spans="1:37">
      <c r="A293" t="s">
        <v>37</v>
      </c>
      <c r="B293" t="s">
        <v>798</v>
      </c>
      <c r="C293" t="str">
        <f t="shared" si="12"/>
        <v>amzn1.ads-account.g.dfa7o7cwdl371d634ew58i919</v>
      </c>
      <c r="D293" t="s">
        <v>39</v>
      </c>
      <c r="G293" t="str">
        <f t="shared" si="13"/>
        <v>585687237024345541</v>
      </c>
      <c r="H293" t="s">
        <v>40</v>
      </c>
      <c r="I293" t="str">
        <f t="shared" si="14"/>
        <v>585478290940566279</v>
      </c>
      <c r="J293" t="s">
        <v>41</v>
      </c>
      <c r="K293" t="s">
        <v>799</v>
      </c>
      <c r="L293" s="1" t="str">
        <f>VLOOKUP(K293,Sheet1!A:B,2,FALSE)</f>
        <v>XM2-S73-GYPL-41</v>
      </c>
      <c r="M293" t="s">
        <v>800</v>
      </c>
      <c r="N293" t="s">
        <v>83</v>
      </c>
      <c r="O293" t="s">
        <v>45</v>
      </c>
      <c r="P293" t="s">
        <v>65</v>
      </c>
      <c r="Q293" t="s">
        <v>207</v>
      </c>
      <c r="R293" t="s">
        <v>48</v>
      </c>
      <c r="S293" t="s">
        <v>49</v>
      </c>
      <c r="AB293" t="s">
        <v>49</v>
      </c>
      <c r="AC293">
        <v>0</v>
      </c>
      <c r="AD293">
        <v>0</v>
      </c>
      <c r="AE293">
        <v>0</v>
      </c>
      <c r="AF293">
        <v>0</v>
      </c>
      <c r="AG293">
        <v>0</v>
      </c>
      <c r="AH293">
        <v>0</v>
      </c>
      <c r="AI293">
        <v>0</v>
      </c>
      <c r="AJ293">
        <v>0</v>
      </c>
      <c r="AK293">
        <v>0</v>
      </c>
    </row>
    <row r="294" spans="1:37">
      <c r="A294" t="s">
        <v>37</v>
      </c>
      <c r="B294" t="s">
        <v>230</v>
      </c>
      <c r="C294" t="str">
        <f t="shared" si="12"/>
        <v>amzn1.ads-account.g.dfa7o7cwdl371d634ew58i919</v>
      </c>
      <c r="D294" t="s">
        <v>39</v>
      </c>
      <c r="G294" t="str">
        <f t="shared" si="13"/>
        <v>585687237024345541</v>
      </c>
      <c r="H294" t="s">
        <v>40</v>
      </c>
      <c r="I294" t="str">
        <f t="shared" si="14"/>
        <v>585478290940566279</v>
      </c>
      <c r="J294" t="s">
        <v>41</v>
      </c>
      <c r="K294" t="s">
        <v>801</v>
      </c>
      <c r="L294" s="1" t="str">
        <f>VLOOKUP(K294,Sheet1!A:B,2,FALSE)</f>
        <v>SH-BRS73-DKBU-43</v>
      </c>
      <c r="M294" t="s">
        <v>802</v>
      </c>
      <c r="N294" t="s">
        <v>206</v>
      </c>
      <c r="O294" t="s">
        <v>45</v>
      </c>
      <c r="P294" t="s">
        <v>65</v>
      </c>
      <c r="Q294" t="s">
        <v>207</v>
      </c>
      <c r="R294" t="s">
        <v>48</v>
      </c>
      <c r="S294" t="s">
        <v>49</v>
      </c>
      <c r="AB294" t="s">
        <v>49</v>
      </c>
      <c r="AC294">
        <v>0</v>
      </c>
      <c r="AD294">
        <v>0</v>
      </c>
      <c r="AE294">
        <v>0</v>
      </c>
      <c r="AF294">
        <v>0</v>
      </c>
      <c r="AG294">
        <v>0</v>
      </c>
      <c r="AH294">
        <v>0</v>
      </c>
      <c r="AI294">
        <v>0</v>
      </c>
      <c r="AJ294">
        <v>0</v>
      </c>
      <c r="AK294">
        <v>0</v>
      </c>
    </row>
    <row r="295" spans="1:37">
      <c r="A295" t="s">
        <v>37</v>
      </c>
      <c r="B295" t="s">
        <v>624</v>
      </c>
      <c r="C295" t="str">
        <f t="shared" si="12"/>
        <v>amzn1.ads-account.g.dfa7o7cwdl371d634ew58i919</v>
      </c>
      <c r="D295" t="s">
        <v>39</v>
      </c>
      <c r="G295" t="str">
        <f t="shared" si="13"/>
        <v>585687237024345541</v>
      </c>
      <c r="H295" t="s">
        <v>40</v>
      </c>
      <c r="I295" t="str">
        <f t="shared" si="14"/>
        <v>585478290940566279</v>
      </c>
      <c r="J295" t="s">
        <v>41</v>
      </c>
      <c r="K295" t="s">
        <v>803</v>
      </c>
      <c r="L295" s="1" t="str">
        <f>VLOOKUP(K295,Sheet1!A:B,2,FALSE)</f>
        <v>XM2-KD7-BKGN-36</v>
      </c>
      <c r="M295" t="s">
        <v>804</v>
      </c>
      <c r="N295" t="s">
        <v>177</v>
      </c>
      <c r="O295" t="s">
        <v>45</v>
      </c>
      <c r="P295" t="s">
        <v>46</v>
      </c>
      <c r="Q295" t="s">
        <v>157</v>
      </c>
      <c r="R295" t="s">
        <v>48</v>
      </c>
      <c r="S295" t="s">
        <v>49</v>
      </c>
      <c r="AB295" t="s">
        <v>49</v>
      </c>
      <c r="AC295">
        <v>0</v>
      </c>
      <c r="AD295">
        <v>0</v>
      </c>
      <c r="AE295">
        <v>0</v>
      </c>
      <c r="AF295">
        <v>0</v>
      </c>
      <c r="AG295">
        <v>0</v>
      </c>
      <c r="AH295">
        <v>0</v>
      </c>
      <c r="AI295">
        <v>0</v>
      </c>
      <c r="AJ295">
        <v>0</v>
      </c>
      <c r="AK295">
        <v>0</v>
      </c>
    </row>
    <row r="296" spans="1:37">
      <c r="A296" t="s">
        <v>37</v>
      </c>
      <c r="B296" t="s">
        <v>640</v>
      </c>
      <c r="C296" t="str">
        <f t="shared" si="12"/>
        <v>amzn1.ads-account.g.dfa7o7cwdl371d634ew58i919</v>
      </c>
      <c r="D296" t="s">
        <v>39</v>
      </c>
      <c r="G296" t="str">
        <f t="shared" si="13"/>
        <v>585687237024345541</v>
      </c>
      <c r="H296" t="s">
        <v>40</v>
      </c>
      <c r="I296" t="str">
        <f t="shared" si="14"/>
        <v>585478290940566279</v>
      </c>
      <c r="J296" t="s">
        <v>41</v>
      </c>
      <c r="K296" t="s">
        <v>805</v>
      </c>
      <c r="L296" s="1" t="str">
        <f>VLOOKUP(K296,Sheet1!A:B,2,FALSE)</f>
        <v>SH-BRY180-GY-41</v>
      </c>
      <c r="M296" t="s">
        <v>806</v>
      </c>
      <c r="N296" t="s">
        <v>64</v>
      </c>
      <c r="O296" t="s">
        <v>45</v>
      </c>
      <c r="P296" t="s">
        <v>59</v>
      </c>
      <c r="Q296" t="s">
        <v>114</v>
      </c>
      <c r="R296" t="s">
        <v>48</v>
      </c>
      <c r="S296" t="s">
        <v>49</v>
      </c>
      <c r="AB296" t="s">
        <v>49</v>
      </c>
      <c r="AC296">
        <v>0</v>
      </c>
      <c r="AD296">
        <v>0</v>
      </c>
      <c r="AE296">
        <v>0</v>
      </c>
      <c r="AF296">
        <v>0</v>
      </c>
      <c r="AG296">
        <v>0</v>
      </c>
      <c r="AH296">
        <v>0</v>
      </c>
      <c r="AI296">
        <v>0</v>
      </c>
      <c r="AJ296">
        <v>0</v>
      </c>
      <c r="AK296">
        <v>0</v>
      </c>
    </row>
    <row r="297" spans="1:37">
      <c r="A297" t="s">
        <v>37</v>
      </c>
      <c r="B297" t="s">
        <v>38</v>
      </c>
      <c r="C297" t="str">
        <f t="shared" si="12"/>
        <v>amzn1.ads-account.g.dfa7o7cwdl371d634ew58i919</v>
      </c>
      <c r="D297" t="s">
        <v>39</v>
      </c>
      <c r="G297" t="str">
        <f t="shared" si="13"/>
        <v>585687237024345541</v>
      </c>
      <c r="H297" t="s">
        <v>40</v>
      </c>
      <c r="I297" t="str">
        <f t="shared" si="14"/>
        <v>585478290940566279</v>
      </c>
      <c r="J297" t="s">
        <v>41</v>
      </c>
      <c r="K297" t="s">
        <v>807</v>
      </c>
      <c r="L297" s="1" t="str">
        <f>VLOOKUP(K297,Sheet1!A:B,2,FALSE)</f>
        <v>SH-BRY10-BK-36</v>
      </c>
      <c r="M297" t="s">
        <v>808</v>
      </c>
      <c r="N297" t="s">
        <v>44</v>
      </c>
      <c r="O297" t="s">
        <v>45</v>
      </c>
      <c r="P297" t="s">
        <v>75</v>
      </c>
      <c r="Q297" t="s">
        <v>91</v>
      </c>
      <c r="R297" t="s">
        <v>48</v>
      </c>
      <c r="S297" t="s">
        <v>49</v>
      </c>
      <c r="AB297" t="s">
        <v>49</v>
      </c>
      <c r="AC297">
        <v>2</v>
      </c>
      <c r="AD297">
        <v>43.32</v>
      </c>
      <c r="AE297">
        <v>2</v>
      </c>
      <c r="AF297">
        <v>2</v>
      </c>
      <c r="AG297">
        <v>43.32</v>
      </c>
      <c r="AH297">
        <v>2</v>
      </c>
      <c r="AI297">
        <v>1</v>
      </c>
      <c r="AJ297">
        <v>19.33</v>
      </c>
      <c r="AK297">
        <v>1</v>
      </c>
    </row>
    <row r="298" spans="1:37">
      <c r="A298" t="s">
        <v>37</v>
      </c>
      <c r="B298" t="s">
        <v>809</v>
      </c>
      <c r="C298" t="str">
        <f t="shared" si="12"/>
        <v>amzn1.ads-account.g.dfa7o7cwdl371d634ew58i919</v>
      </c>
      <c r="D298" t="s">
        <v>39</v>
      </c>
      <c r="G298" t="str">
        <f t="shared" si="13"/>
        <v>585687237024345541</v>
      </c>
      <c r="H298" t="s">
        <v>40</v>
      </c>
      <c r="I298" t="str">
        <f t="shared" si="14"/>
        <v>585478290940566279</v>
      </c>
      <c r="J298" t="s">
        <v>41</v>
      </c>
      <c r="K298" t="s">
        <v>810</v>
      </c>
      <c r="L298" s="1" t="str">
        <f>VLOOKUP(K298,Sheet1!A:B,2,FALSE)</f>
        <v>SH-BRY180-WT-36</v>
      </c>
      <c r="M298" t="s">
        <v>811</v>
      </c>
      <c r="N298" t="s">
        <v>64</v>
      </c>
      <c r="O298" t="s">
        <v>45</v>
      </c>
      <c r="P298" t="s">
        <v>59</v>
      </c>
      <c r="Q298" t="s">
        <v>114</v>
      </c>
      <c r="R298" t="s">
        <v>48</v>
      </c>
      <c r="S298" t="s">
        <v>49</v>
      </c>
      <c r="AB298" t="s">
        <v>49</v>
      </c>
      <c r="AC298">
        <v>0</v>
      </c>
      <c r="AD298">
        <v>0</v>
      </c>
      <c r="AE298">
        <v>0</v>
      </c>
      <c r="AF298">
        <v>0</v>
      </c>
      <c r="AG298">
        <v>0</v>
      </c>
      <c r="AH298">
        <v>0</v>
      </c>
      <c r="AI298">
        <v>0</v>
      </c>
      <c r="AJ298">
        <v>0</v>
      </c>
      <c r="AK298">
        <v>0</v>
      </c>
    </row>
    <row r="299" spans="1:37">
      <c r="A299" t="s">
        <v>37</v>
      </c>
      <c r="B299" t="s">
        <v>97</v>
      </c>
      <c r="C299" t="str">
        <f t="shared" si="12"/>
        <v>amzn1.ads-account.g.dfa7o7cwdl371d634ew58i919</v>
      </c>
      <c r="D299" t="s">
        <v>39</v>
      </c>
      <c r="G299" t="str">
        <f t="shared" si="13"/>
        <v>585687237024345541</v>
      </c>
      <c r="H299" t="s">
        <v>40</v>
      </c>
      <c r="I299" t="str">
        <f t="shared" si="14"/>
        <v>585478290940566279</v>
      </c>
      <c r="J299" t="s">
        <v>41</v>
      </c>
      <c r="K299" t="s">
        <v>812</v>
      </c>
      <c r="L299" s="1" t="str">
        <f>VLOOKUP(K299,Sheet1!A:B,2,FALSE)</f>
        <v>SH-BRY80-DKBU-10</v>
      </c>
      <c r="M299" t="s">
        <v>813</v>
      </c>
      <c r="N299" t="s">
        <v>90</v>
      </c>
      <c r="O299" t="s">
        <v>45</v>
      </c>
      <c r="P299" t="s">
        <v>75</v>
      </c>
      <c r="Q299" t="s">
        <v>91</v>
      </c>
      <c r="R299" t="s">
        <v>48</v>
      </c>
      <c r="S299" t="s">
        <v>49</v>
      </c>
      <c r="AB299" t="s">
        <v>49</v>
      </c>
      <c r="AC299">
        <v>0</v>
      </c>
      <c r="AD299">
        <v>0</v>
      </c>
      <c r="AE299">
        <v>0</v>
      </c>
      <c r="AF299">
        <v>0</v>
      </c>
      <c r="AG299">
        <v>0</v>
      </c>
      <c r="AH299">
        <v>0</v>
      </c>
      <c r="AI299">
        <v>0</v>
      </c>
      <c r="AJ299">
        <v>0</v>
      </c>
      <c r="AK299">
        <v>0</v>
      </c>
    </row>
    <row r="300" spans="1:37">
      <c r="A300" t="s">
        <v>37</v>
      </c>
      <c r="B300" t="s">
        <v>120</v>
      </c>
      <c r="C300" t="str">
        <f t="shared" si="12"/>
        <v>amzn1.ads-account.g.dfa7o7cwdl371d634ew58i919</v>
      </c>
      <c r="D300" t="s">
        <v>39</v>
      </c>
      <c r="G300" t="str">
        <f t="shared" si="13"/>
        <v>585687237024345541</v>
      </c>
      <c r="H300" t="s">
        <v>40</v>
      </c>
      <c r="I300" t="str">
        <f t="shared" si="14"/>
        <v>585478290940566279</v>
      </c>
      <c r="J300" t="s">
        <v>41</v>
      </c>
      <c r="K300" t="s">
        <v>814</v>
      </c>
      <c r="L300" s="1" t="str">
        <f>VLOOKUP(K300,Sheet1!A:B,2,FALSE)</f>
        <v>SH-BRY10-BK-45</v>
      </c>
      <c r="M300" t="s">
        <v>815</v>
      </c>
      <c r="N300" t="s">
        <v>44</v>
      </c>
      <c r="O300" t="s">
        <v>45</v>
      </c>
      <c r="P300" t="s">
        <v>46</v>
      </c>
      <c r="Q300" t="s">
        <v>47</v>
      </c>
      <c r="R300" t="s">
        <v>48</v>
      </c>
      <c r="S300" t="s">
        <v>49</v>
      </c>
      <c r="AB300" t="s">
        <v>49</v>
      </c>
      <c r="AC300">
        <v>58</v>
      </c>
      <c r="AD300">
        <v>1331.28</v>
      </c>
      <c r="AE300">
        <v>58</v>
      </c>
      <c r="AF300">
        <v>58</v>
      </c>
      <c r="AG300">
        <v>1331.28</v>
      </c>
      <c r="AH300">
        <v>58</v>
      </c>
      <c r="AI300">
        <v>38</v>
      </c>
      <c r="AJ300">
        <v>872.74</v>
      </c>
      <c r="AK300">
        <v>38</v>
      </c>
    </row>
    <row r="301" spans="1:37">
      <c r="A301" t="s">
        <v>37</v>
      </c>
      <c r="B301" t="s">
        <v>325</v>
      </c>
      <c r="C301" t="str">
        <f t="shared" si="12"/>
        <v>amzn1.ads-account.g.dfa7o7cwdl371d634ew58i919</v>
      </c>
      <c r="D301" t="s">
        <v>39</v>
      </c>
      <c r="G301" t="str">
        <f t="shared" si="13"/>
        <v>585687237024345541</v>
      </c>
      <c r="H301" t="s">
        <v>40</v>
      </c>
      <c r="I301" t="str">
        <f t="shared" si="14"/>
        <v>585478290940566279</v>
      </c>
      <c r="J301" t="s">
        <v>41</v>
      </c>
      <c r="K301" t="s">
        <v>816</v>
      </c>
      <c r="L301" s="1" t="str">
        <f>VLOOKUP(K301,Sheet1!A:B,2,FALSE)</f>
        <v>XM2-S73-BU-41</v>
      </c>
      <c r="M301" t="s">
        <v>817</v>
      </c>
      <c r="N301" t="s">
        <v>83</v>
      </c>
      <c r="O301" t="s">
        <v>45</v>
      </c>
      <c r="P301" t="s">
        <v>65</v>
      </c>
      <c r="Q301" t="s">
        <v>84</v>
      </c>
      <c r="R301" t="s">
        <v>48</v>
      </c>
      <c r="S301" t="s">
        <v>49</v>
      </c>
      <c r="AB301" t="s">
        <v>49</v>
      </c>
      <c r="AC301">
        <v>0</v>
      </c>
      <c r="AD301">
        <v>0</v>
      </c>
      <c r="AE301">
        <v>0</v>
      </c>
      <c r="AF301">
        <v>0</v>
      </c>
      <c r="AG301">
        <v>0</v>
      </c>
      <c r="AH301">
        <v>0</v>
      </c>
      <c r="AI301">
        <v>0</v>
      </c>
      <c r="AJ301">
        <v>0</v>
      </c>
      <c r="AK301">
        <v>0</v>
      </c>
    </row>
    <row r="302" spans="1:37">
      <c r="A302" t="s">
        <v>37</v>
      </c>
      <c r="B302" t="s">
        <v>120</v>
      </c>
      <c r="C302" t="str">
        <f t="shared" si="12"/>
        <v>amzn1.ads-account.g.dfa7o7cwdl371d634ew58i919</v>
      </c>
      <c r="D302" t="s">
        <v>39</v>
      </c>
      <c r="G302" t="str">
        <f t="shared" si="13"/>
        <v>585687237024345541</v>
      </c>
      <c r="H302" t="s">
        <v>40</v>
      </c>
      <c r="I302" t="str">
        <f t="shared" si="14"/>
        <v>585478290940566279</v>
      </c>
      <c r="J302" t="s">
        <v>41</v>
      </c>
      <c r="K302" t="s">
        <v>818</v>
      </c>
      <c r="L302" s="1" t="str">
        <f>VLOOKUP(K302,Sheet1!A:B,2,FALSE)</f>
        <v>SH-BRY10-CL-43</v>
      </c>
      <c r="M302" t="s">
        <v>819</v>
      </c>
      <c r="N302" t="s">
        <v>44</v>
      </c>
      <c r="O302" t="s">
        <v>45</v>
      </c>
      <c r="P302" t="s">
        <v>59</v>
      </c>
      <c r="Q302" t="s">
        <v>114</v>
      </c>
      <c r="R302" t="s">
        <v>48</v>
      </c>
      <c r="S302" t="s">
        <v>49</v>
      </c>
      <c r="AB302" t="s">
        <v>49</v>
      </c>
      <c r="AC302">
        <v>5</v>
      </c>
      <c r="AD302">
        <v>108.01</v>
      </c>
      <c r="AE302">
        <v>5</v>
      </c>
      <c r="AF302">
        <v>5</v>
      </c>
      <c r="AG302">
        <v>108.01</v>
      </c>
      <c r="AH302">
        <v>5</v>
      </c>
      <c r="AI302">
        <v>3</v>
      </c>
      <c r="AJ302">
        <v>63.67</v>
      </c>
      <c r="AK302">
        <v>3</v>
      </c>
    </row>
    <row r="303" spans="1:37">
      <c r="A303" t="s">
        <v>37</v>
      </c>
      <c r="B303" t="s">
        <v>702</v>
      </c>
      <c r="C303" t="str">
        <f t="shared" si="12"/>
        <v>amzn1.ads-account.g.dfa7o7cwdl371d634ew58i919</v>
      </c>
      <c r="D303" t="s">
        <v>39</v>
      </c>
      <c r="G303" t="str">
        <f t="shared" si="13"/>
        <v>585687237024345541</v>
      </c>
      <c r="H303" t="s">
        <v>40</v>
      </c>
      <c r="I303" t="str">
        <f t="shared" si="14"/>
        <v>585478290940566279</v>
      </c>
      <c r="J303" t="s">
        <v>41</v>
      </c>
      <c r="K303" t="s">
        <v>820</v>
      </c>
      <c r="L303" s="1" t="str">
        <f>VLOOKUP(K303,Sheet1!A:B,2,FALSE)</f>
        <v>SH-BRS71-BKRD-42</v>
      </c>
      <c r="M303" t="s">
        <v>821</v>
      </c>
      <c r="N303" t="s">
        <v>110</v>
      </c>
      <c r="O303" t="s">
        <v>45</v>
      </c>
      <c r="P303" t="s">
        <v>65</v>
      </c>
      <c r="Q303" t="s">
        <v>111</v>
      </c>
      <c r="R303" t="s">
        <v>48</v>
      </c>
      <c r="S303" t="s">
        <v>49</v>
      </c>
      <c r="AB303" t="s">
        <v>49</v>
      </c>
      <c r="AC303">
        <v>0</v>
      </c>
      <c r="AD303">
        <v>0</v>
      </c>
      <c r="AE303">
        <v>0</v>
      </c>
      <c r="AF303">
        <v>0</v>
      </c>
      <c r="AG303">
        <v>0</v>
      </c>
      <c r="AH303">
        <v>0</v>
      </c>
      <c r="AI303">
        <v>0</v>
      </c>
      <c r="AJ303">
        <v>0</v>
      </c>
      <c r="AK303">
        <v>0</v>
      </c>
    </row>
    <row r="304" spans="1:37">
      <c r="A304" t="s">
        <v>37</v>
      </c>
      <c r="B304" t="s">
        <v>822</v>
      </c>
      <c r="C304" t="str">
        <f t="shared" si="12"/>
        <v>amzn1.ads-account.g.dfa7o7cwdl371d634ew58i919</v>
      </c>
      <c r="D304" t="s">
        <v>39</v>
      </c>
      <c r="G304" t="str">
        <f t="shared" si="13"/>
        <v>585687237024345541</v>
      </c>
      <c r="H304" t="s">
        <v>40</v>
      </c>
      <c r="I304" t="str">
        <f t="shared" si="14"/>
        <v>585478290940566279</v>
      </c>
      <c r="J304" t="s">
        <v>41</v>
      </c>
      <c r="K304" t="s">
        <v>823</v>
      </c>
      <c r="L304" s="1" t="str">
        <f>VLOOKUP(K304,Sheet1!A:B,2,FALSE)</f>
        <v>SH-BRS71-BKRD-46</v>
      </c>
      <c r="M304" t="s">
        <v>824</v>
      </c>
      <c r="N304" t="s">
        <v>110</v>
      </c>
      <c r="O304" t="s">
        <v>45</v>
      </c>
      <c r="P304" t="s">
        <v>65</v>
      </c>
      <c r="Q304" t="s">
        <v>111</v>
      </c>
      <c r="R304" t="s">
        <v>48</v>
      </c>
      <c r="S304" t="s">
        <v>49</v>
      </c>
      <c r="AB304" t="s">
        <v>49</v>
      </c>
      <c r="AC304">
        <v>1</v>
      </c>
      <c r="AD304">
        <v>38.56</v>
      </c>
      <c r="AE304">
        <v>1</v>
      </c>
      <c r="AF304">
        <v>1</v>
      </c>
      <c r="AG304">
        <v>38.56</v>
      </c>
      <c r="AH304">
        <v>1</v>
      </c>
      <c r="AI304">
        <v>0</v>
      </c>
      <c r="AJ304">
        <v>0</v>
      </c>
      <c r="AK304">
        <v>0</v>
      </c>
    </row>
    <row r="305" spans="1:37">
      <c r="A305" t="s">
        <v>37</v>
      </c>
      <c r="B305" t="s">
        <v>120</v>
      </c>
      <c r="C305" t="str">
        <f t="shared" si="12"/>
        <v>amzn1.ads-account.g.dfa7o7cwdl371d634ew58i919</v>
      </c>
      <c r="D305" t="s">
        <v>39</v>
      </c>
      <c r="G305" t="str">
        <f t="shared" si="13"/>
        <v>585687237024345541</v>
      </c>
      <c r="H305" t="s">
        <v>40</v>
      </c>
      <c r="I305" t="str">
        <f t="shared" si="14"/>
        <v>585478290940566279</v>
      </c>
      <c r="J305" t="s">
        <v>41</v>
      </c>
      <c r="K305" t="s">
        <v>825</v>
      </c>
      <c r="L305" s="1" t="str">
        <f>VLOOKUP(K305,Sheet1!A:B,2,FALSE)</f>
        <v>SH-BRY10-KQ-38</v>
      </c>
      <c r="M305" t="s">
        <v>826</v>
      </c>
      <c r="N305" t="s">
        <v>44</v>
      </c>
      <c r="O305" t="s">
        <v>45</v>
      </c>
      <c r="P305" t="s">
        <v>59</v>
      </c>
      <c r="Q305" t="s">
        <v>173</v>
      </c>
      <c r="R305" t="s">
        <v>48</v>
      </c>
      <c r="S305" t="s">
        <v>49</v>
      </c>
      <c r="AB305" t="s">
        <v>49</v>
      </c>
      <c r="AC305">
        <v>4</v>
      </c>
      <c r="AD305">
        <v>86.64</v>
      </c>
      <c r="AE305">
        <v>4</v>
      </c>
      <c r="AF305">
        <v>4</v>
      </c>
      <c r="AG305">
        <v>86.64</v>
      </c>
      <c r="AH305">
        <v>4</v>
      </c>
      <c r="AI305">
        <v>3</v>
      </c>
      <c r="AJ305">
        <v>62.65</v>
      </c>
      <c r="AK305">
        <v>3</v>
      </c>
    </row>
    <row r="306" spans="1:37">
      <c r="A306" t="s">
        <v>37</v>
      </c>
      <c r="B306" t="s">
        <v>103</v>
      </c>
      <c r="C306" t="str">
        <f t="shared" si="12"/>
        <v>amzn1.ads-account.g.dfa7o7cwdl371d634ew58i919</v>
      </c>
      <c r="D306" t="s">
        <v>39</v>
      </c>
      <c r="G306" t="str">
        <f t="shared" si="13"/>
        <v>585687237024345541</v>
      </c>
      <c r="H306" t="s">
        <v>40</v>
      </c>
      <c r="I306" t="str">
        <f t="shared" si="14"/>
        <v>585478290940566279</v>
      </c>
      <c r="J306" t="s">
        <v>41</v>
      </c>
      <c r="K306" t="s">
        <v>827</v>
      </c>
      <c r="L306" s="1" t="str">
        <f>VLOOKUP(K306,Sheet1!A:B,2,FALSE)</f>
        <v>SH-BRS71-BKWT-45</v>
      </c>
      <c r="M306" t="s">
        <v>828</v>
      </c>
      <c r="N306" t="s">
        <v>110</v>
      </c>
      <c r="O306" t="s">
        <v>45</v>
      </c>
      <c r="P306" t="s">
        <v>65</v>
      </c>
      <c r="Q306" t="s">
        <v>84</v>
      </c>
      <c r="R306" t="s">
        <v>48</v>
      </c>
      <c r="S306" t="s">
        <v>49</v>
      </c>
      <c r="AB306" t="s">
        <v>49</v>
      </c>
      <c r="AC306">
        <v>0</v>
      </c>
      <c r="AD306">
        <v>0</v>
      </c>
      <c r="AE306">
        <v>0</v>
      </c>
      <c r="AF306">
        <v>0</v>
      </c>
      <c r="AG306">
        <v>0</v>
      </c>
      <c r="AH306">
        <v>0</v>
      </c>
      <c r="AI306">
        <v>0</v>
      </c>
      <c r="AJ306">
        <v>0</v>
      </c>
      <c r="AK306">
        <v>0</v>
      </c>
    </row>
    <row r="307" spans="1:37">
      <c r="A307" t="s">
        <v>37</v>
      </c>
      <c r="B307" t="s">
        <v>127</v>
      </c>
      <c r="C307" t="str">
        <f t="shared" si="12"/>
        <v>amzn1.ads-account.g.dfa7o7cwdl371d634ew58i919</v>
      </c>
      <c r="D307" t="s">
        <v>39</v>
      </c>
      <c r="G307" t="str">
        <f t="shared" si="13"/>
        <v>585687237024345541</v>
      </c>
      <c r="H307" t="s">
        <v>40</v>
      </c>
      <c r="I307" t="str">
        <f t="shared" si="14"/>
        <v>585478290940566279</v>
      </c>
      <c r="J307" t="s">
        <v>41</v>
      </c>
      <c r="K307" t="s">
        <v>829</v>
      </c>
      <c r="L307" s="1" t="str">
        <f>VLOOKUP(K307,Sheet1!A:B,2,FALSE)</f>
        <v>XM2-S71-WT-39</v>
      </c>
      <c r="M307" t="s">
        <v>830</v>
      </c>
      <c r="N307" t="s">
        <v>83</v>
      </c>
      <c r="O307" t="s">
        <v>45</v>
      </c>
      <c r="P307" t="s">
        <v>65</v>
      </c>
      <c r="Q307" t="s">
        <v>84</v>
      </c>
      <c r="R307" t="s">
        <v>48</v>
      </c>
      <c r="S307" t="s">
        <v>49</v>
      </c>
      <c r="AB307" t="s">
        <v>49</v>
      </c>
      <c r="AC307">
        <v>0</v>
      </c>
      <c r="AD307">
        <v>0</v>
      </c>
      <c r="AE307">
        <v>0</v>
      </c>
      <c r="AF307">
        <v>0</v>
      </c>
      <c r="AG307">
        <v>0</v>
      </c>
      <c r="AH307">
        <v>0</v>
      </c>
      <c r="AI307">
        <v>0</v>
      </c>
      <c r="AJ307">
        <v>0</v>
      </c>
      <c r="AK307">
        <v>0</v>
      </c>
    </row>
    <row r="308" spans="1:37">
      <c r="A308" t="s">
        <v>37</v>
      </c>
      <c r="B308" t="s">
        <v>50</v>
      </c>
      <c r="C308" t="str">
        <f t="shared" si="12"/>
        <v>amzn1.ads-account.g.dfa7o7cwdl371d634ew58i919</v>
      </c>
      <c r="D308" t="s">
        <v>39</v>
      </c>
      <c r="G308" t="str">
        <f t="shared" si="13"/>
        <v>585687237024345541</v>
      </c>
      <c r="H308" t="s">
        <v>40</v>
      </c>
      <c r="I308" t="str">
        <f t="shared" si="14"/>
        <v>585478290940566279</v>
      </c>
      <c r="J308" t="s">
        <v>41</v>
      </c>
      <c r="K308" t="s">
        <v>831</v>
      </c>
      <c r="L308" s="1" t="str">
        <f>VLOOKUP(K308,Sheet1!A:B,2,FALSE)</f>
        <v>XM2-S75-BU-42</v>
      </c>
      <c r="M308" t="s">
        <v>832</v>
      </c>
      <c r="N308" t="s">
        <v>95</v>
      </c>
      <c r="O308" t="s">
        <v>45</v>
      </c>
      <c r="P308" t="s">
        <v>153</v>
      </c>
      <c r="Q308" t="s">
        <v>154</v>
      </c>
      <c r="R308" t="s">
        <v>48</v>
      </c>
      <c r="S308" t="s">
        <v>49</v>
      </c>
      <c r="AB308" t="s">
        <v>49</v>
      </c>
      <c r="AC308">
        <v>0</v>
      </c>
      <c r="AD308">
        <v>0</v>
      </c>
      <c r="AE308">
        <v>0</v>
      </c>
      <c r="AF308">
        <v>0</v>
      </c>
      <c r="AG308">
        <v>0</v>
      </c>
      <c r="AH308">
        <v>0</v>
      </c>
      <c r="AI308">
        <v>0</v>
      </c>
      <c r="AJ308">
        <v>0</v>
      </c>
      <c r="AK308">
        <v>0</v>
      </c>
    </row>
    <row r="309" spans="1:37">
      <c r="A309" t="s">
        <v>37</v>
      </c>
      <c r="B309" t="s">
        <v>833</v>
      </c>
      <c r="C309" t="str">
        <f t="shared" si="12"/>
        <v>amzn1.ads-account.g.dfa7o7cwdl371d634ew58i919</v>
      </c>
      <c r="D309" t="s">
        <v>39</v>
      </c>
      <c r="G309" t="str">
        <f t="shared" si="13"/>
        <v>585687237024345541</v>
      </c>
      <c r="H309" t="s">
        <v>40</v>
      </c>
      <c r="I309" t="str">
        <f t="shared" si="14"/>
        <v>585478290940566279</v>
      </c>
      <c r="J309" t="s">
        <v>41</v>
      </c>
      <c r="K309" t="s">
        <v>834</v>
      </c>
      <c r="L309" s="1" t="str">
        <f>VLOOKUP(K309,Sheet1!A:B,2,FALSE)</f>
        <v>SH-BRY10-CL-49</v>
      </c>
      <c r="M309" t="s">
        <v>835</v>
      </c>
      <c r="N309" t="s">
        <v>44</v>
      </c>
      <c r="O309" t="s">
        <v>45</v>
      </c>
      <c r="P309" t="s">
        <v>59</v>
      </c>
      <c r="Q309" t="s">
        <v>106</v>
      </c>
      <c r="R309" t="s">
        <v>48</v>
      </c>
      <c r="S309" t="s">
        <v>49</v>
      </c>
      <c r="AB309" t="s">
        <v>49</v>
      </c>
      <c r="AC309">
        <v>5</v>
      </c>
      <c r="AD309">
        <v>113.63</v>
      </c>
      <c r="AE309">
        <v>5</v>
      </c>
      <c r="AF309">
        <v>5</v>
      </c>
      <c r="AG309">
        <v>113.63</v>
      </c>
      <c r="AH309">
        <v>5</v>
      </c>
      <c r="AI309">
        <v>3</v>
      </c>
      <c r="AJ309">
        <v>69.31</v>
      </c>
      <c r="AK309">
        <v>3</v>
      </c>
    </row>
    <row r="310" spans="1:37">
      <c r="A310" t="s">
        <v>37</v>
      </c>
      <c r="B310" t="s">
        <v>836</v>
      </c>
      <c r="C310" t="str">
        <f t="shared" si="12"/>
        <v>amzn1.ads-account.g.dfa7o7cwdl371d634ew58i919</v>
      </c>
      <c r="D310" t="s">
        <v>39</v>
      </c>
      <c r="G310" t="str">
        <f t="shared" si="13"/>
        <v>585687237024345541</v>
      </c>
      <c r="H310" t="s">
        <v>40</v>
      </c>
      <c r="I310" t="str">
        <f t="shared" si="14"/>
        <v>585478290940566279</v>
      </c>
      <c r="J310" t="s">
        <v>41</v>
      </c>
      <c r="K310" t="s">
        <v>837</v>
      </c>
      <c r="L310" s="1" t="str">
        <f>VLOOKUP(K310,Sheet1!A:B,2,FALSE)</f>
        <v>SH-BRS71-ABK-46</v>
      </c>
      <c r="M310" t="s">
        <v>838</v>
      </c>
      <c r="N310" t="s">
        <v>110</v>
      </c>
      <c r="O310" t="s">
        <v>45</v>
      </c>
      <c r="P310" t="s">
        <v>839</v>
      </c>
      <c r="Q310" t="s">
        <v>840</v>
      </c>
      <c r="R310" t="s">
        <v>48</v>
      </c>
      <c r="S310" t="s">
        <v>49</v>
      </c>
      <c r="AB310" t="s">
        <v>49</v>
      </c>
      <c r="AC310">
        <v>0</v>
      </c>
      <c r="AD310">
        <v>0</v>
      </c>
      <c r="AE310">
        <v>0</v>
      </c>
      <c r="AF310">
        <v>0</v>
      </c>
      <c r="AG310">
        <v>0</v>
      </c>
      <c r="AH310">
        <v>0</v>
      </c>
      <c r="AI310">
        <v>0</v>
      </c>
      <c r="AJ310">
        <v>0</v>
      </c>
      <c r="AK310">
        <v>0</v>
      </c>
    </row>
    <row r="311" spans="1:37">
      <c r="A311" t="s">
        <v>37</v>
      </c>
      <c r="B311" t="s">
        <v>174</v>
      </c>
      <c r="C311" t="str">
        <f t="shared" si="12"/>
        <v>amzn1.ads-account.g.dfa7o7cwdl371d634ew58i919</v>
      </c>
      <c r="D311" t="s">
        <v>39</v>
      </c>
      <c r="G311" t="str">
        <f t="shared" si="13"/>
        <v>585687237024345541</v>
      </c>
      <c r="H311" t="s">
        <v>40</v>
      </c>
      <c r="I311" t="str">
        <f t="shared" si="14"/>
        <v>585478290940566279</v>
      </c>
      <c r="J311" t="s">
        <v>41</v>
      </c>
      <c r="K311" t="s">
        <v>841</v>
      </c>
      <c r="L311" s="1" t="str">
        <f>VLOOKUP(K311,Sheet1!A:B,2,FALSE)</f>
        <v>XM2-KD7-BKBU-37</v>
      </c>
      <c r="M311" t="s">
        <v>842</v>
      </c>
      <c r="N311" t="s">
        <v>177</v>
      </c>
      <c r="O311" t="s">
        <v>45</v>
      </c>
      <c r="P311" t="s">
        <v>46</v>
      </c>
      <c r="Q311" t="s">
        <v>324</v>
      </c>
      <c r="R311" t="s">
        <v>48</v>
      </c>
      <c r="S311" t="s">
        <v>49</v>
      </c>
      <c r="AB311" t="s">
        <v>49</v>
      </c>
      <c r="AC311">
        <v>0</v>
      </c>
      <c r="AD311">
        <v>0</v>
      </c>
      <c r="AE311">
        <v>0</v>
      </c>
      <c r="AF311">
        <v>0</v>
      </c>
      <c r="AG311">
        <v>0</v>
      </c>
      <c r="AH311">
        <v>0</v>
      </c>
      <c r="AI311">
        <v>0</v>
      </c>
      <c r="AJ311">
        <v>0</v>
      </c>
      <c r="AK311">
        <v>0</v>
      </c>
    </row>
    <row r="312" spans="1:37">
      <c r="A312" t="s">
        <v>37</v>
      </c>
      <c r="B312" t="s">
        <v>147</v>
      </c>
      <c r="C312" t="str">
        <f t="shared" si="12"/>
        <v>amzn1.ads-account.g.dfa7o7cwdl371d634ew58i919</v>
      </c>
      <c r="D312" t="s">
        <v>39</v>
      </c>
      <c r="G312" t="str">
        <f t="shared" si="13"/>
        <v>585687237024345541</v>
      </c>
      <c r="H312" t="s">
        <v>40</v>
      </c>
      <c r="I312" t="str">
        <f t="shared" si="14"/>
        <v>585478290940566279</v>
      </c>
      <c r="J312" t="s">
        <v>41</v>
      </c>
      <c r="K312" t="s">
        <v>843</v>
      </c>
      <c r="L312" s="1" t="str">
        <f>VLOOKUP(K312,Sheet1!A:B,2,FALSE)</f>
        <v>XM2-S71-GYPK-40</v>
      </c>
      <c r="M312" t="s">
        <v>844</v>
      </c>
      <c r="N312" t="s">
        <v>83</v>
      </c>
      <c r="O312" t="s">
        <v>45</v>
      </c>
      <c r="P312" t="s">
        <v>65</v>
      </c>
      <c r="Q312" t="s">
        <v>84</v>
      </c>
      <c r="R312" t="s">
        <v>48</v>
      </c>
      <c r="S312" t="s">
        <v>49</v>
      </c>
      <c r="AB312" t="s">
        <v>49</v>
      </c>
      <c r="AC312">
        <v>0</v>
      </c>
      <c r="AD312">
        <v>0</v>
      </c>
      <c r="AE312">
        <v>0</v>
      </c>
      <c r="AF312">
        <v>0</v>
      </c>
      <c r="AG312">
        <v>0</v>
      </c>
      <c r="AH312">
        <v>0</v>
      </c>
      <c r="AI312">
        <v>0</v>
      </c>
      <c r="AJ312">
        <v>0</v>
      </c>
      <c r="AK312">
        <v>0</v>
      </c>
    </row>
    <row r="313" spans="1:37">
      <c r="A313" t="s">
        <v>37</v>
      </c>
      <c r="B313" t="s">
        <v>230</v>
      </c>
      <c r="C313" t="str">
        <f t="shared" si="12"/>
        <v>amzn1.ads-account.g.dfa7o7cwdl371d634ew58i919</v>
      </c>
      <c r="D313" t="s">
        <v>39</v>
      </c>
      <c r="G313" t="str">
        <f t="shared" si="13"/>
        <v>585687237024345541</v>
      </c>
      <c r="H313" t="s">
        <v>40</v>
      </c>
      <c r="I313" t="str">
        <f t="shared" si="14"/>
        <v>585478290940566279</v>
      </c>
      <c r="J313" t="s">
        <v>41</v>
      </c>
      <c r="K313" t="s">
        <v>845</v>
      </c>
      <c r="L313" s="1" t="str">
        <f>VLOOKUP(K313,Sheet1!A:B,2,FALSE)</f>
        <v>XM2-Y90B-BK-W9</v>
      </c>
      <c r="M313" t="s">
        <v>846</v>
      </c>
      <c r="N313">
        <v>-1</v>
      </c>
      <c r="O313" t="s">
        <v>45</v>
      </c>
      <c r="Q313" t="s">
        <v>54</v>
      </c>
      <c r="R313" t="s">
        <v>48</v>
      </c>
      <c r="S313" t="s">
        <v>49</v>
      </c>
      <c r="AB313" t="s">
        <v>49</v>
      </c>
      <c r="AC313">
        <v>1</v>
      </c>
      <c r="AD313">
        <v>9.99</v>
      </c>
      <c r="AE313">
        <v>1</v>
      </c>
      <c r="AF313">
        <v>1</v>
      </c>
      <c r="AG313">
        <v>9.99</v>
      </c>
      <c r="AH313">
        <v>1</v>
      </c>
      <c r="AI313">
        <v>1</v>
      </c>
      <c r="AJ313">
        <v>9.99</v>
      </c>
      <c r="AK313">
        <v>1</v>
      </c>
    </row>
    <row r="314" spans="1:37">
      <c r="A314" t="s">
        <v>37</v>
      </c>
      <c r="B314" t="s">
        <v>775</v>
      </c>
      <c r="C314" t="str">
        <f t="shared" si="12"/>
        <v>amzn1.ads-account.g.dfa7o7cwdl371d634ew58i919</v>
      </c>
      <c r="D314" t="s">
        <v>39</v>
      </c>
      <c r="G314" t="str">
        <f t="shared" si="13"/>
        <v>585687237024345541</v>
      </c>
      <c r="H314" t="s">
        <v>40</v>
      </c>
      <c r="I314" t="str">
        <f t="shared" si="14"/>
        <v>585478290940566279</v>
      </c>
      <c r="J314" t="s">
        <v>41</v>
      </c>
      <c r="K314" t="s">
        <v>847</v>
      </c>
      <c r="L314" s="1" t="str">
        <f>VLOOKUP(K314,Sheet1!A:B,2,FALSE)</f>
        <v>XM2-S75-LTBU-39</v>
      </c>
      <c r="M314" t="s">
        <v>848</v>
      </c>
      <c r="N314" t="s">
        <v>95</v>
      </c>
      <c r="O314" t="s">
        <v>45</v>
      </c>
      <c r="P314" t="s">
        <v>65</v>
      </c>
      <c r="Q314" t="s">
        <v>84</v>
      </c>
      <c r="R314" t="s">
        <v>48</v>
      </c>
      <c r="S314" t="s">
        <v>49</v>
      </c>
      <c r="AB314" t="s">
        <v>49</v>
      </c>
      <c r="AC314">
        <v>0</v>
      </c>
      <c r="AD314">
        <v>0</v>
      </c>
      <c r="AE314">
        <v>0</v>
      </c>
      <c r="AF314">
        <v>0</v>
      </c>
      <c r="AG314">
        <v>0</v>
      </c>
      <c r="AH314">
        <v>0</v>
      </c>
      <c r="AI314">
        <v>0</v>
      </c>
      <c r="AJ314">
        <v>0</v>
      </c>
      <c r="AK314">
        <v>0</v>
      </c>
    </row>
    <row r="315" spans="1:37">
      <c r="A315" t="s">
        <v>37</v>
      </c>
      <c r="B315" t="s">
        <v>38</v>
      </c>
      <c r="C315" t="str">
        <f t="shared" si="12"/>
        <v>amzn1.ads-account.g.dfa7o7cwdl371d634ew58i919</v>
      </c>
      <c r="D315" t="s">
        <v>39</v>
      </c>
      <c r="G315" t="str">
        <f t="shared" si="13"/>
        <v>585687237024345541</v>
      </c>
      <c r="H315" t="s">
        <v>40</v>
      </c>
      <c r="I315" t="str">
        <f t="shared" si="14"/>
        <v>585478290940566279</v>
      </c>
      <c r="J315" t="s">
        <v>41</v>
      </c>
      <c r="K315" t="s">
        <v>849</v>
      </c>
      <c r="L315" s="1" t="str">
        <f>VLOOKUP(K315,Sheet1!A:B,2,FALSE)</f>
        <v>SH-BRY180-CL-47N</v>
      </c>
      <c r="M315" t="s">
        <v>850</v>
      </c>
      <c r="N315" t="s">
        <v>64</v>
      </c>
      <c r="O315" t="s">
        <v>45</v>
      </c>
      <c r="P315" t="s">
        <v>59</v>
      </c>
      <c r="Q315" t="s">
        <v>173</v>
      </c>
      <c r="R315" t="s">
        <v>48</v>
      </c>
      <c r="S315" t="s">
        <v>49</v>
      </c>
      <c r="AB315" t="s">
        <v>49</v>
      </c>
      <c r="AC315">
        <v>1</v>
      </c>
      <c r="AD315">
        <v>23.99</v>
      </c>
      <c r="AE315">
        <v>1</v>
      </c>
      <c r="AF315">
        <v>1</v>
      </c>
      <c r="AG315">
        <v>23.99</v>
      </c>
      <c r="AH315">
        <v>1</v>
      </c>
      <c r="AI315">
        <v>1</v>
      </c>
      <c r="AJ315">
        <v>23.99</v>
      </c>
      <c r="AK315">
        <v>1</v>
      </c>
    </row>
    <row r="316" spans="1:37">
      <c r="A316" t="s">
        <v>37</v>
      </c>
      <c r="B316" t="s">
        <v>272</v>
      </c>
      <c r="C316" t="str">
        <f t="shared" si="12"/>
        <v>amzn1.ads-account.g.dfa7o7cwdl371d634ew58i919</v>
      </c>
      <c r="D316" t="s">
        <v>39</v>
      </c>
      <c r="G316" t="str">
        <f t="shared" si="13"/>
        <v>585687237024345541</v>
      </c>
      <c r="H316" t="s">
        <v>40</v>
      </c>
      <c r="I316" t="str">
        <f t="shared" si="14"/>
        <v>585478290940566279</v>
      </c>
      <c r="J316" t="s">
        <v>41</v>
      </c>
      <c r="K316" t="s">
        <v>90</v>
      </c>
      <c r="L316" s="1" t="str">
        <f>VLOOKUP(K316,Sheet1!A:B,2,FALSE)</f>
        <v>SH-BRY80</v>
      </c>
      <c r="M316" t="s">
        <v>851</v>
      </c>
      <c r="N316">
        <v>-1</v>
      </c>
      <c r="O316" t="s">
        <v>45</v>
      </c>
      <c r="Q316" t="s">
        <v>54</v>
      </c>
      <c r="R316" t="s">
        <v>48</v>
      </c>
      <c r="S316" t="s">
        <v>49</v>
      </c>
      <c r="AB316" t="s">
        <v>49</v>
      </c>
      <c r="AC316">
        <v>0</v>
      </c>
      <c r="AD316">
        <v>0</v>
      </c>
      <c r="AE316">
        <v>0</v>
      </c>
      <c r="AF316">
        <v>0</v>
      </c>
      <c r="AG316">
        <v>0</v>
      </c>
      <c r="AH316">
        <v>0</v>
      </c>
      <c r="AI316">
        <v>0</v>
      </c>
      <c r="AJ316">
        <v>0</v>
      </c>
      <c r="AK316">
        <v>0</v>
      </c>
    </row>
    <row r="317" spans="1:37">
      <c r="A317" t="s">
        <v>37</v>
      </c>
      <c r="B317" t="s">
        <v>167</v>
      </c>
      <c r="C317" t="str">
        <f t="shared" si="12"/>
        <v>amzn1.ads-account.g.dfa7o7cwdl371d634ew58i919</v>
      </c>
      <c r="D317" t="s">
        <v>39</v>
      </c>
      <c r="G317" t="str">
        <f t="shared" si="13"/>
        <v>585687237024345541</v>
      </c>
      <c r="H317" t="s">
        <v>40</v>
      </c>
      <c r="I317" t="str">
        <f t="shared" si="14"/>
        <v>585478290940566279</v>
      </c>
      <c r="J317" t="s">
        <v>41</v>
      </c>
      <c r="K317" t="s">
        <v>852</v>
      </c>
      <c r="L317" s="1" t="str">
        <f>VLOOKUP(K317,Sheet1!A:B,2,FALSE)</f>
        <v>XM2-Y90B-DKBU-W7</v>
      </c>
      <c r="M317" t="s">
        <v>853</v>
      </c>
      <c r="N317" t="s">
        <v>74</v>
      </c>
      <c r="O317" t="s">
        <v>45</v>
      </c>
      <c r="P317" t="s">
        <v>59</v>
      </c>
      <c r="Q317" t="s">
        <v>130</v>
      </c>
      <c r="R317" t="s">
        <v>48</v>
      </c>
      <c r="S317" t="s">
        <v>49</v>
      </c>
      <c r="AB317" t="s">
        <v>49</v>
      </c>
      <c r="AC317">
        <v>1</v>
      </c>
      <c r="AD317">
        <v>9.49</v>
      </c>
      <c r="AE317">
        <v>1</v>
      </c>
      <c r="AF317">
        <v>1</v>
      </c>
      <c r="AG317">
        <v>9.49</v>
      </c>
      <c r="AH317">
        <v>1</v>
      </c>
      <c r="AI317">
        <v>0</v>
      </c>
      <c r="AJ317">
        <v>0</v>
      </c>
      <c r="AK317">
        <v>0</v>
      </c>
    </row>
    <row r="318" spans="1:37">
      <c r="A318" t="s">
        <v>37</v>
      </c>
      <c r="B318" t="s">
        <v>854</v>
      </c>
      <c r="C318" t="str">
        <f t="shared" si="12"/>
        <v>amzn1.ads-account.g.dfa7o7cwdl371d634ew58i919</v>
      </c>
      <c r="D318" t="s">
        <v>39</v>
      </c>
      <c r="G318" t="str">
        <f t="shared" si="13"/>
        <v>585687237024345541</v>
      </c>
      <c r="H318" t="s">
        <v>40</v>
      </c>
      <c r="I318" t="str">
        <f t="shared" si="14"/>
        <v>585478290940566279</v>
      </c>
      <c r="J318" t="s">
        <v>41</v>
      </c>
      <c r="K318" t="s">
        <v>855</v>
      </c>
      <c r="L318" s="1" t="str">
        <f>VLOOKUP(K318,Sheet1!A:B,2,FALSE)</f>
        <v>XM2-KD7-RD-32</v>
      </c>
      <c r="M318" t="s">
        <v>856</v>
      </c>
      <c r="N318" t="s">
        <v>177</v>
      </c>
      <c r="O318" t="s">
        <v>45</v>
      </c>
      <c r="P318" t="s">
        <v>46</v>
      </c>
      <c r="Q318" t="s">
        <v>157</v>
      </c>
      <c r="R318" t="s">
        <v>48</v>
      </c>
      <c r="S318" t="s">
        <v>49</v>
      </c>
      <c r="AB318" t="s">
        <v>49</v>
      </c>
      <c r="AC318">
        <v>0</v>
      </c>
      <c r="AD318">
        <v>0</v>
      </c>
      <c r="AE318">
        <v>0</v>
      </c>
      <c r="AF318">
        <v>0</v>
      </c>
      <c r="AG318">
        <v>0</v>
      </c>
      <c r="AH318">
        <v>0</v>
      </c>
      <c r="AI318">
        <v>0</v>
      </c>
      <c r="AJ318">
        <v>0</v>
      </c>
      <c r="AK318">
        <v>0</v>
      </c>
    </row>
    <row r="319" spans="1:37">
      <c r="A319" t="s">
        <v>37</v>
      </c>
      <c r="B319" t="s">
        <v>857</v>
      </c>
      <c r="C319" t="str">
        <f t="shared" si="12"/>
        <v>amzn1.ads-account.g.dfa7o7cwdl371d634ew58i919</v>
      </c>
      <c r="D319" t="s">
        <v>39</v>
      </c>
      <c r="G319" t="str">
        <f t="shared" si="13"/>
        <v>585687237024345541</v>
      </c>
      <c r="H319" t="s">
        <v>40</v>
      </c>
      <c r="I319" t="str">
        <f t="shared" si="14"/>
        <v>585478290940566279</v>
      </c>
      <c r="J319" t="s">
        <v>41</v>
      </c>
      <c r="K319" t="s">
        <v>858</v>
      </c>
      <c r="L319" s="1" t="str">
        <f>VLOOKUP(K319,Sheet1!A:B,2,FALSE)</f>
        <v>XM2-S75-BK-38</v>
      </c>
      <c r="M319" t="s">
        <v>859</v>
      </c>
      <c r="N319" t="s">
        <v>95</v>
      </c>
      <c r="O319" t="s">
        <v>45</v>
      </c>
      <c r="P319" t="s">
        <v>153</v>
      </c>
      <c r="Q319" t="s">
        <v>216</v>
      </c>
      <c r="R319" t="s">
        <v>48</v>
      </c>
      <c r="S319" t="s">
        <v>49</v>
      </c>
      <c r="AB319" t="s">
        <v>49</v>
      </c>
      <c r="AC319">
        <v>1</v>
      </c>
      <c r="AD319">
        <v>39.99</v>
      </c>
      <c r="AE319">
        <v>1</v>
      </c>
      <c r="AF319">
        <v>1</v>
      </c>
      <c r="AG319">
        <v>39.99</v>
      </c>
      <c r="AH319">
        <v>1</v>
      </c>
      <c r="AI319">
        <v>1</v>
      </c>
      <c r="AJ319">
        <v>39.99</v>
      </c>
      <c r="AK319">
        <v>1</v>
      </c>
    </row>
    <row r="320" spans="1:37">
      <c r="A320" t="s">
        <v>37</v>
      </c>
      <c r="B320" t="s">
        <v>607</v>
      </c>
      <c r="C320" t="str">
        <f t="shared" si="12"/>
        <v>amzn1.ads-account.g.dfa7o7cwdl371d634ew58i919</v>
      </c>
      <c r="D320" t="s">
        <v>39</v>
      </c>
      <c r="G320" t="str">
        <f t="shared" si="13"/>
        <v>585687237024345541</v>
      </c>
      <c r="H320" t="s">
        <v>40</v>
      </c>
      <c r="I320" t="str">
        <f t="shared" si="14"/>
        <v>585478290940566279</v>
      </c>
      <c r="J320" t="s">
        <v>41</v>
      </c>
      <c r="K320" t="s">
        <v>860</v>
      </c>
      <c r="L320" s="1" t="str">
        <f>VLOOKUP(K320,Sheet1!A:B,2,FALSE)</f>
        <v>XM2-S71-WT-42</v>
      </c>
      <c r="M320" t="s">
        <v>861</v>
      </c>
      <c r="N320" t="s">
        <v>83</v>
      </c>
      <c r="O320" t="s">
        <v>45</v>
      </c>
      <c r="P320" t="s">
        <v>65</v>
      </c>
      <c r="Q320" t="s">
        <v>84</v>
      </c>
      <c r="R320" t="s">
        <v>48</v>
      </c>
      <c r="S320" t="s">
        <v>49</v>
      </c>
      <c r="AB320" t="s">
        <v>49</v>
      </c>
      <c r="AC320">
        <v>0</v>
      </c>
      <c r="AD320">
        <v>0</v>
      </c>
      <c r="AE320">
        <v>0</v>
      </c>
      <c r="AF320">
        <v>0</v>
      </c>
      <c r="AG320">
        <v>0</v>
      </c>
      <c r="AH320">
        <v>0</v>
      </c>
      <c r="AI320">
        <v>0</v>
      </c>
      <c r="AJ320">
        <v>0</v>
      </c>
      <c r="AK320">
        <v>0</v>
      </c>
    </row>
    <row r="321" spans="1:37">
      <c r="A321" t="s">
        <v>37</v>
      </c>
      <c r="B321" t="s">
        <v>560</v>
      </c>
      <c r="C321" t="str">
        <f t="shared" si="12"/>
        <v>amzn1.ads-account.g.dfa7o7cwdl371d634ew58i919</v>
      </c>
      <c r="D321" t="s">
        <v>39</v>
      </c>
      <c r="G321" t="str">
        <f t="shared" si="13"/>
        <v>585687237024345541</v>
      </c>
      <c r="H321" t="s">
        <v>40</v>
      </c>
      <c r="I321" t="str">
        <f t="shared" si="14"/>
        <v>585478290940566279</v>
      </c>
      <c r="J321" t="s">
        <v>41</v>
      </c>
      <c r="K321" t="s">
        <v>862</v>
      </c>
      <c r="L321" s="1" t="str">
        <f>VLOOKUP(K321,Sheet1!A:B,2,FALSE)</f>
        <v>XM2-Y90B-BG-W10</v>
      </c>
      <c r="M321" t="s">
        <v>863</v>
      </c>
      <c r="N321" t="s">
        <v>74</v>
      </c>
      <c r="O321" t="s">
        <v>45</v>
      </c>
      <c r="Q321" t="s">
        <v>54</v>
      </c>
      <c r="R321" t="s">
        <v>48</v>
      </c>
      <c r="S321" t="s">
        <v>49</v>
      </c>
      <c r="AB321" t="s">
        <v>49</v>
      </c>
      <c r="AC321">
        <v>1</v>
      </c>
      <c r="AD321">
        <v>9.99</v>
      </c>
      <c r="AE321">
        <v>1</v>
      </c>
      <c r="AF321">
        <v>1</v>
      </c>
      <c r="AG321">
        <v>9.99</v>
      </c>
      <c r="AH321">
        <v>1</v>
      </c>
      <c r="AI321">
        <v>1</v>
      </c>
      <c r="AJ321">
        <v>9.99</v>
      </c>
      <c r="AK321">
        <v>1</v>
      </c>
    </row>
    <row r="322" spans="1:37">
      <c r="A322" t="s">
        <v>37</v>
      </c>
      <c r="B322" t="s">
        <v>864</v>
      </c>
      <c r="C322" t="str">
        <f t="shared" ref="C322:C385" si="15">"amzn1.ads-account.g.dfa7o7cwdl371d634ew58i919"</f>
        <v>amzn1.ads-account.g.dfa7o7cwdl371d634ew58i919</v>
      </c>
      <c r="D322" t="s">
        <v>39</v>
      </c>
      <c r="G322" t="str">
        <f t="shared" ref="G322:G385" si="16">"585687237024345541"</f>
        <v>585687237024345541</v>
      </c>
      <c r="H322" t="s">
        <v>40</v>
      </c>
      <c r="I322" t="str">
        <f t="shared" ref="I322:I385" si="17">"585478290940566279"</f>
        <v>585478290940566279</v>
      </c>
      <c r="J322" t="s">
        <v>41</v>
      </c>
      <c r="K322" t="s">
        <v>865</v>
      </c>
      <c r="L322" s="1" t="str">
        <f>VLOOKUP(K322,Sheet1!A:B,2,FALSE)</f>
        <v>Y10Y180-GY-41</v>
      </c>
      <c r="M322" t="s">
        <v>866</v>
      </c>
      <c r="N322">
        <v>-1</v>
      </c>
      <c r="O322" t="s">
        <v>45</v>
      </c>
      <c r="P322" t="s">
        <v>75</v>
      </c>
      <c r="Q322" t="s">
        <v>91</v>
      </c>
      <c r="R322" t="s">
        <v>48</v>
      </c>
      <c r="S322" t="s">
        <v>49</v>
      </c>
      <c r="AB322" t="s">
        <v>49</v>
      </c>
      <c r="AC322">
        <v>0</v>
      </c>
      <c r="AD322">
        <v>0</v>
      </c>
      <c r="AE322">
        <v>0</v>
      </c>
      <c r="AF322">
        <v>0</v>
      </c>
      <c r="AG322">
        <v>0</v>
      </c>
      <c r="AH322">
        <v>0</v>
      </c>
      <c r="AI322">
        <v>0</v>
      </c>
      <c r="AJ322">
        <v>0</v>
      </c>
      <c r="AK322">
        <v>0</v>
      </c>
    </row>
    <row r="323" spans="1:37">
      <c r="A323" t="s">
        <v>37</v>
      </c>
      <c r="B323" t="s">
        <v>178</v>
      </c>
      <c r="C323" t="str">
        <f t="shared" si="15"/>
        <v>amzn1.ads-account.g.dfa7o7cwdl371d634ew58i919</v>
      </c>
      <c r="D323" t="s">
        <v>39</v>
      </c>
      <c r="G323" t="str">
        <f t="shared" si="16"/>
        <v>585687237024345541</v>
      </c>
      <c r="H323" t="s">
        <v>40</v>
      </c>
      <c r="I323" t="str">
        <f t="shared" si="17"/>
        <v>585478290940566279</v>
      </c>
      <c r="J323" t="s">
        <v>41</v>
      </c>
      <c r="K323" t="s">
        <v>867</v>
      </c>
      <c r="L323" s="1" t="str">
        <f>VLOOKUP(K323,Sheet1!A:B,2,FALSE)</f>
        <v>XM2-S73-GN-43</v>
      </c>
      <c r="M323" t="s">
        <v>868</v>
      </c>
      <c r="N323" t="s">
        <v>83</v>
      </c>
      <c r="O323" t="s">
        <v>45</v>
      </c>
      <c r="P323" t="s">
        <v>65</v>
      </c>
      <c r="Q323" t="s">
        <v>84</v>
      </c>
      <c r="R323" t="s">
        <v>48</v>
      </c>
      <c r="S323" t="s">
        <v>49</v>
      </c>
      <c r="AB323" t="s">
        <v>49</v>
      </c>
      <c r="AC323">
        <v>0</v>
      </c>
      <c r="AD323">
        <v>0</v>
      </c>
      <c r="AE323">
        <v>0</v>
      </c>
      <c r="AF323">
        <v>0</v>
      </c>
      <c r="AG323">
        <v>0</v>
      </c>
      <c r="AH323">
        <v>0</v>
      </c>
      <c r="AI323">
        <v>0</v>
      </c>
      <c r="AJ323">
        <v>0</v>
      </c>
      <c r="AK323">
        <v>0</v>
      </c>
    </row>
    <row r="324" spans="1:37">
      <c r="A324" t="s">
        <v>37</v>
      </c>
      <c r="B324" t="s">
        <v>150</v>
      </c>
      <c r="C324" t="str">
        <f t="shared" si="15"/>
        <v>amzn1.ads-account.g.dfa7o7cwdl371d634ew58i919</v>
      </c>
      <c r="D324" t="s">
        <v>39</v>
      </c>
      <c r="G324" t="str">
        <f t="shared" si="16"/>
        <v>585687237024345541</v>
      </c>
      <c r="H324" t="s">
        <v>40</v>
      </c>
      <c r="I324" t="str">
        <f t="shared" si="17"/>
        <v>585478290940566279</v>
      </c>
      <c r="J324" t="s">
        <v>41</v>
      </c>
      <c r="K324" t="s">
        <v>869</v>
      </c>
      <c r="L324" s="1" t="str">
        <f>VLOOKUP(K324,Sheet1!A:B,2,FALSE)</f>
        <v>SH-BRS71-DGY-42</v>
      </c>
      <c r="M324" t="s">
        <v>870</v>
      </c>
      <c r="N324" t="s">
        <v>110</v>
      </c>
      <c r="O324" t="s">
        <v>45</v>
      </c>
      <c r="P324" t="s">
        <v>118</v>
      </c>
      <c r="Q324" t="s">
        <v>119</v>
      </c>
      <c r="R324" t="s">
        <v>48</v>
      </c>
      <c r="S324" t="s">
        <v>49</v>
      </c>
      <c r="AB324" t="s">
        <v>49</v>
      </c>
      <c r="AC324">
        <v>0</v>
      </c>
      <c r="AD324">
        <v>0</v>
      </c>
      <c r="AE324">
        <v>0</v>
      </c>
      <c r="AF324">
        <v>0</v>
      </c>
      <c r="AG324">
        <v>0</v>
      </c>
      <c r="AH324">
        <v>0</v>
      </c>
      <c r="AI324">
        <v>0</v>
      </c>
      <c r="AJ324">
        <v>0</v>
      </c>
      <c r="AK324">
        <v>0</v>
      </c>
    </row>
    <row r="325" spans="1:37">
      <c r="A325" t="s">
        <v>37</v>
      </c>
      <c r="B325" t="s">
        <v>368</v>
      </c>
      <c r="C325" t="str">
        <f t="shared" si="15"/>
        <v>amzn1.ads-account.g.dfa7o7cwdl371d634ew58i919</v>
      </c>
      <c r="D325" t="s">
        <v>39</v>
      </c>
      <c r="G325" t="str">
        <f t="shared" si="16"/>
        <v>585687237024345541</v>
      </c>
      <c r="H325" t="s">
        <v>40</v>
      </c>
      <c r="I325" t="str">
        <f t="shared" si="17"/>
        <v>585478290940566279</v>
      </c>
      <c r="J325" t="s">
        <v>41</v>
      </c>
      <c r="K325" t="s">
        <v>871</v>
      </c>
      <c r="L325" s="1" t="str">
        <f>VLOOKUP(K325,Sheet1!A:B,2,FALSE)</f>
        <v>XM2-S75-BG-40</v>
      </c>
      <c r="M325" t="s">
        <v>872</v>
      </c>
      <c r="N325" t="s">
        <v>95</v>
      </c>
      <c r="O325" t="s">
        <v>45</v>
      </c>
      <c r="P325" t="s">
        <v>65</v>
      </c>
      <c r="Q325" t="s">
        <v>84</v>
      </c>
      <c r="R325" t="s">
        <v>48</v>
      </c>
      <c r="S325" t="s">
        <v>49</v>
      </c>
      <c r="AB325" t="s">
        <v>49</v>
      </c>
      <c r="AC325">
        <v>0</v>
      </c>
      <c r="AD325">
        <v>0</v>
      </c>
      <c r="AE325">
        <v>0</v>
      </c>
      <c r="AF325">
        <v>0</v>
      </c>
      <c r="AG325">
        <v>0</v>
      </c>
      <c r="AH325">
        <v>0</v>
      </c>
      <c r="AI325">
        <v>0</v>
      </c>
      <c r="AJ325">
        <v>0</v>
      </c>
      <c r="AK325">
        <v>0</v>
      </c>
    </row>
    <row r="326" spans="1:37">
      <c r="A326" t="s">
        <v>37</v>
      </c>
      <c r="B326" t="s">
        <v>230</v>
      </c>
      <c r="C326" t="str">
        <f t="shared" si="15"/>
        <v>amzn1.ads-account.g.dfa7o7cwdl371d634ew58i919</v>
      </c>
      <c r="D326" t="s">
        <v>39</v>
      </c>
      <c r="G326" t="str">
        <f t="shared" si="16"/>
        <v>585687237024345541</v>
      </c>
      <c r="H326" t="s">
        <v>40</v>
      </c>
      <c r="I326" t="str">
        <f t="shared" si="17"/>
        <v>585478290940566279</v>
      </c>
      <c r="J326" t="s">
        <v>41</v>
      </c>
      <c r="K326" t="s">
        <v>873</v>
      </c>
      <c r="L326" s="1" t="str">
        <f>VLOOKUP(K326,Sheet1!A:B,2,FALSE)</f>
        <v>XM2-S73-WT-42</v>
      </c>
      <c r="M326" t="s">
        <v>874</v>
      </c>
      <c r="N326" t="s">
        <v>83</v>
      </c>
      <c r="O326" t="s">
        <v>45</v>
      </c>
      <c r="P326" t="s">
        <v>65</v>
      </c>
      <c r="Q326" t="s">
        <v>875</v>
      </c>
      <c r="R326" t="s">
        <v>48</v>
      </c>
      <c r="S326" t="s">
        <v>49</v>
      </c>
      <c r="AB326" t="s">
        <v>49</v>
      </c>
      <c r="AC326">
        <v>0</v>
      </c>
      <c r="AD326">
        <v>0</v>
      </c>
      <c r="AE326">
        <v>0</v>
      </c>
      <c r="AF326">
        <v>0</v>
      </c>
      <c r="AG326">
        <v>0</v>
      </c>
      <c r="AH326">
        <v>0</v>
      </c>
      <c r="AI326">
        <v>0</v>
      </c>
      <c r="AJ326">
        <v>0</v>
      </c>
      <c r="AK326">
        <v>0</v>
      </c>
    </row>
    <row r="327" spans="1:37">
      <c r="A327" t="s">
        <v>37</v>
      </c>
      <c r="B327" t="s">
        <v>876</v>
      </c>
      <c r="C327" t="str">
        <f t="shared" si="15"/>
        <v>amzn1.ads-account.g.dfa7o7cwdl371d634ew58i919</v>
      </c>
      <c r="D327" t="s">
        <v>39</v>
      </c>
      <c r="G327" t="str">
        <f t="shared" si="16"/>
        <v>585687237024345541</v>
      </c>
      <c r="H327" t="s">
        <v>40</v>
      </c>
      <c r="I327" t="str">
        <f t="shared" si="17"/>
        <v>585478290940566279</v>
      </c>
      <c r="J327" t="s">
        <v>41</v>
      </c>
      <c r="K327" t="s">
        <v>877</v>
      </c>
      <c r="L327" s="1" t="str">
        <f>VLOOKUP(K327,Sheet1!A:B,2,FALSE)</f>
        <v>SH-BRY180-TPL-43</v>
      </c>
      <c r="M327" t="s">
        <v>878</v>
      </c>
      <c r="N327" t="s">
        <v>64</v>
      </c>
      <c r="O327" t="s">
        <v>45</v>
      </c>
      <c r="P327" t="s">
        <v>59</v>
      </c>
      <c r="Q327" t="s">
        <v>130</v>
      </c>
      <c r="R327" t="s">
        <v>48</v>
      </c>
      <c r="S327" t="s">
        <v>49</v>
      </c>
      <c r="AB327" t="s">
        <v>49</v>
      </c>
      <c r="AC327">
        <v>0</v>
      </c>
      <c r="AD327">
        <v>0</v>
      </c>
      <c r="AE327">
        <v>0</v>
      </c>
      <c r="AF327">
        <v>0</v>
      </c>
      <c r="AG327">
        <v>0</v>
      </c>
      <c r="AH327">
        <v>0</v>
      </c>
      <c r="AI327">
        <v>0</v>
      </c>
      <c r="AJ327">
        <v>0</v>
      </c>
      <c r="AK327">
        <v>0</v>
      </c>
    </row>
    <row r="328" spans="1:37">
      <c r="A328" t="s">
        <v>37</v>
      </c>
      <c r="B328" t="s">
        <v>50</v>
      </c>
      <c r="C328" t="str">
        <f t="shared" si="15"/>
        <v>amzn1.ads-account.g.dfa7o7cwdl371d634ew58i919</v>
      </c>
      <c r="D328" t="s">
        <v>39</v>
      </c>
      <c r="G328" t="str">
        <f t="shared" si="16"/>
        <v>585687237024345541</v>
      </c>
      <c r="H328" t="s">
        <v>40</v>
      </c>
      <c r="I328" t="str">
        <f t="shared" si="17"/>
        <v>585478290940566279</v>
      </c>
      <c r="J328" t="s">
        <v>41</v>
      </c>
      <c r="K328" t="s">
        <v>879</v>
      </c>
      <c r="L328" s="1" t="str">
        <f>VLOOKUP(K328,Sheet1!A:B,2,FALSE)</f>
        <v>Y10 Y180-BK-41</v>
      </c>
      <c r="M328" t="s">
        <v>880</v>
      </c>
      <c r="N328">
        <v>-1</v>
      </c>
      <c r="O328" t="s">
        <v>45</v>
      </c>
      <c r="P328" t="s">
        <v>59</v>
      </c>
      <c r="Q328" t="s">
        <v>114</v>
      </c>
      <c r="R328" t="s">
        <v>48</v>
      </c>
      <c r="S328" t="s">
        <v>49</v>
      </c>
      <c r="AB328" t="s">
        <v>49</v>
      </c>
      <c r="AC328">
        <v>0</v>
      </c>
      <c r="AD328">
        <v>0</v>
      </c>
      <c r="AE328">
        <v>0</v>
      </c>
      <c r="AF328">
        <v>0</v>
      </c>
      <c r="AG328">
        <v>0</v>
      </c>
      <c r="AH328">
        <v>0</v>
      </c>
      <c r="AI328">
        <v>0</v>
      </c>
      <c r="AJ328">
        <v>0</v>
      </c>
      <c r="AK328">
        <v>0</v>
      </c>
    </row>
    <row r="329" spans="1:37">
      <c r="A329" t="s">
        <v>37</v>
      </c>
      <c r="B329" t="s">
        <v>147</v>
      </c>
      <c r="C329" t="str">
        <f t="shared" si="15"/>
        <v>amzn1.ads-account.g.dfa7o7cwdl371d634ew58i919</v>
      </c>
      <c r="D329" t="s">
        <v>39</v>
      </c>
      <c r="G329" t="str">
        <f t="shared" si="16"/>
        <v>585687237024345541</v>
      </c>
      <c r="H329" t="s">
        <v>40</v>
      </c>
      <c r="I329" t="str">
        <f t="shared" si="17"/>
        <v>585478290940566279</v>
      </c>
      <c r="J329" t="s">
        <v>41</v>
      </c>
      <c r="K329" t="s">
        <v>881</v>
      </c>
      <c r="L329" s="1" t="str">
        <f>VLOOKUP(K329,Sheet1!A:B,2,FALSE)</f>
        <v>SH-BRY180-BK-43</v>
      </c>
      <c r="M329" t="s">
        <v>882</v>
      </c>
      <c r="N329" t="s">
        <v>64</v>
      </c>
      <c r="O329" t="s">
        <v>45</v>
      </c>
      <c r="P329" t="s">
        <v>59</v>
      </c>
      <c r="Q329" t="s">
        <v>130</v>
      </c>
      <c r="R329" t="s">
        <v>48</v>
      </c>
      <c r="S329" t="s">
        <v>49</v>
      </c>
      <c r="AB329" t="s">
        <v>49</v>
      </c>
      <c r="AC329">
        <v>6</v>
      </c>
      <c r="AD329">
        <v>119.94</v>
      </c>
      <c r="AE329">
        <v>6</v>
      </c>
      <c r="AF329">
        <v>6</v>
      </c>
      <c r="AG329">
        <v>119.94</v>
      </c>
      <c r="AH329">
        <v>6</v>
      </c>
      <c r="AI329">
        <v>5</v>
      </c>
      <c r="AJ329">
        <v>99.95</v>
      </c>
      <c r="AK329">
        <v>5</v>
      </c>
    </row>
    <row r="330" spans="1:37">
      <c r="A330" t="s">
        <v>37</v>
      </c>
      <c r="B330" t="s">
        <v>100</v>
      </c>
      <c r="C330" t="str">
        <f t="shared" si="15"/>
        <v>amzn1.ads-account.g.dfa7o7cwdl371d634ew58i919</v>
      </c>
      <c r="D330" t="s">
        <v>39</v>
      </c>
      <c r="G330" t="str">
        <f t="shared" si="16"/>
        <v>585687237024345541</v>
      </c>
      <c r="H330" t="s">
        <v>40</v>
      </c>
      <c r="I330" t="str">
        <f t="shared" si="17"/>
        <v>585478290940566279</v>
      </c>
      <c r="J330" t="s">
        <v>41</v>
      </c>
      <c r="K330" t="s">
        <v>883</v>
      </c>
      <c r="L330" s="1" t="str">
        <f>VLOOKUP(K330,Sheet1!A:B,2,FALSE)</f>
        <v>XM2-S71-BKGY-36</v>
      </c>
      <c r="M330" t="s">
        <v>884</v>
      </c>
      <c r="N330" t="s">
        <v>83</v>
      </c>
      <c r="O330" t="s">
        <v>45</v>
      </c>
      <c r="P330" t="s">
        <v>65</v>
      </c>
      <c r="Q330" t="s">
        <v>84</v>
      </c>
      <c r="R330" t="s">
        <v>48</v>
      </c>
      <c r="S330" t="s">
        <v>49</v>
      </c>
      <c r="AB330" t="s">
        <v>49</v>
      </c>
      <c r="AC330">
        <v>0</v>
      </c>
      <c r="AD330">
        <v>0</v>
      </c>
      <c r="AE330">
        <v>0</v>
      </c>
      <c r="AF330">
        <v>0</v>
      </c>
      <c r="AG330">
        <v>0</v>
      </c>
      <c r="AH330">
        <v>0</v>
      </c>
      <c r="AI330">
        <v>0</v>
      </c>
      <c r="AJ330">
        <v>0</v>
      </c>
      <c r="AK330">
        <v>0</v>
      </c>
    </row>
    <row r="331" spans="1:37">
      <c r="A331" t="s">
        <v>37</v>
      </c>
      <c r="B331" t="s">
        <v>120</v>
      </c>
      <c r="C331" t="str">
        <f t="shared" si="15"/>
        <v>amzn1.ads-account.g.dfa7o7cwdl371d634ew58i919</v>
      </c>
      <c r="D331" t="s">
        <v>39</v>
      </c>
      <c r="G331" t="str">
        <f t="shared" si="16"/>
        <v>585687237024345541</v>
      </c>
      <c r="H331" t="s">
        <v>40</v>
      </c>
      <c r="I331" t="str">
        <f t="shared" si="17"/>
        <v>585478290940566279</v>
      </c>
      <c r="J331" t="s">
        <v>41</v>
      </c>
      <c r="K331" t="s">
        <v>885</v>
      </c>
      <c r="L331" s="1" t="str">
        <f>VLOOKUP(K331,Sheet1!A:B,2,FALSE)</f>
        <v>SH-BRY10-BU-43</v>
      </c>
      <c r="M331" t="s">
        <v>886</v>
      </c>
      <c r="N331" t="s">
        <v>44</v>
      </c>
      <c r="O331" t="s">
        <v>45</v>
      </c>
      <c r="P331" t="s">
        <v>75</v>
      </c>
      <c r="Q331" t="s">
        <v>91</v>
      </c>
      <c r="R331" t="s">
        <v>48</v>
      </c>
      <c r="S331" t="s">
        <v>49</v>
      </c>
      <c r="AB331" t="s">
        <v>49</v>
      </c>
      <c r="AC331">
        <v>17</v>
      </c>
      <c r="AD331">
        <v>362.69</v>
      </c>
      <c r="AE331">
        <v>17</v>
      </c>
      <c r="AF331">
        <v>17</v>
      </c>
      <c r="AG331">
        <v>362.69</v>
      </c>
      <c r="AH331">
        <v>17</v>
      </c>
      <c r="AI331">
        <v>16</v>
      </c>
      <c r="AJ331">
        <v>343.36</v>
      </c>
      <c r="AK331">
        <v>16</v>
      </c>
    </row>
    <row r="332" spans="1:37">
      <c r="A332" t="s">
        <v>37</v>
      </c>
      <c r="B332" t="s">
        <v>38</v>
      </c>
      <c r="C332" t="str">
        <f t="shared" si="15"/>
        <v>amzn1.ads-account.g.dfa7o7cwdl371d634ew58i919</v>
      </c>
      <c r="D332" t="s">
        <v>39</v>
      </c>
      <c r="G332" t="str">
        <f t="shared" si="16"/>
        <v>585687237024345541</v>
      </c>
      <c r="H332" t="s">
        <v>40</v>
      </c>
      <c r="I332" t="str">
        <f t="shared" si="17"/>
        <v>585478290940566279</v>
      </c>
      <c r="J332" t="s">
        <v>41</v>
      </c>
      <c r="K332" t="s">
        <v>887</v>
      </c>
      <c r="L332" s="1" t="str">
        <f>VLOOKUP(K332,Sheet1!A:B,2,FALSE)</f>
        <v>SH-BRY10-CL-38</v>
      </c>
      <c r="M332" t="s">
        <v>888</v>
      </c>
      <c r="N332" t="s">
        <v>44</v>
      </c>
      <c r="O332" t="s">
        <v>45</v>
      </c>
      <c r="P332" t="s">
        <v>59</v>
      </c>
      <c r="Q332" t="s">
        <v>173</v>
      </c>
      <c r="R332" t="s">
        <v>48</v>
      </c>
      <c r="S332" t="s">
        <v>49</v>
      </c>
      <c r="AB332" t="s">
        <v>49</v>
      </c>
      <c r="AC332">
        <v>6</v>
      </c>
      <c r="AD332">
        <v>143.94</v>
      </c>
      <c r="AE332">
        <v>6</v>
      </c>
      <c r="AF332">
        <v>6</v>
      </c>
      <c r="AG332">
        <v>143.94</v>
      </c>
      <c r="AH332">
        <v>6</v>
      </c>
      <c r="AI332">
        <v>5</v>
      </c>
      <c r="AJ332">
        <v>119.95</v>
      </c>
      <c r="AK332">
        <v>5</v>
      </c>
    </row>
    <row r="333" spans="1:37">
      <c r="A333" t="s">
        <v>37</v>
      </c>
      <c r="B333" t="s">
        <v>368</v>
      </c>
      <c r="C333" t="str">
        <f t="shared" si="15"/>
        <v>amzn1.ads-account.g.dfa7o7cwdl371d634ew58i919</v>
      </c>
      <c r="D333" t="s">
        <v>39</v>
      </c>
      <c r="G333" t="str">
        <f t="shared" si="16"/>
        <v>585687237024345541</v>
      </c>
      <c r="H333" t="s">
        <v>40</v>
      </c>
      <c r="I333" t="str">
        <f t="shared" si="17"/>
        <v>585478290940566279</v>
      </c>
      <c r="J333" t="s">
        <v>41</v>
      </c>
      <c r="K333" t="s">
        <v>889</v>
      </c>
      <c r="L333" s="1" t="str">
        <f>VLOOKUP(K333,Sheet1!A:B,2,FALSE)</f>
        <v>XM2-S73-ABK-40</v>
      </c>
      <c r="M333" t="s">
        <v>890</v>
      </c>
      <c r="N333" t="s">
        <v>83</v>
      </c>
      <c r="O333" t="s">
        <v>45</v>
      </c>
      <c r="P333" t="s">
        <v>65</v>
      </c>
      <c r="Q333" t="s">
        <v>84</v>
      </c>
      <c r="R333" t="s">
        <v>48</v>
      </c>
      <c r="S333" t="s">
        <v>49</v>
      </c>
      <c r="AB333" t="s">
        <v>49</v>
      </c>
      <c r="AC333">
        <v>0</v>
      </c>
      <c r="AD333">
        <v>0</v>
      </c>
      <c r="AE333">
        <v>0</v>
      </c>
      <c r="AF333">
        <v>0</v>
      </c>
      <c r="AG333">
        <v>0</v>
      </c>
      <c r="AH333">
        <v>0</v>
      </c>
      <c r="AI333">
        <v>0</v>
      </c>
      <c r="AJ333">
        <v>0</v>
      </c>
      <c r="AK333">
        <v>0</v>
      </c>
    </row>
    <row r="334" spans="1:37">
      <c r="A334" t="s">
        <v>37</v>
      </c>
      <c r="B334" t="s">
        <v>38</v>
      </c>
      <c r="C334" t="str">
        <f t="shared" si="15"/>
        <v>amzn1.ads-account.g.dfa7o7cwdl371d634ew58i919</v>
      </c>
      <c r="D334" t="s">
        <v>39</v>
      </c>
      <c r="G334" t="str">
        <f t="shared" si="16"/>
        <v>585687237024345541</v>
      </c>
      <c r="H334" t="s">
        <v>40</v>
      </c>
      <c r="I334" t="str">
        <f t="shared" si="17"/>
        <v>585478290940566279</v>
      </c>
      <c r="J334" t="s">
        <v>41</v>
      </c>
      <c r="K334" t="s">
        <v>891</v>
      </c>
      <c r="L334" s="1" t="str">
        <f>VLOOKUP(K334,Sheet1!A:B,2,FALSE)</f>
        <v>SH-BRY10-RERD-41</v>
      </c>
      <c r="M334" t="s">
        <v>892</v>
      </c>
      <c r="N334" t="s">
        <v>44</v>
      </c>
      <c r="O334" t="s">
        <v>45</v>
      </c>
      <c r="P334" t="s">
        <v>75</v>
      </c>
      <c r="Q334" t="s">
        <v>91</v>
      </c>
      <c r="R334" t="s">
        <v>48</v>
      </c>
      <c r="S334" t="s">
        <v>49</v>
      </c>
      <c r="AB334" t="s">
        <v>49</v>
      </c>
      <c r="AC334">
        <v>1</v>
      </c>
      <c r="AD334">
        <v>23.99</v>
      </c>
      <c r="AE334">
        <v>1</v>
      </c>
      <c r="AF334">
        <v>1</v>
      </c>
      <c r="AG334">
        <v>23.99</v>
      </c>
      <c r="AH334">
        <v>1</v>
      </c>
      <c r="AI334">
        <v>0</v>
      </c>
      <c r="AJ334">
        <v>0</v>
      </c>
      <c r="AK334">
        <v>0</v>
      </c>
    </row>
    <row r="335" spans="1:37">
      <c r="A335" t="s">
        <v>37</v>
      </c>
      <c r="B335" t="s">
        <v>335</v>
      </c>
      <c r="C335" t="str">
        <f t="shared" si="15"/>
        <v>amzn1.ads-account.g.dfa7o7cwdl371d634ew58i919</v>
      </c>
      <c r="D335" t="s">
        <v>39</v>
      </c>
      <c r="G335" t="str">
        <f t="shared" si="16"/>
        <v>585687237024345541</v>
      </c>
      <c r="H335" t="s">
        <v>40</v>
      </c>
      <c r="I335" t="str">
        <f t="shared" si="17"/>
        <v>585478290940566279</v>
      </c>
      <c r="J335" t="s">
        <v>41</v>
      </c>
      <c r="K335" t="s">
        <v>893</v>
      </c>
      <c r="L335" s="1" t="str">
        <f>VLOOKUP(K335,Sheet1!A:B,2,FALSE)</f>
        <v>SH-BRS71-DGY-41N</v>
      </c>
      <c r="M335" t="s">
        <v>894</v>
      </c>
      <c r="N335" t="s">
        <v>110</v>
      </c>
      <c r="O335" t="s">
        <v>45</v>
      </c>
      <c r="P335" t="s">
        <v>65</v>
      </c>
      <c r="Q335" t="s">
        <v>207</v>
      </c>
      <c r="R335" t="s">
        <v>48</v>
      </c>
      <c r="S335" t="s">
        <v>49</v>
      </c>
      <c r="AB335" t="s">
        <v>49</v>
      </c>
      <c r="AC335">
        <v>0</v>
      </c>
      <c r="AD335">
        <v>0</v>
      </c>
      <c r="AE335">
        <v>0</v>
      </c>
      <c r="AF335">
        <v>0</v>
      </c>
      <c r="AG335">
        <v>0</v>
      </c>
      <c r="AH335">
        <v>0</v>
      </c>
      <c r="AI335">
        <v>0</v>
      </c>
      <c r="AJ335">
        <v>0</v>
      </c>
      <c r="AK335">
        <v>0</v>
      </c>
    </row>
    <row r="336" spans="1:37">
      <c r="A336" t="s">
        <v>37</v>
      </c>
      <c r="B336" t="s">
        <v>288</v>
      </c>
      <c r="C336" t="str">
        <f t="shared" si="15"/>
        <v>amzn1.ads-account.g.dfa7o7cwdl371d634ew58i919</v>
      </c>
      <c r="D336" t="s">
        <v>39</v>
      </c>
      <c r="G336" t="str">
        <f t="shared" si="16"/>
        <v>585687237024345541</v>
      </c>
      <c r="H336" t="s">
        <v>40</v>
      </c>
      <c r="I336" t="str">
        <f t="shared" si="17"/>
        <v>585478290940566279</v>
      </c>
      <c r="J336" t="s">
        <v>41</v>
      </c>
      <c r="K336" t="s">
        <v>895</v>
      </c>
      <c r="L336" s="1" t="e">
        <f>VLOOKUP(K336,Sheet1!A:B,2,FALSE)</f>
        <v>#N/A</v>
      </c>
      <c r="M336" t="s">
        <v>896</v>
      </c>
      <c r="N336" t="s">
        <v>743</v>
      </c>
      <c r="O336" t="s">
        <v>45</v>
      </c>
      <c r="P336" t="s">
        <v>46</v>
      </c>
      <c r="Q336" t="s">
        <v>897</v>
      </c>
      <c r="R336" t="s">
        <v>48</v>
      </c>
      <c r="S336" t="s">
        <v>49</v>
      </c>
      <c r="AB336" t="s">
        <v>49</v>
      </c>
      <c r="AC336">
        <v>0</v>
      </c>
      <c r="AD336">
        <v>0</v>
      </c>
      <c r="AE336">
        <v>0</v>
      </c>
      <c r="AF336">
        <v>0</v>
      </c>
      <c r="AG336">
        <v>0</v>
      </c>
      <c r="AH336">
        <v>0</v>
      </c>
      <c r="AI336">
        <v>0</v>
      </c>
      <c r="AJ336">
        <v>0</v>
      </c>
      <c r="AK336">
        <v>0</v>
      </c>
    </row>
    <row r="337" spans="1:37">
      <c r="A337" t="s">
        <v>37</v>
      </c>
      <c r="B337" t="s">
        <v>236</v>
      </c>
      <c r="C337" t="str">
        <f t="shared" si="15"/>
        <v>amzn1.ads-account.g.dfa7o7cwdl371d634ew58i919</v>
      </c>
      <c r="D337" t="s">
        <v>39</v>
      </c>
      <c r="G337" t="str">
        <f t="shared" si="16"/>
        <v>585687237024345541</v>
      </c>
      <c r="H337" t="s">
        <v>40</v>
      </c>
      <c r="I337" t="str">
        <f t="shared" si="17"/>
        <v>585478290940566279</v>
      </c>
      <c r="J337" t="s">
        <v>41</v>
      </c>
      <c r="K337" t="s">
        <v>898</v>
      </c>
      <c r="L337" s="1" t="str">
        <f>VLOOKUP(K337,Sheet1!A:B,2,FALSE)</f>
        <v>LB1-Y15-PK-41</v>
      </c>
      <c r="M337" t="s">
        <v>899</v>
      </c>
      <c r="N337" t="s">
        <v>58</v>
      </c>
      <c r="O337" t="s">
        <v>45</v>
      </c>
      <c r="P337" t="s">
        <v>59</v>
      </c>
      <c r="Q337" t="s">
        <v>114</v>
      </c>
      <c r="R337" t="s">
        <v>48</v>
      </c>
      <c r="S337" t="s">
        <v>49</v>
      </c>
      <c r="AB337" t="s">
        <v>49</v>
      </c>
      <c r="AC337">
        <v>0</v>
      </c>
      <c r="AD337">
        <v>0</v>
      </c>
      <c r="AE337">
        <v>0</v>
      </c>
      <c r="AF337">
        <v>0</v>
      </c>
      <c r="AG337">
        <v>0</v>
      </c>
      <c r="AH337">
        <v>0</v>
      </c>
      <c r="AI337">
        <v>0</v>
      </c>
      <c r="AJ337">
        <v>0</v>
      </c>
      <c r="AK337">
        <v>0</v>
      </c>
    </row>
    <row r="338" spans="1:37">
      <c r="A338" t="s">
        <v>37</v>
      </c>
      <c r="B338" t="s">
        <v>640</v>
      </c>
      <c r="C338" t="str">
        <f t="shared" si="15"/>
        <v>amzn1.ads-account.g.dfa7o7cwdl371d634ew58i919</v>
      </c>
      <c r="D338" t="s">
        <v>39</v>
      </c>
      <c r="G338" t="str">
        <f t="shared" si="16"/>
        <v>585687237024345541</v>
      </c>
      <c r="H338" t="s">
        <v>40</v>
      </c>
      <c r="I338" t="str">
        <f t="shared" si="17"/>
        <v>585478290940566279</v>
      </c>
      <c r="J338" t="s">
        <v>41</v>
      </c>
      <c r="K338" t="s">
        <v>900</v>
      </c>
      <c r="L338" s="1" t="str">
        <f>VLOOKUP(K338,Sheet1!A:B,2,FALSE)</f>
        <v>XM2-S73-ABK-39</v>
      </c>
      <c r="M338" t="s">
        <v>901</v>
      </c>
      <c r="N338" t="s">
        <v>83</v>
      </c>
      <c r="O338" t="s">
        <v>45</v>
      </c>
      <c r="P338" t="s">
        <v>153</v>
      </c>
      <c r="Q338" t="s">
        <v>154</v>
      </c>
      <c r="R338" t="s">
        <v>48</v>
      </c>
      <c r="S338" t="s">
        <v>49</v>
      </c>
      <c r="AB338" t="s">
        <v>49</v>
      </c>
      <c r="AC338">
        <v>1</v>
      </c>
      <c r="AD338">
        <v>47.49</v>
      </c>
      <c r="AE338">
        <v>1</v>
      </c>
      <c r="AF338">
        <v>1</v>
      </c>
      <c r="AG338">
        <v>47.49</v>
      </c>
      <c r="AH338">
        <v>1</v>
      </c>
      <c r="AI338">
        <v>0</v>
      </c>
      <c r="AJ338">
        <v>0</v>
      </c>
      <c r="AK338">
        <v>0</v>
      </c>
    </row>
    <row r="339" spans="1:37">
      <c r="A339" t="s">
        <v>37</v>
      </c>
      <c r="B339" t="s">
        <v>174</v>
      </c>
      <c r="C339" t="str">
        <f t="shared" si="15"/>
        <v>amzn1.ads-account.g.dfa7o7cwdl371d634ew58i919</v>
      </c>
      <c r="D339" t="s">
        <v>39</v>
      </c>
      <c r="G339" t="str">
        <f t="shared" si="16"/>
        <v>585687237024345541</v>
      </c>
      <c r="H339" t="s">
        <v>40</v>
      </c>
      <c r="I339" t="str">
        <f t="shared" si="17"/>
        <v>585478290940566279</v>
      </c>
      <c r="J339" t="s">
        <v>41</v>
      </c>
      <c r="K339" t="s">
        <v>902</v>
      </c>
      <c r="L339" s="1" t="str">
        <f>VLOOKUP(K339,Sheet1!A:B,2,FALSE)</f>
        <v>XM2-KD7-BKWT-37</v>
      </c>
      <c r="M339" t="s">
        <v>903</v>
      </c>
      <c r="N339" t="s">
        <v>177</v>
      </c>
      <c r="O339" t="s">
        <v>45</v>
      </c>
      <c r="P339" t="s">
        <v>46</v>
      </c>
      <c r="Q339" t="s">
        <v>897</v>
      </c>
      <c r="R339" t="s">
        <v>48</v>
      </c>
      <c r="S339" t="s">
        <v>49</v>
      </c>
      <c r="AB339" t="s">
        <v>49</v>
      </c>
      <c r="AC339">
        <v>0</v>
      </c>
      <c r="AD339">
        <v>0</v>
      </c>
      <c r="AE339">
        <v>0</v>
      </c>
      <c r="AF339">
        <v>0</v>
      </c>
      <c r="AG339">
        <v>0</v>
      </c>
      <c r="AH339">
        <v>0</v>
      </c>
      <c r="AI339">
        <v>0</v>
      </c>
      <c r="AJ339">
        <v>0</v>
      </c>
      <c r="AK339">
        <v>0</v>
      </c>
    </row>
    <row r="340" spans="1:37">
      <c r="A340" t="s">
        <v>37</v>
      </c>
      <c r="B340" t="s">
        <v>150</v>
      </c>
      <c r="C340" t="str">
        <f t="shared" si="15"/>
        <v>amzn1.ads-account.g.dfa7o7cwdl371d634ew58i919</v>
      </c>
      <c r="D340" t="s">
        <v>39</v>
      </c>
      <c r="G340" t="str">
        <f t="shared" si="16"/>
        <v>585687237024345541</v>
      </c>
      <c r="H340" t="s">
        <v>40</v>
      </c>
      <c r="I340" t="str">
        <f t="shared" si="17"/>
        <v>585478290940566279</v>
      </c>
      <c r="J340" t="s">
        <v>41</v>
      </c>
      <c r="K340" t="s">
        <v>904</v>
      </c>
      <c r="L340" s="1" t="str">
        <f>VLOOKUP(K340,Sheet1!A:B,2,FALSE)</f>
        <v>SH-BRS71-BKRD-45</v>
      </c>
      <c r="M340" t="s">
        <v>905</v>
      </c>
      <c r="N340" t="s">
        <v>110</v>
      </c>
      <c r="O340" t="s">
        <v>45</v>
      </c>
      <c r="P340" t="s">
        <v>65</v>
      </c>
      <c r="Q340" t="s">
        <v>111</v>
      </c>
      <c r="R340" t="s">
        <v>48</v>
      </c>
      <c r="S340" t="s">
        <v>49</v>
      </c>
      <c r="AB340" t="s">
        <v>49</v>
      </c>
      <c r="AC340">
        <v>0</v>
      </c>
      <c r="AD340">
        <v>0</v>
      </c>
      <c r="AE340">
        <v>0</v>
      </c>
      <c r="AF340">
        <v>0</v>
      </c>
      <c r="AG340">
        <v>0</v>
      </c>
      <c r="AH340">
        <v>0</v>
      </c>
      <c r="AI340">
        <v>0</v>
      </c>
      <c r="AJ340">
        <v>0</v>
      </c>
      <c r="AK340">
        <v>0</v>
      </c>
    </row>
    <row r="341" spans="1:37">
      <c r="A341" t="s">
        <v>37</v>
      </c>
      <c r="B341" t="s">
        <v>103</v>
      </c>
      <c r="C341" t="str">
        <f t="shared" si="15"/>
        <v>amzn1.ads-account.g.dfa7o7cwdl371d634ew58i919</v>
      </c>
      <c r="D341" t="s">
        <v>39</v>
      </c>
      <c r="G341" t="str">
        <f t="shared" si="16"/>
        <v>585687237024345541</v>
      </c>
      <c r="H341" t="s">
        <v>40</v>
      </c>
      <c r="I341" t="str">
        <f t="shared" si="17"/>
        <v>585478290940566279</v>
      </c>
      <c r="J341" t="s">
        <v>41</v>
      </c>
      <c r="K341" t="s">
        <v>906</v>
      </c>
      <c r="L341" s="1" t="str">
        <f>VLOOKUP(K341,Sheet1!A:B,2,FALSE)</f>
        <v>SH-BRS71-ABK-44N</v>
      </c>
      <c r="M341" t="s">
        <v>907</v>
      </c>
      <c r="N341" t="s">
        <v>110</v>
      </c>
      <c r="O341" t="s">
        <v>45</v>
      </c>
      <c r="P341" t="s">
        <v>65</v>
      </c>
      <c r="Q341" t="s">
        <v>111</v>
      </c>
      <c r="R341" t="s">
        <v>48</v>
      </c>
      <c r="S341" t="s">
        <v>49</v>
      </c>
      <c r="AB341" t="s">
        <v>49</v>
      </c>
      <c r="AC341">
        <v>0</v>
      </c>
      <c r="AD341">
        <v>0</v>
      </c>
      <c r="AE341">
        <v>0</v>
      </c>
      <c r="AF341">
        <v>0</v>
      </c>
      <c r="AG341">
        <v>0</v>
      </c>
      <c r="AH341">
        <v>0</v>
      </c>
      <c r="AI341">
        <v>0</v>
      </c>
      <c r="AJ341">
        <v>0</v>
      </c>
      <c r="AK341">
        <v>0</v>
      </c>
    </row>
    <row r="342" spans="1:37">
      <c r="A342" t="s">
        <v>37</v>
      </c>
      <c r="B342" t="s">
        <v>491</v>
      </c>
      <c r="C342" t="str">
        <f t="shared" si="15"/>
        <v>amzn1.ads-account.g.dfa7o7cwdl371d634ew58i919</v>
      </c>
      <c r="D342" t="s">
        <v>39</v>
      </c>
      <c r="G342" t="str">
        <f t="shared" si="16"/>
        <v>585687237024345541</v>
      </c>
      <c r="H342" t="s">
        <v>40</v>
      </c>
      <c r="I342" t="str">
        <f t="shared" si="17"/>
        <v>585478290940566279</v>
      </c>
      <c r="J342" t="s">
        <v>41</v>
      </c>
      <c r="K342" t="s">
        <v>908</v>
      </c>
      <c r="L342" s="1" t="str">
        <f>VLOOKUP(K342,Sheet1!A:B,2,FALSE)</f>
        <v>SH-BRY80-GY-8</v>
      </c>
      <c r="M342" t="s">
        <v>909</v>
      </c>
      <c r="N342" t="s">
        <v>90</v>
      </c>
      <c r="O342" t="s">
        <v>45</v>
      </c>
      <c r="P342" t="s">
        <v>75</v>
      </c>
      <c r="Q342" t="s">
        <v>91</v>
      </c>
      <c r="R342" t="s">
        <v>48</v>
      </c>
      <c r="S342" t="s">
        <v>49</v>
      </c>
      <c r="AB342" t="s">
        <v>49</v>
      </c>
      <c r="AC342">
        <v>0</v>
      </c>
      <c r="AD342">
        <v>0</v>
      </c>
      <c r="AE342">
        <v>0</v>
      </c>
      <c r="AF342">
        <v>0</v>
      </c>
      <c r="AG342">
        <v>0</v>
      </c>
      <c r="AH342">
        <v>0</v>
      </c>
      <c r="AI342">
        <v>0</v>
      </c>
      <c r="AJ342">
        <v>0</v>
      </c>
      <c r="AK342">
        <v>0</v>
      </c>
    </row>
    <row r="343" spans="1:37">
      <c r="A343" t="s">
        <v>37</v>
      </c>
      <c r="B343" t="s">
        <v>910</v>
      </c>
      <c r="C343" t="str">
        <f t="shared" si="15"/>
        <v>amzn1.ads-account.g.dfa7o7cwdl371d634ew58i919</v>
      </c>
      <c r="D343" t="s">
        <v>39</v>
      </c>
      <c r="G343" t="str">
        <f t="shared" si="16"/>
        <v>585687237024345541</v>
      </c>
      <c r="H343" t="s">
        <v>40</v>
      </c>
      <c r="I343" t="str">
        <f t="shared" si="17"/>
        <v>585478290940566279</v>
      </c>
      <c r="J343" t="s">
        <v>41</v>
      </c>
      <c r="K343" t="s">
        <v>911</v>
      </c>
      <c r="L343" s="1" t="str">
        <f>VLOOKUP(K343,Sheet1!A:B,2,FALSE)</f>
        <v>XM2-S73-WT-40</v>
      </c>
      <c r="M343" t="s">
        <v>912</v>
      </c>
      <c r="N343" t="s">
        <v>83</v>
      </c>
      <c r="O343" t="s">
        <v>45</v>
      </c>
      <c r="P343" t="s">
        <v>65</v>
      </c>
      <c r="Q343" t="s">
        <v>875</v>
      </c>
      <c r="R343" t="s">
        <v>48</v>
      </c>
      <c r="S343" t="s">
        <v>49</v>
      </c>
      <c r="AB343" t="s">
        <v>49</v>
      </c>
      <c r="AC343">
        <v>0</v>
      </c>
      <c r="AD343">
        <v>0</v>
      </c>
      <c r="AE343">
        <v>0</v>
      </c>
      <c r="AF343">
        <v>0</v>
      </c>
      <c r="AG343">
        <v>0</v>
      </c>
      <c r="AH343">
        <v>0</v>
      </c>
      <c r="AI343">
        <v>0</v>
      </c>
      <c r="AJ343">
        <v>0</v>
      </c>
      <c r="AK343">
        <v>0</v>
      </c>
    </row>
    <row r="344" spans="1:37">
      <c r="A344" t="s">
        <v>37</v>
      </c>
      <c r="B344" t="s">
        <v>607</v>
      </c>
      <c r="C344" t="str">
        <f t="shared" si="15"/>
        <v>amzn1.ads-account.g.dfa7o7cwdl371d634ew58i919</v>
      </c>
      <c r="D344" t="s">
        <v>39</v>
      </c>
      <c r="G344" t="str">
        <f t="shared" si="16"/>
        <v>585687237024345541</v>
      </c>
      <c r="H344" t="s">
        <v>40</v>
      </c>
      <c r="I344" t="str">
        <f t="shared" si="17"/>
        <v>585478290940566279</v>
      </c>
      <c r="J344" t="s">
        <v>41</v>
      </c>
      <c r="K344" t="s">
        <v>913</v>
      </c>
      <c r="L344" s="1" t="str">
        <f>VLOOKUP(K344,Sheet1!A:B,2,FALSE)</f>
        <v>SH-BRS71-LTGY-44</v>
      </c>
      <c r="M344" t="s">
        <v>914</v>
      </c>
      <c r="N344" t="s">
        <v>110</v>
      </c>
      <c r="O344" t="s">
        <v>45</v>
      </c>
      <c r="P344" t="s">
        <v>118</v>
      </c>
      <c r="Q344" t="s">
        <v>119</v>
      </c>
      <c r="R344" t="s">
        <v>48</v>
      </c>
      <c r="S344" t="s">
        <v>49</v>
      </c>
      <c r="AB344" t="s">
        <v>49</v>
      </c>
      <c r="AC344">
        <v>1</v>
      </c>
      <c r="AD344">
        <v>38.56</v>
      </c>
      <c r="AE344">
        <v>1</v>
      </c>
      <c r="AF344">
        <v>1</v>
      </c>
      <c r="AG344">
        <v>38.56</v>
      </c>
      <c r="AH344">
        <v>1</v>
      </c>
      <c r="AI344">
        <v>0</v>
      </c>
      <c r="AJ344">
        <v>0</v>
      </c>
      <c r="AK344">
        <v>0</v>
      </c>
    </row>
    <row r="345" spans="1:37">
      <c r="A345" t="s">
        <v>37</v>
      </c>
      <c r="B345" t="s">
        <v>55</v>
      </c>
      <c r="C345" t="str">
        <f t="shared" si="15"/>
        <v>amzn1.ads-account.g.dfa7o7cwdl371d634ew58i919</v>
      </c>
      <c r="D345" t="s">
        <v>39</v>
      </c>
      <c r="G345" t="str">
        <f t="shared" si="16"/>
        <v>585687237024345541</v>
      </c>
      <c r="H345" t="s">
        <v>40</v>
      </c>
      <c r="I345" t="str">
        <f t="shared" si="17"/>
        <v>585478290940566279</v>
      </c>
      <c r="J345" t="s">
        <v>41</v>
      </c>
      <c r="K345" t="s">
        <v>915</v>
      </c>
      <c r="L345" s="1" t="str">
        <f>VLOOKUP(K345,Sheet1!A:B,2,FALSE)</f>
        <v>SH-BRY80-BK-9</v>
      </c>
      <c r="M345" t="s">
        <v>916</v>
      </c>
      <c r="N345" t="s">
        <v>90</v>
      </c>
      <c r="O345" t="s">
        <v>45</v>
      </c>
      <c r="P345" t="s">
        <v>75</v>
      </c>
      <c r="Q345" t="s">
        <v>91</v>
      </c>
      <c r="R345" t="s">
        <v>48</v>
      </c>
      <c r="S345" t="s">
        <v>49</v>
      </c>
      <c r="AB345" t="s">
        <v>49</v>
      </c>
      <c r="AC345">
        <v>1</v>
      </c>
      <c r="AD345">
        <v>9.99</v>
      </c>
      <c r="AE345">
        <v>1</v>
      </c>
      <c r="AF345">
        <v>1</v>
      </c>
      <c r="AG345">
        <v>9.99</v>
      </c>
      <c r="AH345">
        <v>1</v>
      </c>
      <c r="AI345">
        <v>1</v>
      </c>
      <c r="AJ345">
        <v>9.99</v>
      </c>
      <c r="AK345">
        <v>1</v>
      </c>
    </row>
    <row r="346" spans="1:37">
      <c r="A346" t="s">
        <v>37</v>
      </c>
      <c r="B346" t="s">
        <v>147</v>
      </c>
      <c r="C346" t="str">
        <f t="shared" si="15"/>
        <v>amzn1.ads-account.g.dfa7o7cwdl371d634ew58i919</v>
      </c>
      <c r="D346" t="s">
        <v>39</v>
      </c>
      <c r="G346" t="str">
        <f t="shared" si="16"/>
        <v>585687237024345541</v>
      </c>
      <c r="H346" t="s">
        <v>40</v>
      </c>
      <c r="I346" t="str">
        <f t="shared" si="17"/>
        <v>585478290940566279</v>
      </c>
      <c r="J346" t="s">
        <v>41</v>
      </c>
      <c r="K346" t="s">
        <v>917</v>
      </c>
      <c r="L346" s="1" t="str">
        <f>VLOOKUP(K346,Sheet1!A:B,2,FALSE)</f>
        <v>SH-BRY180-CL-45N</v>
      </c>
      <c r="M346" t="s">
        <v>918</v>
      </c>
      <c r="N346" t="s">
        <v>64</v>
      </c>
      <c r="O346" t="s">
        <v>45</v>
      </c>
      <c r="P346" t="s">
        <v>59</v>
      </c>
      <c r="Q346" t="s">
        <v>173</v>
      </c>
      <c r="R346" t="s">
        <v>48</v>
      </c>
      <c r="S346" t="s">
        <v>49</v>
      </c>
      <c r="AB346" t="s">
        <v>49</v>
      </c>
      <c r="AC346">
        <v>0</v>
      </c>
      <c r="AD346">
        <v>0</v>
      </c>
      <c r="AE346">
        <v>0</v>
      </c>
      <c r="AF346">
        <v>0</v>
      </c>
      <c r="AG346">
        <v>0</v>
      </c>
      <c r="AH346">
        <v>0</v>
      </c>
      <c r="AI346">
        <v>0</v>
      </c>
      <c r="AJ346">
        <v>0</v>
      </c>
      <c r="AK346">
        <v>0</v>
      </c>
    </row>
    <row r="347" spans="1:37">
      <c r="A347" t="s">
        <v>37</v>
      </c>
      <c r="B347" t="s">
        <v>97</v>
      </c>
      <c r="C347" t="str">
        <f t="shared" si="15"/>
        <v>amzn1.ads-account.g.dfa7o7cwdl371d634ew58i919</v>
      </c>
      <c r="D347" t="s">
        <v>39</v>
      </c>
      <c r="G347" t="str">
        <f t="shared" si="16"/>
        <v>585687237024345541</v>
      </c>
      <c r="H347" t="s">
        <v>40</v>
      </c>
      <c r="I347" t="str">
        <f t="shared" si="17"/>
        <v>585478290940566279</v>
      </c>
      <c r="J347" t="s">
        <v>41</v>
      </c>
      <c r="K347" t="s">
        <v>919</v>
      </c>
      <c r="L347" s="1" t="str">
        <f>VLOOKUP(K347,Sheet1!A:B,2,FALSE)</f>
        <v>XM2-S75-BK-43</v>
      </c>
      <c r="M347" t="s">
        <v>920</v>
      </c>
      <c r="N347" t="s">
        <v>95</v>
      </c>
      <c r="O347" t="s">
        <v>45</v>
      </c>
      <c r="P347" t="s">
        <v>59</v>
      </c>
      <c r="Q347" t="s">
        <v>96</v>
      </c>
      <c r="R347" t="s">
        <v>48</v>
      </c>
      <c r="S347" t="s">
        <v>49</v>
      </c>
      <c r="AB347" t="s">
        <v>49</v>
      </c>
      <c r="AC347">
        <v>0</v>
      </c>
      <c r="AD347">
        <v>0</v>
      </c>
      <c r="AE347">
        <v>0</v>
      </c>
      <c r="AF347">
        <v>0</v>
      </c>
      <c r="AG347">
        <v>0</v>
      </c>
      <c r="AH347">
        <v>0</v>
      </c>
      <c r="AI347">
        <v>0</v>
      </c>
      <c r="AJ347">
        <v>0</v>
      </c>
      <c r="AK347">
        <v>0</v>
      </c>
    </row>
    <row r="348" spans="1:37">
      <c r="A348" t="s">
        <v>37</v>
      </c>
      <c r="B348" t="s">
        <v>170</v>
      </c>
      <c r="C348" t="str">
        <f t="shared" si="15"/>
        <v>amzn1.ads-account.g.dfa7o7cwdl371d634ew58i919</v>
      </c>
      <c r="D348" t="s">
        <v>39</v>
      </c>
      <c r="G348" t="str">
        <f t="shared" si="16"/>
        <v>585687237024345541</v>
      </c>
      <c r="H348" t="s">
        <v>40</v>
      </c>
      <c r="I348" t="str">
        <f t="shared" si="17"/>
        <v>585478290940566279</v>
      </c>
      <c r="J348" t="s">
        <v>41</v>
      </c>
      <c r="K348" t="s">
        <v>921</v>
      </c>
      <c r="L348" s="1" t="str">
        <f>VLOOKUP(K348,Sheet1!A:B,2,FALSE)</f>
        <v>XM2-S71-LTBU-38</v>
      </c>
      <c r="M348" t="s">
        <v>922</v>
      </c>
      <c r="N348" t="s">
        <v>83</v>
      </c>
      <c r="O348" t="s">
        <v>45</v>
      </c>
      <c r="P348" t="s">
        <v>270</v>
      </c>
      <c r="Q348" t="s">
        <v>271</v>
      </c>
      <c r="R348" t="s">
        <v>48</v>
      </c>
      <c r="S348" t="s">
        <v>49</v>
      </c>
      <c r="AB348" t="s">
        <v>49</v>
      </c>
      <c r="AC348">
        <v>0</v>
      </c>
      <c r="AD348">
        <v>0</v>
      </c>
      <c r="AE348">
        <v>0</v>
      </c>
      <c r="AF348">
        <v>0</v>
      </c>
      <c r="AG348">
        <v>0</v>
      </c>
      <c r="AH348">
        <v>0</v>
      </c>
      <c r="AI348">
        <v>0</v>
      </c>
      <c r="AJ348">
        <v>0</v>
      </c>
      <c r="AK348">
        <v>0</v>
      </c>
    </row>
    <row r="349" spans="1:37">
      <c r="A349" t="s">
        <v>37</v>
      </c>
      <c r="B349" t="s">
        <v>618</v>
      </c>
      <c r="C349" t="str">
        <f t="shared" si="15"/>
        <v>amzn1.ads-account.g.dfa7o7cwdl371d634ew58i919</v>
      </c>
      <c r="D349" t="s">
        <v>39</v>
      </c>
      <c r="G349" t="str">
        <f t="shared" si="16"/>
        <v>585687237024345541</v>
      </c>
      <c r="H349" t="s">
        <v>40</v>
      </c>
      <c r="I349" t="str">
        <f t="shared" si="17"/>
        <v>585478290940566279</v>
      </c>
      <c r="J349" t="s">
        <v>41</v>
      </c>
      <c r="K349" t="s">
        <v>923</v>
      </c>
      <c r="L349" s="1" t="str">
        <f>VLOOKUP(K349,Sheet1!A:B,2,FALSE)</f>
        <v>XM2-S71-BKGY-40</v>
      </c>
      <c r="M349" t="s">
        <v>924</v>
      </c>
      <c r="N349" t="s">
        <v>83</v>
      </c>
      <c r="O349" t="s">
        <v>45</v>
      </c>
      <c r="P349" t="s">
        <v>270</v>
      </c>
      <c r="Q349" t="s">
        <v>271</v>
      </c>
      <c r="R349" t="s">
        <v>48</v>
      </c>
      <c r="S349" t="s">
        <v>49</v>
      </c>
      <c r="AB349" t="s">
        <v>49</v>
      </c>
      <c r="AC349">
        <v>0</v>
      </c>
      <c r="AD349">
        <v>0</v>
      </c>
      <c r="AE349">
        <v>0</v>
      </c>
      <c r="AF349">
        <v>0</v>
      </c>
      <c r="AG349">
        <v>0</v>
      </c>
      <c r="AH349">
        <v>0</v>
      </c>
      <c r="AI349">
        <v>0</v>
      </c>
      <c r="AJ349">
        <v>0</v>
      </c>
      <c r="AK349">
        <v>0</v>
      </c>
    </row>
    <row r="350" spans="1:37">
      <c r="A350" t="s">
        <v>37</v>
      </c>
      <c r="B350" t="s">
        <v>557</v>
      </c>
      <c r="C350" t="str">
        <f t="shared" si="15"/>
        <v>amzn1.ads-account.g.dfa7o7cwdl371d634ew58i919</v>
      </c>
      <c r="D350" t="s">
        <v>39</v>
      </c>
      <c r="G350" t="str">
        <f t="shared" si="16"/>
        <v>585687237024345541</v>
      </c>
      <c r="H350" t="s">
        <v>40</v>
      </c>
      <c r="I350" t="str">
        <f t="shared" si="17"/>
        <v>585478290940566279</v>
      </c>
      <c r="J350" t="s">
        <v>41</v>
      </c>
      <c r="K350" t="s">
        <v>925</v>
      </c>
      <c r="L350" s="1" t="str">
        <f>VLOOKUP(K350,Sheet1!A:B,2,FALSE)</f>
        <v>SH-BRY10-BU-49</v>
      </c>
      <c r="M350" t="s">
        <v>926</v>
      </c>
      <c r="N350" t="s">
        <v>44</v>
      </c>
      <c r="O350" t="s">
        <v>45</v>
      </c>
      <c r="P350" t="s">
        <v>59</v>
      </c>
      <c r="Q350" t="s">
        <v>60</v>
      </c>
      <c r="R350" t="s">
        <v>48</v>
      </c>
      <c r="S350" t="s">
        <v>49</v>
      </c>
      <c r="AB350" t="s">
        <v>49</v>
      </c>
      <c r="AC350">
        <v>2</v>
      </c>
      <c r="AD350">
        <v>49.98</v>
      </c>
      <c r="AE350">
        <v>2</v>
      </c>
      <c r="AF350">
        <v>2</v>
      </c>
      <c r="AG350">
        <v>49.98</v>
      </c>
      <c r="AH350">
        <v>2</v>
      </c>
      <c r="AI350">
        <v>0</v>
      </c>
      <c r="AJ350">
        <v>0</v>
      </c>
      <c r="AK350">
        <v>0</v>
      </c>
    </row>
    <row r="351" spans="1:37">
      <c r="A351" t="s">
        <v>37</v>
      </c>
      <c r="B351" t="s">
        <v>92</v>
      </c>
      <c r="C351" t="str">
        <f t="shared" si="15"/>
        <v>amzn1.ads-account.g.dfa7o7cwdl371d634ew58i919</v>
      </c>
      <c r="D351" t="s">
        <v>39</v>
      </c>
      <c r="G351" t="str">
        <f t="shared" si="16"/>
        <v>585687237024345541</v>
      </c>
      <c r="H351" t="s">
        <v>40</v>
      </c>
      <c r="I351" t="str">
        <f t="shared" si="17"/>
        <v>585478290940566279</v>
      </c>
      <c r="J351" t="s">
        <v>41</v>
      </c>
      <c r="K351" t="s">
        <v>927</v>
      </c>
      <c r="L351" s="1" t="str">
        <f>VLOOKUP(K351,Sheet1!A:B,2,FALSE)</f>
        <v>XM2-S73-GN-37</v>
      </c>
      <c r="M351" t="s">
        <v>928</v>
      </c>
      <c r="N351" t="s">
        <v>83</v>
      </c>
      <c r="O351" t="s">
        <v>45</v>
      </c>
      <c r="P351" t="s">
        <v>153</v>
      </c>
      <c r="Q351" t="s">
        <v>216</v>
      </c>
      <c r="R351" t="s">
        <v>48</v>
      </c>
      <c r="S351" t="s">
        <v>49</v>
      </c>
      <c r="AB351" t="s">
        <v>49</v>
      </c>
      <c r="AC351">
        <v>0</v>
      </c>
      <c r="AD351">
        <v>0</v>
      </c>
      <c r="AE351">
        <v>0</v>
      </c>
      <c r="AF351">
        <v>0</v>
      </c>
      <c r="AG351">
        <v>0</v>
      </c>
      <c r="AH351">
        <v>0</v>
      </c>
      <c r="AI351">
        <v>0</v>
      </c>
      <c r="AJ351">
        <v>0</v>
      </c>
      <c r="AK351">
        <v>0</v>
      </c>
    </row>
    <row r="352" spans="1:37">
      <c r="A352" t="s">
        <v>37</v>
      </c>
      <c r="B352" t="s">
        <v>731</v>
      </c>
      <c r="C352" t="str">
        <f t="shared" si="15"/>
        <v>amzn1.ads-account.g.dfa7o7cwdl371d634ew58i919</v>
      </c>
      <c r="D352" t="s">
        <v>39</v>
      </c>
      <c r="G352" t="str">
        <f t="shared" si="16"/>
        <v>585687237024345541</v>
      </c>
      <c r="H352" t="s">
        <v>40</v>
      </c>
      <c r="I352" t="str">
        <f t="shared" si="17"/>
        <v>585478290940566279</v>
      </c>
      <c r="J352" t="s">
        <v>41</v>
      </c>
      <c r="K352" t="s">
        <v>929</v>
      </c>
      <c r="L352" s="1" t="str">
        <f>VLOOKUP(K352,Sheet1!A:B,2,FALSE)</f>
        <v>XM2-S600-DKBU-40</v>
      </c>
      <c r="M352" t="s">
        <v>930</v>
      </c>
      <c r="N352" t="s">
        <v>70</v>
      </c>
      <c r="O352" t="s">
        <v>45</v>
      </c>
      <c r="P352" t="s">
        <v>75</v>
      </c>
      <c r="Q352" t="s">
        <v>76</v>
      </c>
      <c r="R352" t="s">
        <v>48</v>
      </c>
      <c r="S352" t="s">
        <v>49</v>
      </c>
      <c r="AB352" t="s">
        <v>49</v>
      </c>
      <c r="AC352">
        <v>0</v>
      </c>
      <c r="AD352">
        <v>0</v>
      </c>
      <c r="AE352">
        <v>0</v>
      </c>
      <c r="AF352">
        <v>0</v>
      </c>
      <c r="AG352">
        <v>0</v>
      </c>
      <c r="AH352">
        <v>0</v>
      </c>
      <c r="AI352">
        <v>0</v>
      </c>
      <c r="AJ352">
        <v>0</v>
      </c>
      <c r="AK352">
        <v>0</v>
      </c>
    </row>
    <row r="353" spans="1:37">
      <c r="A353" t="s">
        <v>37</v>
      </c>
      <c r="B353" t="s">
        <v>38</v>
      </c>
      <c r="C353" t="str">
        <f t="shared" si="15"/>
        <v>amzn1.ads-account.g.dfa7o7cwdl371d634ew58i919</v>
      </c>
      <c r="D353" t="s">
        <v>39</v>
      </c>
      <c r="G353" t="str">
        <f t="shared" si="16"/>
        <v>585687237024345541</v>
      </c>
      <c r="H353" t="s">
        <v>40</v>
      </c>
      <c r="I353" t="str">
        <f t="shared" si="17"/>
        <v>585478290940566279</v>
      </c>
      <c r="J353" t="s">
        <v>41</v>
      </c>
      <c r="K353" t="s">
        <v>931</v>
      </c>
      <c r="L353" s="1" t="str">
        <f>VLOOKUP(K353,Sheet1!A:B,2,FALSE)</f>
        <v>SH-BRY10-WERD-45</v>
      </c>
      <c r="M353" t="s">
        <v>932</v>
      </c>
      <c r="N353" t="s">
        <v>44</v>
      </c>
      <c r="O353" t="s">
        <v>45</v>
      </c>
      <c r="P353" t="s">
        <v>59</v>
      </c>
      <c r="Q353" t="s">
        <v>114</v>
      </c>
      <c r="R353" t="s">
        <v>48</v>
      </c>
      <c r="S353" t="s">
        <v>49</v>
      </c>
      <c r="AB353" t="s">
        <v>49</v>
      </c>
      <c r="AC353">
        <v>1</v>
      </c>
      <c r="AD353">
        <v>19.33</v>
      </c>
      <c r="AE353">
        <v>1</v>
      </c>
      <c r="AF353">
        <v>1</v>
      </c>
      <c r="AG353">
        <v>19.33</v>
      </c>
      <c r="AH353">
        <v>1</v>
      </c>
      <c r="AI353">
        <v>1</v>
      </c>
      <c r="AJ353">
        <v>19.33</v>
      </c>
      <c r="AK353">
        <v>1</v>
      </c>
    </row>
    <row r="354" spans="1:37">
      <c r="A354" t="s">
        <v>37</v>
      </c>
      <c r="B354" t="s">
        <v>120</v>
      </c>
      <c r="C354" t="str">
        <f t="shared" si="15"/>
        <v>amzn1.ads-account.g.dfa7o7cwdl371d634ew58i919</v>
      </c>
      <c r="D354" t="s">
        <v>39</v>
      </c>
      <c r="G354" t="str">
        <f t="shared" si="16"/>
        <v>585687237024345541</v>
      </c>
      <c r="H354" t="s">
        <v>40</v>
      </c>
      <c r="I354" t="str">
        <f t="shared" si="17"/>
        <v>585478290940566279</v>
      </c>
      <c r="J354" t="s">
        <v>41</v>
      </c>
      <c r="K354" t="s">
        <v>933</v>
      </c>
      <c r="L354" s="1" t="str">
        <f>VLOOKUP(K354,Sheet1!A:B,2,FALSE)</f>
        <v>SH-BRY10-BN-43</v>
      </c>
      <c r="M354" t="s">
        <v>934</v>
      </c>
      <c r="N354" t="s">
        <v>44</v>
      </c>
      <c r="O354" t="s">
        <v>45</v>
      </c>
      <c r="P354" t="s">
        <v>123</v>
      </c>
      <c r="Q354" t="s">
        <v>935</v>
      </c>
      <c r="R354" t="s">
        <v>48</v>
      </c>
      <c r="S354" t="s">
        <v>49</v>
      </c>
      <c r="AB354" t="s">
        <v>49</v>
      </c>
      <c r="AC354">
        <v>5</v>
      </c>
      <c r="AD354">
        <v>108.01</v>
      </c>
      <c r="AE354">
        <v>5</v>
      </c>
      <c r="AF354">
        <v>5</v>
      </c>
      <c r="AG354">
        <v>108.01</v>
      </c>
      <c r="AH354">
        <v>5</v>
      </c>
      <c r="AI354">
        <v>3</v>
      </c>
      <c r="AJ354">
        <v>67.31</v>
      </c>
      <c r="AK354">
        <v>3</v>
      </c>
    </row>
    <row r="355" spans="1:37">
      <c r="A355" t="s">
        <v>37</v>
      </c>
      <c r="B355" t="s">
        <v>936</v>
      </c>
      <c r="C355" t="str">
        <f t="shared" si="15"/>
        <v>amzn1.ads-account.g.dfa7o7cwdl371d634ew58i919</v>
      </c>
      <c r="D355" t="s">
        <v>39</v>
      </c>
      <c r="G355" t="str">
        <f t="shared" si="16"/>
        <v>585687237024345541</v>
      </c>
      <c r="H355" t="s">
        <v>40</v>
      </c>
      <c r="I355" t="str">
        <f t="shared" si="17"/>
        <v>585478290940566279</v>
      </c>
      <c r="J355" t="s">
        <v>41</v>
      </c>
      <c r="K355" t="s">
        <v>937</v>
      </c>
      <c r="L355" s="1" t="str">
        <f>VLOOKUP(K355,Sheet1!A:B,2,FALSE)</f>
        <v>SH-BRY80-PK-10</v>
      </c>
      <c r="M355" t="s">
        <v>938</v>
      </c>
      <c r="N355" t="s">
        <v>90</v>
      </c>
      <c r="O355" t="s">
        <v>45</v>
      </c>
      <c r="P355" t="s">
        <v>75</v>
      </c>
      <c r="Q355" t="s">
        <v>91</v>
      </c>
      <c r="R355" t="s">
        <v>48</v>
      </c>
      <c r="S355" t="s">
        <v>49</v>
      </c>
      <c r="AB355" t="s">
        <v>49</v>
      </c>
      <c r="AC355">
        <v>0</v>
      </c>
      <c r="AD355">
        <v>0</v>
      </c>
      <c r="AE355">
        <v>0</v>
      </c>
      <c r="AF355">
        <v>0</v>
      </c>
      <c r="AG355">
        <v>0</v>
      </c>
      <c r="AH355">
        <v>0</v>
      </c>
      <c r="AI355">
        <v>0</v>
      </c>
      <c r="AJ355">
        <v>0</v>
      </c>
      <c r="AK355">
        <v>0</v>
      </c>
    </row>
    <row r="356" spans="1:37">
      <c r="A356" t="s">
        <v>37</v>
      </c>
      <c r="B356" t="s">
        <v>628</v>
      </c>
      <c r="C356" t="str">
        <f t="shared" si="15"/>
        <v>amzn1.ads-account.g.dfa7o7cwdl371d634ew58i919</v>
      </c>
      <c r="D356" t="s">
        <v>39</v>
      </c>
      <c r="G356" t="str">
        <f t="shared" si="16"/>
        <v>585687237024345541</v>
      </c>
      <c r="H356" t="s">
        <v>40</v>
      </c>
      <c r="I356" t="str">
        <f t="shared" si="17"/>
        <v>585478290940566279</v>
      </c>
      <c r="J356" t="s">
        <v>41</v>
      </c>
      <c r="K356" t="s">
        <v>939</v>
      </c>
      <c r="L356" s="1" t="str">
        <f>VLOOKUP(K356,Sheet1!A:B,2,FALSE)</f>
        <v>XM2-S73-BU-40</v>
      </c>
      <c r="M356" t="s">
        <v>940</v>
      </c>
      <c r="N356" t="s">
        <v>83</v>
      </c>
      <c r="O356" t="s">
        <v>45</v>
      </c>
      <c r="P356" t="s">
        <v>153</v>
      </c>
      <c r="Q356" t="s">
        <v>216</v>
      </c>
      <c r="R356" t="s">
        <v>48</v>
      </c>
      <c r="S356" t="s">
        <v>49</v>
      </c>
      <c r="AB356" t="s">
        <v>49</v>
      </c>
      <c r="AC356">
        <v>0</v>
      </c>
      <c r="AD356">
        <v>0</v>
      </c>
      <c r="AE356">
        <v>0</v>
      </c>
      <c r="AF356">
        <v>0</v>
      </c>
      <c r="AG356">
        <v>0</v>
      </c>
      <c r="AH356">
        <v>0</v>
      </c>
      <c r="AI356">
        <v>0</v>
      </c>
      <c r="AJ356">
        <v>0</v>
      </c>
      <c r="AK356">
        <v>0</v>
      </c>
    </row>
    <row r="357" spans="1:37">
      <c r="A357" t="s">
        <v>37</v>
      </c>
      <c r="B357" t="s">
        <v>368</v>
      </c>
      <c r="C357" t="str">
        <f t="shared" si="15"/>
        <v>amzn1.ads-account.g.dfa7o7cwdl371d634ew58i919</v>
      </c>
      <c r="D357" t="s">
        <v>39</v>
      </c>
      <c r="G357" t="str">
        <f t="shared" si="16"/>
        <v>585687237024345541</v>
      </c>
      <c r="H357" t="s">
        <v>40</v>
      </c>
      <c r="I357" t="str">
        <f t="shared" si="17"/>
        <v>585478290940566279</v>
      </c>
      <c r="J357" t="s">
        <v>41</v>
      </c>
      <c r="K357" t="s">
        <v>941</v>
      </c>
      <c r="L357" s="1" t="str">
        <f>VLOOKUP(K357,Sheet1!A:B,2,FALSE)</f>
        <v>SH-BRY180-BL-38</v>
      </c>
      <c r="M357" t="s">
        <v>942</v>
      </c>
      <c r="N357" t="s">
        <v>64</v>
      </c>
      <c r="O357" t="s">
        <v>45</v>
      </c>
      <c r="P357" t="s">
        <v>123</v>
      </c>
      <c r="Q357" t="s">
        <v>124</v>
      </c>
      <c r="R357" t="s">
        <v>48</v>
      </c>
      <c r="S357" t="s">
        <v>49</v>
      </c>
      <c r="AB357" t="s">
        <v>49</v>
      </c>
      <c r="AC357">
        <v>1</v>
      </c>
      <c r="AD357">
        <v>23.99</v>
      </c>
      <c r="AE357">
        <v>1</v>
      </c>
      <c r="AF357">
        <v>1</v>
      </c>
      <c r="AG357">
        <v>23.99</v>
      </c>
      <c r="AH357">
        <v>1</v>
      </c>
      <c r="AI357">
        <v>1</v>
      </c>
      <c r="AJ357">
        <v>23.99</v>
      </c>
      <c r="AK357">
        <v>1</v>
      </c>
    </row>
    <row r="358" spans="1:37">
      <c r="A358" t="s">
        <v>37</v>
      </c>
      <c r="B358" t="s">
        <v>910</v>
      </c>
      <c r="C358" t="str">
        <f t="shared" si="15"/>
        <v>amzn1.ads-account.g.dfa7o7cwdl371d634ew58i919</v>
      </c>
      <c r="D358" t="s">
        <v>39</v>
      </c>
      <c r="G358" t="str">
        <f t="shared" si="16"/>
        <v>585687237024345541</v>
      </c>
      <c r="H358" t="s">
        <v>40</v>
      </c>
      <c r="I358" t="str">
        <f t="shared" si="17"/>
        <v>585478290940566279</v>
      </c>
      <c r="J358" t="s">
        <v>41</v>
      </c>
      <c r="K358" t="s">
        <v>943</v>
      </c>
      <c r="L358" s="1" t="str">
        <f>VLOOKUP(K358,Sheet1!A:B,2,FALSE)</f>
        <v>XM2-S73-GN-40</v>
      </c>
      <c r="M358" t="s">
        <v>944</v>
      </c>
      <c r="N358" t="s">
        <v>83</v>
      </c>
      <c r="O358" t="s">
        <v>45</v>
      </c>
      <c r="P358" t="s">
        <v>565</v>
      </c>
      <c r="Q358" t="s">
        <v>945</v>
      </c>
      <c r="R358" t="s">
        <v>48</v>
      </c>
      <c r="S358" t="s">
        <v>49</v>
      </c>
      <c r="AB358" t="s">
        <v>49</v>
      </c>
      <c r="AC358">
        <v>0</v>
      </c>
      <c r="AD358">
        <v>0</v>
      </c>
      <c r="AE358">
        <v>0</v>
      </c>
      <c r="AF358">
        <v>0</v>
      </c>
      <c r="AG358">
        <v>0</v>
      </c>
      <c r="AH358">
        <v>0</v>
      </c>
      <c r="AI358">
        <v>0</v>
      </c>
      <c r="AJ358">
        <v>0</v>
      </c>
      <c r="AK358">
        <v>0</v>
      </c>
    </row>
    <row r="359" spans="1:37">
      <c r="A359" t="s">
        <v>37</v>
      </c>
      <c r="B359" t="s">
        <v>178</v>
      </c>
      <c r="C359" t="str">
        <f t="shared" si="15"/>
        <v>amzn1.ads-account.g.dfa7o7cwdl371d634ew58i919</v>
      </c>
      <c r="D359" t="s">
        <v>39</v>
      </c>
      <c r="G359" t="str">
        <f t="shared" si="16"/>
        <v>585687237024345541</v>
      </c>
      <c r="H359" t="s">
        <v>40</v>
      </c>
      <c r="I359" t="str">
        <f t="shared" si="17"/>
        <v>585478290940566279</v>
      </c>
      <c r="J359" t="s">
        <v>41</v>
      </c>
      <c r="K359" t="s">
        <v>946</v>
      </c>
      <c r="L359" s="1" t="str">
        <f>VLOOKUP(K359,Sheet1!A:B,2,FALSE)</f>
        <v>SH-BRY180-TPL-41</v>
      </c>
      <c r="M359" t="s">
        <v>947</v>
      </c>
      <c r="N359" t="s">
        <v>64</v>
      </c>
      <c r="O359" t="s">
        <v>45</v>
      </c>
      <c r="P359" t="s">
        <v>123</v>
      </c>
      <c r="Q359" t="s">
        <v>124</v>
      </c>
      <c r="R359" t="s">
        <v>48</v>
      </c>
      <c r="S359" t="s">
        <v>49</v>
      </c>
      <c r="AB359" t="s">
        <v>49</v>
      </c>
      <c r="AC359">
        <v>2</v>
      </c>
      <c r="AD359">
        <v>47.98</v>
      </c>
      <c r="AE359">
        <v>2</v>
      </c>
      <c r="AF359">
        <v>2</v>
      </c>
      <c r="AG359">
        <v>47.98</v>
      </c>
      <c r="AH359">
        <v>2</v>
      </c>
      <c r="AI359">
        <v>2</v>
      </c>
      <c r="AJ359">
        <v>47.98</v>
      </c>
      <c r="AK359">
        <v>2</v>
      </c>
    </row>
    <row r="360" spans="1:37">
      <c r="A360" t="s">
        <v>37</v>
      </c>
      <c r="B360" t="s">
        <v>120</v>
      </c>
      <c r="C360" t="str">
        <f t="shared" si="15"/>
        <v>amzn1.ads-account.g.dfa7o7cwdl371d634ew58i919</v>
      </c>
      <c r="D360" t="s">
        <v>39</v>
      </c>
      <c r="G360" t="str">
        <f t="shared" si="16"/>
        <v>585687237024345541</v>
      </c>
      <c r="H360" t="s">
        <v>40</v>
      </c>
      <c r="I360" t="str">
        <f t="shared" si="17"/>
        <v>585478290940566279</v>
      </c>
      <c r="J360" t="s">
        <v>41</v>
      </c>
      <c r="K360" t="s">
        <v>948</v>
      </c>
      <c r="L360" s="1" t="str">
        <f>VLOOKUP(K360,Sheet1!A:B,2,FALSE)</f>
        <v>SH-BRY10-BK-38</v>
      </c>
      <c r="M360" t="s">
        <v>949</v>
      </c>
      <c r="N360" t="s">
        <v>44</v>
      </c>
      <c r="O360" t="s">
        <v>45</v>
      </c>
      <c r="P360" t="s">
        <v>75</v>
      </c>
      <c r="Q360" t="s">
        <v>91</v>
      </c>
      <c r="R360" t="s">
        <v>48</v>
      </c>
      <c r="S360" t="s">
        <v>49</v>
      </c>
      <c r="AB360" t="s">
        <v>49</v>
      </c>
      <c r="AC360">
        <v>15</v>
      </c>
      <c r="AD360">
        <v>398.51</v>
      </c>
      <c r="AE360">
        <v>17</v>
      </c>
      <c r="AF360">
        <v>15</v>
      </c>
      <c r="AG360">
        <v>398.51</v>
      </c>
      <c r="AH360">
        <v>17</v>
      </c>
      <c r="AI360">
        <v>11</v>
      </c>
      <c r="AJ360">
        <v>278.56</v>
      </c>
      <c r="AK360">
        <v>12</v>
      </c>
    </row>
    <row r="361" spans="1:37">
      <c r="A361" t="s">
        <v>37</v>
      </c>
      <c r="B361" t="s">
        <v>147</v>
      </c>
      <c r="C361" t="str">
        <f t="shared" si="15"/>
        <v>amzn1.ads-account.g.dfa7o7cwdl371d634ew58i919</v>
      </c>
      <c r="D361" t="s">
        <v>39</v>
      </c>
      <c r="G361" t="str">
        <f t="shared" si="16"/>
        <v>585687237024345541</v>
      </c>
      <c r="H361" t="s">
        <v>40</v>
      </c>
      <c r="I361" t="str">
        <f t="shared" si="17"/>
        <v>585478290940566279</v>
      </c>
      <c r="J361" t="s">
        <v>41</v>
      </c>
      <c r="K361" t="s">
        <v>950</v>
      </c>
      <c r="L361" s="1" t="str">
        <f>VLOOKUP(K361,Sheet1!A:B,2,FALSE)</f>
        <v>SH-BRY10-RERD-40</v>
      </c>
      <c r="M361" t="s">
        <v>951</v>
      </c>
      <c r="N361" t="s">
        <v>44</v>
      </c>
      <c r="O361" t="s">
        <v>45</v>
      </c>
      <c r="P361" t="s">
        <v>75</v>
      </c>
      <c r="Q361" t="s">
        <v>91</v>
      </c>
      <c r="R361" t="s">
        <v>48</v>
      </c>
      <c r="S361" t="s">
        <v>49</v>
      </c>
      <c r="AB361" t="s">
        <v>49</v>
      </c>
      <c r="AC361">
        <v>2</v>
      </c>
      <c r="AD361">
        <v>39.68</v>
      </c>
      <c r="AE361">
        <v>2</v>
      </c>
      <c r="AF361">
        <v>2</v>
      </c>
      <c r="AG361">
        <v>39.68</v>
      </c>
      <c r="AH361">
        <v>2</v>
      </c>
      <c r="AI361">
        <v>1</v>
      </c>
      <c r="AJ361">
        <v>20.35</v>
      </c>
      <c r="AK361">
        <v>1</v>
      </c>
    </row>
    <row r="362" spans="1:37">
      <c r="A362" t="s">
        <v>37</v>
      </c>
      <c r="B362" t="s">
        <v>586</v>
      </c>
      <c r="C362" t="str">
        <f t="shared" si="15"/>
        <v>amzn1.ads-account.g.dfa7o7cwdl371d634ew58i919</v>
      </c>
      <c r="D362" t="s">
        <v>39</v>
      </c>
      <c r="G362" t="str">
        <f t="shared" si="16"/>
        <v>585687237024345541</v>
      </c>
      <c r="H362" t="s">
        <v>40</v>
      </c>
      <c r="I362" t="str">
        <f t="shared" si="17"/>
        <v>585478290940566279</v>
      </c>
      <c r="J362" t="s">
        <v>41</v>
      </c>
      <c r="K362" t="s">
        <v>952</v>
      </c>
      <c r="L362" s="1" t="str">
        <f>VLOOKUP(K362,Sheet1!A:B,2,FALSE)</f>
        <v>SH-BRKD5-BKBU-40</v>
      </c>
      <c r="M362" t="s">
        <v>953</v>
      </c>
      <c r="N362" t="s">
        <v>139</v>
      </c>
      <c r="O362" t="s">
        <v>45</v>
      </c>
      <c r="P362" t="s">
        <v>46</v>
      </c>
      <c r="Q362" t="s">
        <v>157</v>
      </c>
      <c r="R362" t="s">
        <v>48</v>
      </c>
      <c r="S362" t="s">
        <v>49</v>
      </c>
      <c r="AB362" t="s">
        <v>49</v>
      </c>
      <c r="AC362">
        <v>0</v>
      </c>
      <c r="AD362">
        <v>0</v>
      </c>
      <c r="AE362">
        <v>0</v>
      </c>
      <c r="AF362">
        <v>0</v>
      </c>
      <c r="AG362">
        <v>0</v>
      </c>
      <c r="AH362">
        <v>0</v>
      </c>
      <c r="AI362">
        <v>0</v>
      </c>
      <c r="AJ362">
        <v>0</v>
      </c>
      <c r="AK362">
        <v>0</v>
      </c>
    </row>
    <row r="363" spans="1:37">
      <c r="A363" t="s">
        <v>37</v>
      </c>
      <c r="B363" t="s">
        <v>131</v>
      </c>
      <c r="C363" t="str">
        <f t="shared" si="15"/>
        <v>amzn1.ads-account.g.dfa7o7cwdl371d634ew58i919</v>
      </c>
      <c r="D363" t="s">
        <v>39</v>
      </c>
      <c r="G363" t="str">
        <f t="shared" si="16"/>
        <v>585687237024345541</v>
      </c>
      <c r="H363" t="s">
        <v>40</v>
      </c>
      <c r="I363" t="str">
        <f t="shared" si="17"/>
        <v>585478290940566279</v>
      </c>
      <c r="J363" t="s">
        <v>41</v>
      </c>
      <c r="K363" t="s">
        <v>954</v>
      </c>
      <c r="L363" s="1" t="str">
        <f>VLOOKUP(K363,Sheet1!A:B,2,FALSE)</f>
        <v>XM2-S7K1-DKBU-32</v>
      </c>
      <c r="M363" t="s">
        <v>955</v>
      </c>
      <c r="N363" t="s">
        <v>220</v>
      </c>
      <c r="O363" t="s">
        <v>45</v>
      </c>
      <c r="P363" t="s">
        <v>46</v>
      </c>
      <c r="Q363" t="s">
        <v>157</v>
      </c>
      <c r="R363" t="s">
        <v>48</v>
      </c>
      <c r="S363" t="s">
        <v>49</v>
      </c>
      <c r="AB363" t="s">
        <v>49</v>
      </c>
      <c r="AC363">
        <v>0</v>
      </c>
      <c r="AD363">
        <v>0</v>
      </c>
      <c r="AE363">
        <v>0</v>
      </c>
      <c r="AF363">
        <v>0</v>
      </c>
      <c r="AG363">
        <v>0</v>
      </c>
      <c r="AH363">
        <v>0</v>
      </c>
      <c r="AI363">
        <v>0</v>
      </c>
      <c r="AJ363">
        <v>0</v>
      </c>
      <c r="AK363">
        <v>0</v>
      </c>
    </row>
    <row r="364" spans="1:37">
      <c r="A364" t="s">
        <v>37</v>
      </c>
      <c r="B364" t="s">
        <v>728</v>
      </c>
      <c r="C364" t="str">
        <f t="shared" si="15"/>
        <v>amzn1.ads-account.g.dfa7o7cwdl371d634ew58i919</v>
      </c>
      <c r="D364" t="s">
        <v>39</v>
      </c>
      <c r="G364" t="str">
        <f t="shared" si="16"/>
        <v>585687237024345541</v>
      </c>
      <c r="H364" t="s">
        <v>40</v>
      </c>
      <c r="I364" t="str">
        <f t="shared" si="17"/>
        <v>585478290940566279</v>
      </c>
      <c r="J364" t="s">
        <v>41</v>
      </c>
      <c r="K364" t="s">
        <v>956</v>
      </c>
      <c r="L364" s="1" t="str">
        <f>VLOOKUP(K364,Sheet1!A:B,2,FALSE)</f>
        <v>XM2-S73-GN-41</v>
      </c>
      <c r="M364" t="s">
        <v>957</v>
      </c>
      <c r="N364" t="s">
        <v>83</v>
      </c>
      <c r="O364" t="s">
        <v>45</v>
      </c>
      <c r="P364" t="s">
        <v>153</v>
      </c>
      <c r="Q364" t="s">
        <v>216</v>
      </c>
      <c r="R364" t="s">
        <v>48</v>
      </c>
      <c r="S364" t="s">
        <v>49</v>
      </c>
      <c r="AB364" t="s">
        <v>49</v>
      </c>
      <c r="AC364">
        <v>1</v>
      </c>
      <c r="AD364">
        <v>55.99</v>
      </c>
      <c r="AE364">
        <v>1</v>
      </c>
      <c r="AF364">
        <v>1</v>
      </c>
      <c r="AG364">
        <v>55.99</v>
      </c>
      <c r="AH364">
        <v>1</v>
      </c>
      <c r="AI364">
        <v>0</v>
      </c>
      <c r="AJ364">
        <v>0</v>
      </c>
      <c r="AK364">
        <v>0</v>
      </c>
    </row>
    <row r="365" spans="1:37">
      <c r="A365" t="s">
        <v>37</v>
      </c>
      <c r="B365" t="s">
        <v>854</v>
      </c>
      <c r="C365" t="str">
        <f t="shared" si="15"/>
        <v>amzn1.ads-account.g.dfa7o7cwdl371d634ew58i919</v>
      </c>
      <c r="D365" t="s">
        <v>39</v>
      </c>
      <c r="G365" t="str">
        <f t="shared" si="16"/>
        <v>585687237024345541</v>
      </c>
      <c r="H365" t="s">
        <v>40</v>
      </c>
      <c r="I365" t="str">
        <f t="shared" si="17"/>
        <v>585478290940566279</v>
      </c>
      <c r="J365" t="s">
        <v>41</v>
      </c>
      <c r="K365" t="s">
        <v>958</v>
      </c>
      <c r="L365" s="1" t="str">
        <f>VLOOKUP(K365,Sheet1!A:B,2,FALSE)</f>
        <v>XM2-S71-WERD-39</v>
      </c>
      <c r="M365" t="s">
        <v>959</v>
      </c>
      <c r="N365" t="s">
        <v>83</v>
      </c>
      <c r="O365" t="s">
        <v>45</v>
      </c>
      <c r="P365" t="s">
        <v>163</v>
      </c>
      <c r="Q365" t="s">
        <v>392</v>
      </c>
      <c r="R365" t="s">
        <v>48</v>
      </c>
      <c r="S365" t="s">
        <v>49</v>
      </c>
      <c r="AB365" t="s">
        <v>49</v>
      </c>
      <c r="AC365">
        <v>0</v>
      </c>
      <c r="AD365">
        <v>0</v>
      </c>
      <c r="AE365">
        <v>0</v>
      </c>
      <c r="AF365">
        <v>0</v>
      </c>
      <c r="AG365">
        <v>0</v>
      </c>
      <c r="AH365">
        <v>0</v>
      </c>
      <c r="AI365">
        <v>0</v>
      </c>
      <c r="AJ365">
        <v>0</v>
      </c>
      <c r="AK365">
        <v>0</v>
      </c>
    </row>
    <row r="366" spans="1:37">
      <c r="A366" t="s">
        <v>37</v>
      </c>
      <c r="B366" t="s">
        <v>646</v>
      </c>
      <c r="C366" t="str">
        <f t="shared" si="15"/>
        <v>amzn1.ads-account.g.dfa7o7cwdl371d634ew58i919</v>
      </c>
      <c r="D366" t="s">
        <v>39</v>
      </c>
      <c r="G366" t="str">
        <f t="shared" si="16"/>
        <v>585687237024345541</v>
      </c>
      <c r="H366" t="s">
        <v>40</v>
      </c>
      <c r="I366" t="str">
        <f t="shared" si="17"/>
        <v>585478290940566279</v>
      </c>
      <c r="J366" t="s">
        <v>41</v>
      </c>
      <c r="K366" t="s">
        <v>960</v>
      </c>
      <c r="L366" s="1" t="str">
        <f>VLOOKUP(K366,Sheet1!A:B,2,FALSE)</f>
        <v>XM2-S71-WT-40</v>
      </c>
      <c r="M366" t="s">
        <v>961</v>
      </c>
      <c r="N366" t="s">
        <v>83</v>
      </c>
      <c r="O366" t="s">
        <v>45</v>
      </c>
      <c r="P366" t="s">
        <v>65</v>
      </c>
      <c r="Q366" t="s">
        <v>84</v>
      </c>
      <c r="R366" t="s">
        <v>48</v>
      </c>
      <c r="S366" t="s">
        <v>49</v>
      </c>
      <c r="AB366" t="s">
        <v>49</v>
      </c>
      <c r="AC366">
        <v>0</v>
      </c>
      <c r="AD366">
        <v>0</v>
      </c>
      <c r="AE366">
        <v>0</v>
      </c>
      <c r="AF366">
        <v>0</v>
      </c>
      <c r="AG366">
        <v>0</v>
      </c>
      <c r="AH366">
        <v>0</v>
      </c>
      <c r="AI366">
        <v>0</v>
      </c>
      <c r="AJ366">
        <v>0</v>
      </c>
      <c r="AK366">
        <v>0</v>
      </c>
    </row>
    <row r="367" spans="1:37">
      <c r="A367" t="s">
        <v>37</v>
      </c>
      <c r="B367" t="s">
        <v>55</v>
      </c>
      <c r="C367" t="str">
        <f t="shared" si="15"/>
        <v>amzn1.ads-account.g.dfa7o7cwdl371d634ew58i919</v>
      </c>
      <c r="D367" t="s">
        <v>39</v>
      </c>
      <c r="G367" t="str">
        <f t="shared" si="16"/>
        <v>585687237024345541</v>
      </c>
      <c r="H367" t="s">
        <v>40</v>
      </c>
      <c r="I367" t="str">
        <f t="shared" si="17"/>
        <v>585478290940566279</v>
      </c>
      <c r="J367" t="s">
        <v>41</v>
      </c>
      <c r="K367" t="s">
        <v>962</v>
      </c>
      <c r="L367" s="1" t="str">
        <f>VLOOKUP(K367,Sheet1!A:B,2,FALSE)</f>
        <v>XM2-Y90B-BK-W8</v>
      </c>
      <c r="M367" t="s">
        <v>963</v>
      </c>
      <c r="N367" t="s">
        <v>74</v>
      </c>
      <c r="O367" t="s">
        <v>45</v>
      </c>
      <c r="Q367" t="s">
        <v>54</v>
      </c>
      <c r="R367" t="s">
        <v>48</v>
      </c>
      <c r="S367" t="s">
        <v>49</v>
      </c>
      <c r="AB367" t="s">
        <v>49</v>
      </c>
      <c r="AC367">
        <v>2</v>
      </c>
      <c r="AD367">
        <v>19.48</v>
      </c>
      <c r="AE367">
        <v>2</v>
      </c>
      <c r="AF367">
        <v>2</v>
      </c>
      <c r="AG367">
        <v>19.48</v>
      </c>
      <c r="AH367">
        <v>2</v>
      </c>
      <c r="AI367">
        <v>2</v>
      </c>
      <c r="AJ367">
        <v>19.48</v>
      </c>
      <c r="AK367">
        <v>2</v>
      </c>
    </row>
    <row r="368" spans="1:37">
      <c r="A368" t="s">
        <v>37</v>
      </c>
      <c r="B368" t="s">
        <v>107</v>
      </c>
      <c r="C368" t="str">
        <f t="shared" si="15"/>
        <v>amzn1.ads-account.g.dfa7o7cwdl371d634ew58i919</v>
      </c>
      <c r="D368" t="s">
        <v>39</v>
      </c>
      <c r="G368" t="str">
        <f t="shared" si="16"/>
        <v>585687237024345541</v>
      </c>
      <c r="H368" t="s">
        <v>40</v>
      </c>
      <c r="I368" t="str">
        <f t="shared" si="17"/>
        <v>585478290940566279</v>
      </c>
      <c r="J368" t="s">
        <v>41</v>
      </c>
      <c r="K368" t="s">
        <v>964</v>
      </c>
      <c r="L368" s="1" t="str">
        <f>VLOOKUP(K368,Sheet1!A:B,2,FALSE)</f>
        <v>Y10 Y180-BK-40</v>
      </c>
      <c r="M368" t="s">
        <v>965</v>
      </c>
      <c r="N368">
        <v>-1</v>
      </c>
      <c r="O368" t="s">
        <v>45</v>
      </c>
      <c r="P368" t="s">
        <v>59</v>
      </c>
      <c r="Q368" t="s">
        <v>114</v>
      </c>
      <c r="R368" t="s">
        <v>48</v>
      </c>
      <c r="S368" t="s">
        <v>49</v>
      </c>
      <c r="AB368" t="s">
        <v>49</v>
      </c>
      <c r="AC368">
        <v>0</v>
      </c>
      <c r="AD368">
        <v>0</v>
      </c>
      <c r="AE368">
        <v>0</v>
      </c>
      <c r="AF368">
        <v>0</v>
      </c>
      <c r="AG368">
        <v>0</v>
      </c>
      <c r="AH368">
        <v>0</v>
      </c>
      <c r="AI368">
        <v>0</v>
      </c>
      <c r="AJ368">
        <v>0</v>
      </c>
      <c r="AK368">
        <v>0</v>
      </c>
    </row>
    <row r="369" spans="1:37">
      <c r="A369" t="s">
        <v>37</v>
      </c>
      <c r="B369" t="s">
        <v>150</v>
      </c>
      <c r="C369" t="str">
        <f t="shared" si="15"/>
        <v>amzn1.ads-account.g.dfa7o7cwdl371d634ew58i919</v>
      </c>
      <c r="D369" t="s">
        <v>39</v>
      </c>
      <c r="G369" t="str">
        <f t="shared" si="16"/>
        <v>585687237024345541</v>
      </c>
      <c r="H369" t="s">
        <v>40</v>
      </c>
      <c r="I369" t="str">
        <f t="shared" si="17"/>
        <v>585478290940566279</v>
      </c>
      <c r="J369" t="s">
        <v>41</v>
      </c>
      <c r="K369" t="s">
        <v>966</v>
      </c>
      <c r="L369" s="1" t="str">
        <f>VLOOKUP(K369,Sheet1!A:B,2,FALSE)</f>
        <v>SH-BRS71-BU-47</v>
      </c>
      <c r="M369" t="s">
        <v>967</v>
      </c>
      <c r="N369" t="s">
        <v>110</v>
      </c>
      <c r="O369" t="s">
        <v>45</v>
      </c>
      <c r="P369" t="s">
        <v>118</v>
      </c>
      <c r="Q369" t="s">
        <v>119</v>
      </c>
      <c r="R369" t="s">
        <v>48</v>
      </c>
      <c r="S369" t="s">
        <v>49</v>
      </c>
      <c r="AB369" t="s">
        <v>49</v>
      </c>
      <c r="AC369">
        <v>0</v>
      </c>
      <c r="AD369">
        <v>0</v>
      </c>
      <c r="AE369">
        <v>0</v>
      </c>
      <c r="AF369">
        <v>0</v>
      </c>
      <c r="AG369">
        <v>0</v>
      </c>
      <c r="AH369">
        <v>0</v>
      </c>
      <c r="AI369">
        <v>0</v>
      </c>
      <c r="AJ369">
        <v>0</v>
      </c>
      <c r="AK369">
        <v>0</v>
      </c>
    </row>
    <row r="370" spans="1:37">
      <c r="A370" t="s">
        <v>37</v>
      </c>
      <c r="B370" t="s">
        <v>968</v>
      </c>
      <c r="C370" t="str">
        <f t="shared" si="15"/>
        <v>amzn1.ads-account.g.dfa7o7cwdl371d634ew58i919</v>
      </c>
      <c r="D370" t="s">
        <v>39</v>
      </c>
      <c r="G370" t="str">
        <f t="shared" si="16"/>
        <v>585687237024345541</v>
      </c>
      <c r="H370" t="s">
        <v>40</v>
      </c>
      <c r="I370" t="str">
        <f t="shared" si="17"/>
        <v>585478290940566279</v>
      </c>
      <c r="J370" t="s">
        <v>41</v>
      </c>
      <c r="K370" t="s">
        <v>969</v>
      </c>
      <c r="L370" s="1" t="str">
        <f>VLOOKUP(K370,Sheet1!A:B,2,FALSE)</f>
        <v>XM2-Y90B-BG-W11</v>
      </c>
      <c r="M370" t="s">
        <v>970</v>
      </c>
      <c r="N370" t="s">
        <v>74</v>
      </c>
      <c r="O370" t="s">
        <v>45</v>
      </c>
      <c r="P370" t="s">
        <v>59</v>
      </c>
      <c r="Q370" t="s">
        <v>130</v>
      </c>
      <c r="R370" t="s">
        <v>48</v>
      </c>
      <c r="S370" t="s">
        <v>49</v>
      </c>
      <c r="AB370" t="s">
        <v>49</v>
      </c>
      <c r="AC370">
        <v>0</v>
      </c>
      <c r="AD370">
        <v>0</v>
      </c>
      <c r="AE370">
        <v>0</v>
      </c>
      <c r="AF370">
        <v>0</v>
      </c>
      <c r="AG370">
        <v>0</v>
      </c>
      <c r="AH370">
        <v>0</v>
      </c>
      <c r="AI370">
        <v>0</v>
      </c>
      <c r="AJ370">
        <v>0</v>
      </c>
      <c r="AK370">
        <v>0</v>
      </c>
    </row>
    <row r="371" spans="1:37">
      <c r="A371" t="s">
        <v>37</v>
      </c>
      <c r="B371" t="s">
        <v>971</v>
      </c>
      <c r="C371" t="str">
        <f t="shared" si="15"/>
        <v>amzn1.ads-account.g.dfa7o7cwdl371d634ew58i919</v>
      </c>
      <c r="D371" t="s">
        <v>39</v>
      </c>
      <c r="G371" t="str">
        <f t="shared" si="16"/>
        <v>585687237024345541</v>
      </c>
      <c r="H371" t="s">
        <v>40</v>
      </c>
      <c r="I371" t="str">
        <f t="shared" si="17"/>
        <v>585478290940566279</v>
      </c>
      <c r="J371" t="s">
        <v>41</v>
      </c>
      <c r="K371" t="s">
        <v>972</v>
      </c>
      <c r="L371" s="1" t="str">
        <f>VLOOKUP(K371,Sheet1!A:B,2,FALSE)</f>
        <v>LB1-Y15-PK-38</v>
      </c>
      <c r="M371" t="s">
        <v>973</v>
      </c>
      <c r="N371" t="s">
        <v>58</v>
      </c>
      <c r="O371" t="s">
        <v>45</v>
      </c>
      <c r="P371" t="s">
        <v>65</v>
      </c>
      <c r="Q371" t="s">
        <v>66</v>
      </c>
      <c r="R371" t="s">
        <v>48</v>
      </c>
      <c r="S371" t="s">
        <v>49</v>
      </c>
      <c r="AB371" t="s">
        <v>49</v>
      </c>
      <c r="AC371">
        <v>0</v>
      </c>
      <c r="AD371">
        <v>0</v>
      </c>
      <c r="AE371">
        <v>0</v>
      </c>
      <c r="AF371">
        <v>0</v>
      </c>
      <c r="AG371">
        <v>0</v>
      </c>
      <c r="AH371">
        <v>0</v>
      </c>
      <c r="AI371">
        <v>0</v>
      </c>
      <c r="AJ371">
        <v>0</v>
      </c>
      <c r="AK371">
        <v>0</v>
      </c>
    </row>
    <row r="372" spans="1:37">
      <c r="A372" t="s">
        <v>37</v>
      </c>
      <c r="B372" t="s">
        <v>554</v>
      </c>
      <c r="C372" t="str">
        <f t="shared" si="15"/>
        <v>amzn1.ads-account.g.dfa7o7cwdl371d634ew58i919</v>
      </c>
      <c r="D372" t="s">
        <v>39</v>
      </c>
      <c r="G372" t="str">
        <f t="shared" si="16"/>
        <v>585687237024345541</v>
      </c>
      <c r="H372" t="s">
        <v>40</v>
      </c>
      <c r="I372" t="str">
        <f t="shared" si="17"/>
        <v>585478290940566279</v>
      </c>
      <c r="J372" t="s">
        <v>41</v>
      </c>
      <c r="K372" t="s">
        <v>974</v>
      </c>
      <c r="L372" s="1" t="str">
        <f>VLOOKUP(K372,Sheet1!A:B,2,FALSE)</f>
        <v>SH-BRS73-ABK-45</v>
      </c>
      <c r="M372" t="s">
        <v>975</v>
      </c>
      <c r="N372" t="s">
        <v>206</v>
      </c>
      <c r="O372" t="s">
        <v>45</v>
      </c>
      <c r="P372" t="s">
        <v>65</v>
      </c>
      <c r="Q372" t="s">
        <v>207</v>
      </c>
      <c r="R372" t="s">
        <v>48</v>
      </c>
      <c r="S372" t="s">
        <v>49</v>
      </c>
      <c r="AB372" t="s">
        <v>49</v>
      </c>
      <c r="AC372">
        <v>0</v>
      </c>
      <c r="AD372">
        <v>0</v>
      </c>
      <c r="AE372">
        <v>0</v>
      </c>
      <c r="AF372">
        <v>0</v>
      </c>
      <c r="AG372">
        <v>0</v>
      </c>
      <c r="AH372">
        <v>0</v>
      </c>
      <c r="AI372">
        <v>0</v>
      </c>
      <c r="AJ372">
        <v>0</v>
      </c>
      <c r="AK372">
        <v>0</v>
      </c>
    </row>
    <row r="373" spans="1:37">
      <c r="A373" t="s">
        <v>37</v>
      </c>
      <c r="B373" t="s">
        <v>38</v>
      </c>
      <c r="C373" t="str">
        <f t="shared" si="15"/>
        <v>amzn1.ads-account.g.dfa7o7cwdl371d634ew58i919</v>
      </c>
      <c r="D373" t="s">
        <v>39</v>
      </c>
      <c r="G373" t="str">
        <f t="shared" si="16"/>
        <v>585687237024345541</v>
      </c>
      <c r="H373" t="s">
        <v>40</v>
      </c>
      <c r="I373" t="str">
        <f t="shared" si="17"/>
        <v>585478290940566279</v>
      </c>
      <c r="J373" t="s">
        <v>41</v>
      </c>
      <c r="K373" t="s">
        <v>976</v>
      </c>
      <c r="L373" s="1" t="str">
        <f>VLOOKUP(K373,Sheet1!A:B,2,FALSE)</f>
        <v>XM2-Y90B-DKBU-W8M</v>
      </c>
      <c r="M373" t="s">
        <v>977</v>
      </c>
      <c r="N373" t="s">
        <v>74</v>
      </c>
      <c r="O373" t="s">
        <v>45</v>
      </c>
      <c r="Q373" t="s">
        <v>54</v>
      </c>
      <c r="R373" t="s">
        <v>48</v>
      </c>
      <c r="S373" t="s">
        <v>49</v>
      </c>
      <c r="AB373" t="s">
        <v>49</v>
      </c>
      <c r="AC373">
        <v>2</v>
      </c>
      <c r="AD373">
        <v>19.98</v>
      </c>
      <c r="AE373">
        <v>2</v>
      </c>
      <c r="AF373">
        <v>2</v>
      </c>
      <c r="AG373">
        <v>19.98</v>
      </c>
      <c r="AH373">
        <v>2</v>
      </c>
      <c r="AI373">
        <v>2</v>
      </c>
      <c r="AJ373">
        <v>19.98</v>
      </c>
      <c r="AK373">
        <v>2</v>
      </c>
    </row>
    <row r="374" spans="1:37">
      <c r="A374" t="s">
        <v>37</v>
      </c>
      <c r="B374" t="s">
        <v>38</v>
      </c>
      <c r="C374" t="str">
        <f t="shared" si="15"/>
        <v>amzn1.ads-account.g.dfa7o7cwdl371d634ew58i919</v>
      </c>
      <c r="D374" t="s">
        <v>39</v>
      </c>
      <c r="G374" t="str">
        <f t="shared" si="16"/>
        <v>585687237024345541</v>
      </c>
      <c r="H374" t="s">
        <v>40</v>
      </c>
      <c r="I374" t="str">
        <f t="shared" si="17"/>
        <v>585478290940566279</v>
      </c>
      <c r="J374" t="s">
        <v>41</v>
      </c>
      <c r="K374" t="s">
        <v>978</v>
      </c>
      <c r="L374" s="1" t="str">
        <f>VLOOKUP(K374,Sheet1!A:B,2,FALSE)</f>
        <v>SH-BRY10-OLGN-45</v>
      </c>
      <c r="M374" t="s">
        <v>979</v>
      </c>
      <c r="N374" t="s">
        <v>44</v>
      </c>
      <c r="O374" t="s">
        <v>45</v>
      </c>
      <c r="P374" t="s">
        <v>59</v>
      </c>
      <c r="Q374" t="s">
        <v>114</v>
      </c>
      <c r="R374" t="s">
        <v>48</v>
      </c>
      <c r="S374" t="s">
        <v>49</v>
      </c>
      <c r="AB374" t="s">
        <v>49</v>
      </c>
      <c r="AC374">
        <v>2</v>
      </c>
      <c r="AD374">
        <v>38.74</v>
      </c>
      <c r="AE374">
        <v>2</v>
      </c>
      <c r="AF374">
        <v>2</v>
      </c>
      <c r="AG374">
        <v>38.74</v>
      </c>
      <c r="AH374">
        <v>2</v>
      </c>
      <c r="AI374">
        <v>1</v>
      </c>
      <c r="AJ374">
        <v>19.37</v>
      </c>
      <c r="AK374">
        <v>1</v>
      </c>
    </row>
    <row r="375" spans="1:37">
      <c r="A375" t="s">
        <v>37</v>
      </c>
      <c r="B375" t="s">
        <v>120</v>
      </c>
      <c r="C375" t="str">
        <f t="shared" si="15"/>
        <v>amzn1.ads-account.g.dfa7o7cwdl371d634ew58i919</v>
      </c>
      <c r="D375" t="s">
        <v>39</v>
      </c>
      <c r="G375" t="str">
        <f t="shared" si="16"/>
        <v>585687237024345541</v>
      </c>
      <c r="H375" t="s">
        <v>40</v>
      </c>
      <c r="I375" t="str">
        <f t="shared" si="17"/>
        <v>585478290940566279</v>
      </c>
      <c r="J375" t="s">
        <v>41</v>
      </c>
      <c r="K375" t="s">
        <v>980</v>
      </c>
      <c r="L375" s="1" t="str">
        <f>VLOOKUP(K375,Sheet1!A:B,2,FALSE)</f>
        <v>SH-BRY10-TPL-41</v>
      </c>
      <c r="M375" t="s">
        <v>981</v>
      </c>
      <c r="N375" t="s">
        <v>44</v>
      </c>
      <c r="O375" t="s">
        <v>45</v>
      </c>
      <c r="P375" t="s">
        <v>59</v>
      </c>
      <c r="Q375" t="s">
        <v>114</v>
      </c>
      <c r="R375" t="s">
        <v>48</v>
      </c>
      <c r="S375" t="s">
        <v>49</v>
      </c>
      <c r="AB375" t="s">
        <v>49</v>
      </c>
      <c r="AC375">
        <v>1</v>
      </c>
      <c r="AD375">
        <v>23.99</v>
      </c>
      <c r="AE375">
        <v>1</v>
      </c>
      <c r="AF375">
        <v>1</v>
      </c>
      <c r="AG375">
        <v>23.99</v>
      </c>
      <c r="AH375">
        <v>1</v>
      </c>
      <c r="AI375">
        <v>1</v>
      </c>
      <c r="AJ375">
        <v>23.99</v>
      </c>
      <c r="AK375">
        <v>1</v>
      </c>
    </row>
    <row r="376" spans="1:37">
      <c r="A376" t="s">
        <v>37</v>
      </c>
      <c r="B376" t="s">
        <v>257</v>
      </c>
      <c r="C376" t="str">
        <f t="shared" si="15"/>
        <v>amzn1.ads-account.g.dfa7o7cwdl371d634ew58i919</v>
      </c>
      <c r="D376" t="s">
        <v>39</v>
      </c>
      <c r="G376" t="str">
        <f t="shared" si="16"/>
        <v>585687237024345541</v>
      </c>
      <c r="H376" t="s">
        <v>40</v>
      </c>
      <c r="I376" t="str">
        <f t="shared" si="17"/>
        <v>585478290940566279</v>
      </c>
      <c r="J376" t="s">
        <v>41</v>
      </c>
      <c r="K376" t="s">
        <v>982</v>
      </c>
      <c r="L376" s="1" t="str">
        <f>VLOOKUP(K376,Sheet1!A:B,2,FALSE)</f>
        <v>XM2-S7K1-BKRD-37</v>
      </c>
      <c r="M376" t="s">
        <v>983</v>
      </c>
      <c r="N376" t="s">
        <v>220</v>
      </c>
      <c r="O376" t="s">
        <v>45</v>
      </c>
      <c r="P376" t="s">
        <v>46</v>
      </c>
      <c r="Q376" t="s">
        <v>157</v>
      </c>
      <c r="R376" t="s">
        <v>48</v>
      </c>
      <c r="S376" t="s">
        <v>49</v>
      </c>
      <c r="AB376" t="s">
        <v>49</v>
      </c>
      <c r="AC376">
        <v>0</v>
      </c>
      <c r="AD376">
        <v>0</v>
      </c>
      <c r="AE376">
        <v>0</v>
      </c>
      <c r="AF376">
        <v>0</v>
      </c>
      <c r="AG376">
        <v>0</v>
      </c>
      <c r="AH376">
        <v>0</v>
      </c>
      <c r="AI376">
        <v>0</v>
      </c>
      <c r="AJ376">
        <v>0</v>
      </c>
      <c r="AK376">
        <v>0</v>
      </c>
    </row>
    <row r="377" spans="1:37">
      <c r="A377" t="s">
        <v>37</v>
      </c>
      <c r="B377" t="s">
        <v>984</v>
      </c>
      <c r="C377" t="str">
        <f t="shared" si="15"/>
        <v>amzn1.ads-account.g.dfa7o7cwdl371d634ew58i919</v>
      </c>
      <c r="D377" t="s">
        <v>39</v>
      </c>
      <c r="G377" t="str">
        <f t="shared" si="16"/>
        <v>585687237024345541</v>
      </c>
      <c r="H377" t="s">
        <v>40</v>
      </c>
      <c r="I377" t="str">
        <f t="shared" si="17"/>
        <v>585478290940566279</v>
      </c>
      <c r="J377" t="s">
        <v>41</v>
      </c>
      <c r="K377" t="s">
        <v>985</v>
      </c>
      <c r="L377" s="1" t="str">
        <f>VLOOKUP(K377,Sheet1!A:B,2,FALSE)</f>
        <v>XM2-Y90B-DKBU-W11</v>
      </c>
      <c r="M377" t="s">
        <v>986</v>
      </c>
      <c r="N377" t="s">
        <v>74</v>
      </c>
      <c r="O377" t="s">
        <v>45</v>
      </c>
      <c r="Q377" t="s">
        <v>54</v>
      </c>
      <c r="R377" t="s">
        <v>48</v>
      </c>
      <c r="S377" t="s">
        <v>49</v>
      </c>
      <c r="AB377" t="s">
        <v>49</v>
      </c>
      <c r="AC377">
        <v>0</v>
      </c>
      <c r="AD377">
        <v>0</v>
      </c>
      <c r="AE377">
        <v>0</v>
      </c>
      <c r="AF377">
        <v>0</v>
      </c>
      <c r="AG377">
        <v>0</v>
      </c>
      <c r="AH377">
        <v>0</v>
      </c>
      <c r="AI377">
        <v>0</v>
      </c>
      <c r="AJ377">
        <v>0</v>
      </c>
      <c r="AK377">
        <v>0</v>
      </c>
    </row>
    <row r="378" spans="1:37">
      <c r="A378" t="s">
        <v>37</v>
      </c>
      <c r="B378" t="s">
        <v>686</v>
      </c>
      <c r="C378" t="str">
        <f t="shared" si="15"/>
        <v>amzn1.ads-account.g.dfa7o7cwdl371d634ew58i919</v>
      </c>
      <c r="D378" t="s">
        <v>39</v>
      </c>
      <c r="G378" t="str">
        <f t="shared" si="16"/>
        <v>585687237024345541</v>
      </c>
      <c r="H378" t="s">
        <v>40</v>
      </c>
      <c r="I378" t="str">
        <f t="shared" si="17"/>
        <v>585478290940566279</v>
      </c>
      <c r="J378" t="s">
        <v>41</v>
      </c>
      <c r="K378" t="s">
        <v>987</v>
      </c>
      <c r="L378" s="1" t="str">
        <f>VLOOKUP(K378,Sheet1!A:B,2,FALSE)</f>
        <v>XM2-S600-RD-41</v>
      </c>
      <c r="M378" t="s">
        <v>988</v>
      </c>
      <c r="N378" t="s">
        <v>70</v>
      </c>
      <c r="O378" t="s">
        <v>45</v>
      </c>
      <c r="Q378" t="s">
        <v>54</v>
      </c>
      <c r="R378" t="s">
        <v>48</v>
      </c>
      <c r="S378" t="s">
        <v>49</v>
      </c>
      <c r="AB378" t="s">
        <v>49</v>
      </c>
      <c r="AC378">
        <v>0</v>
      </c>
      <c r="AD378">
        <v>0</v>
      </c>
      <c r="AE378">
        <v>0</v>
      </c>
      <c r="AF378">
        <v>0</v>
      </c>
      <c r="AG378">
        <v>0</v>
      </c>
      <c r="AH378">
        <v>0</v>
      </c>
      <c r="AI378">
        <v>0</v>
      </c>
      <c r="AJ378">
        <v>0</v>
      </c>
      <c r="AK378">
        <v>0</v>
      </c>
    </row>
    <row r="379" spans="1:37">
      <c r="A379" t="s">
        <v>37</v>
      </c>
      <c r="B379" t="s">
        <v>55</v>
      </c>
      <c r="C379" t="str">
        <f t="shared" si="15"/>
        <v>amzn1.ads-account.g.dfa7o7cwdl371d634ew58i919</v>
      </c>
      <c r="D379" t="s">
        <v>39</v>
      </c>
      <c r="G379" t="str">
        <f t="shared" si="16"/>
        <v>585687237024345541</v>
      </c>
      <c r="H379" t="s">
        <v>40</v>
      </c>
      <c r="I379" t="str">
        <f t="shared" si="17"/>
        <v>585478290940566279</v>
      </c>
      <c r="J379" t="s">
        <v>41</v>
      </c>
      <c r="K379" t="s">
        <v>989</v>
      </c>
      <c r="L379" s="1" t="str">
        <f>VLOOKUP(K379,Sheet1!A:B,2,FALSE)</f>
        <v>LB1-Y15-BN-38</v>
      </c>
      <c r="M379" t="s">
        <v>990</v>
      </c>
      <c r="N379" t="s">
        <v>58</v>
      </c>
      <c r="O379" t="s">
        <v>45</v>
      </c>
      <c r="P379" t="s">
        <v>59</v>
      </c>
      <c r="Q379" t="s">
        <v>579</v>
      </c>
      <c r="R379" t="s">
        <v>48</v>
      </c>
      <c r="S379" t="s">
        <v>49</v>
      </c>
      <c r="AB379" t="s">
        <v>49</v>
      </c>
      <c r="AC379">
        <v>2</v>
      </c>
      <c r="AD379">
        <v>19.98</v>
      </c>
      <c r="AE379">
        <v>2</v>
      </c>
      <c r="AF379">
        <v>2</v>
      </c>
      <c r="AG379">
        <v>19.98</v>
      </c>
      <c r="AH379">
        <v>2</v>
      </c>
      <c r="AI379">
        <v>1</v>
      </c>
      <c r="AJ379">
        <v>9.99</v>
      </c>
      <c r="AK379">
        <v>1</v>
      </c>
    </row>
    <row r="380" spans="1:37">
      <c r="A380" t="s">
        <v>37</v>
      </c>
      <c r="B380" t="s">
        <v>991</v>
      </c>
      <c r="C380" t="str">
        <f t="shared" si="15"/>
        <v>amzn1.ads-account.g.dfa7o7cwdl371d634ew58i919</v>
      </c>
      <c r="D380" t="s">
        <v>39</v>
      </c>
      <c r="G380" t="str">
        <f t="shared" si="16"/>
        <v>585687237024345541</v>
      </c>
      <c r="H380" t="s">
        <v>40</v>
      </c>
      <c r="I380" t="str">
        <f t="shared" si="17"/>
        <v>585478290940566279</v>
      </c>
      <c r="J380" t="s">
        <v>41</v>
      </c>
      <c r="K380" t="s">
        <v>992</v>
      </c>
      <c r="L380" s="1" t="str">
        <f>VLOOKUP(K380,Sheet1!A:B,2,FALSE)</f>
        <v>XM2-Y90B-LTGY-W11</v>
      </c>
      <c r="M380" t="s">
        <v>993</v>
      </c>
      <c r="N380" t="s">
        <v>74</v>
      </c>
      <c r="O380" t="s">
        <v>45</v>
      </c>
      <c r="P380" t="s">
        <v>59</v>
      </c>
      <c r="Q380" t="s">
        <v>130</v>
      </c>
      <c r="R380" t="s">
        <v>48</v>
      </c>
      <c r="S380" t="s">
        <v>49</v>
      </c>
      <c r="AB380" t="s">
        <v>49</v>
      </c>
      <c r="AC380">
        <v>0</v>
      </c>
      <c r="AD380">
        <v>0</v>
      </c>
      <c r="AE380">
        <v>0</v>
      </c>
      <c r="AF380">
        <v>0</v>
      </c>
      <c r="AG380">
        <v>0</v>
      </c>
      <c r="AH380">
        <v>0</v>
      </c>
      <c r="AI380">
        <v>0</v>
      </c>
      <c r="AJ380">
        <v>0</v>
      </c>
      <c r="AK380">
        <v>0</v>
      </c>
    </row>
    <row r="381" spans="1:37">
      <c r="A381" t="s">
        <v>37</v>
      </c>
      <c r="B381" t="s">
        <v>994</v>
      </c>
      <c r="C381" t="str">
        <f t="shared" si="15"/>
        <v>amzn1.ads-account.g.dfa7o7cwdl371d634ew58i919</v>
      </c>
      <c r="D381" t="s">
        <v>39</v>
      </c>
      <c r="G381" t="str">
        <f t="shared" si="16"/>
        <v>585687237024345541</v>
      </c>
      <c r="H381" t="s">
        <v>40</v>
      </c>
      <c r="I381" t="str">
        <f t="shared" si="17"/>
        <v>585478290940566279</v>
      </c>
      <c r="J381" t="s">
        <v>41</v>
      </c>
      <c r="K381" t="s">
        <v>995</v>
      </c>
      <c r="L381" s="1" t="str">
        <f>VLOOKUP(K381,Sheet1!A:B,2,FALSE)</f>
        <v>XM2-S73-WT-41</v>
      </c>
      <c r="M381" t="s">
        <v>996</v>
      </c>
      <c r="N381" t="s">
        <v>83</v>
      </c>
      <c r="O381" t="s">
        <v>45</v>
      </c>
      <c r="P381" t="s">
        <v>65</v>
      </c>
      <c r="Q381" t="s">
        <v>875</v>
      </c>
      <c r="R381" t="s">
        <v>48</v>
      </c>
      <c r="S381" t="s">
        <v>49</v>
      </c>
      <c r="AB381" t="s">
        <v>49</v>
      </c>
      <c r="AC381">
        <v>0</v>
      </c>
      <c r="AD381">
        <v>0</v>
      </c>
      <c r="AE381">
        <v>0</v>
      </c>
      <c r="AF381">
        <v>0</v>
      </c>
      <c r="AG381">
        <v>0</v>
      </c>
      <c r="AH381">
        <v>0</v>
      </c>
      <c r="AI381">
        <v>0</v>
      </c>
      <c r="AJ381">
        <v>0</v>
      </c>
      <c r="AK381">
        <v>0</v>
      </c>
    </row>
    <row r="382" spans="1:37">
      <c r="A382" t="s">
        <v>37</v>
      </c>
      <c r="B382" t="s">
        <v>368</v>
      </c>
      <c r="C382" t="str">
        <f t="shared" si="15"/>
        <v>amzn1.ads-account.g.dfa7o7cwdl371d634ew58i919</v>
      </c>
      <c r="D382" t="s">
        <v>39</v>
      </c>
      <c r="G382" t="str">
        <f t="shared" si="16"/>
        <v>585687237024345541</v>
      </c>
      <c r="H382" t="s">
        <v>40</v>
      </c>
      <c r="I382" t="str">
        <f t="shared" si="17"/>
        <v>585478290940566279</v>
      </c>
      <c r="J382" t="s">
        <v>41</v>
      </c>
      <c r="K382" t="s">
        <v>997</v>
      </c>
      <c r="L382" s="1" t="str">
        <f>VLOOKUP(K382,Sheet1!A:B,2,FALSE)</f>
        <v>SH-BRY180-BL-41</v>
      </c>
      <c r="M382" t="s">
        <v>998</v>
      </c>
      <c r="N382" t="s">
        <v>64</v>
      </c>
      <c r="O382" t="s">
        <v>45</v>
      </c>
      <c r="P382" t="s">
        <v>123</v>
      </c>
      <c r="Q382" t="s">
        <v>124</v>
      </c>
      <c r="R382" t="s">
        <v>48</v>
      </c>
      <c r="S382" t="s">
        <v>49</v>
      </c>
      <c r="AB382" t="s">
        <v>49</v>
      </c>
      <c r="AC382">
        <v>2</v>
      </c>
      <c r="AD382">
        <v>47.98</v>
      </c>
      <c r="AE382">
        <v>2</v>
      </c>
      <c r="AF382">
        <v>2</v>
      </c>
      <c r="AG382">
        <v>47.98</v>
      </c>
      <c r="AH382">
        <v>2</v>
      </c>
      <c r="AI382">
        <v>2</v>
      </c>
      <c r="AJ382">
        <v>47.98</v>
      </c>
      <c r="AK382">
        <v>2</v>
      </c>
    </row>
    <row r="383" spans="1:37">
      <c r="A383" t="s">
        <v>37</v>
      </c>
      <c r="B383" t="s">
        <v>542</v>
      </c>
      <c r="C383" t="str">
        <f t="shared" si="15"/>
        <v>amzn1.ads-account.g.dfa7o7cwdl371d634ew58i919</v>
      </c>
      <c r="D383" t="s">
        <v>39</v>
      </c>
      <c r="G383" t="str">
        <f t="shared" si="16"/>
        <v>585687237024345541</v>
      </c>
      <c r="H383" t="s">
        <v>40</v>
      </c>
      <c r="I383" t="str">
        <f t="shared" si="17"/>
        <v>585478290940566279</v>
      </c>
      <c r="J383" t="s">
        <v>41</v>
      </c>
      <c r="K383" t="s">
        <v>999</v>
      </c>
      <c r="L383" s="1" t="str">
        <f>VLOOKUP(K383,Sheet1!A:B,2,FALSE)</f>
        <v>XM2-S600-GY-39</v>
      </c>
      <c r="M383" t="s">
        <v>1000</v>
      </c>
      <c r="N383" t="s">
        <v>70</v>
      </c>
      <c r="O383" t="s">
        <v>45</v>
      </c>
      <c r="P383" t="s">
        <v>123</v>
      </c>
      <c r="Q383" t="s">
        <v>245</v>
      </c>
      <c r="R383" t="s">
        <v>48</v>
      </c>
      <c r="S383" t="s">
        <v>49</v>
      </c>
      <c r="AB383" t="s">
        <v>49</v>
      </c>
      <c r="AC383">
        <v>1</v>
      </c>
      <c r="AD383">
        <v>49.99</v>
      </c>
      <c r="AE383">
        <v>1</v>
      </c>
      <c r="AF383">
        <v>1</v>
      </c>
      <c r="AG383">
        <v>49.99</v>
      </c>
      <c r="AH383">
        <v>1</v>
      </c>
      <c r="AI383">
        <v>0</v>
      </c>
      <c r="AJ383">
        <v>0</v>
      </c>
      <c r="AK383">
        <v>0</v>
      </c>
    </row>
    <row r="384" spans="1:37">
      <c r="A384" t="s">
        <v>37</v>
      </c>
      <c r="B384" t="s">
        <v>150</v>
      </c>
      <c r="C384" t="str">
        <f t="shared" si="15"/>
        <v>amzn1.ads-account.g.dfa7o7cwdl371d634ew58i919</v>
      </c>
      <c r="D384" t="s">
        <v>39</v>
      </c>
      <c r="G384" t="str">
        <f t="shared" si="16"/>
        <v>585687237024345541</v>
      </c>
      <c r="H384" t="s">
        <v>40</v>
      </c>
      <c r="I384" t="str">
        <f t="shared" si="17"/>
        <v>585478290940566279</v>
      </c>
      <c r="J384" t="s">
        <v>41</v>
      </c>
      <c r="K384" t="s">
        <v>1001</v>
      </c>
      <c r="L384" s="1" t="str">
        <f>VLOOKUP(K384,Sheet1!A:B,2,FALSE)</f>
        <v>XM2-S75-LTBU-38</v>
      </c>
      <c r="M384" t="s">
        <v>1002</v>
      </c>
      <c r="N384" t="s">
        <v>95</v>
      </c>
      <c r="O384" t="s">
        <v>45</v>
      </c>
      <c r="P384" t="s">
        <v>153</v>
      </c>
      <c r="Q384" t="s">
        <v>154</v>
      </c>
      <c r="R384" t="s">
        <v>48</v>
      </c>
      <c r="S384" t="s">
        <v>49</v>
      </c>
      <c r="AB384" t="s">
        <v>49</v>
      </c>
      <c r="AC384">
        <v>1</v>
      </c>
      <c r="AD384">
        <v>37.99</v>
      </c>
      <c r="AE384">
        <v>1</v>
      </c>
      <c r="AF384">
        <v>1</v>
      </c>
      <c r="AG384">
        <v>37.99</v>
      </c>
      <c r="AH384">
        <v>1</v>
      </c>
      <c r="AI384">
        <v>0</v>
      </c>
      <c r="AJ384">
        <v>0</v>
      </c>
      <c r="AK384">
        <v>0</v>
      </c>
    </row>
    <row r="385" spans="1:37">
      <c r="A385" t="s">
        <v>37</v>
      </c>
      <c r="B385" t="s">
        <v>308</v>
      </c>
      <c r="C385" t="str">
        <f t="shared" si="15"/>
        <v>amzn1.ads-account.g.dfa7o7cwdl371d634ew58i919</v>
      </c>
      <c r="D385" t="s">
        <v>39</v>
      </c>
      <c r="G385" t="str">
        <f t="shared" si="16"/>
        <v>585687237024345541</v>
      </c>
      <c r="H385" t="s">
        <v>40</v>
      </c>
      <c r="I385" t="str">
        <f t="shared" si="17"/>
        <v>585478290940566279</v>
      </c>
      <c r="J385" t="s">
        <v>41</v>
      </c>
      <c r="K385" t="s">
        <v>1003</v>
      </c>
      <c r="L385" s="1" t="str">
        <f>VLOOKUP(K385,Sheet1!A:B,2,FALSE)</f>
        <v>XM2-S73-GN-39</v>
      </c>
      <c r="M385" t="s">
        <v>1004</v>
      </c>
      <c r="N385" t="s">
        <v>83</v>
      </c>
      <c r="O385" t="s">
        <v>45</v>
      </c>
      <c r="P385" t="s">
        <v>65</v>
      </c>
      <c r="Q385" t="s">
        <v>84</v>
      </c>
      <c r="R385" t="s">
        <v>48</v>
      </c>
      <c r="S385" t="s">
        <v>49</v>
      </c>
      <c r="AB385" t="s">
        <v>49</v>
      </c>
      <c r="AC385">
        <v>0</v>
      </c>
      <c r="AD385">
        <v>0</v>
      </c>
      <c r="AE385">
        <v>0</v>
      </c>
      <c r="AF385">
        <v>0</v>
      </c>
      <c r="AG385">
        <v>0</v>
      </c>
      <c r="AH385">
        <v>0</v>
      </c>
      <c r="AI385">
        <v>0</v>
      </c>
      <c r="AJ385">
        <v>0</v>
      </c>
      <c r="AK385">
        <v>0</v>
      </c>
    </row>
    <row r="386" spans="1:37">
      <c r="A386" t="s">
        <v>37</v>
      </c>
      <c r="B386" t="s">
        <v>557</v>
      </c>
      <c r="C386" t="str">
        <f t="shared" ref="C386:C449" si="18">"amzn1.ads-account.g.dfa7o7cwdl371d634ew58i919"</f>
        <v>amzn1.ads-account.g.dfa7o7cwdl371d634ew58i919</v>
      </c>
      <c r="D386" t="s">
        <v>39</v>
      </c>
      <c r="G386" t="str">
        <f t="shared" ref="G386:G449" si="19">"585687237024345541"</f>
        <v>585687237024345541</v>
      </c>
      <c r="H386" t="s">
        <v>40</v>
      </c>
      <c r="I386" t="str">
        <f t="shared" ref="I386:I449" si="20">"585478290940566279"</f>
        <v>585478290940566279</v>
      </c>
      <c r="J386" t="s">
        <v>41</v>
      </c>
      <c r="K386" t="s">
        <v>1005</v>
      </c>
      <c r="L386" s="1" t="str">
        <f>VLOOKUP(K386,Sheet1!A:B,2,FALSE)</f>
        <v>XM2-Y90B-BK-W11</v>
      </c>
      <c r="M386" t="s">
        <v>1006</v>
      </c>
      <c r="N386" t="s">
        <v>74</v>
      </c>
      <c r="O386" t="s">
        <v>45</v>
      </c>
      <c r="P386" t="s">
        <v>59</v>
      </c>
      <c r="Q386" t="s">
        <v>130</v>
      </c>
      <c r="R386" t="s">
        <v>48</v>
      </c>
      <c r="S386" t="s">
        <v>49</v>
      </c>
      <c r="AB386" t="s">
        <v>49</v>
      </c>
      <c r="AC386">
        <v>1</v>
      </c>
      <c r="AD386">
        <v>9.99</v>
      </c>
      <c r="AE386">
        <v>1</v>
      </c>
      <c r="AF386">
        <v>1</v>
      </c>
      <c r="AG386">
        <v>9.99</v>
      </c>
      <c r="AH386">
        <v>1</v>
      </c>
      <c r="AI386">
        <v>1</v>
      </c>
      <c r="AJ386">
        <v>9.99</v>
      </c>
      <c r="AK386">
        <v>1</v>
      </c>
    </row>
    <row r="387" spans="1:37">
      <c r="A387" t="s">
        <v>37</v>
      </c>
      <c r="B387" t="s">
        <v>498</v>
      </c>
      <c r="C387" t="str">
        <f t="shared" si="18"/>
        <v>amzn1.ads-account.g.dfa7o7cwdl371d634ew58i919</v>
      </c>
      <c r="D387" t="s">
        <v>39</v>
      </c>
      <c r="G387" t="str">
        <f t="shared" si="19"/>
        <v>585687237024345541</v>
      </c>
      <c r="H387" t="s">
        <v>40</v>
      </c>
      <c r="I387" t="str">
        <f t="shared" si="20"/>
        <v>585478290940566279</v>
      </c>
      <c r="J387" t="s">
        <v>41</v>
      </c>
      <c r="K387" t="s">
        <v>1007</v>
      </c>
      <c r="L387" s="1" t="str">
        <f>VLOOKUP(K387,Sheet1!A:B,2,FALSE)</f>
        <v>SH-BRY80-PK-11</v>
      </c>
      <c r="M387" t="s">
        <v>1008</v>
      </c>
      <c r="N387" t="s">
        <v>90</v>
      </c>
      <c r="O387" t="s">
        <v>45</v>
      </c>
      <c r="P387" t="s">
        <v>75</v>
      </c>
      <c r="Q387" t="s">
        <v>91</v>
      </c>
      <c r="R387" t="s">
        <v>48</v>
      </c>
      <c r="S387" t="s">
        <v>49</v>
      </c>
      <c r="AB387" t="s">
        <v>49</v>
      </c>
      <c r="AC387">
        <v>0</v>
      </c>
      <c r="AD387">
        <v>0</v>
      </c>
      <c r="AE387">
        <v>0</v>
      </c>
      <c r="AF387">
        <v>0</v>
      </c>
      <c r="AG387">
        <v>0</v>
      </c>
      <c r="AH387">
        <v>0</v>
      </c>
      <c r="AI387">
        <v>0</v>
      </c>
      <c r="AJ387">
        <v>0</v>
      </c>
      <c r="AK387">
        <v>0</v>
      </c>
    </row>
    <row r="388" spans="1:37">
      <c r="A388" t="s">
        <v>37</v>
      </c>
      <c r="B388" t="s">
        <v>1009</v>
      </c>
      <c r="C388" t="str">
        <f t="shared" si="18"/>
        <v>amzn1.ads-account.g.dfa7o7cwdl371d634ew58i919</v>
      </c>
      <c r="D388" t="s">
        <v>39</v>
      </c>
      <c r="G388" t="str">
        <f t="shared" si="19"/>
        <v>585687237024345541</v>
      </c>
      <c r="H388" t="s">
        <v>40</v>
      </c>
      <c r="I388" t="str">
        <f t="shared" si="20"/>
        <v>585478290940566279</v>
      </c>
      <c r="J388" t="s">
        <v>41</v>
      </c>
      <c r="K388" t="s">
        <v>1010</v>
      </c>
      <c r="L388" s="1" t="str">
        <f>VLOOKUP(K388,Sheet1!A:B,2,FALSE)</f>
        <v>SH-BRY80-BK-13</v>
      </c>
      <c r="M388" t="s">
        <v>1011</v>
      </c>
      <c r="N388" t="s">
        <v>90</v>
      </c>
      <c r="O388" t="s">
        <v>45</v>
      </c>
      <c r="P388" t="s">
        <v>75</v>
      </c>
      <c r="Q388" t="s">
        <v>285</v>
      </c>
      <c r="R388" t="s">
        <v>48</v>
      </c>
      <c r="S388" t="s">
        <v>49</v>
      </c>
      <c r="AB388" t="s">
        <v>49</v>
      </c>
      <c r="AC388">
        <v>0</v>
      </c>
      <c r="AD388">
        <v>0</v>
      </c>
      <c r="AE388">
        <v>0</v>
      </c>
      <c r="AF388">
        <v>0</v>
      </c>
      <c r="AG388">
        <v>0</v>
      </c>
      <c r="AH388">
        <v>0</v>
      </c>
      <c r="AI388">
        <v>0</v>
      </c>
      <c r="AJ388">
        <v>0</v>
      </c>
      <c r="AK388">
        <v>0</v>
      </c>
    </row>
    <row r="389" spans="1:37">
      <c r="A389" t="s">
        <v>37</v>
      </c>
      <c r="B389" t="s">
        <v>170</v>
      </c>
      <c r="C389" t="str">
        <f t="shared" si="18"/>
        <v>amzn1.ads-account.g.dfa7o7cwdl371d634ew58i919</v>
      </c>
      <c r="D389" t="s">
        <v>39</v>
      </c>
      <c r="G389" t="str">
        <f t="shared" si="19"/>
        <v>585687237024345541</v>
      </c>
      <c r="H389" t="s">
        <v>40</v>
      </c>
      <c r="I389" t="str">
        <f t="shared" si="20"/>
        <v>585478290940566279</v>
      </c>
      <c r="J389" t="s">
        <v>41</v>
      </c>
      <c r="K389" t="s">
        <v>1012</v>
      </c>
      <c r="L389" s="1" t="str">
        <f>VLOOKUP(K389,Sheet1!A:B,2,FALSE)</f>
        <v>XM2-S71-BKGY-41</v>
      </c>
      <c r="M389" t="s">
        <v>1013</v>
      </c>
      <c r="N389" t="s">
        <v>83</v>
      </c>
      <c r="O389" t="s">
        <v>45</v>
      </c>
      <c r="P389" t="s">
        <v>65</v>
      </c>
      <c r="Q389" t="s">
        <v>84</v>
      </c>
      <c r="R389" t="s">
        <v>48</v>
      </c>
      <c r="S389" t="s">
        <v>49</v>
      </c>
      <c r="AB389" t="s">
        <v>49</v>
      </c>
      <c r="AC389">
        <v>0</v>
      </c>
      <c r="AD389">
        <v>0</v>
      </c>
      <c r="AE389">
        <v>0</v>
      </c>
      <c r="AF389">
        <v>0</v>
      </c>
      <c r="AG389">
        <v>0</v>
      </c>
      <c r="AH389">
        <v>0</v>
      </c>
      <c r="AI389">
        <v>0</v>
      </c>
      <c r="AJ389">
        <v>0</v>
      </c>
      <c r="AK389">
        <v>0</v>
      </c>
    </row>
    <row r="390" spans="1:37">
      <c r="A390" t="s">
        <v>37</v>
      </c>
      <c r="B390" t="s">
        <v>147</v>
      </c>
      <c r="C390" t="str">
        <f t="shared" si="18"/>
        <v>amzn1.ads-account.g.dfa7o7cwdl371d634ew58i919</v>
      </c>
      <c r="D390" t="s">
        <v>39</v>
      </c>
      <c r="G390" t="str">
        <f t="shared" si="19"/>
        <v>585687237024345541</v>
      </c>
      <c r="H390" t="s">
        <v>40</v>
      </c>
      <c r="I390" t="str">
        <f t="shared" si="20"/>
        <v>585478290940566279</v>
      </c>
      <c r="J390" t="s">
        <v>41</v>
      </c>
      <c r="K390" t="s">
        <v>1014</v>
      </c>
      <c r="L390" s="1" t="str">
        <f>VLOOKUP(K390,Sheet1!A:B,2,FALSE)</f>
        <v>SH-BRY10-CL-47</v>
      </c>
      <c r="M390" t="s">
        <v>1015</v>
      </c>
      <c r="N390" t="s">
        <v>44</v>
      </c>
      <c r="O390" t="s">
        <v>45</v>
      </c>
      <c r="P390" t="s">
        <v>59</v>
      </c>
      <c r="Q390" t="s">
        <v>60</v>
      </c>
      <c r="R390" t="s">
        <v>48</v>
      </c>
      <c r="S390" t="s">
        <v>49</v>
      </c>
      <c r="AB390" t="s">
        <v>49</v>
      </c>
      <c r="AC390">
        <v>3</v>
      </c>
      <c r="AD390">
        <v>63.67</v>
      </c>
      <c r="AE390">
        <v>3</v>
      </c>
      <c r="AF390">
        <v>3</v>
      </c>
      <c r="AG390">
        <v>63.67</v>
      </c>
      <c r="AH390">
        <v>3</v>
      </c>
      <c r="AI390">
        <v>2</v>
      </c>
      <c r="AJ390">
        <v>44.34</v>
      </c>
      <c r="AK390">
        <v>2</v>
      </c>
    </row>
    <row r="391" spans="1:37">
      <c r="A391" t="s">
        <v>37</v>
      </c>
      <c r="B391" t="s">
        <v>335</v>
      </c>
      <c r="C391" t="str">
        <f t="shared" si="18"/>
        <v>amzn1.ads-account.g.dfa7o7cwdl371d634ew58i919</v>
      </c>
      <c r="D391" t="s">
        <v>39</v>
      </c>
      <c r="G391" t="str">
        <f t="shared" si="19"/>
        <v>585687237024345541</v>
      </c>
      <c r="H391" t="s">
        <v>40</v>
      </c>
      <c r="I391" t="str">
        <f t="shared" si="20"/>
        <v>585478290940566279</v>
      </c>
      <c r="J391" t="s">
        <v>41</v>
      </c>
      <c r="K391" t="s">
        <v>1016</v>
      </c>
      <c r="L391" s="1" t="str">
        <f>VLOOKUP(K391,Sheet1!A:B,2,FALSE)</f>
        <v>XM2-S75-LTBU-41</v>
      </c>
      <c r="M391" t="s">
        <v>1017</v>
      </c>
      <c r="N391" t="s">
        <v>95</v>
      </c>
      <c r="O391" t="s">
        <v>45</v>
      </c>
      <c r="P391" t="s">
        <v>118</v>
      </c>
      <c r="Q391" t="s">
        <v>1018</v>
      </c>
      <c r="R391" t="s">
        <v>48</v>
      </c>
      <c r="S391" t="s">
        <v>49</v>
      </c>
      <c r="AB391" t="s">
        <v>49</v>
      </c>
      <c r="AC391">
        <v>0</v>
      </c>
      <c r="AD391">
        <v>0</v>
      </c>
      <c r="AE391">
        <v>0</v>
      </c>
      <c r="AF391">
        <v>0</v>
      </c>
      <c r="AG391">
        <v>0</v>
      </c>
      <c r="AH391">
        <v>0</v>
      </c>
      <c r="AI391">
        <v>0</v>
      </c>
      <c r="AJ391">
        <v>0</v>
      </c>
      <c r="AK391">
        <v>0</v>
      </c>
    </row>
    <row r="392" spans="1:37">
      <c r="A392" t="s">
        <v>37</v>
      </c>
      <c r="B392" t="s">
        <v>487</v>
      </c>
      <c r="C392" t="str">
        <f t="shared" si="18"/>
        <v>amzn1.ads-account.g.dfa7o7cwdl371d634ew58i919</v>
      </c>
      <c r="D392" t="s">
        <v>39</v>
      </c>
      <c r="G392" t="str">
        <f t="shared" si="19"/>
        <v>585687237024345541</v>
      </c>
      <c r="H392" t="s">
        <v>40</v>
      </c>
      <c r="I392" t="str">
        <f t="shared" si="20"/>
        <v>585478290940566279</v>
      </c>
      <c r="J392" t="s">
        <v>41</v>
      </c>
      <c r="K392" t="s">
        <v>1019</v>
      </c>
      <c r="L392" s="1" t="str">
        <f>VLOOKUP(K392,Sheet1!A:B,2,FALSE)</f>
        <v>XM2-S7K1-DKBU-30</v>
      </c>
      <c r="M392" t="s">
        <v>1020</v>
      </c>
      <c r="N392" t="s">
        <v>220</v>
      </c>
      <c r="O392" t="s">
        <v>45</v>
      </c>
      <c r="P392" t="s">
        <v>46</v>
      </c>
      <c r="Q392" t="s">
        <v>157</v>
      </c>
      <c r="R392" t="s">
        <v>48</v>
      </c>
      <c r="S392" t="s">
        <v>49</v>
      </c>
      <c r="AB392" t="s">
        <v>49</v>
      </c>
      <c r="AC392">
        <v>1</v>
      </c>
      <c r="AD392">
        <v>79.98</v>
      </c>
      <c r="AE392">
        <v>2</v>
      </c>
      <c r="AF392">
        <v>1</v>
      </c>
      <c r="AG392">
        <v>79.98</v>
      </c>
      <c r="AH392">
        <v>2</v>
      </c>
      <c r="AI392">
        <v>1</v>
      </c>
      <c r="AJ392">
        <v>79.98</v>
      </c>
      <c r="AK392">
        <v>2</v>
      </c>
    </row>
    <row r="393" spans="1:37">
      <c r="A393" t="s">
        <v>37</v>
      </c>
      <c r="B393" t="s">
        <v>1021</v>
      </c>
      <c r="C393" t="str">
        <f t="shared" si="18"/>
        <v>amzn1.ads-account.g.dfa7o7cwdl371d634ew58i919</v>
      </c>
      <c r="D393" t="s">
        <v>39</v>
      </c>
      <c r="G393" t="str">
        <f t="shared" si="19"/>
        <v>585687237024345541</v>
      </c>
      <c r="H393" t="s">
        <v>40</v>
      </c>
      <c r="I393" t="str">
        <f t="shared" si="20"/>
        <v>585478290940566279</v>
      </c>
      <c r="J393" t="s">
        <v>41</v>
      </c>
      <c r="K393" t="s">
        <v>1022</v>
      </c>
      <c r="L393" s="1" t="str">
        <f>VLOOKUP(K393,Sheet1!A:B,2,FALSE)</f>
        <v>XM2-S73-BG-39</v>
      </c>
      <c r="M393" t="s">
        <v>1023</v>
      </c>
      <c r="N393" t="s">
        <v>83</v>
      </c>
      <c r="O393" t="s">
        <v>45</v>
      </c>
      <c r="P393" t="s">
        <v>65</v>
      </c>
      <c r="Q393" t="s">
        <v>84</v>
      </c>
      <c r="R393" t="s">
        <v>48</v>
      </c>
      <c r="S393" t="s">
        <v>49</v>
      </c>
      <c r="AB393" t="s">
        <v>49</v>
      </c>
      <c r="AC393">
        <v>0</v>
      </c>
      <c r="AD393">
        <v>0</v>
      </c>
      <c r="AE393">
        <v>0</v>
      </c>
      <c r="AF393">
        <v>0</v>
      </c>
      <c r="AG393">
        <v>0</v>
      </c>
      <c r="AH393">
        <v>0</v>
      </c>
      <c r="AI393">
        <v>0</v>
      </c>
      <c r="AJ393">
        <v>0</v>
      </c>
      <c r="AK393">
        <v>0</v>
      </c>
    </row>
    <row r="394" spans="1:37">
      <c r="A394" t="s">
        <v>37</v>
      </c>
      <c r="B394" t="s">
        <v>1024</v>
      </c>
      <c r="C394" t="str">
        <f t="shared" si="18"/>
        <v>amzn1.ads-account.g.dfa7o7cwdl371d634ew58i919</v>
      </c>
      <c r="D394" t="s">
        <v>39</v>
      </c>
      <c r="G394" t="str">
        <f t="shared" si="19"/>
        <v>585687237024345541</v>
      </c>
      <c r="H394" t="s">
        <v>40</v>
      </c>
      <c r="I394" t="str">
        <f t="shared" si="20"/>
        <v>585478290940566279</v>
      </c>
      <c r="J394" t="s">
        <v>41</v>
      </c>
      <c r="K394" t="s">
        <v>1025</v>
      </c>
      <c r="L394" s="1" t="str">
        <f>VLOOKUP(K394,Sheet1!A:B,2,FALSE)</f>
        <v>SH-BRS7K05-BK-36</v>
      </c>
      <c r="M394" t="s">
        <v>1026</v>
      </c>
      <c r="N394">
        <v>-1</v>
      </c>
      <c r="O394" t="s">
        <v>45</v>
      </c>
      <c r="P394" t="s">
        <v>46</v>
      </c>
      <c r="Q394" t="s">
        <v>324</v>
      </c>
      <c r="R394" t="s">
        <v>48</v>
      </c>
      <c r="S394" t="s">
        <v>49</v>
      </c>
      <c r="AB394" t="s">
        <v>49</v>
      </c>
      <c r="AC394">
        <v>0</v>
      </c>
      <c r="AD394">
        <v>0</v>
      </c>
      <c r="AE394">
        <v>0</v>
      </c>
      <c r="AF394">
        <v>0</v>
      </c>
      <c r="AG394">
        <v>0</v>
      </c>
      <c r="AH394">
        <v>0</v>
      </c>
      <c r="AI394">
        <v>0</v>
      </c>
      <c r="AJ394">
        <v>0</v>
      </c>
      <c r="AK394">
        <v>0</v>
      </c>
    </row>
    <row r="395" spans="1:37">
      <c r="A395" t="s">
        <v>37</v>
      </c>
      <c r="B395" t="s">
        <v>618</v>
      </c>
      <c r="C395" t="str">
        <f t="shared" si="18"/>
        <v>amzn1.ads-account.g.dfa7o7cwdl371d634ew58i919</v>
      </c>
      <c r="D395" t="s">
        <v>39</v>
      </c>
      <c r="G395" t="str">
        <f t="shared" si="19"/>
        <v>585687237024345541</v>
      </c>
      <c r="H395" t="s">
        <v>40</v>
      </c>
      <c r="I395" t="str">
        <f t="shared" si="20"/>
        <v>585478290940566279</v>
      </c>
      <c r="J395" t="s">
        <v>41</v>
      </c>
      <c r="K395" t="s">
        <v>1027</v>
      </c>
      <c r="L395" s="1" t="str">
        <f>VLOOKUP(K395,Sheet1!A:B,2,FALSE)</f>
        <v>XM2-S71-BUPK-40</v>
      </c>
      <c r="M395" t="s">
        <v>1028</v>
      </c>
      <c r="N395" t="s">
        <v>83</v>
      </c>
      <c r="O395" t="s">
        <v>45</v>
      </c>
      <c r="P395" t="s">
        <v>270</v>
      </c>
      <c r="Q395" t="s">
        <v>271</v>
      </c>
      <c r="R395" t="s">
        <v>48</v>
      </c>
      <c r="S395" t="s">
        <v>49</v>
      </c>
      <c r="AB395" t="s">
        <v>49</v>
      </c>
      <c r="AC395">
        <v>1</v>
      </c>
      <c r="AD395">
        <v>49.99</v>
      </c>
      <c r="AE395">
        <v>1</v>
      </c>
      <c r="AF395">
        <v>1</v>
      </c>
      <c r="AG395">
        <v>49.99</v>
      </c>
      <c r="AH395">
        <v>1</v>
      </c>
      <c r="AI395">
        <v>1</v>
      </c>
      <c r="AJ395">
        <v>49.99</v>
      </c>
      <c r="AK395">
        <v>1</v>
      </c>
    </row>
    <row r="396" spans="1:37">
      <c r="A396" t="s">
        <v>37</v>
      </c>
      <c r="B396" t="s">
        <v>1029</v>
      </c>
      <c r="C396" t="str">
        <f t="shared" si="18"/>
        <v>amzn1.ads-account.g.dfa7o7cwdl371d634ew58i919</v>
      </c>
      <c r="D396" t="s">
        <v>39</v>
      </c>
      <c r="G396" t="str">
        <f t="shared" si="19"/>
        <v>585687237024345541</v>
      </c>
      <c r="H396" t="s">
        <v>40</v>
      </c>
      <c r="I396" t="str">
        <f t="shared" si="20"/>
        <v>585478290940566279</v>
      </c>
      <c r="J396" t="s">
        <v>41</v>
      </c>
      <c r="K396" t="s">
        <v>1030</v>
      </c>
      <c r="L396" s="1" t="str">
        <f>VLOOKUP(K396,Sheet1!A:B,2,FALSE)</f>
        <v>XM1-L200-ABK-40</v>
      </c>
      <c r="M396" t="s">
        <v>1031</v>
      </c>
      <c r="N396" t="s">
        <v>191</v>
      </c>
      <c r="O396" t="s">
        <v>45</v>
      </c>
      <c r="P396" t="s">
        <v>65</v>
      </c>
      <c r="Q396" t="s">
        <v>192</v>
      </c>
      <c r="R396" t="s">
        <v>48</v>
      </c>
      <c r="S396" t="s">
        <v>49</v>
      </c>
      <c r="AB396" t="s">
        <v>49</v>
      </c>
      <c r="AC396">
        <v>0</v>
      </c>
      <c r="AD396">
        <v>0</v>
      </c>
      <c r="AE396">
        <v>0</v>
      </c>
      <c r="AF396">
        <v>0</v>
      </c>
      <c r="AG396">
        <v>0</v>
      </c>
      <c r="AH396">
        <v>0</v>
      </c>
      <c r="AI396">
        <v>0</v>
      </c>
      <c r="AJ396">
        <v>0</v>
      </c>
      <c r="AK396">
        <v>0</v>
      </c>
    </row>
    <row r="397" spans="1:37">
      <c r="A397" t="s">
        <v>37</v>
      </c>
      <c r="B397" t="s">
        <v>120</v>
      </c>
      <c r="C397" t="str">
        <f t="shared" si="18"/>
        <v>amzn1.ads-account.g.dfa7o7cwdl371d634ew58i919</v>
      </c>
      <c r="D397" t="s">
        <v>39</v>
      </c>
      <c r="G397" t="str">
        <f t="shared" si="19"/>
        <v>585687237024345541</v>
      </c>
      <c r="H397" t="s">
        <v>40</v>
      </c>
      <c r="I397" t="str">
        <f t="shared" si="20"/>
        <v>585478290940566279</v>
      </c>
      <c r="J397" t="s">
        <v>41</v>
      </c>
      <c r="K397" t="s">
        <v>1032</v>
      </c>
      <c r="L397" s="1" t="str">
        <f>VLOOKUP(K397,Sheet1!A:B,2,FALSE)</f>
        <v>SH-BRY10-WERD-41</v>
      </c>
      <c r="M397" t="s">
        <v>1033</v>
      </c>
      <c r="N397" t="s">
        <v>44</v>
      </c>
      <c r="O397" t="s">
        <v>45</v>
      </c>
      <c r="P397" t="s">
        <v>59</v>
      </c>
      <c r="Q397" t="s">
        <v>114</v>
      </c>
      <c r="R397" t="s">
        <v>48</v>
      </c>
      <c r="S397" t="s">
        <v>49</v>
      </c>
      <c r="AB397" t="s">
        <v>49</v>
      </c>
      <c r="AC397">
        <v>1</v>
      </c>
      <c r="AD397">
        <v>20.35</v>
      </c>
      <c r="AE397">
        <v>1</v>
      </c>
      <c r="AF397">
        <v>1</v>
      </c>
      <c r="AG397">
        <v>20.35</v>
      </c>
      <c r="AH397">
        <v>1</v>
      </c>
      <c r="AI397">
        <v>0</v>
      </c>
      <c r="AJ397">
        <v>0</v>
      </c>
      <c r="AK397">
        <v>0</v>
      </c>
    </row>
    <row r="398" spans="1:37">
      <c r="A398" t="s">
        <v>37</v>
      </c>
      <c r="B398" t="s">
        <v>628</v>
      </c>
      <c r="C398" t="str">
        <f t="shared" si="18"/>
        <v>amzn1.ads-account.g.dfa7o7cwdl371d634ew58i919</v>
      </c>
      <c r="D398" t="s">
        <v>39</v>
      </c>
      <c r="G398" t="str">
        <f t="shared" si="19"/>
        <v>585687237024345541</v>
      </c>
      <c r="H398" t="s">
        <v>40</v>
      </c>
      <c r="I398" t="str">
        <f t="shared" si="20"/>
        <v>585478290940566279</v>
      </c>
      <c r="J398" t="s">
        <v>41</v>
      </c>
      <c r="K398" t="s">
        <v>1034</v>
      </c>
      <c r="L398" s="1" t="str">
        <f>VLOOKUP(K398,Sheet1!A:B,2,FALSE)</f>
        <v>XM2-Y90B-BK-W9N</v>
      </c>
      <c r="M398" t="s">
        <v>1035</v>
      </c>
      <c r="N398" t="s">
        <v>74</v>
      </c>
      <c r="O398" t="s">
        <v>45</v>
      </c>
      <c r="P398" t="s">
        <v>75</v>
      </c>
      <c r="Q398" t="s">
        <v>76</v>
      </c>
      <c r="R398" t="s">
        <v>48</v>
      </c>
      <c r="S398" t="s">
        <v>49</v>
      </c>
      <c r="AB398" t="s">
        <v>49</v>
      </c>
      <c r="AC398">
        <v>3</v>
      </c>
      <c r="AD398">
        <v>29.97</v>
      </c>
      <c r="AE398">
        <v>3</v>
      </c>
      <c r="AF398">
        <v>3</v>
      </c>
      <c r="AG398">
        <v>29.97</v>
      </c>
      <c r="AH398">
        <v>3</v>
      </c>
      <c r="AI398">
        <v>1</v>
      </c>
      <c r="AJ398">
        <v>9.99</v>
      </c>
      <c r="AK398">
        <v>1</v>
      </c>
    </row>
    <row r="399" spans="1:37">
      <c r="A399" t="s">
        <v>37</v>
      </c>
      <c r="B399" t="s">
        <v>567</v>
      </c>
      <c r="C399" t="str">
        <f t="shared" si="18"/>
        <v>amzn1.ads-account.g.dfa7o7cwdl371d634ew58i919</v>
      </c>
      <c r="D399" t="s">
        <v>39</v>
      </c>
      <c r="G399" t="str">
        <f t="shared" si="19"/>
        <v>585687237024345541</v>
      </c>
      <c r="H399" t="s">
        <v>40</v>
      </c>
      <c r="I399" t="str">
        <f t="shared" si="20"/>
        <v>585478290940566279</v>
      </c>
      <c r="J399" t="s">
        <v>41</v>
      </c>
      <c r="K399" t="s">
        <v>1036</v>
      </c>
      <c r="L399" s="1" t="str">
        <f>VLOOKUP(K399,Sheet1!A:B,2,FALSE)</f>
        <v>XM2-S71-BKGY-43</v>
      </c>
      <c r="M399" t="s">
        <v>1037</v>
      </c>
      <c r="N399" t="s">
        <v>83</v>
      </c>
      <c r="O399" t="s">
        <v>45</v>
      </c>
      <c r="P399" t="s">
        <v>65</v>
      </c>
      <c r="Q399" t="s">
        <v>84</v>
      </c>
      <c r="R399" t="s">
        <v>48</v>
      </c>
      <c r="S399" t="s">
        <v>49</v>
      </c>
      <c r="AB399" t="s">
        <v>49</v>
      </c>
      <c r="AC399">
        <v>0</v>
      </c>
      <c r="AD399">
        <v>0</v>
      </c>
      <c r="AE399">
        <v>0</v>
      </c>
      <c r="AF399">
        <v>0</v>
      </c>
      <c r="AG399">
        <v>0</v>
      </c>
      <c r="AH399">
        <v>0</v>
      </c>
      <c r="AI399">
        <v>0</v>
      </c>
      <c r="AJ399">
        <v>0</v>
      </c>
      <c r="AK399">
        <v>0</v>
      </c>
    </row>
    <row r="400" spans="1:37">
      <c r="A400" t="s">
        <v>37</v>
      </c>
      <c r="B400" t="s">
        <v>120</v>
      </c>
      <c r="C400" t="str">
        <f t="shared" si="18"/>
        <v>amzn1.ads-account.g.dfa7o7cwdl371d634ew58i919</v>
      </c>
      <c r="D400" t="s">
        <v>39</v>
      </c>
      <c r="G400" t="str">
        <f t="shared" si="19"/>
        <v>585687237024345541</v>
      </c>
      <c r="H400" t="s">
        <v>40</v>
      </c>
      <c r="I400" t="str">
        <f t="shared" si="20"/>
        <v>585478290940566279</v>
      </c>
      <c r="J400" t="s">
        <v>41</v>
      </c>
      <c r="K400" t="s">
        <v>1038</v>
      </c>
      <c r="L400" s="1" t="str">
        <f>VLOOKUP(K400,Sheet1!A:B,2,FALSE)</f>
        <v>SH-BRY10-KQ-40</v>
      </c>
      <c r="M400" t="s">
        <v>1039</v>
      </c>
      <c r="N400" t="s">
        <v>44</v>
      </c>
      <c r="O400" t="s">
        <v>45</v>
      </c>
      <c r="P400" t="s">
        <v>59</v>
      </c>
      <c r="Q400" t="s">
        <v>130</v>
      </c>
      <c r="R400" t="s">
        <v>48</v>
      </c>
      <c r="S400" t="s">
        <v>49</v>
      </c>
      <c r="AB400" t="s">
        <v>49</v>
      </c>
      <c r="AC400">
        <v>16</v>
      </c>
      <c r="AD400">
        <v>324.61</v>
      </c>
      <c r="AE400">
        <v>16</v>
      </c>
      <c r="AF400">
        <v>16</v>
      </c>
      <c r="AG400">
        <v>324.61</v>
      </c>
      <c r="AH400">
        <v>16</v>
      </c>
      <c r="AI400">
        <v>12</v>
      </c>
      <c r="AJ400">
        <v>256.28</v>
      </c>
      <c r="AK400">
        <v>12</v>
      </c>
    </row>
    <row r="401" spans="1:37">
      <c r="A401" t="s">
        <v>37</v>
      </c>
      <c r="B401" t="s">
        <v>55</v>
      </c>
      <c r="C401" t="str">
        <f t="shared" si="18"/>
        <v>amzn1.ads-account.g.dfa7o7cwdl371d634ew58i919</v>
      </c>
      <c r="D401" t="s">
        <v>39</v>
      </c>
      <c r="G401" t="str">
        <f t="shared" si="19"/>
        <v>585687237024345541</v>
      </c>
      <c r="H401" t="s">
        <v>40</v>
      </c>
      <c r="I401" t="str">
        <f t="shared" si="20"/>
        <v>585478290940566279</v>
      </c>
      <c r="J401" t="s">
        <v>41</v>
      </c>
      <c r="K401" t="s">
        <v>1040</v>
      </c>
      <c r="L401" s="1" t="str">
        <f>VLOOKUP(K401,Sheet1!A:B,2,FALSE)</f>
        <v>LB1-Y15-BK-40</v>
      </c>
      <c r="M401" t="s">
        <v>1041</v>
      </c>
      <c r="N401" t="s">
        <v>58</v>
      </c>
      <c r="O401" t="s">
        <v>45</v>
      </c>
      <c r="P401" t="s">
        <v>65</v>
      </c>
      <c r="Q401" t="s">
        <v>235</v>
      </c>
      <c r="R401" t="s">
        <v>48</v>
      </c>
      <c r="S401" t="s">
        <v>49</v>
      </c>
      <c r="AB401" t="s">
        <v>49</v>
      </c>
      <c r="AC401">
        <v>2</v>
      </c>
      <c r="AD401">
        <v>31.98</v>
      </c>
      <c r="AE401">
        <v>2</v>
      </c>
      <c r="AF401">
        <v>2</v>
      </c>
      <c r="AG401">
        <v>31.98</v>
      </c>
      <c r="AH401">
        <v>2</v>
      </c>
      <c r="AI401">
        <v>2</v>
      </c>
      <c r="AJ401">
        <v>31.98</v>
      </c>
      <c r="AK401">
        <v>2</v>
      </c>
    </row>
    <row r="402" spans="1:37">
      <c r="A402" t="s">
        <v>37</v>
      </c>
      <c r="B402" t="s">
        <v>640</v>
      </c>
      <c r="C402" t="str">
        <f t="shared" si="18"/>
        <v>amzn1.ads-account.g.dfa7o7cwdl371d634ew58i919</v>
      </c>
      <c r="D402" t="s">
        <v>39</v>
      </c>
      <c r="G402" t="str">
        <f t="shared" si="19"/>
        <v>585687237024345541</v>
      </c>
      <c r="H402" t="s">
        <v>40</v>
      </c>
      <c r="I402" t="str">
        <f t="shared" si="20"/>
        <v>585478290940566279</v>
      </c>
      <c r="J402" t="s">
        <v>41</v>
      </c>
      <c r="K402" t="s">
        <v>1042</v>
      </c>
      <c r="L402" s="1" t="str">
        <f>VLOOKUP(K402,Sheet1!A:B,2,FALSE)</f>
        <v>LB1-Y15-GY-38</v>
      </c>
      <c r="M402" t="s">
        <v>1043</v>
      </c>
      <c r="N402" t="s">
        <v>58</v>
      </c>
      <c r="O402" t="s">
        <v>45</v>
      </c>
      <c r="P402" t="s">
        <v>59</v>
      </c>
      <c r="Q402" t="s">
        <v>130</v>
      </c>
      <c r="R402" t="s">
        <v>48</v>
      </c>
      <c r="S402" t="s">
        <v>49</v>
      </c>
      <c r="AB402" t="s">
        <v>49</v>
      </c>
      <c r="AC402">
        <v>0</v>
      </c>
      <c r="AD402">
        <v>0</v>
      </c>
      <c r="AE402">
        <v>0</v>
      </c>
      <c r="AF402">
        <v>0</v>
      </c>
      <c r="AG402">
        <v>0</v>
      </c>
      <c r="AH402">
        <v>0</v>
      </c>
      <c r="AI402">
        <v>0</v>
      </c>
      <c r="AJ402">
        <v>0</v>
      </c>
      <c r="AK402">
        <v>0</v>
      </c>
    </row>
    <row r="403" spans="1:37">
      <c r="A403" t="s">
        <v>37</v>
      </c>
      <c r="B403" t="s">
        <v>167</v>
      </c>
      <c r="C403" t="str">
        <f t="shared" si="18"/>
        <v>amzn1.ads-account.g.dfa7o7cwdl371d634ew58i919</v>
      </c>
      <c r="D403" t="s">
        <v>39</v>
      </c>
      <c r="G403" t="str">
        <f t="shared" si="19"/>
        <v>585687237024345541</v>
      </c>
      <c r="H403" t="s">
        <v>40</v>
      </c>
      <c r="I403" t="str">
        <f t="shared" si="20"/>
        <v>585478290940566279</v>
      </c>
      <c r="J403" t="s">
        <v>41</v>
      </c>
      <c r="K403" t="s">
        <v>1044</v>
      </c>
      <c r="L403" s="1" t="str">
        <f>VLOOKUP(K403,Sheet1!A:B,2,FALSE)</f>
        <v>SH-BRY180-TPL-36</v>
      </c>
      <c r="M403" t="s">
        <v>1045</v>
      </c>
      <c r="N403" t="s">
        <v>64</v>
      </c>
      <c r="O403" t="s">
        <v>45</v>
      </c>
      <c r="P403" t="s">
        <v>123</v>
      </c>
      <c r="Q403" t="s">
        <v>124</v>
      </c>
      <c r="R403" t="s">
        <v>48</v>
      </c>
      <c r="S403" t="s">
        <v>49</v>
      </c>
      <c r="AB403" t="s">
        <v>49</v>
      </c>
      <c r="AC403">
        <v>0</v>
      </c>
      <c r="AD403">
        <v>0</v>
      </c>
      <c r="AE403">
        <v>0</v>
      </c>
      <c r="AF403">
        <v>0</v>
      </c>
      <c r="AG403">
        <v>0</v>
      </c>
      <c r="AH403">
        <v>0</v>
      </c>
      <c r="AI403">
        <v>0</v>
      </c>
      <c r="AJ403">
        <v>0</v>
      </c>
      <c r="AK403">
        <v>0</v>
      </c>
    </row>
    <row r="404" spans="1:37">
      <c r="A404" t="s">
        <v>37</v>
      </c>
      <c r="B404" t="s">
        <v>103</v>
      </c>
      <c r="C404" t="str">
        <f t="shared" si="18"/>
        <v>amzn1.ads-account.g.dfa7o7cwdl371d634ew58i919</v>
      </c>
      <c r="D404" t="s">
        <v>39</v>
      </c>
      <c r="G404" t="str">
        <f t="shared" si="19"/>
        <v>585687237024345541</v>
      </c>
      <c r="H404" t="s">
        <v>40</v>
      </c>
      <c r="I404" t="str">
        <f t="shared" si="20"/>
        <v>585478290940566279</v>
      </c>
      <c r="J404" t="s">
        <v>41</v>
      </c>
      <c r="K404" t="s">
        <v>1046</v>
      </c>
      <c r="L404" s="1" t="str">
        <f>VLOOKUP(K404,Sheet1!A:B,2,FALSE)</f>
        <v>LB1-Y15-BK-45</v>
      </c>
      <c r="M404" t="s">
        <v>1047</v>
      </c>
      <c r="N404" t="s">
        <v>58</v>
      </c>
      <c r="O404" t="s">
        <v>45</v>
      </c>
      <c r="P404" t="s">
        <v>59</v>
      </c>
      <c r="Q404" t="s">
        <v>106</v>
      </c>
      <c r="R404" t="s">
        <v>48</v>
      </c>
      <c r="S404" t="s">
        <v>49</v>
      </c>
      <c r="AB404" t="s">
        <v>49</v>
      </c>
      <c r="AC404">
        <v>0</v>
      </c>
      <c r="AD404">
        <v>0</v>
      </c>
      <c r="AE404">
        <v>0</v>
      </c>
      <c r="AF404">
        <v>0</v>
      </c>
      <c r="AG404">
        <v>0</v>
      </c>
      <c r="AH404">
        <v>0</v>
      </c>
      <c r="AI404">
        <v>0</v>
      </c>
      <c r="AJ404">
        <v>0</v>
      </c>
      <c r="AK404">
        <v>0</v>
      </c>
    </row>
    <row r="405" spans="1:37">
      <c r="A405" t="s">
        <v>37</v>
      </c>
      <c r="B405" t="s">
        <v>679</v>
      </c>
      <c r="C405" t="str">
        <f t="shared" si="18"/>
        <v>amzn1.ads-account.g.dfa7o7cwdl371d634ew58i919</v>
      </c>
      <c r="D405" t="s">
        <v>39</v>
      </c>
      <c r="G405" t="str">
        <f t="shared" si="19"/>
        <v>585687237024345541</v>
      </c>
      <c r="H405" t="s">
        <v>40</v>
      </c>
      <c r="I405" t="str">
        <f t="shared" si="20"/>
        <v>585478290940566279</v>
      </c>
      <c r="J405" t="s">
        <v>41</v>
      </c>
      <c r="K405" t="s">
        <v>1048</v>
      </c>
      <c r="L405" s="1" t="str">
        <f>VLOOKUP(K405,Sheet1!A:B,2,FALSE)</f>
        <v>SH-BRS71-ABK-42</v>
      </c>
      <c r="M405" t="s">
        <v>1049</v>
      </c>
      <c r="N405" t="s">
        <v>110</v>
      </c>
      <c r="O405" t="s">
        <v>45</v>
      </c>
      <c r="P405" t="s">
        <v>839</v>
      </c>
      <c r="Q405" t="s">
        <v>840</v>
      </c>
      <c r="R405" t="s">
        <v>48</v>
      </c>
      <c r="S405" t="s">
        <v>49</v>
      </c>
      <c r="AB405" t="s">
        <v>49</v>
      </c>
      <c r="AC405">
        <v>0</v>
      </c>
      <c r="AD405">
        <v>0</v>
      </c>
      <c r="AE405">
        <v>0</v>
      </c>
      <c r="AF405">
        <v>0</v>
      </c>
      <c r="AG405">
        <v>0</v>
      </c>
      <c r="AH405">
        <v>0</v>
      </c>
      <c r="AI405">
        <v>0</v>
      </c>
      <c r="AJ405">
        <v>0</v>
      </c>
      <c r="AK405">
        <v>0</v>
      </c>
    </row>
    <row r="406" spans="1:37">
      <c r="A406" t="s">
        <v>37</v>
      </c>
      <c r="B406" t="s">
        <v>230</v>
      </c>
      <c r="C406" t="str">
        <f t="shared" si="18"/>
        <v>amzn1.ads-account.g.dfa7o7cwdl371d634ew58i919</v>
      </c>
      <c r="D406" t="s">
        <v>39</v>
      </c>
      <c r="G406" t="str">
        <f t="shared" si="19"/>
        <v>585687237024345541</v>
      </c>
      <c r="H406" t="s">
        <v>40</v>
      </c>
      <c r="I406" t="str">
        <f t="shared" si="20"/>
        <v>585478290940566279</v>
      </c>
      <c r="J406" t="s">
        <v>41</v>
      </c>
      <c r="K406" t="s">
        <v>1050</v>
      </c>
      <c r="L406" s="1" t="str">
        <f>VLOOKUP(K406,Sheet1!A:B,2,FALSE)</f>
        <v>XM2-S73-BU-42</v>
      </c>
      <c r="M406" t="s">
        <v>1051</v>
      </c>
      <c r="N406" t="s">
        <v>83</v>
      </c>
      <c r="O406" t="s">
        <v>45</v>
      </c>
      <c r="P406" t="s">
        <v>65</v>
      </c>
      <c r="Q406" t="s">
        <v>84</v>
      </c>
      <c r="R406" t="s">
        <v>48</v>
      </c>
      <c r="S406" t="s">
        <v>49</v>
      </c>
      <c r="AB406" t="s">
        <v>49</v>
      </c>
      <c r="AC406">
        <v>0</v>
      </c>
      <c r="AD406">
        <v>0</v>
      </c>
      <c r="AE406">
        <v>0</v>
      </c>
      <c r="AF406">
        <v>0</v>
      </c>
      <c r="AG406">
        <v>0</v>
      </c>
      <c r="AH406">
        <v>0</v>
      </c>
      <c r="AI406">
        <v>0</v>
      </c>
      <c r="AJ406">
        <v>0</v>
      </c>
      <c r="AK406">
        <v>0</v>
      </c>
    </row>
    <row r="407" spans="1:37">
      <c r="A407" t="s">
        <v>37</v>
      </c>
      <c r="B407" t="s">
        <v>38</v>
      </c>
      <c r="C407" t="str">
        <f t="shared" si="18"/>
        <v>amzn1.ads-account.g.dfa7o7cwdl371d634ew58i919</v>
      </c>
      <c r="D407" t="s">
        <v>39</v>
      </c>
      <c r="G407" t="str">
        <f t="shared" si="19"/>
        <v>585687237024345541</v>
      </c>
      <c r="H407" t="s">
        <v>40</v>
      </c>
      <c r="I407" t="str">
        <f t="shared" si="20"/>
        <v>585478290940566279</v>
      </c>
      <c r="J407" t="s">
        <v>41</v>
      </c>
      <c r="K407" t="s">
        <v>1052</v>
      </c>
      <c r="L407" s="1" t="str">
        <f>VLOOKUP(K407,Sheet1!A:B,2,FALSE)</f>
        <v>SH-BRY10-PL-38</v>
      </c>
      <c r="M407" t="s">
        <v>1053</v>
      </c>
      <c r="N407" t="s">
        <v>44</v>
      </c>
      <c r="O407" t="s">
        <v>45</v>
      </c>
      <c r="P407" t="s">
        <v>46</v>
      </c>
      <c r="Q407" t="s">
        <v>157</v>
      </c>
      <c r="R407" t="s">
        <v>48</v>
      </c>
      <c r="S407" t="s">
        <v>49</v>
      </c>
      <c r="AB407" t="s">
        <v>49</v>
      </c>
      <c r="AC407">
        <v>1</v>
      </c>
      <c r="AD407">
        <v>23.99</v>
      </c>
      <c r="AE407">
        <v>1</v>
      </c>
      <c r="AF407">
        <v>1</v>
      </c>
      <c r="AG407">
        <v>23.99</v>
      </c>
      <c r="AH407">
        <v>1</v>
      </c>
      <c r="AI407">
        <v>1</v>
      </c>
      <c r="AJ407">
        <v>23.99</v>
      </c>
      <c r="AK407">
        <v>1</v>
      </c>
    </row>
    <row r="408" spans="1:37">
      <c r="A408" t="s">
        <v>37</v>
      </c>
      <c r="B408" t="s">
        <v>1054</v>
      </c>
      <c r="C408" t="str">
        <f t="shared" si="18"/>
        <v>amzn1.ads-account.g.dfa7o7cwdl371d634ew58i919</v>
      </c>
      <c r="D408" t="s">
        <v>39</v>
      </c>
      <c r="G408" t="str">
        <f t="shared" si="19"/>
        <v>585687237024345541</v>
      </c>
      <c r="H408" t="s">
        <v>40</v>
      </c>
      <c r="I408" t="str">
        <f t="shared" si="20"/>
        <v>585478290940566279</v>
      </c>
      <c r="J408" t="s">
        <v>41</v>
      </c>
      <c r="K408" t="s">
        <v>1055</v>
      </c>
      <c r="L408" s="1" t="str">
        <f>VLOOKUP(K408,Sheet1!A:B,2,FALSE)</f>
        <v>XM2-S71-BUPK-36</v>
      </c>
      <c r="M408" t="s">
        <v>1056</v>
      </c>
      <c r="N408" t="s">
        <v>83</v>
      </c>
      <c r="O408" t="s">
        <v>45</v>
      </c>
      <c r="P408" t="s">
        <v>65</v>
      </c>
      <c r="Q408" t="s">
        <v>875</v>
      </c>
      <c r="R408" t="s">
        <v>48</v>
      </c>
      <c r="S408" t="s">
        <v>49</v>
      </c>
      <c r="AB408" t="s">
        <v>49</v>
      </c>
      <c r="AC408">
        <v>0</v>
      </c>
      <c r="AD408">
        <v>0</v>
      </c>
      <c r="AE408">
        <v>0</v>
      </c>
      <c r="AF408">
        <v>0</v>
      </c>
      <c r="AG408">
        <v>0</v>
      </c>
      <c r="AH408">
        <v>0</v>
      </c>
      <c r="AI408">
        <v>0</v>
      </c>
      <c r="AJ408">
        <v>0</v>
      </c>
      <c r="AK408">
        <v>0</v>
      </c>
    </row>
    <row r="409" spans="1:37">
      <c r="A409" t="s">
        <v>37</v>
      </c>
      <c r="B409" t="s">
        <v>604</v>
      </c>
      <c r="C409" t="str">
        <f t="shared" si="18"/>
        <v>amzn1.ads-account.g.dfa7o7cwdl371d634ew58i919</v>
      </c>
      <c r="D409" t="s">
        <v>39</v>
      </c>
      <c r="G409" t="str">
        <f t="shared" si="19"/>
        <v>585687237024345541</v>
      </c>
      <c r="H409" t="s">
        <v>40</v>
      </c>
      <c r="I409" t="str">
        <f t="shared" si="20"/>
        <v>585478290940566279</v>
      </c>
      <c r="J409" t="s">
        <v>41</v>
      </c>
      <c r="K409" t="s">
        <v>1057</v>
      </c>
      <c r="L409" s="1" t="str">
        <f>VLOOKUP(K409,Sheet1!A:B,2,FALSE)</f>
        <v>XM2-S71-BUPK-38</v>
      </c>
      <c r="M409" t="s">
        <v>1058</v>
      </c>
      <c r="N409" t="s">
        <v>83</v>
      </c>
      <c r="O409" t="s">
        <v>45</v>
      </c>
      <c r="P409" t="s">
        <v>65</v>
      </c>
      <c r="Q409" t="s">
        <v>875</v>
      </c>
      <c r="R409" t="s">
        <v>48</v>
      </c>
      <c r="S409" t="s">
        <v>49</v>
      </c>
      <c r="AB409" t="s">
        <v>49</v>
      </c>
      <c r="AC409">
        <v>0</v>
      </c>
      <c r="AD409">
        <v>0</v>
      </c>
      <c r="AE409">
        <v>0</v>
      </c>
      <c r="AF409">
        <v>0</v>
      </c>
      <c r="AG409">
        <v>0</v>
      </c>
      <c r="AH409">
        <v>0</v>
      </c>
      <c r="AI409">
        <v>0</v>
      </c>
      <c r="AJ409">
        <v>0</v>
      </c>
      <c r="AK409">
        <v>0</v>
      </c>
    </row>
    <row r="410" spans="1:37">
      <c r="A410" t="s">
        <v>37</v>
      </c>
      <c r="B410" t="s">
        <v>147</v>
      </c>
      <c r="C410" t="str">
        <f t="shared" si="18"/>
        <v>amzn1.ads-account.g.dfa7o7cwdl371d634ew58i919</v>
      </c>
      <c r="D410" t="s">
        <v>39</v>
      </c>
      <c r="G410" t="str">
        <f t="shared" si="19"/>
        <v>585687237024345541</v>
      </c>
      <c r="H410" t="s">
        <v>40</v>
      </c>
      <c r="I410" t="str">
        <f t="shared" si="20"/>
        <v>585478290940566279</v>
      </c>
      <c r="J410" t="s">
        <v>41</v>
      </c>
      <c r="K410" t="s">
        <v>1059</v>
      </c>
      <c r="L410" s="1" t="str">
        <f>VLOOKUP(K410,Sheet1!A:B,2,FALSE)</f>
        <v>SH-BRY10-BU-36</v>
      </c>
      <c r="M410" t="s">
        <v>1060</v>
      </c>
      <c r="N410" t="s">
        <v>44</v>
      </c>
      <c r="O410" t="s">
        <v>45</v>
      </c>
      <c r="P410" t="s">
        <v>75</v>
      </c>
      <c r="Q410" t="s">
        <v>91</v>
      </c>
      <c r="R410" t="s">
        <v>48</v>
      </c>
      <c r="S410" t="s">
        <v>49</v>
      </c>
      <c r="AB410" t="s">
        <v>49</v>
      </c>
      <c r="AC410">
        <v>4</v>
      </c>
      <c r="AD410">
        <v>112.67</v>
      </c>
      <c r="AE410">
        <v>5</v>
      </c>
      <c r="AF410">
        <v>4</v>
      </c>
      <c r="AG410">
        <v>112.67</v>
      </c>
      <c r="AH410">
        <v>5</v>
      </c>
      <c r="AI410">
        <v>1</v>
      </c>
      <c r="AJ410">
        <v>23.99</v>
      </c>
      <c r="AK410">
        <v>1</v>
      </c>
    </row>
    <row r="411" spans="1:37">
      <c r="A411" t="s">
        <v>37</v>
      </c>
      <c r="B411" t="s">
        <v>640</v>
      </c>
      <c r="C411" t="str">
        <f t="shared" si="18"/>
        <v>amzn1.ads-account.g.dfa7o7cwdl371d634ew58i919</v>
      </c>
      <c r="D411" t="s">
        <v>39</v>
      </c>
      <c r="G411" t="str">
        <f t="shared" si="19"/>
        <v>585687237024345541</v>
      </c>
      <c r="H411" t="s">
        <v>40</v>
      </c>
      <c r="I411" t="str">
        <f t="shared" si="20"/>
        <v>585478290940566279</v>
      </c>
      <c r="J411" t="s">
        <v>41</v>
      </c>
      <c r="K411" t="s">
        <v>1061</v>
      </c>
      <c r="L411" s="1" t="str">
        <f>VLOOKUP(K411,Sheet1!A:B,2,FALSE)</f>
        <v>SH-BRY80-GY-10</v>
      </c>
      <c r="M411" t="s">
        <v>1062</v>
      </c>
      <c r="N411" t="s">
        <v>90</v>
      </c>
      <c r="O411" t="s">
        <v>45</v>
      </c>
      <c r="P411" t="s">
        <v>75</v>
      </c>
      <c r="Q411" t="s">
        <v>91</v>
      </c>
      <c r="R411" t="s">
        <v>48</v>
      </c>
      <c r="S411" t="s">
        <v>49</v>
      </c>
      <c r="AB411" t="s">
        <v>49</v>
      </c>
      <c r="AC411">
        <v>0</v>
      </c>
      <c r="AD411">
        <v>0</v>
      </c>
      <c r="AE411">
        <v>0</v>
      </c>
      <c r="AF411">
        <v>0</v>
      </c>
      <c r="AG411">
        <v>0</v>
      </c>
      <c r="AH411">
        <v>0</v>
      </c>
      <c r="AI411">
        <v>0</v>
      </c>
      <c r="AJ411">
        <v>0</v>
      </c>
      <c r="AK411">
        <v>0</v>
      </c>
    </row>
    <row r="412" spans="1:37">
      <c r="A412" t="s">
        <v>37</v>
      </c>
      <c r="B412" t="s">
        <v>507</v>
      </c>
      <c r="C412" t="str">
        <f t="shared" si="18"/>
        <v>amzn1.ads-account.g.dfa7o7cwdl371d634ew58i919</v>
      </c>
      <c r="D412" t="s">
        <v>39</v>
      </c>
      <c r="G412" t="str">
        <f t="shared" si="19"/>
        <v>585687237024345541</v>
      </c>
      <c r="H412" t="s">
        <v>40</v>
      </c>
      <c r="I412" t="str">
        <f t="shared" si="20"/>
        <v>585478290940566279</v>
      </c>
      <c r="J412" t="s">
        <v>41</v>
      </c>
      <c r="K412" t="s">
        <v>1063</v>
      </c>
      <c r="L412" s="1" t="str">
        <f>VLOOKUP(K412,Sheet1!A:B,2,FALSE)</f>
        <v>XM2-S73-RERD-40</v>
      </c>
      <c r="M412" t="s">
        <v>1064</v>
      </c>
      <c r="N412" t="s">
        <v>83</v>
      </c>
      <c r="O412" t="s">
        <v>45</v>
      </c>
      <c r="P412" t="s">
        <v>153</v>
      </c>
      <c r="Q412" t="s">
        <v>216</v>
      </c>
      <c r="R412" t="s">
        <v>48</v>
      </c>
      <c r="S412" t="s">
        <v>49</v>
      </c>
      <c r="AB412" t="s">
        <v>49</v>
      </c>
      <c r="AC412">
        <v>1</v>
      </c>
      <c r="AD412">
        <v>47.48</v>
      </c>
      <c r="AE412">
        <v>1</v>
      </c>
      <c r="AF412">
        <v>1</v>
      </c>
      <c r="AG412">
        <v>47.48</v>
      </c>
      <c r="AH412">
        <v>1</v>
      </c>
      <c r="AI412">
        <v>0</v>
      </c>
      <c r="AJ412">
        <v>0</v>
      </c>
      <c r="AK412">
        <v>0</v>
      </c>
    </row>
    <row r="413" spans="1:37">
      <c r="A413" t="s">
        <v>37</v>
      </c>
      <c r="B413" t="s">
        <v>640</v>
      </c>
      <c r="C413" t="str">
        <f t="shared" si="18"/>
        <v>amzn1.ads-account.g.dfa7o7cwdl371d634ew58i919</v>
      </c>
      <c r="D413" t="s">
        <v>39</v>
      </c>
      <c r="G413" t="str">
        <f t="shared" si="19"/>
        <v>585687237024345541</v>
      </c>
      <c r="H413" t="s">
        <v>40</v>
      </c>
      <c r="I413" t="str">
        <f t="shared" si="20"/>
        <v>585478290940566279</v>
      </c>
      <c r="J413" t="s">
        <v>41</v>
      </c>
      <c r="K413" t="s">
        <v>1065</v>
      </c>
      <c r="L413" s="1" t="str">
        <f>VLOOKUP(K413,Sheet1!A:B,2,FALSE)</f>
        <v>SH-BRY10-WERD-38</v>
      </c>
      <c r="M413" t="s">
        <v>1066</v>
      </c>
      <c r="N413" t="s">
        <v>44</v>
      </c>
      <c r="O413" t="s">
        <v>45</v>
      </c>
      <c r="P413" t="s">
        <v>59</v>
      </c>
      <c r="Q413" t="s">
        <v>114</v>
      </c>
      <c r="R413" t="s">
        <v>48</v>
      </c>
      <c r="S413" t="s">
        <v>49</v>
      </c>
      <c r="AB413" t="s">
        <v>49</v>
      </c>
      <c r="AC413">
        <v>4</v>
      </c>
      <c r="AD413">
        <v>87.66</v>
      </c>
      <c r="AE413">
        <v>4</v>
      </c>
      <c r="AF413">
        <v>4</v>
      </c>
      <c r="AG413">
        <v>87.66</v>
      </c>
      <c r="AH413">
        <v>4</v>
      </c>
      <c r="AI413">
        <v>4</v>
      </c>
      <c r="AJ413">
        <v>87.66</v>
      </c>
      <c r="AK413">
        <v>4</v>
      </c>
    </row>
    <row r="414" spans="1:37">
      <c r="A414" t="s">
        <v>37</v>
      </c>
      <c r="B414" t="s">
        <v>618</v>
      </c>
      <c r="C414" t="str">
        <f t="shared" si="18"/>
        <v>amzn1.ads-account.g.dfa7o7cwdl371d634ew58i919</v>
      </c>
      <c r="D414" t="s">
        <v>39</v>
      </c>
      <c r="G414" t="str">
        <f t="shared" si="19"/>
        <v>585687237024345541</v>
      </c>
      <c r="H414" t="s">
        <v>40</v>
      </c>
      <c r="I414" t="str">
        <f t="shared" si="20"/>
        <v>585478290940566279</v>
      </c>
      <c r="J414" t="s">
        <v>41</v>
      </c>
      <c r="K414" t="s">
        <v>1067</v>
      </c>
      <c r="L414" s="1" t="str">
        <f>VLOOKUP(K414,Sheet1!A:B,2,FALSE)</f>
        <v>SH-BRY180-BN-36</v>
      </c>
      <c r="M414" t="s">
        <v>1068</v>
      </c>
      <c r="N414" t="s">
        <v>64</v>
      </c>
      <c r="O414" t="s">
        <v>45</v>
      </c>
      <c r="P414" t="s">
        <v>59</v>
      </c>
      <c r="Q414" t="s">
        <v>114</v>
      </c>
      <c r="R414" t="s">
        <v>48</v>
      </c>
      <c r="S414" t="s">
        <v>49</v>
      </c>
      <c r="AB414" t="s">
        <v>49</v>
      </c>
      <c r="AC414">
        <v>0</v>
      </c>
      <c r="AD414">
        <v>0</v>
      </c>
      <c r="AE414">
        <v>0</v>
      </c>
      <c r="AF414">
        <v>0</v>
      </c>
      <c r="AG414">
        <v>0</v>
      </c>
      <c r="AH414">
        <v>0</v>
      </c>
      <c r="AI414">
        <v>0</v>
      </c>
      <c r="AJ414">
        <v>0</v>
      </c>
      <c r="AK414">
        <v>0</v>
      </c>
    </row>
    <row r="415" spans="1:37">
      <c r="A415" t="s">
        <v>37</v>
      </c>
      <c r="B415" t="s">
        <v>822</v>
      </c>
      <c r="C415" t="str">
        <f t="shared" si="18"/>
        <v>amzn1.ads-account.g.dfa7o7cwdl371d634ew58i919</v>
      </c>
      <c r="D415" t="s">
        <v>39</v>
      </c>
      <c r="G415" t="str">
        <f t="shared" si="19"/>
        <v>585687237024345541</v>
      </c>
      <c r="H415" t="s">
        <v>40</v>
      </c>
      <c r="I415" t="str">
        <f t="shared" si="20"/>
        <v>585478290940566279</v>
      </c>
      <c r="J415" t="s">
        <v>41</v>
      </c>
      <c r="K415" t="s">
        <v>1069</v>
      </c>
      <c r="L415" s="1" t="str">
        <f>VLOOKUP(K415,Sheet1!A:B,2,FALSE)</f>
        <v>SH-BRS73-ABK-46</v>
      </c>
      <c r="M415" t="s">
        <v>1070</v>
      </c>
      <c r="N415" t="s">
        <v>206</v>
      </c>
      <c r="O415" t="s">
        <v>45</v>
      </c>
      <c r="P415" t="s">
        <v>65</v>
      </c>
      <c r="Q415" t="s">
        <v>207</v>
      </c>
      <c r="R415" t="s">
        <v>48</v>
      </c>
      <c r="S415" t="s">
        <v>49</v>
      </c>
      <c r="AB415" t="s">
        <v>49</v>
      </c>
      <c r="AC415">
        <v>0</v>
      </c>
      <c r="AD415">
        <v>0</v>
      </c>
      <c r="AE415">
        <v>0</v>
      </c>
      <c r="AF415">
        <v>0</v>
      </c>
      <c r="AG415">
        <v>0</v>
      </c>
      <c r="AH415">
        <v>0</v>
      </c>
      <c r="AI415">
        <v>0</v>
      </c>
      <c r="AJ415">
        <v>0</v>
      </c>
      <c r="AK415">
        <v>0</v>
      </c>
    </row>
    <row r="416" spans="1:37">
      <c r="A416" t="s">
        <v>37</v>
      </c>
      <c r="B416" t="s">
        <v>557</v>
      </c>
      <c r="C416" t="str">
        <f t="shared" si="18"/>
        <v>amzn1.ads-account.g.dfa7o7cwdl371d634ew58i919</v>
      </c>
      <c r="D416" t="s">
        <v>39</v>
      </c>
      <c r="G416" t="str">
        <f t="shared" si="19"/>
        <v>585687237024345541</v>
      </c>
      <c r="H416" t="s">
        <v>40</v>
      </c>
      <c r="I416" t="str">
        <f t="shared" si="20"/>
        <v>585478290940566279</v>
      </c>
      <c r="J416" t="s">
        <v>41</v>
      </c>
      <c r="K416" t="s">
        <v>1071</v>
      </c>
      <c r="L416" s="1" t="str">
        <f>VLOOKUP(K416,Sheet1!A:B,2,FALSE)</f>
        <v>SH-BRY180-CL-38</v>
      </c>
      <c r="M416" t="s">
        <v>1072</v>
      </c>
      <c r="N416" t="s">
        <v>64</v>
      </c>
      <c r="O416" t="s">
        <v>45</v>
      </c>
      <c r="P416" t="s">
        <v>59</v>
      </c>
      <c r="Q416" t="s">
        <v>130</v>
      </c>
      <c r="R416" t="s">
        <v>48</v>
      </c>
      <c r="S416" t="s">
        <v>49</v>
      </c>
      <c r="AB416" t="s">
        <v>49</v>
      </c>
      <c r="AC416">
        <v>1</v>
      </c>
      <c r="AD416">
        <v>23.99</v>
      </c>
      <c r="AE416">
        <v>1</v>
      </c>
      <c r="AF416">
        <v>1</v>
      </c>
      <c r="AG416">
        <v>23.99</v>
      </c>
      <c r="AH416">
        <v>1</v>
      </c>
      <c r="AI416">
        <v>1</v>
      </c>
      <c r="AJ416">
        <v>23.99</v>
      </c>
      <c r="AK416">
        <v>1</v>
      </c>
    </row>
    <row r="417" spans="1:37">
      <c r="A417" t="s">
        <v>37</v>
      </c>
      <c r="B417" t="s">
        <v>439</v>
      </c>
      <c r="C417" t="str">
        <f t="shared" si="18"/>
        <v>amzn1.ads-account.g.dfa7o7cwdl371d634ew58i919</v>
      </c>
      <c r="D417" t="s">
        <v>39</v>
      </c>
      <c r="G417" t="str">
        <f t="shared" si="19"/>
        <v>585687237024345541</v>
      </c>
      <c r="H417" t="s">
        <v>40</v>
      </c>
      <c r="I417" t="str">
        <f t="shared" si="20"/>
        <v>585478290940566279</v>
      </c>
      <c r="J417" t="s">
        <v>41</v>
      </c>
      <c r="K417" t="s">
        <v>1073</v>
      </c>
      <c r="L417" s="1" t="str">
        <f>VLOOKUP(K417,Sheet1!A:B,2,FALSE)</f>
        <v>XM2-S73-GYPL-37</v>
      </c>
      <c r="M417" t="s">
        <v>1074</v>
      </c>
      <c r="N417" t="s">
        <v>83</v>
      </c>
      <c r="O417" t="s">
        <v>45</v>
      </c>
      <c r="P417" t="s">
        <v>153</v>
      </c>
      <c r="Q417" t="s">
        <v>216</v>
      </c>
      <c r="R417" t="s">
        <v>48</v>
      </c>
      <c r="S417" t="s">
        <v>49</v>
      </c>
      <c r="AB417" t="s">
        <v>49</v>
      </c>
      <c r="AC417">
        <v>0</v>
      </c>
      <c r="AD417">
        <v>0</v>
      </c>
      <c r="AE417">
        <v>0</v>
      </c>
      <c r="AF417">
        <v>0</v>
      </c>
      <c r="AG417">
        <v>0</v>
      </c>
      <c r="AH417">
        <v>0</v>
      </c>
      <c r="AI417">
        <v>0</v>
      </c>
      <c r="AJ417">
        <v>0</v>
      </c>
      <c r="AK417">
        <v>0</v>
      </c>
    </row>
    <row r="418" spans="1:37">
      <c r="A418" t="s">
        <v>37</v>
      </c>
      <c r="B418" t="s">
        <v>1075</v>
      </c>
      <c r="C418" t="str">
        <f t="shared" si="18"/>
        <v>amzn1.ads-account.g.dfa7o7cwdl371d634ew58i919</v>
      </c>
      <c r="D418" t="s">
        <v>39</v>
      </c>
      <c r="G418" t="str">
        <f t="shared" si="19"/>
        <v>585687237024345541</v>
      </c>
      <c r="H418" t="s">
        <v>40</v>
      </c>
      <c r="I418" t="str">
        <f t="shared" si="20"/>
        <v>585478290940566279</v>
      </c>
      <c r="J418" t="s">
        <v>41</v>
      </c>
      <c r="K418" t="s">
        <v>1076</v>
      </c>
      <c r="L418" s="1" t="str">
        <f>VLOOKUP(K418,Sheet1!A:B,2,FALSE)</f>
        <v>XM2-S7K1-BKRD-31</v>
      </c>
      <c r="M418" t="s">
        <v>1077</v>
      </c>
      <c r="N418" t="s">
        <v>220</v>
      </c>
      <c r="O418" t="s">
        <v>45</v>
      </c>
      <c r="P418" t="s">
        <v>46</v>
      </c>
      <c r="Q418" t="s">
        <v>157</v>
      </c>
      <c r="R418" t="s">
        <v>48</v>
      </c>
      <c r="S418" t="s">
        <v>49</v>
      </c>
      <c r="AB418" t="s">
        <v>49</v>
      </c>
      <c r="AC418">
        <v>0</v>
      </c>
      <c r="AD418">
        <v>0</v>
      </c>
      <c r="AE418">
        <v>0</v>
      </c>
      <c r="AF418">
        <v>0</v>
      </c>
      <c r="AG418">
        <v>0</v>
      </c>
      <c r="AH418">
        <v>0</v>
      </c>
      <c r="AI418">
        <v>0</v>
      </c>
      <c r="AJ418">
        <v>0</v>
      </c>
      <c r="AK418">
        <v>0</v>
      </c>
    </row>
    <row r="419" spans="1:37">
      <c r="A419" t="s">
        <v>37</v>
      </c>
      <c r="B419" t="s">
        <v>136</v>
      </c>
      <c r="C419" t="str">
        <f t="shared" si="18"/>
        <v>amzn1.ads-account.g.dfa7o7cwdl371d634ew58i919</v>
      </c>
      <c r="D419" t="s">
        <v>39</v>
      </c>
      <c r="G419" t="str">
        <f t="shared" si="19"/>
        <v>585687237024345541</v>
      </c>
      <c r="H419" t="s">
        <v>40</v>
      </c>
      <c r="I419" t="str">
        <f t="shared" si="20"/>
        <v>585478290940566279</v>
      </c>
      <c r="J419" t="s">
        <v>41</v>
      </c>
      <c r="K419" t="s">
        <v>1078</v>
      </c>
      <c r="L419" s="1" t="str">
        <f>VLOOKUP(K419,Sheet1!A:B,2,FALSE)</f>
        <v>SH-BRKD5-RD-29</v>
      </c>
      <c r="M419" t="s">
        <v>1079</v>
      </c>
      <c r="N419" t="s">
        <v>139</v>
      </c>
      <c r="O419" t="s">
        <v>45</v>
      </c>
      <c r="P419" t="s">
        <v>46</v>
      </c>
      <c r="Q419" t="s">
        <v>157</v>
      </c>
      <c r="R419" t="s">
        <v>48</v>
      </c>
      <c r="S419" t="s">
        <v>49</v>
      </c>
      <c r="AB419" t="s">
        <v>49</v>
      </c>
      <c r="AC419">
        <v>0</v>
      </c>
      <c r="AD419">
        <v>0</v>
      </c>
      <c r="AE419">
        <v>0</v>
      </c>
      <c r="AF419">
        <v>0</v>
      </c>
      <c r="AG419">
        <v>0</v>
      </c>
      <c r="AH419">
        <v>0</v>
      </c>
      <c r="AI419">
        <v>0</v>
      </c>
      <c r="AJ419">
        <v>0</v>
      </c>
      <c r="AK419">
        <v>0</v>
      </c>
    </row>
    <row r="420" spans="1:37">
      <c r="A420" t="s">
        <v>37</v>
      </c>
      <c r="B420" t="s">
        <v>120</v>
      </c>
      <c r="C420" t="str">
        <f t="shared" si="18"/>
        <v>amzn1.ads-account.g.dfa7o7cwdl371d634ew58i919</v>
      </c>
      <c r="D420" t="s">
        <v>39</v>
      </c>
      <c r="G420" t="str">
        <f t="shared" si="19"/>
        <v>585687237024345541</v>
      </c>
      <c r="H420" t="s">
        <v>40</v>
      </c>
      <c r="I420" t="str">
        <f t="shared" si="20"/>
        <v>585478290940566279</v>
      </c>
      <c r="J420" t="s">
        <v>41</v>
      </c>
      <c r="K420" t="s">
        <v>1080</v>
      </c>
      <c r="L420" s="1" t="str">
        <f>VLOOKUP(K420,Sheet1!A:B,2,FALSE)</f>
        <v>SH-BRY10-WERD-40</v>
      </c>
      <c r="M420" t="s">
        <v>1081</v>
      </c>
      <c r="N420" t="s">
        <v>44</v>
      </c>
      <c r="O420" t="s">
        <v>45</v>
      </c>
      <c r="P420" t="s">
        <v>59</v>
      </c>
      <c r="Q420" t="s">
        <v>114</v>
      </c>
      <c r="R420" t="s">
        <v>48</v>
      </c>
      <c r="S420" t="s">
        <v>49</v>
      </c>
      <c r="AB420" t="s">
        <v>49</v>
      </c>
      <c r="AC420">
        <v>5</v>
      </c>
      <c r="AD420">
        <v>110.63</v>
      </c>
      <c r="AE420">
        <v>5</v>
      </c>
      <c r="AF420">
        <v>5</v>
      </c>
      <c r="AG420">
        <v>110.63</v>
      </c>
      <c r="AH420">
        <v>5</v>
      </c>
      <c r="AI420">
        <v>4</v>
      </c>
      <c r="AJ420">
        <v>91.3</v>
      </c>
      <c r="AK420">
        <v>4</v>
      </c>
    </row>
    <row r="421" spans="1:37">
      <c r="A421" t="s">
        <v>37</v>
      </c>
      <c r="B421" t="s">
        <v>484</v>
      </c>
      <c r="C421" t="str">
        <f t="shared" si="18"/>
        <v>amzn1.ads-account.g.dfa7o7cwdl371d634ew58i919</v>
      </c>
      <c r="D421" t="s">
        <v>39</v>
      </c>
      <c r="G421" t="str">
        <f t="shared" si="19"/>
        <v>585687237024345541</v>
      </c>
      <c r="H421" t="s">
        <v>40</v>
      </c>
      <c r="I421" t="str">
        <f t="shared" si="20"/>
        <v>585478290940566279</v>
      </c>
      <c r="J421" t="s">
        <v>41</v>
      </c>
      <c r="K421" t="s">
        <v>1082</v>
      </c>
      <c r="L421" s="1" t="str">
        <f>VLOOKUP(K421,Sheet1!A:B,2,FALSE)</f>
        <v>SH-BRS73-GYWT-47</v>
      </c>
      <c r="M421" t="s">
        <v>1083</v>
      </c>
      <c r="N421" t="s">
        <v>206</v>
      </c>
      <c r="O421" t="s">
        <v>45</v>
      </c>
      <c r="P421" t="s">
        <v>65</v>
      </c>
      <c r="Q421" t="s">
        <v>207</v>
      </c>
      <c r="R421" t="s">
        <v>48</v>
      </c>
      <c r="S421" t="s">
        <v>49</v>
      </c>
      <c r="AB421" t="s">
        <v>49</v>
      </c>
      <c r="AC421">
        <v>0</v>
      </c>
      <c r="AD421">
        <v>0</v>
      </c>
      <c r="AE421">
        <v>0</v>
      </c>
      <c r="AF421">
        <v>0</v>
      </c>
      <c r="AG421">
        <v>0</v>
      </c>
      <c r="AH421">
        <v>0</v>
      </c>
      <c r="AI421">
        <v>0</v>
      </c>
      <c r="AJ421">
        <v>0</v>
      </c>
      <c r="AK421">
        <v>0</v>
      </c>
    </row>
    <row r="422" spans="1:37">
      <c r="A422" t="s">
        <v>37</v>
      </c>
      <c r="B422" t="s">
        <v>1084</v>
      </c>
      <c r="C422" t="str">
        <f t="shared" si="18"/>
        <v>amzn1.ads-account.g.dfa7o7cwdl371d634ew58i919</v>
      </c>
      <c r="D422" t="s">
        <v>39</v>
      </c>
      <c r="G422" t="str">
        <f t="shared" si="19"/>
        <v>585687237024345541</v>
      </c>
      <c r="H422" t="s">
        <v>40</v>
      </c>
      <c r="I422" t="str">
        <f t="shared" si="20"/>
        <v>585478290940566279</v>
      </c>
      <c r="J422" t="s">
        <v>41</v>
      </c>
      <c r="K422" t="s">
        <v>1085</v>
      </c>
      <c r="L422" s="1" t="str">
        <f>VLOOKUP(K422,Sheet1!A:B,2,FALSE)</f>
        <v>LB1-Y15-BK-36</v>
      </c>
      <c r="M422" t="s">
        <v>1086</v>
      </c>
      <c r="N422" t="s">
        <v>58</v>
      </c>
      <c r="O422" t="s">
        <v>45</v>
      </c>
      <c r="P422" t="s">
        <v>65</v>
      </c>
      <c r="Q422" t="s">
        <v>66</v>
      </c>
      <c r="R422" t="s">
        <v>48</v>
      </c>
      <c r="S422" t="s">
        <v>49</v>
      </c>
      <c r="AB422" t="s">
        <v>49</v>
      </c>
      <c r="AC422">
        <v>0</v>
      </c>
      <c r="AD422">
        <v>0</v>
      </c>
      <c r="AE422">
        <v>0</v>
      </c>
      <c r="AF422">
        <v>0</v>
      </c>
      <c r="AG422">
        <v>0</v>
      </c>
      <c r="AH422">
        <v>0</v>
      </c>
      <c r="AI422">
        <v>0</v>
      </c>
      <c r="AJ422">
        <v>0</v>
      </c>
      <c r="AK422">
        <v>0</v>
      </c>
    </row>
    <row r="423" spans="1:37">
      <c r="A423" t="s">
        <v>37</v>
      </c>
      <c r="B423" t="s">
        <v>38</v>
      </c>
      <c r="C423" t="str">
        <f t="shared" si="18"/>
        <v>amzn1.ads-account.g.dfa7o7cwdl371d634ew58i919</v>
      </c>
      <c r="D423" t="s">
        <v>39</v>
      </c>
      <c r="G423" t="str">
        <f t="shared" si="19"/>
        <v>585687237024345541</v>
      </c>
      <c r="H423" t="s">
        <v>40</v>
      </c>
      <c r="I423" t="str">
        <f t="shared" si="20"/>
        <v>585478290940566279</v>
      </c>
      <c r="J423" t="s">
        <v>41</v>
      </c>
      <c r="K423" t="s">
        <v>1087</v>
      </c>
      <c r="L423" s="1" t="str">
        <f>VLOOKUP(K423,Sheet1!A:B,2,FALSE)</f>
        <v>XM2-Y90B-LTPK-W9</v>
      </c>
      <c r="M423" t="s">
        <v>1088</v>
      </c>
      <c r="N423" t="s">
        <v>74</v>
      </c>
      <c r="O423" t="s">
        <v>45</v>
      </c>
      <c r="P423" t="s">
        <v>59</v>
      </c>
      <c r="Q423" t="s">
        <v>130</v>
      </c>
      <c r="R423" t="s">
        <v>48</v>
      </c>
      <c r="S423" t="s">
        <v>49</v>
      </c>
      <c r="AB423" t="s">
        <v>49</v>
      </c>
      <c r="AC423">
        <v>1</v>
      </c>
      <c r="AD423">
        <v>9.99</v>
      </c>
      <c r="AE423">
        <v>1</v>
      </c>
      <c r="AF423">
        <v>1</v>
      </c>
      <c r="AG423">
        <v>9.99</v>
      </c>
      <c r="AH423">
        <v>1</v>
      </c>
      <c r="AI423">
        <v>0</v>
      </c>
      <c r="AJ423">
        <v>0</v>
      </c>
      <c r="AK423">
        <v>0</v>
      </c>
    </row>
    <row r="424" spans="1:37">
      <c r="A424" t="s">
        <v>37</v>
      </c>
      <c r="B424" t="s">
        <v>38</v>
      </c>
      <c r="C424" t="str">
        <f t="shared" si="18"/>
        <v>amzn1.ads-account.g.dfa7o7cwdl371d634ew58i919</v>
      </c>
      <c r="D424" t="s">
        <v>39</v>
      </c>
      <c r="G424" t="str">
        <f t="shared" si="19"/>
        <v>585687237024345541</v>
      </c>
      <c r="H424" t="s">
        <v>40</v>
      </c>
      <c r="I424" t="str">
        <f t="shared" si="20"/>
        <v>585478290940566279</v>
      </c>
      <c r="J424" t="s">
        <v>41</v>
      </c>
      <c r="K424" t="s">
        <v>1089</v>
      </c>
      <c r="L424" s="1" t="str">
        <f>VLOOKUP(K424,Sheet1!A:B,2,FALSE)</f>
        <v>SH-BRY10-CL-45</v>
      </c>
      <c r="M424" t="s">
        <v>1090</v>
      </c>
      <c r="N424" t="s">
        <v>44</v>
      </c>
      <c r="O424" t="s">
        <v>45</v>
      </c>
      <c r="P424" t="s">
        <v>59</v>
      </c>
      <c r="Q424" t="s">
        <v>114</v>
      </c>
      <c r="R424" t="s">
        <v>48</v>
      </c>
      <c r="S424" t="s">
        <v>49</v>
      </c>
      <c r="AB424" t="s">
        <v>49</v>
      </c>
      <c r="AC424">
        <v>5</v>
      </c>
      <c r="AD424">
        <v>115.29</v>
      </c>
      <c r="AE424">
        <v>5</v>
      </c>
      <c r="AF424">
        <v>5</v>
      </c>
      <c r="AG424">
        <v>115.29</v>
      </c>
      <c r="AH424">
        <v>5</v>
      </c>
      <c r="AI424">
        <v>4</v>
      </c>
      <c r="AJ424">
        <v>91.3</v>
      </c>
      <c r="AK424">
        <v>4</v>
      </c>
    </row>
    <row r="425" spans="1:37">
      <c r="A425" t="s">
        <v>37</v>
      </c>
      <c r="B425" t="s">
        <v>1091</v>
      </c>
      <c r="C425" t="str">
        <f t="shared" si="18"/>
        <v>amzn1.ads-account.g.dfa7o7cwdl371d634ew58i919</v>
      </c>
      <c r="D425" t="s">
        <v>39</v>
      </c>
      <c r="G425" t="str">
        <f t="shared" si="19"/>
        <v>585687237024345541</v>
      </c>
      <c r="H425" t="s">
        <v>40</v>
      </c>
      <c r="I425" t="str">
        <f t="shared" si="20"/>
        <v>585478290940566279</v>
      </c>
      <c r="J425" t="s">
        <v>41</v>
      </c>
      <c r="K425" t="s">
        <v>1092</v>
      </c>
      <c r="L425" s="1" t="str">
        <f>VLOOKUP(K425,Sheet1!A:B,2,FALSE)</f>
        <v>LB1-Y15-BG-36</v>
      </c>
      <c r="M425" t="s">
        <v>1093</v>
      </c>
      <c r="N425" t="s">
        <v>58</v>
      </c>
      <c r="O425" t="s">
        <v>45</v>
      </c>
      <c r="P425" t="s">
        <v>59</v>
      </c>
      <c r="Q425" t="s">
        <v>114</v>
      </c>
      <c r="R425" t="s">
        <v>48</v>
      </c>
      <c r="S425" t="s">
        <v>49</v>
      </c>
      <c r="AB425" t="s">
        <v>49</v>
      </c>
      <c r="AC425">
        <v>1</v>
      </c>
      <c r="AD425">
        <v>9.99</v>
      </c>
      <c r="AE425">
        <v>1</v>
      </c>
      <c r="AF425">
        <v>1</v>
      </c>
      <c r="AG425">
        <v>9.99</v>
      </c>
      <c r="AH425">
        <v>1</v>
      </c>
      <c r="AI425">
        <v>1</v>
      </c>
      <c r="AJ425">
        <v>9.99</v>
      </c>
      <c r="AK425">
        <v>1</v>
      </c>
    </row>
    <row r="426" spans="1:37">
      <c r="A426" t="s">
        <v>37</v>
      </c>
      <c r="B426" t="s">
        <v>147</v>
      </c>
      <c r="C426" t="str">
        <f t="shared" si="18"/>
        <v>amzn1.ads-account.g.dfa7o7cwdl371d634ew58i919</v>
      </c>
      <c r="D426" t="s">
        <v>39</v>
      </c>
      <c r="G426" t="str">
        <f t="shared" si="19"/>
        <v>585687237024345541</v>
      </c>
      <c r="H426" t="s">
        <v>40</v>
      </c>
      <c r="I426" t="str">
        <f t="shared" si="20"/>
        <v>585478290940566279</v>
      </c>
      <c r="J426" t="s">
        <v>41</v>
      </c>
      <c r="K426" t="s">
        <v>1094</v>
      </c>
      <c r="L426" s="1" t="str">
        <f>VLOOKUP(K426,Sheet1!A:B,2,FALSE)</f>
        <v>XM2-S73-WT-39</v>
      </c>
      <c r="M426" t="s">
        <v>1095</v>
      </c>
      <c r="N426" t="s">
        <v>83</v>
      </c>
      <c r="O426" t="s">
        <v>45</v>
      </c>
      <c r="P426" t="s">
        <v>65</v>
      </c>
      <c r="Q426" t="s">
        <v>84</v>
      </c>
      <c r="R426" t="s">
        <v>48</v>
      </c>
      <c r="S426" t="s">
        <v>49</v>
      </c>
      <c r="AB426" t="s">
        <v>49</v>
      </c>
      <c r="AC426">
        <v>0</v>
      </c>
      <c r="AD426">
        <v>0</v>
      </c>
      <c r="AE426">
        <v>0</v>
      </c>
      <c r="AF426">
        <v>0</v>
      </c>
      <c r="AG426">
        <v>0</v>
      </c>
      <c r="AH426">
        <v>0</v>
      </c>
      <c r="AI426">
        <v>0</v>
      </c>
      <c r="AJ426">
        <v>0</v>
      </c>
      <c r="AK426">
        <v>0</v>
      </c>
    </row>
    <row r="427" spans="1:37">
      <c r="A427" t="s">
        <v>37</v>
      </c>
      <c r="B427" t="s">
        <v>217</v>
      </c>
      <c r="C427" t="str">
        <f t="shared" si="18"/>
        <v>amzn1.ads-account.g.dfa7o7cwdl371d634ew58i919</v>
      </c>
      <c r="D427" t="s">
        <v>39</v>
      </c>
      <c r="G427" t="str">
        <f t="shared" si="19"/>
        <v>585687237024345541</v>
      </c>
      <c r="H427" t="s">
        <v>40</v>
      </c>
      <c r="I427" t="str">
        <f t="shared" si="20"/>
        <v>585478290940566279</v>
      </c>
      <c r="J427" t="s">
        <v>41</v>
      </c>
      <c r="K427" t="s">
        <v>1096</v>
      </c>
      <c r="L427" s="1" t="str">
        <f>VLOOKUP(K427,Sheet1!A:B,2,FALSE)</f>
        <v>XM2-S71-BKGY-38</v>
      </c>
      <c r="M427" t="s">
        <v>1097</v>
      </c>
      <c r="N427" t="s">
        <v>83</v>
      </c>
      <c r="O427" t="s">
        <v>45</v>
      </c>
      <c r="P427" t="s">
        <v>65</v>
      </c>
      <c r="Q427" t="s">
        <v>875</v>
      </c>
      <c r="R427" t="s">
        <v>48</v>
      </c>
      <c r="S427" t="s">
        <v>49</v>
      </c>
      <c r="AB427" t="s">
        <v>49</v>
      </c>
      <c r="AC427">
        <v>0</v>
      </c>
      <c r="AD427">
        <v>0</v>
      </c>
      <c r="AE427">
        <v>0</v>
      </c>
      <c r="AF427">
        <v>0</v>
      </c>
      <c r="AG427">
        <v>0</v>
      </c>
      <c r="AH427">
        <v>0</v>
      </c>
      <c r="AI427">
        <v>0</v>
      </c>
      <c r="AJ427">
        <v>0</v>
      </c>
      <c r="AK427">
        <v>0</v>
      </c>
    </row>
    <row r="428" spans="1:37">
      <c r="A428" t="s">
        <v>37</v>
      </c>
      <c r="B428" t="s">
        <v>592</v>
      </c>
      <c r="C428" t="str">
        <f t="shared" si="18"/>
        <v>amzn1.ads-account.g.dfa7o7cwdl371d634ew58i919</v>
      </c>
      <c r="D428" t="s">
        <v>39</v>
      </c>
      <c r="G428" t="str">
        <f t="shared" si="19"/>
        <v>585687237024345541</v>
      </c>
      <c r="H428" t="s">
        <v>40</v>
      </c>
      <c r="I428" t="str">
        <f t="shared" si="20"/>
        <v>585478290940566279</v>
      </c>
      <c r="J428" t="s">
        <v>41</v>
      </c>
      <c r="K428" t="s">
        <v>191</v>
      </c>
      <c r="L428" s="1" t="str">
        <f>VLOOKUP(K428,Sheet1!A:B,2,FALSE)</f>
        <v>XM1-L200</v>
      </c>
      <c r="M428" t="s">
        <v>1098</v>
      </c>
      <c r="N428">
        <v>-1</v>
      </c>
      <c r="O428" t="s">
        <v>45</v>
      </c>
      <c r="P428" t="s">
        <v>65</v>
      </c>
      <c r="Q428" t="s">
        <v>1099</v>
      </c>
      <c r="R428" t="s">
        <v>48</v>
      </c>
      <c r="S428" t="s">
        <v>49</v>
      </c>
      <c r="AB428" t="s">
        <v>49</v>
      </c>
      <c r="AC428">
        <v>0</v>
      </c>
      <c r="AD428">
        <v>0</v>
      </c>
      <c r="AE428">
        <v>0</v>
      </c>
      <c r="AF428">
        <v>0</v>
      </c>
      <c r="AG428">
        <v>0</v>
      </c>
      <c r="AH428">
        <v>0</v>
      </c>
      <c r="AI428">
        <v>0</v>
      </c>
      <c r="AJ428">
        <v>0</v>
      </c>
      <c r="AK428">
        <v>0</v>
      </c>
    </row>
    <row r="429" spans="1:37">
      <c r="A429" t="s">
        <v>37</v>
      </c>
      <c r="B429" t="s">
        <v>227</v>
      </c>
      <c r="C429" t="str">
        <f t="shared" si="18"/>
        <v>amzn1.ads-account.g.dfa7o7cwdl371d634ew58i919</v>
      </c>
      <c r="D429" t="s">
        <v>39</v>
      </c>
      <c r="G429" t="str">
        <f t="shared" si="19"/>
        <v>585687237024345541</v>
      </c>
      <c r="H429" t="s">
        <v>40</v>
      </c>
      <c r="I429" t="str">
        <f t="shared" si="20"/>
        <v>585478290940566279</v>
      </c>
      <c r="J429" t="s">
        <v>41</v>
      </c>
      <c r="K429" t="s">
        <v>1100</v>
      </c>
      <c r="L429" s="1" t="str">
        <f>VLOOKUP(K429,Sheet1!A:B,2,FALSE)</f>
        <v>XM2-S75-BG-43</v>
      </c>
      <c r="M429" t="s">
        <v>1101</v>
      </c>
      <c r="N429" t="s">
        <v>95</v>
      </c>
      <c r="O429" t="s">
        <v>45</v>
      </c>
      <c r="P429" t="s">
        <v>153</v>
      </c>
      <c r="Q429" t="s">
        <v>154</v>
      </c>
      <c r="R429" t="s">
        <v>48</v>
      </c>
      <c r="S429" t="s">
        <v>49</v>
      </c>
      <c r="AB429" t="s">
        <v>49</v>
      </c>
      <c r="AC429">
        <v>0</v>
      </c>
      <c r="AD429">
        <v>0</v>
      </c>
      <c r="AE429">
        <v>0</v>
      </c>
      <c r="AF429">
        <v>0</v>
      </c>
      <c r="AG429">
        <v>0</v>
      </c>
      <c r="AH429">
        <v>0</v>
      </c>
      <c r="AI429">
        <v>0</v>
      </c>
      <c r="AJ429">
        <v>0</v>
      </c>
      <c r="AK429">
        <v>0</v>
      </c>
    </row>
    <row r="430" spans="1:37">
      <c r="A430" t="s">
        <v>37</v>
      </c>
      <c r="B430" t="s">
        <v>167</v>
      </c>
      <c r="C430" t="str">
        <f t="shared" si="18"/>
        <v>amzn1.ads-account.g.dfa7o7cwdl371d634ew58i919</v>
      </c>
      <c r="D430" t="s">
        <v>39</v>
      </c>
      <c r="G430" t="str">
        <f t="shared" si="19"/>
        <v>585687237024345541</v>
      </c>
      <c r="H430" t="s">
        <v>40</v>
      </c>
      <c r="I430" t="str">
        <f t="shared" si="20"/>
        <v>585478290940566279</v>
      </c>
      <c r="J430" t="s">
        <v>41</v>
      </c>
      <c r="K430" t="s">
        <v>1102</v>
      </c>
      <c r="L430" s="1" t="str">
        <f>VLOOKUP(K430,Sheet1!A:B,2,FALSE)</f>
        <v>SH-BRS73-GYWT-43</v>
      </c>
      <c r="M430" t="s">
        <v>1103</v>
      </c>
      <c r="N430" t="s">
        <v>206</v>
      </c>
      <c r="O430" t="s">
        <v>45</v>
      </c>
      <c r="P430" t="s">
        <v>65</v>
      </c>
      <c r="Q430" t="s">
        <v>207</v>
      </c>
      <c r="R430" t="s">
        <v>48</v>
      </c>
      <c r="S430" t="s">
        <v>49</v>
      </c>
      <c r="AB430" t="s">
        <v>49</v>
      </c>
      <c r="AC430">
        <v>1</v>
      </c>
      <c r="AD430">
        <v>37.98</v>
      </c>
      <c r="AE430">
        <v>1</v>
      </c>
      <c r="AF430">
        <v>1</v>
      </c>
      <c r="AG430">
        <v>37.98</v>
      </c>
      <c r="AH430">
        <v>1</v>
      </c>
      <c r="AI430">
        <v>0</v>
      </c>
      <c r="AJ430">
        <v>0</v>
      </c>
      <c r="AK430">
        <v>0</v>
      </c>
    </row>
    <row r="431" spans="1:37">
      <c r="A431" t="s">
        <v>37</v>
      </c>
      <c r="B431" t="s">
        <v>38</v>
      </c>
      <c r="C431" t="str">
        <f t="shared" si="18"/>
        <v>amzn1.ads-account.g.dfa7o7cwdl371d634ew58i919</v>
      </c>
      <c r="D431" t="s">
        <v>39</v>
      </c>
      <c r="G431" t="str">
        <f t="shared" si="19"/>
        <v>585687237024345541</v>
      </c>
      <c r="H431" t="s">
        <v>40</v>
      </c>
      <c r="I431" t="str">
        <f t="shared" si="20"/>
        <v>585478290940566279</v>
      </c>
      <c r="J431" t="s">
        <v>41</v>
      </c>
      <c r="K431" t="s">
        <v>1104</v>
      </c>
      <c r="L431" s="1" t="str">
        <f>VLOOKUP(K431,Sheet1!A:B,2,FALSE)</f>
        <v>SH-BRY10-CL-41</v>
      </c>
      <c r="M431" t="s">
        <v>1105</v>
      </c>
      <c r="N431" t="s">
        <v>44</v>
      </c>
      <c r="O431" t="s">
        <v>45</v>
      </c>
      <c r="P431" t="s">
        <v>59</v>
      </c>
      <c r="Q431" t="s">
        <v>114</v>
      </c>
      <c r="R431" t="s">
        <v>48</v>
      </c>
      <c r="S431" t="s">
        <v>49</v>
      </c>
      <c r="AB431" t="s">
        <v>49</v>
      </c>
      <c r="AC431">
        <v>4</v>
      </c>
      <c r="AD431">
        <v>91.3</v>
      </c>
      <c r="AE431">
        <v>4</v>
      </c>
      <c r="AF431">
        <v>4</v>
      </c>
      <c r="AG431">
        <v>91.3</v>
      </c>
      <c r="AH431">
        <v>4</v>
      </c>
      <c r="AI431">
        <v>3</v>
      </c>
      <c r="AJ431">
        <v>67.31</v>
      </c>
      <c r="AK431">
        <v>3</v>
      </c>
    </row>
    <row r="432" spans="1:37">
      <c r="A432" t="s">
        <v>37</v>
      </c>
      <c r="B432" t="s">
        <v>120</v>
      </c>
      <c r="C432" t="str">
        <f t="shared" si="18"/>
        <v>amzn1.ads-account.g.dfa7o7cwdl371d634ew58i919</v>
      </c>
      <c r="D432" t="s">
        <v>39</v>
      </c>
      <c r="G432" t="str">
        <f t="shared" si="19"/>
        <v>585687237024345541</v>
      </c>
      <c r="H432" t="s">
        <v>40</v>
      </c>
      <c r="I432" t="str">
        <f t="shared" si="20"/>
        <v>585478290940566279</v>
      </c>
      <c r="J432" t="s">
        <v>41</v>
      </c>
      <c r="K432" t="s">
        <v>1106</v>
      </c>
      <c r="L432" s="1" t="str">
        <f>VLOOKUP(K432,Sheet1!A:B,2,FALSE)</f>
        <v>SH-BRY10-BL-38</v>
      </c>
      <c r="M432" t="s">
        <v>1107</v>
      </c>
      <c r="N432" t="s">
        <v>44</v>
      </c>
      <c r="O432" t="s">
        <v>45</v>
      </c>
      <c r="P432" t="s">
        <v>59</v>
      </c>
      <c r="Q432" t="s">
        <v>130</v>
      </c>
      <c r="R432" t="s">
        <v>48</v>
      </c>
      <c r="S432" t="s">
        <v>49</v>
      </c>
      <c r="AB432" t="s">
        <v>49</v>
      </c>
      <c r="AC432">
        <v>7</v>
      </c>
      <c r="AD432">
        <v>151.33</v>
      </c>
      <c r="AE432">
        <v>7</v>
      </c>
      <c r="AF432">
        <v>7</v>
      </c>
      <c r="AG432">
        <v>151.33</v>
      </c>
      <c r="AH432">
        <v>7</v>
      </c>
      <c r="AI432">
        <v>5</v>
      </c>
      <c r="AJ432">
        <v>112.67</v>
      </c>
      <c r="AK432">
        <v>5</v>
      </c>
    </row>
    <row r="433" spans="1:37">
      <c r="A433" t="s">
        <v>37</v>
      </c>
      <c r="B433" t="s">
        <v>1108</v>
      </c>
      <c r="C433" t="str">
        <f t="shared" si="18"/>
        <v>amzn1.ads-account.g.dfa7o7cwdl371d634ew58i919</v>
      </c>
      <c r="D433" t="s">
        <v>39</v>
      </c>
      <c r="G433" t="str">
        <f t="shared" si="19"/>
        <v>585687237024345541</v>
      </c>
      <c r="H433" t="s">
        <v>40</v>
      </c>
      <c r="I433" t="str">
        <f t="shared" si="20"/>
        <v>585478290940566279</v>
      </c>
      <c r="J433" t="s">
        <v>41</v>
      </c>
      <c r="K433" t="s">
        <v>1109</v>
      </c>
      <c r="L433" s="1" t="str">
        <f>VLOOKUP(K433,Sheet1!A:B,2,FALSE)</f>
        <v>SH-BRS73-ABK-43</v>
      </c>
      <c r="M433" t="s">
        <v>1110</v>
      </c>
      <c r="N433" t="s">
        <v>206</v>
      </c>
      <c r="O433" t="s">
        <v>45</v>
      </c>
      <c r="P433" t="s">
        <v>65</v>
      </c>
      <c r="Q433" t="s">
        <v>207</v>
      </c>
      <c r="R433" t="s">
        <v>48</v>
      </c>
      <c r="S433" t="s">
        <v>49</v>
      </c>
      <c r="AB433" t="s">
        <v>49</v>
      </c>
      <c r="AC433">
        <v>0</v>
      </c>
      <c r="AD433">
        <v>0</v>
      </c>
      <c r="AE433">
        <v>0</v>
      </c>
      <c r="AF433">
        <v>0</v>
      </c>
      <c r="AG433">
        <v>0</v>
      </c>
      <c r="AH433">
        <v>0</v>
      </c>
      <c r="AI433">
        <v>0</v>
      </c>
      <c r="AJ433">
        <v>0</v>
      </c>
      <c r="AK433">
        <v>0</v>
      </c>
    </row>
    <row r="434" spans="1:37">
      <c r="A434" t="s">
        <v>37</v>
      </c>
      <c r="B434" t="s">
        <v>120</v>
      </c>
      <c r="C434" t="str">
        <f t="shared" si="18"/>
        <v>amzn1.ads-account.g.dfa7o7cwdl371d634ew58i919</v>
      </c>
      <c r="D434" t="s">
        <v>39</v>
      </c>
      <c r="G434" t="str">
        <f t="shared" si="19"/>
        <v>585687237024345541</v>
      </c>
      <c r="H434" t="s">
        <v>40</v>
      </c>
      <c r="I434" t="str">
        <f t="shared" si="20"/>
        <v>585478290940566279</v>
      </c>
      <c r="J434" t="s">
        <v>41</v>
      </c>
      <c r="K434" t="s">
        <v>1111</v>
      </c>
      <c r="L434" s="1" t="str">
        <f>VLOOKUP(K434,Sheet1!A:B,2,FALSE)</f>
        <v>SH-BRY180-BL-40</v>
      </c>
      <c r="M434" t="s">
        <v>1112</v>
      </c>
      <c r="N434" t="s">
        <v>64</v>
      </c>
      <c r="O434" t="s">
        <v>45</v>
      </c>
      <c r="P434" t="s">
        <v>123</v>
      </c>
      <c r="Q434" t="s">
        <v>124</v>
      </c>
      <c r="R434" t="s">
        <v>48</v>
      </c>
      <c r="S434" t="s">
        <v>49</v>
      </c>
      <c r="AB434" t="s">
        <v>49</v>
      </c>
      <c r="AC434">
        <v>3</v>
      </c>
      <c r="AD434">
        <v>67.25</v>
      </c>
      <c r="AE434">
        <v>3</v>
      </c>
      <c r="AF434">
        <v>3</v>
      </c>
      <c r="AG434">
        <v>67.25</v>
      </c>
      <c r="AH434">
        <v>3</v>
      </c>
      <c r="AI434">
        <v>3</v>
      </c>
      <c r="AJ434">
        <v>67.25</v>
      </c>
      <c r="AK434">
        <v>3</v>
      </c>
    </row>
    <row r="435" spans="1:37">
      <c r="A435" t="s">
        <v>37</v>
      </c>
      <c r="B435" t="s">
        <v>1113</v>
      </c>
      <c r="C435" t="str">
        <f t="shared" si="18"/>
        <v>amzn1.ads-account.g.dfa7o7cwdl371d634ew58i919</v>
      </c>
      <c r="D435" t="s">
        <v>39</v>
      </c>
      <c r="G435" t="str">
        <f t="shared" si="19"/>
        <v>585687237024345541</v>
      </c>
      <c r="H435" t="s">
        <v>40</v>
      </c>
      <c r="I435" t="str">
        <f t="shared" si="20"/>
        <v>585478290940566279</v>
      </c>
      <c r="J435" t="s">
        <v>41</v>
      </c>
      <c r="K435" t="s">
        <v>1114</v>
      </c>
      <c r="L435" s="1" t="str">
        <f>VLOOKUP(K435,Sheet1!A:B,2,FALSE)</f>
        <v>SH-BRS71-DGY-40</v>
      </c>
      <c r="M435" t="s">
        <v>1115</v>
      </c>
      <c r="N435" t="s">
        <v>110</v>
      </c>
      <c r="O435" t="s">
        <v>45</v>
      </c>
      <c r="P435" t="s">
        <v>270</v>
      </c>
      <c r="Q435" t="s">
        <v>490</v>
      </c>
      <c r="R435" t="s">
        <v>48</v>
      </c>
      <c r="S435" t="s">
        <v>49</v>
      </c>
      <c r="AB435" t="s">
        <v>49</v>
      </c>
      <c r="AC435">
        <v>0</v>
      </c>
      <c r="AD435">
        <v>0</v>
      </c>
      <c r="AE435">
        <v>0</v>
      </c>
      <c r="AF435">
        <v>0</v>
      </c>
      <c r="AG435">
        <v>0</v>
      </c>
      <c r="AH435">
        <v>0</v>
      </c>
      <c r="AI435">
        <v>0</v>
      </c>
      <c r="AJ435">
        <v>0</v>
      </c>
      <c r="AK435">
        <v>0</v>
      </c>
    </row>
    <row r="436" spans="1:37">
      <c r="A436" t="s">
        <v>37</v>
      </c>
      <c r="B436" t="s">
        <v>640</v>
      </c>
      <c r="C436" t="str">
        <f t="shared" si="18"/>
        <v>amzn1.ads-account.g.dfa7o7cwdl371d634ew58i919</v>
      </c>
      <c r="D436" t="s">
        <v>39</v>
      </c>
      <c r="G436" t="str">
        <f t="shared" si="19"/>
        <v>585687237024345541</v>
      </c>
      <c r="H436" t="s">
        <v>40</v>
      </c>
      <c r="I436" t="str">
        <f t="shared" si="20"/>
        <v>585478290940566279</v>
      </c>
      <c r="J436" t="s">
        <v>41</v>
      </c>
      <c r="K436" t="s">
        <v>1116</v>
      </c>
      <c r="L436" s="1" t="str">
        <f>VLOOKUP(K436,Sheet1!A:B,2,FALSE)</f>
        <v>XM2-S73-GYPL-40</v>
      </c>
      <c r="M436" t="s">
        <v>1117</v>
      </c>
      <c r="N436" t="s">
        <v>83</v>
      </c>
      <c r="O436" t="s">
        <v>45</v>
      </c>
      <c r="P436" t="s">
        <v>65</v>
      </c>
      <c r="Q436" t="s">
        <v>84</v>
      </c>
      <c r="R436" t="s">
        <v>48</v>
      </c>
      <c r="S436" t="s">
        <v>49</v>
      </c>
      <c r="AB436" t="s">
        <v>49</v>
      </c>
      <c r="AC436">
        <v>1</v>
      </c>
      <c r="AD436">
        <v>45.11</v>
      </c>
      <c r="AE436">
        <v>1</v>
      </c>
      <c r="AF436">
        <v>1</v>
      </c>
      <c r="AG436">
        <v>45.11</v>
      </c>
      <c r="AH436">
        <v>1</v>
      </c>
      <c r="AI436">
        <v>1</v>
      </c>
      <c r="AJ436">
        <v>45.11</v>
      </c>
      <c r="AK436">
        <v>1</v>
      </c>
    </row>
    <row r="437" spans="1:37">
      <c r="A437" t="s">
        <v>37</v>
      </c>
      <c r="B437" t="s">
        <v>92</v>
      </c>
      <c r="C437" t="str">
        <f t="shared" si="18"/>
        <v>amzn1.ads-account.g.dfa7o7cwdl371d634ew58i919</v>
      </c>
      <c r="D437" t="s">
        <v>39</v>
      </c>
      <c r="G437" t="str">
        <f t="shared" si="19"/>
        <v>585687237024345541</v>
      </c>
      <c r="H437" t="s">
        <v>40</v>
      </c>
      <c r="I437" t="str">
        <f t="shared" si="20"/>
        <v>585478290940566279</v>
      </c>
      <c r="J437" t="s">
        <v>41</v>
      </c>
      <c r="K437" t="s">
        <v>1118</v>
      </c>
      <c r="L437" s="1" t="str">
        <f>VLOOKUP(K437,Sheet1!A:B,2,FALSE)</f>
        <v>XM1-L200-OG-40</v>
      </c>
      <c r="M437" t="s">
        <v>1119</v>
      </c>
      <c r="N437" t="s">
        <v>191</v>
      </c>
      <c r="O437" t="s">
        <v>45</v>
      </c>
      <c r="P437" t="s">
        <v>65</v>
      </c>
      <c r="Q437" t="s">
        <v>192</v>
      </c>
      <c r="R437" t="s">
        <v>48</v>
      </c>
      <c r="S437" t="s">
        <v>49</v>
      </c>
      <c r="AB437" t="s">
        <v>49</v>
      </c>
      <c r="AC437">
        <v>0</v>
      </c>
      <c r="AD437">
        <v>0</v>
      </c>
      <c r="AE437">
        <v>0</v>
      </c>
      <c r="AF437">
        <v>0</v>
      </c>
      <c r="AG437">
        <v>0</v>
      </c>
      <c r="AH437">
        <v>0</v>
      </c>
      <c r="AI437">
        <v>0</v>
      </c>
      <c r="AJ437">
        <v>0</v>
      </c>
      <c r="AK437">
        <v>0</v>
      </c>
    </row>
    <row r="438" spans="1:37">
      <c r="A438" t="s">
        <v>37</v>
      </c>
      <c r="B438" t="s">
        <v>1120</v>
      </c>
      <c r="C438" t="str">
        <f t="shared" si="18"/>
        <v>amzn1.ads-account.g.dfa7o7cwdl371d634ew58i919</v>
      </c>
      <c r="D438" t="s">
        <v>39</v>
      </c>
      <c r="G438" t="str">
        <f t="shared" si="19"/>
        <v>585687237024345541</v>
      </c>
      <c r="H438" t="s">
        <v>40</v>
      </c>
      <c r="I438" t="str">
        <f t="shared" si="20"/>
        <v>585478290940566279</v>
      </c>
      <c r="J438" t="s">
        <v>41</v>
      </c>
      <c r="K438" t="s">
        <v>1121</v>
      </c>
      <c r="L438" s="1" t="str">
        <f>VLOOKUP(K438,Sheet1!A:B,2,FALSE)</f>
        <v>XM2-S71-WERD-43</v>
      </c>
      <c r="M438" t="s">
        <v>1122</v>
      </c>
      <c r="N438" t="s">
        <v>83</v>
      </c>
      <c r="O438" t="s">
        <v>45</v>
      </c>
      <c r="P438" t="s">
        <v>65</v>
      </c>
      <c r="Q438" t="s">
        <v>84</v>
      </c>
      <c r="R438" t="s">
        <v>48</v>
      </c>
      <c r="S438" t="s">
        <v>49</v>
      </c>
      <c r="AB438" t="s">
        <v>49</v>
      </c>
      <c r="AC438">
        <v>0</v>
      </c>
      <c r="AD438">
        <v>0</v>
      </c>
      <c r="AE438">
        <v>0</v>
      </c>
      <c r="AF438">
        <v>0</v>
      </c>
      <c r="AG438">
        <v>0</v>
      </c>
      <c r="AH438">
        <v>0</v>
      </c>
      <c r="AI438">
        <v>0</v>
      </c>
      <c r="AJ438">
        <v>0</v>
      </c>
      <c r="AK438">
        <v>0</v>
      </c>
    </row>
    <row r="439" spans="1:37">
      <c r="A439" t="s">
        <v>37</v>
      </c>
      <c r="B439" t="s">
        <v>257</v>
      </c>
      <c r="C439" t="str">
        <f t="shared" si="18"/>
        <v>amzn1.ads-account.g.dfa7o7cwdl371d634ew58i919</v>
      </c>
      <c r="D439" t="s">
        <v>39</v>
      </c>
      <c r="G439" t="str">
        <f t="shared" si="19"/>
        <v>585687237024345541</v>
      </c>
      <c r="H439" t="s">
        <v>40</v>
      </c>
      <c r="I439" t="str">
        <f t="shared" si="20"/>
        <v>585478290940566279</v>
      </c>
      <c r="J439" t="s">
        <v>41</v>
      </c>
      <c r="K439" t="s">
        <v>1123</v>
      </c>
      <c r="L439" s="1" t="str">
        <f>VLOOKUP(K439,Sheet1!A:B,2,FALSE)</f>
        <v>XM1-L200-KQ-37</v>
      </c>
      <c r="M439" t="s">
        <v>1124</v>
      </c>
      <c r="N439" t="s">
        <v>191</v>
      </c>
      <c r="O439" t="s">
        <v>45</v>
      </c>
      <c r="Q439" t="s">
        <v>54</v>
      </c>
      <c r="R439" t="s">
        <v>48</v>
      </c>
      <c r="S439" t="s">
        <v>49</v>
      </c>
      <c r="AB439" t="s">
        <v>49</v>
      </c>
      <c r="AC439">
        <v>0</v>
      </c>
      <c r="AD439">
        <v>0</v>
      </c>
      <c r="AE439">
        <v>0</v>
      </c>
      <c r="AF439">
        <v>0</v>
      </c>
      <c r="AG439">
        <v>0</v>
      </c>
      <c r="AH439">
        <v>0</v>
      </c>
      <c r="AI439">
        <v>0</v>
      </c>
      <c r="AJ439">
        <v>0</v>
      </c>
      <c r="AK439">
        <v>0</v>
      </c>
    </row>
    <row r="440" spans="1:37">
      <c r="A440" t="s">
        <v>37</v>
      </c>
      <c r="B440" t="s">
        <v>498</v>
      </c>
      <c r="C440" t="str">
        <f t="shared" si="18"/>
        <v>amzn1.ads-account.g.dfa7o7cwdl371d634ew58i919</v>
      </c>
      <c r="D440" t="s">
        <v>39</v>
      </c>
      <c r="G440" t="str">
        <f t="shared" si="19"/>
        <v>585687237024345541</v>
      </c>
      <c r="H440" t="s">
        <v>40</v>
      </c>
      <c r="I440" t="str">
        <f t="shared" si="20"/>
        <v>585478290940566279</v>
      </c>
      <c r="J440" t="s">
        <v>41</v>
      </c>
      <c r="K440" t="s">
        <v>1125</v>
      </c>
      <c r="L440" s="1" t="str">
        <f>VLOOKUP(K440,Sheet1!A:B,2,FALSE)</f>
        <v>SH-BRY80-GY-11</v>
      </c>
      <c r="M440" t="s">
        <v>1126</v>
      </c>
      <c r="N440" t="s">
        <v>90</v>
      </c>
      <c r="O440" t="s">
        <v>45</v>
      </c>
      <c r="P440" t="s">
        <v>75</v>
      </c>
      <c r="Q440" t="s">
        <v>91</v>
      </c>
      <c r="R440" t="s">
        <v>48</v>
      </c>
      <c r="S440" t="s">
        <v>49</v>
      </c>
      <c r="AB440" t="s">
        <v>49</v>
      </c>
      <c r="AC440">
        <v>0</v>
      </c>
      <c r="AD440">
        <v>0</v>
      </c>
      <c r="AE440">
        <v>0</v>
      </c>
      <c r="AF440">
        <v>0</v>
      </c>
      <c r="AG440">
        <v>0</v>
      </c>
      <c r="AH440">
        <v>0</v>
      </c>
      <c r="AI440">
        <v>0</v>
      </c>
      <c r="AJ440">
        <v>0</v>
      </c>
      <c r="AK440">
        <v>0</v>
      </c>
    </row>
    <row r="441" spans="1:37">
      <c r="A441" t="s">
        <v>37</v>
      </c>
      <c r="B441" t="s">
        <v>55</v>
      </c>
      <c r="C441" t="str">
        <f t="shared" si="18"/>
        <v>amzn1.ads-account.g.dfa7o7cwdl371d634ew58i919</v>
      </c>
      <c r="D441" t="s">
        <v>39</v>
      </c>
      <c r="G441" t="str">
        <f t="shared" si="19"/>
        <v>585687237024345541</v>
      </c>
      <c r="H441" t="s">
        <v>40</v>
      </c>
      <c r="I441" t="str">
        <f t="shared" si="20"/>
        <v>585478290940566279</v>
      </c>
      <c r="J441" t="s">
        <v>41</v>
      </c>
      <c r="K441" t="s">
        <v>1127</v>
      </c>
      <c r="L441" s="1" t="str">
        <f>VLOOKUP(K441,Sheet1!A:B,2,FALSE)</f>
        <v>SH-BRY10-GY-36</v>
      </c>
      <c r="M441" t="s">
        <v>1128</v>
      </c>
      <c r="N441" t="s">
        <v>44</v>
      </c>
      <c r="O441" t="s">
        <v>45</v>
      </c>
      <c r="P441" t="s">
        <v>75</v>
      </c>
      <c r="Q441" t="s">
        <v>91</v>
      </c>
      <c r="R441" t="s">
        <v>48</v>
      </c>
      <c r="S441" t="s">
        <v>49</v>
      </c>
      <c r="AB441" t="s">
        <v>49</v>
      </c>
      <c r="AC441">
        <v>0</v>
      </c>
      <c r="AD441">
        <v>0</v>
      </c>
      <c r="AE441">
        <v>0</v>
      </c>
      <c r="AF441">
        <v>0</v>
      </c>
      <c r="AG441">
        <v>0</v>
      </c>
      <c r="AH441">
        <v>0</v>
      </c>
      <c r="AI441">
        <v>0</v>
      </c>
      <c r="AJ441">
        <v>0</v>
      </c>
      <c r="AK441">
        <v>0</v>
      </c>
    </row>
    <row r="442" spans="1:37">
      <c r="A442" t="s">
        <v>37</v>
      </c>
      <c r="B442" t="s">
        <v>131</v>
      </c>
      <c r="C442" t="str">
        <f t="shared" si="18"/>
        <v>amzn1.ads-account.g.dfa7o7cwdl371d634ew58i919</v>
      </c>
      <c r="D442" t="s">
        <v>39</v>
      </c>
      <c r="G442" t="str">
        <f t="shared" si="19"/>
        <v>585687237024345541</v>
      </c>
      <c r="H442" t="s">
        <v>40</v>
      </c>
      <c r="I442" t="str">
        <f t="shared" si="20"/>
        <v>585478290940566279</v>
      </c>
      <c r="J442" t="s">
        <v>41</v>
      </c>
      <c r="K442" t="s">
        <v>1129</v>
      </c>
      <c r="L442" s="1" t="str">
        <f>VLOOKUP(K442,Sheet1!A:B,2,FALSE)</f>
        <v>XM1-Y22-GY-38</v>
      </c>
      <c r="M442" t="s">
        <v>1130</v>
      </c>
      <c r="N442" t="s">
        <v>53</v>
      </c>
      <c r="O442" t="s">
        <v>45</v>
      </c>
      <c r="P442" t="s">
        <v>75</v>
      </c>
      <c r="Q442" t="s">
        <v>541</v>
      </c>
      <c r="R442" t="s">
        <v>48</v>
      </c>
      <c r="S442" t="s">
        <v>49</v>
      </c>
      <c r="AB442" t="s">
        <v>49</v>
      </c>
      <c r="AC442">
        <v>0</v>
      </c>
      <c r="AD442">
        <v>0</v>
      </c>
      <c r="AE442">
        <v>0</v>
      </c>
      <c r="AF442">
        <v>0</v>
      </c>
      <c r="AG442">
        <v>0</v>
      </c>
      <c r="AH442">
        <v>0</v>
      </c>
      <c r="AI442">
        <v>0</v>
      </c>
      <c r="AJ442">
        <v>0</v>
      </c>
      <c r="AK442">
        <v>0</v>
      </c>
    </row>
    <row r="443" spans="1:37">
      <c r="A443" t="s">
        <v>37</v>
      </c>
      <c r="B443" t="s">
        <v>1131</v>
      </c>
      <c r="C443" t="str">
        <f t="shared" si="18"/>
        <v>amzn1.ads-account.g.dfa7o7cwdl371d634ew58i919</v>
      </c>
      <c r="D443" t="s">
        <v>39</v>
      </c>
      <c r="G443" t="str">
        <f t="shared" si="19"/>
        <v>585687237024345541</v>
      </c>
      <c r="H443" t="s">
        <v>40</v>
      </c>
      <c r="I443" t="str">
        <f t="shared" si="20"/>
        <v>585478290940566279</v>
      </c>
      <c r="J443" t="s">
        <v>41</v>
      </c>
      <c r="K443" t="s">
        <v>1132</v>
      </c>
      <c r="L443" s="1" t="str">
        <f>VLOOKUP(K443,Sheet1!A:B,2,FALSE)</f>
        <v>SH-BRY10-PL-41</v>
      </c>
      <c r="M443" t="s">
        <v>1133</v>
      </c>
      <c r="N443" t="s">
        <v>44</v>
      </c>
      <c r="O443" t="s">
        <v>45</v>
      </c>
      <c r="P443" t="s">
        <v>75</v>
      </c>
      <c r="Q443" t="s">
        <v>91</v>
      </c>
      <c r="R443" t="s">
        <v>48</v>
      </c>
      <c r="S443" t="s">
        <v>49</v>
      </c>
      <c r="AB443" t="s">
        <v>49</v>
      </c>
      <c r="AC443">
        <v>0</v>
      </c>
      <c r="AD443">
        <v>0</v>
      </c>
      <c r="AE443">
        <v>0</v>
      </c>
      <c r="AF443">
        <v>0</v>
      </c>
      <c r="AG443">
        <v>0</v>
      </c>
      <c r="AH443">
        <v>0</v>
      </c>
      <c r="AI443">
        <v>0</v>
      </c>
      <c r="AJ443">
        <v>0</v>
      </c>
      <c r="AK443">
        <v>0</v>
      </c>
    </row>
    <row r="444" spans="1:37">
      <c r="A444" t="s">
        <v>37</v>
      </c>
      <c r="B444" t="s">
        <v>120</v>
      </c>
      <c r="C444" t="str">
        <f t="shared" si="18"/>
        <v>amzn1.ads-account.g.dfa7o7cwdl371d634ew58i919</v>
      </c>
      <c r="D444" t="s">
        <v>39</v>
      </c>
      <c r="G444" t="str">
        <f t="shared" si="19"/>
        <v>585687237024345541</v>
      </c>
      <c r="H444" t="s">
        <v>40</v>
      </c>
      <c r="I444" t="str">
        <f t="shared" si="20"/>
        <v>585478290940566279</v>
      </c>
      <c r="J444" t="s">
        <v>41</v>
      </c>
      <c r="K444" t="s">
        <v>1134</v>
      </c>
      <c r="L444" s="1" t="str">
        <f>VLOOKUP(K444,Sheet1!A:B,2,FALSE)</f>
        <v>SH-BRY10-WERD-47</v>
      </c>
      <c r="M444" t="s">
        <v>1135</v>
      </c>
      <c r="N444" t="s">
        <v>44</v>
      </c>
      <c r="O444" t="s">
        <v>45</v>
      </c>
      <c r="P444" t="s">
        <v>59</v>
      </c>
      <c r="Q444" t="s">
        <v>60</v>
      </c>
      <c r="R444" t="s">
        <v>48</v>
      </c>
      <c r="S444" t="s">
        <v>49</v>
      </c>
      <c r="AB444" t="s">
        <v>49</v>
      </c>
      <c r="AC444">
        <v>3</v>
      </c>
      <c r="AD444">
        <v>71.97</v>
      </c>
      <c r="AE444">
        <v>3</v>
      </c>
      <c r="AF444">
        <v>3</v>
      </c>
      <c r="AG444">
        <v>71.97</v>
      </c>
      <c r="AH444">
        <v>3</v>
      </c>
      <c r="AI444">
        <v>2</v>
      </c>
      <c r="AJ444">
        <v>47.98</v>
      </c>
      <c r="AK444">
        <v>2</v>
      </c>
    </row>
    <row r="445" spans="1:37">
      <c r="A445" t="s">
        <v>37</v>
      </c>
      <c r="B445" t="s">
        <v>1136</v>
      </c>
      <c r="C445" t="str">
        <f t="shared" si="18"/>
        <v>amzn1.ads-account.g.dfa7o7cwdl371d634ew58i919</v>
      </c>
      <c r="D445" t="s">
        <v>39</v>
      </c>
      <c r="G445" t="str">
        <f t="shared" si="19"/>
        <v>585687237024345541</v>
      </c>
      <c r="H445" t="s">
        <v>40</v>
      </c>
      <c r="I445" t="str">
        <f t="shared" si="20"/>
        <v>585478290940566279</v>
      </c>
      <c r="J445" t="s">
        <v>41</v>
      </c>
      <c r="K445" t="s">
        <v>1137</v>
      </c>
      <c r="L445" s="1" t="str">
        <f>VLOOKUP(K445,Sheet1!A:B,2,FALSE)</f>
        <v>XM2-S600-RD-36</v>
      </c>
      <c r="M445" t="s">
        <v>1138</v>
      </c>
      <c r="N445" t="s">
        <v>70</v>
      </c>
      <c r="O445" t="s">
        <v>45</v>
      </c>
      <c r="P445" t="s">
        <v>75</v>
      </c>
      <c r="Q445" t="s">
        <v>76</v>
      </c>
      <c r="R445" t="s">
        <v>48</v>
      </c>
      <c r="S445" t="s">
        <v>49</v>
      </c>
      <c r="AB445" t="s">
        <v>49</v>
      </c>
      <c r="AC445">
        <v>0</v>
      </c>
      <c r="AD445">
        <v>0</v>
      </c>
      <c r="AE445">
        <v>0</v>
      </c>
      <c r="AF445">
        <v>0</v>
      </c>
      <c r="AG445">
        <v>0</v>
      </c>
      <c r="AH445">
        <v>0</v>
      </c>
      <c r="AI445">
        <v>0</v>
      </c>
      <c r="AJ445">
        <v>0</v>
      </c>
      <c r="AK445">
        <v>0</v>
      </c>
    </row>
    <row r="446" spans="1:37">
      <c r="A446" t="s">
        <v>37</v>
      </c>
      <c r="B446" t="s">
        <v>1139</v>
      </c>
      <c r="C446" t="str">
        <f t="shared" si="18"/>
        <v>amzn1.ads-account.g.dfa7o7cwdl371d634ew58i919</v>
      </c>
      <c r="D446" t="s">
        <v>39</v>
      </c>
      <c r="G446" t="str">
        <f t="shared" si="19"/>
        <v>585687237024345541</v>
      </c>
      <c r="H446" t="s">
        <v>40</v>
      </c>
      <c r="I446" t="str">
        <f t="shared" si="20"/>
        <v>585478290940566279</v>
      </c>
      <c r="J446" t="s">
        <v>41</v>
      </c>
      <c r="K446" t="s">
        <v>1140</v>
      </c>
      <c r="L446" s="1" t="str">
        <f>VLOOKUP(K446,Sheet1!A:B,2,FALSE)</f>
        <v>SH-BRS73-DKBU-47N</v>
      </c>
      <c r="M446" t="s">
        <v>1141</v>
      </c>
      <c r="N446" t="s">
        <v>206</v>
      </c>
      <c r="O446" t="s">
        <v>45</v>
      </c>
      <c r="P446" t="s">
        <v>65</v>
      </c>
      <c r="Q446" t="s">
        <v>84</v>
      </c>
      <c r="R446" t="s">
        <v>48</v>
      </c>
      <c r="S446" t="s">
        <v>49</v>
      </c>
      <c r="AB446" t="s">
        <v>49</v>
      </c>
      <c r="AC446">
        <v>0</v>
      </c>
      <c r="AD446">
        <v>0</v>
      </c>
      <c r="AE446">
        <v>0</v>
      </c>
      <c r="AF446">
        <v>0</v>
      </c>
      <c r="AG446">
        <v>0</v>
      </c>
      <c r="AH446">
        <v>0</v>
      </c>
      <c r="AI446">
        <v>0</v>
      </c>
      <c r="AJ446">
        <v>0</v>
      </c>
      <c r="AK446">
        <v>0</v>
      </c>
    </row>
    <row r="447" spans="1:37">
      <c r="A447" t="s">
        <v>37</v>
      </c>
      <c r="B447" t="s">
        <v>607</v>
      </c>
      <c r="C447" t="str">
        <f t="shared" si="18"/>
        <v>amzn1.ads-account.g.dfa7o7cwdl371d634ew58i919</v>
      </c>
      <c r="D447" t="s">
        <v>39</v>
      </c>
      <c r="G447" t="str">
        <f t="shared" si="19"/>
        <v>585687237024345541</v>
      </c>
      <c r="H447" t="s">
        <v>40</v>
      </c>
      <c r="I447" t="str">
        <f t="shared" si="20"/>
        <v>585478290940566279</v>
      </c>
      <c r="J447" t="s">
        <v>41</v>
      </c>
      <c r="K447" t="s">
        <v>1142</v>
      </c>
      <c r="L447" s="1" t="str">
        <f>VLOOKUP(K447,Sheet1!A:B,2,FALSE)</f>
        <v>XM2-S600-RD-38.5</v>
      </c>
      <c r="M447" t="s">
        <v>1143</v>
      </c>
      <c r="N447" t="s">
        <v>70</v>
      </c>
      <c r="O447" t="s">
        <v>45</v>
      </c>
      <c r="P447" t="s">
        <v>59</v>
      </c>
      <c r="Q447" t="s">
        <v>173</v>
      </c>
      <c r="R447" t="s">
        <v>48</v>
      </c>
      <c r="S447" t="s">
        <v>49</v>
      </c>
      <c r="AB447" t="s">
        <v>49</v>
      </c>
      <c r="AC447">
        <v>1</v>
      </c>
      <c r="AD447">
        <v>47.49</v>
      </c>
      <c r="AE447">
        <v>1</v>
      </c>
      <c r="AF447">
        <v>1</v>
      </c>
      <c r="AG447">
        <v>47.49</v>
      </c>
      <c r="AH447">
        <v>1</v>
      </c>
      <c r="AI447">
        <v>1</v>
      </c>
      <c r="AJ447">
        <v>47.49</v>
      </c>
      <c r="AK447">
        <v>1</v>
      </c>
    </row>
    <row r="448" spans="1:37">
      <c r="A448" t="s">
        <v>37</v>
      </c>
      <c r="B448" t="s">
        <v>147</v>
      </c>
      <c r="C448" t="str">
        <f t="shared" si="18"/>
        <v>amzn1.ads-account.g.dfa7o7cwdl371d634ew58i919</v>
      </c>
      <c r="D448" t="s">
        <v>39</v>
      </c>
      <c r="G448" t="str">
        <f t="shared" si="19"/>
        <v>585687237024345541</v>
      </c>
      <c r="H448" t="s">
        <v>40</v>
      </c>
      <c r="I448" t="str">
        <f t="shared" si="20"/>
        <v>585478290940566279</v>
      </c>
      <c r="J448" t="s">
        <v>41</v>
      </c>
      <c r="K448" t="s">
        <v>1144</v>
      </c>
      <c r="L448" s="1" t="str">
        <f>VLOOKUP(K448,Sheet1!A:B,2,FALSE)</f>
        <v>SH-BRY180-BK-36</v>
      </c>
      <c r="M448" t="s">
        <v>1145</v>
      </c>
      <c r="N448" t="s">
        <v>64</v>
      </c>
      <c r="O448" t="s">
        <v>45</v>
      </c>
      <c r="P448" t="s">
        <v>59</v>
      </c>
      <c r="Q448" t="s">
        <v>114</v>
      </c>
      <c r="R448" t="s">
        <v>48</v>
      </c>
      <c r="S448" t="s">
        <v>49</v>
      </c>
      <c r="AB448" t="s">
        <v>49</v>
      </c>
      <c r="AC448">
        <v>1</v>
      </c>
      <c r="AD448">
        <v>19.99</v>
      </c>
      <c r="AE448">
        <v>1</v>
      </c>
      <c r="AF448">
        <v>1</v>
      </c>
      <c r="AG448">
        <v>19.99</v>
      </c>
      <c r="AH448">
        <v>1</v>
      </c>
      <c r="AI448">
        <v>1</v>
      </c>
      <c r="AJ448">
        <v>19.99</v>
      </c>
      <c r="AK448">
        <v>1</v>
      </c>
    </row>
    <row r="449" spans="1:37">
      <c r="A449" t="s">
        <v>37</v>
      </c>
      <c r="B449" t="s">
        <v>217</v>
      </c>
      <c r="C449" t="str">
        <f t="shared" si="18"/>
        <v>amzn1.ads-account.g.dfa7o7cwdl371d634ew58i919</v>
      </c>
      <c r="D449" t="s">
        <v>39</v>
      </c>
      <c r="G449" t="str">
        <f t="shared" si="19"/>
        <v>585687237024345541</v>
      </c>
      <c r="H449" t="s">
        <v>40</v>
      </c>
      <c r="I449" t="str">
        <f t="shared" si="20"/>
        <v>585478290940566279</v>
      </c>
      <c r="J449" t="s">
        <v>41</v>
      </c>
      <c r="K449" t="s">
        <v>1146</v>
      </c>
      <c r="L449" s="1" t="str">
        <f>VLOOKUP(K449,Sheet1!A:B,2,FALSE)</f>
        <v>XM2-S7K1-BKRD-33</v>
      </c>
      <c r="M449" t="s">
        <v>1147</v>
      </c>
      <c r="N449" t="s">
        <v>220</v>
      </c>
      <c r="O449" t="s">
        <v>45</v>
      </c>
      <c r="P449" t="s">
        <v>46</v>
      </c>
      <c r="Q449" t="s">
        <v>157</v>
      </c>
      <c r="R449" t="s">
        <v>48</v>
      </c>
      <c r="S449" t="s">
        <v>49</v>
      </c>
      <c r="AB449" t="s">
        <v>49</v>
      </c>
      <c r="AC449">
        <v>0</v>
      </c>
      <c r="AD449">
        <v>0</v>
      </c>
      <c r="AE449">
        <v>0</v>
      </c>
      <c r="AF449">
        <v>0</v>
      </c>
      <c r="AG449">
        <v>0</v>
      </c>
      <c r="AH449">
        <v>0</v>
      </c>
      <c r="AI449">
        <v>0</v>
      </c>
      <c r="AJ449">
        <v>0</v>
      </c>
      <c r="AK449">
        <v>0</v>
      </c>
    </row>
    <row r="450" spans="1:37">
      <c r="A450" t="s">
        <v>37</v>
      </c>
      <c r="B450" t="s">
        <v>55</v>
      </c>
      <c r="C450" t="str">
        <f t="shared" ref="C450:C492" si="21">"amzn1.ads-account.g.dfa7o7cwdl371d634ew58i919"</f>
        <v>amzn1.ads-account.g.dfa7o7cwdl371d634ew58i919</v>
      </c>
      <c r="D450" t="s">
        <v>39</v>
      </c>
      <c r="G450" t="str">
        <f t="shared" ref="G450:G492" si="22">"585687237024345541"</f>
        <v>585687237024345541</v>
      </c>
      <c r="H450" t="s">
        <v>40</v>
      </c>
      <c r="I450" t="str">
        <f t="shared" ref="I450:I492" si="23">"585478290940566279"</f>
        <v>585478290940566279</v>
      </c>
      <c r="J450" t="s">
        <v>41</v>
      </c>
      <c r="K450" t="s">
        <v>1148</v>
      </c>
      <c r="L450" s="1" t="str">
        <f>VLOOKUP(K450,Sheet1!A:B,2,FALSE)</f>
        <v>SH-BRS73-DKBU-45</v>
      </c>
      <c r="M450" t="s">
        <v>1149</v>
      </c>
      <c r="N450" t="s">
        <v>206</v>
      </c>
      <c r="O450" t="s">
        <v>45</v>
      </c>
      <c r="P450" t="s">
        <v>65</v>
      </c>
      <c r="Q450" t="s">
        <v>207</v>
      </c>
      <c r="R450" t="s">
        <v>48</v>
      </c>
      <c r="S450" t="s">
        <v>49</v>
      </c>
      <c r="AB450" t="s">
        <v>49</v>
      </c>
      <c r="AC450">
        <v>0</v>
      </c>
      <c r="AD450">
        <v>0</v>
      </c>
      <c r="AE450">
        <v>0</v>
      </c>
      <c r="AF450">
        <v>0</v>
      </c>
      <c r="AG450">
        <v>0</v>
      </c>
      <c r="AH450">
        <v>0</v>
      </c>
      <c r="AI450">
        <v>0</v>
      </c>
      <c r="AJ450">
        <v>0</v>
      </c>
      <c r="AK450">
        <v>0</v>
      </c>
    </row>
    <row r="451" spans="1:37">
      <c r="A451" t="s">
        <v>37</v>
      </c>
      <c r="B451" t="s">
        <v>368</v>
      </c>
      <c r="C451" t="str">
        <f t="shared" si="21"/>
        <v>amzn1.ads-account.g.dfa7o7cwdl371d634ew58i919</v>
      </c>
      <c r="D451" t="s">
        <v>39</v>
      </c>
      <c r="G451" t="str">
        <f t="shared" si="22"/>
        <v>585687237024345541</v>
      </c>
      <c r="H451" t="s">
        <v>40</v>
      </c>
      <c r="I451" t="str">
        <f t="shared" si="23"/>
        <v>585478290940566279</v>
      </c>
      <c r="J451" t="s">
        <v>41</v>
      </c>
      <c r="K451" t="s">
        <v>1150</v>
      </c>
      <c r="L451" s="1" t="str">
        <f>VLOOKUP(K451,Sheet1!A:B,2,FALSE)</f>
        <v>XM1-L200-PL-38</v>
      </c>
      <c r="M451" t="s">
        <v>1151</v>
      </c>
      <c r="N451" t="s">
        <v>191</v>
      </c>
      <c r="O451" t="s">
        <v>45</v>
      </c>
      <c r="P451" t="s">
        <v>75</v>
      </c>
      <c r="Q451" t="s">
        <v>76</v>
      </c>
      <c r="R451" t="s">
        <v>48</v>
      </c>
      <c r="S451" t="s">
        <v>49</v>
      </c>
      <c r="AB451" t="s">
        <v>49</v>
      </c>
      <c r="AC451">
        <v>0</v>
      </c>
      <c r="AD451">
        <v>0</v>
      </c>
      <c r="AE451">
        <v>0</v>
      </c>
      <c r="AF451">
        <v>0</v>
      </c>
      <c r="AG451">
        <v>0</v>
      </c>
      <c r="AH451">
        <v>0</v>
      </c>
      <c r="AI451">
        <v>0</v>
      </c>
      <c r="AJ451">
        <v>0</v>
      </c>
      <c r="AK451">
        <v>0</v>
      </c>
    </row>
    <row r="452" spans="1:37">
      <c r="A452" t="s">
        <v>37</v>
      </c>
      <c r="B452" t="s">
        <v>100</v>
      </c>
      <c r="C452" t="str">
        <f t="shared" si="21"/>
        <v>amzn1.ads-account.g.dfa7o7cwdl371d634ew58i919</v>
      </c>
      <c r="D452" t="s">
        <v>39</v>
      </c>
      <c r="G452" t="str">
        <f t="shared" si="22"/>
        <v>585687237024345541</v>
      </c>
      <c r="H452" t="s">
        <v>40</v>
      </c>
      <c r="I452" t="str">
        <f t="shared" si="23"/>
        <v>585478290940566279</v>
      </c>
      <c r="J452" t="s">
        <v>41</v>
      </c>
      <c r="K452" t="s">
        <v>1152</v>
      </c>
      <c r="L452" s="1" t="str">
        <f>VLOOKUP(K452,Sheet1!A:B,2,FALSE)</f>
        <v>XM2-S73-ABK-37</v>
      </c>
      <c r="M452" t="s">
        <v>1153</v>
      </c>
      <c r="N452" t="s">
        <v>83</v>
      </c>
      <c r="O452" t="s">
        <v>45</v>
      </c>
      <c r="P452" t="s">
        <v>65</v>
      </c>
      <c r="Q452" t="s">
        <v>84</v>
      </c>
      <c r="R452" t="s">
        <v>48</v>
      </c>
      <c r="S452" t="s">
        <v>49</v>
      </c>
      <c r="AB452" t="s">
        <v>49</v>
      </c>
      <c r="AC452">
        <v>0</v>
      </c>
      <c r="AD452">
        <v>0</v>
      </c>
      <c r="AE452">
        <v>0</v>
      </c>
      <c r="AF452">
        <v>0</v>
      </c>
      <c r="AG452">
        <v>0</v>
      </c>
      <c r="AH452">
        <v>0</v>
      </c>
      <c r="AI452">
        <v>0</v>
      </c>
      <c r="AJ452">
        <v>0</v>
      </c>
      <c r="AK452">
        <v>0</v>
      </c>
    </row>
    <row r="453" spans="1:37">
      <c r="A453" t="s">
        <v>37</v>
      </c>
      <c r="B453" t="s">
        <v>120</v>
      </c>
      <c r="C453" t="str">
        <f t="shared" si="21"/>
        <v>amzn1.ads-account.g.dfa7o7cwdl371d634ew58i919</v>
      </c>
      <c r="D453" t="s">
        <v>39</v>
      </c>
      <c r="G453" t="str">
        <f t="shared" si="22"/>
        <v>585687237024345541</v>
      </c>
      <c r="H453" t="s">
        <v>40</v>
      </c>
      <c r="I453" t="str">
        <f t="shared" si="23"/>
        <v>585478290940566279</v>
      </c>
      <c r="J453" t="s">
        <v>41</v>
      </c>
      <c r="K453" t="s">
        <v>1154</v>
      </c>
      <c r="L453" s="1" t="str">
        <f>VLOOKUP(K453,Sheet1!A:B,2,FALSE)</f>
        <v>SH-BRY10-GY-40</v>
      </c>
      <c r="M453" t="s">
        <v>1155</v>
      </c>
      <c r="N453" t="s">
        <v>44</v>
      </c>
      <c r="O453" t="s">
        <v>45</v>
      </c>
      <c r="P453" t="s">
        <v>46</v>
      </c>
      <c r="Q453" t="s">
        <v>157</v>
      </c>
      <c r="R453" t="s">
        <v>48</v>
      </c>
      <c r="S453" t="s">
        <v>49</v>
      </c>
      <c r="AB453" t="s">
        <v>49</v>
      </c>
      <c r="AC453">
        <v>1</v>
      </c>
      <c r="AD453">
        <v>19.33</v>
      </c>
      <c r="AE453">
        <v>1</v>
      </c>
      <c r="AF453">
        <v>1</v>
      </c>
      <c r="AG453">
        <v>19.33</v>
      </c>
      <c r="AH453">
        <v>1</v>
      </c>
      <c r="AI453">
        <v>1</v>
      </c>
      <c r="AJ453">
        <v>19.33</v>
      </c>
      <c r="AK453">
        <v>1</v>
      </c>
    </row>
    <row r="454" spans="1:37">
      <c r="A454" t="s">
        <v>37</v>
      </c>
      <c r="B454" t="s">
        <v>55</v>
      </c>
      <c r="C454" t="str">
        <f t="shared" si="21"/>
        <v>amzn1.ads-account.g.dfa7o7cwdl371d634ew58i919</v>
      </c>
      <c r="D454" t="s">
        <v>39</v>
      </c>
      <c r="G454" t="str">
        <f t="shared" si="22"/>
        <v>585687237024345541</v>
      </c>
      <c r="H454" t="s">
        <v>40</v>
      </c>
      <c r="I454" t="str">
        <f t="shared" si="23"/>
        <v>585478290940566279</v>
      </c>
      <c r="J454" t="s">
        <v>41</v>
      </c>
      <c r="K454" t="s">
        <v>1156</v>
      </c>
      <c r="L454" s="1" t="str">
        <f>VLOOKUP(K454,Sheet1!A:B,2,FALSE)</f>
        <v>SH-BRY10-BL-43</v>
      </c>
      <c r="M454" t="s">
        <v>1157</v>
      </c>
      <c r="N454" t="s">
        <v>44</v>
      </c>
      <c r="O454" t="s">
        <v>45</v>
      </c>
      <c r="P454" t="s">
        <v>59</v>
      </c>
      <c r="Q454" t="s">
        <v>114</v>
      </c>
      <c r="R454" t="s">
        <v>48</v>
      </c>
      <c r="S454" t="s">
        <v>49</v>
      </c>
      <c r="AB454" t="s">
        <v>49</v>
      </c>
      <c r="AC454">
        <v>2</v>
      </c>
      <c r="AD454">
        <v>44.34</v>
      </c>
      <c r="AE454">
        <v>2</v>
      </c>
      <c r="AF454">
        <v>2</v>
      </c>
      <c r="AG454">
        <v>44.34</v>
      </c>
      <c r="AH454">
        <v>2</v>
      </c>
      <c r="AI454">
        <v>2</v>
      </c>
      <c r="AJ454">
        <v>44.34</v>
      </c>
      <c r="AK454">
        <v>2</v>
      </c>
    </row>
    <row r="455" spans="1:37">
      <c r="A455" t="s">
        <v>37</v>
      </c>
      <c r="B455" t="s">
        <v>131</v>
      </c>
      <c r="C455" t="str">
        <f t="shared" si="21"/>
        <v>amzn1.ads-account.g.dfa7o7cwdl371d634ew58i919</v>
      </c>
      <c r="D455" t="s">
        <v>39</v>
      </c>
      <c r="G455" t="str">
        <f t="shared" si="22"/>
        <v>585687237024345541</v>
      </c>
      <c r="H455" t="s">
        <v>40</v>
      </c>
      <c r="I455" t="str">
        <f t="shared" si="23"/>
        <v>585478290940566279</v>
      </c>
      <c r="J455" t="s">
        <v>41</v>
      </c>
      <c r="K455" t="s">
        <v>1158</v>
      </c>
      <c r="L455" s="1" t="str">
        <f>VLOOKUP(K455,Sheet1!A:B,2,FALSE)</f>
        <v>XM1-Y22-BK-39</v>
      </c>
      <c r="M455" t="s">
        <v>1159</v>
      </c>
      <c r="N455" t="s">
        <v>53</v>
      </c>
      <c r="O455" t="s">
        <v>45</v>
      </c>
      <c r="P455" t="s">
        <v>65</v>
      </c>
      <c r="Q455" t="s">
        <v>66</v>
      </c>
      <c r="R455" t="s">
        <v>48</v>
      </c>
      <c r="S455" t="s">
        <v>49</v>
      </c>
      <c r="AB455" t="s">
        <v>49</v>
      </c>
      <c r="AC455">
        <v>0</v>
      </c>
      <c r="AD455">
        <v>0</v>
      </c>
      <c r="AE455">
        <v>0</v>
      </c>
      <c r="AF455">
        <v>0</v>
      </c>
      <c r="AG455">
        <v>0</v>
      </c>
      <c r="AH455">
        <v>0</v>
      </c>
      <c r="AI455">
        <v>0</v>
      </c>
      <c r="AJ455">
        <v>0</v>
      </c>
      <c r="AK455">
        <v>0</v>
      </c>
    </row>
    <row r="456" spans="1:37">
      <c r="A456" t="s">
        <v>37</v>
      </c>
      <c r="B456" t="s">
        <v>120</v>
      </c>
      <c r="C456" t="str">
        <f t="shared" si="21"/>
        <v>amzn1.ads-account.g.dfa7o7cwdl371d634ew58i919</v>
      </c>
      <c r="D456" t="s">
        <v>39</v>
      </c>
      <c r="G456" t="str">
        <f t="shared" si="22"/>
        <v>585687237024345541</v>
      </c>
      <c r="H456" t="s">
        <v>40</v>
      </c>
      <c r="I456" t="str">
        <f t="shared" si="23"/>
        <v>585478290940566279</v>
      </c>
      <c r="J456" t="s">
        <v>41</v>
      </c>
      <c r="K456" t="s">
        <v>1160</v>
      </c>
      <c r="L456" s="1" t="str">
        <f>VLOOKUP(K456,Sheet1!A:B,2,FALSE)</f>
        <v>SH-BRY10-BL-36</v>
      </c>
      <c r="M456" t="s">
        <v>1161</v>
      </c>
      <c r="N456" t="s">
        <v>44</v>
      </c>
      <c r="O456" t="s">
        <v>45</v>
      </c>
      <c r="P456" t="s">
        <v>59</v>
      </c>
      <c r="Q456" t="s">
        <v>114</v>
      </c>
      <c r="R456" t="s">
        <v>48</v>
      </c>
      <c r="S456" t="s">
        <v>49</v>
      </c>
      <c r="AB456" t="s">
        <v>49</v>
      </c>
      <c r="AC456">
        <v>1</v>
      </c>
      <c r="AD456">
        <v>20.35</v>
      </c>
      <c r="AE456">
        <v>1</v>
      </c>
      <c r="AF456">
        <v>1</v>
      </c>
      <c r="AG456">
        <v>20.35</v>
      </c>
      <c r="AH456">
        <v>1</v>
      </c>
      <c r="AI456">
        <v>1</v>
      </c>
      <c r="AJ456">
        <v>20.35</v>
      </c>
      <c r="AK456">
        <v>1</v>
      </c>
    </row>
    <row r="457" spans="1:37">
      <c r="A457" t="s">
        <v>37</v>
      </c>
      <c r="B457" t="s">
        <v>257</v>
      </c>
      <c r="C457" t="str">
        <f t="shared" si="21"/>
        <v>amzn1.ads-account.g.dfa7o7cwdl371d634ew58i919</v>
      </c>
      <c r="D457" t="s">
        <v>39</v>
      </c>
      <c r="G457" t="str">
        <f t="shared" si="22"/>
        <v>585687237024345541</v>
      </c>
      <c r="H457" t="s">
        <v>40</v>
      </c>
      <c r="I457" t="str">
        <f t="shared" si="23"/>
        <v>585478290940566279</v>
      </c>
      <c r="J457" t="s">
        <v>41</v>
      </c>
      <c r="K457" t="s">
        <v>1162</v>
      </c>
      <c r="L457" s="1" t="str">
        <f>VLOOKUP(K457,Sheet1!A:B,2,FALSE)</f>
        <v>XM2-S7K1-DKBU-37</v>
      </c>
      <c r="M457" t="s">
        <v>1163</v>
      </c>
      <c r="N457" t="s">
        <v>220</v>
      </c>
      <c r="O457" t="s">
        <v>45</v>
      </c>
      <c r="P457" t="s">
        <v>46</v>
      </c>
      <c r="Q457" t="s">
        <v>157</v>
      </c>
      <c r="R457" t="s">
        <v>48</v>
      </c>
      <c r="S457" t="s">
        <v>49</v>
      </c>
      <c r="AB457" t="s">
        <v>49</v>
      </c>
      <c r="AC457">
        <v>0</v>
      </c>
      <c r="AD457">
        <v>0</v>
      </c>
      <c r="AE457">
        <v>0</v>
      </c>
      <c r="AF457">
        <v>0</v>
      </c>
      <c r="AG457">
        <v>0</v>
      </c>
      <c r="AH457">
        <v>0</v>
      </c>
      <c r="AI457">
        <v>0</v>
      </c>
      <c r="AJ457">
        <v>0</v>
      </c>
      <c r="AK457">
        <v>0</v>
      </c>
    </row>
    <row r="458" spans="1:37">
      <c r="A458" t="s">
        <v>37</v>
      </c>
      <c r="B458" t="s">
        <v>147</v>
      </c>
      <c r="C458" t="str">
        <f t="shared" si="21"/>
        <v>amzn1.ads-account.g.dfa7o7cwdl371d634ew58i919</v>
      </c>
      <c r="D458" t="s">
        <v>39</v>
      </c>
      <c r="G458" t="str">
        <f t="shared" si="22"/>
        <v>585687237024345541</v>
      </c>
      <c r="H458" t="s">
        <v>40</v>
      </c>
      <c r="I458" t="str">
        <f t="shared" si="23"/>
        <v>585478290940566279</v>
      </c>
      <c r="J458" t="s">
        <v>41</v>
      </c>
      <c r="K458" t="s">
        <v>1164</v>
      </c>
      <c r="L458" s="1" t="str">
        <f>VLOOKUP(K458,Sheet1!A:B,2,FALSE)</f>
        <v>SH-BRY10-TPL-43</v>
      </c>
      <c r="M458" t="s">
        <v>1165</v>
      </c>
      <c r="N458" t="s">
        <v>44</v>
      </c>
      <c r="O458" t="s">
        <v>45</v>
      </c>
      <c r="P458" t="s">
        <v>59</v>
      </c>
      <c r="Q458" t="s">
        <v>114</v>
      </c>
      <c r="R458" t="s">
        <v>48</v>
      </c>
      <c r="S458" t="s">
        <v>49</v>
      </c>
      <c r="AB458" t="s">
        <v>49</v>
      </c>
      <c r="AC458">
        <v>0</v>
      </c>
      <c r="AD458">
        <v>0</v>
      </c>
      <c r="AE458">
        <v>0</v>
      </c>
      <c r="AF458">
        <v>0</v>
      </c>
      <c r="AG458">
        <v>0</v>
      </c>
      <c r="AH458">
        <v>0</v>
      </c>
      <c r="AI458">
        <v>0</v>
      </c>
      <c r="AJ458">
        <v>0</v>
      </c>
      <c r="AK458">
        <v>0</v>
      </c>
    </row>
    <row r="459" spans="1:37">
      <c r="A459" t="s">
        <v>37</v>
      </c>
      <c r="B459" t="s">
        <v>103</v>
      </c>
      <c r="C459" t="str">
        <f t="shared" si="21"/>
        <v>amzn1.ads-account.g.dfa7o7cwdl371d634ew58i919</v>
      </c>
      <c r="D459" t="s">
        <v>39</v>
      </c>
      <c r="G459" t="str">
        <f t="shared" si="22"/>
        <v>585687237024345541</v>
      </c>
      <c r="H459" t="s">
        <v>40</v>
      </c>
      <c r="I459" t="str">
        <f t="shared" si="23"/>
        <v>585478290940566279</v>
      </c>
      <c r="J459" t="s">
        <v>41</v>
      </c>
      <c r="K459" t="s">
        <v>1166</v>
      </c>
      <c r="L459" s="1" t="str">
        <f>VLOOKUP(K459,Sheet1!A:B,2,FALSE)</f>
        <v>XM2-S600-BG-41</v>
      </c>
      <c r="M459" t="s">
        <v>1167</v>
      </c>
      <c r="N459" t="s">
        <v>70</v>
      </c>
      <c r="O459" t="s">
        <v>45</v>
      </c>
      <c r="P459" t="s">
        <v>75</v>
      </c>
      <c r="Q459" t="s">
        <v>76</v>
      </c>
      <c r="R459" t="s">
        <v>48</v>
      </c>
      <c r="S459" t="s">
        <v>49</v>
      </c>
      <c r="AB459" t="s">
        <v>49</v>
      </c>
      <c r="AC459">
        <v>0</v>
      </c>
      <c r="AD459">
        <v>0</v>
      </c>
      <c r="AE459">
        <v>0</v>
      </c>
      <c r="AF459">
        <v>0</v>
      </c>
      <c r="AG459">
        <v>0</v>
      </c>
      <c r="AH459">
        <v>0</v>
      </c>
      <c r="AI459">
        <v>0</v>
      </c>
      <c r="AJ459">
        <v>0</v>
      </c>
      <c r="AK459">
        <v>0</v>
      </c>
    </row>
    <row r="460" spans="1:37">
      <c r="A460" t="s">
        <v>37</v>
      </c>
      <c r="B460" t="s">
        <v>1168</v>
      </c>
      <c r="C460" t="str">
        <f t="shared" si="21"/>
        <v>amzn1.ads-account.g.dfa7o7cwdl371d634ew58i919</v>
      </c>
      <c r="D460" t="s">
        <v>39</v>
      </c>
      <c r="G460" t="str">
        <f t="shared" si="22"/>
        <v>585687237024345541</v>
      </c>
      <c r="H460" t="s">
        <v>40</v>
      </c>
      <c r="I460" t="str">
        <f t="shared" si="23"/>
        <v>585478290940566279</v>
      </c>
      <c r="J460" t="s">
        <v>41</v>
      </c>
      <c r="K460" t="s">
        <v>1169</v>
      </c>
      <c r="L460" s="1" t="str">
        <f>VLOOKUP(K460,Sheet1!A:B,2,FALSE)</f>
        <v>XM2-Y90B-PL-W9</v>
      </c>
      <c r="M460" t="s">
        <v>1170</v>
      </c>
      <c r="N460" t="s">
        <v>74</v>
      </c>
      <c r="O460" t="s">
        <v>45</v>
      </c>
      <c r="P460" t="s">
        <v>75</v>
      </c>
      <c r="Q460" t="s">
        <v>76</v>
      </c>
      <c r="R460" t="s">
        <v>48</v>
      </c>
      <c r="S460" t="s">
        <v>49</v>
      </c>
      <c r="AB460" t="s">
        <v>49</v>
      </c>
      <c r="AC460">
        <v>1</v>
      </c>
      <c r="AD460">
        <v>9.99</v>
      </c>
      <c r="AE460">
        <v>1</v>
      </c>
      <c r="AF460">
        <v>1</v>
      </c>
      <c r="AG460">
        <v>9.99</v>
      </c>
      <c r="AH460">
        <v>1</v>
      </c>
      <c r="AI460">
        <v>0</v>
      </c>
      <c r="AJ460">
        <v>0</v>
      </c>
      <c r="AK460">
        <v>0</v>
      </c>
    </row>
    <row r="461" spans="1:37">
      <c r="A461" t="s">
        <v>37</v>
      </c>
      <c r="B461" t="s">
        <v>167</v>
      </c>
      <c r="C461" t="str">
        <f t="shared" si="21"/>
        <v>amzn1.ads-account.g.dfa7o7cwdl371d634ew58i919</v>
      </c>
      <c r="D461" t="s">
        <v>39</v>
      </c>
      <c r="G461" t="str">
        <f t="shared" si="22"/>
        <v>585687237024345541</v>
      </c>
      <c r="H461" t="s">
        <v>40</v>
      </c>
      <c r="I461" t="str">
        <f t="shared" si="23"/>
        <v>585478290940566279</v>
      </c>
      <c r="J461" t="s">
        <v>41</v>
      </c>
      <c r="K461" t="s">
        <v>1171</v>
      </c>
      <c r="L461" s="1" t="str">
        <f>VLOOKUP(K461,Sheet1!A:B,2,FALSE)</f>
        <v>SH-BRY180-GY-40</v>
      </c>
      <c r="M461" t="s">
        <v>1172</v>
      </c>
      <c r="N461" t="s">
        <v>64</v>
      </c>
      <c r="O461" t="s">
        <v>45</v>
      </c>
      <c r="P461" t="s">
        <v>123</v>
      </c>
      <c r="Q461" t="s">
        <v>264</v>
      </c>
      <c r="R461" t="s">
        <v>48</v>
      </c>
      <c r="S461" t="s">
        <v>49</v>
      </c>
      <c r="AB461" t="s">
        <v>49</v>
      </c>
      <c r="AC461">
        <v>1</v>
      </c>
      <c r="AD461">
        <v>23.99</v>
      </c>
      <c r="AE461">
        <v>1</v>
      </c>
      <c r="AF461">
        <v>1</v>
      </c>
      <c r="AG461">
        <v>23.99</v>
      </c>
      <c r="AH461">
        <v>1</v>
      </c>
      <c r="AI461">
        <v>1</v>
      </c>
      <c r="AJ461">
        <v>23.99</v>
      </c>
      <c r="AK461">
        <v>1</v>
      </c>
    </row>
    <row r="462" spans="1:37">
      <c r="A462" t="s">
        <v>37</v>
      </c>
      <c r="B462" t="s">
        <v>1173</v>
      </c>
      <c r="C462" t="str">
        <f t="shared" si="21"/>
        <v>amzn1.ads-account.g.dfa7o7cwdl371d634ew58i919</v>
      </c>
      <c r="D462" t="s">
        <v>39</v>
      </c>
      <c r="G462" t="str">
        <f t="shared" si="22"/>
        <v>585687237024345541</v>
      </c>
      <c r="H462" t="s">
        <v>40</v>
      </c>
      <c r="I462" t="str">
        <f t="shared" si="23"/>
        <v>585478290940566279</v>
      </c>
      <c r="J462" t="s">
        <v>41</v>
      </c>
      <c r="K462" t="s">
        <v>64</v>
      </c>
      <c r="L462" s="1" t="str">
        <f>VLOOKUP(K462,Sheet1!A:B,2,FALSE)</f>
        <v>SH-BRY180S</v>
      </c>
      <c r="M462" t="s">
        <v>1174</v>
      </c>
      <c r="N462">
        <v>-1</v>
      </c>
      <c r="O462" t="s">
        <v>45</v>
      </c>
      <c r="P462" t="s">
        <v>65</v>
      </c>
      <c r="Q462" t="s">
        <v>66</v>
      </c>
      <c r="R462" t="s">
        <v>48</v>
      </c>
      <c r="S462" t="s">
        <v>49</v>
      </c>
      <c r="AB462" t="s">
        <v>49</v>
      </c>
      <c r="AC462">
        <v>0</v>
      </c>
      <c r="AD462">
        <v>0</v>
      </c>
      <c r="AE462">
        <v>0</v>
      </c>
      <c r="AF462">
        <v>0</v>
      </c>
      <c r="AG462">
        <v>0</v>
      </c>
      <c r="AH462">
        <v>0</v>
      </c>
      <c r="AI462">
        <v>0</v>
      </c>
      <c r="AJ462">
        <v>0</v>
      </c>
      <c r="AK462">
        <v>0</v>
      </c>
    </row>
    <row r="463" spans="1:37">
      <c r="A463" t="s">
        <v>37</v>
      </c>
      <c r="B463" t="s">
        <v>1175</v>
      </c>
      <c r="C463" t="str">
        <f t="shared" si="21"/>
        <v>amzn1.ads-account.g.dfa7o7cwdl371d634ew58i919</v>
      </c>
      <c r="D463" t="s">
        <v>39</v>
      </c>
      <c r="G463" t="str">
        <f t="shared" si="22"/>
        <v>585687237024345541</v>
      </c>
      <c r="H463" t="s">
        <v>40</v>
      </c>
      <c r="I463" t="str">
        <f t="shared" si="23"/>
        <v>585478290940566279</v>
      </c>
      <c r="J463" t="s">
        <v>41</v>
      </c>
      <c r="K463" t="s">
        <v>1176</v>
      </c>
      <c r="L463" s="1" t="str">
        <f>VLOOKUP(K463,Sheet1!A:B,2,FALSE)</f>
        <v>XM2-Y90B-DKBU-W9</v>
      </c>
      <c r="M463" t="s">
        <v>1177</v>
      </c>
      <c r="N463">
        <v>-1</v>
      </c>
      <c r="O463" t="s">
        <v>45</v>
      </c>
      <c r="P463" t="s">
        <v>59</v>
      </c>
      <c r="Q463" t="s">
        <v>130</v>
      </c>
      <c r="R463" t="s">
        <v>48</v>
      </c>
      <c r="S463" t="s">
        <v>49</v>
      </c>
      <c r="AB463" t="s">
        <v>49</v>
      </c>
      <c r="AC463">
        <v>0</v>
      </c>
      <c r="AD463">
        <v>0</v>
      </c>
      <c r="AE463">
        <v>0</v>
      </c>
      <c r="AF463">
        <v>0</v>
      </c>
      <c r="AG463">
        <v>0</v>
      </c>
      <c r="AH463">
        <v>0</v>
      </c>
      <c r="AI463">
        <v>0</v>
      </c>
      <c r="AJ463">
        <v>0</v>
      </c>
      <c r="AK463">
        <v>0</v>
      </c>
    </row>
    <row r="464" spans="1:37">
      <c r="A464" t="s">
        <v>37</v>
      </c>
      <c r="B464" t="s">
        <v>1178</v>
      </c>
      <c r="C464" t="str">
        <f t="shared" si="21"/>
        <v>amzn1.ads-account.g.dfa7o7cwdl371d634ew58i919</v>
      </c>
      <c r="D464" t="s">
        <v>39</v>
      </c>
      <c r="G464" t="str">
        <f t="shared" si="22"/>
        <v>585687237024345541</v>
      </c>
      <c r="H464" t="s">
        <v>40</v>
      </c>
      <c r="I464" t="str">
        <f t="shared" si="23"/>
        <v>585478290940566279</v>
      </c>
      <c r="J464" t="s">
        <v>41</v>
      </c>
      <c r="K464" t="s">
        <v>1179</v>
      </c>
      <c r="L464" s="1" t="str">
        <f>VLOOKUP(K464,Sheet1!A:B,2,FALSE)</f>
        <v>XM2-S75-BK-40</v>
      </c>
      <c r="M464" t="s">
        <v>1180</v>
      </c>
      <c r="N464" t="s">
        <v>95</v>
      </c>
      <c r="O464" t="s">
        <v>45</v>
      </c>
      <c r="P464" t="s">
        <v>153</v>
      </c>
      <c r="Q464" t="s">
        <v>154</v>
      </c>
      <c r="R464" t="s">
        <v>48</v>
      </c>
      <c r="S464" t="s">
        <v>49</v>
      </c>
      <c r="AB464" t="s">
        <v>49</v>
      </c>
      <c r="AC464">
        <v>0</v>
      </c>
      <c r="AD464">
        <v>0</v>
      </c>
      <c r="AE464">
        <v>0</v>
      </c>
      <c r="AF464">
        <v>0</v>
      </c>
      <c r="AG464">
        <v>0</v>
      </c>
      <c r="AH464">
        <v>0</v>
      </c>
      <c r="AI464">
        <v>0</v>
      </c>
      <c r="AJ464">
        <v>0</v>
      </c>
      <c r="AK464">
        <v>0</v>
      </c>
    </row>
    <row r="465" spans="1:37">
      <c r="A465" t="s">
        <v>37</v>
      </c>
      <c r="B465" t="s">
        <v>1181</v>
      </c>
      <c r="C465" t="str">
        <f t="shared" si="21"/>
        <v>amzn1.ads-account.g.dfa7o7cwdl371d634ew58i919</v>
      </c>
      <c r="D465" t="s">
        <v>39</v>
      </c>
      <c r="G465" t="str">
        <f t="shared" si="22"/>
        <v>585687237024345541</v>
      </c>
      <c r="H465" t="s">
        <v>40</v>
      </c>
      <c r="I465" t="str">
        <f t="shared" si="23"/>
        <v>585478290940566279</v>
      </c>
      <c r="J465" t="s">
        <v>41</v>
      </c>
      <c r="K465" t="s">
        <v>1182</v>
      </c>
      <c r="L465" s="1" t="str">
        <f>VLOOKUP(K465,Sheet1!A:B,2,FALSE)</f>
        <v>XM2-S75-BG-39</v>
      </c>
      <c r="M465" t="s">
        <v>1183</v>
      </c>
      <c r="N465" t="s">
        <v>95</v>
      </c>
      <c r="O465" t="s">
        <v>45</v>
      </c>
      <c r="P465" t="s">
        <v>153</v>
      </c>
      <c r="Q465" t="s">
        <v>154</v>
      </c>
      <c r="R465" t="s">
        <v>48</v>
      </c>
      <c r="S465" t="s">
        <v>49</v>
      </c>
      <c r="AB465" t="s">
        <v>49</v>
      </c>
      <c r="AC465">
        <v>1</v>
      </c>
      <c r="AD465">
        <v>39.99</v>
      </c>
      <c r="AE465">
        <v>1</v>
      </c>
      <c r="AF465">
        <v>1</v>
      </c>
      <c r="AG465">
        <v>39.99</v>
      </c>
      <c r="AH465">
        <v>1</v>
      </c>
      <c r="AI465">
        <v>0</v>
      </c>
      <c r="AJ465">
        <v>0</v>
      </c>
      <c r="AK465">
        <v>0</v>
      </c>
    </row>
    <row r="466" spans="1:37">
      <c r="A466" t="s">
        <v>37</v>
      </c>
      <c r="B466" t="s">
        <v>55</v>
      </c>
      <c r="C466" t="str">
        <f t="shared" si="21"/>
        <v>amzn1.ads-account.g.dfa7o7cwdl371d634ew58i919</v>
      </c>
      <c r="D466" t="s">
        <v>39</v>
      </c>
      <c r="G466" t="str">
        <f t="shared" si="22"/>
        <v>585687237024345541</v>
      </c>
      <c r="H466" t="s">
        <v>40</v>
      </c>
      <c r="I466" t="str">
        <f t="shared" si="23"/>
        <v>585478290940566279</v>
      </c>
      <c r="J466" t="s">
        <v>41</v>
      </c>
      <c r="K466" t="s">
        <v>1184</v>
      </c>
      <c r="L466" s="1" t="str">
        <f>VLOOKUP(K466,Sheet1!A:B,2,FALSE)</f>
        <v>SH-BRY10-BN-38</v>
      </c>
      <c r="M466" t="s">
        <v>1185</v>
      </c>
      <c r="N466" t="s">
        <v>44</v>
      </c>
      <c r="O466" t="s">
        <v>45</v>
      </c>
      <c r="P466" t="s">
        <v>46</v>
      </c>
      <c r="Q466" t="s">
        <v>47</v>
      </c>
      <c r="R466" t="s">
        <v>48</v>
      </c>
      <c r="S466" t="s">
        <v>49</v>
      </c>
      <c r="AB466" t="s">
        <v>49</v>
      </c>
      <c r="AC466">
        <v>1</v>
      </c>
      <c r="AD466">
        <v>19.33</v>
      </c>
      <c r="AE466">
        <v>1</v>
      </c>
      <c r="AF466">
        <v>1</v>
      </c>
      <c r="AG466">
        <v>19.33</v>
      </c>
      <c r="AH466">
        <v>1</v>
      </c>
      <c r="AI466">
        <v>1</v>
      </c>
      <c r="AJ466">
        <v>19.33</v>
      </c>
      <c r="AK466">
        <v>1</v>
      </c>
    </row>
    <row r="467" spans="1:37">
      <c r="A467" t="s">
        <v>37</v>
      </c>
      <c r="B467" t="s">
        <v>257</v>
      </c>
      <c r="C467" t="str">
        <f t="shared" si="21"/>
        <v>amzn1.ads-account.g.dfa7o7cwdl371d634ew58i919</v>
      </c>
      <c r="D467" t="s">
        <v>39</v>
      </c>
      <c r="G467" t="str">
        <f t="shared" si="22"/>
        <v>585687237024345541</v>
      </c>
      <c r="H467" t="s">
        <v>40</v>
      </c>
      <c r="I467" t="str">
        <f t="shared" si="23"/>
        <v>585478290940566279</v>
      </c>
      <c r="J467" t="s">
        <v>41</v>
      </c>
      <c r="K467" t="s">
        <v>1186</v>
      </c>
      <c r="L467" s="1" t="str">
        <f>VLOOKUP(K467,Sheet1!A:B,2,FALSE)</f>
        <v>XM2-S7K1-ABK-37</v>
      </c>
      <c r="M467" t="s">
        <v>1187</v>
      </c>
      <c r="N467" t="s">
        <v>220</v>
      </c>
      <c r="O467" t="s">
        <v>45</v>
      </c>
      <c r="P467" t="s">
        <v>140</v>
      </c>
      <c r="Q467" t="s">
        <v>1188</v>
      </c>
      <c r="R467" t="s">
        <v>48</v>
      </c>
      <c r="S467" t="s">
        <v>49</v>
      </c>
      <c r="AB467" t="s">
        <v>49</v>
      </c>
      <c r="AC467">
        <v>0</v>
      </c>
      <c r="AD467">
        <v>0</v>
      </c>
      <c r="AE467">
        <v>0</v>
      </c>
      <c r="AF467">
        <v>0</v>
      </c>
      <c r="AG467">
        <v>0</v>
      </c>
      <c r="AH467">
        <v>0</v>
      </c>
      <c r="AI467">
        <v>0</v>
      </c>
      <c r="AJ467">
        <v>0</v>
      </c>
      <c r="AK467">
        <v>0</v>
      </c>
    </row>
    <row r="468" spans="1:37">
      <c r="A468" t="s">
        <v>37</v>
      </c>
      <c r="B468" t="s">
        <v>55</v>
      </c>
      <c r="C468" t="str">
        <f t="shared" si="21"/>
        <v>amzn1.ads-account.g.dfa7o7cwdl371d634ew58i919</v>
      </c>
      <c r="D468" t="s">
        <v>39</v>
      </c>
      <c r="G468" t="str">
        <f t="shared" si="22"/>
        <v>585687237024345541</v>
      </c>
      <c r="H468" t="s">
        <v>40</v>
      </c>
      <c r="I468" t="str">
        <f t="shared" si="23"/>
        <v>585478290940566279</v>
      </c>
      <c r="J468" t="s">
        <v>41</v>
      </c>
      <c r="K468" t="s">
        <v>1189</v>
      </c>
      <c r="L468" s="1" t="str">
        <f>VLOOKUP(K468,Sheet1!A:B,2,FALSE)</f>
        <v>SH-BRS71-DGY-44N</v>
      </c>
      <c r="M468" t="s">
        <v>1190</v>
      </c>
      <c r="N468" t="s">
        <v>110</v>
      </c>
      <c r="O468" t="s">
        <v>45</v>
      </c>
      <c r="P468" t="s">
        <v>270</v>
      </c>
      <c r="Q468" t="s">
        <v>490</v>
      </c>
      <c r="R468" t="s">
        <v>48</v>
      </c>
      <c r="S468" t="s">
        <v>49</v>
      </c>
      <c r="AB468" t="s">
        <v>49</v>
      </c>
      <c r="AC468">
        <v>0</v>
      </c>
      <c r="AD468">
        <v>0</v>
      </c>
      <c r="AE468">
        <v>0</v>
      </c>
      <c r="AF468">
        <v>0</v>
      </c>
      <c r="AG468">
        <v>0</v>
      </c>
      <c r="AH468">
        <v>0</v>
      </c>
      <c r="AI468">
        <v>0</v>
      </c>
      <c r="AJ468">
        <v>0</v>
      </c>
      <c r="AK468">
        <v>0</v>
      </c>
    </row>
    <row r="469" spans="1:37">
      <c r="A469" t="s">
        <v>37</v>
      </c>
      <c r="B469" t="s">
        <v>1191</v>
      </c>
      <c r="C469" t="str">
        <f t="shared" si="21"/>
        <v>amzn1.ads-account.g.dfa7o7cwdl371d634ew58i919</v>
      </c>
      <c r="D469" t="s">
        <v>39</v>
      </c>
      <c r="G469" t="str">
        <f t="shared" si="22"/>
        <v>585687237024345541</v>
      </c>
      <c r="H469" t="s">
        <v>40</v>
      </c>
      <c r="I469" t="str">
        <f t="shared" si="23"/>
        <v>585478290940566279</v>
      </c>
      <c r="J469" t="s">
        <v>41</v>
      </c>
      <c r="K469" t="s">
        <v>1192</v>
      </c>
      <c r="L469" s="1" t="str">
        <f>VLOOKUP(K469,Sheet1!A:B,2,FALSE)</f>
        <v>XM2-KD7-BUOG-29</v>
      </c>
      <c r="M469" t="s">
        <v>1193</v>
      </c>
      <c r="N469" t="s">
        <v>177</v>
      </c>
      <c r="O469" t="s">
        <v>45</v>
      </c>
      <c r="P469" t="s">
        <v>46</v>
      </c>
      <c r="Q469" t="s">
        <v>157</v>
      </c>
      <c r="R469" t="s">
        <v>48</v>
      </c>
      <c r="S469" t="s">
        <v>49</v>
      </c>
      <c r="AB469" t="s">
        <v>49</v>
      </c>
      <c r="AC469">
        <v>0</v>
      </c>
      <c r="AD469">
        <v>0</v>
      </c>
      <c r="AE469">
        <v>0</v>
      </c>
      <c r="AF469">
        <v>0</v>
      </c>
      <c r="AG469">
        <v>0</v>
      </c>
      <c r="AH469">
        <v>0</v>
      </c>
      <c r="AI469">
        <v>0</v>
      </c>
      <c r="AJ469">
        <v>0</v>
      </c>
      <c r="AK469">
        <v>0</v>
      </c>
    </row>
    <row r="470" spans="1:37">
      <c r="A470" t="s">
        <v>37</v>
      </c>
      <c r="B470" t="s">
        <v>444</v>
      </c>
      <c r="C470" t="str">
        <f t="shared" si="21"/>
        <v>amzn1.ads-account.g.dfa7o7cwdl371d634ew58i919</v>
      </c>
      <c r="D470" t="s">
        <v>39</v>
      </c>
      <c r="G470" t="str">
        <f t="shared" si="22"/>
        <v>585687237024345541</v>
      </c>
      <c r="H470" t="s">
        <v>40</v>
      </c>
      <c r="I470" t="str">
        <f t="shared" si="23"/>
        <v>585478290940566279</v>
      </c>
      <c r="J470" t="s">
        <v>41</v>
      </c>
      <c r="K470" t="s">
        <v>1194</v>
      </c>
      <c r="L470" s="1" t="str">
        <f>VLOOKUP(K470,Sheet1!A:B,2,FALSE)</f>
        <v>XM1-L200-PL-40</v>
      </c>
      <c r="M470" t="s">
        <v>1195</v>
      </c>
      <c r="N470" t="s">
        <v>191</v>
      </c>
      <c r="O470" t="s">
        <v>45</v>
      </c>
      <c r="P470" t="s">
        <v>123</v>
      </c>
      <c r="Q470" t="s">
        <v>1196</v>
      </c>
      <c r="R470" t="s">
        <v>48</v>
      </c>
      <c r="S470" t="s">
        <v>49</v>
      </c>
      <c r="AB470" t="s">
        <v>49</v>
      </c>
      <c r="AC470">
        <v>1</v>
      </c>
      <c r="AD470">
        <v>19.99</v>
      </c>
      <c r="AE470">
        <v>1</v>
      </c>
      <c r="AF470">
        <v>1</v>
      </c>
      <c r="AG470">
        <v>19.99</v>
      </c>
      <c r="AH470">
        <v>1</v>
      </c>
      <c r="AI470">
        <v>0</v>
      </c>
      <c r="AJ470">
        <v>0</v>
      </c>
      <c r="AK470">
        <v>0</v>
      </c>
    </row>
    <row r="471" spans="1:37">
      <c r="A471" t="s">
        <v>37</v>
      </c>
      <c r="B471" t="s">
        <v>554</v>
      </c>
      <c r="C471" t="str">
        <f t="shared" si="21"/>
        <v>amzn1.ads-account.g.dfa7o7cwdl371d634ew58i919</v>
      </c>
      <c r="D471" t="s">
        <v>39</v>
      </c>
      <c r="G471" t="str">
        <f t="shared" si="22"/>
        <v>585687237024345541</v>
      </c>
      <c r="H471" t="s">
        <v>40</v>
      </c>
      <c r="I471" t="str">
        <f t="shared" si="23"/>
        <v>585478290940566279</v>
      </c>
      <c r="J471" t="s">
        <v>41</v>
      </c>
      <c r="K471" t="s">
        <v>1197</v>
      </c>
      <c r="L471" s="1" t="str">
        <f>VLOOKUP(K471,Sheet1!A:B,2,FALSE)</f>
        <v>SH-BRS71-LTGY-45</v>
      </c>
      <c r="M471" t="s">
        <v>1198</v>
      </c>
      <c r="N471" t="s">
        <v>110</v>
      </c>
      <c r="O471" t="s">
        <v>45</v>
      </c>
      <c r="P471" t="s">
        <v>65</v>
      </c>
      <c r="Q471" t="s">
        <v>84</v>
      </c>
      <c r="R471" t="s">
        <v>48</v>
      </c>
      <c r="S471" t="s">
        <v>49</v>
      </c>
      <c r="AB471" t="s">
        <v>49</v>
      </c>
      <c r="AC471">
        <v>0</v>
      </c>
      <c r="AD471">
        <v>0</v>
      </c>
      <c r="AE471">
        <v>0</v>
      </c>
      <c r="AF471">
        <v>0</v>
      </c>
      <c r="AG471">
        <v>0</v>
      </c>
      <c r="AH471">
        <v>0</v>
      </c>
      <c r="AI471">
        <v>0</v>
      </c>
      <c r="AJ471">
        <v>0</v>
      </c>
      <c r="AK471">
        <v>0</v>
      </c>
    </row>
    <row r="472" spans="1:37">
      <c r="A472" t="s">
        <v>37</v>
      </c>
      <c r="B472" t="s">
        <v>55</v>
      </c>
      <c r="C472" t="str">
        <f t="shared" si="21"/>
        <v>amzn1.ads-account.g.dfa7o7cwdl371d634ew58i919</v>
      </c>
      <c r="D472" t="s">
        <v>39</v>
      </c>
      <c r="G472" t="str">
        <f t="shared" si="22"/>
        <v>585687237024345541</v>
      </c>
      <c r="H472" t="s">
        <v>40</v>
      </c>
      <c r="I472" t="str">
        <f t="shared" si="23"/>
        <v>585478290940566279</v>
      </c>
      <c r="J472" t="s">
        <v>41</v>
      </c>
      <c r="K472" t="s">
        <v>1199</v>
      </c>
      <c r="L472" s="1" t="str">
        <f>VLOOKUP(K472,Sheet1!A:B,2,FALSE)</f>
        <v>XM2-Y90B-DKBU-W6</v>
      </c>
      <c r="M472" t="s">
        <v>1200</v>
      </c>
      <c r="N472" t="s">
        <v>74</v>
      </c>
      <c r="O472" t="s">
        <v>45</v>
      </c>
      <c r="Q472" t="s">
        <v>54</v>
      </c>
      <c r="R472" t="s">
        <v>48</v>
      </c>
      <c r="S472" t="s">
        <v>49</v>
      </c>
      <c r="AB472" t="s">
        <v>49</v>
      </c>
      <c r="AC472">
        <v>0</v>
      </c>
      <c r="AD472">
        <v>0</v>
      </c>
      <c r="AE472">
        <v>0</v>
      </c>
      <c r="AF472">
        <v>0</v>
      </c>
      <c r="AG472">
        <v>0</v>
      </c>
      <c r="AH472">
        <v>0</v>
      </c>
      <c r="AI472">
        <v>0</v>
      </c>
      <c r="AJ472">
        <v>0</v>
      </c>
      <c r="AK472">
        <v>0</v>
      </c>
    </row>
    <row r="473" spans="1:37">
      <c r="A473" t="s">
        <v>37</v>
      </c>
      <c r="B473" t="s">
        <v>458</v>
      </c>
      <c r="C473" t="str">
        <f t="shared" si="21"/>
        <v>amzn1.ads-account.g.dfa7o7cwdl371d634ew58i919</v>
      </c>
      <c r="D473" t="s">
        <v>39</v>
      </c>
      <c r="G473" t="str">
        <f t="shared" si="22"/>
        <v>585687237024345541</v>
      </c>
      <c r="H473" t="s">
        <v>40</v>
      </c>
      <c r="I473" t="str">
        <f t="shared" si="23"/>
        <v>585478290940566279</v>
      </c>
      <c r="J473" t="s">
        <v>41</v>
      </c>
      <c r="K473" t="s">
        <v>1201</v>
      </c>
      <c r="L473" s="1" t="str">
        <f>VLOOKUP(K473,Sheet1!A:B,2,FALSE)</f>
        <v>XM2-S73-GYPL-42</v>
      </c>
      <c r="M473" t="s">
        <v>1202</v>
      </c>
      <c r="N473" t="s">
        <v>83</v>
      </c>
      <c r="O473" t="s">
        <v>45</v>
      </c>
      <c r="P473" t="s">
        <v>65</v>
      </c>
      <c r="Q473" t="s">
        <v>84</v>
      </c>
      <c r="R473" t="s">
        <v>48</v>
      </c>
      <c r="S473" t="s">
        <v>49</v>
      </c>
      <c r="AB473" t="s">
        <v>49</v>
      </c>
      <c r="AC473">
        <v>0</v>
      </c>
      <c r="AD473">
        <v>0</v>
      </c>
      <c r="AE473">
        <v>0</v>
      </c>
      <c r="AF473">
        <v>0</v>
      </c>
      <c r="AG473">
        <v>0</v>
      </c>
      <c r="AH473">
        <v>0</v>
      </c>
      <c r="AI473">
        <v>0</v>
      </c>
      <c r="AJ473">
        <v>0</v>
      </c>
      <c r="AK473">
        <v>0</v>
      </c>
    </row>
    <row r="474" spans="1:37">
      <c r="A474" t="s">
        <v>37</v>
      </c>
      <c r="B474" t="s">
        <v>120</v>
      </c>
      <c r="C474" t="str">
        <f t="shared" si="21"/>
        <v>amzn1.ads-account.g.dfa7o7cwdl371d634ew58i919</v>
      </c>
      <c r="D474" t="s">
        <v>39</v>
      </c>
      <c r="G474" t="str">
        <f t="shared" si="22"/>
        <v>585687237024345541</v>
      </c>
      <c r="H474" t="s">
        <v>40</v>
      </c>
      <c r="I474" t="str">
        <f t="shared" si="23"/>
        <v>585478290940566279</v>
      </c>
      <c r="J474" t="s">
        <v>41</v>
      </c>
      <c r="K474" t="s">
        <v>1203</v>
      </c>
      <c r="L474" s="1" t="str">
        <f>VLOOKUP(K474,Sheet1!A:B,2,FALSE)</f>
        <v>SH-BRS71-DGY-46</v>
      </c>
      <c r="M474" t="s">
        <v>1204</v>
      </c>
      <c r="N474" t="s">
        <v>110</v>
      </c>
      <c r="O474" t="s">
        <v>45</v>
      </c>
      <c r="P474" t="s">
        <v>118</v>
      </c>
      <c r="Q474" t="s">
        <v>119</v>
      </c>
      <c r="R474" t="s">
        <v>48</v>
      </c>
      <c r="S474" t="s">
        <v>49</v>
      </c>
      <c r="AB474" t="s">
        <v>49</v>
      </c>
      <c r="AC474">
        <v>0</v>
      </c>
      <c r="AD474">
        <v>0</v>
      </c>
      <c r="AE474">
        <v>0</v>
      </c>
      <c r="AF474">
        <v>0</v>
      </c>
      <c r="AG474">
        <v>0</v>
      </c>
      <c r="AH474">
        <v>0</v>
      </c>
      <c r="AI474">
        <v>0</v>
      </c>
      <c r="AJ474">
        <v>0</v>
      </c>
      <c r="AK474">
        <v>0</v>
      </c>
    </row>
    <row r="475" spans="1:37">
      <c r="A475" t="s">
        <v>37</v>
      </c>
      <c r="B475" t="s">
        <v>604</v>
      </c>
      <c r="C475" t="str">
        <f t="shared" si="21"/>
        <v>amzn1.ads-account.g.dfa7o7cwdl371d634ew58i919</v>
      </c>
      <c r="D475" t="s">
        <v>39</v>
      </c>
      <c r="G475" t="str">
        <f t="shared" si="22"/>
        <v>585687237024345541</v>
      </c>
      <c r="H475" t="s">
        <v>40</v>
      </c>
      <c r="I475" t="str">
        <f t="shared" si="23"/>
        <v>585478290940566279</v>
      </c>
      <c r="J475" t="s">
        <v>41</v>
      </c>
      <c r="K475" t="s">
        <v>1205</v>
      </c>
      <c r="L475" s="1" t="str">
        <f>VLOOKUP(K475,Sheet1!A:B,2,FALSE)</f>
        <v>XM2-S600-GY-38.5</v>
      </c>
      <c r="M475" t="s">
        <v>1206</v>
      </c>
      <c r="N475" t="s">
        <v>70</v>
      </c>
      <c r="O475" t="s">
        <v>45</v>
      </c>
      <c r="P475" t="s">
        <v>123</v>
      </c>
      <c r="Q475" t="s">
        <v>245</v>
      </c>
      <c r="R475" t="s">
        <v>48</v>
      </c>
      <c r="S475" t="s">
        <v>49</v>
      </c>
      <c r="AB475" t="s">
        <v>49</v>
      </c>
      <c r="AC475">
        <v>0</v>
      </c>
      <c r="AD475">
        <v>0</v>
      </c>
      <c r="AE475">
        <v>0</v>
      </c>
      <c r="AF475">
        <v>0</v>
      </c>
      <c r="AG475">
        <v>0</v>
      </c>
      <c r="AH475">
        <v>0</v>
      </c>
      <c r="AI475">
        <v>0</v>
      </c>
      <c r="AJ475">
        <v>0</v>
      </c>
      <c r="AK475">
        <v>0</v>
      </c>
    </row>
    <row r="476" spans="1:37">
      <c r="A476" t="s">
        <v>37</v>
      </c>
      <c r="B476" t="s">
        <v>557</v>
      </c>
      <c r="C476" t="str">
        <f t="shared" si="21"/>
        <v>amzn1.ads-account.g.dfa7o7cwdl371d634ew58i919</v>
      </c>
      <c r="D476" t="s">
        <v>39</v>
      </c>
      <c r="G476" t="str">
        <f t="shared" si="22"/>
        <v>585687237024345541</v>
      </c>
      <c r="H476" t="s">
        <v>40</v>
      </c>
      <c r="I476" t="str">
        <f t="shared" si="23"/>
        <v>585478290940566279</v>
      </c>
      <c r="J476" t="s">
        <v>41</v>
      </c>
      <c r="K476" t="s">
        <v>1207</v>
      </c>
      <c r="L476" s="1" t="str">
        <f>VLOOKUP(K476,Sheet1!A:B,2,FALSE)</f>
        <v>SH-BRY180-TPL-40</v>
      </c>
      <c r="M476" t="s">
        <v>1208</v>
      </c>
      <c r="N476" t="s">
        <v>64</v>
      </c>
      <c r="O476" t="s">
        <v>45</v>
      </c>
      <c r="P476" t="s">
        <v>59</v>
      </c>
      <c r="Q476" t="s">
        <v>114</v>
      </c>
      <c r="R476" t="s">
        <v>48</v>
      </c>
      <c r="S476" t="s">
        <v>49</v>
      </c>
      <c r="AB476" t="s">
        <v>49</v>
      </c>
      <c r="AC476">
        <v>1</v>
      </c>
      <c r="AD476">
        <v>23.99</v>
      </c>
      <c r="AE476">
        <v>1</v>
      </c>
      <c r="AF476">
        <v>1</v>
      </c>
      <c r="AG476">
        <v>23.99</v>
      </c>
      <c r="AH476">
        <v>1</v>
      </c>
      <c r="AI476">
        <v>1</v>
      </c>
      <c r="AJ476">
        <v>23.99</v>
      </c>
      <c r="AK476">
        <v>1</v>
      </c>
    </row>
    <row r="477" spans="1:37">
      <c r="A477" t="s">
        <v>37</v>
      </c>
      <c r="B477" t="s">
        <v>167</v>
      </c>
      <c r="C477" t="str">
        <f t="shared" si="21"/>
        <v>amzn1.ads-account.g.dfa7o7cwdl371d634ew58i919</v>
      </c>
      <c r="D477" t="s">
        <v>39</v>
      </c>
      <c r="G477" t="str">
        <f t="shared" si="22"/>
        <v>585687237024345541</v>
      </c>
      <c r="H477" t="s">
        <v>40</v>
      </c>
      <c r="I477" t="str">
        <f t="shared" si="23"/>
        <v>585478290940566279</v>
      </c>
      <c r="J477" t="s">
        <v>41</v>
      </c>
      <c r="K477" t="s">
        <v>1209</v>
      </c>
      <c r="L477" s="1" t="str">
        <f>VLOOKUP(K477,Sheet1!A:B,2,FALSE)</f>
        <v>XM2-S71-WERD-37</v>
      </c>
      <c r="M477" t="s">
        <v>1210</v>
      </c>
      <c r="N477" t="s">
        <v>83</v>
      </c>
      <c r="O477" t="s">
        <v>45</v>
      </c>
      <c r="P477" t="s">
        <v>65</v>
      </c>
      <c r="Q477" t="s">
        <v>875</v>
      </c>
      <c r="R477" t="s">
        <v>48</v>
      </c>
      <c r="S477" t="s">
        <v>49</v>
      </c>
      <c r="AB477" t="s">
        <v>49</v>
      </c>
      <c r="AC477">
        <v>0</v>
      </c>
      <c r="AD477">
        <v>0</v>
      </c>
      <c r="AE477">
        <v>0</v>
      </c>
      <c r="AF477">
        <v>0</v>
      </c>
      <c r="AG477">
        <v>0</v>
      </c>
      <c r="AH477">
        <v>0</v>
      </c>
      <c r="AI477">
        <v>0</v>
      </c>
      <c r="AJ477">
        <v>0</v>
      </c>
      <c r="AK477">
        <v>0</v>
      </c>
    </row>
    <row r="478" spans="1:37">
      <c r="A478" t="s">
        <v>37</v>
      </c>
      <c r="B478" t="s">
        <v>560</v>
      </c>
      <c r="C478" t="str">
        <f t="shared" si="21"/>
        <v>amzn1.ads-account.g.dfa7o7cwdl371d634ew58i919</v>
      </c>
      <c r="D478" t="s">
        <v>39</v>
      </c>
      <c r="G478" t="str">
        <f t="shared" si="22"/>
        <v>585687237024345541</v>
      </c>
      <c r="H478" t="s">
        <v>40</v>
      </c>
      <c r="I478" t="str">
        <f t="shared" si="23"/>
        <v>585478290940566279</v>
      </c>
      <c r="J478" t="s">
        <v>41</v>
      </c>
      <c r="K478" t="s">
        <v>1211</v>
      </c>
      <c r="L478" s="1" t="str">
        <f>VLOOKUP(K478,Sheet1!A:B,2,FALSE)</f>
        <v>LB1-Y15-BK-43</v>
      </c>
      <c r="M478" t="s">
        <v>1212</v>
      </c>
      <c r="N478" t="s">
        <v>58</v>
      </c>
      <c r="O478" t="s">
        <v>45</v>
      </c>
      <c r="P478" t="s">
        <v>65</v>
      </c>
      <c r="Q478" t="s">
        <v>66</v>
      </c>
      <c r="R478" t="s">
        <v>48</v>
      </c>
      <c r="S478" t="s">
        <v>49</v>
      </c>
      <c r="AB478" t="s">
        <v>49</v>
      </c>
      <c r="AC478">
        <v>3</v>
      </c>
      <c r="AD478">
        <v>47.97</v>
      </c>
      <c r="AE478">
        <v>3</v>
      </c>
      <c r="AF478">
        <v>3</v>
      </c>
      <c r="AG478">
        <v>47.97</v>
      </c>
      <c r="AH478">
        <v>3</v>
      </c>
      <c r="AI478">
        <v>0</v>
      </c>
      <c r="AJ478">
        <v>0</v>
      </c>
      <c r="AK478">
        <v>0</v>
      </c>
    </row>
    <row r="479" spans="1:37">
      <c r="A479" t="s">
        <v>37</v>
      </c>
      <c r="B479" t="s">
        <v>170</v>
      </c>
      <c r="C479" t="str">
        <f t="shared" si="21"/>
        <v>amzn1.ads-account.g.dfa7o7cwdl371d634ew58i919</v>
      </c>
      <c r="D479" t="s">
        <v>39</v>
      </c>
      <c r="G479" t="str">
        <f t="shared" si="22"/>
        <v>585687237024345541</v>
      </c>
      <c r="H479" t="s">
        <v>40</v>
      </c>
      <c r="I479" t="str">
        <f t="shared" si="23"/>
        <v>585478290940566279</v>
      </c>
      <c r="J479" t="s">
        <v>41</v>
      </c>
      <c r="K479" t="s">
        <v>1213</v>
      </c>
      <c r="L479" s="1" t="str">
        <f>VLOOKUP(K479,Sheet1!A:B,2,FALSE)</f>
        <v>XM2-Y90B-LTGY-W6</v>
      </c>
      <c r="M479" t="s">
        <v>1214</v>
      </c>
      <c r="N479" t="s">
        <v>74</v>
      </c>
      <c r="O479" t="s">
        <v>45</v>
      </c>
      <c r="P479" t="s">
        <v>59</v>
      </c>
      <c r="Q479" t="s">
        <v>130</v>
      </c>
      <c r="R479" t="s">
        <v>48</v>
      </c>
      <c r="S479" t="s">
        <v>49</v>
      </c>
      <c r="AB479" t="s">
        <v>49</v>
      </c>
      <c r="AC479">
        <v>0</v>
      </c>
      <c r="AD479">
        <v>0</v>
      </c>
      <c r="AE479">
        <v>0</v>
      </c>
      <c r="AF479">
        <v>0</v>
      </c>
      <c r="AG479">
        <v>0</v>
      </c>
      <c r="AH479">
        <v>0</v>
      </c>
      <c r="AI479">
        <v>0</v>
      </c>
      <c r="AJ479">
        <v>0</v>
      </c>
      <c r="AK479">
        <v>0</v>
      </c>
    </row>
    <row r="480" spans="1:37">
      <c r="A480" t="s">
        <v>37</v>
      </c>
      <c r="B480" t="s">
        <v>147</v>
      </c>
      <c r="C480" t="str">
        <f t="shared" si="21"/>
        <v>amzn1.ads-account.g.dfa7o7cwdl371d634ew58i919</v>
      </c>
      <c r="D480" t="s">
        <v>39</v>
      </c>
      <c r="G480" t="str">
        <f t="shared" si="22"/>
        <v>585687237024345541</v>
      </c>
      <c r="H480" t="s">
        <v>40</v>
      </c>
      <c r="I480" t="str">
        <f t="shared" si="23"/>
        <v>585478290940566279</v>
      </c>
      <c r="J480" t="s">
        <v>41</v>
      </c>
      <c r="K480" t="s">
        <v>1215</v>
      </c>
      <c r="L480" s="1" t="str">
        <f>VLOOKUP(K480,Sheet1!A:B,2,FALSE)</f>
        <v>XM2-Y90B-BK-W7</v>
      </c>
      <c r="M480" t="s">
        <v>1216</v>
      </c>
      <c r="N480">
        <v>-1</v>
      </c>
      <c r="O480" t="s">
        <v>45</v>
      </c>
      <c r="Q480" t="s">
        <v>54</v>
      </c>
      <c r="R480" t="s">
        <v>48</v>
      </c>
      <c r="S480" t="s">
        <v>49</v>
      </c>
      <c r="AB480" t="s">
        <v>49</v>
      </c>
      <c r="AC480">
        <v>0</v>
      </c>
      <c r="AD480">
        <v>0</v>
      </c>
      <c r="AE480">
        <v>0</v>
      </c>
      <c r="AF480">
        <v>0</v>
      </c>
      <c r="AG480">
        <v>0</v>
      </c>
      <c r="AH480">
        <v>0</v>
      </c>
      <c r="AI480">
        <v>0</v>
      </c>
      <c r="AJ480">
        <v>0</v>
      </c>
      <c r="AK480">
        <v>0</v>
      </c>
    </row>
    <row r="481" spans="1:37">
      <c r="A481" t="s">
        <v>37</v>
      </c>
      <c r="B481" t="s">
        <v>604</v>
      </c>
      <c r="C481" t="str">
        <f t="shared" si="21"/>
        <v>amzn1.ads-account.g.dfa7o7cwdl371d634ew58i919</v>
      </c>
      <c r="D481" t="s">
        <v>39</v>
      </c>
      <c r="G481" t="str">
        <f t="shared" si="22"/>
        <v>585687237024345541</v>
      </c>
      <c r="H481" t="s">
        <v>40</v>
      </c>
      <c r="I481" t="str">
        <f t="shared" si="23"/>
        <v>585478290940566279</v>
      </c>
      <c r="J481" t="s">
        <v>41</v>
      </c>
      <c r="K481" t="s">
        <v>1217</v>
      </c>
      <c r="L481" s="1" t="str">
        <f>VLOOKUP(K481,Sheet1!A:B,2,FALSE)</f>
        <v>XM2-S71-PL-43</v>
      </c>
      <c r="M481" t="s">
        <v>1218</v>
      </c>
      <c r="N481" t="s">
        <v>83</v>
      </c>
      <c r="O481" t="s">
        <v>45</v>
      </c>
      <c r="P481" t="s">
        <v>270</v>
      </c>
      <c r="Q481" t="s">
        <v>271</v>
      </c>
      <c r="R481" t="s">
        <v>48</v>
      </c>
      <c r="S481" t="s">
        <v>49</v>
      </c>
      <c r="AB481" t="s">
        <v>49</v>
      </c>
      <c r="AC481">
        <v>0</v>
      </c>
      <c r="AD481">
        <v>0</v>
      </c>
      <c r="AE481">
        <v>0</v>
      </c>
      <c r="AF481">
        <v>0</v>
      </c>
      <c r="AG481">
        <v>0</v>
      </c>
      <c r="AH481">
        <v>0</v>
      </c>
      <c r="AI481">
        <v>0</v>
      </c>
      <c r="AJ481">
        <v>0</v>
      </c>
      <c r="AK481">
        <v>0</v>
      </c>
    </row>
    <row r="482" spans="1:37">
      <c r="A482" t="s">
        <v>37</v>
      </c>
      <c r="B482" t="s">
        <v>570</v>
      </c>
      <c r="C482" t="str">
        <f t="shared" si="21"/>
        <v>amzn1.ads-account.g.dfa7o7cwdl371d634ew58i919</v>
      </c>
      <c r="D482" t="s">
        <v>39</v>
      </c>
      <c r="G482" t="str">
        <f t="shared" si="22"/>
        <v>585687237024345541</v>
      </c>
      <c r="H482" t="s">
        <v>40</v>
      </c>
      <c r="I482" t="str">
        <f t="shared" si="23"/>
        <v>585478290940566279</v>
      </c>
      <c r="J482" t="s">
        <v>41</v>
      </c>
      <c r="K482" t="s">
        <v>1219</v>
      </c>
      <c r="L482" s="1" t="str">
        <f>VLOOKUP(K482,Sheet1!A:B,2,FALSE)</f>
        <v>SH-BRS71-BKWT-46</v>
      </c>
      <c r="M482" t="s">
        <v>1220</v>
      </c>
      <c r="N482" t="s">
        <v>110</v>
      </c>
      <c r="O482" t="s">
        <v>45</v>
      </c>
      <c r="P482" t="s">
        <v>65</v>
      </c>
      <c r="Q482" t="s">
        <v>84</v>
      </c>
      <c r="R482" t="s">
        <v>48</v>
      </c>
      <c r="S482" t="s">
        <v>49</v>
      </c>
      <c r="AB482" t="s">
        <v>49</v>
      </c>
      <c r="AC482">
        <v>0</v>
      </c>
      <c r="AD482">
        <v>0</v>
      </c>
      <c r="AE482">
        <v>0</v>
      </c>
      <c r="AF482">
        <v>0</v>
      </c>
      <c r="AG482">
        <v>0</v>
      </c>
      <c r="AH482">
        <v>0</v>
      </c>
      <c r="AI482">
        <v>0</v>
      </c>
      <c r="AJ482">
        <v>0</v>
      </c>
      <c r="AK482">
        <v>0</v>
      </c>
    </row>
    <row r="483" spans="1:37">
      <c r="A483" t="s">
        <v>37</v>
      </c>
      <c r="B483" t="s">
        <v>431</v>
      </c>
      <c r="C483" t="str">
        <f t="shared" si="21"/>
        <v>amzn1.ads-account.g.dfa7o7cwdl371d634ew58i919</v>
      </c>
      <c r="D483" t="s">
        <v>39</v>
      </c>
      <c r="G483" t="str">
        <f t="shared" si="22"/>
        <v>585687237024345541</v>
      </c>
      <c r="H483" t="s">
        <v>40</v>
      </c>
      <c r="I483" t="str">
        <f t="shared" si="23"/>
        <v>585478290940566279</v>
      </c>
      <c r="J483" t="s">
        <v>41</v>
      </c>
      <c r="K483" t="s">
        <v>1221</v>
      </c>
      <c r="L483" s="1" t="str">
        <f>VLOOKUP(K483,Sheet1!A:B,2,FALSE)</f>
        <v>XM2-Y90B-BG-W8</v>
      </c>
      <c r="M483" t="s">
        <v>1222</v>
      </c>
      <c r="N483" t="s">
        <v>74</v>
      </c>
      <c r="O483" t="s">
        <v>45</v>
      </c>
      <c r="Q483" t="s">
        <v>54</v>
      </c>
      <c r="R483" t="s">
        <v>48</v>
      </c>
      <c r="S483" t="s">
        <v>49</v>
      </c>
      <c r="AB483" t="s">
        <v>49</v>
      </c>
      <c r="AC483">
        <v>1</v>
      </c>
      <c r="AD483">
        <v>9.99</v>
      </c>
      <c r="AE483">
        <v>1</v>
      </c>
      <c r="AF483">
        <v>1</v>
      </c>
      <c r="AG483">
        <v>9.99</v>
      </c>
      <c r="AH483">
        <v>1</v>
      </c>
      <c r="AI483">
        <v>1</v>
      </c>
      <c r="AJ483">
        <v>9.99</v>
      </c>
      <c r="AK483">
        <v>1</v>
      </c>
    </row>
    <row r="484" spans="1:37">
      <c r="A484" t="s">
        <v>37</v>
      </c>
      <c r="B484" t="s">
        <v>557</v>
      </c>
      <c r="C484" t="str">
        <f t="shared" si="21"/>
        <v>amzn1.ads-account.g.dfa7o7cwdl371d634ew58i919</v>
      </c>
      <c r="D484" t="s">
        <v>39</v>
      </c>
      <c r="G484" t="str">
        <f t="shared" si="22"/>
        <v>585687237024345541</v>
      </c>
      <c r="H484" t="s">
        <v>40</v>
      </c>
      <c r="I484" t="str">
        <f t="shared" si="23"/>
        <v>585478290940566279</v>
      </c>
      <c r="J484" t="s">
        <v>41</v>
      </c>
      <c r="K484" t="s">
        <v>1223</v>
      </c>
      <c r="L484" s="1" t="str">
        <f>VLOOKUP(K484,Sheet1!A:B,2,FALSE)</f>
        <v>XM2-S71-GYPK-42</v>
      </c>
      <c r="M484" t="s">
        <v>1224</v>
      </c>
      <c r="N484" t="s">
        <v>83</v>
      </c>
      <c r="O484" t="s">
        <v>45</v>
      </c>
      <c r="P484" t="s">
        <v>65</v>
      </c>
      <c r="Q484" t="s">
        <v>84</v>
      </c>
      <c r="R484" t="s">
        <v>48</v>
      </c>
      <c r="S484" t="s">
        <v>49</v>
      </c>
      <c r="AB484" t="s">
        <v>49</v>
      </c>
      <c r="AC484">
        <v>1</v>
      </c>
      <c r="AD484">
        <v>49.99</v>
      </c>
      <c r="AE484">
        <v>1</v>
      </c>
      <c r="AF484">
        <v>1</v>
      </c>
      <c r="AG484">
        <v>49.99</v>
      </c>
      <c r="AH484">
        <v>1</v>
      </c>
      <c r="AI484">
        <v>1</v>
      </c>
      <c r="AJ484">
        <v>49.99</v>
      </c>
      <c r="AK484">
        <v>1</v>
      </c>
    </row>
    <row r="485" spans="1:37">
      <c r="A485" t="s">
        <v>37</v>
      </c>
      <c r="B485" t="s">
        <v>431</v>
      </c>
      <c r="C485" t="str">
        <f t="shared" si="21"/>
        <v>amzn1.ads-account.g.dfa7o7cwdl371d634ew58i919</v>
      </c>
      <c r="D485" t="s">
        <v>39</v>
      </c>
      <c r="G485" t="str">
        <f t="shared" si="22"/>
        <v>585687237024345541</v>
      </c>
      <c r="H485" t="s">
        <v>40</v>
      </c>
      <c r="I485" t="str">
        <f t="shared" si="23"/>
        <v>585478290940566279</v>
      </c>
      <c r="J485" t="s">
        <v>41</v>
      </c>
      <c r="K485" t="s">
        <v>1225</v>
      </c>
      <c r="L485" s="1" t="str">
        <f>VLOOKUP(K485,Sheet1!A:B,2,FALSE)</f>
        <v>XM2-Y90B-TP-W8</v>
      </c>
      <c r="M485" t="s">
        <v>1226</v>
      </c>
      <c r="N485" t="s">
        <v>74</v>
      </c>
      <c r="O485" t="s">
        <v>45</v>
      </c>
      <c r="P485" t="s">
        <v>75</v>
      </c>
      <c r="Q485" t="s">
        <v>76</v>
      </c>
      <c r="R485" t="s">
        <v>48</v>
      </c>
      <c r="S485" t="s">
        <v>49</v>
      </c>
      <c r="AB485" t="s">
        <v>49</v>
      </c>
      <c r="AC485">
        <v>0</v>
      </c>
      <c r="AD485">
        <v>0</v>
      </c>
      <c r="AE485">
        <v>0</v>
      </c>
      <c r="AF485">
        <v>0</v>
      </c>
      <c r="AG485">
        <v>0</v>
      </c>
      <c r="AH485">
        <v>0</v>
      </c>
      <c r="AI485">
        <v>0</v>
      </c>
      <c r="AJ485">
        <v>0</v>
      </c>
      <c r="AK485">
        <v>0</v>
      </c>
    </row>
    <row r="486" spans="1:37">
      <c r="A486" t="s">
        <v>37</v>
      </c>
      <c r="B486" t="s">
        <v>1054</v>
      </c>
      <c r="C486" t="str">
        <f t="shared" si="21"/>
        <v>amzn1.ads-account.g.dfa7o7cwdl371d634ew58i919</v>
      </c>
      <c r="D486" t="s">
        <v>39</v>
      </c>
      <c r="G486" t="str">
        <f t="shared" si="22"/>
        <v>585687237024345541</v>
      </c>
      <c r="H486" t="s">
        <v>40</v>
      </c>
      <c r="I486" t="str">
        <f t="shared" si="23"/>
        <v>585478290940566279</v>
      </c>
      <c r="J486" t="s">
        <v>41</v>
      </c>
      <c r="K486" t="s">
        <v>1227</v>
      </c>
      <c r="L486" s="1" t="str">
        <f>VLOOKUP(K486,Sheet1!A:B,2,FALSE)</f>
        <v>SH-BRY180-GY-47</v>
      </c>
      <c r="M486" t="s">
        <v>1228</v>
      </c>
      <c r="N486" t="s">
        <v>64</v>
      </c>
      <c r="O486" t="s">
        <v>45</v>
      </c>
      <c r="P486" t="s">
        <v>59</v>
      </c>
      <c r="Q486" t="s">
        <v>106</v>
      </c>
      <c r="R486" t="s">
        <v>48</v>
      </c>
      <c r="S486" t="s">
        <v>49</v>
      </c>
      <c r="AB486" t="s">
        <v>49</v>
      </c>
      <c r="AC486">
        <v>0</v>
      </c>
      <c r="AD486">
        <v>0</v>
      </c>
      <c r="AE486">
        <v>0</v>
      </c>
      <c r="AF486">
        <v>0</v>
      </c>
      <c r="AG486">
        <v>0</v>
      </c>
      <c r="AH486">
        <v>0</v>
      </c>
      <c r="AI486">
        <v>0</v>
      </c>
      <c r="AJ486">
        <v>0</v>
      </c>
      <c r="AK486">
        <v>0</v>
      </c>
    </row>
    <row r="487" spans="1:37">
      <c r="A487" t="s">
        <v>37</v>
      </c>
      <c r="B487" t="s">
        <v>97</v>
      </c>
      <c r="C487" t="str">
        <f t="shared" si="21"/>
        <v>amzn1.ads-account.g.dfa7o7cwdl371d634ew58i919</v>
      </c>
      <c r="D487" t="s">
        <v>39</v>
      </c>
      <c r="G487" t="str">
        <f t="shared" si="22"/>
        <v>585687237024345541</v>
      </c>
      <c r="H487" t="s">
        <v>40</v>
      </c>
      <c r="I487" t="str">
        <f t="shared" si="23"/>
        <v>585478290940566279</v>
      </c>
      <c r="J487" t="s">
        <v>41</v>
      </c>
      <c r="K487" t="s">
        <v>1229</v>
      </c>
      <c r="L487" s="1" t="str">
        <f>VLOOKUP(K487,Sheet1!A:B,2,FALSE)</f>
        <v>XM2-S71-WERD-40</v>
      </c>
      <c r="M487" t="s">
        <v>1230</v>
      </c>
      <c r="N487" t="s">
        <v>83</v>
      </c>
      <c r="O487" t="s">
        <v>45</v>
      </c>
      <c r="P487" t="s">
        <v>270</v>
      </c>
      <c r="Q487" t="s">
        <v>271</v>
      </c>
      <c r="R487" t="s">
        <v>48</v>
      </c>
      <c r="S487" t="s">
        <v>49</v>
      </c>
      <c r="AB487" t="s">
        <v>49</v>
      </c>
      <c r="AC487">
        <v>0</v>
      </c>
      <c r="AD487">
        <v>0</v>
      </c>
      <c r="AE487">
        <v>0</v>
      </c>
      <c r="AF487">
        <v>0</v>
      </c>
      <c r="AG487">
        <v>0</v>
      </c>
      <c r="AH487">
        <v>0</v>
      </c>
      <c r="AI487">
        <v>0</v>
      </c>
      <c r="AJ487">
        <v>0</v>
      </c>
      <c r="AK487">
        <v>0</v>
      </c>
    </row>
    <row r="488" spans="1:37">
      <c r="A488" t="s">
        <v>37</v>
      </c>
      <c r="B488" t="s">
        <v>1075</v>
      </c>
      <c r="C488" t="str">
        <f t="shared" si="21"/>
        <v>amzn1.ads-account.g.dfa7o7cwdl371d634ew58i919</v>
      </c>
      <c r="D488" t="s">
        <v>39</v>
      </c>
      <c r="G488" t="str">
        <f t="shared" si="22"/>
        <v>585687237024345541</v>
      </c>
      <c r="H488" t="s">
        <v>40</v>
      </c>
      <c r="I488" t="str">
        <f t="shared" si="23"/>
        <v>585478290940566279</v>
      </c>
      <c r="J488" t="s">
        <v>41</v>
      </c>
      <c r="K488" t="s">
        <v>1231</v>
      </c>
      <c r="L488" s="1" t="str">
        <f>VLOOKUP(K488,Sheet1!A:B,2,FALSE)</f>
        <v>XM2-S7K1-BKWT-30</v>
      </c>
      <c r="M488" t="s">
        <v>1232</v>
      </c>
      <c r="N488" t="s">
        <v>220</v>
      </c>
      <c r="O488" t="s">
        <v>45</v>
      </c>
      <c r="P488" t="s">
        <v>46</v>
      </c>
      <c r="Q488" t="s">
        <v>157</v>
      </c>
      <c r="R488" t="s">
        <v>48</v>
      </c>
      <c r="S488" t="s">
        <v>49</v>
      </c>
      <c r="AB488" t="s">
        <v>49</v>
      </c>
      <c r="AC488">
        <v>0</v>
      </c>
      <c r="AD488">
        <v>0</v>
      </c>
      <c r="AE488">
        <v>0</v>
      </c>
      <c r="AF488">
        <v>0</v>
      </c>
      <c r="AG488">
        <v>0</v>
      </c>
      <c r="AH488">
        <v>0</v>
      </c>
      <c r="AI488">
        <v>0</v>
      </c>
      <c r="AJ488">
        <v>0</v>
      </c>
      <c r="AK488">
        <v>0</v>
      </c>
    </row>
    <row r="489" spans="1:37">
      <c r="A489" t="s">
        <v>37</v>
      </c>
      <c r="B489" t="s">
        <v>227</v>
      </c>
      <c r="C489" t="str">
        <f t="shared" si="21"/>
        <v>amzn1.ads-account.g.dfa7o7cwdl371d634ew58i919</v>
      </c>
      <c r="D489" t="s">
        <v>39</v>
      </c>
      <c r="G489" t="str">
        <f t="shared" si="22"/>
        <v>585687237024345541</v>
      </c>
      <c r="H489" t="s">
        <v>40</v>
      </c>
      <c r="I489" t="str">
        <f t="shared" si="23"/>
        <v>585478290940566279</v>
      </c>
      <c r="J489" t="s">
        <v>41</v>
      </c>
      <c r="K489" t="s">
        <v>1233</v>
      </c>
      <c r="L489" s="1" t="str">
        <f>VLOOKUP(K489,Sheet1!A:B,2,FALSE)</f>
        <v>XM1-L200-OG-38</v>
      </c>
      <c r="M489" t="s">
        <v>1234</v>
      </c>
      <c r="N489" t="s">
        <v>191</v>
      </c>
      <c r="O489" t="s">
        <v>45</v>
      </c>
      <c r="P489" t="s">
        <v>75</v>
      </c>
      <c r="Q489" t="s">
        <v>76</v>
      </c>
      <c r="R489" t="s">
        <v>48</v>
      </c>
      <c r="S489" t="s">
        <v>49</v>
      </c>
      <c r="AB489" t="s">
        <v>49</v>
      </c>
      <c r="AC489">
        <v>0</v>
      </c>
      <c r="AD489">
        <v>0</v>
      </c>
      <c r="AE489">
        <v>0</v>
      </c>
      <c r="AF489">
        <v>0</v>
      </c>
      <c r="AG489">
        <v>0</v>
      </c>
      <c r="AH489">
        <v>0</v>
      </c>
      <c r="AI489">
        <v>0</v>
      </c>
      <c r="AJ489">
        <v>0</v>
      </c>
      <c r="AK489">
        <v>0</v>
      </c>
    </row>
    <row r="490" spans="1:37">
      <c r="A490" t="s">
        <v>37</v>
      </c>
      <c r="B490" t="s">
        <v>120</v>
      </c>
      <c r="C490" t="str">
        <f t="shared" si="21"/>
        <v>amzn1.ads-account.g.dfa7o7cwdl371d634ew58i919</v>
      </c>
      <c r="D490" t="s">
        <v>39</v>
      </c>
      <c r="G490" t="str">
        <f t="shared" si="22"/>
        <v>585687237024345541</v>
      </c>
      <c r="H490" t="s">
        <v>40</v>
      </c>
      <c r="I490" t="str">
        <f t="shared" si="23"/>
        <v>585478290940566279</v>
      </c>
      <c r="J490" t="s">
        <v>41</v>
      </c>
      <c r="K490" t="s">
        <v>1235</v>
      </c>
      <c r="L490" s="1" t="str">
        <f>VLOOKUP(K490,Sheet1!A:B,2,FALSE)</f>
        <v>SH-BRY10-BK-43</v>
      </c>
      <c r="M490" t="s">
        <v>1236</v>
      </c>
      <c r="N490" t="s">
        <v>44</v>
      </c>
      <c r="O490" t="s">
        <v>45</v>
      </c>
      <c r="P490" t="s">
        <v>75</v>
      </c>
      <c r="Q490" t="s">
        <v>91</v>
      </c>
      <c r="R490" t="s">
        <v>48</v>
      </c>
      <c r="S490" t="s">
        <v>49</v>
      </c>
      <c r="AB490" t="s">
        <v>49</v>
      </c>
      <c r="AC490">
        <v>59</v>
      </c>
      <c r="AD490">
        <v>1364.45</v>
      </c>
      <c r="AE490">
        <v>60</v>
      </c>
      <c r="AF490">
        <v>0</v>
      </c>
      <c r="AG490">
        <v>0</v>
      </c>
      <c r="AH490">
        <v>0</v>
      </c>
      <c r="AI490">
        <v>44</v>
      </c>
      <c r="AJ490">
        <v>1039.51</v>
      </c>
      <c r="AK490">
        <v>45</v>
      </c>
    </row>
    <row r="491" spans="1:37">
      <c r="A491" t="s">
        <v>37</v>
      </c>
      <c r="B491" t="s">
        <v>628</v>
      </c>
      <c r="C491" t="str">
        <f t="shared" si="21"/>
        <v>amzn1.ads-account.g.dfa7o7cwdl371d634ew58i919</v>
      </c>
      <c r="D491" t="s">
        <v>39</v>
      </c>
      <c r="G491" t="str">
        <f t="shared" si="22"/>
        <v>585687237024345541</v>
      </c>
      <c r="H491" t="s">
        <v>40</v>
      </c>
      <c r="I491" t="str">
        <f t="shared" si="23"/>
        <v>585478290940566279</v>
      </c>
      <c r="J491" t="s">
        <v>41</v>
      </c>
      <c r="K491" t="s">
        <v>1237</v>
      </c>
      <c r="L491" s="1" t="str">
        <f>VLOOKUP(K491,Sheet1!A:B,2,FALSE)</f>
        <v>XM2-S73-GYPL-38</v>
      </c>
      <c r="M491" t="s">
        <v>1238</v>
      </c>
      <c r="N491" t="s">
        <v>83</v>
      </c>
      <c r="O491" t="s">
        <v>45</v>
      </c>
      <c r="P491" t="s">
        <v>565</v>
      </c>
      <c r="Q491" t="s">
        <v>566</v>
      </c>
      <c r="R491" t="s">
        <v>48</v>
      </c>
      <c r="S491" t="s">
        <v>49</v>
      </c>
      <c r="AB491" t="s">
        <v>49</v>
      </c>
      <c r="AC491">
        <v>1</v>
      </c>
      <c r="AD491">
        <v>43.42</v>
      </c>
      <c r="AE491">
        <v>1</v>
      </c>
      <c r="AF491">
        <v>1</v>
      </c>
      <c r="AG491">
        <v>43.42</v>
      </c>
      <c r="AH491">
        <v>1</v>
      </c>
      <c r="AI491">
        <v>0</v>
      </c>
      <c r="AJ491">
        <v>0</v>
      </c>
      <c r="AK491">
        <v>0</v>
      </c>
    </row>
    <row r="492" spans="1:37">
      <c r="A492" t="s">
        <v>37</v>
      </c>
      <c r="B492" t="s">
        <v>864</v>
      </c>
      <c r="C492" t="str">
        <f t="shared" si="21"/>
        <v>amzn1.ads-account.g.dfa7o7cwdl371d634ew58i919</v>
      </c>
      <c r="D492" t="s">
        <v>39</v>
      </c>
      <c r="G492" t="str">
        <f t="shared" si="22"/>
        <v>585687237024345541</v>
      </c>
      <c r="H492" t="s">
        <v>40</v>
      </c>
      <c r="I492" t="str">
        <f t="shared" si="23"/>
        <v>585478290940566279</v>
      </c>
      <c r="J492" t="s">
        <v>41</v>
      </c>
      <c r="K492" t="s">
        <v>1239</v>
      </c>
      <c r="L492" s="1" t="str">
        <f>VLOOKUP(K492,Sheet1!A:B,2,FALSE)</f>
        <v>XM2-S75-GY-42</v>
      </c>
      <c r="M492" t="s">
        <v>1240</v>
      </c>
      <c r="N492" t="s">
        <v>95</v>
      </c>
      <c r="O492" t="s">
        <v>45</v>
      </c>
      <c r="P492" t="s">
        <v>65</v>
      </c>
      <c r="Q492" t="s">
        <v>84</v>
      </c>
      <c r="R492" t="s">
        <v>48</v>
      </c>
      <c r="S492" t="s">
        <v>49</v>
      </c>
      <c r="AB492" t="s">
        <v>49</v>
      </c>
      <c r="AC492">
        <v>0</v>
      </c>
      <c r="AD492">
        <v>0</v>
      </c>
      <c r="AE492">
        <v>0</v>
      </c>
      <c r="AF492">
        <v>0</v>
      </c>
      <c r="AG492">
        <v>0</v>
      </c>
      <c r="AH492">
        <v>0</v>
      </c>
      <c r="AI492">
        <v>0</v>
      </c>
      <c r="AJ492">
        <v>0</v>
      </c>
      <c r="AK492">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33"/>
  <sheetViews>
    <sheetView workbookViewId="0">
      <selection activeCell="E20" sqref="E20"/>
    </sheetView>
  </sheetViews>
  <sheetFormatPr defaultColWidth="8.88888888888889" defaultRowHeight="14.4" outlineLevelCol="1"/>
  <cols>
    <col min="2" max="2" width="18.4444444444444" customWidth="1"/>
  </cols>
  <sheetData>
    <row r="1" spans="1:2">
      <c r="A1" t="s">
        <v>1241</v>
      </c>
      <c r="B1" t="s">
        <v>1242</v>
      </c>
    </row>
    <row r="2" spans="1:2">
      <c r="A2" t="s">
        <v>1243</v>
      </c>
      <c r="B2" t="s">
        <v>1244</v>
      </c>
    </row>
    <row r="3" spans="1:2">
      <c r="A3" t="s">
        <v>1245</v>
      </c>
      <c r="B3" t="s">
        <v>1246</v>
      </c>
    </row>
    <row r="4" spans="1:2">
      <c r="A4" t="s">
        <v>1247</v>
      </c>
      <c r="B4" t="s">
        <v>1248</v>
      </c>
    </row>
    <row r="5" spans="1:2">
      <c r="A5" t="s">
        <v>1249</v>
      </c>
      <c r="B5" t="s">
        <v>1250</v>
      </c>
    </row>
    <row r="6" spans="1:2">
      <c r="A6" t="s">
        <v>1251</v>
      </c>
      <c r="B6" t="s">
        <v>1252</v>
      </c>
    </row>
    <row r="7" spans="1:2">
      <c r="A7" t="s">
        <v>1253</v>
      </c>
      <c r="B7" t="s">
        <v>1254</v>
      </c>
    </row>
    <row r="8" spans="1:2">
      <c r="A8" t="s">
        <v>1255</v>
      </c>
      <c r="B8" t="s">
        <v>1256</v>
      </c>
    </row>
    <row r="9" spans="1:2">
      <c r="A9" t="s">
        <v>1257</v>
      </c>
      <c r="B9" t="s">
        <v>1258</v>
      </c>
    </row>
    <row r="10" spans="1:2">
      <c r="A10" t="s">
        <v>1259</v>
      </c>
      <c r="B10" t="s">
        <v>1260</v>
      </c>
    </row>
    <row r="11" spans="1:2">
      <c r="A11" t="s">
        <v>1261</v>
      </c>
      <c r="B11" t="s">
        <v>1262</v>
      </c>
    </row>
    <row r="12" spans="1:2">
      <c r="A12" t="s">
        <v>1263</v>
      </c>
      <c r="B12" t="s">
        <v>1264</v>
      </c>
    </row>
    <row r="13" spans="1:2">
      <c r="A13" t="s">
        <v>1265</v>
      </c>
      <c r="B13" t="s">
        <v>1266</v>
      </c>
    </row>
    <row r="14" spans="1:2">
      <c r="A14" t="s">
        <v>1267</v>
      </c>
      <c r="B14" t="s">
        <v>1268</v>
      </c>
    </row>
    <row r="15" spans="1:2">
      <c r="A15" t="s">
        <v>1269</v>
      </c>
      <c r="B15" t="s">
        <v>1270</v>
      </c>
    </row>
    <row r="16" spans="1:2">
      <c r="A16" t="s">
        <v>1271</v>
      </c>
      <c r="B16" t="s">
        <v>1272</v>
      </c>
    </row>
    <row r="17" spans="1:2">
      <c r="A17" t="s">
        <v>1273</v>
      </c>
      <c r="B17" t="s">
        <v>1274</v>
      </c>
    </row>
    <row r="18" spans="1:2">
      <c r="A18" t="s">
        <v>1275</v>
      </c>
      <c r="B18" t="s">
        <v>1276</v>
      </c>
    </row>
    <row r="19" spans="1:2">
      <c r="A19" t="s">
        <v>1277</v>
      </c>
      <c r="B19" t="s">
        <v>1278</v>
      </c>
    </row>
    <row r="20" spans="1:2">
      <c r="A20" t="s">
        <v>1279</v>
      </c>
      <c r="B20" t="s">
        <v>1280</v>
      </c>
    </row>
    <row r="21" spans="1:2">
      <c r="A21" t="s">
        <v>1281</v>
      </c>
      <c r="B21" t="s">
        <v>1282</v>
      </c>
    </row>
    <row r="22" spans="1:2">
      <c r="A22" t="s">
        <v>1283</v>
      </c>
      <c r="B22" t="s">
        <v>1284</v>
      </c>
    </row>
    <row r="23" spans="1:2">
      <c r="A23" t="s">
        <v>1285</v>
      </c>
      <c r="B23" t="s">
        <v>1286</v>
      </c>
    </row>
    <row r="24" spans="1:2">
      <c r="A24" t="s">
        <v>1287</v>
      </c>
      <c r="B24" t="s">
        <v>1288</v>
      </c>
    </row>
    <row r="25" spans="1:2">
      <c r="A25" t="s">
        <v>1289</v>
      </c>
      <c r="B25" t="s">
        <v>1290</v>
      </c>
    </row>
    <row r="26" spans="1:2">
      <c r="A26" t="s">
        <v>1291</v>
      </c>
      <c r="B26" t="s">
        <v>1292</v>
      </c>
    </row>
    <row r="27" spans="1:2">
      <c r="A27" t="s">
        <v>1293</v>
      </c>
      <c r="B27" t="s">
        <v>1294</v>
      </c>
    </row>
    <row r="28" spans="1:2">
      <c r="A28" t="s">
        <v>1295</v>
      </c>
      <c r="B28" t="s">
        <v>1296</v>
      </c>
    </row>
    <row r="29" spans="1:2">
      <c r="A29" t="s">
        <v>1297</v>
      </c>
      <c r="B29" t="s">
        <v>1298</v>
      </c>
    </row>
    <row r="30" spans="1:2">
      <c r="A30" t="s">
        <v>1299</v>
      </c>
      <c r="B30" t="s">
        <v>1300</v>
      </c>
    </row>
    <row r="31" spans="1:2">
      <c r="A31" t="s">
        <v>1301</v>
      </c>
      <c r="B31" t="s">
        <v>1302</v>
      </c>
    </row>
    <row r="32" spans="1:2">
      <c r="A32" t="s">
        <v>1303</v>
      </c>
      <c r="B32" t="s">
        <v>1304</v>
      </c>
    </row>
    <row r="33" spans="1:2">
      <c r="A33" t="s">
        <v>1305</v>
      </c>
      <c r="B33" t="s">
        <v>1306</v>
      </c>
    </row>
    <row r="34" spans="1:2">
      <c r="A34" t="s">
        <v>1307</v>
      </c>
      <c r="B34" t="s">
        <v>1308</v>
      </c>
    </row>
    <row r="35" spans="1:2">
      <c r="A35" t="s">
        <v>1309</v>
      </c>
      <c r="B35" t="s">
        <v>1310</v>
      </c>
    </row>
    <row r="36" spans="1:2">
      <c r="A36" t="s">
        <v>1311</v>
      </c>
      <c r="B36" t="s">
        <v>1312</v>
      </c>
    </row>
    <row r="37" spans="1:2">
      <c r="A37" t="s">
        <v>1313</v>
      </c>
      <c r="B37" t="s">
        <v>1314</v>
      </c>
    </row>
    <row r="38" spans="1:2">
      <c r="A38" t="s">
        <v>1315</v>
      </c>
      <c r="B38" t="s">
        <v>1316</v>
      </c>
    </row>
    <row r="39" spans="1:2">
      <c r="A39" t="s">
        <v>1317</v>
      </c>
      <c r="B39" t="s">
        <v>1318</v>
      </c>
    </row>
    <row r="40" spans="1:2">
      <c r="A40" t="s">
        <v>1319</v>
      </c>
      <c r="B40" t="s">
        <v>1320</v>
      </c>
    </row>
    <row r="41" spans="1:2">
      <c r="A41" t="s">
        <v>1321</v>
      </c>
      <c r="B41" t="s">
        <v>1322</v>
      </c>
    </row>
    <row r="42" spans="1:2">
      <c r="A42" t="s">
        <v>1323</v>
      </c>
      <c r="B42" t="s">
        <v>1324</v>
      </c>
    </row>
    <row r="43" spans="1:2">
      <c r="A43" t="s">
        <v>1325</v>
      </c>
      <c r="B43" t="s">
        <v>1326</v>
      </c>
    </row>
    <row r="44" spans="1:2">
      <c r="A44" t="s">
        <v>1327</v>
      </c>
      <c r="B44" t="s">
        <v>1328</v>
      </c>
    </row>
    <row r="45" spans="1:2">
      <c r="A45" t="s">
        <v>1329</v>
      </c>
      <c r="B45" t="s">
        <v>1330</v>
      </c>
    </row>
    <row r="46" spans="1:2">
      <c r="A46" t="s">
        <v>1331</v>
      </c>
      <c r="B46" t="s">
        <v>1332</v>
      </c>
    </row>
    <row r="47" spans="1:2">
      <c r="A47" t="s">
        <v>1333</v>
      </c>
      <c r="B47" t="s">
        <v>1334</v>
      </c>
    </row>
    <row r="48" spans="1:2">
      <c r="A48" t="s">
        <v>1335</v>
      </c>
      <c r="B48" t="s">
        <v>1336</v>
      </c>
    </row>
    <row r="49" spans="1:2">
      <c r="A49" t="s">
        <v>1337</v>
      </c>
      <c r="B49" t="s">
        <v>1338</v>
      </c>
    </row>
    <row r="50" spans="1:2">
      <c r="A50" t="s">
        <v>1339</v>
      </c>
      <c r="B50" t="s">
        <v>1340</v>
      </c>
    </row>
    <row r="51" spans="1:2">
      <c r="A51" t="s">
        <v>1341</v>
      </c>
      <c r="B51" t="s">
        <v>1342</v>
      </c>
    </row>
    <row r="52" spans="1:2">
      <c r="A52" t="s">
        <v>1092</v>
      </c>
      <c r="B52" t="s">
        <v>1343</v>
      </c>
    </row>
    <row r="53" spans="1:2">
      <c r="A53" t="s">
        <v>145</v>
      </c>
      <c r="B53" t="s">
        <v>1344</v>
      </c>
    </row>
    <row r="54" spans="1:2">
      <c r="A54" t="s">
        <v>286</v>
      </c>
      <c r="B54" t="s">
        <v>1345</v>
      </c>
    </row>
    <row r="55" spans="1:2">
      <c r="A55" t="s">
        <v>233</v>
      </c>
      <c r="B55" t="s">
        <v>1346</v>
      </c>
    </row>
    <row r="56" spans="1:2">
      <c r="A56" t="s">
        <v>396</v>
      </c>
      <c r="B56" t="s">
        <v>1347</v>
      </c>
    </row>
    <row r="57" spans="1:2">
      <c r="A57" t="s">
        <v>792</v>
      </c>
      <c r="B57" t="s">
        <v>1348</v>
      </c>
    </row>
    <row r="58" spans="1:2">
      <c r="A58" t="s">
        <v>1085</v>
      </c>
      <c r="B58" t="s">
        <v>1349</v>
      </c>
    </row>
    <row r="59" spans="1:2">
      <c r="A59" t="s">
        <v>295</v>
      </c>
      <c r="B59" t="s">
        <v>1350</v>
      </c>
    </row>
    <row r="60" spans="1:2">
      <c r="A60" t="s">
        <v>1040</v>
      </c>
      <c r="B60" t="s">
        <v>1351</v>
      </c>
    </row>
    <row r="61" spans="1:2">
      <c r="A61" t="s">
        <v>739</v>
      </c>
      <c r="B61" t="s">
        <v>1352</v>
      </c>
    </row>
    <row r="62" spans="1:2">
      <c r="A62" t="s">
        <v>1211</v>
      </c>
      <c r="B62" t="s">
        <v>1353</v>
      </c>
    </row>
    <row r="63" spans="1:2">
      <c r="A63" t="s">
        <v>1046</v>
      </c>
      <c r="B63" t="s">
        <v>1354</v>
      </c>
    </row>
    <row r="64" spans="1:2">
      <c r="A64" t="s">
        <v>1355</v>
      </c>
      <c r="B64" t="s">
        <v>1356</v>
      </c>
    </row>
    <row r="65" spans="1:2">
      <c r="A65" t="s">
        <v>989</v>
      </c>
      <c r="B65" t="s">
        <v>1357</v>
      </c>
    </row>
    <row r="66" spans="1:2">
      <c r="A66" t="s">
        <v>409</v>
      </c>
      <c r="B66" t="s">
        <v>1358</v>
      </c>
    </row>
    <row r="67" spans="1:2">
      <c r="A67" t="s">
        <v>577</v>
      </c>
      <c r="B67" t="s">
        <v>1359</v>
      </c>
    </row>
    <row r="68" spans="1:2">
      <c r="A68" t="s">
        <v>104</v>
      </c>
      <c r="B68" t="s">
        <v>1360</v>
      </c>
    </row>
    <row r="69" spans="1:2">
      <c r="A69" t="s">
        <v>1361</v>
      </c>
      <c r="B69" t="s">
        <v>1362</v>
      </c>
    </row>
    <row r="70" spans="1:2">
      <c r="A70" t="s">
        <v>1363</v>
      </c>
      <c r="B70" t="s">
        <v>1364</v>
      </c>
    </row>
    <row r="71" spans="1:2">
      <c r="A71" t="s">
        <v>1042</v>
      </c>
      <c r="B71" t="s">
        <v>1365</v>
      </c>
    </row>
    <row r="72" spans="1:2">
      <c r="A72" t="s">
        <v>56</v>
      </c>
      <c r="B72" t="s">
        <v>1366</v>
      </c>
    </row>
    <row r="73" spans="1:2">
      <c r="A73" t="s">
        <v>86</v>
      </c>
      <c r="B73" t="s">
        <v>1367</v>
      </c>
    </row>
    <row r="74" spans="1:2">
      <c r="A74" t="s">
        <v>442</v>
      </c>
      <c r="B74" t="s">
        <v>1368</v>
      </c>
    </row>
    <row r="75" spans="1:2">
      <c r="A75" t="s">
        <v>794</v>
      </c>
      <c r="B75" t="s">
        <v>1369</v>
      </c>
    </row>
    <row r="76" spans="1:2">
      <c r="A76" t="s">
        <v>519</v>
      </c>
      <c r="B76" t="s">
        <v>1370</v>
      </c>
    </row>
    <row r="77" spans="1:2">
      <c r="A77" t="s">
        <v>972</v>
      </c>
      <c r="B77" t="s">
        <v>1371</v>
      </c>
    </row>
    <row r="78" spans="1:2">
      <c r="A78" t="s">
        <v>600</v>
      </c>
      <c r="B78" t="s">
        <v>1372</v>
      </c>
    </row>
    <row r="79" spans="1:2">
      <c r="A79" t="s">
        <v>898</v>
      </c>
      <c r="B79" t="s">
        <v>1373</v>
      </c>
    </row>
    <row r="80" spans="1:2">
      <c r="A80" t="s">
        <v>561</v>
      </c>
      <c r="B80" t="s">
        <v>1374</v>
      </c>
    </row>
    <row r="81" spans="1:2">
      <c r="A81" t="s">
        <v>1375</v>
      </c>
      <c r="B81" t="s">
        <v>1376</v>
      </c>
    </row>
    <row r="82" spans="1:2">
      <c r="A82" t="s">
        <v>1377</v>
      </c>
      <c r="B82" t="s">
        <v>1378</v>
      </c>
    </row>
    <row r="83" spans="1:2">
      <c r="A83" t="s">
        <v>687</v>
      </c>
      <c r="B83" t="s">
        <v>1379</v>
      </c>
    </row>
    <row r="84" spans="1:2">
      <c r="A84" t="s">
        <v>1380</v>
      </c>
      <c r="B84" t="s">
        <v>1381</v>
      </c>
    </row>
    <row r="85" spans="1:2">
      <c r="A85" t="s">
        <v>1382</v>
      </c>
      <c r="B85" t="s">
        <v>1383</v>
      </c>
    </row>
    <row r="86" spans="1:2">
      <c r="A86" t="s">
        <v>1384</v>
      </c>
      <c r="B86" t="s">
        <v>1385</v>
      </c>
    </row>
    <row r="87" spans="1:2">
      <c r="A87" t="s">
        <v>1386</v>
      </c>
      <c r="B87" t="s">
        <v>1387</v>
      </c>
    </row>
    <row r="88" spans="1:2">
      <c r="A88" t="s">
        <v>1388</v>
      </c>
      <c r="B88" t="s">
        <v>1389</v>
      </c>
    </row>
    <row r="89" spans="1:2">
      <c r="A89" t="s">
        <v>1390</v>
      </c>
      <c r="B89" t="s">
        <v>1391</v>
      </c>
    </row>
    <row r="90" spans="1:2">
      <c r="A90" t="s">
        <v>1392</v>
      </c>
      <c r="B90" t="s">
        <v>1393</v>
      </c>
    </row>
    <row r="91" spans="1:2">
      <c r="A91" t="s">
        <v>1394</v>
      </c>
      <c r="B91" t="s">
        <v>1395</v>
      </c>
    </row>
    <row r="92" spans="1:2">
      <c r="A92" t="s">
        <v>1396</v>
      </c>
      <c r="B92" t="s">
        <v>1397</v>
      </c>
    </row>
    <row r="93" spans="1:2">
      <c r="A93" t="s">
        <v>1398</v>
      </c>
      <c r="B93" t="s">
        <v>1399</v>
      </c>
    </row>
    <row r="94" spans="1:2">
      <c r="A94" t="s">
        <v>1400</v>
      </c>
      <c r="B94" t="s">
        <v>1401</v>
      </c>
    </row>
    <row r="95" spans="1:2">
      <c r="A95" t="s">
        <v>1402</v>
      </c>
      <c r="B95" t="s">
        <v>1403</v>
      </c>
    </row>
    <row r="96" spans="1:2">
      <c r="A96" t="s">
        <v>1404</v>
      </c>
      <c r="B96" t="s">
        <v>1405</v>
      </c>
    </row>
    <row r="97" spans="1:2">
      <c r="A97" t="s">
        <v>1406</v>
      </c>
      <c r="B97" t="s">
        <v>1407</v>
      </c>
    </row>
    <row r="98" spans="1:2">
      <c r="A98" t="s">
        <v>1408</v>
      </c>
      <c r="B98" t="s">
        <v>1409</v>
      </c>
    </row>
    <row r="99" spans="1:2">
      <c r="A99" t="s">
        <v>1410</v>
      </c>
      <c r="B99" t="s">
        <v>1411</v>
      </c>
    </row>
    <row r="100" spans="1:2">
      <c r="A100" t="s">
        <v>1412</v>
      </c>
      <c r="B100" t="s">
        <v>1413</v>
      </c>
    </row>
    <row r="101" spans="1:2">
      <c r="A101" t="s">
        <v>1414</v>
      </c>
      <c r="B101" t="s">
        <v>1415</v>
      </c>
    </row>
    <row r="102" spans="1:2">
      <c r="A102" t="s">
        <v>1416</v>
      </c>
      <c r="B102" t="s">
        <v>1417</v>
      </c>
    </row>
    <row r="103" spans="1:2">
      <c r="A103" t="s">
        <v>524</v>
      </c>
      <c r="B103" t="s">
        <v>1418</v>
      </c>
    </row>
    <row r="104" spans="1:2">
      <c r="A104" t="s">
        <v>224</v>
      </c>
      <c r="B104" t="s">
        <v>1419</v>
      </c>
    </row>
    <row r="105" spans="1:2">
      <c r="A105" t="s">
        <v>450</v>
      </c>
      <c r="B105" t="s">
        <v>1420</v>
      </c>
    </row>
    <row r="106" spans="1:2">
      <c r="A106" t="s">
        <v>376</v>
      </c>
      <c r="B106" t="s">
        <v>1421</v>
      </c>
    </row>
    <row r="107" spans="1:2">
      <c r="A107" t="s">
        <v>1422</v>
      </c>
      <c r="B107" t="s">
        <v>1423</v>
      </c>
    </row>
    <row r="108" spans="1:2">
      <c r="A108" t="s">
        <v>1424</v>
      </c>
      <c r="B108" t="s">
        <v>1425</v>
      </c>
    </row>
    <row r="109" spans="1:2">
      <c r="A109" t="s">
        <v>1426</v>
      </c>
      <c r="B109" t="s">
        <v>1427</v>
      </c>
    </row>
    <row r="110" spans="1:2">
      <c r="A110" t="s">
        <v>1428</v>
      </c>
      <c r="B110" t="s">
        <v>1429</v>
      </c>
    </row>
    <row r="111" spans="1:2">
      <c r="A111" t="s">
        <v>1430</v>
      </c>
      <c r="B111" t="s">
        <v>1431</v>
      </c>
    </row>
    <row r="112" spans="1:2">
      <c r="A112" t="s">
        <v>1432</v>
      </c>
      <c r="B112" t="s">
        <v>1433</v>
      </c>
    </row>
    <row r="113" spans="1:2">
      <c r="A113" t="s">
        <v>1434</v>
      </c>
      <c r="B113" t="s">
        <v>1435</v>
      </c>
    </row>
    <row r="114" spans="1:2">
      <c r="A114" t="s">
        <v>1436</v>
      </c>
      <c r="B114" t="s">
        <v>1437</v>
      </c>
    </row>
    <row r="115" spans="1:2">
      <c r="A115" t="s">
        <v>1438</v>
      </c>
      <c r="B115" t="s">
        <v>1439</v>
      </c>
    </row>
    <row r="116" spans="1:2">
      <c r="A116" t="s">
        <v>1440</v>
      </c>
      <c r="B116" t="s">
        <v>1441</v>
      </c>
    </row>
    <row r="117" spans="1:2">
      <c r="A117" t="s">
        <v>1442</v>
      </c>
      <c r="B117" t="s">
        <v>1443</v>
      </c>
    </row>
    <row r="118" spans="1:2">
      <c r="A118" t="s">
        <v>137</v>
      </c>
      <c r="B118" t="s">
        <v>1444</v>
      </c>
    </row>
    <row r="119" spans="1:2">
      <c r="A119" t="s">
        <v>1445</v>
      </c>
      <c r="B119" t="s">
        <v>1446</v>
      </c>
    </row>
    <row r="120" spans="1:2">
      <c r="A120" t="s">
        <v>952</v>
      </c>
      <c r="B120" t="s">
        <v>1447</v>
      </c>
    </row>
    <row r="121" spans="1:2">
      <c r="A121" t="s">
        <v>1448</v>
      </c>
      <c r="B121" t="s">
        <v>1449</v>
      </c>
    </row>
    <row r="122" spans="1:2">
      <c r="A122" t="s">
        <v>1450</v>
      </c>
      <c r="B122" t="s">
        <v>1451</v>
      </c>
    </row>
    <row r="123" spans="1:2">
      <c r="A123" t="s">
        <v>1452</v>
      </c>
      <c r="B123" t="s">
        <v>1453</v>
      </c>
    </row>
    <row r="124" spans="1:2">
      <c r="A124" t="s">
        <v>1454</v>
      </c>
      <c r="B124" t="s">
        <v>1455</v>
      </c>
    </row>
    <row r="125" spans="1:2">
      <c r="A125" t="s">
        <v>1456</v>
      </c>
      <c r="B125" t="s">
        <v>1457</v>
      </c>
    </row>
    <row r="126" spans="1:2">
      <c r="A126" t="s">
        <v>1458</v>
      </c>
      <c r="B126" t="s">
        <v>1459</v>
      </c>
    </row>
    <row r="127" spans="1:2">
      <c r="A127" t="s">
        <v>1460</v>
      </c>
      <c r="B127" t="s">
        <v>1461</v>
      </c>
    </row>
    <row r="128" spans="1:2">
      <c r="A128" t="s">
        <v>1462</v>
      </c>
      <c r="B128" t="s">
        <v>1463</v>
      </c>
    </row>
    <row r="129" spans="1:2">
      <c r="A129" t="s">
        <v>1464</v>
      </c>
      <c r="B129" t="s">
        <v>1465</v>
      </c>
    </row>
    <row r="130" spans="1:2">
      <c r="A130" t="s">
        <v>1466</v>
      </c>
      <c r="B130" t="s">
        <v>1467</v>
      </c>
    </row>
    <row r="131" spans="1:2">
      <c r="A131" t="s">
        <v>1468</v>
      </c>
      <c r="B131" t="s">
        <v>1469</v>
      </c>
    </row>
    <row r="132" spans="1:2">
      <c r="A132" t="s">
        <v>1470</v>
      </c>
      <c r="B132" t="s">
        <v>1471</v>
      </c>
    </row>
    <row r="133" spans="1:2">
      <c r="A133" t="s">
        <v>1472</v>
      </c>
      <c r="B133" t="s">
        <v>1473</v>
      </c>
    </row>
    <row r="134" spans="1:2">
      <c r="A134" t="s">
        <v>1474</v>
      </c>
      <c r="B134" t="s">
        <v>1475</v>
      </c>
    </row>
    <row r="135" spans="1:2">
      <c r="A135" t="s">
        <v>1476</v>
      </c>
      <c r="B135" t="s">
        <v>1477</v>
      </c>
    </row>
    <row r="136" spans="1:2">
      <c r="A136" t="s">
        <v>1478</v>
      </c>
      <c r="B136" t="s">
        <v>1479</v>
      </c>
    </row>
    <row r="137" spans="1:2">
      <c r="A137" t="s">
        <v>1480</v>
      </c>
      <c r="B137" t="s">
        <v>1481</v>
      </c>
    </row>
    <row r="138" spans="1:2">
      <c r="A138" t="s">
        <v>1482</v>
      </c>
      <c r="B138" t="s">
        <v>1483</v>
      </c>
    </row>
    <row r="139" spans="1:2">
      <c r="A139" t="s">
        <v>1484</v>
      </c>
      <c r="B139" t="s">
        <v>1485</v>
      </c>
    </row>
    <row r="140" spans="1:2">
      <c r="A140" t="s">
        <v>1486</v>
      </c>
      <c r="B140" t="s">
        <v>1487</v>
      </c>
    </row>
    <row r="141" spans="1:2">
      <c r="A141" t="s">
        <v>1488</v>
      </c>
      <c r="B141" t="s">
        <v>1489</v>
      </c>
    </row>
    <row r="142" spans="1:2">
      <c r="A142" t="s">
        <v>1490</v>
      </c>
      <c r="B142" t="s">
        <v>1491</v>
      </c>
    </row>
    <row r="143" spans="1:2">
      <c r="A143" t="s">
        <v>1492</v>
      </c>
      <c r="B143" t="s">
        <v>1493</v>
      </c>
    </row>
    <row r="144" spans="1:2">
      <c r="A144" t="s">
        <v>1494</v>
      </c>
      <c r="B144" t="s">
        <v>1495</v>
      </c>
    </row>
    <row r="145" spans="1:2">
      <c r="A145" t="s">
        <v>1496</v>
      </c>
      <c r="B145" t="s">
        <v>1497</v>
      </c>
    </row>
    <row r="146" spans="1:2">
      <c r="A146" t="s">
        <v>1498</v>
      </c>
      <c r="B146" t="s">
        <v>1499</v>
      </c>
    </row>
    <row r="147" spans="1:2">
      <c r="A147" t="s">
        <v>1500</v>
      </c>
      <c r="B147" t="s">
        <v>1501</v>
      </c>
    </row>
    <row r="148" spans="1:2">
      <c r="A148" t="s">
        <v>1502</v>
      </c>
      <c r="B148" t="s">
        <v>1503</v>
      </c>
    </row>
    <row r="149" spans="1:2">
      <c r="A149" t="s">
        <v>1504</v>
      </c>
      <c r="B149" t="s">
        <v>1505</v>
      </c>
    </row>
    <row r="150" spans="1:2">
      <c r="A150" t="s">
        <v>1506</v>
      </c>
      <c r="B150" t="s">
        <v>1507</v>
      </c>
    </row>
    <row r="151" spans="1:2">
      <c r="A151" t="s">
        <v>1078</v>
      </c>
      <c r="B151" t="s">
        <v>1508</v>
      </c>
    </row>
    <row r="152" spans="1:2">
      <c r="A152" t="s">
        <v>1509</v>
      </c>
      <c r="B152" t="s">
        <v>1510</v>
      </c>
    </row>
    <row r="153" spans="1:2">
      <c r="A153" t="s">
        <v>1511</v>
      </c>
      <c r="B153" t="s">
        <v>1512</v>
      </c>
    </row>
    <row r="154" spans="1:2">
      <c r="A154" t="s">
        <v>1513</v>
      </c>
      <c r="B154" t="s">
        <v>1514</v>
      </c>
    </row>
    <row r="155" spans="1:2">
      <c r="A155" t="s">
        <v>1515</v>
      </c>
      <c r="B155" t="s">
        <v>1516</v>
      </c>
    </row>
    <row r="156" spans="1:2">
      <c r="A156" t="s">
        <v>1517</v>
      </c>
      <c r="B156" t="s">
        <v>1518</v>
      </c>
    </row>
    <row r="157" spans="1:2">
      <c r="A157" t="s">
        <v>1519</v>
      </c>
      <c r="B157" t="s">
        <v>1520</v>
      </c>
    </row>
    <row r="158" spans="1:2">
      <c r="A158" t="s">
        <v>1521</v>
      </c>
      <c r="B158" t="s">
        <v>1522</v>
      </c>
    </row>
    <row r="159" spans="1:2">
      <c r="A159" t="s">
        <v>1523</v>
      </c>
      <c r="B159" t="s">
        <v>1524</v>
      </c>
    </row>
    <row r="160" spans="1:2">
      <c r="A160" t="s">
        <v>667</v>
      </c>
      <c r="B160" t="s">
        <v>1525</v>
      </c>
    </row>
    <row r="161" spans="1:2">
      <c r="A161" t="s">
        <v>1526</v>
      </c>
      <c r="B161" t="s">
        <v>1527</v>
      </c>
    </row>
    <row r="162" spans="1:2">
      <c r="A162" t="s">
        <v>1528</v>
      </c>
      <c r="B162" t="s">
        <v>1529</v>
      </c>
    </row>
    <row r="163" spans="1:2">
      <c r="A163" t="s">
        <v>1530</v>
      </c>
      <c r="B163" t="s">
        <v>1531</v>
      </c>
    </row>
    <row r="164" spans="1:2">
      <c r="A164" t="s">
        <v>1532</v>
      </c>
      <c r="B164" t="s">
        <v>1533</v>
      </c>
    </row>
    <row r="165" spans="1:2">
      <c r="A165" t="s">
        <v>139</v>
      </c>
      <c r="B165" t="s">
        <v>1534</v>
      </c>
    </row>
    <row r="166" spans="1:2">
      <c r="A166" t="s">
        <v>1535</v>
      </c>
      <c r="B166" t="s">
        <v>1536</v>
      </c>
    </row>
    <row r="167" spans="1:2">
      <c r="A167" t="s">
        <v>1537</v>
      </c>
      <c r="B167" t="s">
        <v>1538</v>
      </c>
    </row>
    <row r="168" spans="1:2">
      <c r="A168" t="s">
        <v>1539</v>
      </c>
      <c r="B168" t="s">
        <v>1540</v>
      </c>
    </row>
    <row r="169" spans="1:2">
      <c r="A169" t="s">
        <v>1541</v>
      </c>
      <c r="B169" t="s">
        <v>1542</v>
      </c>
    </row>
    <row r="170" spans="1:2">
      <c r="A170" t="s">
        <v>1543</v>
      </c>
      <c r="B170" t="s">
        <v>1544</v>
      </c>
    </row>
    <row r="171" spans="1:2">
      <c r="A171" t="s">
        <v>1545</v>
      </c>
      <c r="B171" t="s">
        <v>1546</v>
      </c>
    </row>
    <row r="172" spans="1:2">
      <c r="A172" t="s">
        <v>1547</v>
      </c>
      <c r="B172" t="s">
        <v>1548</v>
      </c>
    </row>
    <row r="173" spans="1:2">
      <c r="A173" t="s">
        <v>1549</v>
      </c>
      <c r="B173" t="s">
        <v>1550</v>
      </c>
    </row>
    <row r="174" spans="1:2">
      <c r="A174" t="s">
        <v>1551</v>
      </c>
      <c r="B174" t="s">
        <v>1552</v>
      </c>
    </row>
    <row r="175" spans="1:2">
      <c r="A175" t="s">
        <v>1553</v>
      </c>
      <c r="B175" t="s">
        <v>1554</v>
      </c>
    </row>
    <row r="176" spans="1:2">
      <c r="A176" t="s">
        <v>1555</v>
      </c>
      <c r="B176" t="s">
        <v>1556</v>
      </c>
    </row>
    <row r="177" spans="1:2">
      <c r="A177" t="s">
        <v>1557</v>
      </c>
      <c r="B177" t="s">
        <v>1558</v>
      </c>
    </row>
    <row r="178" spans="1:2">
      <c r="A178" t="s">
        <v>1559</v>
      </c>
      <c r="B178" t="s">
        <v>1560</v>
      </c>
    </row>
    <row r="179" spans="1:2">
      <c r="A179" t="s">
        <v>1561</v>
      </c>
      <c r="B179" t="s">
        <v>1562</v>
      </c>
    </row>
    <row r="180" spans="1:2">
      <c r="A180" t="s">
        <v>1563</v>
      </c>
      <c r="B180" t="s">
        <v>1564</v>
      </c>
    </row>
    <row r="181" spans="1:2">
      <c r="A181" t="s">
        <v>1565</v>
      </c>
      <c r="B181" t="s">
        <v>1566</v>
      </c>
    </row>
    <row r="182" spans="1:2">
      <c r="A182" t="s">
        <v>1567</v>
      </c>
      <c r="B182" t="s">
        <v>1568</v>
      </c>
    </row>
    <row r="183" spans="1:2">
      <c r="A183" t="s">
        <v>1569</v>
      </c>
      <c r="B183" t="s">
        <v>1570</v>
      </c>
    </row>
    <row r="184" spans="1:2">
      <c r="A184" t="s">
        <v>1571</v>
      </c>
      <c r="B184" t="s">
        <v>1572</v>
      </c>
    </row>
    <row r="185" spans="1:2">
      <c r="A185" t="s">
        <v>1573</v>
      </c>
      <c r="B185" t="s">
        <v>1574</v>
      </c>
    </row>
    <row r="186" spans="1:2">
      <c r="A186" t="s">
        <v>1575</v>
      </c>
      <c r="B186" t="s">
        <v>1576</v>
      </c>
    </row>
    <row r="187" spans="1:2">
      <c r="A187" t="s">
        <v>1577</v>
      </c>
      <c r="B187" t="s">
        <v>1578</v>
      </c>
    </row>
    <row r="188" spans="1:2">
      <c r="A188" t="s">
        <v>1579</v>
      </c>
      <c r="B188" t="s">
        <v>1580</v>
      </c>
    </row>
    <row r="189" spans="1:2">
      <c r="A189" t="s">
        <v>1581</v>
      </c>
      <c r="B189" t="s">
        <v>1582</v>
      </c>
    </row>
    <row r="190" spans="1:2">
      <c r="A190" t="s">
        <v>1583</v>
      </c>
      <c r="B190" t="s">
        <v>1584</v>
      </c>
    </row>
    <row r="191" spans="1:2">
      <c r="A191" t="s">
        <v>1585</v>
      </c>
      <c r="B191" t="s">
        <v>1586</v>
      </c>
    </row>
    <row r="192" spans="1:2">
      <c r="A192" t="s">
        <v>1587</v>
      </c>
      <c r="B192" t="s">
        <v>1588</v>
      </c>
    </row>
    <row r="193" spans="1:2">
      <c r="A193" t="s">
        <v>1589</v>
      </c>
      <c r="B193" t="s">
        <v>1590</v>
      </c>
    </row>
    <row r="194" spans="1:2">
      <c r="A194" t="s">
        <v>1591</v>
      </c>
      <c r="B194" t="s">
        <v>1592</v>
      </c>
    </row>
    <row r="195" spans="1:2">
      <c r="A195" t="s">
        <v>1593</v>
      </c>
      <c r="B195" t="s">
        <v>1594</v>
      </c>
    </row>
    <row r="196" spans="1:2">
      <c r="A196" t="s">
        <v>1595</v>
      </c>
      <c r="B196" t="s">
        <v>1596</v>
      </c>
    </row>
    <row r="197" spans="1:2">
      <c r="A197" t="s">
        <v>1597</v>
      </c>
      <c r="B197" t="s">
        <v>1598</v>
      </c>
    </row>
    <row r="198" spans="1:2">
      <c r="A198" t="s">
        <v>1599</v>
      </c>
      <c r="B198" t="s">
        <v>1600</v>
      </c>
    </row>
    <row r="199" spans="1:2">
      <c r="A199" t="s">
        <v>1601</v>
      </c>
      <c r="B199" t="s">
        <v>1602</v>
      </c>
    </row>
    <row r="200" spans="1:2">
      <c r="A200" t="s">
        <v>1603</v>
      </c>
      <c r="B200" t="s">
        <v>1604</v>
      </c>
    </row>
    <row r="201" spans="1:2">
      <c r="A201" t="s">
        <v>1605</v>
      </c>
      <c r="B201" t="s">
        <v>1606</v>
      </c>
    </row>
    <row r="202" spans="1:2">
      <c r="A202" t="s">
        <v>1607</v>
      </c>
      <c r="B202" t="s">
        <v>1608</v>
      </c>
    </row>
    <row r="203" spans="1:2">
      <c r="A203" t="s">
        <v>1609</v>
      </c>
      <c r="B203" t="s">
        <v>1610</v>
      </c>
    </row>
    <row r="204" spans="1:2">
      <c r="A204" t="s">
        <v>1595</v>
      </c>
      <c r="B204" t="s">
        <v>1611</v>
      </c>
    </row>
    <row r="205" spans="1:2">
      <c r="A205" t="s">
        <v>1612</v>
      </c>
      <c r="B205" t="s">
        <v>1613</v>
      </c>
    </row>
    <row r="206" spans="1:2">
      <c r="A206" t="s">
        <v>1614</v>
      </c>
      <c r="B206" t="s">
        <v>1615</v>
      </c>
    </row>
    <row r="207" spans="1:2">
      <c r="A207" t="s">
        <v>1616</v>
      </c>
      <c r="B207" t="s">
        <v>1617</v>
      </c>
    </row>
    <row r="208" spans="1:2">
      <c r="A208" t="s">
        <v>1618</v>
      </c>
      <c r="B208" t="s">
        <v>1619</v>
      </c>
    </row>
    <row r="209" spans="1:2">
      <c r="A209" t="s">
        <v>1620</v>
      </c>
      <c r="B209" t="s">
        <v>1621</v>
      </c>
    </row>
    <row r="210" spans="1:2">
      <c r="A210" t="s">
        <v>1622</v>
      </c>
      <c r="B210" t="s">
        <v>1623</v>
      </c>
    </row>
    <row r="211" spans="1:2">
      <c r="A211" t="s">
        <v>1624</v>
      </c>
      <c r="B211" t="s">
        <v>1625</v>
      </c>
    </row>
    <row r="212" spans="1:2">
      <c r="A212" t="s">
        <v>1626</v>
      </c>
      <c r="B212" t="s">
        <v>1627</v>
      </c>
    </row>
    <row r="213" spans="1:2">
      <c r="A213" t="s">
        <v>1628</v>
      </c>
      <c r="B213" t="s">
        <v>1629</v>
      </c>
    </row>
    <row r="214" spans="1:2">
      <c r="A214" t="s">
        <v>1630</v>
      </c>
      <c r="B214" t="s">
        <v>1631</v>
      </c>
    </row>
    <row r="215" spans="1:2">
      <c r="A215" t="s">
        <v>1632</v>
      </c>
      <c r="B215" t="s">
        <v>1633</v>
      </c>
    </row>
    <row r="216" spans="1:2">
      <c r="A216" t="s">
        <v>1634</v>
      </c>
      <c r="B216" t="s">
        <v>1635</v>
      </c>
    </row>
    <row r="217" spans="1:2">
      <c r="A217" t="s">
        <v>1636</v>
      </c>
      <c r="B217" t="s">
        <v>1637</v>
      </c>
    </row>
    <row r="218" spans="1:2">
      <c r="A218" t="s">
        <v>1638</v>
      </c>
      <c r="B218" t="s">
        <v>1639</v>
      </c>
    </row>
    <row r="219" spans="1:2">
      <c r="A219" t="s">
        <v>1640</v>
      </c>
      <c r="B219" t="s">
        <v>1641</v>
      </c>
    </row>
    <row r="220" spans="1:2">
      <c r="A220" t="s">
        <v>1642</v>
      </c>
      <c r="B220" t="s">
        <v>1643</v>
      </c>
    </row>
    <row r="221" spans="1:2">
      <c r="A221" t="s">
        <v>1644</v>
      </c>
      <c r="B221" t="s">
        <v>1645</v>
      </c>
    </row>
    <row r="222" spans="1:2">
      <c r="A222" t="s">
        <v>1646</v>
      </c>
      <c r="B222" t="s">
        <v>1647</v>
      </c>
    </row>
    <row r="223" spans="1:2">
      <c r="A223" t="s">
        <v>1648</v>
      </c>
      <c r="B223" t="s">
        <v>1649</v>
      </c>
    </row>
    <row r="224" spans="1:2">
      <c r="A224" t="s">
        <v>1650</v>
      </c>
      <c r="B224" t="s">
        <v>1651</v>
      </c>
    </row>
    <row r="225" spans="1:2">
      <c r="A225" t="s">
        <v>529</v>
      </c>
      <c r="B225" t="s">
        <v>1652</v>
      </c>
    </row>
    <row r="226" spans="1:2">
      <c r="A226" t="s">
        <v>1048</v>
      </c>
      <c r="B226" t="s">
        <v>1653</v>
      </c>
    </row>
    <row r="227" spans="1:2">
      <c r="A227" t="s">
        <v>108</v>
      </c>
      <c r="B227" t="s">
        <v>1654</v>
      </c>
    </row>
    <row r="228" spans="1:2">
      <c r="A228" t="s">
        <v>906</v>
      </c>
      <c r="B228" t="s">
        <v>1655</v>
      </c>
    </row>
    <row r="229" spans="1:2">
      <c r="A229" t="s">
        <v>691</v>
      </c>
      <c r="B229" t="s">
        <v>1656</v>
      </c>
    </row>
    <row r="230" spans="1:2">
      <c r="A230" t="s">
        <v>837</v>
      </c>
      <c r="B230" t="s">
        <v>1657</v>
      </c>
    </row>
    <row r="231" spans="1:2">
      <c r="A231" t="s">
        <v>616</v>
      </c>
      <c r="B231" t="s">
        <v>1658</v>
      </c>
    </row>
    <row r="232" spans="1:2">
      <c r="A232" t="s">
        <v>1659</v>
      </c>
      <c r="B232" t="s">
        <v>1660</v>
      </c>
    </row>
    <row r="233" spans="1:2">
      <c r="A233" t="s">
        <v>820</v>
      </c>
      <c r="B233" t="s">
        <v>1661</v>
      </c>
    </row>
    <row r="234" spans="1:2">
      <c r="A234" t="s">
        <v>1662</v>
      </c>
      <c r="B234" t="s">
        <v>1663</v>
      </c>
    </row>
    <row r="235" spans="1:2">
      <c r="A235" t="s">
        <v>1664</v>
      </c>
      <c r="B235" t="s">
        <v>1665</v>
      </c>
    </row>
    <row r="236" spans="1:2">
      <c r="A236" t="s">
        <v>904</v>
      </c>
      <c r="B236" t="s">
        <v>1666</v>
      </c>
    </row>
    <row r="237" spans="1:2">
      <c r="A237" t="s">
        <v>823</v>
      </c>
      <c r="B237" t="s">
        <v>1667</v>
      </c>
    </row>
    <row r="238" spans="1:2">
      <c r="A238" t="s">
        <v>1668</v>
      </c>
      <c r="B238" t="s">
        <v>1669</v>
      </c>
    </row>
    <row r="239" spans="1:2">
      <c r="A239" t="s">
        <v>1670</v>
      </c>
      <c r="B239" t="s">
        <v>1671</v>
      </c>
    </row>
    <row r="240" spans="1:2">
      <c r="A240" t="s">
        <v>1672</v>
      </c>
      <c r="B240" t="s">
        <v>1673</v>
      </c>
    </row>
    <row r="241" spans="1:2">
      <c r="A241" t="s">
        <v>1674</v>
      </c>
      <c r="B241" t="s">
        <v>1675</v>
      </c>
    </row>
    <row r="242" spans="1:2">
      <c r="A242" t="s">
        <v>734</v>
      </c>
      <c r="B242" t="s">
        <v>1676</v>
      </c>
    </row>
    <row r="243" spans="1:2">
      <c r="A243" t="s">
        <v>827</v>
      </c>
      <c r="B243" t="s">
        <v>1677</v>
      </c>
    </row>
    <row r="244" spans="1:2">
      <c r="A244" t="s">
        <v>1219</v>
      </c>
      <c r="B244" t="s">
        <v>1678</v>
      </c>
    </row>
    <row r="245" spans="1:2">
      <c r="A245" t="s">
        <v>485</v>
      </c>
      <c r="B245" t="s">
        <v>1679</v>
      </c>
    </row>
    <row r="246" spans="1:2">
      <c r="A246" t="s">
        <v>780</v>
      </c>
      <c r="B246" t="s">
        <v>1680</v>
      </c>
    </row>
    <row r="247" spans="1:2">
      <c r="A247" t="s">
        <v>703</v>
      </c>
      <c r="B247" t="s">
        <v>1681</v>
      </c>
    </row>
    <row r="248" spans="1:2">
      <c r="A248" t="s">
        <v>116</v>
      </c>
      <c r="B248" t="s">
        <v>1682</v>
      </c>
    </row>
    <row r="249" spans="1:2">
      <c r="A249" t="s">
        <v>1683</v>
      </c>
      <c r="B249" t="s">
        <v>1684</v>
      </c>
    </row>
    <row r="250" spans="1:2">
      <c r="A250" t="s">
        <v>698</v>
      </c>
      <c r="B250" t="s">
        <v>1685</v>
      </c>
    </row>
    <row r="251" spans="1:2">
      <c r="A251" t="s">
        <v>571</v>
      </c>
      <c r="B251" t="s">
        <v>1686</v>
      </c>
    </row>
    <row r="252" spans="1:2">
      <c r="A252" t="s">
        <v>966</v>
      </c>
      <c r="B252" t="s">
        <v>1687</v>
      </c>
    </row>
    <row r="253" spans="1:2">
      <c r="A253" t="s">
        <v>1114</v>
      </c>
      <c r="B253" t="s">
        <v>1688</v>
      </c>
    </row>
    <row r="254" spans="1:2">
      <c r="A254" t="s">
        <v>893</v>
      </c>
      <c r="B254" t="s">
        <v>1689</v>
      </c>
    </row>
    <row r="255" spans="1:2">
      <c r="A255" t="s">
        <v>869</v>
      </c>
      <c r="B255" t="s">
        <v>1690</v>
      </c>
    </row>
    <row r="256" spans="1:2">
      <c r="A256" t="s">
        <v>488</v>
      </c>
      <c r="B256" t="s">
        <v>1691</v>
      </c>
    </row>
    <row r="257" spans="1:2">
      <c r="A257" t="s">
        <v>1189</v>
      </c>
      <c r="B257" t="s">
        <v>1692</v>
      </c>
    </row>
    <row r="258" spans="1:2">
      <c r="A258" t="s">
        <v>531</v>
      </c>
      <c r="B258" t="s">
        <v>1693</v>
      </c>
    </row>
    <row r="259" spans="1:2">
      <c r="A259" t="s">
        <v>1203</v>
      </c>
      <c r="B259" t="s">
        <v>1694</v>
      </c>
    </row>
    <row r="260" spans="1:2">
      <c r="A260" t="s">
        <v>514</v>
      </c>
      <c r="B260" t="s">
        <v>1695</v>
      </c>
    </row>
    <row r="261" spans="1:2">
      <c r="A261" t="s">
        <v>1696</v>
      </c>
      <c r="B261" t="s">
        <v>1697</v>
      </c>
    </row>
    <row r="262" spans="1:2">
      <c r="A262" t="s">
        <v>1698</v>
      </c>
      <c r="B262" t="s">
        <v>1699</v>
      </c>
    </row>
    <row r="263" spans="1:2">
      <c r="A263" t="s">
        <v>1700</v>
      </c>
      <c r="B263" t="s">
        <v>1701</v>
      </c>
    </row>
    <row r="264" spans="1:2">
      <c r="A264" t="s">
        <v>1702</v>
      </c>
      <c r="B264" t="s">
        <v>1703</v>
      </c>
    </row>
    <row r="265" spans="1:2">
      <c r="A265" t="s">
        <v>1704</v>
      </c>
      <c r="B265" t="s">
        <v>1705</v>
      </c>
    </row>
    <row r="266" spans="1:2">
      <c r="A266" t="s">
        <v>1706</v>
      </c>
      <c r="B266" t="s">
        <v>1707</v>
      </c>
    </row>
    <row r="267" spans="1:2">
      <c r="A267" t="s">
        <v>1708</v>
      </c>
      <c r="B267" t="s">
        <v>1709</v>
      </c>
    </row>
    <row r="268" spans="1:2">
      <c r="A268" t="s">
        <v>1710</v>
      </c>
      <c r="B268" t="s">
        <v>1711</v>
      </c>
    </row>
    <row r="269" spans="1:2">
      <c r="A269" t="s">
        <v>1712</v>
      </c>
      <c r="B269" t="s">
        <v>1713</v>
      </c>
    </row>
    <row r="270" spans="1:2">
      <c r="A270" t="s">
        <v>1714</v>
      </c>
      <c r="B270" t="s">
        <v>1715</v>
      </c>
    </row>
    <row r="271" spans="1:2">
      <c r="A271" t="s">
        <v>1716</v>
      </c>
      <c r="B271" t="s">
        <v>1717</v>
      </c>
    </row>
    <row r="272" spans="1:2">
      <c r="A272" t="s">
        <v>1718</v>
      </c>
      <c r="B272" t="s">
        <v>1719</v>
      </c>
    </row>
    <row r="273" spans="1:2">
      <c r="A273" t="s">
        <v>913</v>
      </c>
      <c r="B273" t="s">
        <v>1720</v>
      </c>
    </row>
    <row r="274" spans="1:2">
      <c r="A274" t="s">
        <v>1197</v>
      </c>
      <c r="B274" t="s">
        <v>1721</v>
      </c>
    </row>
    <row r="275" spans="1:2">
      <c r="A275" t="s">
        <v>1722</v>
      </c>
      <c r="B275" t="s">
        <v>1723</v>
      </c>
    </row>
    <row r="276" spans="1:2">
      <c r="A276" t="s">
        <v>1724</v>
      </c>
      <c r="B276" t="s">
        <v>1725</v>
      </c>
    </row>
    <row r="277" spans="1:2">
      <c r="A277" t="s">
        <v>1726</v>
      </c>
      <c r="B277" t="s">
        <v>1727</v>
      </c>
    </row>
    <row r="278" spans="1:2">
      <c r="A278" t="s">
        <v>1728</v>
      </c>
      <c r="B278" t="s">
        <v>1729</v>
      </c>
    </row>
    <row r="279" spans="1:2">
      <c r="A279" t="s">
        <v>1730</v>
      </c>
      <c r="B279" t="s">
        <v>1731</v>
      </c>
    </row>
    <row r="280" spans="1:2">
      <c r="A280" t="s">
        <v>1732</v>
      </c>
      <c r="B280" t="s">
        <v>1733</v>
      </c>
    </row>
    <row r="281" spans="1:2">
      <c r="A281" t="s">
        <v>1734</v>
      </c>
      <c r="B281" t="s">
        <v>1735</v>
      </c>
    </row>
    <row r="282" spans="1:2">
      <c r="A282" t="s">
        <v>1736</v>
      </c>
      <c r="B282" t="s">
        <v>1737</v>
      </c>
    </row>
    <row r="283" spans="1:2">
      <c r="A283" t="s">
        <v>1738</v>
      </c>
      <c r="B283" t="s">
        <v>1739</v>
      </c>
    </row>
    <row r="284" spans="1:2">
      <c r="A284" t="s">
        <v>1740</v>
      </c>
      <c r="B284" t="s">
        <v>1741</v>
      </c>
    </row>
    <row r="285" spans="1:2">
      <c r="A285" t="s">
        <v>1742</v>
      </c>
      <c r="B285" t="s">
        <v>1743</v>
      </c>
    </row>
    <row r="286" spans="1:2">
      <c r="A286" t="s">
        <v>1744</v>
      </c>
      <c r="B286" t="s">
        <v>1745</v>
      </c>
    </row>
    <row r="287" spans="1:2">
      <c r="A287" t="s">
        <v>1746</v>
      </c>
      <c r="B287" t="s">
        <v>1747</v>
      </c>
    </row>
    <row r="288" spans="1:2">
      <c r="A288" t="s">
        <v>1748</v>
      </c>
      <c r="B288" t="s">
        <v>1749</v>
      </c>
    </row>
    <row r="289" spans="1:2">
      <c r="A289" t="s">
        <v>1750</v>
      </c>
      <c r="B289" t="s">
        <v>1751</v>
      </c>
    </row>
    <row r="290" spans="1:2">
      <c r="A290" t="s">
        <v>1752</v>
      </c>
      <c r="B290" t="s">
        <v>1753</v>
      </c>
    </row>
    <row r="291" spans="1:2">
      <c r="A291" t="s">
        <v>110</v>
      </c>
      <c r="B291" t="s">
        <v>1754</v>
      </c>
    </row>
    <row r="292" spans="1:2">
      <c r="A292" t="s">
        <v>206</v>
      </c>
      <c r="B292" t="s">
        <v>1755</v>
      </c>
    </row>
    <row r="293" spans="1:2">
      <c r="A293" t="s">
        <v>1756</v>
      </c>
      <c r="B293" t="s">
        <v>1757</v>
      </c>
    </row>
    <row r="294" spans="1:2">
      <c r="A294" t="s">
        <v>732</v>
      </c>
      <c r="B294" t="s">
        <v>1758</v>
      </c>
    </row>
    <row r="295" spans="1:2">
      <c r="A295" t="s">
        <v>1109</v>
      </c>
      <c r="B295" t="s">
        <v>1759</v>
      </c>
    </row>
    <row r="296" spans="1:2">
      <c r="A296" t="s">
        <v>266</v>
      </c>
      <c r="B296" t="s">
        <v>1760</v>
      </c>
    </row>
    <row r="297" spans="1:2">
      <c r="A297" t="s">
        <v>974</v>
      </c>
      <c r="B297" t="s">
        <v>1761</v>
      </c>
    </row>
    <row r="298" spans="1:2">
      <c r="A298" t="s">
        <v>1069</v>
      </c>
      <c r="B298" t="s">
        <v>1762</v>
      </c>
    </row>
    <row r="299" spans="1:2">
      <c r="A299" t="s">
        <v>1763</v>
      </c>
      <c r="B299" t="s">
        <v>1764</v>
      </c>
    </row>
    <row r="300" spans="1:2">
      <c r="A300" t="s">
        <v>1765</v>
      </c>
      <c r="B300" t="s">
        <v>1766</v>
      </c>
    </row>
    <row r="301" spans="1:2">
      <c r="A301" t="s">
        <v>459</v>
      </c>
      <c r="B301" t="s">
        <v>1767</v>
      </c>
    </row>
    <row r="302" spans="1:2">
      <c r="A302" t="s">
        <v>644</v>
      </c>
      <c r="B302" t="s">
        <v>1768</v>
      </c>
    </row>
    <row r="303" spans="1:2">
      <c r="A303" t="s">
        <v>1769</v>
      </c>
      <c r="B303" t="s">
        <v>1770</v>
      </c>
    </row>
    <row r="304" spans="1:2">
      <c r="A304" t="s">
        <v>707</v>
      </c>
      <c r="B304" t="s">
        <v>1771</v>
      </c>
    </row>
    <row r="305" spans="1:2">
      <c r="A305" t="s">
        <v>304</v>
      </c>
      <c r="B305" t="s">
        <v>1772</v>
      </c>
    </row>
    <row r="306" spans="1:2">
      <c r="A306" t="s">
        <v>721</v>
      </c>
      <c r="B306" t="s">
        <v>1773</v>
      </c>
    </row>
    <row r="307" spans="1:2">
      <c r="A307" t="s">
        <v>1774</v>
      </c>
      <c r="B307" t="s">
        <v>1775</v>
      </c>
    </row>
    <row r="308" spans="1:2">
      <c r="A308" t="s">
        <v>1776</v>
      </c>
      <c r="B308" t="s">
        <v>1777</v>
      </c>
    </row>
    <row r="309" spans="1:2">
      <c r="A309" t="s">
        <v>801</v>
      </c>
      <c r="B309" t="s">
        <v>1778</v>
      </c>
    </row>
    <row r="310" spans="1:2">
      <c r="A310" t="s">
        <v>204</v>
      </c>
      <c r="B310" t="s">
        <v>1779</v>
      </c>
    </row>
    <row r="311" spans="1:2">
      <c r="A311" t="s">
        <v>1148</v>
      </c>
      <c r="B311" t="s">
        <v>1780</v>
      </c>
    </row>
    <row r="312" spans="1:2">
      <c r="A312" t="s">
        <v>275</v>
      </c>
      <c r="B312" t="s">
        <v>1781</v>
      </c>
    </row>
    <row r="313" spans="1:2">
      <c r="A313" t="s">
        <v>1140</v>
      </c>
      <c r="B313" t="s">
        <v>1782</v>
      </c>
    </row>
    <row r="314" spans="1:2">
      <c r="A314" t="s">
        <v>499</v>
      </c>
      <c r="B314" t="s">
        <v>1783</v>
      </c>
    </row>
    <row r="315" spans="1:2">
      <c r="A315" t="s">
        <v>1784</v>
      </c>
      <c r="B315" t="s">
        <v>1785</v>
      </c>
    </row>
    <row r="316" spans="1:2">
      <c r="A316" t="s">
        <v>1102</v>
      </c>
      <c r="B316" t="s">
        <v>1786</v>
      </c>
    </row>
    <row r="317" spans="1:2">
      <c r="A317" t="s">
        <v>476</v>
      </c>
      <c r="B317" t="s">
        <v>1787</v>
      </c>
    </row>
    <row r="318" spans="1:2">
      <c r="A318" t="s">
        <v>1788</v>
      </c>
      <c r="B318" t="s">
        <v>1789</v>
      </c>
    </row>
    <row r="319" spans="1:2">
      <c r="A319" t="s">
        <v>1790</v>
      </c>
      <c r="B319" t="s">
        <v>1791</v>
      </c>
    </row>
    <row r="320" spans="1:2">
      <c r="A320" t="s">
        <v>1082</v>
      </c>
      <c r="B320" t="s">
        <v>1792</v>
      </c>
    </row>
    <row r="321" spans="1:2">
      <c r="A321" t="s">
        <v>1793</v>
      </c>
      <c r="B321" t="s">
        <v>1794</v>
      </c>
    </row>
    <row r="322" spans="1:2">
      <c r="A322" t="s">
        <v>393</v>
      </c>
      <c r="B322" t="s">
        <v>1795</v>
      </c>
    </row>
    <row r="323" spans="1:2">
      <c r="A323" t="s">
        <v>382</v>
      </c>
      <c r="B323" t="s">
        <v>1796</v>
      </c>
    </row>
    <row r="324" spans="1:2">
      <c r="A324" t="s">
        <v>790</v>
      </c>
      <c r="B324" t="s">
        <v>1797</v>
      </c>
    </row>
    <row r="325" spans="1:2">
      <c r="A325" t="s">
        <v>1798</v>
      </c>
      <c r="B325" t="s">
        <v>1799</v>
      </c>
    </row>
    <row r="326" spans="1:2">
      <c r="A326" t="s">
        <v>1800</v>
      </c>
      <c r="B326" t="s">
        <v>1801</v>
      </c>
    </row>
    <row r="327" spans="1:2">
      <c r="A327" t="s">
        <v>1802</v>
      </c>
      <c r="B327" t="s">
        <v>1803</v>
      </c>
    </row>
    <row r="328" spans="1:2">
      <c r="A328" t="s">
        <v>1804</v>
      </c>
      <c r="B328" t="s">
        <v>1805</v>
      </c>
    </row>
    <row r="329" spans="1:2">
      <c r="A329" t="s">
        <v>1806</v>
      </c>
      <c r="B329" t="s">
        <v>1807</v>
      </c>
    </row>
    <row r="330" spans="1:2">
      <c r="A330" t="s">
        <v>1808</v>
      </c>
      <c r="B330" t="s">
        <v>1809</v>
      </c>
    </row>
    <row r="331" spans="1:2">
      <c r="A331" t="s">
        <v>1810</v>
      </c>
      <c r="B331" t="s">
        <v>1811</v>
      </c>
    </row>
    <row r="332" spans="1:2">
      <c r="A332" t="s">
        <v>1812</v>
      </c>
      <c r="B332" t="s">
        <v>1813</v>
      </c>
    </row>
    <row r="333" spans="1:2">
      <c r="A333" t="s">
        <v>1814</v>
      </c>
      <c r="B333" t="s">
        <v>1815</v>
      </c>
    </row>
    <row r="334" spans="1:2">
      <c r="A334" t="s">
        <v>1816</v>
      </c>
      <c r="B334" t="s">
        <v>1817</v>
      </c>
    </row>
    <row r="335" spans="1:2">
      <c r="A335" t="s">
        <v>1818</v>
      </c>
      <c r="B335" t="s">
        <v>1819</v>
      </c>
    </row>
    <row r="336" spans="1:2">
      <c r="A336" t="s">
        <v>1820</v>
      </c>
      <c r="B336" t="s">
        <v>1821</v>
      </c>
    </row>
    <row r="337" spans="1:2">
      <c r="A337" t="s">
        <v>1025</v>
      </c>
      <c r="B337" t="s">
        <v>1822</v>
      </c>
    </row>
    <row r="338" spans="1:2">
      <c r="A338" t="s">
        <v>1823</v>
      </c>
      <c r="B338" t="s">
        <v>1824</v>
      </c>
    </row>
    <row r="339" spans="1:2">
      <c r="A339" t="s">
        <v>1825</v>
      </c>
      <c r="B339" t="s">
        <v>1826</v>
      </c>
    </row>
    <row r="340" spans="1:2">
      <c r="A340" t="s">
        <v>1827</v>
      </c>
      <c r="B340" t="s">
        <v>1828</v>
      </c>
    </row>
    <row r="341" spans="1:2">
      <c r="A341" t="s">
        <v>1829</v>
      </c>
      <c r="B341" t="s">
        <v>1830</v>
      </c>
    </row>
    <row r="342" spans="1:2">
      <c r="A342" t="s">
        <v>1831</v>
      </c>
      <c r="B342" t="s">
        <v>1832</v>
      </c>
    </row>
    <row r="343" spans="1:2">
      <c r="A343" t="s">
        <v>1833</v>
      </c>
      <c r="B343" t="s">
        <v>1834</v>
      </c>
    </row>
    <row r="344" spans="1:2">
      <c r="A344" t="s">
        <v>1835</v>
      </c>
      <c r="B344" t="s">
        <v>1836</v>
      </c>
    </row>
    <row r="345" spans="1:2">
      <c r="A345" t="s">
        <v>1837</v>
      </c>
      <c r="B345" t="s">
        <v>1838</v>
      </c>
    </row>
    <row r="346" spans="1:2">
      <c r="A346" t="s">
        <v>1839</v>
      </c>
      <c r="B346" t="s">
        <v>1840</v>
      </c>
    </row>
    <row r="347" spans="1:2">
      <c r="A347" t="s">
        <v>1841</v>
      </c>
      <c r="B347" t="s">
        <v>1842</v>
      </c>
    </row>
    <row r="348" spans="1:2">
      <c r="A348" t="s">
        <v>1843</v>
      </c>
      <c r="B348" t="s">
        <v>1844</v>
      </c>
    </row>
    <row r="349" spans="1:2">
      <c r="A349" t="s">
        <v>1845</v>
      </c>
      <c r="B349" t="s">
        <v>1846</v>
      </c>
    </row>
    <row r="350" spans="1:2">
      <c r="A350" t="s">
        <v>1847</v>
      </c>
      <c r="B350" t="s">
        <v>1848</v>
      </c>
    </row>
    <row r="351" spans="1:2">
      <c r="A351" t="s">
        <v>1849</v>
      </c>
      <c r="B351" t="s">
        <v>1850</v>
      </c>
    </row>
    <row r="352" spans="1:2">
      <c r="A352" t="s">
        <v>1851</v>
      </c>
      <c r="B352" t="s">
        <v>1852</v>
      </c>
    </row>
    <row r="353" spans="1:2">
      <c r="A353" t="s">
        <v>1853</v>
      </c>
      <c r="B353" t="s">
        <v>1854</v>
      </c>
    </row>
    <row r="354" spans="1:2">
      <c r="A354" t="s">
        <v>1855</v>
      </c>
      <c r="B354" t="s">
        <v>1856</v>
      </c>
    </row>
    <row r="355" spans="1:2">
      <c r="A355" t="s">
        <v>1857</v>
      </c>
      <c r="B355" t="s">
        <v>1858</v>
      </c>
    </row>
    <row r="356" spans="1:2">
      <c r="A356" t="s">
        <v>1859</v>
      </c>
      <c r="B356" t="s">
        <v>1860</v>
      </c>
    </row>
    <row r="357" spans="1:2">
      <c r="A357" t="s">
        <v>1861</v>
      </c>
      <c r="B357" t="s">
        <v>1862</v>
      </c>
    </row>
    <row r="358" spans="1:2">
      <c r="A358" t="s">
        <v>1863</v>
      </c>
      <c r="B358" t="s">
        <v>1864</v>
      </c>
    </row>
    <row r="359" spans="1:2">
      <c r="A359" t="s">
        <v>1865</v>
      </c>
      <c r="B359" t="s">
        <v>1866</v>
      </c>
    </row>
    <row r="360" spans="1:2">
      <c r="A360" t="s">
        <v>1867</v>
      </c>
      <c r="B360" t="s">
        <v>1868</v>
      </c>
    </row>
    <row r="361" spans="1:2">
      <c r="A361" t="s">
        <v>1869</v>
      </c>
      <c r="B361" t="s">
        <v>1870</v>
      </c>
    </row>
    <row r="362" spans="1:2">
      <c r="A362" t="s">
        <v>1871</v>
      </c>
      <c r="B362" t="s">
        <v>1872</v>
      </c>
    </row>
    <row r="363" spans="1:2">
      <c r="A363" t="s">
        <v>1873</v>
      </c>
      <c r="B363" t="s">
        <v>1874</v>
      </c>
    </row>
    <row r="364" spans="1:2">
      <c r="A364" t="s">
        <v>1875</v>
      </c>
      <c r="B364" t="s">
        <v>1876</v>
      </c>
    </row>
    <row r="365" spans="1:2">
      <c r="A365" t="s">
        <v>1877</v>
      </c>
      <c r="B365" t="s">
        <v>1878</v>
      </c>
    </row>
    <row r="366" spans="1:2">
      <c r="A366" t="s">
        <v>1879</v>
      </c>
      <c r="B366" t="s">
        <v>1880</v>
      </c>
    </row>
    <row r="367" spans="1:2">
      <c r="A367" t="s">
        <v>1881</v>
      </c>
      <c r="B367" t="s">
        <v>1882</v>
      </c>
    </row>
    <row r="368" spans="1:2">
      <c r="A368" t="s">
        <v>1883</v>
      </c>
      <c r="B368" t="s">
        <v>1884</v>
      </c>
    </row>
    <row r="369" spans="1:2">
      <c r="A369" t="s">
        <v>1885</v>
      </c>
      <c r="B369" t="s">
        <v>1886</v>
      </c>
    </row>
    <row r="370" spans="1:2">
      <c r="A370" t="s">
        <v>1887</v>
      </c>
      <c r="B370" t="s">
        <v>1888</v>
      </c>
    </row>
    <row r="371" spans="1:2">
      <c r="A371" t="s">
        <v>1889</v>
      </c>
      <c r="B371" t="s">
        <v>1890</v>
      </c>
    </row>
    <row r="372" spans="1:2">
      <c r="A372" t="s">
        <v>1891</v>
      </c>
      <c r="B372" t="s">
        <v>1892</v>
      </c>
    </row>
    <row r="373" spans="1:2">
      <c r="A373" t="s">
        <v>1893</v>
      </c>
      <c r="B373" t="s">
        <v>1894</v>
      </c>
    </row>
    <row r="374" spans="1:2">
      <c r="A374" t="s">
        <v>1895</v>
      </c>
      <c r="B374" t="s">
        <v>1896</v>
      </c>
    </row>
    <row r="375" spans="1:2">
      <c r="A375" t="s">
        <v>1897</v>
      </c>
      <c r="B375" t="s">
        <v>1898</v>
      </c>
    </row>
    <row r="376" spans="1:2">
      <c r="A376" t="s">
        <v>1899</v>
      </c>
      <c r="B376" t="s">
        <v>1900</v>
      </c>
    </row>
    <row r="377" spans="1:2">
      <c r="A377" t="s">
        <v>1901</v>
      </c>
      <c r="B377" t="s">
        <v>1902</v>
      </c>
    </row>
    <row r="378" spans="1:2">
      <c r="A378" t="s">
        <v>1903</v>
      </c>
      <c r="B378" t="s">
        <v>1904</v>
      </c>
    </row>
    <row r="379" spans="1:2">
      <c r="A379" t="s">
        <v>1905</v>
      </c>
      <c r="B379" t="s">
        <v>1906</v>
      </c>
    </row>
    <row r="380" spans="1:2">
      <c r="A380" t="s">
        <v>1907</v>
      </c>
      <c r="B380" t="s">
        <v>1908</v>
      </c>
    </row>
    <row r="381" spans="1:2">
      <c r="A381" t="s">
        <v>1909</v>
      </c>
      <c r="B381" t="s">
        <v>1910</v>
      </c>
    </row>
    <row r="382" spans="1:2">
      <c r="A382" t="s">
        <v>1911</v>
      </c>
      <c r="B382" t="s">
        <v>1912</v>
      </c>
    </row>
    <row r="383" spans="1:2">
      <c r="A383" t="s">
        <v>1913</v>
      </c>
      <c r="B383" t="s">
        <v>1914</v>
      </c>
    </row>
    <row r="384" spans="1:2">
      <c r="A384" t="s">
        <v>1915</v>
      </c>
      <c r="B384" t="s">
        <v>1916</v>
      </c>
    </row>
    <row r="385" spans="1:2">
      <c r="A385" t="s">
        <v>1917</v>
      </c>
      <c r="B385" t="s">
        <v>1918</v>
      </c>
    </row>
    <row r="386" spans="1:2">
      <c r="A386" t="s">
        <v>1919</v>
      </c>
      <c r="B386" t="s">
        <v>1920</v>
      </c>
    </row>
    <row r="387" spans="1:2">
      <c r="A387" t="s">
        <v>1921</v>
      </c>
      <c r="B387" t="s">
        <v>1922</v>
      </c>
    </row>
    <row r="388" spans="1:2">
      <c r="A388" t="s">
        <v>1923</v>
      </c>
      <c r="B388" t="s">
        <v>1924</v>
      </c>
    </row>
    <row r="389" spans="1:2">
      <c r="A389" t="s">
        <v>1925</v>
      </c>
      <c r="B389" t="s">
        <v>1926</v>
      </c>
    </row>
    <row r="390" spans="1:2">
      <c r="A390" t="s">
        <v>1927</v>
      </c>
      <c r="B390" t="s">
        <v>1928</v>
      </c>
    </row>
    <row r="391" spans="1:2">
      <c r="A391" t="s">
        <v>807</v>
      </c>
      <c r="B391" t="s">
        <v>1929</v>
      </c>
    </row>
    <row r="392" spans="1:2">
      <c r="A392" t="s">
        <v>948</v>
      </c>
      <c r="B392" t="s">
        <v>1930</v>
      </c>
    </row>
    <row r="393" spans="1:2">
      <c r="A393" t="s">
        <v>651</v>
      </c>
      <c r="B393" t="s">
        <v>1931</v>
      </c>
    </row>
    <row r="394" spans="1:2">
      <c r="A394" t="s">
        <v>328</v>
      </c>
      <c r="B394" t="s">
        <v>1932</v>
      </c>
    </row>
    <row r="395" spans="1:2">
      <c r="A395" t="s">
        <v>1235</v>
      </c>
      <c r="B395" t="s">
        <v>1933</v>
      </c>
    </row>
    <row r="396" spans="1:2">
      <c r="A396" t="s">
        <v>814</v>
      </c>
      <c r="B396" t="s">
        <v>1934</v>
      </c>
    </row>
    <row r="397" spans="1:2">
      <c r="A397" t="s">
        <v>283</v>
      </c>
      <c r="B397" t="s">
        <v>1935</v>
      </c>
    </row>
    <row r="398" spans="1:2">
      <c r="A398" t="s">
        <v>425</v>
      </c>
      <c r="B398" t="s">
        <v>1936</v>
      </c>
    </row>
    <row r="399" spans="1:2">
      <c r="A399" t="s">
        <v>1160</v>
      </c>
      <c r="B399" t="s">
        <v>1937</v>
      </c>
    </row>
    <row r="400" spans="1:2">
      <c r="A400" t="s">
        <v>1106</v>
      </c>
      <c r="B400" t="s">
        <v>1938</v>
      </c>
    </row>
    <row r="401" spans="1:2">
      <c r="A401" t="s">
        <v>299</v>
      </c>
      <c r="B401" t="s">
        <v>1939</v>
      </c>
    </row>
    <row r="402" spans="1:2">
      <c r="A402" t="s">
        <v>602</v>
      </c>
      <c r="B402" t="s">
        <v>1940</v>
      </c>
    </row>
    <row r="403" spans="1:2">
      <c r="A403" t="s">
        <v>1156</v>
      </c>
      <c r="B403" t="s">
        <v>1941</v>
      </c>
    </row>
    <row r="404" spans="1:2">
      <c r="A404" t="s">
        <v>330</v>
      </c>
      <c r="B404" t="s">
        <v>1942</v>
      </c>
    </row>
    <row r="405" spans="1:2">
      <c r="A405" t="s">
        <v>1184</v>
      </c>
      <c r="B405" t="s">
        <v>1943</v>
      </c>
    </row>
    <row r="406" spans="1:2">
      <c r="A406" t="s">
        <v>533</v>
      </c>
      <c r="B406" t="s">
        <v>1944</v>
      </c>
    </row>
    <row r="407" spans="1:2">
      <c r="A407" t="s">
        <v>277</v>
      </c>
      <c r="B407" t="s">
        <v>1945</v>
      </c>
    </row>
    <row r="408" spans="1:2">
      <c r="A408" t="s">
        <v>933</v>
      </c>
      <c r="B408" t="s">
        <v>1946</v>
      </c>
    </row>
    <row r="409" spans="1:2">
      <c r="A409" t="s">
        <v>416</v>
      </c>
      <c r="B409" t="s">
        <v>1947</v>
      </c>
    </row>
    <row r="410" spans="1:2">
      <c r="A410" t="s">
        <v>580</v>
      </c>
      <c r="B410" t="s">
        <v>1948</v>
      </c>
    </row>
    <row r="411" spans="1:2">
      <c r="A411" t="s">
        <v>494</v>
      </c>
      <c r="B411" t="s">
        <v>1949</v>
      </c>
    </row>
    <row r="412" spans="1:2">
      <c r="A412" t="s">
        <v>1059</v>
      </c>
      <c r="B412" t="s">
        <v>1950</v>
      </c>
    </row>
    <row r="413" spans="1:2">
      <c r="A413" t="s">
        <v>516</v>
      </c>
      <c r="B413" t="s">
        <v>1951</v>
      </c>
    </row>
    <row r="414" spans="1:2">
      <c r="A414" t="s">
        <v>158</v>
      </c>
      <c r="B414" t="s">
        <v>1952</v>
      </c>
    </row>
    <row r="415" spans="1:2">
      <c r="A415" t="s">
        <v>403</v>
      </c>
      <c r="B415" t="s">
        <v>1953</v>
      </c>
    </row>
    <row r="416" spans="1:2">
      <c r="A416" t="s">
        <v>885</v>
      </c>
      <c r="B416" t="s">
        <v>1954</v>
      </c>
    </row>
    <row r="417" spans="1:2">
      <c r="A417" t="s">
        <v>362</v>
      </c>
      <c r="B417" t="s">
        <v>1955</v>
      </c>
    </row>
    <row r="418" spans="1:2">
      <c r="A418" t="s">
        <v>771</v>
      </c>
      <c r="B418" t="s">
        <v>1956</v>
      </c>
    </row>
    <row r="419" spans="1:2">
      <c r="A419" t="s">
        <v>925</v>
      </c>
      <c r="B419" t="s">
        <v>1957</v>
      </c>
    </row>
    <row r="420" spans="1:2">
      <c r="A420" t="s">
        <v>769</v>
      </c>
      <c r="B420" t="s">
        <v>1958</v>
      </c>
    </row>
    <row r="421" spans="1:2">
      <c r="A421" t="s">
        <v>887</v>
      </c>
      <c r="B421" t="s">
        <v>1959</v>
      </c>
    </row>
    <row r="422" spans="1:2">
      <c r="A422" t="s">
        <v>345</v>
      </c>
      <c r="B422" t="s">
        <v>1960</v>
      </c>
    </row>
    <row r="423" spans="1:2">
      <c r="A423" t="s">
        <v>1104</v>
      </c>
      <c r="B423" t="s">
        <v>1961</v>
      </c>
    </row>
    <row r="424" spans="1:2">
      <c r="A424" t="s">
        <v>818</v>
      </c>
      <c r="B424" t="s">
        <v>1962</v>
      </c>
    </row>
    <row r="425" spans="1:2">
      <c r="A425" t="s">
        <v>1089</v>
      </c>
      <c r="B425" t="s">
        <v>1963</v>
      </c>
    </row>
    <row r="426" spans="1:2">
      <c r="A426" t="s">
        <v>1014</v>
      </c>
      <c r="B426" t="s">
        <v>1964</v>
      </c>
    </row>
    <row r="427" spans="1:2">
      <c r="A427" t="s">
        <v>834</v>
      </c>
      <c r="B427" t="s">
        <v>1965</v>
      </c>
    </row>
    <row r="428" spans="1:2">
      <c r="A428" t="s">
        <v>1966</v>
      </c>
      <c r="B428" t="s">
        <v>1967</v>
      </c>
    </row>
    <row r="429" spans="1:2">
      <c r="A429" t="s">
        <v>1968</v>
      </c>
      <c r="B429" t="s">
        <v>1969</v>
      </c>
    </row>
    <row r="430" spans="1:2">
      <c r="A430" t="s">
        <v>1970</v>
      </c>
      <c r="B430" t="s">
        <v>1971</v>
      </c>
    </row>
    <row r="431" spans="1:2">
      <c r="A431" t="s">
        <v>1972</v>
      </c>
      <c r="B431" t="s">
        <v>1973</v>
      </c>
    </row>
    <row r="432" spans="1:2">
      <c r="A432" t="s">
        <v>1974</v>
      </c>
      <c r="B432" t="s">
        <v>1975</v>
      </c>
    </row>
    <row r="433" spans="1:2">
      <c r="A433" t="s">
        <v>1127</v>
      </c>
      <c r="B433" t="s">
        <v>1976</v>
      </c>
    </row>
    <row r="434" spans="1:2">
      <c r="A434" t="s">
        <v>42</v>
      </c>
      <c r="B434" t="s">
        <v>1977</v>
      </c>
    </row>
    <row r="435" spans="1:2">
      <c r="A435" t="s">
        <v>1154</v>
      </c>
      <c r="B435" t="s">
        <v>1978</v>
      </c>
    </row>
    <row r="436" spans="1:2">
      <c r="A436" t="s">
        <v>575</v>
      </c>
      <c r="B436" t="s">
        <v>1979</v>
      </c>
    </row>
    <row r="437" spans="1:2">
      <c r="A437" t="s">
        <v>474</v>
      </c>
      <c r="B437" t="s">
        <v>1980</v>
      </c>
    </row>
    <row r="438" spans="1:2">
      <c r="A438" t="s">
        <v>378</v>
      </c>
      <c r="B438" t="s">
        <v>1981</v>
      </c>
    </row>
    <row r="439" spans="1:2">
      <c r="A439" t="s">
        <v>765</v>
      </c>
      <c r="B439" t="s">
        <v>1982</v>
      </c>
    </row>
    <row r="440" spans="1:2">
      <c r="A440" t="s">
        <v>751</v>
      </c>
      <c r="B440" t="s">
        <v>1983</v>
      </c>
    </row>
    <row r="441" spans="1:2">
      <c r="A441" t="s">
        <v>763</v>
      </c>
      <c r="B441" t="s">
        <v>1984</v>
      </c>
    </row>
    <row r="442" spans="1:2">
      <c r="A442" t="s">
        <v>825</v>
      </c>
      <c r="B442" t="s">
        <v>1985</v>
      </c>
    </row>
    <row r="443" spans="1:2">
      <c r="A443" t="s">
        <v>1038</v>
      </c>
      <c r="B443" t="s">
        <v>1986</v>
      </c>
    </row>
    <row r="444" spans="1:2">
      <c r="A444" t="s">
        <v>320</v>
      </c>
      <c r="B444" t="s">
        <v>1987</v>
      </c>
    </row>
    <row r="445" spans="1:2">
      <c r="A445" t="s">
        <v>437</v>
      </c>
      <c r="B445" t="s">
        <v>1988</v>
      </c>
    </row>
    <row r="446" spans="1:2">
      <c r="A446" t="s">
        <v>388</v>
      </c>
      <c r="B446" t="s">
        <v>1989</v>
      </c>
    </row>
    <row r="447" spans="1:2">
      <c r="A447" t="s">
        <v>1990</v>
      </c>
      <c r="B447" t="s">
        <v>1991</v>
      </c>
    </row>
    <row r="448" spans="1:2">
      <c r="A448" t="s">
        <v>1992</v>
      </c>
      <c r="B448" t="s">
        <v>1993</v>
      </c>
    </row>
    <row r="449" spans="1:2">
      <c r="A449" t="s">
        <v>705</v>
      </c>
      <c r="B449" t="s">
        <v>1994</v>
      </c>
    </row>
    <row r="450" spans="1:2">
      <c r="A450" t="s">
        <v>432</v>
      </c>
      <c r="B450" t="s">
        <v>1995</v>
      </c>
    </row>
    <row r="451" spans="1:2">
      <c r="A451" t="s">
        <v>155</v>
      </c>
      <c r="B451" t="s">
        <v>1996</v>
      </c>
    </row>
    <row r="452" spans="1:2">
      <c r="A452" t="s">
        <v>597</v>
      </c>
      <c r="B452" t="s">
        <v>1997</v>
      </c>
    </row>
    <row r="453" spans="1:2">
      <c r="A453" t="s">
        <v>470</v>
      </c>
      <c r="B453" t="s">
        <v>1998</v>
      </c>
    </row>
    <row r="454" spans="1:2">
      <c r="A454" t="s">
        <v>978</v>
      </c>
      <c r="B454" t="s">
        <v>1999</v>
      </c>
    </row>
    <row r="455" spans="1:2">
      <c r="A455" t="s">
        <v>366</v>
      </c>
      <c r="B455" t="s">
        <v>2000</v>
      </c>
    </row>
    <row r="456" spans="1:2">
      <c r="A456" t="s">
        <v>526</v>
      </c>
      <c r="B456" t="s">
        <v>2001</v>
      </c>
    </row>
    <row r="457" spans="1:2">
      <c r="A457" t="s">
        <v>165</v>
      </c>
      <c r="B457" t="s">
        <v>2002</v>
      </c>
    </row>
    <row r="458" spans="1:2">
      <c r="A458" t="s">
        <v>700</v>
      </c>
      <c r="B458" t="s">
        <v>2003</v>
      </c>
    </row>
    <row r="459" spans="1:2">
      <c r="A459" t="s">
        <v>672</v>
      </c>
      <c r="B459" t="s">
        <v>2004</v>
      </c>
    </row>
    <row r="460" spans="1:2">
      <c r="A460" t="s">
        <v>161</v>
      </c>
      <c r="B460" t="s">
        <v>2005</v>
      </c>
    </row>
    <row r="461" spans="1:2">
      <c r="A461" t="s">
        <v>1052</v>
      </c>
      <c r="B461" t="s">
        <v>2006</v>
      </c>
    </row>
    <row r="462" spans="1:2">
      <c r="A462" t="s">
        <v>427</v>
      </c>
      <c r="B462" t="s">
        <v>2007</v>
      </c>
    </row>
    <row r="463" spans="1:2">
      <c r="A463" t="s">
        <v>1132</v>
      </c>
      <c r="B463" t="s">
        <v>2008</v>
      </c>
    </row>
    <row r="464" spans="1:2">
      <c r="A464" t="s">
        <v>221</v>
      </c>
      <c r="B464" t="s">
        <v>2009</v>
      </c>
    </row>
    <row r="465" spans="1:2">
      <c r="A465" t="s">
        <v>2010</v>
      </c>
      <c r="B465" t="s">
        <v>2011</v>
      </c>
    </row>
    <row r="466" spans="1:2">
      <c r="A466" t="s">
        <v>2012</v>
      </c>
      <c r="B466" t="s">
        <v>2013</v>
      </c>
    </row>
    <row r="467" spans="1:2">
      <c r="A467" t="s">
        <v>420</v>
      </c>
      <c r="B467" t="s">
        <v>2014</v>
      </c>
    </row>
    <row r="468" spans="1:2">
      <c r="A468" t="s">
        <v>950</v>
      </c>
      <c r="B468" t="s">
        <v>2015</v>
      </c>
    </row>
    <row r="469" spans="1:2">
      <c r="A469" t="s">
        <v>891</v>
      </c>
      <c r="B469" t="s">
        <v>2016</v>
      </c>
    </row>
    <row r="470" spans="1:2">
      <c r="A470" t="s">
        <v>313</v>
      </c>
      <c r="B470" t="s">
        <v>2017</v>
      </c>
    </row>
    <row r="471" spans="1:2">
      <c r="A471" t="s">
        <v>202</v>
      </c>
      <c r="B471" t="s">
        <v>2018</v>
      </c>
    </row>
    <row r="472" spans="1:2">
      <c r="A472" t="s">
        <v>142</v>
      </c>
      <c r="B472" t="s">
        <v>2019</v>
      </c>
    </row>
    <row r="473" spans="1:2">
      <c r="A473" t="s">
        <v>778</v>
      </c>
      <c r="B473" t="s">
        <v>2020</v>
      </c>
    </row>
    <row r="474" spans="1:2">
      <c r="A474" t="s">
        <v>980</v>
      </c>
      <c r="B474" t="s">
        <v>2021</v>
      </c>
    </row>
    <row r="475" spans="1:2">
      <c r="A475" t="s">
        <v>1164</v>
      </c>
      <c r="B475" t="s">
        <v>2022</v>
      </c>
    </row>
    <row r="476" spans="1:2">
      <c r="A476" t="s">
        <v>343</v>
      </c>
      <c r="B476" t="s">
        <v>2023</v>
      </c>
    </row>
    <row r="477" spans="1:2">
      <c r="A477" t="s">
        <v>1065</v>
      </c>
      <c r="B477" t="s">
        <v>2024</v>
      </c>
    </row>
    <row r="478" spans="1:2">
      <c r="A478" t="s">
        <v>1080</v>
      </c>
      <c r="B478" t="s">
        <v>2025</v>
      </c>
    </row>
    <row r="479" spans="1:2">
      <c r="A479" t="s">
        <v>1032</v>
      </c>
      <c r="B479" t="s">
        <v>2026</v>
      </c>
    </row>
    <row r="480" spans="1:2">
      <c r="A480" t="s">
        <v>510</v>
      </c>
      <c r="B480" t="s">
        <v>2027</v>
      </c>
    </row>
    <row r="481" spans="1:2">
      <c r="A481" t="s">
        <v>931</v>
      </c>
      <c r="B481" t="s">
        <v>2028</v>
      </c>
    </row>
    <row r="482" spans="1:2">
      <c r="A482" t="s">
        <v>1134</v>
      </c>
      <c r="B482" t="s">
        <v>2029</v>
      </c>
    </row>
    <row r="483" spans="1:2">
      <c r="A483" t="s">
        <v>246</v>
      </c>
      <c r="B483" t="s">
        <v>2030</v>
      </c>
    </row>
    <row r="484" spans="1:2">
      <c r="A484" t="s">
        <v>595</v>
      </c>
      <c r="B484" t="s">
        <v>2031</v>
      </c>
    </row>
    <row r="485" spans="1:2">
      <c r="A485" t="s">
        <v>614</v>
      </c>
      <c r="B485" t="s">
        <v>2032</v>
      </c>
    </row>
    <row r="486" spans="1:2">
      <c r="A486" t="s">
        <v>306</v>
      </c>
      <c r="B486" t="s">
        <v>2033</v>
      </c>
    </row>
    <row r="487" spans="1:2">
      <c r="A487" t="s">
        <v>796</v>
      </c>
      <c r="B487" t="s">
        <v>2034</v>
      </c>
    </row>
    <row r="488" spans="1:2">
      <c r="A488" t="s">
        <v>112</v>
      </c>
      <c r="B488" t="s">
        <v>2035</v>
      </c>
    </row>
    <row r="489" spans="1:2">
      <c r="A489" t="s">
        <v>2036</v>
      </c>
      <c r="B489" t="s">
        <v>2037</v>
      </c>
    </row>
    <row r="490" spans="1:2">
      <c r="A490" t="s">
        <v>44</v>
      </c>
      <c r="B490" t="s">
        <v>2038</v>
      </c>
    </row>
    <row r="491" spans="1:2">
      <c r="A491" t="s">
        <v>1144</v>
      </c>
      <c r="B491" t="s">
        <v>2039</v>
      </c>
    </row>
    <row r="492" spans="1:2">
      <c r="A492" t="s">
        <v>537</v>
      </c>
      <c r="B492" t="s">
        <v>2040</v>
      </c>
    </row>
    <row r="493" spans="1:2">
      <c r="A493" t="s">
        <v>610</v>
      </c>
      <c r="B493" t="s">
        <v>2041</v>
      </c>
    </row>
    <row r="494" spans="1:2">
      <c r="A494" t="s">
        <v>121</v>
      </c>
      <c r="B494" t="s">
        <v>2042</v>
      </c>
    </row>
    <row r="495" spans="1:2">
      <c r="A495" t="s">
        <v>881</v>
      </c>
      <c r="B495" t="s">
        <v>2043</v>
      </c>
    </row>
    <row r="496" spans="1:2">
      <c r="A496" t="s">
        <v>881</v>
      </c>
      <c r="B496" t="s">
        <v>2044</v>
      </c>
    </row>
    <row r="497" spans="1:2">
      <c r="A497" t="s">
        <v>429</v>
      </c>
      <c r="B497" t="s">
        <v>2045</v>
      </c>
    </row>
    <row r="498" spans="1:2">
      <c r="A498" t="s">
        <v>195</v>
      </c>
      <c r="B498" t="s">
        <v>2046</v>
      </c>
    </row>
    <row r="499" spans="1:2">
      <c r="A499" t="s">
        <v>347</v>
      </c>
      <c r="B499" t="s">
        <v>2047</v>
      </c>
    </row>
    <row r="500" spans="1:2">
      <c r="A500" t="s">
        <v>941</v>
      </c>
      <c r="B500" t="s">
        <v>2048</v>
      </c>
    </row>
    <row r="501" spans="1:2">
      <c r="A501" t="s">
        <v>1111</v>
      </c>
      <c r="B501" t="s">
        <v>2049</v>
      </c>
    </row>
    <row r="502" spans="1:2">
      <c r="A502" t="s">
        <v>997</v>
      </c>
      <c r="B502" t="s">
        <v>2050</v>
      </c>
    </row>
    <row r="503" spans="1:2">
      <c r="A503" t="s">
        <v>749</v>
      </c>
      <c r="B503" t="s">
        <v>2051</v>
      </c>
    </row>
    <row r="504" spans="1:2">
      <c r="A504" t="s">
        <v>1067</v>
      </c>
      <c r="B504" t="s">
        <v>2052</v>
      </c>
    </row>
    <row r="505" spans="1:2">
      <c r="A505" t="s">
        <v>582</v>
      </c>
      <c r="B505" t="s">
        <v>2053</v>
      </c>
    </row>
    <row r="506" spans="1:2">
      <c r="A506" t="s">
        <v>179</v>
      </c>
      <c r="B506" t="s">
        <v>2054</v>
      </c>
    </row>
    <row r="507" spans="1:2">
      <c r="A507" t="s">
        <v>179</v>
      </c>
      <c r="B507" t="s">
        <v>2055</v>
      </c>
    </row>
    <row r="508" spans="1:2">
      <c r="A508" t="s">
        <v>197</v>
      </c>
      <c r="B508" t="s">
        <v>2056</v>
      </c>
    </row>
    <row r="509" spans="1:2">
      <c r="A509" t="s">
        <v>2057</v>
      </c>
      <c r="B509" t="s">
        <v>2058</v>
      </c>
    </row>
    <row r="510" spans="1:2">
      <c r="A510" t="s">
        <v>338</v>
      </c>
      <c r="B510" t="s">
        <v>2059</v>
      </c>
    </row>
    <row r="511" spans="1:2">
      <c r="A511" t="s">
        <v>612</v>
      </c>
      <c r="B511" t="s">
        <v>2060</v>
      </c>
    </row>
    <row r="512" spans="1:2">
      <c r="A512" t="s">
        <v>1071</v>
      </c>
      <c r="B512" t="s">
        <v>2061</v>
      </c>
    </row>
    <row r="513" spans="1:2">
      <c r="A513" t="s">
        <v>356</v>
      </c>
      <c r="B513" t="s">
        <v>2062</v>
      </c>
    </row>
    <row r="514" spans="1:2">
      <c r="A514" t="s">
        <v>590</v>
      </c>
      <c r="B514" t="s">
        <v>2063</v>
      </c>
    </row>
    <row r="515" spans="1:2">
      <c r="A515" t="s">
        <v>168</v>
      </c>
      <c r="B515" t="s">
        <v>2064</v>
      </c>
    </row>
    <row r="516" spans="1:2">
      <c r="A516" t="s">
        <v>917</v>
      </c>
      <c r="B516" t="s">
        <v>2065</v>
      </c>
    </row>
    <row r="517" spans="1:2">
      <c r="A517" t="s">
        <v>849</v>
      </c>
      <c r="B517" t="s">
        <v>2066</v>
      </c>
    </row>
    <row r="518" spans="1:2">
      <c r="A518" t="s">
        <v>2067</v>
      </c>
      <c r="B518" t="s">
        <v>2068</v>
      </c>
    </row>
    <row r="519" spans="1:2">
      <c r="A519" t="s">
        <v>297</v>
      </c>
      <c r="B519" t="s">
        <v>2069</v>
      </c>
    </row>
    <row r="520" spans="1:2">
      <c r="A520" t="s">
        <v>1171</v>
      </c>
      <c r="B520" t="s">
        <v>2070</v>
      </c>
    </row>
    <row r="521" spans="1:2">
      <c r="A521" t="s">
        <v>805</v>
      </c>
      <c r="B521" t="s">
        <v>2071</v>
      </c>
    </row>
    <row r="522" spans="1:2">
      <c r="A522" t="s">
        <v>262</v>
      </c>
      <c r="B522" t="s">
        <v>2072</v>
      </c>
    </row>
    <row r="523" spans="1:2">
      <c r="A523" t="s">
        <v>674</v>
      </c>
      <c r="B523" t="s">
        <v>2073</v>
      </c>
    </row>
    <row r="524" spans="1:2">
      <c r="A524" t="s">
        <v>1227</v>
      </c>
      <c r="B524" t="s">
        <v>2074</v>
      </c>
    </row>
    <row r="525" spans="1:2">
      <c r="A525" t="s">
        <v>1044</v>
      </c>
      <c r="B525" t="s">
        <v>2075</v>
      </c>
    </row>
    <row r="526" spans="1:2">
      <c r="A526" t="s">
        <v>193</v>
      </c>
      <c r="B526" t="s">
        <v>2076</v>
      </c>
    </row>
    <row r="527" spans="1:2">
      <c r="A527" t="s">
        <v>1207</v>
      </c>
      <c r="B527" t="s">
        <v>2077</v>
      </c>
    </row>
    <row r="528" spans="1:2">
      <c r="A528" t="s">
        <v>946</v>
      </c>
      <c r="B528" t="s">
        <v>2078</v>
      </c>
    </row>
    <row r="529" spans="1:2">
      <c r="A529" t="s">
        <v>877</v>
      </c>
      <c r="B529" t="s">
        <v>2079</v>
      </c>
    </row>
    <row r="530" spans="1:2">
      <c r="A530" t="s">
        <v>810</v>
      </c>
      <c r="B530" t="s">
        <v>2080</v>
      </c>
    </row>
    <row r="531" spans="1:2">
      <c r="A531" t="s">
        <v>641</v>
      </c>
      <c r="B531" t="s">
        <v>2081</v>
      </c>
    </row>
    <row r="532" spans="1:2">
      <c r="A532" t="s">
        <v>62</v>
      </c>
      <c r="B532" t="s">
        <v>2082</v>
      </c>
    </row>
    <row r="533" spans="1:2">
      <c r="A533" t="s">
        <v>713</v>
      </c>
      <c r="B533" t="s">
        <v>2083</v>
      </c>
    </row>
    <row r="534" spans="1:2">
      <c r="A534" t="s">
        <v>448</v>
      </c>
      <c r="B534" t="s">
        <v>2084</v>
      </c>
    </row>
    <row r="535" spans="1:2">
      <c r="A535" t="s">
        <v>64</v>
      </c>
      <c r="B535" t="s">
        <v>2085</v>
      </c>
    </row>
    <row r="536" spans="1:2">
      <c r="A536" t="s">
        <v>2086</v>
      </c>
      <c r="B536" t="s">
        <v>2087</v>
      </c>
    </row>
    <row r="537" spans="1:2">
      <c r="A537" t="s">
        <v>2088</v>
      </c>
      <c r="B537" t="s">
        <v>2089</v>
      </c>
    </row>
    <row r="538" spans="1:2">
      <c r="A538" t="s">
        <v>2090</v>
      </c>
      <c r="B538" t="s">
        <v>2091</v>
      </c>
    </row>
    <row r="539" spans="1:2">
      <c r="A539" t="s">
        <v>2092</v>
      </c>
      <c r="B539" t="s">
        <v>2093</v>
      </c>
    </row>
    <row r="540" spans="1:2">
      <c r="A540" t="s">
        <v>2094</v>
      </c>
      <c r="B540" t="s">
        <v>2095</v>
      </c>
    </row>
    <row r="541" spans="1:2">
      <c r="A541" t="s">
        <v>2096</v>
      </c>
      <c r="B541" t="s">
        <v>2097</v>
      </c>
    </row>
    <row r="542" spans="1:2">
      <c r="A542" t="s">
        <v>2098</v>
      </c>
      <c r="B542" t="s">
        <v>2099</v>
      </c>
    </row>
    <row r="543" spans="1:2">
      <c r="A543" t="s">
        <v>2100</v>
      </c>
      <c r="B543" t="s">
        <v>2101</v>
      </c>
    </row>
    <row r="544" spans="1:2">
      <c r="A544" t="s">
        <v>2102</v>
      </c>
      <c r="B544" t="s">
        <v>2103</v>
      </c>
    </row>
    <row r="545" spans="1:2">
      <c r="A545" t="s">
        <v>2104</v>
      </c>
      <c r="B545" t="s">
        <v>2105</v>
      </c>
    </row>
    <row r="546" spans="1:2">
      <c r="A546" t="s">
        <v>2106</v>
      </c>
      <c r="B546" t="s">
        <v>2107</v>
      </c>
    </row>
    <row r="547" spans="1:2">
      <c r="A547" t="s">
        <v>2108</v>
      </c>
      <c r="B547" t="s">
        <v>2109</v>
      </c>
    </row>
    <row r="548" spans="1:2">
      <c r="A548" t="s">
        <v>2110</v>
      </c>
      <c r="B548" t="s">
        <v>2111</v>
      </c>
    </row>
    <row r="549" spans="1:2">
      <c r="A549" t="s">
        <v>2112</v>
      </c>
      <c r="B549" t="s">
        <v>2113</v>
      </c>
    </row>
    <row r="550" spans="1:2">
      <c r="A550" t="s">
        <v>2114</v>
      </c>
      <c r="B550" t="s">
        <v>2115</v>
      </c>
    </row>
    <row r="551" spans="1:2">
      <c r="A551" t="s">
        <v>2116</v>
      </c>
      <c r="B551" t="s">
        <v>2117</v>
      </c>
    </row>
    <row r="552" spans="1:2">
      <c r="A552" t="s">
        <v>2118</v>
      </c>
      <c r="B552" t="s">
        <v>2119</v>
      </c>
    </row>
    <row r="553" spans="1:2">
      <c r="A553" t="s">
        <v>2120</v>
      </c>
      <c r="B553" t="s">
        <v>2121</v>
      </c>
    </row>
    <row r="554" spans="1:2">
      <c r="A554" t="s">
        <v>2122</v>
      </c>
      <c r="B554" t="s">
        <v>2123</v>
      </c>
    </row>
    <row r="555" spans="1:2">
      <c r="A555" t="s">
        <v>2124</v>
      </c>
      <c r="B555" t="s">
        <v>2125</v>
      </c>
    </row>
    <row r="556" spans="1:2">
      <c r="A556" t="s">
        <v>2126</v>
      </c>
      <c r="B556" t="s">
        <v>2127</v>
      </c>
    </row>
    <row r="557" spans="1:2">
      <c r="A557" t="s">
        <v>2128</v>
      </c>
      <c r="B557" t="s">
        <v>2129</v>
      </c>
    </row>
    <row r="558" spans="1:2">
      <c r="A558" t="s">
        <v>2130</v>
      </c>
      <c r="B558" t="s">
        <v>2131</v>
      </c>
    </row>
    <row r="559" spans="1:2">
      <c r="A559" t="s">
        <v>2132</v>
      </c>
      <c r="B559" t="s">
        <v>2133</v>
      </c>
    </row>
    <row r="560" spans="1:2">
      <c r="A560" t="s">
        <v>2134</v>
      </c>
      <c r="B560" t="s">
        <v>2135</v>
      </c>
    </row>
    <row r="561" spans="1:2">
      <c r="A561" t="s">
        <v>2136</v>
      </c>
      <c r="B561" t="s">
        <v>2137</v>
      </c>
    </row>
    <row r="562" spans="1:2">
      <c r="A562" t="s">
        <v>2138</v>
      </c>
      <c r="B562" t="s">
        <v>2139</v>
      </c>
    </row>
    <row r="563" spans="1:2">
      <c r="A563" t="s">
        <v>2140</v>
      </c>
      <c r="B563" t="s">
        <v>2141</v>
      </c>
    </row>
    <row r="564" spans="1:2">
      <c r="A564" t="s">
        <v>2142</v>
      </c>
      <c r="B564" t="s">
        <v>2143</v>
      </c>
    </row>
    <row r="565" spans="1:2">
      <c r="A565" t="s">
        <v>90</v>
      </c>
      <c r="B565" t="s">
        <v>2144</v>
      </c>
    </row>
    <row r="566" spans="1:2">
      <c r="A566" t="s">
        <v>2145</v>
      </c>
      <c r="B566" t="s">
        <v>2146</v>
      </c>
    </row>
    <row r="567" spans="1:2">
      <c r="A567" t="s">
        <v>2147</v>
      </c>
      <c r="B567" t="s">
        <v>2148</v>
      </c>
    </row>
    <row r="568" spans="1:2">
      <c r="A568" t="s">
        <v>2149</v>
      </c>
      <c r="B568" t="s">
        <v>2150</v>
      </c>
    </row>
    <row r="569" spans="1:2">
      <c r="A569" t="s">
        <v>2151</v>
      </c>
      <c r="B569" t="s">
        <v>2152</v>
      </c>
    </row>
    <row r="570" spans="1:2">
      <c r="A570" t="s">
        <v>2153</v>
      </c>
      <c r="B570" t="s">
        <v>2154</v>
      </c>
    </row>
    <row r="571" spans="1:2">
      <c r="A571" t="s">
        <v>2155</v>
      </c>
      <c r="B571" t="s">
        <v>2156</v>
      </c>
    </row>
    <row r="572" spans="1:2">
      <c r="A572" t="s">
        <v>88</v>
      </c>
      <c r="B572" t="s">
        <v>2157</v>
      </c>
    </row>
    <row r="573" spans="1:2">
      <c r="A573" t="s">
        <v>332</v>
      </c>
      <c r="B573" t="s">
        <v>2158</v>
      </c>
    </row>
    <row r="574" spans="1:2">
      <c r="A574" t="s">
        <v>125</v>
      </c>
      <c r="B574" t="s">
        <v>2159</v>
      </c>
    </row>
    <row r="575" spans="1:2">
      <c r="A575" t="s">
        <v>1010</v>
      </c>
      <c r="B575" t="s">
        <v>2160</v>
      </c>
    </row>
    <row r="576" spans="1:2">
      <c r="A576" t="s">
        <v>2161</v>
      </c>
      <c r="B576" t="s">
        <v>2162</v>
      </c>
    </row>
    <row r="577" spans="1:2">
      <c r="A577" t="s">
        <v>341</v>
      </c>
      <c r="B577" t="s">
        <v>2163</v>
      </c>
    </row>
    <row r="578" spans="1:2">
      <c r="A578" t="s">
        <v>2164</v>
      </c>
      <c r="B578" t="s">
        <v>2165</v>
      </c>
    </row>
    <row r="579" spans="1:2">
      <c r="A579" t="s">
        <v>915</v>
      </c>
      <c r="B579" t="s">
        <v>2166</v>
      </c>
    </row>
    <row r="580" spans="1:2">
      <c r="A580" t="s">
        <v>349</v>
      </c>
      <c r="B580" t="s">
        <v>2167</v>
      </c>
    </row>
    <row r="581" spans="1:2">
      <c r="A581" t="s">
        <v>2168</v>
      </c>
      <c r="B581" t="s">
        <v>2169</v>
      </c>
    </row>
    <row r="582" spans="1:2">
      <c r="A582" t="s">
        <v>2170</v>
      </c>
      <c r="B582" t="s">
        <v>2171</v>
      </c>
    </row>
    <row r="583" spans="1:2">
      <c r="A583" t="s">
        <v>2172</v>
      </c>
      <c r="B583" t="s">
        <v>2173</v>
      </c>
    </row>
    <row r="584" spans="1:2">
      <c r="A584" t="s">
        <v>2174</v>
      </c>
      <c r="B584" t="s">
        <v>2175</v>
      </c>
    </row>
    <row r="585" spans="1:2">
      <c r="A585" t="s">
        <v>2176</v>
      </c>
      <c r="B585" t="s">
        <v>2177</v>
      </c>
    </row>
    <row r="586" spans="1:2">
      <c r="A586" t="s">
        <v>812</v>
      </c>
      <c r="B586" t="s">
        <v>2178</v>
      </c>
    </row>
    <row r="587" spans="1:2">
      <c r="A587" t="s">
        <v>638</v>
      </c>
      <c r="B587" t="s">
        <v>2179</v>
      </c>
    </row>
    <row r="588" spans="1:2">
      <c r="A588" t="s">
        <v>2180</v>
      </c>
      <c r="B588" t="s">
        <v>2181</v>
      </c>
    </row>
    <row r="589" spans="1:2">
      <c r="A589" t="s">
        <v>2182</v>
      </c>
      <c r="B589" t="s">
        <v>2183</v>
      </c>
    </row>
    <row r="590" spans="1:2">
      <c r="A590" t="s">
        <v>2184</v>
      </c>
      <c r="B590" t="s">
        <v>2185</v>
      </c>
    </row>
    <row r="591" spans="1:2">
      <c r="A591" t="s">
        <v>2186</v>
      </c>
      <c r="B591" t="s">
        <v>2187</v>
      </c>
    </row>
    <row r="592" spans="1:2">
      <c r="A592" t="s">
        <v>2188</v>
      </c>
      <c r="B592" t="s">
        <v>2189</v>
      </c>
    </row>
    <row r="593" spans="1:2">
      <c r="A593" t="s">
        <v>622</v>
      </c>
      <c r="B593" t="s">
        <v>2190</v>
      </c>
    </row>
    <row r="594" spans="1:2">
      <c r="A594" t="s">
        <v>2191</v>
      </c>
      <c r="B594" t="s">
        <v>2192</v>
      </c>
    </row>
    <row r="595" spans="1:2">
      <c r="A595" t="s">
        <v>505</v>
      </c>
      <c r="B595" t="s">
        <v>2193</v>
      </c>
    </row>
    <row r="596" spans="1:2">
      <c r="A596" t="s">
        <v>454</v>
      </c>
      <c r="B596" t="s">
        <v>2194</v>
      </c>
    </row>
    <row r="597" spans="1:2">
      <c r="A597" t="s">
        <v>659</v>
      </c>
      <c r="B597" t="s">
        <v>2195</v>
      </c>
    </row>
    <row r="598" spans="1:2">
      <c r="A598" t="s">
        <v>2196</v>
      </c>
      <c r="B598" t="s">
        <v>2197</v>
      </c>
    </row>
    <row r="599" spans="1:2">
      <c r="A599" t="s">
        <v>2198</v>
      </c>
      <c r="B599" t="s">
        <v>2199</v>
      </c>
    </row>
    <row r="600" spans="1:2">
      <c r="A600" t="s">
        <v>2200</v>
      </c>
      <c r="B600" t="s">
        <v>2201</v>
      </c>
    </row>
    <row r="601" spans="1:2">
      <c r="A601" t="s">
        <v>1061</v>
      </c>
      <c r="B601" t="s">
        <v>2202</v>
      </c>
    </row>
    <row r="602" spans="1:2">
      <c r="A602" t="s">
        <v>1125</v>
      </c>
      <c r="B602" t="s">
        <v>2203</v>
      </c>
    </row>
    <row r="603" spans="1:2">
      <c r="A603" t="s">
        <v>2204</v>
      </c>
      <c r="B603" t="s">
        <v>2205</v>
      </c>
    </row>
    <row r="604" spans="1:2">
      <c r="A604" t="s">
        <v>2206</v>
      </c>
      <c r="B604" t="s">
        <v>2207</v>
      </c>
    </row>
    <row r="605" spans="1:2">
      <c r="A605" t="s">
        <v>2208</v>
      </c>
      <c r="B605" t="s">
        <v>2209</v>
      </c>
    </row>
    <row r="606" spans="1:2">
      <c r="A606" t="s">
        <v>456</v>
      </c>
      <c r="B606" t="s">
        <v>2210</v>
      </c>
    </row>
    <row r="607" spans="1:2">
      <c r="A607" t="s">
        <v>2211</v>
      </c>
      <c r="B607" t="s">
        <v>2212</v>
      </c>
    </row>
    <row r="608" spans="1:2">
      <c r="A608" t="s">
        <v>2213</v>
      </c>
      <c r="B608" t="s">
        <v>2214</v>
      </c>
    </row>
    <row r="609" spans="1:2">
      <c r="A609" t="s">
        <v>908</v>
      </c>
      <c r="B609" t="s">
        <v>2215</v>
      </c>
    </row>
    <row r="610" spans="1:2">
      <c r="A610" t="s">
        <v>2216</v>
      </c>
      <c r="B610" t="s">
        <v>2217</v>
      </c>
    </row>
    <row r="611" spans="1:2">
      <c r="A611" t="s">
        <v>937</v>
      </c>
      <c r="B611" t="s">
        <v>2218</v>
      </c>
    </row>
    <row r="612" spans="1:2">
      <c r="A612" t="s">
        <v>1007</v>
      </c>
      <c r="B612" t="s">
        <v>2219</v>
      </c>
    </row>
    <row r="613" spans="1:2">
      <c r="A613" t="s">
        <v>2220</v>
      </c>
      <c r="B613" t="s">
        <v>2221</v>
      </c>
    </row>
    <row r="614" spans="1:2">
      <c r="A614" t="s">
        <v>2222</v>
      </c>
      <c r="B614" t="s">
        <v>2223</v>
      </c>
    </row>
    <row r="615" spans="1:2">
      <c r="A615" t="s">
        <v>2224</v>
      </c>
      <c r="B615" t="s">
        <v>2225</v>
      </c>
    </row>
    <row r="616" spans="1:2">
      <c r="A616" t="s">
        <v>255</v>
      </c>
      <c r="B616" t="s">
        <v>2226</v>
      </c>
    </row>
    <row r="617" spans="1:2">
      <c r="A617" t="s">
        <v>2227</v>
      </c>
      <c r="B617" t="s">
        <v>2228</v>
      </c>
    </row>
    <row r="618" spans="1:2">
      <c r="A618" t="s">
        <v>2229</v>
      </c>
      <c r="B618" t="s">
        <v>2230</v>
      </c>
    </row>
    <row r="619" spans="1:2">
      <c r="A619" t="s">
        <v>2231</v>
      </c>
      <c r="B619" t="s">
        <v>2232</v>
      </c>
    </row>
    <row r="620" spans="1:2">
      <c r="A620" t="s">
        <v>2233</v>
      </c>
      <c r="B620" t="s">
        <v>2234</v>
      </c>
    </row>
    <row r="621" spans="1:2">
      <c r="A621" t="s">
        <v>2235</v>
      </c>
      <c r="B621" t="s">
        <v>2236</v>
      </c>
    </row>
    <row r="622" spans="1:2">
      <c r="A622" t="s">
        <v>2237</v>
      </c>
      <c r="B622" t="s">
        <v>2238</v>
      </c>
    </row>
    <row r="623" spans="1:2">
      <c r="A623" t="s">
        <v>2239</v>
      </c>
      <c r="B623" t="s">
        <v>2240</v>
      </c>
    </row>
    <row r="624" spans="1:2">
      <c r="A624" t="s">
        <v>2241</v>
      </c>
      <c r="B624" t="s">
        <v>2242</v>
      </c>
    </row>
    <row r="625" spans="1:2">
      <c r="A625" t="s">
        <v>2243</v>
      </c>
      <c r="B625" t="s">
        <v>2244</v>
      </c>
    </row>
    <row r="626" spans="1:2">
      <c r="A626" t="s">
        <v>2245</v>
      </c>
      <c r="B626" t="s">
        <v>2246</v>
      </c>
    </row>
    <row r="627" spans="1:2">
      <c r="A627" t="s">
        <v>2247</v>
      </c>
      <c r="B627" t="s">
        <v>2248</v>
      </c>
    </row>
    <row r="628" spans="1:2">
      <c r="A628" t="s">
        <v>2249</v>
      </c>
      <c r="B628" t="s">
        <v>2250</v>
      </c>
    </row>
    <row r="629" spans="1:2">
      <c r="A629" t="s">
        <v>2251</v>
      </c>
      <c r="B629" t="s">
        <v>2252</v>
      </c>
    </row>
    <row r="630" spans="1:2">
      <c r="A630" t="s">
        <v>2253</v>
      </c>
      <c r="B630" t="s">
        <v>2254</v>
      </c>
    </row>
    <row r="631" spans="1:2">
      <c r="A631" t="s">
        <v>2255</v>
      </c>
      <c r="B631" t="s">
        <v>2256</v>
      </c>
    </row>
    <row r="632" spans="1:2">
      <c r="A632" t="s">
        <v>2257</v>
      </c>
      <c r="B632" t="s">
        <v>2258</v>
      </c>
    </row>
    <row r="633" spans="1:2">
      <c r="A633" t="s">
        <v>2259</v>
      </c>
      <c r="B633" t="s">
        <v>2260</v>
      </c>
    </row>
    <row r="634" spans="1:2">
      <c r="A634" t="s">
        <v>2261</v>
      </c>
      <c r="B634" t="s">
        <v>2262</v>
      </c>
    </row>
    <row r="635" spans="1:2">
      <c r="A635" t="s">
        <v>2263</v>
      </c>
      <c r="B635" t="s">
        <v>2264</v>
      </c>
    </row>
    <row r="636" spans="1:2">
      <c r="A636" t="s">
        <v>2265</v>
      </c>
      <c r="B636" t="s">
        <v>2266</v>
      </c>
    </row>
    <row r="637" spans="1:2">
      <c r="A637" t="s">
        <v>2267</v>
      </c>
      <c r="B637" t="s">
        <v>2268</v>
      </c>
    </row>
    <row r="638" spans="1:2">
      <c r="A638" t="s">
        <v>2269</v>
      </c>
      <c r="B638" t="s">
        <v>2270</v>
      </c>
    </row>
    <row r="639" spans="1:2">
      <c r="A639" t="s">
        <v>2271</v>
      </c>
      <c r="B639" t="s">
        <v>2272</v>
      </c>
    </row>
    <row r="640" spans="1:2">
      <c r="A640" t="s">
        <v>2273</v>
      </c>
      <c r="B640" t="s">
        <v>2274</v>
      </c>
    </row>
    <row r="641" spans="1:2">
      <c r="A641" t="s">
        <v>2275</v>
      </c>
      <c r="B641" t="s">
        <v>2276</v>
      </c>
    </row>
    <row r="642" spans="1:2">
      <c r="A642" t="s">
        <v>2277</v>
      </c>
      <c r="B642" t="s">
        <v>2278</v>
      </c>
    </row>
    <row r="643" spans="1:2">
      <c r="A643" t="s">
        <v>2279</v>
      </c>
      <c r="B643" t="s">
        <v>2280</v>
      </c>
    </row>
    <row r="644" spans="1:2">
      <c r="A644" t="s">
        <v>2281</v>
      </c>
      <c r="B644" t="s">
        <v>2282</v>
      </c>
    </row>
    <row r="645" spans="1:2">
      <c r="A645" t="s">
        <v>2283</v>
      </c>
      <c r="B645" t="s">
        <v>2284</v>
      </c>
    </row>
    <row r="646" spans="1:2">
      <c r="A646" t="s">
        <v>2285</v>
      </c>
      <c r="B646" t="s">
        <v>2286</v>
      </c>
    </row>
    <row r="647" spans="1:2">
      <c r="A647" t="s">
        <v>2287</v>
      </c>
      <c r="B647" t="s">
        <v>2288</v>
      </c>
    </row>
    <row r="648" spans="1:2">
      <c r="A648" t="s">
        <v>2289</v>
      </c>
      <c r="B648" t="s">
        <v>2290</v>
      </c>
    </row>
    <row r="649" spans="1:2">
      <c r="A649" t="s">
        <v>2291</v>
      </c>
      <c r="B649" t="s">
        <v>2292</v>
      </c>
    </row>
    <row r="650" spans="1:2">
      <c r="A650" t="s">
        <v>2293</v>
      </c>
      <c r="B650" t="s">
        <v>2294</v>
      </c>
    </row>
    <row r="651" spans="1:2">
      <c r="A651" t="s">
        <v>2295</v>
      </c>
      <c r="B651" t="s">
        <v>2296</v>
      </c>
    </row>
    <row r="652" spans="1:2">
      <c r="A652" t="s">
        <v>2297</v>
      </c>
      <c r="B652" t="s">
        <v>2298</v>
      </c>
    </row>
    <row r="653" spans="1:2">
      <c r="A653" t="s">
        <v>2299</v>
      </c>
      <c r="B653" t="s">
        <v>2300</v>
      </c>
    </row>
    <row r="654" spans="1:2">
      <c r="A654" t="s">
        <v>2301</v>
      </c>
      <c r="B654" t="s">
        <v>2302</v>
      </c>
    </row>
    <row r="655" spans="1:2">
      <c r="A655" t="s">
        <v>2303</v>
      </c>
      <c r="B655" t="s">
        <v>2304</v>
      </c>
    </row>
    <row r="656" spans="1:2">
      <c r="A656" t="s">
        <v>2305</v>
      </c>
      <c r="B656" t="s">
        <v>2306</v>
      </c>
    </row>
    <row r="657" spans="1:2">
      <c r="A657" t="s">
        <v>2307</v>
      </c>
      <c r="B657" t="s">
        <v>2308</v>
      </c>
    </row>
    <row r="658" spans="1:2">
      <c r="A658" t="s">
        <v>2309</v>
      </c>
      <c r="B658" t="s">
        <v>2310</v>
      </c>
    </row>
    <row r="659" spans="1:2">
      <c r="A659" t="s">
        <v>2311</v>
      </c>
      <c r="B659" t="s">
        <v>2312</v>
      </c>
    </row>
    <row r="660" spans="1:2">
      <c r="A660" t="s">
        <v>2313</v>
      </c>
      <c r="B660" t="s">
        <v>2314</v>
      </c>
    </row>
    <row r="661" spans="1:2">
      <c r="A661" t="s">
        <v>2315</v>
      </c>
      <c r="B661" t="s">
        <v>2316</v>
      </c>
    </row>
    <row r="662" spans="1:2">
      <c r="A662" t="s">
        <v>2317</v>
      </c>
      <c r="B662" t="s">
        <v>2318</v>
      </c>
    </row>
    <row r="663" spans="1:2">
      <c r="A663" t="s">
        <v>2319</v>
      </c>
      <c r="B663" t="s">
        <v>2320</v>
      </c>
    </row>
    <row r="664" spans="1:2">
      <c r="A664" t="s">
        <v>2321</v>
      </c>
      <c r="B664" t="s">
        <v>2322</v>
      </c>
    </row>
    <row r="665" spans="1:2">
      <c r="A665" t="s">
        <v>2323</v>
      </c>
      <c r="B665" t="s">
        <v>2324</v>
      </c>
    </row>
    <row r="666" spans="1:2">
      <c r="A666" t="s">
        <v>2325</v>
      </c>
      <c r="B666" t="s">
        <v>2326</v>
      </c>
    </row>
    <row r="667" spans="1:2">
      <c r="A667" t="s">
        <v>2327</v>
      </c>
      <c r="B667" t="s">
        <v>2328</v>
      </c>
    </row>
    <row r="668" spans="1:2">
      <c r="A668" t="s">
        <v>2329</v>
      </c>
      <c r="B668" t="s">
        <v>2330</v>
      </c>
    </row>
    <row r="669" spans="1:2">
      <c r="A669" t="s">
        <v>2331</v>
      </c>
      <c r="B669" t="s">
        <v>2332</v>
      </c>
    </row>
    <row r="670" spans="1:2">
      <c r="A670" t="s">
        <v>2333</v>
      </c>
      <c r="B670" t="s">
        <v>2334</v>
      </c>
    </row>
    <row r="671" spans="1:2">
      <c r="A671" t="s">
        <v>2335</v>
      </c>
      <c r="B671" t="s">
        <v>2336</v>
      </c>
    </row>
    <row r="672" spans="1:2">
      <c r="A672" t="s">
        <v>2337</v>
      </c>
      <c r="B672" t="s">
        <v>2338</v>
      </c>
    </row>
    <row r="673" spans="1:2">
      <c r="A673" t="s">
        <v>2339</v>
      </c>
      <c r="B673" t="s">
        <v>2340</v>
      </c>
    </row>
    <row r="674" spans="1:2">
      <c r="A674" t="s">
        <v>2341</v>
      </c>
      <c r="B674" t="s">
        <v>2342</v>
      </c>
    </row>
    <row r="675" spans="1:2">
      <c r="A675" t="s">
        <v>2343</v>
      </c>
      <c r="B675" t="s">
        <v>2344</v>
      </c>
    </row>
    <row r="676" spans="1:2">
      <c r="A676" t="s">
        <v>2345</v>
      </c>
      <c r="B676" t="s">
        <v>2346</v>
      </c>
    </row>
    <row r="677" spans="1:2">
      <c r="A677" t="s">
        <v>2347</v>
      </c>
      <c r="B677" t="s">
        <v>2348</v>
      </c>
    </row>
    <row r="678" spans="1:2">
      <c r="A678" t="s">
        <v>2349</v>
      </c>
      <c r="B678" t="s">
        <v>2350</v>
      </c>
    </row>
    <row r="679" spans="1:2">
      <c r="A679" t="s">
        <v>2351</v>
      </c>
      <c r="B679" t="s">
        <v>2352</v>
      </c>
    </row>
    <row r="680" spans="1:2">
      <c r="A680" t="s">
        <v>2353</v>
      </c>
      <c r="B680" t="s">
        <v>2354</v>
      </c>
    </row>
    <row r="681" spans="1:2">
      <c r="A681" t="s">
        <v>2355</v>
      </c>
      <c r="B681" t="s">
        <v>2356</v>
      </c>
    </row>
    <row r="682" spans="1:2">
      <c r="A682" t="s">
        <v>2357</v>
      </c>
      <c r="B682" t="s">
        <v>2358</v>
      </c>
    </row>
    <row r="683" spans="1:2">
      <c r="A683" t="s">
        <v>2359</v>
      </c>
      <c r="B683" t="s">
        <v>2360</v>
      </c>
    </row>
    <row r="684" spans="1:2">
      <c r="A684" t="s">
        <v>2361</v>
      </c>
      <c r="B684" t="s">
        <v>2362</v>
      </c>
    </row>
    <row r="685" spans="1:2">
      <c r="A685" t="s">
        <v>2363</v>
      </c>
      <c r="B685" t="s">
        <v>2364</v>
      </c>
    </row>
    <row r="686" spans="1:2">
      <c r="A686" t="s">
        <v>2365</v>
      </c>
      <c r="B686" t="s">
        <v>2366</v>
      </c>
    </row>
    <row r="687" spans="1:2">
      <c r="A687" t="s">
        <v>2367</v>
      </c>
      <c r="B687" t="s">
        <v>2368</v>
      </c>
    </row>
    <row r="688" spans="1:2">
      <c r="A688" t="s">
        <v>2369</v>
      </c>
      <c r="B688" t="s">
        <v>2370</v>
      </c>
    </row>
    <row r="689" spans="1:2">
      <c r="A689" t="s">
        <v>2371</v>
      </c>
      <c r="B689" t="s">
        <v>2372</v>
      </c>
    </row>
    <row r="690" spans="1:2">
      <c r="A690" t="s">
        <v>2373</v>
      </c>
      <c r="B690" t="s">
        <v>2374</v>
      </c>
    </row>
    <row r="691" spans="1:2">
      <c r="A691" t="s">
        <v>2375</v>
      </c>
      <c r="B691" t="s">
        <v>2376</v>
      </c>
    </row>
    <row r="692" spans="1:2">
      <c r="A692" t="s">
        <v>2377</v>
      </c>
      <c r="B692" t="s">
        <v>2378</v>
      </c>
    </row>
    <row r="693" spans="1:2">
      <c r="A693" t="s">
        <v>2379</v>
      </c>
      <c r="B693" t="s">
        <v>2380</v>
      </c>
    </row>
    <row r="694" spans="1:2">
      <c r="A694" t="s">
        <v>2381</v>
      </c>
      <c r="B694" t="s">
        <v>2382</v>
      </c>
    </row>
    <row r="695" spans="1:2">
      <c r="A695" t="s">
        <v>2383</v>
      </c>
      <c r="B695" t="s">
        <v>2384</v>
      </c>
    </row>
    <row r="696" spans="1:2">
      <c r="A696" t="s">
        <v>2385</v>
      </c>
      <c r="B696" t="s">
        <v>2386</v>
      </c>
    </row>
    <row r="697" spans="1:2">
      <c r="A697" t="s">
        <v>2387</v>
      </c>
      <c r="B697" t="s">
        <v>2388</v>
      </c>
    </row>
    <row r="698" spans="1:2">
      <c r="A698" t="s">
        <v>2389</v>
      </c>
      <c r="B698" t="s">
        <v>2390</v>
      </c>
    </row>
    <row r="699" spans="1:2">
      <c r="A699" t="s">
        <v>2391</v>
      </c>
      <c r="B699" t="s">
        <v>2392</v>
      </c>
    </row>
    <row r="700" spans="1:2">
      <c r="A700" t="s">
        <v>2393</v>
      </c>
      <c r="B700" t="s">
        <v>2394</v>
      </c>
    </row>
    <row r="701" spans="1:2">
      <c r="A701" t="s">
        <v>2395</v>
      </c>
      <c r="B701" t="s">
        <v>2396</v>
      </c>
    </row>
    <row r="702" spans="1:2">
      <c r="A702" t="s">
        <v>2397</v>
      </c>
      <c r="B702" t="s">
        <v>2398</v>
      </c>
    </row>
    <row r="703" spans="1:2">
      <c r="A703" t="s">
        <v>2399</v>
      </c>
      <c r="B703" t="s">
        <v>2400</v>
      </c>
    </row>
    <row r="704" spans="1:2">
      <c r="A704" t="s">
        <v>2401</v>
      </c>
      <c r="B704" t="s">
        <v>2402</v>
      </c>
    </row>
    <row r="705" spans="1:2">
      <c r="A705" t="s">
        <v>2403</v>
      </c>
      <c r="B705" t="s">
        <v>2404</v>
      </c>
    </row>
    <row r="706" spans="1:2">
      <c r="A706" t="s">
        <v>2405</v>
      </c>
      <c r="B706" t="s">
        <v>2406</v>
      </c>
    </row>
    <row r="707" spans="1:2">
      <c r="A707" t="s">
        <v>2407</v>
      </c>
      <c r="B707" t="s">
        <v>2408</v>
      </c>
    </row>
    <row r="708" spans="1:2">
      <c r="A708" t="s">
        <v>2409</v>
      </c>
      <c r="B708" t="s">
        <v>2410</v>
      </c>
    </row>
    <row r="709" spans="1:2">
      <c r="A709" t="s">
        <v>2411</v>
      </c>
      <c r="B709" t="s">
        <v>2412</v>
      </c>
    </row>
    <row r="710" spans="1:2">
      <c r="A710" t="s">
        <v>2413</v>
      </c>
      <c r="B710" t="s">
        <v>2414</v>
      </c>
    </row>
    <row r="711" spans="1:2">
      <c r="A711" t="s">
        <v>2415</v>
      </c>
      <c r="B711" t="s">
        <v>2416</v>
      </c>
    </row>
    <row r="712" spans="1:2">
      <c r="A712" t="s">
        <v>2417</v>
      </c>
      <c r="B712" t="s">
        <v>2418</v>
      </c>
    </row>
    <row r="713" spans="1:2">
      <c r="A713" t="s">
        <v>2419</v>
      </c>
      <c r="B713" t="s">
        <v>2420</v>
      </c>
    </row>
    <row r="714" spans="1:2">
      <c r="A714" t="s">
        <v>2421</v>
      </c>
      <c r="B714" t="s">
        <v>2422</v>
      </c>
    </row>
    <row r="715" spans="1:2">
      <c r="A715" t="s">
        <v>2423</v>
      </c>
      <c r="B715" t="s">
        <v>2424</v>
      </c>
    </row>
    <row r="716" spans="1:2">
      <c r="A716" t="s">
        <v>2425</v>
      </c>
      <c r="B716" t="s">
        <v>2426</v>
      </c>
    </row>
    <row r="717" spans="1:2">
      <c r="A717" t="s">
        <v>2427</v>
      </c>
      <c r="B717" t="s">
        <v>2428</v>
      </c>
    </row>
    <row r="718" spans="1:2">
      <c r="A718" t="s">
        <v>2429</v>
      </c>
      <c r="B718" t="s">
        <v>2430</v>
      </c>
    </row>
    <row r="719" spans="1:2">
      <c r="A719" t="s">
        <v>2431</v>
      </c>
      <c r="B719" t="s">
        <v>2432</v>
      </c>
    </row>
    <row r="720" spans="1:2">
      <c r="A720" t="s">
        <v>2433</v>
      </c>
      <c r="B720" t="s">
        <v>2434</v>
      </c>
    </row>
    <row r="721" spans="1:2">
      <c r="A721" t="s">
        <v>2435</v>
      </c>
      <c r="B721" t="s">
        <v>2436</v>
      </c>
    </row>
    <row r="722" spans="1:2">
      <c r="A722" t="s">
        <v>2437</v>
      </c>
      <c r="B722" t="s">
        <v>2438</v>
      </c>
    </row>
    <row r="723" spans="1:2">
      <c r="A723" t="s">
        <v>2439</v>
      </c>
      <c r="B723" t="s">
        <v>2440</v>
      </c>
    </row>
    <row r="724" spans="1:2">
      <c r="A724" t="s">
        <v>2441</v>
      </c>
      <c r="B724" t="s">
        <v>2442</v>
      </c>
    </row>
    <row r="725" spans="1:2">
      <c r="A725" t="s">
        <v>2443</v>
      </c>
      <c r="B725" t="s">
        <v>2444</v>
      </c>
    </row>
    <row r="726" spans="1:2">
      <c r="A726" t="s">
        <v>2445</v>
      </c>
      <c r="B726" t="s">
        <v>2446</v>
      </c>
    </row>
    <row r="727" spans="1:2">
      <c r="A727" t="s">
        <v>2447</v>
      </c>
      <c r="B727" t="s">
        <v>2448</v>
      </c>
    </row>
    <row r="728" spans="1:2">
      <c r="A728" t="s">
        <v>2449</v>
      </c>
      <c r="B728" t="s">
        <v>2450</v>
      </c>
    </row>
    <row r="729" spans="1:2">
      <c r="A729" t="s">
        <v>2451</v>
      </c>
      <c r="B729" t="s">
        <v>2452</v>
      </c>
    </row>
    <row r="730" spans="1:2">
      <c r="A730" t="s">
        <v>2453</v>
      </c>
      <c r="B730" t="s">
        <v>2454</v>
      </c>
    </row>
    <row r="731" spans="1:2">
      <c r="A731" t="s">
        <v>2455</v>
      </c>
      <c r="B731" t="s">
        <v>2456</v>
      </c>
    </row>
    <row r="732" spans="1:2">
      <c r="A732" t="s">
        <v>2457</v>
      </c>
      <c r="B732" t="s">
        <v>2458</v>
      </c>
    </row>
    <row r="733" spans="1:2">
      <c r="A733" t="s">
        <v>2459</v>
      </c>
      <c r="B733" t="s">
        <v>2460</v>
      </c>
    </row>
    <row r="734" spans="1:2">
      <c r="A734" t="s">
        <v>2461</v>
      </c>
      <c r="B734" t="s">
        <v>2462</v>
      </c>
    </row>
    <row r="735" spans="1:2">
      <c r="A735" t="s">
        <v>2463</v>
      </c>
      <c r="B735" t="s">
        <v>2464</v>
      </c>
    </row>
    <row r="736" spans="1:2">
      <c r="A736" t="s">
        <v>2465</v>
      </c>
      <c r="B736" t="s">
        <v>2466</v>
      </c>
    </row>
    <row r="737" spans="1:2">
      <c r="A737" t="s">
        <v>2467</v>
      </c>
      <c r="B737" t="s">
        <v>2468</v>
      </c>
    </row>
    <row r="738" spans="1:2">
      <c r="A738" t="s">
        <v>2469</v>
      </c>
      <c r="B738" t="s">
        <v>2470</v>
      </c>
    </row>
    <row r="739" spans="1:2">
      <c r="A739" t="s">
        <v>2471</v>
      </c>
      <c r="B739" t="s">
        <v>2472</v>
      </c>
    </row>
    <row r="740" spans="1:2">
      <c r="A740" t="s">
        <v>2473</v>
      </c>
      <c r="B740" t="s">
        <v>2474</v>
      </c>
    </row>
    <row r="741" spans="1:2">
      <c r="A741" t="s">
        <v>2475</v>
      </c>
      <c r="B741" t="s">
        <v>2476</v>
      </c>
    </row>
    <row r="742" spans="1:2">
      <c r="A742" t="s">
        <v>2477</v>
      </c>
      <c r="B742" t="s">
        <v>2478</v>
      </c>
    </row>
    <row r="743" spans="1:2">
      <c r="A743" t="s">
        <v>2479</v>
      </c>
      <c r="B743" t="s">
        <v>2480</v>
      </c>
    </row>
    <row r="744" spans="1:2">
      <c r="A744" t="s">
        <v>2481</v>
      </c>
      <c r="B744" t="s">
        <v>2482</v>
      </c>
    </row>
    <row r="745" spans="1:2">
      <c r="A745" t="s">
        <v>2483</v>
      </c>
      <c r="B745" t="s">
        <v>2484</v>
      </c>
    </row>
    <row r="746" spans="1:2">
      <c r="A746" t="s">
        <v>2485</v>
      </c>
      <c r="B746" t="s">
        <v>2486</v>
      </c>
    </row>
    <row r="747" spans="1:2">
      <c r="A747" t="s">
        <v>2487</v>
      </c>
      <c r="B747" t="s">
        <v>2488</v>
      </c>
    </row>
    <row r="748" spans="1:2">
      <c r="A748" t="s">
        <v>2489</v>
      </c>
      <c r="B748" t="s">
        <v>2490</v>
      </c>
    </row>
    <row r="749" spans="1:2">
      <c r="A749" t="s">
        <v>2491</v>
      </c>
      <c r="B749" t="s">
        <v>2492</v>
      </c>
    </row>
    <row r="750" spans="1:2">
      <c r="A750" t="s">
        <v>2493</v>
      </c>
      <c r="B750" t="s">
        <v>2494</v>
      </c>
    </row>
    <row r="751" spans="1:2">
      <c r="A751" t="s">
        <v>2495</v>
      </c>
      <c r="B751" t="s">
        <v>2496</v>
      </c>
    </row>
    <row r="752" spans="1:2">
      <c r="A752" t="s">
        <v>2497</v>
      </c>
      <c r="B752" t="s">
        <v>2498</v>
      </c>
    </row>
    <row r="753" spans="1:2">
      <c r="A753" t="s">
        <v>2499</v>
      </c>
      <c r="B753" t="s">
        <v>2500</v>
      </c>
    </row>
    <row r="754" spans="1:2">
      <c r="A754" t="s">
        <v>2501</v>
      </c>
      <c r="B754" t="s">
        <v>2502</v>
      </c>
    </row>
    <row r="755" spans="1:2">
      <c r="A755" t="s">
        <v>2503</v>
      </c>
      <c r="B755" t="s">
        <v>2504</v>
      </c>
    </row>
    <row r="756" spans="1:2">
      <c r="A756" t="s">
        <v>2505</v>
      </c>
      <c r="B756" t="s">
        <v>2506</v>
      </c>
    </row>
    <row r="757" spans="1:2">
      <c r="A757" t="s">
        <v>2507</v>
      </c>
      <c r="B757" t="s">
        <v>2508</v>
      </c>
    </row>
    <row r="758" spans="1:2">
      <c r="A758" t="s">
        <v>2509</v>
      </c>
      <c r="B758" t="s">
        <v>2510</v>
      </c>
    </row>
    <row r="759" spans="1:2">
      <c r="A759" t="s">
        <v>2511</v>
      </c>
      <c r="B759" t="s">
        <v>2512</v>
      </c>
    </row>
    <row r="760" spans="1:2">
      <c r="A760" t="s">
        <v>2513</v>
      </c>
      <c r="B760" t="s">
        <v>2514</v>
      </c>
    </row>
    <row r="761" spans="1:2">
      <c r="A761" t="s">
        <v>2515</v>
      </c>
      <c r="B761" t="s">
        <v>2516</v>
      </c>
    </row>
    <row r="762" spans="1:2">
      <c r="A762" t="s">
        <v>2517</v>
      </c>
      <c r="B762" t="s">
        <v>2518</v>
      </c>
    </row>
    <row r="763" spans="1:2">
      <c r="A763" t="s">
        <v>2519</v>
      </c>
      <c r="B763" t="s">
        <v>2520</v>
      </c>
    </row>
    <row r="764" spans="1:2">
      <c r="A764" t="s">
        <v>2521</v>
      </c>
      <c r="B764" t="s">
        <v>2522</v>
      </c>
    </row>
    <row r="765" spans="1:2">
      <c r="A765" t="s">
        <v>2523</v>
      </c>
      <c r="B765" t="s">
        <v>2524</v>
      </c>
    </row>
    <row r="766" spans="1:2">
      <c r="A766" t="s">
        <v>2525</v>
      </c>
      <c r="B766" t="s">
        <v>2526</v>
      </c>
    </row>
    <row r="767" spans="1:2">
      <c r="A767" t="s">
        <v>2527</v>
      </c>
      <c r="B767" t="s">
        <v>2528</v>
      </c>
    </row>
    <row r="768" spans="1:2">
      <c r="A768" t="s">
        <v>2529</v>
      </c>
      <c r="B768" t="s">
        <v>2530</v>
      </c>
    </row>
    <row r="769" spans="1:2">
      <c r="A769" t="s">
        <v>2531</v>
      </c>
      <c r="B769" t="s">
        <v>2532</v>
      </c>
    </row>
    <row r="770" spans="1:2">
      <c r="A770" t="s">
        <v>2533</v>
      </c>
      <c r="B770" t="s">
        <v>2534</v>
      </c>
    </row>
    <row r="771" spans="1:2">
      <c r="A771" t="s">
        <v>2535</v>
      </c>
      <c r="B771" t="s">
        <v>2536</v>
      </c>
    </row>
    <row r="772" spans="1:2">
      <c r="A772" t="s">
        <v>2537</v>
      </c>
      <c r="B772" t="s">
        <v>2538</v>
      </c>
    </row>
    <row r="773" spans="1:2">
      <c r="A773" t="s">
        <v>2539</v>
      </c>
      <c r="B773" t="s">
        <v>2540</v>
      </c>
    </row>
    <row r="774" spans="1:2">
      <c r="A774" t="s">
        <v>2541</v>
      </c>
      <c r="B774" t="s">
        <v>2542</v>
      </c>
    </row>
    <row r="775" spans="1:2">
      <c r="A775" t="s">
        <v>2543</v>
      </c>
      <c r="B775" t="s">
        <v>2544</v>
      </c>
    </row>
    <row r="776" spans="1:2">
      <c r="A776" t="s">
        <v>2545</v>
      </c>
      <c r="B776" t="s">
        <v>2546</v>
      </c>
    </row>
    <row r="777" spans="1:2">
      <c r="A777" t="s">
        <v>2547</v>
      </c>
      <c r="B777" t="s">
        <v>2548</v>
      </c>
    </row>
    <row r="778" spans="1:2">
      <c r="A778" t="s">
        <v>2549</v>
      </c>
      <c r="B778" t="s">
        <v>2550</v>
      </c>
    </row>
    <row r="779" spans="1:2">
      <c r="A779" t="s">
        <v>2551</v>
      </c>
      <c r="B779" t="s">
        <v>2552</v>
      </c>
    </row>
    <row r="780" spans="1:2">
      <c r="A780" t="s">
        <v>2553</v>
      </c>
      <c r="B780" t="s">
        <v>2554</v>
      </c>
    </row>
    <row r="781" spans="1:2">
      <c r="A781" t="s">
        <v>2555</v>
      </c>
      <c r="B781" t="s">
        <v>2556</v>
      </c>
    </row>
    <row r="782" spans="1:2">
      <c r="A782" t="s">
        <v>2557</v>
      </c>
      <c r="B782" t="s">
        <v>2558</v>
      </c>
    </row>
    <row r="783" spans="1:2">
      <c r="A783" t="s">
        <v>2559</v>
      </c>
      <c r="B783" t="s">
        <v>2560</v>
      </c>
    </row>
    <row r="784" spans="1:2">
      <c r="A784" t="s">
        <v>2561</v>
      </c>
      <c r="B784" t="s">
        <v>2562</v>
      </c>
    </row>
    <row r="785" spans="1:2">
      <c r="A785" t="s">
        <v>2563</v>
      </c>
      <c r="B785" t="s">
        <v>2564</v>
      </c>
    </row>
    <row r="786" spans="1:2">
      <c r="A786" t="s">
        <v>2565</v>
      </c>
      <c r="B786" t="s">
        <v>2566</v>
      </c>
    </row>
    <row r="787" spans="1:2">
      <c r="A787" t="s">
        <v>2567</v>
      </c>
      <c r="B787" t="s">
        <v>2568</v>
      </c>
    </row>
    <row r="788" spans="1:2">
      <c r="A788" t="s">
        <v>2569</v>
      </c>
      <c r="B788" t="s">
        <v>2570</v>
      </c>
    </row>
    <row r="789" spans="1:2">
      <c r="A789" t="s">
        <v>2571</v>
      </c>
      <c r="B789" t="s">
        <v>2572</v>
      </c>
    </row>
    <row r="790" spans="1:2">
      <c r="A790" t="s">
        <v>2573</v>
      </c>
      <c r="B790" t="s">
        <v>2574</v>
      </c>
    </row>
    <row r="791" spans="1:2">
      <c r="A791" t="s">
        <v>2575</v>
      </c>
      <c r="B791" t="s">
        <v>2576</v>
      </c>
    </row>
    <row r="792" spans="1:2">
      <c r="A792" t="s">
        <v>2577</v>
      </c>
      <c r="B792" t="s">
        <v>2578</v>
      </c>
    </row>
    <row r="793" spans="1:2">
      <c r="A793" t="s">
        <v>2579</v>
      </c>
      <c r="B793" t="s">
        <v>2580</v>
      </c>
    </row>
    <row r="794" spans="1:2">
      <c r="A794" t="s">
        <v>2581</v>
      </c>
      <c r="B794" t="s">
        <v>2582</v>
      </c>
    </row>
    <row r="795" spans="1:2">
      <c r="A795" t="s">
        <v>2583</v>
      </c>
      <c r="B795" t="s">
        <v>2584</v>
      </c>
    </row>
    <row r="796" spans="1:2">
      <c r="A796" t="s">
        <v>2585</v>
      </c>
      <c r="B796" t="s">
        <v>2586</v>
      </c>
    </row>
    <row r="797" spans="1:2">
      <c r="A797" t="s">
        <v>2587</v>
      </c>
      <c r="B797" t="s">
        <v>2588</v>
      </c>
    </row>
    <row r="798" spans="1:2">
      <c r="A798" t="s">
        <v>2589</v>
      </c>
      <c r="B798" t="s">
        <v>2590</v>
      </c>
    </row>
    <row r="799" spans="1:2">
      <c r="A799" t="s">
        <v>2591</v>
      </c>
      <c r="B799" t="s">
        <v>2592</v>
      </c>
    </row>
    <row r="800" spans="1:2">
      <c r="A800" t="s">
        <v>2593</v>
      </c>
      <c r="B800" t="s">
        <v>2594</v>
      </c>
    </row>
    <row r="801" spans="1:2">
      <c r="A801" t="s">
        <v>2595</v>
      </c>
      <c r="B801" t="s">
        <v>2596</v>
      </c>
    </row>
    <row r="802" spans="1:2">
      <c r="A802" t="s">
        <v>2597</v>
      </c>
      <c r="B802" t="s">
        <v>2598</v>
      </c>
    </row>
    <row r="803" spans="1:2">
      <c r="A803" t="s">
        <v>2599</v>
      </c>
      <c r="B803" t="s">
        <v>2600</v>
      </c>
    </row>
    <row r="804" spans="1:2">
      <c r="A804" t="s">
        <v>2601</v>
      </c>
      <c r="B804" t="s">
        <v>2602</v>
      </c>
    </row>
    <row r="805" spans="1:2">
      <c r="A805" t="s">
        <v>2603</v>
      </c>
      <c r="B805" t="s">
        <v>2604</v>
      </c>
    </row>
    <row r="806" spans="1:2">
      <c r="A806" t="s">
        <v>2605</v>
      </c>
      <c r="B806" t="s">
        <v>2606</v>
      </c>
    </row>
    <row r="807" spans="1:2">
      <c r="A807" t="s">
        <v>2607</v>
      </c>
      <c r="B807" t="s">
        <v>2608</v>
      </c>
    </row>
    <row r="808" spans="1:2">
      <c r="A808" t="s">
        <v>2609</v>
      </c>
      <c r="B808" t="s">
        <v>2610</v>
      </c>
    </row>
    <row r="809" spans="1:2">
      <c r="A809" t="s">
        <v>2611</v>
      </c>
      <c r="B809" t="s">
        <v>2612</v>
      </c>
    </row>
    <row r="810" spans="1:2">
      <c r="A810" t="s">
        <v>2613</v>
      </c>
      <c r="B810" t="s">
        <v>2614</v>
      </c>
    </row>
    <row r="811" spans="1:2">
      <c r="A811" t="s">
        <v>2615</v>
      </c>
      <c r="B811" t="s">
        <v>2616</v>
      </c>
    </row>
    <row r="812" spans="1:2">
      <c r="A812" t="s">
        <v>2617</v>
      </c>
      <c r="B812" t="s">
        <v>2618</v>
      </c>
    </row>
    <row r="813" spans="1:2">
      <c r="A813" t="s">
        <v>2619</v>
      </c>
      <c r="B813" t="s">
        <v>2620</v>
      </c>
    </row>
    <row r="814" spans="1:2">
      <c r="A814" t="s">
        <v>2621</v>
      </c>
      <c r="B814" t="s">
        <v>2622</v>
      </c>
    </row>
    <row r="815" spans="1:2">
      <c r="A815" t="s">
        <v>2623</v>
      </c>
      <c r="B815" t="s">
        <v>2624</v>
      </c>
    </row>
    <row r="816" spans="1:2">
      <c r="A816" t="s">
        <v>2625</v>
      </c>
      <c r="B816" t="s">
        <v>2626</v>
      </c>
    </row>
    <row r="817" spans="1:2">
      <c r="A817" t="s">
        <v>2627</v>
      </c>
      <c r="B817" t="s">
        <v>2628</v>
      </c>
    </row>
    <row r="818" spans="1:2">
      <c r="A818" t="s">
        <v>2629</v>
      </c>
      <c r="B818" t="s">
        <v>2630</v>
      </c>
    </row>
    <row r="819" spans="1:2">
      <c r="A819" t="s">
        <v>2631</v>
      </c>
      <c r="B819" t="s">
        <v>2632</v>
      </c>
    </row>
    <row r="820" spans="1:2">
      <c r="A820" t="s">
        <v>2633</v>
      </c>
      <c r="B820" t="s">
        <v>2634</v>
      </c>
    </row>
    <row r="821" spans="1:2">
      <c r="A821" t="s">
        <v>2635</v>
      </c>
      <c r="B821" t="s">
        <v>2636</v>
      </c>
    </row>
    <row r="822" spans="1:2">
      <c r="A822" t="s">
        <v>2637</v>
      </c>
      <c r="B822" t="s">
        <v>2638</v>
      </c>
    </row>
    <row r="823" spans="1:2">
      <c r="A823" t="s">
        <v>2639</v>
      </c>
      <c r="B823" t="s">
        <v>2640</v>
      </c>
    </row>
    <row r="824" spans="1:2">
      <c r="A824" t="s">
        <v>2641</v>
      </c>
      <c r="B824" t="s">
        <v>2642</v>
      </c>
    </row>
    <row r="825" spans="1:2">
      <c r="A825" t="s">
        <v>2643</v>
      </c>
      <c r="B825" t="s">
        <v>2644</v>
      </c>
    </row>
    <row r="826" spans="1:2">
      <c r="A826" t="s">
        <v>2645</v>
      </c>
      <c r="B826" t="s">
        <v>2646</v>
      </c>
    </row>
    <row r="827" spans="1:2">
      <c r="A827" t="s">
        <v>2647</v>
      </c>
      <c r="B827" t="s">
        <v>2648</v>
      </c>
    </row>
    <row r="828" spans="1:2">
      <c r="A828" t="s">
        <v>2649</v>
      </c>
      <c r="B828" t="s">
        <v>2650</v>
      </c>
    </row>
    <row r="829" spans="1:2">
      <c r="A829" t="s">
        <v>2651</v>
      </c>
      <c r="B829" t="s">
        <v>2652</v>
      </c>
    </row>
    <row r="830" spans="1:2">
      <c r="A830" t="s">
        <v>2653</v>
      </c>
      <c r="B830" t="s">
        <v>2654</v>
      </c>
    </row>
    <row r="831" spans="1:2">
      <c r="A831" t="s">
        <v>2655</v>
      </c>
      <c r="B831" t="s">
        <v>2656</v>
      </c>
    </row>
    <row r="832" spans="1:2">
      <c r="A832" t="s">
        <v>2657</v>
      </c>
      <c r="B832" t="s">
        <v>2658</v>
      </c>
    </row>
    <row r="833" spans="1:2">
      <c r="A833" t="s">
        <v>2659</v>
      </c>
      <c r="B833" t="s">
        <v>2660</v>
      </c>
    </row>
    <row r="834" spans="1:2">
      <c r="A834" t="s">
        <v>2661</v>
      </c>
      <c r="B834" t="s">
        <v>2662</v>
      </c>
    </row>
    <row r="835" spans="1:2">
      <c r="A835" t="s">
        <v>2663</v>
      </c>
      <c r="B835" t="s">
        <v>2664</v>
      </c>
    </row>
    <row r="836" spans="1:2">
      <c r="A836" t="s">
        <v>2665</v>
      </c>
      <c r="B836" t="s">
        <v>2666</v>
      </c>
    </row>
    <row r="837" spans="1:2">
      <c r="A837" t="s">
        <v>2667</v>
      </c>
      <c r="B837" t="s">
        <v>2668</v>
      </c>
    </row>
    <row r="838" spans="1:2">
      <c r="A838" t="s">
        <v>2669</v>
      </c>
      <c r="B838" t="s">
        <v>2670</v>
      </c>
    </row>
    <row r="839" spans="1:2">
      <c r="A839" t="s">
        <v>2671</v>
      </c>
      <c r="B839" t="s">
        <v>2672</v>
      </c>
    </row>
    <row r="840" spans="1:2">
      <c r="A840" t="s">
        <v>2673</v>
      </c>
      <c r="B840" t="s">
        <v>2674</v>
      </c>
    </row>
    <row r="841" spans="1:2">
      <c r="A841" t="s">
        <v>2675</v>
      </c>
      <c r="B841" t="s">
        <v>2676</v>
      </c>
    </row>
    <row r="842" spans="1:2">
      <c r="A842" t="s">
        <v>2677</v>
      </c>
      <c r="B842" t="s">
        <v>2678</v>
      </c>
    </row>
    <row r="843" spans="1:2">
      <c r="A843" t="s">
        <v>2679</v>
      </c>
      <c r="B843" t="s">
        <v>2680</v>
      </c>
    </row>
    <row r="844" spans="1:2">
      <c r="A844" t="s">
        <v>2681</v>
      </c>
      <c r="B844" t="s">
        <v>2682</v>
      </c>
    </row>
    <row r="845" spans="1:2">
      <c r="A845" t="s">
        <v>2683</v>
      </c>
      <c r="B845" t="s">
        <v>2684</v>
      </c>
    </row>
    <row r="846" spans="1:2">
      <c r="A846" t="s">
        <v>2685</v>
      </c>
      <c r="B846" t="s">
        <v>2686</v>
      </c>
    </row>
    <row r="847" spans="1:2">
      <c r="A847" t="s">
        <v>2687</v>
      </c>
      <c r="B847" t="s">
        <v>2688</v>
      </c>
    </row>
    <row r="848" spans="1:2">
      <c r="A848" t="s">
        <v>2689</v>
      </c>
      <c r="B848" t="s">
        <v>2690</v>
      </c>
    </row>
    <row r="849" spans="1:2">
      <c r="A849" t="s">
        <v>2691</v>
      </c>
      <c r="B849" t="s">
        <v>2692</v>
      </c>
    </row>
    <row r="850" spans="1:2">
      <c r="A850" t="s">
        <v>2693</v>
      </c>
      <c r="B850" t="s">
        <v>2694</v>
      </c>
    </row>
    <row r="851" spans="1:2">
      <c r="A851" t="s">
        <v>2695</v>
      </c>
      <c r="B851" t="s">
        <v>2696</v>
      </c>
    </row>
    <row r="852" spans="1:2">
      <c r="A852" t="s">
        <v>2697</v>
      </c>
      <c r="B852" t="s">
        <v>2698</v>
      </c>
    </row>
    <row r="853" spans="1:2">
      <c r="A853" t="s">
        <v>2699</v>
      </c>
      <c r="B853" t="s">
        <v>2700</v>
      </c>
    </row>
    <row r="854" spans="1:2">
      <c r="A854" t="s">
        <v>2701</v>
      </c>
      <c r="B854" t="s">
        <v>2702</v>
      </c>
    </row>
    <row r="855" spans="1:2">
      <c r="A855" t="s">
        <v>2703</v>
      </c>
      <c r="B855" t="s">
        <v>2704</v>
      </c>
    </row>
    <row r="856" spans="1:2">
      <c r="A856" t="s">
        <v>2705</v>
      </c>
      <c r="B856" t="s">
        <v>2706</v>
      </c>
    </row>
    <row r="857" spans="1:2">
      <c r="A857" t="s">
        <v>2707</v>
      </c>
      <c r="B857" t="s">
        <v>2708</v>
      </c>
    </row>
    <row r="858" spans="1:2">
      <c r="A858" t="s">
        <v>2709</v>
      </c>
      <c r="B858" t="s">
        <v>2710</v>
      </c>
    </row>
    <row r="859" spans="1:2">
      <c r="A859" t="s">
        <v>2711</v>
      </c>
      <c r="B859" t="s">
        <v>2712</v>
      </c>
    </row>
    <row r="860" spans="1:2">
      <c r="A860" t="s">
        <v>2713</v>
      </c>
      <c r="B860" t="s">
        <v>2714</v>
      </c>
    </row>
    <row r="861" spans="1:2">
      <c r="A861" t="s">
        <v>2715</v>
      </c>
      <c r="B861" t="s">
        <v>2716</v>
      </c>
    </row>
    <row r="862" spans="1:2">
      <c r="A862" t="s">
        <v>2717</v>
      </c>
      <c r="B862" t="s">
        <v>2718</v>
      </c>
    </row>
    <row r="863" spans="1:2">
      <c r="A863" t="s">
        <v>2719</v>
      </c>
      <c r="B863" t="s">
        <v>2720</v>
      </c>
    </row>
    <row r="864" spans="1:2">
      <c r="A864" t="s">
        <v>2721</v>
      </c>
      <c r="B864" t="s">
        <v>2722</v>
      </c>
    </row>
    <row r="865" spans="1:2">
      <c r="A865" t="s">
        <v>2723</v>
      </c>
      <c r="B865" t="s">
        <v>2724</v>
      </c>
    </row>
    <row r="866" spans="1:2">
      <c r="A866" t="s">
        <v>2725</v>
      </c>
      <c r="B866" t="s">
        <v>2726</v>
      </c>
    </row>
    <row r="867" spans="1:2">
      <c r="A867" t="s">
        <v>2727</v>
      </c>
      <c r="B867" t="s">
        <v>2728</v>
      </c>
    </row>
    <row r="868" spans="1:2">
      <c r="A868" t="s">
        <v>2729</v>
      </c>
      <c r="B868" t="s">
        <v>2730</v>
      </c>
    </row>
    <row r="869" spans="1:2">
      <c r="A869" t="s">
        <v>2731</v>
      </c>
      <c r="B869" t="s">
        <v>2732</v>
      </c>
    </row>
    <row r="870" spans="1:2">
      <c r="A870" t="s">
        <v>2733</v>
      </c>
      <c r="B870" t="s">
        <v>2734</v>
      </c>
    </row>
    <row r="871" spans="1:2">
      <c r="A871" t="s">
        <v>2735</v>
      </c>
      <c r="B871" t="s">
        <v>2736</v>
      </c>
    </row>
    <row r="872" spans="1:2">
      <c r="A872" t="s">
        <v>2737</v>
      </c>
      <c r="B872" t="s">
        <v>2738</v>
      </c>
    </row>
    <row r="873" spans="1:2">
      <c r="A873" t="s">
        <v>2739</v>
      </c>
      <c r="B873" t="s">
        <v>2740</v>
      </c>
    </row>
    <row r="874" spans="1:2">
      <c r="A874" t="s">
        <v>2741</v>
      </c>
      <c r="B874" t="s">
        <v>2742</v>
      </c>
    </row>
    <row r="875" spans="1:2">
      <c r="A875" t="s">
        <v>2743</v>
      </c>
      <c r="B875" t="s">
        <v>2744</v>
      </c>
    </row>
    <row r="876" spans="1:2">
      <c r="A876" t="s">
        <v>2745</v>
      </c>
      <c r="B876" t="s">
        <v>2746</v>
      </c>
    </row>
    <row r="877" spans="1:2">
      <c r="A877" t="s">
        <v>2747</v>
      </c>
      <c r="B877" t="s">
        <v>2748</v>
      </c>
    </row>
    <row r="878" spans="1:2">
      <c r="A878" t="s">
        <v>2749</v>
      </c>
      <c r="B878" t="s">
        <v>2750</v>
      </c>
    </row>
    <row r="879" spans="1:2">
      <c r="A879" t="s">
        <v>2751</v>
      </c>
      <c r="B879" t="s">
        <v>2752</v>
      </c>
    </row>
    <row r="880" spans="1:2">
      <c r="A880" t="s">
        <v>2753</v>
      </c>
      <c r="B880" t="s">
        <v>2754</v>
      </c>
    </row>
    <row r="881" spans="1:2">
      <c r="A881" t="s">
        <v>2755</v>
      </c>
      <c r="B881" t="s">
        <v>2756</v>
      </c>
    </row>
    <row r="882" spans="1:2">
      <c r="A882" t="s">
        <v>2757</v>
      </c>
      <c r="B882" t="s">
        <v>2758</v>
      </c>
    </row>
    <row r="883" spans="1:2">
      <c r="A883" t="s">
        <v>2759</v>
      </c>
      <c r="B883" t="s">
        <v>2760</v>
      </c>
    </row>
    <row r="884" spans="1:2">
      <c r="A884" t="s">
        <v>2761</v>
      </c>
      <c r="B884" t="s">
        <v>2762</v>
      </c>
    </row>
    <row r="885" spans="1:2">
      <c r="A885" t="s">
        <v>2763</v>
      </c>
      <c r="B885" t="s">
        <v>2764</v>
      </c>
    </row>
    <row r="886" spans="1:2">
      <c r="A886" t="s">
        <v>2765</v>
      </c>
      <c r="B886" t="s">
        <v>2766</v>
      </c>
    </row>
    <row r="887" spans="1:2">
      <c r="A887" t="s">
        <v>2767</v>
      </c>
      <c r="B887" t="s">
        <v>2768</v>
      </c>
    </row>
    <row r="888" spans="1:2">
      <c r="A888" t="s">
        <v>2769</v>
      </c>
      <c r="B888" t="s">
        <v>2770</v>
      </c>
    </row>
    <row r="889" spans="1:2">
      <c r="A889" t="s">
        <v>2771</v>
      </c>
      <c r="B889" t="s">
        <v>2772</v>
      </c>
    </row>
    <row r="890" spans="1:2">
      <c r="A890" t="s">
        <v>2773</v>
      </c>
      <c r="B890" t="s">
        <v>2774</v>
      </c>
    </row>
    <row r="891" spans="1:2">
      <c r="A891" t="s">
        <v>2775</v>
      </c>
      <c r="B891" t="s">
        <v>2776</v>
      </c>
    </row>
    <row r="892" spans="1:2">
      <c r="A892" t="s">
        <v>2777</v>
      </c>
      <c r="B892" t="s">
        <v>2778</v>
      </c>
    </row>
    <row r="893" spans="1:2">
      <c r="A893" t="s">
        <v>2779</v>
      </c>
      <c r="B893" t="s">
        <v>2780</v>
      </c>
    </row>
    <row r="894" spans="1:2">
      <c r="A894" t="s">
        <v>2781</v>
      </c>
      <c r="B894" t="s">
        <v>2782</v>
      </c>
    </row>
    <row r="895" spans="1:2">
      <c r="A895" t="s">
        <v>2783</v>
      </c>
      <c r="B895" t="s">
        <v>2784</v>
      </c>
    </row>
    <row r="896" spans="1:2">
      <c r="A896" t="s">
        <v>2785</v>
      </c>
      <c r="B896" t="s">
        <v>2786</v>
      </c>
    </row>
    <row r="897" spans="1:2">
      <c r="A897" t="s">
        <v>2787</v>
      </c>
      <c r="B897" t="s">
        <v>2788</v>
      </c>
    </row>
    <row r="898" spans="1:2">
      <c r="A898" t="s">
        <v>2789</v>
      </c>
      <c r="B898" t="s">
        <v>2790</v>
      </c>
    </row>
    <row r="899" spans="1:2">
      <c r="A899" t="s">
        <v>2791</v>
      </c>
      <c r="B899" t="s">
        <v>2792</v>
      </c>
    </row>
    <row r="900" spans="1:2">
      <c r="A900" t="s">
        <v>95</v>
      </c>
      <c r="B900" t="s">
        <v>2793</v>
      </c>
    </row>
    <row r="901" spans="1:2">
      <c r="A901" t="s">
        <v>83</v>
      </c>
      <c r="B901" t="s">
        <v>2794</v>
      </c>
    </row>
    <row r="902" spans="1:2">
      <c r="A902" t="s">
        <v>58</v>
      </c>
      <c r="B902" t="s">
        <v>2795</v>
      </c>
    </row>
    <row r="903" spans="1:2">
      <c r="A903" t="s">
        <v>220</v>
      </c>
      <c r="B903" t="s">
        <v>2796</v>
      </c>
    </row>
    <row r="904" spans="1:2">
      <c r="A904" t="s">
        <v>177</v>
      </c>
      <c r="B904" t="s">
        <v>2797</v>
      </c>
    </row>
    <row r="905" spans="1:2">
      <c r="A905" t="s">
        <v>743</v>
      </c>
      <c r="B905" t="s">
        <v>2798</v>
      </c>
    </row>
    <row r="906" spans="1:2">
      <c r="A906" t="s">
        <v>2799</v>
      </c>
      <c r="B906" t="s">
        <v>2800</v>
      </c>
    </row>
    <row r="907" spans="1:2">
      <c r="A907" t="s">
        <v>2801</v>
      </c>
      <c r="B907" t="s">
        <v>2802</v>
      </c>
    </row>
    <row r="908" spans="1:2">
      <c r="A908" t="s">
        <v>2803</v>
      </c>
      <c r="B908" t="s">
        <v>2804</v>
      </c>
    </row>
    <row r="909" spans="1:2">
      <c r="A909" t="s">
        <v>2805</v>
      </c>
      <c r="B909" t="s">
        <v>2806</v>
      </c>
    </row>
    <row r="910" spans="1:2">
      <c r="A910" t="s">
        <v>2807</v>
      </c>
      <c r="B910" t="s">
        <v>2808</v>
      </c>
    </row>
    <row r="911" spans="1:2">
      <c r="A911" t="s">
        <v>2809</v>
      </c>
      <c r="B911" t="s">
        <v>2810</v>
      </c>
    </row>
    <row r="912" spans="1:2">
      <c r="A912" t="s">
        <v>2811</v>
      </c>
      <c r="B912" t="s">
        <v>2812</v>
      </c>
    </row>
    <row r="913" spans="1:2">
      <c r="A913" t="s">
        <v>2813</v>
      </c>
      <c r="B913" t="s">
        <v>2814</v>
      </c>
    </row>
    <row r="914" spans="1:2">
      <c r="A914" t="s">
        <v>2815</v>
      </c>
      <c r="B914" t="s">
        <v>2816</v>
      </c>
    </row>
    <row r="915" spans="1:2">
      <c r="A915" t="s">
        <v>2817</v>
      </c>
      <c r="B915" t="s">
        <v>2818</v>
      </c>
    </row>
    <row r="916" spans="1:2">
      <c r="A916" t="s">
        <v>2819</v>
      </c>
      <c r="B916" t="s">
        <v>2820</v>
      </c>
    </row>
    <row r="917" spans="1:2">
      <c r="A917" t="s">
        <v>2821</v>
      </c>
      <c r="B917" t="s">
        <v>2822</v>
      </c>
    </row>
    <row r="918" spans="1:2">
      <c r="A918" t="s">
        <v>2823</v>
      </c>
      <c r="B918" t="s">
        <v>2824</v>
      </c>
    </row>
    <row r="919" spans="1:2">
      <c r="A919" t="s">
        <v>2825</v>
      </c>
      <c r="B919" t="s">
        <v>2826</v>
      </c>
    </row>
    <row r="920" spans="1:2">
      <c r="A920" t="s">
        <v>2827</v>
      </c>
      <c r="B920" t="s">
        <v>2828</v>
      </c>
    </row>
    <row r="921" spans="1:2">
      <c r="A921" t="s">
        <v>2829</v>
      </c>
      <c r="B921" t="s">
        <v>2830</v>
      </c>
    </row>
    <row r="922" spans="1:2">
      <c r="A922" t="s">
        <v>2831</v>
      </c>
      <c r="B922" t="s">
        <v>2832</v>
      </c>
    </row>
    <row r="923" spans="1:2">
      <c r="A923" t="s">
        <v>2833</v>
      </c>
      <c r="B923" t="s">
        <v>2834</v>
      </c>
    </row>
    <row r="924" spans="1:2">
      <c r="A924" t="s">
        <v>2835</v>
      </c>
      <c r="B924" t="s">
        <v>2836</v>
      </c>
    </row>
    <row r="925" spans="1:2">
      <c r="A925" t="s">
        <v>2837</v>
      </c>
      <c r="B925" t="s">
        <v>2838</v>
      </c>
    </row>
    <row r="926" spans="1:2">
      <c r="A926" t="s">
        <v>2839</v>
      </c>
      <c r="B926" t="s">
        <v>2840</v>
      </c>
    </row>
    <row r="927" spans="1:2">
      <c r="A927" t="s">
        <v>2841</v>
      </c>
      <c r="B927" t="s">
        <v>2842</v>
      </c>
    </row>
    <row r="928" spans="1:2">
      <c r="A928" t="s">
        <v>2843</v>
      </c>
      <c r="B928" t="s">
        <v>2844</v>
      </c>
    </row>
    <row r="929" spans="1:2">
      <c r="A929" t="s">
        <v>2845</v>
      </c>
      <c r="B929" t="s">
        <v>2846</v>
      </c>
    </row>
    <row r="930" spans="1:2">
      <c r="A930" t="s">
        <v>2847</v>
      </c>
      <c r="B930" t="s">
        <v>2848</v>
      </c>
    </row>
    <row r="931" spans="1:2">
      <c r="A931" t="s">
        <v>191</v>
      </c>
      <c r="B931" t="s">
        <v>2849</v>
      </c>
    </row>
    <row r="932" spans="1:2">
      <c r="A932" t="s">
        <v>405</v>
      </c>
      <c r="B932" t="s">
        <v>2850</v>
      </c>
    </row>
    <row r="933" spans="1:2">
      <c r="A933" t="s">
        <v>2851</v>
      </c>
      <c r="B933" t="s">
        <v>2852</v>
      </c>
    </row>
    <row r="934" spans="1:2">
      <c r="A934" t="s">
        <v>761</v>
      </c>
      <c r="B934" t="s">
        <v>2853</v>
      </c>
    </row>
    <row r="935" spans="1:2">
      <c r="A935" t="s">
        <v>2854</v>
      </c>
      <c r="B935" t="s">
        <v>2855</v>
      </c>
    </row>
    <row r="936" spans="1:2">
      <c r="A936" t="s">
        <v>1030</v>
      </c>
      <c r="B936" t="s">
        <v>2856</v>
      </c>
    </row>
    <row r="937" spans="1:2">
      <c r="A937" t="s">
        <v>2857</v>
      </c>
      <c r="B937" t="s">
        <v>2858</v>
      </c>
    </row>
    <row r="938" spans="1:2">
      <c r="A938" t="s">
        <v>2859</v>
      </c>
      <c r="B938" t="s">
        <v>2860</v>
      </c>
    </row>
    <row r="939" spans="1:2">
      <c r="A939" t="s">
        <v>189</v>
      </c>
      <c r="B939" t="s">
        <v>2861</v>
      </c>
    </row>
    <row r="940" spans="1:2">
      <c r="A940" t="s">
        <v>2862</v>
      </c>
      <c r="B940" t="s">
        <v>2863</v>
      </c>
    </row>
    <row r="941" spans="1:2">
      <c r="A941" t="s">
        <v>548</v>
      </c>
      <c r="B941" t="s">
        <v>2864</v>
      </c>
    </row>
    <row r="942" spans="1:2">
      <c r="A942" t="s">
        <v>2865</v>
      </c>
      <c r="B942" t="s">
        <v>2866</v>
      </c>
    </row>
    <row r="943" spans="1:2">
      <c r="A943" t="s">
        <v>2867</v>
      </c>
      <c r="B943" t="s">
        <v>2868</v>
      </c>
    </row>
    <row r="944" spans="1:2">
      <c r="A944" t="s">
        <v>2869</v>
      </c>
      <c r="B944" t="s">
        <v>2870</v>
      </c>
    </row>
    <row r="945" spans="1:2">
      <c r="A945" t="s">
        <v>2871</v>
      </c>
      <c r="B945" t="s">
        <v>2872</v>
      </c>
    </row>
    <row r="946" spans="1:2">
      <c r="A946" t="s">
        <v>2873</v>
      </c>
      <c r="B946" t="s">
        <v>2874</v>
      </c>
    </row>
    <row r="947" spans="1:2">
      <c r="A947" t="s">
        <v>1123</v>
      </c>
      <c r="B947" t="s">
        <v>2875</v>
      </c>
    </row>
    <row r="948" spans="1:2">
      <c r="A948" t="s">
        <v>414</v>
      </c>
      <c r="B948" t="s">
        <v>2876</v>
      </c>
    </row>
    <row r="949" spans="1:2">
      <c r="A949" t="s">
        <v>2877</v>
      </c>
      <c r="B949" t="s">
        <v>2878</v>
      </c>
    </row>
    <row r="950" spans="1:2">
      <c r="A950" t="s">
        <v>2879</v>
      </c>
      <c r="B950" t="s">
        <v>2880</v>
      </c>
    </row>
    <row r="951" spans="1:2">
      <c r="A951" t="s">
        <v>2881</v>
      </c>
      <c r="B951" t="s">
        <v>2882</v>
      </c>
    </row>
    <row r="952" spans="1:2">
      <c r="A952" t="s">
        <v>2883</v>
      </c>
      <c r="B952" t="s">
        <v>2884</v>
      </c>
    </row>
    <row r="953" spans="1:2">
      <c r="A953" t="s">
        <v>315</v>
      </c>
      <c r="B953" t="s">
        <v>2885</v>
      </c>
    </row>
    <row r="954" spans="1:2">
      <c r="A954" t="s">
        <v>445</v>
      </c>
      <c r="B954" t="s">
        <v>2886</v>
      </c>
    </row>
    <row r="955" spans="1:2">
      <c r="A955" t="s">
        <v>1233</v>
      </c>
      <c r="B955" t="s">
        <v>2887</v>
      </c>
    </row>
    <row r="956" spans="1:2">
      <c r="A956" t="s">
        <v>2888</v>
      </c>
      <c r="B956" t="s">
        <v>2889</v>
      </c>
    </row>
    <row r="957" spans="1:2">
      <c r="A957" t="s">
        <v>1118</v>
      </c>
      <c r="B957" t="s">
        <v>2890</v>
      </c>
    </row>
    <row r="958" spans="1:2">
      <c r="A958" t="s">
        <v>468</v>
      </c>
      <c r="B958" t="s">
        <v>2891</v>
      </c>
    </row>
    <row r="959" spans="1:2">
      <c r="A959" t="s">
        <v>2892</v>
      </c>
      <c r="B959" t="s">
        <v>2893</v>
      </c>
    </row>
    <row r="960" spans="1:2">
      <c r="A960" t="s">
        <v>767</v>
      </c>
      <c r="B960" t="s">
        <v>2894</v>
      </c>
    </row>
    <row r="961" spans="1:2">
      <c r="A961" t="s">
        <v>228</v>
      </c>
      <c r="B961" t="s">
        <v>2895</v>
      </c>
    </row>
    <row r="962" spans="1:2">
      <c r="A962" t="s">
        <v>1150</v>
      </c>
      <c r="B962" t="s">
        <v>2896</v>
      </c>
    </row>
    <row r="963" spans="1:2">
      <c r="A963" t="s">
        <v>2897</v>
      </c>
      <c r="B963" t="s">
        <v>2898</v>
      </c>
    </row>
    <row r="964" spans="1:2">
      <c r="A964" t="s">
        <v>1194</v>
      </c>
      <c r="B964" t="s">
        <v>2899</v>
      </c>
    </row>
    <row r="965" spans="1:2">
      <c r="A965" t="s">
        <v>2900</v>
      </c>
      <c r="B965" t="s">
        <v>2901</v>
      </c>
    </row>
    <row r="966" spans="1:2">
      <c r="A966" t="s">
        <v>2902</v>
      </c>
      <c r="B966" t="s">
        <v>2903</v>
      </c>
    </row>
    <row r="967" spans="1:2">
      <c r="A967" t="s">
        <v>53</v>
      </c>
      <c r="B967" t="s">
        <v>2904</v>
      </c>
    </row>
    <row r="968" spans="1:2">
      <c r="A968" t="s">
        <v>51</v>
      </c>
      <c r="B968" t="s">
        <v>2905</v>
      </c>
    </row>
    <row r="969" spans="1:2">
      <c r="A969" t="s">
        <v>2906</v>
      </c>
      <c r="B969" t="s">
        <v>2907</v>
      </c>
    </row>
    <row r="970" spans="1:2">
      <c r="A970" t="s">
        <v>2908</v>
      </c>
      <c r="B970" t="s">
        <v>2909</v>
      </c>
    </row>
    <row r="971" spans="1:2">
      <c r="A971" t="s">
        <v>663</v>
      </c>
      <c r="B971" t="s">
        <v>2910</v>
      </c>
    </row>
    <row r="972" spans="1:2">
      <c r="A972" t="s">
        <v>171</v>
      </c>
      <c r="B972" t="s">
        <v>2911</v>
      </c>
    </row>
    <row r="973" spans="1:2">
      <c r="A973" t="s">
        <v>132</v>
      </c>
      <c r="B973" t="s">
        <v>2912</v>
      </c>
    </row>
    <row r="974" spans="1:2">
      <c r="A974" t="s">
        <v>2913</v>
      </c>
      <c r="B974" t="s">
        <v>2914</v>
      </c>
    </row>
    <row r="975" spans="1:2">
      <c r="A975" t="s">
        <v>2915</v>
      </c>
      <c r="B975" t="s">
        <v>2916</v>
      </c>
    </row>
    <row r="976" spans="1:2">
      <c r="A976" t="s">
        <v>2917</v>
      </c>
      <c r="B976" t="s">
        <v>2918</v>
      </c>
    </row>
    <row r="977" spans="1:2">
      <c r="A977" t="s">
        <v>1158</v>
      </c>
      <c r="B977" t="s">
        <v>2919</v>
      </c>
    </row>
    <row r="978" spans="1:2">
      <c r="A978" t="s">
        <v>539</v>
      </c>
      <c r="B978" t="s">
        <v>2920</v>
      </c>
    </row>
    <row r="979" spans="1:2">
      <c r="A979" t="s">
        <v>2921</v>
      </c>
      <c r="B979" t="s">
        <v>2922</v>
      </c>
    </row>
    <row r="980" spans="1:2">
      <c r="A980" t="s">
        <v>2923</v>
      </c>
      <c r="B980" t="s">
        <v>2924</v>
      </c>
    </row>
    <row r="981" spans="1:2">
      <c r="A981" t="s">
        <v>1129</v>
      </c>
      <c r="B981" t="s">
        <v>2925</v>
      </c>
    </row>
    <row r="982" spans="1:2">
      <c r="A982" t="s">
        <v>78</v>
      </c>
      <c r="B982" t="s">
        <v>2926</v>
      </c>
    </row>
    <row r="983" spans="1:2">
      <c r="A983" t="s">
        <v>2927</v>
      </c>
      <c r="B983" t="s">
        <v>2928</v>
      </c>
    </row>
    <row r="984" spans="1:2">
      <c r="A984" t="s">
        <v>2929</v>
      </c>
      <c r="B984" t="s">
        <v>2930</v>
      </c>
    </row>
    <row r="985" spans="1:2">
      <c r="A985" t="s">
        <v>175</v>
      </c>
      <c r="B985" t="s">
        <v>2931</v>
      </c>
    </row>
    <row r="986" spans="1:2">
      <c r="A986" t="s">
        <v>2932</v>
      </c>
      <c r="B986" t="s">
        <v>2933</v>
      </c>
    </row>
    <row r="987" spans="1:2">
      <c r="A987" t="s">
        <v>2934</v>
      </c>
      <c r="B987" t="s">
        <v>2935</v>
      </c>
    </row>
    <row r="988" spans="1:2">
      <c r="A988" t="s">
        <v>2936</v>
      </c>
      <c r="B988" t="s">
        <v>2937</v>
      </c>
    </row>
    <row r="989" spans="1:2">
      <c r="A989" t="s">
        <v>2938</v>
      </c>
      <c r="B989" t="s">
        <v>2939</v>
      </c>
    </row>
    <row r="990" spans="1:2">
      <c r="A990" t="s">
        <v>2940</v>
      </c>
      <c r="B990" t="s">
        <v>2941</v>
      </c>
    </row>
    <row r="991" spans="1:2">
      <c r="A991" t="s">
        <v>281</v>
      </c>
      <c r="B991" t="s">
        <v>2942</v>
      </c>
    </row>
    <row r="992" spans="1:2">
      <c r="A992" t="s">
        <v>841</v>
      </c>
      <c r="B992" t="s">
        <v>2943</v>
      </c>
    </row>
    <row r="993" spans="1:2">
      <c r="A993" t="s">
        <v>2944</v>
      </c>
      <c r="B993" t="s">
        <v>2945</v>
      </c>
    </row>
    <row r="994" spans="1:2">
      <c r="A994" t="s">
        <v>492</v>
      </c>
      <c r="B994" t="s">
        <v>2946</v>
      </c>
    </row>
    <row r="995" spans="1:2">
      <c r="A995" t="s">
        <v>2947</v>
      </c>
      <c r="B995" t="s">
        <v>2948</v>
      </c>
    </row>
    <row r="996" spans="1:2">
      <c r="A996" t="s">
        <v>2949</v>
      </c>
      <c r="B996" t="s">
        <v>2950</v>
      </c>
    </row>
    <row r="997" spans="1:2">
      <c r="A997" t="s">
        <v>2951</v>
      </c>
      <c r="B997" t="s">
        <v>2952</v>
      </c>
    </row>
    <row r="998" spans="1:2">
      <c r="A998" t="s">
        <v>2953</v>
      </c>
      <c r="B998" t="s">
        <v>2954</v>
      </c>
    </row>
    <row r="999" spans="1:2">
      <c r="A999" t="s">
        <v>2955</v>
      </c>
      <c r="B999" t="s">
        <v>2956</v>
      </c>
    </row>
    <row r="1000" spans="1:2">
      <c r="A1000" t="s">
        <v>2957</v>
      </c>
      <c r="B1000" t="s">
        <v>2958</v>
      </c>
    </row>
    <row r="1001" spans="1:2">
      <c r="A1001" t="s">
        <v>2959</v>
      </c>
      <c r="B1001" t="s">
        <v>2960</v>
      </c>
    </row>
    <row r="1002" spans="1:2">
      <c r="A1002" t="s">
        <v>2961</v>
      </c>
      <c r="B1002" t="s">
        <v>2962</v>
      </c>
    </row>
    <row r="1003" spans="1:2">
      <c r="A1003" t="s">
        <v>2963</v>
      </c>
      <c r="B1003" t="s">
        <v>2964</v>
      </c>
    </row>
    <row r="1004" spans="1:2">
      <c r="A1004" t="s">
        <v>803</v>
      </c>
      <c r="B1004" t="s">
        <v>2965</v>
      </c>
    </row>
    <row r="1005" spans="1:2">
      <c r="A1005" t="s">
        <v>2966</v>
      </c>
      <c r="B1005" t="s">
        <v>2967</v>
      </c>
    </row>
    <row r="1006" spans="1:2">
      <c r="A1006" t="s">
        <v>2968</v>
      </c>
      <c r="B1006" t="s">
        <v>2969</v>
      </c>
    </row>
    <row r="1007" spans="1:2">
      <c r="A1007" t="s">
        <v>2970</v>
      </c>
      <c r="B1007" t="s">
        <v>2971</v>
      </c>
    </row>
    <row r="1008" spans="1:2">
      <c r="A1008" t="s">
        <v>2972</v>
      </c>
      <c r="B1008" t="s">
        <v>2973</v>
      </c>
    </row>
    <row r="1009" spans="1:2">
      <c r="A1009" t="s">
        <v>2974</v>
      </c>
      <c r="B1009" t="s">
        <v>2975</v>
      </c>
    </row>
    <row r="1010" spans="1:2">
      <c r="A1010" t="s">
        <v>2976</v>
      </c>
      <c r="B1010" t="s">
        <v>2977</v>
      </c>
    </row>
    <row r="1011" spans="1:2">
      <c r="A1011" t="s">
        <v>2978</v>
      </c>
      <c r="B1011" t="s">
        <v>2979</v>
      </c>
    </row>
    <row r="1012" spans="1:2">
      <c r="A1012" t="s">
        <v>2980</v>
      </c>
      <c r="B1012" t="s">
        <v>2981</v>
      </c>
    </row>
    <row r="1013" spans="1:2">
      <c r="A1013" t="s">
        <v>2982</v>
      </c>
      <c r="B1013" t="s">
        <v>2983</v>
      </c>
    </row>
    <row r="1014" spans="1:2">
      <c r="A1014" t="s">
        <v>2984</v>
      </c>
      <c r="B1014" t="s">
        <v>2985</v>
      </c>
    </row>
    <row r="1015" spans="1:2">
      <c r="A1015" t="s">
        <v>322</v>
      </c>
      <c r="B1015" t="s">
        <v>2986</v>
      </c>
    </row>
    <row r="1016" spans="1:2">
      <c r="A1016" t="s">
        <v>2987</v>
      </c>
      <c r="B1016" t="s">
        <v>2988</v>
      </c>
    </row>
    <row r="1017" spans="1:2">
      <c r="A1017" t="s">
        <v>2989</v>
      </c>
      <c r="B1017" t="s">
        <v>2990</v>
      </c>
    </row>
    <row r="1018" spans="1:2">
      <c r="A1018" t="s">
        <v>2991</v>
      </c>
      <c r="B1018" t="s">
        <v>2992</v>
      </c>
    </row>
    <row r="1019" spans="1:2">
      <c r="A1019" t="s">
        <v>2993</v>
      </c>
      <c r="B1019" t="s">
        <v>2994</v>
      </c>
    </row>
    <row r="1020" spans="1:2">
      <c r="A1020" t="s">
        <v>2995</v>
      </c>
      <c r="B1020" t="s">
        <v>2996</v>
      </c>
    </row>
    <row r="1021" spans="1:2">
      <c r="A1021" t="s">
        <v>2997</v>
      </c>
      <c r="B1021" t="s">
        <v>2998</v>
      </c>
    </row>
    <row r="1022" spans="1:2">
      <c r="A1022" t="s">
        <v>2999</v>
      </c>
      <c r="B1022" t="s">
        <v>3000</v>
      </c>
    </row>
    <row r="1023" spans="1:2">
      <c r="A1023" t="s">
        <v>3001</v>
      </c>
      <c r="B1023" t="s">
        <v>3002</v>
      </c>
    </row>
    <row r="1024" spans="1:2">
      <c r="A1024" t="s">
        <v>3003</v>
      </c>
      <c r="B1024" t="s">
        <v>3004</v>
      </c>
    </row>
    <row r="1025" spans="1:2">
      <c r="A1025" t="s">
        <v>902</v>
      </c>
      <c r="B1025" t="s">
        <v>3005</v>
      </c>
    </row>
    <row r="1026" spans="1:2">
      <c r="A1026" t="s">
        <v>3006</v>
      </c>
      <c r="B1026" t="s">
        <v>3007</v>
      </c>
    </row>
    <row r="1027" spans="1:2">
      <c r="A1027" t="s">
        <v>3008</v>
      </c>
      <c r="B1027" t="s">
        <v>3009</v>
      </c>
    </row>
    <row r="1028" spans="1:2">
      <c r="A1028" t="s">
        <v>3010</v>
      </c>
      <c r="B1028" t="s">
        <v>3011</v>
      </c>
    </row>
    <row r="1029" spans="1:2">
      <c r="A1029" t="s">
        <v>3012</v>
      </c>
      <c r="B1029" t="s">
        <v>3013</v>
      </c>
    </row>
    <row r="1030" spans="1:2">
      <c r="A1030" t="s">
        <v>1192</v>
      </c>
      <c r="B1030" t="s">
        <v>3014</v>
      </c>
    </row>
    <row r="1031" spans="1:2">
      <c r="A1031" t="s">
        <v>3015</v>
      </c>
      <c r="B1031" t="s">
        <v>3016</v>
      </c>
    </row>
    <row r="1032" spans="1:2">
      <c r="A1032" t="s">
        <v>3017</v>
      </c>
      <c r="B1032" t="s">
        <v>3018</v>
      </c>
    </row>
    <row r="1033" spans="1:2">
      <c r="A1033" t="s">
        <v>3019</v>
      </c>
      <c r="B1033" t="s">
        <v>3020</v>
      </c>
    </row>
    <row r="1034" spans="1:2">
      <c r="A1034" t="s">
        <v>3021</v>
      </c>
      <c r="B1034" t="s">
        <v>3022</v>
      </c>
    </row>
    <row r="1035" spans="1:2">
      <c r="A1035" t="s">
        <v>3023</v>
      </c>
      <c r="B1035" t="s">
        <v>3024</v>
      </c>
    </row>
    <row r="1036" spans="1:2">
      <c r="A1036" t="s">
        <v>3025</v>
      </c>
      <c r="B1036" t="s">
        <v>3026</v>
      </c>
    </row>
    <row r="1037" spans="1:2">
      <c r="A1037" t="s">
        <v>3027</v>
      </c>
      <c r="B1037" t="s">
        <v>3028</v>
      </c>
    </row>
    <row r="1038" spans="1:2">
      <c r="A1038" t="s">
        <v>3029</v>
      </c>
      <c r="B1038" t="s">
        <v>3030</v>
      </c>
    </row>
    <row r="1039" spans="1:2">
      <c r="A1039" t="s">
        <v>3031</v>
      </c>
      <c r="B1039" t="s">
        <v>3032</v>
      </c>
    </row>
    <row r="1040" spans="1:2">
      <c r="A1040" t="s">
        <v>3033</v>
      </c>
      <c r="B1040" t="s">
        <v>3034</v>
      </c>
    </row>
    <row r="1041" spans="1:2">
      <c r="A1041" t="s">
        <v>3035</v>
      </c>
      <c r="B1041" t="s">
        <v>3036</v>
      </c>
    </row>
    <row r="1042" spans="1:2">
      <c r="A1042" t="s">
        <v>3037</v>
      </c>
      <c r="B1042" t="s">
        <v>3038</v>
      </c>
    </row>
    <row r="1043" spans="1:2">
      <c r="A1043" t="s">
        <v>855</v>
      </c>
      <c r="B1043" t="s">
        <v>3039</v>
      </c>
    </row>
    <row r="1044" spans="1:2">
      <c r="A1044" t="s">
        <v>3040</v>
      </c>
      <c r="B1044" t="s">
        <v>3041</v>
      </c>
    </row>
    <row r="1045" spans="1:2">
      <c r="A1045" t="s">
        <v>3042</v>
      </c>
      <c r="B1045" t="s">
        <v>3043</v>
      </c>
    </row>
    <row r="1046" spans="1:2">
      <c r="A1046" t="s">
        <v>3044</v>
      </c>
      <c r="B1046" t="s">
        <v>3045</v>
      </c>
    </row>
    <row r="1047" spans="1:2">
      <c r="A1047" t="s">
        <v>452</v>
      </c>
      <c r="B1047" t="s">
        <v>3046</v>
      </c>
    </row>
    <row r="1048" spans="1:2">
      <c r="A1048" t="s">
        <v>709</v>
      </c>
      <c r="B1048" t="s">
        <v>3047</v>
      </c>
    </row>
    <row r="1049" spans="1:2">
      <c r="A1049" t="s">
        <v>3048</v>
      </c>
      <c r="B1049" t="s">
        <v>3049</v>
      </c>
    </row>
    <row r="1050" spans="1:2">
      <c r="A1050" t="s">
        <v>3050</v>
      </c>
      <c r="B1050" t="s">
        <v>3051</v>
      </c>
    </row>
    <row r="1051" spans="1:2">
      <c r="A1051" t="s">
        <v>3052</v>
      </c>
      <c r="B1051" t="s">
        <v>3053</v>
      </c>
    </row>
    <row r="1052" spans="1:2">
      <c r="A1052" t="s">
        <v>70</v>
      </c>
      <c r="B1052" t="s">
        <v>3054</v>
      </c>
    </row>
    <row r="1053" spans="1:2">
      <c r="A1053" t="s">
        <v>3055</v>
      </c>
      <c r="B1053" t="s">
        <v>3056</v>
      </c>
    </row>
    <row r="1054" spans="1:2">
      <c r="A1054" t="s">
        <v>3057</v>
      </c>
      <c r="B1054" t="s">
        <v>3058</v>
      </c>
    </row>
    <row r="1055" spans="1:2">
      <c r="A1055" t="s">
        <v>3059</v>
      </c>
      <c r="B1055" t="s">
        <v>3060</v>
      </c>
    </row>
    <row r="1056" spans="1:2">
      <c r="A1056" t="s">
        <v>3061</v>
      </c>
      <c r="B1056" t="s">
        <v>3062</v>
      </c>
    </row>
    <row r="1057" spans="1:2">
      <c r="A1057" t="s">
        <v>3063</v>
      </c>
      <c r="B1057" t="s">
        <v>3064</v>
      </c>
    </row>
    <row r="1058" spans="1:2">
      <c r="A1058" t="s">
        <v>210</v>
      </c>
      <c r="B1058" t="s">
        <v>3065</v>
      </c>
    </row>
    <row r="1059" spans="1:2">
      <c r="A1059" t="s">
        <v>3066</v>
      </c>
      <c r="B1059" t="s">
        <v>3067</v>
      </c>
    </row>
    <row r="1060" spans="1:2">
      <c r="A1060" t="s">
        <v>665</v>
      </c>
      <c r="B1060" t="s">
        <v>3068</v>
      </c>
    </row>
    <row r="1061" spans="1:2">
      <c r="A1061" t="s">
        <v>3069</v>
      </c>
      <c r="B1061" t="s">
        <v>3070</v>
      </c>
    </row>
    <row r="1062" spans="1:2">
      <c r="A1062" t="s">
        <v>3071</v>
      </c>
      <c r="B1062" t="s">
        <v>3072</v>
      </c>
    </row>
    <row r="1063" spans="1:2">
      <c r="A1063" t="s">
        <v>3073</v>
      </c>
      <c r="B1063" t="s">
        <v>3074</v>
      </c>
    </row>
    <row r="1064" spans="1:2">
      <c r="A1064" t="s">
        <v>3075</v>
      </c>
      <c r="B1064" t="s">
        <v>3076</v>
      </c>
    </row>
    <row r="1065" spans="1:2">
      <c r="A1065" t="s">
        <v>3077</v>
      </c>
      <c r="B1065" t="s">
        <v>3078</v>
      </c>
    </row>
    <row r="1066" spans="1:2">
      <c r="A1066" t="s">
        <v>3079</v>
      </c>
      <c r="B1066" t="s">
        <v>3080</v>
      </c>
    </row>
    <row r="1067" spans="1:2">
      <c r="A1067" t="s">
        <v>584</v>
      </c>
      <c r="B1067" t="s">
        <v>3081</v>
      </c>
    </row>
    <row r="1068" spans="1:2">
      <c r="A1068" t="s">
        <v>3082</v>
      </c>
      <c r="B1068" t="s">
        <v>3083</v>
      </c>
    </row>
    <row r="1069" spans="1:2">
      <c r="A1069" t="s">
        <v>757</v>
      </c>
      <c r="B1069" t="s">
        <v>3084</v>
      </c>
    </row>
    <row r="1070" spans="1:2">
      <c r="A1070" t="s">
        <v>3085</v>
      </c>
      <c r="B1070" t="s">
        <v>3086</v>
      </c>
    </row>
    <row r="1071" spans="1:2">
      <c r="A1071" t="s">
        <v>496</v>
      </c>
      <c r="B1071" t="s">
        <v>3087</v>
      </c>
    </row>
    <row r="1072" spans="1:2">
      <c r="A1072" t="s">
        <v>3088</v>
      </c>
      <c r="B1072" t="s">
        <v>3089</v>
      </c>
    </row>
    <row r="1073" spans="1:2">
      <c r="A1073" t="s">
        <v>3090</v>
      </c>
      <c r="B1073" t="s">
        <v>3091</v>
      </c>
    </row>
    <row r="1074" spans="1:2">
      <c r="A1074" t="s">
        <v>3092</v>
      </c>
      <c r="B1074" t="s">
        <v>3093</v>
      </c>
    </row>
    <row r="1075" spans="1:2">
      <c r="A1075" t="s">
        <v>1166</v>
      </c>
      <c r="B1075" t="s">
        <v>3094</v>
      </c>
    </row>
    <row r="1076" spans="1:2">
      <c r="A1076" t="s">
        <v>68</v>
      </c>
      <c r="B1076" t="s">
        <v>3095</v>
      </c>
    </row>
    <row r="1077" spans="1:2">
      <c r="A1077" t="s">
        <v>3096</v>
      </c>
      <c r="B1077" t="s">
        <v>3097</v>
      </c>
    </row>
    <row r="1078" spans="1:2">
      <c r="A1078" t="s">
        <v>3098</v>
      </c>
      <c r="B1078" t="s">
        <v>3099</v>
      </c>
    </row>
    <row r="1079" spans="1:2">
      <c r="A1079" t="s">
        <v>250</v>
      </c>
      <c r="B1079" t="s">
        <v>3100</v>
      </c>
    </row>
    <row r="1080" spans="1:2">
      <c r="A1080" t="s">
        <v>3101</v>
      </c>
      <c r="B1080" t="s">
        <v>3102</v>
      </c>
    </row>
    <row r="1081" spans="1:2">
      <c r="A1081" t="s">
        <v>680</v>
      </c>
      <c r="B1081" t="s">
        <v>3103</v>
      </c>
    </row>
    <row r="1082" spans="1:2">
      <c r="A1082" t="s">
        <v>543</v>
      </c>
      <c r="B1082" t="s">
        <v>3104</v>
      </c>
    </row>
    <row r="1083" spans="1:2">
      <c r="A1083" t="s">
        <v>929</v>
      </c>
      <c r="B1083" t="s">
        <v>3105</v>
      </c>
    </row>
    <row r="1084" spans="1:2">
      <c r="A1084" t="s">
        <v>3106</v>
      </c>
      <c r="B1084" t="s">
        <v>3107</v>
      </c>
    </row>
    <row r="1085" spans="1:2">
      <c r="A1085" t="s">
        <v>418</v>
      </c>
      <c r="B1085" t="s">
        <v>3108</v>
      </c>
    </row>
    <row r="1086" spans="1:2">
      <c r="A1086" t="s">
        <v>3109</v>
      </c>
      <c r="B1086" t="s">
        <v>3110</v>
      </c>
    </row>
    <row r="1087" spans="1:2">
      <c r="A1087" t="s">
        <v>3111</v>
      </c>
      <c r="B1087" t="s">
        <v>3112</v>
      </c>
    </row>
    <row r="1088" spans="1:2">
      <c r="A1088" t="s">
        <v>3113</v>
      </c>
      <c r="B1088" t="s">
        <v>3114</v>
      </c>
    </row>
    <row r="1089" spans="1:2">
      <c r="A1089" t="s">
        <v>3115</v>
      </c>
      <c r="B1089" t="s">
        <v>3116</v>
      </c>
    </row>
    <row r="1090" spans="1:2">
      <c r="A1090" t="s">
        <v>3117</v>
      </c>
      <c r="B1090" t="s">
        <v>3118</v>
      </c>
    </row>
    <row r="1091" spans="1:2">
      <c r="A1091" t="s">
        <v>3119</v>
      </c>
      <c r="B1091" t="s">
        <v>3120</v>
      </c>
    </row>
    <row r="1092" spans="1:2">
      <c r="A1092" t="s">
        <v>3121</v>
      </c>
      <c r="B1092" t="s">
        <v>3122</v>
      </c>
    </row>
    <row r="1093" spans="1:2">
      <c r="A1093" t="s">
        <v>3123</v>
      </c>
      <c r="B1093" t="s">
        <v>3124</v>
      </c>
    </row>
    <row r="1094" spans="1:2">
      <c r="A1094" t="s">
        <v>3125</v>
      </c>
      <c r="B1094" t="s">
        <v>3126</v>
      </c>
    </row>
    <row r="1095" spans="1:2">
      <c r="A1095" t="s">
        <v>3127</v>
      </c>
      <c r="B1095" t="s">
        <v>3128</v>
      </c>
    </row>
    <row r="1096" spans="1:2">
      <c r="A1096" t="s">
        <v>3129</v>
      </c>
      <c r="B1096" t="s">
        <v>3130</v>
      </c>
    </row>
    <row r="1097" spans="1:2">
      <c r="A1097" t="s">
        <v>200</v>
      </c>
      <c r="B1097" t="s">
        <v>3131</v>
      </c>
    </row>
    <row r="1098" spans="1:2">
      <c r="A1098" t="s">
        <v>3132</v>
      </c>
      <c r="B1098" t="s">
        <v>3133</v>
      </c>
    </row>
    <row r="1099" spans="1:2">
      <c r="A1099" t="s">
        <v>1205</v>
      </c>
      <c r="B1099" t="s">
        <v>3134</v>
      </c>
    </row>
    <row r="1100" spans="1:2">
      <c r="A1100" t="s">
        <v>999</v>
      </c>
      <c r="B1100" t="s">
        <v>3135</v>
      </c>
    </row>
    <row r="1101" spans="1:2">
      <c r="A1101" t="s">
        <v>3136</v>
      </c>
      <c r="B1101" t="s">
        <v>3137</v>
      </c>
    </row>
    <row r="1102" spans="1:2">
      <c r="A1102" t="s">
        <v>3138</v>
      </c>
      <c r="B1102" t="s">
        <v>3139</v>
      </c>
    </row>
    <row r="1103" spans="1:2">
      <c r="A1103" t="s">
        <v>243</v>
      </c>
      <c r="B1103" t="s">
        <v>3140</v>
      </c>
    </row>
    <row r="1104" spans="1:2">
      <c r="A1104" t="s">
        <v>3141</v>
      </c>
      <c r="B1104" t="s">
        <v>3142</v>
      </c>
    </row>
    <row r="1105" spans="1:2">
      <c r="A1105" t="s">
        <v>1137</v>
      </c>
      <c r="B1105" t="s">
        <v>3143</v>
      </c>
    </row>
    <row r="1106" spans="1:2">
      <c r="A1106" t="s">
        <v>3144</v>
      </c>
      <c r="B1106" t="s">
        <v>3145</v>
      </c>
    </row>
    <row r="1107" spans="1:2">
      <c r="A1107" t="s">
        <v>3146</v>
      </c>
      <c r="B1107" t="s">
        <v>3147</v>
      </c>
    </row>
    <row r="1108" spans="1:2">
      <c r="A1108" t="s">
        <v>635</v>
      </c>
      <c r="B1108" t="s">
        <v>3148</v>
      </c>
    </row>
    <row r="1109" spans="1:2">
      <c r="A1109" t="s">
        <v>3149</v>
      </c>
      <c r="B1109" t="s">
        <v>3150</v>
      </c>
    </row>
    <row r="1110" spans="1:2">
      <c r="A1110" t="s">
        <v>3151</v>
      </c>
      <c r="B1110" t="s">
        <v>3152</v>
      </c>
    </row>
    <row r="1111" spans="1:2">
      <c r="A1111" t="s">
        <v>1142</v>
      </c>
      <c r="B1111" t="s">
        <v>3153</v>
      </c>
    </row>
    <row r="1112" spans="1:2">
      <c r="A1112" t="s">
        <v>3154</v>
      </c>
      <c r="B1112" t="s">
        <v>3155</v>
      </c>
    </row>
    <row r="1113" spans="1:2">
      <c r="A1113" t="s">
        <v>3156</v>
      </c>
      <c r="B1113" t="s">
        <v>3157</v>
      </c>
    </row>
    <row r="1114" spans="1:2">
      <c r="A1114" t="s">
        <v>755</v>
      </c>
      <c r="B1114" t="s">
        <v>3158</v>
      </c>
    </row>
    <row r="1115" spans="1:2">
      <c r="A1115" t="s">
        <v>3159</v>
      </c>
      <c r="B1115" t="s">
        <v>3160</v>
      </c>
    </row>
    <row r="1116" spans="1:2">
      <c r="A1116" t="s">
        <v>3161</v>
      </c>
      <c r="B1116" t="s">
        <v>3162</v>
      </c>
    </row>
    <row r="1117" spans="1:2">
      <c r="A1117" t="s">
        <v>987</v>
      </c>
      <c r="B1117" t="s">
        <v>3163</v>
      </c>
    </row>
    <row r="1118" spans="1:2">
      <c r="A1118" t="s">
        <v>883</v>
      </c>
      <c r="B1118" t="s">
        <v>3164</v>
      </c>
    </row>
    <row r="1119" spans="1:2">
      <c r="A1119" t="s">
        <v>440</v>
      </c>
      <c r="B1119" t="s">
        <v>3165</v>
      </c>
    </row>
    <row r="1120" spans="1:2">
      <c r="A1120" t="s">
        <v>1096</v>
      </c>
      <c r="B1120" t="s">
        <v>3166</v>
      </c>
    </row>
    <row r="1121" spans="1:2">
      <c r="A1121" t="s">
        <v>369</v>
      </c>
      <c r="B1121" t="s">
        <v>3167</v>
      </c>
    </row>
    <row r="1122" spans="1:2">
      <c r="A1122" t="s">
        <v>923</v>
      </c>
      <c r="B1122" t="s">
        <v>3168</v>
      </c>
    </row>
    <row r="1123" spans="1:2">
      <c r="A1123" t="s">
        <v>1012</v>
      </c>
      <c r="B1123" t="s">
        <v>3169</v>
      </c>
    </row>
    <row r="1124" spans="1:2">
      <c r="A1124" t="s">
        <v>231</v>
      </c>
      <c r="B1124" t="s">
        <v>3170</v>
      </c>
    </row>
    <row r="1125" spans="1:2">
      <c r="A1125" t="s">
        <v>1036</v>
      </c>
      <c r="B1125" t="s">
        <v>3171</v>
      </c>
    </row>
    <row r="1126" spans="1:2">
      <c r="A1126" t="s">
        <v>1055</v>
      </c>
      <c r="B1126" t="s">
        <v>3172</v>
      </c>
    </row>
    <row r="1127" spans="1:2">
      <c r="A1127" t="s">
        <v>478</v>
      </c>
      <c r="B1127" t="s">
        <v>3173</v>
      </c>
    </row>
    <row r="1128" spans="1:2">
      <c r="A1128" t="s">
        <v>1057</v>
      </c>
      <c r="B1128" t="s">
        <v>3174</v>
      </c>
    </row>
    <row r="1129" spans="1:2">
      <c r="A1129" t="s">
        <v>279</v>
      </c>
      <c r="B1129" t="s">
        <v>3175</v>
      </c>
    </row>
    <row r="1130" spans="1:2">
      <c r="A1130" t="s">
        <v>1027</v>
      </c>
      <c r="B1130" t="s">
        <v>3176</v>
      </c>
    </row>
    <row r="1131" spans="1:2">
      <c r="A1131" t="s">
        <v>3177</v>
      </c>
      <c r="B1131" t="s">
        <v>3178</v>
      </c>
    </row>
    <row r="1132" spans="1:2">
      <c r="A1132" t="s">
        <v>480</v>
      </c>
      <c r="B1132" t="s">
        <v>3179</v>
      </c>
    </row>
    <row r="1133" spans="1:2">
      <c r="A1133" t="s">
        <v>625</v>
      </c>
      <c r="B1133" t="s">
        <v>3180</v>
      </c>
    </row>
    <row r="1134" spans="1:2">
      <c r="A1134" t="s">
        <v>3181</v>
      </c>
      <c r="B1134" t="s">
        <v>3182</v>
      </c>
    </row>
    <row r="1135" spans="1:2">
      <c r="A1135" t="s">
        <v>472</v>
      </c>
      <c r="B1135" t="s">
        <v>3183</v>
      </c>
    </row>
    <row r="1136" spans="1:2">
      <c r="A1136" t="s">
        <v>398</v>
      </c>
      <c r="B1136" t="s">
        <v>3184</v>
      </c>
    </row>
    <row r="1137" spans="1:2">
      <c r="A1137" t="s">
        <v>717</v>
      </c>
      <c r="B1137" t="s">
        <v>3185</v>
      </c>
    </row>
    <row r="1138" spans="1:2">
      <c r="A1138" t="s">
        <v>843</v>
      </c>
      <c r="B1138" t="s">
        <v>3186</v>
      </c>
    </row>
    <row r="1139" spans="1:2">
      <c r="A1139" t="s">
        <v>273</v>
      </c>
      <c r="B1139" t="s">
        <v>3187</v>
      </c>
    </row>
    <row r="1140" spans="1:2">
      <c r="A1140" t="s">
        <v>1223</v>
      </c>
      <c r="B1140" t="s">
        <v>3188</v>
      </c>
    </row>
    <row r="1141" spans="1:2">
      <c r="A1141" t="s">
        <v>605</v>
      </c>
      <c r="B1141" t="s">
        <v>3189</v>
      </c>
    </row>
    <row r="1142" spans="1:2">
      <c r="A1142" t="s">
        <v>3190</v>
      </c>
      <c r="B1142" t="s">
        <v>3191</v>
      </c>
    </row>
    <row r="1143" spans="1:2">
      <c r="A1143" t="s">
        <v>649</v>
      </c>
      <c r="B1143" t="s">
        <v>3192</v>
      </c>
    </row>
    <row r="1144" spans="1:2">
      <c r="A1144" t="s">
        <v>921</v>
      </c>
      <c r="B1144" t="s">
        <v>3193</v>
      </c>
    </row>
    <row r="1145" spans="1:2">
      <c r="A1145" t="s">
        <v>3194</v>
      </c>
      <c r="B1145" t="s">
        <v>3195</v>
      </c>
    </row>
    <row r="1146" spans="1:2">
      <c r="A1146" t="s">
        <v>647</v>
      </c>
      <c r="B1146" t="s">
        <v>3196</v>
      </c>
    </row>
    <row r="1147" spans="1:2">
      <c r="A1147" t="s">
        <v>788</v>
      </c>
      <c r="B1147" t="s">
        <v>3197</v>
      </c>
    </row>
    <row r="1148" spans="1:2">
      <c r="A1148" t="s">
        <v>411</v>
      </c>
      <c r="B1148" t="s">
        <v>3198</v>
      </c>
    </row>
    <row r="1149" spans="1:2">
      <c r="A1149" t="s">
        <v>184</v>
      </c>
      <c r="B1149" t="s">
        <v>3199</v>
      </c>
    </row>
    <row r="1150" spans="1:2">
      <c r="A1150" t="s">
        <v>3200</v>
      </c>
      <c r="B1150" t="s">
        <v>3201</v>
      </c>
    </row>
    <row r="1151" spans="1:2">
      <c r="A1151" t="s">
        <v>3202</v>
      </c>
      <c r="B1151" t="s">
        <v>3203</v>
      </c>
    </row>
    <row r="1152" spans="1:2">
      <c r="A1152" t="s">
        <v>465</v>
      </c>
      <c r="B1152" t="s">
        <v>3204</v>
      </c>
    </row>
    <row r="1153" spans="1:2">
      <c r="A1153" t="s">
        <v>309</v>
      </c>
      <c r="B1153" t="s">
        <v>3205</v>
      </c>
    </row>
    <row r="1154" spans="1:2">
      <c r="A1154" t="s">
        <v>3206</v>
      </c>
      <c r="B1154" t="s">
        <v>3207</v>
      </c>
    </row>
    <row r="1155" spans="1:2">
      <c r="A1155" t="s">
        <v>390</v>
      </c>
      <c r="B1155" t="s">
        <v>3208</v>
      </c>
    </row>
    <row r="1156" spans="1:2">
      <c r="A1156" t="s">
        <v>3209</v>
      </c>
      <c r="B1156" t="s">
        <v>3210</v>
      </c>
    </row>
    <row r="1157" spans="1:2">
      <c r="A1157" t="s">
        <v>3211</v>
      </c>
      <c r="B1157" t="s">
        <v>3212</v>
      </c>
    </row>
    <row r="1158" spans="1:2">
      <c r="A1158" t="s">
        <v>512</v>
      </c>
      <c r="B1158" t="s">
        <v>3213</v>
      </c>
    </row>
    <row r="1159" spans="1:2">
      <c r="A1159" t="s">
        <v>656</v>
      </c>
      <c r="B1159" t="s">
        <v>3214</v>
      </c>
    </row>
    <row r="1160" spans="1:2">
      <c r="A1160" t="s">
        <v>654</v>
      </c>
      <c r="B1160" t="s">
        <v>3215</v>
      </c>
    </row>
    <row r="1161" spans="1:2">
      <c r="A1161" t="s">
        <v>81</v>
      </c>
      <c r="B1161" t="s">
        <v>3216</v>
      </c>
    </row>
    <row r="1162" spans="1:2">
      <c r="A1162" t="s">
        <v>482</v>
      </c>
      <c r="B1162" t="s">
        <v>3217</v>
      </c>
    </row>
    <row r="1163" spans="1:2">
      <c r="A1163" t="s">
        <v>629</v>
      </c>
      <c r="B1163" t="s">
        <v>3218</v>
      </c>
    </row>
    <row r="1164" spans="1:2">
      <c r="A1164" t="s">
        <v>268</v>
      </c>
      <c r="B1164" t="s">
        <v>3219</v>
      </c>
    </row>
    <row r="1165" spans="1:2">
      <c r="A1165" t="s">
        <v>1217</v>
      </c>
      <c r="B1165" t="s">
        <v>3220</v>
      </c>
    </row>
    <row r="1166" spans="1:2">
      <c r="A1166" t="s">
        <v>786</v>
      </c>
      <c r="B1166" t="s">
        <v>3221</v>
      </c>
    </row>
    <row r="1167" spans="1:2">
      <c r="A1167" t="s">
        <v>1209</v>
      </c>
      <c r="B1167" t="s">
        <v>3222</v>
      </c>
    </row>
    <row r="1168" spans="1:2">
      <c r="A1168" t="s">
        <v>3223</v>
      </c>
      <c r="B1168" t="s">
        <v>3224</v>
      </c>
    </row>
    <row r="1169" spans="1:2">
      <c r="A1169" t="s">
        <v>958</v>
      </c>
      <c r="B1169" t="s">
        <v>3225</v>
      </c>
    </row>
    <row r="1170" spans="1:2">
      <c r="A1170" t="s">
        <v>1229</v>
      </c>
      <c r="B1170" t="s">
        <v>3226</v>
      </c>
    </row>
    <row r="1171" spans="1:2">
      <c r="A1171" t="s">
        <v>729</v>
      </c>
      <c r="B1171" t="s">
        <v>3227</v>
      </c>
    </row>
    <row r="1172" spans="1:2">
      <c r="A1172" t="s">
        <v>550</v>
      </c>
      <c r="B1172" t="s">
        <v>3228</v>
      </c>
    </row>
    <row r="1173" spans="1:2">
      <c r="A1173" t="s">
        <v>1121</v>
      </c>
      <c r="B1173" t="s">
        <v>3229</v>
      </c>
    </row>
    <row r="1174" spans="1:2">
      <c r="A1174" t="s">
        <v>3230</v>
      </c>
      <c r="B1174" t="s">
        <v>3231</v>
      </c>
    </row>
    <row r="1175" spans="1:2">
      <c r="A1175" t="s">
        <v>463</v>
      </c>
      <c r="B1175" t="s">
        <v>3232</v>
      </c>
    </row>
    <row r="1176" spans="1:2">
      <c r="A1176" t="s">
        <v>726</v>
      </c>
      <c r="B1176" t="s">
        <v>3233</v>
      </c>
    </row>
    <row r="1177" spans="1:2">
      <c r="A1177" t="s">
        <v>829</v>
      </c>
      <c r="B1177" t="s">
        <v>3234</v>
      </c>
    </row>
    <row r="1178" spans="1:2">
      <c r="A1178" t="s">
        <v>960</v>
      </c>
      <c r="B1178" t="s">
        <v>3235</v>
      </c>
    </row>
    <row r="1179" spans="1:2">
      <c r="A1179" t="s">
        <v>719</v>
      </c>
      <c r="B1179" t="s">
        <v>3236</v>
      </c>
    </row>
    <row r="1180" spans="1:2">
      <c r="A1180" t="s">
        <v>860</v>
      </c>
      <c r="B1180" t="s">
        <v>3237</v>
      </c>
    </row>
    <row r="1181" spans="1:2">
      <c r="A1181" t="s">
        <v>558</v>
      </c>
      <c r="B1181" t="s">
        <v>3238</v>
      </c>
    </row>
    <row r="1182" spans="1:2">
      <c r="A1182" t="s">
        <v>101</v>
      </c>
      <c r="B1182" t="s">
        <v>3239</v>
      </c>
    </row>
    <row r="1183" spans="1:2">
      <c r="A1183" t="s">
        <v>1152</v>
      </c>
      <c r="B1183" t="s">
        <v>3240</v>
      </c>
    </row>
    <row r="1184" spans="1:2">
      <c r="A1184" t="s">
        <v>326</v>
      </c>
      <c r="B1184" t="s">
        <v>3241</v>
      </c>
    </row>
    <row r="1185" spans="1:2">
      <c r="A1185" t="s">
        <v>900</v>
      </c>
      <c r="B1185" t="s">
        <v>3242</v>
      </c>
    </row>
    <row r="1186" spans="1:2">
      <c r="A1186" t="s">
        <v>889</v>
      </c>
      <c r="B1186" t="s">
        <v>3243</v>
      </c>
    </row>
    <row r="1187" spans="1:2">
      <c r="A1187" t="s">
        <v>677</v>
      </c>
      <c r="B1187" t="s">
        <v>3244</v>
      </c>
    </row>
    <row r="1188" spans="1:2">
      <c r="A1188" t="s">
        <v>682</v>
      </c>
      <c r="B1188" t="s">
        <v>3245</v>
      </c>
    </row>
    <row r="1189" spans="1:2">
      <c r="A1189" t="s">
        <v>670</v>
      </c>
      <c r="B1189" t="s">
        <v>3246</v>
      </c>
    </row>
    <row r="1190" spans="1:2">
      <c r="A1190" t="s">
        <v>3247</v>
      </c>
      <c r="B1190" t="s">
        <v>3248</v>
      </c>
    </row>
    <row r="1191" spans="1:2">
      <c r="A1191" t="s">
        <v>237</v>
      </c>
      <c r="B1191" t="s">
        <v>3249</v>
      </c>
    </row>
    <row r="1192" spans="1:2">
      <c r="A1192" t="s">
        <v>3250</v>
      </c>
      <c r="B1192" t="s">
        <v>3251</v>
      </c>
    </row>
    <row r="1193" spans="1:2">
      <c r="A1193" t="s">
        <v>1022</v>
      </c>
      <c r="B1193" t="s">
        <v>3252</v>
      </c>
    </row>
    <row r="1194" spans="1:2">
      <c r="A1194" t="s">
        <v>759</v>
      </c>
      <c r="B1194" t="s">
        <v>3253</v>
      </c>
    </row>
    <row r="1195" spans="1:2">
      <c r="A1195" t="s">
        <v>508</v>
      </c>
      <c r="B1195" t="s">
        <v>3254</v>
      </c>
    </row>
    <row r="1196" spans="1:2">
      <c r="A1196" t="s">
        <v>773</v>
      </c>
      <c r="B1196" t="s">
        <v>3255</v>
      </c>
    </row>
    <row r="1197" spans="1:2">
      <c r="A1197" t="s">
        <v>587</v>
      </c>
      <c r="B1197" t="s">
        <v>3256</v>
      </c>
    </row>
    <row r="1198" spans="1:2">
      <c r="A1198" t="s">
        <v>684</v>
      </c>
      <c r="B1198" t="s">
        <v>3257</v>
      </c>
    </row>
    <row r="1199" spans="1:2">
      <c r="A1199" t="s">
        <v>358</v>
      </c>
      <c r="B1199" t="s">
        <v>3258</v>
      </c>
    </row>
    <row r="1200" spans="1:2">
      <c r="A1200" t="s">
        <v>214</v>
      </c>
      <c r="B1200" t="s">
        <v>3259</v>
      </c>
    </row>
    <row r="1201" spans="1:2">
      <c r="A1201" t="s">
        <v>385</v>
      </c>
      <c r="B1201" t="s">
        <v>3260</v>
      </c>
    </row>
    <row r="1202" spans="1:2">
      <c r="A1202" t="s">
        <v>939</v>
      </c>
      <c r="B1202" t="s">
        <v>3261</v>
      </c>
    </row>
    <row r="1203" spans="1:2">
      <c r="A1203" t="s">
        <v>816</v>
      </c>
      <c r="B1203" t="s">
        <v>3262</v>
      </c>
    </row>
    <row r="1204" spans="1:2">
      <c r="A1204" t="s">
        <v>1050</v>
      </c>
      <c r="B1204" t="s">
        <v>3263</v>
      </c>
    </row>
    <row r="1205" spans="1:2">
      <c r="A1205" t="s">
        <v>696</v>
      </c>
      <c r="B1205" t="s">
        <v>3264</v>
      </c>
    </row>
    <row r="1206" spans="1:2">
      <c r="A1206" t="s">
        <v>3265</v>
      </c>
      <c r="B1206" t="s">
        <v>3266</v>
      </c>
    </row>
    <row r="1207" spans="1:2">
      <c r="A1207" t="s">
        <v>927</v>
      </c>
      <c r="B1207" t="s">
        <v>3267</v>
      </c>
    </row>
    <row r="1208" spans="1:2">
      <c r="A1208" t="s">
        <v>151</v>
      </c>
      <c r="B1208" t="s">
        <v>3268</v>
      </c>
    </row>
    <row r="1209" spans="1:2">
      <c r="A1209" t="s">
        <v>1003</v>
      </c>
      <c r="B1209" t="s">
        <v>3269</v>
      </c>
    </row>
    <row r="1210" spans="1:2">
      <c r="A1210" t="s">
        <v>943</v>
      </c>
      <c r="B1210" t="s">
        <v>3270</v>
      </c>
    </row>
    <row r="1211" spans="1:2">
      <c r="A1211" t="s">
        <v>956</v>
      </c>
      <c r="B1211" t="s">
        <v>3271</v>
      </c>
    </row>
    <row r="1212" spans="1:2">
      <c r="A1212" t="s">
        <v>608</v>
      </c>
      <c r="B1212" t="s">
        <v>3272</v>
      </c>
    </row>
    <row r="1213" spans="1:2">
      <c r="A1213" t="s">
        <v>867</v>
      </c>
      <c r="B1213" t="s">
        <v>3273</v>
      </c>
    </row>
    <row r="1214" spans="1:2">
      <c r="A1214" t="s">
        <v>724</v>
      </c>
      <c r="B1214" t="s">
        <v>3274</v>
      </c>
    </row>
    <row r="1215" spans="1:2">
      <c r="A1215" t="s">
        <v>1073</v>
      </c>
      <c r="B1215" t="s">
        <v>3275</v>
      </c>
    </row>
    <row r="1216" spans="1:2">
      <c r="A1216" t="s">
        <v>1237</v>
      </c>
      <c r="B1216" t="s">
        <v>3276</v>
      </c>
    </row>
    <row r="1217" spans="1:2">
      <c r="A1217" t="s">
        <v>619</v>
      </c>
      <c r="B1217" t="s">
        <v>3277</v>
      </c>
    </row>
    <row r="1218" spans="1:2">
      <c r="A1218" t="s">
        <v>1116</v>
      </c>
      <c r="B1218" t="s">
        <v>3278</v>
      </c>
    </row>
    <row r="1219" spans="1:2">
      <c r="A1219" t="s">
        <v>799</v>
      </c>
      <c r="B1219" t="s">
        <v>3279</v>
      </c>
    </row>
    <row r="1220" spans="1:2">
      <c r="A1220" t="s">
        <v>1201</v>
      </c>
      <c r="B1220" t="s">
        <v>3280</v>
      </c>
    </row>
    <row r="1221" spans="1:2">
      <c r="A1221" t="s">
        <v>3281</v>
      </c>
      <c r="B1221" t="s">
        <v>3282</v>
      </c>
    </row>
    <row r="1222" spans="1:2">
      <c r="A1222" t="s">
        <v>3283</v>
      </c>
      <c r="B1222" t="s">
        <v>3284</v>
      </c>
    </row>
    <row r="1223" spans="1:2">
      <c r="A1223" t="s">
        <v>3285</v>
      </c>
      <c r="B1223" t="s">
        <v>3286</v>
      </c>
    </row>
    <row r="1224" spans="1:2">
      <c r="A1224" t="s">
        <v>289</v>
      </c>
      <c r="B1224" t="s">
        <v>3287</v>
      </c>
    </row>
    <row r="1225" spans="1:2">
      <c r="A1225" t="s">
        <v>737</v>
      </c>
      <c r="B1225" t="s">
        <v>3288</v>
      </c>
    </row>
    <row r="1226" spans="1:2">
      <c r="A1226" t="s">
        <v>1063</v>
      </c>
      <c r="B1226" t="s">
        <v>3289</v>
      </c>
    </row>
    <row r="1227" spans="1:2">
      <c r="A1227" t="s">
        <v>3290</v>
      </c>
      <c r="B1227" t="s">
        <v>3291</v>
      </c>
    </row>
    <row r="1228" spans="1:2">
      <c r="A1228" t="s">
        <v>301</v>
      </c>
      <c r="B1228" t="s">
        <v>3292</v>
      </c>
    </row>
    <row r="1229" spans="1:2">
      <c r="A1229" t="s">
        <v>3293</v>
      </c>
      <c r="B1229" t="s">
        <v>3294</v>
      </c>
    </row>
    <row r="1230" spans="1:2">
      <c r="A1230" t="s">
        <v>3295</v>
      </c>
      <c r="B1230" t="s">
        <v>3296</v>
      </c>
    </row>
    <row r="1231" spans="1:2">
      <c r="A1231" t="s">
        <v>3297</v>
      </c>
      <c r="B1231" t="s">
        <v>3298</v>
      </c>
    </row>
    <row r="1232" spans="1:2">
      <c r="A1232" t="s">
        <v>407</v>
      </c>
      <c r="B1232" t="s">
        <v>3299</v>
      </c>
    </row>
    <row r="1233" spans="1:2">
      <c r="A1233" t="s">
        <v>1094</v>
      </c>
      <c r="B1233" t="s">
        <v>3300</v>
      </c>
    </row>
    <row r="1234" spans="1:2">
      <c r="A1234" t="s">
        <v>911</v>
      </c>
      <c r="B1234" t="s">
        <v>3301</v>
      </c>
    </row>
    <row r="1235" spans="1:2">
      <c r="A1235" t="s">
        <v>995</v>
      </c>
      <c r="B1235" t="s">
        <v>3302</v>
      </c>
    </row>
    <row r="1236" spans="1:2">
      <c r="A1236" t="s">
        <v>873</v>
      </c>
      <c r="B1236" t="s">
        <v>3303</v>
      </c>
    </row>
    <row r="1237" spans="1:2">
      <c r="A1237" t="s">
        <v>3304</v>
      </c>
      <c r="B1237" t="s">
        <v>3305</v>
      </c>
    </row>
    <row r="1238" spans="1:2">
      <c r="A1238" t="s">
        <v>435</v>
      </c>
      <c r="B1238" t="s">
        <v>3306</v>
      </c>
    </row>
    <row r="1239" spans="1:2">
      <c r="A1239" t="s">
        <v>3307</v>
      </c>
      <c r="B1239" t="s">
        <v>3308</v>
      </c>
    </row>
    <row r="1240" spans="1:2">
      <c r="A1240" t="s">
        <v>212</v>
      </c>
      <c r="B1240" t="s">
        <v>3309</v>
      </c>
    </row>
    <row r="1241" spans="1:2">
      <c r="A1241" t="s">
        <v>1182</v>
      </c>
      <c r="B1241" t="s">
        <v>3310</v>
      </c>
    </row>
    <row r="1242" spans="1:2">
      <c r="A1242" t="s">
        <v>871</v>
      </c>
      <c r="B1242" t="s">
        <v>3311</v>
      </c>
    </row>
    <row r="1243" spans="1:2">
      <c r="A1243" t="s">
        <v>521</v>
      </c>
      <c r="B1243" t="s">
        <v>3312</v>
      </c>
    </row>
    <row r="1244" spans="1:2">
      <c r="A1244" t="s">
        <v>3313</v>
      </c>
      <c r="B1244" t="s">
        <v>3314</v>
      </c>
    </row>
    <row r="1245" spans="1:2">
      <c r="A1245" t="s">
        <v>1100</v>
      </c>
      <c r="B1245" t="s">
        <v>3315</v>
      </c>
    </row>
    <row r="1246" spans="1:2">
      <c r="A1246" t="s">
        <v>186</v>
      </c>
      <c r="B1246" t="s">
        <v>3316</v>
      </c>
    </row>
    <row r="1247" spans="1:2">
      <c r="A1247" t="s">
        <v>373</v>
      </c>
      <c r="B1247" t="s">
        <v>3317</v>
      </c>
    </row>
    <row r="1248" spans="1:2">
      <c r="A1248" t="s">
        <v>858</v>
      </c>
      <c r="B1248" t="s">
        <v>3318</v>
      </c>
    </row>
    <row r="1249" spans="1:2">
      <c r="A1249" t="s">
        <v>776</v>
      </c>
      <c r="B1249" t="s">
        <v>3319</v>
      </c>
    </row>
    <row r="1250" spans="1:2">
      <c r="A1250" t="s">
        <v>1179</v>
      </c>
      <c r="B1250" t="s">
        <v>3320</v>
      </c>
    </row>
    <row r="1251" spans="1:2">
      <c r="A1251" t="s">
        <v>423</v>
      </c>
      <c r="B1251" t="s">
        <v>3321</v>
      </c>
    </row>
    <row r="1252" spans="1:2">
      <c r="A1252" t="s">
        <v>593</v>
      </c>
      <c r="B1252" t="s">
        <v>3322</v>
      </c>
    </row>
    <row r="1253" spans="1:2">
      <c r="A1253" t="s">
        <v>919</v>
      </c>
      <c r="B1253" t="s">
        <v>3323</v>
      </c>
    </row>
    <row r="1254" spans="1:2">
      <c r="A1254" t="s">
        <v>3324</v>
      </c>
      <c r="B1254" t="s">
        <v>3325</v>
      </c>
    </row>
    <row r="1255" spans="1:2">
      <c r="A1255" t="s">
        <v>745</v>
      </c>
      <c r="B1255" t="s">
        <v>3326</v>
      </c>
    </row>
    <row r="1256" spans="1:2">
      <c r="A1256" t="s">
        <v>563</v>
      </c>
      <c r="B1256" t="s">
        <v>3327</v>
      </c>
    </row>
    <row r="1257" spans="1:2">
      <c r="A1257" t="s">
        <v>689</v>
      </c>
      <c r="B1257" t="s">
        <v>3328</v>
      </c>
    </row>
    <row r="1258" spans="1:2">
      <c r="A1258" t="s">
        <v>568</v>
      </c>
      <c r="B1258" t="s">
        <v>3329</v>
      </c>
    </row>
    <row r="1259" spans="1:2">
      <c r="A1259" t="s">
        <v>3330</v>
      </c>
      <c r="B1259" t="s">
        <v>3331</v>
      </c>
    </row>
    <row r="1260" spans="1:2">
      <c r="A1260" t="s">
        <v>831</v>
      </c>
      <c r="B1260" t="s">
        <v>3332</v>
      </c>
    </row>
    <row r="1261" spans="1:2">
      <c r="A1261" t="s">
        <v>293</v>
      </c>
      <c r="B1261" t="s">
        <v>3333</v>
      </c>
    </row>
    <row r="1262" spans="1:2">
      <c r="A1262" t="s">
        <v>3334</v>
      </c>
      <c r="B1262" t="s">
        <v>3335</v>
      </c>
    </row>
    <row r="1263" spans="1:2">
      <c r="A1263" t="s">
        <v>3336</v>
      </c>
      <c r="B1263" t="s">
        <v>3337</v>
      </c>
    </row>
    <row r="1264" spans="1:2">
      <c r="A1264" t="s">
        <v>555</v>
      </c>
      <c r="B1264" t="s">
        <v>3338</v>
      </c>
    </row>
    <row r="1265" spans="1:2">
      <c r="A1265" t="s">
        <v>711</v>
      </c>
      <c r="B1265" t="s">
        <v>3339</v>
      </c>
    </row>
    <row r="1266" spans="1:2">
      <c r="A1266" t="s">
        <v>502</v>
      </c>
      <c r="B1266" t="s">
        <v>3340</v>
      </c>
    </row>
    <row r="1267" spans="1:2">
      <c r="A1267" t="s">
        <v>573</v>
      </c>
      <c r="B1267" t="s">
        <v>3341</v>
      </c>
    </row>
    <row r="1268" spans="1:2">
      <c r="A1268" t="s">
        <v>1239</v>
      </c>
      <c r="B1268" t="s">
        <v>3342</v>
      </c>
    </row>
    <row r="1269" spans="1:2">
      <c r="A1269" t="s">
        <v>98</v>
      </c>
      <c r="B1269" t="s">
        <v>3343</v>
      </c>
    </row>
    <row r="1270" spans="1:2">
      <c r="A1270" t="s">
        <v>3344</v>
      </c>
      <c r="B1270" t="s">
        <v>3345</v>
      </c>
    </row>
    <row r="1271" spans="1:2">
      <c r="A1271" t="s">
        <v>3346</v>
      </c>
      <c r="B1271" t="s">
        <v>3347</v>
      </c>
    </row>
    <row r="1272" spans="1:2">
      <c r="A1272" t="s">
        <v>1001</v>
      </c>
      <c r="B1272" t="s">
        <v>3348</v>
      </c>
    </row>
    <row r="1273" spans="1:2">
      <c r="A1273" t="s">
        <v>847</v>
      </c>
      <c r="B1273" t="s">
        <v>3349</v>
      </c>
    </row>
    <row r="1274" spans="1:2">
      <c r="A1274" t="s">
        <v>747</v>
      </c>
      <c r="B1274" t="s">
        <v>3350</v>
      </c>
    </row>
    <row r="1275" spans="1:2">
      <c r="A1275" t="s">
        <v>1016</v>
      </c>
      <c r="B1275" t="s">
        <v>3351</v>
      </c>
    </row>
    <row r="1276" spans="1:2">
      <c r="A1276" t="s">
        <v>3352</v>
      </c>
      <c r="B1276" t="s">
        <v>3353</v>
      </c>
    </row>
    <row r="1277" spans="1:2">
      <c r="A1277" t="s">
        <v>552</v>
      </c>
      <c r="B1277" t="s">
        <v>3354</v>
      </c>
    </row>
    <row r="1278" spans="1:2">
      <c r="A1278" t="s">
        <v>3355</v>
      </c>
      <c r="B1278" t="s">
        <v>3356</v>
      </c>
    </row>
    <row r="1279" spans="1:2">
      <c r="A1279" t="s">
        <v>354</v>
      </c>
      <c r="B1279" t="s">
        <v>3357</v>
      </c>
    </row>
    <row r="1280" spans="1:2">
      <c r="A1280" t="s">
        <v>401</v>
      </c>
      <c r="B1280" t="s">
        <v>3358</v>
      </c>
    </row>
    <row r="1281" spans="1:2">
      <c r="A1281" t="s">
        <v>93</v>
      </c>
      <c r="B1281" t="s">
        <v>3359</v>
      </c>
    </row>
    <row r="1282" spans="1:2">
      <c r="A1282" t="s">
        <v>3360</v>
      </c>
      <c r="B1282" t="s">
        <v>3361</v>
      </c>
    </row>
    <row r="1283" spans="1:2">
      <c r="A1283" t="s">
        <v>336</v>
      </c>
      <c r="B1283" t="s">
        <v>3362</v>
      </c>
    </row>
    <row r="1284" spans="1:2">
      <c r="A1284" t="s">
        <v>3363</v>
      </c>
      <c r="B1284" t="s">
        <v>3364</v>
      </c>
    </row>
    <row r="1285" spans="1:2">
      <c r="A1285" t="s">
        <v>661</v>
      </c>
      <c r="B1285" t="s">
        <v>3365</v>
      </c>
    </row>
    <row r="1286" spans="1:2">
      <c r="A1286" t="s">
        <v>3366</v>
      </c>
      <c r="B1286" t="s">
        <v>3367</v>
      </c>
    </row>
    <row r="1287" spans="1:2">
      <c r="A1287" t="s">
        <v>3368</v>
      </c>
      <c r="B1287" t="s">
        <v>3369</v>
      </c>
    </row>
    <row r="1288" spans="1:2">
      <c r="A1288" t="s">
        <v>3370</v>
      </c>
      <c r="B1288" t="s">
        <v>3371</v>
      </c>
    </row>
    <row r="1289" spans="1:2">
      <c r="A1289" t="s">
        <v>633</v>
      </c>
      <c r="B1289" t="s">
        <v>3372</v>
      </c>
    </row>
    <row r="1290" spans="1:2">
      <c r="A1290" t="s">
        <v>3373</v>
      </c>
      <c r="B1290" t="s">
        <v>3374</v>
      </c>
    </row>
    <row r="1291" spans="1:2">
      <c r="A1291" t="s">
        <v>3375</v>
      </c>
      <c r="B1291" t="s">
        <v>3376</v>
      </c>
    </row>
    <row r="1292" spans="1:2">
      <c r="A1292" t="s">
        <v>3377</v>
      </c>
      <c r="B1292" t="s">
        <v>3378</v>
      </c>
    </row>
    <row r="1293" spans="1:2">
      <c r="A1293" t="s">
        <v>3379</v>
      </c>
      <c r="B1293" t="s">
        <v>3380</v>
      </c>
    </row>
    <row r="1294" spans="1:2">
      <c r="A1294" t="s">
        <v>3381</v>
      </c>
      <c r="B1294" t="s">
        <v>3382</v>
      </c>
    </row>
    <row r="1295" spans="1:2">
      <c r="A1295" t="s">
        <v>1186</v>
      </c>
      <c r="B1295" t="s">
        <v>3383</v>
      </c>
    </row>
    <row r="1296" spans="1:2">
      <c r="A1296" t="s">
        <v>3384</v>
      </c>
      <c r="B1296" t="s">
        <v>3385</v>
      </c>
    </row>
    <row r="1297" spans="1:2">
      <c r="A1297" t="s">
        <v>218</v>
      </c>
      <c r="B1297" t="s">
        <v>3386</v>
      </c>
    </row>
    <row r="1298" spans="1:2">
      <c r="A1298" t="s">
        <v>240</v>
      </c>
      <c r="B1298" t="s">
        <v>3387</v>
      </c>
    </row>
    <row r="1299" spans="1:2">
      <c r="A1299" t="s">
        <v>1076</v>
      </c>
      <c r="B1299" t="s">
        <v>3388</v>
      </c>
    </row>
    <row r="1300" spans="1:2">
      <c r="A1300" t="s">
        <v>3389</v>
      </c>
      <c r="B1300" t="s">
        <v>3390</v>
      </c>
    </row>
    <row r="1301" spans="1:2">
      <c r="A1301" t="s">
        <v>1146</v>
      </c>
      <c r="B1301" t="s">
        <v>3391</v>
      </c>
    </row>
    <row r="1302" spans="1:2">
      <c r="A1302" t="s">
        <v>3392</v>
      </c>
      <c r="B1302" t="s">
        <v>3393</v>
      </c>
    </row>
    <row r="1303" spans="1:2">
      <c r="A1303" t="s">
        <v>3394</v>
      </c>
      <c r="B1303" t="s">
        <v>3395</v>
      </c>
    </row>
    <row r="1304" spans="1:2">
      <c r="A1304" t="s">
        <v>3396</v>
      </c>
      <c r="B1304" t="s">
        <v>3397</v>
      </c>
    </row>
    <row r="1305" spans="1:2">
      <c r="A1305" t="s">
        <v>982</v>
      </c>
      <c r="B1305" t="s">
        <v>3398</v>
      </c>
    </row>
    <row r="1306" spans="1:2">
      <c r="A1306" t="s">
        <v>3399</v>
      </c>
      <c r="B1306" t="s">
        <v>3400</v>
      </c>
    </row>
    <row r="1307" spans="1:2">
      <c r="A1307" t="s">
        <v>3401</v>
      </c>
      <c r="B1307" t="s">
        <v>3402</v>
      </c>
    </row>
    <row r="1308" spans="1:2">
      <c r="A1308" t="s">
        <v>1231</v>
      </c>
      <c r="B1308" t="s">
        <v>3403</v>
      </c>
    </row>
    <row r="1309" spans="1:2">
      <c r="A1309" t="s">
        <v>3404</v>
      </c>
      <c r="B1309" t="s">
        <v>3405</v>
      </c>
    </row>
    <row r="1310" spans="1:2">
      <c r="A1310" t="s">
        <v>3406</v>
      </c>
      <c r="B1310" t="s">
        <v>3407</v>
      </c>
    </row>
    <row r="1311" spans="1:2">
      <c r="A1311" t="s">
        <v>3408</v>
      </c>
      <c r="B1311" t="s">
        <v>3409</v>
      </c>
    </row>
    <row r="1312" spans="1:2">
      <c r="A1312" t="s">
        <v>3410</v>
      </c>
      <c r="B1312" t="s">
        <v>3411</v>
      </c>
    </row>
    <row r="1313" spans="1:2">
      <c r="A1313" t="s">
        <v>3412</v>
      </c>
      <c r="B1313" t="s">
        <v>3413</v>
      </c>
    </row>
    <row r="1314" spans="1:2">
      <c r="A1314" t="s">
        <v>3414</v>
      </c>
      <c r="B1314" t="s">
        <v>3415</v>
      </c>
    </row>
    <row r="1315" spans="1:2">
      <c r="A1315" t="s">
        <v>3416</v>
      </c>
      <c r="B1315" t="s">
        <v>3417</v>
      </c>
    </row>
    <row r="1316" spans="1:2">
      <c r="A1316" t="s">
        <v>3418</v>
      </c>
      <c r="B1316" t="s">
        <v>3419</v>
      </c>
    </row>
    <row r="1317" spans="1:2">
      <c r="A1317" t="s">
        <v>3420</v>
      </c>
      <c r="B1317" t="s">
        <v>3421</v>
      </c>
    </row>
    <row r="1318" spans="1:2">
      <c r="A1318" t="s">
        <v>1019</v>
      </c>
      <c r="B1318" t="s">
        <v>3422</v>
      </c>
    </row>
    <row r="1319" spans="1:2">
      <c r="A1319" t="s">
        <v>3423</v>
      </c>
      <c r="B1319" t="s">
        <v>3424</v>
      </c>
    </row>
    <row r="1320" spans="1:2">
      <c r="A1320" t="s">
        <v>954</v>
      </c>
      <c r="B1320" t="s">
        <v>3425</v>
      </c>
    </row>
    <row r="1321" spans="1:2">
      <c r="A1321" t="s">
        <v>3426</v>
      </c>
      <c r="B1321" t="s">
        <v>3427</v>
      </c>
    </row>
    <row r="1322" spans="1:2">
      <c r="A1322" t="s">
        <v>3428</v>
      </c>
      <c r="B1322" t="s">
        <v>3429</v>
      </c>
    </row>
    <row r="1323" spans="1:2">
      <c r="A1323" t="s">
        <v>3430</v>
      </c>
      <c r="B1323" t="s">
        <v>3431</v>
      </c>
    </row>
    <row r="1324" spans="1:2">
      <c r="A1324" t="s">
        <v>3432</v>
      </c>
      <c r="B1324" t="s">
        <v>3433</v>
      </c>
    </row>
    <row r="1325" spans="1:2">
      <c r="A1325" t="s">
        <v>1162</v>
      </c>
      <c r="B1325" t="s">
        <v>3434</v>
      </c>
    </row>
    <row r="1326" spans="1:2">
      <c r="A1326" t="s">
        <v>3435</v>
      </c>
      <c r="B1326" t="s">
        <v>3436</v>
      </c>
    </row>
    <row r="1327" spans="1:2">
      <c r="A1327" t="s">
        <v>3437</v>
      </c>
      <c r="B1327" t="s">
        <v>3438</v>
      </c>
    </row>
    <row r="1328" spans="1:2">
      <c r="A1328" t="s">
        <v>3439</v>
      </c>
      <c r="B1328" t="s">
        <v>3440</v>
      </c>
    </row>
    <row r="1329" spans="1:2">
      <c r="A1329" t="s">
        <v>753</v>
      </c>
      <c r="B1329" t="s">
        <v>3441</v>
      </c>
    </row>
    <row r="1330" spans="1:2">
      <c r="A1330" t="s">
        <v>3442</v>
      </c>
      <c r="B1330" t="s">
        <v>3443</v>
      </c>
    </row>
    <row r="1331" spans="1:2">
      <c r="A1331" t="s">
        <v>3444</v>
      </c>
      <c r="B1331" t="s">
        <v>3445</v>
      </c>
    </row>
    <row r="1332" spans="1:2">
      <c r="A1332" t="s">
        <v>3446</v>
      </c>
      <c r="B1332" t="s">
        <v>3447</v>
      </c>
    </row>
    <row r="1333" spans="1:2">
      <c r="A1333" t="s">
        <v>3448</v>
      </c>
      <c r="B1333" t="s">
        <v>3449</v>
      </c>
    </row>
    <row r="1334" spans="1:2">
      <c r="A1334" t="s">
        <v>3450</v>
      </c>
      <c r="B1334" t="s">
        <v>3451</v>
      </c>
    </row>
    <row r="1335" spans="1:2">
      <c r="A1335" t="s">
        <v>3452</v>
      </c>
      <c r="B1335" t="s">
        <v>3453</v>
      </c>
    </row>
    <row r="1336" spans="1:2">
      <c r="A1336" t="s">
        <v>3454</v>
      </c>
      <c r="B1336" t="s">
        <v>3455</v>
      </c>
    </row>
    <row r="1337" spans="1:2">
      <c r="A1337" t="s">
        <v>3456</v>
      </c>
      <c r="B1337" t="s">
        <v>3457</v>
      </c>
    </row>
    <row r="1338" spans="1:2">
      <c r="A1338" t="s">
        <v>3458</v>
      </c>
      <c r="B1338" t="s">
        <v>3459</v>
      </c>
    </row>
    <row r="1339" spans="1:2">
      <c r="A1339" t="s">
        <v>3460</v>
      </c>
      <c r="B1339" t="s">
        <v>3461</v>
      </c>
    </row>
    <row r="1340" spans="1:2">
      <c r="A1340" t="s">
        <v>3462</v>
      </c>
      <c r="B1340" t="s">
        <v>3463</v>
      </c>
    </row>
    <row r="1341" spans="1:2">
      <c r="A1341" t="s">
        <v>3464</v>
      </c>
      <c r="B1341" t="s">
        <v>3465</v>
      </c>
    </row>
    <row r="1342" spans="1:2">
      <c r="A1342" t="s">
        <v>3466</v>
      </c>
      <c r="B1342" t="s">
        <v>3467</v>
      </c>
    </row>
    <row r="1343" spans="1:2">
      <c r="A1343" t="s">
        <v>3468</v>
      </c>
      <c r="B1343" t="s">
        <v>3469</v>
      </c>
    </row>
    <row r="1344" spans="1:2">
      <c r="A1344" t="s">
        <v>3470</v>
      </c>
      <c r="B1344" t="s">
        <v>3471</v>
      </c>
    </row>
    <row r="1345" spans="1:2">
      <c r="A1345" t="s">
        <v>258</v>
      </c>
      <c r="B1345" t="s">
        <v>3472</v>
      </c>
    </row>
    <row r="1346" spans="1:2">
      <c r="A1346" t="s">
        <v>3473</v>
      </c>
      <c r="B1346" t="s">
        <v>3474</v>
      </c>
    </row>
    <row r="1347" spans="1:2">
      <c r="A1347" t="s">
        <v>3475</v>
      </c>
      <c r="B1347" t="s">
        <v>3476</v>
      </c>
    </row>
    <row r="1348" spans="1:2">
      <c r="A1348" t="s">
        <v>3477</v>
      </c>
      <c r="B1348" t="s">
        <v>3478</v>
      </c>
    </row>
    <row r="1349" spans="1:2">
      <c r="A1349" t="s">
        <v>3479</v>
      </c>
      <c r="B1349" t="s">
        <v>3480</v>
      </c>
    </row>
    <row r="1350" spans="1:2">
      <c r="A1350" t="s">
        <v>3481</v>
      </c>
      <c r="B1350" t="s">
        <v>3482</v>
      </c>
    </row>
    <row r="1351" spans="1:2">
      <c r="A1351" t="s">
        <v>3483</v>
      </c>
      <c r="B1351" t="s">
        <v>3484</v>
      </c>
    </row>
    <row r="1352" spans="1:2">
      <c r="A1352" t="s">
        <v>3485</v>
      </c>
      <c r="B1352" t="s">
        <v>3486</v>
      </c>
    </row>
    <row r="1353" spans="1:2">
      <c r="A1353" t="s">
        <v>3487</v>
      </c>
      <c r="B1353" t="s">
        <v>3488</v>
      </c>
    </row>
    <row r="1354" spans="1:2">
      <c r="A1354" t="s">
        <v>3489</v>
      </c>
      <c r="B1354" t="s">
        <v>3490</v>
      </c>
    </row>
    <row r="1355" spans="1:2">
      <c r="A1355" t="s">
        <v>3491</v>
      </c>
      <c r="B1355" t="s">
        <v>3492</v>
      </c>
    </row>
    <row r="1356" spans="1:2">
      <c r="A1356" t="s">
        <v>3493</v>
      </c>
      <c r="B1356" t="s">
        <v>3494</v>
      </c>
    </row>
    <row r="1357" spans="1:2">
      <c r="A1357" t="s">
        <v>3495</v>
      </c>
      <c r="B1357" t="s">
        <v>3496</v>
      </c>
    </row>
    <row r="1358" spans="1:2">
      <c r="A1358" t="s">
        <v>3497</v>
      </c>
      <c r="B1358" t="s">
        <v>3498</v>
      </c>
    </row>
    <row r="1359" spans="1:2">
      <c r="A1359" t="s">
        <v>3499</v>
      </c>
      <c r="B1359" t="s">
        <v>3500</v>
      </c>
    </row>
    <row r="1360" spans="1:2">
      <c r="A1360" t="s">
        <v>3501</v>
      </c>
      <c r="B1360" t="s">
        <v>3502</v>
      </c>
    </row>
    <row r="1361" spans="1:2">
      <c r="A1361" t="s">
        <v>3503</v>
      </c>
      <c r="B1361" t="s">
        <v>3504</v>
      </c>
    </row>
    <row r="1362" spans="1:2">
      <c r="A1362" t="s">
        <v>3505</v>
      </c>
      <c r="B1362" t="s">
        <v>3506</v>
      </c>
    </row>
    <row r="1363" spans="1:2">
      <c r="A1363" t="s">
        <v>3507</v>
      </c>
      <c r="B1363" t="s">
        <v>3508</v>
      </c>
    </row>
    <row r="1364" spans="1:2">
      <c r="A1364" t="s">
        <v>3509</v>
      </c>
      <c r="B1364" t="s">
        <v>3510</v>
      </c>
    </row>
    <row r="1365" spans="1:2">
      <c r="A1365" t="s">
        <v>3511</v>
      </c>
      <c r="B1365" t="s">
        <v>3512</v>
      </c>
    </row>
    <row r="1366" spans="1:2">
      <c r="A1366" t="s">
        <v>3513</v>
      </c>
      <c r="B1366" t="s">
        <v>3514</v>
      </c>
    </row>
    <row r="1367" spans="1:2">
      <c r="A1367" t="s">
        <v>3515</v>
      </c>
      <c r="B1367" t="s">
        <v>3516</v>
      </c>
    </row>
    <row r="1368" spans="1:2">
      <c r="A1368" t="s">
        <v>741</v>
      </c>
      <c r="B1368" t="s">
        <v>3517</v>
      </c>
    </row>
    <row r="1369" spans="1:2">
      <c r="A1369" t="s">
        <v>3518</v>
      </c>
      <c r="B1369" t="s">
        <v>3519</v>
      </c>
    </row>
    <row r="1370" spans="1:2">
      <c r="A1370" t="s">
        <v>3520</v>
      </c>
      <c r="B1370" t="s">
        <v>3521</v>
      </c>
    </row>
    <row r="1371" spans="1:2">
      <c r="A1371" t="s">
        <v>782</v>
      </c>
      <c r="B1371" t="s">
        <v>3522</v>
      </c>
    </row>
    <row r="1372" spans="1:2">
      <c r="A1372" t="s">
        <v>3523</v>
      </c>
      <c r="B1372" t="s">
        <v>3524</v>
      </c>
    </row>
    <row r="1373" spans="1:2">
      <c r="A1373" t="s">
        <v>3525</v>
      </c>
      <c r="B1373" t="s">
        <v>3526</v>
      </c>
    </row>
    <row r="1374" spans="1:2">
      <c r="A1374" t="s">
        <v>3527</v>
      </c>
      <c r="B1374" t="s">
        <v>3528</v>
      </c>
    </row>
    <row r="1375" spans="1:2">
      <c r="A1375" t="s">
        <v>3529</v>
      </c>
      <c r="B1375" t="s">
        <v>3530</v>
      </c>
    </row>
    <row r="1376" spans="1:2">
      <c r="A1376" t="s">
        <v>3531</v>
      </c>
      <c r="B1376" t="s">
        <v>3532</v>
      </c>
    </row>
    <row r="1377" spans="1:2">
      <c r="A1377" t="s">
        <v>3533</v>
      </c>
      <c r="B1377" t="s">
        <v>3534</v>
      </c>
    </row>
    <row r="1378" spans="1:2">
      <c r="A1378" t="s">
        <v>3535</v>
      </c>
      <c r="B1378" t="s">
        <v>3536</v>
      </c>
    </row>
    <row r="1379" spans="1:2">
      <c r="A1379" t="s">
        <v>3537</v>
      </c>
      <c r="B1379" t="s">
        <v>3538</v>
      </c>
    </row>
    <row r="1380" spans="1:2">
      <c r="A1380" t="s">
        <v>3539</v>
      </c>
      <c r="B1380" t="s">
        <v>3540</v>
      </c>
    </row>
    <row r="1381" spans="1:2">
      <c r="A1381" t="s">
        <v>3541</v>
      </c>
      <c r="B1381" t="s">
        <v>3542</v>
      </c>
    </row>
    <row r="1382" spans="1:2">
      <c r="A1382" t="s">
        <v>3543</v>
      </c>
      <c r="B1382" t="s">
        <v>3544</v>
      </c>
    </row>
    <row r="1383" spans="1:2">
      <c r="A1383" t="s">
        <v>3545</v>
      </c>
      <c r="B1383" t="s">
        <v>3546</v>
      </c>
    </row>
    <row r="1384" spans="1:2">
      <c r="A1384" t="s">
        <v>3547</v>
      </c>
      <c r="B1384" t="s">
        <v>3548</v>
      </c>
    </row>
    <row r="1385" spans="1:2">
      <c r="A1385" t="s">
        <v>3549</v>
      </c>
      <c r="B1385" t="s">
        <v>3550</v>
      </c>
    </row>
    <row r="1386" spans="1:2">
      <c r="A1386" t="s">
        <v>3551</v>
      </c>
      <c r="B1386" t="s">
        <v>3552</v>
      </c>
    </row>
    <row r="1387" spans="1:2">
      <c r="A1387" t="s">
        <v>3553</v>
      </c>
      <c r="B1387" t="s">
        <v>3554</v>
      </c>
    </row>
    <row r="1388" spans="1:2">
      <c r="A1388" t="s">
        <v>3555</v>
      </c>
      <c r="B1388" t="s">
        <v>3556</v>
      </c>
    </row>
    <row r="1389" spans="1:2">
      <c r="A1389" t="s">
        <v>3557</v>
      </c>
      <c r="B1389" t="s">
        <v>3558</v>
      </c>
    </row>
    <row r="1390" spans="1:2">
      <c r="A1390" t="s">
        <v>3559</v>
      </c>
      <c r="B1390" t="s">
        <v>3560</v>
      </c>
    </row>
    <row r="1391" spans="1:2">
      <c r="A1391" t="s">
        <v>3561</v>
      </c>
      <c r="B1391" t="s">
        <v>3562</v>
      </c>
    </row>
    <row r="1392" spans="1:2">
      <c r="A1392" t="s">
        <v>3563</v>
      </c>
      <c r="B1392" t="s">
        <v>3564</v>
      </c>
    </row>
    <row r="1393" spans="1:2">
      <c r="A1393" t="s">
        <v>3565</v>
      </c>
      <c r="B1393" t="s">
        <v>3566</v>
      </c>
    </row>
    <row r="1394" spans="1:2">
      <c r="A1394" t="s">
        <v>3567</v>
      </c>
      <c r="B1394" t="s">
        <v>3568</v>
      </c>
    </row>
    <row r="1395" spans="1:2">
      <c r="A1395" t="s">
        <v>3569</v>
      </c>
      <c r="B1395" t="s">
        <v>3570</v>
      </c>
    </row>
    <row r="1396" spans="1:2">
      <c r="A1396" t="s">
        <v>3571</v>
      </c>
      <c r="B1396" t="s">
        <v>3572</v>
      </c>
    </row>
    <row r="1397" spans="1:2">
      <c r="A1397" t="s">
        <v>3573</v>
      </c>
      <c r="B1397" t="s">
        <v>3574</v>
      </c>
    </row>
    <row r="1398" spans="1:2">
      <c r="A1398" t="s">
        <v>3575</v>
      </c>
      <c r="B1398" t="s">
        <v>3576</v>
      </c>
    </row>
    <row r="1399" spans="1:2">
      <c r="A1399" t="s">
        <v>3577</v>
      </c>
      <c r="B1399" t="s">
        <v>3578</v>
      </c>
    </row>
    <row r="1400" spans="1:2">
      <c r="A1400" t="s">
        <v>3579</v>
      </c>
      <c r="B1400" t="s">
        <v>3580</v>
      </c>
    </row>
    <row r="1401" spans="1:2">
      <c r="A1401" t="s">
        <v>3581</v>
      </c>
      <c r="B1401" t="s">
        <v>3582</v>
      </c>
    </row>
    <row r="1402" spans="1:2">
      <c r="A1402" t="s">
        <v>3583</v>
      </c>
      <c r="B1402" t="s">
        <v>3584</v>
      </c>
    </row>
    <row r="1403" spans="1:2">
      <c r="A1403" t="s">
        <v>3585</v>
      </c>
      <c r="B1403" t="s">
        <v>3586</v>
      </c>
    </row>
    <row r="1404" spans="1:2">
      <c r="A1404" t="s">
        <v>3587</v>
      </c>
      <c r="B1404" t="s">
        <v>3588</v>
      </c>
    </row>
    <row r="1405" spans="1:2">
      <c r="A1405" t="s">
        <v>3589</v>
      </c>
      <c r="B1405" t="s">
        <v>3590</v>
      </c>
    </row>
    <row r="1406" spans="1:2">
      <c r="A1406" t="s">
        <v>3591</v>
      </c>
      <c r="B1406" t="s">
        <v>3592</v>
      </c>
    </row>
    <row r="1407" spans="1:2">
      <c r="A1407" t="s">
        <v>3593</v>
      </c>
      <c r="B1407" t="s">
        <v>3594</v>
      </c>
    </row>
    <row r="1408" spans="1:2">
      <c r="A1408" t="s">
        <v>3595</v>
      </c>
      <c r="B1408" t="s">
        <v>3596</v>
      </c>
    </row>
    <row r="1409" spans="1:2">
      <c r="A1409" t="s">
        <v>3597</v>
      </c>
      <c r="B1409" t="s">
        <v>3598</v>
      </c>
    </row>
    <row r="1410" spans="1:2">
      <c r="A1410" t="s">
        <v>3599</v>
      </c>
      <c r="B1410" t="s">
        <v>3600</v>
      </c>
    </row>
    <row r="1411" spans="1:2">
      <c r="A1411" t="s">
        <v>3601</v>
      </c>
      <c r="B1411" t="s">
        <v>3602</v>
      </c>
    </row>
    <row r="1412" spans="1:2">
      <c r="A1412" t="s">
        <v>3603</v>
      </c>
      <c r="B1412" t="s">
        <v>3604</v>
      </c>
    </row>
    <row r="1413" spans="1:2">
      <c r="A1413" t="s">
        <v>3605</v>
      </c>
      <c r="B1413" t="s">
        <v>3606</v>
      </c>
    </row>
    <row r="1414" spans="1:2">
      <c r="A1414" t="s">
        <v>3607</v>
      </c>
      <c r="B1414" t="s">
        <v>3608</v>
      </c>
    </row>
    <row r="1415" spans="1:2">
      <c r="A1415" t="s">
        <v>3609</v>
      </c>
      <c r="B1415" t="s">
        <v>3610</v>
      </c>
    </row>
    <row r="1416" spans="1:2">
      <c r="A1416" t="s">
        <v>3611</v>
      </c>
      <c r="B1416" t="s">
        <v>3612</v>
      </c>
    </row>
    <row r="1417" spans="1:2">
      <c r="A1417" t="s">
        <v>3613</v>
      </c>
      <c r="B1417" t="s">
        <v>3614</v>
      </c>
    </row>
    <row r="1418" spans="1:2">
      <c r="A1418" t="s">
        <v>3615</v>
      </c>
      <c r="B1418" t="s">
        <v>3616</v>
      </c>
    </row>
    <row r="1419" spans="1:2">
      <c r="A1419" t="s">
        <v>3617</v>
      </c>
      <c r="B1419" t="s">
        <v>3618</v>
      </c>
    </row>
    <row r="1420" spans="1:2">
      <c r="A1420" t="s">
        <v>3619</v>
      </c>
      <c r="B1420" t="s">
        <v>3620</v>
      </c>
    </row>
    <row r="1421" spans="1:2">
      <c r="A1421" t="s">
        <v>3621</v>
      </c>
      <c r="B1421" t="s">
        <v>3622</v>
      </c>
    </row>
    <row r="1422" spans="1:2">
      <c r="A1422" t="s">
        <v>3623</v>
      </c>
      <c r="B1422" t="s">
        <v>3624</v>
      </c>
    </row>
    <row r="1423" spans="1:2">
      <c r="A1423" t="s">
        <v>3625</v>
      </c>
      <c r="B1423" t="s">
        <v>3626</v>
      </c>
    </row>
    <row r="1424" spans="1:2">
      <c r="A1424" t="s">
        <v>3627</v>
      </c>
      <c r="B1424" t="s">
        <v>3628</v>
      </c>
    </row>
    <row r="1425" spans="1:2">
      <c r="A1425" t="s">
        <v>3629</v>
      </c>
      <c r="B1425" t="s">
        <v>3630</v>
      </c>
    </row>
    <row r="1426" spans="1:2">
      <c r="A1426" t="s">
        <v>3631</v>
      </c>
      <c r="B1426" t="s">
        <v>3632</v>
      </c>
    </row>
    <row r="1427" spans="1:2">
      <c r="A1427" t="s">
        <v>3633</v>
      </c>
      <c r="B1427" t="s">
        <v>3634</v>
      </c>
    </row>
    <row r="1428" spans="1:2">
      <c r="A1428" t="s">
        <v>3635</v>
      </c>
      <c r="B1428" t="s">
        <v>3636</v>
      </c>
    </row>
    <row r="1429" spans="1:2">
      <c r="A1429" t="s">
        <v>3637</v>
      </c>
      <c r="B1429" t="s">
        <v>3638</v>
      </c>
    </row>
    <row r="1430" spans="1:2">
      <c r="A1430" t="s">
        <v>3639</v>
      </c>
      <c r="B1430" t="s">
        <v>3640</v>
      </c>
    </row>
    <row r="1431" spans="1:2">
      <c r="A1431" t="s">
        <v>3641</v>
      </c>
      <c r="B1431" t="s">
        <v>3642</v>
      </c>
    </row>
    <row r="1432" spans="1:2">
      <c r="A1432" t="s">
        <v>3643</v>
      </c>
      <c r="B1432" t="s">
        <v>3644</v>
      </c>
    </row>
    <row r="1433" spans="1:2">
      <c r="A1433" t="s">
        <v>3645</v>
      </c>
      <c r="B1433" t="s">
        <v>3646</v>
      </c>
    </row>
    <row r="1434" spans="1:2">
      <c r="A1434" t="s">
        <v>3647</v>
      </c>
      <c r="B1434" t="s">
        <v>3648</v>
      </c>
    </row>
    <row r="1435" spans="1:2">
      <c r="A1435" t="s">
        <v>3649</v>
      </c>
      <c r="B1435" t="s">
        <v>3650</v>
      </c>
    </row>
    <row r="1436" spans="1:2">
      <c r="A1436" t="s">
        <v>3651</v>
      </c>
      <c r="B1436" t="s">
        <v>3652</v>
      </c>
    </row>
    <row r="1437" spans="1:2">
      <c r="A1437" t="s">
        <v>3653</v>
      </c>
      <c r="B1437" t="s">
        <v>3654</v>
      </c>
    </row>
    <row r="1438" spans="1:2">
      <c r="A1438" t="s">
        <v>3655</v>
      </c>
      <c r="B1438" t="s">
        <v>3656</v>
      </c>
    </row>
    <row r="1439" spans="1:2">
      <c r="A1439" t="s">
        <v>3657</v>
      </c>
      <c r="B1439" t="s">
        <v>3658</v>
      </c>
    </row>
    <row r="1440" spans="1:2">
      <c r="A1440" t="s">
        <v>3659</v>
      </c>
      <c r="B1440" t="s">
        <v>3660</v>
      </c>
    </row>
    <row r="1441" spans="1:2">
      <c r="A1441" t="s">
        <v>3661</v>
      </c>
      <c r="B1441" t="s">
        <v>3662</v>
      </c>
    </row>
    <row r="1442" spans="1:2">
      <c r="A1442" t="s">
        <v>3663</v>
      </c>
      <c r="B1442" t="s">
        <v>3664</v>
      </c>
    </row>
    <row r="1443" spans="1:2">
      <c r="A1443" t="s">
        <v>3665</v>
      </c>
      <c r="B1443" t="s">
        <v>3666</v>
      </c>
    </row>
    <row r="1444" spans="1:2">
      <c r="A1444" t="s">
        <v>3667</v>
      </c>
      <c r="B1444" t="s">
        <v>3668</v>
      </c>
    </row>
    <row r="1445" spans="1:2">
      <c r="A1445" t="s">
        <v>3669</v>
      </c>
      <c r="B1445" t="s">
        <v>3670</v>
      </c>
    </row>
    <row r="1446" spans="1:2">
      <c r="A1446" t="s">
        <v>3671</v>
      </c>
      <c r="B1446" t="s">
        <v>3672</v>
      </c>
    </row>
    <row r="1447" spans="1:2">
      <c r="A1447" t="s">
        <v>3673</v>
      </c>
      <c r="B1447" t="s">
        <v>3674</v>
      </c>
    </row>
    <row r="1448" spans="1:2">
      <c r="A1448" t="s">
        <v>3675</v>
      </c>
      <c r="B1448" t="s">
        <v>3676</v>
      </c>
    </row>
    <row r="1449" spans="1:2">
      <c r="A1449" t="s">
        <v>3677</v>
      </c>
      <c r="B1449" t="s">
        <v>3678</v>
      </c>
    </row>
    <row r="1450" spans="1:2">
      <c r="A1450" t="s">
        <v>3679</v>
      </c>
      <c r="B1450" t="s">
        <v>3680</v>
      </c>
    </row>
    <row r="1451" spans="1:2">
      <c r="A1451" t="s">
        <v>3681</v>
      </c>
      <c r="B1451" t="s">
        <v>3682</v>
      </c>
    </row>
    <row r="1452" spans="1:2">
      <c r="A1452" t="s">
        <v>3683</v>
      </c>
      <c r="B1452" t="s">
        <v>3684</v>
      </c>
    </row>
    <row r="1453" spans="1:2">
      <c r="A1453" t="s">
        <v>3685</v>
      </c>
      <c r="B1453" t="s">
        <v>3686</v>
      </c>
    </row>
    <row r="1454" spans="1:2">
      <c r="A1454" t="s">
        <v>3687</v>
      </c>
      <c r="B1454" t="s">
        <v>3688</v>
      </c>
    </row>
    <row r="1455" spans="1:2">
      <c r="A1455" t="s">
        <v>3689</v>
      </c>
      <c r="B1455" t="s">
        <v>3690</v>
      </c>
    </row>
    <row r="1456" spans="1:2">
      <c r="A1456" t="s">
        <v>3691</v>
      </c>
      <c r="B1456" t="s">
        <v>3692</v>
      </c>
    </row>
    <row r="1457" spans="1:2">
      <c r="A1457" t="s">
        <v>3693</v>
      </c>
      <c r="B1457" t="s">
        <v>3694</v>
      </c>
    </row>
    <row r="1458" spans="1:2">
      <c r="A1458" t="s">
        <v>74</v>
      </c>
      <c r="B1458" t="s">
        <v>3695</v>
      </c>
    </row>
    <row r="1459" spans="1:2">
      <c r="A1459" t="s">
        <v>862</v>
      </c>
      <c r="B1459" t="s">
        <v>3696</v>
      </c>
    </row>
    <row r="1460" spans="1:2">
      <c r="A1460" t="s">
        <v>969</v>
      </c>
      <c r="B1460" t="s">
        <v>3697</v>
      </c>
    </row>
    <row r="1461" spans="1:2">
      <c r="A1461" t="s">
        <v>3698</v>
      </c>
      <c r="B1461" t="s">
        <v>3699</v>
      </c>
    </row>
    <row r="1462" spans="1:2">
      <c r="A1462" t="s">
        <v>248</v>
      </c>
      <c r="B1462" t="s">
        <v>3700</v>
      </c>
    </row>
    <row r="1463" spans="1:2">
      <c r="A1463" t="s">
        <v>1221</v>
      </c>
      <c r="B1463" t="s">
        <v>3701</v>
      </c>
    </row>
    <row r="1464" spans="1:2">
      <c r="A1464" t="s">
        <v>134</v>
      </c>
      <c r="B1464" t="s">
        <v>3702</v>
      </c>
    </row>
    <row r="1465" spans="1:2">
      <c r="A1465" t="s">
        <v>148</v>
      </c>
      <c r="B1465" t="s">
        <v>3703</v>
      </c>
    </row>
    <row r="1466" spans="1:2">
      <c r="A1466" t="s">
        <v>1005</v>
      </c>
      <c r="B1466" t="s">
        <v>3704</v>
      </c>
    </row>
    <row r="1467" spans="1:2">
      <c r="A1467" t="s">
        <v>360</v>
      </c>
      <c r="B1467" t="s">
        <v>3705</v>
      </c>
    </row>
    <row r="1468" spans="1:2">
      <c r="A1468" t="s">
        <v>1215</v>
      </c>
      <c r="B1468" t="s">
        <v>3706</v>
      </c>
    </row>
    <row r="1469" spans="1:2">
      <c r="A1469" t="s">
        <v>715</v>
      </c>
      <c r="B1469" t="s">
        <v>3707</v>
      </c>
    </row>
    <row r="1470" spans="1:2">
      <c r="A1470" t="s">
        <v>962</v>
      </c>
      <c r="B1470" t="s">
        <v>3708</v>
      </c>
    </row>
    <row r="1471" spans="1:2">
      <c r="A1471" t="s">
        <v>845</v>
      </c>
      <c r="B1471" t="s">
        <v>3709</v>
      </c>
    </row>
    <row r="1472" spans="1:2">
      <c r="A1472" t="s">
        <v>1034</v>
      </c>
      <c r="B1472" t="s">
        <v>3710</v>
      </c>
    </row>
    <row r="1473" spans="1:2">
      <c r="A1473" t="s">
        <v>351</v>
      </c>
      <c r="B1473" t="s">
        <v>3711</v>
      </c>
    </row>
    <row r="1474" spans="1:2">
      <c r="A1474" t="s">
        <v>985</v>
      </c>
      <c r="B1474" t="s">
        <v>3712</v>
      </c>
    </row>
    <row r="1475" spans="1:2">
      <c r="A1475" t="s">
        <v>1199</v>
      </c>
      <c r="B1475" t="s">
        <v>3713</v>
      </c>
    </row>
    <row r="1476" spans="1:2">
      <c r="A1476" t="s">
        <v>852</v>
      </c>
      <c r="B1476" t="s">
        <v>3714</v>
      </c>
    </row>
    <row r="1477" spans="1:2">
      <c r="A1477" t="s">
        <v>3715</v>
      </c>
      <c r="B1477" t="s">
        <v>3716</v>
      </c>
    </row>
    <row r="1478" spans="1:2">
      <c r="A1478" t="s">
        <v>976</v>
      </c>
      <c r="B1478" t="s">
        <v>3717</v>
      </c>
    </row>
    <row r="1479" spans="1:2">
      <c r="A1479" t="s">
        <v>3718</v>
      </c>
      <c r="B1479" t="s">
        <v>3719</v>
      </c>
    </row>
    <row r="1480" spans="1:2">
      <c r="A1480" t="s">
        <v>1176</v>
      </c>
      <c r="B1480" t="s">
        <v>3720</v>
      </c>
    </row>
    <row r="1481" spans="1:2">
      <c r="A1481" t="s">
        <v>371</v>
      </c>
      <c r="B1481" t="s">
        <v>3721</v>
      </c>
    </row>
    <row r="1482" spans="1:2">
      <c r="A1482" t="s">
        <v>3722</v>
      </c>
      <c r="B1482" t="s">
        <v>3723</v>
      </c>
    </row>
    <row r="1483" spans="1:2">
      <c r="A1483" t="s">
        <v>3724</v>
      </c>
      <c r="B1483" t="s">
        <v>3725</v>
      </c>
    </row>
    <row r="1484" spans="1:2">
      <c r="A1484" t="s">
        <v>3726</v>
      </c>
      <c r="B1484" t="s">
        <v>3727</v>
      </c>
    </row>
    <row r="1485" spans="1:2">
      <c r="A1485" t="s">
        <v>3728</v>
      </c>
      <c r="B1485" t="s">
        <v>3729</v>
      </c>
    </row>
    <row r="1486" spans="1:2">
      <c r="A1486" t="s">
        <v>3730</v>
      </c>
      <c r="B1486" t="s">
        <v>3731</v>
      </c>
    </row>
    <row r="1487" spans="1:2">
      <c r="A1487" t="s">
        <v>3732</v>
      </c>
      <c r="B1487" t="s">
        <v>3733</v>
      </c>
    </row>
    <row r="1488" spans="1:2">
      <c r="A1488" t="s">
        <v>291</v>
      </c>
      <c r="B1488" t="s">
        <v>3734</v>
      </c>
    </row>
    <row r="1489" spans="1:2">
      <c r="A1489" t="s">
        <v>992</v>
      </c>
      <c r="B1489" t="s">
        <v>3735</v>
      </c>
    </row>
    <row r="1490" spans="1:2">
      <c r="A1490" t="s">
        <v>1213</v>
      </c>
      <c r="B1490" t="s">
        <v>3736</v>
      </c>
    </row>
    <row r="1491" spans="1:2">
      <c r="A1491" t="s">
        <v>318</v>
      </c>
      <c r="B1491" t="s">
        <v>3737</v>
      </c>
    </row>
    <row r="1492" spans="1:2">
      <c r="A1492" t="s">
        <v>3738</v>
      </c>
      <c r="B1492" t="s">
        <v>3739</v>
      </c>
    </row>
    <row r="1493" spans="1:2">
      <c r="A1493" t="s">
        <v>3740</v>
      </c>
      <c r="B1493" t="s">
        <v>3741</v>
      </c>
    </row>
    <row r="1494" spans="1:2">
      <c r="A1494" t="s">
        <v>545</v>
      </c>
      <c r="B1494" t="s">
        <v>3742</v>
      </c>
    </row>
    <row r="1495" spans="1:2">
      <c r="A1495" t="s">
        <v>535</v>
      </c>
      <c r="B1495" t="s">
        <v>3743</v>
      </c>
    </row>
    <row r="1496" spans="1:2">
      <c r="A1496" t="s">
        <v>128</v>
      </c>
      <c r="B1496" t="s">
        <v>3744</v>
      </c>
    </row>
    <row r="1497" spans="1:2">
      <c r="A1497" t="s">
        <v>461</v>
      </c>
      <c r="B1497" t="s">
        <v>3745</v>
      </c>
    </row>
    <row r="1498" spans="1:2">
      <c r="A1498" t="s">
        <v>694</v>
      </c>
      <c r="B1498" t="s">
        <v>3746</v>
      </c>
    </row>
    <row r="1499" spans="1:2">
      <c r="A1499" t="s">
        <v>631</v>
      </c>
      <c r="B1499" t="s">
        <v>3747</v>
      </c>
    </row>
    <row r="1500" spans="1:2">
      <c r="A1500" t="s">
        <v>1087</v>
      </c>
      <c r="B1500" t="s">
        <v>3748</v>
      </c>
    </row>
    <row r="1501" spans="1:2">
      <c r="A1501" t="s">
        <v>3749</v>
      </c>
      <c r="B1501" t="s">
        <v>3750</v>
      </c>
    </row>
    <row r="1502" spans="1:2">
      <c r="A1502" t="s">
        <v>252</v>
      </c>
      <c r="B1502" t="s">
        <v>3751</v>
      </c>
    </row>
    <row r="1503" spans="1:2">
      <c r="A1503" t="s">
        <v>3752</v>
      </c>
      <c r="B1503" t="s">
        <v>3753</v>
      </c>
    </row>
    <row r="1504" spans="1:2">
      <c r="A1504" t="s">
        <v>3754</v>
      </c>
      <c r="B1504" t="s">
        <v>3755</v>
      </c>
    </row>
    <row r="1505" spans="1:2">
      <c r="A1505" t="s">
        <v>3756</v>
      </c>
      <c r="B1505" t="s">
        <v>3757</v>
      </c>
    </row>
    <row r="1506" spans="1:2">
      <c r="A1506" t="s">
        <v>1169</v>
      </c>
      <c r="B1506" t="s">
        <v>3758</v>
      </c>
    </row>
    <row r="1507" spans="1:2">
      <c r="A1507" t="s">
        <v>3759</v>
      </c>
      <c r="B1507" t="s">
        <v>3760</v>
      </c>
    </row>
    <row r="1508" spans="1:2">
      <c r="A1508" t="s">
        <v>3761</v>
      </c>
      <c r="B1508" t="s">
        <v>3762</v>
      </c>
    </row>
    <row r="1509" spans="1:2">
      <c r="A1509" t="s">
        <v>3763</v>
      </c>
      <c r="B1509" t="s">
        <v>3764</v>
      </c>
    </row>
    <row r="1510" spans="1:2">
      <c r="A1510" t="s">
        <v>311</v>
      </c>
      <c r="B1510" t="s">
        <v>3765</v>
      </c>
    </row>
    <row r="1511" spans="1:2">
      <c r="A1511" t="s">
        <v>72</v>
      </c>
      <c r="B1511" t="s">
        <v>3766</v>
      </c>
    </row>
    <row r="1512" spans="1:2">
      <c r="A1512" t="s">
        <v>1225</v>
      </c>
      <c r="B1512" t="s">
        <v>3767</v>
      </c>
    </row>
    <row r="1513" spans="1:2">
      <c r="A1513" t="s">
        <v>3768</v>
      </c>
      <c r="B1513" t="s">
        <v>3769</v>
      </c>
    </row>
    <row r="1514" spans="1:2">
      <c r="A1514" t="s">
        <v>364</v>
      </c>
      <c r="B1514" t="s">
        <v>3770</v>
      </c>
    </row>
    <row r="1515" spans="1:2">
      <c r="A1515" t="s">
        <v>964</v>
      </c>
      <c r="B1515" t="s">
        <v>3771</v>
      </c>
    </row>
    <row r="1516" spans="1:2">
      <c r="A1516" t="s">
        <v>879</v>
      </c>
      <c r="B1516" t="s">
        <v>3772</v>
      </c>
    </row>
    <row r="1517" spans="1:2">
      <c r="A1517" t="s">
        <v>3773</v>
      </c>
      <c r="B1517" t="s">
        <v>3774</v>
      </c>
    </row>
    <row r="1518" spans="1:2">
      <c r="A1518" t="s">
        <v>3775</v>
      </c>
      <c r="B1518" t="s">
        <v>3776</v>
      </c>
    </row>
    <row r="1519" spans="1:2">
      <c r="A1519" t="s">
        <v>3777</v>
      </c>
      <c r="B1519" t="s">
        <v>3778</v>
      </c>
    </row>
    <row r="1520" spans="1:2">
      <c r="A1520" t="s">
        <v>3779</v>
      </c>
      <c r="B1520" t="s">
        <v>3780</v>
      </c>
    </row>
    <row r="1521" spans="1:2">
      <c r="A1521" t="s">
        <v>3781</v>
      </c>
      <c r="B1521" t="s">
        <v>3782</v>
      </c>
    </row>
    <row r="1522" spans="1:2">
      <c r="A1522" t="s">
        <v>3783</v>
      </c>
      <c r="B1522" t="s">
        <v>3784</v>
      </c>
    </row>
    <row r="1523" spans="1:2">
      <c r="A1523" t="s">
        <v>3785</v>
      </c>
      <c r="B1523" t="s">
        <v>3786</v>
      </c>
    </row>
    <row r="1524" spans="1:2">
      <c r="A1524" t="s">
        <v>3787</v>
      </c>
      <c r="B1524" t="s">
        <v>3788</v>
      </c>
    </row>
    <row r="1525" spans="1:2">
      <c r="A1525" t="s">
        <v>3789</v>
      </c>
      <c r="B1525" t="s">
        <v>3790</v>
      </c>
    </row>
    <row r="1526" spans="1:2">
      <c r="A1526" t="s">
        <v>3791</v>
      </c>
      <c r="B1526" t="s">
        <v>3792</v>
      </c>
    </row>
    <row r="1527" spans="1:2">
      <c r="A1527" t="s">
        <v>3793</v>
      </c>
      <c r="B1527" t="s">
        <v>3794</v>
      </c>
    </row>
    <row r="1528" spans="1:2">
      <c r="A1528" t="s">
        <v>3795</v>
      </c>
      <c r="B1528" t="s">
        <v>3796</v>
      </c>
    </row>
    <row r="1529" spans="1:2">
      <c r="A1529" t="s">
        <v>3797</v>
      </c>
      <c r="B1529" t="s">
        <v>3798</v>
      </c>
    </row>
    <row r="1530" spans="1:2">
      <c r="A1530" t="s">
        <v>865</v>
      </c>
      <c r="B1530" t="s">
        <v>3799</v>
      </c>
    </row>
    <row r="1531" spans="1:2">
      <c r="A1531" t="s">
        <v>3800</v>
      </c>
      <c r="B1531" t="s">
        <v>3801</v>
      </c>
    </row>
    <row r="1532" spans="1:2">
      <c r="A1532" t="s">
        <v>3802</v>
      </c>
      <c r="B1532" t="s">
        <v>3803</v>
      </c>
    </row>
    <row r="1533" spans="1:2">
      <c r="A1533" t="s">
        <v>3804</v>
      </c>
      <c r="B1533" t="s">
        <v>3805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达成转化的商品_-_06_15_2026T14_38_46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胡雪敏</cp:lastModifiedBy>
  <dcterms:created xsi:type="dcterms:W3CDTF">2026-06-25T02:37:27Z</dcterms:created>
  <dcterms:modified xsi:type="dcterms:W3CDTF">2026-06-25T02:41:11Z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F8FA189CDBDE421A913CE954DA2B3446_13</vt:lpwstr>
  </property>
  <property fmtid="{D5CDD505-2E9C-101B-9397-08002B2CF9AE}" pid="3" name="KSOProductBuildVer">
    <vt:lpwstr>2052-12.1.0.26895</vt:lpwstr>
  </property>
  <property fmtid="{D5CDD505-2E9C-101B-9397-08002B2CF9AE}" pid="4" name="CalculationRule">
    <vt:i4>0</vt:i4>
  </property>
</Properties>
</file>